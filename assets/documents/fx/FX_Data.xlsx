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_Sources" sheetId="1" state="visible" r:id="rId3"/>
    <sheet name="FX_Daily" sheetId="2" state="visible" r:id="rId4"/>
    <sheet name="FX_Monthly" sheetId="3" state="visible" r:id="rId5"/>
    <sheet name="Rates_Daily" sheetId="4" state="visible" r:id="rId6"/>
    <sheet name="Rates_Monthly" sheetId="5" state="visible" r:id="rId7"/>
    <sheet name="Inflation" sheetId="6" state="visible" r:id="rId8"/>
    <sheet name="GDP_Growth" sheetId="7" state="visible" r:id="rId9"/>
    <sheet name="Trade_CurrentAccount" sheetId="8" state="visible" r:id="rId10"/>
    <sheet name="Reserves_COFER" sheetId="9" state="visible" r:id="rId11"/>
    <sheet name="FX_Market_BIS" sheetId="10" state="visible" r:id="rId12"/>
    <sheet name="BigMac" sheetId="11" state="visible" r:id="rId13"/>
    <sheet name="USA" sheetId="12" state="visible" r:id="rId14"/>
    <sheet name="KOR" sheetId="13" state="visible" r:id="rId15"/>
    <sheet name="NOR" sheetId="14" state="visible" r:id="rId16"/>
    <sheet name="GBR" sheetId="15" state="visible" r:id="rId17"/>
    <sheet name="FRA" sheetId="16" state="visible" r:id="rId18"/>
    <sheet name="DEU" sheetId="17" state="visible" r:id="rId19"/>
    <sheet name="CHN" sheetId="18" state="visible" r:id="rId20"/>
    <sheet name="Data_Quality_Log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4" authorId="0">
      <text>
        <r>
          <rPr>
            <sz val="10"/>
            <rFont val="Arial"/>
            <family val="2"/>
          </rPr>
          <t xml:space="preserve">Indirect for GBP: USD per 1 GBP (FRED units). GBP per USD = 1/value.</t>
        </r>
      </text>
    </comment>
    <comment ref="E14" authorId="0">
      <text>
        <r>
          <rPr>
            <sz val="10"/>
            <rFont val="Arial"/>
            <family val="2"/>
          </rPr>
          <t xml:space="preserve">USD per 1 EUR (FRED units). EUR per USD = 1/value.</t>
        </r>
      </text>
    </comment>
  </commentList>
</comments>
</file>

<file path=xl/sharedStrings.xml><?xml version="1.0" encoding="utf-8"?>
<sst xmlns="http://schemas.openxmlformats.org/spreadsheetml/2006/main" count="8281" uniqueCount="1582">
  <si>
    <t xml:space="preserve">FX_Data.xlsx — README &amp; source catalog (Step 1: raw data only, no analysis)</t>
  </si>
  <si>
    <t xml:space="preserve">As-of date: 2026-10-07 | Retrieval date: 2026-10-07 | Blue font = raw value from source; black = formula. </t>
  </si>
  <si>
    <t xml:space="preserve">Scope: USD, KRW, NOK, GBP, EUR (France + Germany share EUR), CNY; BRL and JPY only as reference for one test. History: FX daily 2016-01-01→latest; rates &amp; CPI monthly 2016→latest; annual macro 2010→latest + IMF forecasts 2026-2028. Quote direction is always written as "X per Y" (= units of X for 1 Y).</t>
  </si>
  <si>
    <t xml:space="preserve">Sheet</t>
  </si>
  <si>
    <t xml:space="preserve">Column / block</t>
  </si>
  <si>
    <t xml:space="preserve">Provider</t>
  </si>
  <si>
    <t xml:space="preserve">Series ID / table</t>
  </si>
  <si>
    <t xml:space="preserve">Description</t>
  </si>
  <si>
    <t xml:space="preserve">URL</t>
  </si>
  <si>
    <t xml:space="preserve">Unit</t>
  </si>
  <si>
    <t xml:space="preserve">Frequency</t>
  </si>
  <si>
    <t xml:space="preserve">First obs</t>
  </si>
  <si>
    <t xml:space="preserve">Last obs</t>
  </si>
  <si>
    <t xml:space="preserve">Retrieval date</t>
  </si>
  <si>
    <t xml:space="preserve">Notes</t>
  </si>
  <si>
    <t xml:space="preserve">FX_Daily</t>
  </si>
  <si>
    <t xml:space="preserve">B (KRW per USD)</t>
  </si>
  <si>
    <t xml:space="preserve">FRED (St. Louis Fed); original source Federal Reserve Board H.10</t>
  </si>
  <si>
    <t xml:space="preserve">DEXKOUS</t>
  </si>
  <si>
    <t xml:space="preserve">South Korean Won to U.S. Dollar Spot Exchange Rate (DEXKOUS)</t>
  </si>
  <si>
    <t xml:space="preserve">https://fred.stlouisfed.org/series/DEXKOUS</t>
  </si>
  <si>
    <t xml:space="preserve">South Korean Won to One U.S. Dollar</t>
  </si>
  <si>
    <t xml:space="preserve">Daily</t>
  </si>
  <si>
    <t xml:space="preserve">2026-10-07</t>
  </si>
  <si>
    <t xml:space="preserve">C (NOK per USD)</t>
  </si>
  <si>
    <t xml:space="preserve">DEXNOUS</t>
  </si>
  <si>
    <t xml:space="preserve">Norwegian Kroner to U.S. Dollar Spot Exchange Rate (DEXNOUS)</t>
  </si>
  <si>
    <t xml:space="preserve">https://fred.stlouisfed.org/series/DEXNOUS</t>
  </si>
  <si>
    <t xml:space="preserve">Norwegian Kroner to One U.S. Dollar</t>
  </si>
  <si>
    <t xml:space="preserve">D (USD per GBP)</t>
  </si>
  <si>
    <t xml:space="preserve">DEXUSUK</t>
  </si>
  <si>
    <t xml:space="preserve">U.S. Dollars to U.K. Pound Sterling Spot Exchange Rate (DEXUSUK)</t>
  </si>
  <si>
    <t xml:space="preserve">https://fred.stlouisfed.org/series/DEXUSUK</t>
  </si>
  <si>
    <t xml:space="preserve">U.S. Dollars to One U.K. Pound Sterling</t>
  </si>
  <si>
    <t xml:space="preserve">E (USD per EUR)</t>
  </si>
  <si>
    <t xml:space="preserve">DEXUSEU</t>
  </si>
  <si>
    <t xml:space="preserve">U.S. Dollars to Euro Spot Exchange Rate (DEXUSEU)</t>
  </si>
  <si>
    <t xml:space="preserve">https://fred.stlouisfed.org/series/DEXUSEU</t>
  </si>
  <si>
    <t xml:space="preserve">U.S. Dollars to One Euro</t>
  </si>
  <si>
    <t xml:space="preserve">F (CNY per USD)</t>
  </si>
  <si>
    <t xml:space="preserve">DEXCHUS</t>
  </si>
  <si>
    <t xml:space="preserve">Chinese Yuan Renminbi to U.S. Dollar Spot Exchange Rate (DEXCHUS)</t>
  </si>
  <si>
    <t xml:space="preserve">https://fred.stlouisfed.org/series/DEXCHUS</t>
  </si>
  <si>
    <t xml:space="preserve">Chinese Yuan Renminbi to One U.S. Dollar</t>
  </si>
  <si>
    <t xml:space="preserve">G (BRL per USD (reference only))</t>
  </si>
  <si>
    <t xml:space="preserve">DEXBZUS</t>
  </si>
  <si>
    <t xml:space="preserve">Brazilian Reals to U.S. Dollar Spot Exchange Rate (DEXBZUS)</t>
  </si>
  <si>
    <t xml:space="preserve">https://fred.stlouisfed.org/series/DEXBZUS</t>
  </si>
  <si>
    <t xml:space="preserve">Brazilian Reals to One U.S. Dollar</t>
  </si>
  <si>
    <t xml:space="preserve">H (JPY per USD (reference only))</t>
  </si>
  <si>
    <t xml:space="preserve">DEXJPUS</t>
  </si>
  <si>
    <t xml:space="preserve">Japanese Yen to U.S. Dollar Spot Exchange Rate (DEXJPUS)</t>
  </si>
  <si>
    <t xml:space="preserve">https://fred.stlouisfed.org/series/DEXJPUS</t>
  </si>
  <si>
    <t xml:space="preserve">Japanese Yen to One U.S. Dollar</t>
  </si>
  <si>
    <t xml:space="preserve">I (USD per EUR (ECB ref.))</t>
  </si>
  <si>
    <t xml:space="preserve">European Central Bank (ECB Data Portal)</t>
  </si>
  <si>
    <t xml:space="preserve">EXR.D.USD.EUR.SP00.A</t>
  </si>
  <si>
    <t xml:space="preserve">US dollar/Euro ECB reference exchange rate — USD per 1 EUR</t>
  </si>
  <si>
    <t xml:space="preserve">https://data.ecb.europa.eu/data/datasets/EXR/EXR.D.USD.EUR.SP00.A</t>
  </si>
  <si>
    <t xml:space="preserve">USD per 1 EUR</t>
  </si>
  <si>
    <t xml:space="preserve">Daily (TARGET days, 14:15 CET)</t>
  </si>
  <si>
    <t xml:space="preserve">J (NOK per EUR (ECB ref.))</t>
  </si>
  <si>
    <t xml:space="preserve">EXR.D.NOK.EUR.SP00.A</t>
  </si>
  <si>
    <t xml:space="preserve">Norwegian krone/Euro ECB reference exchange rate — NOK per 1 EUR</t>
  </si>
  <si>
    <t xml:space="preserve">https://data.ecb.europa.eu/data/datasets/EXR/EXR.D.NOK.EUR.SP00.A</t>
  </si>
  <si>
    <t xml:space="preserve">NOK per 1 EUR</t>
  </si>
  <si>
    <t xml:space="preserve">K (KRW per EUR (ECB ref.))</t>
  </si>
  <si>
    <t xml:space="preserve">EXR.D.KRW.EUR.SP00.A</t>
  </si>
  <si>
    <t xml:space="preserve">South Korean won/Euro ECB reference exchange rate — KRW per 1 EUR</t>
  </si>
  <si>
    <t xml:space="preserve">https://data.ecb.europa.eu/data/datasets/EXR/EXR.D.KRW.EUR.SP00.A</t>
  </si>
  <si>
    <t xml:space="preserve">KRW per 1 EUR</t>
  </si>
  <si>
    <t xml:space="preserve">L (GBP per EUR (ECB ref.))</t>
  </si>
  <si>
    <t xml:space="preserve">EXR.D.GBP.EUR.SP00.A</t>
  </si>
  <si>
    <t xml:space="preserve">Pound sterling/Euro ECB reference exchange rate — GBP per 1 EUR</t>
  </si>
  <si>
    <t xml:space="preserve">https://data.ecb.europa.eu/data/datasets/EXR/EXR.D.GBP.EUR.SP00.A</t>
  </si>
  <si>
    <t xml:space="preserve">GBP per 1 EUR</t>
  </si>
  <si>
    <t xml:space="preserve">M (CNY per EUR (ECB ref.))</t>
  </si>
  <si>
    <t xml:space="preserve">EXR.D.CNY.EUR.SP00.A</t>
  </si>
  <si>
    <t xml:space="preserve">Chinese yuan renminbi/Euro ECB reference exchange rate — CNY per 1 EUR</t>
  </si>
  <si>
    <t xml:space="preserve">https://data.ecb.europa.eu/data/datasets/EXR/EXR.D.CNY.EUR.SP00.A</t>
  </si>
  <si>
    <t xml:space="preserve">CNY per 1 EUR</t>
  </si>
  <si>
    <t xml:space="preserve">N (BRL per EUR (ECB ref.))</t>
  </si>
  <si>
    <t xml:space="preserve">EXR.D.BRL.EUR.SP00.A</t>
  </si>
  <si>
    <t xml:space="preserve">Brazilian real/Euro ECB reference exchange rate — BRL per 1 EUR</t>
  </si>
  <si>
    <t xml:space="preserve">https://data.ecb.europa.eu/data/datasets/EXR/EXR.D.BRL.EUR.SP00.A</t>
  </si>
  <si>
    <t xml:space="preserve">BRL per 1 EUR</t>
  </si>
  <si>
    <t xml:space="preserve">O (JPY per EUR (ECB ref.))</t>
  </si>
  <si>
    <t xml:space="preserve">EXR.D.JPY.EUR.SP00.A</t>
  </si>
  <si>
    <t xml:space="preserve">Japanese yen/Euro ECB reference exchange rate — JPY per 1 EUR</t>
  </si>
  <si>
    <t xml:space="preserve">https://data.ecb.europa.eu/data/datasets/EXR/EXR.D.JPY.EUR.SP00.A</t>
  </si>
  <si>
    <t xml:space="preserve">JPY per 1 EUR</t>
  </si>
  <si>
    <t xml:space="preserve">P (NOK per USD (Norges Bank))</t>
  </si>
  <si>
    <t xml:space="preserve">Norges Bank (data.norges-bank.no)</t>
  </si>
  <si>
    <t xml:space="preserve">EXR/B.USD.NOK.SP</t>
  </si>
  <si>
    <t xml:space="preserve">Norges Bank daily exchange rate, NOK per 1 USD (midday fixing)</t>
  </si>
  <si>
    <t xml:space="preserve">https://data.norges-bank.no/api/data/EXR/B.USD.NOK.SP?format=csv</t>
  </si>
  <si>
    <t xml:space="preserve">NOK per 1 USD</t>
  </si>
  <si>
    <t xml:space="preserve">Daily (Norwegian business days)</t>
  </si>
  <si>
    <t xml:space="preserve">FX_Monthly</t>
  </si>
  <si>
    <t xml:space="preserve">B:P</t>
  </si>
  <si>
    <t xml:space="preserve">Derived (formula)</t>
  </si>
  <si>
    <t xml:space="preserve">AVERAGEIFS on FX_Daily</t>
  </si>
  <si>
    <t xml:space="preserve">Monthly average of every FX_Daily series; same quote direction as FX_Daily</t>
  </si>
  <si>
    <t xml:space="preserve">as FX_Daily</t>
  </si>
  <si>
    <t xml:space="preserve">Monthly</t>
  </si>
  <si>
    <t xml:space="preserve">Derived, not a separate source series. Current month flagged "partial month".</t>
  </si>
  <si>
    <t xml:space="preserve">Rates_Daily</t>
  </si>
  <si>
    <t xml:space="preserve">B (USD SOFR (O/N))</t>
  </si>
  <si>
    <t xml:space="preserve">FRED (St. Louis Fed)</t>
  </si>
  <si>
    <t xml:space="preserve">SOFR</t>
  </si>
  <si>
    <t xml:space="preserve">Secured Overnight Financing Rate (SOFR)</t>
  </si>
  <si>
    <t xml:space="preserve">https://fred.stlouisfed.org/series/SOFR</t>
  </si>
  <si>
    <t xml:space="preserve">Percent</t>
  </si>
  <si>
    <t xml:space="preserve">C (USD Fed funds target — upper)</t>
  </si>
  <si>
    <t xml:space="preserve">DFEDTARU</t>
  </si>
  <si>
    <t xml:space="preserve">Federal Funds Target Range - Upper Limit (DFEDTARU)</t>
  </si>
  <si>
    <t xml:space="preserve">https://fred.stlouisfed.org/series/DFEDTARU</t>
  </si>
  <si>
    <t xml:space="preserve">D (USD Fed funds target — lower)</t>
  </si>
  <si>
    <t xml:space="preserve">DFEDTARL</t>
  </si>
  <si>
    <t xml:space="preserve">Federal Funds Target Range - Lower Limit (DFEDTARL)</t>
  </si>
  <si>
    <t xml:space="preserve">https://fred.stlouisfed.org/series/DFEDTARL</t>
  </si>
  <si>
    <t xml:space="preserve">E (EUR €STR (O/N))</t>
  </si>
  <si>
    <t xml:space="preserve">EST.B.EU000A2X2A25.WT</t>
  </si>
  <si>
    <t xml:space="preserve">Euro short-term rate</t>
  </si>
  <si>
    <t xml:space="preserve">https://data.ecb.europa.eu/data/datasets/EST/EST.B.EU000A2X2A25.WT</t>
  </si>
  <si>
    <t xml:space="preserve">% p.a.</t>
  </si>
  <si>
    <t xml:space="preserve">Daily (TARGET days)</t>
  </si>
  <si>
    <t xml:space="preserve">F (EUR ECB deposit facility rate)</t>
  </si>
  <si>
    <t xml:space="preserve">FM.D.U2.EUR.4F.KR.DFR.LEV</t>
  </si>
  <si>
    <t xml:space="preserve">Deposit facility - date of changes (raw data) - Level</t>
  </si>
  <si>
    <t xml:space="preserve">https://data.ecb.europa.eu/data/datasets/FM/FM.D.U2.EUR.4F.KR.DFR.LEV</t>
  </si>
  <si>
    <t xml:space="preserve">Daily (calendar)</t>
  </si>
  <si>
    <t xml:space="preserve">G (GBP Bank Rate)</t>
  </si>
  <si>
    <t xml:space="preserve">Bank of England (IADB)</t>
  </si>
  <si>
    <t xml:space="preserve">IUDBEDR</t>
  </si>
  <si>
    <t xml:space="preserve">Official Bank Rate, daily</t>
  </si>
  <si>
    <t xml:space="preserve">https://www.bankofengland.co.uk/boeapps/database/?SeriesCodes=IUDBEDR</t>
  </si>
  <si>
    <t xml:space="preserve">H (GBP SONIA (O/N))</t>
  </si>
  <si>
    <t xml:space="preserve">IUDSOIA</t>
  </si>
  <si>
    <t xml:space="preserve">Sterling Overnight Index Average, daily</t>
  </si>
  <si>
    <t xml:space="preserve">https://www.bankofengland.co.uk/boeapps/database/?SeriesCodes=IUDSOIA</t>
  </si>
  <si>
    <t xml:space="preserve">I (GBP OIS spot 1M)</t>
  </si>
  <si>
    <t xml:space="preserve">Bank of England (yield curve data)</t>
  </si>
  <si>
    <t xml:space="preserve">UK OIS spot curve, 1M maturity</t>
  </si>
  <si>
    <t xml:space="preserve">BoE estimated UK OIS (SONIA) spot rate, 1M maturity, continuously compounded per BoE methodology</t>
  </si>
  <si>
    <t xml:space="preserve">https://www.bankofengland.co.uk/statistics/yield-curves (files: oisddata.zip, latest-yield-curve-data.zip; sheet "3. spot, short end")</t>
  </si>
  <si>
    <t xml:space="preserve">J (GBP OIS spot 3M)</t>
  </si>
  <si>
    <t xml:space="preserve">UK OIS spot curve, 3M maturity</t>
  </si>
  <si>
    <t xml:space="preserve">BoE estimated UK OIS (SONIA) spot rate, 3M maturity, continuously compounded per BoE methodology</t>
  </si>
  <si>
    <t xml:space="preserve">K (GBP OIS spot 6M)</t>
  </si>
  <si>
    <t xml:space="preserve">UK OIS spot curve, 6M maturity</t>
  </si>
  <si>
    <t xml:space="preserve">BoE estimated UK OIS (SONIA) spot rate, 6M maturity, continuously compounded per BoE methodology</t>
  </si>
  <si>
    <t xml:space="preserve">L (GBP OIS spot 12M)</t>
  </si>
  <si>
    <t xml:space="preserve">UK OIS spot curve, 12M maturity</t>
  </si>
  <si>
    <t xml:space="preserve">BoE estimated UK OIS (SONIA) spot rate, 12M maturity, continuously compounded per BoE methodology</t>
  </si>
  <si>
    <t xml:space="preserve">M (CNY Shibor 1M)</t>
  </si>
  <si>
    <t xml:space="preserve">CFETS / National Interbank Funding Center (chinamoney.com.cn)</t>
  </si>
  <si>
    <t xml:space="preserve">Shibor 1M</t>
  </si>
  <si>
    <t xml:space="preserve">Shanghai Interbank Offered Rate, 1M tenor</t>
  </si>
  <si>
    <t xml:space="preserve">https://www.chinamoney.com.cn/english/bmkshibor/ (API: /ags/ms/cm-u-bk-shibor/ShiborHis)</t>
  </si>
  <si>
    <t xml:space="preserve">Daily (China business days)</t>
  </si>
  <si>
    <t xml:space="preserve">N (CNY Shibor 3M)</t>
  </si>
  <si>
    <t xml:space="preserve">Shibor 3M</t>
  </si>
  <si>
    <t xml:space="preserve">Shanghai Interbank Offered Rate, 3M tenor</t>
  </si>
  <si>
    <t xml:space="preserve">O (CNY Shibor 6M)</t>
  </si>
  <si>
    <t xml:space="preserve">Shibor 6M</t>
  </si>
  <si>
    <t xml:space="preserve">Shanghai Interbank Offered Rate, 6M tenor</t>
  </si>
  <si>
    <t xml:space="preserve">P (CNY Shibor 1Y)</t>
  </si>
  <si>
    <t xml:space="preserve">Shibor 1Y</t>
  </si>
  <si>
    <t xml:space="preserve">Shanghai Interbank Offered Rate, 1Y tenor</t>
  </si>
  <si>
    <t xml:space="preserve">Q (NOK Norges Bank policy rate)</t>
  </si>
  <si>
    <t xml:space="preserve">Norges Bank</t>
  </si>
  <si>
    <t xml:space="preserve">IR/B.KPRA.SD.</t>
  </si>
  <si>
    <t xml:space="preserve">Key policy rate (sight deposit rate), daily</t>
  </si>
  <si>
    <t xml:space="preserve">https://data.norges-bank.no/api/data/IR/B.KPRA.SD.?format=csv</t>
  </si>
  <si>
    <t xml:space="preserve">R (NOK NOWA (O/N))</t>
  </si>
  <si>
    <t xml:space="preserve">SHORT_RATES/B.NOWA.ON.R</t>
  </si>
  <si>
    <t xml:space="preserve">Norwegian Overnight Weighted Average, daily</t>
  </si>
  <si>
    <t xml:space="preserve">https://data.norges-bank.no/api/data/SHORT_RATES/B.NOWA.ON.R?format=csv</t>
  </si>
  <si>
    <t xml:space="preserve">S (BRL Selic target (reference only))</t>
  </si>
  <si>
    <t xml:space="preserve">Banco Central do Brasil (SGS)</t>
  </si>
  <si>
    <t xml:space="preserve">SGS 432</t>
  </si>
  <si>
    <t xml:space="preserve">Meta Selic definida pelo Copom (% a.a.)</t>
  </si>
  <si>
    <t xml:space="preserve">https://api.bcb.gov.br/dados/serie/bcdata.sgs.432/dados?formato=json</t>
  </si>
  <si>
    <t xml:space="preserve">Rates_Monthly</t>
  </si>
  <si>
    <t xml:space="preserve">B (USD Fed funds effective)</t>
  </si>
  <si>
    <t xml:space="preserve">FEDFUNDS</t>
  </si>
  <si>
    <t xml:space="preserve">Federal Funds Effective Rate (FEDFUNDS)</t>
  </si>
  <si>
    <t xml:space="preserve">https://fred.stlouisfed.org/series/FEDFUNDS</t>
  </si>
  <si>
    <t xml:space="preserve">C (USD Fed target upper (month-end))</t>
  </si>
  <si>
    <t xml:space="preserve">DFEDTARU → Month-end value (last daily obs &lt;= month end; formula on Rates_Daily)</t>
  </si>
  <si>
    <t xml:space="preserve">Month-end value (last daily obs &lt;= month end; formula on Rates_Daily)</t>
  </si>
  <si>
    <t xml:space="preserve">D (USD Fed target lower (month-end))</t>
  </si>
  <si>
    <t xml:space="preserve">DFEDTARL → Month-end value (last daily obs &lt;= month end; formula on Rates_Daily)</t>
  </si>
  <si>
    <t xml:space="preserve">E (USD SOFR (monthly avg))</t>
  </si>
  <si>
    <t xml:space="preserve">SOFR → Monthly average of daily obs (formula on Rates_Daily)</t>
  </si>
  <si>
    <t xml:space="preserve">Monthly average of daily obs (formula on Rates_Daily)</t>
  </si>
  <si>
    <t xml:space="preserve">F (USD T-bill 1M (CMT))</t>
  </si>
  <si>
    <t xml:space="preserve">GS1M</t>
  </si>
  <si>
    <t xml:space="preserve">Market Yield on U.S. Treasury Securities at 1-Month Constant Maturity, Quoted on an Investment Basis (GS1M)</t>
  </si>
  <si>
    <t xml:space="preserve">https://fred.stlouisfed.org/series/GS1M</t>
  </si>
  <si>
    <t xml:space="preserve">G (USD T-bill 3M (CMT))</t>
  </si>
  <si>
    <t xml:space="preserve">GS3M</t>
  </si>
  <si>
    <t xml:space="preserve">Market Yield on U.S. Treasury Securities at 3-Month Constant Maturity, Quoted on an Investment Basis (GS3M)</t>
  </si>
  <si>
    <t xml:space="preserve">https://fred.stlouisfed.org/series/GS3M</t>
  </si>
  <si>
    <t xml:space="preserve">H (USD T-bill 6M (CMT))</t>
  </si>
  <si>
    <t xml:space="preserve">GS6M</t>
  </si>
  <si>
    <t xml:space="preserve">Market Yield on U.S. Treasury Securities at 6-Month Constant Maturity, Quoted on an Investment Basis (GS6M)</t>
  </si>
  <si>
    <t xml:space="preserve">https://fred.stlouisfed.org/series/GS6M</t>
  </si>
  <si>
    <t xml:space="preserve">I (USD Treasury 12M (CMT))</t>
  </si>
  <si>
    <t xml:space="preserve">GS1</t>
  </si>
  <si>
    <t xml:space="preserve">Market Yield on U.S. Treasury Securities at 1-Year Constant Maturity, Quoted on an Investment Basis (GS1)</t>
  </si>
  <si>
    <t xml:space="preserve">https://fred.stlouisfed.org/series/GS1</t>
  </si>
  <si>
    <t xml:space="preserve">J (USD 3M interbank (OECD))</t>
  </si>
  <si>
    <t xml:space="preserve">FRED; original source OECD Main Economic Indicators</t>
  </si>
  <si>
    <t xml:space="preserve">IR3TIB01USM156N</t>
  </si>
  <si>
    <t xml:space="preserve">Interest Rates: 3-Month or 90-Day Rates and Yields: Interbank Rates: Total for United States (IR3TIB01USM156N)</t>
  </si>
  <si>
    <t xml:space="preserve">https://fred.stlouisfed.org/series/IR3TIB01USM156N</t>
  </si>
  <si>
    <t xml:space="preserve">K (EUR ECB deposit rate (month-end))</t>
  </si>
  <si>
    <t xml:space="preserve">FM.D.U2.EUR.4F.KR.DFR.LEV → Month-end value (last daily obs &lt;= month end; formula on Rates_Daily)</t>
  </si>
  <si>
    <t xml:space="preserve">L (EUR €STR (monthly avg))</t>
  </si>
  <si>
    <t xml:space="preserve">EST.B.EU000A2X2A25.WT → Monthly average of daily obs (formula on Rates_Daily)</t>
  </si>
  <si>
    <t xml:space="preserve">M (EUR Euribor 1M)</t>
  </si>
  <si>
    <t xml:space="preserve">European Central Bank (ECB Data Portal); administrator EMMI</t>
  </si>
  <si>
    <t xml:space="preserve">FM.M.U2.EUR.RT.MM.EURIBOR1MD_.HSTA</t>
  </si>
  <si>
    <t xml:space="preserve">Euribor 1-month - Historical close, average of observations through period</t>
  </si>
  <si>
    <t xml:space="preserve">https://data.ecb.europa.eu/data/datasets/FM/FM.M.U2.EUR.RT.MM.EURIBOR1MD_.HSTA</t>
  </si>
  <si>
    <t xml:space="preserve">Monthly (average of daily obs, per source)</t>
  </si>
  <si>
    <t xml:space="preserve">N (EUR Euribor 3M)</t>
  </si>
  <si>
    <t xml:space="preserve">FM.M.U2.EUR.RT.MM.EURIBOR3MD_.HSTA</t>
  </si>
  <si>
    <t xml:space="preserve">Euribor 3-month - Historical close, average of observations through period</t>
  </si>
  <si>
    <t xml:space="preserve">https://data.ecb.europa.eu/data/datasets/FM/FM.M.U2.EUR.RT.MM.EURIBOR3MD_.HSTA</t>
  </si>
  <si>
    <t xml:space="preserve">O (EUR Euribor 6M)</t>
  </si>
  <si>
    <t xml:space="preserve">FM.M.U2.EUR.RT.MM.EURIBOR6MD_.HSTA</t>
  </si>
  <si>
    <t xml:space="preserve">Euribor 6-month - Historical close, average of observations through period</t>
  </si>
  <si>
    <t xml:space="preserve">https://data.ecb.europa.eu/data/datasets/FM/FM.M.U2.EUR.RT.MM.EURIBOR6MD_.HSTA</t>
  </si>
  <si>
    <t xml:space="preserve">P (EUR Euribor 12M)</t>
  </si>
  <si>
    <t xml:space="preserve">FM.M.U2.EUR.RT.MM.EURIBOR1YD_.HSTA</t>
  </si>
  <si>
    <t xml:space="preserve">Euribor 1-year - Historical close, average of observations through period</t>
  </si>
  <si>
    <t xml:space="preserve">https://data.ecb.europa.eu/data/datasets/FM/FM.M.U2.EUR.RT.MM.EURIBOR1YD_.HSTA</t>
  </si>
  <si>
    <t xml:space="preserve">Q (EUR 3M interbank (OECD))</t>
  </si>
  <si>
    <t xml:space="preserve">IR3TIB01EZM156N</t>
  </si>
  <si>
    <t xml:space="preserve">Interest Rates: 3-Month or 90-Day Rates and Yields: Interbank Rates: Total for Euro Area (19 Countries) (IR3TIB01EZM156N)</t>
  </si>
  <si>
    <t xml:space="preserve">https://fred.stlouisfed.org/series/IR3TIB01EZM156N</t>
  </si>
  <si>
    <t xml:space="preserve">Stale: last obs 2026-01; superseded by ECB Euribor 3M</t>
  </si>
  <si>
    <t xml:space="preserve">R (GBP Bank Rate (monthly avg))</t>
  </si>
  <si>
    <t xml:space="preserve">IUMABEDR</t>
  </si>
  <si>
    <t xml:space="preserve">Monthly average of official Bank Rate</t>
  </si>
  <si>
    <t xml:space="preserve">https://www.bankofengland.co.uk/boeapps/database/?SeriesCodes=IUMABEDR</t>
  </si>
  <si>
    <t xml:space="preserve">S (GBP SONIA (monthly avg))</t>
  </si>
  <si>
    <t xml:space="preserve">IUMASOIA</t>
  </si>
  <si>
    <t xml:space="preserve">Monthly average of SONIA</t>
  </si>
  <si>
    <t xml:space="preserve">https://www.bankofengland.co.uk/boeapps/database/?SeriesCodes=IUMASOIA</t>
  </si>
  <si>
    <t xml:space="preserve">T (GBP OIS 1M (monthly avg))</t>
  </si>
  <si>
    <t xml:space="preserve">UK OIS spot curve, 1M maturity → Monthly average of daily obs (formula on Rates_Daily)</t>
  </si>
  <si>
    <t xml:space="preserve">U (GBP OIS 3M (monthly avg))</t>
  </si>
  <si>
    <t xml:space="preserve">UK OIS spot curve, 3M maturity → Monthly average of daily obs (formula on Rates_Daily)</t>
  </si>
  <si>
    <t xml:space="preserve">V (GBP OIS 6M (monthly avg))</t>
  </si>
  <si>
    <t xml:space="preserve">UK OIS spot curve, 6M maturity → Monthly average of daily obs (formula on Rates_Daily)</t>
  </si>
  <si>
    <t xml:space="preserve">W (GBP OIS 12M (monthly avg))</t>
  </si>
  <si>
    <t xml:space="preserve">UK OIS spot curve, 12M maturity → Monthly average of daily obs (formula on Rates_Daily)</t>
  </si>
  <si>
    <t xml:space="preserve">X (GBP 3M interbank (OECD))</t>
  </si>
  <si>
    <t xml:space="preserve">IR3TIB01GBM156N</t>
  </si>
  <si>
    <t xml:space="preserve">Interest Rates: 3-Month or 90-Day Rates and Yields: Interbank Rates: Total for United Kingdom (IR3TIB01GBM156N)</t>
  </si>
  <si>
    <t xml:space="preserve">https://fred.stlouisfed.org/series/IR3TIB01GBM156N</t>
  </si>
  <si>
    <t xml:space="preserve">Stale: last obs 2026-01; superseded by BoE OIS 3M</t>
  </si>
  <si>
    <t xml:space="preserve">Y (NOK policy rate (monthly avg))</t>
  </si>
  <si>
    <t xml:space="preserve">IR/M.KPRA.SD.</t>
  </si>
  <si>
    <t xml:space="preserve">Key policy rate, monthly average</t>
  </si>
  <si>
    <t xml:space="preserve">https://data.norges-bank.no/api/data/IR/M.KPRA.SD.?format=csv</t>
  </si>
  <si>
    <t xml:space="preserve">Z (NOK NOWA (monthly avg))</t>
  </si>
  <si>
    <t xml:space="preserve">SHORT_RATES/M.NOWA.ON.R</t>
  </si>
  <si>
    <t xml:space="preserve">NOWA, monthly average</t>
  </si>
  <si>
    <t xml:space="preserve">https://data.norges-bank.no/api/data/SHORT_RATES/M.NOWA.ON.R?format=csv</t>
  </si>
  <si>
    <t xml:space="preserve">AA (NOK T-bill 3M)</t>
  </si>
  <si>
    <t xml:space="preserve">GOVT_GENERIC_RATES/M.3M.TBIL.</t>
  </si>
  <si>
    <t xml:space="preserve">Generic Norwegian Treasury bill yield 3M, monthly</t>
  </si>
  <si>
    <t xml:space="preserve">https://data.norges-bank.no/api/data/GOVT_GENERIC_RATES/M.3M.TBIL.?format=csv</t>
  </si>
  <si>
    <t xml:space="preserve">Starts 2019-01 in Norges Bank API</t>
  </si>
  <si>
    <t xml:space="preserve">AB (NOK T-bill 6M)</t>
  </si>
  <si>
    <t xml:space="preserve">GOVT_GENERIC_RATES/M.6M.TBIL.</t>
  </si>
  <si>
    <t xml:space="preserve">Generic Norwegian Treasury bill yield 6M, monthly</t>
  </si>
  <si>
    <t xml:space="preserve">https://data.norges-bank.no/api/data/GOVT_GENERIC_RATES/M.6M.TBIL.?format=csv</t>
  </si>
  <si>
    <t xml:space="preserve">Starts 2019-01</t>
  </si>
  <si>
    <t xml:space="preserve">AC (NOK T-bill 12M)</t>
  </si>
  <si>
    <t xml:space="preserve">GOVT_GENERIC_RATES/M.12M.TBIL.</t>
  </si>
  <si>
    <t xml:space="preserve">Generic Norwegian Treasury bill yield 12M, monthly</t>
  </si>
  <si>
    <t xml:space="preserve">https://data.norges-bank.no/api/data/GOVT_GENERIC_RATES/M.12M.TBIL.?format=csv</t>
  </si>
  <si>
    <t xml:space="preserve">AD (NOK 3M interbank (OECD; NIBOR-based))</t>
  </si>
  <si>
    <t xml:space="preserve">IR3TIB01NOM156N</t>
  </si>
  <si>
    <t xml:space="preserve">Interest Rates: 3-Month or 90-Day Rates and Yields: Interbank Rates: Total for Norway (IR3TIB01NOM156N)</t>
  </si>
  <si>
    <t xml:space="preserve">https://fred.stlouisfed.org/series/IR3TIB01NOM156N</t>
  </si>
  <si>
    <t xml:space="preserve">AE (KRW BoK base rate)</t>
  </si>
  <si>
    <t xml:space="preserve">Bank of Korea (ECOS)</t>
  </si>
  <si>
    <t xml:space="preserve">722Y001 / item 0101000</t>
  </si>
  <si>
    <r>
      <rPr>
        <sz val="9"/>
        <rFont val="Arial"/>
        <family val="0"/>
        <charset val="1"/>
      </rPr>
      <t xml:space="preserve">1.3.1. </t>
    </r>
    <r>
      <rPr>
        <sz val="9"/>
        <rFont val="Noto Sans CJK SC"/>
        <family val="2"/>
      </rPr>
      <t xml:space="preserve">한국은행 기준금리 및 여수신금리 </t>
    </r>
    <r>
      <rPr>
        <sz val="9"/>
        <rFont val="Arial"/>
        <family val="0"/>
        <charset val="1"/>
      </rPr>
      <t xml:space="preserve">/ </t>
    </r>
    <r>
      <rPr>
        <sz val="9"/>
        <rFont val="Noto Sans CJK SC"/>
        <family val="2"/>
      </rPr>
      <t xml:space="preserve">한국은행 기준금리</t>
    </r>
  </si>
  <si>
    <t xml:space="preserve">https://ecos.bok.or.kr/api/StatisticSearch/[KEY]/json/kr/1/1000/722Y001/M/201601/202609/0101000</t>
  </si>
  <si>
    <r>
      <rPr>
        <sz val="9"/>
        <rFont val="Arial"/>
        <family val="0"/>
        <charset val="1"/>
      </rPr>
      <t xml:space="preserve">% p.a. (</t>
    </r>
    <r>
      <rPr>
        <sz val="9"/>
        <rFont val="Noto Sans CJK SC"/>
        <family val="2"/>
      </rPr>
      <t xml:space="preserve">연</t>
    </r>
    <r>
      <rPr>
        <sz val="9"/>
        <rFont val="Arial"/>
        <family val="0"/>
        <charset val="1"/>
      </rPr>
      <t xml:space="preserve">%)</t>
    </r>
  </si>
  <si>
    <t xml:space="preserve">AF (KRW call rate (O/N))</t>
  </si>
  <si>
    <t xml:space="preserve">721Y001 / item 1010000</t>
  </si>
  <si>
    <r>
      <rPr>
        <sz val="9"/>
        <rFont val="Arial"/>
        <family val="0"/>
        <charset val="1"/>
      </rPr>
      <t xml:space="preserve">1.3.2.2. </t>
    </r>
    <r>
      <rPr>
        <sz val="9"/>
        <rFont val="Noto Sans CJK SC"/>
        <family val="2"/>
      </rPr>
      <t xml:space="preserve">시장금리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월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분기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년</t>
    </r>
    <r>
      <rPr>
        <sz val="9"/>
        <rFont val="Arial"/>
        <family val="0"/>
        <charset val="1"/>
      </rPr>
      <t xml:space="preserve">) / </t>
    </r>
    <r>
      <rPr>
        <sz val="9"/>
        <rFont val="Noto Sans CJK SC"/>
        <family val="2"/>
      </rPr>
      <t xml:space="preserve">무담보콜금리</t>
    </r>
    <r>
      <rPr>
        <sz val="9"/>
        <rFont val="Arial"/>
        <family val="0"/>
        <charset val="1"/>
      </rPr>
      <t xml:space="preserve">(1</t>
    </r>
    <r>
      <rPr>
        <sz val="9"/>
        <rFont val="Noto Sans CJK SC"/>
        <family val="2"/>
      </rPr>
      <t xml:space="preserve">일</t>
    </r>
    <r>
      <rPr>
        <sz val="9"/>
        <rFont val="Arial"/>
        <family val="0"/>
        <charset val="1"/>
      </rPr>
      <t xml:space="preserve">)</t>
    </r>
  </si>
  <si>
    <t xml:space="preserve">https://ecos.bok.or.kr/api/StatisticSearch/[KEY]/json/kr/1/1000/721Y001/M/201601/202609/1010000</t>
  </si>
  <si>
    <t xml:space="preserve">AG (KRW CD 91-day)</t>
  </si>
  <si>
    <t xml:space="preserve">721Y001 / item 2010000</t>
  </si>
  <si>
    <r>
      <rPr>
        <sz val="9"/>
        <rFont val="Arial"/>
        <family val="0"/>
        <charset val="1"/>
      </rPr>
      <t xml:space="preserve">1.3.2.2. </t>
    </r>
    <r>
      <rPr>
        <sz val="9"/>
        <rFont val="Noto Sans CJK SC"/>
        <family val="2"/>
      </rPr>
      <t xml:space="preserve">시장금리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월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분기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년</t>
    </r>
    <r>
      <rPr>
        <sz val="9"/>
        <rFont val="Arial"/>
        <family val="0"/>
        <charset val="1"/>
      </rPr>
      <t xml:space="preserve">) / CD(91</t>
    </r>
    <r>
      <rPr>
        <sz val="9"/>
        <rFont val="Noto Sans CJK SC"/>
        <family val="2"/>
      </rPr>
      <t xml:space="preserve">일</t>
    </r>
    <r>
      <rPr>
        <sz val="9"/>
        <rFont val="Arial"/>
        <family val="0"/>
        <charset val="1"/>
      </rPr>
      <t xml:space="preserve">)</t>
    </r>
  </si>
  <si>
    <t xml:space="preserve">https://ecos.bok.or.kr/api/StatisticSearch/[KEY]/json/kr/1/1000/721Y001/M/201601/202609/2010000</t>
  </si>
  <si>
    <t xml:space="preserve">AH (KRW KORIBOR 3M)</t>
  </si>
  <si>
    <t xml:space="preserve">721Y001 / item 1025000</t>
  </si>
  <si>
    <r>
      <rPr>
        <sz val="9"/>
        <rFont val="Arial"/>
        <family val="0"/>
        <charset val="1"/>
      </rPr>
      <t xml:space="preserve">1.3.2.2. </t>
    </r>
    <r>
      <rPr>
        <sz val="9"/>
        <rFont val="Noto Sans CJK SC"/>
        <family val="2"/>
      </rPr>
      <t xml:space="preserve">시장금리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월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분기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년</t>
    </r>
    <r>
      <rPr>
        <sz val="9"/>
        <rFont val="Arial"/>
        <family val="0"/>
        <charset val="1"/>
      </rPr>
      <t xml:space="preserve">) / KORIBOR(3</t>
    </r>
    <r>
      <rPr>
        <sz val="9"/>
        <rFont val="Noto Sans CJK SC"/>
        <family val="2"/>
      </rPr>
      <t xml:space="preserve">개월</t>
    </r>
    <r>
      <rPr>
        <sz val="9"/>
        <rFont val="Arial"/>
        <family val="0"/>
        <charset val="1"/>
      </rPr>
      <t xml:space="preserve">)</t>
    </r>
  </si>
  <si>
    <t xml:space="preserve">https://ecos.bok.or.kr/api/StatisticSearch/[KEY]/json/kr/1/1000/721Y001/M/201601/202609/1025000</t>
  </si>
  <si>
    <t xml:space="preserve">AI (KRW KORIBOR 6M)</t>
  </si>
  <si>
    <t xml:space="preserve">721Y001 / item 1026000</t>
  </si>
  <si>
    <r>
      <rPr>
        <sz val="9"/>
        <rFont val="Arial"/>
        <family val="0"/>
        <charset val="1"/>
      </rPr>
      <t xml:space="preserve">1.3.2.2. </t>
    </r>
    <r>
      <rPr>
        <sz val="9"/>
        <rFont val="Noto Sans CJK SC"/>
        <family val="2"/>
      </rPr>
      <t xml:space="preserve">시장금리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월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분기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년</t>
    </r>
    <r>
      <rPr>
        <sz val="9"/>
        <rFont val="Arial"/>
        <family val="0"/>
        <charset val="1"/>
      </rPr>
      <t xml:space="preserve">) / KORIBOR(6</t>
    </r>
    <r>
      <rPr>
        <sz val="9"/>
        <rFont val="Noto Sans CJK SC"/>
        <family val="2"/>
      </rPr>
      <t xml:space="preserve">개월</t>
    </r>
    <r>
      <rPr>
        <sz val="9"/>
        <rFont val="Arial"/>
        <family val="0"/>
        <charset val="1"/>
      </rPr>
      <t xml:space="preserve">)</t>
    </r>
  </si>
  <si>
    <t xml:space="preserve">https://ecos.bok.or.kr/api/StatisticSearch/[KEY]/json/kr/1/1000/721Y001/M/201601/202609/1026000</t>
  </si>
  <si>
    <t xml:space="preserve">AJ (KRW KORIBOR 12M)</t>
  </si>
  <si>
    <t xml:space="preserve">721Y001 / item 1027000</t>
  </si>
  <si>
    <r>
      <rPr>
        <sz val="9"/>
        <rFont val="Arial"/>
        <family val="0"/>
        <charset val="1"/>
      </rPr>
      <t xml:space="preserve">1.3.2.2. </t>
    </r>
    <r>
      <rPr>
        <sz val="9"/>
        <rFont val="Noto Sans CJK SC"/>
        <family val="2"/>
      </rPr>
      <t xml:space="preserve">시장금리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월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분기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년</t>
    </r>
    <r>
      <rPr>
        <sz val="9"/>
        <rFont val="Arial"/>
        <family val="0"/>
        <charset val="1"/>
      </rPr>
      <t xml:space="preserve">) / KORIBOR(12</t>
    </r>
    <r>
      <rPr>
        <sz val="9"/>
        <rFont val="Noto Sans CJK SC"/>
        <family val="2"/>
      </rPr>
      <t xml:space="preserve">개월</t>
    </r>
    <r>
      <rPr>
        <sz val="9"/>
        <rFont val="Arial"/>
        <family val="0"/>
        <charset val="1"/>
      </rPr>
      <t xml:space="preserve">)</t>
    </r>
  </si>
  <si>
    <t xml:space="preserve">https://ecos.bok.or.kr/api/StatisticSearch/[KEY]/json/kr/1/1000/721Y001/M/201601/202609/1027000</t>
  </si>
  <si>
    <t xml:space="preserve">AK (KRW MSB 91-day)</t>
  </si>
  <si>
    <t xml:space="preserve">721Y001 / item 6010300</t>
  </si>
  <si>
    <r>
      <rPr>
        <sz val="9"/>
        <rFont val="Arial"/>
        <family val="0"/>
        <charset val="1"/>
      </rPr>
      <t xml:space="preserve">1.3.2.2. </t>
    </r>
    <r>
      <rPr>
        <sz val="9"/>
        <rFont val="Noto Sans CJK SC"/>
        <family val="2"/>
      </rPr>
      <t xml:space="preserve">시장금리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월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분기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년</t>
    </r>
    <r>
      <rPr>
        <sz val="9"/>
        <rFont val="Arial"/>
        <family val="0"/>
        <charset val="1"/>
      </rPr>
      <t xml:space="preserve">) / </t>
    </r>
    <r>
      <rPr>
        <sz val="9"/>
        <rFont val="Noto Sans CJK SC"/>
        <family val="2"/>
      </rPr>
      <t xml:space="preserve">통안증권</t>
    </r>
    <r>
      <rPr>
        <sz val="9"/>
        <rFont val="Arial"/>
        <family val="0"/>
        <charset val="1"/>
      </rPr>
      <t xml:space="preserve">(91</t>
    </r>
    <r>
      <rPr>
        <sz val="9"/>
        <rFont val="Noto Sans CJK SC"/>
        <family val="2"/>
      </rPr>
      <t xml:space="preserve">일</t>
    </r>
    <r>
      <rPr>
        <sz val="9"/>
        <rFont val="Arial"/>
        <family val="0"/>
        <charset val="1"/>
      </rPr>
      <t xml:space="preserve">)</t>
    </r>
  </si>
  <si>
    <t xml:space="preserve">https://ecos.bok.or.kr/api/StatisticSearch/[KEY]/json/kr/1/1000/721Y001/M/201601/202609/6010300</t>
  </si>
  <si>
    <t xml:space="preserve">AL (KRW MSB 1Y)</t>
  </si>
  <si>
    <t xml:space="preserve">721Y001 / item 6010100</t>
  </si>
  <si>
    <r>
      <rPr>
        <sz val="9"/>
        <rFont val="Arial"/>
        <family val="0"/>
        <charset val="1"/>
      </rPr>
      <t xml:space="preserve">1.3.2.2. </t>
    </r>
    <r>
      <rPr>
        <sz val="9"/>
        <rFont val="Noto Sans CJK SC"/>
        <family val="2"/>
      </rPr>
      <t xml:space="preserve">시장금리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월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분기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년</t>
    </r>
    <r>
      <rPr>
        <sz val="9"/>
        <rFont val="Arial"/>
        <family val="0"/>
        <charset val="1"/>
      </rPr>
      <t xml:space="preserve">) / </t>
    </r>
    <r>
      <rPr>
        <sz val="9"/>
        <rFont val="Noto Sans CJK SC"/>
        <family val="2"/>
      </rPr>
      <t xml:space="preserve">통안증권</t>
    </r>
    <r>
      <rPr>
        <sz val="9"/>
        <rFont val="Arial"/>
        <family val="0"/>
        <charset val="1"/>
      </rPr>
      <t xml:space="preserve">(1</t>
    </r>
    <r>
      <rPr>
        <sz val="9"/>
        <rFont val="Noto Sans CJK SC"/>
        <family val="2"/>
      </rPr>
      <t xml:space="preserve">년</t>
    </r>
    <r>
      <rPr>
        <sz val="9"/>
        <rFont val="Arial"/>
        <family val="0"/>
        <charset val="1"/>
      </rPr>
      <t xml:space="preserve">)</t>
    </r>
  </si>
  <si>
    <t xml:space="preserve">https://ecos.bok.or.kr/api/StatisticSearch/[KEY]/json/kr/1/1000/721Y001/M/201601/202609/6010100</t>
  </si>
  <si>
    <t xml:space="preserve">AM (KRW KTB 1Y)</t>
  </si>
  <si>
    <t xml:space="preserve">721Y001 / item 5030000</t>
  </si>
  <si>
    <r>
      <rPr>
        <sz val="9"/>
        <rFont val="Arial"/>
        <family val="0"/>
        <charset val="1"/>
      </rPr>
      <t xml:space="preserve">1.3.2.2. </t>
    </r>
    <r>
      <rPr>
        <sz val="9"/>
        <rFont val="Noto Sans CJK SC"/>
        <family val="2"/>
      </rPr>
      <t xml:space="preserve">시장금리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월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분기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년</t>
    </r>
    <r>
      <rPr>
        <sz val="9"/>
        <rFont val="Arial"/>
        <family val="0"/>
        <charset val="1"/>
      </rPr>
      <t xml:space="preserve">) / </t>
    </r>
    <r>
      <rPr>
        <sz val="9"/>
        <rFont val="Noto Sans CJK SC"/>
        <family val="2"/>
      </rPr>
      <t xml:space="preserve">국고채</t>
    </r>
    <r>
      <rPr>
        <sz val="9"/>
        <rFont val="Arial"/>
        <family val="0"/>
        <charset val="1"/>
      </rPr>
      <t xml:space="preserve">(1</t>
    </r>
    <r>
      <rPr>
        <sz val="9"/>
        <rFont val="Noto Sans CJK SC"/>
        <family val="2"/>
      </rPr>
      <t xml:space="preserve">년</t>
    </r>
    <r>
      <rPr>
        <sz val="9"/>
        <rFont val="Arial"/>
        <family val="0"/>
        <charset val="1"/>
      </rPr>
      <t xml:space="preserve">)</t>
    </r>
  </si>
  <si>
    <t xml:space="preserve">https://ecos.bok.or.kr/api/StatisticSearch/[KEY]/json/kr/1/1000/721Y001/M/201601/202609/5030000</t>
  </si>
  <si>
    <t xml:space="preserve">AN (KRW 3M interbank (OECD))</t>
  </si>
  <si>
    <t xml:space="preserve">IR3TIB01KRM156N</t>
  </si>
  <si>
    <t xml:space="preserve">Interest Rates: 3-Month or 90-Day Rates and Yields: Interbank Rates: Total for Korea (IR3TIB01KRM156N)</t>
  </si>
  <si>
    <t xml:space="preserve">https://fred.stlouisfed.org/series/IR3TIB01KRM156N</t>
  </si>
  <si>
    <t xml:space="preserve">AO (CNY Shibor 1M (monthly avg))</t>
  </si>
  <si>
    <t xml:space="preserve">Shibor 1M → Monthly average of daily obs (formula on Rates_Daily)</t>
  </si>
  <si>
    <t xml:space="preserve">AP (CNY Shibor 3M (monthly avg))</t>
  </si>
  <si>
    <t xml:space="preserve">Shibor 3M → Monthly average of daily obs (formula on Rates_Daily)</t>
  </si>
  <si>
    <t xml:space="preserve">AQ (CNY Shibor 6M (monthly avg))</t>
  </si>
  <si>
    <t xml:space="preserve">Shibor 6M → Monthly average of daily obs (formula on Rates_Daily)</t>
  </si>
  <si>
    <t xml:space="preserve">AR (CNY Shibor 1Y (monthly avg))</t>
  </si>
  <si>
    <t xml:space="preserve">Shibor 1Y → Monthly average of daily obs (formula on Rates_Daily)</t>
  </si>
  <si>
    <t xml:space="preserve">AS (CNY LPR 1Y (monthly fixing))</t>
  </si>
  <si>
    <t xml:space="preserve">PBoC / NIFC via CFETS (chinamoney.com.cn)</t>
  </si>
  <si>
    <t xml:space="preserve">LPR 1Y</t>
  </si>
  <si>
    <t xml:space="preserve">Loan Prime Rate 1-year, monthly fixing (value of that month's fixing)</t>
  </si>
  <si>
    <t xml:space="preserve">https://www.chinamoney.com.cn/english/bmklpr/ (API: /ags/ms/cm-u-bk-currency/LprHis)</t>
  </si>
  <si>
    <t xml:space="preserve">Monthly fixing (~20th)</t>
  </si>
  <si>
    <t xml:space="preserve">Starts 2019-08 (LPR reform)</t>
  </si>
  <si>
    <t xml:space="preserve">AT (CNY LPR 5Y (monthly fixing))</t>
  </si>
  <si>
    <t xml:space="preserve">LPR 5Y</t>
  </si>
  <si>
    <t xml:space="preserve">Loan Prime Rate 5-year, monthly fixing</t>
  </si>
  <si>
    <t xml:space="preserve">https://www.chinamoney.com.cn/english/bmklpr/</t>
  </si>
  <si>
    <t xml:space="preserve">Starts 2019-08</t>
  </si>
  <si>
    <t xml:space="preserve">AU (CNY 3M interbank (OECD))</t>
  </si>
  <si>
    <t xml:space="preserve">IR3TIB01CNM156N</t>
  </si>
  <si>
    <t xml:space="preserve">Interest Rates: 3-Month or 90-Day Rates and Yields: Interbank Rates: Total for China (IR3TIB01CNM156N)</t>
  </si>
  <si>
    <t xml:space="preserve">https://fred.stlouisfed.org/series/IR3TIB01CNM156N</t>
  </si>
  <si>
    <t xml:space="preserve">AV (BRL Selic (monthly, annualized) — reference)</t>
  </si>
  <si>
    <t xml:space="preserve">SGS 4189</t>
  </si>
  <si>
    <t xml:space="preserve">Taxa de juros Selic acumulada no mês, anualizada base 252</t>
  </si>
  <si>
    <t xml:space="preserve">https://api.bcb.gov.br/dados/serie/bcdata.sgs.4189/dados?formato=json</t>
  </si>
  <si>
    <t xml:space="preserve">AW (BRL call money (OECD) — reference)</t>
  </si>
  <si>
    <t xml:space="preserve">IRSTCI01BRM156N</t>
  </si>
  <si>
    <t xml:space="preserve">Interest Rates: Immediate Rates (&lt; 24 Hours): Call Money/Interbank Rate: Total for Brazil (IRSTCI01BRM156N)</t>
  </si>
  <si>
    <t xml:space="preserve">https://fred.stlouisfed.org/series/IRSTCI01BRM156N</t>
  </si>
  <si>
    <t xml:space="preserve">AX (JPY 3M interbank (OECD) — reference)</t>
  </si>
  <si>
    <t xml:space="preserve">IR3TIB01JPM156N</t>
  </si>
  <si>
    <t xml:space="preserve">Interest Rates: 3-Month or 90-Day Rates and Yields: Interbank Rates: Total for Japan (IR3TIB01JPM156N)</t>
  </si>
  <si>
    <t xml:space="preserve">https://fred.stlouisfed.org/series/IR3TIB01JPM156N</t>
  </si>
  <si>
    <t xml:space="preserve">AY (JPY call money (OECD) — reference)</t>
  </si>
  <si>
    <t xml:space="preserve">IRSTCI01JPM156N</t>
  </si>
  <si>
    <t xml:space="preserve">Interest Rates: Immediate Rates (&lt; 24 Hours): Call Money/Interbank Rate: Total for Japan (IRSTCI01JPM156N)</t>
  </si>
  <si>
    <t xml:space="preserve">https://fred.stlouisfed.org/series/IRSTCI01JPM156N</t>
  </si>
  <si>
    <t xml:space="preserve">Inflation</t>
  </si>
  <si>
    <t xml:space="preserve">B (USA CPI-U index (NSA))</t>
  </si>
  <si>
    <t xml:space="preserve">FRED; original source U.S. Bureau of Labor Statistics</t>
  </si>
  <si>
    <t xml:space="preserve">CPIAUCNS</t>
  </si>
  <si>
    <t xml:space="preserve">CPI for All Urban Consumers: All Items in U.S. City Average, not seasonally adjusted</t>
  </si>
  <si>
    <t xml:space="preserve">https://fred.stlouisfed.org/series/CPIAUCNS</t>
  </si>
  <si>
    <t xml:space="preserve">Index 1982-84=100</t>
  </si>
  <si>
    <t xml:space="preserve">2025-10 not published by BLS (2025 federal government shutdown)</t>
  </si>
  <si>
    <t xml:space="preserve">D (USA CPI y/y (OECD))</t>
  </si>
  <si>
    <t xml:space="preserve">OECD (Data Explorer, Prices) — compiled from national statistics office</t>
  </si>
  <si>
    <t xml:space="preserve">DF_PRICES_ALL USA.M.N.CPI.PA._T.N.GY</t>
  </si>
  <si>
    <t xml:space="preserve">National CPI, all items, growth over 1 year (same month previous year), USA</t>
  </si>
  <si>
    <t xml:space="preserve">https://sdmx.oecd.org/public/rest/data/OECD.SDD.TPS,DSD_PRICES@DF_PRICES_ALL,1.0/USA.M.N.CPI.PA._T.N.GY</t>
  </si>
  <si>
    <t xml:space="preserve">% y/y</t>
  </si>
  <si>
    <t xml:space="preserve">E (KOR CPI y/y (OECD))</t>
  </si>
  <si>
    <t xml:space="preserve">DF_PRICES_ALL KOR.M.N.CPI.PA._T.N.GY</t>
  </si>
  <si>
    <t xml:space="preserve">National CPI, all items, growth over 1 year (same month previous year), KOR</t>
  </si>
  <si>
    <t xml:space="preserve">https://sdmx.oecd.org/public/rest/data/OECD.SDD.TPS,DSD_PRICES@DF_PRICES_ALL,1.0/KOR.M.N.CPI.PA._T.N.GY</t>
  </si>
  <si>
    <t xml:space="preserve">F (GBR CPIH y/y (OECD) — = ONS CPIH, not headline CPI)</t>
  </si>
  <si>
    <t xml:space="preserve">DF_PRICES_ALL GBR.M.N.CPI.PA._T.N.GY</t>
  </si>
  <si>
    <t xml:space="preserve">National CPI, all items, growth over 1 year (same month previous year), GBR</t>
  </si>
  <si>
    <t xml:space="preserve">https://sdmx.oecd.org/public/rest/data/OECD.SDD.TPS,DSD_PRICES@DF_PRICES_ALL,1.0/GBR.M.N.CPI.PA._T.N.GY</t>
  </si>
  <si>
    <t xml:space="preserve">OECD national CPI for GBR equals ONS CPIH (L55O), not headline CPI (D7G7)</t>
  </si>
  <si>
    <t xml:space="preserve">G (CHN CPI y/y (OECD))</t>
  </si>
  <si>
    <t xml:space="preserve">DF_PRICES_ALL CHN.M.N.CPI.PA._T.N.GY</t>
  </si>
  <si>
    <t xml:space="preserve">National CPI, all items, growth over 1 year (same month previous year), CHN</t>
  </si>
  <si>
    <t xml:space="preserve">https://sdmx.oecd.org/public/rest/data/OECD.SDD.TPS,DSD_PRICES@DF_PRICES_ALL,1.0/CHN.M.N.CPI.PA._T.N.GY</t>
  </si>
  <si>
    <t xml:space="preserve">H (DEU CPI y/y (OECD, national VPI))</t>
  </si>
  <si>
    <t xml:space="preserve">DF_PRICES_ALL DEU.M.N.CPI.PA._T.N.GY</t>
  </si>
  <si>
    <t xml:space="preserve">National CPI, all items, growth over 1 year (same month previous year), DEU</t>
  </si>
  <si>
    <t xml:space="preserve">https://sdmx.oecd.org/public/rest/data/OECD.SDD.TPS,DSD_PRICES@DF_PRICES_ALL,1.0/DEU.M.N.CPI.PA._T.N.GY</t>
  </si>
  <si>
    <t xml:space="preserve">I (FRA CPI y/y (OECD) — ends 2025-12)</t>
  </si>
  <si>
    <t xml:space="preserve">DF_PRICES_ALL FRA.M.N.CPI.PA._T.N.GY</t>
  </si>
  <si>
    <t xml:space="preserve">National CPI, all items, growth over 1 year (same month previous year), FRA</t>
  </si>
  <si>
    <t xml:space="preserve">https://sdmx.oecd.org/public/rest/data/OECD.SDD.TPS,DSD_PRICES@DF_PRICES_ALL,1.0/FRA.M.N.CPI.PA._T.N.GY</t>
  </si>
  <si>
    <t xml:space="preserve">Discontinued after 2025-12 (COICOP 2018 transition); use HICP FR</t>
  </si>
  <si>
    <t xml:space="preserve">J (NOR CPI y/y (OECD) — ends 2025-12)</t>
  </si>
  <si>
    <t xml:space="preserve">DF_PRICES_ALL NOR.M.N.CPI.PA._T.N.GY</t>
  </si>
  <si>
    <t xml:space="preserve">National CPI, all items, growth over 1 year (same month previous year), NOR</t>
  </si>
  <si>
    <t xml:space="preserve">https://sdmx.oecd.org/public/rest/data/OECD.SDD.TPS,DSD_PRICES@DF_PRICES_ALL,1.0/NOR.M.N.CPI.PA._T.N.GY</t>
  </si>
  <si>
    <t xml:space="preserve">Discontinued after 2025-12; use SSB 14710 index</t>
  </si>
  <si>
    <t xml:space="preserve">K (NOR CPI index (SSB, 2025=100))</t>
  </si>
  <si>
    <t xml:space="preserve">Statistics Norway (SSB)</t>
  </si>
  <si>
    <t xml:space="preserve">Table 14710 (KpiIndMnd)</t>
  </si>
  <si>
    <t xml:space="preserve">Consumer price index (2025=100), all items</t>
  </si>
  <si>
    <t xml:space="preserve">https://data.ssb.no/api/pxwebapi/v2/tables/14710/data?lang=en</t>
  </si>
  <si>
    <t xml:space="preserve">Index 2025=100</t>
  </si>
  <si>
    <t xml:space="preserve">M (FRA HICP y/y (Eurostat))</t>
  </si>
  <si>
    <t xml:space="preserve">Eurostat</t>
  </si>
  <si>
    <t xml:space="preserve">prc_hicp_minr (unit=RCH_A, coicop18=TOTAL, geo=FR)</t>
  </si>
  <si>
    <t xml:space="preserve">HICP (ECOICOP ver.2) all items, annual rate of change, FR</t>
  </si>
  <si>
    <t xml:space="preserve">https://ec.europa.eu/eurostat/api/dissemination/statistics/1.0/data/prc_hicp_minr?geo=FR&amp;unit=RCH_A&amp;coicop18=TOTAL</t>
  </si>
  <si>
    <t xml:space="preserve">N (DEU HICP y/y (Eurostat))</t>
  </si>
  <si>
    <t xml:space="preserve">prc_hicp_minr (unit=RCH_A, coicop18=TOTAL, geo=DE)</t>
  </si>
  <si>
    <t xml:space="preserve">HICP (ECOICOP ver.2) all items, annual rate of change, DE</t>
  </si>
  <si>
    <t xml:space="preserve">https://ec.europa.eu/eurostat/api/dissemination/statistics/1.0/data/prc_hicp_minr?geo=DE&amp;unit=RCH_A&amp;coicop18=TOTAL</t>
  </si>
  <si>
    <t xml:space="preserve">O (NOR HICP y/y (Eurostat))</t>
  </si>
  <si>
    <t xml:space="preserve">prc_hicp_minr (unit=RCH_A, coicop18=TOTAL, geo=NO)</t>
  </si>
  <si>
    <t xml:space="preserve">HICP (ECOICOP ver.2) all items, annual rate of change, NO</t>
  </si>
  <si>
    <t xml:space="preserve">https://ec.europa.eu/eurostat/api/dissemination/statistics/1.0/data/prc_hicp_minr?geo=NO&amp;unit=RCH_A&amp;coicop18=TOTAL</t>
  </si>
  <si>
    <t xml:space="preserve">P (Euro area HICP y/y (Eurostat) — EUR)</t>
  </si>
  <si>
    <t xml:space="preserve">prc_hicp_minr (unit=RCH_A, coicop18=TOTAL, geo=EA)</t>
  </si>
  <si>
    <t xml:space="preserve">HICP (ECOICOP ver.2) all items, annual rate of change, EA</t>
  </si>
  <si>
    <t xml:space="preserve">https://ec.europa.eu/eurostat/api/dissemination/statistics/1.0/data/prc_hicp_minr?geo=EA&amp;unit=RCH_A&amp;coicop18=TOTAL</t>
  </si>
  <si>
    <t xml:space="preserve">Q (GBR CPI y/y (ONS, headline))</t>
  </si>
  <si>
    <t xml:space="preserve">Office for National Statistics (ONS)</t>
  </si>
  <si>
    <t xml:space="preserve">D7G7 (dataset MM23)</t>
  </si>
  <si>
    <t xml:space="preserve">CPI ANNUAL RATE 00: ALL ITEMS 2015=100</t>
  </si>
  <si>
    <t xml:space="preserve">https://www.ons.gov.uk/economy/inflationandpriceindices/timeseries/d7g7/mm23</t>
  </si>
  <si>
    <t xml:space="preserve">R (GBR CPIH y/y (ONS))</t>
  </si>
  <si>
    <t xml:space="preserve">L55O (dataset MM23)</t>
  </si>
  <si>
    <t xml:space="preserve">CPIH ANNUAL RATE 00: ALL ITEMS 2015=100</t>
  </si>
  <si>
    <t xml:space="preserve">https://www.ons.gov.uk/economy/inflationandpriceindices/timeseries/l55o/mm23</t>
  </si>
  <si>
    <t xml:space="preserve">S (KOR CPI index (KOSTAT via ECOS, 2020=100))</t>
  </si>
  <si>
    <t xml:space="preserve">Statistics Korea (KOSTAT), via Bank of Korea ECOS</t>
  </si>
  <si>
    <r>
      <rPr>
        <sz val="9"/>
        <rFont val="Arial"/>
        <family val="0"/>
        <charset val="1"/>
      </rPr>
      <t xml:space="preserve">ECOS 901Y009 / item 0 (</t>
    </r>
    <r>
      <rPr>
        <sz val="9"/>
        <rFont val="Noto Sans CJK SC"/>
        <family val="2"/>
      </rPr>
      <t xml:space="preserve">총지수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</si>
  <si>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소비자물가지수 총지수 </t>
    </r>
    <r>
      <rPr>
        <sz val="9"/>
        <rFont val="Arial"/>
        <family val="0"/>
        <charset val="1"/>
      </rPr>
      <t xml:space="preserve">(2020=100)</t>
    </r>
  </si>
  <si>
    <t xml:space="preserve">https://ecos.bok.or.kr/api/StatisticSearch/[KEY]/json/kr/1/200/901Y009/M/201501/202609/0</t>
  </si>
  <si>
    <t xml:space="preserve">Index 2020=100</t>
  </si>
  <si>
    <t xml:space="preserve">GDP_Growth</t>
  </si>
  <si>
    <t xml:space="preserve">block: Real GDP growth</t>
  </si>
  <si>
    <t xml:space="preserve">IMF World Economic Outlook (April 2026) via DataMapper API</t>
  </si>
  <si>
    <t xml:space="preserve">NGDP_RPCH (WEO Apr-2026)</t>
  </si>
  <si>
    <t xml:space="preserve">Real GDP growth — USA, KOR, NOR, GBR, FRA, DEU, CHN</t>
  </si>
  <si>
    <t xml:space="preserve">https://www.imf.org/external/datamapper/api/v1/NGDP_RPCH/{ISO3}</t>
  </si>
  <si>
    <t xml:space="preserve">Annual % change</t>
  </si>
  <si>
    <t xml:space="preserve">Annual</t>
  </si>
  <si>
    <t xml:space="preserve">2010</t>
  </si>
  <si>
    <t xml:space="preserve">WEO April 2026 vintage. 2026-2028 = forecast block. 2025 may be IMF staff estimate for some countries.</t>
  </si>
  <si>
    <t xml:space="preserve">block: GDP, current prices</t>
  </si>
  <si>
    <t xml:space="preserve">NGDPD (WEO Apr-2026)</t>
  </si>
  <si>
    <t xml:space="preserve">GDP, current prices — USA, KOR, NOR, GBR, FRA, DEU, CHN</t>
  </si>
  <si>
    <t xml:space="preserve">https://www.imf.org/external/datamapper/api/v1/NGDPD/{ISO3}</t>
  </si>
  <si>
    <t xml:space="preserve">USD billions</t>
  </si>
  <si>
    <t xml:space="preserve">block: GDP growth (annual %)</t>
  </si>
  <si>
    <t xml:space="preserve">World Bank WDI (API; last updated 2026-07-13)</t>
  </si>
  <si>
    <t xml:space="preserve">NY.GDP.MKTP.KD.ZG</t>
  </si>
  <si>
    <t xml:space="preserve">GDP growth (annual %) — USA, KOR, NOR, GBR, FRA, DEU, CHN</t>
  </si>
  <si>
    <t xml:space="preserve">https://api.worldbank.org/v2/country/{ISO3}/indicator/NY.GDP.MKTP.KD.ZG?format=json</t>
  </si>
  <si>
    <t xml:space="preserve">annual %</t>
  </si>
  <si>
    <t xml:space="preserve">block: GDP (current US$)</t>
  </si>
  <si>
    <t xml:space="preserve">NY.GDP.MKTP.CD</t>
  </si>
  <si>
    <t xml:space="preserve">GDP (current US$) — USA, KOR, NOR, GBR, FRA, DEU, CHN</t>
  </si>
  <si>
    <t xml:space="preserve">https://api.worldbank.org/v2/country/{ISO3}/indicator/NY.GDP.MKTP.CD?format=json</t>
  </si>
  <si>
    <t xml:space="preserve">current US$</t>
  </si>
  <si>
    <t xml:space="preserve">block: GDP per capita (current US$)</t>
  </si>
  <si>
    <t xml:space="preserve">NY.GDP.PCAP.CD</t>
  </si>
  <si>
    <t xml:space="preserve">GDP per capita (current US$) — USA, KOR, NOR, GBR, FRA, DEU, CHN</t>
  </si>
  <si>
    <t xml:space="preserve">https://api.worldbank.org/v2/country/{ISO3}/indicator/NY.GDP.PCAP.CD?format=json</t>
  </si>
  <si>
    <t xml:space="preserve">quarterly block</t>
  </si>
  <si>
    <t xml:space="preserve">OECD Data Explorer (QNA)</t>
  </si>
  <si>
    <t xml:space="preserve">OECD.SDD.NAD,DSD_NAMAIN1@DF_QNA_EXPENDITURE_GROWTH_OECD (B1GQ, G1 &amp; GY)</t>
  </si>
  <si>
    <t xml:space="preserve">Real GDP growth q/q and y/y, SA, 7 countries</t>
  </si>
  <si>
    <t xml:space="preserve">https://sdmx.oecd.org/public/rest/data/OECD.SDD.NAD,DSD_NAMAIN1@DF_QNA_EXPENDITURE_GROWTH_OECD,/Q..USA+KOR+NOR+GBR+FRA+DEU+CHN.S1..B1GQ......G1+GY.</t>
  </si>
  <si>
    <t xml:space="preserve">% change</t>
  </si>
  <si>
    <t xml:space="preserve">Quarterly</t>
  </si>
  <si>
    <t xml:space="preserve">2016-Q1</t>
  </si>
  <si>
    <t xml:space="preserve">Used in place of 7 separate national-office pulls (same underlying national data, one consistent method).</t>
  </si>
  <si>
    <t xml:space="preserve">block: Inflation, average consumer prices</t>
  </si>
  <si>
    <t xml:space="preserve">PCPIPCH (WEO Apr-2026)</t>
  </si>
  <si>
    <t xml:space="preserve">Inflation, average consumer prices — USA, KOR, NOR, GBR, FRA, DEU, CHN</t>
  </si>
  <si>
    <t xml:space="preserve">https://www.imf.org/external/datamapper/api/v1/PCPIPCH/{ISO3}</t>
  </si>
  <si>
    <t xml:space="preserve">Annual block below monthly table</t>
  </si>
  <si>
    <t xml:space="preserve">block: Inflation, consumer prices (annual %)</t>
  </si>
  <si>
    <t xml:space="preserve">FP.CPI.TOTL.ZG</t>
  </si>
  <si>
    <t xml:space="preserve">Inflation, consumer prices (annual %) — USA, KOR, NOR, GBR, FRA, DEU, CHN</t>
  </si>
  <si>
    <t xml:space="preserve">https://api.worldbank.org/v2/country/{ISO3}/indicator/FP.CPI.TOTL.ZG?format=json</t>
  </si>
  <si>
    <t xml:space="preserve">Trade_CurrentAccount</t>
  </si>
  <si>
    <t xml:space="preserve">block: Exports of goods and services (% of GDP)</t>
  </si>
  <si>
    <t xml:space="preserve">NE.EXP.GNFS.ZS</t>
  </si>
  <si>
    <t xml:space="preserve">Exports of goods and services (% of GDP) — USA, KOR, NOR, GBR, FRA, DEU, CHN</t>
  </si>
  <si>
    <t xml:space="preserve">https://api.worldbank.org/v2/country/{ISO3}/indicator/NE.EXP.GNFS.ZS?format=json</t>
  </si>
  <si>
    <t xml:space="preserve">% of GDP</t>
  </si>
  <si>
    <t xml:space="preserve">block: Imports of goods and services (% of GDP)</t>
  </si>
  <si>
    <t xml:space="preserve">NE.IMP.GNFS.ZS</t>
  </si>
  <si>
    <t xml:space="preserve">Imports of goods and services (% of GDP) — USA, KOR, NOR, GBR, FRA, DEU, CHN</t>
  </si>
  <si>
    <t xml:space="preserve">https://api.worldbank.org/v2/country/{ISO3}/indicator/NE.IMP.GNFS.ZS?format=json</t>
  </si>
  <si>
    <t xml:space="preserve">block: Current account balance (% of GDP)</t>
  </si>
  <si>
    <t xml:space="preserve">BN.CAB.XOKA.GD.ZS</t>
  </si>
  <si>
    <t xml:space="preserve">Current account balance (% of GDP) — USA, KOR, NOR, GBR, FRA, DEU, CHN</t>
  </si>
  <si>
    <t xml:space="preserve">https://api.worldbank.org/v2/country/{ISO3}/indicator/BN.CAB.XOKA.GD.ZS?format=json</t>
  </si>
  <si>
    <t xml:space="preserve">block: Current account balance</t>
  </si>
  <si>
    <t xml:space="preserve">BCA_NGDPD (WEO Apr-2026)</t>
  </si>
  <si>
    <t xml:space="preserve">Current account balance — USA, KOR, NOR, GBR, FRA, DEU, CHN</t>
  </si>
  <si>
    <t xml:space="preserve">https://www.imf.org/external/datamapper/api/v1/BCA_NGDPD/{ISO3}</t>
  </si>
  <si>
    <t xml:space="preserve">WEO April 2026; 2026-2028 forecast block</t>
  </si>
  <si>
    <t xml:space="preserve">partner block</t>
  </si>
  <si>
    <t xml:space="preserve">UN Comtrade (public preview API)</t>
  </si>
  <si>
    <t xml:space="preserve">C/A/HS, cmdCode=TOTAL, all partners, customsCode C00, motCode 0</t>
  </si>
  <si>
    <t xml:space="preserve">Goods exports/imports by partner, reporter-declared</t>
  </si>
  <si>
    <t xml:space="preserve">https://comtradeapi.un.org/public/v1/preview/C/A/HS?reporterCode={reporter}&amp;period=2025&amp;flowCode=X|M&amp;cmdCode=TOTAL</t>
  </si>
  <si>
    <t xml:space="preserve">USD</t>
  </si>
  <si>
    <t xml:space="preserve">2025</t>
  </si>
  <si>
    <t xml:space="preserve">IMF DOTS/IMTS not used: Comtrade gives the same reporter data and a free API. Excluded aggregate partner rows (World, "..., nes", Bunkers, Free Zones, Special categories).</t>
  </si>
  <si>
    <t xml:space="preserve">HS2 block</t>
  </si>
  <si>
    <t xml:space="preserve">C/A/HS, cmdCode=AG2, partnerCode=0</t>
  </si>
  <si>
    <t xml:space="preserve">Goods exports/imports by HS chapter</t>
  </si>
  <si>
    <t xml:space="preserve">https://comtradeapi.un.org/public/v1/preview/C/A/HS?reporterCode={reporter}&amp;period=2025&amp;flowCode=X|M&amp;cmdCode=AG2</t>
  </si>
  <si>
    <t xml:space="preserve">Shares use the World total from the partner block (same query family). HS chapter = goods only; services not included.</t>
  </si>
  <si>
    <t xml:space="preserve">invoicing block</t>
  </si>
  <si>
    <t xml:space="preserve">Bank of Korea ECOS; Eurostat</t>
  </si>
  <si>
    <t xml:space="preserve">ECOS 303Y001/303Y004 (RATIO); Eurostat ext_lt_invcur</t>
  </si>
  <si>
    <t xml:space="preserve">Share of goods trade by invoicing currency</t>
  </si>
  <si>
    <t xml:space="preserve">https://ecos.bok.or.kr ; https://ec.europa.eu/eurostat/databrowser/view/ext_lt_invcur</t>
  </si>
  <si>
    <t xml:space="preserve">%</t>
  </si>
  <si>
    <t xml:space="preserve">KOR 2023 / EU 2010</t>
  </si>
  <si>
    <t xml:space="preserve">KOR 2025 / EU 2024</t>
  </si>
  <si>
    <t xml:space="preserve">USA, NOR, GBR, CHN: no free API retrieved → N/A (see Data_Quality_Log).</t>
  </si>
  <si>
    <t xml:space="preserve">Reserves_COFER</t>
  </si>
  <si>
    <t xml:space="preserve">B:O</t>
  </si>
  <si>
    <t xml:space="preserve">IMF COFER (api.imf.org)</t>
  </si>
  <si>
    <t xml:space="preserve">IMF.STA:COFER G001.AFXRA.{CI_xxx}.SHRO_PT.Q; TFXRA/UFXRA NV_USD</t>
  </si>
  <si>
    <t xml:space="preserve">World allocated reserves by currency (% share) and totals</t>
  </si>
  <si>
    <t xml:space="preserve">https://api.imf.org/external/sdmx/2.1/data/IMF.STA,COFER/</t>
  </si>
  <si>
    <t xml:space="preserve">% / USD mn</t>
  </si>
  <si>
    <t xml:space="preserve">NOK, KRW not separately reported.</t>
  </si>
  <si>
    <t xml:space="preserve">FX_Market_BIS</t>
  </si>
  <si>
    <t xml:space="preserve">B:R</t>
  </si>
  <si>
    <t xml:space="preserve">BIS Triennial Central Bank Survey</t>
  </si>
  <si>
    <t xml:space="preserve">WS_DER_OTC_TOV (filters on sheet)</t>
  </si>
  <si>
    <t xml:space="preserve">OTC FX turnover by currency, net-net</t>
  </si>
  <si>
    <t xml:space="preserve">https://data.bis.org/topics/DER</t>
  </si>
  <si>
    <t xml:space="preserve">USD mn/day</t>
  </si>
  <si>
    <t xml:space="preserve">Triennial (April)</t>
  </si>
  <si>
    <t xml:space="preserve">Shares are formulas; sum to 200%.</t>
  </si>
  <si>
    <t xml:space="preserve">BigMac</t>
  </si>
  <si>
    <t xml:space="preserve">A:J</t>
  </si>
  <si>
    <t xml:space="preserve">The Economist (open data, GitHub)</t>
  </si>
  <si>
    <t xml:space="preserve">big-mac-full-index.csv</t>
  </si>
  <si>
    <t xml:space="preserve">Big Mac prices and implied valuation vs USD</t>
  </si>
  <si>
    <t xml:space="preserve">https://github.com/TheEconomist/big-mac-data</t>
  </si>
  <si>
    <t xml:space="preserve">see sheet</t>
  </si>
  <si>
    <t xml:space="preserve">Semi-annual</t>
  </si>
  <si>
    <t xml:space="preserve">2016-01</t>
  </si>
  <si>
    <t xml:space="preserve">2026-07-01</t>
  </si>
  <si>
    <t xml:space="preserve">Supplementary source; EUZ used for FRA/DEU. GDP-adjusted index = Economist methodology.</t>
  </si>
  <si>
    <t xml:space="preserve">Color code: blue font = raw value as published by the source (only unit scaling where stated); black font = formula. Yellow fill = IMF forecast block.</t>
  </si>
  <si>
    <t xml:space="preserve">Sheets: README_Sources, FX_Daily, FX_Monthly (formulas), Rates_Daily, Rates_Monthly, Inflation (+annual block), GDP_Growth, Trade_CurrentAccount, Reserves_COFER, FX_Market_BIS, BigMac, country sheets USA/KOR/NOR/GBR/FRA/DEU/CHN (formula pulls), Data_Quality_Log.</t>
  </si>
  <si>
    <t xml:space="preserve">CSV backups: one CSV per sheet (calculated values) in folder FX_Data_csv/.</t>
  </si>
  <si>
    <t xml:space="preserve">Bigdata.com: not used in Step 1 (no news/consensus needed for raw official data).</t>
  </si>
  <si>
    <t xml:space="preserve">FX_Daily — daily spot exchange rates (raw)</t>
  </si>
  <si>
    <t xml:space="preserve">As-of date: 2026-10-07 | Retrieval date: 2026-10-07 | Blue font = raw value from source; black = formula. Blank cell = no fixing published by that source on that date (market holiday). Quote direction in each header.</t>
  </si>
  <si>
    <t xml:space="preserve">Description (quote direction)</t>
  </si>
  <si>
    <t xml:space="preserve">First observation (formula)</t>
  </si>
  <si>
    <t xml:space="preserve">Last observation (formula)</t>
  </si>
  <si>
    <t xml:space="preserve">Last value (formula)</t>
  </si>
  <si>
    <t xml:space="preserve">Observations (count, formula)</t>
  </si>
  <si>
    <t xml:space="preserve">Date</t>
  </si>
  <si>
    <t xml:space="preserve">KRW per USD</t>
  </si>
  <si>
    <t xml:space="preserve">NOK per USD</t>
  </si>
  <si>
    <t xml:space="preserve">USD per GBP</t>
  </si>
  <si>
    <t xml:space="preserve">USD per EUR</t>
  </si>
  <si>
    <t xml:space="preserve">CNY per USD</t>
  </si>
  <si>
    <t xml:space="preserve">BRL per USD (reference only)</t>
  </si>
  <si>
    <t xml:space="preserve">JPY per USD (reference only)</t>
  </si>
  <si>
    <t xml:space="preserve">USD per EUR (ECB ref.)</t>
  </si>
  <si>
    <t xml:space="preserve">NOK per EUR (ECB ref.)</t>
  </si>
  <si>
    <t xml:space="preserve">KRW per EUR (ECB ref.)</t>
  </si>
  <si>
    <t xml:space="preserve">GBP per EUR (ECB ref.)</t>
  </si>
  <si>
    <t xml:space="preserve">CNY per EUR (ECB ref.)</t>
  </si>
  <si>
    <t xml:space="preserve">BRL per EUR (ECB ref.)</t>
  </si>
  <si>
    <t xml:space="preserve">JPY per EUR (ECB ref.)</t>
  </si>
  <si>
    <t xml:space="preserve">NOK per USD (Norges Bank)</t>
  </si>
  <si>
    <t xml:space="preserve">FX_Monthly — monthly average exchange rates (formulas on FX_Daily)</t>
  </si>
  <si>
    <t xml:space="preserve">As-of date: 2026-10-07 | Retrieval date: 2026-10-07 | Blue font = raw value from source; black = formula. All values are AVERAGEIFS formulas over FX_Daily.</t>
  </si>
  <si>
    <t xml:space="preserve">Formula</t>
  </si>
  <si>
    <t xml:space="preserve">DEXKOUS (monthly average computed from FX_Daily)</t>
  </si>
  <si>
    <t xml:space="preserve">DEXNOUS (monthly average computed from FX_Daily)</t>
  </si>
  <si>
    <t xml:space="preserve">DEXUSUK (monthly average computed from FX_Daily)</t>
  </si>
  <si>
    <t xml:space="preserve">DEXUSEU (monthly average computed from FX_Daily)</t>
  </si>
  <si>
    <t xml:space="preserve">DEXCHUS (monthly average computed from FX_Daily)</t>
  </si>
  <si>
    <t xml:space="preserve">DEXBZUS (monthly average computed from FX_Daily)</t>
  </si>
  <si>
    <t xml:space="preserve">DEXJPUS (monthly average computed from FX_Daily)</t>
  </si>
  <si>
    <t xml:space="preserve">EXR.D.USD.EUR.SP00.A (monthly average computed from FX_Daily)</t>
  </si>
  <si>
    <t xml:space="preserve">EXR.D.NOK.EUR.SP00.A (monthly average computed from FX_Daily)</t>
  </si>
  <si>
    <t xml:space="preserve">EXR.D.KRW.EUR.SP00.A (monthly average computed from FX_Daily)</t>
  </si>
  <si>
    <t xml:space="preserve">EXR.D.GBP.EUR.SP00.A (monthly average computed from FX_Daily)</t>
  </si>
  <si>
    <t xml:space="preserve">EXR.D.CNY.EUR.SP00.A (monthly average computed from FX_Daily)</t>
  </si>
  <si>
    <t xml:space="preserve">EXR.D.BRL.EUR.SP00.A (monthly average computed from FX_Daily)</t>
  </si>
  <si>
    <t xml:space="preserve">EXR.D.JPY.EUR.SP00.A (monthly average computed from FX_Daily)</t>
  </si>
  <si>
    <t xml:space="preserve">EXR/B.USD.NOK.SP (monthly average computed from FX_Daily)</t>
  </si>
  <si>
    <t xml:space="preserve">COUNTIFS on FX_Daily</t>
  </si>
  <si>
    <t xml:space="preserve">Arithmetic mean of available daily observations in the calendar month (formula on FX_Daily)</t>
  </si>
  <si>
    <t xml:space="preserve">Number of FRED H.10 daily obs used</t>
  </si>
  <si>
    <t xml:space="preserve">"partial" if the month is not complete at the last FRED observation</t>
  </si>
  <si>
    <t xml:space="preserve">days</t>
  </si>
  <si>
    <t xml:space="preserve">Monthly (average of daily)</t>
  </si>
  <si>
    <t xml:space="preserve">Month (first day)</t>
  </si>
  <si>
    <t xml:space="preserve">KRW per USD — monthly avg</t>
  </si>
  <si>
    <t xml:space="preserve">NOK per USD — monthly avg</t>
  </si>
  <si>
    <t xml:space="preserve">USD per GBP — monthly avg</t>
  </si>
  <si>
    <t xml:space="preserve">USD per EUR — monthly avg</t>
  </si>
  <si>
    <t xml:space="preserve">CNY per USD — monthly avg</t>
  </si>
  <si>
    <t xml:space="preserve">BRL per USD (reference only) — monthly avg</t>
  </si>
  <si>
    <t xml:space="preserve">JPY per USD (reference only) — monthly avg</t>
  </si>
  <si>
    <t xml:space="preserve">USD per EUR (ECB ref.) — monthly avg</t>
  </si>
  <si>
    <t xml:space="preserve">NOK per EUR (ECB ref.) — monthly avg</t>
  </si>
  <si>
    <t xml:space="preserve">KRW per EUR (ECB ref.) — monthly avg</t>
  </si>
  <si>
    <t xml:space="preserve">GBP per EUR (ECB ref.) — monthly avg</t>
  </si>
  <si>
    <t xml:space="preserve">CNY per EUR (ECB ref.) — monthly avg</t>
  </si>
  <si>
    <t xml:space="preserve">BRL per EUR (ECB ref.) — monthly avg</t>
  </si>
  <si>
    <t xml:space="preserve">JPY per EUR (ECB ref.) — monthly avg</t>
  </si>
  <si>
    <t xml:space="preserve">NOK per USD (Norges Bank) — monthly avg</t>
  </si>
  <si>
    <t xml:space="preserve">Trading days in month (DEXNOUS obs)</t>
  </si>
  <si>
    <t xml:space="preserve">Month status</t>
  </si>
  <si>
    <t xml:space="preserve">Rates_Daily — daily interest rates used to build monthly averages (raw)</t>
  </si>
  <si>
    <t xml:space="preserve">As-of date: 2026-10-07 | Retrieval date: 2026-10-07 | Blue font = raw value from source; black = formula. Weekdays + weekend days on which a source published (e.g. China make-up working days for Shibor). Blank = no observation by that source on that date (holiday) or series not yet published (SOFR from 2018-04, €STR from 2019-10).</t>
  </si>
  <si>
    <t xml:space="preserve">USD SOFR (O/N)</t>
  </si>
  <si>
    <t xml:space="preserve">USD Fed funds target — upper</t>
  </si>
  <si>
    <t xml:space="preserve">USD Fed funds target — lower</t>
  </si>
  <si>
    <t xml:space="preserve">EUR €STR (O/N)</t>
  </si>
  <si>
    <t xml:space="preserve">EUR ECB deposit facility rate</t>
  </si>
  <si>
    <t xml:space="preserve">GBP Bank Rate</t>
  </si>
  <si>
    <t xml:space="preserve">GBP SONIA (O/N)</t>
  </si>
  <si>
    <t xml:space="preserve">GBP OIS spot 1M</t>
  </si>
  <si>
    <t xml:space="preserve">GBP OIS spot 3M</t>
  </si>
  <si>
    <t xml:space="preserve">GBP OIS spot 6M</t>
  </si>
  <si>
    <t xml:space="preserve">GBP OIS spot 12M</t>
  </si>
  <si>
    <t xml:space="preserve">CNY Shibor 1M</t>
  </si>
  <si>
    <t xml:space="preserve">CNY Shibor 3M</t>
  </si>
  <si>
    <t xml:space="preserve">CNY Shibor 6M</t>
  </si>
  <si>
    <t xml:space="preserve">CNY Shibor 1Y</t>
  </si>
  <si>
    <t xml:space="preserve">NOK Norges Bank policy rate</t>
  </si>
  <si>
    <t xml:space="preserve">NOK NOWA (O/N)</t>
  </si>
  <si>
    <t xml:space="preserve">BRL Selic target (reference only)</t>
  </si>
  <si>
    <t xml:space="preserve">Rates_Monthly — short-term interest rates by currency, monthly (% p.a.)</t>
  </si>
  <si>
    <t xml:space="preserve">As-of date: 2026-10-07 | Retrieval date: 2026-10-07 | Blue font = raw value from source; black = formula. Blue = monthly value published by source; black = formula on Rates_Daily. Blank = series not published for that month (see Data_Quality_Log).</t>
  </si>
  <si>
    <r>
      <rPr>
        <i val="true"/>
        <sz val="9"/>
        <color rgb="FF404040"/>
        <rFont val="Arial"/>
        <family val="0"/>
        <charset val="1"/>
      </rPr>
      <t xml:space="preserve">1.3.1. </t>
    </r>
    <r>
      <rPr>
        <i val="true"/>
        <sz val="9"/>
        <color rgb="FF404040"/>
        <rFont val="Noto Sans CJK SC"/>
        <family val="2"/>
      </rPr>
      <t xml:space="preserve">한국은행 기준금리 및 여수신금리 </t>
    </r>
    <r>
      <rPr>
        <i val="true"/>
        <sz val="9"/>
        <color rgb="FF404040"/>
        <rFont val="Arial"/>
        <family val="0"/>
        <charset val="1"/>
      </rPr>
      <t xml:space="preserve">/ </t>
    </r>
    <r>
      <rPr>
        <i val="true"/>
        <sz val="9"/>
        <color rgb="FF404040"/>
        <rFont val="Noto Sans CJK SC"/>
        <family val="2"/>
      </rPr>
      <t xml:space="preserve">한국은행 기준금리</t>
    </r>
  </si>
  <si>
    <r>
      <rPr>
        <i val="true"/>
        <sz val="9"/>
        <color rgb="FF404040"/>
        <rFont val="Arial"/>
        <family val="0"/>
        <charset val="1"/>
      </rPr>
      <t xml:space="preserve">1.3.2.2. </t>
    </r>
    <r>
      <rPr>
        <i val="true"/>
        <sz val="9"/>
        <color rgb="FF404040"/>
        <rFont val="Noto Sans CJK SC"/>
        <family val="2"/>
      </rPr>
      <t xml:space="preserve">시장금리</t>
    </r>
    <r>
      <rPr>
        <i val="true"/>
        <sz val="9"/>
        <color rgb="FF404040"/>
        <rFont val="Arial"/>
        <family val="0"/>
        <charset val="1"/>
      </rPr>
      <t xml:space="preserve">(</t>
    </r>
    <r>
      <rPr>
        <i val="true"/>
        <sz val="9"/>
        <color rgb="FF404040"/>
        <rFont val="Noto Sans CJK SC"/>
        <family val="2"/>
      </rPr>
      <t xml:space="preserve">월</t>
    </r>
    <r>
      <rPr>
        <i val="true"/>
        <sz val="9"/>
        <color rgb="FF404040"/>
        <rFont val="Arial"/>
        <family val="0"/>
        <charset val="1"/>
      </rPr>
      <t xml:space="preserve">,</t>
    </r>
    <r>
      <rPr>
        <i val="true"/>
        <sz val="9"/>
        <color rgb="FF404040"/>
        <rFont val="Noto Sans CJK SC"/>
        <family val="2"/>
      </rPr>
      <t xml:space="preserve">분기</t>
    </r>
    <r>
      <rPr>
        <i val="true"/>
        <sz val="9"/>
        <color rgb="FF404040"/>
        <rFont val="Arial"/>
        <family val="0"/>
        <charset val="1"/>
      </rPr>
      <t xml:space="preserve">,</t>
    </r>
    <r>
      <rPr>
        <i val="true"/>
        <sz val="9"/>
        <color rgb="FF404040"/>
        <rFont val="Noto Sans CJK SC"/>
        <family val="2"/>
      </rPr>
      <t xml:space="preserve">년</t>
    </r>
    <r>
      <rPr>
        <i val="true"/>
        <sz val="9"/>
        <color rgb="FF404040"/>
        <rFont val="Arial"/>
        <family val="0"/>
        <charset val="1"/>
      </rPr>
      <t xml:space="preserve">) / </t>
    </r>
    <r>
      <rPr>
        <i val="true"/>
        <sz val="9"/>
        <color rgb="FF404040"/>
        <rFont val="Noto Sans CJK SC"/>
        <family val="2"/>
      </rPr>
      <t xml:space="preserve">무담보콜금리</t>
    </r>
    <r>
      <rPr>
        <i val="true"/>
        <sz val="9"/>
        <color rgb="FF404040"/>
        <rFont val="Arial"/>
        <family val="0"/>
        <charset val="1"/>
      </rPr>
      <t xml:space="preserve">(1</t>
    </r>
    <r>
      <rPr>
        <i val="true"/>
        <sz val="9"/>
        <color rgb="FF404040"/>
        <rFont val="Noto Sans CJK SC"/>
        <family val="2"/>
      </rPr>
      <t xml:space="preserve">일</t>
    </r>
    <r>
      <rPr>
        <i val="true"/>
        <sz val="9"/>
        <color rgb="FF404040"/>
        <rFont val="Arial"/>
        <family val="0"/>
        <charset val="1"/>
      </rPr>
      <t xml:space="preserve">)</t>
    </r>
  </si>
  <si>
    <r>
      <rPr>
        <i val="true"/>
        <sz val="9"/>
        <color rgb="FF404040"/>
        <rFont val="Arial"/>
        <family val="0"/>
        <charset val="1"/>
      </rPr>
      <t xml:space="preserve">1.3.2.2. </t>
    </r>
    <r>
      <rPr>
        <i val="true"/>
        <sz val="9"/>
        <color rgb="FF404040"/>
        <rFont val="Noto Sans CJK SC"/>
        <family val="2"/>
      </rPr>
      <t xml:space="preserve">시장금리</t>
    </r>
    <r>
      <rPr>
        <i val="true"/>
        <sz val="9"/>
        <color rgb="FF404040"/>
        <rFont val="Arial"/>
        <family val="0"/>
        <charset val="1"/>
      </rPr>
      <t xml:space="preserve">(</t>
    </r>
    <r>
      <rPr>
        <i val="true"/>
        <sz val="9"/>
        <color rgb="FF404040"/>
        <rFont val="Noto Sans CJK SC"/>
        <family val="2"/>
      </rPr>
      <t xml:space="preserve">월</t>
    </r>
    <r>
      <rPr>
        <i val="true"/>
        <sz val="9"/>
        <color rgb="FF404040"/>
        <rFont val="Arial"/>
        <family val="0"/>
        <charset val="1"/>
      </rPr>
      <t xml:space="preserve">,</t>
    </r>
    <r>
      <rPr>
        <i val="true"/>
        <sz val="9"/>
        <color rgb="FF404040"/>
        <rFont val="Noto Sans CJK SC"/>
        <family val="2"/>
      </rPr>
      <t xml:space="preserve">분기</t>
    </r>
    <r>
      <rPr>
        <i val="true"/>
        <sz val="9"/>
        <color rgb="FF404040"/>
        <rFont val="Arial"/>
        <family val="0"/>
        <charset val="1"/>
      </rPr>
      <t xml:space="preserve">,</t>
    </r>
    <r>
      <rPr>
        <i val="true"/>
        <sz val="9"/>
        <color rgb="FF404040"/>
        <rFont val="Noto Sans CJK SC"/>
        <family val="2"/>
      </rPr>
      <t xml:space="preserve">년</t>
    </r>
    <r>
      <rPr>
        <i val="true"/>
        <sz val="9"/>
        <color rgb="FF404040"/>
        <rFont val="Arial"/>
        <family val="0"/>
        <charset val="1"/>
      </rPr>
      <t xml:space="preserve">) / CD(91</t>
    </r>
    <r>
      <rPr>
        <i val="true"/>
        <sz val="9"/>
        <color rgb="FF404040"/>
        <rFont val="Noto Sans CJK SC"/>
        <family val="2"/>
      </rPr>
      <t xml:space="preserve">일</t>
    </r>
    <r>
      <rPr>
        <i val="true"/>
        <sz val="9"/>
        <color rgb="FF404040"/>
        <rFont val="Arial"/>
        <family val="0"/>
        <charset val="1"/>
      </rPr>
      <t xml:space="preserve">)</t>
    </r>
  </si>
  <si>
    <r>
      <rPr>
        <i val="true"/>
        <sz val="9"/>
        <color rgb="FF404040"/>
        <rFont val="Arial"/>
        <family val="0"/>
        <charset val="1"/>
      </rPr>
      <t xml:space="preserve">1.3.2.2. </t>
    </r>
    <r>
      <rPr>
        <i val="true"/>
        <sz val="9"/>
        <color rgb="FF404040"/>
        <rFont val="Noto Sans CJK SC"/>
        <family val="2"/>
      </rPr>
      <t xml:space="preserve">시장금리</t>
    </r>
    <r>
      <rPr>
        <i val="true"/>
        <sz val="9"/>
        <color rgb="FF404040"/>
        <rFont val="Arial"/>
        <family val="0"/>
        <charset val="1"/>
      </rPr>
      <t xml:space="preserve">(</t>
    </r>
    <r>
      <rPr>
        <i val="true"/>
        <sz val="9"/>
        <color rgb="FF404040"/>
        <rFont val="Noto Sans CJK SC"/>
        <family val="2"/>
      </rPr>
      <t xml:space="preserve">월</t>
    </r>
    <r>
      <rPr>
        <i val="true"/>
        <sz val="9"/>
        <color rgb="FF404040"/>
        <rFont val="Arial"/>
        <family val="0"/>
        <charset val="1"/>
      </rPr>
      <t xml:space="preserve">,</t>
    </r>
    <r>
      <rPr>
        <i val="true"/>
        <sz val="9"/>
        <color rgb="FF404040"/>
        <rFont val="Noto Sans CJK SC"/>
        <family val="2"/>
      </rPr>
      <t xml:space="preserve">분기</t>
    </r>
    <r>
      <rPr>
        <i val="true"/>
        <sz val="9"/>
        <color rgb="FF404040"/>
        <rFont val="Arial"/>
        <family val="0"/>
        <charset val="1"/>
      </rPr>
      <t xml:space="preserve">,</t>
    </r>
    <r>
      <rPr>
        <i val="true"/>
        <sz val="9"/>
        <color rgb="FF404040"/>
        <rFont val="Noto Sans CJK SC"/>
        <family val="2"/>
      </rPr>
      <t xml:space="preserve">년</t>
    </r>
    <r>
      <rPr>
        <i val="true"/>
        <sz val="9"/>
        <color rgb="FF404040"/>
        <rFont val="Arial"/>
        <family val="0"/>
        <charset val="1"/>
      </rPr>
      <t xml:space="preserve">) / KORIBOR(3</t>
    </r>
    <r>
      <rPr>
        <i val="true"/>
        <sz val="9"/>
        <color rgb="FF404040"/>
        <rFont val="Noto Sans CJK SC"/>
        <family val="2"/>
      </rPr>
      <t xml:space="preserve">개월</t>
    </r>
    <r>
      <rPr>
        <i val="true"/>
        <sz val="9"/>
        <color rgb="FF404040"/>
        <rFont val="Arial"/>
        <family val="0"/>
        <charset val="1"/>
      </rPr>
      <t xml:space="preserve">)</t>
    </r>
  </si>
  <si>
    <r>
      <rPr>
        <i val="true"/>
        <sz val="9"/>
        <color rgb="FF404040"/>
        <rFont val="Arial"/>
        <family val="0"/>
        <charset val="1"/>
      </rPr>
      <t xml:space="preserve">1.3.2.2. </t>
    </r>
    <r>
      <rPr>
        <i val="true"/>
        <sz val="9"/>
        <color rgb="FF404040"/>
        <rFont val="Noto Sans CJK SC"/>
        <family val="2"/>
      </rPr>
      <t xml:space="preserve">시장금리</t>
    </r>
    <r>
      <rPr>
        <i val="true"/>
        <sz val="9"/>
        <color rgb="FF404040"/>
        <rFont val="Arial"/>
        <family val="0"/>
        <charset val="1"/>
      </rPr>
      <t xml:space="preserve">(</t>
    </r>
    <r>
      <rPr>
        <i val="true"/>
        <sz val="9"/>
        <color rgb="FF404040"/>
        <rFont val="Noto Sans CJK SC"/>
        <family val="2"/>
      </rPr>
      <t xml:space="preserve">월</t>
    </r>
    <r>
      <rPr>
        <i val="true"/>
        <sz val="9"/>
        <color rgb="FF404040"/>
        <rFont val="Arial"/>
        <family val="0"/>
        <charset val="1"/>
      </rPr>
      <t xml:space="preserve">,</t>
    </r>
    <r>
      <rPr>
        <i val="true"/>
        <sz val="9"/>
        <color rgb="FF404040"/>
        <rFont val="Noto Sans CJK SC"/>
        <family val="2"/>
      </rPr>
      <t xml:space="preserve">분기</t>
    </r>
    <r>
      <rPr>
        <i val="true"/>
        <sz val="9"/>
        <color rgb="FF404040"/>
        <rFont val="Arial"/>
        <family val="0"/>
        <charset val="1"/>
      </rPr>
      <t xml:space="preserve">,</t>
    </r>
    <r>
      <rPr>
        <i val="true"/>
        <sz val="9"/>
        <color rgb="FF404040"/>
        <rFont val="Noto Sans CJK SC"/>
        <family val="2"/>
      </rPr>
      <t xml:space="preserve">년</t>
    </r>
    <r>
      <rPr>
        <i val="true"/>
        <sz val="9"/>
        <color rgb="FF404040"/>
        <rFont val="Arial"/>
        <family val="0"/>
        <charset val="1"/>
      </rPr>
      <t xml:space="preserve">) / KORIBOR(6</t>
    </r>
    <r>
      <rPr>
        <i val="true"/>
        <sz val="9"/>
        <color rgb="FF404040"/>
        <rFont val="Noto Sans CJK SC"/>
        <family val="2"/>
      </rPr>
      <t xml:space="preserve">개월</t>
    </r>
    <r>
      <rPr>
        <i val="true"/>
        <sz val="9"/>
        <color rgb="FF404040"/>
        <rFont val="Arial"/>
        <family val="0"/>
        <charset val="1"/>
      </rPr>
      <t xml:space="preserve">)</t>
    </r>
  </si>
  <si>
    <r>
      <rPr>
        <i val="true"/>
        <sz val="9"/>
        <color rgb="FF404040"/>
        <rFont val="Arial"/>
        <family val="0"/>
        <charset val="1"/>
      </rPr>
      <t xml:space="preserve">1.3.2.2. </t>
    </r>
    <r>
      <rPr>
        <i val="true"/>
        <sz val="9"/>
        <color rgb="FF404040"/>
        <rFont val="Noto Sans CJK SC"/>
        <family val="2"/>
      </rPr>
      <t xml:space="preserve">시장금리</t>
    </r>
    <r>
      <rPr>
        <i val="true"/>
        <sz val="9"/>
        <color rgb="FF404040"/>
        <rFont val="Arial"/>
        <family val="0"/>
        <charset val="1"/>
      </rPr>
      <t xml:space="preserve">(</t>
    </r>
    <r>
      <rPr>
        <i val="true"/>
        <sz val="9"/>
        <color rgb="FF404040"/>
        <rFont val="Noto Sans CJK SC"/>
        <family val="2"/>
      </rPr>
      <t xml:space="preserve">월</t>
    </r>
    <r>
      <rPr>
        <i val="true"/>
        <sz val="9"/>
        <color rgb="FF404040"/>
        <rFont val="Arial"/>
        <family val="0"/>
        <charset val="1"/>
      </rPr>
      <t xml:space="preserve">,</t>
    </r>
    <r>
      <rPr>
        <i val="true"/>
        <sz val="9"/>
        <color rgb="FF404040"/>
        <rFont val="Noto Sans CJK SC"/>
        <family val="2"/>
      </rPr>
      <t xml:space="preserve">분기</t>
    </r>
    <r>
      <rPr>
        <i val="true"/>
        <sz val="9"/>
        <color rgb="FF404040"/>
        <rFont val="Arial"/>
        <family val="0"/>
        <charset val="1"/>
      </rPr>
      <t xml:space="preserve">,</t>
    </r>
    <r>
      <rPr>
        <i val="true"/>
        <sz val="9"/>
        <color rgb="FF404040"/>
        <rFont val="Noto Sans CJK SC"/>
        <family val="2"/>
      </rPr>
      <t xml:space="preserve">년</t>
    </r>
    <r>
      <rPr>
        <i val="true"/>
        <sz val="9"/>
        <color rgb="FF404040"/>
        <rFont val="Arial"/>
        <family val="0"/>
        <charset val="1"/>
      </rPr>
      <t xml:space="preserve">) / KORIBOR(12</t>
    </r>
    <r>
      <rPr>
        <i val="true"/>
        <sz val="9"/>
        <color rgb="FF404040"/>
        <rFont val="Noto Sans CJK SC"/>
        <family val="2"/>
      </rPr>
      <t xml:space="preserve">개월</t>
    </r>
    <r>
      <rPr>
        <i val="true"/>
        <sz val="9"/>
        <color rgb="FF404040"/>
        <rFont val="Arial"/>
        <family val="0"/>
        <charset val="1"/>
      </rPr>
      <t xml:space="preserve">)</t>
    </r>
  </si>
  <si>
    <r>
      <rPr>
        <i val="true"/>
        <sz val="9"/>
        <color rgb="FF404040"/>
        <rFont val="Arial"/>
        <family val="0"/>
        <charset val="1"/>
      </rPr>
      <t xml:space="preserve">1.3.2.2. </t>
    </r>
    <r>
      <rPr>
        <i val="true"/>
        <sz val="9"/>
        <color rgb="FF404040"/>
        <rFont val="Noto Sans CJK SC"/>
        <family val="2"/>
      </rPr>
      <t xml:space="preserve">시장금리</t>
    </r>
    <r>
      <rPr>
        <i val="true"/>
        <sz val="9"/>
        <color rgb="FF404040"/>
        <rFont val="Arial"/>
        <family val="0"/>
        <charset val="1"/>
      </rPr>
      <t xml:space="preserve">(</t>
    </r>
    <r>
      <rPr>
        <i val="true"/>
        <sz val="9"/>
        <color rgb="FF404040"/>
        <rFont val="Noto Sans CJK SC"/>
        <family val="2"/>
      </rPr>
      <t xml:space="preserve">월</t>
    </r>
    <r>
      <rPr>
        <i val="true"/>
        <sz val="9"/>
        <color rgb="FF404040"/>
        <rFont val="Arial"/>
        <family val="0"/>
        <charset val="1"/>
      </rPr>
      <t xml:space="preserve">,</t>
    </r>
    <r>
      <rPr>
        <i val="true"/>
        <sz val="9"/>
        <color rgb="FF404040"/>
        <rFont val="Noto Sans CJK SC"/>
        <family val="2"/>
      </rPr>
      <t xml:space="preserve">분기</t>
    </r>
    <r>
      <rPr>
        <i val="true"/>
        <sz val="9"/>
        <color rgb="FF404040"/>
        <rFont val="Arial"/>
        <family val="0"/>
        <charset val="1"/>
      </rPr>
      <t xml:space="preserve">,</t>
    </r>
    <r>
      <rPr>
        <i val="true"/>
        <sz val="9"/>
        <color rgb="FF404040"/>
        <rFont val="Noto Sans CJK SC"/>
        <family val="2"/>
      </rPr>
      <t xml:space="preserve">년</t>
    </r>
    <r>
      <rPr>
        <i val="true"/>
        <sz val="9"/>
        <color rgb="FF404040"/>
        <rFont val="Arial"/>
        <family val="0"/>
        <charset val="1"/>
      </rPr>
      <t xml:space="preserve">) / </t>
    </r>
    <r>
      <rPr>
        <i val="true"/>
        <sz val="9"/>
        <color rgb="FF404040"/>
        <rFont val="Noto Sans CJK SC"/>
        <family val="2"/>
      </rPr>
      <t xml:space="preserve">통안증권</t>
    </r>
    <r>
      <rPr>
        <i val="true"/>
        <sz val="9"/>
        <color rgb="FF404040"/>
        <rFont val="Arial"/>
        <family val="0"/>
        <charset val="1"/>
      </rPr>
      <t xml:space="preserve">(91</t>
    </r>
    <r>
      <rPr>
        <i val="true"/>
        <sz val="9"/>
        <color rgb="FF404040"/>
        <rFont val="Noto Sans CJK SC"/>
        <family val="2"/>
      </rPr>
      <t xml:space="preserve">일</t>
    </r>
    <r>
      <rPr>
        <i val="true"/>
        <sz val="9"/>
        <color rgb="FF404040"/>
        <rFont val="Arial"/>
        <family val="0"/>
        <charset val="1"/>
      </rPr>
      <t xml:space="preserve">)</t>
    </r>
  </si>
  <si>
    <r>
      <rPr>
        <i val="true"/>
        <sz val="9"/>
        <color rgb="FF404040"/>
        <rFont val="Arial"/>
        <family val="0"/>
        <charset val="1"/>
      </rPr>
      <t xml:space="preserve">1.3.2.2. </t>
    </r>
    <r>
      <rPr>
        <i val="true"/>
        <sz val="9"/>
        <color rgb="FF404040"/>
        <rFont val="Noto Sans CJK SC"/>
        <family val="2"/>
      </rPr>
      <t xml:space="preserve">시장금리</t>
    </r>
    <r>
      <rPr>
        <i val="true"/>
        <sz val="9"/>
        <color rgb="FF404040"/>
        <rFont val="Arial"/>
        <family val="0"/>
        <charset val="1"/>
      </rPr>
      <t xml:space="preserve">(</t>
    </r>
    <r>
      <rPr>
        <i val="true"/>
        <sz val="9"/>
        <color rgb="FF404040"/>
        <rFont val="Noto Sans CJK SC"/>
        <family val="2"/>
      </rPr>
      <t xml:space="preserve">월</t>
    </r>
    <r>
      <rPr>
        <i val="true"/>
        <sz val="9"/>
        <color rgb="FF404040"/>
        <rFont val="Arial"/>
        <family val="0"/>
        <charset val="1"/>
      </rPr>
      <t xml:space="preserve">,</t>
    </r>
    <r>
      <rPr>
        <i val="true"/>
        <sz val="9"/>
        <color rgb="FF404040"/>
        <rFont val="Noto Sans CJK SC"/>
        <family val="2"/>
      </rPr>
      <t xml:space="preserve">분기</t>
    </r>
    <r>
      <rPr>
        <i val="true"/>
        <sz val="9"/>
        <color rgb="FF404040"/>
        <rFont val="Arial"/>
        <family val="0"/>
        <charset val="1"/>
      </rPr>
      <t xml:space="preserve">,</t>
    </r>
    <r>
      <rPr>
        <i val="true"/>
        <sz val="9"/>
        <color rgb="FF404040"/>
        <rFont val="Noto Sans CJK SC"/>
        <family val="2"/>
      </rPr>
      <t xml:space="preserve">년</t>
    </r>
    <r>
      <rPr>
        <i val="true"/>
        <sz val="9"/>
        <color rgb="FF404040"/>
        <rFont val="Arial"/>
        <family val="0"/>
        <charset val="1"/>
      </rPr>
      <t xml:space="preserve">) / </t>
    </r>
    <r>
      <rPr>
        <i val="true"/>
        <sz val="9"/>
        <color rgb="FF404040"/>
        <rFont val="Noto Sans CJK SC"/>
        <family val="2"/>
      </rPr>
      <t xml:space="preserve">통안증권</t>
    </r>
    <r>
      <rPr>
        <i val="true"/>
        <sz val="9"/>
        <color rgb="FF404040"/>
        <rFont val="Arial"/>
        <family val="0"/>
        <charset val="1"/>
      </rPr>
      <t xml:space="preserve">(1</t>
    </r>
    <r>
      <rPr>
        <i val="true"/>
        <sz val="9"/>
        <color rgb="FF404040"/>
        <rFont val="Noto Sans CJK SC"/>
        <family val="2"/>
      </rPr>
      <t xml:space="preserve">년</t>
    </r>
    <r>
      <rPr>
        <i val="true"/>
        <sz val="9"/>
        <color rgb="FF404040"/>
        <rFont val="Arial"/>
        <family val="0"/>
        <charset val="1"/>
      </rPr>
      <t xml:space="preserve">)</t>
    </r>
  </si>
  <si>
    <r>
      <rPr>
        <i val="true"/>
        <sz val="9"/>
        <color rgb="FF404040"/>
        <rFont val="Arial"/>
        <family val="0"/>
        <charset val="1"/>
      </rPr>
      <t xml:space="preserve">1.3.2.2. </t>
    </r>
    <r>
      <rPr>
        <i val="true"/>
        <sz val="9"/>
        <color rgb="FF404040"/>
        <rFont val="Noto Sans CJK SC"/>
        <family val="2"/>
      </rPr>
      <t xml:space="preserve">시장금리</t>
    </r>
    <r>
      <rPr>
        <i val="true"/>
        <sz val="9"/>
        <color rgb="FF404040"/>
        <rFont val="Arial"/>
        <family val="0"/>
        <charset val="1"/>
      </rPr>
      <t xml:space="preserve">(</t>
    </r>
    <r>
      <rPr>
        <i val="true"/>
        <sz val="9"/>
        <color rgb="FF404040"/>
        <rFont val="Noto Sans CJK SC"/>
        <family val="2"/>
      </rPr>
      <t xml:space="preserve">월</t>
    </r>
    <r>
      <rPr>
        <i val="true"/>
        <sz val="9"/>
        <color rgb="FF404040"/>
        <rFont val="Arial"/>
        <family val="0"/>
        <charset val="1"/>
      </rPr>
      <t xml:space="preserve">,</t>
    </r>
    <r>
      <rPr>
        <i val="true"/>
        <sz val="9"/>
        <color rgb="FF404040"/>
        <rFont val="Noto Sans CJK SC"/>
        <family val="2"/>
      </rPr>
      <t xml:space="preserve">분기</t>
    </r>
    <r>
      <rPr>
        <i val="true"/>
        <sz val="9"/>
        <color rgb="FF404040"/>
        <rFont val="Arial"/>
        <family val="0"/>
        <charset val="1"/>
      </rPr>
      <t xml:space="preserve">,</t>
    </r>
    <r>
      <rPr>
        <i val="true"/>
        <sz val="9"/>
        <color rgb="FF404040"/>
        <rFont val="Noto Sans CJK SC"/>
        <family val="2"/>
      </rPr>
      <t xml:space="preserve">년</t>
    </r>
    <r>
      <rPr>
        <i val="true"/>
        <sz val="9"/>
        <color rgb="FF404040"/>
        <rFont val="Arial"/>
        <family val="0"/>
        <charset val="1"/>
      </rPr>
      <t xml:space="preserve">) / </t>
    </r>
    <r>
      <rPr>
        <i val="true"/>
        <sz val="9"/>
        <color rgb="FF404040"/>
        <rFont val="Noto Sans CJK SC"/>
        <family val="2"/>
      </rPr>
      <t xml:space="preserve">국고채</t>
    </r>
    <r>
      <rPr>
        <i val="true"/>
        <sz val="9"/>
        <color rgb="FF404040"/>
        <rFont val="Arial"/>
        <family val="0"/>
        <charset val="1"/>
      </rPr>
      <t xml:space="preserve">(1</t>
    </r>
    <r>
      <rPr>
        <i val="true"/>
        <sz val="9"/>
        <color rgb="FF404040"/>
        <rFont val="Noto Sans CJK SC"/>
        <family val="2"/>
      </rPr>
      <t xml:space="preserve">년</t>
    </r>
    <r>
      <rPr>
        <i val="true"/>
        <sz val="9"/>
        <color rgb="FF404040"/>
        <rFont val="Arial"/>
        <family val="0"/>
        <charset val="1"/>
      </rPr>
      <t xml:space="preserve">)</t>
    </r>
  </si>
  <si>
    <t xml:space="preserve">"partial month" if month not complete at the latest Rates_Daily date</t>
  </si>
  <si>
    <r>
      <rPr>
        <i val="true"/>
        <sz val="9"/>
        <color rgb="FF404040"/>
        <rFont val="Arial"/>
        <family val="0"/>
        <charset val="1"/>
      </rPr>
      <t xml:space="preserve">% p.a. (</t>
    </r>
    <r>
      <rPr>
        <i val="true"/>
        <sz val="9"/>
        <color rgb="FF404040"/>
        <rFont val="Noto Sans CJK SC"/>
        <family val="2"/>
      </rPr>
      <t xml:space="preserve">연</t>
    </r>
    <r>
      <rPr>
        <i val="true"/>
        <sz val="9"/>
        <color rgb="FF404040"/>
        <rFont val="Arial"/>
        <family val="0"/>
        <charset val="1"/>
      </rPr>
      <t xml:space="preserve">%)</t>
    </r>
  </si>
  <si>
    <t xml:space="preserve">USD Fed funds effective</t>
  </si>
  <si>
    <t xml:space="preserve">USD Fed target upper (month-end)</t>
  </si>
  <si>
    <t xml:space="preserve">USD Fed target lower (month-end)</t>
  </si>
  <si>
    <t xml:space="preserve">USD SOFR (monthly avg)</t>
  </si>
  <si>
    <t xml:space="preserve">USD T-bill 1M (CMT)</t>
  </si>
  <si>
    <t xml:space="preserve">USD T-bill 3M (CMT)</t>
  </si>
  <si>
    <t xml:space="preserve">USD T-bill 6M (CMT)</t>
  </si>
  <si>
    <t xml:space="preserve">USD Treasury 12M (CMT)</t>
  </si>
  <si>
    <t xml:space="preserve">USD 3M interbank (OECD)</t>
  </si>
  <si>
    <t xml:space="preserve">EUR ECB deposit rate (month-end)</t>
  </si>
  <si>
    <t xml:space="preserve">EUR €STR (monthly avg)</t>
  </si>
  <si>
    <t xml:space="preserve">EUR Euribor 1M</t>
  </si>
  <si>
    <t xml:space="preserve">EUR Euribor 3M</t>
  </si>
  <si>
    <t xml:space="preserve">EUR Euribor 6M</t>
  </si>
  <si>
    <t xml:space="preserve">EUR Euribor 12M</t>
  </si>
  <si>
    <t xml:space="preserve">EUR 3M interbank (OECD)</t>
  </si>
  <si>
    <t xml:space="preserve">GBP Bank Rate (monthly avg)</t>
  </si>
  <si>
    <t xml:space="preserve">GBP SONIA (monthly avg)</t>
  </si>
  <si>
    <t xml:space="preserve">GBP OIS 1M (monthly avg)</t>
  </si>
  <si>
    <t xml:space="preserve">GBP OIS 3M (monthly avg)</t>
  </si>
  <si>
    <t xml:space="preserve">GBP OIS 6M (monthly avg)</t>
  </si>
  <si>
    <t xml:space="preserve">GBP OIS 12M (monthly avg)</t>
  </si>
  <si>
    <t xml:space="preserve">GBP 3M interbank (OECD)</t>
  </si>
  <si>
    <t xml:space="preserve">NOK policy rate (monthly avg)</t>
  </si>
  <si>
    <t xml:space="preserve">NOK NOWA (monthly avg)</t>
  </si>
  <si>
    <t xml:space="preserve">NOK T-bill 3M</t>
  </si>
  <si>
    <t xml:space="preserve">NOK T-bill 6M</t>
  </si>
  <si>
    <t xml:space="preserve">NOK T-bill 12M</t>
  </si>
  <si>
    <t xml:space="preserve">NOK 3M interbank (OECD; NIBOR-based)</t>
  </si>
  <si>
    <t xml:space="preserve">KRW BoK base rate</t>
  </si>
  <si>
    <t xml:space="preserve">KRW call rate (O/N)</t>
  </si>
  <si>
    <t xml:space="preserve">KRW CD 91-day</t>
  </si>
  <si>
    <t xml:space="preserve">KRW KORIBOR 3M</t>
  </si>
  <si>
    <t xml:space="preserve">KRW KORIBOR 6M</t>
  </si>
  <si>
    <t xml:space="preserve">KRW KORIBOR 12M</t>
  </si>
  <si>
    <t xml:space="preserve">KRW MSB 91-day</t>
  </si>
  <si>
    <t xml:space="preserve">KRW MSB 1Y</t>
  </si>
  <si>
    <t xml:space="preserve">KRW KTB 1Y</t>
  </si>
  <si>
    <t xml:space="preserve">KRW 3M interbank (OECD)</t>
  </si>
  <si>
    <t xml:space="preserve">CNY Shibor 1M (monthly avg)</t>
  </si>
  <si>
    <t xml:space="preserve">CNY Shibor 3M (monthly avg)</t>
  </si>
  <si>
    <t xml:space="preserve">CNY Shibor 6M (monthly avg)</t>
  </si>
  <si>
    <t xml:space="preserve">CNY Shibor 1Y (monthly avg)</t>
  </si>
  <si>
    <t xml:space="preserve">CNY LPR 1Y (monthly fixing)</t>
  </si>
  <si>
    <t xml:space="preserve">CNY LPR 5Y (monthly fixing)</t>
  </si>
  <si>
    <t xml:space="preserve">CNY 3M interbank (OECD)</t>
  </si>
  <si>
    <t xml:space="preserve">BRL Selic (monthly, annualized) — reference</t>
  </si>
  <si>
    <t xml:space="preserve">BRL call money (OECD) — reference</t>
  </si>
  <si>
    <t xml:space="preserve">JPY 3M interbank (OECD) — reference</t>
  </si>
  <si>
    <t xml:space="preserve">JPY call money (OECD) — reference</t>
  </si>
  <si>
    <t xml:space="preserve">Month status (daily-derived columns)</t>
  </si>
  <si>
    <t xml:space="preserve">Inflation — monthly consumer price inflation (% y/y) and CPI indices</t>
  </si>
  <si>
    <t xml:space="preserve">As-of date: 2026-10-07 | Retrieval date: 2026-10-07 | Blue font = raw value from source; black = formula. Rows start 2015-01 only so that 12-month changes can be computed from 2016-01. Blank = not published (see Data_Quality_Log).</t>
  </si>
  <si>
    <t xml:space="preserve">Formula on CPIAUCNS</t>
  </si>
  <si>
    <t xml:space="preserve">Formula on SSB 14710</t>
  </si>
  <si>
    <t xml:space="preserve">Formula on KOSTAT index</t>
  </si>
  <si>
    <t xml:space="preserve">Formula: index_t / index_t-12 - 1</t>
  </si>
  <si>
    <r>
      <rPr>
        <i val="true"/>
        <sz val="9"/>
        <color rgb="FF404040"/>
        <rFont val="Arial"/>
        <family val="0"/>
        <charset val="1"/>
      </rPr>
      <t xml:space="preserve">ECOS 901Y009 / item 0 (</t>
    </r>
    <r>
      <rPr>
        <i val="true"/>
        <sz val="9"/>
        <color rgb="FF404040"/>
        <rFont val="Noto Sans CJK SC"/>
        <family val="2"/>
      </rPr>
      <t xml:space="preserve">총지수</t>
    </r>
    <r>
      <rPr>
        <i val="true"/>
        <sz val="9"/>
        <color rgb="FF404040"/>
        <rFont val="Arial"/>
        <family val="0"/>
        <charset val="1"/>
      </rPr>
      <t xml:space="preserve">)</t>
    </r>
  </si>
  <si>
    <t xml:space="preserve">12-month % change of CPI-U NSA (BLS headline definition)</t>
  </si>
  <si>
    <t xml:space="preserve">12-month % change of SSB CPI index (rounded index → may differ ±0.1pp from SSB published rate)</t>
  </si>
  <si>
    <r>
      <rPr>
        <i val="true"/>
        <sz val="9"/>
        <color rgb="FF404040"/>
        <rFont val="Noto Sans CJK SC"/>
        <family val="2"/>
      </rPr>
      <t xml:space="preserve">소비자물가지수 총지수 </t>
    </r>
    <r>
      <rPr>
        <i val="true"/>
        <sz val="9"/>
        <color rgb="FF404040"/>
        <rFont val="Arial"/>
        <family val="0"/>
        <charset val="1"/>
      </rPr>
      <t xml:space="preserve">(2020=100)</t>
    </r>
  </si>
  <si>
    <t xml:space="preserve">12-month % change of KOSTAT CPI index</t>
  </si>
  <si>
    <t xml:space="preserve">USA CPI-U index (NSA)</t>
  </si>
  <si>
    <t xml:space="preserve">USA CPI-U y/y (formula)</t>
  </si>
  <si>
    <t xml:space="preserve">USA CPI y/y (OECD)</t>
  </si>
  <si>
    <t xml:space="preserve">KOR CPI y/y (OECD)</t>
  </si>
  <si>
    <t xml:space="preserve">GBR CPIH y/y (OECD) — = ONS CPIH, not headline CPI</t>
  </si>
  <si>
    <t xml:space="preserve">CHN CPI y/y (OECD)</t>
  </si>
  <si>
    <t xml:space="preserve">DEU CPI y/y (OECD, national VPI)</t>
  </si>
  <si>
    <t xml:space="preserve">FRA CPI y/y (OECD) — ends 2025-12</t>
  </si>
  <si>
    <t xml:space="preserve">NOR CPI y/y (OECD) — ends 2025-12</t>
  </si>
  <si>
    <t xml:space="preserve">NOR CPI index (SSB, 2025=100)</t>
  </si>
  <si>
    <t xml:space="preserve">NOR CPI y/y (formula on SSB index)</t>
  </si>
  <si>
    <t xml:space="preserve">FRA HICP y/y (Eurostat)</t>
  </si>
  <si>
    <t xml:space="preserve">DEU HICP y/y (Eurostat)</t>
  </si>
  <si>
    <t xml:space="preserve">NOR HICP y/y (Eurostat)</t>
  </si>
  <si>
    <t xml:space="preserve">Euro area HICP y/y (Eurostat) — EUR</t>
  </si>
  <si>
    <t xml:space="preserve">GBR CPI y/y (ONS, headline)</t>
  </si>
  <si>
    <t xml:space="preserve">GBR CPIH y/y (ONS)</t>
  </si>
  <si>
    <t xml:space="preserve">KOR CPI index (KOSTAT via ECOS, 2020=100)</t>
  </si>
  <si>
    <t xml:space="preserve">KOR CPI y/y (formula on KOSTAT index)</t>
  </si>
  <si>
    <t xml:space="preserve">IMF WEO — Inflation, average consumer prices (annual % change)</t>
  </si>
  <si>
    <t xml:space="preserve">Forecast block: IMF WEO April 2026 projections — labeled "forecast"</t>
  </si>
  <si>
    <t xml:space="preserve">Indicator</t>
  </si>
  <si>
    <t xml:space="preserve">Country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</si>
  <si>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</si>
  <si>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</si>
  <si>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</si>
  <si>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</si>
  <si>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</si>
  <si>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</si>
  <si>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</si>
  <si>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</si>
  <si>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</si>
  <si>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</si>
  <si>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</si>
  <si>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</si>
  <si>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</si>
  <si>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</si>
  <si>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FORECAST →</t>
  </si>
  <si>
    <t xml:space="preserve">2026</t>
  </si>
  <si>
    <t xml:space="preserve">2027</t>
  </si>
  <si>
    <t xml:space="preserve">2028</t>
  </si>
  <si>
    <t xml:space="preserve">Latest actual year (formula)</t>
  </si>
  <si>
    <t xml:space="preserve">Latest actual value (formula)</t>
  </si>
  <si>
    <t xml:space="preserve">Inflation, average consumer prices</t>
  </si>
  <si>
    <t xml:space="preserve">United States</t>
  </si>
  <si>
    <t xml:space="preserve">https://www.imf.org/external/datamapper/api/v1/PCPIPCH/USA</t>
  </si>
  <si>
    <t xml:space="preserve">forecast</t>
  </si>
  <si>
    <t xml:space="preserve">South Korea</t>
  </si>
  <si>
    <t xml:space="preserve">https://www.imf.org/external/datamapper/api/v1/PCPIPCH/KOR</t>
  </si>
  <si>
    <t xml:space="preserve">Norway</t>
  </si>
  <si>
    <t xml:space="preserve">https://www.imf.org/external/datamapper/api/v1/PCPIPCH/NOR</t>
  </si>
  <si>
    <t xml:space="preserve">United Kingdom</t>
  </si>
  <si>
    <t xml:space="preserve">https://www.imf.org/external/datamapper/api/v1/PCPIPCH/GBR</t>
  </si>
  <si>
    <t xml:space="preserve">France</t>
  </si>
  <si>
    <t xml:space="preserve">https://www.imf.org/external/datamapper/api/v1/PCPIPCH/FRA</t>
  </si>
  <si>
    <t xml:space="preserve">Germany</t>
  </si>
  <si>
    <t xml:space="preserve">https://www.imf.org/external/datamapper/api/v1/PCPIPCH/DEU</t>
  </si>
  <si>
    <t xml:space="preserve">China</t>
  </si>
  <si>
    <t xml:space="preserve">https://www.imf.org/external/datamapper/api/v1/PCPIPCH/CHN</t>
  </si>
  <si>
    <t xml:space="preserve">World Bank WDI — Inflation, consumer prices (annual %)</t>
  </si>
  <si>
    <t xml:space="preserve">Inflation, consumer prices (annual %)</t>
  </si>
  <si>
    <t xml:space="preserve">https://api.worldbank.org/v2/country/USA/indicator/FP.CPI.TOTL.ZG?format=json</t>
  </si>
  <si>
    <t xml:space="preserve">https://api.worldbank.org/v2/country/KOR/indicator/FP.CPI.TOTL.ZG?format=json</t>
  </si>
  <si>
    <t xml:space="preserve">https://api.worldbank.org/v2/country/NOR/indicator/FP.CPI.TOTL.ZG?format=json</t>
  </si>
  <si>
    <t xml:space="preserve">https://api.worldbank.org/v2/country/GBR/indicator/FP.CPI.TOTL.ZG?format=json</t>
  </si>
  <si>
    <t xml:space="preserve">https://api.worldbank.org/v2/country/FRA/indicator/FP.CPI.TOTL.ZG?format=json</t>
  </si>
  <si>
    <t xml:space="preserve">https://api.worldbank.org/v2/country/DEU/indicator/FP.CPI.TOTL.ZG?format=json</t>
  </si>
  <si>
    <t xml:space="preserve">https://api.worldbank.org/v2/country/CHN/indicator/FP.CPI.TOTL.ZG?format=json</t>
  </si>
  <si>
    <t xml:space="preserve">GDP_Growth — real GDP growth and GDP levels (annual + quarterly)</t>
  </si>
  <si>
    <t xml:space="preserve">As-of date: 2026-10-07 | Retrieval date: 2026-10-07 | Blue font = raw value from source; black = formula. IMF actuals and forecasts are in separate column blocks. "Latest actual" columns are formulas.</t>
  </si>
  <si>
    <t xml:space="preserve">IMF WEO — Real GDP growth (Annual % change)</t>
  </si>
  <si>
    <t xml:space="preserve">Real GDP growth</t>
  </si>
  <si>
    <t xml:space="preserve">https://www.imf.org/external/datamapper/api/v1/NGDP_RPCH/USA</t>
  </si>
  <si>
    <t xml:space="preserve">https://www.imf.org/external/datamapper/api/v1/NGDP_RPCH/KOR</t>
  </si>
  <si>
    <t xml:space="preserve">https://www.imf.org/external/datamapper/api/v1/NGDP_RPCH/NOR</t>
  </si>
  <si>
    <t xml:space="preserve">https://www.imf.org/external/datamapper/api/v1/NGDP_RPCH/GBR</t>
  </si>
  <si>
    <t xml:space="preserve">https://www.imf.org/external/datamapper/api/v1/NGDP_RPCH/FRA</t>
  </si>
  <si>
    <t xml:space="preserve">https://www.imf.org/external/datamapper/api/v1/NGDP_RPCH/DEU</t>
  </si>
  <si>
    <t xml:space="preserve">https://www.imf.org/external/datamapper/api/v1/NGDP_RPCH/CHN</t>
  </si>
  <si>
    <t xml:space="preserve">IMF WEO — GDP, current prices (USD billions)</t>
  </si>
  <si>
    <t xml:space="preserve">GDP, current prices</t>
  </si>
  <si>
    <t xml:space="preserve">https://www.imf.org/external/datamapper/api/v1/NGDPD/USA</t>
  </si>
  <si>
    <t xml:space="preserve">https://www.imf.org/external/datamapper/api/v1/NGDPD/KOR</t>
  </si>
  <si>
    <t xml:space="preserve">https://www.imf.org/external/datamapper/api/v1/NGDPD/NOR</t>
  </si>
  <si>
    <t xml:space="preserve">https://www.imf.org/external/datamapper/api/v1/NGDPD/GBR</t>
  </si>
  <si>
    <t xml:space="preserve">https://www.imf.org/external/datamapper/api/v1/NGDPD/FRA</t>
  </si>
  <si>
    <t xml:space="preserve">https://www.imf.org/external/datamapper/api/v1/NGDPD/DEU</t>
  </si>
  <si>
    <t xml:space="preserve">https://www.imf.org/external/datamapper/api/v1/NGDPD/CHN</t>
  </si>
  <si>
    <t xml:space="preserve">World Bank WDI — GDP growth (annual %)</t>
  </si>
  <si>
    <t xml:space="preserve">GDP growth (annual %)</t>
  </si>
  <si>
    <t xml:space="preserve">https://api.worldbank.org/v2/country/USA/indicator/NY.GDP.MKTP.KD.ZG?format=json</t>
  </si>
  <si>
    <t xml:space="preserve">https://api.worldbank.org/v2/country/KOR/indicator/NY.GDP.MKTP.KD.ZG?format=json</t>
  </si>
  <si>
    <t xml:space="preserve">https://api.worldbank.org/v2/country/NOR/indicator/NY.GDP.MKTP.KD.ZG?format=json</t>
  </si>
  <si>
    <t xml:space="preserve">https://api.worldbank.org/v2/country/GBR/indicator/NY.GDP.MKTP.KD.ZG?format=json</t>
  </si>
  <si>
    <t xml:space="preserve">https://api.worldbank.org/v2/country/FRA/indicator/NY.GDP.MKTP.KD.ZG?format=json</t>
  </si>
  <si>
    <t xml:space="preserve">https://api.worldbank.org/v2/country/DEU/indicator/NY.GDP.MKTP.KD.ZG?format=json</t>
  </si>
  <si>
    <t xml:space="preserve">https://api.worldbank.org/v2/country/CHN/indicator/NY.GDP.MKTP.KD.ZG?format=json</t>
  </si>
  <si>
    <t xml:space="preserve">World Bank WDI — GDP (current US$)</t>
  </si>
  <si>
    <t xml:space="preserve">GDP (current US$)</t>
  </si>
  <si>
    <t xml:space="preserve">https://api.worldbank.org/v2/country/USA/indicator/NY.GDP.MKTP.CD?format=json</t>
  </si>
  <si>
    <t xml:space="preserve">https://api.worldbank.org/v2/country/KOR/indicator/NY.GDP.MKTP.CD?format=json</t>
  </si>
  <si>
    <t xml:space="preserve">https://api.worldbank.org/v2/country/NOR/indicator/NY.GDP.MKTP.CD?format=json</t>
  </si>
  <si>
    <t xml:space="preserve">https://api.worldbank.org/v2/country/GBR/indicator/NY.GDP.MKTP.CD?format=json</t>
  </si>
  <si>
    <t xml:space="preserve">https://api.worldbank.org/v2/country/FRA/indicator/NY.GDP.MKTP.CD?format=json</t>
  </si>
  <si>
    <t xml:space="preserve">https://api.worldbank.org/v2/country/DEU/indicator/NY.GDP.MKTP.CD?format=json</t>
  </si>
  <si>
    <t xml:space="preserve">https://api.worldbank.org/v2/country/CHN/indicator/NY.GDP.MKTP.CD?format=json</t>
  </si>
  <si>
    <t xml:space="preserve">World Bank WDI — GDP per capita (current US$)</t>
  </si>
  <si>
    <t xml:space="preserve">GDP per capita (current US$)</t>
  </si>
  <si>
    <t xml:space="preserve">https://api.worldbank.org/v2/country/USA/indicator/NY.GDP.PCAP.CD?format=json</t>
  </si>
  <si>
    <t xml:space="preserve">https://api.worldbank.org/v2/country/KOR/indicator/NY.GDP.PCAP.CD?format=json</t>
  </si>
  <si>
    <t xml:space="preserve">https://api.worldbank.org/v2/country/NOR/indicator/NY.GDP.PCAP.CD?format=json</t>
  </si>
  <si>
    <t xml:space="preserve">https://api.worldbank.org/v2/country/GBR/indicator/NY.GDP.PCAP.CD?format=json</t>
  </si>
  <si>
    <t xml:space="preserve">https://api.worldbank.org/v2/country/FRA/indicator/NY.GDP.PCAP.CD?format=json</t>
  </si>
  <si>
    <t xml:space="preserve">https://api.worldbank.org/v2/country/DEU/indicator/NY.GDP.PCAP.CD?format=json</t>
  </si>
  <si>
    <t xml:space="preserve">https://api.worldbank.org/v2/country/CHN/indicator/NY.GDP.PCAP.CD?format=json</t>
  </si>
  <si>
    <t xml:space="preserve">OECD Quarterly National Accounts — real GDP growth (volume, seasonally adjusted), % change</t>
  </si>
  <si>
    <t xml:space="preserve">OECD (compiled from national statistics office)</t>
  </si>
  <si>
    <t xml:space="preserve">DF_QNA_EXPENDITURE_GROWTH_OECD Q.Y.USA.S1..B1GQ......G1</t>
  </si>
  <si>
    <t xml:space="preserve">DF_QNA_EXPENDITURE_GROWTH_OECD Q.Y.USA.S1..B1GQ......GY</t>
  </si>
  <si>
    <t xml:space="preserve">DF_QNA_EXPENDITURE_GROWTH_OECD Q.Y.KOR.S1..B1GQ......G1</t>
  </si>
  <si>
    <t xml:space="preserve">DF_QNA_EXPENDITURE_GROWTH_OECD Q.Y.KOR.S1..B1GQ......GY</t>
  </si>
  <si>
    <t xml:space="preserve">DF_QNA_EXPENDITURE_GROWTH_OECD Q.Y.NOR.S1..B1GQ......G1</t>
  </si>
  <si>
    <t xml:space="preserve">DF_QNA_EXPENDITURE_GROWTH_OECD Q.Y.NOR.S1..B1GQ......GY</t>
  </si>
  <si>
    <t xml:space="preserve">DF_QNA_EXPENDITURE_GROWTH_OECD Q.Y.GBR.S1..B1GQ......G1</t>
  </si>
  <si>
    <t xml:space="preserve">DF_QNA_EXPENDITURE_GROWTH_OECD Q.Y.GBR.S1..B1GQ......GY</t>
  </si>
  <si>
    <t xml:space="preserve">DF_QNA_EXPENDITURE_GROWTH_OECD Q.Y.FRA.S1..B1GQ......G1</t>
  </si>
  <si>
    <t xml:space="preserve">DF_QNA_EXPENDITURE_GROWTH_OECD Q.Y.FRA.S1..B1GQ......GY</t>
  </si>
  <si>
    <t xml:space="preserve">DF_QNA_EXPENDITURE_GROWTH_OECD Q.Y.DEU.S1..B1GQ......G1</t>
  </si>
  <si>
    <t xml:space="preserve">DF_QNA_EXPENDITURE_GROWTH_OECD Q.Y.DEU.S1..B1GQ......GY</t>
  </si>
  <si>
    <t xml:space="preserve">DF_QNA_EXPENDITURE_GROWTH_OECD Q.Y.CHN.S1..B1GQ......G1</t>
  </si>
  <si>
    <t xml:space="preserve">DF_QNA_EXPENDITURE_GROWTH_OECD Q.Y.CHN.S1..B1GQ......GY</t>
  </si>
  <si>
    <t xml:space="preserve">% q/q, SA</t>
  </si>
  <si>
    <t xml:space="preserve">% y/y, SA</t>
  </si>
  <si>
    <t xml:space="preserve">Quarter</t>
  </si>
  <si>
    <t xml:space="preserve">USA real GDP q/q</t>
  </si>
  <si>
    <t xml:space="preserve">USA real GDP y/y</t>
  </si>
  <si>
    <t xml:space="preserve">KOR real GDP q/q</t>
  </si>
  <si>
    <t xml:space="preserve">KOR real GDP y/y</t>
  </si>
  <si>
    <t xml:space="preserve">NOR real GDP q/q</t>
  </si>
  <si>
    <t xml:space="preserve">NOR real GDP y/y</t>
  </si>
  <si>
    <t xml:space="preserve">GBR real GDP q/q</t>
  </si>
  <si>
    <t xml:space="preserve">GBR real GDP y/y</t>
  </si>
  <si>
    <t xml:space="preserve">FRA real GDP q/q</t>
  </si>
  <si>
    <t xml:space="preserve">FRA real GDP y/y</t>
  </si>
  <si>
    <t xml:space="preserve">DEU real GDP q/q</t>
  </si>
  <si>
    <t xml:space="preserve">DEU real GDP y/y</t>
  </si>
  <si>
    <t xml:space="preserve">CHN real GDP q/q</t>
  </si>
  <si>
    <t xml:space="preserve">CHN real GDP y/y</t>
  </si>
  <si>
    <t xml:space="preserve">2016-Q2</t>
  </si>
  <si>
    <t xml:space="preserve">2016-Q3</t>
  </si>
  <si>
    <t xml:space="preserve">2016-Q4</t>
  </si>
  <si>
    <t xml:space="preserve">2017-Q1</t>
  </si>
  <si>
    <t xml:space="preserve">2017-Q2</t>
  </si>
  <si>
    <t xml:space="preserve">2017-Q3</t>
  </si>
  <si>
    <t xml:space="preserve">2017-Q4</t>
  </si>
  <si>
    <t xml:space="preserve">2018-Q1</t>
  </si>
  <si>
    <t xml:space="preserve">2018-Q2</t>
  </si>
  <si>
    <t xml:space="preserve">2018-Q3</t>
  </si>
  <si>
    <t xml:space="preserve">2018-Q4</t>
  </si>
  <si>
    <t xml:space="preserve">2019-Q1</t>
  </si>
  <si>
    <t xml:space="preserve">2019-Q2</t>
  </si>
  <si>
    <t xml:space="preserve">2019-Q3</t>
  </si>
  <si>
    <t xml:space="preserve">2019-Q4</t>
  </si>
  <si>
    <t xml:space="preserve">2020-Q1</t>
  </si>
  <si>
    <t xml:space="preserve">2020-Q2</t>
  </si>
  <si>
    <t xml:space="preserve">2020-Q3</t>
  </si>
  <si>
    <t xml:space="preserve">2020-Q4</t>
  </si>
  <si>
    <t xml:space="preserve">2021-Q1</t>
  </si>
  <si>
    <t xml:space="preserve">2021-Q2</t>
  </si>
  <si>
    <t xml:space="preserve">2021-Q3</t>
  </si>
  <si>
    <t xml:space="preserve">2021-Q4</t>
  </si>
  <si>
    <t xml:space="preserve">2022-Q1</t>
  </si>
  <si>
    <t xml:space="preserve">2022-Q2</t>
  </si>
  <si>
    <t xml:space="preserve">2022-Q3</t>
  </si>
  <si>
    <t xml:space="preserve">2022-Q4</t>
  </si>
  <si>
    <t xml:space="preserve">2023-Q1</t>
  </si>
  <si>
    <t xml:space="preserve">2023-Q2</t>
  </si>
  <si>
    <t xml:space="preserve">2023-Q3</t>
  </si>
  <si>
    <t xml:space="preserve">2023-Q4</t>
  </si>
  <si>
    <t xml:space="preserve">2024-Q1</t>
  </si>
  <si>
    <t xml:space="preserve">2024-Q2</t>
  </si>
  <si>
    <t xml:space="preserve">2024-Q3</t>
  </si>
  <si>
    <t xml:space="preserve">2024-Q4</t>
  </si>
  <si>
    <t xml:space="preserve">2025-Q1</t>
  </si>
  <si>
    <t xml:space="preserve">2025-Q2</t>
  </si>
  <si>
    <t xml:space="preserve">2025-Q3</t>
  </si>
  <si>
    <t xml:space="preserve">2025-Q4</t>
  </si>
  <si>
    <t xml:space="preserve">2026-Q1</t>
  </si>
  <si>
    <t xml:space="preserve">2026-Q2</t>
  </si>
  <si>
    <t xml:space="preserve">Latest quarter (formula)</t>
  </si>
  <si>
    <t xml:space="preserve">Latest value (formula)</t>
  </si>
  <si>
    <t xml:space="preserve">Trade_CurrentAccount — openness, current account, trade partners, product mix, invoicing currency</t>
  </si>
  <si>
    <t xml:space="preserve">As-of date: 2026-10-07 | Retrieval date: 2026-10-07 | Blue font = raw value from source; black = formula. Shares are formulas (value / World total).</t>
  </si>
  <si>
    <t xml:space="preserve">World Bank WDI — Exports of goods and services (% of GDP)</t>
  </si>
  <si>
    <t xml:space="preserve">Exports of goods and services (% of GDP)</t>
  </si>
  <si>
    <t xml:space="preserve">https://api.worldbank.org/v2/country/USA/indicator/NE.EXP.GNFS.ZS?format=json</t>
  </si>
  <si>
    <t xml:space="preserve">https://api.worldbank.org/v2/country/KOR/indicator/NE.EXP.GNFS.ZS?format=json</t>
  </si>
  <si>
    <t xml:space="preserve">https://api.worldbank.org/v2/country/NOR/indicator/NE.EXP.GNFS.ZS?format=json</t>
  </si>
  <si>
    <t xml:space="preserve">https://api.worldbank.org/v2/country/GBR/indicator/NE.EXP.GNFS.ZS?format=json</t>
  </si>
  <si>
    <t xml:space="preserve">https://api.worldbank.org/v2/country/FRA/indicator/NE.EXP.GNFS.ZS?format=json</t>
  </si>
  <si>
    <t xml:space="preserve">https://api.worldbank.org/v2/country/DEU/indicator/NE.EXP.GNFS.ZS?format=json</t>
  </si>
  <si>
    <t xml:space="preserve">https://api.worldbank.org/v2/country/CHN/indicator/NE.EXP.GNFS.ZS?format=json</t>
  </si>
  <si>
    <t xml:space="preserve">World Bank WDI — Imports of goods and services (% of GDP)</t>
  </si>
  <si>
    <t xml:space="preserve">Imports of goods and services (% of GDP)</t>
  </si>
  <si>
    <t xml:space="preserve">https://api.worldbank.org/v2/country/USA/indicator/NE.IMP.GNFS.ZS?format=json</t>
  </si>
  <si>
    <t xml:space="preserve">https://api.worldbank.org/v2/country/KOR/indicator/NE.IMP.GNFS.ZS?format=json</t>
  </si>
  <si>
    <t xml:space="preserve">https://api.worldbank.org/v2/country/NOR/indicator/NE.IMP.GNFS.ZS?format=json</t>
  </si>
  <si>
    <t xml:space="preserve">https://api.worldbank.org/v2/country/GBR/indicator/NE.IMP.GNFS.ZS?format=json</t>
  </si>
  <si>
    <t xml:space="preserve">https://api.worldbank.org/v2/country/FRA/indicator/NE.IMP.GNFS.ZS?format=json</t>
  </si>
  <si>
    <t xml:space="preserve">https://api.worldbank.org/v2/country/DEU/indicator/NE.IMP.GNFS.ZS?format=json</t>
  </si>
  <si>
    <t xml:space="preserve">https://api.worldbank.org/v2/country/CHN/indicator/NE.IMP.GNFS.ZS?format=json</t>
  </si>
  <si>
    <t xml:space="preserve">World Bank WDI — Current account balance (% of GDP)</t>
  </si>
  <si>
    <t xml:space="preserve">Current account balance (% of GDP)</t>
  </si>
  <si>
    <t xml:space="preserve">https://api.worldbank.org/v2/country/USA/indicator/BN.CAB.XOKA.GD.ZS?format=json</t>
  </si>
  <si>
    <t xml:space="preserve">https://api.worldbank.org/v2/country/KOR/indicator/BN.CAB.XOKA.GD.ZS?format=json</t>
  </si>
  <si>
    <t xml:space="preserve">https://api.worldbank.org/v2/country/NOR/indicator/BN.CAB.XOKA.GD.ZS?format=json</t>
  </si>
  <si>
    <t xml:space="preserve">https://api.worldbank.org/v2/country/GBR/indicator/BN.CAB.XOKA.GD.ZS?format=json</t>
  </si>
  <si>
    <t xml:space="preserve">https://api.worldbank.org/v2/country/FRA/indicator/BN.CAB.XOKA.GD.ZS?format=json</t>
  </si>
  <si>
    <t xml:space="preserve">https://api.worldbank.org/v2/country/DEU/indicator/BN.CAB.XOKA.GD.ZS?format=json</t>
  </si>
  <si>
    <t xml:space="preserve">https://api.worldbank.org/v2/country/CHN/indicator/BN.CAB.XOKA.GD.ZS?format=json</t>
  </si>
  <si>
    <t xml:space="preserve">IMF WEO — Current account balance (% of GDP)</t>
  </si>
  <si>
    <t xml:space="preserve">Current account balance</t>
  </si>
  <si>
    <t xml:space="preserve">https://www.imf.org/external/datamapper/api/v1/BCA_NGDPD/USA</t>
  </si>
  <si>
    <t xml:space="preserve">https://www.imf.org/external/datamapper/api/v1/BCA_NGDPD/KOR</t>
  </si>
  <si>
    <t xml:space="preserve">https://www.imf.org/external/datamapper/api/v1/BCA_NGDPD/NOR</t>
  </si>
  <si>
    <t xml:space="preserve">https://www.imf.org/external/datamapper/api/v1/BCA_NGDPD/GBR</t>
  </si>
  <si>
    <t xml:space="preserve">https://www.imf.org/external/datamapper/api/v1/BCA_NGDPD/FRA</t>
  </si>
  <si>
    <t xml:space="preserve">https://www.imf.org/external/datamapper/api/v1/BCA_NGDPD/DEU</t>
  </si>
  <si>
    <t xml:space="preserve">https://www.imf.org/external/datamapper/api/v1/BCA_NGDPD/CHN</t>
  </si>
  <si>
    <t xml:space="preserve">UN Comtrade — goods trade by partner, 2025 (reporter data, HS, USD). Top 10 partners by value; "Other Asia, nes" = Comtrade label for Taiwan.</t>
  </si>
  <si>
    <t xml:space="preserve">Reporter</t>
  </si>
  <si>
    <t xml:space="preserve">Flow</t>
  </si>
  <si>
    <t xml:space="preserve">Rank</t>
  </si>
  <si>
    <t xml:space="preserve">Partner</t>
  </si>
  <si>
    <t xml:space="preserve">Value (USD)</t>
  </si>
  <si>
    <t xml:space="preserve">Share of World total (formula)</t>
  </si>
  <si>
    <t xml:space="preserve">Series / query</t>
  </si>
  <si>
    <t xml:space="preserve">Year</t>
  </si>
  <si>
    <t xml:space="preserve">USA</t>
  </si>
  <si>
    <t xml:space="preserve">Exports</t>
  </si>
  <si>
    <t xml:space="preserve">Total</t>
  </si>
  <si>
    <t xml:space="preserve">World</t>
  </si>
  <si>
    <t xml:space="preserve">UN Comtrade (public API)</t>
  </si>
  <si>
    <t xml:space="preserve">https://comtradeapi.un.org/public/v1/preview/C/A/HS?reporterCode=842&amp;period=2025&amp;flowCode=X&amp;cmdCode=TOTAL</t>
  </si>
  <si>
    <t xml:space="preserve">Mexico</t>
  </si>
  <si>
    <t xml:space="preserve">Canada</t>
  </si>
  <si>
    <t xml:space="preserve">Netherlands</t>
  </si>
  <si>
    <t xml:space="preserve">Japan</t>
  </si>
  <si>
    <t xml:space="preserve">Switzerland</t>
  </si>
  <si>
    <t xml:space="preserve">Rep. of Korea</t>
  </si>
  <si>
    <t xml:space="preserve">Other Asia, nes</t>
  </si>
  <si>
    <t xml:space="preserve">Imports</t>
  </si>
  <si>
    <t xml:space="preserve">https://comtradeapi.un.org/public/v1/preview/C/A/HS?reporterCode=842&amp;period=2025&amp;flowCode=M&amp;cmdCode=TOTAL</t>
  </si>
  <si>
    <t xml:space="preserve">Viet Nam</t>
  </si>
  <si>
    <t xml:space="preserve">Ireland</t>
  </si>
  <si>
    <t xml:space="preserve">India</t>
  </si>
  <si>
    <t xml:space="preserve">KOR</t>
  </si>
  <si>
    <t xml:space="preserve">https://comtradeapi.un.org/public/v1/preview/C/A/HS?reporterCode=410&amp;period=2025&amp;flowCode=X&amp;cmdCode=TOTAL</t>
  </si>
  <si>
    <t xml:space="preserve">China, Hong Kong SAR</t>
  </si>
  <si>
    <t xml:space="preserve">Singapore</t>
  </si>
  <si>
    <t xml:space="preserve">Australia</t>
  </si>
  <si>
    <t xml:space="preserve">Malaysia</t>
  </si>
  <si>
    <t xml:space="preserve">https://comtradeapi.un.org/public/v1/preview/C/A/HS?reporterCode=410&amp;period=2025&amp;flowCode=M&amp;cmdCode=TOTAL</t>
  </si>
  <si>
    <t xml:space="preserve">Saudi Arabia</t>
  </si>
  <si>
    <t xml:space="preserve">United Arab Emirates</t>
  </si>
  <si>
    <t xml:space="preserve">NOR</t>
  </si>
  <si>
    <t xml:space="preserve">https://comtradeapi.un.org/public/v1/preview/C/A/HS?reporterCode=579&amp;period=2025&amp;flowCode=X&amp;cmdCode=TOTAL</t>
  </si>
  <si>
    <t xml:space="preserve">Sweden</t>
  </si>
  <si>
    <t xml:space="preserve">Poland</t>
  </si>
  <si>
    <t xml:space="preserve">Denmark</t>
  </si>
  <si>
    <t xml:space="preserve">Belgium</t>
  </si>
  <si>
    <t xml:space="preserve">Finland</t>
  </si>
  <si>
    <t xml:space="preserve">https://comtradeapi.un.org/public/v1/preview/C/A/HS?reporterCode=579&amp;period=2025&amp;flowCode=M&amp;cmdCode=TOTAL</t>
  </si>
  <si>
    <t xml:space="preserve">Italy</t>
  </si>
  <si>
    <t xml:space="preserve">GBR</t>
  </si>
  <si>
    <t xml:space="preserve">https://comtradeapi.un.org/public/v1/preview/C/A/HS?reporterCode=826&amp;period=2025&amp;flowCode=X&amp;cmdCode=TOTAL</t>
  </si>
  <si>
    <t xml:space="preserve">Spain</t>
  </si>
  <si>
    <t xml:space="preserve">https://comtradeapi.un.org/public/v1/preview/C/A/HS?reporterCode=826&amp;period=2025&amp;flowCode=M&amp;cmdCode=TOTAL</t>
  </si>
  <si>
    <t xml:space="preserve">FRA</t>
  </si>
  <si>
    <t xml:space="preserve">https://comtradeapi.un.org/public/v1/preview/C/A/HS?reporterCode=251&amp;period=2025&amp;flowCode=X&amp;cmdCode=TOTAL</t>
  </si>
  <si>
    <t xml:space="preserve">https://comtradeapi.un.org/public/v1/preview/C/A/HS?reporterCode=251&amp;period=2025&amp;flowCode=M&amp;cmdCode=TOTAL</t>
  </si>
  <si>
    <t xml:space="preserve">DEU</t>
  </si>
  <si>
    <t xml:space="preserve">https://comtradeapi.un.org/public/v1/preview/C/A/HS?reporterCode=276&amp;period=2025&amp;flowCode=X&amp;cmdCode=TOTAL</t>
  </si>
  <si>
    <t xml:space="preserve">Austria</t>
  </si>
  <si>
    <t xml:space="preserve">https://comtradeapi.un.org/public/v1/preview/C/A/HS?reporterCode=276&amp;period=2025&amp;flowCode=M&amp;cmdCode=TOTAL</t>
  </si>
  <si>
    <t xml:space="preserve">Czechia</t>
  </si>
  <si>
    <t xml:space="preserve">CHN</t>
  </si>
  <si>
    <t xml:space="preserve">https://comtradeapi.un.org/public/v1/preview/C/A/HS?reporterCode=156&amp;period=2025&amp;flowCode=X&amp;cmdCode=TOTAL</t>
  </si>
  <si>
    <t xml:space="preserve">Thailand</t>
  </si>
  <si>
    <t xml:space="preserve">Russian Federation</t>
  </si>
  <si>
    <t xml:space="preserve">https://comtradeapi.un.org/public/v1/preview/C/A/HS?reporterCode=156&amp;period=2025&amp;flowCode=M&amp;cmdCode=TOTAL</t>
  </si>
  <si>
    <t xml:space="preserve">Brazil</t>
  </si>
  <si>
    <t xml:space="preserve">UN Comtrade — goods trade by HS 2-digit chapter, 2025 (partner = World). Top 5 chapters by value + HS27 (mineral fuels) as commodity-dependence reference.</t>
  </si>
  <si>
    <t xml:space="preserve">HS chapter</t>
  </si>
  <si>
    <t xml:space="preserve">Share of total (formula)</t>
  </si>
  <si>
    <t xml:space="preserve">27 - Mineral fuels, mineral oils and products of their distillation; bituminous substances; mineral waxes</t>
  </si>
  <si>
    <t xml:space="preserve">https://comtradeapi.un.org/public/v1/preview/C/A/HS?reporterCode=842&amp;period=2025&amp;flowCode=X&amp;cmdCode=AG2&amp;partnerCode=0</t>
  </si>
  <si>
    <t xml:space="preserve">84 - Machinery and mechanical appliances, boilers, nuclear reactors; parts thereof</t>
  </si>
  <si>
    <t xml:space="preserve">85 - Electrical machinery and equipment and parts thereof; sound recorders and reproducers; television image and sound recorders and reproducers, parts and accessories of such articles</t>
  </si>
  <si>
    <t xml:space="preserve">88 - Aircraft, spacecraft, and parts thereof</t>
  </si>
  <si>
    <t xml:space="preserve">71 - Natural, cultured pearls; precious, semi-precious stones; precious metals, metals clad with precious metal, and articles thereof; imitation jewellery; coin</t>
  </si>
  <si>
    <t xml:space="preserve">https://comtradeapi.un.org/public/v1/preview/C/A/HS?reporterCode=842&amp;period=2025&amp;flowCode=M&amp;cmdCode=AG2&amp;partnerCode=0</t>
  </si>
  <si>
    <t xml:space="preserve">87 - Vehicles; other than railway or tramway rolling stock, and parts and accessories thereof</t>
  </si>
  <si>
    <t xml:space="preserve">30 - Pharmaceutical products</t>
  </si>
  <si>
    <t xml:space="preserve">https://comtradeapi.un.org/public/v1/preview/C/A/HS?reporterCode=410&amp;period=2025&amp;flowCode=X&amp;cmdCode=AG2&amp;partnerCode=0</t>
  </si>
  <si>
    <t xml:space="preserve">39 - Plastics and articles thereof</t>
  </si>
  <si>
    <t xml:space="preserve">https://comtradeapi.un.org/public/v1/preview/C/A/HS?reporterCode=410&amp;period=2025&amp;flowCode=M&amp;cmdCode=AG2&amp;partnerCode=0</t>
  </si>
  <si>
    <t xml:space="preserve">90 - Optical, photographic, cinematographic, measuring, checking, medical or surgical instruments and apparatus; parts and accessories</t>
  </si>
  <si>
    <t xml:space="preserve">26 - Ores, slag and ash</t>
  </si>
  <si>
    <t xml:space="preserve">https://comtradeapi.un.org/public/v1/preview/C/A/HS?reporterCode=579&amp;period=2025&amp;flowCode=X&amp;cmdCode=AG2&amp;partnerCode=0</t>
  </si>
  <si>
    <t xml:space="preserve">03 - Fish and crustaceans, molluscs and other aquatic invertebrates</t>
  </si>
  <si>
    <t xml:space="preserve">99 - Commodities not specified according to kind</t>
  </si>
  <si>
    <t xml:space="preserve">https://comtradeapi.un.org/public/v1/preview/C/A/HS?reporterCode=579&amp;period=2025&amp;flowCode=M&amp;cmdCode=AG2&amp;partnerCode=0</t>
  </si>
  <si>
    <t xml:space="preserve">73 - Iron or steel articles</t>
  </si>
  <si>
    <t xml:space="preserve">https://comtradeapi.un.org/public/v1/preview/C/A/HS?reporterCode=826&amp;period=2025&amp;flowCode=X&amp;cmdCode=AG2&amp;partnerCode=0</t>
  </si>
  <si>
    <t xml:space="preserve">https://comtradeapi.un.org/public/v1/preview/C/A/HS?reporterCode=826&amp;period=2025&amp;flowCode=M&amp;cmdCode=AG2&amp;partnerCode=0</t>
  </si>
  <si>
    <t xml:space="preserve">https://comtradeapi.un.org/public/v1/preview/C/A/HS?reporterCode=251&amp;period=2025&amp;flowCode=X&amp;cmdCode=AG2&amp;partnerCode=0</t>
  </si>
  <si>
    <t xml:space="preserve">https://comtradeapi.un.org/public/v1/preview/C/A/HS?reporterCode=251&amp;period=2025&amp;flowCode=M&amp;cmdCode=AG2&amp;partnerCode=0</t>
  </si>
  <si>
    <t xml:space="preserve">https://comtradeapi.un.org/public/v1/preview/C/A/HS?reporterCode=276&amp;period=2025&amp;flowCode=X&amp;cmdCode=AG2&amp;partnerCode=0</t>
  </si>
  <si>
    <t xml:space="preserve">https://comtradeapi.un.org/public/v1/preview/C/A/HS?reporterCode=276&amp;period=2025&amp;flowCode=M&amp;cmdCode=AG2&amp;partnerCode=0</t>
  </si>
  <si>
    <t xml:space="preserve">https://comtradeapi.un.org/public/v1/preview/C/A/HS?reporterCode=156&amp;period=2025&amp;flowCode=X&amp;cmdCode=AG2&amp;partnerCode=0</t>
  </si>
  <si>
    <t xml:space="preserve">94 - Furniture; bedding, mattresses, mattress supports, cushions and similar stuffed furnishings; lamps and lighting fittings, n.e.c.; illuminated signs, illuminated name-plates and the like; prefabricated buildings</t>
  </si>
  <si>
    <t xml:space="preserve">https://comtradeapi.un.org/public/v1/preview/C/A/HS?reporterCode=156&amp;period=2025&amp;flowCode=M&amp;cmdCode=AG2&amp;partnerCode=0</t>
  </si>
  <si>
    <t xml:space="preserve">Invoicing / settlement currency of goods trade (official statistics where available)</t>
  </si>
  <si>
    <t xml:space="preserve">Currency</t>
  </si>
  <si>
    <t xml:space="preserve">Share (%)</t>
  </si>
  <si>
    <t xml:space="preserve">Note</t>
  </si>
  <si>
    <r>
      <rPr>
        <i val="true"/>
        <sz val="9"/>
        <color rgb="FF404040"/>
        <rFont val="Arial"/>
        <family val="0"/>
        <charset val="1"/>
      </rPr>
      <t xml:space="preserve">303Y001 3.2.5.1.1. </t>
    </r>
    <r>
      <rPr>
        <i val="true"/>
        <sz val="9"/>
        <color rgb="FF404040"/>
        <rFont val="Noto Sans CJK SC"/>
        <family val="2"/>
      </rPr>
      <t xml:space="preserve">지역별 결제통화</t>
    </r>
    <r>
      <rPr>
        <i val="true"/>
        <sz val="9"/>
        <color rgb="FF404040"/>
        <rFont val="Arial"/>
        <family val="0"/>
        <charset val="1"/>
      </rPr>
      <t xml:space="preserve">(</t>
    </r>
    <r>
      <rPr>
        <i val="true"/>
        <sz val="9"/>
        <color rgb="FF404040"/>
        <rFont val="Noto Sans CJK SC"/>
        <family val="2"/>
      </rPr>
      <t xml:space="preserve">수출</t>
    </r>
    <r>
      <rPr>
        <i val="true"/>
        <sz val="9"/>
        <color rgb="FF404040"/>
        <rFont val="Arial"/>
        <family val="0"/>
        <charset val="1"/>
      </rPr>
      <t xml:space="preserve">)</t>
    </r>
  </si>
  <si>
    <t xml:space="preserve">https://ecos.bok.or.kr (table 303Y001, item REG..TOT.., RATIO)</t>
  </si>
  <si>
    <t xml:space="preserve">EUR</t>
  </si>
  <si>
    <t xml:space="preserve">JPY</t>
  </si>
  <si>
    <t xml:space="preserve">KRW</t>
  </si>
  <si>
    <t xml:space="preserve">CNY</t>
  </si>
  <si>
    <t xml:space="preserve">CNY is a sub-item of "Other"</t>
  </si>
  <si>
    <t xml:space="preserve">Other (incl. CNY, GBP, AUD …)</t>
  </si>
  <si>
    <r>
      <rPr>
        <i val="true"/>
        <sz val="9"/>
        <color rgb="FF404040"/>
        <rFont val="Arial"/>
        <family val="0"/>
        <charset val="1"/>
      </rPr>
      <t xml:space="preserve">303Y004 3.2.5.2.1. </t>
    </r>
    <r>
      <rPr>
        <i val="true"/>
        <sz val="9"/>
        <color rgb="FF404040"/>
        <rFont val="Noto Sans CJK SC"/>
        <family val="2"/>
      </rPr>
      <t xml:space="preserve">지역별 결제통화</t>
    </r>
    <r>
      <rPr>
        <i val="true"/>
        <sz val="9"/>
        <color rgb="FF404040"/>
        <rFont val="Arial"/>
        <family val="0"/>
        <charset val="1"/>
      </rPr>
      <t xml:space="preserve">(</t>
    </r>
    <r>
      <rPr>
        <i val="true"/>
        <sz val="9"/>
        <color rgb="FF404040"/>
        <rFont val="Noto Sans CJK SC"/>
        <family val="2"/>
      </rPr>
      <t xml:space="preserve">수입</t>
    </r>
    <r>
      <rPr>
        <i val="true"/>
        <sz val="9"/>
        <color rgb="FF404040"/>
        <rFont val="Arial"/>
        <family val="0"/>
        <charset val="1"/>
      </rPr>
      <t xml:space="preserve">)</t>
    </r>
  </si>
  <si>
    <t xml:space="preserve">https://ecos.bok.or.kr (table 303Y004, item REG..TOT.., RATIO)</t>
  </si>
  <si>
    <t xml:space="preserve">Exports (extra-EU)</t>
  </si>
  <si>
    <t xml:space="preserve">ext_lt_invcur (partner=EXT_EU, sitc06=TOTAL)</t>
  </si>
  <si>
    <t xml:space="preserve">https://ec.europa.eu/eurostat/api/dissemination/statistics/1.0/data/ext_lt_invcur</t>
  </si>
  <si>
    <t xml:space="preserve">Extra-EU trade only; intra-EU trade is mostly in EUR</t>
  </si>
  <si>
    <t xml:space="preserve">OTH</t>
  </si>
  <si>
    <t xml:space="preserve">Imports (extra-EU)</t>
  </si>
  <si>
    <t xml:space="preserve">Reserves_COFER — currency composition of official FX reserves (IMF COFER)</t>
  </si>
  <si>
    <t xml:space="preserve">As-of date: 2026-10-07 | Retrieval date: 2026-10-07 | Blue font = raw value from source; black = formula. Shares are % of ALLOCATED reserves as published by IMF (SHRO_PT). NOK and KRW are not reported separately (inside "Other").</t>
  </si>
  <si>
    <t xml:space="preserve">Provider: IMF (COFER), retrieved via api.imf.org SDMX 2.1 | Dataflow IMF.STA:COFER | Key G001.AFXRA.{currency}.SHRO_PT.Q | Dataset UPDATE_DATE 2026-09-30T13:00:00Z</t>
  </si>
  <si>
    <t xml:space="preserve">URL: https://api.imf.org/external/sdmx/2.1/data/IMF.STA,COFER/G001.AFXRA+TFXRA+UFXRA..SHRO_PT+NV_USD.Q?startPeriod=2016  | Unit: % of allocated reserves; USD millions for totals</t>
  </si>
  <si>
    <t xml:space="preserve">USD share (%)</t>
  </si>
  <si>
    <t xml:space="preserve">EUR share (%)</t>
  </si>
  <si>
    <t xml:space="preserve">JPY share (%)</t>
  </si>
  <si>
    <t xml:space="preserve">GBP share (%)</t>
  </si>
  <si>
    <t xml:space="preserve">CNY share (%)</t>
  </si>
  <si>
    <t xml:space="preserve">AUD share (%)</t>
  </si>
  <si>
    <t xml:space="preserve">CAD share (%)</t>
  </si>
  <si>
    <t xml:space="preserve">CHF share (%)</t>
  </si>
  <si>
    <t xml:space="preserve">OTHC share (%)</t>
  </si>
  <si>
    <t xml:space="preserve">Sum of shares (formula check)</t>
  </si>
  <si>
    <t xml:space="preserve">Allocated reserves (USD mn)</t>
  </si>
  <si>
    <t xml:space="preserve">Unallocated (USD mn)</t>
  </si>
  <si>
    <t xml:space="preserve">Total FX reserves (USD mn)</t>
  </si>
  <si>
    <t xml:space="preserve">Allocated / total (formula)</t>
  </si>
  <si>
    <t xml:space="preserve">Note: NV_USD values converted from USD units to USD millions by dividing the raw IMF value by 1,000,000 at load (unit change only).</t>
  </si>
  <si>
    <t xml:space="preserve">FX_Market_BIS — OTC FX turnover by currency (BIS Triennial Survey, April daily averages)</t>
  </si>
  <si>
    <t xml:space="preserve">As-of date: 2026-10-07 | Retrieval date: 2026-10-07 | Blue font = raw value from source; black = formula. Each trade involves two currencies, so currency shares sum to 200%.</t>
  </si>
  <si>
    <t xml:space="preserve">Provider: BIS (data.bis.org bulk file WS_DER_OTC_TOV_csv_flat.zip) | Dataset WS_DER_OTC_TOV | Filter: FREQ=A, DER_TYPE=U, DER_INSTR=A (all FX instruments), DER_RISK=B, DER_REP_CTY=5J, DER_SECTOR_CPY=A, DER_CPC=5J, DER_CURR_LEG2=TO1, maturity A, basis C (net-net)</t>
  </si>
  <si>
    <t xml:space="preserve">URL: https://data.bis.org/static/bulk/WS_DER_OTC_TOV_csv_flat.zip | Unit: USD millions, daily average turnover in April of survey year | File date 2026-06-10</t>
  </si>
  <si>
    <t xml:space="preserve">Survey year</t>
  </si>
  <si>
    <t xml:space="preserve">Total (all currencies) turnover (USD mn)</t>
  </si>
  <si>
    <t xml:space="preserve">USD turnover (USD mn)</t>
  </si>
  <si>
    <t xml:space="preserve">EUR turnover (USD mn)</t>
  </si>
  <si>
    <t xml:space="preserve">JPY turnover (USD mn)</t>
  </si>
  <si>
    <t xml:space="preserve">GBP turnover (USD mn)</t>
  </si>
  <si>
    <t xml:space="preserve">CNY turnover (USD mn)</t>
  </si>
  <si>
    <t xml:space="preserve">KRW turnover (USD mn)</t>
  </si>
  <si>
    <t xml:space="preserve">NOK turnover (USD mn)</t>
  </si>
  <si>
    <t xml:space="preserve">BRL turnover (USD mn)</t>
  </si>
  <si>
    <t xml:space="preserve">USD share of total (formula)</t>
  </si>
  <si>
    <t xml:space="preserve">EUR share of total (formula)</t>
  </si>
  <si>
    <t xml:space="preserve">JPY share of total (formula)</t>
  </si>
  <si>
    <t xml:space="preserve">GBP share of total (formula)</t>
  </si>
  <si>
    <t xml:space="preserve">CNY share of total (formula)</t>
  </si>
  <si>
    <t xml:space="preserve">KRW share of total (formula)</t>
  </si>
  <si>
    <t xml:space="preserve">NOK share of total (formula)</t>
  </si>
  <si>
    <t xml:space="preserve">BRL share of total (formula)</t>
  </si>
  <si>
    <t xml:space="preserve">BigMac — The Economist Big Mac index (raw open data, GitHub)</t>
  </si>
  <si>
    <t xml:space="preserve">As-of date: 2026-10-07 | Retrieval date: 2026-10-07 | Blue font = raw value from source; black = formula. France and Germany are covered only via the euro-area row (EUZ).</t>
  </si>
  <si>
    <t xml:space="preserve">Provider: The Economist (github.com/TheEconomist/big-mac-data) | File output-data/big-mac-full-index.csv | URL: https://raw.githubusercontent.com/TheEconomist/big-mac-data/master/output-data/big-mac-full-index.csv</t>
  </si>
  <si>
    <t xml:space="preserve">Units: local_price in local currency; dollar_ex = local currency per USD; dollar_price = USD; USD_raw / USD_adjusted = over(+)/under(-)valuation vs USD as a fraction (Economist calculation). Semi-annual (Jan/Jul).</t>
  </si>
  <si>
    <t xml:space="preserve">date</t>
  </si>
  <si>
    <t xml:space="preserve">iso_a3</t>
  </si>
  <si>
    <t xml:space="preserve">currency_code</t>
  </si>
  <si>
    <t xml:space="preserve">name</t>
  </si>
  <si>
    <t xml:space="preserve">local_price</t>
  </si>
  <si>
    <t xml:space="preserve">dollar_ex</t>
  </si>
  <si>
    <t xml:space="preserve">dollar_price</t>
  </si>
  <si>
    <t xml:space="preserve">USD_raw</t>
  </si>
  <si>
    <t xml:space="preserve">USD_adjusted</t>
  </si>
  <si>
    <t xml:space="preserve">GDP_bigmac</t>
  </si>
  <si>
    <t xml:space="preserve">EUZ</t>
  </si>
  <si>
    <t xml:space="preserve">Euro area</t>
  </si>
  <si>
    <t xml:space="preserve">GBP</t>
  </si>
  <si>
    <t xml:space="preserve">Britain</t>
  </si>
  <si>
    <t xml:space="preserve">NOK</t>
  </si>
  <si>
    <t xml:space="preserve">USA — United States country profile (latest snapshot; home currency USD)</t>
  </si>
  <si>
    <t xml:space="preserve">As-of date: 2026-10-07 | Retrieval date: 2026-10-07 | Blue font = raw value from source; black = formula. Values are formulas pulling the latest observation from the category sheets; date column shows the observation date/period.</t>
  </si>
  <si>
    <t xml:space="preserve">Section</t>
  </si>
  <si>
    <t xml:space="preserve">Value</t>
  </si>
  <si>
    <t xml:space="preserve">Observation date / period</t>
  </si>
  <si>
    <t xml:space="preserve">Source sheet</t>
  </si>
  <si>
    <t xml:space="preserve">FX rate</t>
  </si>
  <si>
    <t xml:space="preserve">Interest rates</t>
  </si>
  <si>
    <t xml:space="preserve">Policy: Fed funds target range — upper</t>
  </si>
  <si>
    <t xml:space="preserve">Policy: Fed funds target range — lower</t>
  </si>
  <si>
    <t xml:space="preserve">Overnight: SOFR</t>
  </si>
  <si>
    <t xml:space="preserve">1M: US Treasury bill (CMT), monthly avg</t>
  </si>
  <si>
    <t xml:space="preserve">3M: US Treasury bill (CMT), monthly avg</t>
  </si>
  <si>
    <t xml:space="preserve">6M: US Treasury bill (CMT), monthly avg</t>
  </si>
  <si>
    <t xml:space="preserve">12M: US Treasury 1Y (CMT), monthly avg</t>
  </si>
  <si>
    <t xml:space="preserve">CPI-U y/y (BLS index, formula)</t>
  </si>
  <si>
    <t xml:space="preserve">CPI y/y (OECD)</t>
  </si>
  <si>
    <t xml:space="preserve">Macro (annual)</t>
  </si>
  <si>
    <t xml:space="preserve">GDP, current USD (World Bank)</t>
  </si>
  <si>
    <t xml:space="preserve">GDP, current USD bn (IMF)</t>
  </si>
  <si>
    <t xml:space="preserve">GDP per capita, current USD (World Bank)</t>
  </si>
  <si>
    <t xml:space="preserve">Real GDP growth, annual % (World Bank)</t>
  </si>
  <si>
    <t xml:space="preserve">Real GDP growth, annual % (IMF)</t>
  </si>
  <si>
    <t xml:space="preserve">2025 may be an IMF estimate</t>
  </si>
  <si>
    <t xml:space="preserve">Macro (IMF forecast)</t>
  </si>
  <si>
    <t xml:space="preserve">Real GDP growth forecast 2026 (IMF)</t>
  </si>
  <si>
    <t xml:space="preserve">2026 (forecast)</t>
  </si>
  <si>
    <t xml:space="preserve">IMF WEO Apr-2026 projection</t>
  </si>
  <si>
    <t xml:space="preserve">Real GDP growth forecast 2027 (IMF)</t>
  </si>
  <si>
    <t xml:space="preserve">2027 (forecast)</t>
  </si>
  <si>
    <t xml:space="preserve">Macro (quarterly)</t>
  </si>
  <si>
    <t xml:space="preserve">Real GDP q/q, SA (latest quarter)</t>
  </si>
  <si>
    <t xml:space="preserve">OECD QNA</t>
  </si>
  <si>
    <t xml:space="preserve">B1GQ G1</t>
  </si>
  <si>
    <t xml:space="preserve">Real GDP y/y, SA (latest quarter)</t>
  </si>
  <si>
    <t xml:space="preserve">B1GQ GY</t>
  </si>
  <si>
    <t xml:space="preserve">Exports of goods &amp; services, % of GDP (World Bank)</t>
  </si>
  <si>
    <t xml:space="preserve">Imports of goods &amp; services, % of GDP (World Bank)</t>
  </si>
  <si>
    <t xml:space="preserve">Current account balance, % of GDP (World Bank)</t>
  </si>
  <si>
    <t xml:space="preserve">Current account balance, % of GDP (IMF)</t>
  </si>
  <si>
    <t xml:space="preserve">Current account forecast 2026, % of GDP (IMF)</t>
  </si>
  <si>
    <t xml:space="preserve">Trade partners (2025)</t>
  </si>
  <si>
    <t xml:space="preserve">Top 1 export destination</t>
  </si>
  <si>
    <t xml:space="preserve">partner name</t>
  </si>
  <si>
    <t xml:space="preserve">UN Comtrade</t>
  </si>
  <si>
    <t xml:space="preserve">TOTAL by partner</t>
  </si>
  <si>
    <t xml:space="preserve">   share of total exports</t>
  </si>
  <si>
    <t xml:space="preserve">% of goods total</t>
  </si>
  <si>
    <t xml:space="preserve">formula</t>
  </si>
  <si>
    <t xml:space="preserve">Top 2 export destination</t>
  </si>
  <si>
    <t xml:space="preserve">Top 3 export destination</t>
  </si>
  <si>
    <t xml:space="preserve">Top 4 export destination</t>
  </si>
  <si>
    <t xml:space="preserve">Top 5 export destination</t>
  </si>
  <si>
    <t xml:space="preserve">Top 1 import origin</t>
  </si>
  <si>
    <t xml:space="preserve">   share of total imports</t>
  </si>
  <si>
    <t xml:space="preserve">Top 2 import origin</t>
  </si>
  <si>
    <t xml:space="preserve">Top 3 import origin</t>
  </si>
  <si>
    <t xml:space="preserve">Top 4 import origin</t>
  </si>
  <si>
    <t xml:space="preserve">Top 5 import origin</t>
  </si>
  <si>
    <t xml:space="preserve">Product mix (2025)</t>
  </si>
  <si>
    <t xml:space="preserve">Top 1 export category (HS2)</t>
  </si>
  <si>
    <t xml:space="preserve">AG2, partner World</t>
  </si>
  <si>
    <t xml:space="preserve">   share</t>
  </si>
  <si>
    <t xml:space="preserve">Top 2 export category (HS2)</t>
  </si>
  <si>
    <t xml:space="preserve">Top 3 export category (HS2)</t>
  </si>
  <si>
    <t xml:space="preserve">Top 1 import category (HS2)</t>
  </si>
  <si>
    <t xml:space="preserve">Top 2 import category (HS2)</t>
  </si>
  <si>
    <t xml:space="preserve">Top 3 import category (HS2)</t>
  </si>
  <si>
    <t xml:space="preserve">Commodity dependence (2025)</t>
  </si>
  <si>
    <t xml:space="preserve">HS27 mineral fuels/oil/gas, share of goods exports</t>
  </si>
  <si>
    <t xml:space="preserve">AG2 chapter 27</t>
  </si>
  <si>
    <t xml:space="preserve">Rank 1 of 97 chapters</t>
  </si>
  <si>
    <t xml:space="preserve">HS27 mineral fuels/oil/gas, share of goods imports</t>
  </si>
  <si>
    <t xml:space="preserve">Rank 4 of 97 chapters</t>
  </si>
  <si>
    <t xml:space="preserve">Invoicing currency</t>
  </si>
  <si>
    <t xml:space="preserve">N/A</t>
  </si>
  <si>
    <t xml:space="preserve">No official machine-readable invoicing-currency series retrieved. Manual: Federal Reserve "International role of the U.S. dollar" notes; Boz et al. (IMF) invoicing dataset.</t>
  </si>
  <si>
    <t xml:space="preserve">Currency in global markets</t>
  </si>
  <si>
    <t xml:space="preserve">USD share of global FX turnover (BIS)</t>
  </si>
  <si>
    <t xml:space="preserve">% of total (sums to 200%)</t>
  </si>
  <si>
    <t xml:space="preserve">BIS Triennial Survey</t>
  </si>
  <si>
    <t xml:space="preserve">WS_DER_OTC_TOV</t>
  </si>
  <si>
    <t xml:space="preserve">USD share of allocated FX reserves (IMF COFER)</t>
  </si>
  <si>
    <t xml:space="preserve">% of allocated reserves</t>
  </si>
  <si>
    <t xml:space="preserve">IMF COFER</t>
  </si>
  <si>
    <t xml:space="preserve">G001.AFXRA.CI_USD.SHRO_PT.Q</t>
  </si>
  <si>
    <t xml:space="preserve">Big Mac (supplementary)</t>
  </si>
  <si>
    <t xml:space="preserve">Big Mac raw valuation vs USD (USA)</t>
  </si>
  <si>
    <t xml:space="preserve">fraction (+ = overvalued vs USD)</t>
  </si>
  <si>
    <t xml:space="preserve">The Economist</t>
  </si>
  <si>
    <t xml:space="preserve">big-mac-full-index.csv USD_raw</t>
  </si>
  <si>
    <t xml:space="preserve">USD is the base (0 by construction)</t>
  </si>
  <si>
    <t xml:space="preserve">KOR — South Korea country profile (latest snapshot; home currency KRW)</t>
  </si>
  <si>
    <t xml:space="preserve">Policy: Bank of Korea base rate</t>
  </si>
  <si>
    <r>
      <rPr>
        <sz val="10"/>
        <rFont val="Arial"/>
        <family val="0"/>
        <charset val="1"/>
      </rPr>
      <t xml:space="preserve">% p.a. (</t>
    </r>
    <r>
      <rPr>
        <sz val="10"/>
        <rFont val="Noto Sans CJK SC"/>
        <family val="2"/>
      </rPr>
      <t xml:space="preserve">연</t>
    </r>
    <r>
      <rPr>
        <sz val="10"/>
        <rFont val="Arial"/>
        <family val="0"/>
        <charset val="1"/>
      </rPr>
      <t xml:space="preserve">%)</t>
    </r>
  </si>
  <si>
    <t xml:space="preserve">Overnight: call rate</t>
  </si>
  <si>
    <t xml:space="preserve">1M: KRW 1M rate</t>
  </si>
  <si>
    <t xml:space="preserve">721Y001</t>
  </si>
  <si>
    <t xml:space="preserve">No 1M benchmark in ECOS market-rate table 721Y001. Manual: KOFIA bond yields (kofiabond.or.kr) or Bloomberg KRW 1M NDF-implied.</t>
  </si>
  <si>
    <t xml:space="preserve">3M: CD 91-day</t>
  </si>
  <si>
    <t xml:space="preserve">3M: KORIBOR 3M</t>
  </si>
  <si>
    <t xml:space="preserve">6M: KORIBOR 6M</t>
  </si>
  <si>
    <t xml:space="preserve">12M: KORIBOR 12M</t>
  </si>
  <si>
    <t xml:space="preserve">12M: Monetary Stabilization Bond 1Y</t>
  </si>
  <si>
    <t xml:space="preserve">CPI y/y (KOSTAT index, formula)</t>
  </si>
  <si>
    <t xml:space="preserve">CPI y/y (OECD; source KOSTAT)</t>
  </si>
  <si>
    <t xml:space="preserve">Exports invoiced in USD</t>
  </si>
  <si>
    <t xml:space="preserve">% of value</t>
  </si>
  <si>
    <t xml:space="preserve">303Y001 / 303Y004 RATIO</t>
  </si>
  <si>
    <t xml:space="preserve">Exports invoiced in KRW</t>
  </si>
  <si>
    <t xml:space="preserve">Exports invoiced in EUR</t>
  </si>
  <si>
    <t xml:space="preserve">Exports invoiced in JPY</t>
  </si>
  <si>
    <t xml:space="preserve">Exports invoiced in CNY</t>
  </si>
  <si>
    <t xml:space="preserve">Imports invoiced in USD</t>
  </si>
  <si>
    <t xml:space="preserve">Imports invoiced in KRW</t>
  </si>
  <si>
    <t xml:space="preserve">Imports invoiced in EUR</t>
  </si>
  <si>
    <t xml:space="preserve">Imports invoiced in JPY</t>
  </si>
  <si>
    <t xml:space="preserve">Imports invoiced in CNY</t>
  </si>
  <si>
    <t xml:space="preserve">KRW share of global FX turnover (BIS)</t>
  </si>
  <si>
    <t xml:space="preserve">KRW share of allocated FX reserves (IMF COFER)</t>
  </si>
  <si>
    <t xml:space="preserve">KRW is not reported separately by COFER (included in "Other currencies").</t>
  </si>
  <si>
    <t xml:space="preserve">Big Mac raw valuation vs USD (KOR)</t>
  </si>
  <si>
    <t xml:space="preserve">NOR — Norway country profile (latest snapshot; home currency NOK)</t>
  </si>
  <si>
    <t xml:space="preserve">Policy: Norges Bank policy rate</t>
  </si>
  <si>
    <t xml:space="preserve">Overnight: NOWA</t>
  </si>
  <si>
    <t xml:space="preserve">1M: NOK 1M rate</t>
  </si>
  <si>
    <t xml:space="preserve">NoRe (NIBOR administrator)</t>
  </si>
  <si>
    <t xml:space="preserve">NIBOR 1M</t>
  </si>
  <si>
    <t xml:space="preserve">NIBOR is licensed (Norske Finansielle Referanser); not in Norges Bank/OECD free APIs. Manual: nore-benchmarks.com or Bloomberg NIBOR1M Index.</t>
  </si>
  <si>
    <t xml:space="preserve">3M: Norwegian T-bill 3M, monthly</t>
  </si>
  <si>
    <t xml:space="preserve">3M: NOK 3M interbank (OECD, NIBOR-based)</t>
  </si>
  <si>
    <t xml:space="preserve">6M: Norwegian T-bill 6M, monthly</t>
  </si>
  <si>
    <t xml:space="preserve">12M: Norwegian T-bill 12M, monthly</t>
  </si>
  <si>
    <t xml:space="preserve">CPI y/y (formula on SSB index)</t>
  </si>
  <si>
    <t xml:space="preserve">HICP y/y (Eurostat)</t>
  </si>
  <si>
    <t xml:space="preserve">SSB does not publish an invoicing-currency table via the API found. Manual: SSB external trade statistics team / Norges Bank Economic Commentaries.</t>
  </si>
  <si>
    <t xml:space="preserve">NOK share of global FX turnover (BIS)</t>
  </si>
  <si>
    <t xml:space="preserve">NOK share of allocated FX reserves (IMF COFER)</t>
  </si>
  <si>
    <t xml:space="preserve">NOK is not reported separately by COFER (included in "Other currencies").</t>
  </si>
  <si>
    <t xml:space="preserve">Big Mac raw valuation vs USD (NOR)</t>
  </si>
  <si>
    <t xml:space="preserve">GBR — United Kingdom country profile (latest snapshot; home currency GBP)</t>
  </si>
  <si>
    <t xml:space="preserve">GBP per USD (formula = 1 / USD per GBP)</t>
  </si>
  <si>
    <t xml:space="preserve">GBP per 1 USD</t>
  </si>
  <si>
    <t xml:space="preserve">Formula on FRED DEXUSUK</t>
  </si>
  <si>
    <t xml:space="preserve">Inverse quote</t>
  </si>
  <si>
    <t xml:space="preserve">Policy: Bank Rate</t>
  </si>
  <si>
    <t xml:space="preserve">Overnight: SONIA</t>
  </si>
  <si>
    <t xml:space="preserve">1M: SONIA OIS spot (BoE curve)</t>
  </si>
  <si>
    <t xml:space="preserve">3M: SONIA OIS spot (BoE curve)</t>
  </si>
  <si>
    <t xml:space="preserve">6M: SONIA OIS spot (BoE curve)</t>
  </si>
  <si>
    <t xml:space="preserve">12M: SONIA OIS spot (BoE curve)</t>
  </si>
  <si>
    <t xml:space="preserve">CPI y/y (ONS headline, BoE 2% target measure)</t>
  </si>
  <si>
    <t xml:space="preserve">CPIH y/y (ONS)</t>
  </si>
  <si>
    <t xml:space="preserve">Rank 5 of 97 chapters</t>
  </si>
  <si>
    <t xml:space="preserve">Manual: HMRC "UK trade in goods by invoicing currency" (gov.uk / uktradeinfo.com).</t>
  </si>
  <si>
    <t xml:space="preserve">GBP share of global FX turnover (BIS)</t>
  </si>
  <si>
    <t xml:space="preserve">GBP share of allocated FX reserves (IMF COFER)</t>
  </si>
  <si>
    <t xml:space="preserve">G001.AFXRA.CI_GBP.SHRO_PT.Q</t>
  </si>
  <si>
    <t xml:space="preserve">Big Mac raw valuation vs USD (GBR)</t>
  </si>
  <si>
    <t xml:space="preserve">FRA — France country profile (latest snapshot; home currency EUR)</t>
  </si>
  <si>
    <t xml:space="preserve">EUR per USD (formula = 1 / USD per EUR)</t>
  </si>
  <si>
    <t xml:space="preserve">EUR per 1 USD</t>
  </si>
  <si>
    <t xml:space="preserve">Formula on FRED DEXUSEU</t>
  </si>
  <si>
    <t xml:space="preserve">Shared currency (euro area)</t>
  </si>
  <si>
    <t xml:space="preserve">Policy: ECB deposit facility rate</t>
  </si>
  <si>
    <t xml:space="preserve">Euro-area rate (same for FRA and DEU)</t>
  </si>
  <si>
    <t xml:space="preserve">Overnight: €STR</t>
  </si>
  <si>
    <t xml:space="preserve">1M: Euribor 1M, monthly avg</t>
  </si>
  <si>
    <t xml:space="preserve">Euro-area rate</t>
  </si>
  <si>
    <t xml:space="preserve">3M: Euribor 3M, monthly avg</t>
  </si>
  <si>
    <t xml:space="preserve">6M: Euribor 6M, monthly avg</t>
  </si>
  <si>
    <t xml:space="preserve">12M: Euribor 12M, monthly avg</t>
  </si>
  <si>
    <t xml:space="preserve">CPI y/y (OECD) — discontinued</t>
  </si>
  <si>
    <t xml:space="preserve">OECD series ends 2025-12; HICP is the current measure</t>
  </si>
  <si>
    <t xml:space="preserve">Euro-area HICP y/y (EUR inflation)</t>
  </si>
  <si>
    <t xml:space="preserve">Rank 7 of 97 chapters</t>
  </si>
  <si>
    <t xml:space="preserve">Rank 2 of 97 chapters</t>
  </si>
  <si>
    <t xml:space="preserve">Extra-EU exports invoiced in EUR</t>
  </si>
  <si>
    <t xml:space="preserve">ext_lt_invcur</t>
  </si>
  <si>
    <t xml:space="preserve">Extra-EU trade only</t>
  </si>
  <si>
    <t xml:space="preserve">Extra-EU exports invoiced in USD</t>
  </si>
  <si>
    <t xml:space="preserve">Extra-EU exports invoiced in OTH</t>
  </si>
  <si>
    <t xml:space="preserve">Extra-EU imports invoiced in EUR</t>
  </si>
  <si>
    <t xml:space="preserve">Extra-EU imports invoiced in USD</t>
  </si>
  <si>
    <t xml:space="preserve">Extra-EU imports invoiced in OTH</t>
  </si>
  <si>
    <t xml:space="preserve">EUR share of global FX turnover (BIS)</t>
  </si>
  <si>
    <t xml:space="preserve">EUR share of allocated FX reserves (IMF COFER)</t>
  </si>
  <si>
    <t xml:space="preserve">G001.AFXRA.CI_EUR.SHRO_PT.Q</t>
  </si>
  <si>
    <t xml:space="preserve">Big Mac raw valuation vs USD (EUZ)</t>
  </si>
  <si>
    <t xml:space="preserve">Euro area figure</t>
  </si>
  <si>
    <t xml:space="preserve">DEU — Germany country profile (latest snapshot; home currency EUR)</t>
  </si>
  <si>
    <t xml:space="preserve">CPI (VPI) y/y (OECD; source Destatis)</t>
  </si>
  <si>
    <t xml:space="preserve">Rank 11 of 97 chapters</t>
  </si>
  <si>
    <t xml:space="preserve">CHN — China country profile (latest snapshot; home currency CNY)</t>
  </si>
  <si>
    <t xml:space="preserve">Benchmark: Loan Prime Rate 1Y (monthly fixing)</t>
  </si>
  <si>
    <t xml:space="preserve">Policy: PBoC 7-day reverse repo rate</t>
  </si>
  <si>
    <t xml:space="preserve">People's Bank of China</t>
  </si>
  <si>
    <t xml:space="preserve">OMO 7D reverse repo</t>
  </si>
  <si>
    <t xml:space="preserve">Not available via a free machine-readable PBoC API in this session. Manual: pbc.gov.cn → Monetary Policy → Open Market Operations announcements.</t>
  </si>
  <si>
    <t xml:space="preserve">1M: Shibor 1M</t>
  </si>
  <si>
    <t xml:space="preserve">3M: Shibor 3M</t>
  </si>
  <si>
    <t xml:space="preserve">6M: Shibor 6M</t>
  </si>
  <si>
    <t xml:space="preserve">12M: Shibor 1Y</t>
  </si>
  <si>
    <t xml:space="preserve">CPI y/y (OECD; source NBS)</t>
  </si>
  <si>
    <t xml:space="preserve">Rank 15 of 97 chapters</t>
  </si>
  <si>
    <t xml:space="preserve">Manual: PBoC "RMB Internationalization Report" (share of RMB in cross-border goods-trade settlement).</t>
  </si>
  <si>
    <t xml:space="preserve">CNY share of global FX turnover (BIS)</t>
  </si>
  <si>
    <t xml:space="preserve">CNY share of allocated FX reserves (IMF COFER)</t>
  </si>
  <si>
    <t xml:space="preserve">G001.AFXRA.CI_CNY.SHRO_PT.Q</t>
  </si>
  <si>
    <t xml:space="preserve">Big Mac raw valuation vs USD (CHN)</t>
  </si>
  <si>
    <t xml:space="preserve">Data_Quality_Log — gaps, discontinued series, replacements, source conflicts, choices</t>
  </si>
  <si>
    <t xml:space="preserve">#</t>
  </si>
  <si>
    <t xml:space="preserve">Series / item</t>
  </si>
  <si>
    <t xml:space="preserve">Issue type</t>
  </si>
  <si>
    <t xml:space="preserve">What was found</t>
  </si>
  <si>
    <t xml:space="preserve">Action / value chosen and why</t>
  </si>
  <si>
    <t xml:space="preserve">Check (formula, where applicable)</t>
  </si>
  <si>
    <t xml:space="preserve">Manual source if needed</t>
  </si>
  <si>
    <t xml:space="preserve">1</t>
  </si>
  <si>
    <t xml:space="preserve">DEXKOUS … DEXJPUS (FRED H.10)</t>
  </si>
  <si>
    <t xml:space="preserve">Gaps (expected)</t>
  </si>
  <si>
    <t xml:space="preserve">118 blank days per series 2016-01-04 → 2026-10-02 = US federal holidays (no H.10 noon-buying rate).</t>
  </si>
  <si>
    <t xml:space="preserve">Left blank (not interpolated). FX_Monthly averages skip blanks.</t>
  </si>
  <si>
    <t xml:space="preserve">2</t>
  </si>
  <si>
    <t xml:space="preserve">FRED H.10 series</t>
  </si>
  <si>
    <t xml:space="preserve">Release lag</t>
  </si>
  <si>
    <t xml:space="preserve">Last FRED observation 2026-10-02; ECB and Norges Bank already have 2026-10-06. H.10 is published weekly (Mondays).</t>
  </si>
  <si>
    <t xml:space="preserve">Kept as is; as-of snapshot uses each series' own last date (shown in row 11 and in country sheets).</t>
  </si>
  <si>
    <t xml:space="preserve">https://www.federalreserve.gov/releases/h10/</t>
  </si>
  <si>
    <t xml:space="preserve">3</t>
  </si>
  <si>
    <t xml:space="preserve">USD per EUR: FRED DEXUSEU vs ECB reference rate</t>
  </si>
  <si>
    <t xml:space="preserve">Source conflict (timing)</t>
  </si>
  <si>
    <t xml:space="preserve">FRED = 12:00 New York buying rate; ECB = 14:15 CET reference rate. Small differences expected.</t>
  </si>
  <si>
    <t xml:space="preserve">FRED used as the primary USD-based quote (one consistent USD source for all pairs); ECB kept as cross-check / EUR-based quotes.</t>
  </si>
  <si>
    <t xml:space="preserve">4</t>
  </si>
  <si>
    <t xml:space="preserve">NOK per USD: FRED DEXNOUS vs Norges Bank</t>
  </si>
  <si>
    <t xml:space="preserve">FRED 12:00 NY vs Norges Bank ~14:15 CET fixing.</t>
  </si>
  <si>
    <t xml:space="preserve">FRED primary; Norges Bank kept for NOK-based work.</t>
  </si>
  <si>
    <t xml:space="preserve">5</t>
  </si>
  <si>
    <t xml:space="preserve">NOK per USD: FRED vs ECB cross (NOK per EUR ÷ USD per EUR)</t>
  </si>
  <si>
    <t xml:space="preserve">Triangular consistency</t>
  </si>
  <si>
    <t xml:space="preserve">Cross-check of three independent sources.</t>
  </si>
  <si>
    <t xml:space="preserve">Information only.</t>
  </si>
  <si>
    <t xml:space="preserve">6</t>
  </si>
  <si>
    <t xml:space="preserve">IR3TIB01EZM156N, IR3TIB01GBM156N (OECD 3M interbank via FRED)</t>
  </si>
  <si>
    <t xml:space="preserve">Stale series</t>
  </si>
  <si>
    <t xml:space="preserve">Last observation 2026-01 (others run to 2026-07/08).</t>
  </si>
  <si>
    <t xml:space="preserve">Kept for reference only. EUR uses ECB Euribor 1M/3M/6M/12M (monthly); GBP uses BoE SONIA-OIS spot 1M/3M/6M/12M.</t>
  </si>
  <si>
    <t xml:space="preserve">7</t>
  </si>
  <si>
    <t xml:space="preserve">GBP term rates</t>
  </si>
  <si>
    <t xml:space="preserve">Discontinued / replaced</t>
  </si>
  <si>
    <t xml:space="preserve">GBP LIBOR ceased (2021–2024); BoE IADB series IUMAJNB (T-bill) returned no data.</t>
  </si>
  <si>
    <t xml:space="preserve">Replacement: BoE OIS spot curve (risk-free SONIA term structure) from BoE yield-curve files.</t>
  </si>
  <si>
    <t xml:space="preserve">https://www.bankofengland.co.uk/statistics/yield-curves</t>
  </si>
  <si>
    <t xml:space="preserve">8</t>
  </si>
  <si>
    <t xml:space="preserve">NOK 1M / NIBOR 1M, 6M, 12M</t>
  </si>
  <si>
    <t xml:space="preserve">Not available (N/A)</t>
  </si>
  <si>
    <t xml:space="preserve">NIBOR is administered by Norske Finansielle Referanser (NoRe) under licence; not in Norges Bank or OECD free APIs (Norges Bank SHORT_RATES has NOWA only).</t>
  </si>
  <si>
    <t xml:space="preserve">NOK 3M = OECD IR3TIB01NOM156N (NIBOR-based) + Norges Bank T-bill 3M; 6M/12M = Norges Bank T-bills. 1M = N/A.</t>
  </si>
  <si>
    <t xml:space="preserve">https://nore-benchmarks.com ; Bloomberg NIBOR1M Index</t>
  </si>
  <si>
    <t xml:space="preserve">9</t>
  </si>
  <si>
    <t xml:space="preserve">NOK T-bill 3M/6M/12M (Norges Bank GOVT_GENERIC_RATES)</t>
  </si>
  <si>
    <t xml:space="preserve">Gap</t>
  </si>
  <si>
    <t xml:space="preserve">Series start 2019-01 in the Norges Bank API; 2016-01 → 2018-12 blank.</t>
  </si>
  <si>
    <t xml:space="preserve">Left blank; OECD NIBOR-based 3M covers 2016+.</t>
  </si>
  <si>
    <t xml:space="preserve">https://www.norges-bank.no/en/topics/Statistics/</t>
  </si>
  <si>
    <t xml:space="preserve">10</t>
  </si>
  <si>
    <t xml:space="preserve">KRW 1M</t>
  </si>
  <si>
    <t xml:space="preserve">ECOS 721Y001 (market rates) has no 1-month benchmark.</t>
  </si>
  <si>
    <t xml:space="preserve">KRW 3M = CD 91d and KORIBOR 3M; 6M/12M = KORIBOR; MSB 1Y and KTB 1Y also stored.</t>
  </si>
  <si>
    <t xml:space="preserve">KOFIA (kofiabond.or.kr); Bloomberg KRW NDF curve</t>
  </si>
  <si>
    <t xml:space="preserve">11</t>
  </si>
  <si>
    <t xml:space="preserve">CNY LPR</t>
  </si>
  <si>
    <t xml:space="preserve">Structural break</t>
  </si>
  <si>
    <t xml:space="preserve">LPR reformed Aug-2019; no LPR before 2019-08.</t>
  </si>
  <si>
    <t xml:space="preserve">Blank before 2019-08; earlier PBoC benchmark lending rate not mixed in.</t>
  </si>
  <si>
    <t xml:space="preserve">http://www.pbc.gov.cn</t>
  </si>
  <si>
    <t xml:space="preserve">12</t>
  </si>
  <si>
    <t xml:space="preserve">Shibor</t>
  </si>
  <si>
    <t xml:space="preserve">Holiday</t>
  </si>
  <si>
    <t xml:space="preserve">Last observation 2026-09-30: China National Day holiday 1–7 Oct.</t>
  </si>
  <si>
    <t xml:space="preserve">No action.</t>
  </si>
  <si>
    <t xml:space="preserve">13</t>
  </si>
  <si>
    <t xml:space="preserve">Rates_Daily / Rates_Monthly</t>
  </si>
  <si>
    <t xml:space="preserve">SOFR, €STR</t>
  </si>
  <si>
    <t xml:space="preserve">Series start</t>
  </si>
  <si>
    <t xml:space="preserve">SOFR starts 2018-04-03; €STR starts 2019-10-01.</t>
  </si>
  <si>
    <t xml:space="preserve">Blank before start (no splice with LIBOR/EONIA).</t>
  </si>
  <si>
    <t xml:space="preserve">14</t>
  </si>
  <si>
    <t xml:space="preserve">BRL Selic target (SGS 432)</t>
  </si>
  <si>
    <t xml:space="preserve">Forward-dated rows</t>
  </si>
  <si>
    <t xml:space="preserve">SGS 432 lists the current target forward to the next Copom meeting date (rows after today).</t>
  </si>
  <si>
    <t xml:space="preserve">Rows after the as-of date (2026-10-07) removed.</t>
  </si>
  <si>
    <t xml:space="preserve">https://www3.bcb.gov.br/sgspub</t>
  </si>
  <si>
    <t xml:space="preserve">15</t>
  </si>
  <si>
    <t xml:space="preserve">BRL Selic monthly (SGS 4189)</t>
  </si>
  <si>
    <t xml:space="preserve">Partial month</t>
  </si>
  <si>
    <t xml:space="preserve">SGS 4189 already shows Oct-2026 (month in progress).</t>
  </si>
  <si>
    <t xml:space="preserve">Oct-2026 excluded; last complete month 2026-09.</t>
  </si>
  <si>
    <t xml:space="preserve">16</t>
  </si>
  <si>
    <t xml:space="preserve">One missing month in source (2020-04).</t>
  </si>
  <si>
    <t xml:space="preserve">Left blank.</t>
  </si>
  <si>
    <t xml:space="preserve">17</t>
  </si>
  <si>
    <t xml:space="preserve">Rate types differ by currency</t>
  </si>
  <si>
    <t xml:space="preserve">Comparability</t>
  </si>
  <si>
    <t xml:space="preserve">Stored rates mix T-bills (USD, NOK), OIS/overnight (GBP), unsecured interbank (EUR Euribor, KRW KORIBOR/CD, CNY Shibor).</t>
  </si>
  <si>
    <t xml:space="preserve">Step 1 stores all; Step 2 must pick ONE rate type per tenor for every currency and document it.</t>
  </si>
  <si>
    <t xml:space="preserve">18</t>
  </si>
  <si>
    <t xml:space="preserve">CPIAUCNS / CPIAUCSL, OECD USA CPI</t>
  </si>
  <si>
    <t xml:space="preserve">Missing observation</t>
  </si>
  <si>
    <t xml:space="preserve">No CPI for 2025-10: BLS did not publish October-2025 CPI (2025 federal government shutdown).</t>
  </si>
  <si>
    <t xml:space="preserve">Left blank; y/y for 2026-10 will also be blank.</t>
  </si>
  <si>
    <t xml:space="preserve">https://www.bls.gov/cpi/additional-resources/2025-federal-government-shutdown-impact-cpi.htm</t>
  </si>
  <si>
    <t xml:space="preserve">19</t>
  </si>
  <si>
    <t xml:space="preserve">OECD CPI FRA, NOR (COICOP 1999)</t>
  </si>
  <si>
    <t xml:space="preserve">Discontinued</t>
  </si>
  <si>
    <t xml:space="preserve">OECD national-CPI series for FRA and NOR end 2025-12 (COICOP 2018 transition).</t>
  </si>
  <si>
    <t xml:space="preserve">FRA: Eurostat HICP (prc_hicp_minr). NOR: SSB table 14710 index (2025=100) with y/y as formula; Eurostat HICP NO as cross-check. OECD history kept.</t>
  </si>
  <si>
    <t xml:space="preserve">20</t>
  </si>
  <si>
    <t xml:space="preserve">FRED CPALTT01* (OECD MEI CPI)</t>
  </si>
  <si>
    <t xml:space="preserve">CPALTT01KRM659N ends 2023-11; CPALTT01CNM659N ends 2025-04.</t>
  </si>
  <si>
    <t xml:space="preserve">Replaced by OECD Data Explorer DF_PRICES_ALL (official successor).</t>
  </si>
  <si>
    <t xml:space="preserve">21</t>
  </si>
  <si>
    <t xml:space="preserve">SSB table 03013</t>
  </si>
  <si>
    <t xml:space="preserve">SSB marks 03013 as "closed series" (ends 2025M12).</t>
  </si>
  <si>
    <t xml:space="preserve">Replaced by SSB table 14710 (2025=100).</t>
  </si>
  <si>
    <t xml:space="preserve">https://www.ssb.no/en/statbank/table/14710</t>
  </si>
  <si>
    <t xml:space="preserve">22</t>
  </si>
  <si>
    <t xml:space="preserve">Eurostat prc_hicp_manr</t>
  </si>
  <si>
    <t xml:space="preserve">Dataset ends 2025-12 (ECOICOP v2 switch).</t>
  </si>
  <si>
    <t xml:space="preserve">Replaced by prc_hicp_minr (unit RCH_A, coicop18 TOTAL).</t>
  </si>
  <si>
    <t xml:space="preserve">23</t>
  </si>
  <si>
    <t xml:space="preserve">GBR CPI: OECD vs ONS</t>
  </si>
  <si>
    <t xml:space="preserve">Source conflict (definition)</t>
  </si>
  <si>
    <t xml:space="preserve">OECD "national CPI" for GBR (e.g. 2026-08: 3.3) equals ONS CPIH (L55O), NOT headline CPI D7G7 (2026-08: 3.1). Found during spot-check. Check column = OECD GBR minus ONS CPIH (0 = identical).</t>
  </si>
  <si>
    <t xml:space="preserve">Chosen: ONS D7G7 headline CPI (national office; the BoE target measure). OECD/CPIH kept and labelled.</t>
  </si>
  <si>
    <t xml:space="preserve">https://www.ons.gov.uk/economy/inflationandpriceindices</t>
  </si>
  <si>
    <t xml:space="preserve">24</t>
  </si>
  <si>
    <t xml:space="preserve">KOR CPI: OECD vs KOSTAT index</t>
  </si>
  <si>
    <t xml:space="preserve">Cross-check</t>
  </si>
  <si>
    <t xml:space="preserve">KOSTAT CPI index (ECOS 901Y009) y/y vs OECD KOR.</t>
  </si>
  <si>
    <t xml:space="preserve">KOSTAT (national office) used as primary in KOR sheet; OECD kept.</t>
  </si>
  <si>
    <t xml:space="preserve">25</t>
  </si>
  <si>
    <t xml:space="preserve">DEXNOUS 2026-10-01 and 2026-10-02</t>
  </si>
  <si>
    <t xml:space="preserve">Possible stale value in source</t>
  </si>
  <si>
    <t xml:space="preserve">FRED shows 9.6386 on both days, while Norges Bank shows 9.6256 and 9.6494 and the ECB cross gives different values on each day.</t>
  </si>
  <si>
    <t xml:space="preserve">Kept as published (not overwritten). For NOK work use Norges Bank column as cross-check; re-pull after next H.10 release.</t>
  </si>
  <si>
    <t xml:space="preserve">26</t>
  </si>
  <si>
    <t xml:space="preserve">UFXRA (unallocated reserves)</t>
  </si>
  <si>
    <t xml:space="preserve">Source value</t>
  </si>
  <si>
    <t xml:space="preserve">Current IMF COFER API returns unallocated reserves = 0 and allocated = total for every quarter 2016–2026.</t>
  </si>
  <si>
    <t xml:space="preserve">Kept as published; currency shares are of allocated reserves.</t>
  </si>
  <si>
    <t xml:space="preserve">https://data.imf.org/en/datasets/IMF.STA:COFER</t>
  </si>
  <si>
    <t xml:space="preserve">27</t>
  </si>
  <si>
    <t xml:space="preserve">Eurostat HICP latest month</t>
  </si>
  <si>
    <t xml:space="preserve">Provisional</t>
  </si>
  <si>
    <t xml:space="preserve">Latest Eurostat month (2026-09 for EA/FR/DE) can be a flash/provisional estimate and may be revised.</t>
  </si>
  <si>
    <t xml:space="preserve">Kept; re-pull after final release.</t>
  </si>
  <si>
    <t xml:space="preserve">https://ec.europa.eu/eurostat/web/hicp</t>
  </si>
  <si>
    <t xml:space="preserve">28</t>
  </si>
  <si>
    <t xml:space="preserve">Eurostat HICP "EA"</t>
  </si>
  <si>
    <t xml:space="preserve">Composition change</t>
  </si>
  <si>
    <t xml:space="preserve">Euro area aggregate is evolving composition (EA21 from 2026).</t>
  </si>
  <si>
    <t xml:space="preserve">Used as the EUR inflation measure; note for long-run comparisons.</t>
  </si>
  <si>
    <t xml:space="preserve">29</t>
  </si>
  <si>
    <t xml:space="preserve">USA CPI y/y: BLS-index formula vs OECD</t>
  </si>
  <si>
    <t xml:space="preserve">Two routes to the same statistic.</t>
  </si>
  <si>
    <t xml:space="preserve">Both kept.</t>
  </si>
  <si>
    <t xml:space="preserve">30</t>
  </si>
  <si>
    <t xml:space="preserve">GDP_Growth / Trade_CurrentAccount / Inflation</t>
  </si>
  <si>
    <t xml:space="preserve">IMF DataMapper (NGDP_RPCH, NGDPD, PCPIPCH, BCA_NGDPD)</t>
  </si>
  <si>
    <t xml:space="preserve">Vintage</t>
  </si>
  <si>
    <t xml:space="preserve">DataMapper metadata: source "World Economic Outlook (April 2026)", last-modified 2026-04-08. Cross-checked NOR &amp; KOR NGDP_RPCH 2023–2028 vs IMF SDMX WEO: identical after rounding.</t>
  </si>
  <si>
    <t xml:space="preserve">2010–2025 in actual block; 2026–2028 in separate forecast block. 2025 may still be an IMF staff estimate for some countries (WEO "estimates start after" not exposed by the API). Re-pull after the next WEO release.</t>
  </si>
  <si>
    <t xml:space="preserve">https://www.imf.org/en/Publications/WEO</t>
  </si>
  <si>
    <t xml:space="preserve">31</t>
  </si>
  <si>
    <t xml:space="preserve">Quarterly GDP</t>
  </si>
  <si>
    <t xml:space="preserve">Source choice</t>
  </si>
  <si>
    <t xml:space="preserve">Brief asked for national statistics offices.</t>
  </si>
  <si>
    <t xml:space="preserve">Used OECD QNA (same national data, harmonised SA, one API) for all 7.</t>
  </si>
  <si>
    <t xml:space="preserve">BEA (bea.gov), KOSTAT/BoK, SSB, ONS, INSEE, Destatis, NBS (stats.gov.cn)</t>
  </si>
  <si>
    <t xml:space="preserve">32</t>
  </si>
  <si>
    <t xml:space="preserve">IMF DOTS / IMTS</t>
  </si>
  <si>
    <t xml:space="preserve">Not used</t>
  </si>
  <si>
    <t xml:space="preserve">IMF DOTS has been restructured (IMTS).</t>
  </si>
  <si>
    <t xml:space="preserve">UN Comtrade 2025 reporter data used for partners and HS2 products (free API, product detail).</t>
  </si>
  <si>
    <t xml:space="preserve">https://data.imf.org (IMTS)</t>
  </si>
  <si>
    <t xml:space="preserve">33</t>
  </si>
  <si>
    <t xml:space="preserve">Comtrade partner list</t>
  </si>
  <si>
    <t xml:space="preserve">Filtering</t>
  </si>
  <si>
    <t xml:space="preserve">Aggregate/unspecified partner rows exist (World, "Areas, nes", Bunkers, Free Zones…).</t>
  </si>
  <si>
    <t xml:space="preserve">Excluded from top-10 ranking; "Other Asia, nes" kept (= Taiwan in Comtrade).</t>
  </si>
  <si>
    <t xml:space="preserve">34</t>
  </si>
  <si>
    <t xml:space="preserve">Invoicing currency: USA, NOR, GBR, CHN</t>
  </si>
  <si>
    <t xml:space="preserve">No official machine-readable series retrieved.</t>
  </si>
  <si>
    <t xml:space="preserve">N/A with manual source in country sheets.</t>
  </si>
  <si>
    <t xml:space="preserve">HMRC (UK); PBoC RMB report (CN); Fed (US)</t>
  </si>
  <si>
    <t xml:space="preserve">35</t>
  </si>
  <si>
    <t xml:space="preserve">World Bank series</t>
  </si>
  <si>
    <t xml:space="preserve">All WDI indicators</t>
  </si>
  <si>
    <t xml:space="preserve">Lag</t>
  </si>
  <si>
    <t xml:space="preserve">Latest year 2025 (WDI last updated 2026-07-13); some 2025 values may be missing per country.</t>
  </si>
  <si>
    <t xml:space="preserve">Latest available year shown by formula.</t>
  </si>
  <si>
    <t xml:space="preserve">36</t>
  </si>
  <si>
    <t xml:space="preserve">NOK, KRW</t>
  </si>
  <si>
    <t xml:space="preserve">Not reported</t>
  </si>
  <si>
    <t xml:space="preserve">COFER reports USD, EUR, JPY, GBP, CNY, AUD, CAD, CHF and "other" only.</t>
  </si>
  <si>
    <t xml:space="preserve">N/A in NOR/KOR sheets.</t>
  </si>
  <si>
    <t xml:space="preserve">37</t>
  </si>
  <si>
    <t xml:space="preserve">Turnover</t>
  </si>
  <si>
    <t xml:space="preserve">Triennial survey (April); latest 2025.</t>
  </si>
  <si>
    <t xml:space="preserve">Shares as formulas; sum to 200%.</t>
  </si>
  <si>
    <t xml:space="preserve">38</t>
  </si>
  <si>
    <t xml:space="preserve">France / Germany</t>
  </si>
  <si>
    <t xml:space="preserve">Coverage</t>
  </si>
  <si>
    <t xml:space="preserve">Economist publishes euro area (EUZ), not FRA/DEU separately.</t>
  </si>
  <si>
    <t xml:space="preserve">EUZ used for both.</t>
  </si>
  <si>
    <t xml:space="preserve">39</t>
  </si>
  <si>
    <t xml:space="preserve">IMF IFS</t>
  </si>
  <si>
    <t xml:space="preserve">Exchange &amp; interest rates</t>
  </si>
  <si>
    <t xml:space="preserve">Central-bank and FRED primaries used instead (higher frequency, more current).</t>
  </si>
  <si>
    <t xml:space="preserve">40</t>
  </si>
  <si>
    <t xml:space="preserve">GBP OIS / Rates_Daily-derived columns</t>
  </si>
  <si>
    <t xml:space="preserve">Method</t>
  </si>
  <si>
    <t xml:space="preserve">BoE OIS spot rates are continuously compounded zero rates (BoE methodology); others are money-market or bond-equivalent yields.</t>
  </si>
  <si>
    <t xml:space="preserve">Document in Step 2 when building forwards.</t>
  </si>
  <si>
    <t xml:space="preserve">SPOT-CHECKS vs original source pages (Step 1D) — source value typed in blue from the page; workbook value is a formula; Match = formula</t>
  </si>
  <si>
    <t xml:space="preserve">Series</t>
  </si>
  <si>
    <t xml:space="preserve">Date / period</t>
  </si>
  <si>
    <t xml:space="preserve">Workbook value (formula)</t>
  </si>
  <si>
    <t xml:space="preserve">Source page value</t>
  </si>
  <si>
    <t xml:space="preserve">Difference (formula)</t>
  </si>
  <si>
    <t xml:space="preserve">Source page (checked 2026-10-07)</t>
  </si>
  <si>
    <t xml:space="preserve">DEXKOUS — KRW per USD</t>
  </si>
  <si>
    <t xml:space="preserve">DEXNOUS — NOK per USD</t>
  </si>
  <si>
    <t xml:space="preserve">https://fred.stlouisfed.org/series/DEXNOUS (page snapshot showed 2026-09-25 as latest)</t>
  </si>
  <si>
    <t xml:space="preserve">ECB reference rate — USD per EUR</t>
  </si>
  <si>
    <t xml:space="preserve">https://www.ecb.europa.eu/stats/policy_and_exchange_rates/euro_reference_exchange_rates/html/eurofxref-graph-usd.en.html</t>
  </si>
  <si>
    <t xml:space="preserve">Norges Bank policy rate</t>
  </si>
  <si>
    <t xml:space="preserve">https://www.norges-bank.no/en/topics/Monetary-policy/Policy-rate/ (4.5% from decision 24 Sep 2026)</t>
  </si>
  <si>
    <t xml:space="preserve">BoE Bank Rate</t>
  </si>
  <si>
    <t xml:space="preserve">https://www.bankofengland.co.uk/monetary-policy/the-interest-rate-bank-rate (held 17 Sep 2026)</t>
  </si>
  <si>
    <t xml:space="preserve">Euro area HICP y/y</t>
  </si>
  <si>
    <t xml:space="preserve">https://ec.europa.eu/eurostat/web/euro-indicators (flash, 2 Oct 2026)</t>
  </si>
  <si>
    <t xml:space="preserve">Extra cross-checks done in Python (not stored): ECB official XML eurofxref-hist-90d matched every ECB value 2026-09-21→2026-10-06; FX_Monthly and Rates_Monthly AVERAGEIFS matched pandas monthly means (max abs diff &lt; 1e-11).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</si>
</sst>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yyyy\-mm\-dd"/>
    <numFmt numFmtId="166" formatCode="0.0000"/>
    <numFmt numFmtId="167" formatCode="General"/>
    <numFmt numFmtId="168" formatCode="0"/>
    <numFmt numFmtId="169" formatCode="@"/>
    <numFmt numFmtId="170" formatCode="yyyy\-mm"/>
    <numFmt numFmtId="171" formatCode="0.000"/>
    <numFmt numFmtId="172" formatCode="0.0"/>
    <numFmt numFmtId="173" formatCode="0.00"/>
    <numFmt numFmtId="174" formatCode="#,##0.0"/>
    <numFmt numFmtId="175" formatCode="#,##0"/>
    <numFmt numFmtId="176" formatCode="0.0%"/>
    <numFmt numFmtId="177" formatCode="#,##0.00"/>
    <numFmt numFmtId="178" formatCode="0.00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9"/>
      <color rgb="FF000000"/>
      <name val="Arial"/>
      <family val="0"/>
      <charset val="1"/>
    </font>
    <font>
      <sz val="9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i val="true"/>
      <sz val="9"/>
      <color rgb="FF404040"/>
      <name val="Noto Sans CJK SC"/>
      <family val="2"/>
    </font>
    <font>
      <b val="true"/>
      <sz val="11"/>
      <color rgb="FF1F3864"/>
      <name val="Arial"/>
      <family val="0"/>
      <charset val="1"/>
    </font>
    <font>
      <b val="true"/>
      <sz val="9"/>
      <color rgb="FF9C5700"/>
      <name val="Arial"/>
      <family val="0"/>
      <charset val="1"/>
    </font>
    <font>
      <i val="true"/>
      <sz val="9"/>
      <color rgb="FF9C57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36"/>
    <col collapsed="false" customWidth="true" hidden="false" outlineLevel="0" max="6" min="5" style="0" width="50"/>
    <col collapsed="false" customWidth="true" hidden="false" outlineLevel="0" max="8" min="7" style="0" width="18"/>
    <col collapsed="false" customWidth="true" hidden="false" outlineLevel="0" max="11" min="9" style="0" width="12"/>
    <col collapsed="false" customWidth="true" hidden="false" outlineLevel="0" max="12" min="12" style="0" width="5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 customFormat="false" ht="15" hidden="false" customHeight="false" outlineLevel="0" collapsed="false">
      <c r="A6" s="4" t="s">
        <v>15</v>
      </c>
      <c r="B6" s="4" t="s">
        <v>16</v>
      </c>
      <c r="C6" s="4" t="s">
        <v>17</v>
      </c>
      <c r="D6" s="4" t="s">
        <v>18</v>
      </c>
      <c r="E6" s="4" t="s">
        <v>19</v>
      </c>
      <c r="F6" s="4" t="s">
        <v>20</v>
      </c>
      <c r="G6" s="4" t="s">
        <v>21</v>
      </c>
      <c r="H6" s="4" t="s">
        <v>22</v>
      </c>
      <c r="I6" s="5" t="n">
        <f aca="false">FX_Daily!B10</f>
        <v>42373</v>
      </c>
      <c r="J6" s="5" t="n">
        <f aca="false">FX_Daily!B11</f>
        <v>46297</v>
      </c>
      <c r="K6" s="4" t="s">
        <v>23</v>
      </c>
      <c r="L6" s="4"/>
    </row>
    <row r="7" customFormat="false" ht="15" hidden="false" customHeight="false" outlineLevel="0" collapsed="false">
      <c r="A7" s="4" t="s">
        <v>15</v>
      </c>
      <c r="B7" s="4" t="s">
        <v>24</v>
      </c>
      <c r="C7" s="4" t="s">
        <v>17</v>
      </c>
      <c r="D7" s="4" t="s">
        <v>25</v>
      </c>
      <c r="E7" s="4" t="s">
        <v>26</v>
      </c>
      <c r="F7" s="4" t="s">
        <v>27</v>
      </c>
      <c r="G7" s="4" t="s">
        <v>28</v>
      </c>
      <c r="H7" s="4" t="s">
        <v>22</v>
      </c>
      <c r="I7" s="5" t="n">
        <f aca="false">FX_Daily!C10</f>
        <v>42373</v>
      </c>
      <c r="J7" s="5" t="n">
        <f aca="false">FX_Daily!C11</f>
        <v>46297</v>
      </c>
      <c r="K7" s="4" t="s">
        <v>23</v>
      </c>
      <c r="L7" s="4"/>
    </row>
    <row r="8" customFormat="false" ht="15" hidden="false" customHeight="false" outlineLevel="0" collapsed="false">
      <c r="A8" s="4" t="s">
        <v>15</v>
      </c>
      <c r="B8" s="4" t="s">
        <v>29</v>
      </c>
      <c r="C8" s="4" t="s">
        <v>17</v>
      </c>
      <c r="D8" s="4" t="s">
        <v>30</v>
      </c>
      <c r="E8" s="4" t="s">
        <v>31</v>
      </c>
      <c r="F8" s="4" t="s">
        <v>32</v>
      </c>
      <c r="G8" s="4" t="s">
        <v>33</v>
      </c>
      <c r="H8" s="4" t="s">
        <v>22</v>
      </c>
      <c r="I8" s="5" t="n">
        <f aca="false">FX_Daily!D10</f>
        <v>42373</v>
      </c>
      <c r="J8" s="5" t="n">
        <f aca="false">FX_Daily!D11</f>
        <v>46297</v>
      </c>
      <c r="K8" s="4" t="s">
        <v>23</v>
      </c>
      <c r="L8" s="4"/>
    </row>
    <row r="9" customFormat="false" ht="15" hidden="false" customHeight="false" outlineLevel="0" collapsed="false">
      <c r="A9" s="4" t="s">
        <v>15</v>
      </c>
      <c r="B9" s="4" t="s">
        <v>34</v>
      </c>
      <c r="C9" s="4" t="s">
        <v>17</v>
      </c>
      <c r="D9" s="4" t="s">
        <v>35</v>
      </c>
      <c r="E9" s="4" t="s">
        <v>36</v>
      </c>
      <c r="F9" s="4" t="s">
        <v>37</v>
      </c>
      <c r="G9" s="4" t="s">
        <v>38</v>
      </c>
      <c r="H9" s="4" t="s">
        <v>22</v>
      </c>
      <c r="I9" s="5" t="n">
        <f aca="false">FX_Daily!E10</f>
        <v>42373</v>
      </c>
      <c r="J9" s="5" t="n">
        <f aca="false">FX_Daily!E11</f>
        <v>46297</v>
      </c>
      <c r="K9" s="4" t="s">
        <v>23</v>
      </c>
      <c r="L9" s="4"/>
    </row>
    <row r="10" customFormat="false" ht="15" hidden="false" customHeight="false" outlineLevel="0" collapsed="false">
      <c r="A10" s="4" t="s">
        <v>15</v>
      </c>
      <c r="B10" s="4" t="s">
        <v>39</v>
      </c>
      <c r="C10" s="4" t="s">
        <v>17</v>
      </c>
      <c r="D10" s="4" t="s">
        <v>40</v>
      </c>
      <c r="E10" s="4" t="s">
        <v>41</v>
      </c>
      <c r="F10" s="4" t="s">
        <v>42</v>
      </c>
      <c r="G10" s="4" t="s">
        <v>43</v>
      </c>
      <c r="H10" s="4" t="s">
        <v>22</v>
      </c>
      <c r="I10" s="5" t="n">
        <f aca="false">FX_Daily!F10</f>
        <v>42373</v>
      </c>
      <c r="J10" s="5" t="n">
        <f aca="false">FX_Daily!F11</f>
        <v>46297</v>
      </c>
      <c r="K10" s="4" t="s">
        <v>23</v>
      </c>
      <c r="L10" s="4"/>
    </row>
    <row r="11" customFormat="false" ht="15" hidden="false" customHeight="false" outlineLevel="0" collapsed="false">
      <c r="A11" s="4" t="s">
        <v>15</v>
      </c>
      <c r="B11" s="4" t="s">
        <v>44</v>
      </c>
      <c r="C11" s="4" t="s">
        <v>17</v>
      </c>
      <c r="D11" s="4" t="s">
        <v>45</v>
      </c>
      <c r="E11" s="4" t="s">
        <v>46</v>
      </c>
      <c r="F11" s="4" t="s">
        <v>47</v>
      </c>
      <c r="G11" s="4" t="s">
        <v>48</v>
      </c>
      <c r="H11" s="4" t="s">
        <v>22</v>
      </c>
      <c r="I11" s="5" t="n">
        <f aca="false">FX_Daily!G10</f>
        <v>42373</v>
      </c>
      <c r="J11" s="5" t="n">
        <f aca="false">FX_Daily!G11</f>
        <v>46297</v>
      </c>
      <c r="K11" s="4" t="s">
        <v>23</v>
      </c>
      <c r="L11" s="4"/>
    </row>
    <row r="12" customFormat="false" ht="15" hidden="false" customHeight="false" outlineLevel="0" collapsed="false">
      <c r="A12" s="4" t="s">
        <v>15</v>
      </c>
      <c r="B12" s="4" t="s">
        <v>49</v>
      </c>
      <c r="C12" s="4" t="s">
        <v>17</v>
      </c>
      <c r="D12" s="4" t="s">
        <v>50</v>
      </c>
      <c r="E12" s="4" t="s">
        <v>51</v>
      </c>
      <c r="F12" s="4" t="s">
        <v>52</v>
      </c>
      <c r="G12" s="4" t="s">
        <v>53</v>
      </c>
      <c r="H12" s="4" t="s">
        <v>22</v>
      </c>
      <c r="I12" s="5" t="n">
        <f aca="false">FX_Daily!H10</f>
        <v>42373</v>
      </c>
      <c r="J12" s="5" t="n">
        <f aca="false">FX_Daily!H11</f>
        <v>46297</v>
      </c>
      <c r="K12" s="4" t="s">
        <v>23</v>
      </c>
      <c r="L12" s="4"/>
    </row>
    <row r="13" customFormat="false" ht="15" hidden="false" customHeight="false" outlineLevel="0" collapsed="false">
      <c r="A13" s="4" t="s">
        <v>15</v>
      </c>
      <c r="B13" s="4" t="s">
        <v>54</v>
      </c>
      <c r="C13" s="4" t="s">
        <v>55</v>
      </c>
      <c r="D13" s="4" t="s">
        <v>56</v>
      </c>
      <c r="E13" s="4" t="s">
        <v>57</v>
      </c>
      <c r="F13" s="4" t="s">
        <v>58</v>
      </c>
      <c r="G13" s="4" t="s">
        <v>59</v>
      </c>
      <c r="H13" s="4" t="s">
        <v>60</v>
      </c>
      <c r="I13" s="5" t="n">
        <f aca="false">FX_Daily!I10</f>
        <v>42373</v>
      </c>
      <c r="J13" s="5" t="n">
        <f aca="false">FX_Daily!I11</f>
        <v>46301</v>
      </c>
      <c r="K13" s="4" t="s">
        <v>23</v>
      </c>
      <c r="L13" s="4"/>
    </row>
    <row r="14" customFormat="false" ht="15" hidden="false" customHeight="false" outlineLevel="0" collapsed="false">
      <c r="A14" s="4" t="s">
        <v>15</v>
      </c>
      <c r="B14" s="4" t="s">
        <v>61</v>
      </c>
      <c r="C14" s="4" t="s">
        <v>55</v>
      </c>
      <c r="D14" s="4" t="s">
        <v>62</v>
      </c>
      <c r="E14" s="4" t="s">
        <v>63</v>
      </c>
      <c r="F14" s="4" t="s">
        <v>64</v>
      </c>
      <c r="G14" s="4" t="s">
        <v>65</v>
      </c>
      <c r="H14" s="4" t="s">
        <v>60</v>
      </c>
      <c r="I14" s="5" t="n">
        <f aca="false">FX_Daily!J10</f>
        <v>42373</v>
      </c>
      <c r="J14" s="5" t="n">
        <f aca="false">FX_Daily!J11</f>
        <v>46301</v>
      </c>
      <c r="K14" s="4" t="s">
        <v>23</v>
      </c>
      <c r="L14" s="4"/>
    </row>
    <row r="15" customFormat="false" ht="15" hidden="false" customHeight="false" outlineLevel="0" collapsed="false">
      <c r="A15" s="4" t="s">
        <v>15</v>
      </c>
      <c r="B15" s="4" t="s">
        <v>66</v>
      </c>
      <c r="C15" s="4" t="s">
        <v>55</v>
      </c>
      <c r="D15" s="4" t="s">
        <v>67</v>
      </c>
      <c r="E15" s="4" t="s">
        <v>68</v>
      </c>
      <c r="F15" s="4" t="s">
        <v>69</v>
      </c>
      <c r="G15" s="4" t="s">
        <v>70</v>
      </c>
      <c r="H15" s="4" t="s">
        <v>60</v>
      </c>
      <c r="I15" s="5" t="n">
        <f aca="false">FX_Daily!K10</f>
        <v>42373</v>
      </c>
      <c r="J15" s="5" t="n">
        <f aca="false">FX_Daily!K11</f>
        <v>46301</v>
      </c>
      <c r="K15" s="4" t="s">
        <v>23</v>
      </c>
      <c r="L15" s="4"/>
    </row>
    <row r="16" customFormat="false" ht="15" hidden="false" customHeight="false" outlineLevel="0" collapsed="false">
      <c r="A16" s="4" t="s">
        <v>15</v>
      </c>
      <c r="B16" s="4" t="s">
        <v>71</v>
      </c>
      <c r="C16" s="4" t="s">
        <v>55</v>
      </c>
      <c r="D16" s="4" t="s">
        <v>72</v>
      </c>
      <c r="E16" s="4" t="s">
        <v>73</v>
      </c>
      <c r="F16" s="4" t="s">
        <v>74</v>
      </c>
      <c r="G16" s="4" t="s">
        <v>75</v>
      </c>
      <c r="H16" s="4" t="s">
        <v>60</v>
      </c>
      <c r="I16" s="5" t="n">
        <f aca="false">FX_Daily!L10</f>
        <v>42373</v>
      </c>
      <c r="J16" s="5" t="n">
        <f aca="false">FX_Daily!L11</f>
        <v>46301</v>
      </c>
      <c r="K16" s="4" t="s">
        <v>23</v>
      </c>
      <c r="L16" s="4"/>
    </row>
    <row r="17" customFormat="false" ht="15" hidden="false" customHeight="false" outlineLevel="0" collapsed="false">
      <c r="A17" s="4" t="s">
        <v>15</v>
      </c>
      <c r="B17" s="4" t="s">
        <v>76</v>
      </c>
      <c r="C17" s="4" t="s">
        <v>55</v>
      </c>
      <c r="D17" s="4" t="s">
        <v>77</v>
      </c>
      <c r="E17" s="4" t="s">
        <v>78</v>
      </c>
      <c r="F17" s="4" t="s">
        <v>79</v>
      </c>
      <c r="G17" s="4" t="s">
        <v>80</v>
      </c>
      <c r="H17" s="4" t="s">
        <v>60</v>
      </c>
      <c r="I17" s="5" t="n">
        <f aca="false">FX_Daily!M10</f>
        <v>42373</v>
      </c>
      <c r="J17" s="5" t="n">
        <f aca="false">FX_Daily!M11</f>
        <v>46301</v>
      </c>
      <c r="K17" s="4" t="s">
        <v>23</v>
      </c>
      <c r="L17" s="4"/>
    </row>
    <row r="18" customFormat="false" ht="15" hidden="false" customHeight="false" outlineLevel="0" collapsed="false">
      <c r="A18" s="4" t="s">
        <v>15</v>
      </c>
      <c r="B18" s="4" t="s">
        <v>81</v>
      </c>
      <c r="C18" s="4" t="s">
        <v>55</v>
      </c>
      <c r="D18" s="4" t="s">
        <v>82</v>
      </c>
      <c r="E18" s="4" t="s">
        <v>83</v>
      </c>
      <c r="F18" s="4" t="s">
        <v>84</v>
      </c>
      <c r="G18" s="4" t="s">
        <v>85</v>
      </c>
      <c r="H18" s="4" t="s">
        <v>60</v>
      </c>
      <c r="I18" s="5" t="n">
        <f aca="false">FX_Daily!N10</f>
        <v>42373</v>
      </c>
      <c r="J18" s="5" t="n">
        <f aca="false">FX_Daily!N11</f>
        <v>46301</v>
      </c>
      <c r="K18" s="4" t="s">
        <v>23</v>
      </c>
      <c r="L18" s="4"/>
    </row>
    <row r="19" customFormat="false" ht="15" hidden="false" customHeight="false" outlineLevel="0" collapsed="false">
      <c r="A19" s="4" t="s">
        <v>15</v>
      </c>
      <c r="B19" s="4" t="s">
        <v>86</v>
      </c>
      <c r="C19" s="4" t="s">
        <v>55</v>
      </c>
      <c r="D19" s="4" t="s">
        <v>87</v>
      </c>
      <c r="E19" s="4" t="s">
        <v>88</v>
      </c>
      <c r="F19" s="4" t="s">
        <v>89</v>
      </c>
      <c r="G19" s="4" t="s">
        <v>90</v>
      </c>
      <c r="H19" s="4" t="s">
        <v>60</v>
      </c>
      <c r="I19" s="5" t="n">
        <f aca="false">FX_Daily!O10</f>
        <v>42373</v>
      </c>
      <c r="J19" s="5" t="n">
        <f aca="false">FX_Daily!O11</f>
        <v>46301</v>
      </c>
      <c r="K19" s="4" t="s">
        <v>23</v>
      </c>
      <c r="L19" s="4"/>
    </row>
    <row r="20" customFormat="false" ht="15" hidden="false" customHeight="false" outlineLevel="0" collapsed="false">
      <c r="A20" s="4" t="s">
        <v>15</v>
      </c>
      <c r="B20" s="4" t="s">
        <v>91</v>
      </c>
      <c r="C20" s="4" t="s">
        <v>92</v>
      </c>
      <c r="D20" s="4" t="s">
        <v>93</v>
      </c>
      <c r="E20" s="4" t="s">
        <v>94</v>
      </c>
      <c r="F20" s="4" t="s">
        <v>95</v>
      </c>
      <c r="G20" s="4" t="s">
        <v>96</v>
      </c>
      <c r="H20" s="4" t="s">
        <v>97</v>
      </c>
      <c r="I20" s="5" t="n">
        <f aca="false">FX_Daily!P10</f>
        <v>42373</v>
      </c>
      <c r="J20" s="5" t="n">
        <f aca="false">FX_Daily!P11</f>
        <v>46301</v>
      </c>
      <c r="K20" s="4" t="s">
        <v>23</v>
      </c>
      <c r="L20" s="4"/>
    </row>
    <row r="21" customFormat="false" ht="15" hidden="false" customHeight="false" outlineLevel="0" collapsed="false">
      <c r="A21" s="4" t="s">
        <v>98</v>
      </c>
      <c r="B21" s="4" t="s">
        <v>99</v>
      </c>
      <c r="C21" s="4" t="s">
        <v>100</v>
      </c>
      <c r="D21" s="4" t="s">
        <v>101</v>
      </c>
      <c r="E21" s="4" t="s">
        <v>102</v>
      </c>
      <c r="F21" s="4"/>
      <c r="G21" s="4" t="s">
        <v>103</v>
      </c>
      <c r="H21" s="4" t="s">
        <v>104</v>
      </c>
      <c r="I21" s="5" t="n">
        <f aca="false">FX_Monthly!B10</f>
        <v>42370</v>
      </c>
      <c r="J21" s="5" t="n">
        <f aca="false">FX_Monthly!B11</f>
        <v>46296</v>
      </c>
      <c r="K21" s="4" t="s">
        <v>23</v>
      </c>
      <c r="L21" s="4" t="s">
        <v>105</v>
      </c>
    </row>
    <row r="22" customFormat="false" ht="15" hidden="false" customHeight="false" outlineLevel="0" collapsed="false">
      <c r="A22" s="4" t="s">
        <v>106</v>
      </c>
      <c r="B22" s="4" t="s">
        <v>107</v>
      </c>
      <c r="C22" s="4" t="s">
        <v>108</v>
      </c>
      <c r="D22" s="4" t="s">
        <v>109</v>
      </c>
      <c r="E22" s="4" t="s">
        <v>110</v>
      </c>
      <c r="F22" s="4" t="s">
        <v>111</v>
      </c>
      <c r="G22" s="4" t="s">
        <v>112</v>
      </c>
      <c r="H22" s="4" t="s">
        <v>22</v>
      </c>
      <c r="I22" s="5" t="n">
        <f aca="false">Rates_Daily!B10</f>
        <v>43193</v>
      </c>
      <c r="J22" s="5" t="n">
        <f aca="false">Rates_Daily!B11</f>
        <v>46300</v>
      </c>
      <c r="K22" s="4" t="s">
        <v>23</v>
      </c>
      <c r="L22" s="4"/>
    </row>
    <row r="23" customFormat="false" ht="15" hidden="false" customHeight="false" outlineLevel="0" collapsed="false">
      <c r="A23" s="4" t="s">
        <v>106</v>
      </c>
      <c r="B23" s="4" t="s">
        <v>113</v>
      </c>
      <c r="C23" s="4" t="s">
        <v>108</v>
      </c>
      <c r="D23" s="4" t="s">
        <v>114</v>
      </c>
      <c r="E23" s="4" t="s">
        <v>115</v>
      </c>
      <c r="F23" s="4" t="s">
        <v>116</v>
      </c>
      <c r="G23" s="4" t="s">
        <v>112</v>
      </c>
      <c r="H23" s="4" t="s">
        <v>22</v>
      </c>
      <c r="I23" s="5" t="n">
        <f aca="false">Rates_Daily!C10</f>
        <v>42370</v>
      </c>
      <c r="J23" s="5" t="n">
        <f aca="false">Rates_Daily!C11</f>
        <v>46301</v>
      </c>
      <c r="K23" s="4" t="s">
        <v>23</v>
      </c>
      <c r="L23" s="4"/>
    </row>
    <row r="24" customFormat="false" ht="15" hidden="false" customHeight="false" outlineLevel="0" collapsed="false">
      <c r="A24" s="4" t="s">
        <v>106</v>
      </c>
      <c r="B24" s="4" t="s">
        <v>117</v>
      </c>
      <c r="C24" s="4" t="s">
        <v>108</v>
      </c>
      <c r="D24" s="4" t="s">
        <v>118</v>
      </c>
      <c r="E24" s="4" t="s">
        <v>119</v>
      </c>
      <c r="F24" s="4" t="s">
        <v>120</v>
      </c>
      <c r="G24" s="4" t="s">
        <v>112</v>
      </c>
      <c r="H24" s="4" t="s">
        <v>22</v>
      </c>
      <c r="I24" s="5" t="n">
        <f aca="false">Rates_Daily!D10</f>
        <v>42370</v>
      </c>
      <c r="J24" s="5" t="n">
        <f aca="false">Rates_Daily!D11</f>
        <v>46301</v>
      </c>
      <c r="K24" s="4" t="s">
        <v>23</v>
      </c>
      <c r="L24" s="4"/>
    </row>
    <row r="25" customFormat="false" ht="15" hidden="false" customHeight="false" outlineLevel="0" collapsed="false">
      <c r="A25" s="4" t="s">
        <v>106</v>
      </c>
      <c r="B25" s="4" t="s">
        <v>121</v>
      </c>
      <c r="C25" s="4" t="s">
        <v>55</v>
      </c>
      <c r="D25" s="4" t="s">
        <v>122</v>
      </c>
      <c r="E25" s="4" t="s">
        <v>123</v>
      </c>
      <c r="F25" s="4" t="s">
        <v>124</v>
      </c>
      <c r="G25" s="4" t="s">
        <v>125</v>
      </c>
      <c r="H25" s="4" t="s">
        <v>126</v>
      </c>
      <c r="I25" s="5" t="n">
        <f aca="false">Rates_Daily!E10</f>
        <v>43739</v>
      </c>
      <c r="J25" s="5" t="n">
        <f aca="false">Rates_Daily!E11</f>
        <v>46301</v>
      </c>
      <c r="K25" s="4" t="s">
        <v>23</v>
      </c>
      <c r="L25" s="4"/>
    </row>
    <row r="26" customFormat="false" ht="15" hidden="false" customHeight="false" outlineLevel="0" collapsed="false">
      <c r="A26" s="4" t="s">
        <v>106</v>
      </c>
      <c r="B26" s="4" t="s">
        <v>127</v>
      </c>
      <c r="C26" s="4" t="s">
        <v>55</v>
      </c>
      <c r="D26" s="4" t="s">
        <v>128</v>
      </c>
      <c r="E26" s="4" t="s">
        <v>129</v>
      </c>
      <c r="F26" s="4" t="s">
        <v>130</v>
      </c>
      <c r="G26" s="4" t="s">
        <v>125</v>
      </c>
      <c r="H26" s="4" t="s">
        <v>131</v>
      </c>
      <c r="I26" s="5" t="n">
        <f aca="false">Rates_Daily!F10</f>
        <v>42370</v>
      </c>
      <c r="J26" s="5" t="n">
        <f aca="false">Rates_Daily!F11</f>
        <v>46302</v>
      </c>
      <c r="K26" s="4" t="s">
        <v>23</v>
      </c>
      <c r="L26" s="4"/>
    </row>
    <row r="27" customFormat="false" ht="15" hidden="false" customHeight="false" outlineLevel="0" collapsed="false">
      <c r="A27" s="4" t="s">
        <v>106</v>
      </c>
      <c r="B27" s="4" t="s">
        <v>132</v>
      </c>
      <c r="C27" s="4" t="s">
        <v>133</v>
      </c>
      <c r="D27" s="4" t="s">
        <v>134</v>
      </c>
      <c r="E27" s="4" t="s">
        <v>135</v>
      </c>
      <c r="F27" s="4" t="s">
        <v>136</v>
      </c>
      <c r="G27" s="4" t="s">
        <v>125</v>
      </c>
      <c r="H27" s="4" t="s">
        <v>22</v>
      </c>
      <c r="I27" s="5" t="n">
        <f aca="false">Rates_Daily!G10</f>
        <v>42373</v>
      </c>
      <c r="J27" s="5" t="n">
        <f aca="false">Rates_Daily!G11</f>
        <v>46301</v>
      </c>
      <c r="K27" s="4" t="s">
        <v>23</v>
      </c>
      <c r="L27" s="4"/>
    </row>
    <row r="28" customFormat="false" ht="15" hidden="false" customHeight="false" outlineLevel="0" collapsed="false">
      <c r="A28" s="4" t="s">
        <v>106</v>
      </c>
      <c r="B28" s="4" t="s">
        <v>137</v>
      </c>
      <c r="C28" s="4" t="s">
        <v>133</v>
      </c>
      <c r="D28" s="4" t="s">
        <v>138</v>
      </c>
      <c r="E28" s="4" t="s">
        <v>139</v>
      </c>
      <c r="F28" s="4" t="s">
        <v>140</v>
      </c>
      <c r="G28" s="4" t="s">
        <v>125</v>
      </c>
      <c r="H28" s="4" t="s">
        <v>22</v>
      </c>
      <c r="I28" s="5" t="n">
        <f aca="false">Rates_Daily!H10</f>
        <v>42373</v>
      </c>
      <c r="J28" s="5" t="n">
        <f aca="false">Rates_Daily!H11</f>
        <v>46300</v>
      </c>
      <c r="K28" s="4" t="s">
        <v>23</v>
      </c>
      <c r="L28" s="4"/>
    </row>
    <row r="29" customFormat="false" ht="15" hidden="false" customHeight="false" outlineLevel="0" collapsed="false">
      <c r="A29" s="4" t="s">
        <v>106</v>
      </c>
      <c r="B29" s="4" t="s">
        <v>141</v>
      </c>
      <c r="C29" s="4" t="s">
        <v>142</v>
      </c>
      <c r="D29" s="4" t="s">
        <v>143</v>
      </c>
      <c r="E29" s="4" t="s">
        <v>144</v>
      </c>
      <c r="F29" s="4" t="s">
        <v>145</v>
      </c>
      <c r="G29" s="4" t="s">
        <v>125</v>
      </c>
      <c r="H29" s="4" t="s">
        <v>22</v>
      </c>
      <c r="I29" s="5" t="n">
        <f aca="false">Rates_Daily!I10</f>
        <v>42373</v>
      </c>
      <c r="J29" s="5" t="n">
        <f aca="false">Rates_Daily!I11</f>
        <v>46300</v>
      </c>
      <c r="K29" s="4" t="s">
        <v>23</v>
      </c>
      <c r="L29" s="4"/>
    </row>
    <row r="30" customFormat="false" ht="15" hidden="false" customHeight="false" outlineLevel="0" collapsed="false">
      <c r="A30" s="4" t="s">
        <v>106</v>
      </c>
      <c r="B30" s="4" t="s">
        <v>146</v>
      </c>
      <c r="C30" s="4" t="s">
        <v>142</v>
      </c>
      <c r="D30" s="4" t="s">
        <v>147</v>
      </c>
      <c r="E30" s="4" t="s">
        <v>148</v>
      </c>
      <c r="F30" s="4" t="s">
        <v>145</v>
      </c>
      <c r="G30" s="4" t="s">
        <v>125</v>
      </c>
      <c r="H30" s="4" t="s">
        <v>22</v>
      </c>
      <c r="I30" s="5" t="n">
        <f aca="false">Rates_Daily!J10</f>
        <v>42373</v>
      </c>
      <c r="J30" s="5" t="n">
        <f aca="false">Rates_Daily!J11</f>
        <v>46300</v>
      </c>
      <c r="K30" s="4" t="s">
        <v>23</v>
      </c>
      <c r="L30" s="4"/>
    </row>
    <row r="31" customFormat="false" ht="15" hidden="false" customHeight="false" outlineLevel="0" collapsed="false">
      <c r="A31" s="4" t="s">
        <v>106</v>
      </c>
      <c r="B31" s="4" t="s">
        <v>149</v>
      </c>
      <c r="C31" s="4" t="s">
        <v>142</v>
      </c>
      <c r="D31" s="4" t="s">
        <v>150</v>
      </c>
      <c r="E31" s="4" t="s">
        <v>151</v>
      </c>
      <c r="F31" s="4" t="s">
        <v>145</v>
      </c>
      <c r="G31" s="4" t="s">
        <v>125</v>
      </c>
      <c r="H31" s="4" t="s">
        <v>22</v>
      </c>
      <c r="I31" s="5" t="n">
        <f aca="false">Rates_Daily!K10</f>
        <v>42373</v>
      </c>
      <c r="J31" s="5" t="n">
        <f aca="false">Rates_Daily!K11</f>
        <v>46300</v>
      </c>
      <c r="K31" s="4" t="s">
        <v>23</v>
      </c>
      <c r="L31" s="4"/>
    </row>
    <row r="32" customFormat="false" ht="15" hidden="false" customHeight="false" outlineLevel="0" collapsed="false">
      <c r="A32" s="4" t="s">
        <v>106</v>
      </c>
      <c r="B32" s="4" t="s">
        <v>152</v>
      </c>
      <c r="C32" s="4" t="s">
        <v>142</v>
      </c>
      <c r="D32" s="4" t="s">
        <v>153</v>
      </c>
      <c r="E32" s="4" t="s">
        <v>154</v>
      </c>
      <c r="F32" s="4" t="s">
        <v>145</v>
      </c>
      <c r="G32" s="4" t="s">
        <v>125</v>
      </c>
      <c r="H32" s="4" t="s">
        <v>22</v>
      </c>
      <c r="I32" s="5" t="n">
        <f aca="false">Rates_Daily!L10</f>
        <v>42373</v>
      </c>
      <c r="J32" s="5" t="n">
        <f aca="false">Rates_Daily!L11</f>
        <v>46300</v>
      </c>
      <c r="K32" s="4" t="s">
        <v>23</v>
      </c>
      <c r="L32" s="4"/>
    </row>
    <row r="33" customFormat="false" ht="15" hidden="false" customHeight="false" outlineLevel="0" collapsed="false">
      <c r="A33" s="4" t="s">
        <v>106</v>
      </c>
      <c r="B33" s="4" t="s">
        <v>155</v>
      </c>
      <c r="C33" s="4" t="s">
        <v>156</v>
      </c>
      <c r="D33" s="4" t="s">
        <v>157</v>
      </c>
      <c r="E33" s="4" t="s">
        <v>158</v>
      </c>
      <c r="F33" s="4" t="s">
        <v>159</v>
      </c>
      <c r="G33" s="4" t="s">
        <v>125</v>
      </c>
      <c r="H33" s="4" t="s">
        <v>160</v>
      </c>
      <c r="I33" s="5" t="n">
        <f aca="false">Rates_Daily!M10</f>
        <v>42373</v>
      </c>
      <c r="J33" s="5" t="n">
        <f aca="false">Rates_Daily!M11</f>
        <v>46295</v>
      </c>
      <c r="K33" s="4" t="s">
        <v>23</v>
      </c>
      <c r="L33" s="4"/>
    </row>
    <row r="34" customFormat="false" ht="15" hidden="false" customHeight="false" outlineLevel="0" collapsed="false">
      <c r="A34" s="4" t="s">
        <v>106</v>
      </c>
      <c r="B34" s="4" t="s">
        <v>161</v>
      </c>
      <c r="C34" s="4" t="s">
        <v>156</v>
      </c>
      <c r="D34" s="4" t="s">
        <v>162</v>
      </c>
      <c r="E34" s="4" t="s">
        <v>163</v>
      </c>
      <c r="F34" s="4" t="s">
        <v>159</v>
      </c>
      <c r="G34" s="4" t="s">
        <v>125</v>
      </c>
      <c r="H34" s="4" t="s">
        <v>160</v>
      </c>
      <c r="I34" s="5" t="n">
        <f aca="false">Rates_Daily!N10</f>
        <v>42373</v>
      </c>
      <c r="J34" s="5" t="n">
        <f aca="false">Rates_Daily!N11</f>
        <v>46295</v>
      </c>
      <c r="K34" s="4" t="s">
        <v>23</v>
      </c>
      <c r="L34" s="4"/>
    </row>
    <row r="35" customFormat="false" ht="15" hidden="false" customHeight="false" outlineLevel="0" collapsed="false">
      <c r="A35" s="4" t="s">
        <v>106</v>
      </c>
      <c r="B35" s="4" t="s">
        <v>164</v>
      </c>
      <c r="C35" s="4" t="s">
        <v>156</v>
      </c>
      <c r="D35" s="4" t="s">
        <v>165</v>
      </c>
      <c r="E35" s="4" t="s">
        <v>166</v>
      </c>
      <c r="F35" s="4" t="s">
        <v>159</v>
      </c>
      <c r="G35" s="4" t="s">
        <v>125</v>
      </c>
      <c r="H35" s="4" t="s">
        <v>160</v>
      </c>
      <c r="I35" s="5" t="n">
        <f aca="false">Rates_Daily!O10</f>
        <v>42373</v>
      </c>
      <c r="J35" s="5" t="n">
        <f aca="false">Rates_Daily!O11</f>
        <v>46295</v>
      </c>
      <c r="K35" s="4" t="s">
        <v>23</v>
      </c>
      <c r="L35" s="4"/>
    </row>
    <row r="36" customFormat="false" ht="15" hidden="false" customHeight="false" outlineLevel="0" collapsed="false">
      <c r="A36" s="4" t="s">
        <v>106</v>
      </c>
      <c r="B36" s="4" t="s">
        <v>167</v>
      </c>
      <c r="C36" s="4" t="s">
        <v>156</v>
      </c>
      <c r="D36" s="4" t="s">
        <v>168</v>
      </c>
      <c r="E36" s="4" t="s">
        <v>169</v>
      </c>
      <c r="F36" s="4" t="s">
        <v>159</v>
      </c>
      <c r="G36" s="4" t="s">
        <v>125</v>
      </c>
      <c r="H36" s="4" t="s">
        <v>160</v>
      </c>
      <c r="I36" s="5" t="n">
        <f aca="false">Rates_Daily!P10</f>
        <v>42373</v>
      </c>
      <c r="J36" s="5" t="n">
        <f aca="false">Rates_Daily!P11</f>
        <v>46295</v>
      </c>
      <c r="K36" s="4" t="s">
        <v>23</v>
      </c>
      <c r="L36" s="4"/>
    </row>
    <row r="37" customFormat="false" ht="15" hidden="false" customHeight="false" outlineLevel="0" collapsed="false">
      <c r="A37" s="4" t="s">
        <v>106</v>
      </c>
      <c r="B37" s="4" t="s">
        <v>170</v>
      </c>
      <c r="C37" s="4" t="s">
        <v>171</v>
      </c>
      <c r="D37" s="4" t="s">
        <v>172</v>
      </c>
      <c r="E37" s="4" t="s">
        <v>173</v>
      </c>
      <c r="F37" s="4" t="s">
        <v>174</v>
      </c>
      <c r="G37" s="4" t="s">
        <v>125</v>
      </c>
      <c r="H37" s="4" t="s">
        <v>22</v>
      </c>
      <c r="I37" s="5" t="n">
        <f aca="false">Rates_Daily!Q10</f>
        <v>42373</v>
      </c>
      <c r="J37" s="5" t="n">
        <f aca="false">Rates_Daily!Q11</f>
        <v>46301</v>
      </c>
      <c r="K37" s="4" t="s">
        <v>23</v>
      </c>
      <c r="L37" s="4"/>
    </row>
    <row r="38" customFormat="false" ht="15" hidden="false" customHeight="false" outlineLevel="0" collapsed="false">
      <c r="A38" s="4" t="s">
        <v>106</v>
      </c>
      <c r="B38" s="4" t="s">
        <v>175</v>
      </c>
      <c r="C38" s="4" t="s">
        <v>171</v>
      </c>
      <c r="D38" s="4" t="s">
        <v>176</v>
      </c>
      <c r="E38" s="4" t="s">
        <v>177</v>
      </c>
      <c r="F38" s="4" t="s">
        <v>178</v>
      </c>
      <c r="G38" s="4" t="s">
        <v>125</v>
      </c>
      <c r="H38" s="4" t="s">
        <v>22</v>
      </c>
      <c r="I38" s="5" t="n">
        <f aca="false">Rates_Daily!R10</f>
        <v>42373</v>
      </c>
      <c r="J38" s="5" t="n">
        <f aca="false">Rates_Daily!R11</f>
        <v>46301</v>
      </c>
      <c r="K38" s="4" t="s">
        <v>23</v>
      </c>
      <c r="L38" s="4"/>
    </row>
    <row r="39" customFormat="false" ht="15" hidden="false" customHeight="false" outlineLevel="0" collapsed="false">
      <c r="A39" s="4" t="s">
        <v>106</v>
      </c>
      <c r="B39" s="4" t="s">
        <v>179</v>
      </c>
      <c r="C39" s="4" t="s">
        <v>180</v>
      </c>
      <c r="D39" s="4" t="s">
        <v>181</v>
      </c>
      <c r="E39" s="4" t="s">
        <v>182</v>
      </c>
      <c r="F39" s="4" t="s">
        <v>183</v>
      </c>
      <c r="G39" s="4" t="s">
        <v>125</v>
      </c>
      <c r="H39" s="4" t="s">
        <v>22</v>
      </c>
      <c r="I39" s="5" t="n">
        <f aca="false">Rates_Daily!S10</f>
        <v>42370</v>
      </c>
      <c r="J39" s="5" t="n">
        <f aca="false">Rates_Daily!S11</f>
        <v>46302</v>
      </c>
      <c r="K39" s="4" t="s">
        <v>23</v>
      </c>
      <c r="L39" s="4"/>
    </row>
    <row r="40" customFormat="false" ht="15" hidden="false" customHeight="false" outlineLevel="0" collapsed="false">
      <c r="A40" s="4" t="s">
        <v>184</v>
      </c>
      <c r="B40" s="4" t="s">
        <v>185</v>
      </c>
      <c r="C40" s="4" t="s">
        <v>108</v>
      </c>
      <c r="D40" s="4" t="s">
        <v>186</v>
      </c>
      <c r="E40" s="4" t="s">
        <v>187</v>
      </c>
      <c r="F40" s="4" t="s">
        <v>188</v>
      </c>
      <c r="G40" s="4" t="s">
        <v>112</v>
      </c>
      <c r="H40" s="4" t="s">
        <v>104</v>
      </c>
      <c r="I40" s="5" t="n">
        <f aca="false">Rates_Monthly!B10</f>
        <v>42370</v>
      </c>
      <c r="J40" s="5" t="n">
        <f aca="false">Rates_Monthly!B11</f>
        <v>46266</v>
      </c>
      <c r="K40" s="4" t="s">
        <v>23</v>
      </c>
      <c r="L40" s="4"/>
    </row>
    <row r="41" customFormat="false" ht="15" hidden="false" customHeight="false" outlineLevel="0" collapsed="false">
      <c r="A41" s="4" t="s">
        <v>184</v>
      </c>
      <c r="B41" s="4" t="s">
        <v>189</v>
      </c>
      <c r="C41" s="4" t="s">
        <v>108</v>
      </c>
      <c r="D41" s="4" t="s">
        <v>190</v>
      </c>
      <c r="E41" s="4" t="s">
        <v>115</v>
      </c>
      <c r="F41" s="4" t="s">
        <v>116</v>
      </c>
      <c r="G41" s="4" t="s">
        <v>112</v>
      </c>
      <c r="H41" s="4" t="s">
        <v>191</v>
      </c>
      <c r="I41" s="5" t="n">
        <f aca="false">Rates_Monthly!C10</f>
        <v>42370</v>
      </c>
      <c r="J41" s="5" t="n">
        <f aca="false">Rates_Monthly!C11</f>
        <v>46296</v>
      </c>
      <c r="K41" s="4" t="s">
        <v>23</v>
      </c>
      <c r="L41" s="4"/>
    </row>
    <row r="42" customFormat="false" ht="15" hidden="false" customHeight="false" outlineLevel="0" collapsed="false">
      <c r="A42" s="4" t="s">
        <v>184</v>
      </c>
      <c r="B42" s="4" t="s">
        <v>192</v>
      </c>
      <c r="C42" s="4" t="s">
        <v>108</v>
      </c>
      <c r="D42" s="4" t="s">
        <v>193</v>
      </c>
      <c r="E42" s="4" t="s">
        <v>119</v>
      </c>
      <c r="F42" s="4" t="s">
        <v>120</v>
      </c>
      <c r="G42" s="4" t="s">
        <v>112</v>
      </c>
      <c r="H42" s="4" t="s">
        <v>191</v>
      </c>
      <c r="I42" s="5" t="n">
        <f aca="false">Rates_Monthly!D10</f>
        <v>42370</v>
      </c>
      <c r="J42" s="5" t="n">
        <f aca="false">Rates_Monthly!D11</f>
        <v>46296</v>
      </c>
      <c r="K42" s="4" t="s">
        <v>23</v>
      </c>
      <c r="L42" s="4"/>
    </row>
    <row r="43" customFormat="false" ht="15" hidden="false" customHeight="false" outlineLevel="0" collapsed="false">
      <c r="A43" s="4" t="s">
        <v>184</v>
      </c>
      <c r="B43" s="4" t="s">
        <v>194</v>
      </c>
      <c r="C43" s="4" t="s">
        <v>108</v>
      </c>
      <c r="D43" s="4" t="s">
        <v>195</v>
      </c>
      <c r="E43" s="4" t="s">
        <v>110</v>
      </c>
      <c r="F43" s="4" t="s">
        <v>111</v>
      </c>
      <c r="G43" s="4" t="s">
        <v>112</v>
      </c>
      <c r="H43" s="4" t="s">
        <v>196</v>
      </c>
      <c r="I43" s="5" t="n">
        <f aca="false">Rates_Monthly!E10</f>
        <v>43191</v>
      </c>
      <c r="J43" s="5" t="n">
        <f aca="false">Rates_Monthly!E11</f>
        <v>46296</v>
      </c>
      <c r="K43" s="4" t="s">
        <v>23</v>
      </c>
      <c r="L43" s="4"/>
    </row>
    <row r="44" customFormat="false" ht="15" hidden="false" customHeight="false" outlineLevel="0" collapsed="false">
      <c r="A44" s="4" t="s">
        <v>184</v>
      </c>
      <c r="B44" s="4" t="s">
        <v>197</v>
      </c>
      <c r="C44" s="4" t="s">
        <v>108</v>
      </c>
      <c r="D44" s="4" t="s">
        <v>198</v>
      </c>
      <c r="E44" s="4" t="s">
        <v>199</v>
      </c>
      <c r="F44" s="4" t="s">
        <v>200</v>
      </c>
      <c r="G44" s="4" t="s">
        <v>112</v>
      </c>
      <c r="H44" s="4" t="s">
        <v>104</v>
      </c>
      <c r="I44" s="5" t="n">
        <f aca="false">Rates_Monthly!F10</f>
        <v>42370</v>
      </c>
      <c r="J44" s="5" t="n">
        <f aca="false">Rates_Monthly!F11</f>
        <v>46266</v>
      </c>
      <c r="K44" s="4" t="s">
        <v>23</v>
      </c>
      <c r="L44" s="4"/>
    </row>
    <row r="45" customFormat="false" ht="15" hidden="false" customHeight="false" outlineLevel="0" collapsed="false">
      <c r="A45" s="4" t="s">
        <v>184</v>
      </c>
      <c r="B45" s="4" t="s">
        <v>201</v>
      </c>
      <c r="C45" s="4" t="s">
        <v>108</v>
      </c>
      <c r="D45" s="4" t="s">
        <v>202</v>
      </c>
      <c r="E45" s="4" t="s">
        <v>203</v>
      </c>
      <c r="F45" s="4" t="s">
        <v>204</v>
      </c>
      <c r="G45" s="4" t="s">
        <v>112</v>
      </c>
      <c r="H45" s="4" t="s">
        <v>104</v>
      </c>
      <c r="I45" s="5" t="n">
        <f aca="false">Rates_Monthly!G10</f>
        <v>42370</v>
      </c>
      <c r="J45" s="5" t="n">
        <f aca="false">Rates_Monthly!G11</f>
        <v>46266</v>
      </c>
      <c r="K45" s="4" t="s">
        <v>23</v>
      </c>
      <c r="L45" s="4"/>
    </row>
    <row r="46" customFormat="false" ht="15" hidden="false" customHeight="false" outlineLevel="0" collapsed="false">
      <c r="A46" s="4" t="s">
        <v>184</v>
      </c>
      <c r="B46" s="4" t="s">
        <v>205</v>
      </c>
      <c r="C46" s="4" t="s">
        <v>108</v>
      </c>
      <c r="D46" s="4" t="s">
        <v>206</v>
      </c>
      <c r="E46" s="4" t="s">
        <v>207</v>
      </c>
      <c r="F46" s="4" t="s">
        <v>208</v>
      </c>
      <c r="G46" s="4" t="s">
        <v>112</v>
      </c>
      <c r="H46" s="4" t="s">
        <v>104</v>
      </c>
      <c r="I46" s="5" t="n">
        <f aca="false">Rates_Monthly!H10</f>
        <v>42370</v>
      </c>
      <c r="J46" s="5" t="n">
        <f aca="false">Rates_Monthly!H11</f>
        <v>46266</v>
      </c>
      <c r="K46" s="4" t="s">
        <v>23</v>
      </c>
      <c r="L46" s="4"/>
    </row>
    <row r="47" customFormat="false" ht="15" hidden="false" customHeight="false" outlineLevel="0" collapsed="false">
      <c r="A47" s="4" t="s">
        <v>184</v>
      </c>
      <c r="B47" s="4" t="s">
        <v>209</v>
      </c>
      <c r="C47" s="4" t="s">
        <v>108</v>
      </c>
      <c r="D47" s="4" t="s">
        <v>210</v>
      </c>
      <c r="E47" s="4" t="s">
        <v>211</v>
      </c>
      <c r="F47" s="4" t="s">
        <v>212</v>
      </c>
      <c r="G47" s="4" t="s">
        <v>112</v>
      </c>
      <c r="H47" s="4" t="s">
        <v>104</v>
      </c>
      <c r="I47" s="5" t="n">
        <f aca="false">Rates_Monthly!I10</f>
        <v>42370</v>
      </c>
      <c r="J47" s="5" t="n">
        <f aca="false">Rates_Monthly!I11</f>
        <v>46266</v>
      </c>
      <c r="K47" s="4" t="s">
        <v>23</v>
      </c>
      <c r="L47" s="4"/>
    </row>
    <row r="48" customFormat="false" ht="15" hidden="false" customHeight="false" outlineLevel="0" collapsed="false">
      <c r="A48" s="4" t="s">
        <v>184</v>
      </c>
      <c r="B48" s="4" t="s">
        <v>213</v>
      </c>
      <c r="C48" s="4" t="s">
        <v>214</v>
      </c>
      <c r="D48" s="4" t="s">
        <v>215</v>
      </c>
      <c r="E48" s="4" t="s">
        <v>216</v>
      </c>
      <c r="F48" s="4" t="s">
        <v>217</v>
      </c>
      <c r="G48" s="4" t="s">
        <v>112</v>
      </c>
      <c r="H48" s="4" t="s">
        <v>104</v>
      </c>
      <c r="I48" s="5" t="n">
        <f aca="false">Rates_Monthly!J10</f>
        <v>42370</v>
      </c>
      <c r="J48" s="5" t="n">
        <f aca="false">Rates_Monthly!J11</f>
        <v>46235</v>
      </c>
      <c r="K48" s="4" t="s">
        <v>23</v>
      </c>
      <c r="L48" s="4"/>
    </row>
    <row r="49" customFormat="false" ht="15" hidden="false" customHeight="false" outlineLevel="0" collapsed="false">
      <c r="A49" s="4" t="s">
        <v>184</v>
      </c>
      <c r="B49" s="4" t="s">
        <v>218</v>
      </c>
      <c r="C49" s="4" t="s">
        <v>55</v>
      </c>
      <c r="D49" s="4" t="s">
        <v>219</v>
      </c>
      <c r="E49" s="4" t="s">
        <v>129</v>
      </c>
      <c r="F49" s="4" t="s">
        <v>130</v>
      </c>
      <c r="G49" s="4" t="s">
        <v>125</v>
      </c>
      <c r="H49" s="4" t="s">
        <v>191</v>
      </c>
      <c r="I49" s="5" t="n">
        <f aca="false">Rates_Monthly!K10</f>
        <v>42370</v>
      </c>
      <c r="J49" s="5" t="n">
        <f aca="false">Rates_Monthly!K11</f>
        <v>46296</v>
      </c>
      <c r="K49" s="4" t="s">
        <v>23</v>
      </c>
      <c r="L49" s="4"/>
    </row>
    <row r="50" customFormat="false" ht="15" hidden="false" customHeight="false" outlineLevel="0" collapsed="false">
      <c r="A50" s="4" t="s">
        <v>184</v>
      </c>
      <c r="B50" s="4" t="s">
        <v>220</v>
      </c>
      <c r="C50" s="4" t="s">
        <v>55</v>
      </c>
      <c r="D50" s="4" t="s">
        <v>221</v>
      </c>
      <c r="E50" s="4" t="s">
        <v>123</v>
      </c>
      <c r="F50" s="4" t="s">
        <v>124</v>
      </c>
      <c r="G50" s="4" t="s">
        <v>125</v>
      </c>
      <c r="H50" s="4" t="s">
        <v>196</v>
      </c>
      <c r="I50" s="5" t="n">
        <f aca="false">Rates_Monthly!L10</f>
        <v>43739</v>
      </c>
      <c r="J50" s="5" t="n">
        <f aca="false">Rates_Monthly!L11</f>
        <v>46296</v>
      </c>
      <c r="K50" s="4" t="s">
        <v>23</v>
      </c>
      <c r="L50" s="4"/>
    </row>
    <row r="51" customFormat="false" ht="15" hidden="false" customHeight="false" outlineLevel="0" collapsed="false">
      <c r="A51" s="4" t="s">
        <v>184</v>
      </c>
      <c r="B51" s="4" t="s">
        <v>222</v>
      </c>
      <c r="C51" s="4" t="s">
        <v>223</v>
      </c>
      <c r="D51" s="4" t="s">
        <v>224</v>
      </c>
      <c r="E51" s="4" t="s">
        <v>225</v>
      </c>
      <c r="F51" s="4" t="s">
        <v>226</v>
      </c>
      <c r="G51" s="4" t="s">
        <v>125</v>
      </c>
      <c r="H51" s="4" t="s">
        <v>227</v>
      </c>
      <c r="I51" s="5" t="n">
        <f aca="false">Rates_Monthly!M10</f>
        <v>42370</v>
      </c>
      <c r="J51" s="5" t="n">
        <f aca="false">Rates_Monthly!M11</f>
        <v>46266</v>
      </c>
      <c r="K51" s="4" t="s">
        <v>23</v>
      </c>
      <c r="L51" s="4"/>
    </row>
    <row r="52" customFormat="false" ht="15" hidden="false" customHeight="false" outlineLevel="0" collapsed="false">
      <c r="A52" s="4" t="s">
        <v>184</v>
      </c>
      <c r="B52" s="4" t="s">
        <v>228</v>
      </c>
      <c r="C52" s="4" t="s">
        <v>223</v>
      </c>
      <c r="D52" s="4" t="s">
        <v>229</v>
      </c>
      <c r="E52" s="4" t="s">
        <v>230</v>
      </c>
      <c r="F52" s="4" t="s">
        <v>231</v>
      </c>
      <c r="G52" s="4" t="s">
        <v>125</v>
      </c>
      <c r="H52" s="4" t="s">
        <v>227</v>
      </c>
      <c r="I52" s="5" t="n">
        <f aca="false">Rates_Monthly!N10</f>
        <v>42370</v>
      </c>
      <c r="J52" s="5" t="n">
        <f aca="false">Rates_Monthly!N11</f>
        <v>46266</v>
      </c>
      <c r="K52" s="4" t="s">
        <v>23</v>
      </c>
      <c r="L52" s="4"/>
    </row>
    <row r="53" customFormat="false" ht="15" hidden="false" customHeight="false" outlineLevel="0" collapsed="false">
      <c r="A53" s="4" t="s">
        <v>184</v>
      </c>
      <c r="B53" s="4" t="s">
        <v>232</v>
      </c>
      <c r="C53" s="4" t="s">
        <v>223</v>
      </c>
      <c r="D53" s="4" t="s">
        <v>233</v>
      </c>
      <c r="E53" s="4" t="s">
        <v>234</v>
      </c>
      <c r="F53" s="4" t="s">
        <v>235</v>
      </c>
      <c r="G53" s="4" t="s">
        <v>125</v>
      </c>
      <c r="H53" s="4" t="s">
        <v>227</v>
      </c>
      <c r="I53" s="5" t="n">
        <f aca="false">Rates_Monthly!O10</f>
        <v>42370</v>
      </c>
      <c r="J53" s="5" t="n">
        <f aca="false">Rates_Monthly!O11</f>
        <v>46266</v>
      </c>
      <c r="K53" s="4" t="s">
        <v>23</v>
      </c>
      <c r="L53" s="4"/>
    </row>
    <row r="54" customFormat="false" ht="15" hidden="false" customHeight="false" outlineLevel="0" collapsed="false">
      <c r="A54" s="4" t="s">
        <v>184</v>
      </c>
      <c r="B54" s="4" t="s">
        <v>236</v>
      </c>
      <c r="C54" s="4" t="s">
        <v>223</v>
      </c>
      <c r="D54" s="4" t="s">
        <v>237</v>
      </c>
      <c r="E54" s="4" t="s">
        <v>238</v>
      </c>
      <c r="F54" s="4" t="s">
        <v>239</v>
      </c>
      <c r="G54" s="4" t="s">
        <v>125</v>
      </c>
      <c r="H54" s="4" t="s">
        <v>227</v>
      </c>
      <c r="I54" s="5" t="n">
        <f aca="false">Rates_Monthly!P10</f>
        <v>42370</v>
      </c>
      <c r="J54" s="5" t="n">
        <f aca="false">Rates_Monthly!P11</f>
        <v>46266</v>
      </c>
      <c r="K54" s="4" t="s">
        <v>23</v>
      </c>
      <c r="L54" s="4"/>
    </row>
    <row r="55" customFormat="false" ht="15" hidden="false" customHeight="false" outlineLevel="0" collapsed="false">
      <c r="A55" s="4" t="s">
        <v>184</v>
      </c>
      <c r="B55" s="4" t="s">
        <v>240</v>
      </c>
      <c r="C55" s="4" t="s">
        <v>214</v>
      </c>
      <c r="D55" s="4" t="s">
        <v>241</v>
      </c>
      <c r="E55" s="4" t="s">
        <v>242</v>
      </c>
      <c r="F55" s="4" t="s">
        <v>243</v>
      </c>
      <c r="G55" s="4" t="s">
        <v>112</v>
      </c>
      <c r="H55" s="4" t="s">
        <v>104</v>
      </c>
      <c r="I55" s="5" t="n">
        <f aca="false">Rates_Monthly!Q10</f>
        <v>42370</v>
      </c>
      <c r="J55" s="5" t="n">
        <f aca="false">Rates_Monthly!Q11</f>
        <v>46023</v>
      </c>
      <c r="K55" s="4" t="s">
        <v>23</v>
      </c>
      <c r="L55" s="4" t="s">
        <v>244</v>
      </c>
    </row>
    <row r="56" customFormat="false" ht="15" hidden="false" customHeight="false" outlineLevel="0" collapsed="false">
      <c r="A56" s="4" t="s">
        <v>184</v>
      </c>
      <c r="B56" s="4" t="s">
        <v>245</v>
      </c>
      <c r="C56" s="4" t="s">
        <v>133</v>
      </c>
      <c r="D56" s="4" t="s">
        <v>246</v>
      </c>
      <c r="E56" s="4" t="s">
        <v>247</v>
      </c>
      <c r="F56" s="4" t="s">
        <v>248</v>
      </c>
      <c r="G56" s="4" t="s">
        <v>125</v>
      </c>
      <c r="H56" s="4" t="s">
        <v>227</v>
      </c>
      <c r="I56" s="5" t="n">
        <f aca="false">Rates_Monthly!R10</f>
        <v>42370</v>
      </c>
      <c r="J56" s="5" t="n">
        <f aca="false">Rates_Monthly!R11</f>
        <v>46266</v>
      </c>
      <c r="K56" s="4" t="s">
        <v>23</v>
      </c>
      <c r="L56" s="4"/>
    </row>
    <row r="57" customFormat="false" ht="15" hidden="false" customHeight="false" outlineLevel="0" collapsed="false">
      <c r="A57" s="4" t="s">
        <v>184</v>
      </c>
      <c r="B57" s="4" t="s">
        <v>249</v>
      </c>
      <c r="C57" s="4" t="s">
        <v>133</v>
      </c>
      <c r="D57" s="4" t="s">
        <v>250</v>
      </c>
      <c r="E57" s="4" t="s">
        <v>251</v>
      </c>
      <c r="F57" s="4" t="s">
        <v>252</v>
      </c>
      <c r="G57" s="4" t="s">
        <v>125</v>
      </c>
      <c r="H57" s="4" t="s">
        <v>227</v>
      </c>
      <c r="I57" s="5" t="n">
        <f aca="false">Rates_Monthly!S10</f>
        <v>42370</v>
      </c>
      <c r="J57" s="5" t="n">
        <f aca="false">Rates_Monthly!S11</f>
        <v>46266</v>
      </c>
      <c r="K57" s="4" t="s">
        <v>23</v>
      </c>
      <c r="L57" s="4"/>
    </row>
    <row r="58" customFormat="false" ht="15" hidden="false" customHeight="false" outlineLevel="0" collapsed="false">
      <c r="A58" s="4" t="s">
        <v>184</v>
      </c>
      <c r="B58" s="4" t="s">
        <v>253</v>
      </c>
      <c r="C58" s="4" t="s">
        <v>142</v>
      </c>
      <c r="D58" s="4" t="s">
        <v>254</v>
      </c>
      <c r="E58" s="4" t="s">
        <v>144</v>
      </c>
      <c r="F58" s="4" t="s">
        <v>145</v>
      </c>
      <c r="G58" s="4" t="s">
        <v>125</v>
      </c>
      <c r="H58" s="4" t="s">
        <v>196</v>
      </c>
      <c r="I58" s="5" t="n">
        <f aca="false">Rates_Monthly!T10</f>
        <v>42370</v>
      </c>
      <c r="J58" s="5" t="n">
        <f aca="false">Rates_Monthly!T11</f>
        <v>46296</v>
      </c>
      <c r="K58" s="4" t="s">
        <v>23</v>
      </c>
      <c r="L58" s="4"/>
    </row>
    <row r="59" customFormat="false" ht="15" hidden="false" customHeight="false" outlineLevel="0" collapsed="false">
      <c r="A59" s="4" t="s">
        <v>184</v>
      </c>
      <c r="B59" s="4" t="s">
        <v>255</v>
      </c>
      <c r="C59" s="4" t="s">
        <v>142</v>
      </c>
      <c r="D59" s="4" t="s">
        <v>256</v>
      </c>
      <c r="E59" s="4" t="s">
        <v>148</v>
      </c>
      <c r="F59" s="4" t="s">
        <v>145</v>
      </c>
      <c r="G59" s="4" t="s">
        <v>125</v>
      </c>
      <c r="H59" s="4" t="s">
        <v>196</v>
      </c>
      <c r="I59" s="5" t="n">
        <f aca="false">Rates_Monthly!U10</f>
        <v>42370</v>
      </c>
      <c r="J59" s="5" t="n">
        <f aca="false">Rates_Monthly!U11</f>
        <v>46296</v>
      </c>
      <c r="K59" s="4" t="s">
        <v>23</v>
      </c>
      <c r="L59" s="4"/>
    </row>
    <row r="60" customFormat="false" ht="15" hidden="false" customHeight="false" outlineLevel="0" collapsed="false">
      <c r="A60" s="4" t="s">
        <v>184</v>
      </c>
      <c r="B60" s="4" t="s">
        <v>257</v>
      </c>
      <c r="C60" s="4" t="s">
        <v>142</v>
      </c>
      <c r="D60" s="4" t="s">
        <v>258</v>
      </c>
      <c r="E60" s="4" t="s">
        <v>151</v>
      </c>
      <c r="F60" s="4" t="s">
        <v>145</v>
      </c>
      <c r="G60" s="4" t="s">
        <v>125</v>
      </c>
      <c r="H60" s="4" t="s">
        <v>196</v>
      </c>
      <c r="I60" s="5" t="n">
        <f aca="false">Rates_Monthly!V10</f>
        <v>42370</v>
      </c>
      <c r="J60" s="5" t="n">
        <f aca="false">Rates_Monthly!V11</f>
        <v>46296</v>
      </c>
      <c r="K60" s="4" t="s">
        <v>23</v>
      </c>
      <c r="L60" s="4"/>
    </row>
    <row r="61" customFormat="false" ht="15" hidden="false" customHeight="false" outlineLevel="0" collapsed="false">
      <c r="A61" s="4" t="s">
        <v>184</v>
      </c>
      <c r="B61" s="4" t="s">
        <v>259</v>
      </c>
      <c r="C61" s="4" t="s">
        <v>142</v>
      </c>
      <c r="D61" s="4" t="s">
        <v>260</v>
      </c>
      <c r="E61" s="4" t="s">
        <v>154</v>
      </c>
      <c r="F61" s="4" t="s">
        <v>145</v>
      </c>
      <c r="G61" s="4" t="s">
        <v>125</v>
      </c>
      <c r="H61" s="4" t="s">
        <v>196</v>
      </c>
      <c r="I61" s="5" t="n">
        <f aca="false">Rates_Monthly!W10</f>
        <v>42370</v>
      </c>
      <c r="J61" s="5" t="n">
        <f aca="false">Rates_Monthly!W11</f>
        <v>46296</v>
      </c>
      <c r="K61" s="4" t="s">
        <v>23</v>
      </c>
      <c r="L61" s="4"/>
    </row>
    <row r="62" customFormat="false" ht="15" hidden="false" customHeight="false" outlineLevel="0" collapsed="false">
      <c r="A62" s="4" t="s">
        <v>184</v>
      </c>
      <c r="B62" s="4" t="s">
        <v>261</v>
      </c>
      <c r="C62" s="4" t="s">
        <v>214</v>
      </c>
      <c r="D62" s="4" t="s">
        <v>262</v>
      </c>
      <c r="E62" s="4" t="s">
        <v>263</v>
      </c>
      <c r="F62" s="4" t="s">
        <v>264</v>
      </c>
      <c r="G62" s="4" t="s">
        <v>112</v>
      </c>
      <c r="H62" s="4" t="s">
        <v>104</v>
      </c>
      <c r="I62" s="5" t="n">
        <f aca="false">Rates_Monthly!X10</f>
        <v>42370</v>
      </c>
      <c r="J62" s="5" t="n">
        <f aca="false">Rates_Monthly!X11</f>
        <v>46023</v>
      </c>
      <c r="K62" s="4" t="s">
        <v>23</v>
      </c>
      <c r="L62" s="4" t="s">
        <v>265</v>
      </c>
    </row>
    <row r="63" customFormat="false" ht="15" hidden="false" customHeight="false" outlineLevel="0" collapsed="false">
      <c r="A63" s="4" t="s">
        <v>184</v>
      </c>
      <c r="B63" s="4" t="s">
        <v>266</v>
      </c>
      <c r="C63" s="4" t="s">
        <v>171</v>
      </c>
      <c r="D63" s="4" t="s">
        <v>267</v>
      </c>
      <c r="E63" s="4" t="s">
        <v>268</v>
      </c>
      <c r="F63" s="4" t="s">
        <v>269</v>
      </c>
      <c r="G63" s="4" t="s">
        <v>125</v>
      </c>
      <c r="H63" s="4" t="s">
        <v>227</v>
      </c>
      <c r="I63" s="5" t="n">
        <f aca="false">Rates_Monthly!Y10</f>
        <v>42370</v>
      </c>
      <c r="J63" s="5" t="n">
        <f aca="false">Rates_Monthly!Y11</f>
        <v>46266</v>
      </c>
      <c r="K63" s="4" t="s">
        <v>23</v>
      </c>
      <c r="L63" s="4"/>
    </row>
    <row r="64" customFormat="false" ht="15" hidden="false" customHeight="false" outlineLevel="0" collapsed="false">
      <c r="A64" s="4" t="s">
        <v>184</v>
      </c>
      <c r="B64" s="4" t="s">
        <v>270</v>
      </c>
      <c r="C64" s="4" t="s">
        <v>171</v>
      </c>
      <c r="D64" s="4" t="s">
        <v>271</v>
      </c>
      <c r="E64" s="4" t="s">
        <v>272</v>
      </c>
      <c r="F64" s="4" t="s">
        <v>273</v>
      </c>
      <c r="G64" s="4" t="s">
        <v>125</v>
      </c>
      <c r="H64" s="4" t="s">
        <v>227</v>
      </c>
      <c r="I64" s="5" t="n">
        <f aca="false">Rates_Monthly!Z10</f>
        <v>42370</v>
      </c>
      <c r="J64" s="5" t="n">
        <f aca="false">Rates_Monthly!Z11</f>
        <v>46266</v>
      </c>
      <c r="K64" s="4" t="s">
        <v>23</v>
      </c>
      <c r="L64" s="4"/>
    </row>
    <row r="65" customFormat="false" ht="15" hidden="false" customHeight="false" outlineLevel="0" collapsed="false">
      <c r="A65" s="4" t="s">
        <v>184</v>
      </c>
      <c r="B65" s="4" t="s">
        <v>274</v>
      </c>
      <c r="C65" s="4" t="s">
        <v>171</v>
      </c>
      <c r="D65" s="4" t="s">
        <v>275</v>
      </c>
      <c r="E65" s="4" t="s">
        <v>276</v>
      </c>
      <c r="F65" s="4" t="s">
        <v>277</v>
      </c>
      <c r="G65" s="4" t="s">
        <v>125</v>
      </c>
      <c r="H65" s="4" t="s">
        <v>227</v>
      </c>
      <c r="I65" s="5" t="n">
        <f aca="false">Rates_Monthly!AA10</f>
        <v>43466</v>
      </c>
      <c r="J65" s="5" t="n">
        <f aca="false">Rates_Monthly!AA11</f>
        <v>46266</v>
      </c>
      <c r="K65" s="4" t="s">
        <v>23</v>
      </c>
      <c r="L65" s="4" t="s">
        <v>278</v>
      </c>
    </row>
    <row r="66" customFormat="false" ht="15" hidden="false" customHeight="false" outlineLevel="0" collapsed="false">
      <c r="A66" s="4" t="s">
        <v>184</v>
      </c>
      <c r="B66" s="4" t="s">
        <v>279</v>
      </c>
      <c r="C66" s="4" t="s">
        <v>171</v>
      </c>
      <c r="D66" s="4" t="s">
        <v>280</v>
      </c>
      <c r="E66" s="4" t="s">
        <v>281</v>
      </c>
      <c r="F66" s="4" t="s">
        <v>282</v>
      </c>
      <c r="G66" s="4" t="s">
        <v>125</v>
      </c>
      <c r="H66" s="4" t="s">
        <v>227</v>
      </c>
      <c r="I66" s="5" t="n">
        <f aca="false">Rates_Monthly!AB10</f>
        <v>43466</v>
      </c>
      <c r="J66" s="5" t="n">
        <f aca="false">Rates_Monthly!AB11</f>
        <v>46266</v>
      </c>
      <c r="K66" s="4" t="s">
        <v>23</v>
      </c>
      <c r="L66" s="4" t="s">
        <v>283</v>
      </c>
    </row>
    <row r="67" customFormat="false" ht="15" hidden="false" customHeight="false" outlineLevel="0" collapsed="false">
      <c r="A67" s="4" t="s">
        <v>184</v>
      </c>
      <c r="B67" s="4" t="s">
        <v>284</v>
      </c>
      <c r="C67" s="4" t="s">
        <v>171</v>
      </c>
      <c r="D67" s="4" t="s">
        <v>285</v>
      </c>
      <c r="E67" s="4" t="s">
        <v>286</v>
      </c>
      <c r="F67" s="4" t="s">
        <v>287</v>
      </c>
      <c r="G67" s="4" t="s">
        <v>125</v>
      </c>
      <c r="H67" s="4" t="s">
        <v>227</v>
      </c>
      <c r="I67" s="5" t="n">
        <f aca="false">Rates_Monthly!AC10</f>
        <v>43466</v>
      </c>
      <c r="J67" s="5" t="n">
        <f aca="false">Rates_Monthly!AC11</f>
        <v>46266</v>
      </c>
      <c r="K67" s="4" t="s">
        <v>23</v>
      </c>
      <c r="L67" s="4" t="s">
        <v>283</v>
      </c>
    </row>
    <row r="68" customFormat="false" ht="15" hidden="false" customHeight="false" outlineLevel="0" collapsed="false">
      <c r="A68" s="4" t="s">
        <v>184</v>
      </c>
      <c r="B68" s="4" t="s">
        <v>288</v>
      </c>
      <c r="C68" s="4" t="s">
        <v>214</v>
      </c>
      <c r="D68" s="4" t="s">
        <v>289</v>
      </c>
      <c r="E68" s="4" t="s">
        <v>290</v>
      </c>
      <c r="F68" s="4" t="s">
        <v>291</v>
      </c>
      <c r="G68" s="4" t="s">
        <v>112</v>
      </c>
      <c r="H68" s="4" t="s">
        <v>104</v>
      </c>
      <c r="I68" s="5" t="n">
        <f aca="false">Rates_Monthly!AD10</f>
        <v>42370</v>
      </c>
      <c r="J68" s="5" t="n">
        <f aca="false">Rates_Monthly!AD11</f>
        <v>46235</v>
      </c>
      <c r="K68" s="4" t="s">
        <v>23</v>
      </c>
      <c r="L68" s="4"/>
    </row>
    <row r="69" customFormat="false" ht="15" hidden="false" customHeight="false" outlineLevel="0" collapsed="false">
      <c r="A69" s="4" t="s">
        <v>184</v>
      </c>
      <c r="B69" s="4" t="s">
        <v>292</v>
      </c>
      <c r="C69" s="4" t="s">
        <v>293</v>
      </c>
      <c r="D69" s="4" t="s">
        <v>294</v>
      </c>
      <c r="E69" s="4" t="s">
        <v>295</v>
      </c>
      <c r="F69" s="4" t="s">
        <v>296</v>
      </c>
      <c r="G69" s="4" t="s">
        <v>297</v>
      </c>
      <c r="H69" s="4" t="s">
        <v>227</v>
      </c>
      <c r="I69" s="5" t="n">
        <f aca="false">Rates_Monthly!AE10</f>
        <v>42370</v>
      </c>
      <c r="J69" s="5" t="n">
        <f aca="false">Rates_Monthly!AE11</f>
        <v>46266</v>
      </c>
      <c r="K69" s="4" t="s">
        <v>23</v>
      </c>
      <c r="L69" s="4"/>
    </row>
    <row r="70" customFormat="false" ht="15" hidden="false" customHeight="false" outlineLevel="0" collapsed="false">
      <c r="A70" s="4" t="s">
        <v>184</v>
      </c>
      <c r="B70" s="4" t="s">
        <v>298</v>
      </c>
      <c r="C70" s="4" t="s">
        <v>293</v>
      </c>
      <c r="D70" s="4" t="s">
        <v>299</v>
      </c>
      <c r="E70" s="4" t="s">
        <v>300</v>
      </c>
      <c r="F70" s="4" t="s">
        <v>301</v>
      </c>
      <c r="G70" s="4" t="s">
        <v>297</v>
      </c>
      <c r="H70" s="4" t="s">
        <v>227</v>
      </c>
      <c r="I70" s="5" t="n">
        <f aca="false">Rates_Monthly!AF10</f>
        <v>42370</v>
      </c>
      <c r="J70" s="5" t="n">
        <f aca="false">Rates_Monthly!AF11</f>
        <v>46266</v>
      </c>
      <c r="K70" s="4" t="s">
        <v>23</v>
      </c>
      <c r="L70" s="4"/>
    </row>
    <row r="71" customFormat="false" ht="15" hidden="false" customHeight="false" outlineLevel="0" collapsed="false">
      <c r="A71" s="4" t="s">
        <v>184</v>
      </c>
      <c r="B71" s="4" t="s">
        <v>302</v>
      </c>
      <c r="C71" s="4" t="s">
        <v>293</v>
      </c>
      <c r="D71" s="4" t="s">
        <v>303</v>
      </c>
      <c r="E71" s="4" t="s">
        <v>304</v>
      </c>
      <c r="F71" s="4" t="s">
        <v>305</v>
      </c>
      <c r="G71" s="4" t="s">
        <v>297</v>
      </c>
      <c r="H71" s="4" t="s">
        <v>227</v>
      </c>
      <c r="I71" s="5" t="n">
        <f aca="false">Rates_Monthly!AG10</f>
        <v>42370</v>
      </c>
      <c r="J71" s="5" t="n">
        <f aca="false">Rates_Monthly!AG11</f>
        <v>46266</v>
      </c>
      <c r="K71" s="4" t="s">
        <v>23</v>
      </c>
      <c r="L71" s="4"/>
    </row>
    <row r="72" customFormat="false" ht="15" hidden="false" customHeight="false" outlineLevel="0" collapsed="false">
      <c r="A72" s="4" t="s">
        <v>184</v>
      </c>
      <c r="B72" s="4" t="s">
        <v>306</v>
      </c>
      <c r="C72" s="4" t="s">
        <v>293</v>
      </c>
      <c r="D72" s="4" t="s">
        <v>307</v>
      </c>
      <c r="E72" s="4" t="s">
        <v>308</v>
      </c>
      <c r="F72" s="4" t="s">
        <v>309</v>
      </c>
      <c r="G72" s="4" t="s">
        <v>297</v>
      </c>
      <c r="H72" s="4" t="s">
        <v>227</v>
      </c>
      <c r="I72" s="5" t="n">
        <f aca="false">Rates_Monthly!AH10</f>
        <v>42370</v>
      </c>
      <c r="J72" s="5" t="n">
        <f aca="false">Rates_Monthly!AH11</f>
        <v>46266</v>
      </c>
      <c r="K72" s="4" t="s">
        <v>23</v>
      </c>
      <c r="L72" s="4"/>
    </row>
    <row r="73" customFormat="false" ht="15" hidden="false" customHeight="false" outlineLevel="0" collapsed="false">
      <c r="A73" s="4" t="s">
        <v>184</v>
      </c>
      <c r="B73" s="4" t="s">
        <v>310</v>
      </c>
      <c r="C73" s="4" t="s">
        <v>293</v>
      </c>
      <c r="D73" s="4" t="s">
        <v>311</v>
      </c>
      <c r="E73" s="4" t="s">
        <v>312</v>
      </c>
      <c r="F73" s="4" t="s">
        <v>313</v>
      </c>
      <c r="G73" s="4" t="s">
        <v>297</v>
      </c>
      <c r="H73" s="4" t="s">
        <v>227</v>
      </c>
      <c r="I73" s="5" t="n">
        <f aca="false">Rates_Monthly!AI10</f>
        <v>42370</v>
      </c>
      <c r="J73" s="5" t="n">
        <f aca="false">Rates_Monthly!AI11</f>
        <v>46266</v>
      </c>
      <c r="K73" s="4" t="s">
        <v>23</v>
      </c>
      <c r="L73" s="4"/>
    </row>
    <row r="74" customFormat="false" ht="15" hidden="false" customHeight="false" outlineLevel="0" collapsed="false">
      <c r="A74" s="4" t="s">
        <v>184</v>
      </c>
      <c r="B74" s="4" t="s">
        <v>314</v>
      </c>
      <c r="C74" s="4" t="s">
        <v>293</v>
      </c>
      <c r="D74" s="4" t="s">
        <v>315</v>
      </c>
      <c r="E74" s="4" t="s">
        <v>316</v>
      </c>
      <c r="F74" s="4" t="s">
        <v>317</v>
      </c>
      <c r="G74" s="4" t="s">
        <v>297</v>
      </c>
      <c r="H74" s="4" t="s">
        <v>227</v>
      </c>
      <c r="I74" s="5" t="n">
        <f aca="false">Rates_Monthly!AJ10</f>
        <v>42370</v>
      </c>
      <c r="J74" s="5" t="n">
        <f aca="false">Rates_Monthly!AJ11</f>
        <v>46266</v>
      </c>
      <c r="K74" s="4" t="s">
        <v>23</v>
      </c>
      <c r="L74" s="4"/>
    </row>
    <row r="75" customFormat="false" ht="15" hidden="false" customHeight="false" outlineLevel="0" collapsed="false">
      <c r="A75" s="4" t="s">
        <v>184</v>
      </c>
      <c r="B75" s="4" t="s">
        <v>318</v>
      </c>
      <c r="C75" s="4" t="s">
        <v>293</v>
      </c>
      <c r="D75" s="4" t="s">
        <v>319</v>
      </c>
      <c r="E75" s="4" t="s">
        <v>320</v>
      </c>
      <c r="F75" s="4" t="s">
        <v>321</v>
      </c>
      <c r="G75" s="4" t="s">
        <v>297</v>
      </c>
      <c r="H75" s="4" t="s">
        <v>227</v>
      </c>
      <c r="I75" s="5" t="n">
        <f aca="false">Rates_Monthly!AK10</f>
        <v>42370</v>
      </c>
      <c r="J75" s="5" t="n">
        <f aca="false">Rates_Monthly!AK11</f>
        <v>46266</v>
      </c>
      <c r="K75" s="4" t="s">
        <v>23</v>
      </c>
      <c r="L75" s="4"/>
    </row>
    <row r="76" customFormat="false" ht="15" hidden="false" customHeight="false" outlineLevel="0" collapsed="false">
      <c r="A76" s="4" t="s">
        <v>184</v>
      </c>
      <c r="B76" s="4" t="s">
        <v>322</v>
      </c>
      <c r="C76" s="4" t="s">
        <v>293</v>
      </c>
      <c r="D76" s="4" t="s">
        <v>323</v>
      </c>
      <c r="E76" s="4" t="s">
        <v>324</v>
      </c>
      <c r="F76" s="4" t="s">
        <v>325</v>
      </c>
      <c r="G76" s="4" t="s">
        <v>297</v>
      </c>
      <c r="H76" s="4" t="s">
        <v>227</v>
      </c>
      <c r="I76" s="5" t="n">
        <f aca="false">Rates_Monthly!AL10</f>
        <v>42370</v>
      </c>
      <c r="J76" s="5" t="n">
        <f aca="false">Rates_Monthly!AL11</f>
        <v>46266</v>
      </c>
      <c r="K76" s="4" t="s">
        <v>23</v>
      </c>
      <c r="L76" s="4"/>
    </row>
    <row r="77" customFormat="false" ht="15" hidden="false" customHeight="false" outlineLevel="0" collapsed="false">
      <c r="A77" s="4" t="s">
        <v>184</v>
      </c>
      <c r="B77" s="4" t="s">
        <v>326</v>
      </c>
      <c r="C77" s="4" t="s">
        <v>293</v>
      </c>
      <c r="D77" s="4" t="s">
        <v>327</v>
      </c>
      <c r="E77" s="4" t="s">
        <v>328</v>
      </c>
      <c r="F77" s="4" t="s">
        <v>329</v>
      </c>
      <c r="G77" s="4" t="s">
        <v>297</v>
      </c>
      <c r="H77" s="4" t="s">
        <v>227</v>
      </c>
      <c r="I77" s="5" t="n">
        <f aca="false">Rates_Monthly!AM10</f>
        <v>42370</v>
      </c>
      <c r="J77" s="5" t="n">
        <f aca="false">Rates_Monthly!AM11</f>
        <v>46266</v>
      </c>
      <c r="K77" s="4" t="s">
        <v>23</v>
      </c>
      <c r="L77" s="4"/>
    </row>
    <row r="78" customFormat="false" ht="15" hidden="false" customHeight="false" outlineLevel="0" collapsed="false">
      <c r="A78" s="4" t="s">
        <v>184</v>
      </c>
      <c r="B78" s="4" t="s">
        <v>330</v>
      </c>
      <c r="C78" s="4" t="s">
        <v>214</v>
      </c>
      <c r="D78" s="4" t="s">
        <v>331</v>
      </c>
      <c r="E78" s="4" t="s">
        <v>332</v>
      </c>
      <c r="F78" s="4" t="s">
        <v>333</v>
      </c>
      <c r="G78" s="4" t="s">
        <v>112</v>
      </c>
      <c r="H78" s="4" t="s">
        <v>104</v>
      </c>
      <c r="I78" s="5" t="n">
        <f aca="false">Rates_Monthly!AN10</f>
        <v>42370</v>
      </c>
      <c r="J78" s="5" t="n">
        <f aca="false">Rates_Monthly!AN11</f>
        <v>46235</v>
      </c>
      <c r="K78" s="4" t="s">
        <v>23</v>
      </c>
      <c r="L78" s="4"/>
    </row>
    <row r="79" customFormat="false" ht="15" hidden="false" customHeight="false" outlineLevel="0" collapsed="false">
      <c r="A79" s="4" t="s">
        <v>184</v>
      </c>
      <c r="B79" s="4" t="s">
        <v>334</v>
      </c>
      <c r="C79" s="4" t="s">
        <v>156</v>
      </c>
      <c r="D79" s="4" t="s">
        <v>335</v>
      </c>
      <c r="E79" s="4" t="s">
        <v>158</v>
      </c>
      <c r="F79" s="4" t="s">
        <v>159</v>
      </c>
      <c r="G79" s="4" t="s">
        <v>125</v>
      </c>
      <c r="H79" s="4" t="s">
        <v>196</v>
      </c>
      <c r="I79" s="5" t="n">
        <f aca="false">Rates_Monthly!AO10</f>
        <v>42370</v>
      </c>
      <c r="J79" s="5" t="n">
        <f aca="false">Rates_Monthly!AO11</f>
        <v>46266</v>
      </c>
      <c r="K79" s="4" t="s">
        <v>23</v>
      </c>
      <c r="L79" s="4"/>
    </row>
    <row r="80" customFormat="false" ht="15" hidden="false" customHeight="false" outlineLevel="0" collapsed="false">
      <c r="A80" s="4" t="s">
        <v>184</v>
      </c>
      <c r="B80" s="4" t="s">
        <v>336</v>
      </c>
      <c r="C80" s="4" t="s">
        <v>156</v>
      </c>
      <c r="D80" s="4" t="s">
        <v>337</v>
      </c>
      <c r="E80" s="4" t="s">
        <v>163</v>
      </c>
      <c r="F80" s="4" t="s">
        <v>159</v>
      </c>
      <c r="G80" s="4" t="s">
        <v>125</v>
      </c>
      <c r="H80" s="4" t="s">
        <v>196</v>
      </c>
      <c r="I80" s="5" t="n">
        <f aca="false">Rates_Monthly!AP10</f>
        <v>42370</v>
      </c>
      <c r="J80" s="5" t="n">
        <f aca="false">Rates_Monthly!AP11</f>
        <v>46266</v>
      </c>
      <c r="K80" s="4" t="s">
        <v>23</v>
      </c>
      <c r="L80" s="4"/>
    </row>
    <row r="81" customFormat="false" ht="15" hidden="false" customHeight="false" outlineLevel="0" collapsed="false">
      <c r="A81" s="4" t="s">
        <v>184</v>
      </c>
      <c r="B81" s="4" t="s">
        <v>338</v>
      </c>
      <c r="C81" s="4" t="s">
        <v>156</v>
      </c>
      <c r="D81" s="4" t="s">
        <v>339</v>
      </c>
      <c r="E81" s="4" t="s">
        <v>166</v>
      </c>
      <c r="F81" s="4" t="s">
        <v>159</v>
      </c>
      <c r="G81" s="4" t="s">
        <v>125</v>
      </c>
      <c r="H81" s="4" t="s">
        <v>196</v>
      </c>
      <c r="I81" s="5" t="n">
        <f aca="false">Rates_Monthly!AQ10</f>
        <v>42370</v>
      </c>
      <c r="J81" s="5" t="n">
        <f aca="false">Rates_Monthly!AQ11</f>
        <v>46266</v>
      </c>
      <c r="K81" s="4" t="s">
        <v>23</v>
      </c>
      <c r="L81" s="4"/>
    </row>
    <row r="82" customFormat="false" ht="15" hidden="false" customHeight="false" outlineLevel="0" collapsed="false">
      <c r="A82" s="4" t="s">
        <v>184</v>
      </c>
      <c r="B82" s="4" t="s">
        <v>340</v>
      </c>
      <c r="C82" s="4" t="s">
        <v>156</v>
      </c>
      <c r="D82" s="4" t="s">
        <v>341</v>
      </c>
      <c r="E82" s="4" t="s">
        <v>169</v>
      </c>
      <c r="F82" s="4" t="s">
        <v>159</v>
      </c>
      <c r="G82" s="4" t="s">
        <v>125</v>
      </c>
      <c r="H82" s="4" t="s">
        <v>196</v>
      </c>
      <c r="I82" s="5" t="n">
        <f aca="false">Rates_Monthly!AR10</f>
        <v>42370</v>
      </c>
      <c r="J82" s="5" t="n">
        <f aca="false">Rates_Monthly!AR11</f>
        <v>46266</v>
      </c>
      <c r="K82" s="4" t="s">
        <v>23</v>
      </c>
      <c r="L82" s="4"/>
    </row>
    <row r="83" customFormat="false" ht="15" hidden="false" customHeight="false" outlineLevel="0" collapsed="false">
      <c r="A83" s="4" t="s">
        <v>184</v>
      </c>
      <c r="B83" s="4" t="s">
        <v>342</v>
      </c>
      <c r="C83" s="4" t="s">
        <v>343</v>
      </c>
      <c r="D83" s="4" t="s">
        <v>344</v>
      </c>
      <c r="E83" s="4" t="s">
        <v>345</v>
      </c>
      <c r="F83" s="4" t="s">
        <v>346</v>
      </c>
      <c r="G83" s="4" t="s">
        <v>125</v>
      </c>
      <c r="H83" s="4" t="s">
        <v>347</v>
      </c>
      <c r="I83" s="5" t="n">
        <f aca="false">Rates_Monthly!AS10</f>
        <v>43678</v>
      </c>
      <c r="J83" s="5" t="n">
        <f aca="false">Rates_Monthly!AS11</f>
        <v>46266</v>
      </c>
      <c r="K83" s="4" t="s">
        <v>23</v>
      </c>
      <c r="L83" s="4" t="s">
        <v>348</v>
      </c>
    </row>
    <row r="84" customFormat="false" ht="15" hidden="false" customHeight="false" outlineLevel="0" collapsed="false">
      <c r="A84" s="4" t="s">
        <v>184</v>
      </c>
      <c r="B84" s="4" t="s">
        <v>349</v>
      </c>
      <c r="C84" s="4" t="s">
        <v>343</v>
      </c>
      <c r="D84" s="4" t="s">
        <v>350</v>
      </c>
      <c r="E84" s="4" t="s">
        <v>351</v>
      </c>
      <c r="F84" s="4" t="s">
        <v>352</v>
      </c>
      <c r="G84" s="4" t="s">
        <v>125</v>
      </c>
      <c r="H84" s="4" t="s">
        <v>347</v>
      </c>
      <c r="I84" s="5" t="n">
        <f aca="false">Rates_Monthly!AT10</f>
        <v>43678</v>
      </c>
      <c r="J84" s="5" t="n">
        <f aca="false">Rates_Monthly!AT11</f>
        <v>46266</v>
      </c>
      <c r="K84" s="4" t="s">
        <v>23</v>
      </c>
      <c r="L84" s="4" t="s">
        <v>353</v>
      </c>
    </row>
    <row r="85" customFormat="false" ht="15" hidden="false" customHeight="false" outlineLevel="0" collapsed="false">
      <c r="A85" s="4" t="s">
        <v>184</v>
      </c>
      <c r="B85" s="4" t="s">
        <v>354</v>
      </c>
      <c r="C85" s="4" t="s">
        <v>214</v>
      </c>
      <c r="D85" s="4" t="s">
        <v>355</v>
      </c>
      <c r="E85" s="4" t="s">
        <v>356</v>
      </c>
      <c r="F85" s="4" t="s">
        <v>357</v>
      </c>
      <c r="G85" s="4" t="s">
        <v>112</v>
      </c>
      <c r="H85" s="4" t="s">
        <v>104</v>
      </c>
      <c r="I85" s="5" t="n">
        <f aca="false">Rates_Monthly!AU10</f>
        <v>42370</v>
      </c>
      <c r="J85" s="5" t="n">
        <f aca="false">Rates_Monthly!AU11</f>
        <v>46204</v>
      </c>
      <c r="K85" s="4" t="s">
        <v>23</v>
      </c>
      <c r="L85" s="4"/>
    </row>
    <row r="86" customFormat="false" ht="15" hidden="false" customHeight="false" outlineLevel="0" collapsed="false">
      <c r="A86" s="4" t="s">
        <v>184</v>
      </c>
      <c r="B86" s="4" t="s">
        <v>358</v>
      </c>
      <c r="C86" s="4" t="s">
        <v>180</v>
      </c>
      <c r="D86" s="4" t="s">
        <v>359</v>
      </c>
      <c r="E86" s="4" t="s">
        <v>360</v>
      </c>
      <c r="F86" s="4" t="s">
        <v>361</v>
      </c>
      <c r="G86" s="4" t="s">
        <v>125</v>
      </c>
      <c r="H86" s="4" t="s">
        <v>104</v>
      </c>
      <c r="I86" s="5" t="n">
        <f aca="false">Rates_Monthly!AV10</f>
        <v>42370</v>
      </c>
      <c r="J86" s="5" t="n">
        <f aca="false">Rates_Monthly!AV11</f>
        <v>46266</v>
      </c>
      <c r="K86" s="4" t="s">
        <v>23</v>
      </c>
      <c r="L86" s="4"/>
    </row>
    <row r="87" customFormat="false" ht="15" hidden="false" customHeight="false" outlineLevel="0" collapsed="false">
      <c r="A87" s="4" t="s">
        <v>184</v>
      </c>
      <c r="B87" s="4" t="s">
        <v>362</v>
      </c>
      <c r="C87" s="4" t="s">
        <v>214</v>
      </c>
      <c r="D87" s="4" t="s">
        <v>363</v>
      </c>
      <c r="E87" s="4" t="s">
        <v>364</v>
      </c>
      <c r="F87" s="4" t="s">
        <v>365</v>
      </c>
      <c r="G87" s="4" t="s">
        <v>112</v>
      </c>
      <c r="H87" s="4" t="s">
        <v>104</v>
      </c>
      <c r="I87" s="5" t="n">
        <f aca="false">Rates_Monthly!AW10</f>
        <v>42370</v>
      </c>
      <c r="J87" s="5" t="n">
        <f aca="false">Rates_Monthly!AW11</f>
        <v>46235</v>
      </c>
      <c r="K87" s="4" t="s">
        <v>23</v>
      </c>
      <c r="L87" s="4"/>
    </row>
    <row r="88" customFormat="false" ht="15" hidden="false" customHeight="false" outlineLevel="0" collapsed="false">
      <c r="A88" s="4" t="s">
        <v>184</v>
      </c>
      <c r="B88" s="4" t="s">
        <v>366</v>
      </c>
      <c r="C88" s="4" t="s">
        <v>214</v>
      </c>
      <c r="D88" s="4" t="s">
        <v>367</v>
      </c>
      <c r="E88" s="4" t="s">
        <v>368</v>
      </c>
      <c r="F88" s="4" t="s">
        <v>369</v>
      </c>
      <c r="G88" s="4" t="s">
        <v>112</v>
      </c>
      <c r="H88" s="4" t="s">
        <v>104</v>
      </c>
      <c r="I88" s="5" t="n">
        <f aca="false">Rates_Monthly!AX10</f>
        <v>42370</v>
      </c>
      <c r="J88" s="5" t="n">
        <f aca="false">Rates_Monthly!AX11</f>
        <v>46204</v>
      </c>
      <c r="K88" s="4" t="s">
        <v>23</v>
      </c>
      <c r="L88" s="4"/>
    </row>
    <row r="89" customFormat="false" ht="15" hidden="false" customHeight="false" outlineLevel="0" collapsed="false">
      <c r="A89" s="4" t="s">
        <v>184</v>
      </c>
      <c r="B89" s="4" t="s">
        <v>370</v>
      </c>
      <c r="C89" s="4" t="s">
        <v>214</v>
      </c>
      <c r="D89" s="4" t="s">
        <v>371</v>
      </c>
      <c r="E89" s="4" t="s">
        <v>372</v>
      </c>
      <c r="F89" s="4" t="s">
        <v>373</v>
      </c>
      <c r="G89" s="4" t="s">
        <v>112</v>
      </c>
      <c r="H89" s="4" t="s">
        <v>104</v>
      </c>
      <c r="I89" s="5" t="n">
        <f aca="false">Rates_Monthly!AY10</f>
        <v>42370</v>
      </c>
      <c r="J89" s="5" t="n">
        <f aca="false">Rates_Monthly!AY11</f>
        <v>46235</v>
      </c>
      <c r="K89" s="4" t="s">
        <v>23</v>
      </c>
      <c r="L89" s="4"/>
    </row>
    <row r="90" customFormat="false" ht="15" hidden="false" customHeight="false" outlineLevel="0" collapsed="false">
      <c r="A90" s="4" t="s">
        <v>374</v>
      </c>
      <c r="B90" s="4" t="s">
        <v>375</v>
      </c>
      <c r="C90" s="4" t="s">
        <v>376</v>
      </c>
      <c r="D90" s="4" t="s">
        <v>377</v>
      </c>
      <c r="E90" s="4" t="s">
        <v>378</v>
      </c>
      <c r="F90" s="4" t="s">
        <v>379</v>
      </c>
      <c r="G90" s="4" t="s">
        <v>380</v>
      </c>
      <c r="H90" s="4" t="s">
        <v>104</v>
      </c>
      <c r="I90" s="5" t="n">
        <f aca="false">Inflation!B10</f>
        <v>42005</v>
      </c>
      <c r="J90" s="5" t="n">
        <f aca="false">Inflation!B11</f>
        <v>46235</v>
      </c>
      <c r="K90" s="4" t="s">
        <v>23</v>
      </c>
      <c r="L90" s="4" t="s">
        <v>381</v>
      </c>
    </row>
    <row r="91" customFormat="false" ht="15" hidden="false" customHeight="false" outlineLevel="0" collapsed="false">
      <c r="A91" s="4" t="s">
        <v>374</v>
      </c>
      <c r="B91" s="4" t="s">
        <v>382</v>
      </c>
      <c r="C91" s="4" t="s">
        <v>383</v>
      </c>
      <c r="D91" s="4" t="s">
        <v>384</v>
      </c>
      <c r="E91" s="4" t="s">
        <v>385</v>
      </c>
      <c r="F91" s="4" t="s">
        <v>386</v>
      </c>
      <c r="G91" s="4" t="s">
        <v>387</v>
      </c>
      <c r="H91" s="4" t="s">
        <v>104</v>
      </c>
      <c r="I91" s="5" t="n">
        <f aca="false">Inflation!D10</f>
        <v>42005</v>
      </c>
      <c r="J91" s="5" t="n">
        <f aca="false">Inflation!D11</f>
        <v>46235</v>
      </c>
      <c r="K91" s="4" t="s">
        <v>23</v>
      </c>
      <c r="L91" s="4"/>
    </row>
    <row r="92" customFormat="false" ht="15" hidden="false" customHeight="false" outlineLevel="0" collapsed="false">
      <c r="A92" s="4" t="s">
        <v>374</v>
      </c>
      <c r="B92" s="4" t="s">
        <v>388</v>
      </c>
      <c r="C92" s="4" t="s">
        <v>383</v>
      </c>
      <c r="D92" s="4" t="s">
        <v>389</v>
      </c>
      <c r="E92" s="4" t="s">
        <v>390</v>
      </c>
      <c r="F92" s="4" t="s">
        <v>391</v>
      </c>
      <c r="G92" s="4" t="s">
        <v>387</v>
      </c>
      <c r="H92" s="4" t="s">
        <v>104</v>
      </c>
      <c r="I92" s="5" t="n">
        <f aca="false">Inflation!E10</f>
        <v>42005</v>
      </c>
      <c r="J92" s="5" t="n">
        <f aca="false">Inflation!E11</f>
        <v>46266</v>
      </c>
      <c r="K92" s="4" t="s">
        <v>23</v>
      </c>
      <c r="L92" s="4"/>
    </row>
    <row r="93" customFormat="false" ht="15" hidden="false" customHeight="false" outlineLevel="0" collapsed="false">
      <c r="A93" s="4" t="s">
        <v>374</v>
      </c>
      <c r="B93" s="4" t="s">
        <v>392</v>
      </c>
      <c r="C93" s="4" t="s">
        <v>383</v>
      </c>
      <c r="D93" s="4" t="s">
        <v>393</v>
      </c>
      <c r="E93" s="4" t="s">
        <v>394</v>
      </c>
      <c r="F93" s="4" t="s">
        <v>395</v>
      </c>
      <c r="G93" s="4" t="s">
        <v>387</v>
      </c>
      <c r="H93" s="4" t="s">
        <v>104</v>
      </c>
      <c r="I93" s="5" t="n">
        <f aca="false">Inflation!F10</f>
        <v>42005</v>
      </c>
      <c r="J93" s="5" t="n">
        <f aca="false">Inflation!F11</f>
        <v>46235</v>
      </c>
      <c r="K93" s="4" t="s">
        <v>23</v>
      </c>
      <c r="L93" s="4" t="s">
        <v>396</v>
      </c>
    </row>
    <row r="94" customFormat="false" ht="15" hidden="false" customHeight="false" outlineLevel="0" collapsed="false">
      <c r="A94" s="4" t="s">
        <v>374</v>
      </c>
      <c r="B94" s="4" t="s">
        <v>397</v>
      </c>
      <c r="C94" s="4" t="s">
        <v>383</v>
      </c>
      <c r="D94" s="4" t="s">
        <v>398</v>
      </c>
      <c r="E94" s="4" t="s">
        <v>399</v>
      </c>
      <c r="F94" s="4" t="s">
        <v>400</v>
      </c>
      <c r="G94" s="4" t="s">
        <v>387</v>
      </c>
      <c r="H94" s="4" t="s">
        <v>104</v>
      </c>
      <c r="I94" s="5" t="n">
        <f aca="false">Inflation!G10</f>
        <v>42005</v>
      </c>
      <c r="J94" s="5" t="n">
        <f aca="false">Inflation!G11</f>
        <v>46235</v>
      </c>
      <c r="K94" s="4" t="s">
        <v>23</v>
      </c>
      <c r="L94" s="4"/>
    </row>
    <row r="95" customFormat="false" ht="15" hidden="false" customHeight="false" outlineLevel="0" collapsed="false">
      <c r="A95" s="4" t="s">
        <v>374</v>
      </c>
      <c r="B95" s="4" t="s">
        <v>401</v>
      </c>
      <c r="C95" s="4" t="s">
        <v>383</v>
      </c>
      <c r="D95" s="4" t="s">
        <v>402</v>
      </c>
      <c r="E95" s="4" t="s">
        <v>403</v>
      </c>
      <c r="F95" s="4" t="s">
        <v>404</v>
      </c>
      <c r="G95" s="4" t="s">
        <v>387</v>
      </c>
      <c r="H95" s="4" t="s">
        <v>104</v>
      </c>
      <c r="I95" s="5" t="n">
        <f aca="false">Inflation!H10</f>
        <v>42005</v>
      </c>
      <c r="J95" s="5" t="n">
        <f aca="false">Inflation!H11</f>
        <v>46235</v>
      </c>
      <c r="K95" s="4" t="s">
        <v>23</v>
      </c>
      <c r="L95" s="4"/>
    </row>
    <row r="96" customFormat="false" ht="15" hidden="false" customHeight="false" outlineLevel="0" collapsed="false">
      <c r="A96" s="4" t="s">
        <v>374</v>
      </c>
      <c r="B96" s="4" t="s">
        <v>405</v>
      </c>
      <c r="C96" s="4" t="s">
        <v>383</v>
      </c>
      <c r="D96" s="4" t="s">
        <v>406</v>
      </c>
      <c r="E96" s="4" t="s">
        <v>407</v>
      </c>
      <c r="F96" s="4" t="s">
        <v>408</v>
      </c>
      <c r="G96" s="4" t="s">
        <v>387</v>
      </c>
      <c r="H96" s="4" t="s">
        <v>104</v>
      </c>
      <c r="I96" s="5" t="n">
        <f aca="false">Inflation!I10</f>
        <v>42005</v>
      </c>
      <c r="J96" s="5" t="n">
        <f aca="false">Inflation!I11</f>
        <v>45992</v>
      </c>
      <c r="K96" s="4" t="s">
        <v>23</v>
      </c>
      <c r="L96" s="4" t="s">
        <v>409</v>
      </c>
    </row>
    <row r="97" customFormat="false" ht="15" hidden="false" customHeight="false" outlineLevel="0" collapsed="false">
      <c r="A97" s="4" t="s">
        <v>374</v>
      </c>
      <c r="B97" s="4" t="s">
        <v>410</v>
      </c>
      <c r="C97" s="4" t="s">
        <v>383</v>
      </c>
      <c r="D97" s="4" t="s">
        <v>411</v>
      </c>
      <c r="E97" s="4" t="s">
        <v>412</v>
      </c>
      <c r="F97" s="4" t="s">
        <v>413</v>
      </c>
      <c r="G97" s="4" t="s">
        <v>387</v>
      </c>
      <c r="H97" s="4" t="s">
        <v>104</v>
      </c>
      <c r="I97" s="5" t="n">
        <f aca="false">Inflation!J10</f>
        <v>42005</v>
      </c>
      <c r="J97" s="5" t="n">
        <f aca="false">Inflation!J11</f>
        <v>45992</v>
      </c>
      <c r="K97" s="4" t="s">
        <v>23</v>
      </c>
      <c r="L97" s="4" t="s">
        <v>414</v>
      </c>
    </row>
    <row r="98" customFormat="false" ht="15" hidden="false" customHeight="false" outlineLevel="0" collapsed="false">
      <c r="A98" s="4" t="s">
        <v>374</v>
      </c>
      <c r="B98" s="4" t="s">
        <v>415</v>
      </c>
      <c r="C98" s="4" t="s">
        <v>416</v>
      </c>
      <c r="D98" s="4" t="s">
        <v>417</v>
      </c>
      <c r="E98" s="4" t="s">
        <v>418</v>
      </c>
      <c r="F98" s="4" t="s">
        <v>419</v>
      </c>
      <c r="G98" s="4" t="s">
        <v>420</v>
      </c>
      <c r="H98" s="4" t="s">
        <v>104</v>
      </c>
      <c r="I98" s="5" t="n">
        <f aca="false">Inflation!K10</f>
        <v>42005</v>
      </c>
      <c r="J98" s="5" t="n">
        <f aca="false">Inflation!K11</f>
        <v>46235</v>
      </c>
      <c r="K98" s="4" t="s">
        <v>23</v>
      </c>
      <c r="L98" s="4"/>
    </row>
    <row r="99" customFormat="false" ht="15" hidden="false" customHeight="false" outlineLevel="0" collapsed="false">
      <c r="A99" s="4" t="s">
        <v>374</v>
      </c>
      <c r="B99" s="4" t="s">
        <v>421</v>
      </c>
      <c r="C99" s="4" t="s">
        <v>422</v>
      </c>
      <c r="D99" s="4" t="s">
        <v>423</v>
      </c>
      <c r="E99" s="4" t="s">
        <v>424</v>
      </c>
      <c r="F99" s="4" t="s">
        <v>425</v>
      </c>
      <c r="G99" s="4" t="s">
        <v>387</v>
      </c>
      <c r="H99" s="4" t="s">
        <v>104</v>
      </c>
      <c r="I99" s="5" t="n">
        <f aca="false">Inflation!M10</f>
        <v>42005</v>
      </c>
      <c r="J99" s="5" t="n">
        <f aca="false">Inflation!M11</f>
        <v>46266</v>
      </c>
      <c r="K99" s="4" t="s">
        <v>23</v>
      </c>
      <c r="L99" s="4"/>
    </row>
    <row r="100" customFormat="false" ht="15" hidden="false" customHeight="false" outlineLevel="0" collapsed="false">
      <c r="A100" s="4" t="s">
        <v>374</v>
      </c>
      <c r="B100" s="4" t="s">
        <v>426</v>
      </c>
      <c r="C100" s="4" t="s">
        <v>422</v>
      </c>
      <c r="D100" s="4" t="s">
        <v>427</v>
      </c>
      <c r="E100" s="4" t="s">
        <v>428</v>
      </c>
      <c r="F100" s="4" t="s">
        <v>429</v>
      </c>
      <c r="G100" s="4" t="s">
        <v>387</v>
      </c>
      <c r="H100" s="4" t="s">
        <v>104</v>
      </c>
      <c r="I100" s="5" t="n">
        <f aca="false">Inflation!N10</f>
        <v>42005</v>
      </c>
      <c r="J100" s="5" t="n">
        <f aca="false">Inflation!N11</f>
        <v>46266</v>
      </c>
      <c r="K100" s="4" t="s">
        <v>23</v>
      </c>
      <c r="L100" s="4"/>
    </row>
    <row r="101" customFormat="false" ht="15" hidden="false" customHeight="false" outlineLevel="0" collapsed="false">
      <c r="A101" s="4" t="s">
        <v>374</v>
      </c>
      <c r="B101" s="4" t="s">
        <v>430</v>
      </c>
      <c r="C101" s="4" t="s">
        <v>422</v>
      </c>
      <c r="D101" s="4" t="s">
        <v>431</v>
      </c>
      <c r="E101" s="4" t="s">
        <v>432</v>
      </c>
      <c r="F101" s="4" t="s">
        <v>433</v>
      </c>
      <c r="G101" s="4" t="s">
        <v>387</v>
      </c>
      <c r="H101" s="4" t="s">
        <v>104</v>
      </c>
      <c r="I101" s="5" t="n">
        <f aca="false">Inflation!O10</f>
        <v>42005</v>
      </c>
      <c r="J101" s="5" t="n">
        <f aca="false">Inflation!O11</f>
        <v>46235</v>
      </c>
      <c r="K101" s="4" t="s">
        <v>23</v>
      </c>
      <c r="L101" s="4"/>
    </row>
    <row r="102" customFormat="false" ht="15" hidden="false" customHeight="false" outlineLevel="0" collapsed="false">
      <c r="A102" s="4" t="s">
        <v>374</v>
      </c>
      <c r="B102" s="4" t="s">
        <v>434</v>
      </c>
      <c r="C102" s="4" t="s">
        <v>422</v>
      </c>
      <c r="D102" s="4" t="s">
        <v>435</v>
      </c>
      <c r="E102" s="4" t="s">
        <v>436</v>
      </c>
      <c r="F102" s="4" t="s">
        <v>437</v>
      </c>
      <c r="G102" s="4" t="s">
        <v>387</v>
      </c>
      <c r="H102" s="4" t="s">
        <v>104</v>
      </c>
      <c r="I102" s="5" t="n">
        <f aca="false">Inflation!P10</f>
        <v>42005</v>
      </c>
      <c r="J102" s="5" t="n">
        <f aca="false">Inflation!P11</f>
        <v>46266</v>
      </c>
      <c r="K102" s="4" t="s">
        <v>23</v>
      </c>
      <c r="L102" s="4"/>
    </row>
    <row r="103" customFormat="false" ht="15" hidden="false" customHeight="false" outlineLevel="0" collapsed="false">
      <c r="A103" s="4" t="s">
        <v>374</v>
      </c>
      <c r="B103" s="4" t="s">
        <v>438</v>
      </c>
      <c r="C103" s="4" t="s">
        <v>439</v>
      </c>
      <c r="D103" s="4" t="s">
        <v>440</v>
      </c>
      <c r="E103" s="4" t="s">
        <v>441</v>
      </c>
      <c r="F103" s="4" t="s">
        <v>442</v>
      </c>
      <c r="G103" s="4" t="s">
        <v>387</v>
      </c>
      <c r="H103" s="4" t="s">
        <v>104</v>
      </c>
      <c r="I103" s="5" t="n">
        <f aca="false">Inflation!Q10</f>
        <v>42005</v>
      </c>
      <c r="J103" s="5" t="n">
        <f aca="false">Inflation!Q11</f>
        <v>46235</v>
      </c>
      <c r="K103" s="4" t="s">
        <v>23</v>
      </c>
      <c r="L103" s="4"/>
    </row>
    <row r="104" customFormat="false" ht="15" hidden="false" customHeight="false" outlineLevel="0" collapsed="false">
      <c r="A104" s="4" t="s">
        <v>374</v>
      </c>
      <c r="B104" s="4" t="s">
        <v>443</v>
      </c>
      <c r="C104" s="4" t="s">
        <v>439</v>
      </c>
      <c r="D104" s="4" t="s">
        <v>444</v>
      </c>
      <c r="E104" s="4" t="s">
        <v>445</v>
      </c>
      <c r="F104" s="4" t="s">
        <v>446</v>
      </c>
      <c r="G104" s="4" t="s">
        <v>387</v>
      </c>
      <c r="H104" s="4" t="s">
        <v>104</v>
      </c>
      <c r="I104" s="5" t="n">
        <f aca="false">Inflation!R10</f>
        <v>42005</v>
      </c>
      <c r="J104" s="5" t="n">
        <f aca="false">Inflation!R11</f>
        <v>46235</v>
      </c>
      <c r="K104" s="4" t="s">
        <v>23</v>
      </c>
      <c r="L104" s="4"/>
    </row>
    <row r="105" customFormat="false" ht="15" hidden="false" customHeight="false" outlineLevel="0" collapsed="false">
      <c r="A105" s="4" t="s">
        <v>374</v>
      </c>
      <c r="B105" s="4" t="s">
        <v>447</v>
      </c>
      <c r="C105" s="4" t="s">
        <v>448</v>
      </c>
      <c r="D105" s="4" t="s">
        <v>449</v>
      </c>
      <c r="E105" s="6" t="s">
        <v>450</v>
      </c>
      <c r="F105" s="4" t="s">
        <v>451</v>
      </c>
      <c r="G105" s="4" t="s">
        <v>452</v>
      </c>
      <c r="H105" s="4" t="s">
        <v>104</v>
      </c>
      <c r="I105" s="5" t="n">
        <f aca="false">Inflation!S10</f>
        <v>42005</v>
      </c>
      <c r="J105" s="5" t="n">
        <f aca="false">Inflation!S11</f>
        <v>46266</v>
      </c>
      <c r="K105" s="4" t="s">
        <v>23</v>
      </c>
      <c r="L105" s="4"/>
    </row>
    <row r="106" customFormat="false" ht="15" hidden="false" customHeight="false" outlineLevel="0" collapsed="false">
      <c r="A106" s="4" t="s">
        <v>453</v>
      </c>
      <c r="B106" s="4" t="s">
        <v>454</v>
      </c>
      <c r="C106" s="4" t="s">
        <v>455</v>
      </c>
      <c r="D106" s="4" t="s">
        <v>456</v>
      </c>
      <c r="E106" s="4" t="s">
        <v>457</v>
      </c>
      <c r="F106" s="4" t="s">
        <v>458</v>
      </c>
      <c r="G106" s="4" t="s">
        <v>459</v>
      </c>
      <c r="H106" s="4" t="s">
        <v>460</v>
      </c>
      <c r="I106" s="4" t="s">
        <v>461</v>
      </c>
      <c r="J106" s="5" t="str">
        <f aca="false">GDP_Growth!AA6</f>
        <v>2025</v>
      </c>
      <c r="K106" s="4" t="s">
        <v>23</v>
      </c>
      <c r="L106" s="4" t="s">
        <v>462</v>
      </c>
    </row>
    <row r="107" customFormat="false" ht="15" hidden="false" customHeight="false" outlineLevel="0" collapsed="false">
      <c r="A107" s="4" t="s">
        <v>453</v>
      </c>
      <c r="B107" s="4" t="s">
        <v>463</v>
      </c>
      <c r="C107" s="4" t="s">
        <v>455</v>
      </c>
      <c r="D107" s="4" t="s">
        <v>464</v>
      </c>
      <c r="E107" s="4" t="s">
        <v>465</v>
      </c>
      <c r="F107" s="4" t="s">
        <v>466</v>
      </c>
      <c r="G107" s="4" t="s">
        <v>467</v>
      </c>
      <c r="H107" s="4" t="s">
        <v>460</v>
      </c>
      <c r="I107" s="4" t="s">
        <v>461</v>
      </c>
      <c r="J107" s="5" t="str">
        <f aca="false">GDP_Growth!AA16</f>
        <v>2025</v>
      </c>
      <c r="K107" s="4" t="s">
        <v>23</v>
      </c>
      <c r="L107" s="4" t="s">
        <v>462</v>
      </c>
    </row>
    <row r="108" customFormat="false" ht="15" hidden="false" customHeight="false" outlineLevel="0" collapsed="false">
      <c r="A108" s="4" t="s">
        <v>453</v>
      </c>
      <c r="B108" s="4" t="s">
        <v>468</v>
      </c>
      <c r="C108" s="4" t="s">
        <v>469</v>
      </c>
      <c r="D108" s="4" t="s">
        <v>470</v>
      </c>
      <c r="E108" s="4" t="s">
        <v>471</v>
      </c>
      <c r="F108" s="4" t="s">
        <v>472</v>
      </c>
      <c r="G108" s="4" t="s">
        <v>473</v>
      </c>
      <c r="H108" s="4" t="s">
        <v>460</v>
      </c>
      <c r="I108" s="4" t="s">
        <v>461</v>
      </c>
      <c r="J108" s="5" t="str">
        <f aca="false">GDP_Growth!W26</f>
        <v>2025</v>
      </c>
      <c r="K108" s="4" t="s">
        <v>23</v>
      </c>
      <c r="L108" s="4"/>
    </row>
    <row r="109" customFormat="false" ht="15" hidden="false" customHeight="false" outlineLevel="0" collapsed="false">
      <c r="A109" s="4" t="s">
        <v>453</v>
      </c>
      <c r="B109" s="4" t="s">
        <v>474</v>
      </c>
      <c r="C109" s="4" t="s">
        <v>469</v>
      </c>
      <c r="D109" s="4" t="s">
        <v>475</v>
      </c>
      <c r="E109" s="4" t="s">
        <v>476</v>
      </c>
      <c r="F109" s="4" t="s">
        <v>477</v>
      </c>
      <c r="G109" s="4" t="s">
        <v>478</v>
      </c>
      <c r="H109" s="4" t="s">
        <v>460</v>
      </c>
      <c r="I109" s="4" t="s">
        <v>461</v>
      </c>
      <c r="J109" s="5" t="str">
        <f aca="false">GDP_Growth!W36</f>
        <v>2025</v>
      </c>
      <c r="K109" s="4" t="s">
        <v>23</v>
      </c>
      <c r="L109" s="4"/>
    </row>
    <row r="110" customFormat="false" ht="15" hidden="false" customHeight="false" outlineLevel="0" collapsed="false">
      <c r="A110" s="4" t="s">
        <v>453</v>
      </c>
      <c r="B110" s="4" t="s">
        <v>479</v>
      </c>
      <c r="C110" s="4" t="s">
        <v>469</v>
      </c>
      <c r="D110" s="4" t="s">
        <v>480</v>
      </c>
      <c r="E110" s="4" t="s">
        <v>481</v>
      </c>
      <c r="F110" s="4" t="s">
        <v>482</v>
      </c>
      <c r="G110" s="4" t="s">
        <v>478</v>
      </c>
      <c r="H110" s="4" t="s">
        <v>460</v>
      </c>
      <c r="I110" s="4" t="s">
        <v>461</v>
      </c>
      <c r="J110" s="5" t="str">
        <f aca="false">GDP_Growth!W46</f>
        <v>2025</v>
      </c>
      <c r="K110" s="4" t="s">
        <v>23</v>
      </c>
      <c r="L110" s="4"/>
    </row>
    <row r="111" customFormat="false" ht="15" hidden="false" customHeight="false" outlineLevel="0" collapsed="false">
      <c r="A111" s="4" t="s">
        <v>453</v>
      </c>
      <c r="B111" s="4" t="s">
        <v>483</v>
      </c>
      <c r="C111" s="4" t="s">
        <v>484</v>
      </c>
      <c r="D111" s="4" t="s">
        <v>485</v>
      </c>
      <c r="E111" s="4" t="s">
        <v>486</v>
      </c>
      <c r="F111" s="4" t="s">
        <v>487</v>
      </c>
      <c r="G111" s="4" t="s">
        <v>488</v>
      </c>
      <c r="H111" s="4" t="s">
        <v>489</v>
      </c>
      <c r="I111" s="4" t="s">
        <v>490</v>
      </c>
      <c r="J111" s="5" t="str">
        <f aca="false">GDP_Growth!B101</f>
        <v>2026-Q2</v>
      </c>
      <c r="K111" s="4" t="s">
        <v>23</v>
      </c>
      <c r="L111" s="4" t="s">
        <v>491</v>
      </c>
    </row>
    <row r="112" customFormat="false" ht="15" hidden="false" customHeight="false" outlineLevel="0" collapsed="false">
      <c r="A112" s="4" t="s">
        <v>374</v>
      </c>
      <c r="B112" s="4" t="s">
        <v>492</v>
      </c>
      <c r="C112" s="4" t="s">
        <v>455</v>
      </c>
      <c r="D112" s="4" t="s">
        <v>493</v>
      </c>
      <c r="E112" s="4" t="s">
        <v>494</v>
      </c>
      <c r="F112" s="4" t="s">
        <v>495</v>
      </c>
      <c r="G112" s="4" t="s">
        <v>459</v>
      </c>
      <c r="H112" s="4" t="s">
        <v>460</v>
      </c>
      <c r="I112" s="4" t="s">
        <v>461</v>
      </c>
      <c r="J112" s="5" t="str">
        <f aca="false">Inflation!AA161</f>
        <v>2025</v>
      </c>
      <c r="K112" s="4" t="s">
        <v>23</v>
      </c>
      <c r="L112" s="4" t="s">
        <v>496</v>
      </c>
    </row>
    <row r="113" customFormat="false" ht="15" hidden="false" customHeight="false" outlineLevel="0" collapsed="false">
      <c r="A113" s="4" t="s">
        <v>374</v>
      </c>
      <c r="B113" s="4" t="s">
        <v>497</v>
      </c>
      <c r="C113" s="4" t="s">
        <v>469</v>
      </c>
      <c r="D113" s="4" t="s">
        <v>498</v>
      </c>
      <c r="E113" s="4" t="s">
        <v>499</v>
      </c>
      <c r="F113" s="4" t="s">
        <v>500</v>
      </c>
      <c r="G113" s="4" t="s">
        <v>473</v>
      </c>
      <c r="H113" s="4" t="s">
        <v>460</v>
      </c>
      <c r="I113" s="4" t="s">
        <v>461</v>
      </c>
      <c r="J113" s="5" t="str">
        <f aca="false">Inflation!W171</f>
        <v>2024</v>
      </c>
      <c r="K113" s="4" t="s">
        <v>23</v>
      </c>
      <c r="L113" s="4" t="s">
        <v>496</v>
      </c>
    </row>
    <row r="114" customFormat="false" ht="15" hidden="false" customHeight="false" outlineLevel="0" collapsed="false">
      <c r="A114" s="4" t="s">
        <v>501</v>
      </c>
      <c r="B114" s="4" t="s">
        <v>502</v>
      </c>
      <c r="C114" s="4" t="s">
        <v>469</v>
      </c>
      <c r="D114" s="4" t="s">
        <v>503</v>
      </c>
      <c r="E114" s="4" t="s">
        <v>504</v>
      </c>
      <c r="F114" s="4" t="s">
        <v>505</v>
      </c>
      <c r="G114" s="4" t="s">
        <v>506</v>
      </c>
      <c r="H114" s="4" t="s">
        <v>460</v>
      </c>
      <c r="I114" s="4" t="s">
        <v>461</v>
      </c>
      <c r="J114" s="5" t="str">
        <f aca="false">Trade_CurrentAccount!W6</f>
        <v>2024</v>
      </c>
      <c r="K114" s="4" t="s">
        <v>23</v>
      </c>
      <c r="L114" s="4"/>
    </row>
    <row r="115" customFormat="false" ht="15" hidden="false" customHeight="false" outlineLevel="0" collapsed="false">
      <c r="A115" s="4" t="s">
        <v>501</v>
      </c>
      <c r="B115" s="4" t="s">
        <v>507</v>
      </c>
      <c r="C115" s="4" t="s">
        <v>469</v>
      </c>
      <c r="D115" s="4" t="s">
        <v>508</v>
      </c>
      <c r="E115" s="4" t="s">
        <v>509</v>
      </c>
      <c r="F115" s="4" t="s">
        <v>510</v>
      </c>
      <c r="G115" s="4" t="s">
        <v>506</v>
      </c>
      <c r="H115" s="4" t="s">
        <v>460</v>
      </c>
      <c r="I115" s="4" t="s">
        <v>461</v>
      </c>
      <c r="J115" s="5" t="str">
        <f aca="false">Trade_CurrentAccount!W16</f>
        <v>2024</v>
      </c>
      <c r="K115" s="4" t="s">
        <v>23</v>
      </c>
      <c r="L115" s="4"/>
    </row>
    <row r="116" customFormat="false" ht="15" hidden="false" customHeight="false" outlineLevel="0" collapsed="false">
      <c r="A116" s="4" t="s">
        <v>501</v>
      </c>
      <c r="B116" s="4" t="s">
        <v>511</v>
      </c>
      <c r="C116" s="4" t="s">
        <v>469</v>
      </c>
      <c r="D116" s="4" t="s">
        <v>512</v>
      </c>
      <c r="E116" s="4" t="s">
        <v>513</v>
      </c>
      <c r="F116" s="4" t="s">
        <v>514</v>
      </c>
      <c r="G116" s="4" t="s">
        <v>506</v>
      </c>
      <c r="H116" s="4" t="s">
        <v>460</v>
      </c>
      <c r="I116" s="4" t="s">
        <v>461</v>
      </c>
      <c r="J116" s="5" t="str">
        <f aca="false">Trade_CurrentAccount!W26</f>
        <v>2025</v>
      </c>
      <c r="K116" s="4" t="s">
        <v>23</v>
      </c>
      <c r="L116" s="4"/>
    </row>
    <row r="117" customFormat="false" ht="15" hidden="false" customHeight="false" outlineLevel="0" collapsed="false">
      <c r="A117" s="4" t="s">
        <v>501</v>
      </c>
      <c r="B117" s="4" t="s">
        <v>515</v>
      </c>
      <c r="C117" s="4" t="s">
        <v>455</v>
      </c>
      <c r="D117" s="4" t="s">
        <v>516</v>
      </c>
      <c r="E117" s="4" t="s">
        <v>517</v>
      </c>
      <c r="F117" s="4" t="s">
        <v>518</v>
      </c>
      <c r="G117" s="4" t="s">
        <v>506</v>
      </c>
      <c r="H117" s="4" t="s">
        <v>460</v>
      </c>
      <c r="I117" s="4" t="s">
        <v>461</v>
      </c>
      <c r="J117" s="5" t="str">
        <f aca="false">Trade_CurrentAccount!AA36</f>
        <v>2025</v>
      </c>
      <c r="K117" s="4" t="s">
        <v>23</v>
      </c>
      <c r="L117" s="4" t="s">
        <v>519</v>
      </c>
    </row>
    <row r="118" customFormat="false" ht="15" hidden="false" customHeight="false" outlineLevel="0" collapsed="false">
      <c r="A118" s="4" t="s">
        <v>501</v>
      </c>
      <c r="B118" s="4" t="s">
        <v>520</v>
      </c>
      <c r="C118" s="4" t="s">
        <v>521</v>
      </c>
      <c r="D118" s="4" t="s">
        <v>522</v>
      </c>
      <c r="E118" s="4" t="s">
        <v>523</v>
      </c>
      <c r="F118" s="4" t="s">
        <v>524</v>
      </c>
      <c r="G118" s="4" t="s">
        <v>525</v>
      </c>
      <c r="H118" s="4" t="s">
        <v>460</v>
      </c>
      <c r="I118" s="4" t="s">
        <v>526</v>
      </c>
      <c r="J118" s="4" t="s">
        <v>526</v>
      </c>
      <c r="K118" s="4" t="s">
        <v>23</v>
      </c>
      <c r="L118" s="4" t="s">
        <v>527</v>
      </c>
    </row>
    <row r="119" customFormat="false" ht="15" hidden="false" customHeight="false" outlineLevel="0" collapsed="false">
      <c r="A119" s="4" t="s">
        <v>501</v>
      </c>
      <c r="B119" s="4" t="s">
        <v>528</v>
      </c>
      <c r="C119" s="4" t="s">
        <v>521</v>
      </c>
      <c r="D119" s="4" t="s">
        <v>529</v>
      </c>
      <c r="E119" s="4" t="s">
        <v>530</v>
      </c>
      <c r="F119" s="4" t="s">
        <v>531</v>
      </c>
      <c r="G119" s="4" t="s">
        <v>525</v>
      </c>
      <c r="H119" s="4" t="s">
        <v>460</v>
      </c>
      <c r="I119" s="4" t="s">
        <v>526</v>
      </c>
      <c r="J119" s="4" t="s">
        <v>526</v>
      </c>
      <c r="K119" s="4" t="s">
        <v>23</v>
      </c>
      <c r="L119" s="4" t="s">
        <v>532</v>
      </c>
    </row>
    <row r="120" customFormat="false" ht="15" hidden="false" customHeight="false" outlineLevel="0" collapsed="false">
      <c r="A120" s="4" t="s">
        <v>501</v>
      </c>
      <c r="B120" s="4" t="s">
        <v>533</v>
      </c>
      <c r="C120" s="4" t="s">
        <v>534</v>
      </c>
      <c r="D120" s="4" t="s">
        <v>535</v>
      </c>
      <c r="E120" s="4" t="s">
        <v>536</v>
      </c>
      <c r="F120" s="4" t="s">
        <v>537</v>
      </c>
      <c r="G120" s="4" t="s">
        <v>538</v>
      </c>
      <c r="H120" s="4" t="s">
        <v>460</v>
      </c>
      <c r="I120" s="4" t="s">
        <v>539</v>
      </c>
      <c r="J120" s="4" t="s">
        <v>540</v>
      </c>
      <c r="K120" s="4" t="s">
        <v>23</v>
      </c>
      <c r="L120" s="4" t="s">
        <v>541</v>
      </c>
    </row>
    <row r="121" customFormat="false" ht="15" hidden="false" customHeight="false" outlineLevel="0" collapsed="false">
      <c r="A121" s="4" t="s">
        <v>542</v>
      </c>
      <c r="B121" s="4" t="s">
        <v>543</v>
      </c>
      <c r="C121" s="4" t="s">
        <v>544</v>
      </c>
      <c r="D121" s="4" t="s">
        <v>545</v>
      </c>
      <c r="E121" s="4" t="s">
        <v>546</v>
      </c>
      <c r="F121" s="4" t="s">
        <v>547</v>
      </c>
      <c r="G121" s="4" t="s">
        <v>548</v>
      </c>
      <c r="H121" s="4" t="s">
        <v>489</v>
      </c>
      <c r="I121" s="4" t="s">
        <v>490</v>
      </c>
      <c r="J121" s="5" t="str">
        <f aca="false">Reserves_COFER!A49</f>
        <v>2026-Q2</v>
      </c>
      <c r="K121" s="4" t="s">
        <v>23</v>
      </c>
      <c r="L121" s="4" t="s">
        <v>549</v>
      </c>
    </row>
    <row r="122" customFormat="false" ht="15" hidden="false" customHeight="false" outlineLevel="0" collapsed="false">
      <c r="A122" s="4" t="s">
        <v>550</v>
      </c>
      <c r="B122" s="4" t="s">
        <v>551</v>
      </c>
      <c r="C122" s="4" t="s">
        <v>552</v>
      </c>
      <c r="D122" s="4" t="s">
        <v>553</v>
      </c>
      <c r="E122" s="4" t="s">
        <v>554</v>
      </c>
      <c r="F122" s="4" t="s">
        <v>555</v>
      </c>
      <c r="G122" s="4" t="s">
        <v>556</v>
      </c>
      <c r="H122" s="4" t="s">
        <v>557</v>
      </c>
      <c r="I122" s="4" t="s">
        <v>461</v>
      </c>
      <c r="J122" s="4" t="s">
        <v>526</v>
      </c>
      <c r="K122" s="4" t="s">
        <v>23</v>
      </c>
      <c r="L122" s="4" t="s">
        <v>558</v>
      </c>
    </row>
    <row r="123" customFormat="false" ht="15" hidden="false" customHeight="false" outlineLevel="0" collapsed="false">
      <c r="A123" s="4" t="s">
        <v>559</v>
      </c>
      <c r="B123" s="4" t="s">
        <v>560</v>
      </c>
      <c r="C123" s="4" t="s">
        <v>561</v>
      </c>
      <c r="D123" s="4" t="s">
        <v>562</v>
      </c>
      <c r="E123" s="4" t="s">
        <v>563</v>
      </c>
      <c r="F123" s="4" t="s">
        <v>564</v>
      </c>
      <c r="G123" s="4" t="s">
        <v>565</v>
      </c>
      <c r="H123" s="4" t="s">
        <v>566</v>
      </c>
      <c r="I123" s="4" t="s">
        <v>567</v>
      </c>
      <c r="J123" s="4" t="s">
        <v>568</v>
      </c>
      <c r="K123" s="4" t="s">
        <v>23</v>
      </c>
      <c r="L123" s="4" t="s">
        <v>569</v>
      </c>
    </row>
    <row r="126" customFormat="false" ht="15" hidden="false" customHeight="false" outlineLevel="0" collapsed="false">
      <c r="A126" s="2" t="s">
        <v>570</v>
      </c>
    </row>
    <row r="127" customFormat="false" ht="15" hidden="false" customHeight="false" outlineLevel="0" collapsed="false">
      <c r="A127" s="2" t="s">
        <v>571</v>
      </c>
    </row>
    <row r="128" customFormat="false" ht="15" hidden="false" customHeight="false" outlineLevel="0" collapsed="false">
      <c r="A128" s="2" t="s">
        <v>572</v>
      </c>
    </row>
    <row r="129" customFormat="false" ht="15" hidden="false" customHeight="false" outlineLevel="0" collapsed="false">
      <c r="A129" s="2" t="s">
        <v>573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2"/>
  </cols>
  <sheetData>
    <row r="1" customFormat="false" ht="16.15" hidden="false" customHeight="false" outlineLevel="0" collapsed="false">
      <c r="A1" s="1" t="s">
        <v>574</v>
      </c>
    </row>
    <row r="2" customFormat="false" ht="15" hidden="false" customHeight="false" outlineLevel="0" collapsed="false">
      <c r="A2" s="2" t="s">
        <v>575</v>
      </c>
    </row>
    <row r="4" customFormat="false" ht="64.15" hidden="false" customHeight="false" outlineLevel="0" collapsed="false">
      <c r="A4" s="7" t="s">
        <v>5</v>
      </c>
      <c r="B4" s="8" t="s">
        <v>17</v>
      </c>
      <c r="C4" s="8" t="s">
        <v>17</v>
      </c>
      <c r="D4" s="8" t="s">
        <v>17</v>
      </c>
      <c r="E4" s="8" t="s">
        <v>17</v>
      </c>
      <c r="F4" s="8" t="s">
        <v>17</v>
      </c>
      <c r="G4" s="8" t="s">
        <v>17</v>
      </c>
      <c r="H4" s="8" t="s">
        <v>17</v>
      </c>
      <c r="I4" s="8" t="s">
        <v>55</v>
      </c>
      <c r="J4" s="8" t="s">
        <v>55</v>
      </c>
      <c r="K4" s="8" t="s">
        <v>55</v>
      </c>
      <c r="L4" s="8" t="s">
        <v>55</v>
      </c>
      <c r="M4" s="8" t="s">
        <v>55</v>
      </c>
      <c r="N4" s="8" t="s">
        <v>55</v>
      </c>
      <c r="O4" s="8" t="s">
        <v>55</v>
      </c>
      <c r="P4" s="8" t="s">
        <v>92</v>
      </c>
    </row>
    <row r="5" customFormat="false" ht="32.8" hidden="false" customHeight="false" outlineLevel="0" collapsed="false">
      <c r="A5" s="7" t="s">
        <v>6</v>
      </c>
      <c r="B5" s="8" t="s">
        <v>18</v>
      </c>
      <c r="C5" s="8" t="s">
        <v>25</v>
      </c>
      <c r="D5" s="8" t="s">
        <v>30</v>
      </c>
      <c r="E5" s="8" t="s">
        <v>35</v>
      </c>
      <c r="F5" s="8" t="s">
        <v>40</v>
      </c>
      <c r="G5" s="8" t="s">
        <v>45</v>
      </c>
      <c r="H5" s="8" t="s">
        <v>50</v>
      </c>
      <c r="I5" s="8" t="s">
        <v>56</v>
      </c>
      <c r="J5" s="8" t="s">
        <v>62</v>
      </c>
      <c r="K5" s="8" t="s">
        <v>67</v>
      </c>
      <c r="L5" s="8" t="s">
        <v>72</v>
      </c>
      <c r="M5" s="8" t="s">
        <v>77</v>
      </c>
      <c r="N5" s="8" t="s">
        <v>82</v>
      </c>
      <c r="O5" s="8" t="s">
        <v>87</v>
      </c>
      <c r="P5" s="8" t="s">
        <v>93</v>
      </c>
    </row>
    <row r="6" customFormat="false" ht="60" hidden="false" customHeight="true" outlineLevel="0" collapsed="false">
      <c r="A6" s="7" t="s">
        <v>576</v>
      </c>
      <c r="B6" s="8" t="s">
        <v>19</v>
      </c>
      <c r="C6" s="8" t="s">
        <v>26</v>
      </c>
      <c r="D6" s="8" t="s">
        <v>31</v>
      </c>
      <c r="E6" s="8" t="s">
        <v>36</v>
      </c>
      <c r="F6" s="8" t="s">
        <v>41</v>
      </c>
      <c r="G6" s="8" t="s">
        <v>46</v>
      </c>
      <c r="H6" s="8" t="s">
        <v>51</v>
      </c>
      <c r="I6" s="8" t="s">
        <v>57</v>
      </c>
      <c r="J6" s="8" t="s">
        <v>63</v>
      </c>
      <c r="K6" s="8" t="s">
        <v>68</v>
      </c>
      <c r="L6" s="8" t="s">
        <v>73</v>
      </c>
      <c r="M6" s="8" t="s">
        <v>78</v>
      </c>
      <c r="N6" s="8" t="s">
        <v>83</v>
      </c>
      <c r="O6" s="8" t="s">
        <v>88</v>
      </c>
      <c r="P6" s="8" t="s">
        <v>94</v>
      </c>
    </row>
    <row r="7" customFormat="false" ht="43.25" hidden="false" customHeight="false" outlineLevel="0" collapsed="false">
      <c r="A7" s="7" t="s">
        <v>9</v>
      </c>
      <c r="B7" s="8" t="s">
        <v>21</v>
      </c>
      <c r="C7" s="8" t="s">
        <v>28</v>
      </c>
      <c r="D7" s="8" t="s">
        <v>33</v>
      </c>
      <c r="E7" s="8" t="s">
        <v>38</v>
      </c>
      <c r="F7" s="8" t="s">
        <v>43</v>
      </c>
      <c r="G7" s="8" t="s">
        <v>48</v>
      </c>
      <c r="H7" s="8" t="s">
        <v>53</v>
      </c>
      <c r="I7" s="8" t="s">
        <v>59</v>
      </c>
      <c r="J7" s="8" t="s">
        <v>65</v>
      </c>
      <c r="K7" s="8" t="s">
        <v>70</v>
      </c>
      <c r="L7" s="8" t="s">
        <v>75</v>
      </c>
      <c r="M7" s="8" t="s">
        <v>80</v>
      </c>
      <c r="N7" s="8" t="s">
        <v>85</v>
      </c>
      <c r="O7" s="8" t="s">
        <v>90</v>
      </c>
      <c r="P7" s="8" t="s">
        <v>96</v>
      </c>
    </row>
    <row r="8" customFormat="false" ht="32.8" hidden="false" customHeight="false" outlineLevel="0" collapsed="false">
      <c r="A8" s="7" t="s">
        <v>10</v>
      </c>
      <c r="B8" s="8" t="s">
        <v>22</v>
      </c>
      <c r="C8" s="8" t="s">
        <v>22</v>
      </c>
      <c r="D8" s="8" t="s">
        <v>22</v>
      </c>
      <c r="E8" s="8" t="s">
        <v>22</v>
      </c>
      <c r="F8" s="8" t="s">
        <v>22</v>
      </c>
      <c r="G8" s="8" t="s">
        <v>22</v>
      </c>
      <c r="H8" s="8" t="s">
        <v>22</v>
      </c>
      <c r="I8" s="8" t="s">
        <v>60</v>
      </c>
      <c r="J8" s="8" t="s">
        <v>60</v>
      </c>
      <c r="K8" s="8" t="s">
        <v>60</v>
      </c>
      <c r="L8" s="8" t="s">
        <v>60</v>
      </c>
      <c r="M8" s="8" t="s">
        <v>60</v>
      </c>
      <c r="N8" s="8" t="s">
        <v>60</v>
      </c>
      <c r="O8" s="8" t="s">
        <v>60</v>
      </c>
      <c r="P8" s="8" t="s">
        <v>97</v>
      </c>
    </row>
    <row r="9" customFormat="false" ht="45" hidden="false" customHeight="true" outlineLevel="0" collapsed="false">
      <c r="A9" s="7" t="s">
        <v>8</v>
      </c>
      <c r="B9" s="8" t="s">
        <v>20</v>
      </c>
      <c r="C9" s="8" t="s">
        <v>27</v>
      </c>
      <c r="D9" s="8" t="s">
        <v>32</v>
      </c>
      <c r="E9" s="8" t="s">
        <v>37</v>
      </c>
      <c r="F9" s="8" t="s">
        <v>42</v>
      </c>
      <c r="G9" s="8" t="s">
        <v>47</v>
      </c>
      <c r="H9" s="8" t="s">
        <v>52</v>
      </c>
      <c r="I9" s="8" t="s">
        <v>58</v>
      </c>
      <c r="J9" s="8" t="s">
        <v>64</v>
      </c>
      <c r="K9" s="8" t="s">
        <v>69</v>
      </c>
      <c r="L9" s="8" t="s">
        <v>74</v>
      </c>
      <c r="M9" s="8" t="s">
        <v>79</v>
      </c>
      <c r="N9" s="8" t="s">
        <v>84</v>
      </c>
      <c r="O9" s="8" t="s">
        <v>89</v>
      </c>
      <c r="P9" s="8" t="s">
        <v>95</v>
      </c>
    </row>
    <row r="10" customFormat="false" ht="15" hidden="false" customHeight="false" outlineLevel="0" collapsed="false">
      <c r="A10" s="7" t="s">
        <v>577</v>
      </c>
      <c r="B10" s="9" t="n">
        <f aca="false">IFERROR(_xlfn.MINIFS($A$15:$A$2821,B$15:B$2821,"&gt;=-1E+99"),"N/A")</f>
        <v>42373</v>
      </c>
      <c r="C10" s="9" t="n">
        <f aca="false">IFERROR(_xlfn.MINIFS($A$15:$A$2821,C$15:C$2821,"&gt;=-1E+99"),"N/A")</f>
        <v>42373</v>
      </c>
      <c r="D10" s="9" t="n">
        <f aca="false">IFERROR(_xlfn.MINIFS($A$15:$A$2821,D$15:D$2821,"&gt;=-1E+99"),"N/A")</f>
        <v>42373</v>
      </c>
      <c r="E10" s="9" t="n">
        <f aca="false">IFERROR(_xlfn.MINIFS($A$15:$A$2821,E$15:E$2821,"&gt;=-1E+99"),"N/A")</f>
        <v>42373</v>
      </c>
      <c r="F10" s="9" t="n">
        <f aca="false">IFERROR(_xlfn.MINIFS($A$15:$A$2821,F$15:F$2821,"&gt;=-1E+99"),"N/A")</f>
        <v>42373</v>
      </c>
      <c r="G10" s="9" t="n">
        <f aca="false">IFERROR(_xlfn.MINIFS($A$15:$A$2821,G$15:G$2821,"&gt;=-1E+99"),"N/A")</f>
        <v>42373</v>
      </c>
      <c r="H10" s="9" t="n">
        <f aca="false">IFERROR(_xlfn.MINIFS($A$15:$A$2821,H$15:H$2821,"&gt;=-1E+99"),"N/A")</f>
        <v>42373</v>
      </c>
      <c r="I10" s="9" t="n">
        <f aca="false">IFERROR(_xlfn.MINIFS($A$15:$A$2821,I$15:I$2821,"&gt;=-1E+99"),"N/A")</f>
        <v>42373</v>
      </c>
      <c r="J10" s="9" t="n">
        <f aca="false">IFERROR(_xlfn.MINIFS($A$15:$A$2821,J$15:J$2821,"&gt;=-1E+99"),"N/A")</f>
        <v>42373</v>
      </c>
      <c r="K10" s="9" t="n">
        <f aca="false">IFERROR(_xlfn.MINIFS($A$15:$A$2821,K$15:K$2821,"&gt;=-1E+99"),"N/A")</f>
        <v>42373</v>
      </c>
      <c r="L10" s="9" t="n">
        <f aca="false">IFERROR(_xlfn.MINIFS($A$15:$A$2821,L$15:L$2821,"&gt;=-1E+99"),"N/A")</f>
        <v>42373</v>
      </c>
      <c r="M10" s="9" t="n">
        <f aca="false">IFERROR(_xlfn.MINIFS($A$15:$A$2821,M$15:M$2821,"&gt;=-1E+99"),"N/A")</f>
        <v>42373</v>
      </c>
      <c r="N10" s="9" t="n">
        <f aca="false">IFERROR(_xlfn.MINIFS($A$15:$A$2821,N$15:N$2821,"&gt;=-1E+99"),"N/A")</f>
        <v>42373</v>
      </c>
      <c r="O10" s="9" t="n">
        <f aca="false">IFERROR(_xlfn.MINIFS($A$15:$A$2821,O$15:O$2821,"&gt;=-1E+99"),"N/A")</f>
        <v>42373</v>
      </c>
      <c r="P10" s="9" t="n">
        <f aca="false">IFERROR(_xlfn.MINIFS($A$15:$A$2821,P$15:P$2821,"&gt;=-1E+99"),"N/A")</f>
        <v>42373</v>
      </c>
    </row>
    <row r="11" customFormat="false" ht="15" hidden="false" customHeight="false" outlineLevel="0" collapsed="false">
      <c r="A11" s="7" t="s">
        <v>578</v>
      </c>
      <c r="B11" s="9" t="n">
        <f aca="false">IFERROR(_xlfn.MAXIFS($A$15:$A$2821,B$15:B$2821,"&gt;=-1E+99"),"N/A")</f>
        <v>46297</v>
      </c>
      <c r="C11" s="9" t="n">
        <f aca="false">IFERROR(_xlfn.MAXIFS($A$15:$A$2821,C$15:C$2821,"&gt;=-1E+99"),"N/A")</f>
        <v>46297</v>
      </c>
      <c r="D11" s="9" t="n">
        <f aca="false">IFERROR(_xlfn.MAXIFS($A$15:$A$2821,D$15:D$2821,"&gt;=-1E+99"),"N/A")</f>
        <v>46297</v>
      </c>
      <c r="E11" s="9" t="n">
        <f aca="false">IFERROR(_xlfn.MAXIFS($A$15:$A$2821,E$15:E$2821,"&gt;=-1E+99"),"N/A")</f>
        <v>46297</v>
      </c>
      <c r="F11" s="9" t="n">
        <f aca="false">IFERROR(_xlfn.MAXIFS($A$15:$A$2821,F$15:F$2821,"&gt;=-1E+99"),"N/A")</f>
        <v>46297</v>
      </c>
      <c r="G11" s="9" t="n">
        <f aca="false">IFERROR(_xlfn.MAXIFS($A$15:$A$2821,G$15:G$2821,"&gt;=-1E+99"),"N/A")</f>
        <v>46297</v>
      </c>
      <c r="H11" s="9" t="n">
        <f aca="false">IFERROR(_xlfn.MAXIFS($A$15:$A$2821,H$15:H$2821,"&gt;=-1E+99"),"N/A")</f>
        <v>46297</v>
      </c>
      <c r="I11" s="9" t="n">
        <f aca="false">IFERROR(_xlfn.MAXIFS($A$15:$A$2821,I$15:I$2821,"&gt;=-1E+99"),"N/A")</f>
        <v>46301</v>
      </c>
      <c r="J11" s="9" t="n">
        <f aca="false">IFERROR(_xlfn.MAXIFS($A$15:$A$2821,J$15:J$2821,"&gt;=-1E+99"),"N/A")</f>
        <v>46301</v>
      </c>
      <c r="K11" s="9" t="n">
        <f aca="false">IFERROR(_xlfn.MAXIFS($A$15:$A$2821,K$15:K$2821,"&gt;=-1E+99"),"N/A")</f>
        <v>46301</v>
      </c>
      <c r="L11" s="9" t="n">
        <f aca="false">IFERROR(_xlfn.MAXIFS($A$15:$A$2821,L$15:L$2821,"&gt;=-1E+99"),"N/A")</f>
        <v>46301</v>
      </c>
      <c r="M11" s="9" t="n">
        <f aca="false">IFERROR(_xlfn.MAXIFS($A$15:$A$2821,M$15:M$2821,"&gt;=-1E+99"),"N/A")</f>
        <v>46301</v>
      </c>
      <c r="N11" s="9" t="n">
        <f aca="false">IFERROR(_xlfn.MAXIFS($A$15:$A$2821,N$15:N$2821,"&gt;=-1E+99"),"N/A")</f>
        <v>46301</v>
      </c>
      <c r="O11" s="9" t="n">
        <f aca="false">IFERROR(_xlfn.MAXIFS($A$15:$A$2821,O$15:O$2821,"&gt;=-1E+99"),"N/A")</f>
        <v>46301</v>
      </c>
      <c r="P11" s="9" t="n">
        <f aca="false">IFERROR(_xlfn.MAXIFS($A$15:$A$2821,P$15:P$2821,"&gt;=-1E+99"),"N/A")</f>
        <v>46301</v>
      </c>
    </row>
    <row r="12" customFormat="false" ht="15" hidden="false" customHeight="false" outlineLevel="0" collapsed="false">
      <c r="A12" s="7" t="s">
        <v>579</v>
      </c>
      <c r="B12" s="10" t="n">
        <f aca="false">IFERROR(INDEX(B$15:B$2821,MATCH(B11,$A$15:$A$2821,0)),"N/A")</f>
        <v>1345.75</v>
      </c>
      <c r="C12" s="10" t="n">
        <f aca="false">IFERROR(INDEX(C$15:C$2821,MATCH(C11,$A$15:$A$2821,0)),"N/A")</f>
        <v>9.6386</v>
      </c>
      <c r="D12" s="10" t="n">
        <f aca="false">IFERROR(INDEX(D$15:D$2821,MATCH(D11,$A$15:$A$2821,0)),"N/A")</f>
        <v>1.3234</v>
      </c>
      <c r="E12" s="10" t="n">
        <f aca="false">IFERROR(INDEX(E$15:E$2821,MATCH(E11,$A$15:$A$2821,0)),"N/A")</f>
        <v>1.1259</v>
      </c>
      <c r="F12" s="10" t="n">
        <f aca="false">IFERROR(INDEX(F$15:F$2821,MATCH(F11,$A$15:$A$2821,0)),"N/A")</f>
        <v>6.7038</v>
      </c>
      <c r="G12" s="10" t="n">
        <f aca="false">IFERROR(INDEX(G$15:G$2821,MATCH(G11,$A$15:$A$2821,0)),"N/A")</f>
        <v>5.2222</v>
      </c>
      <c r="H12" s="10" t="n">
        <f aca="false">IFERROR(INDEX(H$15:H$2821,MATCH(H11,$A$15:$A$2821,0)),"N/A")</f>
        <v>157.81</v>
      </c>
      <c r="I12" s="10" t="n">
        <f aca="false">IFERROR(INDEX(I$15:I$2821,MATCH(I11,$A$15:$A$2821,0)),"N/A")</f>
        <v>1.1269</v>
      </c>
      <c r="J12" s="10" t="n">
        <f aca="false">IFERROR(INDEX(J$15:J$2821,MATCH(J11,$A$15:$A$2821,0)),"N/A")</f>
        <v>10.778</v>
      </c>
      <c r="K12" s="10" t="n">
        <f aca="false">IFERROR(INDEX(K$15:K$2821,MATCH(K11,$A$15:$A$2821,0)),"N/A")</f>
        <v>1508.67</v>
      </c>
      <c r="L12" s="10" t="n">
        <f aca="false">IFERROR(INDEX(L$15:L$2821,MATCH(L11,$A$15:$A$2821,0)),"N/A")</f>
        <v>0.8488</v>
      </c>
      <c r="M12" s="10" t="n">
        <f aca="false">IFERROR(INDEX(M$15:M$2821,MATCH(M11,$A$15:$A$2821,0)),"N/A")</f>
        <v>7.5554</v>
      </c>
      <c r="N12" s="10" t="n">
        <f aca="false">IFERROR(INDEX(N$15:N$2821,MATCH(N11,$A$15:$A$2821,0)),"N/A")</f>
        <v>5.5991</v>
      </c>
      <c r="O12" s="10" t="n">
        <f aca="false">IFERROR(INDEX(O$15:O$2821,MATCH(O11,$A$15:$A$2821,0)),"N/A")</f>
        <v>178.15</v>
      </c>
      <c r="P12" s="10" t="n">
        <f aca="false">IFERROR(INDEX(P$15:P$2821,MATCH(P11,$A$15:$A$2821,0)),"N/A")</f>
        <v>9.5643</v>
      </c>
    </row>
    <row r="13" customFormat="false" ht="15" hidden="false" customHeight="false" outlineLevel="0" collapsed="false">
      <c r="A13" s="7" t="s">
        <v>580</v>
      </c>
      <c r="B13" s="11" t="n">
        <f aca="false">COUNT(B$15:B$2821)</f>
        <v>2687</v>
      </c>
      <c r="C13" s="11" t="n">
        <f aca="false">COUNT(C$15:C$2821)</f>
        <v>2687</v>
      </c>
      <c r="D13" s="11" t="n">
        <f aca="false">COUNT(D$15:D$2821)</f>
        <v>2687</v>
      </c>
      <c r="E13" s="11" t="n">
        <f aca="false">COUNT(E$15:E$2821)</f>
        <v>2687</v>
      </c>
      <c r="F13" s="11" t="n">
        <f aca="false">COUNT(F$15:F$2821)</f>
        <v>2687</v>
      </c>
      <c r="G13" s="11" t="n">
        <f aca="false">COUNT(G$15:G$2821)</f>
        <v>2687</v>
      </c>
      <c r="H13" s="11" t="n">
        <f aca="false">COUNT(H$15:H$2821)</f>
        <v>2687</v>
      </c>
      <c r="I13" s="11" t="n">
        <f aca="false">COUNT(I$15:I$2821)</f>
        <v>2755</v>
      </c>
      <c r="J13" s="11" t="n">
        <f aca="false">COUNT(J$15:J$2821)</f>
        <v>2755</v>
      </c>
      <c r="K13" s="11" t="n">
        <f aca="false">COUNT(K$15:K$2821)</f>
        <v>2755</v>
      </c>
      <c r="L13" s="11" t="n">
        <f aca="false">COUNT(L$15:L$2821)</f>
        <v>2755</v>
      </c>
      <c r="M13" s="11" t="n">
        <f aca="false">COUNT(M$15:M$2821)</f>
        <v>2755</v>
      </c>
      <c r="N13" s="11" t="n">
        <f aca="false">COUNT(N$15:N$2821)</f>
        <v>2755</v>
      </c>
      <c r="O13" s="11" t="n">
        <f aca="false">COUNT(O$15:O$2821)</f>
        <v>2755</v>
      </c>
      <c r="P13" s="11" t="n">
        <f aca="false">COUNT(P$15:P$2821)</f>
        <v>2708</v>
      </c>
    </row>
    <row r="14" customFormat="false" ht="42" hidden="false" customHeight="true" outlineLevel="0" collapsed="false">
      <c r="A14" s="3" t="s">
        <v>581</v>
      </c>
      <c r="B14" s="12" t="s">
        <v>582</v>
      </c>
      <c r="C14" s="12" t="s">
        <v>583</v>
      </c>
      <c r="D14" s="12" t="s">
        <v>584</v>
      </c>
      <c r="E14" s="12" t="s">
        <v>585</v>
      </c>
      <c r="F14" s="12" t="s">
        <v>586</v>
      </c>
      <c r="G14" s="12" t="s">
        <v>587</v>
      </c>
      <c r="H14" s="12" t="s">
        <v>588</v>
      </c>
      <c r="I14" s="12" t="s">
        <v>589</v>
      </c>
      <c r="J14" s="12" t="s">
        <v>590</v>
      </c>
      <c r="K14" s="12" t="s">
        <v>591</v>
      </c>
      <c r="L14" s="12" t="s">
        <v>592</v>
      </c>
      <c r="M14" s="12" t="s">
        <v>593</v>
      </c>
      <c r="N14" s="12" t="s">
        <v>594</v>
      </c>
      <c r="O14" s="12" t="s">
        <v>595</v>
      </c>
      <c r="P14" s="12" t="s">
        <v>596</v>
      </c>
    </row>
    <row r="15" customFormat="false" ht="15" hidden="false" customHeight="false" outlineLevel="0" collapsed="false">
      <c r="A15" s="13" t="n">
        <v>42373</v>
      </c>
      <c r="B15" s="14" t="n">
        <v>1191.46</v>
      </c>
      <c r="C15" s="14" t="n">
        <v>8.9246</v>
      </c>
      <c r="D15" s="14" t="n">
        <v>1.4686</v>
      </c>
      <c r="E15" s="14" t="n">
        <v>1.0803</v>
      </c>
      <c r="F15" s="14" t="n">
        <v>6.5338</v>
      </c>
      <c r="G15" s="14" t="n">
        <v>4.0613</v>
      </c>
      <c r="H15" s="14" t="n">
        <v>119.3</v>
      </c>
      <c r="I15" s="14" t="n">
        <v>1.0898</v>
      </c>
      <c r="J15" s="14" t="n">
        <v>9.6475</v>
      </c>
      <c r="K15" s="14" t="n">
        <v>1297.87</v>
      </c>
      <c r="L15" s="14" t="n">
        <v>0.7381</v>
      </c>
      <c r="M15" s="14" t="n">
        <v>7.1208</v>
      </c>
      <c r="N15" s="14" t="n">
        <v>4.4023</v>
      </c>
      <c r="O15" s="14" t="n">
        <v>129.78</v>
      </c>
      <c r="P15" s="14" t="n">
        <v>8.8525</v>
      </c>
    </row>
    <row r="16" customFormat="false" ht="15" hidden="false" customHeight="false" outlineLevel="0" collapsed="false">
      <c r="A16" s="13" t="n">
        <v>42374</v>
      </c>
      <c r="B16" s="14" t="n">
        <v>1190.43</v>
      </c>
      <c r="C16" s="14" t="n">
        <v>8.9165</v>
      </c>
      <c r="D16" s="14" t="n">
        <v>1.4664</v>
      </c>
      <c r="E16" s="14" t="n">
        <v>1.0743</v>
      </c>
      <c r="F16" s="14" t="n">
        <v>6.5219</v>
      </c>
      <c r="G16" s="14" t="n">
        <v>4.0108</v>
      </c>
      <c r="H16" s="14" t="n">
        <v>118.95</v>
      </c>
      <c r="I16" s="14" t="n">
        <v>1.0746</v>
      </c>
      <c r="J16" s="14" t="n">
        <v>9.588</v>
      </c>
      <c r="K16" s="14" t="n">
        <v>1277.02</v>
      </c>
      <c r="L16" s="14" t="n">
        <v>0.73235</v>
      </c>
      <c r="M16" s="14" t="n">
        <v>7.0074</v>
      </c>
      <c r="N16" s="14" t="n">
        <v>4.3023</v>
      </c>
      <c r="O16" s="14" t="n">
        <v>127.88</v>
      </c>
      <c r="P16" s="14" t="n">
        <v>8.9224</v>
      </c>
    </row>
    <row r="17" customFormat="false" ht="15" hidden="false" customHeight="false" outlineLevel="0" collapsed="false">
      <c r="A17" s="13" t="n">
        <v>42375</v>
      </c>
      <c r="B17" s="14" t="n">
        <v>1200.16</v>
      </c>
      <c r="C17" s="14" t="n">
        <v>8.9668</v>
      </c>
      <c r="D17" s="14" t="n">
        <v>1.4626</v>
      </c>
      <c r="E17" s="14" t="n">
        <v>1.0762</v>
      </c>
      <c r="F17" s="14" t="n">
        <v>6.5554</v>
      </c>
      <c r="G17" s="14" t="n">
        <v>4.0163</v>
      </c>
      <c r="H17" s="14" t="n">
        <v>118.54</v>
      </c>
      <c r="I17" s="14" t="n">
        <v>1.0742</v>
      </c>
      <c r="J17" s="14" t="n">
        <v>9.6225</v>
      </c>
      <c r="K17" s="14" t="n">
        <v>1289.2</v>
      </c>
      <c r="L17" s="14" t="n">
        <v>0.7344</v>
      </c>
      <c r="M17" s="14" t="n">
        <v>7.0388</v>
      </c>
      <c r="N17" s="14" t="n">
        <v>4.3331</v>
      </c>
      <c r="O17" s="14" t="n">
        <v>127.19</v>
      </c>
      <c r="P17" s="14" t="n">
        <v>8.9578</v>
      </c>
    </row>
    <row r="18" customFormat="false" ht="15" hidden="false" customHeight="false" outlineLevel="0" collapsed="false">
      <c r="A18" s="13" t="n">
        <v>42376</v>
      </c>
      <c r="B18" s="14" t="n">
        <v>1193.05</v>
      </c>
      <c r="C18" s="14" t="n">
        <v>8.919</v>
      </c>
      <c r="D18" s="14" t="n">
        <v>1.4579</v>
      </c>
      <c r="E18" s="14" t="n">
        <v>1.086</v>
      </c>
      <c r="F18" s="14" t="n">
        <v>6.5926</v>
      </c>
      <c r="G18" s="14" t="n">
        <v>4.0504</v>
      </c>
      <c r="H18" s="14" t="n">
        <v>118</v>
      </c>
      <c r="I18" s="14" t="n">
        <v>1.0868</v>
      </c>
      <c r="J18" s="14" t="n">
        <v>9.6975</v>
      </c>
      <c r="K18" s="14" t="n">
        <v>1306.87</v>
      </c>
      <c r="L18" s="14" t="n">
        <v>0.74545</v>
      </c>
      <c r="M18" s="14" t="n">
        <v>7.1672</v>
      </c>
      <c r="N18" s="14" t="n">
        <v>4.4001</v>
      </c>
      <c r="O18" s="14" t="n">
        <v>127.74</v>
      </c>
      <c r="P18" s="14" t="n">
        <v>8.923</v>
      </c>
    </row>
    <row r="19" customFormat="false" ht="15" hidden="false" customHeight="false" outlineLevel="0" collapsed="false">
      <c r="A19" s="13" t="n">
        <v>42377</v>
      </c>
      <c r="B19" s="14" t="n">
        <v>1206.97</v>
      </c>
      <c r="C19" s="14" t="n">
        <v>8.9045</v>
      </c>
      <c r="D19" s="14" t="n">
        <v>1.4523</v>
      </c>
      <c r="E19" s="14" t="n">
        <v>1.0885</v>
      </c>
      <c r="F19" s="14" t="n">
        <v>6.5932</v>
      </c>
      <c r="G19" s="14" t="n">
        <v>4.048</v>
      </c>
      <c r="H19" s="14" t="n">
        <v>117.74</v>
      </c>
      <c r="I19" s="14" t="n">
        <v>1.0861</v>
      </c>
      <c r="J19" s="14" t="n">
        <v>9.681</v>
      </c>
      <c r="K19" s="14" t="n">
        <v>1304.78</v>
      </c>
      <c r="L19" s="14" t="n">
        <v>0.74519</v>
      </c>
      <c r="M19" s="14" t="n">
        <v>7.1577</v>
      </c>
      <c r="N19" s="14" t="n">
        <v>4.3685</v>
      </c>
      <c r="O19" s="14" t="n">
        <v>128.51</v>
      </c>
      <c r="P19" s="14" t="n">
        <v>8.9135</v>
      </c>
    </row>
    <row r="20" customFormat="false" ht="15" hidden="false" customHeight="false" outlineLevel="0" collapsed="false">
      <c r="A20" s="13" t="n">
        <v>42380</v>
      </c>
      <c r="B20" s="14" t="n">
        <v>1206.55</v>
      </c>
      <c r="C20" s="14" t="n">
        <v>8.9399</v>
      </c>
      <c r="D20" s="14" t="n">
        <v>1.4564</v>
      </c>
      <c r="E20" s="14" t="n">
        <v>1.0878</v>
      </c>
      <c r="F20" s="14" t="n">
        <v>6.5675</v>
      </c>
      <c r="G20" s="14" t="n">
        <v>4.0464</v>
      </c>
      <c r="H20" s="14" t="n">
        <v>117.48</v>
      </c>
      <c r="I20" s="14" t="n">
        <v>1.0888</v>
      </c>
      <c r="J20" s="14" t="n">
        <v>9.677</v>
      </c>
      <c r="K20" s="14" t="n">
        <v>1309.12</v>
      </c>
      <c r="L20" s="14" t="n">
        <v>0.74705</v>
      </c>
      <c r="M20" s="14" t="n">
        <v>7.1554</v>
      </c>
      <c r="N20" s="14" t="n">
        <v>4.3786</v>
      </c>
      <c r="O20" s="14" t="n">
        <v>128.33</v>
      </c>
      <c r="P20" s="14" t="n">
        <v>8.8878</v>
      </c>
    </row>
    <row r="21" customFormat="false" ht="15" hidden="false" customHeight="false" outlineLevel="0" collapsed="false">
      <c r="A21" s="13" t="n">
        <v>42381</v>
      </c>
      <c r="B21" s="14" t="n">
        <v>1208.95</v>
      </c>
      <c r="C21" s="14" t="n">
        <v>8.9039</v>
      </c>
      <c r="D21" s="14" t="n">
        <v>1.4403</v>
      </c>
      <c r="E21" s="14" t="n">
        <v>1.0837</v>
      </c>
      <c r="F21" s="14" t="n">
        <v>6.57</v>
      </c>
      <c r="G21" s="14" t="n">
        <v>4.0454</v>
      </c>
      <c r="H21" s="14" t="n">
        <v>117.78</v>
      </c>
      <c r="I21" s="14" t="n">
        <v>1.0836</v>
      </c>
      <c r="J21" s="14" t="n">
        <v>9.6388</v>
      </c>
      <c r="K21" s="14" t="n">
        <v>1308.87</v>
      </c>
      <c r="L21" s="14" t="n">
        <v>0.7508</v>
      </c>
      <c r="M21" s="14" t="n">
        <v>7.1276</v>
      </c>
      <c r="N21" s="14" t="n">
        <v>4.3704</v>
      </c>
      <c r="O21" s="14" t="n">
        <v>127.79</v>
      </c>
      <c r="P21" s="14" t="n">
        <v>8.8952</v>
      </c>
    </row>
    <row r="22" customFormat="false" ht="15" hidden="false" customHeight="false" outlineLevel="0" collapsed="false">
      <c r="A22" s="13" t="n">
        <v>42382</v>
      </c>
      <c r="B22" s="14" t="n">
        <v>1208.95</v>
      </c>
      <c r="C22" s="14" t="n">
        <v>8.8019</v>
      </c>
      <c r="D22" s="14" t="n">
        <v>1.447</v>
      </c>
      <c r="E22" s="14" t="n">
        <v>1.0862</v>
      </c>
      <c r="F22" s="14" t="n">
        <v>6.57</v>
      </c>
      <c r="G22" s="14" t="n">
        <v>3.9893</v>
      </c>
      <c r="H22" s="14" t="n">
        <v>118.06</v>
      </c>
      <c r="I22" s="14" t="n">
        <v>1.0816</v>
      </c>
      <c r="J22" s="14" t="n">
        <v>9.5588</v>
      </c>
      <c r="K22" s="14" t="n">
        <v>1301.18</v>
      </c>
      <c r="L22" s="14" t="n">
        <v>0.7502</v>
      </c>
      <c r="M22" s="14" t="n">
        <v>7.1121</v>
      </c>
      <c r="N22" s="14" t="n">
        <v>4.3214</v>
      </c>
      <c r="O22" s="14" t="n">
        <v>127.74</v>
      </c>
      <c r="P22" s="14" t="n">
        <v>8.8376</v>
      </c>
    </row>
    <row r="23" customFormat="false" ht="15" hidden="false" customHeight="false" outlineLevel="0" collapsed="false">
      <c r="A23" s="13" t="n">
        <v>42383</v>
      </c>
      <c r="B23" s="14" t="n">
        <v>1211.28</v>
      </c>
      <c r="C23" s="14" t="n">
        <v>8.7635</v>
      </c>
      <c r="D23" s="14" t="n">
        <v>1.4409</v>
      </c>
      <c r="E23" s="14" t="n">
        <v>1.0862</v>
      </c>
      <c r="F23" s="14" t="n">
        <v>6.5891</v>
      </c>
      <c r="G23" s="14" t="n">
        <v>4.0032</v>
      </c>
      <c r="H23" s="14" t="n">
        <v>118.03</v>
      </c>
      <c r="I23" s="14" t="n">
        <v>1.0893</v>
      </c>
      <c r="J23" s="14" t="n">
        <v>9.6071</v>
      </c>
      <c r="K23" s="14" t="n">
        <v>1320.77</v>
      </c>
      <c r="L23" s="14" t="n">
        <v>0.75703</v>
      </c>
      <c r="M23" s="14" t="n">
        <v>7.1809</v>
      </c>
      <c r="N23" s="14" t="n">
        <v>4.373</v>
      </c>
      <c r="O23" s="14" t="n">
        <v>128.26</v>
      </c>
      <c r="P23" s="14" t="n">
        <v>8.8195</v>
      </c>
    </row>
    <row r="24" customFormat="false" ht="15" hidden="false" customHeight="false" outlineLevel="0" collapsed="false">
      <c r="A24" s="13" t="n">
        <v>42384</v>
      </c>
      <c r="B24" s="14" t="n">
        <v>1216.95</v>
      </c>
      <c r="C24" s="14" t="n">
        <v>8.8195</v>
      </c>
      <c r="D24" s="14" t="n">
        <v>1.4289</v>
      </c>
      <c r="E24" s="14" t="n">
        <v>1.0964</v>
      </c>
      <c r="F24" s="14" t="n">
        <v>6.584</v>
      </c>
      <c r="G24" s="14" t="n">
        <v>4.048</v>
      </c>
      <c r="H24" s="14" t="n">
        <v>116.78</v>
      </c>
      <c r="I24" s="14" t="n">
        <v>1.0914</v>
      </c>
      <c r="J24" s="14" t="n">
        <v>9.6085</v>
      </c>
      <c r="K24" s="14" t="n">
        <v>1328.97</v>
      </c>
      <c r="L24" s="14" t="n">
        <v>0.7615</v>
      </c>
      <c r="M24" s="14" t="n">
        <v>7.1888</v>
      </c>
      <c r="N24" s="14" t="n">
        <v>4.4139</v>
      </c>
      <c r="O24" s="14" t="n">
        <v>127.8</v>
      </c>
      <c r="P24" s="14" t="n">
        <v>8.8038</v>
      </c>
    </row>
    <row r="25" customFormat="false" ht="15" hidden="false" customHeight="false" outlineLevel="0" collapsed="false">
      <c r="A25" s="13" t="n">
        <v>42387</v>
      </c>
      <c r="I25" s="14" t="n">
        <v>1.0892</v>
      </c>
      <c r="J25" s="14" t="n">
        <v>9.6878</v>
      </c>
      <c r="K25" s="14" t="n">
        <v>1317.44</v>
      </c>
      <c r="L25" s="14" t="n">
        <v>0.76263</v>
      </c>
      <c r="M25" s="14" t="n">
        <v>7.1658</v>
      </c>
      <c r="N25" s="14" t="n">
        <v>4.3929</v>
      </c>
      <c r="O25" s="14" t="n">
        <v>127.78</v>
      </c>
      <c r="P25" s="14" t="n">
        <v>8.8944</v>
      </c>
    </row>
    <row r="26" customFormat="false" ht="15" hidden="false" customHeight="false" outlineLevel="0" collapsed="false">
      <c r="A26" s="13" t="n">
        <v>42388</v>
      </c>
      <c r="B26" s="14" t="n">
        <v>1205.61</v>
      </c>
      <c r="C26" s="14" t="n">
        <v>8.7946</v>
      </c>
      <c r="D26" s="14" t="n">
        <v>1.4171</v>
      </c>
      <c r="E26" s="14" t="n">
        <v>1.0906</v>
      </c>
      <c r="F26" s="14" t="n">
        <v>6.5783</v>
      </c>
      <c r="G26" s="14" t="n">
        <v>4.042</v>
      </c>
      <c r="H26" s="14" t="n">
        <v>117.66</v>
      </c>
      <c r="I26" s="14" t="n">
        <v>1.0868</v>
      </c>
      <c r="J26" s="14" t="n">
        <v>9.6209</v>
      </c>
      <c r="K26" s="14" t="n">
        <v>1306.89</v>
      </c>
      <c r="L26" s="14" t="n">
        <v>0.76473</v>
      </c>
      <c r="M26" s="14" t="n">
        <v>7.1496</v>
      </c>
      <c r="N26" s="14" t="n">
        <v>4.3758</v>
      </c>
      <c r="O26" s="14" t="n">
        <v>128.12</v>
      </c>
      <c r="P26" s="14" t="n">
        <v>8.8525</v>
      </c>
    </row>
    <row r="27" customFormat="false" ht="15" hidden="false" customHeight="false" outlineLevel="0" collapsed="false">
      <c r="A27" s="13" t="n">
        <v>42389</v>
      </c>
      <c r="B27" s="14" t="n">
        <v>1215.4</v>
      </c>
      <c r="C27" s="14" t="n">
        <v>8.898</v>
      </c>
      <c r="D27" s="14" t="n">
        <v>1.4167</v>
      </c>
      <c r="E27" s="14" t="n">
        <v>1.0908</v>
      </c>
      <c r="F27" s="14" t="n">
        <v>6.5781</v>
      </c>
      <c r="G27" s="14" t="n">
        <v>4.1103</v>
      </c>
      <c r="H27" s="14" t="n">
        <v>116.38</v>
      </c>
      <c r="I27" s="14" t="n">
        <v>1.0907</v>
      </c>
      <c r="J27" s="14" t="n">
        <v>9.665</v>
      </c>
      <c r="K27" s="14" t="n">
        <v>1326.46</v>
      </c>
      <c r="L27" s="14" t="n">
        <v>0.77</v>
      </c>
      <c r="M27" s="14" t="n">
        <v>7.1768</v>
      </c>
      <c r="N27" s="14" t="n">
        <v>4.4559</v>
      </c>
      <c r="O27" s="14" t="n">
        <v>127.28</v>
      </c>
      <c r="P27" s="14" t="n">
        <v>8.8613</v>
      </c>
    </row>
    <row r="28" customFormat="false" ht="15" hidden="false" customHeight="false" outlineLevel="0" collapsed="false">
      <c r="A28" s="13" t="n">
        <v>42390</v>
      </c>
      <c r="B28" s="14" t="n">
        <v>1204.31</v>
      </c>
      <c r="C28" s="14" t="n">
        <v>8.8153</v>
      </c>
      <c r="D28" s="14" t="n">
        <v>1.4198</v>
      </c>
      <c r="E28" s="14" t="n">
        <v>1.0833</v>
      </c>
      <c r="F28" s="14" t="n">
        <v>6.5794</v>
      </c>
      <c r="G28" s="14" t="n">
        <v>4.1299</v>
      </c>
      <c r="H28" s="14" t="n">
        <v>117.61</v>
      </c>
      <c r="I28" s="14" t="n">
        <v>1.0893</v>
      </c>
      <c r="J28" s="14" t="n">
        <v>9.7033</v>
      </c>
      <c r="K28" s="14" t="n">
        <v>1321.64</v>
      </c>
      <c r="L28" s="14" t="n">
        <v>0.77182</v>
      </c>
      <c r="M28" s="14" t="n">
        <v>7.1666</v>
      </c>
      <c r="N28" s="14" t="n">
        <v>4.523</v>
      </c>
      <c r="O28" s="14" t="n">
        <v>127.43</v>
      </c>
      <c r="P28" s="14" t="n">
        <v>8.9078</v>
      </c>
    </row>
    <row r="29" customFormat="false" ht="15" hidden="false" customHeight="false" outlineLevel="0" collapsed="false">
      <c r="A29" s="13" t="n">
        <v>42391</v>
      </c>
      <c r="B29" s="14" t="n">
        <v>1195.66</v>
      </c>
      <c r="C29" s="14" t="n">
        <v>8.759</v>
      </c>
      <c r="D29" s="14" t="n">
        <v>1.4308</v>
      </c>
      <c r="E29" s="14" t="n">
        <v>1.0814</v>
      </c>
      <c r="F29" s="14" t="n">
        <v>6.5788</v>
      </c>
      <c r="G29" s="14" t="n">
        <v>4.1061</v>
      </c>
      <c r="H29" s="14" t="n">
        <v>118.37</v>
      </c>
      <c r="I29" s="14" t="n">
        <v>1.0808</v>
      </c>
      <c r="J29" s="14" t="n">
        <v>9.4685</v>
      </c>
      <c r="K29" s="14" t="n">
        <v>1292.83</v>
      </c>
      <c r="L29" s="14" t="n">
        <v>0.75459</v>
      </c>
      <c r="M29" s="14" t="n">
        <v>7.1104</v>
      </c>
      <c r="N29" s="14" t="n">
        <v>4.455</v>
      </c>
      <c r="O29" s="14" t="n">
        <v>127.77</v>
      </c>
      <c r="P29" s="14" t="n">
        <v>8.7606</v>
      </c>
    </row>
    <row r="30" customFormat="false" ht="15" hidden="false" customHeight="false" outlineLevel="0" collapsed="false">
      <c r="A30" s="13" t="n">
        <v>42394</v>
      </c>
      <c r="B30" s="14" t="n">
        <v>1194.3</v>
      </c>
      <c r="C30" s="14" t="n">
        <v>8.7447</v>
      </c>
      <c r="D30" s="14" t="n">
        <v>1.4245</v>
      </c>
      <c r="E30" s="14" t="n">
        <v>1.0832</v>
      </c>
      <c r="F30" s="14" t="n">
        <v>6.579</v>
      </c>
      <c r="G30" s="14" t="n">
        <v>4.0887</v>
      </c>
      <c r="H30" s="14" t="n">
        <v>118.55</v>
      </c>
      <c r="I30" s="14" t="n">
        <v>1.0815</v>
      </c>
      <c r="J30" s="14" t="n">
        <v>9.4585</v>
      </c>
      <c r="K30" s="14" t="n">
        <v>1293.53</v>
      </c>
      <c r="L30" s="14" t="n">
        <v>0.7589</v>
      </c>
      <c r="M30" s="14" t="n">
        <v>7.1156</v>
      </c>
      <c r="N30" s="14" t="n">
        <v>4.4276</v>
      </c>
      <c r="O30" s="14" t="n">
        <v>128.07</v>
      </c>
      <c r="P30" s="14" t="n">
        <v>8.7457</v>
      </c>
    </row>
    <row r="31" customFormat="false" ht="15" hidden="false" customHeight="false" outlineLevel="0" collapsed="false">
      <c r="A31" s="13" t="n">
        <v>42395</v>
      </c>
      <c r="B31" s="14" t="n">
        <v>1199.64</v>
      </c>
      <c r="C31" s="14" t="n">
        <v>8.6972</v>
      </c>
      <c r="D31" s="14" t="n">
        <v>1.4342</v>
      </c>
      <c r="E31" s="14" t="n">
        <v>1.0846</v>
      </c>
      <c r="F31" s="14" t="n">
        <v>6.5814</v>
      </c>
      <c r="G31" s="14" t="n">
        <v>4.0701</v>
      </c>
      <c r="H31" s="14" t="n">
        <v>118.5</v>
      </c>
      <c r="I31" s="14" t="n">
        <v>1.0837</v>
      </c>
      <c r="J31" s="14" t="n">
        <v>9.4858</v>
      </c>
      <c r="K31" s="14" t="n">
        <v>1303.82</v>
      </c>
      <c r="L31" s="14" t="n">
        <v>0.76095</v>
      </c>
      <c r="M31" s="14" t="n">
        <v>7.1314</v>
      </c>
      <c r="N31" s="14" t="n">
        <v>4.4465</v>
      </c>
      <c r="O31" s="14" t="n">
        <v>128.22</v>
      </c>
      <c r="P31" s="14" t="n">
        <v>8.7532</v>
      </c>
    </row>
    <row r="32" customFormat="false" ht="15" hidden="false" customHeight="false" outlineLevel="0" collapsed="false">
      <c r="A32" s="13" t="n">
        <v>42396</v>
      </c>
      <c r="B32" s="14" t="n">
        <v>1199.25</v>
      </c>
      <c r="C32" s="14" t="n">
        <v>8.6589</v>
      </c>
      <c r="D32" s="14" t="n">
        <v>1.4261</v>
      </c>
      <c r="E32" s="14" t="n">
        <v>1.0867</v>
      </c>
      <c r="F32" s="14" t="n">
        <v>6.5773</v>
      </c>
      <c r="G32" s="14" t="n">
        <v>4.0557</v>
      </c>
      <c r="H32" s="14" t="n">
        <v>118.9</v>
      </c>
      <c r="I32" s="14" t="n">
        <v>1.0888</v>
      </c>
      <c r="J32" s="14" t="n">
        <v>9.4508</v>
      </c>
      <c r="K32" s="14" t="n">
        <v>1308.94</v>
      </c>
      <c r="L32" s="14" t="n">
        <v>0.75965</v>
      </c>
      <c r="M32" s="14" t="n">
        <v>7.1621</v>
      </c>
      <c r="N32" s="14" t="n">
        <v>4.3963</v>
      </c>
      <c r="O32" s="14" t="n">
        <v>128.91</v>
      </c>
      <c r="P32" s="14" t="n">
        <v>8.68</v>
      </c>
    </row>
    <row r="33" customFormat="false" ht="15" hidden="false" customHeight="false" outlineLevel="0" collapsed="false">
      <c r="A33" s="13" t="n">
        <v>42397</v>
      </c>
      <c r="B33" s="14" t="n">
        <v>1204.08</v>
      </c>
      <c r="C33" s="14" t="n">
        <v>8.6332</v>
      </c>
      <c r="D33" s="14" t="n">
        <v>1.4351</v>
      </c>
      <c r="E33" s="14" t="n">
        <v>1.0952</v>
      </c>
      <c r="F33" s="14" t="n">
        <v>6.5744</v>
      </c>
      <c r="G33" s="14" t="n">
        <v>4.0979</v>
      </c>
      <c r="H33" s="14" t="n">
        <v>118.61</v>
      </c>
      <c r="I33" s="14" t="n">
        <v>1.0903</v>
      </c>
      <c r="J33" s="14" t="n">
        <v>9.4465</v>
      </c>
      <c r="K33" s="14" t="n">
        <v>1316.36</v>
      </c>
      <c r="L33" s="14" t="n">
        <v>0.76228</v>
      </c>
      <c r="M33" s="14" t="n">
        <v>7.1705</v>
      </c>
      <c r="N33" s="14" t="n">
        <v>4.4753</v>
      </c>
      <c r="O33" s="14" t="n">
        <v>129.62</v>
      </c>
      <c r="P33" s="14" t="n">
        <v>8.6641</v>
      </c>
    </row>
    <row r="34" customFormat="false" ht="15" hidden="false" customHeight="false" outlineLevel="0" collapsed="false">
      <c r="A34" s="13" t="n">
        <v>42398</v>
      </c>
      <c r="B34" s="14" t="n">
        <v>1210.04</v>
      </c>
      <c r="C34" s="14" t="n">
        <v>8.7071</v>
      </c>
      <c r="D34" s="14" t="n">
        <v>1.4184</v>
      </c>
      <c r="E34" s="14" t="n">
        <v>1.0832</v>
      </c>
      <c r="F34" s="14" t="n">
        <v>6.5752</v>
      </c>
      <c r="G34" s="14" t="n">
        <v>4.0364</v>
      </c>
      <c r="H34" s="14" t="n">
        <v>121.05</v>
      </c>
      <c r="I34" s="14" t="n">
        <v>1.092</v>
      </c>
      <c r="J34" s="14" t="n">
        <v>9.4845</v>
      </c>
      <c r="K34" s="14" t="n">
        <v>1318.6</v>
      </c>
      <c r="L34" s="14" t="n">
        <v>0.7641</v>
      </c>
      <c r="M34" s="14" t="n">
        <v>7.181</v>
      </c>
      <c r="N34" s="14" t="n">
        <v>4.4294</v>
      </c>
      <c r="O34" s="14" t="n">
        <v>132.25</v>
      </c>
      <c r="P34" s="14" t="n">
        <v>8.6854</v>
      </c>
    </row>
    <row r="35" customFormat="false" ht="15" hidden="false" customHeight="false" outlineLevel="0" collapsed="false">
      <c r="A35" s="13" t="n">
        <v>42401</v>
      </c>
      <c r="B35" s="14" t="n">
        <v>1203.19</v>
      </c>
      <c r="C35" s="14" t="n">
        <v>8.7104</v>
      </c>
      <c r="D35" s="14" t="n">
        <v>1.4367</v>
      </c>
      <c r="E35" s="14" t="n">
        <v>1.0888</v>
      </c>
      <c r="F35" s="14" t="n">
        <v>6.5778</v>
      </c>
      <c r="G35" s="14" t="n">
        <v>3.9866</v>
      </c>
      <c r="H35" s="14" t="n">
        <v>121.06</v>
      </c>
      <c r="I35" s="14" t="n">
        <v>1.0884</v>
      </c>
      <c r="J35" s="14" t="n">
        <v>9.416</v>
      </c>
      <c r="K35" s="14" t="n">
        <v>1310.43</v>
      </c>
      <c r="L35" s="14" t="n">
        <v>0.761</v>
      </c>
      <c r="M35" s="14" t="n">
        <v>7.1605</v>
      </c>
      <c r="N35" s="14" t="n">
        <v>4.3511</v>
      </c>
      <c r="O35" s="14" t="n">
        <v>131.99</v>
      </c>
      <c r="P35" s="14" t="n">
        <v>8.6512</v>
      </c>
    </row>
    <row r="36" customFormat="false" ht="15" hidden="false" customHeight="false" outlineLevel="0" collapsed="false">
      <c r="A36" s="13" t="n">
        <v>42402</v>
      </c>
      <c r="B36" s="14" t="n">
        <v>1212.01</v>
      </c>
      <c r="C36" s="14" t="n">
        <v>8.7184</v>
      </c>
      <c r="D36" s="14" t="n">
        <v>1.4399</v>
      </c>
      <c r="E36" s="14" t="n">
        <v>1.0908</v>
      </c>
      <c r="F36" s="14" t="n">
        <v>6.5795</v>
      </c>
      <c r="G36" s="14" t="n">
        <v>3.9885</v>
      </c>
      <c r="H36" s="14" t="n">
        <v>120.27</v>
      </c>
      <c r="I36" s="14" t="n">
        <v>1.0919</v>
      </c>
      <c r="J36" s="14" t="n">
        <v>9.5223</v>
      </c>
      <c r="K36" s="14" t="n">
        <v>1322.58</v>
      </c>
      <c r="L36" s="14" t="n">
        <v>0.7586</v>
      </c>
      <c r="M36" s="14" t="n">
        <v>7.1847</v>
      </c>
      <c r="N36" s="14" t="n">
        <v>4.3565</v>
      </c>
      <c r="O36" s="14" t="n">
        <v>131.84</v>
      </c>
      <c r="P36" s="14" t="n">
        <v>8.7209</v>
      </c>
    </row>
    <row r="37" customFormat="false" ht="15" hidden="false" customHeight="false" outlineLevel="0" collapsed="false">
      <c r="A37" s="13" t="n">
        <v>42403</v>
      </c>
      <c r="B37" s="14" t="n">
        <v>1211.33</v>
      </c>
      <c r="C37" s="14" t="n">
        <v>8.6074</v>
      </c>
      <c r="D37" s="14" t="n">
        <v>1.4576</v>
      </c>
      <c r="E37" s="14" t="n">
        <v>1.1051</v>
      </c>
      <c r="F37" s="14" t="n">
        <v>6.5765</v>
      </c>
      <c r="G37" s="14" t="n">
        <v>3.9478</v>
      </c>
      <c r="H37" s="14" t="n">
        <v>117.92</v>
      </c>
      <c r="I37" s="14" t="n">
        <v>1.0933</v>
      </c>
      <c r="J37" s="14" t="n">
        <v>9.5138</v>
      </c>
      <c r="K37" s="14" t="n">
        <v>1329.87</v>
      </c>
      <c r="L37" s="14" t="n">
        <v>0.7533</v>
      </c>
      <c r="M37" s="14" t="n">
        <v>7.1916</v>
      </c>
      <c r="N37" s="14" t="n">
        <v>4.328</v>
      </c>
      <c r="O37" s="14" t="n">
        <v>130.58</v>
      </c>
      <c r="P37" s="14" t="n">
        <v>8.7019</v>
      </c>
    </row>
    <row r="38" customFormat="false" ht="15" hidden="false" customHeight="false" outlineLevel="0" collapsed="false">
      <c r="A38" s="13" t="n">
        <v>42404</v>
      </c>
      <c r="B38" s="14" t="n">
        <v>1186.11</v>
      </c>
      <c r="C38" s="14" t="n">
        <v>8.482</v>
      </c>
      <c r="D38" s="14" t="n">
        <v>1.458</v>
      </c>
      <c r="E38" s="14" t="n">
        <v>1.1199</v>
      </c>
      <c r="F38" s="14" t="n">
        <v>6.5638</v>
      </c>
      <c r="G38" s="14" t="n">
        <v>3.8785</v>
      </c>
      <c r="H38" s="14" t="n">
        <v>116.75</v>
      </c>
      <c r="I38" s="14" t="n">
        <v>1.1206</v>
      </c>
      <c r="J38" s="14" t="n">
        <v>9.5375</v>
      </c>
      <c r="K38" s="14" t="n">
        <v>1336.75</v>
      </c>
      <c r="L38" s="14" t="n">
        <v>0.76595</v>
      </c>
      <c r="M38" s="14" t="n">
        <v>7.3691</v>
      </c>
      <c r="N38" s="14" t="n">
        <v>4.3486</v>
      </c>
      <c r="O38" s="14" t="n">
        <v>131.49</v>
      </c>
      <c r="P38" s="14" t="n">
        <v>8.5111</v>
      </c>
    </row>
    <row r="39" customFormat="false" ht="15" hidden="false" customHeight="false" outlineLevel="0" collapsed="false">
      <c r="A39" s="13" t="n">
        <v>42405</v>
      </c>
      <c r="B39" s="14" t="n">
        <v>1204.69</v>
      </c>
      <c r="C39" s="14" t="n">
        <v>8.6002</v>
      </c>
      <c r="D39" s="14" t="n">
        <v>1.4468</v>
      </c>
      <c r="E39" s="14" t="n">
        <v>1.1131</v>
      </c>
      <c r="F39" s="14" t="n">
        <v>6.571</v>
      </c>
      <c r="G39" s="14" t="n">
        <v>3.9101</v>
      </c>
      <c r="H39" s="14" t="n">
        <v>116.99</v>
      </c>
      <c r="I39" s="14" t="n">
        <v>1.1202</v>
      </c>
      <c r="J39" s="14" t="n">
        <v>9.5665</v>
      </c>
      <c r="K39" s="14" t="n">
        <v>1333.89</v>
      </c>
      <c r="L39" s="14" t="n">
        <v>0.76975</v>
      </c>
      <c r="M39" s="14" t="n">
        <v>7.3624</v>
      </c>
      <c r="N39" s="14" t="n">
        <v>4.3454</v>
      </c>
      <c r="O39" s="14" t="n">
        <v>130.71</v>
      </c>
      <c r="P39" s="14" t="n">
        <v>8.54</v>
      </c>
    </row>
    <row r="40" customFormat="false" ht="15" hidden="false" customHeight="false" outlineLevel="0" collapsed="false">
      <c r="A40" s="13" t="n">
        <v>42408</v>
      </c>
      <c r="B40" s="14" t="n">
        <v>1205.1</v>
      </c>
      <c r="C40" s="14" t="n">
        <v>8.5956</v>
      </c>
      <c r="D40" s="14" t="n">
        <v>1.4415</v>
      </c>
      <c r="E40" s="14" t="n">
        <v>1.117</v>
      </c>
      <c r="F40" s="14" t="n">
        <v>6.571</v>
      </c>
      <c r="G40" s="14" t="n">
        <v>3.8979</v>
      </c>
      <c r="H40" s="14" t="n">
        <v>115.7</v>
      </c>
      <c r="I40" s="14" t="n">
        <v>1.1101</v>
      </c>
      <c r="J40" s="14" t="n">
        <v>9.5885</v>
      </c>
      <c r="K40" s="14" t="n">
        <v>1343.41</v>
      </c>
      <c r="L40" s="14" t="n">
        <v>0.7724</v>
      </c>
      <c r="M40" s="14" t="n">
        <v>7.2995</v>
      </c>
      <c r="N40" s="14" t="n">
        <v>4.3245</v>
      </c>
      <c r="O40" s="14" t="n">
        <v>129.11</v>
      </c>
      <c r="P40" s="14" t="n">
        <v>8.6375</v>
      </c>
    </row>
    <row r="41" customFormat="false" ht="15" hidden="false" customHeight="false" outlineLevel="0" collapsed="false">
      <c r="A41" s="13" t="n">
        <v>42409</v>
      </c>
      <c r="B41" s="14" t="n">
        <v>1200.39</v>
      </c>
      <c r="C41" s="14" t="n">
        <v>8.5929</v>
      </c>
      <c r="D41" s="14" t="n">
        <v>1.4473</v>
      </c>
      <c r="E41" s="14" t="n">
        <v>1.13</v>
      </c>
      <c r="F41" s="14" t="n">
        <v>6.571</v>
      </c>
      <c r="G41" s="14" t="n">
        <v>3.8863</v>
      </c>
      <c r="H41" s="14" t="n">
        <v>114.8</v>
      </c>
      <c r="I41" s="14" t="n">
        <v>1.1236</v>
      </c>
      <c r="J41" s="14" t="n">
        <v>9.6705</v>
      </c>
      <c r="K41" s="14" t="n">
        <v>1356.24</v>
      </c>
      <c r="L41" s="14" t="n">
        <v>0.77945</v>
      </c>
      <c r="M41" s="14" t="n">
        <v>7.3924</v>
      </c>
      <c r="N41" s="14" t="n">
        <v>4.3741</v>
      </c>
      <c r="O41" s="14" t="n">
        <v>129.07</v>
      </c>
      <c r="P41" s="14" t="n">
        <v>8.6067</v>
      </c>
    </row>
    <row r="42" customFormat="false" ht="15" hidden="false" customHeight="false" outlineLevel="0" collapsed="false">
      <c r="A42" s="13" t="n">
        <v>42410</v>
      </c>
      <c r="B42" s="14" t="n">
        <v>1189.69</v>
      </c>
      <c r="C42" s="14" t="n">
        <v>8.5613</v>
      </c>
      <c r="D42" s="14" t="n">
        <v>1.4473</v>
      </c>
      <c r="E42" s="14" t="n">
        <v>1.1222</v>
      </c>
      <c r="F42" s="14" t="n">
        <v>6.571</v>
      </c>
      <c r="G42" s="14" t="n">
        <v>3.9366</v>
      </c>
      <c r="H42" s="14" t="n">
        <v>114.03</v>
      </c>
      <c r="I42" s="14" t="n">
        <v>1.1257</v>
      </c>
      <c r="J42" s="14" t="n">
        <v>9.6195</v>
      </c>
      <c r="K42" s="14" t="n">
        <v>1340.37</v>
      </c>
      <c r="L42" s="14" t="n">
        <v>0.77328</v>
      </c>
      <c r="M42" s="14" t="n">
        <v>7.4007</v>
      </c>
      <c r="N42" s="14" t="n">
        <v>4.3758</v>
      </c>
      <c r="O42" s="14" t="n">
        <v>129.42</v>
      </c>
      <c r="P42" s="14" t="n">
        <v>8.5453</v>
      </c>
    </row>
    <row r="43" customFormat="false" ht="15" hidden="false" customHeight="false" outlineLevel="0" collapsed="false">
      <c r="A43" s="13" t="n">
        <v>42411</v>
      </c>
      <c r="B43" s="14" t="n">
        <v>1196.89</v>
      </c>
      <c r="C43" s="14" t="n">
        <v>8.5465</v>
      </c>
      <c r="D43" s="14" t="n">
        <v>1.4448</v>
      </c>
      <c r="E43" s="14" t="n">
        <v>1.1362</v>
      </c>
      <c r="F43" s="14" t="n">
        <v>6.571</v>
      </c>
      <c r="G43" s="14" t="n">
        <v>3.9704</v>
      </c>
      <c r="H43" s="14" t="n">
        <v>111.72</v>
      </c>
      <c r="I43" s="14" t="n">
        <v>1.1347</v>
      </c>
      <c r="J43" s="14" t="n">
        <v>9.7085</v>
      </c>
      <c r="K43" s="14" t="n">
        <v>1362.83</v>
      </c>
      <c r="L43" s="14" t="n">
        <v>0.7874</v>
      </c>
      <c r="M43" s="14" t="n">
        <v>7.4592</v>
      </c>
      <c r="N43" s="14" t="n">
        <v>4.4836</v>
      </c>
      <c r="O43" s="14" t="n">
        <v>127.3</v>
      </c>
      <c r="P43" s="14" t="n">
        <v>8.556</v>
      </c>
    </row>
    <row r="44" customFormat="false" ht="15" hidden="false" customHeight="false" outlineLevel="0" collapsed="false">
      <c r="A44" s="13" t="n">
        <v>42412</v>
      </c>
      <c r="B44" s="14" t="n">
        <v>1205.13</v>
      </c>
      <c r="C44" s="14" t="n">
        <v>8.5917</v>
      </c>
      <c r="D44" s="14" t="n">
        <v>1.446</v>
      </c>
      <c r="E44" s="14" t="n">
        <v>1.1235</v>
      </c>
      <c r="F44" s="14" t="n">
        <v>6.571</v>
      </c>
      <c r="G44" s="14" t="n">
        <v>3.9764</v>
      </c>
      <c r="H44" s="14" t="n">
        <v>112.96</v>
      </c>
      <c r="I44" s="14" t="n">
        <v>1.1275</v>
      </c>
      <c r="J44" s="14" t="n">
        <v>9.6773</v>
      </c>
      <c r="K44" s="14" t="n">
        <v>1359.98</v>
      </c>
      <c r="L44" s="14" t="n">
        <v>0.77735</v>
      </c>
      <c r="M44" s="14" t="n">
        <v>7.4114</v>
      </c>
      <c r="N44" s="14" t="n">
        <v>4.5087</v>
      </c>
      <c r="O44" s="14" t="n">
        <v>127.07</v>
      </c>
      <c r="P44" s="14" t="n">
        <v>8.583</v>
      </c>
    </row>
    <row r="45" customFormat="false" ht="15" hidden="false" customHeight="false" outlineLevel="0" collapsed="false">
      <c r="A45" s="13" t="n">
        <v>42415</v>
      </c>
      <c r="I45" s="14" t="n">
        <v>1.118</v>
      </c>
      <c r="J45" s="14" t="n">
        <v>9.6313</v>
      </c>
      <c r="K45" s="14" t="n">
        <v>1352.15</v>
      </c>
      <c r="L45" s="14" t="n">
        <v>0.772</v>
      </c>
      <c r="M45" s="14" t="n">
        <v>7.2606</v>
      </c>
      <c r="N45" s="14" t="n">
        <v>4.4567</v>
      </c>
      <c r="O45" s="14" t="n">
        <v>127.6</v>
      </c>
      <c r="P45" s="14" t="n">
        <v>8.6148</v>
      </c>
    </row>
    <row r="46" customFormat="false" ht="15" hidden="false" customHeight="false" outlineLevel="0" collapsed="false">
      <c r="A46" s="13" t="n">
        <v>42416</v>
      </c>
      <c r="B46" s="14" t="n">
        <v>1219.44</v>
      </c>
      <c r="C46" s="14" t="n">
        <v>8.6203</v>
      </c>
      <c r="D46" s="14" t="n">
        <v>1.429</v>
      </c>
      <c r="E46" s="14" t="n">
        <v>1.114</v>
      </c>
      <c r="F46" s="14" t="n">
        <v>6.5154</v>
      </c>
      <c r="G46" s="14" t="n">
        <v>4.0564</v>
      </c>
      <c r="H46" s="14" t="n">
        <v>113.9</v>
      </c>
      <c r="I46" s="14" t="n">
        <v>1.1166</v>
      </c>
      <c r="J46" s="14" t="n">
        <v>9.6049</v>
      </c>
      <c r="K46" s="14" t="n">
        <v>1358.7</v>
      </c>
      <c r="L46" s="14" t="n">
        <v>0.7758</v>
      </c>
      <c r="M46" s="14" t="n">
        <v>7.2741</v>
      </c>
      <c r="N46" s="14" t="n">
        <v>4.4833</v>
      </c>
      <c r="O46" s="14" t="n">
        <v>127.02</v>
      </c>
      <c r="P46" s="14" t="n">
        <v>8.6019</v>
      </c>
    </row>
    <row r="47" customFormat="false" ht="15" hidden="false" customHeight="false" outlineLevel="0" collapsed="false">
      <c r="A47" s="13" t="n">
        <v>42417</v>
      </c>
      <c r="B47" s="14" t="n">
        <v>1222.32</v>
      </c>
      <c r="C47" s="14" t="n">
        <v>8.5696</v>
      </c>
      <c r="D47" s="14" t="n">
        <v>1.4317</v>
      </c>
      <c r="E47" s="14" t="n">
        <v>1.114</v>
      </c>
      <c r="F47" s="14" t="n">
        <v>6.527</v>
      </c>
      <c r="G47" s="14" t="n">
        <v>3.9856</v>
      </c>
      <c r="H47" s="14" t="n">
        <v>114.14</v>
      </c>
      <c r="I47" s="14" t="n">
        <v>1.1136</v>
      </c>
      <c r="J47" s="14" t="n">
        <v>9.5955</v>
      </c>
      <c r="K47" s="14" t="n">
        <v>1368.24</v>
      </c>
      <c r="L47" s="14" t="n">
        <v>0.77835</v>
      </c>
      <c r="M47" s="14" t="n">
        <v>7.2685</v>
      </c>
      <c r="N47" s="14" t="n">
        <v>4.4866</v>
      </c>
      <c r="O47" s="14" t="n">
        <v>127.1</v>
      </c>
      <c r="P47" s="14" t="n">
        <v>8.6166</v>
      </c>
    </row>
    <row r="48" customFormat="false" ht="15" hidden="false" customHeight="false" outlineLevel="0" collapsed="false">
      <c r="A48" s="13" t="n">
        <v>42418</v>
      </c>
      <c r="B48" s="14" t="n">
        <v>1231.15</v>
      </c>
      <c r="C48" s="14" t="n">
        <v>8.5961</v>
      </c>
      <c r="D48" s="14" t="n">
        <v>1.4333</v>
      </c>
      <c r="E48" s="14" t="n">
        <v>1.1092</v>
      </c>
      <c r="F48" s="14" t="n">
        <v>6.5163</v>
      </c>
      <c r="G48" s="14" t="n">
        <v>4.0191</v>
      </c>
      <c r="H48" s="14" t="n">
        <v>113.62</v>
      </c>
      <c r="I48" s="14" t="n">
        <v>1.1084</v>
      </c>
      <c r="J48" s="14" t="n">
        <v>9.5235</v>
      </c>
      <c r="K48" s="14" t="n">
        <v>1362.2</v>
      </c>
      <c r="L48" s="14" t="n">
        <v>0.77143</v>
      </c>
      <c r="M48" s="14" t="n">
        <v>7.2242</v>
      </c>
      <c r="N48" s="14" t="n">
        <v>4.4527</v>
      </c>
      <c r="O48" s="14" t="n">
        <v>126.17</v>
      </c>
      <c r="P48" s="14" t="n">
        <v>8.5921</v>
      </c>
    </row>
    <row r="49" customFormat="false" ht="15" hidden="false" customHeight="false" outlineLevel="0" collapsed="false">
      <c r="A49" s="13" t="n">
        <v>42419</v>
      </c>
      <c r="B49" s="14" t="n">
        <v>1231.09</v>
      </c>
      <c r="C49" s="14" t="n">
        <v>8.5654</v>
      </c>
      <c r="D49" s="14" t="n">
        <v>1.4343</v>
      </c>
      <c r="E49" s="14" t="n">
        <v>1.1127</v>
      </c>
      <c r="F49" s="14" t="n">
        <v>6.5202</v>
      </c>
      <c r="G49" s="14" t="n">
        <v>4.0428</v>
      </c>
      <c r="H49" s="14" t="n">
        <v>112.42</v>
      </c>
      <c r="I49" s="14" t="n">
        <v>1.1096</v>
      </c>
      <c r="J49" s="14" t="n">
        <v>9.5358</v>
      </c>
      <c r="K49" s="14" t="n">
        <v>1368.69</v>
      </c>
      <c r="L49" s="14" t="n">
        <v>0.77715</v>
      </c>
      <c r="M49" s="14" t="n">
        <v>7.2378</v>
      </c>
      <c r="N49" s="14" t="n">
        <v>4.4854</v>
      </c>
      <c r="O49" s="14" t="n">
        <v>125.4</v>
      </c>
      <c r="P49" s="14" t="n">
        <v>8.5939</v>
      </c>
    </row>
    <row r="50" customFormat="false" ht="15" hidden="false" customHeight="false" outlineLevel="0" collapsed="false">
      <c r="A50" s="13" t="n">
        <v>42422</v>
      </c>
      <c r="B50" s="14" t="n">
        <v>1223.32</v>
      </c>
      <c r="C50" s="14" t="n">
        <v>8.5997</v>
      </c>
      <c r="D50" s="14" t="n">
        <v>1.4157</v>
      </c>
      <c r="E50" s="14" t="n">
        <v>1.1018</v>
      </c>
      <c r="F50" s="14" t="n">
        <v>6.5197</v>
      </c>
      <c r="G50" s="14" t="n">
        <v>3.933</v>
      </c>
      <c r="H50" s="14" t="n">
        <v>113.12</v>
      </c>
      <c r="I50" s="14" t="n">
        <v>1.1026</v>
      </c>
      <c r="J50" s="14" t="n">
        <v>9.493</v>
      </c>
      <c r="K50" s="14" t="n">
        <v>1351.19</v>
      </c>
      <c r="L50" s="14" t="n">
        <v>0.78243</v>
      </c>
      <c r="M50" s="14" t="n">
        <v>7.1909</v>
      </c>
      <c r="N50" s="14" t="n">
        <v>4.3755</v>
      </c>
      <c r="O50" s="14" t="n">
        <v>124.85</v>
      </c>
      <c r="P50" s="14" t="n">
        <v>8.6096</v>
      </c>
    </row>
    <row r="51" customFormat="false" ht="15" hidden="false" customHeight="false" outlineLevel="0" collapsed="false">
      <c r="A51" s="13" t="n">
        <v>42423</v>
      </c>
      <c r="B51" s="14" t="n">
        <v>1230.05</v>
      </c>
      <c r="C51" s="14" t="n">
        <v>8.5984</v>
      </c>
      <c r="D51" s="14" t="n">
        <v>1.404</v>
      </c>
      <c r="E51" s="14" t="n">
        <v>1.1016</v>
      </c>
      <c r="F51" s="14" t="n">
        <v>6.5263</v>
      </c>
      <c r="G51" s="14" t="n">
        <v>3.974</v>
      </c>
      <c r="H51" s="14" t="n">
        <v>112.17</v>
      </c>
      <c r="I51" s="14" t="n">
        <v>1.1002</v>
      </c>
      <c r="J51" s="14" t="n">
        <v>9.459</v>
      </c>
      <c r="K51" s="14" t="n">
        <v>1353.46</v>
      </c>
      <c r="L51" s="14" t="n">
        <v>0.77985</v>
      </c>
      <c r="M51" s="14" t="n">
        <v>7.1814</v>
      </c>
      <c r="N51" s="14" t="n">
        <v>4.357</v>
      </c>
      <c r="O51" s="14" t="n">
        <v>123.12</v>
      </c>
      <c r="P51" s="14" t="n">
        <v>8.5975</v>
      </c>
    </row>
    <row r="52" customFormat="false" ht="15" hidden="false" customHeight="false" outlineLevel="0" collapsed="false">
      <c r="A52" s="13" t="n">
        <v>42424</v>
      </c>
      <c r="B52" s="14" t="n">
        <v>1234.6</v>
      </c>
      <c r="C52" s="14" t="n">
        <v>8.6713</v>
      </c>
      <c r="D52" s="14" t="n">
        <v>1.3932</v>
      </c>
      <c r="E52" s="14" t="n">
        <v>1.1021</v>
      </c>
      <c r="F52" s="14" t="n">
        <v>6.529</v>
      </c>
      <c r="G52" s="14" t="n">
        <v>3.9774</v>
      </c>
      <c r="H52" s="14" t="n">
        <v>111.36</v>
      </c>
      <c r="I52" s="14" t="n">
        <v>1.0981</v>
      </c>
      <c r="J52" s="14" t="n">
        <v>9.5858</v>
      </c>
      <c r="K52" s="14" t="n">
        <v>1359.58</v>
      </c>
      <c r="L52" s="14" t="n">
        <v>0.78935</v>
      </c>
      <c r="M52" s="14" t="n">
        <v>7.1794</v>
      </c>
      <c r="N52" s="14" t="n">
        <v>4.3793</v>
      </c>
      <c r="O52" s="14" t="n">
        <v>122.86</v>
      </c>
      <c r="P52" s="14" t="n">
        <v>8.7294</v>
      </c>
    </row>
    <row r="53" customFormat="false" ht="15" hidden="false" customHeight="false" outlineLevel="0" collapsed="false">
      <c r="A53" s="13" t="n">
        <v>42425</v>
      </c>
      <c r="B53" s="14" t="n">
        <v>1237.39</v>
      </c>
      <c r="C53" s="14" t="n">
        <v>8.6532</v>
      </c>
      <c r="D53" s="14" t="n">
        <v>1.3937</v>
      </c>
      <c r="E53" s="14" t="n">
        <v>1.1026</v>
      </c>
      <c r="F53" s="14" t="n">
        <v>6.532</v>
      </c>
      <c r="G53" s="14" t="n">
        <v>3.929</v>
      </c>
      <c r="H53" s="14" t="n">
        <v>112.7</v>
      </c>
      <c r="I53" s="14" t="n">
        <v>1.1027</v>
      </c>
      <c r="J53" s="14" t="n">
        <v>9.5413</v>
      </c>
      <c r="K53" s="14" t="n">
        <v>1366.74</v>
      </c>
      <c r="L53" s="14" t="n">
        <v>0.7892</v>
      </c>
      <c r="M53" s="14" t="n">
        <v>7.2026</v>
      </c>
      <c r="N53" s="14" t="n">
        <v>4.3527</v>
      </c>
      <c r="O53" s="14" t="n">
        <v>124.01</v>
      </c>
      <c r="P53" s="14" t="n">
        <v>8.6527</v>
      </c>
    </row>
    <row r="54" customFormat="false" ht="15" hidden="false" customHeight="false" outlineLevel="0" collapsed="false">
      <c r="A54" s="13" t="n">
        <v>42426</v>
      </c>
      <c r="B54" s="14" t="n">
        <v>1242.59</v>
      </c>
      <c r="C54" s="14" t="n">
        <v>8.6826</v>
      </c>
      <c r="D54" s="14" t="n">
        <v>1.3867</v>
      </c>
      <c r="E54" s="14" t="n">
        <v>1.0932</v>
      </c>
      <c r="F54" s="14" t="n">
        <v>6.539</v>
      </c>
      <c r="G54" s="14" t="n">
        <v>4.012</v>
      </c>
      <c r="H54" s="14" t="n">
        <v>113.78</v>
      </c>
      <c r="I54" s="14" t="n">
        <v>1.1006</v>
      </c>
      <c r="J54" s="14" t="n">
        <v>9.5245</v>
      </c>
      <c r="K54" s="14" t="n">
        <v>1360.34</v>
      </c>
      <c r="L54" s="14" t="n">
        <v>0.78745</v>
      </c>
      <c r="M54" s="14" t="n">
        <v>7.1954</v>
      </c>
      <c r="N54" s="14" t="n">
        <v>4.3356</v>
      </c>
      <c r="O54" s="14" t="n">
        <v>124.42</v>
      </c>
      <c r="P54" s="14" t="n">
        <v>8.6539</v>
      </c>
    </row>
    <row r="55" customFormat="false" ht="15" hidden="false" customHeight="false" outlineLevel="0" collapsed="false">
      <c r="A55" s="13" t="n">
        <v>42429</v>
      </c>
      <c r="B55" s="14" t="n">
        <v>1238.09</v>
      </c>
      <c r="C55" s="14" t="n">
        <v>8.6919</v>
      </c>
      <c r="D55" s="14" t="n">
        <v>1.3926</v>
      </c>
      <c r="E55" s="14" t="n">
        <v>1.0868</v>
      </c>
      <c r="F55" s="14" t="n">
        <v>6.5525</v>
      </c>
      <c r="G55" s="14" t="n">
        <v>3.9793</v>
      </c>
      <c r="H55" s="14" t="n">
        <v>112.9</v>
      </c>
      <c r="I55" s="14" t="n">
        <v>1.0888</v>
      </c>
      <c r="J55" s="14" t="n">
        <v>9.5043</v>
      </c>
      <c r="K55" s="14" t="n">
        <v>1347.54</v>
      </c>
      <c r="L55" s="14" t="n">
        <v>0.7858</v>
      </c>
      <c r="M55" s="14" t="n">
        <v>7.1351</v>
      </c>
      <c r="N55" s="14" t="n">
        <v>4.3394</v>
      </c>
      <c r="O55" s="14" t="n">
        <v>123.14</v>
      </c>
      <c r="P55" s="14" t="n">
        <v>8.7292</v>
      </c>
    </row>
    <row r="56" customFormat="false" ht="15" hidden="false" customHeight="false" outlineLevel="0" collapsed="false">
      <c r="A56" s="13" t="n">
        <v>42430</v>
      </c>
      <c r="B56" s="14" t="n">
        <v>1229.56</v>
      </c>
      <c r="C56" s="14" t="n">
        <v>8.6574</v>
      </c>
      <c r="D56" s="14" t="n">
        <v>1.3948</v>
      </c>
      <c r="E56" s="14" t="n">
        <v>1.0847</v>
      </c>
      <c r="F56" s="14" t="n">
        <v>6.55</v>
      </c>
      <c r="G56" s="14" t="n">
        <v>3.9475</v>
      </c>
      <c r="H56" s="14" t="n">
        <v>113.94</v>
      </c>
      <c r="I56" s="14" t="n">
        <v>1.0872</v>
      </c>
      <c r="J56" s="14" t="n">
        <v>9.407</v>
      </c>
      <c r="K56" s="14" t="n">
        <v>1340.06</v>
      </c>
      <c r="L56" s="14" t="n">
        <v>0.778</v>
      </c>
      <c r="M56" s="14" t="n">
        <v>7.123</v>
      </c>
      <c r="N56" s="14" t="n">
        <v>4.3519</v>
      </c>
      <c r="O56" s="14" t="n">
        <v>122.94</v>
      </c>
      <c r="P56" s="14" t="n">
        <v>8.6525</v>
      </c>
    </row>
    <row r="57" customFormat="false" ht="15" hidden="false" customHeight="false" outlineLevel="0" collapsed="false">
      <c r="A57" s="13" t="n">
        <v>42431</v>
      </c>
      <c r="B57" s="14" t="n">
        <v>1227.59</v>
      </c>
      <c r="C57" s="14" t="n">
        <v>8.7023</v>
      </c>
      <c r="D57" s="14" t="n">
        <v>1.4059</v>
      </c>
      <c r="E57" s="14" t="n">
        <v>1.0845</v>
      </c>
      <c r="F57" s="14" t="n">
        <v>6.5499</v>
      </c>
      <c r="G57" s="14" t="n">
        <v>3.8948</v>
      </c>
      <c r="H57" s="14" t="n">
        <v>113.81</v>
      </c>
      <c r="I57" s="14" t="n">
        <v>1.0856</v>
      </c>
      <c r="J57" s="14" t="n">
        <v>9.422</v>
      </c>
      <c r="K57" s="14" t="n">
        <v>1334.29</v>
      </c>
      <c r="L57" s="14" t="n">
        <v>0.7741</v>
      </c>
      <c r="M57" s="14" t="n">
        <v>7.1125</v>
      </c>
      <c r="N57" s="14" t="n">
        <v>4.2523</v>
      </c>
      <c r="O57" s="14" t="n">
        <v>124.07</v>
      </c>
      <c r="P57" s="14" t="n">
        <v>8.6791</v>
      </c>
    </row>
    <row r="58" customFormat="false" ht="15" hidden="false" customHeight="false" outlineLevel="0" collapsed="false">
      <c r="A58" s="13" t="n">
        <v>42432</v>
      </c>
      <c r="B58" s="14" t="n">
        <v>1209.55</v>
      </c>
      <c r="C58" s="14" t="n">
        <v>8.5932</v>
      </c>
      <c r="D58" s="14" t="n">
        <v>1.4152</v>
      </c>
      <c r="E58" s="14" t="n">
        <v>1.0948</v>
      </c>
      <c r="F58" s="14" t="n">
        <v>6.5312</v>
      </c>
      <c r="G58" s="14" t="n">
        <v>3.8246</v>
      </c>
      <c r="H58" s="14" t="n">
        <v>113.53</v>
      </c>
      <c r="I58" s="14" t="n">
        <v>1.0901</v>
      </c>
      <c r="J58" s="14" t="n">
        <v>9.4245</v>
      </c>
      <c r="K58" s="14" t="n">
        <v>1322.61</v>
      </c>
      <c r="L58" s="14" t="n">
        <v>0.77435</v>
      </c>
      <c r="M58" s="14" t="n">
        <v>7.1298</v>
      </c>
      <c r="N58" s="14" t="n">
        <v>4.1949</v>
      </c>
      <c r="O58" s="14" t="n">
        <v>124.23</v>
      </c>
      <c r="P58" s="14" t="n">
        <v>8.6455</v>
      </c>
    </row>
    <row r="59" customFormat="false" ht="15" hidden="false" customHeight="false" outlineLevel="0" collapsed="false">
      <c r="A59" s="13" t="n">
        <v>42433</v>
      </c>
      <c r="B59" s="14" t="n">
        <v>1195.09</v>
      </c>
      <c r="C59" s="14" t="n">
        <v>8.5072</v>
      </c>
      <c r="D59" s="14" t="n">
        <v>1.4226</v>
      </c>
      <c r="E59" s="14" t="n">
        <v>1.101</v>
      </c>
      <c r="F59" s="14" t="n">
        <v>6.5064</v>
      </c>
      <c r="G59" s="14" t="n">
        <v>3.728</v>
      </c>
      <c r="H59" s="14" t="n">
        <v>113.91</v>
      </c>
      <c r="I59" s="14" t="n">
        <v>1.097</v>
      </c>
      <c r="J59" s="14" t="n">
        <v>9.383</v>
      </c>
      <c r="K59" s="14" t="n">
        <v>1319.78</v>
      </c>
      <c r="L59" s="14" t="n">
        <v>0.77483</v>
      </c>
      <c r="M59" s="14" t="n">
        <v>7.148</v>
      </c>
      <c r="N59" s="14" t="n">
        <v>4.0834</v>
      </c>
      <c r="O59" s="14" t="n">
        <v>124.77</v>
      </c>
      <c r="P59" s="14" t="n">
        <v>8.5533</v>
      </c>
    </row>
    <row r="60" customFormat="false" ht="15" hidden="false" customHeight="false" outlineLevel="0" collapsed="false">
      <c r="A60" s="13" t="n">
        <v>42436</v>
      </c>
      <c r="B60" s="14" t="n">
        <v>1200.08</v>
      </c>
      <c r="C60" s="14" t="n">
        <v>8.4984</v>
      </c>
      <c r="D60" s="14" t="n">
        <v>1.4256</v>
      </c>
      <c r="E60" s="14" t="n">
        <v>1.1004</v>
      </c>
      <c r="F60" s="14" t="n">
        <v>6.5155</v>
      </c>
      <c r="G60" s="14" t="n">
        <v>3.7745</v>
      </c>
      <c r="H60" s="14" t="n">
        <v>113.6</v>
      </c>
      <c r="I60" s="14" t="n">
        <v>1.0953</v>
      </c>
      <c r="J60" s="14" t="n">
        <v>9.3583</v>
      </c>
      <c r="K60" s="14" t="n">
        <v>1318.99</v>
      </c>
      <c r="L60" s="14" t="n">
        <v>0.77438</v>
      </c>
      <c r="M60" s="14" t="n">
        <v>7.1381</v>
      </c>
      <c r="N60" s="14" t="n">
        <v>4.1228</v>
      </c>
      <c r="O60" s="14" t="n">
        <v>124.45</v>
      </c>
      <c r="P60" s="14" t="n">
        <v>8.5441</v>
      </c>
    </row>
    <row r="61" customFormat="false" ht="15" hidden="false" customHeight="false" outlineLevel="0" collapsed="false">
      <c r="A61" s="13" t="n">
        <v>42437</v>
      </c>
      <c r="B61" s="14" t="n">
        <v>1206.19</v>
      </c>
      <c r="C61" s="14" t="n">
        <v>8.5397</v>
      </c>
      <c r="D61" s="14" t="n">
        <v>1.4225</v>
      </c>
      <c r="E61" s="14" t="n">
        <v>1.1028</v>
      </c>
      <c r="F61" s="14" t="n">
        <v>6.5044</v>
      </c>
      <c r="G61" s="14" t="n">
        <v>3.7721</v>
      </c>
      <c r="H61" s="14" t="n">
        <v>112.58</v>
      </c>
      <c r="I61" s="14" t="n">
        <v>1.1028</v>
      </c>
      <c r="J61" s="14" t="n">
        <v>9.4285</v>
      </c>
      <c r="K61" s="14" t="n">
        <v>1329.87</v>
      </c>
      <c r="L61" s="14" t="n">
        <v>0.77608</v>
      </c>
      <c r="M61" s="14" t="n">
        <v>7.1744</v>
      </c>
      <c r="N61" s="14" t="n">
        <v>4.169</v>
      </c>
      <c r="O61" s="14" t="n">
        <v>124.6</v>
      </c>
      <c r="P61" s="14" t="n">
        <v>8.5496</v>
      </c>
    </row>
    <row r="62" customFormat="false" ht="15" hidden="false" customHeight="false" outlineLevel="0" collapsed="false">
      <c r="A62" s="13" t="n">
        <v>42438</v>
      </c>
      <c r="B62" s="14" t="n">
        <v>1206.82</v>
      </c>
      <c r="C62" s="14" t="n">
        <v>8.5066</v>
      </c>
      <c r="D62" s="14" t="n">
        <v>1.4236</v>
      </c>
      <c r="E62" s="14" t="n">
        <v>1.1022</v>
      </c>
      <c r="F62" s="14" t="n">
        <v>6.5105</v>
      </c>
      <c r="G62" s="14" t="n">
        <v>3.6902</v>
      </c>
      <c r="H62" s="14" t="n">
        <v>113.06</v>
      </c>
      <c r="I62" s="14" t="n">
        <v>1.0973</v>
      </c>
      <c r="J62" s="14" t="n">
        <v>9.3964</v>
      </c>
      <c r="K62" s="14" t="n">
        <v>1329.63</v>
      </c>
      <c r="L62" s="14" t="n">
        <v>0.77135</v>
      </c>
      <c r="M62" s="14" t="n">
        <v>7.1466</v>
      </c>
      <c r="N62" s="14" t="n">
        <v>4.074</v>
      </c>
      <c r="O62" s="14" t="n">
        <v>123.63</v>
      </c>
      <c r="P62" s="14" t="n">
        <v>8.5632</v>
      </c>
    </row>
    <row r="63" customFormat="false" ht="15" hidden="false" customHeight="false" outlineLevel="0" collapsed="false">
      <c r="A63" s="13" t="n">
        <v>42439</v>
      </c>
      <c r="B63" s="14" t="n">
        <v>1204.09</v>
      </c>
      <c r="C63" s="14" t="n">
        <v>8.5309</v>
      </c>
      <c r="D63" s="14" t="n">
        <v>1.4306</v>
      </c>
      <c r="E63" s="14" t="n">
        <v>1.1162</v>
      </c>
      <c r="F63" s="14" t="n">
        <v>6.507</v>
      </c>
      <c r="G63" s="14" t="n">
        <v>3.6698</v>
      </c>
      <c r="H63" s="14" t="n">
        <v>113.1</v>
      </c>
      <c r="I63" s="14" t="n">
        <v>1.0857</v>
      </c>
      <c r="J63" s="14" t="n">
        <v>9.2926</v>
      </c>
      <c r="K63" s="14" t="n">
        <v>1302.89</v>
      </c>
      <c r="L63" s="14" t="n">
        <v>0.76728</v>
      </c>
      <c r="M63" s="14" t="n">
        <v>7.0787</v>
      </c>
      <c r="N63" s="14" t="n">
        <v>3.972</v>
      </c>
      <c r="O63" s="14" t="n">
        <v>123.87</v>
      </c>
      <c r="P63" s="14" t="n">
        <v>8.5591</v>
      </c>
    </row>
    <row r="64" customFormat="false" ht="15" hidden="false" customHeight="false" outlineLevel="0" collapsed="false">
      <c r="A64" s="13" t="n">
        <v>42440</v>
      </c>
      <c r="B64" s="14" t="n">
        <v>1184.56</v>
      </c>
      <c r="C64" s="14" t="n">
        <v>8.3974</v>
      </c>
      <c r="D64" s="14" t="n">
        <v>1.4426</v>
      </c>
      <c r="E64" s="14" t="n">
        <v>1.118</v>
      </c>
      <c r="F64" s="14" t="n">
        <v>6.494</v>
      </c>
      <c r="G64" s="14" t="n">
        <v>3.6166</v>
      </c>
      <c r="H64" s="14" t="n">
        <v>113.66</v>
      </c>
      <c r="I64" s="14" t="n">
        <v>1.109</v>
      </c>
      <c r="J64" s="14" t="n">
        <v>9.436</v>
      </c>
      <c r="K64" s="14" t="n">
        <v>1319.89</v>
      </c>
      <c r="L64" s="14" t="n">
        <v>0.77595</v>
      </c>
      <c r="M64" s="14" t="n">
        <v>7.2119</v>
      </c>
      <c r="N64" s="14" t="n">
        <v>4.0401</v>
      </c>
      <c r="O64" s="14" t="n">
        <v>126.17</v>
      </c>
      <c r="P64" s="14" t="n">
        <v>8.5086</v>
      </c>
    </row>
    <row r="65" customFormat="false" ht="15" hidden="false" customHeight="false" outlineLevel="0" collapsed="false">
      <c r="A65" s="13" t="n">
        <v>42443</v>
      </c>
      <c r="B65" s="14" t="n">
        <v>1187.39</v>
      </c>
      <c r="C65" s="14" t="n">
        <v>8.471</v>
      </c>
      <c r="D65" s="14" t="n">
        <v>1.4324</v>
      </c>
      <c r="E65" s="14" t="n">
        <v>1.1107</v>
      </c>
      <c r="F65" s="14" t="n">
        <v>6.4984</v>
      </c>
      <c r="G65" s="14" t="n">
        <v>3.6265</v>
      </c>
      <c r="H65" s="14" t="n">
        <v>113.59</v>
      </c>
      <c r="I65" s="14" t="n">
        <v>1.1119</v>
      </c>
      <c r="J65" s="14" t="n">
        <v>9.414</v>
      </c>
      <c r="K65" s="14" t="n">
        <v>1318.77</v>
      </c>
      <c r="L65" s="14" t="n">
        <v>0.77428</v>
      </c>
      <c r="M65" s="14" t="n">
        <v>7.223</v>
      </c>
      <c r="N65" s="14" t="n">
        <v>4.0261</v>
      </c>
      <c r="O65" s="14" t="n">
        <v>126.36</v>
      </c>
      <c r="P65" s="14" t="n">
        <v>8.4666</v>
      </c>
    </row>
    <row r="66" customFormat="false" ht="15" hidden="false" customHeight="false" outlineLevel="0" collapsed="false">
      <c r="A66" s="13" t="n">
        <v>42444</v>
      </c>
      <c r="B66" s="14" t="n">
        <v>1194.99</v>
      </c>
      <c r="C66" s="14" t="n">
        <v>8.5487</v>
      </c>
      <c r="D66" s="14" t="n">
        <v>1.4166</v>
      </c>
      <c r="E66" s="14" t="n">
        <v>1.1112</v>
      </c>
      <c r="F66" s="14" t="n">
        <v>6.511</v>
      </c>
      <c r="G66" s="14" t="n">
        <v>3.7298</v>
      </c>
      <c r="H66" s="14" t="n">
        <v>112.88</v>
      </c>
      <c r="I66" s="14" t="n">
        <v>1.1109</v>
      </c>
      <c r="J66" s="14" t="n">
        <v>9.48</v>
      </c>
      <c r="K66" s="14" t="n">
        <v>1326.8</v>
      </c>
      <c r="L66" s="14" t="n">
        <v>0.78358</v>
      </c>
      <c r="M66" s="14" t="n">
        <v>7.2336</v>
      </c>
      <c r="N66" s="14" t="n">
        <v>4.1191</v>
      </c>
      <c r="O66" s="14" t="n">
        <v>125.36</v>
      </c>
      <c r="P66" s="14" t="n">
        <v>8.5336</v>
      </c>
    </row>
    <row r="67" customFormat="false" ht="15" hidden="false" customHeight="false" outlineLevel="0" collapsed="false">
      <c r="A67" s="13" t="n">
        <v>42445</v>
      </c>
      <c r="B67" s="14" t="n">
        <v>1190.59</v>
      </c>
      <c r="C67" s="14" t="n">
        <v>8.5798</v>
      </c>
      <c r="D67" s="14" t="n">
        <v>1.41</v>
      </c>
      <c r="E67" s="14" t="n">
        <v>1.1075</v>
      </c>
      <c r="F67" s="14" t="n">
        <v>6.5189</v>
      </c>
      <c r="G67" s="14" t="n">
        <v>3.7998</v>
      </c>
      <c r="H67" s="14" t="n">
        <v>113.69</v>
      </c>
      <c r="I67" s="14" t="n">
        <v>1.1064</v>
      </c>
      <c r="J67" s="14" t="n">
        <v>9.502</v>
      </c>
      <c r="K67" s="14" t="n">
        <v>1321.98</v>
      </c>
      <c r="L67" s="14" t="n">
        <v>0.7873</v>
      </c>
      <c r="M67" s="14" t="n">
        <v>7.218</v>
      </c>
      <c r="N67" s="14" t="n">
        <v>4.2224</v>
      </c>
      <c r="O67" s="14" t="n">
        <v>125.68</v>
      </c>
      <c r="P67" s="14" t="n">
        <v>8.5882</v>
      </c>
    </row>
    <row r="68" customFormat="false" ht="15" hidden="false" customHeight="false" outlineLevel="0" collapsed="false">
      <c r="A68" s="13" t="n">
        <v>42446</v>
      </c>
      <c r="B68" s="14" t="n">
        <v>1155.83</v>
      </c>
      <c r="C68" s="14" t="n">
        <v>8.3467</v>
      </c>
      <c r="D68" s="14" t="n">
        <v>1.449</v>
      </c>
      <c r="E68" s="14" t="n">
        <v>1.1316</v>
      </c>
      <c r="F68" s="14" t="n">
        <v>6.4745</v>
      </c>
      <c r="G68" s="14" t="n">
        <v>3.6201</v>
      </c>
      <c r="H68" s="14" t="n">
        <v>111.3</v>
      </c>
      <c r="I68" s="14" t="n">
        <v>1.1311</v>
      </c>
      <c r="J68" s="14" t="n">
        <v>9.4768</v>
      </c>
      <c r="K68" s="14" t="n">
        <v>1312.85</v>
      </c>
      <c r="L68" s="14" t="n">
        <v>0.78218</v>
      </c>
      <c r="M68" s="14" t="n">
        <v>7.3317</v>
      </c>
      <c r="N68" s="14" t="n">
        <v>4.1438</v>
      </c>
      <c r="O68" s="14" t="n">
        <v>126.28</v>
      </c>
      <c r="P68" s="14" t="n">
        <v>8.3784</v>
      </c>
    </row>
    <row r="69" customFormat="false" ht="15" hidden="false" customHeight="false" outlineLevel="0" collapsed="false">
      <c r="A69" s="13" t="n">
        <v>42447</v>
      </c>
      <c r="B69" s="14" t="n">
        <v>1160.11</v>
      </c>
      <c r="C69" s="14" t="n">
        <v>8.3382</v>
      </c>
      <c r="D69" s="14" t="n">
        <v>1.4514</v>
      </c>
      <c r="E69" s="14" t="n">
        <v>1.1292</v>
      </c>
      <c r="F69" s="14" t="n">
        <v>6.4682</v>
      </c>
      <c r="G69" s="14" t="n">
        <v>3.605</v>
      </c>
      <c r="H69" s="14" t="n">
        <v>111.38</v>
      </c>
      <c r="I69" s="14" t="n">
        <v>1.1279</v>
      </c>
      <c r="J69" s="14" t="n">
        <v>9.4111</v>
      </c>
      <c r="K69" s="14" t="n">
        <v>1306.11</v>
      </c>
      <c r="L69" s="14" t="n">
        <v>0.77855</v>
      </c>
      <c r="M69" s="14" t="n">
        <v>7.3037</v>
      </c>
      <c r="N69" s="14" t="n">
        <v>4.0794</v>
      </c>
      <c r="O69" s="14" t="n">
        <v>125.79</v>
      </c>
      <c r="P69" s="14" t="n">
        <v>8.3439</v>
      </c>
    </row>
    <row r="70" customFormat="false" ht="15" hidden="false" customHeight="false" outlineLevel="0" collapsed="false">
      <c r="A70" s="13" t="n">
        <v>42450</v>
      </c>
      <c r="B70" s="14" t="n">
        <v>1157.33</v>
      </c>
      <c r="C70" s="14" t="n">
        <v>8.3938</v>
      </c>
      <c r="D70" s="14" t="n">
        <v>1.4402</v>
      </c>
      <c r="E70" s="14" t="n">
        <v>1.126</v>
      </c>
      <c r="F70" s="14" t="n">
        <v>6.4812</v>
      </c>
      <c r="G70" s="14" t="n">
        <v>3.6064</v>
      </c>
      <c r="H70" s="14" t="n">
        <v>111.62</v>
      </c>
      <c r="I70" s="14" t="n">
        <v>1.1271</v>
      </c>
      <c r="J70" s="14" t="n">
        <v>9.4428</v>
      </c>
      <c r="K70" s="14" t="n">
        <v>1308.05</v>
      </c>
      <c r="L70" s="14" t="n">
        <v>0.78303</v>
      </c>
      <c r="M70" s="14" t="n">
        <v>7.3028</v>
      </c>
      <c r="N70" s="14" t="n">
        <v>4.0897</v>
      </c>
      <c r="O70" s="14" t="n">
        <v>125.94</v>
      </c>
      <c r="P70" s="14" t="n">
        <v>8.378</v>
      </c>
    </row>
    <row r="71" customFormat="false" ht="15" hidden="false" customHeight="false" outlineLevel="0" collapsed="false">
      <c r="A71" s="13" t="n">
        <v>42451</v>
      </c>
      <c r="B71" s="14" t="n">
        <v>1154.58</v>
      </c>
      <c r="C71" s="14" t="n">
        <v>8.4002</v>
      </c>
      <c r="D71" s="14" t="n">
        <v>1.4217</v>
      </c>
      <c r="E71" s="14" t="n">
        <v>1.1228</v>
      </c>
      <c r="F71" s="14" t="n">
        <v>6.4876</v>
      </c>
      <c r="G71" s="14" t="n">
        <v>3.5921</v>
      </c>
      <c r="H71" s="14" t="n">
        <v>111.82</v>
      </c>
      <c r="I71" s="14" t="n">
        <v>1.1212</v>
      </c>
      <c r="J71" s="14" t="n">
        <v>9.447</v>
      </c>
      <c r="K71" s="14" t="n">
        <v>1302.05</v>
      </c>
      <c r="L71" s="14" t="n">
        <v>0.7879</v>
      </c>
      <c r="M71" s="14" t="n">
        <v>7.2791</v>
      </c>
      <c r="N71" s="14" t="n">
        <v>4.0526</v>
      </c>
      <c r="O71" s="14" t="n">
        <v>125.13</v>
      </c>
      <c r="P71" s="14" t="n">
        <v>8.4258</v>
      </c>
    </row>
    <row r="72" customFormat="false" ht="15" hidden="false" customHeight="false" outlineLevel="0" collapsed="false">
      <c r="A72" s="13" t="n">
        <v>42452</v>
      </c>
      <c r="B72" s="14" t="n">
        <v>1166.59</v>
      </c>
      <c r="C72" s="14" t="n">
        <v>8.4854</v>
      </c>
      <c r="D72" s="14" t="n">
        <v>1.4111</v>
      </c>
      <c r="E72" s="14" t="n">
        <v>1.1174</v>
      </c>
      <c r="F72" s="14" t="n">
        <v>6.5035</v>
      </c>
      <c r="G72" s="14" t="n">
        <v>3.6735</v>
      </c>
      <c r="H72" s="14" t="n">
        <v>112.63</v>
      </c>
      <c r="I72" s="14" t="n">
        <v>1.1171</v>
      </c>
      <c r="J72" s="14" t="n">
        <v>9.4863</v>
      </c>
      <c r="K72" s="14" t="n">
        <v>1300.58</v>
      </c>
      <c r="L72" s="14" t="n">
        <v>0.78985</v>
      </c>
      <c r="M72" s="14" t="n">
        <v>7.2648</v>
      </c>
      <c r="N72" s="14" t="n">
        <v>4.06</v>
      </c>
      <c r="O72" s="14" t="n">
        <v>126.01</v>
      </c>
      <c r="P72" s="14" t="n">
        <v>8.4364</v>
      </c>
    </row>
    <row r="73" customFormat="false" ht="15" hidden="false" customHeight="false" outlineLevel="0" collapsed="false">
      <c r="A73" s="13" t="n">
        <v>42453</v>
      </c>
      <c r="B73" s="14" t="n">
        <v>1168.09</v>
      </c>
      <c r="C73" s="14" t="n">
        <v>8.4995</v>
      </c>
      <c r="D73" s="14" t="n">
        <v>1.4143</v>
      </c>
      <c r="E73" s="14" t="n">
        <v>1.1163</v>
      </c>
      <c r="F73" s="14" t="n">
        <v>6.5124</v>
      </c>
      <c r="G73" s="14" t="n">
        <v>3.7043</v>
      </c>
      <c r="H73" s="14" t="n">
        <v>112.64</v>
      </c>
      <c r="I73" s="14" t="n">
        <v>1.1154</v>
      </c>
      <c r="J73" s="14" t="n">
        <v>9.494</v>
      </c>
      <c r="K73" s="14" t="n">
        <v>1302.21</v>
      </c>
      <c r="L73" s="14" t="n">
        <v>0.78938</v>
      </c>
      <c r="M73" s="14" t="n">
        <v>7.2662</v>
      </c>
      <c r="N73" s="14" t="n">
        <v>4.1316</v>
      </c>
      <c r="O73" s="14" t="n">
        <v>125.41</v>
      </c>
    </row>
    <row r="74" customFormat="false" ht="15" hidden="false" customHeight="false" outlineLevel="0" collapsed="false">
      <c r="A74" s="13" t="n">
        <v>42454</v>
      </c>
      <c r="B74" s="14" t="n">
        <v>1168.19</v>
      </c>
      <c r="C74" s="14" t="n">
        <v>8.4853</v>
      </c>
      <c r="D74" s="14" t="n">
        <v>1.4131</v>
      </c>
      <c r="E74" s="14" t="n">
        <v>1.1164</v>
      </c>
      <c r="F74" s="14" t="n">
        <v>6.5131</v>
      </c>
      <c r="G74" s="14" t="n">
        <v>3.7028</v>
      </c>
      <c r="H74" s="14" t="n">
        <v>113.05</v>
      </c>
    </row>
    <row r="75" customFormat="false" ht="15" hidden="false" customHeight="false" outlineLevel="0" collapsed="false">
      <c r="A75" s="13" t="n">
        <v>42457</v>
      </c>
      <c r="B75" s="14" t="n">
        <v>1163.39</v>
      </c>
      <c r="C75" s="14" t="n">
        <v>8.4195</v>
      </c>
      <c r="D75" s="14" t="n">
        <v>1.425</v>
      </c>
      <c r="E75" s="14" t="n">
        <v>1.121</v>
      </c>
      <c r="F75" s="14" t="n">
        <v>6.5051</v>
      </c>
      <c r="G75" s="14" t="n">
        <v>3.639</v>
      </c>
      <c r="H75" s="14" t="n">
        <v>113.29</v>
      </c>
    </row>
    <row r="76" customFormat="false" ht="15" hidden="false" customHeight="false" outlineLevel="0" collapsed="false">
      <c r="A76" s="13" t="n">
        <v>42458</v>
      </c>
      <c r="B76" s="14" t="n">
        <v>1164.69</v>
      </c>
      <c r="C76" s="14" t="n">
        <v>8.4597</v>
      </c>
      <c r="D76" s="14" t="n">
        <v>1.4281</v>
      </c>
      <c r="E76" s="14" t="n">
        <v>1.1204</v>
      </c>
      <c r="F76" s="14" t="n">
        <v>6.5063</v>
      </c>
      <c r="G76" s="14" t="n">
        <v>3.6726</v>
      </c>
      <c r="H76" s="14" t="n">
        <v>113.33</v>
      </c>
      <c r="I76" s="14" t="n">
        <v>1.1194</v>
      </c>
      <c r="J76" s="14" t="n">
        <v>9.4839</v>
      </c>
      <c r="K76" s="14" t="n">
        <v>1306.67</v>
      </c>
      <c r="L76" s="14" t="n">
        <v>0.7845</v>
      </c>
      <c r="M76" s="14" t="n">
        <v>7.2873</v>
      </c>
      <c r="N76" s="14" t="n">
        <v>4.0795</v>
      </c>
      <c r="O76" s="14" t="n">
        <v>127.13</v>
      </c>
      <c r="P76" s="14" t="n">
        <v>8.4723</v>
      </c>
    </row>
    <row r="77" customFormat="false" ht="15" hidden="false" customHeight="false" outlineLevel="0" collapsed="false">
      <c r="A77" s="13" t="n">
        <v>42459</v>
      </c>
      <c r="B77" s="14" t="n">
        <v>1142.02</v>
      </c>
      <c r="C77" s="14" t="n">
        <v>8.3215</v>
      </c>
      <c r="D77" s="14" t="n">
        <v>1.439</v>
      </c>
      <c r="E77" s="14" t="n">
        <v>1.133</v>
      </c>
      <c r="F77" s="14" t="n">
        <v>6.4648</v>
      </c>
      <c r="G77" s="14" t="n">
        <v>3.6145</v>
      </c>
      <c r="H77" s="14" t="n">
        <v>112.6</v>
      </c>
      <c r="I77" s="14" t="n">
        <v>1.1324</v>
      </c>
      <c r="J77" s="14" t="n">
        <v>9.43</v>
      </c>
      <c r="K77" s="14" t="n">
        <v>1293.67</v>
      </c>
      <c r="L77" s="14" t="n">
        <v>0.7858</v>
      </c>
      <c r="M77" s="14" t="n">
        <v>7.3366</v>
      </c>
      <c r="N77" s="14" t="n">
        <v>4.1275</v>
      </c>
      <c r="O77" s="14" t="n">
        <v>127.37</v>
      </c>
      <c r="P77" s="14" t="n">
        <v>8.3274</v>
      </c>
    </row>
    <row r="78" customFormat="false" ht="15" hidden="false" customHeight="false" outlineLevel="0" collapsed="false">
      <c r="A78" s="13" t="n">
        <v>42460</v>
      </c>
      <c r="B78" s="14" t="n">
        <v>1138.86</v>
      </c>
      <c r="C78" s="14" t="n">
        <v>8.252</v>
      </c>
      <c r="D78" s="14" t="n">
        <v>1.4381</v>
      </c>
      <c r="E78" s="14" t="n">
        <v>1.139</v>
      </c>
      <c r="F78" s="14" t="n">
        <v>6.448</v>
      </c>
      <c r="G78" s="14" t="n">
        <v>3.55</v>
      </c>
      <c r="H78" s="14" t="n">
        <v>112.42</v>
      </c>
      <c r="I78" s="14" t="n">
        <v>1.1385</v>
      </c>
      <c r="J78" s="14" t="n">
        <v>9.4145</v>
      </c>
      <c r="K78" s="14" t="n">
        <v>1294.88</v>
      </c>
      <c r="L78" s="14" t="n">
        <v>0.79155</v>
      </c>
      <c r="M78" s="14" t="n">
        <v>7.3514</v>
      </c>
      <c r="N78" s="14" t="n">
        <v>4.1174</v>
      </c>
      <c r="O78" s="14" t="n">
        <v>127.9</v>
      </c>
      <c r="P78" s="14" t="n">
        <v>8.2692</v>
      </c>
    </row>
    <row r="79" customFormat="false" ht="15" hidden="false" customHeight="false" outlineLevel="0" collapsed="false">
      <c r="A79" s="13" t="n">
        <v>42461</v>
      </c>
      <c r="B79" s="14" t="n">
        <v>1147.15</v>
      </c>
      <c r="C79" s="14" t="n">
        <v>8.3127</v>
      </c>
      <c r="D79" s="14" t="n">
        <v>1.4204</v>
      </c>
      <c r="E79" s="14" t="n">
        <v>1.1385</v>
      </c>
      <c r="F79" s="14" t="n">
        <v>6.4776</v>
      </c>
      <c r="G79" s="14" t="n">
        <v>3.541</v>
      </c>
      <c r="H79" s="14" t="n">
        <v>112.06</v>
      </c>
      <c r="I79" s="14" t="n">
        <v>1.1432</v>
      </c>
      <c r="J79" s="14" t="n">
        <v>9.4401</v>
      </c>
      <c r="K79" s="14" t="n">
        <v>1315.78</v>
      </c>
      <c r="L79" s="14" t="n">
        <v>0.7989</v>
      </c>
      <c r="M79" s="14" t="n">
        <v>7.3903</v>
      </c>
      <c r="N79" s="14" t="n">
        <v>4.1296</v>
      </c>
      <c r="O79" s="14" t="n">
        <v>128.07</v>
      </c>
      <c r="P79" s="14" t="n">
        <v>8.2576</v>
      </c>
    </row>
    <row r="80" customFormat="false" ht="15" hidden="false" customHeight="false" outlineLevel="0" collapsed="false">
      <c r="A80" s="13" t="n">
        <v>42464</v>
      </c>
      <c r="B80" s="14" t="n">
        <v>1151.35</v>
      </c>
      <c r="C80" s="14" t="n">
        <v>8.3098</v>
      </c>
      <c r="D80" s="14" t="n">
        <v>1.4279</v>
      </c>
      <c r="E80" s="14" t="n">
        <v>1.1386</v>
      </c>
      <c r="F80" s="14" t="n">
        <v>6.4776</v>
      </c>
      <c r="G80" s="14" t="n">
        <v>3.5994</v>
      </c>
      <c r="H80" s="14" t="n">
        <v>111.18</v>
      </c>
      <c r="I80" s="14" t="n">
        <v>1.138</v>
      </c>
      <c r="J80" s="14" t="n">
        <v>9.4359</v>
      </c>
      <c r="K80" s="14" t="n">
        <v>1308.19</v>
      </c>
      <c r="L80" s="14" t="n">
        <v>0.79738</v>
      </c>
      <c r="M80" s="14" t="n">
        <v>7.3696</v>
      </c>
      <c r="N80" s="14" t="n">
        <v>4.042</v>
      </c>
      <c r="O80" s="14" t="n">
        <v>126.97</v>
      </c>
      <c r="P80" s="14" t="n">
        <v>8.2917</v>
      </c>
    </row>
    <row r="81" customFormat="false" ht="15" hidden="false" customHeight="false" outlineLevel="0" collapsed="false">
      <c r="A81" s="13" t="n">
        <v>42465</v>
      </c>
      <c r="B81" s="14" t="n">
        <v>1158.39</v>
      </c>
      <c r="C81" s="14" t="n">
        <v>8.3486</v>
      </c>
      <c r="D81" s="14" t="n">
        <v>1.4149</v>
      </c>
      <c r="E81" s="14" t="n">
        <v>1.1374</v>
      </c>
      <c r="F81" s="14" t="n">
        <v>6.476</v>
      </c>
      <c r="G81" s="14" t="n">
        <v>3.6659</v>
      </c>
      <c r="H81" s="14" t="n">
        <v>110.26</v>
      </c>
      <c r="I81" s="14" t="n">
        <v>1.1367</v>
      </c>
      <c r="J81" s="14" t="n">
        <v>9.4995</v>
      </c>
      <c r="K81" s="14" t="n">
        <v>1317.17</v>
      </c>
      <c r="L81" s="14" t="n">
        <v>0.8016</v>
      </c>
      <c r="M81" s="14" t="n">
        <v>7.3595</v>
      </c>
      <c r="N81" s="14" t="n">
        <v>4.1395</v>
      </c>
      <c r="O81" s="14" t="n">
        <v>125.81</v>
      </c>
      <c r="P81" s="14" t="n">
        <v>8.3571</v>
      </c>
    </row>
    <row r="82" customFormat="false" ht="15" hidden="false" customHeight="false" outlineLevel="0" collapsed="false">
      <c r="A82" s="13" t="n">
        <v>42466</v>
      </c>
      <c r="B82" s="14" t="n">
        <v>1155.28</v>
      </c>
      <c r="C82" s="14" t="n">
        <v>8.2844</v>
      </c>
      <c r="D82" s="14" t="n">
        <v>1.4162</v>
      </c>
      <c r="E82" s="14" t="n">
        <v>1.143</v>
      </c>
      <c r="F82" s="14" t="n">
        <v>6.478</v>
      </c>
      <c r="G82" s="14" t="n">
        <v>3.6538</v>
      </c>
      <c r="H82" s="14" t="n">
        <v>109.63</v>
      </c>
      <c r="I82" s="14" t="n">
        <v>1.1336</v>
      </c>
      <c r="J82" s="14" t="n">
        <v>9.476</v>
      </c>
      <c r="K82" s="14" t="n">
        <v>1318.35</v>
      </c>
      <c r="L82" s="14" t="n">
        <v>0.80808</v>
      </c>
      <c r="M82" s="14" t="n">
        <v>7.355</v>
      </c>
      <c r="N82" s="14" t="n">
        <v>4.2</v>
      </c>
      <c r="O82" s="14" t="n">
        <v>125.13</v>
      </c>
      <c r="P82" s="14" t="n">
        <v>8.3592</v>
      </c>
    </row>
    <row r="83" customFormat="false" ht="15" hidden="false" customHeight="false" outlineLevel="0" collapsed="false">
      <c r="A83" s="13" t="n">
        <v>42467</v>
      </c>
      <c r="B83" s="14" t="n">
        <v>1156.81</v>
      </c>
      <c r="C83" s="14" t="n">
        <v>8.3254</v>
      </c>
      <c r="D83" s="14" t="n">
        <v>1.4082</v>
      </c>
      <c r="E83" s="14" t="n">
        <v>1.1386</v>
      </c>
      <c r="F83" s="14" t="n">
        <v>6.4599</v>
      </c>
      <c r="G83" s="14" t="n">
        <v>3.7106</v>
      </c>
      <c r="H83" s="14" t="n">
        <v>107.98</v>
      </c>
      <c r="I83" s="14" t="n">
        <v>1.1364</v>
      </c>
      <c r="J83" s="14" t="n">
        <v>9.4546</v>
      </c>
      <c r="K83" s="14" t="n">
        <v>1318.1</v>
      </c>
      <c r="L83" s="14" t="n">
        <v>0.80728</v>
      </c>
      <c r="M83" s="14" t="n">
        <v>7.3535</v>
      </c>
      <c r="N83" s="14" t="n">
        <v>4.1617</v>
      </c>
      <c r="O83" s="14" t="n">
        <v>123.15</v>
      </c>
      <c r="P83" s="14" t="n">
        <v>8.3198</v>
      </c>
    </row>
    <row r="84" customFormat="false" ht="15" hidden="false" customHeight="false" outlineLevel="0" collapsed="false">
      <c r="A84" s="13" t="n">
        <v>42468</v>
      </c>
      <c r="B84" s="14" t="n">
        <v>1148.89</v>
      </c>
      <c r="C84" s="14" t="n">
        <v>8.223</v>
      </c>
      <c r="D84" s="14" t="n">
        <v>1.4105</v>
      </c>
      <c r="E84" s="14" t="n">
        <v>1.1406</v>
      </c>
      <c r="F84" s="14" t="n">
        <v>6.4628</v>
      </c>
      <c r="G84" s="14" t="n">
        <v>3.6288</v>
      </c>
      <c r="H84" s="14" t="n">
        <v>108.36</v>
      </c>
      <c r="I84" s="14" t="n">
        <v>1.1363</v>
      </c>
      <c r="J84" s="14" t="n">
        <v>9.4183</v>
      </c>
      <c r="K84" s="14" t="n">
        <v>1310.43</v>
      </c>
      <c r="L84" s="14" t="n">
        <v>0.8073</v>
      </c>
      <c r="M84" s="14" t="n">
        <v>7.357</v>
      </c>
      <c r="N84" s="14" t="n">
        <v>4.1554</v>
      </c>
      <c r="O84" s="14" t="n">
        <v>123.36</v>
      </c>
      <c r="P84" s="14" t="n">
        <v>8.2886</v>
      </c>
    </row>
    <row r="85" customFormat="false" ht="15" hidden="false" customHeight="false" outlineLevel="0" collapsed="false">
      <c r="A85" s="13" t="n">
        <v>42471</v>
      </c>
      <c r="B85" s="14" t="n">
        <v>1141.97</v>
      </c>
      <c r="C85" s="14" t="n">
        <v>8.1972</v>
      </c>
      <c r="D85" s="14" t="n">
        <v>1.424</v>
      </c>
      <c r="E85" s="14" t="n">
        <v>1.1412</v>
      </c>
      <c r="F85" s="14" t="n">
        <v>6.458</v>
      </c>
      <c r="G85" s="14" t="n">
        <v>3.516</v>
      </c>
      <c r="H85" s="14" t="n">
        <v>107.96</v>
      </c>
      <c r="I85" s="14" t="n">
        <v>1.139</v>
      </c>
      <c r="J85" s="14" t="n">
        <v>9.3809</v>
      </c>
      <c r="K85" s="14" t="n">
        <v>1306.55</v>
      </c>
      <c r="L85" s="14" t="n">
        <v>0.8006</v>
      </c>
      <c r="M85" s="14" t="n">
        <v>7.3709</v>
      </c>
      <c r="N85" s="14" t="n">
        <v>4.0647</v>
      </c>
      <c r="O85" s="14" t="n">
        <v>123.28</v>
      </c>
      <c r="P85" s="14" t="n">
        <v>8.2361</v>
      </c>
    </row>
    <row r="86" customFormat="false" ht="15" hidden="false" customHeight="false" outlineLevel="0" collapsed="false">
      <c r="A86" s="13" t="n">
        <v>42472</v>
      </c>
      <c r="B86" s="14" t="n">
        <v>1144.53</v>
      </c>
      <c r="C86" s="14" t="n">
        <v>8.1703</v>
      </c>
      <c r="D86" s="14" t="n">
        <v>1.4244</v>
      </c>
      <c r="E86" s="14" t="n">
        <v>1.1395</v>
      </c>
      <c r="F86" s="14" t="n">
        <v>6.4639</v>
      </c>
      <c r="G86" s="14" t="n">
        <v>3.552</v>
      </c>
      <c r="H86" s="14" t="n">
        <v>108.54</v>
      </c>
      <c r="I86" s="14" t="n">
        <v>1.1396</v>
      </c>
      <c r="J86" s="14" t="n">
        <v>9.3515</v>
      </c>
      <c r="K86" s="14" t="n">
        <v>1302.88</v>
      </c>
      <c r="L86" s="14" t="n">
        <v>0.7984</v>
      </c>
      <c r="M86" s="14" t="n">
        <v>7.3632</v>
      </c>
      <c r="N86" s="14" t="n">
        <v>4.0034</v>
      </c>
      <c r="O86" s="14" t="n">
        <v>123.44</v>
      </c>
      <c r="P86" s="14" t="n">
        <v>8.2059</v>
      </c>
    </row>
    <row r="87" customFormat="false" ht="15" hidden="false" customHeight="false" outlineLevel="0" collapsed="false">
      <c r="A87" s="13" t="n">
        <v>42473</v>
      </c>
      <c r="B87" s="14" t="n">
        <v>1146.29</v>
      </c>
      <c r="C87" s="14" t="n">
        <v>8.2299</v>
      </c>
      <c r="D87" s="14" t="n">
        <v>1.4223</v>
      </c>
      <c r="E87" s="14" t="n">
        <v>1.1281</v>
      </c>
      <c r="F87" s="14" t="n">
        <v>6.4768</v>
      </c>
      <c r="G87" s="14" t="n">
        <v>3.5606</v>
      </c>
      <c r="H87" s="14" t="n">
        <v>109.21</v>
      </c>
      <c r="I87" s="14" t="n">
        <v>1.1298</v>
      </c>
      <c r="J87" s="14" t="n">
        <v>9.3113</v>
      </c>
      <c r="K87" s="14" t="n">
        <v>1298.14</v>
      </c>
      <c r="L87" s="14" t="n">
        <v>0.79388</v>
      </c>
      <c r="M87" s="14" t="n">
        <v>7.3172</v>
      </c>
      <c r="N87" s="14" t="n">
        <v>3.969</v>
      </c>
      <c r="O87" s="14" t="n">
        <v>123.47</v>
      </c>
      <c r="P87" s="14" t="n">
        <v>8.2415</v>
      </c>
    </row>
    <row r="88" customFormat="false" ht="15" hidden="false" customHeight="false" outlineLevel="0" collapsed="false">
      <c r="A88" s="13" t="n">
        <v>42474</v>
      </c>
      <c r="B88" s="14" t="n">
        <v>1151.99</v>
      </c>
      <c r="C88" s="14" t="n">
        <v>8.2241</v>
      </c>
      <c r="D88" s="14" t="n">
        <v>1.4148</v>
      </c>
      <c r="E88" s="14" t="n">
        <v>1.1262</v>
      </c>
      <c r="F88" s="14" t="n">
        <v>6.481</v>
      </c>
      <c r="G88" s="14" t="n">
        <v>3.5035</v>
      </c>
      <c r="H88" s="14" t="n">
        <v>109.2</v>
      </c>
      <c r="I88" s="14" t="n">
        <v>1.1252</v>
      </c>
      <c r="J88" s="14" t="n">
        <v>9.264</v>
      </c>
      <c r="K88" s="14" t="n">
        <v>1298.53</v>
      </c>
      <c r="L88" s="14" t="n">
        <v>0.7956</v>
      </c>
      <c r="M88" s="14" t="n">
        <v>7.297</v>
      </c>
      <c r="N88" s="14" t="n">
        <v>3.9586</v>
      </c>
      <c r="O88" s="14" t="n">
        <v>123.09</v>
      </c>
      <c r="P88" s="14" t="n">
        <v>8.2332</v>
      </c>
    </row>
    <row r="89" customFormat="false" ht="15" hidden="false" customHeight="false" outlineLevel="0" collapsed="false">
      <c r="A89" s="13" t="n">
        <v>42475</v>
      </c>
      <c r="B89" s="14" t="n">
        <v>1144.83</v>
      </c>
      <c r="C89" s="14" t="n">
        <v>8.2278</v>
      </c>
      <c r="D89" s="14" t="n">
        <v>1.4217</v>
      </c>
      <c r="E89" s="14" t="n">
        <v>1.1295</v>
      </c>
      <c r="F89" s="14" t="n">
        <v>6.473</v>
      </c>
      <c r="G89" s="14" t="n">
        <v>3.5362</v>
      </c>
      <c r="H89" s="14" t="n">
        <v>108.76</v>
      </c>
      <c r="I89" s="14" t="n">
        <v>1.1284</v>
      </c>
      <c r="J89" s="14" t="n">
        <v>9.3044</v>
      </c>
      <c r="K89" s="14" t="n">
        <v>1295.12</v>
      </c>
      <c r="L89" s="14" t="n">
        <v>0.79575</v>
      </c>
      <c r="M89" s="14" t="n">
        <v>7.3072</v>
      </c>
      <c r="N89" s="14" t="n">
        <v>3.9387</v>
      </c>
      <c r="O89" s="14" t="n">
        <v>122.91</v>
      </c>
      <c r="P89" s="14" t="n">
        <v>8.2457</v>
      </c>
    </row>
    <row r="90" customFormat="false" ht="15" hidden="false" customHeight="false" outlineLevel="0" collapsed="false">
      <c r="A90" s="13" t="n">
        <v>42478</v>
      </c>
      <c r="B90" s="14" t="n">
        <v>1144.48</v>
      </c>
      <c r="C90" s="14" t="n">
        <v>8.2129</v>
      </c>
      <c r="D90" s="14" t="n">
        <v>1.4276</v>
      </c>
      <c r="E90" s="14" t="n">
        <v>1.1322</v>
      </c>
      <c r="F90" s="14" t="n">
        <v>6.4717</v>
      </c>
      <c r="G90" s="14" t="n">
        <v>3.5977</v>
      </c>
      <c r="H90" s="14" t="n">
        <v>108.85</v>
      </c>
      <c r="I90" s="14" t="n">
        <v>1.1306</v>
      </c>
      <c r="J90" s="14" t="n">
        <v>9.3325</v>
      </c>
      <c r="K90" s="14" t="n">
        <v>1299.62</v>
      </c>
      <c r="L90" s="14" t="n">
        <v>0.7978</v>
      </c>
      <c r="M90" s="14" t="n">
        <v>7.3241</v>
      </c>
      <c r="N90" s="14" t="n">
        <v>3.9606</v>
      </c>
      <c r="O90" s="14" t="n">
        <v>122.32</v>
      </c>
      <c r="P90" s="14" t="n">
        <v>8.2545</v>
      </c>
    </row>
    <row r="91" customFormat="false" ht="15" hidden="false" customHeight="false" outlineLevel="0" collapsed="false">
      <c r="A91" s="13" t="n">
        <v>42479</v>
      </c>
      <c r="B91" s="14" t="n">
        <v>1126.01</v>
      </c>
      <c r="C91" s="14" t="n">
        <v>8.1119</v>
      </c>
      <c r="D91" s="14" t="n">
        <v>1.4396</v>
      </c>
      <c r="E91" s="14" t="n">
        <v>1.1375</v>
      </c>
      <c r="F91" s="14" t="n">
        <v>6.4571</v>
      </c>
      <c r="G91" s="14" t="n">
        <v>3.542</v>
      </c>
      <c r="H91" s="14" t="n">
        <v>109.16</v>
      </c>
      <c r="I91" s="14" t="n">
        <v>1.1343</v>
      </c>
      <c r="J91" s="14" t="n">
        <v>9.2578</v>
      </c>
      <c r="K91" s="14" t="n">
        <v>1277.28</v>
      </c>
      <c r="L91" s="14" t="n">
        <v>0.78975</v>
      </c>
      <c r="M91" s="14" t="n">
        <v>7.3372</v>
      </c>
      <c r="N91" s="14" t="n">
        <v>4.0408</v>
      </c>
      <c r="O91" s="14" t="n">
        <v>124.1</v>
      </c>
      <c r="P91" s="14" t="n">
        <v>8.1617</v>
      </c>
    </row>
    <row r="92" customFormat="false" ht="15" hidden="false" customHeight="false" outlineLevel="0" collapsed="false">
      <c r="A92" s="13" t="n">
        <v>42480</v>
      </c>
      <c r="B92" s="14" t="n">
        <v>1130.48</v>
      </c>
      <c r="C92" s="14" t="n">
        <v>8.105</v>
      </c>
      <c r="D92" s="14" t="n">
        <v>1.4375</v>
      </c>
      <c r="E92" s="14" t="n">
        <v>1.133</v>
      </c>
      <c r="F92" s="14" t="n">
        <v>6.4675</v>
      </c>
      <c r="G92" s="14" t="n">
        <v>3.5444</v>
      </c>
      <c r="H92" s="14" t="n">
        <v>109.51</v>
      </c>
      <c r="I92" s="14" t="n">
        <v>1.1379</v>
      </c>
      <c r="J92" s="14" t="n">
        <v>9.2336</v>
      </c>
      <c r="K92" s="14" t="n">
        <v>1285.04</v>
      </c>
      <c r="L92" s="14" t="n">
        <v>0.791</v>
      </c>
      <c r="M92" s="14" t="n">
        <v>7.3578</v>
      </c>
      <c r="N92" s="14" t="n">
        <v>4.0362</v>
      </c>
      <c r="O92" s="14" t="n">
        <v>124.2</v>
      </c>
      <c r="P92" s="14" t="n">
        <v>8.1146</v>
      </c>
    </row>
    <row r="93" customFormat="false" ht="15" hidden="false" customHeight="false" outlineLevel="0" collapsed="false">
      <c r="A93" s="13" t="n">
        <v>42481</v>
      </c>
      <c r="B93" s="14" t="n">
        <v>1135.49</v>
      </c>
      <c r="C93" s="14" t="n">
        <v>8.1741</v>
      </c>
      <c r="D93" s="14" t="n">
        <v>1.4338</v>
      </c>
      <c r="E93" s="14" t="n">
        <v>1.1301</v>
      </c>
      <c r="F93" s="14" t="n">
        <v>6.481</v>
      </c>
      <c r="G93" s="14" t="n">
        <v>3.5444</v>
      </c>
      <c r="H93" s="14" t="n">
        <v>109.41</v>
      </c>
      <c r="I93" s="14" t="n">
        <v>1.1355</v>
      </c>
      <c r="J93" s="14" t="n">
        <v>9.2015</v>
      </c>
      <c r="K93" s="14" t="n">
        <v>1286.36</v>
      </c>
      <c r="L93" s="14" t="n">
        <v>0.78693</v>
      </c>
      <c r="M93" s="14" t="n">
        <v>7.3525</v>
      </c>
      <c r="N93" s="14" t="n">
        <v>4.0043</v>
      </c>
      <c r="O93" s="14" t="n">
        <v>124.5</v>
      </c>
      <c r="P93" s="14" t="n">
        <v>8.1035</v>
      </c>
    </row>
    <row r="94" customFormat="false" ht="15" hidden="false" customHeight="false" outlineLevel="0" collapsed="false">
      <c r="A94" s="13" t="n">
        <v>42482</v>
      </c>
      <c r="B94" s="14" t="n">
        <v>1147.85</v>
      </c>
      <c r="C94" s="14" t="n">
        <v>8.217</v>
      </c>
      <c r="D94" s="14" t="n">
        <v>1.439</v>
      </c>
      <c r="E94" s="14" t="n">
        <v>1.1239</v>
      </c>
      <c r="F94" s="14" t="n">
        <v>6.5004</v>
      </c>
      <c r="G94" s="14" t="n">
        <v>3.5864</v>
      </c>
      <c r="H94" s="14" t="n">
        <v>111.5</v>
      </c>
      <c r="I94" s="14" t="n">
        <v>1.1263</v>
      </c>
      <c r="J94" s="14" t="n">
        <v>9.2443</v>
      </c>
      <c r="K94" s="14" t="n">
        <v>1287.41</v>
      </c>
      <c r="L94" s="14" t="n">
        <v>0.78335</v>
      </c>
      <c r="M94" s="14" t="n">
        <v>7.3159</v>
      </c>
      <c r="N94" s="14" t="n">
        <v>4.0218</v>
      </c>
      <c r="O94" s="14" t="n">
        <v>124.86</v>
      </c>
      <c r="P94" s="14" t="n">
        <v>8.2077</v>
      </c>
    </row>
    <row r="95" customFormat="false" ht="15" hidden="false" customHeight="false" outlineLevel="0" collapsed="false">
      <c r="A95" s="13" t="n">
        <v>42485</v>
      </c>
      <c r="B95" s="14" t="n">
        <v>1147.76</v>
      </c>
      <c r="C95" s="14" t="n">
        <v>8.1893</v>
      </c>
      <c r="D95" s="14" t="n">
        <v>1.4492</v>
      </c>
      <c r="E95" s="14" t="n">
        <v>1.1274</v>
      </c>
      <c r="F95" s="14" t="n">
        <v>6.49</v>
      </c>
      <c r="G95" s="14" t="n">
        <v>3.5482</v>
      </c>
      <c r="H95" s="14" t="n">
        <v>111.08</v>
      </c>
      <c r="I95" s="14" t="n">
        <v>1.1264</v>
      </c>
      <c r="J95" s="14" t="n">
        <v>9.2735</v>
      </c>
      <c r="K95" s="14" t="n">
        <v>1291.46</v>
      </c>
      <c r="L95" s="14" t="n">
        <v>0.7764</v>
      </c>
      <c r="M95" s="14" t="n">
        <v>7.3145</v>
      </c>
      <c r="N95" s="14" t="n">
        <v>4.0168</v>
      </c>
      <c r="O95" s="14" t="n">
        <v>124.95</v>
      </c>
      <c r="P95" s="14" t="n">
        <v>8.2329</v>
      </c>
    </row>
    <row r="96" customFormat="false" ht="15" hidden="false" customHeight="false" outlineLevel="0" collapsed="false">
      <c r="A96" s="13" t="n">
        <v>42486</v>
      </c>
      <c r="B96" s="14" t="n">
        <v>1146.66</v>
      </c>
      <c r="C96" s="14" t="n">
        <v>8.136</v>
      </c>
      <c r="D96" s="14" t="n">
        <v>1.4611</v>
      </c>
      <c r="E96" s="14" t="n">
        <v>1.1318</v>
      </c>
      <c r="F96" s="14" t="n">
        <v>6.4905</v>
      </c>
      <c r="G96" s="14" t="n">
        <v>3.5269</v>
      </c>
      <c r="H96" s="14" t="n">
        <v>111.23</v>
      </c>
      <c r="I96" s="14" t="n">
        <v>1.1287</v>
      </c>
      <c r="J96" s="14" t="n">
        <v>9.2278</v>
      </c>
      <c r="K96" s="14" t="n">
        <v>1299.14</v>
      </c>
      <c r="L96" s="14" t="n">
        <v>0.77483</v>
      </c>
      <c r="M96" s="14" t="n">
        <v>7.3345</v>
      </c>
      <c r="N96" s="14" t="n">
        <v>3.9943</v>
      </c>
      <c r="O96" s="14" t="n">
        <v>125.45</v>
      </c>
      <c r="P96" s="14" t="n">
        <v>8.1756</v>
      </c>
    </row>
    <row r="97" customFormat="false" ht="15" hidden="false" customHeight="false" outlineLevel="0" collapsed="false">
      <c r="A97" s="13" t="n">
        <v>42487</v>
      </c>
      <c r="B97" s="14" t="n">
        <v>1151.5</v>
      </c>
      <c r="C97" s="14" t="n">
        <v>8.1573</v>
      </c>
      <c r="D97" s="14" t="n">
        <v>1.4554</v>
      </c>
      <c r="E97" s="14" t="n">
        <v>1.1322</v>
      </c>
      <c r="F97" s="14" t="n">
        <v>6.494</v>
      </c>
      <c r="G97" s="14" t="n">
        <v>3.5375</v>
      </c>
      <c r="H97" s="14" t="n">
        <v>111.26</v>
      </c>
      <c r="I97" s="14" t="n">
        <v>1.1303</v>
      </c>
      <c r="J97" s="14" t="n">
        <v>9.2013</v>
      </c>
      <c r="K97" s="14" t="n">
        <v>1299.53</v>
      </c>
      <c r="L97" s="14" t="n">
        <v>0.77475</v>
      </c>
      <c r="M97" s="14" t="n">
        <v>7.3411</v>
      </c>
      <c r="N97" s="14" t="n">
        <v>3.9826</v>
      </c>
      <c r="O97" s="14" t="n">
        <v>125.79</v>
      </c>
      <c r="P97" s="14" t="n">
        <v>8.1406</v>
      </c>
    </row>
    <row r="98" customFormat="false" ht="15" hidden="false" customHeight="false" outlineLevel="0" collapsed="false">
      <c r="A98" s="13" t="n">
        <v>42488</v>
      </c>
      <c r="B98" s="14" t="n">
        <v>1139.93</v>
      </c>
      <c r="C98" s="14" t="n">
        <v>8.1507</v>
      </c>
      <c r="D98" s="14" t="n">
        <v>1.4581</v>
      </c>
      <c r="E98" s="14" t="n">
        <v>1.1325</v>
      </c>
      <c r="F98" s="14" t="n">
        <v>6.4735</v>
      </c>
      <c r="G98" s="14" t="n">
        <v>3.4824</v>
      </c>
      <c r="H98" s="14" t="n">
        <v>108.55</v>
      </c>
      <c r="I98" s="14" t="n">
        <v>1.1358</v>
      </c>
      <c r="J98" s="14" t="n">
        <v>9.246</v>
      </c>
      <c r="K98" s="14" t="n">
        <v>1295.54</v>
      </c>
      <c r="L98" s="14" t="n">
        <v>0.77838</v>
      </c>
      <c r="M98" s="14" t="n">
        <v>7.3562</v>
      </c>
      <c r="N98" s="14" t="n">
        <v>3.9907</v>
      </c>
      <c r="O98" s="14" t="n">
        <v>122.84</v>
      </c>
      <c r="P98" s="14" t="n">
        <v>8.1405</v>
      </c>
    </row>
    <row r="99" customFormat="false" ht="15" hidden="false" customHeight="false" outlineLevel="0" collapsed="false">
      <c r="A99" s="13" t="n">
        <v>42489</v>
      </c>
      <c r="B99" s="14" t="n">
        <v>1144.09</v>
      </c>
      <c r="C99" s="14" t="n">
        <v>8.0643</v>
      </c>
      <c r="D99" s="14" t="n">
        <v>1.4625</v>
      </c>
      <c r="E99" s="14" t="n">
        <v>1.1441</v>
      </c>
      <c r="F99" s="14" t="n">
        <v>6.4738</v>
      </c>
      <c r="G99" s="14" t="n">
        <v>3.4547</v>
      </c>
      <c r="H99" s="14" t="n">
        <v>106.9</v>
      </c>
      <c r="I99" s="14" t="n">
        <v>1.1403</v>
      </c>
      <c r="J99" s="14" t="n">
        <v>9.215</v>
      </c>
      <c r="K99" s="14" t="n">
        <v>1301.53</v>
      </c>
      <c r="L99" s="14" t="n">
        <v>0.78025</v>
      </c>
      <c r="M99" s="14" t="n">
        <v>7.3943</v>
      </c>
      <c r="N99" s="14" t="n">
        <v>3.9738</v>
      </c>
      <c r="O99" s="14" t="n">
        <v>122.34</v>
      </c>
      <c r="P99" s="14" t="n">
        <v>8.0812</v>
      </c>
    </row>
    <row r="100" customFormat="false" ht="15" hidden="false" customHeight="false" outlineLevel="0" collapsed="false">
      <c r="A100" s="13" t="n">
        <v>42492</v>
      </c>
      <c r="B100" s="14" t="n">
        <v>1138.45</v>
      </c>
      <c r="C100" s="14" t="n">
        <v>8.0361</v>
      </c>
      <c r="D100" s="14" t="n">
        <v>1.4666</v>
      </c>
      <c r="E100" s="14" t="n">
        <v>1.1516</v>
      </c>
      <c r="F100" s="14" t="n">
        <v>6.4738</v>
      </c>
      <c r="G100" s="14" t="n">
        <v>3.505</v>
      </c>
      <c r="H100" s="14" t="n">
        <v>106.48</v>
      </c>
      <c r="I100" s="14" t="n">
        <v>1.1493</v>
      </c>
      <c r="J100" s="14" t="n">
        <v>9.233</v>
      </c>
      <c r="K100" s="14" t="n">
        <v>1307.85</v>
      </c>
      <c r="L100" s="14" t="n">
        <v>0.78248</v>
      </c>
      <c r="M100" s="14" t="n">
        <v>7.4418</v>
      </c>
      <c r="N100" s="14" t="n">
        <v>3.9731</v>
      </c>
      <c r="O100" s="14" t="n">
        <v>122.47</v>
      </c>
      <c r="P100" s="14" t="n">
        <v>8.0336</v>
      </c>
    </row>
    <row r="101" customFormat="false" ht="15" hidden="false" customHeight="false" outlineLevel="0" collapsed="false">
      <c r="A101" s="13" t="n">
        <v>42493</v>
      </c>
      <c r="B101" s="14" t="n">
        <v>1148.69</v>
      </c>
      <c r="C101" s="14" t="n">
        <v>8.0891</v>
      </c>
      <c r="D101" s="14" t="n">
        <v>1.4543</v>
      </c>
      <c r="E101" s="14" t="n">
        <v>1.1508</v>
      </c>
      <c r="F101" s="14" t="n">
        <v>6.49</v>
      </c>
      <c r="G101" s="14" t="n">
        <v>3.5652</v>
      </c>
      <c r="H101" s="14" t="n">
        <v>106.34</v>
      </c>
      <c r="I101" s="14" t="n">
        <v>1.1569</v>
      </c>
      <c r="J101" s="14" t="n">
        <v>9.309</v>
      </c>
      <c r="K101" s="14" t="n">
        <v>1323.75</v>
      </c>
      <c r="L101" s="14" t="n">
        <v>0.79103</v>
      </c>
      <c r="M101" s="14" t="n">
        <v>7.5013</v>
      </c>
      <c r="N101" s="14" t="n">
        <v>4.102</v>
      </c>
      <c r="O101" s="14" t="n">
        <v>122.53</v>
      </c>
      <c r="P101" s="14" t="n">
        <v>8.0465</v>
      </c>
    </row>
    <row r="102" customFormat="false" ht="15" hidden="false" customHeight="false" outlineLevel="0" collapsed="false">
      <c r="A102" s="13" t="n">
        <v>42494</v>
      </c>
      <c r="B102" s="14" t="n">
        <v>1164.59</v>
      </c>
      <c r="C102" s="14" t="n">
        <v>8.1466</v>
      </c>
      <c r="D102" s="14" t="n">
        <v>1.4475</v>
      </c>
      <c r="E102" s="14" t="n">
        <v>1.1486</v>
      </c>
      <c r="F102" s="14" t="n">
        <v>6.4945</v>
      </c>
      <c r="G102" s="14" t="n">
        <v>3.5339</v>
      </c>
      <c r="H102" s="14" t="n">
        <v>107.12</v>
      </c>
      <c r="I102" s="14" t="n">
        <v>1.1505</v>
      </c>
      <c r="J102" s="14" t="n">
        <v>9.341</v>
      </c>
      <c r="K102" s="14" t="n">
        <v>1338.14</v>
      </c>
      <c r="L102" s="14" t="n">
        <v>0.79284</v>
      </c>
      <c r="M102" s="14" t="n">
        <v>7.4789</v>
      </c>
      <c r="N102" s="14" t="n">
        <v>4.1091</v>
      </c>
      <c r="O102" s="14" t="n">
        <v>122.62</v>
      </c>
      <c r="P102" s="14" t="n">
        <v>8.1191</v>
      </c>
    </row>
    <row r="103" customFormat="false" ht="15" hidden="false" customHeight="false" outlineLevel="0" collapsed="false">
      <c r="A103" s="13" t="n">
        <v>42495</v>
      </c>
      <c r="B103" s="14" t="n">
        <v>1165.93</v>
      </c>
      <c r="C103" s="14" t="n">
        <v>8.1613</v>
      </c>
      <c r="D103" s="14" t="n">
        <v>1.4486</v>
      </c>
      <c r="E103" s="14" t="n">
        <v>1.1404</v>
      </c>
      <c r="F103" s="14" t="n">
        <v>6.5032</v>
      </c>
      <c r="G103" s="14" t="n">
        <v>3.526</v>
      </c>
      <c r="H103" s="14" t="n">
        <v>107.32</v>
      </c>
      <c r="I103" s="14" t="n">
        <v>1.1439</v>
      </c>
      <c r="J103" s="14" t="n">
        <v>9.2985</v>
      </c>
      <c r="K103" s="14" t="n">
        <v>1333.95</v>
      </c>
      <c r="L103" s="14" t="n">
        <v>0.7886</v>
      </c>
      <c r="M103" s="14" t="n">
        <v>7.441</v>
      </c>
      <c r="N103" s="14" t="n">
        <v>4.0282</v>
      </c>
      <c r="O103" s="14" t="n">
        <v>122.51</v>
      </c>
    </row>
    <row r="104" customFormat="false" ht="15" hidden="false" customHeight="false" outlineLevel="0" collapsed="false">
      <c r="A104" s="13" t="n">
        <v>42496</v>
      </c>
      <c r="B104" s="14" t="n">
        <v>1167.29</v>
      </c>
      <c r="C104" s="14" t="n">
        <v>8.1868</v>
      </c>
      <c r="D104" s="14" t="n">
        <v>1.4439</v>
      </c>
      <c r="E104" s="14" t="n">
        <v>1.1421</v>
      </c>
      <c r="F104" s="14" t="n">
        <v>6.497</v>
      </c>
      <c r="G104" s="14" t="n">
        <v>3.5255</v>
      </c>
      <c r="H104" s="14" t="n">
        <v>106.66</v>
      </c>
      <c r="I104" s="14" t="n">
        <v>1.1427</v>
      </c>
      <c r="J104" s="14" t="n">
        <v>9.3513</v>
      </c>
      <c r="K104" s="14" t="n">
        <v>1339.64</v>
      </c>
      <c r="L104" s="14" t="n">
        <v>0.7885</v>
      </c>
      <c r="M104" s="14" t="n">
        <v>7.43</v>
      </c>
      <c r="N104" s="14" t="n">
        <v>4.065</v>
      </c>
      <c r="O104" s="14" t="n">
        <v>122.23</v>
      </c>
      <c r="P104" s="14" t="n">
        <v>8.1835</v>
      </c>
    </row>
    <row r="105" customFormat="false" ht="15" hidden="false" customHeight="false" outlineLevel="0" collapsed="false">
      <c r="A105" s="13" t="n">
        <v>42499</v>
      </c>
      <c r="B105" s="14" t="n">
        <v>1174.25</v>
      </c>
      <c r="C105" s="14" t="n">
        <v>8.2147</v>
      </c>
      <c r="D105" s="14" t="n">
        <v>1.4409</v>
      </c>
      <c r="E105" s="14" t="n">
        <v>1.1402</v>
      </c>
      <c r="F105" s="14" t="n">
        <v>6.514</v>
      </c>
      <c r="G105" s="14" t="n">
        <v>3.556</v>
      </c>
      <c r="H105" s="14" t="n">
        <v>108.39</v>
      </c>
      <c r="I105" s="14" t="n">
        <v>1.1395</v>
      </c>
      <c r="J105" s="14" t="n">
        <v>9.333</v>
      </c>
      <c r="K105" s="14" t="n">
        <v>1337.36</v>
      </c>
      <c r="L105" s="14" t="n">
        <v>0.78998</v>
      </c>
      <c r="M105" s="14" t="n">
        <v>7.4207</v>
      </c>
      <c r="N105" s="14" t="n">
        <v>3.9971</v>
      </c>
      <c r="O105" s="14" t="n">
        <v>123.39</v>
      </c>
      <c r="P105" s="14" t="n">
        <v>8.1904</v>
      </c>
    </row>
    <row r="106" customFormat="false" ht="15" hidden="false" customHeight="false" outlineLevel="0" collapsed="false">
      <c r="A106" s="13" t="n">
        <v>42500</v>
      </c>
      <c r="B106" s="14" t="n">
        <v>1169.89</v>
      </c>
      <c r="C106" s="14" t="n">
        <v>8.2055</v>
      </c>
      <c r="D106" s="14" t="n">
        <v>1.4454</v>
      </c>
      <c r="E106" s="14" t="n">
        <v>1.1386</v>
      </c>
      <c r="F106" s="14" t="n">
        <v>6.515</v>
      </c>
      <c r="G106" s="14" t="n">
        <v>3.4742</v>
      </c>
      <c r="H106" s="14" t="n">
        <v>109.22</v>
      </c>
      <c r="I106" s="14" t="n">
        <v>1.1375</v>
      </c>
      <c r="J106" s="14" t="n">
        <v>9.352</v>
      </c>
      <c r="K106" s="14" t="n">
        <v>1334.99</v>
      </c>
      <c r="L106" s="14" t="n">
        <v>0.7876</v>
      </c>
      <c r="M106" s="14" t="n">
        <v>7.413</v>
      </c>
      <c r="N106" s="14" t="n">
        <v>3.9647</v>
      </c>
      <c r="O106" s="14" t="n">
        <v>124.12</v>
      </c>
      <c r="P106" s="14" t="n">
        <v>8.2215</v>
      </c>
    </row>
    <row r="107" customFormat="false" ht="15" hidden="false" customHeight="false" outlineLevel="0" collapsed="false">
      <c r="A107" s="13" t="n">
        <v>42501</v>
      </c>
      <c r="B107" s="14" t="n">
        <v>1162.47</v>
      </c>
      <c r="C107" s="14" t="n">
        <v>8.1339</v>
      </c>
      <c r="D107" s="14" t="n">
        <v>1.448</v>
      </c>
      <c r="E107" s="14" t="n">
        <v>1.1444</v>
      </c>
      <c r="F107" s="14" t="n">
        <v>6.491</v>
      </c>
      <c r="G107" s="14" t="n">
        <v>3.4594</v>
      </c>
      <c r="H107" s="14" t="n">
        <v>108.48</v>
      </c>
      <c r="I107" s="14" t="n">
        <v>1.1409</v>
      </c>
      <c r="J107" s="14" t="n">
        <v>9.3475</v>
      </c>
      <c r="K107" s="14" t="n">
        <v>1332.79</v>
      </c>
      <c r="L107" s="14" t="n">
        <v>0.78958</v>
      </c>
      <c r="M107" s="14" t="n">
        <v>7.4212</v>
      </c>
      <c r="N107" s="14" t="n">
        <v>3.9517</v>
      </c>
      <c r="O107" s="14" t="n">
        <v>124.09</v>
      </c>
      <c r="P107" s="14" t="n">
        <v>8.1931</v>
      </c>
    </row>
    <row r="108" customFormat="false" ht="15" hidden="false" customHeight="false" outlineLevel="0" collapsed="false">
      <c r="A108" s="13" t="n">
        <v>42502</v>
      </c>
      <c r="B108" s="14" t="n">
        <v>1168.7</v>
      </c>
      <c r="C108" s="14" t="n">
        <v>8.1522</v>
      </c>
      <c r="D108" s="14" t="n">
        <v>1.4452</v>
      </c>
      <c r="E108" s="14" t="n">
        <v>1.138</v>
      </c>
      <c r="F108" s="14" t="n">
        <v>6.514</v>
      </c>
      <c r="G108" s="14" t="n">
        <v>3.4942</v>
      </c>
      <c r="H108" s="14" t="n">
        <v>108.73</v>
      </c>
      <c r="I108" s="14" t="n">
        <v>1.1389</v>
      </c>
      <c r="J108" s="14" t="n">
        <v>9.232</v>
      </c>
      <c r="K108" s="14" t="n">
        <v>1331.57</v>
      </c>
      <c r="L108" s="14" t="n">
        <v>0.78888</v>
      </c>
      <c r="M108" s="14" t="n">
        <v>7.4242</v>
      </c>
      <c r="N108" s="14" t="n">
        <v>3.9419</v>
      </c>
      <c r="O108" s="14" t="n">
        <v>124.5</v>
      </c>
      <c r="P108" s="14" t="n">
        <v>8.1061</v>
      </c>
    </row>
    <row r="109" customFormat="false" ht="15" hidden="false" customHeight="false" outlineLevel="0" collapsed="false">
      <c r="A109" s="13" t="n">
        <v>42503</v>
      </c>
      <c r="B109" s="14" t="n">
        <v>1176.85</v>
      </c>
      <c r="C109" s="14" t="n">
        <v>8.2157</v>
      </c>
      <c r="D109" s="14" t="n">
        <v>1.4369</v>
      </c>
      <c r="E109" s="14" t="n">
        <v>1.1294</v>
      </c>
      <c r="F109" s="14" t="n">
        <v>6.5285</v>
      </c>
      <c r="G109" s="14" t="n">
        <v>3.5075</v>
      </c>
      <c r="H109" s="14" t="n">
        <v>109.14</v>
      </c>
      <c r="I109" s="14" t="n">
        <v>1.1348</v>
      </c>
      <c r="J109" s="14" t="n">
        <v>9.2678</v>
      </c>
      <c r="K109" s="14" t="n">
        <v>1330.91</v>
      </c>
      <c r="L109" s="14" t="n">
        <v>0.78758</v>
      </c>
      <c r="M109" s="14" t="n">
        <v>7.4001</v>
      </c>
      <c r="N109" s="14" t="n">
        <v>3.9559</v>
      </c>
      <c r="O109" s="14" t="n">
        <v>123.56</v>
      </c>
      <c r="P109" s="14" t="n">
        <v>8.1669</v>
      </c>
    </row>
    <row r="110" customFormat="false" ht="15" hidden="false" customHeight="false" outlineLevel="0" collapsed="false">
      <c r="A110" s="13" t="n">
        <v>42506</v>
      </c>
      <c r="B110" s="14" t="n">
        <v>1177.21</v>
      </c>
      <c r="C110" s="14" t="n">
        <v>8.1476</v>
      </c>
      <c r="D110" s="14" t="n">
        <v>1.4411</v>
      </c>
      <c r="E110" s="14" t="n">
        <v>1.1328</v>
      </c>
      <c r="F110" s="14" t="n">
        <v>6.5184</v>
      </c>
      <c r="G110" s="14" t="n">
        <v>3.5034</v>
      </c>
      <c r="H110" s="14" t="n">
        <v>108.89</v>
      </c>
      <c r="I110" s="14" t="n">
        <v>1.1324</v>
      </c>
      <c r="J110" s="14" t="n">
        <v>9.237</v>
      </c>
      <c r="K110" s="14" t="n">
        <v>1335.9</v>
      </c>
      <c r="L110" s="14" t="n">
        <v>0.788</v>
      </c>
      <c r="M110" s="14" t="n">
        <v>7.3865</v>
      </c>
      <c r="N110" s="14" t="n">
        <v>3.9999</v>
      </c>
      <c r="O110" s="14" t="n">
        <v>123.27</v>
      </c>
    </row>
    <row r="111" customFormat="false" ht="15" hidden="false" customHeight="false" outlineLevel="0" collapsed="false">
      <c r="A111" s="13" t="n">
        <v>42507</v>
      </c>
      <c r="B111" s="14" t="n">
        <v>1173.67</v>
      </c>
      <c r="C111" s="14" t="n">
        <v>8.1578</v>
      </c>
      <c r="D111" s="14" t="n">
        <v>1.4485</v>
      </c>
      <c r="E111" s="14" t="n">
        <v>1.1337</v>
      </c>
      <c r="F111" s="14" t="n">
        <v>6.517</v>
      </c>
      <c r="G111" s="14" t="n">
        <v>3.4942</v>
      </c>
      <c r="H111" s="14" t="n">
        <v>109.02</v>
      </c>
      <c r="I111" s="14" t="n">
        <v>1.1318</v>
      </c>
      <c r="J111" s="14" t="n">
        <v>9.2558</v>
      </c>
      <c r="K111" s="14" t="n">
        <v>1331.66</v>
      </c>
      <c r="L111" s="14" t="n">
        <v>0.7815</v>
      </c>
      <c r="M111" s="14" t="n">
        <v>7.3867</v>
      </c>
      <c r="N111" s="14" t="n">
        <v>3.9451</v>
      </c>
      <c r="O111" s="14" t="n">
        <v>123.93</v>
      </c>
    </row>
    <row r="112" customFormat="false" ht="15" hidden="false" customHeight="false" outlineLevel="0" collapsed="false">
      <c r="A112" s="13" t="n">
        <v>42508</v>
      </c>
      <c r="B112" s="14" t="n">
        <v>1185.77</v>
      </c>
      <c r="C112" s="14" t="n">
        <v>8.2253</v>
      </c>
      <c r="D112" s="14" t="n">
        <v>1.4615</v>
      </c>
      <c r="E112" s="14" t="n">
        <v>1.1276</v>
      </c>
      <c r="F112" s="14" t="n">
        <v>6.537</v>
      </c>
      <c r="G112" s="14" t="n">
        <v>3.5268</v>
      </c>
      <c r="H112" s="14" t="n">
        <v>109.65</v>
      </c>
      <c r="I112" s="14" t="n">
        <v>1.1279</v>
      </c>
      <c r="J112" s="14" t="n">
        <v>9.2785</v>
      </c>
      <c r="K112" s="14" t="n">
        <v>1340.31</v>
      </c>
      <c r="L112" s="14" t="n">
        <v>0.77485</v>
      </c>
      <c r="M112" s="14" t="n">
        <v>7.3714</v>
      </c>
      <c r="N112" s="14" t="n">
        <v>3.9891</v>
      </c>
      <c r="O112" s="14" t="n">
        <v>123.38</v>
      </c>
      <c r="P112" s="14" t="n">
        <v>8.2263</v>
      </c>
    </row>
    <row r="113" customFormat="false" ht="15" hidden="false" customHeight="false" outlineLevel="0" collapsed="false">
      <c r="A113" s="13" t="n">
        <v>42509</v>
      </c>
      <c r="B113" s="14" t="n">
        <v>1189.25</v>
      </c>
      <c r="C113" s="14" t="n">
        <v>8.3497</v>
      </c>
      <c r="D113" s="14" t="n">
        <v>1.4608</v>
      </c>
      <c r="E113" s="14" t="n">
        <v>1.1214</v>
      </c>
      <c r="F113" s="14" t="n">
        <v>6.544</v>
      </c>
      <c r="G113" s="14" t="n">
        <v>3.6051</v>
      </c>
      <c r="H113" s="14" t="n">
        <v>109.81</v>
      </c>
      <c r="I113" s="14" t="n">
        <v>1.1197</v>
      </c>
      <c r="J113" s="14" t="n">
        <v>9.3593</v>
      </c>
      <c r="K113" s="14" t="n">
        <v>1333.5</v>
      </c>
      <c r="L113" s="14" t="n">
        <v>0.76585</v>
      </c>
      <c r="M113" s="14" t="n">
        <v>7.3318</v>
      </c>
      <c r="N113" s="14" t="n">
        <v>4.0146</v>
      </c>
      <c r="O113" s="14" t="n">
        <v>123.17</v>
      </c>
      <c r="P113" s="14" t="n">
        <v>8.3588</v>
      </c>
    </row>
    <row r="114" customFormat="false" ht="15" hidden="false" customHeight="false" outlineLevel="0" collapsed="false">
      <c r="A114" s="13" t="n">
        <v>42510</v>
      </c>
      <c r="B114" s="14" t="n">
        <v>1186.93</v>
      </c>
      <c r="C114" s="14" t="n">
        <v>8.3272</v>
      </c>
      <c r="D114" s="14" t="n">
        <v>1.4513</v>
      </c>
      <c r="E114" s="14" t="n">
        <v>1.1207</v>
      </c>
      <c r="F114" s="14" t="n">
        <v>6.5485</v>
      </c>
      <c r="G114" s="14" t="n">
        <v>3.5386</v>
      </c>
      <c r="H114" s="14" t="n">
        <v>110.52</v>
      </c>
      <c r="I114" s="14" t="n">
        <v>1.1219</v>
      </c>
      <c r="J114" s="14" t="n">
        <v>9.3355</v>
      </c>
      <c r="K114" s="14" t="n">
        <v>1332.02</v>
      </c>
      <c r="L114" s="14" t="n">
        <v>0.77008</v>
      </c>
      <c r="M114" s="14" t="n">
        <v>7.3456</v>
      </c>
      <c r="N114" s="14" t="n">
        <v>3.9797</v>
      </c>
      <c r="O114" s="14" t="n">
        <v>123.81</v>
      </c>
      <c r="P114" s="14" t="n">
        <v>8.3212</v>
      </c>
    </row>
    <row r="115" customFormat="false" ht="15" hidden="false" customHeight="false" outlineLevel="0" collapsed="false">
      <c r="A115" s="13" t="n">
        <v>42513</v>
      </c>
      <c r="B115" s="14" t="n">
        <v>1183.39</v>
      </c>
      <c r="C115" s="14" t="n">
        <v>8.365</v>
      </c>
      <c r="D115" s="14" t="n">
        <v>1.4444</v>
      </c>
      <c r="E115" s="14" t="n">
        <v>1.1192</v>
      </c>
      <c r="F115" s="14" t="n">
        <v>6.5533</v>
      </c>
      <c r="G115" s="14" t="n">
        <v>3.5753</v>
      </c>
      <c r="H115" s="14" t="n">
        <v>109.47</v>
      </c>
      <c r="I115" s="14" t="n">
        <v>1.1215</v>
      </c>
      <c r="J115" s="14" t="n">
        <v>9.3658</v>
      </c>
      <c r="K115" s="14" t="n">
        <v>1329.78</v>
      </c>
      <c r="L115" s="14" t="n">
        <v>0.77443</v>
      </c>
      <c r="M115" s="14" t="n">
        <v>7.3507</v>
      </c>
      <c r="N115" s="14" t="n">
        <v>3.9832</v>
      </c>
      <c r="O115" s="14" t="n">
        <v>122.7</v>
      </c>
      <c r="P115" s="14" t="n">
        <v>8.3511</v>
      </c>
    </row>
    <row r="116" customFormat="false" ht="15" hidden="false" customHeight="false" outlineLevel="0" collapsed="false">
      <c r="A116" s="13" t="n">
        <v>42514</v>
      </c>
      <c r="B116" s="14" t="n">
        <v>1186.39</v>
      </c>
      <c r="C116" s="14" t="n">
        <v>8.3515</v>
      </c>
      <c r="D116" s="14" t="n">
        <v>1.4623</v>
      </c>
      <c r="E116" s="14" t="n">
        <v>1.1145</v>
      </c>
      <c r="F116" s="14" t="n">
        <v>6.5552</v>
      </c>
      <c r="G116" s="14" t="n">
        <v>3.5518</v>
      </c>
      <c r="H116" s="14" t="n">
        <v>110</v>
      </c>
      <c r="I116" s="14" t="n">
        <v>1.1168</v>
      </c>
      <c r="J116" s="14" t="n">
        <v>9.3355</v>
      </c>
      <c r="K116" s="14" t="n">
        <v>1329.32</v>
      </c>
      <c r="L116" s="14" t="n">
        <v>0.76513</v>
      </c>
      <c r="M116" s="14" t="n">
        <v>7.3226</v>
      </c>
      <c r="N116" s="14" t="n">
        <v>3.9639</v>
      </c>
      <c r="O116" s="14" t="n">
        <v>122.56</v>
      </c>
      <c r="P116" s="14" t="n">
        <v>8.3592</v>
      </c>
    </row>
    <row r="117" customFormat="false" ht="15" hidden="false" customHeight="false" outlineLevel="0" collapsed="false">
      <c r="A117" s="13" t="n">
        <v>42515</v>
      </c>
      <c r="B117" s="14" t="n">
        <v>1182.21</v>
      </c>
      <c r="C117" s="14" t="n">
        <v>8.3389</v>
      </c>
      <c r="D117" s="14" t="n">
        <v>1.4694</v>
      </c>
      <c r="E117" s="14" t="n">
        <v>1.1154</v>
      </c>
      <c r="F117" s="14" t="n">
        <v>6.5538</v>
      </c>
      <c r="G117" s="14" t="n">
        <v>3.6072</v>
      </c>
      <c r="H117" s="14" t="n">
        <v>110.22</v>
      </c>
      <c r="I117" s="14" t="n">
        <v>1.1146</v>
      </c>
      <c r="J117" s="14" t="n">
        <v>9.2945</v>
      </c>
      <c r="K117" s="14" t="n">
        <v>1317.16</v>
      </c>
      <c r="L117" s="14" t="n">
        <v>0.75925</v>
      </c>
      <c r="M117" s="14" t="n">
        <v>7.3136</v>
      </c>
      <c r="N117" s="14" t="n">
        <v>3.9681</v>
      </c>
      <c r="O117" s="14" t="n">
        <v>122.79</v>
      </c>
      <c r="P117" s="14" t="n">
        <v>8.3389</v>
      </c>
    </row>
    <row r="118" customFormat="false" ht="15" hidden="false" customHeight="false" outlineLevel="0" collapsed="false">
      <c r="A118" s="13" t="n">
        <v>42516</v>
      </c>
      <c r="B118" s="14" t="n">
        <v>1178.09</v>
      </c>
      <c r="C118" s="14" t="n">
        <v>8.2705</v>
      </c>
      <c r="D118" s="14" t="n">
        <v>1.4673</v>
      </c>
      <c r="E118" s="14" t="n">
        <v>1.1184</v>
      </c>
      <c r="F118" s="14" t="n">
        <v>6.554</v>
      </c>
      <c r="G118" s="14" t="n">
        <v>3.5775</v>
      </c>
      <c r="H118" s="14" t="n">
        <v>109.74</v>
      </c>
      <c r="I118" s="14" t="n">
        <v>1.1168</v>
      </c>
      <c r="J118" s="14" t="n">
        <v>9.247</v>
      </c>
      <c r="K118" s="14" t="n">
        <v>1317.87</v>
      </c>
      <c r="L118" s="14" t="n">
        <v>0.7597</v>
      </c>
      <c r="M118" s="14" t="n">
        <v>7.3237</v>
      </c>
      <c r="N118" s="14" t="n">
        <v>4.0004</v>
      </c>
      <c r="O118" s="14" t="n">
        <v>122.93</v>
      </c>
      <c r="P118" s="14" t="n">
        <v>8.2799</v>
      </c>
    </row>
    <row r="119" customFormat="false" ht="15" hidden="false" customHeight="false" outlineLevel="0" collapsed="false">
      <c r="A119" s="13" t="n">
        <v>42517</v>
      </c>
      <c r="B119" s="14" t="n">
        <v>1180.59</v>
      </c>
      <c r="C119" s="14" t="n">
        <v>8.3221</v>
      </c>
      <c r="D119" s="14" t="n">
        <v>1.4644</v>
      </c>
      <c r="E119" s="14" t="n">
        <v>1.114</v>
      </c>
      <c r="F119" s="14" t="n">
        <v>6.5615</v>
      </c>
      <c r="G119" s="14" t="n">
        <v>3.6122</v>
      </c>
      <c r="H119" s="14" t="n">
        <v>109.86</v>
      </c>
      <c r="I119" s="14" t="n">
        <v>1.1168</v>
      </c>
      <c r="J119" s="14" t="n">
        <v>9.282</v>
      </c>
      <c r="K119" s="14" t="n">
        <v>1316.98</v>
      </c>
      <c r="L119" s="14" t="n">
        <v>0.76245</v>
      </c>
      <c r="M119" s="14" t="n">
        <v>7.3281</v>
      </c>
      <c r="N119" s="14" t="n">
        <v>4.031</v>
      </c>
      <c r="O119" s="14" t="n">
        <v>122.46</v>
      </c>
      <c r="P119" s="14" t="n">
        <v>8.3112</v>
      </c>
    </row>
    <row r="120" customFormat="false" ht="15" hidden="false" customHeight="false" outlineLevel="0" collapsed="false">
      <c r="A120" s="13" t="n">
        <v>42520</v>
      </c>
      <c r="I120" s="14" t="n">
        <v>1.1139</v>
      </c>
      <c r="J120" s="14" t="n">
        <v>9.3025</v>
      </c>
      <c r="K120" s="14" t="n">
        <v>1326.59</v>
      </c>
      <c r="L120" s="14" t="n">
        <v>0.76125</v>
      </c>
      <c r="M120" s="14" t="n">
        <v>7.3314</v>
      </c>
      <c r="N120" s="14" t="n">
        <v>4.0148</v>
      </c>
      <c r="O120" s="14" t="n">
        <v>123.85</v>
      </c>
      <c r="P120" s="14" t="n">
        <v>8.3513</v>
      </c>
    </row>
    <row r="121" customFormat="false" ht="15" hidden="false" customHeight="false" outlineLevel="0" collapsed="false">
      <c r="A121" s="13" t="n">
        <v>42521</v>
      </c>
      <c r="B121" s="14" t="n">
        <v>1188.99</v>
      </c>
      <c r="C121" s="14" t="n">
        <v>8.3678</v>
      </c>
      <c r="D121" s="14" t="n">
        <v>1.453</v>
      </c>
      <c r="E121" s="14" t="n">
        <v>1.1135</v>
      </c>
      <c r="F121" s="14" t="n">
        <v>6.5798</v>
      </c>
      <c r="G121" s="14" t="n">
        <v>3.6074</v>
      </c>
      <c r="H121" s="14" t="n">
        <v>110.75</v>
      </c>
      <c r="I121" s="14" t="n">
        <v>1.1154</v>
      </c>
      <c r="J121" s="14" t="n">
        <v>9.32</v>
      </c>
      <c r="K121" s="14" t="n">
        <v>1326.11</v>
      </c>
      <c r="L121" s="14" t="n">
        <v>0.76185</v>
      </c>
      <c r="M121" s="14" t="n">
        <v>7.3363</v>
      </c>
      <c r="N121" s="14" t="n">
        <v>3.985</v>
      </c>
      <c r="O121" s="14" t="n">
        <v>123.83</v>
      </c>
      <c r="P121" s="14" t="n">
        <v>8.3557</v>
      </c>
    </row>
    <row r="122" customFormat="false" ht="15" hidden="false" customHeight="false" outlineLevel="0" collapsed="false">
      <c r="A122" s="13" t="n">
        <v>42522</v>
      </c>
      <c r="B122" s="14" t="n">
        <v>1192.09</v>
      </c>
      <c r="C122" s="14" t="n">
        <v>8.3099</v>
      </c>
      <c r="D122" s="14" t="n">
        <v>1.4395</v>
      </c>
      <c r="E122" s="14" t="n">
        <v>1.1165</v>
      </c>
      <c r="F122" s="14" t="n">
        <v>6.5748</v>
      </c>
      <c r="G122" s="14" t="n">
        <v>3.603</v>
      </c>
      <c r="H122" s="14" t="n">
        <v>109.55</v>
      </c>
      <c r="I122" s="14" t="n">
        <v>1.1174</v>
      </c>
      <c r="J122" s="14" t="n">
        <v>9.3083</v>
      </c>
      <c r="K122" s="14" t="n">
        <v>1331.53</v>
      </c>
      <c r="L122" s="14" t="n">
        <v>0.77358</v>
      </c>
      <c r="M122" s="14" t="n">
        <v>7.3498</v>
      </c>
      <c r="N122" s="14" t="n">
        <v>4.0211</v>
      </c>
      <c r="O122" s="14" t="n">
        <v>122.07</v>
      </c>
      <c r="P122" s="14" t="n">
        <v>8.3303</v>
      </c>
    </row>
    <row r="123" customFormat="false" ht="15" hidden="false" customHeight="false" outlineLevel="0" collapsed="false">
      <c r="A123" s="13" t="n">
        <v>42523</v>
      </c>
      <c r="B123" s="14" t="n">
        <v>1186.69</v>
      </c>
      <c r="C123" s="14" t="n">
        <v>8.3355</v>
      </c>
      <c r="D123" s="14" t="n">
        <v>1.4419</v>
      </c>
      <c r="E123" s="14" t="n">
        <v>1.1157</v>
      </c>
      <c r="F123" s="14" t="n">
        <v>6.5815</v>
      </c>
      <c r="G123" s="14" t="n">
        <v>3.5978</v>
      </c>
      <c r="H123" s="14" t="n">
        <v>108.75</v>
      </c>
      <c r="I123" s="14" t="n">
        <v>1.1188</v>
      </c>
      <c r="J123" s="14" t="n">
        <v>9.336</v>
      </c>
      <c r="K123" s="14" t="n">
        <v>1329.35</v>
      </c>
      <c r="L123" s="14" t="n">
        <v>0.77335</v>
      </c>
      <c r="M123" s="14" t="n">
        <v>7.3639</v>
      </c>
      <c r="N123" s="14" t="n">
        <v>4.0235</v>
      </c>
      <c r="O123" s="14" t="n">
        <v>121.96</v>
      </c>
      <c r="P123" s="14" t="n">
        <v>8.3447</v>
      </c>
    </row>
    <row r="124" customFormat="false" ht="15" hidden="false" customHeight="false" outlineLevel="0" collapsed="false">
      <c r="A124" s="13" t="n">
        <v>42524</v>
      </c>
      <c r="B124" s="14" t="n">
        <v>1167.79</v>
      </c>
      <c r="C124" s="14" t="n">
        <v>8.2017</v>
      </c>
      <c r="D124" s="14" t="n">
        <v>1.4521</v>
      </c>
      <c r="E124" s="14" t="n">
        <v>1.133</v>
      </c>
      <c r="F124" s="14" t="n">
        <v>6.5638</v>
      </c>
      <c r="G124" s="14" t="n">
        <v>3.5332</v>
      </c>
      <c r="H124" s="14" t="n">
        <v>106.88</v>
      </c>
      <c r="I124" s="14" t="n">
        <v>1.1154</v>
      </c>
      <c r="J124" s="14" t="n">
        <v>9.2853</v>
      </c>
      <c r="K124" s="14" t="n">
        <v>1322.41</v>
      </c>
      <c r="L124" s="14" t="n">
        <v>0.77285</v>
      </c>
      <c r="M124" s="14" t="n">
        <v>7.3468</v>
      </c>
      <c r="N124" s="14" t="n">
        <v>3.9973</v>
      </c>
      <c r="O124" s="14" t="n">
        <v>121.47</v>
      </c>
      <c r="P124" s="14" t="n">
        <v>8.3246</v>
      </c>
    </row>
    <row r="125" customFormat="false" ht="15" hidden="false" customHeight="false" outlineLevel="0" collapsed="false">
      <c r="A125" s="13" t="n">
        <v>42527</v>
      </c>
      <c r="B125" s="14" t="n">
        <v>1162.28</v>
      </c>
      <c r="C125" s="14" t="n">
        <v>8.1761</v>
      </c>
      <c r="D125" s="14" t="n">
        <v>1.445</v>
      </c>
      <c r="E125" s="14" t="n">
        <v>1.1354</v>
      </c>
      <c r="F125" s="14" t="n">
        <v>6.5611</v>
      </c>
      <c r="G125" s="14" t="n">
        <v>3.5094</v>
      </c>
      <c r="H125" s="14" t="n">
        <v>107.33</v>
      </c>
      <c r="I125" s="14" t="n">
        <v>1.1349</v>
      </c>
      <c r="J125" s="14" t="n">
        <v>9.2935</v>
      </c>
      <c r="K125" s="14" t="n">
        <v>1323</v>
      </c>
      <c r="L125" s="14" t="n">
        <v>0.7872</v>
      </c>
      <c r="M125" s="14" t="n">
        <v>7.452</v>
      </c>
      <c r="N125" s="14" t="n">
        <v>3.9934</v>
      </c>
      <c r="O125" s="14" t="n">
        <v>121.58</v>
      </c>
      <c r="P125" s="14" t="n">
        <v>8.1888</v>
      </c>
    </row>
    <row r="126" customFormat="false" ht="15" hidden="false" customHeight="false" outlineLevel="0" collapsed="false">
      <c r="A126" s="13" t="n">
        <v>42528</v>
      </c>
      <c r="B126" s="14" t="n">
        <v>1154.8</v>
      </c>
      <c r="C126" s="14" t="n">
        <v>8.1332</v>
      </c>
      <c r="D126" s="14" t="n">
        <v>1.4564</v>
      </c>
      <c r="E126" s="14" t="n">
        <v>1.135</v>
      </c>
      <c r="F126" s="14" t="n">
        <v>6.571</v>
      </c>
      <c r="G126" s="14" t="n">
        <v>3.4604</v>
      </c>
      <c r="H126" s="14" t="n">
        <v>107.3</v>
      </c>
      <c r="I126" s="14" t="n">
        <v>1.1348</v>
      </c>
      <c r="J126" s="14" t="n">
        <v>9.2225</v>
      </c>
      <c r="K126" s="14" t="n">
        <v>1311.68</v>
      </c>
      <c r="L126" s="14" t="n">
        <v>0.7788</v>
      </c>
      <c r="M126" s="14" t="n">
        <v>7.4579</v>
      </c>
      <c r="N126" s="14" t="n">
        <v>3.9788</v>
      </c>
      <c r="O126" s="14" t="n">
        <v>122.16</v>
      </c>
      <c r="P126" s="14" t="n">
        <v>8.127</v>
      </c>
    </row>
    <row r="127" customFormat="false" ht="15" hidden="false" customHeight="false" outlineLevel="0" collapsed="false">
      <c r="A127" s="13" t="n">
        <v>42529</v>
      </c>
      <c r="B127" s="14" t="n">
        <v>1153.83</v>
      </c>
      <c r="C127" s="14" t="n">
        <v>8.1101</v>
      </c>
      <c r="D127" s="14" t="n">
        <v>1.4546</v>
      </c>
      <c r="E127" s="14" t="n">
        <v>1.14</v>
      </c>
      <c r="F127" s="14" t="n">
        <v>6.56</v>
      </c>
      <c r="G127" s="14" t="n">
        <v>3.377</v>
      </c>
      <c r="H127" s="14" t="n">
        <v>106.68</v>
      </c>
      <c r="I127" s="14" t="n">
        <v>1.1378</v>
      </c>
      <c r="J127" s="14" t="n">
        <v>9.2055</v>
      </c>
      <c r="K127" s="14" t="n">
        <v>1311.38</v>
      </c>
      <c r="L127" s="14" t="n">
        <v>0.78048</v>
      </c>
      <c r="M127" s="14" t="n">
        <v>7.4727</v>
      </c>
      <c r="N127" s="14" t="n">
        <v>3.8786</v>
      </c>
      <c r="O127" s="14" t="n">
        <v>121.77</v>
      </c>
      <c r="P127" s="14" t="n">
        <v>8.0906</v>
      </c>
    </row>
    <row r="128" customFormat="false" ht="15" hidden="false" customHeight="false" outlineLevel="0" collapsed="false">
      <c r="A128" s="13" t="n">
        <v>42530</v>
      </c>
      <c r="B128" s="14" t="n">
        <v>1159.29</v>
      </c>
      <c r="C128" s="14" t="n">
        <v>8.1486</v>
      </c>
      <c r="D128" s="14" t="n">
        <v>1.4467</v>
      </c>
      <c r="E128" s="14" t="n">
        <v>1.1329</v>
      </c>
      <c r="F128" s="14" t="n">
        <v>6.559</v>
      </c>
      <c r="G128" s="14" t="n">
        <v>3.3934</v>
      </c>
      <c r="H128" s="14" t="n">
        <v>106.54</v>
      </c>
      <c r="I128" s="14" t="n">
        <v>1.1343</v>
      </c>
      <c r="J128" s="14" t="n">
        <v>9.2489</v>
      </c>
      <c r="K128" s="14" t="n">
        <v>1316.56</v>
      </c>
      <c r="L128" s="14" t="n">
        <v>0.78438</v>
      </c>
      <c r="M128" s="14" t="n">
        <v>7.4405</v>
      </c>
      <c r="N128" s="14" t="n">
        <v>3.8378</v>
      </c>
      <c r="O128" s="14" t="n">
        <v>120.72</v>
      </c>
      <c r="P128" s="14" t="n">
        <v>8.1538</v>
      </c>
    </row>
    <row r="129" customFormat="false" ht="15" hidden="false" customHeight="false" outlineLevel="0" collapsed="false">
      <c r="A129" s="13" t="n">
        <v>42531</v>
      </c>
      <c r="B129" s="14" t="n">
        <v>1167.61</v>
      </c>
      <c r="C129" s="14" t="n">
        <v>8.2325</v>
      </c>
      <c r="D129" s="14" t="n">
        <v>1.4342</v>
      </c>
      <c r="E129" s="14" t="n">
        <v>1.1281</v>
      </c>
      <c r="F129" s="14" t="n">
        <v>6.559</v>
      </c>
      <c r="G129" s="14" t="n">
        <v>3.4298</v>
      </c>
      <c r="H129" s="14" t="n">
        <v>107.06</v>
      </c>
      <c r="I129" s="14" t="n">
        <v>1.1304</v>
      </c>
      <c r="J129" s="14" t="n">
        <v>9.2725</v>
      </c>
      <c r="K129" s="14" t="n">
        <v>1316.14</v>
      </c>
      <c r="L129" s="14" t="n">
        <v>0.7848</v>
      </c>
      <c r="M129" s="14" t="n">
        <v>7.4143</v>
      </c>
      <c r="N129" s="14" t="n">
        <v>3.8662</v>
      </c>
      <c r="O129" s="14" t="n">
        <v>120.79</v>
      </c>
      <c r="P129" s="14" t="n">
        <v>8.2028</v>
      </c>
    </row>
    <row r="130" customFormat="false" ht="15" hidden="false" customHeight="false" outlineLevel="0" collapsed="false">
      <c r="A130" s="13" t="n">
        <v>42534</v>
      </c>
      <c r="B130" s="14" t="n">
        <v>1169.74</v>
      </c>
      <c r="C130" s="14" t="n">
        <v>8.2787</v>
      </c>
      <c r="D130" s="14" t="n">
        <v>1.4223</v>
      </c>
      <c r="E130" s="14" t="n">
        <v>1.1282</v>
      </c>
      <c r="F130" s="14" t="n">
        <v>6.5823</v>
      </c>
      <c r="G130" s="14" t="n">
        <v>3.4599</v>
      </c>
      <c r="H130" s="14" t="n">
        <v>106.07</v>
      </c>
      <c r="I130" s="14" t="n">
        <v>1.1268</v>
      </c>
      <c r="J130" s="14" t="n">
        <v>9.3265</v>
      </c>
      <c r="K130" s="14" t="n">
        <v>1322.63</v>
      </c>
      <c r="L130" s="14" t="n">
        <v>0.79515</v>
      </c>
      <c r="M130" s="14" t="n">
        <v>7.4212</v>
      </c>
      <c r="N130" s="14" t="n">
        <v>3.876</v>
      </c>
      <c r="O130" s="14" t="n">
        <v>119.51</v>
      </c>
      <c r="P130" s="14" t="n">
        <v>8.277</v>
      </c>
    </row>
    <row r="131" customFormat="false" ht="15" hidden="false" customHeight="false" outlineLevel="0" collapsed="false">
      <c r="A131" s="13" t="n">
        <v>42535</v>
      </c>
      <c r="B131" s="14" t="n">
        <v>1176.78</v>
      </c>
      <c r="C131" s="14" t="n">
        <v>8.3513</v>
      </c>
      <c r="D131" s="14" t="n">
        <v>1.413</v>
      </c>
      <c r="E131" s="14" t="n">
        <v>1.1206</v>
      </c>
      <c r="F131" s="14" t="n">
        <v>6.593</v>
      </c>
      <c r="G131" s="14" t="n">
        <v>3.4959</v>
      </c>
      <c r="H131" s="14" t="n">
        <v>106.02</v>
      </c>
      <c r="I131" s="14" t="n">
        <v>1.1225</v>
      </c>
      <c r="J131" s="14" t="n">
        <v>9.3655</v>
      </c>
      <c r="K131" s="14" t="n">
        <v>1324.26</v>
      </c>
      <c r="L131" s="14" t="n">
        <v>0.79478</v>
      </c>
      <c r="M131" s="14" t="n">
        <v>7.4015</v>
      </c>
      <c r="N131" s="14" t="n">
        <v>3.9273</v>
      </c>
      <c r="O131" s="14" t="n">
        <v>118.98</v>
      </c>
      <c r="P131" s="14" t="n">
        <v>8.3434</v>
      </c>
    </row>
    <row r="132" customFormat="false" ht="15" hidden="false" customHeight="false" outlineLevel="0" collapsed="false">
      <c r="A132" s="13" t="n">
        <v>42536</v>
      </c>
      <c r="B132" s="14" t="n">
        <v>1167.53</v>
      </c>
      <c r="C132" s="14" t="n">
        <v>8.313</v>
      </c>
      <c r="D132" s="14" t="n">
        <v>1.4185</v>
      </c>
      <c r="E132" s="14" t="n">
        <v>1.1239</v>
      </c>
      <c r="F132" s="14" t="n">
        <v>6.5785</v>
      </c>
      <c r="G132" s="14" t="n">
        <v>3.4715</v>
      </c>
      <c r="H132" s="14" t="n">
        <v>105.87</v>
      </c>
      <c r="I132" s="14" t="n">
        <v>1.123</v>
      </c>
      <c r="J132" s="14" t="n">
        <v>9.3415</v>
      </c>
      <c r="K132" s="14" t="n">
        <v>1316.08</v>
      </c>
      <c r="L132" s="14" t="n">
        <v>0.79158</v>
      </c>
      <c r="M132" s="14" t="n">
        <v>7.3905</v>
      </c>
      <c r="N132" s="14" t="n">
        <v>3.8945</v>
      </c>
      <c r="O132" s="14" t="n">
        <v>119.29</v>
      </c>
      <c r="P132" s="14" t="n">
        <v>8.3183</v>
      </c>
    </row>
    <row r="133" customFormat="false" ht="15" hidden="false" customHeight="false" outlineLevel="0" collapsed="false">
      <c r="A133" s="13" t="n">
        <v>42537</v>
      </c>
      <c r="B133" s="14" t="n">
        <v>1176.49</v>
      </c>
      <c r="C133" s="14" t="n">
        <v>8.4505</v>
      </c>
      <c r="D133" s="14" t="n">
        <v>1.4075</v>
      </c>
      <c r="E133" s="14" t="n">
        <v>1.1158</v>
      </c>
      <c r="F133" s="14" t="n">
        <v>6.5899</v>
      </c>
      <c r="G133" s="14" t="n">
        <v>3.4952</v>
      </c>
      <c r="H133" s="14" t="n">
        <v>104.05</v>
      </c>
      <c r="I133" s="14" t="n">
        <v>1.1174</v>
      </c>
      <c r="J133" s="14" t="n">
        <v>9.3798</v>
      </c>
      <c r="K133" s="14" t="n">
        <v>1315.79</v>
      </c>
      <c r="L133" s="14" t="n">
        <v>0.79033</v>
      </c>
      <c r="M133" s="14" t="n">
        <v>7.3593</v>
      </c>
      <c r="N133" s="14" t="n">
        <v>3.8943</v>
      </c>
      <c r="O133" s="14" t="n">
        <v>116.65</v>
      </c>
      <c r="P133" s="14" t="n">
        <v>8.3943</v>
      </c>
    </row>
    <row r="134" customFormat="false" ht="15" hidden="false" customHeight="false" outlineLevel="0" collapsed="false">
      <c r="A134" s="13" t="n">
        <v>42538</v>
      </c>
      <c r="B134" s="14" t="n">
        <v>1171.77</v>
      </c>
      <c r="C134" s="14" t="n">
        <v>8.3841</v>
      </c>
      <c r="D134" s="14" t="n">
        <v>1.4285</v>
      </c>
      <c r="E134" s="14" t="n">
        <v>1.1256</v>
      </c>
      <c r="F134" s="14" t="n">
        <v>6.5849</v>
      </c>
      <c r="G134" s="14" t="n">
        <v>3.4301</v>
      </c>
      <c r="H134" s="14" t="n">
        <v>104.2</v>
      </c>
      <c r="I134" s="14" t="n">
        <v>1.1254</v>
      </c>
      <c r="J134" s="14" t="n">
        <v>9.431</v>
      </c>
      <c r="K134" s="14" t="n">
        <v>1318.22</v>
      </c>
      <c r="L134" s="14" t="n">
        <v>0.7877</v>
      </c>
      <c r="M134" s="14" t="n">
        <v>7.4171</v>
      </c>
      <c r="N134" s="14" t="n">
        <v>3.8942</v>
      </c>
      <c r="O134" s="14" t="n">
        <v>117.34</v>
      </c>
      <c r="P134" s="14" t="n">
        <v>8.3801</v>
      </c>
    </row>
    <row r="135" customFormat="false" ht="15" hidden="false" customHeight="false" outlineLevel="0" collapsed="false">
      <c r="A135" s="13" t="n">
        <v>42541</v>
      </c>
      <c r="B135" s="14" t="n">
        <v>1156.8</v>
      </c>
      <c r="C135" s="14" t="n">
        <v>8.2614</v>
      </c>
      <c r="D135" s="14" t="n">
        <v>1.4688</v>
      </c>
      <c r="E135" s="14" t="n">
        <v>1.1318</v>
      </c>
      <c r="F135" s="14" t="n">
        <v>6.5768</v>
      </c>
      <c r="G135" s="14" t="n">
        <v>3.3937</v>
      </c>
      <c r="H135" s="14" t="n">
        <v>104.32</v>
      </c>
      <c r="I135" s="14" t="n">
        <v>1.1332</v>
      </c>
      <c r="J135" s="14" t="n">
        <v>9.3575</v>
      </c>
      <c r="K135" s="14" t="n">
        <v>1312.29</v>
      </c>
      <c r="L135" s="14" t="n">
        <v>0.77375</v>
      </c>
      <c r="M135" s="14" t="n">
        <v>7.4562</v>
      </c>
      <c r="N135" s="14" t="n">
        <v>3.8286</v>
      </c>
      <c r="O135" s="14" t="n">
        <v>118.57</v>
      </c>
      <c r="P135" s="14" t="n">
        <v>8.2576</v>
      </c>
    </row>
    <row r="136" customFormat="false" ht="15" hidden="false" customHeight="false" outlineLevel="0" collapsed="false">
      <c r="A136" s="13" t="n">
        <v>42542</v>
      </c>
      <c r="B136" s="14" t="n">
        <v>1154.35</v>
      </c>
      <c r="C136" s="14" t="n">
        <v>8.3092</v>
      </c>
      <c r="D136" s="14" t="n">
        <v>1.4668</v>
      </c>
      <c r="E136" s="14" t="n">
        <v>1.1262</v>
      </c>
      <c r="F136" s="14" t="n">
        <v>6.5893</v>
      </c>
      <c r="G136" s="14" t="n">
        <v>3.4038</v>
      </c>
      <c r="H136" s="14" t="n">
        <v>104.56</v>
      </c>
      <c r="I136" s="14" t="n">
        <v>1.1314</v>
      </c>
      <c r="J136" s="14" t="n">
        <v>9.3718</v>
      </c>
      <c r="K136" s="14" t="n">
        <v>1304.05</v>
      </c>
      <c r="L136" s="14" t="n">
        <v>0.76755</v>
      </c>
      <c r="M136" s="14" t="n">
        <v>7.4466</v>
      </c>
      <c r="N136" s="14" t="n">
        <v>3.81</v>
      </c>
      <c r="O136" s="14" t="n">
        <v>118.39</v>
      </c>
      <c r="P136" s="14" t="n">
        <v>8.2834</v>
      </c>
    </row>
    <row r="137" customFormat="false" ht="15" hidden="false" customHeight="false" outlineLevel="0" collapsed="false">
      <c r="A137" s="13" t="n">
        <v>42543</v>
      </c>
      <c r="B137" s="14" t="n">
        <v>1147.99</v>
      </c>
      <c r="C137" s="14" t="n">
        <v>8.2902</v>
      </c>
      <c r="D137" s="14" t="n">
        <v>1.4682</v>
      </c>
      <c r="E137" s="14" t="n">
        <v>1.1286</v>
      </c>
      <c r="F137" s="14" t="n">
        <v>6.575</v>
      </c>
      <c r="G137" s="14" t="n">
        <v>3.3794</v>
      </c>
      <c r="H137" s="14" t="n">
        <v>104.56</v>
      </c>
      <c r="I137" s="14" t="n">
        <v>1.1283</v>
      </c>
      <c r="J137" s="14" t="n">
        <v>9.3555</v>
      </c>
      <c r="K137" s="14" t="n">
        <v>1297.62</v>
      </c>
      <c r="L137" s="14" t="n">
        <v>0.76793</v>
      </c>
      <c r="M137" s="14" t="n">
        <v>7.4227</v>
      </c>
      <c r="N137" s="14" t="n">
        <v>3.8357</v>
      </c>
      <c r="O137" s="14" t="n">
        <v>118.01</v>
      </c>
      <c r="P137" s="14" t="n">
        <v>8.2917</v>
      </c>
    </row>
    <row r="138" customFormat="false" ht="15" hidden="false" customHeight="false" outlineLevel="0" collapsed="false">
      <c r="A138" s="13" t="n">
        <v>42544</v>
      </c>
      <c r="B138" s="14" t="n">
        <v>1143.27</v>
      </c>
      <c r="C138" s="14" t="n">
        <v>8.1661</v>
      </c>
      <c r="D138" s="14" t="n">
        <v>1.48</v>
      </c>
      <c r="E138" s="14" t="n">
        <v>1.1373</v>
      </c>
      <c r="F138" s="14" t="n">
        <v>6.574</v>
      </c>
      <c r="G138" s="14" t="n">
        <v>3.344</v>
      </c>
      <c r="H138" s="14" t="n">
        <v>105.9</v>
      </c>
      <c r="I138" s="14" t="n">
        <v>1.1389</v>
      </c>
      <c r="J138" s="14" t="n">
        <v>9.2993</v>
      </c>
      <c r="K138" s="14" t="n">
        <v>1304.47</v>
      </c>
      <c r="L138" s="14" t="n">
        <v>0.76595</v>
      </c>
      <c r="M138" s="14" t="n">
        <v>7.4935</v>
      </c>
      <c r="N138" s="14" t="n">
        <v>3.8172</v>
      </c>
      <c r="O138" s="14" t="n">
        <v>120.38</v>
      </c>
      <c r="P138" s="14" t="n">
        <v>8.1652</v>
      </c>
    </row>
    <row r="139" customFormat="false" ht="15" hidden="false" customHeight="false" outlineLevel="0" collapsed="false">
      <c r="A139" s="13" t="n">
        <v>42545</v>
      </c>
      <c r="B139" s="14" t="n">
        <v>1167.56</v>
      </c>
      <c r="C139" s="14" t="n">
        <v>8.4412</v>
      </c>
      <c r="D139" s="14" t="n">
        <v>1.3639</v>
      </c>
      <c r="E139" s="14" t="n">
        <v>1.1126</v>
      </c>
      <c r="F139" s="14" t="n">
        <v>6.615</v>
      </c>
      <c r="G139" s="14" t="n">
        <v>3.3895</v>
      </c>
      <c r="H139" s="14" t="n">
        <v>102.26</v>
      </c>
      <c r="I139" s="14" t="n">
        <v>1.1066</v>
      </c>
      <c r="J139" s="14" t="n">
        <v>9.42</v>
      </c>
      <c r="K139" s="14" t="n">
        <v>1296.89</v>
      </c>
      <c r="L139" s="14" t="n">
        <v>0.8075</v>
      </c>
      <c r="M139" s="14" t="n">
        <v>7.3301</v>
      </c>
      <c r="N139" s="14" t="n">
        <v>3.8063</v>
      </c>
      <c r="O139" s="14" t="n">
        <v>113.23</v>
      </c>
      <c r="P139" s="14" t="n">
        <v>8.5126</v>
      </c>
    </row>
    <row r="140" customFormat="false" ht="15" hidden="false" customHeight="false" outlineLevel="0" collapsed="false">
      <c r="A140" s="13" t="n">
        <v>42548</v>
      </c>
      <c r="B140" s="14" t="n">
        <v>1181.24</v>
      </c>
      <c r="C140" s="14" t="n">
        <v>8.5699</v>
      </c>
      <c r="D140" s="14" t="n">
        <v>1.3217</v>
      </c>
      <c r="E140" s="14" t="n">
        <v>1.1024</v>
      </c>
      <c r="F140" s="14" t="n">
        <v>6.6481</v>
      </c>
      <c r="G140" s="14" t="n">
        <v>3.4025</v>
      </c>
      <c r="H140" s="14" t="n">
        <v>101.66</v>
      </c>
      <c r="I140" s="14" t="n">
        <v>1.0998</v>
      </c>
      <c r="J140" s="14" t="n">
        <v>9.4045</v>
      </c>
      <c r="K140" s="14" t="n">
        <v>1302.91</v>
      </c>
      <c r="L140" s="14" t="n">
        <v>0.834</v>
      </c>
      <c r="M140" s="14" t="n">
        <v>7.3108</v>
      </c>
      <c r="N140" s="14" t="n">
        <v>3.743</v>
      </c>
      <c r="O140" s="14" t="n">
        <v>111.8</v>
      </c>
      <c r="P140" s="14" t="n">
        <v>8.5511</v>
      </c>
    </row>
    <row r="141" customFormat="false" ht="15" hidden="false" customHeight="false" outlineLevel="0" collapsed="false">
      <c r="A141" s="13" t="n">
        <v>42549</v>
      </c>
      <c r="B141" s="14" t="n">
        <v>1169.31</v>
      </c>
      <c r="C141" s="14" t="n">
        <v>8.5082</v>
      </c>
      <c r="D141" s="14" t="n">
        <v>1.3294</v>
      </c>
      <c r="E141" s="14" t="n">
        <v>1.1054</v>
      </c>
      <c r="F141" s="14" t="n">
        <v>6.645</v>
      </c>
      <c r="G141" s="14" t="n">
        <v>3.3074</v>
      </c>
      <c r="H141" s="14" t="n">
        <v>102.71</v>
      </c>
      <c r="I141" s="14" t="n">
        <v>1.1073</v>
      </c>
      <c r="J141" s="14" t="n">
        <v>9.3785</v>
      </c>
      <c r="K141" s="14" t="n">
        <v>1294.19</v>
      </c>
      <c r="L141" s="14" t="n">
        <v>0.8272</v>
      </c>
      <c r="M141" s="14" t="n">
        <v>7.3606</v>
      </c>
      <c r="N141" s="14" t="n">
        <v>3.7183</v>
      </c>
      <c r="O141" s="14" t="n">
        <v>113.4</v>
      </c>
      <c r="P141" s="14" t="n">
        <v>8.4697</v>
      </c>
    </row>
    <row r="142" customFormat="false" ht="15" hidden="false" customHeight="false" outlineLevel="0" collapsed="false">
      <c r="A142" s="13" t="n">
        <v>42550</v>
      </c>
      <c r="B142" s="14" t="n">
        <v>1153.09</v>
      </c>
      <c r="C142" s="14" t="n">
        <v>8.3763</v>
      </c>
      <c r="D142" s="14" t="n">
        <v>1.351</v>
      </c>
      <c r="E142" s="14" t="n">
        <v>1.1117</v>
      </c>
      <c r="F142" s="14" t="n">
        <v>6.635</v>
      </c>
      <c r="G142" s="14" t="n">
        <v>3.2386</v>
      </c>
      <c r="H142" s="14" t="n">
        <v>102.68</v>
      </c>
      <c r="I142" s="14" t="n">
        <v>1.109</v>
      </c>
      <c r="J142" s="14" t="n">
        <v>9.3065</v>
      </c>
      <c r="K142" s="14" t="n">
        <v>1283.15</v>
      </c>
      <c r="L142" s="14" t="n">
        <v>0.8255</v>
      </c>
      <c r="M142" s="14" t="n">
        <v>7.368</v>
      </c>
      <c r="N142" s="14" t="n">
        <v>3.6216</v>
      </c>
      <c r="O142" s="14" t="n">
        <v>113.85</v>
      </c>
      <c r="P142" s="14" t="n">
        <v>8.3918</v>
      </c>
    </row>
    <row r="143" customFormat="false" ht="15" hidden="false" customHeight="false" outlineLevel="0" collapsed="false">
      <c r="A143" s="13" t="n">
        <v>42551</v>
      </c>
      <c r="B143" s="14" t="n">
        <v>1154.15</v>
      </c>
      <c r="C143" s="14" t="n">
        <v>8.3931</v>
      </c>
      <c r="D143" s="14" t="n">
        <v>1.3242</v>
      </c>
      <c r="E143" s="14" t="n">
        <v>1.1032</v>
      </c>
      <c r="F143" s="14" t="n">
        <v>6.6459</v>
      </c>
      <c r="G143" s="14" t="n">
        <v>3.2003</v>
      </c>
      <c r="H143" s="14" t="n">
        <v>102.77</v>
      </c>
      <c r="I143" s="14" t="n">
        <v>1.1102</v>
      </c>
      <c r="J143" s="14" t="n">
        <v>9.3008</v>
      </c>
      <c r="K143" s="14" t="n">
        <v>1278.48</v>
      </c>
      <c r="L143" s="14" t="n">
        <v>0.8265</v>
      </c>
      <c r="M143" s="14" t="n">
        <v>7.3755</v>
      </c>
      <c r="N143" s="14" t="n">
        <v>3.5898</v>
      </c>
      <c r="O143" s="14" t="n">
        <v>114.05</v>
      </c>
      <c r="P143" s="14" t="n">
        <v>8.3776</v>
      </c>
    </row>
    <row r="144" customFormat="false" ht="15" hidden="false" customHeight="false" outlineLevel="0" collapsed="false">
      <c r="A144" s="13" t="n">
        <v>42552</v>
      </c>
      <c r="B144" s="14" t="n">
        <v>1146.49</v>
      </c>
      <c r="C144" s="14" t="n">
        <v>8.3279</v>
      </c>
      <c r="D144" s="14" t="n">
        <v>1.3281</v>
      </c>
      <c r="E144" s="14" t="n">
        <v>1.1145</v>
      </c>
      <c r="F144" s="14" t="n">
        <v>6.6547</v>
      </c>
      <c r="G144" s="14" t="n">
        <v>3.2448</v>
      </c>
      <c r="H144" s="14" t="n">
        <v>102.55</v>
      </c>
      <c r="I144" s="14" t="n">
        <v>1.1135</v>
      </c>
      <c r="J144" s="14" t="n">
        <v>9.2975</v>
      </c>
      <c r="K144" s="14" t="n">
        <v>1275.76</v>
      </c>
      <c r="L144" s="14" t="n">
        <v>0.8383</v>
      </c>
      <c r="M144" s="14" t="n">
        <v>7.4111</v>
      </c>
      <c r="N144" s="14" t="n">
        <v>3.5837</v>
      </c>
      <c r="O144" s="14" t="n">
        <v>114.29</v>
      </c>
      <c r="P144" s="14" t="n">
        <v>8.3498</v>
      </c>
    </row>
    <row r="145" customFormat="false" ht="15" hidden="false" customHeight="false" outlineLevel="0" collapsed="false">
      <c r="A145" s="13" t="n">
        <v>42555</v>
      </c>
      <c r="I145" s="14" t="n">
        <v>1.1138</v>
      </c>
      <c r="J145" s="14" t="n">
        <v>9.2538</v>
      </c>
      <c r="K145" s="14" t="n">
        <v>1278.83</v>
      </c>
      <c r="L145" s="14" t="n">
        <v>0.83905</v>
      </c>
      <c r="M145" s="14" t="n">
        <v>7.4229</v>
      </c>
      <c r="N145" s="14" t="n">
        <v>3.6131</v>
      </c>
      <c r="O145" s="14" t="n">
        <v>114.29</v>
      </c>
      <c r="P145" s="14" t="n">
        <v>8.3083</v>
      </c>
    </row>
    <row r="146" customFormat="false" ht="15" hidden="false" customHeight="false" outlineLevel="0" collapsed="false">
      <c r="A146" s="13" t="n">
        <v>42556</v>
      </c>
      <c r="B146" s="14" t="n">
        <v>1156.79</v>
      </c>
      <c r="C146" s="14" t="n">
        <v>8.4065</v>
      </c>
      <c r="D146" s="14" t="n">
        <v>1.3021</v>
      </c>
      <c r="E146" s="14" t="n">
        <v>1.108</v>
      </c>
      <c r="F146" s="14" t="n">
        <v>6.677</v>
      </c>
      <c r="G146" s="14" t="n">
        <v>3.2964</v>
      </c>
      <c r="H146" s="14" t="n">
        <v>101.58</v>
      </c>
      <c r="I146" s="14" t="n">
        <v>1.1146</v>
      </c>
      <c r="J146" s="14" t="n">
        <v>9.3197</v>
      </c>
      <c r="K146" s="14" t="n">
        <v>1289.88</v>
      </c>
      <c r="L146" s="14" t="n">
        <v>0.84997</v>
      </c>
      <c r="M146" s="14" t="n">
        <v>7.4379</v>
      </c>
      <c r="N146" s="14" t="n">
        <v>3.6655</v>
      </c>
      <c r="O146" s="14" t="n">
        <v>113.5</v>
      </c>
      <c r="P146" s="14" t="n">
        <v>8.3615</v>
      </c>
    </row>
    <row r="147" customFormat="false" ht="15" hidden="false" customHeight="false" outlineLevel="0" collapsed="false">
      <c r="A147" s="13" t="n">
        <v>42557</v>
      </c>
      <c r="B147" s="14" t="n">
        <v>1160.59</v>
      </c>
      <c r="C147" s="14" t="n">
        <v>8.4724</v>
      </c>
      <c r="D147" s="14" t="n">
        <v>1.2921</v>
      </c>
      <c r="E147" s="14" t="n">
        <v>1.1077</v>
      </c>
      <c r="F147" s="14" t="n">
        <v>6.69</v>
      </c>
      <c r="G147" s="14" t="n">
        <v>3.3217</v>
      </c>
      <c r="H147" s="14" t="n">
        <v>101.12</v>
      </c>
      <c r="I147" s="14" t="n">
        <v>1.1069</v>
      </c>
      <c r="J147" s="14" t="n">
        <v>9.3517</v>
      </c>
      <c r="K147" s="14" t="n">
        <v>1289.1</v>
      </c>
      <c r="L147" s="14" t="n">
        <v>0.853</v>
      </c>
      <c r="M147" s="14" t="n">
        <v>7.4018</v>
      </c>
      <c r="N147" s="14" t="n">
        <v>3.6787</v>
      </c>
      <c r="O147" s="14" t="n">
        <v>111.48</v>
      </c>
      <c r="P147" s="14" t="n">
        <v>8.4486</v>
      </c>
    </row>
    <row r="148" customFormat="false" ht="15" hidden="false" customHeight="false" outlineLevel="0" collapsed="false">
      <c r="A148" s="13" t="n">
        <v>42558</v>
      </c>
      <c r="B148" s="14" t="n">
        <v>1154.89</v>
      </c>
      <c r="C148" s="14" t="n">
        <v>8.494</v>
      </c>
      <c r="D148" s="14" t="n">
        <v>1.2926</v>
      </c>
      <c r="E148" s="14" t="n">
        <v>1.1065</v>
      </c>
      <c r="F148" s="14" t="n">
        <v>6.679</v>
      </c>
      <c r="G148" s="14" t="n">
        <v>3.3436</v>
      </c>
      <c r="H148" s="14" t="n">
        <v>100.74</v>
      </c>
      <c r="I148" s="14" t="n">
        <v>1.108</v>
      </c>
      <c r="J148" s="14" t="n">
        <v>9.3782</v>
      </c>
      <c r="K148" s="14" t="n">
        <v>1280.63</v>
      </c>
      <c r="L148" s="14" t="n">
        <v>0.85085</v>
      </c>
      <c r="M148" s="14" t="n">
        <v>7.4044</v>
      </c>
      <c r="N148" s="14" t="n">
        <v>3.6894</v>
      </c>
      <c r="O148" s="14" t="n">
        <v>111.9</v>
      </c>
      <c r="P148" s="14" t="n">
        <v>8.4641</v>
      </c>
    </row>
    <row r="149" customFormat="false" ht="15" hidden="false" customHeight="false" outlineLevel="0" collapsed="false">
      <c r="A149" s="13" t="n">
        <v>42559</v>
      </c>
      <c r="B149" s="14" t="n">
        <v>1148.71</v>
      </c>
      <c r="C149" s="14" t="n">
        <v>8.5421</v>
      </c>
      <c r="D149" s="14" t="n">
        <v>1.2938</v>
      </c>
      <c r="E149" s="14" t="n">
        <v>1.1038</v>
      </c>
      <c r="F149" s="14" t="n">
        <v>6.6878</v>
      </c>
      <c r="G149" s="14" t="n">
        <v>3.2835</v>
      </c>
      <c r="H149" s="14" t="n">
        <v>100.65</v>
      </c>
      <c r="I149" s="14" t="n">
        <v>1.107</v>
      </c>
      <c r="J149" s="14" t="n">
        <v>9.393</v>
      </c>
      <c r="K149" s="14" t="n">
        <v>1280.91</v>
      </c>
      <c r="L149" s="14" t="n">
        <v>0.85243</v>
      </c>
      <c r="M149" s="14" t="n">
        <v>7.4011</v>
      </c>
      <c r="N149" s="14" t="n">
        <v>3.6942</v>
      </c>
      <c r="O149" s="14" t="n">
        <v>111.17</v>
      </c>
      <c r="P149" s="14" t="n">
        <v>8.4851</v>
      </c>
    </row>
    <row r="150" customFormat="false" ht="15" hidden="false" customHeight="false" outlineLevel="0" collapsed="false">
      <c r="A150" s="13" t="n">
        <v>42562</v>
      </c>
      <c r="B150" s="14" t="n">
        <v>1148.97</v>
      </c>
      <c r="C150" s="14" t="n">
        <v>8.499</v>
      </c>
      <c r="D150" s="14" t="n">
        <v>1.2986</v>
      </c>
      <c r="E150" s="14" t="n">
        <v>1.1045</v>
      </c>
      <c r="F150" s="14" t="n">
        <v>6.6917</v>
      </c>
      <c r="G150" s="14" t="n">
        <v>3.3095</v>
      </c>
      <c r="H150" s="14" t="n">
        <v>102.66</v>
      </c>
      <c r="I150" s="14" t="n">
        <v>1.1049</v>
      </c>
      <c r="J150" s="14" t="n">
        <v>9.4061</v>
      </c>
      <c r="K150" s="14" t="n">
        <v>1268.78</v>
      </c>
      <c r="L150" s="14" t="n">
        <v>0.85097</v>
      </c>
      <c r="M150" s="14" t="n">
        <v>7.3926</v>
      </c>
      <c r="N150" s="14" t="n">
        <v>3.6651</v>
      </c>
      <c r="O150" s="14" t="n">
        <v>113.23</v>
      </c>
      <c r="P150" s="14" t="n">
        <v>8.5131</v>
      </c>
    </row>
    <row r="151" customFormat="false" ht="15" hidden="false" customHeight="false" outlineLevel="0" collapsed="false">
      <c r="A151" s="13" t="n">
        <v>42563</v>
      </c>
      <c r="B151" s="14" t="n">
        <v>1146.47</v>
      </c>
      <c r="C151" s="14" t="n">
        <v>8.4157</v>
      </c>
      <c r="D151" s="14" t="n">
        <v>1.3237</v>
      </c>
      <c r="E151" s="14" t="n">
        <v>1.1074</v>
      </c>
      <c r="F151" s="14" t="n">
        <v>6.686</v>
      </c>
      <c r="G151" s="14" t="n">
        <v>3.274</v>
      </c>
      <c r="H151" s="14" t="n">
        <v>104.72</v>
      </c>
      <c r="I151" s="14" t="n">
        <v>1.1092</v>
      </c>
      <c r="J151" s="14" t="n">
        <v>9.3499</v>
      </c>
      <c r="K151" s="14" t="n">
        <v>1271.3</v>
      </c>
      <c r="L151" s="14" t="n">
        <v>0.84275</v>
      </c>
      <c r="M151" s="14" t="n">
        <v>7.4148</v>
      </c>
      <c r="N151" s="14" t="n">
        <v>3.6414</v>
      </c>
      <c r="O151" s="14" t="n">
        <v>115.29</v>
      </c>
      <c r="P151" s="14" t="n">
        <v>8.4294</v>
      </c>
    </row>
    <row r="152" customFormat="false" ht="15" hidden="false" customHeight="false" outlineLevel="0" collapsed="false">
      <c r="A152" s="13" t="n">
        <v>42564</v>
      </c>
      <c r="B152" s="14" t="n">
        <v>1145.01</v>
      </c>
      <c r="C152" s="14" t="n">
        <v>8.4159</v>
      </c>
      <c r="D152" s="14" t="n">
        <v>1.318</v>
      </c>
      <c r="E152" s="14" t="n">
        <v>1.1112</v>
      </c>
      <c r="F152" s="14" t="n">
        <v>6.6832</v>
      </c>
      <c r="G152" s="14" t="n">
        <v>3.2895</v>
      </c>
      <c r="H152" s="14" t="n">
        <v>104.1</v>
      </c>
      <c r="I152" s="14" t="n">
        <v>1.1072</v>
      </c>
      <c r="J152" s="14" t="n">
        <v>9.3145</v>
      </c>
      <c r="K152" s="14" t="n">
        <v>1265.58</v>
      </c>
      <c r="L152" s="14" t="n">
        <v>0.83398</v>
      </c>
      <c r="M152" s="14" t="n">
        <v>7.4077</v>
      </c>
      <c r="N152" s="14" t="n">
        <v>3.6517</v>
      </c>
      <c r="O152" s="14" t="n">
        <v>115.82</v>
      </c>
      <c r="P152" s="14" t="n">
        <v>8.4127</v>
      </c>
    </row>
    <row r="153" customFormat="false" ht="15" hidden="false" customHeight="false" outlineLevel="0" collapsed="false">
      <c r="A153" s="13" t="n">
        <v>42565</v>
      </c>
      <c r="B153" s="14" t="n">
        <v>1130.65</v>
      </c>
      <c r="C153" s="14" t="n">
        <v>8.3653</v>
      </c>
      <c r="D153" s="14" t="n">
        <v>1.3332</v>
      </c>
      <c r="E153" s="14" t="n">
        <v>1.1109</v>
      </c>
      <c r="F153" s="14" t="n">
        <v>6.6801</v>
      </c>
      <c r="G153" s="14" t="n">
        <v>3.235</v>
      </c>
      <c r="H153" s="14" t="n">
        <v>105.4</v>
      </c>
      <c r="I153" s="14" t="n">
        <v>1.1157</v>
      </c>
      <c r="J153" s="14" t="n">
        <v>9.3247</v>
      </c>
      <c r="K153" s="14" t="n">
        <v>1262.25</v>
      </c>
      <c r="L153" s="14" t="n">
        <v>0.83311</v>
      </c>
      <c r="M153" s="14" t="n">
        <v>7.4577</v>
      </c>
      <c r="N153" s="14" t="n">
        <v>3.6041</v>
      </c>
      <c r="O153" s="14" t="n">
        <v>117.88</v>
      </c>
      <c r="P153" s="14" t="n">
        <v>8.3577</v>
      </c>
    </row>
    <row r="154" customFormat="false" ht="15" hidden="false" customHeight="false" outlineLevel="0" collapsed="false">
      <c r="A154" s="13" t="n">
        <v>42566</v>
      </c>
      <c r="B154" s="14" t="n">
        <v>1135.49</v>
      </c>
      <c r="C154" s="14" t="n">
        <v>8.452</v>
      </c>
      <c r="D154" s="14" t="n">
        <v>1.3194</v>
      </c>
      <c r="E154" s="14" t="n">
        <v>1.1059</v>
      </c>
      <c r="F154" s="14" t="n">
        <v>6.6865</v>
      </c>
      <c r="G154" s="14" t="n">
        <v>3.2731</v>
      </c>
      <c r="H154" s="14" t="n">
        <v>105.64</v>
      </c>
      <c r="I154" s="14" t="n">
        <v>1.1128</v>
      </c>
      <c r="J154" s="14" t="n">
        <v>9.3183</v>
      </c>
      <c r="K154" s="14" t="n">
        <v>1260.06</v>
      </c>
      <c r="L154" s="14" t="n">
        <v>0.83275</v>
      </c>
      <c r="M154" s="14" t="n">
        <v>7.4355</v>
      </c>
      <c r="N154" s="14" t="n">
        <v>3.6232</v>
      </c>
      <c r="O154" s="14" t="n">
        <v>117.63</v>
      </c>
      <c r="P154" s="14" t="n">
        <v>8.3737</v>
      </c>
    </row>
    <row r="155" customFormat="false" ht="15" hidden="false" customHeight="false" outlineLevel="0" collapsed="false">
      <c r="A155" s="13" t="n">
        <v>42569</v>
      </c>
      <c r="B155" s="14" t="n">
        <v>1134.39</v>
      </c>
      <c r="C155" s="14" t="n">
        <v>8.4489</v>
      </c>
      <c r="D155" s="14" t="n">
        <v>1.3279</v>
      </c>
      <c r="E155" s="14" t="n">
        <v>1.1076</v>
      </c>
      <c r="F155" s="14" t="n">
        <v>6.7013</v>
      </c>
      <c r="G155" s="14" t="n">
        <v>3.2523</v>
      </c>
      <c r="H155" s="14" t="n">
        <v>106</v>
      </c>
      <c r="I155" s="14" t="n">
        <v>1.1053</v>
      </c>
      <c r="J155" s="14" t="n">
        <v>9.3627</v>
      </c>
      <c r="K155" s="14" t="n">
        <v>1257.6</v>
      </c>
      <c r="L155" s="14" t="n">
        <v>0.83372</v>
      </c>
      <c r="M155" s="14" t="n">
        <v>7.4089</v>
      </c>
      <c r="N155" s="14" t="n">
        <v>3.5963</v>
      </c>
      <c r="O155" s="14" t="n">
        <v>116.82</v>
      </c>
      <c r="P155" s="14" t="n">
        <v>8.4707</v>
      </c>
    </row>
    <row r="156" customFormat="false" ht="15" hidden="false" customHeight="false" outlineLevel="0" collapsed="false">
      <c r="A156" s="13" t="n">
        <v>42570</v>
      </c>
      <c r="B156" s="14" t="n">
        <v>1140.56</v>
      </c>
      <c r="C156" s="14" t="n">
        <v>8.5075</v>
      </c>
      <c r="D156" s="14" t="n">
        <v>1.3123</v>
      </c>
      <c r="E156" s="14" t="n">
        <v>1.1014</v>
      </c>
      <c r="F156" s="14" t="n">
        <v>6.6931</v>
      </c>
      <c r="G156" s="14" t="n">
        <v>3.2754</v>
      </c>
      <c r="H156" s="14" t="n">
        <v>106.13</v>
      </c>
      <c r="I156" s="14" t="n">
        <v>1.1035</v>
      </c>
      <c r="J156" s="14" t="n">
        <v>9.3489</v>
      </c>
      <c r="K156" s="14" t="n">
        <v>1257.6</v>
      </c>
      <c r="L156" s="14" t="n">
        <v>0.8395</v>
      </c>
      <c r="M156" s="14" t="n">
        <v>7.3875</v>
      </c>
      <c r="N156" s="14" t="n">
        <v>3.6078</v>
      </c>
      <c r="O156" s="14" t="n">
        <v>117.2</v>
      </c>
      <c r="P156" s="14" t="n">
        <v>8.472</v>
      </c>
    </row>
    <row r="157" customFormat="false" ht="15" hidden="false" customHeight="false" outlineLevel="0" collapsed="false">
      <c r="A157" s="13" t="n">
        <v>42571</v>
      </c>
      <c r="B157" s="14" t="n">
        <v>1142.33</v>
      </c>
      <c r="C157" s="14" t="n">
        <v>8.4929</v>
      </c>
      <c r="D157" s="14" t="n">
        <v>1.3179</v>
      </c>
      <c r="E157" s="14" t="n">
        <v>1.1007</v>
      </c>
      <c r="F157" s="14" t="n">
        <v>6.676</v>
      </c>
      <c r="G157" s="14" t="n">
        <v>3.2468</v>
      </c>
      <c r="H157" s="14" t="n">
        <v>106.65</v>
      </c>
      <c r="I157" s="14" t="n">
        <v>1.1013</v>
      </c>
      <c r="J157" s="14" t="n">
        <v>9.3552</v>
      </c>
      <c r="K157" s="14" t="n">
        <v>1257.06</v>
      </c>
      <c r="L157" s="14" t="n">
        <v>0.83605</v>
      </c>
      <c r="M157" s="14" t="n">
        <v>7.3501</v>
      </c>
      <c r="N157" s="14" t="n">
        <v>3.5761</v>
      </c>
      <c r="O157" s="14" t="n">
        <v>117.33</v>
      </c>
      <c r="P157" s="14" t="n">
        <v>8.4947</v>
      </c>
    </row>
    <row r="158" customFormat="false" ht="15" hidden="false" customHeight="false" outlineLevel="0" collapsed="false">
      <c r="A158" s="13" t="n">
        <v>42572</v>
      </c>
      <c r="B158" s="14" t="n">
        <v>1137.31</v>
      </c>
      <c r="C158" s="14" t="n">
        <v>8.4697</v>
      </c>
      <c r="D158" s="14" t="n">
        <v>1.3216</v>
      </c>
      <c r="E158" s="14" t="n">
        <v>1.1016</v>
      </c>
      <c r="F158" s="14" t="n">
        <v>6.6735</v>
      </c>
      <c r="G158" s="14" t="n">
        <v>3.2692</v>
      </c>
      <c r="H158" s="14" t="n">
        <v>105.98</v>
      </c>
      <c r="I158" s="14" t="n">
        <v>1.1015</v>
      </c>
      <c r="J158" s="14" t="n">
        <v>9.3541</v>
      </c>
      <c r="K158" s="14" t="n">
        <v>1253.58</v>
      </c>
      <c r="L158" s="14" t="n">
        <v>0.83595</v>
      </c>
      <c r="M158" s="14" t="n">
        <v>7.3505</v>
      </c>
      <c r="N158" s="14" t="n">
        <v>3.5804</v>
      </c>
      <c r="O158" s="14" t="n">
        <v>117.05</v>
      </c>
      <c r="P158" s="14" t="n">
        <v>8.4921</v>
      </c>
    </row>
    <row r="159" customFormat="false" ht="15" hidden="false" customHeight="false" outlineLevel="0" collapsed="false">
      <c r="A159" s="13" t="n">
        <v>42573</v>
      </c>
      <c r="B159" s="14" t="n">
        <v>1137.49</v>
      </c>
      <c r="C159" s="14" t="n">
        <v>8.5524</v>
      </c>
      <c r="D159" s="14" t="n">
        <v>1.3091</v>
      </c>
      <c r="E159" s="14" t="n">
        <v>1.0968</v>
      </c>
      <c r="F159" s="14" t="n">
        <v>6.676</v>
      </c>
      <c r="G159" s="14" t="n">
        <v>3.2856</v>
      </c>
      <c r="H159" s="14" t="n">
        <v>106.22</v>
      </c>
      <c r="I159" s="14" t="n">
        <v>1.1014</v>
      </c>
      <c r="J159" s="14" t="n">
        <v>9.3847</v>
      </c>
      <c r="K159" s="14" t="n">
        <v>1251.19</v>
      </c>
      <c r="L159" s="14" t="n">
        <v>0.84108</v>
      </c>
      <c r="M159" s="14" t="n">
        <v>7.35</v>
      </c>
      <c r="N159" s="14" t="n">
        <v>3.6138</v>
      </c>
      <c r="O159" s="14" t="n">
        <v>116.86</v>
      </c>
      <c r="P159" s="14" t="n">
        <v>8.5207</v>
      </c>
    </row>
    <row r="160" customFormat="false" ht="15" hidden="false" customHeight="false" outlineLevel="0" collapsed="false">
      <c r="A160" s="13" t="n">
        <v>42576</v>
      </c>
      <c r="B160" s="14" t="n">
        <v>1140.8</v>
      </c>
      <c r="C160" s="14" t="n">
        <v>8.5847</v>
      </c>
      <c r="D160" s="14" t="n">
        <v>1.313</v>
      </c>
      <c r="E160" s="14" t="n">
        <v>1.098</v>
      </c>
      <c r="F160" s="14" t="n">
        <v>6.6783</v>
      </c>
      <c r="G160" s="14" t="n">
        <v>3.287</v>
      </c>
      <c r="H160" s="14" t="n">
        <v>106.02</v>
      </c>
      <c r="I160" s="14" t="n">
        <v>1.0982</v>
      </c>
      <c r="J160" s="14" t="n">
        <v>9.4102</v>
      </c>
      <c r="K160" s="14" t="n">
        <v>1250.46</v>
      </c>
      <c r="L160" s="14" t="n">
        <v>0.8367</v>
      </c>
      <c r="M160" s="14" t="n">
        <v>7.3356</v>
      </c>
      <c r="N160" s="14" t="n">
        <v>3.5758</v>
      </c>
      <c r="O160" s="14" t="n">
        <v>116.64</v>
      </c>
      <c r="P160" s="14" t="n">
        <v>8.5687</v>
      </c>
    </row>
    <row r="161" customFormat="false" ht="15" hidden="false" customHeight="false" outlineLevel="0" collapsed="false">
      <c r="A161" s="13" t="n">
        <v>42577</v>
      </c>
      <c r="B161" s="14" t="n">
        <v>1137.59</v>
      </c>
      <c r="C161" s="14" t="n">
        <v>8.5798</v>
      </c>
      <c r="D161" s="14" t="n">
        <v>1.3133</v>
      </c>
      <c r="E161" s="14" t="n">
        <v>1.0984</v>
      </c>
      <c r="F161" s="14" t="n">
        <v>6.669</v>
      </c>
      <c r="G161" s="14" t="n">
        <v>3.277</v>
      </c>
      <c r="H161" s="14" t="n">
        <v>104.83</v>
      </c>
      <c r="I161" s="14" t="n">
        <v>1.0997</v>
      </c>
      <c r="J161" s="14" t="n">
        <v>9.437</v>
      </c>
      <c r="K161" s="14" t="n">
        <v>1249.22</v>
      </c>
      <c r="L161" s="14" t="n">
        <v>0.8371</v>
      </c>
      <c r="M161" s="14" t="n">
        <v>7.3357</v>
      </c>
      <c r="N161" s="14" t="n">
        <v>3.608</v>
      </c>
      <c r="O161" s="14" t="n">
        <v>114.67</v>
      </c>
      <c r="P161" s="14" t="n">
        <v>8.5814</v>
      </c>
    </row>
    <row r="162" customFormat="false" ht="15" hidden="false" customHeight="false" outlineLevel="0" collapsed="false">
      <c r="A162" s="13" t="n">
        <v>42578</v>
      </c>
      <c r="B162" s="14" t="n">
        <v>1135.09</v>
      </c>
      <c r="C162" s="14" t="n">
        <v>8.591</v>
      </c>
      <c r="D162" s="14" t="n">
        <v>1.3094</v>
      </c>
      <c r="E162" s="14" t="n">
        <v>1.0988</v>
      </c>
      <c r="F162" s="14" t="n">
        <v>6.668</v>
      </c>
      <c r="G162" s="14" t="n">
        <v>3.2867</v>
      </c>
      <c r="H162" s="14" t="n">
        <v>105.65</v>
      </c>
      <c r="I162" s="14" t="n">
        <v>1.0991</v>
      </c>
      <c r="J162" s="14" t="n">
        <v>9.4387</v>
      </c>
      <c r="K162" s="14" t="n">
        <v>1247.17</v>
      </c>
      <c r="L162" s="14" t="n">
        <v>0.83875</v>
      </c>
      <c r="M162" s="14" t="n">
        <v>7.3311</v>
      </c>
      <c r="N162" s="14" t="n">
        <v>3.6056</v>
      </c>
      <c r="O162" s="14" t="n">
        <v>116.23</v>
      </c>
      <c r="P162" s="14" t="n">
        <v>8.5877</v>
      </c>
    </row>
    <row r="163" customFormat="false" ht="15" hidden="false" customHeight="false" outlineLevel="0" collapsed="false">
      <c r="A163" s="13" t="n">
        <v>42579</v>
      </c>
      <c r="B163" s="14" t="n">
        <v>1124.79</v>
      </c>
      <c r="C163" s="14" t="n">
        <v>8.5468</v>
      </c>
      <c r="D163" s="14" t="n">
        <v>1.3151</v>
      </c>
      <c r="E163" s="14" t="n">
        <v>1.1094</v>
      </c>
      <c r="F163" s="14" t="n">
        <v>6.6538</v>
      </c>
      <c r="G163" s="14" t="n">
        <v>3.2737</v>
      </c>
      <c r="H163" s="14" t="n">
        <v>104.86</v>
      </c>
      <c r="I163" s="14" t="n">
        <v>1.109</v>
      </c>
      <c r="J163" s="14" t="n">
        <v>9.4405</v>
      </c>
      <c r="K163" s="14" t="n">
        <v>1251.17</v>
      </c>
      <c r="L163" s="14" t="n">
        <v>0.8422</v>
      </c>
      <c r="M163" s="14" t="n">
        <v>7.3838</v>
      </c>
      <c r="N163" s="14" t="n">
        <v>3.6306</v>
      </c>
      <c r="O163" s="14" t="n">
        <v>116.14</v>
      </c>
      <c r="P163" s="14" t="n">
        <v>8.5126</v>
      </c>
    </row>
    <row r="164" customFormat="false" ht="15" hidden="false" customHeight="false" outlineLevel="0" collapsed="false">
      <c r="A164" s="13" t="n">
        <v>42580</v>
      </c>
      <c r="B164" s="14" t="n">
        <v>1112.89</v>
      </c>
      <c r="C164" s="14" t="n">
        <v>8.425</v>
      </c>
      <c r="D164" s="14" t="n">
        <v>1.327</v>
      </c>
      <c r="E164" s="14" t="n">
        <v>1.1168</v>
      </c>
      <c r="F164" s="14" t="n">
        <v>6.6371</v>
      </c>
      <c r="G164" s="14" t="n">
        <v>3.238</v>
      </c>
      <c r="H164" s="14" t="n">
        <v>102.32</v>
      </c>
      <c r="I164" s="14" t="n">
        <v>1.1113</v>
      </c>
      <c r="J164" s="14" t="n">
        <v>9.5092</v>
      </c>
      <c r="K164" s="14" t="n">
        <v>1246.83</v>
      </c>
      <c r="L164" s="14" t="n">
        <v>0.844</v>
      </c>
      <c r="M164" s="14" t="n">
        <v>7.3908</v>
      </c>
      <c r="N164" s="14" t="n">
        <v>3.6478</v>
      </c>
      <c r="O164" s="14" t="n">
        <v>114.83</v>
      </c>
      <c r="P164" s="14" t="n">
        <v>8.5568</v>
      </c>
    </row>
    <row r="165" customFormat="false" ht="15" hidden="false" customHeight="false" outlineLevel="0" collapsed="false">
      <c r="A165" s="13" t="n">
        <v>42583</v>
      </c>
      <c r="B165" s="14" t="n">
        <v>1106.15</v>
      </c>
      <c r="C165" s="14" t="n">
        <v>8.475</v>
      </c>
      <c r="D165" s="14" t="n">
        <v>1.3209</v>
      </c>
      <c r="E165" s="14" t="n">
        <v>1.1176</v>
      </c>
      <c r="F165" s="14" t="n">
        <v>6.6421</v>
      </c>
      <c r="G165" s="14" t="n">
        <v>3.265</v>
      </c>
      <c r="H165" s="14" t="n">
        <v>102.26</v>
      </c>
      <c r="I165" s="14" t="n">
        <v>1.1164</v>
      </c>
      <c r="J165" s="14" t="n">
        <v>9.4455</v>
      </c>
      <c r="K165" s="14" t="n">
        <v>1236.21</v>
      </c>
      <c r="L165" s="14" t="n">
        <v>0.8454</v>
      </c>
      <c r="M165" s="14" t="n">
        <v>7.4136</v>
      </c>
      <c r="N165" s="14" t="n">
        <v>3.6361</v>
      </c>
      <c r="O165" s="14" t="n">
        <v>114.28</v>
      </c>
      <c r="P165" s="14" t="n">
        <v>8.4607</v>
      </c>
    </row>
    <row r="166" customFormat="false" ht="15" hidden="false" customHeight="false" outlineLevel="0" collapsed="false">
      <c r="A166" s="13" t="n">
        <v>42584</v>
      </c>
      <c r="B166" s="14" t="n">
        <v>1108.35</v>
      </c>
      <c r="C166" s="14" t="n">
        <v>8.4295</v>
      </c>
      <c r="D166" s="14" t="n">
        <v>1.3326</v>
      </c>
      <c r="E166" s="14" t="n">
        <v>1.1225</v>
      </c>
      <c r="F166" s="14" t="n">
        <v>6.6239</v>
      </c>
      <c r="G166" s="14" t="n">
        <v>3.2521</v>
      </c>
      <c r="H166" s="14" t="n">
        <v>100.82</v>
      </c>
      <c r="I166" s="14" t="n">
        <v>1.1193</v>
      </c>
      <c r="J166" s="14" t="n">
        <v>9.4363</v>
      </c>
      <c r="K166" s="14" t="n">
        <v>1239.02</v>
      </c>
      <c r="L166" s="14" t="n">
        <v>0.8431</v>
      </c>
      <c r="M166" s="14" t="n">
        <v>7.4233</v>
      </c>
      <c r="N166" s="14" t="n">
        <v>3.6549</v>
      </c>
      <c r="O166" s="14" t="n">
        <v>113.72</v>
      </c>
      <c r="P166" s="14" t="n">
        <v>8.4305</v>
      </c>
    </row>
    <row r="167" customFormat="false" ht="15" hidden="false" customHeight="false" outlineLevel="0" collapsed="false">
      <c r="A167" s="13" t="n">
        <v>42585</v>
      </c>
      <c r="B167" s="14" t="n">
        <v>1116.21</v>
      </c>
      <c r="C167" s="14" t="n">
        <v>8.4277</v>
      </c>
      <c r="D167" s="14" t="n">
        <v>1.3335</v>
      </c>
      <c r="E167" s="14" t="n">
        <v>1.117</v>
      </c>
      <c r="F167" s="14" t="n">
        <v>6.632</v>
      </c>
      <c r="G167" s="14" t="n">
        <v>3.2595</v>
      </c>
      <c r="H167" s="14" t="n">
        <v>101.34</v>
      </c>
      <c r="I167" s="14" t="n">
        <v>1.12</v>
      </c>
      <c r="J167" s="14" t="n">
        <v>9.4236</v>
      </c>
      <c r="K167" s="14" t="n">
        <v>1251.34</v>
      </c>
      <c r="L167" s="14" t="n">
        <v>0.8391</v>
      </c>
      <c r="M167" s="14" t="n">
        <v>7.4234</v>
      </c>
      <c r="N167" s="14" t="n">
        <v>3.6606</v>
      </c>
      <c r="O167" s="14" t="n">
        <v>113.22</v>
      </c>
      <c r="P167" s="14" t="n">
        <v>8.4139</v>
      </c>
    </row>
    <row r="168" customFormat="false" ht="15" hidden="false" customHeight="false" outlineLevel="0" collapsed="false">
      <c r="A168" s="13" t="n">
        <v>42586</v>
      </c>
      <c r="B168" s="14" t="n">
        <v>1111.99</v>
      </c>
      <c r="C168" s="14" t="n">
        <v>8.4283</v>
      </c>
      <c r="D168" s="14" t="n">
        <v>1.3143</v>
      </c>
      <c r="E168" s="14" t="n">
        <v>1.1134</v>
      </c>
      <c r="F168" s="14" t="n">
        <v>6.6388</v>
      </c>
      <c r="G168" s="14" t="n">
        <v>3.2</v>
      </c>
      <c r="H168" s="14" t="n">
        <v>101.08</v>
      </c>
      <c r="I168" s="14" t="n">
        <v>1.1136</v>
      </c>
      <c r="J168" s="14" t="n">
        <v>9.4118</v>
      </c>
      <c r="K168" s="14" t="n">
        <v>1241.88</v>
      </c>
      <c r="L168" s="14" t="n">
        <v>0.84603</v>
      </c>
      <c r="M168" s="14" t="n">
        <v>7.3961</v>
      </c>
      <c r="N168" s="14" t="n">
        <v>3.5894</v>
      </c>
      <c r="O168" s="14" t="n">
        <v>112.66</v>
      </c>
      <c r="P168" s="14" t="n">
        <v>8.4517</v>
      </c>
    </row>
    <row r="169" customFormat="false" ht="15" hidden="false" customHeight="false" outlineLevel="0" collapsed="false">
      <c r="A169" s="13" t="n">
        <v>42587</v>
      </c>
      <c r="B169" s="14" t="n">
        <v>1114.54</v>
      </c>
      <c r="C169" s="14" t="n">
        <v>8.4981</v>
      </c>
      <c r="D169" s="14" t="n">
        <v>1.3069</v>
      </c>
      <c r="E169" s="14" t="n">
        <v>1.108</v>
      </c>
      <c r="F169" s="14" t="n">
        <v>6.653</v>
      </c>
      <c r="G169" s="14" t="n">
        <v>3.1873</v>
      </c>
      <c r="H169" s="14" t="n">
        <v>101.74</v>
      </c>
      <c r="I169" s="14" t="n">
        <v>1.1156</v>
      </c>
      <c r="J169" s="14" t="n">
        <v>9.4022</v>
      </c>
      <c r="K169" s="14" t="n">
        <v>1237.73</v>
      </c>
      <c r="L169" s="14" t="n">
        <v>0.8481</v>
      </c>
      <c r="M169" s="14" t="n">
        <v>7.411</v>
      </c>
      <c r="N169" s="14" t="n">
        <v>3.5501</v>
      </c>
      <c r="O169" s="14" t="n">
        <v>112.73</v>
      </c>
      <c r="P169" s="14" t="n">
        <v>8.4279</v>
      </c>
    </row>
    <row r="170" customFormat="false" ht="15" hidden="false" customHeight="false" outlineLevel="0" collapsed="false">
      <c r="A170" s="13" t="n">
        <v>42590</v>
      </c>
      <c r="B170" s="14" t="n">
        <v>1108.24</v>
      </c>
      <c r="C170" s="14" t="n">
        <v>8.4772</v>
      </c>
      <c r="D170" s="14" t="n">
        <v>1.3042</v>
      </c>
      <c r="E170" s="14" t="n">
        <v>1.1078</v>
      </c>
      <c r="F170" s="14" t="n">
        <v>6.6597</v>
      </c>
      <c r="G170" s="14" t="n">
        <v>3.1841</v>
      </c>
      <c r="H170" s="14" t="n">
        <v>102.53</v>
      </c>
      <c r="I170" s="14" t="n">
        <v>1.1087</v>
      </c>
      <c r="J170" s="14" t="n">
        <v>9.4065</v>
      </c>
      <c r="K170" s="14" t="n">
        <v>1229.38</v>
      </c>
      <c r="L170" s="14" t="n">
        <v>0.84955</v>
      </c>
      <c r="M170" s="14" t="n">
        <v>7.3848</v>
      </c>
      <c r="N170" s="14" t="n">
        <v>3.5239</v>
      </c>
      <c r="O170" s="14" t="n">
        <v>113.59</v>
      </c>
      <c r="P170" s="14" t="n">
        <v>8.4843</v>
      </c>
    </row>
    <row r="171" customFormat="false" ht="15" hidden="false" customHeight="false" outlineLevel="0" collapsed="false">
      <c r="A171" s="13" t="n">
        <v>42591</v>
      </c>
      <c r="B171" s="14" t="n">
        <v>1101.45</v>
      </c>
      <c r="C171" s="14" t="n">
        <v>8.3952</v>
      </c>
      <c r="D171" s="14" t="n">
        <v>1.301</v>
      </c>
      <c r="E171" s="14" t="n">
        <v>1.111</v>
      </c>
      <c r="F171" s="14" t="n">
        <v>6.653</v>
      </c>
      <c r="G171" s="14" t="n">
        <v>3.1325</v>
      </c>
      <c r="H171" s="14" t="n">
        <v>101.96</v>
      </c>
      <c r="I171" s="14" t="n">
        <v>1.1078</v>
      </c>
      <c r="J171" s="14" t="n">
        <v>9.357</v>
      </c>
      <c r="K171" s="14" t="n">
        <v>1224.66</v>
      </c>
      <c r="L171" s="14" t="n">
        <v>0.85399</v>
      </c>
      <c r="M171" s="14" t="n">
        <v>7.3798</v>
      </c>
      <c r="N171" s="14" t="n">
        <v>3.5045</v>
      </c>
      <c r="O171" s="14" t="n">
        <v>113.27</v>
      </c>
      <c r="P171" s="14" t="n">
        <v>8.4465</v>
      </c>
    </row>
    <row r="172" customFormat="false" ht="15" hidden="false" customHeight="false" outlineLevel="0" collapsed="false">
      <c r="A172" s="13" t="n">
        <v>42592</v>
      </c>
      <c r="B172" s="14" t="n">
        <v>1095.84</v>
      </c>
      <c r="C172" s="14" t="n">
        <v>8.2804</v>
      </c>
      <c r="D172" s="14" t="n">
        <v>1.2998</v>
      </c>
      <c r="E172" s="14" t="n">
        <v>1.1171</v>
      </c>
      <c r="F172" s="14" t="n">
        <v>6.6345</v>
      </c>
      <c r="G172" s="14" t="n">
        <v>3.1292</v>
      </c>
      <c r="H172" s="14" t="n">
        <v>101.27</v>
      </c>
      <c r="I172" s="14" t="n">
        <v>1.1184</v>
      </c>
      <c r="J172" s="14" t="n">
        <v>9.2571</v>
      </c>
      <c r="K172" s="14" t="n">
        <v>1223.53</v>
      </c>
      <c r="L172" s="14" t="n">
        <v>0.85541</v>
      </c>
      <c r="M172" s="14" t="n">
        <v>7.4169</v>
      </c>
      <c r="N172" s="14" t="n">
        <v>3.4911</v>
      </c>
      <c r="O172" s="14" t="n">
        <v>113.09</v>
      </c>
      <c r="P172" s="14" t="n">
        <v>8.2771</v>
      </c>
    </row>
    <row r="173" customFormat="false" ht="15" hidden="false" customHeight="false" outlineLevel="0" collapsed="false">
      <c r="A173" s="13" t="n">
        <v>42593</v>
      </c>
      <c r="B173" s="14" t="n">
        <v>1097.39</v>
      </c>
      <c r="C173" s="14" t="n">
        <v>8.2219</v>
      </c>
      <c r="D173" s="14" t="n">
        <v>1.296</v>
      </c>
      <c r="E173" s="14" t="n">
        <v>1.1168</v>
      </c>
      <c r="F173" s="14" t="n">
        <v>6.6274</v>
      </c>
      <c r="G173" s="14" t="n">
        <v>3.1369</v>
      </c>
      <c r="H173" s="14" t="n">
        <v>101.46</v>
      </c>
      <c r="I173" s="14" t="n">
        <v>1.1153</v>
      </c>
      <c r="J173" s="14" t="n">
        <v>9.2293</v>
      </c>
      <c r="K173" s="14" t="n">
        <v>1226.97</v>
      </c>
      <c r="L173" s="14" t="n">
        <v>0.86038</v>
      </c>
      <c r="M173" s="14" t="n">
        <v>7.4031</v>
      </c>
      <c r="N173" s="14" t="n">
        <v>3.5156</v>
      </c>
      <c r="O173" s="14" t="n">
        <v>113.05</v>
      </c>
      <c r="P173" s="14" t="n">
        <v>8.2752</v>
      </c>
    </row>
    <row r="174" customFormat="false" ht="15" hidden="false" customHeight="false" outlineLevel="0" collapsed="false">
      <c r="A174" s="13" t="n">
        <v>42594</v>
      </c>
      <c r="B174" s="14" t="n">
        <v>1100.79</v>
      </c>
      <c r="C174" s="14" t="n">
        <v>8.1874</v>
      </c>
      <c r="D174" s="14" t="n">
        <v>1.2934</v>
      </c>
      <c r="E174" s="14" t="n">
        <v>1.1172</v>
      </c>
      <c r="F174" s="14" t="n">
        <v>6.6324</v>
      </c>
      <c r="G174" s="14" t="n">
        <v>3.1648</v>
      </c>
      <c r="H174" s="14" t="n">
        <v>101.01</v>
      </c>
      <c r="I174" s="14" t="n">
        <v>1.1158</v>
      </c>
      <c r="J174" s="14" t="n">
        <v>9.1635</v>
      </c>
      <c r="K174" s="14" t="n">
        <v>1234.19</v>
      </c>
      <c r="L174" s="14" t="n">
        <v>0.8605</v>
      </c>
      <c r="M174" s="14" t="n">
        <v>7.4173</v>
      </c>
      <c r="N174" s="14" t="n">
        <v>3.5287</v>
      </c>
      <c r="O174" s="14" t="n">
        <v>113.77</v>
      </c>
      <c r="P174" s="14" t="n">
        <v>8.2125</v>
      </c>
    </row>
    <row r="175" customFormat="false" ht="15" hidden="false" customHeight="false" outlineLevel="0" collapsed="false">
      <c r="A175" s="13" t="n">
        <v>42597</v>
      </c>
      <c r="B175" s="14" t="n">
        <v>1095.83</v>
      </c>
      <c r="C175" s="14" t="n">
        <v>8.2086</v>
      </c>
      <c r="D175" s="14" t="n">
        <v>1.2874</v>
      </c>
      <c r="E175" s="14" t="n">
        <v>1.1199</v>
      </c>
      <c r="F175" s="14" t="n">
        <v>6.637</v>
      </c>
      <c r="G175" s="14" t="n">
        <v>3.1717</v>
      </c>
      <c r="H175" s="14" t="n">
        <v>101.02</v>
      </c>
      <c r="I175" s="14" t="n">
        <v>1.118</v>
      </c>
      <c r="J175" s="14" t="n">
        <v>9.1752</v>
      </c>
      <c r="K175" s="14" t="n">
        <v>1229.06</v>
      </c>
      <c r="L175" s="14" t="n">
        <v>0.86677</v>
      </c>
      <c r="M175" s="14" t="n">
        <v>7.4203</v>
      </c>
      <c r="N175" s="14" t="n">
        <v>3.5463</v>
      </c>
      <c r="O175" s="14" t="n">
        <v>112.97</v>
      </c>
      <c r="P175" s="14" t="n">
        <v>8.2068</v>
      </c>
    </row>
    <row r="176" customFormat="false" ht="15" hidden="false" customHeight="false" outlineLevel="0" collapsed="false">
      <c r="A176" s="13" t="n">
        <v>42598</v>
      </c>
      <c r="B176" s="14" t="n">
        <v>1093.95</v>
      </c>
      <c r="C176" s="14" t="n">
        <v>8.194</v>
      </c>
      <c r="D176" s="14" t="n">
        <v>1.3019</v>
      </c>
      <c r="E176" s="14" t="n">
        <v>1.1277</v>
      </c>
      <c r="F176" s="14" t="n">
        <v>6.624</v>
      </c>
      <c r="G176" s="14" t="n">
        <v>3.1782</v>
      </c>
      <c r="H176" s="14" t="n">
        <v>100.28</v>
      </c>
      <c r="I176" s="14" t="n">
        <v>1.1295</v>
      </c>
      <c r="J176" s="14" t="n">
        <v>9.2101</v>
      </c>
      <c r="K176" s="14" t="n">
        <v>1232.41</v>
      </c>
      <c r="L176" s="14" t="n">
        <v>0.8706</v>
      </c>
      <c r="M176" s="14" t="n">
        <v>7.4772</v>
      </c>
      <c r="N176" s="14" t="n">
        <v>3.5741</v>
      </c>
      <c r="O176" s="14" t="n">
        <v>112.74</v>
      </c>
      <c r="P176" s="14" t="n">
        <v>8.1541</v>
      </c>
    </row>
    <row r="177" customFormat="false" ht="15" hidden="false" customHeight="false" outlineLevel="0" collapsed="false">
      <c r="A177" s="13" t="n">
        <v>42599</v>
      </c>
      <c r="B177" s="14" t="n">
        <v>1114.25</v>
      </c>
      <c r="C177" s="14" t="n">
        <v>8.2419</v>
      </c>
      <c r="D177" s="14" t="n">
        <v>1.3012</v>
      </c>
      <c r="E177" s="14" t="n">
        <v>1.1263</v>
      </c>
      <c r="F177" s="14" t="n">
        <v>6.6328</v>
      </c>
      <c r="G177" s="14" t="n">
        <v>3.2273</v>
      </c>
      <c r="H177" s="14" t="n">
        <v>100.24</v>
      </c>
      <c r="I177" s="14" t="n">
        <v>1.1276</v>
      </c>
      <c r="J177" s="14" t="n">
        <v>9.2812</v>
      </c>
      <c r="K177" s="14" t="n">
        <v>1252.95</v>
      </c>
      <c r="L177" s="14" t="n">
        <v>0.8664</v>
      </c>
      <c r="M177" s="14" t="n">
        <v>7.4825</v>
      </c>
      <c r="N177" s="14" t="n">
        <v>3.6238</v>
      </c>
      <c r="O177" s="14" t="n">
        <v>113.53</v>
      </c>
      <c r="P177" s="14" t="n">
        <v>8.2309</v>
      </c>
    </row>
    <row r="178" customFormat="false" ht="15" hidden="false" customHeight="false" outlineLevel="0" collapsed="false">
      <c r="A178" s="13" t="n">
        <v>42600</v>
      </c>
      <c r="B178" s="14" t="n">
        <v>1107.41</v>
      </c>
      <c r="C178" s="14" t="n">
        <v>8.1562</v>
      </c>
      <c r="D178" s="14" t="n">
        <v>1.3147</v>
      </c>
      <c r="E178" s="14" t="n">
        <v>1.1334</v>
      </c>
      <c r="F178" s="14" t="n">
        <v>6.6297</v>
      </c>
      <c r="G178" s="14" t="n">
        <v>3.229</v>
      </c>
      <c r="H178" s="14" t="n">
        <v>100.07</v>
      </c>
      <c r="I178" s="14" t="n">
        <v>1.1321</v>
      </c>
      <c r="J178" s="14" t="n">
        <v>9.2389</v>
      </c>
      <c r="K178" s="14" t="n">
        <v>1257.07</v>
      </c>
      <c r="L178" s="14" t="n">
        <v>0.86073</v>
      </c>
      <c r="M178" s="14" t="n">
        <v>7.5066</v>
      </c>
      <c r="N178" s="14" t="n">
        <v>3.6484</v>
      </c>
      <c r="O178" s="14" t="n">
        <v>113.6</v>
      </c>
      <c r="P178" s="14" t="n">
        <v>8.1609</v>
      </c>
    </row>
    <row r="179" customFormat="false" ht="15" hidden="false" customHeight="false" outlineLevel="0" collapsed="false">
      <c r="A179" s="13" t="n">
        <v>42601</v>
      </c>
      <c r="B179" s="14" t="n">
        <v>1116.37</v>
      </c>
      <c r="C179" s="14" t="n">
        <v>8.2137</v>
      </c>
      <c r="D179" s="14" t="n">
        <v>1.3061</v>
      </c>
      <c r="E179" s="14" t="n">
        <v>1.1326</v>
      </c>
      <c r="F179" s="14" t="n">
        <v>6.6515</v>
      </c>
      <c r="G179" s="14" t="n">
        <v>3.2219</v>
      </c>
      <c r="H179" s="14" t="n">
        <v>100.24</v>
      </c>
      <c r="I179" s="14" t="n">
        <v>1.1326</v>
      </c>
      <c r="J179" s="14" t="n">
        <v>9.3048</v>
      </c>
      <c r="K179" s="14" t="n">
        <v>1269.15</v>
      </c>
      <c r="L179" s="14" t="n">
        <v>0.86537</v>
      </c>
      <c r="M179" s="14" t="n">
        <v>7.5341</v>
      </c>
      <c r="N179" s="14" t="n">
        <v>3.6659</v>
      </c>
      <c r="O179" s="14" t="n">
        <v>113.53</v>
      </c>
      <c r="P179" s="14" t="n">
        <v>8.2154</v>
      </c>
    </row>
    <row r="180" customFormat="false" ht="15" hidden="false" customHeight="false" outlineLevel="0" collapsed="false">
      <c r="A180" s="13" t="n">
        <v>42604</v>
      </c>
      <c r="B180" s="14" t="n">
        <v>1120.93</v>
      </c>
      <c r="C180" s="14" t="n">
        <v>8.2256</v>
      </c>
      <c r="D180" s="14" t="n">
        <v>1.3133</v>
      </c>
      <c r="E180" s="14" t="n">
        <v>1.1314</v>
      </c>
      <c r="F180" s="14" t="n">
        <v>6.6475</v>
      </c>
      <c r="G180" s="14" t="n">
        <v>3.2209</v>
      </c>
      <c r="H180" s="14" t="n">
        <v>100.25</v>
      </c>
      <c r="I180" s="14" t="n">
        <v>1.1306</v>
      </c>
      <c r="J180" s="14" t="n">
        <v>9.3281</v>
      </c>
      <c r="K180" s="14" t="n">
        <v>1270.24</v>
      </c>
      <c r="L180" s="14" t="n">
        <v>0.8624</v>
      </c>
      <c r="M180" s="14" t="n">
        <v>7.5195</v>
      </c>
      <c r="N180" s="14" t="n">
        <v>3.6339</v>
      </c>
      <c r="O180" s="14" t="n">
        <v>113.73</v>
      </c>
      <c r="P180" s="14" t="n">
        <v>8.2506</v>
      </c>
    </row>
    <row r="181" customFormat="false" ht="15" hidden="false" customHeight="false" outlineLevel="0" collapsed="false">
      <c r="A181" s="13" t="n">
        <v>42605</v>
      </c>
      <c r="B181" s="14" t="n">
        <v>1116.91</v>
      </c>
      <c r="C181" s="14" t="n">
        <v>8.211</v>
      </c>
      <c r="D181" s="14" t="n">
        <v>1.3179</v>
      </c>
      <c r="E181" s="14" t="n">
        <v>1.1308</v>
      </c>
      <c r="F181" s="14" t="n">
        <v>6.6378</v>
      </c>
      <c r="G181" s="14" t="n">
        <v>3.2196</v>
      </c>
      <c r="H181" s="14" t="n">
        <v>100.2</v>
      </c>
      <c r="I181" s="14" t="n">
        <v>1.1339</v>
      </c>
      <c r="J181" s="14" t="n">
        <v>9.2875</v>
      </c>
      <c r="K181" s="14" t="n">
        <v>1265.68</v>
      </c>
      <c r="L181" s="14" t="n">
        <v>0.85995</v>
      </c>
      <c r="M181" s="14" t="n">
        <v>7.5301</v>
      </c>
      <c r="N181" s="14" t="n">
        <v>3.6146</v>
      </c>
      <c r="O181" s="14" t="n">
        <v>113.48</v>
      </c>
      <c r="P181" s="14" t="n">
        <v>8.1908</v>
      </c>
    </row>
    <row r="182" customFormat="false" ht="15" hidden="false" customHeight="false" outlineLevel="0" collapsed="false">
      <c r="A182" s="13" t="n">
        <v>42606</v>
      </c>
      <c r="B182" s="14" t="n">
        <v>1121.34</v>
      </c>
      <c r="C182" s="14" t="n">
        <v>8.2249</v>
      </c>
      <c r="D182" s="14" t="n">
        <v>1.3236</v>
      </c>
      <c r="E182" s="14" t="n">
        <v>1.1256</v>
      </c>
      <c r="F182" s="14" t="n">
        <v>6.6562</v>
      </c>
      <c r="G182" s="14" t="n">
        <v>3.236</v>
      </c>
      <c r="H182" s="14" t="n">
        <v>100.5</v>
      </c>
      <c r="I182" s="14" t="n">
        <v>1.1268</v>
      </c>
      <c r="J182" s="14" t="n">
        <v>9.246</v>
      </c>
      <c r="K182" s="14" t="n">
        <v>1264.96</v>
      </c>
      <c r="L182" s="14" t="n">
        <v>0.8513</v>
      </c>
      <c r="M182" s="14" t="n">
        <v>7.5013</v>
      </c>
      <c r="N182" s="14" t="n">
        <v>3.6463</v>
      </c>
      <c r="O182" s="14" t="n">
        <v>112.95</v>
      </c>
      <c r="P182" s="14" t="n">
        <v>8.2055</v>
      </c>
    </row>
    <row r="183" customFormat="false" ht="15" hidden="false" customHeight="false" outlineLevel="0" collapsed="false">
      <c r="A183" s="13" t="n">
        <v>42607</v>
      </c>
      <c r="B183" s="14" t="n">
        <v>1115.23</v>
      </c>
      <c r="C183" s="14" t="n">
        <v>8.2223</v>
      </c>
      <c r="D183" s="14" t="n">
        <v>1.3177</v>
      </c>
      <c r="E183" s="14" t="n">
        <v>1.1274</v>
      </c>
      <c r="F183" s="14" t="n">
        <v>6.656</v>
      </c>
      <c r="G183" s="14" t="n">
        <v>3.2291</v>
      </c>
      <c r="H183" s="14" t="n">
        <v>100.58</v>
      </c>
      <c r="I183" s="14" t="n">
        <v>1.129</v>
      </c>
      <c r="J183" s="14" t="n">
        <v>9.2771</v>
      </c>
      <c r="K183" s="14" t="n">
        <v>1260.33</v>
      </c>
      <c r="L183" s="14" t="n">
        <v>0.8557</v>
      </c>
      <c r="M183" s="14" t="n">
        <v>7.5146</v>
      </c>
      <c r="N183" s="14" t="n">
        <v>3.6365</v>
      </c>
      <c r="O183" s="14" t="n">
        <v>113.45</v>
      </c>
      <c r="P183" s="14" t="n">
        <v>8.2171</v>
      </c>
    </row>
    <row r="184" customFormat="false" ht="15" hidden="false" customHeight="false" outlineLevel="0" collapsed="false">
      <c r="A184" s="13" t="n">
        <v>42608</v>
      </c>
      <c r="B184" s="14" t="n">
        <v>1111.47</v>
      </c>
      <c r="C184" s="14" t="n">
        <v>8.2343</v>
      </c>
      <c r="D184" s="14" t="n">
        <v>1.3168</v>
      </c>
      <c r="E184" s="14" t="n">
        <v>1.1237</v>
      </c>
      <c r="F184" s="14" t="n">
        <v>6.669</v>
      </c>
      <c r="G184" s="14" t="n">
        <v>3.2085</v>
      </c>
      <c r="H184" s="14" t="n">
        <v>101.2</v>
      </c>
      <c r="I184" s="14" t="n">
        <v>1.129</v>
      </c>
      <c r="J184" s="14" t="n">
        <v>9.2501</v>
      </c>
      <c r="K184" s="14" t="n">
        <v>1258.02</v>
      </c>
      <c r="L184" s="14" t="n">
        <v>0.8545</v>
      </c>
      <c r="M184" s="14" t="n">
        <v>7.5318</v>
      </c>
      <c r="N184" s="14" t="n">
        <v>3.6441</v>
      </c>
      <c r="O184" s="14" t="n">
        <v>113.33</v>
      </c>
      <c r="P184" s="14" t="n">
        <v>8.1932</v>
      </c>
    </row>
    <row r="185" customFormat="false" ht="15" hidden="false" customHeight="false" outlineLevel="0" collapsed="false">
      <c r="A185" s="13" t="n">
        <v>42611</v>
      </c>
      <c r="B185" s="14" t="n">
        <v>1121.53</v>
      </c>
      <c r="C185" s="14" t="n">
        <v>8.2881</v>
      </c>
      <c r="D185" s="14" t="n">
        <v>1.3089</v>
      </c>
      <c r="E185" s="14" t="n">
        <v>1.1182</v>
      </c>
      <c r="F185" s="14" t="n">
        <v>6.6775</v>
      </c>
      <c r="G185" s="14" t="n">
        <v>3.2436</v>
      </c>
      <c r="H185" s="14" t="n">
        <v>102.13</v>
      </c>
      <c r="I185" s="14" t="n">
        <v>1.117</v>
      </c>
      <c r="J185" s="14" t="n">
        <v>9.2731</v>
      </c>
      <c r="K185" s="14" t="n">
        <v>1254.7</v>
      </c>
      <c r="L185" s="14" t="n">
        <v>0.85476</v>
      </c>
      <c r="M185" s="14" t="n">
        <v>7.4608</v>
      </c>
      <c r="N185" s="14" t="n">
        <v>3.671</v>
      </c>
      <c r="O185" s="14" t="n">
        <v>114.24</v>
      </c>
      <c r="P185" s="14" t="n">
        <v>8.3018</v>
      </c>
    </row>
    <row r="186" customFormat="false" ht="15" hidden="false" customHeight="false" outlineLevel="0" collapsed="false">
      <c r="A186" s="13" t="n">
        <v>42612</v>
      </c>
      <c r="B186" s="14" t="n">
        <v>1118.27</v>
      </c>
      <c r="C186" s="14" t="n">
        <v>8.3362</v>
      </c>
      <c r="D186" s="14" t="n">
        <v>1.3084</v>
      </c>
      <c r="E186" s="14" t="n">
        <v>1.115</v>
      </c>
      <c r="F186" s="14" t="n">
        <v>6.6778</v>
      </c>
      <c r="G186" s="14" t="n">
        <v>3.2525</v>
      </c>
      <c r="H186" s="14" t="n">
        <v>102.92</v>
      </c>
      <c r="I186" s="14" t="n">
        <v>1.1168</v>
      </c>
      <c r="J186" s="14" t="n">
        <v>9.2873</v>
      </c>
      <c r="K186" s="14" t="n">
        <v>1244.47</v>
      </c>
      <c r="L186" s="14" t="n">
        <v>0.8517</v>
      </c>
      <c r="M186" s="14" t="n">
        <v>7.4565</v>
      </c>
      <c r="N186" s="14" t="n">
        <v>3.5991</v>
      </c>
      <c r="O186" s="14" t="n">
        <v>114.27</v>
      </c>
      <c r="P186" s="14" t="n">
        <v>8.316</v>
      </c>
    </row>
    <row r="187" customFormat="false" ht="15" hidden="false" customHeight="false" outlineLevel="0" collapsed="false">
      <c r="A187" s="13" t="n">
        <v>42613</v>
      </c>
      <c r="B187" s="14" t="n">
        <v>1115.98</v>
      </c>
      <c r="C187" s="14" t="n">
        <v>8.3438</v>
      </c>
      <c r="D187" s="14" t="n">
        <v>1.3129</v>
      </c>
      <c r="E187" s="14" t="n">
        <v>1.1146</v>
      </c>
      <c r="F187" s="14" t="n">
        <v>6.6776</v>
      </c>
      <c r="G187" s="14" t="n">
        <v>3.247</v>
      </c>
      <c r="H187" s="14" t="n">
        <v>103.38</v>
      </c>
      <c r="I187" s="14" t="n">
        <v>1.1132</v>
      </c>
      <c r="J187" s="14" t="n">
        <v>9.2765</v>
      </c>
      <c r="K187" s="14" t="n">
        <v>1243.66</v>
      </c>
      <c r="L187" s="14" t="n">
        <v>0.84806</v>
      </c>
      <c r="M187" s="14" t="n">
        <v>7.4311</v>
      </c>
      <c r="N187" s="14" t="n">
        <v>3.6016</v>
      </c>
      <c r="O187" s="14" t="n">
        <v>115.01</v>
      </c>
      <c r="P187" s="14" t="n">
        <v>8.3332</v>
      </c>
    </row>
    <row r="188" customFormat="false" ht="15" hidden="false" customHeight="false" outlineLevel="0" collapsed="false">
      <c r="A188" s="13" t="n">
        <v>42614</v>
      </c>
      <c r="B188" s="14" t="n">
        <v>1116.89</v>
      </c>
      <c r="C188" s="14" t="n">
        <v>8.3256</v>
      </c>
      <c r="D188" s="14" t="n">
        <v>1.3273</v>
      </c>
      <c r="E188" s="14" t="n">
        <v>1.1194</v>
      </c>
      <c r="F188" s="14" t="n">
        <v>6.6713</v>
      </c>
      <c r="G188" s="14" t="n">
        <v>3.246</v>
      </c>
      <c r="H188" s="14" t="n">
        <v>103.22</v>
      </c>
      <c r="I188" s="14" t="n">
        <v>1.1146</v>
      </c>
      <c r="J188" s="14" t="n">
        <v>9.305</v>
      </c>
      <c r="K188" s="14" t="n">
        <v>1250.35</v>
      </c>
      <c r="L188" s="14" t="n">
        <v>0.8405</v>
      </c>
      <c r="M188" s="14" t="n">
        <v>7.4452</v>
      </c>
      <c r="N188" s="14" t="n">
        <v>3.6026</v>
      </c>
      <c r="O188" s="14" t="n">
        <v>115.59</v>
      </c>
      <c r="P188" s="14" t="n">
        <v>8.3483</v>
      </c>
    </row>
    <row r="189" customFormat="false" ht="15" hidden="false" customHeight="false" outlineLevel="0" collapsed="false">
      <c r="A189" s="13" t="n">
        <v>42615</v>
      </c>
      <c r="B189" s="14" t="n">
        <v>1114.87</v>
      </c>
      <c r="C189" s="14" t="n">
        <v>8.3206</v>
      </c>
      <c r="D189" s="14" t="n">
        <v>1.3299</v>
      </c>
      <c r="E189" s="14" t="n">
        <v>1.1158</v>
      </c>
      <c r="F189" s="14" t="n">
        <v>6.679</v>
      </c>
      <c r="G189" s="14" t="n">
        <v>3.248</v>
      </c>
      <c r="H189" s="14" t="n">
        <v>104.18</v>
      </c>
      <c r="I189" s="14" t="n">
        <v>1.1193</v>
      </c>
      <c r="J189" s="14" t="n">
        <v>9.317</v>
      </c>
      <c r="K189" s="14" t="n">
        <v>1248.91</v>
      </c>
      <c r="L189" s="14" t="n">
        <v>0.8426</v>
      </c>
      <c r="M189" s="14" t="n">
        <v>7.4755</v>
      </c>
      <c r="N189" s="14" t="n">
        <v>3.6549</v>
      </c>
      <c r="O189" s="14" t="n">
        <v>115.83</v>
      </c>
      <c r="P189" s="14" t="n">
        <v>8.324</v>
      </c>
    </row>
    <row r="190" customFormat="false" ht="15" hidden="false" customHeight="false" outlineLevel="0" collapsed="false">
      <c r="A190" s="13" t="n">
        <v>42618</v>
      </c>
      <c r="I190" s="14" t="n">
        <v>1.1156</v>
      </c>
      <c r="J190" s="14" t="n">
        <v>9.2458</v>
      </c>
      <c r="K190" s="14" t="n">
        <v>1234.36</v>
      </c>
      <c r="L190" s="14" t="n">
        <v>0.83643</v>
      </c>
      <c r="M190" s="14" t="n">
        <v>7.4496</v>
      </c>
      <c r="N190" s="14" t="n">
        <v>3.6258</v>
      </c>
      <c r="O190" s="14" t="n">
        <v>115.24</v>
      </c>
      <c r="P190" s="14" t="n">
        <v>8.2877</v>
      </c>
    </row>
    <row r="191" customFormat="false" ht="15" hidden="false" customHeight="false" outlineLevel="0" collapsed="false">
      <c r="A191" s="13" t="n">
        <v>42619</v>
      </c>
      <c r="B191" s="14" t="n">
        <v>1093.04</v>
      </c>
      <c r="C191" s="14" t="n">
        <v>8.1862</v>
      </c>
      <c r="D191" s="14" t="n">
        <v>1.3429</v>
      </c>
      <c r="E191" s="14" t="n">
        <v>1.1237</v>
      </c>
      <c r="F191" s="14" t="n">
        <v>6.6722</v>
      </c>
      <c r="G191" s="14" t="n">
        <v>3.2217</v>
      </c>
      <c r="H191" s="14" t="n">
        <v>102.28</v>
      </c>
      <c r="I191" s="14" t="n">
        <v>1.1159</v>
      </c>
      <c r="J191" s="14" t="n">
        <v>9.2113</v>
      </c>
      <c r="K191" s="14" t="n">
        <v>1233.76</v>
      </c>
      <c r="L191" s="14" t="n">
        <v>0.83535</v>
      </c>
      <c r="M191" s="14" t="n">
        <v>7.4525</v>
      </c>
      <c r="N191" s="14" t="n">
        <v>3.6445</v>
      </c>
      <c r="O191" s="14" t="n">
        <v>115.39</v>
      </c>
      <c r="P191" s="14" t="n">
        <v>8.2546</v>
      </c>
    </row>
    <row r="192" customFormat="false" ht="15" hidden="false" customHeight="false" outlineLevel="0" collapsed="false">
      <c r="A192" s="13" t="n">
        <v>42620</v>
      </c>
      <c r="B192" s="14" t="n">
        <v>1090.03</v>
      </c>
      <c r="C192" s="14" t="n">
        <v>8.1839</v>
      </c>
      <c r="D192" s="14" t="n">
        <v>1.3339</v>
      </c>
      <c r="E192" s="14" t="n">
        <v>1.1238</v>
      </c>
      <c r="F192" s="14" t="n">
        <v>6.66</v>
      </c>
      <c r="G192" s="14" t="n">
        <v>3.2223</v>
      </c>
      <c r="H192" s="14" t="n">
        <v>101.72</v>
      </c>
      <c r="I192" s="14" t="n">
        <v>1.1237</v>
      </c>
      <c r="J192" s="14" t="n">
        <v>9.1943</v>
      </c>
      <c r="K192" s="14" t="n">
        <v>1224.94</v>
      </c>
      <c r="L192" s="14" t="n">
        <v>0.83968</v>
      </c>
      <c r="M192" s="14" t="n">
        <v>7.4876</v>
      </c>
      <c r="N192" s="14" t="n">
        <v>3.5944</v>
      </c>
      <c r="O192" s="14" t="n">
        <v>114.23</v>
      </c>
      <c r="P192" s="14" t="n">
        <v>8.1822</v>
      </c>
    </row>
    <row r="193" customFormat="false" ht="15" hidden="false" customHeight="false" outlineLevel="0" collapsed="false">
      <c r="A193" s="13" t="n">
        <v>42621</v>
      </c>
      <c r="B193" s="14" t="n">
        <v>1095.27</v>
      </c>
      <c r="C193" s="14" t="n">
        <v>8.1934</v>
      </c>
      <c r="D193" s="14" t="n">
        <v>1.3301</v>
      </c>
      <c r="E193" s="14" t="n">
        <v>1.1256</v>
      </c>
      <c r="F193" s="14" t="n">
        <v>6.664</v>
      </c>
      <c r="G193" s="14" t="n">
        <v>3.1962</v>
      </c>
      <c r="H193" s="14" t="n">
        <v>102.28</v>
      </c>
      <c r="I193" s="14" t="n">
        <v>1.1296</v>
      </c>
      <c r="J193" s="14" t="n">
        <v>9.195</v>
      </c>
      <c r="K193" s="14" t="n">
        <v>1230.87</v>
      </c>
      <c r="L193" s="14" t="n">
        <v>0.8456</v>
      </c>
      <c r="M193" s="14" t="n">
        <v>7.5255</v>
      </c>
      <c r="N193" s="14" t="n">
        <v>3.5982</v>
      </c>
      <c r="O193" s="14" t="n">
        <v>114.8</v>
      </c>
      <c r="P193" s="14" t="n">
        <v>8.14</v>
      </c>
    </row>
    <row r="194" customFormat="false" ht="15" hidden="false" customHeight="false" outlineLevel="0" collapsed="false">
      <c r="A194" s="13" t="n">
        <v>42622</v>
      </c>
      <c r="B194" s="14" t="n">
        <v>1106.83</v>
      </c>
      <c r="C194" s="14" t="n">
        <v>8.2573</v>
      </c>
      <c r="D194" s="14" t="n">
        <v>1.3257</v>
      </c>
      <c r="E194" s="14" t="n">
        <v>1.1214</v>
      </c>
      <c r="F194" s="14" t="n">
        <v>6.6778</v>
      </c>
      <c r="G194" s="14" t="n">
        <v>3.2687</v>
      </c>
      <c r="H194" s="14" t="n">
        <v>102.86</v>
      </c>
      <c r="I194" s="14" t="n">
        <v>1.1268</v>
      </c>
      <c r="J194" s="14" t="n">
        <v>9.247</v>
      </c>
      <c r="K194" s="14" t="n">
        <v>1244.18</v>
      </c>
      <c r="L194" s="14" t="n">
        <v>0.84558</v>
      </c>
      <c r="M194" s="14" t="n">
        <v>7.5276</v>
      </c>
      <c r="N194" s="14" t="n">
        <v>3.6552</v>
      </c>
      <c r="O194" s="14" t="n">
        <v>115.85</v>
      </c>
      <c r="P194" s="14" t="n">
        <v>8.2064</v>
      </c>
    </row>
    <row r="195" customFormat="false" ht="15" hidden="false" customHeight="false" outlineLevel="0" collapsed="false">
      <c r="A195" s="13" t="n">
        <v>42625</v>
      </c>
      <c r="B195" s="14" t="n">
        <v>1112.03</v>
      </c>
      <c r="C195" s="14" t="n">
        <v>8.2301</v>
      </c>
      <c r="D195" s="14" t="n">
        <v>1.3313</v>
      </c>
      <c r="E195" s="14" t="n">
        <v>1.123</v>
      </c>
      <c r="F195" s="14" t="n">
        <v>6.6788</v>
      </c>
      <c r="G195" s="14" t="n">
        <v>3.2762</v>
      </c>
      <c r="H195" s="14" t="n">
        <v>101.96</v>
      </c>
      <c r="I195" s="14" t="n">
        <v>1.1226</v>
      </c>
      <c r="J195" s="14" t="n">
        <v>9.2713</v>
      </c>
      <c r="K195" s="14" t="n">
        <v>1252.33</v>
      </c>
      <c r="L195" s="14" t="n">
        <v>0.84475</v>
      </c>
      <c r="M195" s="14" t="n">
        <v>7.4995</v>
      </c>
      <c r="N195" s="14" t="n">
        <v>3.6931</v>
      </c>
      <c r="O195" s="14" t="n">
        <v>114.38</v>
      </c>
      <c r="P195" s="14" t="n">
        <v>8.2588</v>
      </c>
    </row>
    <row r="196" customFormat="false" ht="15" hidden="false" customHeight="false" outlineLevel="0" collapsed="false">
      <c r="A196" s="13" t="n">
        <v>42626</v>
      </c>
      <c r="B196" s="14" t="n">
        <v>1124.61</v>
      </c>
      <c r="C196" s="14" t="n">
        <v>8.2491</v>
      </c>
      <c r="D196" s="14" t="n">
        <v>1.3184</v>
      </c>
      <c r="E196" s="14" t="n">
        <v>1.1242</v>
      </c>
      <c r="F196" s="14" t="n">
        <v>6.6782</v>
      </c>
      <c r="G196" s="14" t="n">
        <v>3.3144</v>
      </c>
      <c r="H196" s="14" t="n">
        <v>102.14</v>
      </c>
      <c r="I196" s="14" t="n">
        <v>1.1247</v>
      </c>
      <c r="J196" s="14" t="n">
        <v>9.2315</v>
      </c>
      <c r="K196" s="14" t="n">
        <v>1263.43</v>
      </c>
      <c r="L196" s="14" t="n">
        <v>0.84763</v>
      </c>
      <c r="M196" s="14" t="n">
        <v>7.5138</v>
      </c>
      <c r="N196" s="14" t="n">
        <v>3.6809</v>
      </c>
      <c r="O196" s="14" t="n">
        <v>114.98</v>
      </c>
      <c r="P196" s="14" t="n">
        <v>8.208</v>
      </c>
    </row>
    <row r="197" customFormat="false" ht="15" hidden="false" customHeight="false" outlineLevel="0" collapsed="false">
      <c r="A197" s="13" t="n">
        <v>42627</v>
      </c>
      <c r="B197" s="14" t="n">
        <v>1123.81</v>
      </c>
      <c r="C197" s="14" t="n">
        <v>8.2232</v>
      </c>
      <c r="D197" s="14" t="n">
        <v>1.3204</v>
      </c>
      <c r="E197" s="14" t="n">
        <v>1.1271</v>
      </c>
      <c r="F197" s="14" t="n">
        <v>6.6707</v>
      </c>
      <c r="G197" s="14" t="n">
        <v>3.3196</v>
      </c>
      <c r="H197" s="14" t="n">
        <v>102.33</v>
      </c>
      <c r="I197" s="14" t="n">
        <v>1.1218</v>
      </c>
      <c r="J197" s="14" t="n">
        <v>9.2748</v>
      </c>
      <c r="K197" s="14" t="n">
        <v>1263.14</v>
      </c>
      <c r="L197" s="14" t="n">
        <v>0.85078</v>
      </c>
      <c r="M197" s="14" t="n">
        <v>7.4894</v>
      </c>
      <c r="N197" s="14" t="n">
        <v>3.7097</v>
      </c>
      <c r="O197" s="14" t="n">
        <v>115.37</v>
      </c>
      <c r="P197" s="14" t="n">
        <v>8.2678</v>
      </c>
    </row>
    <row r="198" customFormat="false" ht="15" hidden="false" customHeight="false" outlineLevel="0" collapsed="false">
      <c r="A198" s="13" t="n">
        <v>42628</v>
      </c>
      <c r="B198" s="14" t="n">
        <v>1122.83</v>
      </c>
      <c r="C198" s="14" t="n">
        <v>8.2309</v>
      </c>
      <c r="D198" s="14" t="n">
        <v>1.3215</v>
      </c>
      <c r="E198" s="14" t="n">
        <v>1.1246</v>
      </c>
      <c r="F198" s="14" t="n">
        <v>6.6707</v>
      </c>
      <c r="G198" s="14" t="n">
        <v>3.3274</v>
      </c>
      <c r="H198" s="14" t="n">
        <v>102.24</v>
      </c>
      <c r="I198" s="14" t="n">
        <v>1.1254</v>
      </c>
      <c r="J198" s="14" t="n">
        <v>9.2648</v>
      </c>
      <c r="K198" s="14" t="n">
        <v>1267.89</v>
      </c>
      <c r="L198" s="14" t="n">
        <v>0.85198</v>
      </c>
      <c r="M198" s="14" t="n">
        <v>7.5102</v>
      </c>
      <c r="N198" s="14" t="n">
        <v>3.7439</v>
      </c>
      <c r="O198" s="14" t="n">
        <v>114.98</v>
      </c>
      <c r="P198" s="14" t="n">
        <v>8.2325</v>
      </c>
    </row>
    <row r="199" customFormat="false" ht="15" hidden="false" customHeight="false" outlineLevel="0" collapsed="false">
      <c r="A199" s="13" t="n">
        <v>42629</v>
      </c>
      <c r="B199" s="14" t="n">
        <v>1127.37</v>
      </c>
      <c r="C199" s="14" t="n">
        <v>8.302</v>
      </c>
      <c r="D199" s="14" t="n">
        <v>1.309</v>
      </c>
      <c r="E199" s="14" t="n">
        <v>1.116</v>
      </c>
      <c r="F199" s="14" t="n">
        <v>6.6707</v>
      </c>
      <c r="G199" s="14" t="n">
        <v>3.2923</v>
      </c>
      <c r="H199" s="14" t="n">
        <v>102.36</v>
      </c>
      <c r="I199" s="14" t="n">
        <v>1.1226</v>
      </c>
      <c r="J199" s="14" t="n">
        <v>9.2625</v>
      </c>
      <c r="K199" s="14" t="n">
        <v>1263.64</v>
      </c>
      <c r="L199" s="14" t="n">
        <v>0.85203</v>
      </c>
      <c r="M199" s="14" t="n">
        <v>7.4915</v>
      </c>
      <c r="N199" s="14" t="n">
        <v>3.6993</v>
      </c>
      <c r="O199" s="14" t="n">
        <v>114.35</v>
      </c>
      <c r="P199" s="14" t="n">
        <v>8.2509</v>
      </c>
    </row>
    <row r="200" customFormat="false" ht="15" hidden="false" customHeight="false" outlineLevel="0" collapsed="false">
      <c r="A200" s="13" t="n">
        <v>42632</v>
      </c>
      <c r="B200" s="14" t="n">
        <v>1117.44</v>
      </c>
      <c r="C200" s="14" t="n">
        <v>8.2822</v>
      </c>
      <c r="D200" s="14" t="n">
        <v>1.3051</v>
      </c>
      <c r="E200" s="14" t="n">
        <v>1.1179</v>
      </c>
      <c r="F200" s="14" t="n">
        <v>6.665</v>
      </c>
      <c r="G200" s="14" t="n">
        <v>3.2565</v>
      </c>
      <c r="H200" s="14" t="n">
        <v>101.82</v>
      </c>
      <c r="I200" s="14" t="n">
        <v>1.1165</v>
      </c>
      <c r="J200" s="14" t="n">
        <v>9.2505</v>
      </c>
      <c r="K200" s="14" t="n">
        <v>1250.16</v>
      </c>
      <c r="L200" s="14" t="n">
        <v>0.855</v>
      </c>
      <c r="M200" s="14" t="n">
        <v>7.4469</v>
      </c>
      <c r="N200" s="14" t="n">
        <v>3.644</v>
      </c>
      <c r="O200" s="14" t="n">
        <v>113.65</v>
      </c>
      <c r="P200" s="14" t="n">
        <v>8.2853</v>
      </c>
    </row>
    <row r="201" customFormat="false" ht="15" hidden="false" customHeight="false" outlineLevel="0" collapsed="false">
      <c r="A201" s="13" t="n">
        <v>42633</v>
      </c>
      <c r="B201" s="14" t="n">
        <v>1117.34</v>
      </c>
      <c r="C201" s="14" t="n">
        <v>8.2961</v>
      </c>
      <c r="D201" s="14" t="n">
        <v>1.2974</v>
      </c>
      <c r="E201" s="14" t="n">
        <v>1.1172</v>
      </c>
      <c r="F201" s="14" t="n">
        <v>6.67</v>
      </c>
      <c r="G201" s="14" t="n">
        <v>3.2633</v>
      </c>
      <c r="H201" s="14" t="n">
        <v>101.66</v>
      </c>
      <c r="I201" s="14" t="n">
        <v>1.1184</v>
      </c>
      <c r="J201" s="14" t="n">
        <v>9.2648</v>
      </c>
      <c r="K201" s="14" t="n">
        <v>1252.4</v>
      </c>
      <c r="L201" s="14" t="n">
        <v>0.86213</v>
      </c>
      <c r="M201" s="14" t="n">
        <v>7.4604</v>
      </c>
      <c r="N201" s="14" t="n">
        <v>3.6473</v>
      </c>
      <c r="O201" s="14" t="n">
        <v>113.93</v>
      </c>
      <c r="P201" s="14" t="n">
        <v>8.284</v>
      </c>
    </row>
    <row r="202" customFormat="false" ht="15" hidden="false" customHeight="false" outlineLevel="0" collapsed="false">
      <c r="A202" s="13" t="n">
        <v>42634</v>
      </c>
      <c r="B202" s="14" t="n">
        <v>1112.17</v>
      </c>
      <c r="C202" s="14" t="n">
        <v>8.2941</v>
      </c>
      <c r="D202" s="14" t="n">
        <v>1.2978</v>
      </c>
      <c r="E202" s="14" t="n">
        <v>1.1165</v>
      </c>
      <c r="F202" s="14" t="n">
        <v>6.6695</v>
      </c>
      <c r="G202" s="14" t="n">
        <v>3.2393</v>
      </c>
      <c r="H202" s="14" t="n">
        <v>100.62</v>
      </c>
      <c r="I202" s="14" t="n">
        <v>1.115</v>
      </c>
      <c r="J202" s="14" t="n">
        <v>9.2318</v>
      </c>
      <c r="K202" s="14" t="n">
        <v>1240.6</v>
      </c>
      <c r="L202" s="14" t="n">
        <v>0.85693</v>
      </c>
      <c r="M202" s="14" t="n">
        <v>7.4384</v>
      </c>
      <c r="N202" s="14" t="n">
        <v>3.6137</v>
      </c>
      <c r="O202" s="14" t="n">
        <v>112.49</v>
      </c>
      <c r="P202" s="14" t="n">
        <v>8.2796</v>
      </c>
    </row>
    <row r="203" customFormat="false" ht="15" hidden="false" customHeight="false" outlineLevel="0" collapsed="false">
      <c r="A203" s="13" t="n">
        <v>42635</v>
      </c>
      <c r="B203" s="14" t="n">
        <v>1100.59</v>
      </c>
      <c r="C203" s="14" t="n">
        <v>8.107</v>
      </c>
      <c r="D203" s="14" t="n">
        <v>1.3092</v>
      </c>
      <c r="E203" s="14" t="n">
        <v>1.1229</v>
      </c>
      <c r="F203" s="14" t="n">
        <v>6.663</v>
      </c>
      <c r="G203" s="14" t="n">
        <v>3.2092</v>
      </c>
      <c r="H203" s="14" t="n">
        <v>100.8</v>
      </c>
      <c r="I203" s="14" t="n">
        <v>1.1238</v>
      </c>
      <c r="J203" s="14" t="n">
        <v>9.1073</v>
      </c>
      <c r="K203" s="14" t="n">
        <v>1238.31</v>
      </c>
      <c r="L203" s="14" t="n">
        <v>0.85925</v>
      </c>
      <c r="M203" s="14" t="n">
        <v>7.4949</v>
      </c>
      <c r="N203" s="14" t="n">
        <v>3.594</v>
      </c>
      <c r="O203" s="14" t="n">
        <v>113.19</v>
      </c>
      <c r="P203" s="14" t="n">
        <v>8.104</v>
      </c>
    </row>
    <row r="204" customFormat="false" ht="15" hidden="false" customHeight="false" outlineLevel="0" collapsed="false">
      <c r="A204" s="13" t="n">
        <v>42636</v>
      </c>
      <c r="B204" s="14" t="n">
        <v>1102.21</v>
      </c>
      <c r="C204" s="14" t="n">
        <v>8.1099</v>
      </c>
      <c r="D204" s="14" t="n">
        <v>1.2959</v>
      </c>
      <c r="E204" s="14" t="n">
        <v>1.1223</v>
      </c>
      <c r="F204" s="14" t="n">
        <v>6.669</v>
      </c>
      <c r="G204" s="14" t="n">
        <v>3.227</v>
      </c>
      <c r="H204" s="14" t="n">
        <v>101.04</v>
      </c>
      <c r="I204" s="14" t="n">
        <v>1.1214</v>
      </c>
      <c r="J204" s="14" t="n">
        <v>9.1028</v>
      </c>
      <c r="K204" s="14" t="n">
        <v>1235.78</v>
      </c>
      <c r="L204" s="14" t="n">
        <v>0.86435</v>
      </c>
      <c r="M204" s="14" t="n">
        <v>7.4797</v>
      </c>
      <c r="N204" s="14" t="n">
        <v>3.5931</v>
      </c>
      <c r="O204" s="14" t="n">
        <v>113.02</v>
      </c>
      <c r="P204" s="14" t="n">
        <v>8.1174</v>
      </c>
    </row>
    <row r="205" customFormat="false" ht="15" hidden="false" customHeight="false" outlineLevel="0" collapsed="false">
      <c r="A205" s="13" t="n">
        <v>42639</v>
      </c>
      <c r="B205" s="14" t="n">
        <v>1106.99</v>
      </c>
      <c r="C205" s="14" t="n">
        <v>8.0889</v>
      </c>
      <c r="D205" s="14" t="n">
        <v>1.2978</v>
      </c>
      <c r="E205" s="14" t="n">
        <v>1.127</v>
      </c>
      <c r="F205" s="14" t="n">
        <v>6.6683</v>
      </c>
      <c r="G205" s="14" t="n">
        <v>3.2345</v>
      </c>
      <c r="H205" s="14" t="n">
        <v>100.34</v>
      </c>
      <c r="I205" s="14" t="n">
        <v>1.1262</v>
      </c>
      <c r="J205" s="14" t="n">
        <v>9.1318</v>
      </c>
      <c r="K205" s="14" t="n">
        <v>1246.11</v>
      </c>
      <c r="L205" s="14" t="n">
        <v>0.8709</v>
      </c>
      <c r="M205" s="14" t="n">
        <v>7.5105</v>
      </c>
      <c r="N205" s="14" t="n">
        <v>3.6522</v>
      </c>
      <c r="O205" s="14" t="n">
        <v>113.11</v>
      </c>
      <c r="P205" s="14" t="n">
        <v>8.1085</v>
      </c>
    </row>
    <row r="206" customFormat="false" ht="15" hidden="false" customHeight="false" outlineLevel="0" collapsed="false">
      <c r="A206" s="13" t="n">
        <v>42640</v>
      </c>
      <c r="B206" s="14" t="n">
        <v>1099.22</v>
      </c>
      <c r="C206" s="14" t="n">
        <v>8.1532</v>
      </c>
      <c r="D206" s="14" t="n">
        <v>1.3005</v>
      </c>
      <c r="E206" s="14" t="n">
        <v>1.1208</v>
      </c>
      <c r="F206" s="14" t="n">
        <v>6.6691</v>
      </c>
      <c r="G206" s="14" t="n">
        <v>3.2364</v>
      </c>
      <c r="H206" s="14" t="n">
        <v>100.36</v>
      </c>
      <c r="I206" s="14" t="n">
        <v>1.122</v>
      </c>
      <c r="J206" s="14" t="n">
        <v>9.1108</v>
      </c>
      <c r="K206" s="14" t="n">
        <v>1232.69</v>
      </c>
      <c r="L206" s="14" t="n">
        <v>0.86413</v>
      </c>
      <c r="M206" s="14" t="n">
        <v>7.4826</v>
      </c>
      <c r="N206" s="14" t="n">
        <v>3.6215</v>
      </c>
      <c r="O206" s="14" t="n">
        <v>112.52</v>
      </c>
      <c r="P206" s="14" t="n">
        <v>8.1201</v>
      </c>
    </row>
    <row r="207" customFormat="false" ht="15" hidden="false" customHeight="false" outlineLevel="0" collapsed="false">
      <c r="A207" s="13" t="n">
        <v>42641</v>
      </c>
      <c r="B207" s="14" t="n">
        <v>1096.73</v>
      </c>
      <c r="C207" s="14" t="n">
        <v>8.0828</v>
      </c>
      <c r="D207" s="14" t="n">
        <v>1.2996</v>
      </c>
      <c r="E207" s="14" t="n">
        <v>1.12</v>
      </c>
      <c r="F207" s="14" t="n">
        <v>6.673</v>
      </c>
      <c r="G207" s="14" t="n">
        <v>3.2468</v>
      </c>
      <c r="H207" s="14" t="n">
        <v>100.57</v>
      </c>
      <c r="I207" s="14" t="n">
        <v>1.1225</v>
      </c>
      <c r="J207" s="14" t="n">
        <v>9.0888</v>
      </c>
      <c r="K207" s="14" t="n">
        <v>1231.76</v>
      </c>
      <c r="L207" s="14" t="n">
        <v>0.86208</v>
      </c>
      <c r="M207" s="14" t="n">
        <v>7.4911</v>
      </c>
      <c r="N207" s="14" t="n">
        <v>3.6389</v>
      </c>
      <c r="O207" s="14" t="n">
        <v>112.93</v>
      </c>
      <c r="P207" s="14" t="n">
        <v>8.0969</v>
      </c>
    </row>
    <row r="208" customFormat="false" ht="15" hidden="false" customHeight="false" outlineLevel="0" collapsed="false">
      <c r="A208" s="13" t="n">
        <v>42642</v>
      </c>
      <c r="B208" s="14" t="n">
        <v>1097.39</v>
      </c>
      <c r="C208" s="14" t="n">
        <v>8.004</v>
      </c>
      <c r="D208" s="14" t="n">
        <v>1.2991</v>
      </c>
      <c r="E208" s="14" t="n">
        <v>1.1244</v>
      </c>
      <c r="F208" s="14" t="n">
        <v>6.665</v>
      </c>
      <c r="G208" s="14" t="n">
        <v>3.2276</v>
      </c>
      <c r="H208" s="14" t="n">
        <v>101.48</v>
      </c>
      <c r="I208" s="14" t="n">
        <v>1.1221</v>
      </c>
      <c r="J208" s="14" t="n">
        <v>9.0403</v>
      </c>
      <c r="K208" s="14" t="n">
        <v>1235.19</v>
      </c>
      <c r="L208" s="14" t="n">
        <v>0.86138</v>
      </c>
      <c r="M208" s="14" t="n">
        <v>7.482</v>
      </c>
      <c r="N208" s="14" t="n">
        <v>3.63</v>
      </c>
      <c r="O208" s="14" t="n">
        <v>113.88</v>
      </c>
      <c r="P208" s="14" t="n">
        <v>8.0566</v>
      </c>
    </row>
    <row r="209" customFormat="false" ht="15" hidden="false" customHeight="false" outlineLevel="0" collapsed="false">
      <c r="A209" s="13" t="n">
        <v>42643</v>
      </c>
      <c r="B209" s="14" t="n">
        <v>1097.98</v>
      </c>
      <c r="C209" s="14" t="n">
        <v>7.9897</v>
      </c>
      <c r="D209" s="14" t="n">
        <v>1.3015</v>
      </c>
      <c r="E209" s="14" t="n">
        <v>1.1238</v>
      </c>
      <c r="F209" s="14" t="n">
        <v>6.6685</v>
      </c>
      <c r="G209" s="14" t="n">
        <v>3.2434</v>
      </c>
      <c r="H209" s="14" t="n">
        <v>101.21</v>
      </c>
      <c r="I209" s="14" t="n">
        <v>1.1161</v>
      </c>
      <c r="J209" s="14" t="n">
        <v>8.9865</v>
      </c>
      <c r="K209" s="14" t="n">
        <v>1229.76</v>
      </c>
      <c r="L209" s="14" t="n">
        <v>0.86103</v>
      </c>
      <c r="M209" s="14" t="n">
        <v>7.4463</v>
      </c>
      <c r="N209" s="14" t="n">
        <v>3.621</v>
      </c>
      <c r="O209" s="14" t="n">
        <v>113.09</v>
      </c>
      <c r="P209" s="14" t="n">
        <v>8.0517</v>
      </c>
    </row>
    <row r="210" customFormat="false" ht="15" hidden="false" customHeight="false" outlineLevel="0" collapsed="false">
      <c r="A210" s="13" t="n">
        <v>42646</v>
      </c>
      <c r="B210" s="14" t="n">
        <v>1104.79</v>
      </c>
      <c r="C210" s="14" t="n">
        <v>7.9725</v>
      </c>
      <c r="D210" s="14" t="n">
        <v>1.284</v>
      </c>
      <c r="E210" s="14" t="n">
        <v>1.121</v>
      </c>
      <c r="F210" s="14" t="n">
        <v>6.6685</v>
      </c>
      <c r="G210" s="14" t="n">
        <v>3.2333</v>
      </c>
      <c r="H210" s="14" t="n">
        <v>101.54</v>
      </c>
      <c r="I210" s="14" t="n">
        <v>1.1236</v>
      </c>
      <c r="J210" s="14" t="n">
        <v>8.9625</v>
      </c>
      <c r="K210" s="14" t="n">
        <v>1237.21</v>
      </c>
      <c r="L210" s="14" t="n">
        <v>0.87318</v>
      </c>
      <c r="M210" s="14" t="n">
        <v>7.4962</v>
      </c>
      <c r="N210" s="14" t="n">
        <v>3.6409</v>
      </c>
      <c r="O210" s="14" t="n">
        <v>113.9</v>
      </c>
      <c r="P210" s="14" t="n">
        <v>7.9766</v>
      </c>
    </row>
    <row r="211" customFormat="false" ht="15" hidden="false" customHeight="false" outlineLevel="0" collapsed="false">
      <c r="A211" s="13" t="n">
        <v>42647</v>
      </c>
      <c r="B211" s="14" t="n">
        <v>1110.77</v>
      </c>
      <c r="C211" s="14" t="n">
        <v>7.9934</v>
      </c>
      <c r="D211" s="14" t="n">
        <v>1.2746</v>
      </c>
      <c r="E211" s="14" t="n">
        <v>1.1212</v>
      </c>
      <c r="F211" s="14" t="n">
        <v>6.6685</v>
      </c>
      <c r="G211" s="14" t="n">
        <v>3.2339</v>
      </c>
      <c r="H211" s="14" t="n">
        <v>102.66</v>
      </c>
      <c r="I211" s="14" t="n">
        <v>1.1161</v>
      </c>
      <c r="J211" s="14" t="n">
        <v>8.9175</v>
      </c>
      <c r="K211" s="14" t="n">
        <v>1238.16</v>
      </c>
      <c r="L211" s="14" t="n">
        <v>0.8754</v>
      </c>
      <c r="M211" s="14" t="n">
        <v>7.4462</v>
      </c>
      <c r="N211" s="14" t="n">
        <v>3.5816</v>
      </c>
      <c r="O211" s="14" t="n">
        <v>114.5</v>
      </c>
      <c r="P211" s="14" t="n">
        <v>7.9899</v>
      </c>
    </row>
    <row r="212" customFormat="false" ht="15" hidden="false" customHeight="false" outlineLevel="0" collapsed="false">
      <c r="A212" s="13" t="n">
        <v>42648</v>
      </c>
      <c r="B212" s="14" t="n">
        <v>1114.53</v>
      </c>
      <c r="C212" s="14" t="n">
        <v>8.0317</v>
      </c>
      <c r="D212" s="14" t="n">
        <v>1.2745</v>
      </c>
      <c r="E212" s="14" t="n">
        <v>1.1196</v>
      </c>
      <c r="F212" s="14" t="n">
        <v>6.6685</v>
      </c>
      <c r="G212" s="14" t="n">
        <v>3.2326</v>
      </c>
      <c r="H212" s="14" t="n">
        <v>103.53</v>
      </c>
      <c r="I212" s="14" t="n">
        <v>1.1211</v>
      </c>
      <c r="J212" s="14" t="n">
        <v>8.9872</v>
      </c>
      <c r="K212" s="14" t="n">
        <v>1250.31</v>
      </c>
      <c r="L212" s="14" t="n">
        <v>0.88155</v>
      </c>
      <c r="M212" s="14" t="n">
        <v>7.4829</v>
      </c>
      <c r="N212" s="14" t="n">
        <v>3.6374</v>
      </c>
      <c r="O212" s="14" t="n">
        <v>115.65</v>
      </c>
      <c r="P212" s="14" t="n">
        <v>8.0164</v>
      </c>
    </row>
    <row r="213" customFormat="false" ht="15" hidden="false" customHeight="false" outlineLevel="0" collapsed="false">
      <c r="A213" s="13" t="n">
        <v>42649</v>
      </c>
      <c r="B213" s="14" t="n">
        <v>1114.53</v>
      </c>
      <c r="C213" s="14" t="n">
        <v>8.0431</v>
      </c>
      <c r="D213" s="14" t="n">
        <v>1.2647</v>
      </c>
      <c r="E213" s="14" t="n">
        <v>1.1158</v>
      </c>
      <c r="F213" s="14" t="n">
        <v>6.6685</v>
      </c>
      <c r="G213" s="14" t="n">
        <v>3.2309</v>
      </c>
      <c r="H213" s="14" t="n">
        <v>104.02</v>
      </c>
      <c r="I213" s="14" t="n">
        <v>1.1185</v>
      </c>
      <c r="J213" s="14" t="n">
        <v>8.9938</v>
      </c>
      <c r="K213" s="14" t="n">
        <v>1249.22</v>
      </c>
      <c r="L213" s="14" t="n">
        <v>0.88323</v>
      </c>
      <c r="M213" s="14" t="n">
        <v>7.4605</v>
      </c>
      <c r="N213" s="14" t="n">
        <v>3.6206</v>
      </c>
      <c r="O213" s="14" t="n">
        <v>116</v>
      </c>
      <c r="P213" s="14" t="n">
        <v>8.0409</v>
      </c>
    </row>
    <row r="214" customFormat="false" ht="15" hidden="false" customHeight="false" outlineLevel="0" collapsed="false">
      <c r="A214" s="13" t="n">
        <v>42650</v>
      </c>
      <c r="B214" s="14" t="n">
        <v>1115.95</v>
      </c>
      <c r="C214" s="14" t="n">
        <v>8.1198</v>
      </c>
      <c r="D214" s="14" t="n">
        <v>1.2434</v>
      </c>
      <c r="E214" s="14" t="n">
        <v>1.1156</v>
      </c>
      <c r="F214" s="14" t="n">
        <v>6.6685</v>
      </c>
      <c r="G214" s="14" t="n">
        <v>3.2296</v>
      </c>
      <c r="H214" s="14" t="n">
        <v>103.42</v>
      </c>
      <c r="I214" s="14" t="n">
        <v>1.114</v>
      </c>
      <c r="J214" s="14" t="n">
        <v>9.001</v>
      </c>
      <c r="K214" s="14" t="n">
        <v>1243.04</v>
      </c>
      <c r="L214" s="14" t="n">
        <v>0.90353</v>
      </c>
      <c r="M214" s="14" t="n">
        <v>7.4322</v>
      </c>
      <c r="N214" s="14" t="n">
        <v>3.6087</v>
      </c>
      <c r="O214" s="14" t="n">
        <v>115.44</v>
      </c>
      <c r="P214" s="14" t="n">
        <v>8.0799</v>
      </c>
    </row>
    <row r="215" customFormat="false" ht="15" hidden="false" customHeight="false" outlineLevel="0" collapsed="false">
      <c r="A215" s="13" t="n">
        <v>42653</v>
      </c>
      <c r="I215" s="14" t="n">
        <v>1.116</v>
      </c>
      <c r="J215" s="14" t="n">
        <v>9.0448</v>
      </c>
      <c r="K215" s="14" t="n">
        <v>1240.6</v>
      </c>
      <c r="L215" s="14" t="n">
        <v>0.9007</v>
      </c>
      <c r="M215" s="14" t="n">
        <v>7.485</v>
      </c>
      <c r="N215" s="14" t="n">
        <v>3.5886</v>
      </c>
      <c r="O215" s="14" t="n">
        <v>115.39</v>
      </c>
      <c r="P215" s="14" t="n">
        <v>8.1047</v>
      </c>
    </row>
    <row r="216" customFormat="false" ht="15" hidden="false" customHeight="false" outlineLevel="0" collapsed="false">
      <c r="A216" s="13" t="n">
        <v>42654</v>
      </c>
      <c r="B216" s="14" t="n">
        <v>1124.21</v>
      </c>
      <c r="C216" s="14" t="n">
        <v>8.1872</v>
      </c>
      <c r="D216" s="14" t="n">
        <v>1.2218</v>
      </c>
      <c r="E216" s="14" t="n">
        <v>1.1062</v>
      </c>
      <c r="F216" s="14" t="n">
        <v>6.719</v>
      </c>
      <c r="G216" s="14" t="n">
        <v>3.2111</v>
      </c>
      <c r="H216" s="14" t="n">
        <v>103.36</v>
      </c>
      <c r="I216" s="14" t="n">
        <v>1.1079</v>
      </c>
      <c r="J216" s="14" t="n">
        <v>9.0395</v>
      </c>
      <c r="K216" s="14" t="n">
        <v>1245.11</v>
      </c>
      <c r="L216" s="14" t="n">
        <v>0.90233</v>
      </c>
      <c r="M216" s="14" t="n">
        <v>7.444</v>
      </c>
      <c r="N216" s="14" t="n">
        <v>3.5634</v>
      </c>
      <c r="O216" s="14" t="n">
        <v>114.9</v>
      </c>
      <c r="P216" s="14" t="n">
        <v>8.1591</v>
      </c>
    </row>
    <row r="217" customFormat="false" ht="15" hidden="false" customHeight="false" outlineLevel="0" collapsed="false">
      <c r="A217" s="13" t="n">
        <v>42655</v>
      </c>
      <c r="B217" s="14" t="n">
        <v>1127.23</v>
      </c>
      <c r="C217" s="14" t="n">
        <v>8.229</v>
      </c>
      <c r="D217" s="14" t="n">
        <v>1.2195</v>
      </c>
      <c r="E217" s="14" t="n">
        <v>1.1014</v>
      </c>
      <c r="F217" s="14" t="n">
        <v>6.718</v>
      </c>
      <c r="G217" s="14" t="n">
        <v>3.2111</v>
      </c>
      <c r="H217" s="14" t="n">
        <v>104.48</v>
      </c>
      <c r="I217" s="14" t="n">
        <v>1.102</v>
      </c>
      <c r="J217" s="14" t="n">
        <v>9.029</v>
      </c>
      <c r="K217" s="14" t="n">
        <v>1239.66</v>
      </c>
      <c r="L217" s="14" t="n">
        <v>0.8999</v>
      </c>
      <c r="M217" s="14" t="n">
        <v>7.4029</v>
      </c>
      <c r="N217" s="14" t="n">
        <v>3.5256</v>
      </c>
      <c r="O217" s="14" t="n">
        <v>114.5</v>
      </c>
      <c r="P217" s="14" t="n">
        <v>8.1933</v>
      </c>
    </row>
    <row r="218" customFormat="false" ht="15" hidden="false" customHeight="false" outlineLevel="0" collapsed="false">
      <c r="A218" s="13" t="n">
        <v>42656</v>
      </c>
      <c r="B218" s="14" t="n">
        <v>1133.31</v>
      </c>
      <c r="C218" s="14" t="n">
        <v>8.187</v>
      </c>
      <c r="D218" s="14" t="n">
        <v>1.2201</v>
      </c>
      <c r="E218" s="14" t="n">
        <v>1.1038</v>
      </c>
      <c r="F218" s="14" t="n">
        <v>6.7248</v>
      </c>
      <c r="G218" s="14" t="n">
        <v>3.199</v>
      </c>
      <c r="H218" s="14" t="n">
        <v>103.62</v>
      </c>
      <c r="I218" s="14" t="n">
        <v>1.1038</v>
      </c>
      <c r="J218" s="14" t="n">
        <v>9.0768</v>
      </c>
      <c r="K218" s="14" t="n">
        <v>1251.86</v>
      </c>
      <c r="L218" s="14" t="n">
        <v>0.9043</v>
      </c>
      <c r="M218" s="14" t="n">
        <v>7.4261</v>
      </c>
      <c r="N218" s="14" t="n">
        <v>3.5337</v>
      </c>
      <c r="O218" s="14" t="n">
        <v>114.49</v>
      </c>
      <c r="P218" s="14" t="n">
        <v>8.2232</v>
      </c>
    </row>
    <row r="219" customFormat="false" ht="15" hidden="false" customHeight="false" outlineLevel="0" collapsed="false">
      <c r="A219" s="13" t="n">
        <v>42657</v>
      </c>
      <c r="B219" s="14" t="n">
        <v>1133.13</v>
      </c>
      <c r="C219" s="14" t="n">
        <v>8.2257</v>
      </c>
      <c r="D219" s="14" t="n">
        <v>1.2189</v>
      </c>
      <c r="E219" s="14" t="n">
        <v>1.0985</v>
      </c>
      <c r="F219" s="14" t="n">
        <v>6.7277</v>
      </c>
      <c r="G219" s="14" t="n">
        <v>3.1975</v>
      </c>
      <c r="H219" s="14" t="n">
        <v>104.1</v>
      </c>
      <c r="I219" s="14" t="n">
        <v>1.1002</v>
      </c>
      <c r="J219" s="14" t="n">
        <v>9.0248</v>
      </c>
      <c r="K219" s="14" t="n">
        <v>1246.06</v>
      </c>
      <c r="L219" s="14" t="n">
        <v>0.8991</v>
      </c>
      <c r="M219" s="14" t="n">
        <v>7.4</v>
      </c>
      <c r="N219" s="14" t="n">
        <v>3.4994</v>
      </c>
      <c r="O219" s="14" t="n">
        <v>114.76</v>
      </c>
      <c r="P219" s="14" t="n">
        <v>8.2029</v>
      </c>
    </row>
    <row r="220" customFormat="false" ht="15" hidden="false" customHeight="false" outlineLevel="0" collapsed="false">
      <c r="A220" s="13" t="n">
        <v>42660</v>
      </c>
      <c r="B220" s="14" t="n">
        <v>1137.61</v>
      </c>
      <c r="C220" s="14" t="n">
        <v>8.182</v>
      </c>
      <c r="D220" s="14" t="n">
        <v>1.2186</v>
      </c>
      <c r="E220" s="14" t="n">
        <v>1.1</v>
      </c>
      <c r="F220" s="14" t="n">
        <v>6.735</v>
      </c>
      <c r="G220" s="14" t="n">
        <v>3.1985</v>
      </c>
      <c r="H220" s="14" t="n">
        <v>103.96</v>
      </c>
      <c r="I220" s="14" t="n">
        <v>1.0994</v>
      </c>
      <c r="J220" s="14" t="n">
        <v>9.0315</v>
      </c>
      <c r="K220" s="14" t="n">
        <v>1253.18</v>
      </c>
      <c r="L220" s="14" t="n">
        <v>0.90485</v>
      </c>
      <c r="M220" s="14" t="n">
        <v>7.4075</v>
      </c>
      <c r="N220" s="14" t="n">
        <v>3.5147</v>
      </c>
      <c r="O220" s="14" t="n">
        <v>114.46</v>
      </c>
      <c r="P220" s="14" t="n">
        <v>8.2149</v>
      </c>
    </row>
    <row r="221" customFormat="false" ht="15" hidden="false" customHeight="false" outlineLevel="0" collapsed="false">
      <c r="A221" s="13" t="n">
        <v>42661</v>
      </c>
      <c r="B221" s="14" t="n">
        <v>1123.75</v>
      </c>
      <c r="C221" s="14" t="n">
        <v>8.1468</v>
      </c>
      <c r="D221" s="14" t="n">
        <v>1.231</v>
      </c>
      <c r="E221" s="14" t="n">
        <v>1.0997</v>
      </c>
      <c r="F221" s="14" t="n">
        <v>6.7401</v>
      </c>
      <c r="G221" s="14" t="n">
        <v>3.1787</v>
      </c>
      <c r="H221" s="14" t="n">
        <v>103.8</v>
      </c>
      <c r="I221" s="14" t="n">
        <v>1.0993</v>
      </c>
      <c r="J221" s="14" t="n">
        <v>8.9565</v>
      </c>
      <c r="K221" s="14" t="n">
        <v>1238.27</v>
      </c>
      <c r="L221" s="14" t="n">
        <v>0.89565</v>
      </c>
      <c r="M221" s="14" t="n">
        <v>7.406</v>
      </c>
      <c r="N221" s="14" t="n">
        <v>3.5073</v>
      </c>
      <c r="O221" s="14" t="n">
        <v>114.37</v>
      </c>
      <c r="P221" s="14" t="n">
        <v>8.1475</v>
      </c>
    </row>
    <row r="222" customFormat="false" ht="15" hidden="false" customHeight="false" outlineLevel="0" collapsed="false">
      <c r="A222" s="13" t="n">
        <v>42662</v>
      </c>
      <c r="B222" s="14" t="n">
        <v>1120.01</v>
      </c>
      <c r="C222" s="14" t="n">
        <v>8.1423</v>
      </c>
      <c r="D222" s="14" t="n">
        <v>1.2279</v>
      </c>
      <c r="E222" s="14" t="n">
        <v>1.0966</v>
      </c>
      <c r="F222" s="14" t="n">
        <v>6.737</v>
      </c>
      <c r="G222" s="14" t="n">
        <v>3.1677</v>
      </c>
      <c r="H222" s="14" t="n">
        <v>103.3</v>
      </c>
      <c r="I222" s="14" t="n">
        <v>1.0979</v>
      </c>
      <c r="J222" s="14" t="n">
        <v>8.9585</v>
      </c>
      <c r="K222" s="14" t="n">
        <v>1233.88</v>
      </c>
      <c r="L222" s="14" t="n">
        <v>0.89338</v>
      </c>
      <c r="M222" s="14" t="n">
        <v>7.3963</v>
      </c>
      <c r="N222" s="14" t="n">
        <v>3.5063</v>
      </c>
      <c r="O222" s="14" t="n">
        <v>113.49</v>
      </c>
      <c r="P222" s="14" t="n">
        <v>8.1597</v>
      </c>
    </row>
    <row r="223" customFormat="false" ht="15" hidden="false" customHeight="false" outlineLevel="0" collapsed="false">
      <c r="A223" s="13" t="n">
        <v>42663</v>
      </c>
      <c r="B223" s="14" t="n">
        <v>1128.39</v>
      </c>
      <c r="C223" s="14" t="n">
        <v>8.1841</v>
      </c>
      <c r="D223" s="14" t="n">
        <v>1.2256</v>
      </c>
      <c r="E223" s="14" t="n">
        <v>1.0934</v>
      </c>
      <c r="F223" s="14" t="n">
        <v>6.7439</v>
      </c>
      <c r="G223" s="14" t="n">
        <v>3.1548</v>
      </c>
      <c r="H223" s="14" t="n">
        <v>103.92</v>
      </c>
      <c r="I223" s="14" t="n">
        <v>1.098</v>
      </c>
      <c r="J223" s="14" t="n">
        <v>8.9625</v>
      </c>
      <c r="K223" s="14" t="n">
        <v>1237.37</v>
      </c>
      <c r="L223" s="14" t="n">
        <v>0.89568</v>
      </c>
      <c r="M223" s="14" t="n">
        <v>7.398</v>
      </c>
      <c r="N223" s="14" t="n">
        <v>3.4629</v>
      </c>
      <c r="O223" s="14" t="n">
        <v>113.76</v>
      </c>
      <c r="P223" s="14" t="n">
        <v>8.1626</v>
      </c>
    </row>
    <row r="224" customFormat="false" ht="15" hidden="false" customHeight="false" outlineLevel="0" collapsed="false">
      <c r="A224" s="13" t="n">
        <v>42664</v>
      </c>
      <c r="B224" s="14" t="n">
        <v>1137.17</v>
      </c>
      <c r="C224" s="14" t="n">
        <v>8.2636</v>
      </c>
      <c r="D224" s="14" t="n">
        <v>1.221</v>
      </c>
      <c r="E224" s="14" t="n">
        <v>1.0866</v>
      </c>
      <c r="F224" s="14" t="n">
        <v>6.7654</v>
      </c>
      <c r="G224" s="14" t="n">
        <v>3.159</v>
      </c>
      <c r="H224" s="14" t="n">
        <v>103.96</v>
      </c>
      <c r="I224" s="14" t="n">
        <v>1.0886</v>
      </c>
      <c r="J224" s="14" t="n">
        <v>8.9538</v>
      </c>
      <c r="K224" s="14" t="n">
        <v>1238.63</v>
      </c>
      <c r="L224" s="14" t="n">
        <v>0.8932</v>
      </c>
      <c r="M224" s="14" t="n">
        <v>7.3625</v>
      </c>
      <c r="N224" s="14" t="n">
        <v>3.434</v>
      </c>
      <c r="O224" s="14" t="n">
        <v>112.96</v>
      </c>
      <c r="P224" s="14" t="n">
        <v>8.2251</v>
      </c>
    </row>
    <row r="225" customFormat="false" ht="15" hidden="false" customHeight="false" outlineLevel="0" collapsed="false">
      <c r="A225" s="13" t="n">
        <v>42667</v>
      </c>
      <c r="B225" s="14" t="n">
        <v>1135.4</v>
      </c>
      <c r="C225" s="14" t="n">
        <v>8.2463</v>
      </c>
      <c r="D225" s="14" t="n">
        <v>1.2204</v>
      </c>
      <c r="E225" s="14" t="n">
        <v>1.0888</v>
      </c>
      <c r="F225" s="14" t="n">
        <v>6.7728</v>
      </c>
      <c r="G225" s="14" t="n">
        <v>3.1255</v>
      </c>
      <c r="H225" s="14" t="n">
        <v>104.2</v>
      </c>
      <c r="I225" s="14" t="n">
        <v>1.0891</v>
      </c>
      <c r="J225" s="14" t="n">
        <v>8.9855</v>
      </c>
      <c r="K225" s="14" t="n">
        <v>1234.29</v>
      </c>
      <c r="L225" s="14" t="n">
        <v>0.89015</v>
      </c>
      <c r="M225" s="14" t="n">
        <v>7.3775</v>
      </c>
      <c r="N225" s="14" t="n">
        <v>3.42</v>
      </c>
      <c r="O225" s="14" t="n">
        <v>113.29</v>
      </c>
      <c r="P225" s="14" t="n">
        <v>8.2504</v>
      </c>
    </row>
    <row r="226" customFormat="false" ht="15" hidden="false" customHeight="false" outlineLevel="0" collapsed="false">
      <c r="A226" s="13" t="n">
        <v>42668</v>
      </c>
      <c r="B226" s="14" t="n">
        <v>1129.89</v>
      </c>
      <c r="C226" s="14" t="n">
        <v>8.2593</v>
      </c>
      <c r="D226" s="14" t="n">
        <v>1.2164</v>
      </c>
      <c r="E226" s="14" t="n">
        <v>1.089</v>
      </c>
      <c r="F226" s="14" t="n">
        <v>6.778</v>
      </c>
      <c r="G226" s="14" t="n">
        <v>3.1142</v>
      </c>
      <c r="H226" s="14" t="n">
        <v>104.25</v>
      </c>
      <c r="I226" s="14" t="n">
        <v>1.0872</v>
      </c>
      <c r="J226" s="14" t="n">
        <v>8.9868</v>
      </c>
      <c r="K226" s="14" t="n">
        <v>1230.63</v>
      </c>
      <c r="L226" s="14" t="n">
        <v>0.88998</v>
      </c>
      <c r="M226" s="14" t="n">
        <v>7.3685</v>
      </c>
      <c r="N226" s="14" t="n">
        <v>3.3872</v>
      </c>
      <c r="O226" s="14" t="n">
        <v>113.65</v>
      </c>
      <c r="P226" s="14" t="n">
        <v>8.266</v>
      </c>
    </row>
    <row r="227" customFormat="false" ht="15" hidden="false" customHeight="false" outlineLevel="0" collapsed="false">
      <c r="A227" s="13" t="n">
        <v>42669</v>
      </c>
      <c r="B227" s="14" t="n">
        <v>1134.94</v>
      </c>
      <c r="C227" s="14" t="n">
        <v>8.262</v>
      </c>
      <c r="D227" s="14" t="n">
        <v>1.2234</v>
      </c>
      <c r="E227" s="14" t="n">
        <v>1.0916</v>
      </c>
      <c r="F227" s="14" t="n">
        <v>6.7706</v>
      </c>
      <c r="G227" s="14" t="n">
        <v>3.132</v>
      </c>
      <c r="H227" s="14" t="n">
        <v>104.42</v>
      </c>
      <c r="I227" s="14" t="n">
        <v>1.0925</v>
      </c>
      <c r="J227" s="14" t="n">
        <v>9.0425</v>
      </c>
      <c r="K227" s="14" t="n">
        <v>1240.92</v>
      </c>
      <c r="L227" s="14" t="n">
        <v>0.89465</v>
      </c>
      <c r="M227" s="14" t="n">
        <v>7.3954</v>
      </c>
      <c r="N227" s="14" t="n">
        <v>3.4065</v>
      </c>
      <c r="O227" s="14" t="n">
        <v>113.97</v>
      </c>
      <c r="P227" s="14" t="n">
        <v>8.2769</v>
      </c>
    </row>
    <row r="228" customFormat="false" ht="15" hidden="false" customHeight="false" outlineLevel="0" collapsed="false">
      <c r="A228" s="13" t="n">
        <v>42670</v>
      </c>
      <c r="B228" s="14" t="n">
        <v>1145.85</v>
      </c>
      <c r="C228" s="14" t="n">
        <v>8.2536</v>
      </c>
      <c r="D228" s="14" t="n">
        <v>1.2173</v>
      </c>
      <c r="E228" s="14" t="n">
        <v>1.0904</v>
      </c>
      <c r="F228" s="14" t="n">
        <v>6.7819</v>
      </c>
      <c r="G228" s="14" t="n">
        <v>3.1494</v>
      </c>
      <c r="H228" s="14" t="n">
        <v>105.14</v>
      </c>
      <c r="I228" s="14" t="n">
        <v>1.0927</v>
      </c>
      <c r="J228" s="14" t="n">
        <v>8.9858</v>
      </c>
      <c r="K228" s="14" t="n">
        <v>1249.16</v>
      </c>
      <c r="L228" s="14" t="n">
        <v>0.89158</v>
      </c>
      <c r="M228" s="14" t="n">
        <v>7.4082</v>
      </c>
      <c r="N228" s="14" t="n">
        <v>3.4261</v>
      </c>
      <c r="O228" s="14" t="n">
        <v>114.39</v>
      </c>
      <c r="P228" s="14" t="n">
        <v>8.2235</v>
      </c>
    </row>
    <row r="229" customFormat="false" ht="15" hidden="false" customHeight="false" outlineLevel="0" collapsed="false">
      <c r="A229" s="13" t="n">
        <v>42671</v>
      </c>
      <c r="B229" s="14" t="n">
        <v>1146.49</v>
      </c>
      <c r="C229" s="14" t="n">
        <v>8.2647</v>
      </c>
      <c r="D229" s="14" t="n">
        <v>1.2155</v>
      </c>
      <c r="E229" s="14" t="n">
        <v>1.0934</v>
      </c>
      <c r="F229" s="14" t="n">
        <v>6.776</v>
      </c>
      <c r="G229" s="14" t="n">
        <v>3.1833</v>
      </c>
      <c r="H229" s="14" t="n">
        <v>105.4</v>
      </c>
      <c r="I229" s="14" t="n">
        <v>1.0922</v>
      </c>
      <c r="J229" s="14" t="n">
        <v>9.0445</v>
      </c>
      <c r="K229" s="14" t="n">
        <v>1251.01</v>
      </c>
      <c r="L229" s="14" t="n">
        <v>0.89905</v>
      </c>
      <c r="M229" s="14" t="n">
        <v>7.4053</v>
      </c>
      <c r="N229" s="14" t="n">
        <v>3.4841</v>
      </c>
      <c r="O229" s="14" t="n">
        <v>115.1</v>
      </c>
      <c r="P229" s="14" t="n">
        <v>8.281</v>
      </c>
    </row>
    <row r="230" customFormat="false" ht="15" hidden="false" customHeight="false" outlineLevel="0" collapsed="false">
      <c r="A230" s="13" t="n">
        <v>42674</v>
      </c>
      <c r="B230" s="14" t="n">
        <v>1145.37</v>
      </c>
      <c r="C230" s="14" t="n">
        <v>8.2501</v>
      </c>
      <c r="D230" s="14" t="n">
        <v>1.2212</v>
      </c>
      <c r="E230" s="14" t="n">
        <v>1.0962</v>
      </c>
      <c r="F230" s="14" t="n">
        <v>6.7735</v>
      </c>
      <c r="G230" s="14" t="n">
        <v>3.1658</v>
      </c>
      <c r="H230" s="14" t="n">
        <v>105.07</v>
      </c>
      <c r="I230" s="14" t="n">
        <v>1.0946</v>
      </c>
      <c r="J230" s="14" t="n">
        <v>9.0345</v>
      </c>
      <c r="K230" s="14" t="n">
        <v>1254.89</v>
      </c>
      <c r="L230" s="14" t="n">
        <v>0.9005</v>
      </c>
      <c r="M230" s="14" t="n">
        <v>7.4156</v>
      </c>
      <c r="N230" s="14" t="n">
        <v>3.4836</v>
      </c>
      <c r="O230" s="14" t="n">
        <v>114.97</v>
      </c>
      <c r="P230" s="14" t="n">
        <v>8.2537</v>
      </c>
    </row>
    <row r="231" customFormat="false" ht="15" hidden="false" customHeight="false" outlineLevel="0" collapsed="false">
      <c r="A231" s="13" t="n">
        <v>42675</v>
      </c>
      <c r="B231" s="14" t="n">
        <v>1142.68</v>
      </c>
      <c r="C231" s="14" t="n">
        <v>8.1986</v>
      </c>
      <c r="D231" s="14" t="n">
        <v>1.2218</v>
      </c>
      <c r="E231" s="14" t="n">
        <v>1.1042</v>
      </c>
      <c r="F231" s="14" t="n">
        <v>6.763</v>
      </c>
      <c r="G231" s="14" t="n">
        <v>3.2342</v>
      </c>
      <c r="H231" s="14" t="n">
        <v>104.59</v>
      </c>
      <c r="I231" s="14" t="n">
        <v>1.1025</v>
      </c>
      <c r="J231" s="14" t="n">
        <v>9.0213</v>
      </c>
      <c r="K231" s="14" t="n">
        <v>1258.44</v>
      </c>
      <c r="L231" s="14" t="n">
        <v>0.90173</v>
      </c>
      <c r="M231" s="14" t="n">
        <v>7.4631</v>
      </c>
      <c r="N231" s="14" t="n">
        <v>3.5239</v>
      </c>
      <c r="O231" s="14" t="n">
        <v>115.57</v>
      </c>
      <c r="P231" s="14" t="n">
        <v>8.1826</v>
      </c>
    </row>
    <row r="232" customFormat="false" ht="15" hidden="false" customHeight="false" outlineLevel="0" collapsed="false">
      <c r="A232" s="13" t="n">
        <v>42676</v>
      </c>
      <c r="B232" s="14" t="n">
        <v>1148.39</v>
      </c>
      <c r="C232" s="14" t="n">
        <v>8.1826</v>
      </c>
      <c r="D232" s="14" t="n">
        <v>1.2315</v>
      </c>
      <c r="E232" s="14" t="n">
        <v>1.1119</v>
      </c>
      <c r="F232" s="14" t="n">
        <v>6.7606</v>
      </c>
      <c r="G232" s="14" t="n">
        <v>3.2364</v>
      </c>
      <c r="H232" s="14" t="n">
        <v>103.22</v>
      </c>
      <c r="I232" s="14" t="n">
        <v>1.1095</v>
      </c>
      <c r="J232" s="14" t="n">
        <v>9.0735</v>
      </c>
      <c r="K232" s="14" t="n">
        <v>1268.46</v>
      </c>
      <c r="L232" s="14" t="n">
        <v>0.90063</v>
      </c>
      <c r="M232" s="14" t="n">
        <v>7.4983</v>
      </c>
      <c r="N232" s="14" t="n">
        <v>3.5967</v>
      </c>
      <c r="O232" s="14" t="n">
        <v>114.62</v>
      </c>
      <c r="P232" s="14" t="n">
        <v>8.178</v>
      </c>
    </row>
    <row r="233" customFormat="false" ht="15" hidden="false" customHeight="false" outlineLevel="0" collapsed="false">
      <c r="A233" s="13" t="n">
        <v>42677</v>
      </c>
      <c r="B233" s="14" t="n">
        <v>1142.68</v>
      </c>
      <c r="C233" s="14" t="n">
        <v>8.166</v>
      </c>
      <c r="D233" s="14" t="n">
        <v>1.2454</v>
      </c>
      <c r="E233" s="14" t="n">
        <v>1.1094</v>
      </c>
      <c r="F233" s="14" t="n">
        <v>6.7612</v>
      </c>
      <c r="G233" s="14" t="n">
        <v>3.2386</v>
      </c>
      <c r="H233" s="14" t="n">
        <v>103.17</v>
      </c>
      <c r="I233" s="14" t="n">
        <v>1.1064</v>
      </c>
      <c r="J233" s="14" t="n">
        <v>9.0575</v>
      </c>
      <c r="K233" s="14" t="n">
        <v>1266.04</v>
      </c>
      <c r="L233" s="14" t="n">
        <v>0.88658</v>
      </c>
      <c r="M233" s="14" t="n">
        <v>7.4832</v>
      </c>
      <c r="N233" s="14" t="n">
        <v>3.572</v>
      </c>
      <c r="O233" s="14" t="n">
        <v>114.25</v>
      </c>
      <c r="P233" s="14" t="n">
        <v>8.1865</v>
      </c>
    </row>
    <row r="234" customFormat="false" ht="15" hidden="false" customHeight="false" outlineLevel="0" collapsed="false">
      <c r="A234" s="13" t="n">
        <v>42678</v>
      </c>
      <c r="B234" s="14" t="n">
        <v>1142.68</v>
      </c>
      <c r="C234" s="14" t="n">
        <v>8.1751</v>
      </c>
      <c r="D234" s="14" t="n">
        <v>1.2546</v>
      </c>
      <c r="E234" s="14" t="n">
        <v>1.1121</v>
      </c>
      <c r="F234" s="14" t="n">
        <v>6.7534</v>
      </c>
      <c r="G234" s="14" t="n">
        <v>3.2411</v>
      </c>
      <c r="H234" s="14" t="n">
        <v>103.02</v>
      </c>
      <c r="I234" s="14" t="n">
        <v>1.1093</v>
      </c>
      <c r="J234" s="14" t="n">
        <v>9.1098</v>
      </c>
      <c r="K234" s="14" t="n">
        <v>1269.41</v>
      </c>
      <c r="L234" s="14" t="n">
        <v>0.88808</v>
      </c>
      <c r="M234" s="14" t="n">
        <v>7.4955</v>
      </c>
      <c r="N234" s="14" t="n">
        <v>3.5996</v>
      </c>
      <c r="O234" s="14" t="n">
        <v>114.24</v>
      </c>
      <c r="P234" s="14" t="n">
        <v>8.2122</v>
      </c>
    </row>
    <row r="235" customFormat="false" ht="15" hidden="false" customHeight="false" outlineLevel="0" collapsed="false">
      <c r="A235" s="13" t="n">
        <v>42681</v>
      </c>
      <c r="B235" s="14" t="n">
        <v>1141.27</v>
      </c>
      <c r="C235" s="14" t="n">
        <v>8.2355</v>
      </c>
      <c r="D235" s="14" t="n">
        <v>1.2403</v>
      </c>
      <c r="E235" s="14" t="n">
        <v>1.1038</v>
      </c>
      <c r="F235" s="14" t="n">
        <v>6.774</v>
      </c>
      <c r="G235" s="14" t="n">
        <v>3.1978</v>
      </c>
      <c r="H235" s="14" t="n">
        <v>104.6</v>
      </c>
      <c r="I235" s="14" t="n">
        <v>1.1062</v>
      </c>
      <c r="J235" s="14" t="n">
        <v>9.1035</v>
      </c>
      <c r="K235" s="14" t="n">
        <v>1264.69</v>
      </c>
      <c r="L235" s="14" t="n">
        <v>0.8904</v>
      </c>
      <c r="M235" s="14" t="n">
        <v>7.4941</v>
      </c>
      <c r="N235" s="14" t="n">
        <v>3.5445</v>
      </c>
      <c r="O235" s="14" t="n">
        <v>115.4</v>
      </c>
      <c r="P235" s="14" t="n">
        <v>8.2295</v>
      </c>
    </row>
    <row r="236" customFormat="false" ht="15" hidden="false" customHeight="false" outlineLevel="0" collapsed="false">
      <c r="A236" s="13" t="n">
        <v>42682</v>
      </c>
      <c r="B236" s="14" t="n">
        <v>1131.39</v>
      </c>
      <c r="C236" s="14" t="n">
        <v>8.2277</v>
      </c>
      <c r="D236" s="14" t="n">
        <v>1.2372</v>
      </c>
      <c r="E236" s="14" t="n">
        <v>1.1034</v>
      </c>
      <c r="F236" s="14" t="n">
        <v>6.784</v>
      </c>
      <c r="G236" s="14" t="n">
        <v>3.1801</v>
      </c>
      <c r="H236" s="14" t="n">
        <v>104.98</v>
      </c>
      <c r="I236" s="14" t="n">
        <v>1.1038</v>
      </c>
      <c r="J236" s="14" t="n">
        <v>9.0753</v>
      </c>
      <c r="K236" s="14" t="n">
        <v>1253.75</v>
      </c>
      <c r="L236" s="14" t="n">
        <v>0.89088</v>
      </c>
      <c r="M236" s="14" t="n">
        <v>7.4919</v>
      </c>
      <c r="N236" s="14" t="n">
        <v>3.5364</v>
      </c>
      <c r="O236" s="14" t="n">
        <v>115.66</v>
      </c>
      <c r="P236" s="14" t="n">
        <v>8.2219</v>
      </c>
    </row>
    <row r="237" customFormat="false" ht="15" hidden="false" customHeight="false" outlineLevel="0" collapsed="false">
      <c r="A237" s="13" t="n">
        <v>42683</v>
      </c>
      <c r="B237" s="14" t="n">
        <v>1150.64</v>
      </c>
      <c r="C237" s="14" t="n">
        <v>8.2885</v>
      </c>
      <c r="D237" s="14" t="n">
        <v>1.2474</v>
      </c>
      <c r="E237" s="14" t="n">
        <v>1.0952</v>
      </c>
      <c r="F237" s="14" t="n">
        <v>6.7769</v>
      </c>
      <c r="G237" s="14" t="n">
        <v>3.2163</v>
      </c>
      <c r="H237" s="14" t="n">
        <v>104.84</v>
      </c>
      <c r="I237" s="14" t="n">
        <v>1.1022</v>
      </c>
      <c r="J237" s="14" t="n">
        <v>9.1193</v>
      </c>
      <c r="K237" s="14" t="n">
        <v>1270.65</v>
      </c>
      <c r="L237" s="14" t="n">
        <v>0.8903</v>
      </c>
      <c r="M237" s="14" t="n">
        <v>7.4771</v>
      </c>
      <c r="N237" s="14" t="n">
        <v>3.5565</v>
      </c>
      <c r="O237" s="14" t="n">
        <v>114.54</v>
      </c>
      <c r="P237" s="14" t="n">
        <v>8.2737</v>
      </c>
    </row>
    <row r="238" customFormat="false" ht="15" hidden="false" customHeight="false" outlineLevel="0" collapsed="false">
      <c r="A238" s="13" t="n">
        <v>42684</v>
      </c>
      <c r="B238" s="14" t="n">
        <v>1162.11</v>
      </c>
      <c r="C238" s="14" t="n">
        <v>8.3883</v>
      </c>
      <c r="D238" s="14" t="n">
        <v>1.2523</v>
      </c>
      <c r="E238" s="14" t="n">
        <v>1.0882</v>
      </c>
      <c r="F238" s="14" t="n">
        <v>6.7987</v>
      </c>
      <c r="G238" s="14" t="n">
        <v>3.3653</v>
      </c>
      <c r="H238" s="14" t="n">
        <v>106.56</v>
      </c>
      <c r="I238" s="14" t="n">
        <v>1.0895</v>
      </c>
      <c r="J238" s="14" t="n">
        <v>9.0733</v>
      </c>
      <c r="K238" s="14" t="n">
        <v>1264.88</v>
      </c>
      <c r="L238" s="14" t="n">
        <v>0.87785</v>
      </c>
      <c r="M238" s="14" t="n">
        <v>7.4065</v>
      </c>
      <c r="N238" s="14" t="n">
        <v>3.5815</v>
      </c>
      <c r="O238" s="14" t="n">
        <v>116.4</v>
      </c>
      <c r="P238" s="14" t="n">
        <v>8.3279</v>
      </c>
    </row>
    <row r="239" customFormat="false" ht="15" hidden="false" customHeight="false" outlineLevel="0" collapsed="false">
      <c r="A239" s="13" t="n">
        <v>42685</v>
      </c>
      <c r="I239" s="14" t="n">
        <v>1.0904</v>
      </c>
      <c r="J239" s="14" t="n">
        <v>9.1148</v>
      </c>
      <c r="K239" s="14" t="n">
        <v>1270.2</v>
      </c>
      <c r="L239" s="14" t="n">
        <v>0.86133</v>
      </c>
      <c r="M239" s="14" t="n">
        <v>7.4198</v>
      </c>
      <c r="N239" s="14" t="n">
        <v>3.7208</v>
      </c>
      <c r="O239" s="14" t="n">
        <v>115.96</v>
      </c>
      <c r="P239" s="14" t="n">
        <v>8.3591</v>
      </c>
    </row>
    <row r="240" customFormat="false" ht="15" hidden="false" customHeight="false" outlineLevel="0" collapsed="false">
      <c r="A240" s="13" t="n">
        <v>42688</v>
      </c>
      <c r="B240" s="14" t="n">
        <v>1171.25</v>
      </c>
      <c r="C240" s="14" t="n">
        <v>8.4973</v>
      </c>
      <c r="D240" s="14" t="n">
        <v>1.2469</v>
      </c>
      <c r="E240" s="14" t="n">
        <v>1.0723</v>
      </c>
      <c r="F240" s="14" t="n">
        <v>6.8447</v>
      </c>
      <c r="G240" s="14" t="n">
        <v>3.4485</v>
      </c>
      <c r="H240" s="14" t="n">
        <v>108.3</v>
      </c>
      <c r="I240" s="14" t="n">
        <v>1.0777</v>
      </c>
      <c r="J240" s="14" t="n">
        <v>9.135</v>
      </c>
      <c r="K240" s="14" t="n">
        <v>1263.99</v>
      </c>
      <c r="L240" s="14" t="n">
        <v>0.85985</v>
      </c>
      <c r="M240" s="14" t="n">
        <v>7.3759</v>
      </c>
      <c r="N240" s="14" t="n">
        <v>3.7153</v>
      </c>
      <c r="O240" s="14" t="n">
        <v>116.27</v>
      </c>
      <c r="P240" s="14" t="n">
        <v>8.4764</v>
      </c>
    </row>
    <row r="241" customFormat="false" ht="15" hidden="false" customHeight="false" outlineLevel="0" collapsed="false">
      <c r="A241" s="13" t="n">
        <v>42689</v>
      </c>
      <c r="B241" s="14" t="n">
        <v>1170.21</v>
      </c>
      <c r="C241" s="14" t="n">
        <v>8.4359</v>
      </c>
      <c r="D241" s="14" t="n">
        <v>1.2422</v>
      </c>
      <c r="E241" s="14" t="n">
        <v>1.0726</v>
      </c>
      <c r="F241" s="14" t="n">
        <v>6.8556</v>
      </c>
      <c r="G241" s="14" t="n">
        <v>3.4479</v>
      </c>
      <c r="H241" s="14" t="n">
        <v>108.94</v>
      </c>
      <c r="I241" s="14" t="n">
        <v>1.0765</v>
      </c>
      <c r="J241" s="14" t="n">
        <v>9.0848</v>
      </c>
      <c r="K241" s="14" t="n">
        <v>1255.15</v>
      </c>
      <c r="L241" s="14" t="n">
        <v>0.86638</v>
      </c>
      <c r="M241" s="14" t="n">
        <v>7.3816</v>
      </c>
      <c r="N241" s="14" t="n">
        <v>3.7006</v>
      </c>
      <c r="O241" s="14" t="n">
        <v>116.55</v>
      </c>
      <c r="P241" s="14" t="n">
        <v>8.4392</v>
      </c>
    </row>
    <row r="242" customFormat="false" ht="15" hidden="false" customHeight="false" outlineLevel="0" collapsed="false">
      <c r="A242" s="13" t="n">
        <v>42690</v>
      </c>
      <c r="B242" s="14" t="n">
        <v>1172.41</v>
      </c>
      <c r="C242" s="14" t="n">
        <v>8.4915</v>
      </c>
      <c r="D242" s="14" t="n">
        <v>1.245</v>
      </c>
      <c r="E242" s="14" t="n">
        <v>1.0699</v>
      </c>
      <c r="F242" s="14" t="n">
        <v>6.877</v>
      </c>
      <c r="G242" s="14" t="n">
        <v>3.4198</v>
      </c>
      <c r="H242" s="14" t="n">
        <v>109.16</v>
      </c>
      <c r="I242" s="14" t="n">
        <v>1.0702</v>
      </c>
      <c r="J242" s="14" t="n">
        <v>9.072</v>
      </c>
      <c r="K242" s="14" t="n">
        <v>1258.36</v>
      </c>
      <c r="L242" s="14" t="n">
        <v>0.8611</v>
      </c>
      <c r="M242" s="14" t="n">
        <v>7.362</v>
      </c>
      <c r="N242" s="14" t="n">
        <v>3.6791</v>
      </c>
      <c r="O242" s="14" t="n">
        <v>117.25</v>
      </c>
      <c r="P242" s="14" t="n">
        <v>8.4769</v>
      </c>
    </row>
    <row r="243" customFormat="false" ht="15" hidden="false" customHeight="false" outlineLevel="0" collapsed="false">
      <c r="A243" s="13" t="n">
        <v>42691</v>
      </c>
      <c r="B243" s="14" t="n">
        <v>1176.03</v>
      </c>
      <c r="C243" s="14" t="n">
        <v>8.5061</v>
      </c>
      <c r="D243" s="14" t="n">
        <v>1.245</v>
      </c>
      <c r="E243" s="14" t="n">
        <v>1.0656</v>
      </c>
      <c r="F243" s="14" t="n">
        <v>6.8674</v>
      </c>
      <c r="G243" s="14" t="n">
        <v>3.4134</v>
      </c>
      <c r="H243" s="14" t="n">
        <v>109.64</v>
      </c>
      <c r="I243" s="14" t="n">
        <v>1.0717</v>
      </c>
      <c r="J243" s="14" t="n">
        <v>9.0878</v>
      </c>
      <c r="K243" s="14" t="n">
        <v>1261.17</v>
      </c>
      <c r="L243" s="14" t="n">
        <v>0.86055</v>
      </c>
      <c r="M243" s="14" t="n">
        <v>7.3621</v>
      </c>
      <c r="N243" s="14" t="n">
        <v>3.655</v>
      </c>
      <c r="O243" s="14" t="n">
        <v>117.12</v>
      </c>
      <c r="P243" s="14" t="n">
        <v>8.4798</v>
      </c>
    </row>
    <row r="244" customFormat="false" ht="15" hidden="false" customHeight="false" outlineLevel="0" collapsed="false">
      <c r="A244" s="13" t="n">
        <v>42692</v>
      </c>
      <c r="B244" s="14" t="n">
        <v>1177.71</v>
      </c>
      <c r="C244" s="14" t="n">
        <v>8.585</v>
      </c>
      <c r="D244" s="14" t="n">
        <v>1.2327</v>
      </c>
      <c r="E244" s="14" t="n">
        <v>1.06</v>
      </c>
      <c r="F244" s="14" t="n">
        <v>6.8873</v>
      </c>
      <c r="G244" s="14" t="n">
        <v>3.3894</v>
      </c>
      <c r="H244" s="14" t="n">
        <v>110.51</v>
      </c>
      <c r="I244" s="14" t="n">
        <v>1.0629</v>
      </c>
      <c r="J244" s="14" t="n">
        <v>9.1038</v>
      </c>
      <c r="K244" s="14" t="n">
        <v>1250.14</v>
      </c>
      <c r="L244" s="14" t="n">
        <v>0.86218</v>
      </c>
      <c r="M244" s="14" t="n">
        <v>7.3156</v>
      </c>
      <c r="N244" s="14" t="n">
        <v>3.6049</v>
      </c>
      <c r="O244" s="14" t="n">
        <v>116.95</v>
      </c>
      <c r="P244" s="14" t="n">
        <v>8.5651</v>
      </c>
    </row>
    <row r="245" customFormat="false" ht="15" hidden="false" customHeight="false" outlineLevel="0" collapsed="false">
      <c r="A245" s="13" t="n">
        <v>42695</v>
      </c>
      <c r="B245" s="14" t="n">
        <v>1178.51</v>
      </c>
      <c r="C245" s="14" t="n">
        <v>8.563</v>
      </c>
      <c r="D245" s="14" t="n">
        <v>1.2474</v>
      </c>
      <c r="E245" s="14" t="n">
        <v>1.0597</v>
      </c>
      <c r="F245" s="14" t="n">
        <v>6.8918</v>
      </c>
      <c r="G245" s="14" t="n">
        <v>3.3585</v>
      </c>
      <c r="H245" s="14" t="n">
        <v>111.12</v>
      </c>
      <c r="I245" s="14" t="n">
        <v>1.0631</v>
      </c>
      <c r="J245" s="14" t="n">
        <v>9.0843</v>
      </c>
      <c r="K245" s="14" t="n">
        <v>1251.35</v>
      </c>
      <c r="L245" s="14" t="n">
        <v>0.85725</v>
      </c>
      <c r="M245" s="14" t="n">
        <v>7.3293</v>
      </c>
      <c r="N245" s="14" t="n">
        <v>3.5667</v>
      </c>
      <c r="O245" s="14" t="n">
        <v>117.59</v>
      </c>
      <c r="P245" s="14" t="n">
        <v>8.5451</v>
      </c>
    </row>
    <row r="246" customFormat="false" ht="15" hidden="false" customHeight="false" outlineLevel="0" collapsed="false">
      <c r="A246" s="13" t="n">
        <v>42696</v>
      </c>
      <c r="B246" s="14" t="n">
        <v>1173.25</v>
      </c>
      <c r="C246" s="14" t="n">
        <v>8.5354</v>
      </c>
      <c r="D246" s="14" t="n">
        <v>1.2424</v>
      </c>
      <c r="E246" s="14" t="n">
        <v>1.0618</v>
      </c>
      <c r="F246" s="14" t="n">
        <v>6.888</v>
      </c>
      <c r="G246" s="14" t="n">
        <v>3.3595</v>
      </c>
      <c r="H246" s="14" t="n">
        <v>110.98</v>
      </c>
      <c r="I246" s="14" t="n">
        <v>1.0617</v>
      </c>
      <c r="J246" s="14" t="n">
        <v>9.0563</v>
      </c>
      <c r="K246" s="14" t="n">
        <v>1246.9</v>
      </c>
      <c r="L246" s="14" t="n">
        <v>0.85423</v>
      </c>
      <c r="M246" s="14" t="n">
        <v>7.31</v>
      </c>
      <c r="N246" s="14" t="n">
        <v>3.5497</v>
      </c>
      <c r="O246" s="14" t="n">
        <v>117.74</v>
      </c>
      <c r="P246" s="14" t="n">
        <v>8.53</v>
      </c>
    </row>
    <row r="247" customFormat="false" ht="15" hidden="false" customHeight="false" outlineLevel="0" collapsed="false">
      <c r="A247" s="13" t="n">
        <v>42697</v>
      </c>
      <c r="B247" s="14" t="n">
        <v>1181.57</v>
      </c>
      <c r="C247" s="14" t="n">
        <v>8.6025</v>
      </c>
      <c r="D247" s="14" t="n">
        <v>1.2458</v>
      </c>
      <c r="E247" s="14" t="n">
        <v>1.056</v>
      </c>
      <c r="F247" s="14" t="n">
        <v>6.9195</v>
      </c>
      <c r="G247" s="14" t="n">
        <v>3.3945</v>
      </c>
      <c r="H247" s="14" t="n">
        <v>112.58</v>
      </c>
      <c r="I247" s="14" t="n">
        <v>1.0602</v>
      </c>
      <c r="J247" s="14" t="n">
        <v>9.068</v>
      </c>
      <c r="K247" s="14" t="n">
        <v>1248.2</v>
      </c>
      <c r="L247" s="14" t="n">
        <v>0.85393</v>
      </c>
      <c r="M247" s="14" t="n">
        <v>7.3157</v>
      </c>
      <c r="N247" s="14" t="n">
        <v>3.586</v>
      </c>
      <c r="O247" s="14" t="n">
        <v>118.04</v>
      </c>
      <c r="P247" s="14" t="n">
        <v>8.5531</v>
      </c>
    </row>
    <row r="248" customFormat="false" ht="15" hidden="false" customHeight="false" outlineLevel="0" collapsed="false">
      <c r="A248" s="13" t="n">
        <v>42698</v>
      </c>
      <c r="I248" s="14" t="n">
        <v>1.0548</v>
      </c>
      <c r="J248" s="14" t="n">
        <v>9.0858</v>
      </c>
      <c r="K248" s="14" t="n">
        <v>1246.47</v>
      </c>
      <c r="L248" s="14" t="n">
        <v>0.848</v>
      </c>
      <c r="M248" s="14" t="n">
        <v>7.2988</v>
      </c>
      <c r="N248" s="14" t="n">
        <v>3.5909</v>
      </c>
      <c r="O248" s="14" t="n">
        <v>119.43</v>
      </c>
      <c r="P248" s="14" t="n">
        <v>8.6138</v>
      </c>
    </row>
    <row r="249" customFormat="false" ht="15" hidden="false" customHeight="false" outlineLevel="0" collapsed="false">
      <c r="A249" s="13" t="n">
        <v>42699</v>
      </c>
      <c r="B249" s="14" t="n">
        <v>1174.99</v>
      </c>
      <c r="C249" s="14" t="n">
        <v>8.5757</v>
      </c>
      <c r="D249" s="14" t="n">
        <v>1.2462</v>
      </c>
      <c r="E249" s="14" t="n">
        <v>1.0595</v>
      </c>
      <c r="F249" s="14" t="n">
        <v>6.9176</v>
      </c>
      <c r="G249" s="14" t="n">
        <v>3.4229</v>
      </c>
      <c r="H249" s="14" t="n">
        <v>113.17</v>
      </c>
      <c r="I249" s="14" t="n">
        <v>1.0592</v>
      </c>
      <c r="J249" s="14" t="n">
        <v>9.069</v>
      </c>
      <c r="K249" s="14" t="n">
        <v>1247.03</v>
      </c>
      <c r="L249" s="14" t="n">
        <v>0.85182</v>
      </c>
      <c r="M249" s="14" t="n">
        <v>7.3295</v>
      </c>
      <c r="N249" s="14" t="n">
        <v>3.6394</v>
      </c>
      <c r="O249" s="14" t="n">
        <v>119.73</v>
      </c>
      <c r="P249" s="14" t="n">
        <v>8.5621</v>
      </c>
    </row>
    <row r="250" customFormat="false" ht="15" hidden="false" customHeight="false" outlineLevel="0" collapsed="false">
      <c r="A250" s="13" t="n">
        <v>42702</v>
      </c>
      <c r="B250" s="14" t="n">
        <v>1170.53</v>
      </c>
      <c r="C250" s="14" t="n">
        <v>8.5702</v>
      </c>
      <c r="D250" s="14" t="n">
        <v>1.2411</v>
      </c>
      <c r="E250" s="14" t="n">
        <v>1.0576</v>
      </c>
      <c r="F250" s="14" t="n">
        <v>6.9055</v>
      </c>
      <c r="G250" s="14" t="n">
        <v>3.3871</v>
      </c>
      <c r="H250" s="14" t="n">
        <v>112.36</v>
      </c>
      <c r="I250" s="14" t="n">
        <v>1.0588</v>
      </c>
      <c r="J250" s="14" t="n">
        <v>9.0848</v>
      </c>
      <c r="K250" s="14" t="n">
        <v>1243.58</v>
      </c>
      <c r="L250" s="14" t="n">
        <v>0.85303</v>
      </c>
      <c r="M250" s="14" t="n">
        <v>7.315</v>
      </c>
      <c r="N250" s="14" t="n">
        <v>3.5909</v>
      </c>
      <c r="O250" s="14" t="n">
        <v>119.25</v>
      </c>
      <c r="P250" s="14" t="n">
        <v>8.5803</v>
      </c>
    </row>
    <row r="251" customFormat="false" ht="15" hidden="false" customHeight="false" outlineLevel="0" collapsed="false">
      <c r="A251" s="13" t="n">
        <v>42703</v>
      </c>
      <c r="B251" s="14" t="n">
        <v>1169.99</v>
      </c>
      <c r="C251" s="14" t="n">
        <v>8.546</v>
      </c>
      <c r="D251" s="14" t="n">
        <v>1.2505</v>
      </c>
      <c r="E251" s="14" t="n">
        <v>1.0626</v>
      </c>
      <c r="F251" s="14" t="n">
        <v>6.8933</v>
      </c>
      <c r="G251" s="14" t="n">
        <v>3.4011</v>
      </c>
      <c r="H251" s="14" t="n">
        <v>112.78</v>
      </c>
      <c r="I251" s="14" t="n">
        <v>1.0576</v>
      </c>
      <c r="J251" s="14" t="n">
        <v>9.0765</v>
      </c>
      <c r="K251" s="14" t="n">
        <v>1241.38</v>
      </c>
      <c r="L251" s="14" t="n">
        <v>0.84815</v>
      </c>
      <c r="M251" s="14" t="n">
        <v>7.2972</v>
      </c>
      <c r="N251" s="14" t="n">
        <v>3.6009</v>
      </c>
      <c r="O251" s="14" t="n">
        <v>119.48</v>
      </c>
      <c r="P251" s="14" t="n">
        <v>8.5822</v>
      </c>
    </row>
    <row r="252" customFormat="false" ht="15" hidden="false" customHeight="false" outlineLevel="0" collapsed="false">
      <c r="A252" s="13" t="n">
        <v>42704</v>
      </c>
      <c r="B252" s="14" t="n">
        <v>1175.87</v>
      </c>
      <c r="C252" s="14" t="n">
        <v>8.5223</v>
      </c>
      <c r="D252" s="14" t="n">
        <v>1.2481</v>
      </c>
      <c r="E252" s="14" t="n">
        <v>1.0578</v>
      </c>
      <c r="F252" s="14" t="n">
        <v>6.8837</v>
      </c>
      <c r="G252" s="14" t="n">
        <v>3.3854</v>
      </c>
      <c r="H252" s="14" t="n">
        <v>114.34</v>
      </c>
      <c r="I252" s="14" t="n">
        <v>1.0635</v>
      </c>
      <c r="J252" s="14" t="n">
        <v>9.019</v>
      </c>
      <c r="K252" s="14" t="n">
        <v>1247.37</v>
      </c>
      <c r="L252" s="14" t="n">
        <v>0.8525</v>
      </c>
      <c r="M252" s="14" t="n">
        <v>7.3205</v>
      </c>
      <c r="N252" s="14" t="n">
        <v>3.6118</v>
      </c>
      <c r="O252" s="14" t="n">
        <v>120.48</v>
      </c>
      <c r="P252" s="14" t="n">
        <v>8.4805</v>
      </c>
    </row>
    <row r="253" customFormat="false" ht="15" hidden="false" customHeight="false" outlineLevel="0" collapsed="false">
      <c r="A253" s="13" t="n">
        <v>42705</v>
      </c>
      <c r="B253" s="14" t="n">
        <v>1167.31</v>
      </c>
      <c r="C253" s="14" t="n">
        <v>8.4446</v>
      </c>
      <c r="D253" s="14" t="n">
        <v>1.2596</v>
      </c>
      <c r="E253" s="14" t="n">
        <v>1.0634</v>
      </c>
      <c r="F253" s="14" t="n">
        <v>6.883</v>
      </c>
      <c r="G253" s="14" t="n">
        <v>3.4717</v>
      </c>
      <c r="H253" s="14" t="n">
        <v>114.34</v>
      </c>
      <c r="I253" s="14" t="n">
        <v>1.0627</v>
      </c>
      <c r="J253" s="14" t="n">
        <v>8.9628</v>
      </c>
      <c r="K253" s="14" t="n">
        <v>1241.64</v>
      </c>
      <c r="L253" s="14" t="n">
        <v>0.84098</v>
      </c>
      <c r="M253" s="14" t="n">
        <v>7.3176</v>
      </c>
      <c r="N253" s="14" t="n">
        <v>3.6597</v>
      </c>
      <c r="O253" s="14" t="n">
        <v>121.39</v>
      </c>
      <c r="P253" s="14" t="n">
        <v>8.434</v>
      </c>
    </row>
    <row r="254" customFormat="false" ht="15" hidden="false" customHeight="false" outlineLevel="0" collapsed="false">
      <c r="A254" s="13" t="n">
        <v>42706</v>
      </c>
      <c r="B254" s="14" t="n">
        <v>1167.7</v>
      </c>
      <c r="C254" s="14" t="n">
        <v>8.4152</v>
      </c>
      <c r="D254" s="14" t="n">
        <v>1.2685</v>
      </c>
      <c r="E254" s="14" t="n">
        <v>1.0666</v>
      </c>
      <c r="F254" s="14" t="n">
        <v>6.883</v>
      </c>
      <c r="G254" s="14" t="n">
        <v>3.4576</v>
      </c>
      <c r="H254" s="14" t="n">
        <v>113.76</v>
      </c>
      <c r="I254" s="14" t="n">
        <v>1.0642</v>
      </c>
      <c r="J254" s="14" t="n">
        <v>8.986</v>
      </c>
      <c r="K254" s="14" t="n">
        <v>1247.36</v>
      </c>
      <c r="L254" s="14" t="n">
        <v>0.84303</v>
      </c>
      <c r="M254" s="14" t="n">
        <v>7.331</v>
      </c>
      <c r="N254" s="14" t="n">
        <v>3.6909</v>
      </c>
      <c r="O254" s="14" t="n">
        <v>121.2</v>
      </c>
      <c r="P254" s="14" t="n">
        <v>8.4439</v>
      </c>
    </row>
    <row r="255" customFormat="false" ht="15" hidden="false" customHeight="false" outlineLevel="0" collapsed="false">
      <c r="A255" s="13" t="n">
        <v>42709</v>
      </c>
      <c r="B255" s="14" t="n">
        <v>1168.11</v>
      </c>
      <c r="C255" s="14" t="n">
        <v>8.3801</v>
      </c>
      <c r="D255" s="14" t="n">
        <v>1.2708</v>
      </c>
      <c r="E255" s="14" t="n">
        <v>1.0723</v>
      </c>
      <c r="F255" s="14" t="n">
        <v>6.8775</v>
      </c>
      <c r="G255" s="14" t="n">
        <v>3.4314</v>
      </c>
      <c r="H255" s="14" t="n">
        <v>114.1</v>
      </c>
      <c r="I255" s="14" t="n">
        <v>1.0702</v>
      </c>
      <c r="J255" s="14" t="n">
        <v>8.984</v>
      </c>
      <c r="K255" s="14" t="n">
        <v>1254.48</v>
      </c>
      <c r="L255" s="14" t="n">
        <v>0.84168</v>
      </c>
      <c r="M255" s="14" t="n">
        <v>7.3662</v>
      </c>
      <c r="N255" s="14" t="n">
        <v>3.7044</v>
      </c>
      <c r="O255" s="14" t="n">
        <v>122.32</v>
      </c>
      <c r="P255" s="14" t="n">
        <v>8.3947</v>
      </c>
    </row>
    <row r="256" customFormat="false" ht="15" hidden="false" customHeight="false" outlineLevel="0" collapsed="false">
      <c r="A256" s="13" t="n">
        <v>42710</v>
      </c>
      <c r="B256" s="14" t="n">
        <v>1171.5</v>
      </c>
      <c r="C256" s="14" t="n">
        <v>8.3907</v>
      </c>
      <c r="D256" s="14" t="n">
        <v>1.2706</v>
      </c>
      <c r="E256" s="14" t="n">
        <v>1.0717</v>
      </c>
      <c r="F256" s="14" t="n">
        <v>6.879</v>
      </c>
      <c r="G256" s="14" t="n">
        <v>3.4269</v>
      </c>
      <c r="H256" s="14" t="n">
        <v>113.98</v>
      </c>
      <c r="I256" s="14" t="n">
        <v>1.0734</v>
      </c>
      <c r="J256" s="14" t="n">
        <v>8.9803</v>
      </c>
      <c r="K256" s="14" t="n">
        <v>1255.21</v>
      </c>
      <c r="L256" s="14" t="n">
        <v>0.8421</v>
      </c>
      <c r="M256" s="14" t="n">
        <v>7.3861</v>
      </c>
      <c r="N256" s="14" t="n">
        <v>3.6837</v>
      </c>
      <c r="O256" s="14" t="n">
        <v>122.28</v>
      </c>
      <c r="P256" s="14" t="n">
        <v>8.3662</v>
      </c>
    </row>
    <row r="257" customFormat="false" ht="15" hidden="false" customHeight="false" outlineLevel="0" collapsed="false">
      <c r="A257" s="13" t="n">
        <v>42711</v>
      </c>
      <c r="B257" s="14" t="n">
        <v>1161.67</v>
      </c>
      <c r="C257" s="14" t="n">
        <v>8.3641</v>
      </c>
      <c r="D257" s="14" t="n">
        <v>1.2604</v>
      </c>
      <c r="E257" s="14" t="n">
        <v>1.0758</v>
      </c>
      <c r="F257" s="14" t="n">
        <v>6.878</v>
      </c>
      <c r="G257" s="14" t="n">
        <v>3.3977</v>
      </c>
      <c r="H257" s="14" t="n">
        <v>113.5</v>
      </c>
      <c r="I257" s="14" t="n">
        <v>1.073</v>
      </c>
      <c r="J257" s="14" t="n">
        <v>8.9908</v>
      </c>
      <c r="K257" s="14" t="n">
        <v>1247.57</v>
      </c>
      <c r="L257" s="14" t="n">
        <v>0.85095</v>
      </c>
      <c r="M257" s="14" t="n">
        <v>7.3836</v>
      </c>
      <c r="N257" s="14" t="n">
        <v>3.6457</v>
      </c>
      <c r="O257" s="14" t="n">
        <v>122.42</v>
      </c>
      <c r="P257" s="14" t="n">
        <v>8.3791</v>
      </c>
    </row>
    <row r="258" customFormat="false" ht="15" hidden="false" customHeight="false" outlineLevel="0" collapsed="false">
      <c r="A258" s="13" t="n">
        <v>42712</v>
      </c>
      <c r="B258" s="14" t="n">
        <v>1162.49</v>
      </c>
      <c r="C258" s="14" t="n">
        <v>8.4326</v>
      </c>
      <c r="D258" s="14" t="n">
        <v>1.2574</v>
      </c>
      <c r="E258" s="14" t="n">
        <v>1.0625</v>
      </c>
      <c r="F258" s="14" t="n">
        <v>6.8771</v>
      </c>
      <c r="G258" s="14" t="n">
        <v>3.3798</v>
      </c>
      <c r="H258" s="14" t="n">
        <v>114.16</v>
      </c>
      <c r="I258" s="14" t="n">
        <v>1.0762</v>
      </c>
      <c r="J258" s="14" t="n">
        <v>9.0145</v>
      </c>
      <c r="K258" s="14" t="n">
        <v>1250.03</v>
      </c>
      <c r="L258" s="14" t="n">
        <v>0.84995</v>
      </c>
      <c r="M258" s="14" t="n">
        <v>7.4041</v>
      </c>
      <c r="N258" s="14" t="n">
        <v>3.6599</v>
      </c>
      <c r="O258" s="14" t="n">
        <v>122.61</v>
      </c>
      <c r="P258" s="14" t="n">
        <v>8.3762</v>
      </c>
    </row>
    <row r="259" customFormat="false" ht="15" hidden="false" customHeight="false" outlineLevel="0" collapsed="false">
      <c r="A259" s="13" t="n">
        <v>42713</v>
      </c>
      <c r="B259" s="14" t="n">
        <v>1171.88</v>
      </c>
      <c r="C259" s="14" t="n">
        <v>8.5199</v>
      </c>
      <c r="D259" s="14" t="n">
        <v>1.259</v>
      </c>
      <c r="E259" s="14" t="n">
        <v>1.0541</v>
      </c>
      <c r="F259" s="14" t="n">
        <v>6.9042</v>
      </c>
      <c r="G259" s="14" t="n">
        <v>3.3595</v>
      </c>
      <c r="H259" s="14" t="n">
        <v>115.17</v>
      </c>
      <c r="I259" s="14" t="n">
        <v>1.0559</v>
      </c>
      <c r="J259" s="14" t="n">
        <v>8.9805</v>
      </c>
      <c r="K259" s="14" t="n">
        <v>1237</v>
      </c>
      <c r="L259" s="14" t="n">
        <v>0.83935</v>
      </c>
      <c r="M259" s="14" t="n">
        <v>7.2931</v>
      </c>
      <c r="N259" s="14" t="n">
        <v>3.5815</v>
      </c>
      <c r="O259" s="14" t="n">
        <v>121.48</v>
      </c>
      <c r="P259" s="14" t="n">
        <v>8.5051</v>
      </c>
    </row>
    <row r="260" customFormat="false" ht="15" hidden="false" customHeight="false" outlineLevel="0" collapsed="false">
      <c r="A260" s="13" t="n">
        <v>42716</v>
      </c>
      <c r="B260" s="14" t="n">
        <v>1164.37</v>
      </c>
      <c r="C260" s="14" t="n">
        <v>8.4506</v>
      </c>
      <c r="D260" s="14" t="n">
        <v>1.2677</v>
      </c>
      <c r="E260" s="14" t="n">
        <v>1.0606</v>
      </c>
      <c r="F260" s="14" t="n">
        <v>6.9045</v>
      </c>
      <c r="G260" s="14" t="n">
        <v>3.3505</v>
      </c>
      <c r="H260" s="14" t="n">
        <v>115.34</v>
      </c>
      <c r="I260" s="14" t="n">
        <v>1.0596</v>
      </c>
      <c r="J260" s="14" t="n">
        <v>8.9498</v>
      </c>
      <c r="K260" s="14" t="n">
        <v>1237.73</v>
      </c>
      <c r="L260" s="14" t="n">
        <v>0.839</v>
      </c>
      <c r="M260" s="14" t="n">
        <v>7.3225</v>
      </c>
      <c r="N260" s="14" t="n">
        <v>3.5953</v>
      </c>
      <c r="O260" s="14" t="n">
        <v>122.69</v>
      </c>
      <c r="P260" s="14" t="n">
        <v>8.4464</v>
      </c>
    </row>
    <row r="261" customFormat="false" ht="15" hidden="false" customHeight="false" outlineLevel="0" collapsed="false">
      <c r="A261" s="13" t="n">
        <v>42717</v>
      </c>
      <c r="B261" s="14" t="n">
        <v>1164.65</v>
      </c>
      <c r="C261" s="14" t="n">
        <v>8.4178</v>
      </c>
      <c r="D261" s="14" t="n">
        <v>1.2685</v>
      </c>
      <c r="E261" s="14" t="n">
        <v>1.0635</v>
      </c>
      <c r="F261" s="14" t="n">
        <v>6.8984</v>
      </c>
      <c r="G261" s="14" t="n">
        <v>3.3308</v>
      </c>
      <c r="H261" s="14" t="n">
        <v>115.26</v>
      </c>
      <c r="I261" s="14" t="n">
        <v>1.061</v>
      </c>
      <c r="J261" s="14" t="n">
        <v>8.9495</v>
      </c>
      <c r="K261" s="14" t="n">
        <v>1237.88</v>
      </c>
      <c r="L261" s="14" t="n">
        <v>0.83488</v>
      </c>
      <c r="M261" s="14" t="n">
        <v>7.3233</v>
      </c>
      <c r="N261" s="14" t="n">
        <v>3.5325</v>
      </c>
      <c r="O261" s="14" t="n">
        <v>122.27</v>
      </c>
      <c r="P261" s="14" t="n">
        <v>8.435</v>
      </c>
    </row>
    <row r="262" customFormat="false" ht="15" hidden="false" customHeight="false" outlineLevel="0" collapsed="false">
      <c r="A262" s="13" t="n">
        <v>42718</v>
      </c>
      <c r="B262" s="14" t="n">
        <v>1165.13</v>
      </c>
      <c r="C262" s="14" t="n">
        <v>8.4628</v>
      </c>
      <c r="D262" s="14" t="n">
        <v>1.2706</v>
      </c>
      <c r="E262" s="14" t="n">
        <v>1.0656</v>
      </c>
      <c r="F262" s="14" t="n">
        <v>6.9025</v>
      </c>
      <c r="G262" s="14" t="n">
        <v>3.3332</v>
      </c>
      <c r="H262" s="14" t="n">
        <v>115.06</v>
      </c>
      <c r="I262" s="14" t="n">
        <v>1.0644</v>
      </c>
      <c r="J262" s="14" t="n">
        <v>9.0223</v>
      </c>
      <c r="K262" s="14" t="n">
        <v>1241.1</v>
      </c>
      <c r="L262" s="14" t="n">
        <v>0.83963</v>
      </c>
      <c r="M262" s="14" t="n">
        <v>7.3499</v>
      </c>
      <c r="N262" s="14" t="n">
        <v>3.5242</v>
      </c>
      <c r="O262" s="14" t="n">
        <v>122.39</v>
      </c>
      <c r="P262" s="14" t="n">
        <v>8.4764</v>
      </c>
    </row>
    <row r="263" customFormat="false" ht="15" hidden="false" customHeight="false" outlineLevel="0" collapsed="false">
      <c r="A263" s="13" t="n">
        <v>42719</v>
      </c>
      <c r="B263" s="14" t="n">
        <v>1185.35</v>
      </c>
      <c r="C263" s="14" t="n">
        <v>8.6916</v>
      </c>
      <c r="D263" s="14" t="n">
        <v>1.2389</v>
      </c>
      <c r="E263" s="14" t="n">
        <v>1.0375</v>
      </c>
      <c r="F263" s="14" t="n">
        <v>6.941</v>
      </c>
      <c r="G263" s="14" t="n">
        <v>3.3933</v>
      </c>
      <c r="H263" s="14" t="n">
        <v>118.32</v>
      </c>
      <c r="I263" s="14" t="n">
        <v>1.0419</v>
      </c>
      <c r="J263" s="14" t="n">
        <v>8.9993</v>
      </c>
      <c r="K263" s="14" t="n">
        <v>1235.83</v>
      </c>
      <c r="L263" s="14" t="n">
        <v>0.83598</v>
      </c>
      <c r="M263" s="14" t="n">
        <v>7.2262</v>
      </c>
      <c r="N263" s="14" t="n">
        <v>3.5298</v>
      </c>
      <c r="O263" s="14" t="n">
        <v>123.03</v>
      </c>
      <c r="P263" s="14" t="n">
        <v>8.6374</v>
      </c>
    </row>
    <row r="264" customFormat="false" ht="15" hidden="false" customHeight="false" outlineLevel="0" collapsed="false">
      <c r="A264" s="13" t="n">
        <v>42720</v>
      </c>
      <c r="B264" s="14" t="n">
        <v>1183.72</v>
      </c>
      <c r="C264" s="14" t="n">
        <v>8.6706</v>
      </c>
      <c r="D264" s="14" t="n">
        <v>1.2478</v>
      </c>
      <c r="E264" s="14" t="n">
        <v>1.0456</v>
      </c>
      <c r="F264" s="14" t="n">
        <v>6.958</v>
      </c>
      <c r="G264" s="14" t="n">
        <v>3.386</v>
      </c>
      <c r="H264" s="14" t="n">
        <v>117.74</v>
      </c>
      <c r="I264" s="14" t="n">
        <v>1.0439</v>
      </c>
      <c r="J264" s="14" t="n">
        <v>9.0623</v>
      </c>
      <c r="K264" s="14" t="n">
        <v>1239.53</v>
      </c>
      <c r="L264" s="14" t="n">
        <v>0.8389</v>
      </c>
      <c r="M264" s="14" t="n">
        <v>7.2635</v>
      </c>
      <c r="N264" s="14" t="n">
        <v>3.5081</v>
      </c>
      <c r="O264" s="14" t="n">
        <v>123.38</v>
      </c>
      <c r="P264" s="14" t="n">
        <v>8.6812</v>
      </c>
    </row>
    <row r="265" customFormat="false" ht="15" hidden="false" customHeight="false" outlineLevel="0" collapsed="false">
      <c r="A265" s="13" t="n">
        <v>42723</v>
      </c>
      <c r="B265" s="14" t="n">
        <v>1187.71</v>
      </c>
      <c r="C265" s="14" t="n">
        <v>8.6555</v>
      </c>
      <c r="D265" s="14" t="n">
        <v>1.2419</v>
      </c>
      <c r="E265" s="14" t="n">
        <v>1.0444</v>
      </c>
      <c r="F265" s="14" t="n">
        <v>6.9506</v>
      </c>
      <c r="G265" s="14" t="n">
        <v>3.3725</v>
      </c>
      <c r="H265" s="14" t="n">
        <v>116.6</v>
      </c>
      <c r="I265" s="14" t="n">
        <v>1.0422</v>
      </c>
      <c r="J265" s="14" t="n">
        <v>9.0485</v>
      </c>
      <c r="K265" s="14" t="n">
        <v>1238.96</v>
      </c>
      <c r="L265" s="14" t="n">
        <v>0.8414</v>
      </c>
      <c r="M265" s="14" t="n">
        <v>7.2467</v>
      </c>
      <c r="N265" s="14" t="n">
        <v>3.5191</v>
      </c>
      <c r="O265" s="14" t="n">
        <v>122.19</v>
      </c>
      <c r="P265" s="14" t="n">
        <v>8.6821</v>
      </c>
    </row>
    <row r="266" customFormat="false" ht="15" hidden="false" customHeight="false" outlineLevel="0" collapsed="false">
      <c r="A266" s="13" t="n">
        <v>42724</v>
      </c>
      <c r="B266" s="14" t="n">
        <v>1192.13</v>
      </c>
      <c r="C266" s="14" t="n">
        <v>8.6995</v>
      </c>
      <c r="D266" s="14" t="n">
        <v>1.2358</v>
      </c>
      <c r="E266" s="14" t="n">
        <v>1.039</v>
      </c>
      <c r="F266" s="14" t="n">
        <v>6.947</v>
      </c>
      <c r="G266" s="14" t="n">
        <v>3.3631</v>
      </c>
      <c r="H266" s="14" t="n">
        <v>117.86</v>
      </c>
      <c r="I266" s="14" t="n">
        <v>1.0364</v>
      </c>
      <c r="J266" s="14" t="n">
        <v>9.0343</v>
      </c>
      <c r="K266" s="14" t="n">
        <v>1238.45</v>
      </c>
      <c r="L266" s="14" t="n">
        <v>0.83978</v>
      </c>
      <c r="M266" s="14" t="n">
        <v>7.2104</v>
      </c>
      <c r="N266" s="14" t="n">
        <v>3.4801</v>
      </c>
      <c r="O266" s="14" t="n">
        <v>122.43</v>
      </c>
      <c r="P266" s="14" t="n">
        <v>8.717</v>
      </c>
    </row>
    <row r="267" customFormat="false" ht="15" hidden="false" customHeight="false" outlineLevel="0" collapsed="false">
      <c r="A267" s="13" t="n">
        <v>42725</v>
      </c>
      <c r="B267" s="14" t="n">
        <v>1193.91</v>
      </c>
      <c r="C267" s="14" t="n">
        <v>8.6671</v>
      </c>
      <c r="D267" s="14" t="n">
        <v>1.2348</v>
      </c>
      <c r="E267" s="14" t="n">
        <v>1.0425</v>
      </c>
      <c r="F267" s="14" t="n">
        <v>6.939</v>
      </c>
      <c r="G267" s="14" t="n">
        <v>3.3335</v>
      </c>
      <c r="H267" s="14" t="n">
        <v>117.79</v>
      </c>
      <c r="I267" s="14" t="n">
        <v>1.0421</v>
      </c>
      <c r="J267" s="14" t="n">
        <v>9.026</v>
      </c>
      <c r="K267" s="14" t="n">
        <v>1243.87</v>
      </c>
      <c r="L267" s="14" t="n">
        <v>0.8424</v>
      </c>
      <c r="M267" s="14" t="n">
        <v>7.2369</v>
      </c>
      <c r="N267" s="14" t="n">
        <v>3.4729</v>
      </c>
      <c r="O267" s="14" t="n">
        <v>122.31</v>
      </c>
      <c r="P267" s="14" t="n">
        <v>8.6614</v>
      </c>
    </row>
    <row r="268" customFormat="false" ht="15" hidden="false" customHeight="false" outlineLevel="0" collapsed="false">
      <c r="A268" s="13" t="n">
        <v>42726</v>
      </c>
      <c r="B268" s="14" t="n">
        <v>1204.65</v>
      </c>
      <c r="C268" s="14" t="n">
        <v>8.7014</v>
      </c>
      <c r="D268" s="14" t="n">
        <v>1.2301</v>
      </c>
      <c r="E268" s="14" t="n">
        <v>1.0452</v>
      </c>
      <c r="F268" s="14" t="n">
        <v>6.9473</v>
      </c>
      <c r="G268" s="14" t="n">
        <v>3.3153</v>
      </c>
      <c r="H268" s="14" t="n">
        <v>117.48</v>
      </c>
      <c r="I268" s="14" t="n">
        <v>1.0444</v>
      </c>
      <c r="J268" s="14" t="n">
        <v>9.0975</v>
      </c>
      <c r="K268" s="14" t="n">
        <v>1257.21</v>
      </c>
      <c r="L268" s="14" t="n">
        <v>0.84645</v>
      </c>
      <c r="M268" s="14" t="n">
        <v>7.256</v>
      </c>
      <c r="N268" s="14" t="n">
        <v>3.4761</v>
      </c>
      <c r="O268" s="14" t="n">
        <v>122.86</v>
      </c>
      <c r="P268" s="14" t="n">
        <v>8.7107</v>
      </c>
    </row>
    <row r="269" customFormat="false" ht="15" hidden="false" customHeight="false" outlineLevel="0" collapsed="false">
      <c r="A269" s="13" t="n">
        <v>42727</v>
      </c>
      <c r="B269" s="14" t="n">
        <v>1201.51</v>
      </c>
      <c r="C269" s="14" t="n">
        <v>8.7043</v>
      </c>
      <c r="D269" s="14" t="n">
        <v>1.2252</v>
      </c>
      <c r="E269" s="14" t="n">
        <v>1.0449</v>
      </c>
      <c r="F269" s="14" t="n">
        <v>6.9432</v>
      </c>
      <c r="G269" s="14" t="n">
        <v>3.2687</v>
      </c>
      <c r="H269" s="14" t="n">
        <v>117.22</v>
      </c>
      <c r="I269" s="14" t="n">
        <v>1.0446</v>
      </c>
      <c r="J269" s="14" t="n">
        <v>9.0928</v>
      </c>
      <c r="K269" s="14" t="n">
        <v>1257.59</v>
      </c>
      <c r="L269" s="14" t="n">
        <v>0.85278</v>
      </c>
      <c r="M269" s="14" t="n">
        <v>7.2555</v>
      </c>
      <c r="N269" s="14" t="n">
        <v>3.4146</v>
      </c>
      <c r="O269" s="14" t="n">
        <v>122.6</v>
      </c>
      <c r="P269" s="14" t="n">
        <v>8.7046</v>
      </c>
    </row>
    <row r="270" customFormat="false" ht="15" hidden="false" customHeight="false" outlineLevel="0" collapsed="false">
      <c r="A270" s="13" t="n">
        <v>42730</v>
      </c>
    </row>
    <row r="271" customFormat="false" ht="15" hidden="false" customHeight="false" outlineLevel="0" collapsed="false">
      <c r="A271" s="13" t="n">
        <v>42731</v>
      </c>
      <c r="B271" s="14" t="n">
        <v>1207.68</v>
      </c>
      <c r="C271" s="14" t="n">
        <v>8.7092</v>
      </c>
      <c r="D271" s="14" t="n">
        <v>1.2261</v>
      </c>
      <c r="E271" s="14" t="n">
        <v>1.0458</v>
      </c>
      <c r="F271" s="14" t="n">
        <v>6.9491</v>
      </c>
      <c r="G271" s="14" t="n">
        <v>3.28</v>
      </c>
      <c r="H271" s="14" t="n">
        <v>117.52</v>
      </c>
      <c r="I271" s="14" t="n">
        <v>1.0445</v>
      </c>
      <c r="J271" s="14" t="n">
        <v>9.1078</v>
      </c>
      <c r="K271" s="14" t="n">
        <v>1260.98</v>
      </c>
      <c r="L271" s="14" t="n">
        <v>0.853</v>
      </c>
      <c r="M271" s="14" t="n">
        <v>7.2619</v>
      </c>
      <c r="N271" s="14" t="n">
        <v>3.4256</v>
      </c>
      <c r="O271" s="14" t="n">
        <v>122.61</v>
      </c>
      <c r="P271" s="14" t="n">
        <v>8.7198</v>
      </c>
    </row>
    <row r="272" customFormat="false" ht="15" hidden="false" customHeight="false" outlineLevel="0" collapsed="false">
      <c r="A272" s="13" t="n">
        <v>42732</v>
      </c>
      <c r="B272" s="14" t="n">
        <v>1212.22</v>
      </c>
      <c r="C272" s="14" t="n">
        <v>8.7485</v>
      </c>
      <c r="D272" s="14" t="n">
        <v>1.2222</v>
      </c>
      <c r="E272" s="14" t="n">
        <v>1.0389</v>
      </c>
      <c r="F272" s="14" t="n">
        <v>6.9559</v>
      </c>
      <c r="G272" s="14" t="n">
        <v>3.283</v>
      </c>
      <c r="H272" s="14" t="n">
        <v>117.66</v>
      </c>
      <c r="I272" s="14" t="n">
        <v>1.0401</v>
      </c>
      <c r="J272" s="14" t="n">
        <v>9.0777</v>
      </c>
      <c r="K272" s="14" t="n">
        <v>1261.97</v>
      </c>
      <c r="L272" s="14" t="n">
        <v>0.85128</v>
      </c>
      <c r="M272" s="14" t="n">
        <v>7.2384</v>
      </c>
      <c r="N272" s="14" t="n">
        <v>3.4026</v>
      </c>
      <c r="O272" s="14" t="n">
        <v>122.39</v>
      </c>
      <c r="P272" s="14" t="n">
        <v>8.7277</v>
      </c>
    </row>
    <row r="273" customFormat="false" ht="15" hidden="false" customHeight="false" outlineLevel="0" collapsed="false">
      <c r="A273" s="13" t="n">
        <v>42733</v>
      </c>
      <c r="B273" s="14" t="n">
        <v>1207.05</v>
      </c>
      <c r="C273" s="14" t="n">
        <v>8.6598</v>
      </c>
      <c r="D273" s="14" t="n">
        <v>1.2237</v>
      </c>
      <c r="E273" s="14" t="n">
        <v>1.0486</v>
      </c>
      <c r="F273" s="14" t="n">
        <v>6.9535</v>
      </c>
      <c r="G273" s="14" t="n">
        <v>3.2456</v>
      </c>
      <c r="H273" s="14" t="n">
        <v>116.32</v>
      </c>
      <c r="I273" s="14" t="n">
        <v>1.0453</v>
      </c>
      <c r="J273" s="14" t="n">
        <v>9.0758</v>
      </c>
      <c r="K273" s="14" t="n">
        <v>1264.25</v>
      </c>
      <c r="L273" s="14" t="n">
        <v>0.853</v>
      </c>
      <c r="M273" s="14" t="n">
        <v>7.2706</v>
      </c>
      <c r="N273" s="14" t="n">
        <v>3.4123</v>
      </c>
      <c r="O273" s="14" t="n">
        <v>122.04</v>
      </c>
      <c r="P273" s="14" t="n">
        <v>8.6825</v>
      </c>
    </row>
    <row r="274" customFormat="false" ht="15" hidden="false" customHeight="false" outlineLevel="0" collapsed="false">
      <c r="A274" s="13" t="n">
        <v>42734</v>
      </c>
      <c r="B274" s="14" t="n">
        <v>1203.73</v>
      </c>
      <c r="C274" s="14" t="n">
        <v>8.6107</v>
      </c>
      <c r="D274" s="14" t="n">
        <v>1.2337</v>
      </c>
      <c r="E274" s="14" t="n">
        <v>1.0552</v>
      </c>
      <c r="F274" s="14" t="n">
        <v>6.943</v>
      </c>
      <c r="G274" s="14" t="n">
        <v>3.2532</v>
      </c>
      <c r="H274" s="14" t="n">
        <v>116.78</v>
      </c>
      <c r="I274" s="14" t="n">
        <v>1.0541</v>
      </c>
      <c r="J274" s="14" t="n">
        <v>9.0863</v>
      </c>
      <c r="K274" s="14" t="n">
        <v>1269.36</v>
      </c>
      <c r="L274" s="14" t="n">
        <v>0.85618</v>
      </c>
      <c r="M274" s="14" t="n">
        <v>7.3202</v>
      </c>
      <c r="N274" s="14" t="n">
        <v>3.4305</v>
      </c>
      <c r="O274" s="14" t="n">
        <v>123.4</v>
      </c>
      <c r="P274" s="14" t="n">
        <v>8.62</v>
      </c>
    </row>
    <row r="275" customFormat="false" ht="15" hidden="false" customHeight="false" outlineLevel="0" collapsed="false">
      <c r="A275" s="13" t="n">
        <v>42737</v>
      </c>
      <c r="I275" s="14" t="n">
        <v>1.0465</v>
      </c>
      <c r="J275" s="14" t="n">
        <v>9.0543</v>
      </c>
      <c r="K275" s="14" t="n">
        <v>1263.85</v>
      </c>
      <c r="L275" s="14" t="n">
        <v>0.8514</v>
      </c>
      <c r="M275" s="14" t="n">
        <v>7.269</v>
      </c>
      <c r="N275" s="14" t="n">
        <v>3.4265</v>
      </c>
      <c r="O275" s="14" t="n">
        <v>122.92</v>
      </c>
      <c r="P275" s="14" t="n">
        <v>8.652</v>
      </c>
    </row>
    <row r="276" customFormat="false" ht="15" hidden="false" customHeight="false" outlineLevel="0" collapsed="false">
      <c r="A276" s="13" t="n">
        <v>42738</v>
      </c>
      <c r="B276" s="14" t="n">
        <v>1207.23</v>
      </c>
      <c r="C276" s="14" t="n">
        <v>8.6489</v>
      </c>
      <c r="D276" s="14" t="n">
        <v>1.2256</v>
      </c>
      <c r="E276" s="14" t="n">
        <v>1.0416</v>
      </c>
      <c r="F276" s="14" t="n">
        <v>6.9575</v>
      </c>
      <c r="G276" s="14" t="n">
        <v>3.2526</v>
      </c>
      <c r="H276" s="14" t="n">
        <v>117.68</v>
      </c>
      <c r="I276" s="14" t="n">
        <v>1.0385</v>
      </c>
      <c r="J276" s="14" t="n">
        <v>9.0013</v>
      </c>
      <c r="K276" s="14" t="n">
        <v>1253.43</v>
      </c>
      <c r="L276" s="14" t="n">
        <v>0.84565</v>
      </c>
      <c r="M276" s="14" t="n">
        <v>7.2285</v>
      </c>
      <c r="N276" s="14" t="n">
        <v>3.3916</v>
      </c>
      <c r="O276" s="14" t="n">
        <v>122.75</v>
      </c>
      <c r="P276" s="14" t="n">
        <v>8.6676</v>
      </c>
    </row>
    <row r="277" customFormat="false" ht="15" hidden="false" customHeight="false" outlineLevel="0" collapsed="false">
      <c r="A277" s="13" t="n">
        <v>42739</v>
      </c>
      <c r="B277" s="14" t="n">
        <v>1198.07</v>
      </c>
      <c r="C277" s="14" t="n">
        <v>8.5925</v>
      </c>
      <c r="D277" s="14" t="n">
        <v>1.2299</v>
      </c>
      <c r="E277" s="14" t="n">
        <v>1.0476</v>
      </c>
      <c r="F277" s="14" t="n">
        <v>6.9322</v>
      </c>
      <c r="G277" s="14" t="n">
        <v>3.2139</v>
      </c>
      <c r="H277" s="14" t="n">
        <v>117.38</v>
      </c>
      <c r="I277" s="14" t="n">
        <v>1.0437</v>
      </c>
      <c r="J277" s="14" t="n">
        <v>8.9905</v>
      </c>
      <c r="K277" s="14" t="n">
        <v>1251.9</v>
      </c>
      <c r="L277" s="14" t="n">
        <v>0.84945</v>
      </c>
      <c r="M277" s="14" t="n">
        <v>7.2382</v>
      </c>
      <c r="N277" s="14" t="n">
        <v>3.3784</v>
      </c>
      <c r="O277" s="14" t="n">
        <v>122.64</v>
      </c>
      <c r="P277" s="14" t="n">
        <v>8.6141</v>
      </c>
    </row>
    <row r="278" customFormat="false" ht="15" hidden="false" customHeight="false" outlineLevel="0" collapsed="false">
      <c r="A278" s="13" t="n">
        <v>42740</v>
      </c>
      <c r="B278" s="14" t="n">
        <v>1182.46</v>
      </c>
      <c r="C278" s="14" t="n">
        <v>8.4944</v>
      </c>
      <c r="D278" s="14" t="n">
        <v>1.2415</v>
      </c>
      <c r="E278" s="14" t="n">
        <v>1.0598</v>
      </c>
      <c r="F278" s="14" t="n">
        <v>6.887</v>
      </c>
      <c r="G278" s="14" t="n">
        <v>3.2051</v>
      </c>
      <c r="H278" s="14" t="n">
        <v>115.46</v>
      </c>
      <c r="I278" s="14" t="n">
        <v>1.0501</v>
      </c>
      <c r="J278" s="14" t="n">
        <v>9.0215</v>
      </c>
      <c r="K278" s="14" t="n">
        <v>1250.78</v>
      </c>
      <c r="L278" s="14" t="n">
        <v>0.8544</v>
      </c>
      <c r="M278" s="14" t="n">
        <v>7.2311</v>
      </c>
      <c r="N278" s="14" t="n">
        <v>3.3742</v>
      </c>
      <c r="O278" s="14" t="n">
        <v>122.38</v>
      </c>
      <c r="P278" s="14" t="n">
        <v>8.5911</v>
      </c>
    </row>
    <row r="279" customFormat="false" ht="15" hidden="false" customHeight="false" outlineLevel="0" collapsed="false">
      <c r="A279" s="13" t="n">
        <v>42741</v>
      </c>
      <c r="B279" s="14" t="n">
        <v>1198.85</v>
      </c>
      <c r="C279" s="14" t="n">
        <v>8.5193</v>
      </c>
      <c r="D279" s="14" t="n">
        <v>1.2314</v>
      </c>
      <c r="E279" s="14" t="n">
        <v>1.056</v>
      </c>
      <c r="F279" s="14" t="n">
        <v>6.9176</v>
      </c>
      <c r="G279" s="14" t="n">
        <v>3.2113</v>
      </c>
      <c r="H279" s="14" t="n">
        <v>116.85</v>
      </c>
      <c r="I279" s="14" t="n">
        <v>1.0589</v>
      </c>
      <c r="J279" s="14" t="n">
        <v>8.9868</v>
      </c>
      <c r="K279" s="14" t="n">
        <v>1261.36</v>
      </c>
      <c r="L279" s="14" t="n">
        <v>0.85648</v>
      </c>
      <c r="M279" s="14" t="n">
        <v>7.3253</v>
      </c>
      <c r="N279" s="14" t="n">
        <v>3.3905</v>
      </c>
      <c r="O279" s="14" t="n">
        <v>122.83</v>
      </c>
      <c r="P279" s="14" t="n">
        <v>8.4869</v>
      </c>
    </row>
    <row r="280" customFormat="false" ht="15" hidden="false" customHeight="false" outlineLevel="0" collapsed="false">
      <c r="A280" s="13" t="n">
        <v>42744</v>
      </c>
      <c r="B280" s="14" t="n">
        <v>1200.51</v>
      </c>
      <c r="C280" s="14" t="n">
        <v>8.5454</v>
      </c>
      <c r="D280" s="14" t="n">
        <v>1.2167</v>
      </c>
      <c r="E280" s="14" t="n">
        <v>1.0576</v>
      </c>
      <c r="F280" s="14" t="n">
        <v>6.935</v>
      </c>
      <c r="G280" s="14" t="n">
        <v>3.1916</v>
      </c>
      <c r="H280" s="14" t="n">
        <v>116.07</v>
      </c>
      <c r="I280" s="14" t="n">
        <v>1.0516</v>
      </c>
      <c r="J280" s="14" t="n">
        <v>9.0193</v>
      </c>
      <c r="K280" s="14" t="n">
        <v>1266.33</v>
      </c>
      <c r="L280" s="14" t="n">
        <v>0.8666</v>
      </c>
      <c r="M280" s="14" t="n">
        <v>7.2958</v>
      </c>
      <c r="N280" s="14" t="n">
        <v>3.378</v>
      </c>
      <c r="O280" s="14" t="n">
        <v>122.66</v>
      </c>
      <c r="P280" s="14" t="n">
        <v>8.5767</v>
      </c>
    </row>
    <row r="281" customFormat="false" ht="15" hidden="false" customHeight="false" outlineLevel="0" collapsed="false">
      <c r="A281" s="13" t="n">
        <v>42745</v>
      </c>
      <c r="B281" s="14" t="n">
        <v>1196.96</v>
      </c>
      <c r="C281" s="14" t="n">
        <v>8.5949</v>
      </c>
      <c r="D281" s="14" t="n">
        <v>1.2165</v>
      </c>
      <c r="E281" s="14" t="n">
        <v>1.0572</v>
      </c>
      <c r="F281" s="14" t="n">
        <v>6.918</v>
      </c>
      <c r="G281" s="14" t="n">
        <v>3.1971</v>
      </c>
      <c r="H281" s="14" t="n">
        <v>115.74</v>
      </c>
      <c r="I281" s="14" t="n">
        <v>1.0567</v>
      </c>
      <c r="J281" s="14" t="n">
        <v>9.075</v>
      </c>
      <c r="K281" s="14" t="n">
        <v>1269.08</v>
      </c>
      <c r="L281" s="14" t="n">
        <v>0.8694</v>
      </c>
      <c r="M281" s="14" t="n">
        <v>7.3176</v>
      </c>
      <c r="N281" s="14" t="n">
        <v>3.3743</v>
      </c>
      <c r="O281" s="14" t="n">
        <v>122.84</v>
      </c>
      <c r="P281" s="14" t="n">
        <v>8.5881</v>
      </c>
    </row>
    <row r="282" customFormat="false" ht="15" hidden="false" customHeight="false" outlineLevel="0" collapsed="false">
      <c r="A282" s="13" t="n">
        <v>42746</v>
      </c>
      <c r="B282" s="14" t="n">
        <v>1197.59</v>
      </c>
      <c r="C282" s="14" t="n">
        <v>8.624</v>
      </c>
      <c r="D282" s="14" t="n">
        <v>1.2118</v>
      </c>
      <c r="E282" s="14" t="n">
        <v>1.0501</v>
      </c>
      <c r="F282" s="14" t="n">
        <v>6.9365</v>
      </c>
      <c r="G282" s="14" t="n">
        <v>3.2024</v>
      </c>
      <c r="H282" s="14" t="n">
        <v>116.26</v>
      </c>
      <c r="I282" s="14" t="n">
        <v>1.0503</v>
      </c>
      <c r="J282" s="14" t="n">
        <v>9.0633</v>
      </c>
      <c r="K282" s="14" t="n">
        <v>1260.59</v>
      </c>
      <c r="L282" s="14" t="n">
        <v>0.86725</v>
      </c>
      <c r="M282" s="14" t="n">
        <v>7.2826</v>
      </c>
      <c r="N282" s="14" t="n">
        <v>3.3786</v>
      </c>
      <c r="O282" s="14" t="n">
        <v>122.14</v>
      </c>
      <c r="P282" s="14" t="n">
        <v>8.6292</v>
      </c>
    </row>
    <row r="283" customFormat="false" ht="15" hidden="false" customHeight="false" outlineLevel="0" collapsed="false">
      <c r="A283" s="13" t="n">
        <v>42747</v>
      </c>
      <c r="B283" s="14" t="n">
        <v>1170.93</v>
      </c>
      <c r="C283" s="14" t="n">
        <v>8.4988</v>
      </c>
      <c r="D283" s="14" t="n">
        <v>1.2211</v>
      </c>
      <c r="E283" s="14" t="n">
        <v>1.0666</v>
      </c>
      <c r="F283" s="14" t="n">
        <v>6.889</v>
      </c>
      <c r="G283" s="14" t="n">
        <v>3.1821</v>
      </c>
      <c r="H283" s="14" t="n">
        <v>113.87</v>
      </c>
      <c r="I283" s="14" t="n">
        <v>1.0679</v>
      </c>
      <c r="J283" s="14" t="n">
        <v>9.0625</v>
      </c>
      <c r="K283" s="14" t="n">
        <v>1255.4</v>
      </c>
      <c r="L283" s="14" t="n">
        <v>0.86843</v>
      </c>
      <c r="M283" s="14" t="n">
        <v>7.3621</v>
      </c>
      <c r="N283" s="14" t="n">
        <v>3.3718</v>
      </c>
      <c r="O283" s="14" t="n">
        <v>121.69</v>
      </c>
      <c r="P283" s="14" t="n">
        <v>8.4863</v>
      </c>
    </row>
    <row r="284" customFormat="false" ht="15" hidden="false" customHeight="false" outlineLevel="0" collapsed="false">
      <c r="A284" s="13" t="n">
        <v>42748</v>
      </c>
      <c r="B284" s="14" t="n">
        <v>1177.81</v>
      </c>
      <c r="C284" s="14" t="n">
        <v>8.506</v>
      </c>
      <c r="D284" s="14" t="n">
        <v>1.2198</v>
      </c>
      <c r="E284" s="14" t="n">
        <v>1.0625</v>
      </c>
      <c r="F284" s="14" t="n">
        <v>6.8985</v>
      </c>
      <c r="G284" s="14" t="n">
        <v>3.2077</v>
      </c>
      <c r="H284" s="14" t="n">
        <v>115.03</v>
      </c>
      <c r="I284" s="14" t="n">
        <v>1.0661</v>
      </c>
      <c r="J284" s="14" t="n">
        <v>9.058</v>
      </c>
      <c r="K284" s="14" t="n">
        <v>1251.45</v>
      </c>
      <c r="L284" s="14" t="n">
        <v>0.87548</v>
      </c>
      <c r="M284" s="14" t="n">
        <v>7.3564</v>
      </c>
      <c r="N284" s="14" t="n">
        <v>3.4097</v>
      </c>
      <c r="O284" s="14" t="n">
        <v>121.91</v>
      </c>
      <c r="P284" s="14" t="n">
        <v>8.4964</v>
      </c>
    </row>
    <row r="285" customFormat="false" ht="15" hidden="false" customHeight="false" outlineLevel="0" collapsed="false">
      <c r="A285" s="13" t="n">
        <v>42751</v>
      </c>
      <c r="I285" s="14" t="n">
        <v>1.0594</v>
      </c>
      <c r="J285" s="14" t="n">
        <v>9.0558</v>
      </c>
      <c r="K285" s="14" t="n">
        <v>1253.65</v>
      </c>
      <c r="L285" s="14" t="n">
        <v>0.87808</v>
      </c>
      <c r="M285" s="14" t="n">
        <v>7.3107</v>
      </c>
      <c r="N285" s="14" t="n">
        <v>3.413</v>
      </c>
      <c r="O285" s="14" t="n">
        <v>120.91</v>
      </c>
      <c r="P285" s="14" t="n">
        <v>8.548</v>
      </c>
    </row>
    <row r="286" customFormat="false" ht="15" hidden="false" customHeight="false" outlineLevel="0" collapsed="false">
      <c r="A286" s="13" t="n">
        <v>42752</v>
      </c>
      <c r="B286" s="14" t="n">
        <v>1161.61</v>
      </c>
      <c r="C286" s="14" t="n">
        <v>8.4667</v>
      </c>
      <c r="D286" s="14" t="n">
        <v>1.2388</v>
      </c>
      <c r="E286" s="14" t="n">
        <v>1.0695</v>
      </c>
      <c r="F286" s="14" t="n">
        <v>6.852</v>
      </c>
      <c r="G286" s="14" t="n">
        <v>3.2077</v>
      </c>
      <c r="H286" s="14" t="n">
        <v>112.96</v>
      </c>
      <c r="I286" s="14" t="n">
        <v>1.0684</v>
      </c>
      <c r="J286" s="14" t="n">
        <v>9.036</v>
      </c>
      <c r="K286" s="14" t="n">
        <v>1248.81</v>
      </c>
      <c r="L286" s="14" t="n">
        <v>0.8679</v>
      </c>
      <c r="M286" s="14" t="n">
        <v>7.3235</v>
      </c>
      <c r="N286" s="14" t="n">
        <v>3.4305</v>
      </c>
      <c r="O286" s="14" t="n">
        <v>121.1</v>
      </c>
      <c r="P286" s="14" t="n">
        <v>8.4575</v>
      </c>
    </row>
    <row r="287" customFormat="false" ht="15" hidden="false" customHeight="false" outlineLevel="0" collapsed="false">
      <c r="A287" s="13" t="n">
        <v>42753</v>
      </c>
      <c r="B287" s="14" t="n">
        <v>1170.73</v>
      </c>
      <c r="C287" s="14" t="n">
        <v>8.4536</v>
      </c>
      <c r="D287" s="14" t="n">
        <v>1.2309</v>
      </c>
      <c r="E287" s="14" t="n">
        <v>1.0682</v>
      </c>
      <c r="F287" s="14" t="n">
        <v>6.836</v>
      </c>
      <c r="G287" s="14" t="n">
        <v>3.2242</v>
      </c>
      <c r="H287" s="14" t="n">
        <v>113.4</v>
      </c>
      <c r="I287" s="14" t="n">
        <v>1.0664</v>
      </c>
      <c r="J287" s="14" t="n">
        <v>9.033</v>
      </c>
      <c r="K287" s="14" t="n">
        <v>1249.39</v>
      </c>
      <c r="L287" s="14" t="n">
        <v>0.86833</v>
      </c>
      <c r="M287" s="14" t="n">
        <v>7.2931</v>
      </c>
      <c r="N287" s="14" t="n">
        <v>3.4367</v>
      </c>
      <c r="O287" s="14" t="n">
        <v>121.05</v>
      </c>
      <c r="P287" s="14" t="n">
        <v>8.4706</v>
      </c>
    </row>
    <row r="288" customFormat="false" ht="15" hidden="false" customHeight="false" outlineLevel="0" collapsed="false">
      <c r="A288" s="13" t="n">
        <v>42754</v>
      </c>
      <c r="B288" s="14" t="n">
        <v>1177.03</v>
      </c>
      <c r="C288" s="14" t="n">
        <v>8.4648</v>
      </c>
      <c r="D288" s="14" t="n">
        <v>1.2319</v>
      </c>
      <c r="E288" s="14" t="n">
        <v>1.063</v>
      </c>
      <c r="F288" s="14" t="n">
        <v>6.868</v>
      </c>
      <c r="G288" s="14" t="n">
        <v>3.2024</v>
      </c>
      <c r="H288" s="14" t="n">
        <v>115.3</v>
      </c>
      <c r="I288" s="14" t="n">
        <v>1.0668</v>
      </c>
      <c r="J288" s="14" t="n">
        <v>9.0193</v>
      </c>
      <c r="K288" s="14" t="n">
        <v>1255.9</v>
      </c>
      <c r="L288" s="14" t="n">
        <v>0.86555</v>
      </c>
      <c r="M288" s="14" t="n">
        <v>7.3241</v>
      </c>
      <c r="N288" s="14" t="n">
        <v>3.4223</v>
      </c>
      <c r="O288" s="14" t="n">
        <v>122.23</v>
      </c>
      <c r="P288" s="14" t="n">
        <v>8.4545</v>
      </c>
    </row>
    <row r="289" customFormat="false" ht="15" hidden="false" customHeight="false" outlineLevel="0" collapsed="false">
      <c r="A289" s="13" t="n">
        <v>42755</v>
      </c>
      <c r="I289" s="14" t="n">
        <v>1.0632</v>
      </c>
      <c r="J289" s="14" t="n">
        <v>8.999</v>
      </c>
      <c r="K289" s="14" t="n">
        <v>1250.66</v>
      </c>
      <c r="L289" s="14" t="n">
        <v>0.86595</v>
      </c>
      <c r="M289" s="14" t="n">
        <v>7.3125</v>
      </c>
      <c r="N289" s="14" t="n">
        <v>3.3977</v>
      </c>
      <c r="O289" s="14" t="n">
        <v>122.47</v>
      </c>
      <c r="P289" s="14" t="n">
        <v>8.4641</v>
      </c>
    </row>
    <row r="290" customFormat="false" ht="15" hidden="false" customHeight="false" outlineLevel="0" collapsed="false">
      <c r="A290" s="13" t="n">
        <v>42758</v>
      </c>
      <c r="B290" s="14" t="n">
        <v>1165.82</v>
      </c>
      <c r="C290" s="14" t="n">
        <v>8.3693</v>
      </c>
      <c r="D290" s="14" t="n">
        <v>1.2485</v>
      </c>
      <c r="E290" s="14" t="n">
        <v>1.074</v>
      </c>
      <c r="F290" s="14" t="n">
        <v>6.8514</v>
      </c>
      <c r="G290" s="14" t="n">
        <v>3.1685</v>
      </c>
      <c r="H290" s="14" t="n">
        <v>112.9</v>
      </c>
      <c r="I290" s="14" t="n">
        <v>1.0715</v>
      </c>
      <c r="J290" s="14" t="n">
        <v>8.994</v>
      </c>
      <c r="K290" s="14" t="n">
        <v>1251.67</v>
      </c>
      <c r="L290" s="14" t="n">
        <v>0.86148</v>
      </c>
      <c r="M290" s="14" t="n">
        <v>7.3436</v>
      </c>
      <c r="N290" s="14" t="n">
        <v>3.3873</v>
      </c>
      <c r="O290" s="14" t="n">
        <v>121.72</v>
      </c>
      <c r="P290" s="14" t="n">
        <v>8.3938</v>
      </c>
    </row>
    <row r="291" customFormat="false" ht="15" hidden="false" customHeight="false" outlineLevel="0" collapsed="false">
      <c r="A291" s="13" t="n">
        <v>42759</v>
      </c>
      <c r="B291" s="14" t="n">
        <v>1165.25</v>
      </c>
      <c r="C291" s="14" t="n">
        <v>8.3274</v>
      </c>
      <c r="D291" s="14" t="n">
        <v>1.2531</v>
      </c>
      <c r="E291" s="14" t="n">
        <v>1.0749</v>
      </c>
      <c r="F291" s="14" t="n">
        <v>6.8555</v>
      </c>
      <c r="G291" s="14" t="n">
        <v>3.1695</v>
      </c>
      <c r="H291" s="14" t="n">
        <v>113.63</v>
      </c>
      <c r="I291" s="14" t="n">
        <v>1.0748</v>
      </c>
      <c r="J291" s="14" t="n">
        <v>8.9578</v>
      </c>
      <c r="K291" s="14" t="n">
        <v>1252.27</v>
      </c>
      <c r="L291" s="14" t="n">
        <v>0.8635</v>
      </c>
      <c r="M291" s="14" t="n">
        <v>7.3721</v>
      </c>
      <c r="N291" s="14" t="n">
        <v>3.4</v>
      </c>
      <c r="O291" s="14" t="n">
        <v>121.85</v>
      </c>
      <c r="P291" s="14" t="n">
        <v>8.3344</v>
      </c>
    </row>
    <row r="292" customFormat="false" ht="15" hidden="false" customHeight="false" outlineLevel="0" collapsed="false">
      <c r="A292" s="13" t="n">
        <v>42760</v>
      </c>
      <c r="B292" s="14" t="n">
        <v>1164.13</v>
      </c>
      <c r="C292" s="14" t="n">
        <v>8.3213</v>
      </c>
      <c r="D292" s="14" t="n">
        <v>1.262</v>
      </c>
      <c r="E292" s="14" t="n">
        <v>1.0743</v>
      </c>
      <c r="F292" s="14" t="n">
        <v>6.8812</v>
      </c>
      <c r="G292" s="14" t="n">
        <v>3.1697</v>
      </c>
      <c r="H292" s="14" t="n">
        <v>113.6</v>
      </c>
      <c r="I292" s="14" t="n">
        <v>1.0743</v>
      </c>
      <c r="J292" s="14" t="n">
        <v>8.9453</v>
      </c>
      <c r="K292" s="14" t="n">
        <v>1251.45</v>
      </c>
      <c r="L292" s="14" t="n">
        <v>0.85323</v>
      </c>
      <c r="M292" s="14" t="n">
        <v>7.3935</v>
      </c>
      <c r="N292" s="14" t="n">
        <v>3.4057</v>
      </c>
      <c r="O292" s="14" t="n">
        <v>121.79</v>
      </c>
      <c r="P292" s="14" t="n">
        <v>8.3266</v>
      </c>
    </row>
    <row r="293" customFormat="false" ht="15" hidden="false" customHeight="false" outlineLevel="0" collapsed="false">
      <c r="A293" s="13" t="n">
        <v>42761</v>
      </c>
      <c r="B293" s="14" t="n">
        <v>1169.61</v>
      </c>
      <c r="C293" s="14" t="n">
        <v>8.3583</v>
      </c>
      <c r="D293" s="14" t="n">
        <v>1.2579</v>
      </c>
      <c r="E293" s="14" t="n">
        <v>1.067</v>
      </c>
      <c r="F293" s="14" t="n">
        <v>6.8768</v>
      </c>
      <c r="G293" s="14" t="n">
        <v>3.1892</v>
      </c>
      <c r="H293" s="14" t="n">
        <v>114.7</v>
      </c>
      <c r="I293" s="14" t="n">
        <v>1.07</v>
      </c>
      <c r="J293" s="14" t="n">
        <v>8.9215</v>
      </c>
      <c r="K293" s="14" t="n">
        <v>1248.14</v>
      </c>
      <c r="L293" s="14" t="n">
        <v>0.85143</v>
      </c>
      <c r="M293" s="14" t="n">
        <v>7.3634</v>
      </c>
      <c r="N293" s="14" t="n">
        <v>3.4093</v>
      </c>
      <c r="O293" s="14" t="n">
        <v>122.4</v>
      </c>
      <c r="P293" s="14" t="n">
        <v>8.3379</v>
      </c>
    </row>
    <row r="294" customFormat="false" ht="15" hidden="false" customHeight="false" outlineLevel="0" collapsed="false">
      <c r="A294" s="13" t="n">
        <v>42762</v>
      </c>
      <c r="B294" s="14" t="n">
        <v>1175.73</v>
      </c>
      <c r="C294" s="14" t="n">
        <v>8.3346</v>
      </c>
      <c r="D294" s="14" t="n">
        <v>1.2531</v>
      </c>
      <c r="E294" s="14" t="n">
        <v>1.069</v>
      </c>
      <c r="F294" s="14" t="n">
        <v>6.8768</v>
      </c>
      <c r="G294" s="14" t="n">
        <v>3.1537</v>
      </c>
      <c r="H294" s="14" t="n">
        <v>115.16</v>
      </c>
      <c r="I294" s="14" t="n">
        <v>1.0681</v>
      </c>
      <c r="J294" s="14" t="n">
        <v>8.919</v>
      </c>
      <c r="K294" s="14" t="n">
        <v>1253.96</v>
      </c>
      <c r="L294" s="14" t="n">
        <v>0.8517</v>
      </c>
      <c r="M294" s="14" t="n">
        <v>7.3654</v>
      </c>
      <c r="N294" s="14" t="n">
        <v>3.3834</v>
      </c>
      <c r="O294" s="14" t="n">
        <v>123.01</v>
      </c>
      <c r="P294" s="14" t="n">
        <v>8.3503</v>
      </c>
    </row>
    <row r="295" customFormat="false" ht="15" hidden="false" customHeight="false" outlineLevel="0" collapsed="false">
      <c r="A295" s="13" t="n">
        <v>42765</v>
      </c>
      <c r="B295" s="14" t="n">
        <v>1171.27</v>
      </c>
      <c r="C295" s="14" t="n">
        <v>8.3181</v>
      </c>
      <c r="D295" s="14" t="n">
        <v>1.2478</v>
      </c>
      <c r="E295" s="14" t="n">
        <v>1.0681</v>
      </c>
      <c r="F295" s="14" t="n">
        <v>6.8768</v>
      </c>
      <c r="G295" s="14" t="n">
        <v>3.1152</v>
      </c>
      <c r="H295" s="14" t="n">
        <v>113.86</v>
      </c>
      <c r="I295" s="14" t="n">
        <v>1.063</v>
      </c>
      <c r="J295" s="14" t="n">
        <v>8.8758</v>
      </c>
      <c r="K295" s="14" t="n">
        <v>1252.27</v>
      </c>
      <c r="L295" s="14" t="n">
        <v>0.84935</v>
      </c>
      <c r="M295" s="14" t="n">
        <v>7.3103</v>
      </c>
      <c r="N295" s="14" t="n">
        <v>3.3318</v>
      </c>
      <c r="O295" s="14" t="n">
        <v>121.76</v>
      </c>
      <c r="P295" s="14" t="n">
        <v>8.3498</v>
      </c>
    </row>
    <row r="296" customFormat="false" ht="15" hidden="false" customHeight="false" outlineLevel="0" collapsed="false">
      <c r="A296" s="13" t="n">
        <v>42766</v>
      </c>
      <c r="B296" s="14" t="n">
        <v>1151.45</v>
      </c>
      <c r="C296" s="14" t="n">
        <v>8.2444</v>
      </c>
      <c r="D296" s="14" t="n">
        <v>1.2585</v>
      </c>
      <c r="E296" s="14" t="n">
        <v>1.0794</v>
      </c>
      <c r="F296" s="14" t="n">
        <v>6.8768</v>
      </c>
      <c r="G296" s="14" t="n">
        <v>3.1477</v>
      </c>
      <c r="H296" s="14" t="n">
        <v>112.72</v>
      </c>
      <c r="I296" s="14" t="n">
        <v>1.0755</v>
      </c>
      <c r="J296" s="14" t="n">
        <v>8.888</v>
      </c>
      <c r="K296" s="14" t="n">
        <v>1244.76</v>
      </c>
      <c r="L296" s="14" t="n">
        <v>0.86105</v>
      </c>
      <c r="M296" s="14" t="n">
        <v>7.397</v>
      </c>
      <c r="N296" s="14" t="n">
        <v>3.3535</v>
      </c>
      <c r="O296" s="14" t="n">
        <v>121.94</v>
      </c>
      <c r="P296" s="14" t="n">
        <v>8.2641</v>
      </c>
    </row>
    <row r="297" customFormat="false" ht="15" hidden="false" customHeight="false" outlineLevel="0" collapsed="false">
      <c r="A297" s="13" t="n">
        <v>42767</v>
      </c>
      <c r="B297" s="14" t="n">
        <v>1154.45</v>
      </c>
      <c r="C297" s="14" t="n">
        <v>8.2492</v>
      </c>
      <c r="D297" s="14" t="n">
        <v>1.2643</v>
      </c>
      <c r="E297" s="14" t="n">
        <v>1.0758</v>
      </c>
      <c r="F297" s="14" t="n">
        <v>6.8768</v>
      </c>
      <c r="G297" s="14" t="n">
        <v>3.153</v>
      </c>
      <c r="H297" s="14" t="n">
        <v>113.29</v>
      </c>
      <c r="I297" s="14" t="n">
        <v>1.079</v>
      </c>
      <c r="J297" s="14" t="n">
        <v>8.883</v>
      </c>
      <c r="K297" s="14" t="n">
        <v>1247.86</v>
      </c>
      <c r="L297" s="14" t="n">
        <v>0.85418</v>
      </c>
      <c r="M297" s="14" t="n">
        <v>7.427</v>
      </c>
      <c r="N297" s="14" t="n">
        <v>3.3918</v>
      </c>
      <c r="O297" s="14" t="n">
        <v>122.25</v>
      </c>
      <c r="P297" s="14" t="n">
        <v>8.2326</v>
      </c>
    </row>
    <row r="298" customFormat="false" ht="15" hidden="false" customHeight="false" outlineLevel="0" collapsed="false">
      <c r="A298" s="13" t="n">
        <v>42768</v>
      </c>
      <c r="B298" s="14" t="n">
        <v>1139.9</v>
      </c>
      <c r="C298" s="14" t="n">
        <v>8.2157</v>
      </c>
      <c r="D298" s="14" t="n">
        <v>1.2541</v>
      </c>
      <c r="E298" s="14" t="n">
        <v>1.0802</v>
      </c>
      <c r="F298" s="14" t="n">
        <v>6.8768</v>
      </c>
      <c r="G298" s="14" t="n">
        <v>3.1245</v>
      </c>
      <c r="H298" s="14" t="n">
        <v>112.48</v>
      </c>
      <c r="I298" s="14" t="n">
        <v>1.0808</v>
      </c>
      <c r="J298" s="14" t="n">
        <v>8.8575</v>
      </c>
      <c r="K298" s="14" t="n">
        <v>1234.22</v>
      </c>
      <c r="L298" s="14" t="n">
        <v>0.86068</v>
      </c>
      <c r="M298" s="14" t="n">
        <v>7.4377</v>
      </c>
      <c r="N298" s="14" t="n">
        <v>3.3659</v>
      </c>
      <c r="O298" s="14" t="n">
        <v>121.4</v>
      </c>
      <c r="P298" s="14" t="n">
        <v>8.1953</v>
      </c>
    </row>
    <row r="299" customFormat="false" ht="15" hidden="false" customHeight="false" outlineLevel="0" collapsed="false">
      <c r="A299" s="13" t="n">
        <v>42769</v>
      </c>
      <c r="B299" s="14" t="n">
        <v>1134.65</v>
      </c>
      <c r="C299" s="14" t="n">
        <v>8.2061</v>
      </c>
      <c r="D299" s="14" t="n">
        <v>1.2504</v>
      </c>
      <c r="E299" s="14" t="n">
        <v>1.0792</v>
      </c>
      <c r="F299" s="14" t="n">
        <v>6.865</v>
      </c>
      <c r="G299" s="14" t="n">
        <v>3.1157</v>
      </c>
      <c r="H299" s="14" t="n">
        <v>112.42</v>
      </c>
      <c r="I299" s="14" t="n">
        <v>1.0741</v>
      </c>
      <c r="J299" s="14" t="n">
        <v>8.8568</v>
      </c>
      <c r="K299" s="14" t="n">
        <v>1232.25</v>
      </c>
      <c r="L299" s="14" t="n">
        <v>0.86013</v>
      </c>
      <c r="M299" s="14" t="n">
        <v>7.3776</v>
      </c>
      <c r="N299" s="14" t="n">
        <v>3.3641</v>
      </c>
      <c r="O299" s="14" t="n">
        <v>121.49</v>
      </c>
      <c r="P299" s="14" t="n">
        <v>8.2458</v>
      </c>
    </row>
    <row r="300" customFormat="false" ht="15" hidden="false" customHeight="false" outlineLevel="0" collapsed="false">
      <c r="A300" s="13" t="n">
        <v>42772</v>
      </c>
      <c r="B300" s="14" t="n">
        <v>1134.87</v>
      </c>
      <c r="C300" s="14" t="n">
        <v>8.2552</v>
      </c>
      <c r="D300" s="14" t="n">
        <v>1.245</v>
      </c>
      <c r="E300" s="14" t="n">
        <v>1.0731</v>
      </c>
      <c r="F300" s="14" t="n">
        <v>6.86</v>
      </c>
      <c r="G300" s="14" t="n">
        <v>3.1181</v>
      </c>
      <c r="H300" s="14" t="n">
        <v>112.32</v>
      </c>
      <c r="I300" s="14" t="n">
        <v>1.0712</v>
      </c>
      <c r="J300" s="14" t="n">
        <v>8.846</v>
      </c>
      <c r="K300" s="14" t="n">
        <v>1217.2</v>
      </c>
      <c r="L300" s="14" t="n">
        <v>0.8595</v>
      </c>
      <c r="M300" s="14" t="n">
        <v>7.35</v>
      </c>
      <c r="N300" s="14" t="n">
        <v>3.3408</v>
      </c>
      <c r="O300" s="14" t="n">
        <v>120.28</v>
      </c>
      <c r="P300" s="14" t="n">
        <v>8.258</v>
      </c>
    </row>
    <row r="301" customFormat="false" ht="15" hidden="false" customHeight="false" outlineLevel="0" collapsed="false">
      <c r="A301" s="13" t="n">
        <v>42773</v>
      </c>
      <c r="B301" s="14" t="n">
        <v>1142.89</v>
      </c>
      <c r="C301" s="14" t="n">
        <v>8.3121</v>
      </c>
      <c r="D301" s="14" t="n">
        <v>1.2486</v>
      </c>
      <c r="E301" s="14" t="n">
        <v>1.069</v>
      </c>
      <c r="F301" s="14" t="n">
        <v>6.8821</v>
      </c>
      <c r="G301" s="14" t="n">
        <v>3.1235</v>
      </c>
      <c r="H301" s="14" t="n">
        <v>112.14</v>
      </c>
      <c r="I301" s="14" t="n">
        <v>1.0675</v>
      </c>
      <c r="J301" s="14" t="n">
        <v>8.8838</v>
      </c>
      <c r="K301" s="14" t="n">
        <v>1224.51</v>
      </c>
      <c r="L301" s="14" t="n">
        <v>0.8633</v>
      </c>
      <c r="M301" s="14" t="n">
        <v>7.3487</v>
      </c>
      <c r="N301" s="14" t="n">
        <v>3.3378</v>
      </c>
      <c r="O301" s="14" t="n">
        <v>119.94</v>
      </c>
      <c r="P301" s="14" t="n">
        <v>8.3221</v>
      </c>
    </row>
    <row r="302" customFormat="false" ht="15" hidden="false" customHeight="false" outlineLevel="0" collapsed="false">
      <c r="A302" s="13" t="n">
        <v>42774</v>
      </c>
      <c r="B302" s="14" t="n">
        <v>1143.25</v>
      </c>
      <c r="C302" s="14" t="n">
        <v>8.3037</v>
      </c>
      <c r="D302" s="14" t="n">
        <v>1.2543</v>
      </c>
      <c r="E302" s="14" t="n">
        <v>1.0708</v>
      </c>
      <c r="F302" s="14" t="n">
        <v>6.87</v>
      </c>
      <c r="G302" s="14" t="n">
        <v>3.119</v>
      </c>
      <c r="H302" s="14" t="n">
        <v>111.74</v>
      </c>
      <c r="I302" s="14" t="n">
        <v>1.0665</v>
      </c>
      <c r="J302" s="14" t="n">
        <v>8.8835</v>
      </c>
      <c r="K302" s="14" t="n">
        <v>1220.64</v>
      </c>
      <c r="L302" s="14" t="n">
        <v>0.85315</v>
      </c>
      <c r="M302" s="14" t="n">
        <v>7.3295</v>
      </c>
      <c r="N302" s="14" t="n">
        <v>3.333</v>
      </c>
      <c r="O302" s="14" t="n">
        <v>119.39</v>
      </c>
      <c r="P302" s="14" t="n">
        <v>8.3296</v>
      </c>
    </row>
    <row r="303" customFormat="false" ht="15" hidden="false" customHeight="false" outlineLevel="0" collapsed="false">
      <c r="A303" s="13" t="n">
        <v>42775</v>
      </c>
      <c r="B303" s="14" t="n">
        <v>1149.88</v>
      </c>
      <c r="C303" s="14" t="n">
        <v>8.338</v>
      </c>
      <c r="D303" s="14" t="n">
        <v>1.2516</v>
      </c>
      <c r="E303" s="14" t="n">
        <v>1.0658</v>
      </c>
      <c r="F303" s="14" t="n">
        <v>6.866</v>
      </c>
      <c r="G303" s="14" t="n">
        <v>3.1291</v>
      </c>
      <c r="H303" s="14" t="n">
        <v>113.24</v>
      </c>
      <c r="I303" s="14" t="n">
        <v>1.0692</v>
      </c>
      <c r="J303" s="14" t="n">
        <v>8.886</v>
      </c>
      <c r="K303" s="14" t="n">
        <v>1223.18</v>
      </c>
      <c r="L303" s="14" t="n">
        <v>0.8509</v>
      </c>
      <c r="M303" s="14" t="n">
        <v>7.3413</v>
      </c>
      <c r="N303" s="14" t="n">
        <v>3.3329</v>
      </c>
      <c r="O303" s="14" t="n">
        <v>120.04</v>
      </c>
      <c r="P303" s="14" t="n">
        <v>8.3109</v>
      </c>
    </row>
    <row r="304" customFormat="false" ht="15" hidden="false" customHeight="false" outlineLevel="0" collapsed="false">
      <c r="A304" s="13" t="n">
        <v>42776</v>
      </c>
      <c r="B304" s="14" t="n">
        <v>1146.78</v>
      </c>
      <c r="C304" s="14" t="n">
        <v>8.3656</v>
      </c>
      <c r="D304" s="14" t="n">
        <v>1.2502</v>
      </c>
      <c r="E304" s="14" t="n">
        <v>1.065</v>
      </c>
      <c r="F304" s="14" t="n">
        <v>6.8775</v>
      </c>
      <c r="G304" s="14" t="n">
        <v>3.1092</v>
      </c>
      <c r="H304" s="14" t="n">
        <v>113.22</v>
      </c>
      <c r="I304" s="14" t="n">
        <v>1.0629</v>
      </c>
      <c r="J304" s="14" t="n">
        <v>8.9065</v>
      </c>
      <c r="K304" s="14" t="n">
        <v>1222.56</v>
      </c>
      <c r="L304" s="14" t="n">
        <v>0.8529</v>
      </c>
      <c r="M304" s="14" t="n">
        <v>7.312</v>
      </c>
      <c r="N304" s="14" t="n">
        <v>3.307</v>
      </c>
      <c r="O304" s="14" t="n">
        <v>120.65</v>
      </c>
      <c r="P304" s="14" t="n">
        <v>8.3794</v>
      </c>
    </row>
    <row r="305" customFormat="false" ht="15" hidden="false" customHeight="false" outlineLevel="0" collapsed="false">
      <c r="A305" s="13" t="n">
        <v>42779</v>
      </c>
      <c r="B305" s="14" t="n">
        <v>1150.16</v>
      </c>
      <c r="C305" s="14" t="n">
        <v>8.3858</v>
      </c>
      <c r="D305" s="14" t="n">
        <v>1.251</v>
      </c>
      <c r="E305" s="14" t="n">
        <v>1.0603</v>
      </c>
      <c r="F305" s="14" t="n">
        <v>6.8776</v>
      </c>
      <c r="G305" s="14" t="n">
        <v>3.1106</v>
      </c>
      <c r="H305" s="14" t="n">
        <v>113.79</v>
      </c>
      <c r="I305" s="14" t="n">
        <v>1.0629</v>
      </c>
      <c r="J305" s="14" t="n">
        <v>8.9018</v>
      </c>
      <c r="K305" s="14" t="n">
        <v>1223.31</v>
      </c>
      <c r="L305" s="14" t="n">
        <v>0.8489</v>
      </c>
      <c r="M305" s="14" t="n">
        <v>7.3062</v>
      </c>
      <c r="N305" s="14" t="n">
        <v>3.3159</v>
      </c>
      <c r="O305" s="14" t="n">
        <v>120.9</v>
      </c>
      <c r="P305" s="14" t="n">
        <v>8.375</v>
      </c>
    </row>
    <row r="306" customFormat="false" ht="15" hidden="false" customHeight="false" outlineLevel="0" collapsed="false">
      <c r="A306" s="13" t="n">
        <v>42780</v>
      </c>
      <c r="B306" s="14" t="n">
        <v>1139.33</v>
      </c>
      <c r="C306" s="14" t="n">
        <v>8.4049</v>
      </c>
      <c r="D306" s="14" t="n">
        <v>1.2465</v>
      </c>
      <c r="E306" s="14" t="n">
        <v>1.0577</v>
      </c>
      <c r="F306" s="14" t="n">
        <v>6.8649</v>
      </c>
      <c r="G306" s="14" t="n">
        <v>3.1074</v>
      </c>
      <c r="H306" s="14" t="n">
        <v>114.34</v>
      </c>
      <c r="I306" s="14" t="n">
        <v>1.0623</v>
      </c>
      <c r="J306" s="14" t="n">
        <v>8.879</v>
      </c>
      <c r="K306" s="14" t="n">
        <v>1207.63</v>
      </c>
      <c r="L306" s="14" t="n">
        <v>0.85098</v>
      </c>
      <c r="M306" s="14" t="n">
        <v>7.2902</v>
      </c>
      <c r="N306" s="14" t="n">
        <v>3.2881</v>
      </c>
      <c r="O306" s="14" t="n">
        <v>120.43</v>
      </c>
      <c r="P306" s="14" t="n">
        <v>8.3583</v>
      </c>
    </row>
    <row r="307" customFormat="false" ht="15" hidden="false" customHeight="false" outlineLevel="0" collapsed="false">
      <c r="A307" s="13" t="n">
        <v>42781</v>
      </c>
      <c r="B307" s="14" t="n">
        <v>1136.46</v>
      </c>
      <c r="C307" s="14" t="n">
        <v>8.3425</v>
      </c>
      <c r="D307" s="14" t="n">
        <v>1.2465</v>
      </c>
      <c r="E307" s="14" t="n">
        <v>1.0597</v>
      </c>
      <c r="F307" s="14" t="n">
        <v>6.8685</v>
      </c>
      <c r="G307" s="14" t="n">
        <v>3.0557</v>
      </c>
      <c r="H307" s="14" t="n">
        <v>114.17</v>
      </c>
      <c r="I307" s="14" t="n">
        <v>1.0555</v>
      </c>
      <c r="J307" s="14" t="n">
        <v>8.8523</v>
      </c>
      <c r="K307" s="14" t="n">
        <v>1205.35</v>
      </c>
      <c r="L307" s="14" t="n">
        <v>0.84998</v>
      </c>
      <c r="M307" s="14" t="n">
        <v>7.2521</v>
      </c>
      <c r="N307" s="14" t="n">
        <v>3.2505</v>
      </c>
      <c r="O307" s="14" t="n">
        <v>120.85</v>
      </c>
      <c r="P307" s="14" t="n">
        <v>8.3868</v>
      </c>
    </row>
    <row r="308" customFormat="false" ht="15" hidden="false" customHeight="false" outlineLevel="0" collapsed="false">
      <c r="A308" s="13" t="n">
        <v>42782</v>
      </c>
      <c r="B308" s="14" t="n">
        <v>1140.57</v>
      </c>
      <c r="C308" s="14" t="n">
        <v>8.2965</v>
      </c>
      <c r="D308" s="14" t="n">
        <v>1.2477</v>
      </c>
      <c r="E308" s="14" t="n">
        <v>1.066</v>
      </c>
      <c r="F308" s="14" t="n">
        <v>6.8517</v>
      </c>
      <c r="G308" s="14" t="n">
        <v>3.0744</v>
      </c>
      <c r="H308" s="14" t="n">
        <v>113.36</v>
      </c>
      <c r="I308" s="14" t="n">
        <v>1.0652</v>
      </c>
      <c r="J308" s="14" t="n">
        <v>8.869</v>
      </c>
      <c r="K308" s="14" t="n">
        <v>1213.74</v>
      </c>
      <c r="L308" s="14" t="n">
        <v>0.8511</v>
      </c>
      <c r="M308" s="14" t="n">
        <v>7.3028</v>
      </c>
      <c r="N308" s="14" t="n">
        <v>3.2402</v>
      </c>
      <c r="O308" s="14" t="n">
        <v>120.95</v>
      </c>
      <c r="P308" s="14" t="n">
        <v>8.3261</v>
      </c>
    </row>
    <row r="309" customFormat="false" ht="15" hidden="false" customHeight="false" outlineLevel="0" collapsed="false">
      <c r="A309" s="13" t="n">
        <v>42783</v>
      </c>
      <c r="B309" s="14" t="n">
        <v>1150.73</v>
      </c>
      <c r="C309" s="14" t="n">
        <v>8.3382</v>
      </c>
      <c r="D309" s="14" t="n">
        <v>1.2428</v>
      </c>
      <c r="E309" s="14" t="n">
        <v>1.0614</v>
      </c>
      <c r="F309" s="14" t="n">
        <v>6.864</v>
      </c>
      <c r="G309" s="14" t="n">
        <v>3.1038</v>
      </c>
      <c r="H309" s="14" t="n">
        <v>112.86</v>
      </c>
      <c r="I309" s="14" t="n">
        <v>1.065</v>
      </c>
      <c r="J309" s="14" t="n">
        <v>8.8645</v>
      </c>
      <c r="K309" s="14" t="n">
        <v>1224.76</v>
      </c>
      <c r="L309" s="14" t="n">
        <v>0.8572</v>
      </c>
      <c r="M309" s="14" t="n">
        <v>7.3134</v>
      </c>
      <c r="N309" s="14" t="n">
        <v>3.2928</v>
      </c>
      <c r="O309" s="14" t="n">
        <v>120.08</v>
      </c>
      <c r="P309" s="14" t="n">
        <v>8.3235</v>
      </c>
    </row>
    <row r="310" customFormat="false" ht="15" hidden="false" customHeight="false" outlineLevel="0" collapsed="false">
      <c r="A310" s="13" t="n">
        <v>42786</v>
      </c>
      <c r="I310" s="14" t="n">
        <v>1.0616</v>
      </c>
      <c r="J310" s="14" t="n">
        <v>8.8568</v>
      </c>
      <c r="K310" s="14" t="n">
        <v>1218.35</v>
      </c>
      <c r="L310" s="14" t="n">
        <v>0.85145</v>
      </c>
      <c r="M310" s="14" t="n">
        <v>7.3011</v>
      </c>
      <c r="N310" s="14" t="n">
        <v>3.2884</v>
      </c>
      <c r="O310" s="14" t="n">
        <v>120.11</v>
      </c>
      <c r="P310" s="14" t="n">
        <v>8.3429</v>
      </c>
    </row>
    <row r="311" customFormat="false" ht="15" hidden="false" customHeight="false" outlineLevel="0" collapsed="false">
      <c r="A311" s="13" t="n">
        <v>42787</v>
      </c>
      <c r="B311" s="14" t="n">
        <v>1143.63</v>
      </c>
      <c r="C311" s="14" t="n">
        <v>8.3553</v>
      </c>
      <c r="D311" s="14" t="n">
        <v>1.2465</v>
      </c>
      <c r="E311" s="14" t="n">
        <v>1.0551</v>
      </c>
      <c r="F311" s="14" t="n">
        <v>6.881</v>
      </c>
      <c r="G311" s="14" t="n">
        <v>3.0932</v>
      </c>
      <c r="H311" s="14" t="n">
        <v>113.48</v>
      </c>
      <c r="I311" s="14" t="n">
        <v>1.0537</v>
      </c>
      <c r="J311" s="14" t="n">
        <v>8.8138</v>
      </c>
      <c r="K311" s="14" t="n">
        <v>1208.7</v>
      </c>
      <c r="L311" s="14" t="n">
        <v>0.8486</v>
      </c>
      <c r="M311" s="14" t="n">
        <v>7.2545</v>
      </c>
      <c r="N311" s="14" t="n">
        <v>3.2623</v>
      </c>
      <c r="O311" s="14" t="n">
        <v>119.77</v>
      </c>
      <c r="P311" s="14" t="n">
        <v>8.3646</v>
      </c>
    </row>
    <row r="312" customFormat="false" ht="15" hidden="false" customHeight="false" outlineLevel="0" collapsed="false">
      <c r="A312" s="13" t="n">
        <v>42788</v>
      </c>
      <c r="B312" s="14" t="n">
        <v>1142.15</v>
      </c>
      <c r="C312" s="14" t="n">
        <v>8.3638</v>
      </c>
      <c r="D312" s="14" t="n">
        <v>1.2456</v>
      </c>
      <c r="E312" s="14" t="n">
        <v>1.0555</v>
      </c>
      <c r="F312" s="14" t="n">
        <v>6.8765</v>
      </c>
      <c r="G312" s="14" t="n">
        <v>3.0778</v>
      </c>
      <c r="H312" s="14" t="n">
        <v>113.46</v>
      </c>
      <c r="I312" s="14" t="n">
        <v>1.0513</v>
      </c>
      <c r="J312" s="14" t="n">
        <v>8.8153</v>
      </c>
      <c r="K312" s="14" t="n">
        <v>1201.28</v>
      </c>
      <c r="L312" s="14" t="n">
        <v>0.8445</v>
      </c>
      <c r="M312" s="14" t="n">
        <v>7.2311</v>
      </c>
      <c r="N312" s="14" t="n">
        <v>3.2422</v>
      </c>
      <c r="O312" s="14" t="n">
        <v>118.79</v>
      </c>
      <c r="P312" s="14" t="n">
        <v>8.3851</v>
      </c>
    </row>
    <row r="313" customFormat="false" ht="15" hidden="false" customHeight="false" outlineLevel="0" collapsed="false">
      <c r="A313" s="13" t="n">
        <v>42789</v>
      </c>
      <c r="B313" s="14" t="n">
        <v>1129.84</v>
      </c>
      <c r="C313" s="14" t="n">
        <v>8.3317</v>
      </c>
      <c r="D313" s="14" t="n">
        <v>1.2548</v>
      </c>
      <c r="E313" s="14" t="n">
        <v>1.0586</v>
      </c>
      <c r="F313" s="14" t="n">
        <v>6.8622</v>
      </c>
      <c r="G313" s="14" t="n">
        <v>3.0645</v>
      </c>
      <c r="H313" s="14" t="n">
        <v>112.68</v>
      </c>
      <c r="I313" s="14" t="n">
        <v>1.0573</v>
      </c>
      <c r="J313" s="14" t="n">
        <v>8.807</v>
      </c>
      <c r="K313" s="14" t="n">
        <v>1200.29</v>
      </c>
      <c r="L313" s="14" t="n">
        <v>0.84628</v>
      </c>
      <c r="M313" s="14" t="n">
        <v>7.2693</v>
      </c>
      <c r="N313" s="14" t="n">
        <v>3.2412</v>
      </c>
      <c r="O313" s="14" t="n">
        <v>119.3</v>
      </c>
      <c r="P313" s="14" t="n">
        <v>8.3297</v>
      </c>
    </row>
    <row r="314" customFormat="false" ht="15" hidden="false" customHeight="false" outlineLevel="0" collapsed="false">
      <c r="A314" s="13" t="n">
        <v>42790</v>
      </c>
      <c r="B314" s="14" t="n">
        <v>1130.41</v>
      </c>
      <c r="C314" s="14" t="n">
        <v>8.3375</v>
      </c>
      <c r="D314" s="14" t="n">
        <v>1.2499</v>
      </c>
      <c r="E314" s="14" t="n">
        <v>1.058</v>
      </c>
      <c r="F314" s="14" t="n">
        <v>6.8645</v>
      </c>
      <c r="G314" s="14" t="n">
        <v>3.1123</v>
      </c>
      <c r="H314" s="14" t="n">
        <v>112.26</v>
      </c>
      <c r="I314" s="14" t="n">
        <v>1.0609</v>
      </c>
      <c r="J314" s="14" t="n">
        <v>8.8365</v>
      </c>
      <c r="K314" s="14" t="n">
        <v>1198.21</v>
      </c>
      <c r="L314" s="14" t="n">
        <v>0.84503</v>
      </c>
      <c r="M314" s="14" t="n">
        <v>7.2873</v>
      </c>
      <c r="N314" s="14" t="n">
        <v>3.277</v>
      </c>
      <c r="O314" s="14" t="n">
        <v>119.04</v>
      </c>
      <c r="P314" s="14" t="n">
        <v>8.3292</v>
      </c>
    </row>
    <row r="315" customFormat="false" ht="15" hidden="false" customHeight="false" outlineLevel="0" collapsed="false">
      <c r="A315" s="13" t="n">
        <v>42793</v>
      </c>
      <c r="B315" s="14" t="n">
        <v>1130.14</v>
      </c>
      <c r="C315" s="14" t="n">
        <v>8.34</v>
      </c>
      <c r="D315" s="14" t="n">
        <v>1.2473</v>
      </c>
      <c r="E315" s="14" t="n">
        <v>1.0624</v>
      </c>
      <c r="F315" s="14" t="n">
        <v>6.8675</v>
      </c>
      <c r="G315" s="14" t="n">
        <v>3.1085</v>
      </c>
      <c r="H315" s="14" t="n">
        <v>112.01</v>
      </c>
      <c r="I315" s="14" t="n">
        <v>1.0587</v>
      </c>
      <c r="J315" s="14" t="n">
        <v>8.8383</v>
      </c>
      <c r="K315" s="14" t="n">
        <v>1200.05</v>
      </c>
      <c r="L315" s="14" t="n">
        <v>0.8528</v>
      </c>
      <c r="M315" s="14" t="n">
        <v>7.2756</v>
      </c>
      <c r="N315" s="14" t="n">
        <v>3.2916</v>
      </c>
      <c r="O315" s="14" t="n">
        <v>118.87</v>
      </c>
      <c r="P315" s="14" t="n">
        <v>8.3483</v>
      </c>
    </row>
    <row r="316" customFormat="false" ht="15" hidden="false" customHeight="false" outlineLevel="0" collapsed="false">
      <c r="A316" s="13" t="n">
        <v>42794</v>
      </c>
      <c r="B316" s="14" t="n">
        <v>1129.17</v>
      </c>
      <c r="C316" s="14" t="n">
        <v>8.3667</v>
      </c>
      <c r="D316" s="14" t="n">
        <v>1.2427</v>
      </c>
      <c r="E316" s="14" t="n">
        <v>1.0618</v>
      </c>
      <c r="F316" s="14" t="n">
        <v>6.8665</v>
      </c>
      <c r="G316" s="14" t="n">
        <v>3.1085</v>
      </c>
      <c r="H316" s="14" t="n">
        <v>112.06</v>
      </c>
      <c r="I316" s="14" t="n">
        <v>1.0597</v>
      </c>
      <c r="J316" s="14" t="n">
        <v>8.8693</v>
      </c>
      <c r="K316" s="14" t="n">
        <v>1194.24</v>
      </c>
      <c r="L316" s="14" t="n">
        <v>0.85305</v>
      </c>
      <c r="M316" s="14" t="n">
        <v>7.278</v>
      </c>
      <c r="N316" s="14" t="n">
        <v>3.281</v>
      </c>
      <c r="O316" s="14" t="n">
        <v>118.83</v>
      </c>
      <c r="P316" s="14" t="n">
        <v>8.3696</v>
      </c>
    </row>
    <row r="317" customFormat="false" ht="15" hidden="false" customHeight="false" outlineLevel="0" collapsed="false">
      <c r="A317" s="13" t="n">
        <v>42795</v>
      </c>
      <c r="B317" s="14" t="n">
        <v>1140.75</v>
      </c>
      <c r="C317" s="14" t="n">
        <v>8.3996</v>
      </c>
      <c r="D317" s="14" t="n">
        <v>1.2318</v>
      </c>
      <c r="E317" s="14" t="n">
        <v>1.0564</v>
      </c>
      <c r="F317" s="14" t="n">
        <v>6.8794</v>
      </c>
      <c r="G317" s="14" t="n">
        <v>3.1028</v>
      </c>
      <c r="H317" s="14" t="n">
        <v>113.66</v>
      </c>
      <c r="I317" s="14" t="n">
        <v>1.0533</v>
      </c>
      <c r="J317" s="14" t="n">
        <v>8.8618</v>
      </c>
      <c r="K317" s="14" t="n">
        <v>1204.93</v>
      </c>
      <c r="L317" s="14" t="n">
        <v>0.8555</v>
      </c>
      <c r="M317" s="14" t="n">
        <v>7.2472</v>
      </c>
      <c r="N317" s="14" t="n">
        <v>3.2768</v>
      </c>
      <c r="O317" s="14" t="n">
        <v>119.84</v>
      </c>
      <c r="P317" s="14" t="n">
        <v>8.4134</v>
      </c>
    </row>
    <row r="318" customFormat="false" ht="15" hidden="false" customHeight="false" outlineLevel="0" collapsed="false">
      <c r="A318" s="13" t="n">
        <v>42796</v>
      </c>
      <c r="B318" s="14" t="n">
        <v>1146.9</v>
      </c>
      <c r="C318" s="14" t="n">
        <v>8.4667</v>
      </c>
      <c r="D318" s="14" t="n">
        <v>1.2267</v>
      </c>
      <c r="E318" s="14" t="n">
        <v>1.0514</v>
      </c>
      <c r="F318" s="14" t="n">
        <v>6.8868</v>
      </c>
      <c r="G318" s="14" t="n">
        <v>3.1264</v>
      </c>
      <c r="H318" s="14" t="n">
        <v>114.45</v>
      </c>
      <c r="I318" s="14" t="n">
        <v>1.0514</v>
      </c>
      <c r="J318" s="14" t="n">
        <v>8.883</v>
      </c>
      <c r="K318" s="14" t="n">
        <v>1204.29</v>
      </c>
      <c r="L318" s="14" t="n">
        <v>0.8556</v>
      </c>
      <c r="M318" s="14" t="n">
        <v>7.2399</v>
      </c>
      <c r="N318" s="14" t="n">
        <v>3.2687</v>
      </c>
      <c r="O318" s="14" t="n">
        <v>120.24</v>
      </c>
      <c r="P318" s="14" t="n">
        <v>8.4487</v>
      </c>
    </row>
    <row r="319" customFormat="false" ht="15" hidden="false" customHeight="false" outlineLevel="0" collapsed="false">
      <c r="A319" s="13" t="n">
        <v>42797</v>
      </c>
      <c r="B319" s="14" t="n">
        <v>1156.77</v>
      </c>
      <c r="C319" s="14" t="n">
        <v>8.4754</v>
      </c>
      <c r="D319" s="14" t="n">
        <v>1.2249</v>
      </c>
      <c r="E319" s="14" t="n">
        <v>1.0552</v>
      </c>
      <c r="F319" s="14" t="n">
        <v>6.8954</v>
      </c>
      <c r="G319" s="14" t="n">
        <v>3.1385</v>
      </c>
      <c r="H319" s="14" t="n">
        <v>114.6</v>
      </c>
      <c r="I319" s="14" t="n">
        <v>1.0565</v>
      </c>
      <c r="J319" s="14" t="n">
        <v>8.9303</v>
      </c>
      <c r="K319" s="14" t="n">
        <v>1218.65</v>
      </c>
      <c r="L319" s="14" t="n">
        <v>0.86355</v>
      </c>
      <c r="M319" s="14" t="n">
        <v>7.2872</v>
      </c>
      <c r="N319" s="14" t="n">
        <v>3.308</v>
      </c>
      <c r="O319" s="14" t="n">
        <v>120.83</v>
      </c>
      <c r="P319" s="14" t="n">
        <v>8.4527</v>
      </c>
    </row>
    <row r="320" customFormat="false" ht="15" hidden="false" customHeight="false" outlineLevel="0" collapsed="false">
      <c r="A320" s="13" t="n">
        <v>42800</v>
      </c>
      <c r="B320" s="14" t="n">
        <v>1154.36</v>
      </c>
      <c r="C320" s="14" t="n">
        <v>8.4835</v>
      </c>
      <c r="D320" s="14" t="n">
        <v>1.2243</v>
      </c>
      <c r="E320" s="14" t="n">
        <v>1.0586</v>
      </c>
      <c r="F320" s="14" t="n">
        <v>6.8955</v>
      </c>
      <c r="G320" s="14" t="n">
        <v>3.1218</v>
      </c>
      <c r="H320" s="14" t="n">
        <v>113.92</v>
      </c>
      <c r="I320" s="14" t="n">
        <v>1.0592</v>
      </c>
      <c r="J320" s="14" t="n">
        <v>8.9673</v>
      </c>
      <c r="K320" s="14" t="n">
        <v>1222.76</v>
      </c>
      <c r="L320" s="14" t="n">
        <v>0.863</v>
      </c>
      <c r="M320" s="14" t="n">
        <v>7.305</v>
      </c>
      <c r="N320" s="14" t="n">
        <v>3.2896</v>
      </c>
      <c r="O320" s="14" t="n">
        <v>120.55</v>
      </c>
      <c r="P320" s="14" t="n">
        <v>8.4661</v>
      </c>
    </row>
    <row r="321" customFormat="false" ht="15" hidden="false" customHeight="false" outlineLevel="0" collapsed="false">
      <c r="A321" s="13" t="n">
        <v>42801</v>
      </c>
      <c r="B321" s="14" t="n">
        <v>1149.87</v>
      </c>
      <c r="C321" s="14" t="n">
        <v>8.4489</v>
      </c>
      <c r="D321" s="14" t="n">
        <v>1.2209</v>
      </c>
      <c r="E321" s="14" t="n">
        <v>1.0582</v>
      </c>
      <c r="F321" s="14" t="n">
        <v>6.9</v>
      </c>
      <c r="G321" s="14" t="n">
        <v>3.1222</v>
      </c>
      <c r="H321" s="14" t="n">
        <v>113.99</v>
      </c>
      <c r="I321" s="14" t="n">
        <v>1.0576</v>
      </c>
      <c r="J321" s="14" t="n">
        <v>8.9443</v>
      </c>
      <c r="K321" s="14" t="n">
        <v>1215.71</v>
      </c>
      <c r="L321" s="14" t="n">
        <v>0.8671</v>
      </c>
      <c r="M321" s="14" t="n">
        <v>7.2976</v>
      </c>
      <c r="N321" s="14" t="n">
        <v>3.2974</v>
      </c>
      <c r="O321" s="14" t="n">
        <v>120.61</v>
      </c>
      <c r="P321" s="14" t="n">
        <v>8.4572</v>
      </c>
    </row>
    <row r="322" customFormat="false" ht="15" hidden="false" customHeight="false" outlineLevel="0" collapsed="false">
      <c r="A322" s="13" t="n">
        <v>42802</v>
      </c>
      <c r="B322" s="14" t="n">
        <v>1154.69</v>
      </c>
      <c r="C322" s="14" t="n">
        <v>8.5094</v>
      </c>
      <c r="D322" s="14" t="n">
        <v>1.2152</v>
      </c>
      <c r="E322" s="14" t="n">
        <v>1.0547</v>
      </c>
      <c r="F322" s="14" t="n">
        <v>6.9113</v>
      </c>
      <c r="G322" s="14" t="n">
        <v>3.1527</v>
      </c>
      <c r="H322" s="14" t="n">
        <v>114.58</v>
      </c>
      <c r="I322" s="14" t="n">
        <v>1.0556</v>
      </c>
      <c r="J322" s="14" t="n">
        <v>8.9513</v>
      </c>
      <c r="K322" s="14" t="n">
        <v>1216.36</v>
      </c>
      <c r="L322" s="14" t="n">
        <v>0.86753</v>
      </c>
      <c r="M322" s="14" t="n">
        <v>7.2953</v>
      </c>
      <c r="N322" s="14" t="n">
        <v>3.3151</v>
      </c>
      <c r="O322" s="14" t="n">
        <v>120.65</v>
      </c>
      <c r="P322" s="14" t="n">
        <v>8.4798</v>
      </c>
    </row>
    <row r="323" customFormat="false" ht="15" hidden="false" customHeight="false" outlineLevel="0" collapsed="false">
      <c r="A323" s="13" t="n">
        <v>42803</v>
      </c>
      <c r="B323" s="14" t="n">
        <v>1158.12</v>
      </c>
      <c r="C323" s="14" t="n">
        <v>8.5684</v>
      </c>
      <c r="D323" s="14" t="n">
        <v>1.2166</v>
      </c>
      <c r="E323" s="14" t="n">
        <v>1.0586</v>
      </c>
      <c r="F323" s="14" t="n">
        <v>6.9086</v>
      </c>
      <c r="G323" s="14" t="n">
        <v>3.1684</v>
      </c>
      <c r="H323" s="14" t="n">
        <v>114.71</v>
      </c>
      <c r="I323" s="14" t="n">
        <v>1.0551</v>
      </c>
      <c r="J323" s="14" t="n">
        <v>9.0458</v>
      </c>
      <c r="K323" s="14" t="n">
        <v>1222.35</v>
      </c>
      <c r="L323" s="14" t="n">
        <v>0.86653</v>
      </c>
      <c r="M323" s="14" t="n">
        <v>7.2912</v>
      </c>
      <c r="N323" s="14" t="n">
        <v>3.3436</v>
      </c>
      <c r="O323" s="14" t="n">
        <v>120.95</v>
      </c>
      <c r="P323" s="14" t="n">
        <v>8.5734</v>
      </c>
    </row>
    <row r="324" customFormat="false" ht="15" hidden="false" customHeight="false" outlineLevel="0" collapsed="false">
      <c r="A324" s="13" t="n">
        <v>42804</v>
      </c>
      <c r="B324" s="14" t="n">
        <v>1150.37</v>
      </c>
      <c r="C324" s="14" t="n">
        <v>8.6034</v>
      </c>
      <c r="D324" s="14" t="n">
        <v>1.2158</v>
      </c>
      <c r="E324" s="14" t="n">
        <v>1.0667</v>
      </c>
      <c r="F324" s="14" t="n">
        <v>6.905</v>
      </c>
      <c r="G324" s="14" t="n">
        <v>3.1552</v>
      </c>
      <c r="H324" s="14" t="n">
        <v>115.02</v>
      </c>
      <c r="I324" s="14" t="n">
        <v>1.0606</v>
      </c>
      <c r="J324" s="14" t="n">
        <v>9.1405</v>
      </c>
      <c r="K324" s="14" t="n">
        <v>1226.28</v>
      </c>
      <c r="L324" s="14" t="n">
        <v>0.8725</v>
      </c>
      <c r="M324" s="14" t="n">
        <v>7.3336</v>
      </c>
      <c r="N324" s="14" t="n">
        <v>3.3694</v>
      </c>
      <c r="O324" s="14" t="n">
        <v>122.42</v>
      </c>
      <c r="P324" s="14" t="n">
        <v>8.6182</v>
      </c>
    </row>
    <row r="325" customFormat="false" ht="15" hidden="false" customHeight="false" outlineLevel="0" collapsed="false">
      <c r="A325" s="13" t="n">
        <v>42807</v>
      </c>
      <c r="B325" s="14" t="n">
        <v>1150.37</v>
      </c>
      <c r="C325" s="14" t="n">
        <v>8.5456</v>
      </c>
      <c r="D325" s="14" t="n">
        <v>1.2234</v>
      </c>
      <c r="E325" s="14" t="n">
        <v>1.067</v>
      </c>
      <c r="F325" s="14" t="n">
        <v>6.905</v>
      </c>
      <c r="G325" s="14" t="n">
        <v>3.1524</v>
      </c>
      <c r="H325" s="14" t="n">
        <v>114.61</v>
      </c>
      <c r="I325" s="14" t="n">
        <v>1.0663</v>
      </c>
      <c r="J325" s="14" t="n">
        <v>9.1298</v>
      </c>
      <c r="K325" s="14" t="n">
        <v>1222.96</v>
      </c>
      <c r="L325" s="14" t="n">
        <v>0.87258</v>
      </c>
      <c r="M325" s="14" t="n">
        <v>7.3717</v>
      </c>
      <c r="N325" s="14" t="n">
        <v>3.3609</v>
      </c>
      <c r="O325" s="14" t="n">
        <v>122.35</v>
      </c>
      <c r="P325" s="14" t="n">
        <v>8.5621</v>
      </c>
    </row>
    <row r="326" customFormat="false" ht="15" hidden="false" customHeight="false" outlineLevel="0" collapsed="false">
      <c r="A326" s="13" t="n">
        <v>42808</v>
      </c>
      <c r="B326" s="14" t="n">
        <v>1148.54</v>
      </c>
      <c r="C326" s="14" t="n">
        <v>8.5977</v>
      </c>
      <c r="D326" s="14" t="n">
        <v>1.2168</v>
      </c>
      <c r="E326" s="14" t="n">
        <v>1.0645</v>
      </c>
      <c r="F326" s="14" t="n">
        <v>6.913</v>
      </c>
      <c r="G326" s="14" t="n">
        <v>3.159</v>
      </c>
      <c r="H326" s="14" t="n">
        <v>114.63</v>
      </c>
      <c r="I326" s="14" t="n">
        <v>1.0631</v>
      </c>
      <c r="J326" s="14" t="n">
        <v>9.151</v>
      </c>
      <c r="K326" s="14" t="n">
        <v>1222.47</v>
      </c>
      <c r="L326" s="14" t="n">
        <v>0.87563</v>
      </c>
      <c r="M326" s="14" t="n">
        <v>7.3511</v>
      </c>
      <c r="N326" s="14" t="n">
        <v>3.3591</v>
      </c>
      <c r="O326" s="14" t="n">
        <v>122.13</v>
      </c>
      <c r="P326" s="14" t="n">
        <v>8.6078</v>
      </c>
    </row>
    <row r="327" customFormat="false" ht="15" hidden="false" customHeight="false" outlineLevel="0" collapsed="false">
      <c r="A327" s="13" t="n">
        <v>42809</v>
      </c>
      <c r="B327" s="14" t="n">
        <v>1144.16</v>
      </c>
      <c r="C327" s="14" t="n">
        <v>8.5983</v>
      </c>
      <c r="D327" s="14" t="n">
        <v>1.2222</v>
      </c>
      <c r="E327" s="14" t="n">
        <v>1.063</v>
      </c>
      <c r="F327" s="14" t="n">
        <v>6.9132</v>
      </c>
      <c r="G327" s="14" t="n">
        <v>3.1576</v>
      </c>
      <c r="H327" s="14" t="n">
        <v>114.66</v>
      </c>
      <c r="I327" s="14" t="n">
        <v>1.0622</v>
      </c>
      <c r="J327" s="14" t="n">
        <v>9.1353</v>
      </c>
      <c r="K327" s="14" t="n">
        <v>1217.28</v>
      </c>
      <c r="L327" s="14" t="n">
        <v>0.87073</v>
      </c>
      <c r="M327" s="14" t="n">
        <v>7.3438</v>
      </c>
      <c r="N327" s="14" t="n">
        <v>3.3553</v>
      </c>
      <c r="O327" s="14" t="n">
        <v>121.77</v>
      </c>
      <c r="P327" s="14" t="n">
        <v>8.6004</v>
      </c>
    </row>
    <row r="328" customFormat="false" ht="15" hidden="false" customHeight="false" outlineLevel="0" collapsed="false">
      <c r="A328" s="13" t="n">
        <v>42810</v>
      </c>
      <c r="B328" s="14" t="n">
        <v>1148.54</v>
      </c>
      <c r="C328" s="14" t="n">
        <v>8.517</v>
      </c>
      <c r="D328" s="14" t="n">
        <v>1.237</v>
      </c>
      <c r="E328" s="14" t="n">
        <v>1.0738</v>
      </c>
      <c r="F328" s="14" t="n">
        <v>6.913</v>
      </c>
      <c r="G328" s="14" t="n">
        <v>3.1194</v>
      </c>
      <c r="H328" s="14" t="n">
        <v>113.02</v>
      </c>
      <c r="I328" s="14" t="n">
        <v>1.0726</v>
      </c>
      <c r="J328" s="14" t="n">
        <v>9.1588</v>
      </c>
      <c r="K328" s="14" t="n">
        <v>1209.16</v>
      </c>
      <c r="L328" s="14" t="n">
        <v>0.8681</v>
      </c>
      <c r="M328" s="14" t="n">
        <v>7.4004</v>
      </c>
      <c r="N328" s="14" t="n">
        <v>3.3244</v>
      </c>
      <c r="O328" s="14" t="n">
        <v>121.55</v>
      </c>
      <c r="P328" s="14" t="n">
        <v>8.5389</v>
      </c>
    </row>
    <row r="329" customFormat="false" ht="15" hidden="false" customHeight="false" outlineLevel="0" collapsed="false">
      <c r="A329" s="13" t="n">
        <v>42811</v>
      </c>
      <c r="B329" s="14" t="n">
        <v>1128.67</v>
      </c>
      <c r="C329" s="14" t="n">
        <v>8.4633</v>
      </c>
      <c r="D329" s="14" t="n">
        <v>1.2372</v>
      </c>
      <c r="E329" s="14" t="n">
        <v>1.0742</v>
      </c>
      <c r="F329" s="14" t="n">
        <v>6.9</v>
      </c>
      <c r="G329" s="14" t="n">
        <v>3.106</v>
      </c>
      <c r="H329" s="14" t="n">
        <v>112.67</v>
      </c>
      <c r="I329" s="14" t="n">
        <v>1.0737</v>
      </c>
      <c r="J329" s="14" t="n">
        <v>9.1023</v>
      </c>
      <c r="K329" s="14" t="n">
        <v>1213.19</v>
      </c>
      <c r="L329" s="14" t="n">
        <v>0.86868</v>
      </c>
      <c r="M329" s="14" t="n">
        <v>7.4141</v>
      </c>
      <c r="N329" s="14" t="n">
        <v>3.3342</v>
      </c>
      <c r="O329" s="14" t="n">
        <v>121.49</v>
      </c>
      <c r="P329" s="14" t="n">
        <v>8.4775</v>
      </c>
    </row>
    <row r="330" customFormat="false" ht="15" hidden="false" customHeight="false" outlineLevel="0" collapsed="false">
      <c r="A330" s="13" t="n">
        <v>42814</v>
      </c>
      <c r="B330" s="14" t="n">
        <v>1112.29</v>
      </c>
      <c r="C330" s="14" t="n">
        <v>8.4648</v>
      </c>
      <c r="D330" s="14" t="n">
        <v>1.2365</v>
      </c>
      <c r="E330" s="14" t="n">
        <v>1.0754</v>
      </c>
      <c r="F330" s="14" t="n">
        <v>6.905</v>
      </c>
      <c r="G330" s="14" t="n">
        <v>3.0812</v>
      </c>
      <c r="H330" s="14" t="n">
        <v>112.59</v>
      </c>
      <c r="I330" s="14" t="n">
        <v>1.0752</v>
      </c>
      <c r="J330" s="14" t="n">
        <v>9.1278</v>
      </c>
      <c r="K330" s="14" t="n">
        <v>1199.56</v>
      </c>
      <c r="L330" s="14" t="n">
        <v>0.86793</v>
      </c>
      <c r="M330" s="14" t="n">
        <v>7.4268</v>
      </c>
      <c r="N330" s="14" t="n">
        <v>3.3416</v>
      </c>
      <c r="O330" s="14" t="n">
        <v>121.19</v>
      </c>
      <c r="P330" s="14" t="n">
        <v>8.4894</v>
      </c>
    </row>
    <row r="331" customFormat="false" ht="15" hidden="false" customHeight="false" outlineLevel="0" collapsed="false">
      <c r="A331" s="13" t="n">
        <v>42815</v>
      </c>
      <c r="B331" s="14" t="n">
        <v>1118.23</v>
      </c>
      <c r="C331" s="14" t="n">
        <v>8.4609</v>
      </c>
      <c r="D331" s="14" t="n">
        <v>1.2479</v>
      </c>
      <c r="E331" s="14" t="n">
        <v>1.081</v>
      </c>
      <c r="F331" s="14" t="n">
        <v>6.883</v>
      </c>
      <c r="G331" s="14" t="n">
        <v>3.084</v>
      </c>
      <c r="H331" s="14" t="n">
        <v>111.9</v>
      </c>
      <c r="I331" s="14" t="n">
        <v>1.0802</v>
      </c>
      <c r="J331" s="14" t="n">
        <v>9.1253</v>
      </c>
      <c r="K331" s="14" t="n">
        <v>1208.01</v>
      </c>
      <c r="L331" s="14" t="n">
        <v>0.86753</v>
      </c>
      <c r="M331" s="14" t="n">
        <v>7.4418</v>
      </c>
      <c r="N331" s="14" t="n">
        <v>3.3175</v>
      </c>
      <c r="O331" s="14" t="n">
        <v>121.58</v>
      </c>
      <c r="P331" s="14" t="n">
        <v>8.4478</v>
      </c>
    </row>
    <row r="332" customFormat="false" ht="15" hidden="false" customHeight="false" outlineLevel="0" collapsed="false">
      <c r="A332" s="13" t="n">
        <v>42816</v>
      </c>
      <c r="B332" s="14" t="n">
        <v>1117.91</v>
      </c>
      <c r="C332" s="14" t="n">
        <v>8.4659</v>
      </c>
      <c r="D332" s="14" t="n">
        <v>1.2476</v>
      </c>
      <c r="E332" s="14" t="n">
        <v>1.08</v>
      </c>
      <c r="F332" s="14" t="n">
        <v>6.8785</v>
      </c>
      <c r="G332" s="14" t="n">
        <v>3.0863</v>
      </c>
      <c r="H332" s="14" t="n">
        <v>111.06</v>
      </c>
      <c r="I332" s="14" t="n">
        <v>1.0807</v>
      </c>
      <c r="J332" s="14" t="n">
        <v>9.1463</v>
      </c>
      <c r="K332" s="14" t="n">
        <v>1210.08</v>
      </c>
      <c r="L332" s="14" t="n">
        <v>0.8679</v>
      </c>
      <c r="M332" s="14" t="n">
        <v>7.4433</v>
      </c>
      <c r="N332" s="14" t="n">
        <v>3.3484</v>
      </c>
      <c r="O332" s="14" t="n">
        <v>120.07</v>
      </c>
      <c r="P332" s="14" t="n">
        <v>8.4633</v>
      </c>
    </row>
    <row r="333" customFormat="false" ht="15" hidden="false" customHeight="false" outlineLevel="0" collapsed="false">
      <c r="A333" s="13" t="n">
        <v>42817</v>
      </c>
      <c r="B333" s="14" t="n">
        <v>1117.91</v>
      </c>
      <c r="C333" s="14" t="n">
        <v>8.4811</v>
      </c>
      <c r="D333" s="14" t="n">
        <v>1.2526</v>
      </c>
      <c r="E333" s="14" t="n">
        <v>1.0787</v>
      </c>
      <c r="F333" s="14" t="n">
        <v>6.8843</v>
      </c>
      <c r="G333" s="14" t="n">
        <v>3.1348</v>
      </c>
      <c r="H333" s="14" t="n">
        <v>111.12</v>
      </c>
      <c r="I333" s="14" t="n">
        <v>1.0786</v>
      </c>
      <c r="J333" s="14" t="n">
        <v>9.1478</v>
      </c>
      <c r="K333" s="14" t="n">
        <v>1207.38</v>
      </c>
      <c r="L333" s="14" t="n">
        <v>0.86273</v>
      </c>
      <c r="M333" s="14" t="n">
        <v>7.4268</v>
      </c>
      <c r="N333" s="14" t="n">
        <v>3.3608</v>
      </c>
      <c r="O333" s="14" t="n">
        <v>119.36</v>
      </c>
      <c r="P333" s="14" t="n">
        <v>8.4812</v>
      </c>
    </row>
    <row r="334" customFormat="false" ht="15" hidden="false" customHeight="false" outlineLevel="0" collapsed="false">
      <c r="A334" s="13" t="n">
        <v>42818</v>
      </c>
      <c r="B334" s="14" t="n">
        <v>1116.69</v>
      </c>
      <c r="C334" s="14" t="n">
        <v>8.4926</v>
      </c>
      <c r="D334" s="14" t="n">
        <v>1.2491</v>
      </c>
      <c r="E334" s="14" t="n">
        <v>1.0806</v>
      </c>
      <c r="F334" s="14" t="n">
        <v>6.8803</v>
      </c>
      <c r="G334" s="14" t="n">
        <v>3.1144</v>
      </c>
      <c r="H334" s="14" t="n">
        <v>111.03</v>
      </c>
      <c r="I334" s="14" t="n">
        <v>1.0805</v>
      </c>
      <c r="J334" s="14" t="n">
        <v>9.1793</v>
      </c>
      <c r="K334" s="14" t="n">
        <v>1210.37</v>
      </c>
      <c r="L334" s="14" t="n">
        <v>0.866</v>
      </c>
      <c r="M334" s="14" t="n">
        <v>7.4406</v>
      </c>
      <c r="N334" s="14" t="n">
        <v>3.3845</v>
      </c>
      <c r="O334" s="14" t="n">
        <v>120.09</v>
      </c>
      <c r="P334" s="14" t="n">
        <v>8.4954</v>
      </c>
    </row>
    <row r="335" customFormat="false" ht="15" hidden="false" customHeight="false" outlineLevel="0" collapsed="false">
      <c r="A335" s="13" t="n">
        <v>42821</v>
      </c>
      <c r="B335" s="14" t="n">
        <v>1108.3</v>
      </c>
      <c r="C335" s="14" t="n">
        <v>8.4662</v>
      </c>
      <c r="D335" s="14" t="n">
        <v>1.2583</v>
      </c>
      <c r="E335" s="14" t="n">
        <v>1.0882</v>
      </c>
      <c r="F335" s="14" t="n">
        <v>6.8687</v>
      </c>
      <c r="G335" s="14" t="n">
        <v>3.1197</v>
      </c>
      <c r="H335" s="14" t="n">
        <v>110.48</v>
      </c>
      <c r="I335" s="14" t="n">
        <v>1.0889</v>
      </c>
      <c r="J335" s="14" t="n">
        <v>9.2188</v>
      </c>
      <c r="K335" s="14" t="n">
        <v>1207.95</v>
      </c>
      <c r="L335" s="14" t="n">
        <v>0.86403</v>
      </c>
      <c r="M335" s="14" t="n">
        <v>7.4895</v>
      </c>
      <c r="N335" s="14" t="n">
        <v>3.398</v>
      </c>
      <c r="O335" s="14" t="n">
        <v>119.93</v>
      </c>
      <c r="P335" s="14" t="n">
        <v>8.4662</v>
      </c>
    </row>
    <row r="336" customFormat="false" ht="15" hidden="false" customHeight="false" outlineLevel="0" collapsed="false">
      <c r="A336" s="13" t="n">
        <v>42822</v>
      </c>
      <c r="B336" s="14" t="n">
        <v>1111.51</v>
      </c>
      <c r="C336" s="14" t="n">
        <v>8.4915</v>
      </c>
      <c r="D336" s="14" t="n">
        <v>1.2503</v>
      </c>
      <c r="E336" s="14" t="n">
        <v>1.0852</v>
      </c>
      <c r="F336" s="14" t="n">
        <v>6.8779</v>
      </c>
      <c r="G336" s="14" t="n">
        <v>3.1298</v>
      </c>
      <c r="H336" s="14" t="n">
        <v>110.56</v>
      </c>
      <c r="I336" s="14" t="n">
        <v>1.0859</v>
      </c>
      <c r="J336" s="14" t="n">
        <v>9.238</v>
      </c>
      <c r="K336" s="14" t="n">
        <v>1209.11</v>
      </c>
      <c r="L336" s="14" t="n">
        <v>0.86455</v>
      </c>
      <c r="M336" s="14" t="n">
        <v>7.4767</v>
      </c>
      <c r="N336" s="14" t="n">
        <v>3.3947</v>
      </c>
      <c r="O336" s="14" t="n">
        <v>119.84</v>
      </c>
      <c r="P336" s="14" t="n">
        <v>8.5072</v>
      </c>
    </row>
    <row r="337" customFormat="false" ht="15" hidden="false" customHeight="false" outlineLevel="0" collapsed="false">
      <c r="A337" s="13" t="n">
        <v>42823</v>
      </c>
      <c r="B337" s="14" t="n">
        <v>1112.28</v>
      </c>
      <c r="C337" s="14" t="n">
        <v>8.5214</v>
      </c>
      <c r="D337" s="14" t="n">
        <v>1.2411</v>
      </c>
      <c r="E337" s="14" t="n">
        <v>1.0756</v>
      </c>
      <c r="F337" s="14" t="n">
        <v>6.8879</v>
      </c>
      <c r="G337" s="14" t="n">
        <v>3.1175</v>
      </c>
      <c r="H337" s="14" t="n">
        <v>111.05</v>
      </c>
      <c r="I337" s="14" t="n">
        <v>1.0748</v>
      </c>
      <c r="J337" s="14" t="n">
        <v>9.1908</v>
      </c>
      <c r="K337" s="14" t="n">
        <v>1195.89</v>
      </c>
      <c r="L337" s="14" t="n">
        <v>0.86385</v>
      </c>
      <c r="M337" s="14" t="n">
        <v>7.4063</v>
      </c>
      <c r="N337" s="14" t="n">
        <v>3.3666</v>
      </c>
      <c r="O337" s="14" t="n">
        <v>119.17</v>
      </c>
      <c r="P337" s="14" t="n">
        <v>8.5512</v>
      </c>
    </row>
    <row r="338" customFormat="false" ht="15" hidden="false" customHeight="false" outlineLevel="0" collapsed="false">
      <c r="A338" s="13" t="n">
        <v>42824</v>
      </c>
      <c r="B338" s="14" t="n">
        <v>1114.11</v>
      </c>
      <c r="C338" s="14" t="n">
        <v>8.5484</v>
      </c>
      <c r="D338" s="14" t="n">
        <v>1.2489</v>
      </c>
      <c r="E338" s="14" t="n">
        <v>1.0726</v>
      </c>
      <c r="F338" s="14" t="n">
        <v>6.887</v>
      </c>
      <c r="G338" s="14" t="n">
        <v>3.1203</v>
      </c>
      <c r="H338" s="14" t="n">
        <v>111.36</v>
      </c>
      <c r="I338" s="14" t="n">
        <v>1.0737</v>
      </c>
      <c r="J338" s="14" t="n">
        <v>9.1695</v>
      </c>
      <c r="K338" s="14" t="n">
        <v>1199.08</v>
      </c>
      <c r="L338" s="14" t="n">
        <v>0.8618</v>
      </c>
      <c r="M338" s="14" t="n">
        <v>7.3973</v>
      </c>
      <c r="N338" s="14" t="n">
        <v>3.3555</v>
      </c>
      <c r="O338" s="14" t="n">
        <v>119.39</v>
      </c>
      <c r="P338" s="14" t="n">
        <v>8.5401</v>
      </c>
    </row>
    <row r="339" customFormat="false" ht="15" hidden="false" customHeight="false" outlineLevel="0" collapsed="false">
      <c r="A339" s="13" t="n">
        <v>42825</v>
      </c>
      <c r="B339" s="14" t="n">
        <v>1117.48</v>
      </c>
      <c r="C339" s="14" t="n">
        <v>8.5756</v>
      </c>
      <c r="D339" s="14" t="n">
        <v>1.2537</v>
      </c>
      <c r="E339" s="14" t="n">
        <v>1.0698</v>
      </c>
      <c r="F339" s="14" t="n">
        <v>6.8832</v>
      </c>
      <c r="G339" s="14" t="n">
        <v>3.1628</v>
      </c>
      <c r="H339" s="14" t="n">
        <v>111.41</v>
      </c>
      <c r="I339" s="14" t="n">
        <v>1.0691</v>
      </c>
      <c r="J339" s="14" t="n">
        <v>9.1683</v>
      </c>
      <c r="K339" s="14" t="n">
        <v>1194.54</v>
      </c>
      <c r="L339" s="14" t="n">
        <v>0.85553</v>
      </c>
      <c r="M339" s="14" t="n">
        <v>7.3642</v>
      </c>
      <c r="N339" s="14" t="n">
        <v>3.38</v>
      </c>
      <c r="O339" s="14" t="n">
        <v>119.55</v>
      </c>
      <c r="P339" s="14" t="n">
        <v>8.5757</v>
      </c>
    </row>
    <row r="340" customFormat="false" ht="15" hidden="false" customHeight="false" outlineLevel="0" collapsed="false">
      <c r="A340" s="13" t="n">
        <v>42828</v>
      </c>
      <c r="B340" s="14" t="n">
        <v>1117.65</v>
      </c>
      <c r="C340" s="14" t="n">
        <v>8.5918</v>
      </c>
      <c r="D340" s="14" t="n">
        <v>1.2479</v>
      </c>
      <c r="E340" s="14" t="n">
        <v>1.0655</v>
      </c>
      <c r="F340" s="14" t="n">
        <v>6.8832</v>
      </c>
      <c r="G340" s="14" t="n">
        <v>3.1183</v>
      </c>
      <c r="H340" s="14" t="n">
        <v>110.96</v>
      </c>
      <c r="I340" s="14" t="n">
        <v>1.0661</v>
      </c>
      <c r="J340" s="14" t="n">
        <v>9.1468</v>
      </c>
      <c r="K340" s="14" t="n">
        <v>1191.09</v>
      </c>
      <c r="L340" s="14" t="n">
        <v>0.8526</v>
      </c>
      <c r="M340" s="14" t="n">
        <v>7.3423</v>
      </c>
      <c r="N340" s="14" t="n">
        <v>3.3314</v>
      </c>
      <c r="O340" s="14" t="n">
        <v>118.64</v>
      </c>
      <c r="P340" s="14" t="n">
        <v>8.5797</v>
      </c>
    </row>
    <row r="341" customFormat="false" ht="15" hidden="false" customHeight="false" outlineLevel="0" collapsed="false">
      <c r="A341" s="13" t="n">
        <v>42829</v>
      </c>
      <c r="B341" s="14" t="n">
        <v>1122.61</v>
      </c>
      <c r="C341" s="14" t="n">
        <v>8.5918</v>
      </c>
      <c r="D341" s="14" t="n">
        <v>1.2437</v>
      </c>
      <c r="E341" s="14" t="n">
        <v>1.0664</v>
      </c>
      <c r="F341" s="14" t="n">
        <v>6.8832</v>
      </c>
      <c r="G341" s="14" t="n">
        <v>3.1147</v>
      </c>
      <c r="H341" s="14" t="n">
        <v>110.74</v>
      </c>
      <c r="I341" s="14" t="n">
        <v>1.0651</v>
      </c>
      <c r="J341" s="14" t="n">
        <v>9.179</v>
      </c>
      <c r="K341" s="14" t="n">
        <v>1198.13</v>
      </c>
      <c r="L341" s="14" t="n">
        <v>0.85623</v>
      </c>
      <c r="M341" s="14" t="n">
        <v>7.3371</v>
      </c>
      <c r="N341" s="14" t="n">
        <v>3.3395</v>
      </c>
      <c r="O341" s="14" t="n">
        <v>117.55</v>
      </c>
      <c r="P341" s="14" t="n">
        <v>8.618</v>
      </c>
    </row>
    <row r="342" customFormat="false" ht="15" hidden="false" customHeight="false" outlineLevel="0" collapsed="false">
      <c r="A342" s="13" t="n">
        <v>42830</v>
      </c>
      <c r="B342" s="14" t="n">
        <v>1126.58</v>
      </c>
      <c r="C342" s="14" t="n">
        <v>8.5984</v>
      </c>
      <c r="D342" s="14" t="n">
        <v>1.2488</v>
      </c>
      <c r="E342" s="14" t="n">
        <v>1.0661</v>
      </c>
      <c r="F342" s="14" t="n">
        <v>6.892</v>
      </c>
      <c r="G342" s="14" t="n">
        <v>3.0932</v>
      </c>
      <c r="H342" s="14" t="n">
        <v>111.2</v>
      </c>
      <c r="I342" s="14" t="n">
        <v>1.0678</v>
      </c>
      <c r="J342" s="14" t="n">
        <v>9.1665</v>
      </c>
      <c r="K342" s="14" t="n">
        <v>1202.72</v>
      </c>
      <c r="L342" s="14" t="n">
        <v>0.8551</v>
      </c>
      <c r="M342" s="14" t="n">
        <v>7.3638</v>
      </c>
      <c r="N342" s="14" t="n">
        <v>3.2974</v>
      </c>
      <c r="O342" s="14" t="n">
        <v>118.49</v>
      </c>
      <c r="P342" s="14" t="n">
        <v>8.5845</v>
      </c>
    </row>
    <row r="343" customFormat="false" ht="15" hidden="false" customHeight="false" outlineLevel="0" collapsed="false">
      <c r="A343" s="13" t="n">
        <v>42831</v>
      </c>
      <c r="B343" s="14" t="n">
        <v>1131.21</v>
      </c>
      <c r="C343" s="14" t="n">
        <v>8.6163</v>
      </c>
      <c r="D343" s="14" t="n">
        <v>1.2486</v>
      </c>
      <c r="E343" s="14" t="n">
        <v>1.0651</v>
      </c>
      <c r="F343" s="14" t="n">
        <v>6.8955</v>
      </c>
      <c r="G343" s="14" t="n">
        <v>3.1087</v>
      </c>
      <c r="H343" s="14" t="n">
        <v>111.02</v>
      </c>
      <c r="I343" s="14" t="n">
        <v>1.0666</v>
      </c>
      <c r="J343" s="14" t="n">
        <v>9.1688</v>
      </c>
      <c r="K343" s="14" t="n">
        <v>1206.44</v>
      </c>
      <c r="L343" s="14" t="n">
        <v>0.8559</v>
      </c>
      <c r="M343" s="14" t="n">
        <v>7.3577</v>
      </c>
      <c r="N343" s="14" t="n">
        <v>3.3232</v>
      </c>
      <c r="O343" s="14" t="n">
        <v>118.23</v>
      </c>
      <c r="P343" s="14" t="n">
        <v>8.5963</v>
      </c>
    </row>
    <row r="344" customFormat="false" ht="15" hidden="false" customHeight="false" outlineLevel="0" collapsed="false">
      <c r="A344" s="13" t="n">
        <v>42832</v>
      </c>
      <c r="B344" s="14" t="n">
        <v>1133.89</v>
      </c>
      <c r="C344" s="14" t="n">
        <v>8.6268</v>
      </c>
      <c r="D344" s="14" t="n">
        <v>1.2398</v>
      </c>
      <c r="E344" s="14" t="n">
        <v>1.0616</v>
      </c>
      <c r="F344" s="14" t="n">
        <v>6.8978</v>
      </c>
      <c r="G344" s="14" t="n">
        <v>3.1258</v>
      </c>
      <c r="H344" s="14" t="n">
        <v>110.76</v>
      </c>
      <c r="I344" s="14" t="n">
        <v>1.063</v>
      </c>
      <c r="J344" s="14" t="n">
        <v>9.1583</v>
      </c>
      <c r="K344" s="14" t="n">
        <v>1206.35</v>
      </c>
      <c r="L344" s="14" t="n">
        <v>0.85573</v>
      </c>
      <c r="M344" s="14" t="n">
        <v>7.3318</v>
      </c>
      <c r="N344" s="14" t="n">
        <v>3.3349</v>
      </c>
      <c r="O344" s="14" t="n">
        <v>117.64</v>
      </c>
      <c r="P344" s="14" t="n">
        <v>8.6155</v>
      </c>
    </row>
    <row r="345" customFormat="false" ht="15" hidden="false" customHeight="false" outlineLevel="0" collapsed="false">
      <c r="A345" s="13" t="n">
        <v>42835</v>
      </c>
      <c r="B345" s="14" t="n">
        <v>1141.24</v>
      </c>
      <c r="C345" s="14" t="n">
        <v>8.6175</v>
      </c>
      <c r="D345" s="14" t="n">
        <v>1.2418</v>
      </c>
      <c r="E345" s="14" t="n">
        <v>1.0606</v>
      </c>
      <c r="F345" s="14" t="n">
        <v>6.8988</v>
      </c>
      <c r="G345" s="14" t="n">
        <v>3.1443</v>
      </c>
      <c r="H345" s="14" t="n">
        <v>110.95</v>
      </c>
      <c r="I345" s="14" t="n">
        <v>1.0578</v>
      </c>
      <c r="J345" s="14" t="n">
        <v>9.1443</v>
      </c>
      <c r="K345" s="14" t="n">
        <v>1208.18</v>
      </c>
      <c r="L345" s="14" t="n">
        <v>0.85335</v>
      </c>
      <c r="M345" s="14" t="n">
        <v>7.3022</v>
      </c>
      <c r="N345" s="14" t="n">
        <v>3.3175</v>
      </c>
      <c r="O345" s="14" t="n">
        <v>117.72</v>
      </c>
      <c r="P345" s="14" t="n">
        <v>8.6446</v>
      </c>
    </row>
    <row r="346" customFormat="false" ht="15" hidden="false" customHeight="false" outlineLevel="0" collapsed="false">
      <c r="A346" s="13" t="n">
        <v>42836</v>
      </c>
      <c r="B346" s="14" t="n">
        <v>1147.77</v>
      </c>
      <c r="C346" s="14" t="n">
        <v>8.5961</v>
      </c>
      <c r="D346" s="14" t="n">
        <v>1.2484</v>
      </c>
      <c r="E346" s="14" t="n">
        <v>1.0614</v>
      </c>
      <c r="F346" s="14" t="n">
        <v>6.8893</v>
      </c>
      <c r="G346" s="14" t="n">
        <v>3.1456</v>
      </c>
      <c r="H346" s="14" t="n">
        <v>109.74</v>
      </c>
      <c r="I346" s="14" t="n">
        <v>1.0616</v>
      </c>
      <c r="J346" s="14" t="n">
        <v>9.1245</v>
      </c>
      <c r="K346" s="14" t="n">
        <v>1214.5</v>
      </c>
      <c r="L346" s="14" t="n">
        <v>0.8533</v>
      </c>
      <c r="M346" s="14" t="n">
        <v>7.3256</v>
      </c>
      <c r="N346" s="14" t="n">
        <v>3.3241</v>
      </c>
      <c r="O346" s="14" t="n">
        <v>117.36</v>
      </c>
      <c r="P346" s="14" t="n">
        <v>8.595</v>
      </c>
    </row>
    <row r="347" customFormat="false" ht="15" hidden="false" customHeight="false" outlineLevel="0" collapsed="false">
      <c r="A347" s="13" t="n">
        <v>42837</v>
      </c>
      <c r="B347" s="14" t="n">
        <v>1138.83</v>
      </c>
      <c r="C347" s="14" t="n">
        <v>8.5817</v>
      </c>
      <c r="D347" s="14" t="n">
        <v>1.25</v>
      </c>
      <c r="E347" s="14" t="n">
        <v>1.0611</v>
      </c>
      <c r="F347" s="14" t="n">
        <v>6.889</v>
      </c>
      <c r="G347" s="14" t="n">
        <v>3.1519</v>
      </c>
      <c r="H347" s="14" t="n">
        <v>109.54</v>
      </c>
      <c r="I347" s="14" t="n">
        <v>1.0605</v>
      </c>
      <c r="J347" s="14" t="n">
        <v>9.1035</v>
      </c>
      <c r="K347" s="14" t="n">
        <v>1209.26</v>
      </c>
      <c r="L347" s="14" t="n">
        <v>0.8484</v>
      </c>
      <c r="M347" s="14" t="n">
        <v>7.309</v>
      </c>
      <c r="N347" s="14" t="n">
        <v>3.333</v>
      </c>
      <c r="O347" s="14" t="n">
        <v>116.22</v>
      </c>
      <c r="P347" s="14" t="n">
        <v>8.5842</v>
      </c>
    </row>
    <row r="348" customFormat="false" ht="15" hidden="false" customHeight="false" outlineLevel="0" collapsed="false">
      <c r="A348" s="13" t="n">
        <v>42838</v>
      </c>
      <c r="B348" s="14" t="n">
        <v>1133.32</v>
      </c>
      <c r="C348" s="14" t="n">
        <v>8.5506</v>
      </c>
      <c r="D348" s="14" t="n">
        <v>1.2522</v>
      </c>
      <c r="E348" s="14" t="n">
        <v>1.063</v>
      </c>
      <c r="F348" s="14" t="n">
        <v>6.8865</v>
      </c>
      <c r="G348" s="14" t="n">
        <v>3.1309</v>
      </c>
      <c r="H348" s="14" t="n">
        <v>109.23</v>
      </c>
      <c r="I348" s="14" t="n">
        <v>1.063</v>
      </c>
      <c r="J348" s="14" t="n">
        <v>9.1033</v>
      </c>
      <c r="K348" s="14" t="n">
        <v>1202.93</v>
      </c>
      <c r="L348" s="14" t="n">
        <v>0.84763</v>
      </c>
      <c r="M348" s="14" t="n">
        <v>7.3227</v>
      </c>
      <c r="N348" s="14" t="n">
        <v>3.3277</v>
      </c>
      <c r="O348" s="14" t="n">
        <v>116.01</v>
      </c>
    </row>
    <row r="349" customFormat="false" ht="15" hidden="false" customHeight="false" outlineLevel="0" collapsed="false">
      <c r="A349" s="13" t="n">
        <v>42839</v>
      </c>
      <c r="B349" s="14" t="n">
        <v>1136.67</v>
      </c>
      <c r="C349" s="14" t="n">
        <v>8.5741</v>
      </c>
      <c r="D349" s="14" t="n">
        <v>1.2531</v>
      </c>
      <c r="E349" s="14" t="n">
        <v>1.0625</v>
      </c>
      <c r="F349" s="14" t="n">
        <v>6.8835</v>
      </c>
      <c r="G349" s="14" t="n">
        <v>3.1445</v>
      </c>
      <c r="H349" s="14" t="n">
        <v>108.63</v>
      </c>
    </row>
    <row r="350" customFormat="false" ht="15" hidden="false" customHeight="false" outlineLevel="0" collapsed="false">
      <c r="A350" s="13" t="n">
        <v>42842</v>
      </c>
      <c r="B350" s="14" t="n">
        <v>1134.25</v>
      </c>
      <c r="C350" s="14" t="n">
        <v>8.5355</v>
      </c>
      <c r="D350" s="14" t="n">
        <v>1.2587</v>
      </c>
      <c r="E350" s="14" t="n">
        <v>1.066</v>
      </c>
      <c r="F350" s="14" t="n">
        <v>6.88</v>
      </c>
      <c r="G350" s="14" t="n">
        <v>3.1036</v>
      </c>
      <c r="H350" s="14" t="n">
        <v>108.46</v>
      </c>
    </row>
    <row r="351" customFormat="false" ht="15" hidden="false" customHeight="false" outlineLevel="0" collapsed="false">
      <c r="A351" s="13" t="n">
        <v>42843</v>
      </c>
      <c r="B351" s="14" t="n">
        <v>1143.89</v>
      </c>
      <c r="C351" s="14" t="n">
        <v>8.5192</v>
      </c>
      <c r="D351" s="14" t="n">
        <v>1.2769</v>
      </c>
      <c r="E351" s="14" t="n">
        <v>1.0706</v>
      </c>
      <c r="F351" s="14" t="n">
        <v>6.8778</v>
      </c>
      <c r="G351" s="14" t="n">
        <v>3.0997</v>
      </c>
      <c r="H351" s="14" t="n">
        <v>108.4</v>
      </c>
      <c r="I351" s="14" t="n">
        <v>1.0682</v>
      </c>
      <c r="J351" s="14" t="n">
        <v>9.1093</v>
      </c>
      <c r="K351" s="14" t="n">
        <v>1221.05</v>
      </c>
      <c r="L351" s="14" t="n">
        <v>0.84375</v>
      </c>
      <c r="M351" s="14" t="n">
        <v>7.3524</v>
      </c>
      <c r="N351" s="14" t="n">
        <v>3.3194</v>
      </c>
      <c r="O351" s="14" t="n">
        <v>116.26</v>
      </c>
      <c r="P351" s="14" t="n">
        <v>8.5277</v>
      </c>
    </row>
    <row r="352" customFormat="false" ht="15" hidden="false" customHeight="false" outlineLevel="0" collapsed="false">
      <c r="A352" s="13" t="n">
        <v>42844</v>
      </c>
      <c r="B352" s="14" t="n">
        <v>1142.37</v>
      </c>
      <c r="C352" s="14" t="n">
        <v>8.5757</v>
      </c>
      <c r="D352" s="14" t="n">
        <v>1.2789</v>
      </c>
      <c r="E352" s="14" t="n">
        <v>1.0707</v>
      </c>
      <c r="F352" s="14" t="n">
        <v>6.886</v>
      </c>
      <c r="G352" s="14" t="n">
        <v>3.1399</v>
      </c>
      <c r="H352" s="14" t="n">
        <v>109.06</v>
      </c>
      <c r="I352" s="14" t="n">
        <v>1.0725</v>
      </c>
      <c r="J352" s="14" t="n">
        <v>9.1528</v>
      </c>
      <c r="K352" s="14" t="n">
        <v>1222.42</v>
      </c>
      <c r="L352" s="14" t="n">
        <v>0.8343</v>
      </c>
      <c r="M352" s="14" t="n">
        <v>7.3852</v>
      </c>
      <c r="N352" s="14" t="n">
        <v>3.3368</v>
      </c>
      <c r="O352" s="14" t="n">
        <v>116.91</v>
      </c>
      <c r="P352" s="14" t="n">
        <v>8.5341</v>
      </c>
    </row>
    <row r="353" customFormat="false" ht="15" hidden="false" customHeight="false" outlineLevel="0" collapsed="false">
      <c r="A353" s="13" t="n">
        <v>42845</v>
      </c>
      <c r="B353" s="14" t="n">
        <v>1136.29</v>
      </c>
      <c r="C353" s="14" t="n">
        <v>8.5861</v>
      </c>
      <c r="D353" s="14" t="n">
        <v>1.283</v>
      </c>
      <c r="E353" s="14" t="n">
        <v>1.0758</v>
      </c>
      <c r="F353" s="14" t="n">
        <v>6.88</v>
      </c>
      <c r="G353" s="14" t="n">
        <v>3.1466</v>
      </c>
      <c r="H353" s="14" t="n">
        <v>109.34</v>
      </c>
      <c r="I353" s="14" t="n">
        <v>1.0745</v>
      </c>
      <c r="J353" s="14" t="n">
        <v>9.212</v>
      </c>
      <c r="K353" s="14" t="n">
        <v>1220.93</v>
      </c>
      <c r="L353" s="14" t="n">
        <v>0.8392</v>
      </c>
      <c r="M353" s="14" t="n">
        <v>7.3965</v>
      </c>
      <c r="N353" s="14" t="n">
        <v>3.377</v>
      </c>
      <c r="O353" s="14" t="n">
        <v>117.16</v>
      </c>
      <c r="P353" s="14" t="n">
        <v>8.5733</v>
      </c>
    </row>
    <row r="354" customFormat="false" ht="15" hidden="false" customHeight="false" outlineLevel="0" collapsed="false">
      <c r="A354" s="13" t="n">
        <v>42846</v>
      </c>
      <c r="B354" s="14" t="n">
        <v>1134.22</v>
      </c>
      <c r="C354" s="14" t="n">
        <v>8.6779</v>
      </c>
      <c r="D354" s="14" t="n">
        <v>1.2783</v>
      </c>
      <c r="E354" s="14" t="n">
        <v>1.0694</v>
      </c>
      <c r="F354" s="14" t="n">
        <v>6.8845</v>
      </c>
      <c r="G354" s="14" t="n">
        <v>3.1475</v>
      </c>
      <c r="H354" s="14" t="n">
        <v>109.08</v>
      </c>
      <c r="I354" s="14" t="n">
        <v>1.0698</v>
      </c>
      <c r="J354" s="14" t="n">
        <v>9.2478</v>
      </c>
      <c r="K354" s="14" t="n">
        <v>1215.07</v>
      </c>
      <c r="L354" s="14" t="n">
        <v>0.8372</v>
      </c>
      <c r="M354" s="14" t="n">
        <v>7.3666</v>
      </c>
      <c r="N354" s="14" t="n">
        <v>3.3683</v>
      </c>
      <c r="O354" s="14" t="n">
        <v>116.72</v>
      </c>
      <c r="P354" s="14" t="n">
        <v>8.6444</v>
      </c>
    </row>
    <row r="355" customFormat="false" ht="15" hidden="false" customHeight="false" outlineLevel="0" collapsed="false">
      <c r="A355" s="13" t="n">
        <v>42849</v>
      </c>
      <c r="B355" s="14" t="n">
        <v>1132.19</v>
      </c>
      <c r="C355" s="14" t="n">
        <v>8.5628</v>
      </c>
      <c r="D355" s="14" t="n">
        <v>1.2783</v>
      </c>
      <c r="E355" s="14" t="n">
        <v>1.0846</v>
      </c>
      <c r="F355" s="14" t="n">
        <v>6.884</v>
      </c>
      <c r="G355" s="14" t="n">
        <v>3.1254</v>
      </c>
      <c r="H355" s="14" t="n">
        <v>109.74</v>
      </c>
      <c r="I355" s="14" t="n">
        <v>1.0848</v>
      </c>
      <c r="J355" s="14" t="n">
        <v>9.245</v>
      </c>
      <c r="K355" s="14" t="n">
        <v>1224.22</v>
      </c>
      <c r="L355" s="14" t="n">
        <v>0.8483</v>
      </c>
      <c r="M355" s="14" t="n">
        <v>7.4691</v>
      </c>
      <c r="N355" s="14" t="n">
        <v>3.3903</v>
      </c>
      <c r="O355" s="14" t="n">
        <v>119.67</v>
      </c>
      <c r="P355" s="14" t="n">
        <v>8.5223</v>
      </c>
    </row>
    <row r="356" customFormat="false" ht="15" hidden="false" customHeight="false" outlineLevel="0" collapsed="false">
      <c r="A356" s="13" t="n">
        <v>42850</v>
      </c>
      <c r="B356" s="14" t="n">
        <v>1126.54</v>
      </c>
      <c r="C356" s="14" t="n">
        <v>8.5518</v>
      </c>
      <c r="D356" s="14" t="n">
        <v>1.2836</v>
      </c>
      <c r="E356" s="14" t="n">
        <v>1.0941</v>
      </c>
      <c r="F356" s="14" t="n">
        <v>6.8824</v>
      </c>
      <c r="G356" s="14" t="n">
        <v>3.1669</v>
      </c>
      <c r="H356" s="14" t="n">
        <v>110.88</v>
      </c>
      <c r="I356" s="14" t="n">
        <v>1.0891</v>
      </c>
      <c r="J356" s="14" t="n">
        <v>9.3158</v>
      </c>
      <c r="K356" s="14" t="n">
        <v>1228.28</v>
      </c>
      <c r="L356" s="14" t="n">
        <v>0.84928</v>
      </c>
      <c r="M356" s="14" t="n">
        <v>7.4976</v>
      </c>
      <c r="N356" s="14" t="n">
        <v>3.4329</v>
      </c>
      <c r="O356" s="14" t="n">
        <v>120.34</v>
      </c>
      <c r="P356" s="14" t="n">
        <v>8.5537</v>
      </c>
    </row>
    <row r="357" customFormat="false" ht="15" hidden="false" customHeight="false" outlineLevel="0" collapsed="false">
      <c r="A357" s="13" t="n">
        <v>42851</v>
      </c>
      <c r="B357" s="14" t="n">
        <v>1133.17</v>
      </c>
      <c r="C357" s="14" t="n">
        <v>8.5902</v>
      </c>
      <c r="D357" s="14" t="n">
        <v>1.2838</v>
      </c>
      <c r="E357" s="14" t="n">
        <v>1.0872</v>
      </c>
      <c r="F357" s="14" t="n">
        <v>6.8918</v>
      </c>
      <c r="G357" s="14" t="n">
        <v>3.1961</v>
      </c>
      <c r="H357" s="14" t="n">
        <v>111.52</v>
      </c>
      <c r="I357" s="14" t="n">
        <v>1.0893</v>
      </c>
      <c r="J357" s="14" t="n">
        <v>9.3485</v>
      </c>
      <c r="K357" s="14" t="n">
        <v>1231.89</v>
      </c>
      <c r="L357" s="14" t="n">
        <v>0.84903</v>
      </c>
      <c r="M357" s="14" t="n">
        <v>7.5061</v>
      </c>
      <c r="N357" s="14" t="n">
        <v>3.4521</v>
      </c>
      <c r="O357" s="14" t="n">
        <v>121.35</v>
      </c>
      <c r="P357" s="14" t="n">
        <v>8.5821</v>
      </c>
    </row>
    <row r="358" customFormat="false" ht="15" hidden="false" customHeight="false" outlineLevel="0" collapsed="false">
      <c r="A358" s="13" t="n">
        <v>42852</v>
      </c>
      <c r="B358" s="14" t="n">
        <v>1133.83</v>
      </c>
      <c r="C358" s="14" t="n">
        <v>8.5935</v>
      </c>
      <c r="D358" s="14" t="n">
        <v>1.2889</v>
      </c>
      <c r="E358" s="14" t="n">
        <v>1.0864</v>
      </c>
      <c r="F358" s="14" t="n">
        <v>6.8958</v>
      </c>
      <c r="G358" s="14" t="n">
        <v>3.1867</v>
      </c>
      <c r="H358" s="14" t="n">
        <v>111.13</v>
      </c>
      <c r="I358" s="14" t="n">
        <v>1.0881</v>
      </c>
      <c r="J358" s="14" t="n">
        <v>9.3367</v>
      </c>
      <c r="K358" s="14" t="n">
        <v>1234.33</v>
      </c>
      <c r="L358" s="14" t="n">
        <v>0.8442</v>
      </c>
      <c r="M358" s="14" t="n">
        <v>7.5024</v>
      </c>
      <c r="N358" s="14" t="n">
        <v>3.4387</v>
      </c>
      <c r="O358" s="14" t="n">
        <v>121.27</v>
      </c>
      <c r="P358" s="14" t="n">
        <v>8.5807</v>
      </c>
    </row>
    <row r="359" customFormat="false" ht="15" hidden="false" customHeight="false" outlineLevel="0" collapsed="false">
      <c r="A359" s="13" t="n">
        <v>42853</v>
      </c>
      <c r="B359" s="14" t="n">
        <v>1136.99</v>
      </c>
      <c r="C359" s="14" t="n">
        <v>8.5726</v>
      </c>
      <c r="D359" s="14" t="n">
        <v>1.2938</v>
      </c>
      <c r="E359" s="14" t="n">
        <v>1.0895</v>
      </c>
      <c r="F359" s="14" t="n">
        <v>6.89</v>
      </c>
      <c r="G359" s="14" t="n">
        <v>3.1896</v>
      </c>
      <c r="H359" s="14" t="n">
        <v>111.44</v>
      </c>
      <c r="I359" s="14" t="n">
        <v>1.093</v>
      </c>
      <c r="J359" s="14" t="n">
        <v>9.3243</v>
      </c>
      <c r="K359" s="14" t="n">
        <v>1243.69</v>
      </c>
      <c r="L359" s="14" t="n">
        <v>0.84473</v>
      </c>
      <c r="M359" s="14" t="n">
        <v>7.5367</v>
      </c>
      <c r="N359" s="14" t="n">
        <v>3.4718</v>
      </c>
      <c r="O359" s="14" t="n">
        <v>121.76</v>
      </c>
      <c r="P359" s="14" t="n">
        <v>8.5309</v>
      </c>
    </row>
    <row r="360" customFormat="false" ht="15" hidden="false" customHeight="false" outlineLevel="0" collapsed="false">
      <c r="A360" s="13" t="n">
        <v>42856</v>
      </c>
      <c r="B360" s="14" t="n">
        <v>1134.87</v>
      </c>
      <c r="C360" s="14" t="n">
        <v>8.5838</v>
      </c>
      <c r="D360" s="14" t="n">
        <v>1.2917</v>
      </c>
      <c r="E360" s="14" t="n">
        <v>1.0912</v>
      </c>
      <c r="F360" s="14" t="n">
        <v>6.89</v>
      </c>
      <c r="G360" s="14" t="n">
        <v>3.176</v>
      </c>
      <c r="H360" s="14" t="n">
        <v>111.78</v>
      </c>
    </row>
    <row r="361" customFormat="false" ht="15" hidden="false" customHeight="false" outlineLevel="0" collapsed="false">
      <c r="A361" s="13" t="n">
        <v>42857</v>
      </c>
      <c r="B361" s="14" t="n">
        <v>1129.16</v>
      </c>
      <c r="C361" s="14" t="n">
        <v>8.5941</v>
      </c>
      <c r="D361" s="14" t="n">
        <v>1.2921</v>
      </c>
      <c r="E361" s="14" t="n">
        <v>1.091</v>
      </c>
      <c r="F361" s="14" t="n">
        <v>6.8949</v>
      </c>
      <c r="G361" s="14" t="n">
        <v>3.1685</v>
      </c>
      <c r="H361" s="14" t="n">
        <v>112.06</v>
      </c>
      <c r="I361" s="14" t="n">
        <v>1.0915</v>
      </c>
      <c r="J361" s="14" t="n">
        <v>9.378</v>
      </c>
      <c r="K361" s="14" t="n">
        <v>1233.65</v>
      </c>
      <c r="L361" s="14" t="n">
        <v>0.8452</v>
      </c>
      <c r="M361" s="14" t="n">
        <v>7.5263</v>
      </c>
      <c r="N361" s="14" t="n">
        <v>3.4585</v>
      </c>
      <c r="O361" s="14" t="n">
        <v>122.55</v>
      </c>
      <c r="P361" s="14" t="n">
        <v>8.5918</v>
      </c>
    </row>
    <row r="362" customFormat="false" ht="15" hidden="false" customHeight="false" outlineLevel="0" collapsed="false">
      <c r="A362" s="13" t="n">
        <v>42858</v>
      </c>
      <c r="B362" s="14" t="n">
        <v>1131.25</v>
      </c>
      <c r="C362" s="14" t="n">
        <v>8.6191</v>
      </c>
      <c r="D362" s="14" t="n">
        <v>1.2916</v>
      </c>
      <c r="E362" s="14" t="n">
        <v>1.092</v>
      </c>
      <c r="F362" s="14" t="n">
        <v>6.8968</v>
      </c>
      <c r="G362" s="14" t="n">
        <v>3.1443</v>
      </c>
      <c r="H362" s="14" t="n">
        <v>112.34</v>
      </c>
      <c r="I362" s="14" t="n">
        <v>1.0919</v>
      </c>
      <c r="J362" s="14" t="n">
        <v>9.3878</v>
      </c>
      <c r="K362" s="14" t="n">
        <v>1235.52</v>
      </c>
      <c r="L362" s="14" t="n">
        <v>0.8444</v>
      </c>
      <c r="M362" s="14" t="n">
        <v>7.5267</v>
      </c>
      <c r="N362" s="14" t="n">
        <v>3.4424</v>
      </c>
      <c r="O362" s="14" t="n">
        <v>122.47</v>
      </c>
      <c r="P362" s="14" t="n">
        <v>8.5977</v>
      </c>
    </row>
    <row r="363" customFormat="false" ht="15" hidden="false" customHeight="false" outlineLevel="0" collapsed="false">
      <c r="A363" s="13" t="n">
        <v>42859</v>
      </c>
      <c r="B363" s="14" t="n">
        <v>1134.2</v>
      </c>
      <c r="C363" s="14" t="n">
        <v>8.6774</v>
      </c>
      <c r="D363" s="14" t="n">
        <v>1.291</v>
      </c>
      <c r="E363" s="14" t="n">
        <v>1.0967</v>
      </c>
      <c r="F363" s="14" t="n">
        <v>6.8959</v>
      </c>
      <c r="G363" s="14" t="n">
        <v>3.1823</v>
      </c>
      <c r="H363" s="14" t="n">
        <v>112.7</v>
      </c>
      <c r="I363" s="14" t="n">
        <v>1.0927</v>
      </c>
      <c r="J363" s="14" t="n">
        <v>9.4803</v>
      </c>
      <c r="K363" s="14" t="n">
        <v>1241.17</v>
      </c>
      <c r="L363" s="14" t="n">
        <v>0.84765</v>
      </c>
      <c r="M363" s="14" t="n">
        <v>7.535</v>
      </c>
      <c r="N363" s="14" t="n">
        <v>3.4822</v>
      </c>
      <c r="O363" s="14" t="n">
        <v>123.31</v>
      </c>
      <c r="P363" s="14" t="n">
        <v>8.676</v>
      </c>
    </row>
    <row r="364" customFormat="false" ht="15" hidden="false" customHeight="false" outlineLevel="0" collapsed="false">
      <c r="A364" s="13" t="n">
        <v>42860</v>
      </c>
      <c r="B364" s="14" t="n">
        <v>1136.49</v>
      </c>
      <c r="C364" s="14" t="n">
        <v>8.6022</v>
      </c>
      <c r="D364" s="14" t="n">
        <v>1.295</v>
      </c>
      <c r="E364" s="14" t="n">
        <v>1.0996</v>
      </c>
      <c r="F364" s="14" t="n">
        <v>6.9021</v>
      </c>
      <c r="G364" s="14" t="n">
        <v>3.1703</v>
      </c>
      <c r="H364" s="14" t="n">
        <v>112.63</v>
      </c>
      <c r="I364" s="14" t="n">
        <v>1.0961</v>
      </c>
      <c r="J364" s="14" t="n">
        <v>9.5023</v>
      </c>
      <c r="K364" s="14" t="n">
        <v>1251.13</v>
      </c>
      <c r="L364" s="14" t="n">
        <v>0.8471</v>
      </c>
      <c r="M364" s="14" t="n">
        <v>7.5655</v>
      </c>
      <c r="N364" s="14" t="n">
        <v>3.4917</v>
      </c>
      <c r="O364" s="14" t="n">
        <v>123.29</v>
      </c>
      <c r="P364" s="14" t="n">
        <v>8.6692</v>
      </c>
    </row>
    <row r="365" customFormat="false" ht="15" hidden="false" customHeight="false" outlineLevel="0" collapsed="false">
      <c r="A365" s="13" t="n">
        <v>42863</v>
      </c>
      <c r="B365" s="14" t="n">
        <v>1132.91</v>
      </c>
      <c r="C365" s="14" t="n">
        <v>8.6445</v>
      </c>
      <c r="D365" s="14" t="n">
        <v>1.2942</v>
      </c>
      <c r="E365" s="14" t="n">
        <v>1.0928</v>
      </c>
      <c r="F365" s="14" t="n">
        <v>6.904</v>
      </c>
      <c r="G365" s="14" t="n">
        <v>3.2003</v>
      </c>
      <c r="H365" s="14" t="n">
        <v>112.84</v>
      </c>
      <c r="I365" s="14" t="n">
        <v>1.0938</v>
      </c>
      <c r="J365" s="14" t="n">
        <v>9.4465</v>
      </c>
      <c r="K365" s="14" t="n">
        <v>1239.29</v>
      </c>
      <c r="L365" s="14" t="n">
        <v>0.84465</v>
      </c>
      <c r="M365" s="14" t="n">
        <v>7.5513</v>
      </c>
      <c r="N365" s="14" t="n">
        <v>3.4896</v>
      </c>
      <c r="O365" s="14" t="n">
        <v>123.1</v>
      </c>
      <c r="P365" s="14" t="n">
        <v>8.6364</v>
      </c>
    </row>
    <row r="366" customFormat="false" ht="15" hidden="false" customHeight="false" outlineLevel="0" collapsed="false">
      <c r="A366" s="13" t="n">
        <v>42864</v>
      </c>
      <c r="B366" s="14" t="n">
        <v>1134.84</v>
      </c>
      <c r="C366" s="14" t="n">
        <v>8.6802</v>
      </c>
      <c r="D366" s="14" t="n">
        <v>1.2939</v>
      </c>
      <c r="E366" s="14" t="n">
        <v>1.0875</v>
      </c>
      <c r="F366" s="14" t="n">
        <v>6.906</v>
      </c>
      <c r="G366" s="14" t="n">
        <v>3.1818</v>
      </c>
      <c r="H366" s="14" t="n">
        <v>114.19</v>
      </c>
      <c r="I366" s="14" t="n">
        <v>1.0888</v>
      </c>
      <c r="J366" s="14" t="n">
        <v>9.4138</v>
      </c>
      <c r="K366" s="14" t="n">
        <v>1238.96</v>
      </c>
      <c r="L366" s="14" t="n">
        <v>0.843</v>
      </c>
      <c r="M366" s="14" t="n">
        <v>7.5201</v>
      </c>
      <c r="N366" s="14" t="n">
        <v>3.473</v>
      </c>
      <c r="O366" s="14" t="n">
        <v>124.04</v>
      </c>
      <c r="P366" s="14" t="n">
        <v>8.646</v>
      </c>
    </row>
    <row r="367" customFormat="false" ht="15" hidden="false" customHeight="false" outlineLevel="0" collapsed="false">
      <c r="A367" s="13" t="n">
        <v>42865</v>
      </c>
      <c r="B367" s="14" t="n">
        <v>1132.13</v>
      </c>
      <c r="C367" s="14" t="n">
        <v>8.608</v>
      </c>
      <c r="D367" s="14" t="n">
        <v>1.2939</v>
      </c>
      <c r="E367" s="14" t="n">
        <v>1.0873</v>
      </c>
      <c r="F367" s="14" t="n">
        <v>6.9011</v>
      </c>
      <c r="G367" s="14" t="n">
        <v>3.1531</v>
      </c>
      <c r="H367" s="14" t="n">
        <v>114.02</v>
      </c>
      <c r="I367" s="14" t="n">
        <v>1.0882</v>
      </c>
      <c r="J367" s="14" t="n">
        <v>9.4435</v>
      </c>
      <c r="K367" s="14" t="n">
        <v>1234.98</v>
      </c>
      <c r="L367" s="14" t="n">
        <v>0.83985</v>
      </c>
      <c r="M367" s="14" t="n">
        <v>7.5116</v>
      </c>
      <c r="N367" s="14" t="n">
        <v>3.444</v>
      </c>
      <c r="O367" s="14" t="n">
        <v>123.84</v>
      </c>
      <c r="P367" s="14" t="n">
        <v>8.6781</v>
      </c>
    </row>
    <row r="368" customFormat="false" ht="15" hidden="false" customHeight="false" outlineLevel="0" collapsed="false">
      <c r="A368" s="13" t="n">
        <v>42866</v>
      </c>
      <c r="B368" s="14" t="n">
        <v>1127.51</v>
      </c>
      <c r="C368" s="14" t="n">
        <v>8.5924</v>
      </c>
      <c r="D368" s="14" t="n">
        <v>1.2885</v>
      </c>
      <c r="E368" s="14" t="n">
        <v>1.0869</v>
      </c>
      <c r="F368" s="14" t="n">
        <v>6.9033</v>
      </c>
      <c r="G368" s="14" t="n">
        <v>3.1494</v>
      </c>
      <c r="H368" s="14" t="n">
        <v>113.77</v>
      </c>
      <c r="I368" s="14" t="n">
        <v>1.086</v>
      </c>
      <c r="J368" s="14" t="n">
        <v>9.333</v>
      </c>
      <c r="K368" s="14" t="n">
        <v>1225.56</v>
      </c>
      <c r="L368" s="14" t="n">
        <v>0.84485</v>
      </c>
      <c r="M368" s="14" t="n">
        <v>7.4957</v>
      </c>
      <c r="N368" s="14" t="n">
        <v>3.4363</v>
      </c>
      <c r="O368" s="14" t="n">
        <v>123.69</v>
      </c>
      <c r="P368" s="14" t="n">
        <v>8.5939</v>
      </c>
    </row>
    <row r="369" customFormat="false" ht="15" hidden="false" customHeight="false" outlineLevel="0" collapsed="false">
      <c r="A369" s="13" t="n">
        <v>42867</v>
      </c>
      <c r="B369" s="14" t="n">
        <v>1121.68</v>
      </c>
      <c r="C369" s="14" t="n">
        <v>8.5713</v>
      </c>
      <c r="D369" s="14" t="n">
        <v>1.288</v>
      </c>
      <c r="E369" s="14" t="n">
        <v>1.0926</v>
      </c>
      <c r="F369" s="14" t="n">
        <v>6.8972</v>
      </c>
      <c r="G369" s="14" t="n">
        <v>3.1207</v>
      </c>
      <c r="H369" s="14" t="n">
        <v>113.3</v>
      </c>
      <c r="I369" s="14" t="n">
        <v>1.0876</v>
      </c>
      <c r="J369" s="14" t="n">
        <v>9.3665</v>
      </c>
      <c r="K369" s="14" t="n">
        <v>1226.52</v>
      </c>
      <c r="L369" s="14" t="n">
        <v>0.84588</v>
      </c>
      <c r="M369" s="14" t="n">
        <v>7.5047</v>
      </c>
      <c r="N369" s="14" t="n">
        <v>3.4227</v>
      </c>
      <c r="O369" s="14" t="n">
        <v>123.82</v>
      </c>
      <c r="P369" s="14" t="n">
        <v>8.6121</v>
      </c>
    </row>
    <row r="370" customFormat="false" ht="15" hidden="false" customHeight="false" outlineLevel="0" collapsed="false">
      <c r="A370" s="13" t="n">
        <v>42870</v>
      </c>
      <c r="B370" s="14" t="n">
        <v>1115.01</v>
      </c>
      <c r="C370" s="14" t="n">
        <v>8.5416</v>
      </c>
      <c r="D370" s="14" t="n">
        <v>1.2917</v>
      </c>
      <c r="E370" s="14" t="n">
        <v>1.0979</v>
      </c>
      <c r="F370" s="14" t="n">
        <v>6.89</v>
      </c>
      <c r="G370" s="14" t="n">
        <v>3.1049</v>
      </c>
      <c r="H370" s="14" t="n">
        <v>113.54</v>
      </c>
      <c r="I370" s="14" t="n">
        <v>1.0972</v>
      </c>
      <c r="J370" s="14" t="n">
        <v>9.3325</v>
      </c>
      <c r="K370" s="14" t="n">
        <v>1225.57</v>
      </c>
      <c r="L370" s="14" t="n">
        <v>0.84928</v>
      </c>
      <c r="M370" s="14" t="n">
        <v>7.5629</v>
      </c>
      <c r="N370" s="14" t="n">
        <v>3.4065</v>
      </c>
      <c r="O370" s="14" t="n">
        <v>124.45</v>
      </c>
      <c r="P370" s="14" t="n">
        <v>8.5057</v>
      </c>
    </row>
    <row r="371" customFormat="false" ht="15" hidden="false" customHeight="false" outlineLevel="0" collapsed="false">
      <c r="A371" s="13" t="n">
        <v>42871</v>
      </c>
      <c r="B371" s="14" t="n">
        <v>1115</v>
      </c>
      <c r="C371" s="14" t="n">
        <v>8.4664</v>
      </c>
      <c r="D371" s="14" t="n">
        <v>1.2912</v>
      </c>
      <c r="E371" s="14" t="n">
        <v>1.1072</v>
      </c>
      <c r="F371" s="14" t="n">
        <v>6.884</v>
      </c>
      <c r="G371" s="14" t="n">
        <v>3.0903</v>
      </c>
      <c r="H371" s="14" t="n">
        <v>113.24</v>
      </c>
      <c r="I371" s="14" t="n">
        <v>1.1059</v>
      </c>
      <c r="J371" s="14" t="n">
        <v>9.3918</v>
      </c>
      <c r="K371" s="14" t="n">
        <v>1234.76</v>
      </c>
      <c r="L371" s="14" t="n">
        <v>0.85868</v>
      </c>
      <c r="M371" s="14" t="n">
        <v>7.6185</v>
      </c>
      <c r="N371" s="14" t="n">
        <v>3.4316</v>
      </c>
      <c r="O371" s="14" t="n">
        <v>125.67</v>
      </c>
      <c r="P371" s="14" t="n">
        <v>8.4924</v>
      </c>
    </row>
    <row r="372" customFormat="false" ht="15" hidden="false" customHeight="false" outlineLevel="0" collapsed="false">
      <c r="A372" s="13" t="n">
        <v>42872</v>
      </c>
      <c r="B372" s="14" t="n">
        <v>1118.67</v>
      </c>
      <c r="C372" s="14" t="n">
        <v>8.3977</v>
      </c>
      <c r="D372" s="14" t="n">
        <v>1.2944</v>
      </c>
      <c r="E372" s="14" t="n">
        <v>1.1134</v>
      </c>
      <c r="F372" s="14" t="n">
        <v>6.8773</v>
      </c>
      <c r="G372" s="14" t="n">
        <v>3.1015</v>
      </c>
      <c r="H372" s="14" t="n">
        <v>111.46</v>
      </c>
      <c r="I372" s="14" t="n">
        <v>1.1117</v>
      </c>
      <c r="J372" s="14" t="n">
        <v>9.3708</v>
      </c>
      <c r="K372" s="14" t="n">
        <v>1244.79</v>
      </c>
      <c r="L372" s="14" t="n">
        <v>0.85745</v>
      </c>
      <c r="M372" s="14" t="n">
        <v>7.6552</v>
      </c>
      <c r="N372" s="14" t="n">
        <v>3.4446</v>
      </c>
      <c r="O372" s="14" t="n">
        <v>124.82</v>
      </c>
    </row>
    <row r="373" customFormat="false" ht="15" hidden="false" customHeight="false" outlineLevel="0" collapsed="false">
      <c r="A373" s="13" t="n">
        <v>42873</v>
      </c>
      <c r="B373" s="14" t="n">
        <v>1129.17</v>
      </c>
      <c r="C373" s="14" t="n">
        <v>8.4431</v>
      </c>
      <c r="D373" s="14" t="n">
        <v>1.3009</v>
      </c>
      <c r="E373" s="14" t="n">
        <v>1.113</v>
      </c>
      <c r="F373" s="14" t="n">
        <v>6.888</v>
      </c>
      <c r="G373" s="14" t="n">
        <v>3.3823</v>
      </c>
      <c r="H373" s="14" t="n">
        <v>110.82</v>
      </c>
      <c r="I373" s="14" t="n">
        <v>1.1129</v>
      </c>
      <c r="J373" s="14" t="n">
        <v>9.4113</v>
      </c>
      <c r="K373" s="14" t="n">
        <v>1260.82</v>
      </c>
      <c r="L373" s="14" t="n">
        <v>0.85363</v>
      </c>
      <c r="M373" s="14" t="n">
        <v>7.6698</v>
      </c>
      <c r="N373" s="14" t="n">
        <v>3.4888</v>
      </c>
      <c r="O373" s="14" t="n">
        <v>123.05</v>
      </c>
      <c r="P373" s="14" t="n">
        <v>8.4566</v>
      </c>
    </row>
    <row r="374" customFormat="false" ht="15" hidden="false" customHeight="false" outlineLevel="0" collapsed="false">
      <c r="A374" s="13" t="n">
        <v>42874</v>
      </c>
      <c r="B374" s="14" t="n">
        <v>1116.71</v>
      </c>
      <c r="C374" s="14" t="n">
        <v>8.3866</v>
      </c>
      <c r="D374" s="14" t="n">
        <v>1.3018</v>
      </c>
      <c r="E374" s="14" t="n">
        <v>1.119</v>
      </c>
      <c r="F374" s="14" t="n">
        <v>6.883</v>
      </c>
      <c r="G374" s="14" t="n">
        <v>3.2745</v>
      </c>
      <c r="H374" s="14" t="n">
        <v>111.47</v>
      </c>
      <c r="I374" s="14" t="n">
        <v>1.1179</v>
      </c>
      <c r="J374" s="14" t="n">
        <v>9.3923</v>
      </c>
      <c r="K374" s="14" t="n">
        <v>1251.53</v>
      </c>
      <c r="L374" s="14" t="n">
        <v>0.85908</v>
      </c>
      <c r="M374" s="14" t="n">
        <v>7.7015</v>
      </c>
      <c r="N374" s="14" t="n">
        <v>3.7227</v>
      </c>
      <c r="O374" s="14" t="n">
        <v>124.35</v>
      </c>
      <c r="P374" s="14" t="n">
        <v>8.4017</v>
      </c>
    </row>
    <row r="375" customFormat="false" ht="15" hidden="false" customHeight="false" outlineLevel="0" collapsed="false">
      <c r="A375" s="13" t="n">
        <v>42877</v>
      </c>
      <c r="B375" s="14" t="n">
        <v>1114.71</v>
      </c>
      <c r="C375" s="14" t="n">
        <v>8.3464</v>
      </c>
      <c r="D375" s="14" t="n">
        <v>1.3006</v>
      </c>
      <c r="E375" s="14" t="n">
        <v>1.1236</v>
      </c>
      <c r="F375" s="14" t="n">
        <v>6.8828</v>
      </c>
      <c r="G375" s="14" t="n">
        <v>3.2952</v>
      </c>
      <c r="H375" s="14" t="n">
        <v>111.15</v>
      </c>
      <c r="I375" s="14" t="n">
        <v>1.1243</v>
      </c>
      <c r="J375" s="14" t="n">
        <v>9.3723</v>
      </c>
      <c r="K375" s="14" t="n">
        <v>1256.08</v>
      </c>
      <c r="L375" s="14" t="n">
        <v>0.86353</v>
      </c>
      <c r="M375" s="14" t="n">
        <v>7.7457</v>
      </c>
      <c r="N375" s="14" t="n">
        <v>3.7029</v>
      </c>
      <c r="O375" s="14" t="n">
        <v>125.18</v>
      </c>
      <c r="P375" s="14" t="n">
        <v>8.3361</v>
      </c>
    </row>
    <row r="376" customFormat="false" ht="15" hidden="false" customHeight="false" outlineLevel="0" collapsed="false">
      <c r="A376" s="13" t="n">
        <v>42878</v>
      </c>
      <c r="B376" s="14" t="n">
        <v>1125.02</v>
      </c>
      <c r="C376" s="14" t="n">
        <v>8.3694</v>
      </c>
      <c r="D376" s="14" t="n">
        <v>1.2984</v>
      </c>
      <c r="E376" s="14" t="n">
        <v>1.1198</v>
      </c>
      <c r="F376" s="14" t="n">
        <v>6.888</v>
      </c>
      <c r="G376" s="14" t="n">
        <v>3.2729</v>
      </c>
      <c r="H376" s="14" t="n">
        <v>111.64</v>
      </c>
      <c r="I376" s="14" t="n">
        <v>1.1215</v>
      </c>
      <c r="J376" s="14" t="n">
        <v>9.376</v>
      </c>
      <c r="K376" s="14" t="n">
        <v>1260.51</v>
      </c>
      <c r="L376" s="14" t="n">
        <v>0.86463</v>
      </c>
      <c r="M376" s="14" t="n">
        <v>7.7277</v>
      </c>
      <c r="N376" s="14" t="n">
        <v>3.6718</v>
      </c>
      <c r="O376" s="14" t="n">
        <v>124.62</v>
      </c>
      <c r="P376" s="14" t="n">
        <v>8.3602</v>
      </c>
    </row>
    <row r="377" customFormat="false" ht="15" hidden="false" customHeight="false" outlineLevel="0" collapsed="false">
      <c r="A377" s="13" t="n">
        <v>42879</v>
      </c>
      <c r="B377" s="14" t="n">
        <v>1122.83</v>
      </c>
      <c r="C377" s="14" t="n">
        <v>8.3928</v>
      </c>
      <c r="D377" s="14" t="n">
        <v>1.2935</v>
      </c>
      <c r="E377" s="14" t="n">
        <v>1.1175</v>
      </c>
      <c r="F377" s="14" t="n">
        <v>6.8883</v>
      </c>
      <c r="G377" s="14" t="n">
        <v>3.2747</v>
      </c>
      <c r="H377" s="14" t="n">
        <v>112.02</v>
      </c>
      <c r="I377" s="14" t="n">
        <v>1.1193</v>
      </c>
      <c r="J377" s="14" t="n">
        <v>9.3843</v>
      </c>
      <c r="K377" s="14" t="n">
        <v>1256.7</v>
      </c>
      <c r="L377" s="14" t="n">
        <v>0.8634</v>
      </c>
      <c r="M377" s="14" t="n">
        <v>7.7119</v>
      </c>
      <c r="N377" s="14" t="n">
        <v>3.6442</v>
      </c>
      <c r="O377" s="14" t="n">
        <v>125.15</v>
      </c>
      <c r="P377" s="14" t="n">
        <v>8.3841</v>
      </c>
    </row>
    <row r="378" customFormat="false" ht="15" hidden="false" customHeight="false" outlineLevel="0" collapsed="false">
      <c r="A378" s="13" t="n">
        <v>42880</v>
      </c>
      <c r="B378" s="14" t="n">
        <v>1119.71</v>
      </c>
      <c r="C378" s="14" t="n">
        <v>8.3531</v>
      </c>
      <c r="D378" s="14" t="n">
        <v>1.2954</v>
      </c>
      <c r="E378" s="14" t="n">
        <v>1.1218</v>
      </c>
      <c r="F378" s="14" t="n">
        <v>6.8672</v>
      </c>
      <c r="G378" s="14" t="n">
        <v>3.288</v>
      </c>
      <c r="H378" s="14" t="n">
        <v>111.7</v>
      </c>
      <c r="I378" s="14" t="n">
        <v>1.1214</v>
      </c>
      <c r="J378" s="14" t="n">
        <v>9.333</v>
      </c>
      <c r="K378" s="14" t="n">
        <v>1255.74</v>
      </c>
      <c r="L378" s="14" t="n">
        <v>0.86528</v>
      </c>
      <c r="M378" s="14" t="n">
        <v>7.7018</v>
      </c>
      <c r="N378" s="14" t="n">
        <v>3.666</v>
      </c>
      <c r="O378" s="14" t="n">
        <v>125.33</v>
      </c>
    </row>
    <row r="379" customFormat="false" ht="15" hidden="false" customHeight="false" outlineLevel="0" collapsed="false">
      <c r="A379" s="13" t="n">
        <v>42881</v>
      </c>
      <c r="B379" s="14" t="n">
        <v>1118.67</v>
      </c>
      <c r="C379" s="14" t="n">
        <v>8.3935</v>
      </c>
      <c r="D379" s="14" t="n">
        <v>1.2795</v>
      </c>
      <c r="E379" s="14" t="n">
        <v>1.117</v>
      </c>
      <c r="F379" s="14" t="n">
        <v>6.8525</v>
      </c>
      <c r="G379" s="14" t="n">
        <v>3.2575</v>
      </c>
      <c r="H379" s="14" t="n">
        <v>111.3</v>
      </c>
      <c r="I379" s="14" t="n">
        <v>1.1196</v>
      </c>
      <c r="J379" s="14" t="n">
        <v>9.4018</v>
      </c>
      <c r="K379" s="14" t="n">
        <v>1251.82</v>
      </c>
      <c r="L379" s="14" t="n">
        <v>0.8719</v>
      </c>
      <c r="M379" s="14" t="n">
        <v>7.6782</v>
      </c>
      <c r="N379" s="14" t="n">
        <v>3.6609</v>
      </c>
      <c r="O379" s="14" t="n">
        <v>124.38</v>
      </c>
      <c r="P379" s="14" t="n">
        <v>8.3975</v>
      </c>
    </row>
    <row r="380" customFormat="false" ht="15" hidden="false" customHeight="false" outlineLevel="0" collapsed="false">
      <c r="A380" s="13" t="n">
        <v>42884</v>
      </c>
      <c r="I380" s="14" t="n">
        <v>1.1188</v>
      </c>
      <c r="J380" s="14" t="n">
        <v>9.4065</v>
      </c>
      <c r="K380" s="14" t="n">
        <v>1254.24</v>
      </c>
      <c r="L380" s="14" t="n">
        <v>0.87093</v>
      </c>
      <c r="M380" s="14" t="n">
        <v>7.6714</v>
      </c>
      <c r="N380" s="14" t="n">
        <v>3.6538</v>
      </c>
      <c r="O380" s="14" t="n">
        <v>124.57</v>
      </c>
      <c r="P380" s="14" t="n">
        <v>8.4077</v>
      </c>
    </row>
    <row r="381" customFormat="false" ht="15" hidden="false" customHeight="false" outlineLevel="0" collapsed="false">
      <c r="A381" s="13" t="n">
        <v>42885</v>
      </c>
      <c r="B381" s="14" t="n">
        <v>1122.87</v>
      </c>
      <c r="C381" s="14" t="n">
        <v>8.4304</v>
      </c>
      <c r="D381" s="14" t="n">
        <v>1.2858</v>
      </c>
      <c r="E381" s="14" t="n">
        <v>1.1183</v>
      </c>
      <c r="F381" s="14" t="n">
        <v>6.8525</v>
      </c>
      <c r="G381" s="14" t="n">
        <v>3.2651</v>
      </c>
      <c r="H381" s="14" t="n">
        <v>110.68</v>
      </c>
      <c r="I381" s="14" t="n">
        <v>1.1173</v>
      </c>
      <c r="J381" s="14" t="n">
        <v>9.4398</v>
      </c>
      <c r="K381" s="14" t="n">
        <v>1255.99</v>
      </c>
      <c r="L381" s="14" t="n">
        <v>0.86793</v>
      </c>
      <c r="M381" s="14" t="n">
        <v>7.6597</v>
      </c>
      <c r="N381" s="14" t="n">
        <v>3.6509</v>
      </c>
      <c r="O381" s="14" t="n">
        <v>123.97</v>
      </c>
      <c r="P381" s="14" t="n">
        <v>8.4488</v>
      </c>
    </row>
    <row r="382" customFormat="false" ht="15" hidden="false" customHeight="false" outlineLevel="0" collapsed="false">
      <c r="A382" s="13" t="n">
        <v>42886</v>
      </c>
      <c r="B382" s="14" t="n">
        <v>1119.58</v>
      </c>
      <c r="C382" s="14" t="n">
        <v>8.4361</v>
      </c>
      <c r="D382" s="14" t="n">
        <v>1.2905</v>
      </c>
      <c r="E382" s="14" t="n">
        <v>1.1236</v>
      </c>
      <c r="F382" s="14" t="n">
        <v>6.8098</v>
      </c>
      <c r="G382" s="14" t="n">
        <v>3.2405</v>
      </c>
      <c r="H382" s="14" t="n">
        <v>110.71</v>
      </c>
      <c r="I382" s="14" t="n">
        <v>1.1221</v>
      </c>
      <c r="J382" s="14" t="n">
        <v>9.4388</v>
      </c>
      <c r="K382" s="14" t="n">
        <v>1255.01</v>
      </c>
      <c r="L382" s="14" t="n">
        <v>0.87365</v>
      </c>
      <c r="M382" s="14" t="n">
        <v>7.6449</v>
      </c>
      <c r="N382" s="14" t="n">
        <v>3.6485</v>
      </c>
      <c r="O382" s="14" t="n">
        <v>124.4</v>
      </c>
      <c r="P382" s="14" t="n">
        <v>8.4117</v>
      </c>
    </row>
    <row r="383" customFormat="false" ht="15" hidden="false" customHeight="false" outlineLevel="0" collapsed="false">
      <c r="A383" s="13" t="n">
        <v>42887</v>
      </c>
      <c r="B383" s="14" t="n">
        <v>1120.85</v>
      </c>
      <c r="C383" s="14" t="n">
        <v>8.4392</v>
      </c>
      <c r="D383" s="14" t="n">
        <v>1.2894</v>
      </c>
      <c r="E383" s="14" t="n">
        <v>1.1214</v>
      </c>
      <c r="F383" s="14" t="n">
        <v>6.8029</v>
      </c>
      <c r="G383" s="14" t="n">
        <v>3.2398</v>
      </c>
      <c r="H383" s="14" t="n">
        <v>111.24</v>
      </c>
      <c r="I383" s="14" t="n">
        <v>1.1219</v>
      </c>
      <c r="J383" s="14" t="n">
        <v>9.4895</v>
      </c>
      <c r="K383" s="14" t="n">
        <v>1258.4</v>
      </c>
      <c r="L383" s="14" t="n">
        <v>0.8723</v>
      </c>
      <c r="M383" s="14" t="n">
        <v>7.6389</v>
      </c>
      <c r="N383" s="14" t="n">
        <v>3.6135</v>
      </c>
      <c r="O383" s="14" t="n">
        <v>124.53</v>
      </c>
      <c r="P383" s="14" t="n">
        <v>8.4584</v>
      </c>
    </row>
    <row r="384" customFormat="false" ht="15" hidden="false" customHeight="false" outlineLevel="0" collapsed="false">
      <c r="A384" s="13" t="n">
        <v>42888</v>
      </c>
      <c r="B384" s="14" t="n">
        <v>1117.49</v>
      </c>
      <c r="C384" s="14" t="n">
        <v>8.4237</v>
      </c>
      <c r="D384" s="14" t="n">
        <v>1.2885</v>
      </c>
      <c r="E384" s="14" t="n">
        <v>1.127</v>
      </c>
      <c r="F384" s="14" t="n">
        <v>6.8085</v>
      </c>
      <c r="G384" s="14" t="n">
        <v>3.2391</v>
      </c>
      <c r="H384" s="14" t="n">
        <v>110.49</v>
      </c>
      <c r="I384" s="14" t="n">
        <v>1.1217</v>
      </c>
      <c r="J384" s="14" t="n">
        <v>9.4918</v>
      </c>
      <c r="K384" s="14" t="n">
        <v>1259.95</v>
      </c>
      <c r="L384" s="14" t="n">
        <v>0.87268</v>
      </c>
      <c r="M384" s="14" t="n">
        <v>7.6507</v>
      </c>
      <c r="N384" s="14" t="n">
        <v>3.6308</v>
      </c>
      <c r="O384" s="14" t="n">
        <v>125.02</v>
      </c>
      <c r="P384" s="14" t="n">
        <v>8.462</v>
      </c>
    </row>
    <row r="385" customFormat="false" ht="15" hidden="false" customHeight="false" outlineLevel="0" collapsed="false">
      <c r="A385" s="13" t="n">
        <v>42891</v>
      </c>
      <c r="B385" s="14" t="n">
        <v>1118.44</v>
      </c>
      <c r="C385" s="14" t="n">
        <v>8.4585</v>
      </c>
      <c r="D385" s="14" t="n">
        <v>1.2917</v>
      </c>
      <c r="E385" s="14" t="n">
        <v>1.125</v>
      </c>
      <c r="F385" s="14" t="n">
        <v>6.803</v>
      </c>
      <c r="G385" s="14" t="n">
        <v>3.2896</v>
      </c>
      <c r="H385" s="14" t="n">
        <v>110.49</v>
      </c>
      <c r="I385" s="14" t="n">
        <v>1.1249</v>
      </c>
      <c r="J385" s="14" t="n">
        <v>9.489</v>
      </c>
      <c r="K385" s="14" t="n">
        <v>1258.29</v>
      </c>
      <c r="L385" s="14" t="n">
        <v>0.8713</v>
      </c>
      <c r="M385" s="14" t="n">
        <v>7.6553</v>
      </c>
      <c r="N385" s="14" t="n">
        <v>3.666</v>
      </c>
      <c r="O385" s="14" t="n">
        <v>124.3</v>
      </c>
    </row>
    <row r="386" customFormat="false" ht="15" hidden="false" customHeight="false" outlineLevel="0" collapsed="false">
      <c r="A386" s="13" t="n">
        <v>42892</v>
      </c>
      <c r="B386" s="14" t="n">
        <v>1118.53</v>
      </c>
      <c r="C386" s="14" t="n">
        <v>8.4671</v>
      </c>
      <c r="D386" s="14" t="n">
        <v>1.2901</v>
      </c>
      <c r="E386" s="14" t="n">
        <v>1.1266</v>
      </c>
      <c r="F386" s="14" t="n">
        <v>6.7945</v>
      </c>
      <c r="G386" s="14" t="n">
        <v>3.2813</v>
      </c>
      <c r="H386" s="14" t="n">
        <v>109.34</v>
      </c>
      <c r="I386" s="14" t="n">
        <v>1.1258</v>
      </c>
      <c r="J386" s="14" t="n">
        <v>9.5158</v>
      </c>
      <c r="K386" s="14" t="n">
        <v>1261.08</v>
      </c>
      <c r="L386" s="14" t="n">
        <v>0.8723</v>
      </c>
      <c r="M386" s="14" t="n">
        <v>7.6491</v>
      </c>
      <c r="N386" s="14" t="n">
        <v>3.7117</v>
      </c>
      <c r="O386" s="14" t="n">
        <v>123.12</v>
      </c>
      <c r="P386" s="14" t="n">
        <v>8.4525</v>
      </c>
    </row>
    <row r="387" customFormat="false" ht="15" hidden="false" customHeight="false" outlineLevel="0" collapsed="false">
      <c r="A387" s="13" t="n">
        <v>42893</v>
      </c>
      <c r="B387" s="14" t="n">
        <v>1124.16</v>
      </c>
      <c r="C387" s="14" t="n">
        <v>8.4912</v>
      </c>
      <c r="D387" s="14" t="n">
        <v>1.2941</v>
      </c>
      <c r="E387" s="14" t="n">
        <v>1.1236</v>
      </c>
      <c r="F387" s="14" t="n">
        <v>6.7935</v>
      </c>
      <c r="G387" s="14" t="n">
        <v>3.279</v>
      </c>
      <c r="H387" s="14" t="n">
        <v>109.54</v>
      </c>
      <c r="I387" s="14" t="n">
        <v>1.1217</v>
      </c>
      <c r="J387" s="14" t="n">
        <v>9.5023</v>
      </c>
      <c r="K387" s="14" t="n">
        <v>1261.41</v>
      </c>
      <c r="L387" s="14" t="n">
        <v>0.86908</v>
      </c>
      <c r="M387" s="14" t="n">
        <v>7.6253</v>
      </c>
      <c r="N387" s="14" t="n">
        <v>3.6694</v>
      </c>
      <c r="O387" s="14" t="n">
        <v>122.78</v>
      </c>
      <c r="P387" s="14" t="n">
        <v>8.4713</v>
      </c>
    </row>
    <row r="388" customFormat="false" ht="15" hidden="false" customHeight="false" outlineLevel="0" collapsed="false">
      <c r="A388" s="13" t="n">
        <v>42894</v>
      </c>
      <c r="B388" s="14" t="n">
        <v>1122.73</v>
      </c>
      <c r="C388" s="14" t="n">
        <v>8.485</v>
      </c>
      <c r="D388" s="14" t="n">
        <v>1.2939</v>
      </c>
      <c r="E388" s="14" t="n">
        <v>1.1217</v>
      </c>
      <c r="F388" s="14" t="n">
        <v>6.799</v>
      </c>
      <c r="G388" s="14" t="n">
        <v>3.2822</v>
      </c>
      <c r="H388" s="14" t="n">
        <v>110.1</v>
      </c>
      <c r="I388" s="14" t="n">
        <v>1.1229</v>
      </c>
      <c r="J388" s="14" t="n">
        <v>9.5233</v>
      </c>
      <c r="K388" s="14" t="n">
        <v>1261.42</v>
      </c>
      <c r="L388" s="14" t="n">
        <v>0.86755</v>
      </c>
      <c r="M388" s="14" t="n">
        <v>7.6332</v>
      </c>
      <c r="N388" s="14" t="n">
        <v>3.6852</v>
      </c>
      <c r="O388" s="14" t="n">
        <v>123.77</v>
      </c>
      <c r="P388" s="14" t="n">
        <v>8.481</v>
      </c>
    </row>
    <row r="389" customFormat="false" ht="15" hidden="false" customHeight="false" outlineLevel="0" collapsed="false">
      <c r="A389" s="13" t="n">
        <v>42895</v>
      </c>
      <c r="B389" s="14" t="n">
        <v>1123.51</v>
      </c>
      <c r="C389" s="14" t="n">
        <v>8.4968</v>
      </c>
      <c r="D389" s="14" t="n">
        <v>1.2737</v>
      </c>
      <c r="E389" s="14" t="n">
        <v>1.119</v>
      </c>
      <c r="F389" s="14" t="n">
        <v>6.797</v>
      </c>
      <c r="G389" s="14" t="n">
        <v>3.2793</v>
      </c>
      <c r="H389" s="14" t="n">
        <v>110.61</v>
      </c>
      <c r="I389" s="14" t="n">
        <v>1.1176</v>
      </c>
      <c r="J389" s="14" t="n">
        <v>9.5218</v>
      </c>
      <c r="K389" s="14" t="n">
        <v>1256.54</v>
      </c>
      <c r="L389" s="14" t="n">
        <v>0.87638</v>
      </c>
      <c r="M389" s="14" t="n">
        <v>7.5962</v>
      </c>
      <c r="N389" s="14" t="n">
        <v>3.6476</v>
      </c>
      <c r="O389" s="14" t="n">
        <v>123.44</v>
      </c>
      <c r="P389" s="14" t="n">
        <v>8.5199</v>
      </c>
    </row>
    <row r="390" customFormat="false" ht="15" hidden="false" customHeight="false" outlineLevel="0" collapsed="false">
      <c r="A390" s="13" t="n">
        <v>42898</v>
      </c>
      <c r="B390" s="14" t="n">
        <v>1130.55</v>
      </c>
      <c r="C390" s="14" t="n">
        <v>8.4655</v>
      </c>
      <c r="D390" s="14" t="n">
        <v>1.2658</v>
      </c>
      <c r="E390" s="14" t="n">
        <v>1.1204</v>
      </c>
      <c r="F390" s="14" t="n">
        <v>6.7974</v>
      </c>
      <c r="G390" s="14" t="n">
        <v>3.3097</v>
      </c>
      <c r="H390" s="14" t="n">
        <v>109.72</v>
      </c>
      <c r="I390" s="14" t="n">
        <v>1.1221</v>
      </c>
      <c r="J390" s="14" t="n">
        <v>9.4985</v>
      </c>
      <c r="K390" s="14" t="n">
        <v>1270.17</v>
      </c>
      <c r="L390" s="14" t="n">
        <v>0.88545</v>
      </c>
      <c r="M390" s="14" t="n">
        <v>7.6284</v>
      </c>
      <c r="N390" s="14" t="n">
        <v>3.684</v>
      </c>
      <c r="O390" s="14" t="n">
        <v>123.3</v>
      </c>
      <c r="P390" s="14" t="n">
        <v>8.4649</v>
      </c>
    </row>
    <row r="391" customFormat="false" ht="15" hidden="false" customHeight="false" outlineLevel="0" collapsed="false">
      <c r="A391" s="13" t="n">
        <v>42899</v>
      </c>
      <c r="B391" s="14" t="n">
        <v>1127.79</v>
      </c>
      <c r="C391" s="14" t="n">
        <v>8.435</v>
      </c>
      <c r="D391" s="14" t="n">
        <v>1.2739</v>
      </c>
      <c r="E391" s="14" t="n">
        <v>1.1194</v>
      </c>
      <c r="F391" s="14" t="n">
        <v>6.7981</v>
      </c>
      <c r="G391" s="14" t="n">
        <v>3.3125</v>
      </c>
      <c r="H391" s="14" t="n">
        <v>110.12</v>
      </c>
      <c r="I391" s="14" t="n">
        <v>1.1217</v>
      </c>
      <c r="J391" s="14" t="n">
        <v>9.454</v>
      </c>
      <c r="K391" s="14" t="n">
        <v>1265.98</v>
      </c>
      <c r="L391" s="14" t="n">
        <v>0.88075</v>
      </c>
      <c r="M391" s="14" t="n">
        <v>7.6245</v>
      </c>
      <c r="N391" s="14" t="n">
        <v>3.7045</v>
      </c>
      <c r="O391" s="14" t="n">
        <v>123.43</v>
      </c>
      <c r="P391" s="14" t="n">
        <v>8.4283</v>
      </c>
    </row>
    <row r="392" customFormat="false" ht="15" hidden="false" customHeight="false" outlineLevel="0" collapsed="false">
      <c r="A392" s="13" t="n">
        <v>42900</v>
      </c>
      <c r="B392" s="14" t="n">
        <v>1116.45</v>
      </c>
      <c r="C392" s="14" t="n">
        <v>8.3662</v>
      </c>
      <c r="D392" s="14" t="n">
        <v>1.2808</v>
      </c>
      <c r="E392" s="14" t="n">
        <v>1.1277</v>
      </c>
      <c r="F392" s="14" t="n">
        <v>6.7888</v>
      </c>
      <c r="G392" s="14" t="n">
        <v>3.2762</v>
      </c>
      <c r="H392" s="14" t="n">
        <v>109.16</v>
      </c>
      <c r="I392" s="14" t="n">
        <v>1.1203</v>
      </c>
      <c r="J392" s="14" t="n">
        <v>9.414</v>
      </c>
      <c r="K392" s="14" t="n">
        <v>1260.45</v>
      </c>
      <c r="L392" s="14" t="n">
        <v>0.8796</v>
      </c>
      <c r="M392" s="14" t="n">
        <v>7.6147</v>
      </c>
      <c r="N392" s="14" t="n">
        <v>3.7027</v>
      </c>
      <c r="O392" s="14" t="n">
        <v>123.58</v>
      </c>
      <c r="P392" s="14" t="n">
        <v>8.4031</v>
      </c>
    </row>
    <row r="393" customFormat="false" ht="15" hidden="false" customHeight="false" outlineLevel="0" collapsed="false">
      <c r="A393" s="13" t="n">
        <v>42901</v>
      </c>
      <c r="B393" s="14" t="n">
        <v>1129.91</v>
      </c>
      <c r="C393" s="14" t="n">
        <v>8.5007</v>
      </c>
      <c r="D393" s="14" t="n">
        <v>1.2768</v>
      </c>
      <c r="E393" s="14" t="n">
        <v>1.1152</v>
      </c>
      <c r="F393" s="14" t="n">
        <v>6.8061</v>
      </c>
      <c r="G393" s="14" t="n">
        <v>3.274</v>
      </c>
      <c r="H393" s="14" t="n">
        <v>110.66</v>
      </c>
      <c r="I393" s="14" t="n">
        <v>1.1166</v>
      </c>
      <c r="J393" s="14" t="n">
        <v>9.4718</v>
      </c>
      <c r="K393" s="14" t="n">
        <v>1263.07</v>
      </c>
      <c r="L393" s="14" t="n">
        <v>0.8764</v>
      </c>
      <c r="M393" s="14" t="n">
        <v>7.5985</v>
      </c>
      <c r="N393" s="14" t="n">
        <v>3.6559</v>
      </c>
      <c r="O393" s="14" t="n">
        <v>122.95</v>
      </c>
      <c r="P393" s="14" t="n">
        <v>8.4827</v>
      </c>
    </row>
    <row r="394" customFormat="false" ht="15" hidden="false" customHeight="false" outlineLevel="0" collapsed="false">
      <c r="A394" s="13" t="n">
        <v>42902</v>
      </c>
      <c r="B394" s="14" t="n">
        <v>1133.2</v>
      </c>
      <c r="C394" s="14" t="n">
        <v>8.4555</v>
      </c>
      <c r="D394" s="14" t="n">
        <v>1.2778</v>
      </c>
      <c r="E394" s="14" t="n">
        <v>1.1194</v>
      </c>
      <c r="F394" s="14" t="n">
        <v>6.8097</v>
      </c>
      <c r="G394" s="14" t="n">
        <v>3.2898</v>
      </c>
      <c r="H394" s="14" t="n">
        <v>110.84</v>
      </c>
      <c r="I394" s="14" t="n">
        <v>1.1167</v>
      </c>
      <c r="J394" s="14" t="n">
        <v>9.4615</v>
      </c>
      <c r="K394" s="14" t="n">
        <v>1265.35</v>
      </c>
      <c r="L394" s="14" t="n">
        <v>0.87453</v>
      </c>
      <c r="M394" s="14" t="n">
        <v>7.6089</v>
      </c>
      <c r="N394" s="14" t="n">
        <v>3.6681</v>
      </c>
      <c r="O394" s="14" t="n">
        <v>124.33</v>
      </c>
      <c r="P394" s="14" t="n">
        <v>8.4727</v>
      </c>
    </row>
    <row r="395" customFormat="false" ht="15" hidden="false" customHeight="false" outlineLevel="0" collapsed="false">
      <c r="A395" s="13" t="n">
        <v>42905</v>
      </c>
      <c r="B395" s="14" t="n">
        <v>1134.69</v>
      </c>
      <c r="C395" s="14" t="n">
        <v>8.478</v>
      </c>
      <c r="D395" s="14" t="n">
        <v>1.2743</v>
      </c>
      <c r="E395" s="14" t="n">
        <v>1.116</v>
      </c>
      <c r="F395" s="14" t="n">
        <v>6.818</v>
      </c>
      <c r="G395" s="14" t="n">
        <v>3.2908</v>
      </c>
      <c r="H395" s="14" t="n">
        <v>111.34</v>
      </c>
      <c r="I395" s="14" t="n">
        <v>1.1199</v>
      </c>
      <c r="J395" s="14" t="n">
        <v>9.4518</v>
      </c>
      <c r="K395" s="14" t="n">
        <v>1269.76</v>
      </c>
      <c r="L395" s="14" t="n">
        <v>0.87518</v>
      </c>
      <c r="M395" s="14" t="n">
        <v>7.6342</v>
      </c>
      <c r="N395" s="14" t="n">
        <v>3.6957</v>
      </c>
      <c r="O395" s="14" t="n">
        <v>124.26</v>
      </c>
      <c r="P395" s="14" t="n">
        <v>8.4399</v>
      </c>
    </row>
    <row r="396" customFormat="false" ht="15" hidden="false" customHeight="false" outlineLevel="0" collapsed="false">
      <c r="A396" s="13" t="n">
        <v>42906</v>
      </c>
      <c r="B396" s="14" t="n">
        <v>1141.33</v>
      </c>
      <c r="C396" s="14" t="n">
        <v>8.5613</v>
      </c>
      <c r="D396" s="14" t="n">
        <v>1.2628</v>
      </c>
      <c r="E396" s="14" t="n">
        <v>1.1124</v>
      </c>
      <c r="F396" s="14" t="n">
        <v>6.8285</v>
      </c>
      <c r="G396" s="14" t="n">
        <v>3.3292</v>
      </c>
      <c r="H396" s="14" t="n">
        <v>111.46</v>
      </c>
      <c r="I396" s="14" t="n">
        <v>1.1156</v>
      </c>
      <c r="J396" s="14" t="n">
        <v>9.493</v>
      </c>
      <c r="K396" s="14" t="n">
        <v>1271.75</v>
      </c>
      <c r="L396" s="14" t="n">
        <v>0.88143</v>
      </c>
      <c r="M396" s="14" t="n">
        <v>7.6159</v>
      </c>
      <c r="N396" s="14" t="n">
        <v>3.6845</v>
      </c>
      <c r="O396" s="14" t="n">
        <v>124.25</v>
      </c>
      <c r="P396" s="14" t="n">
        <v>8.5093</v>
      </c>
    </row>
    <row r="397" customFormat="false" ht="15" hidden="false" customHeight="false" outlineLevel="0" collapsed="false">
      <c r="A397" s="13" t="n">
        <v>42907</v>
      </c>
      <c r="B397" s="14" t="n">
        <v>1143.01</v>
      </c>
      <c r="C397" s="14" t="n">
        <v>8.5336</v>
      </c>
      <c r="D397" s="14" t="n">
        <v>1.2667</v>
      </c>
      <c r="E397" s="14" t="n">
        <v>1.1143</v>
      </c>
      <c r="F397" s="14" t="n">
        <v>6.8275</v>
      </c>
      <c r="G397" s="14" t="n">
        <v>3.3283</v>
      </c>
      <c r="H397" s="14" t="n">
        <v>111.58</v>
      </c>
      <c r="I397" s="14" t="n">
        <v>1.1147</v>
      </c>
      <c r="J397" s="14" t="n">
        <v>9.5158</v>
      </c>
      <c r="K397" s="14" t="n">
        <v>1273.11</v>
      </c>
      <c r="L397" s="14" t="n">
        <v>0.8781</v>
      </c>
      <c r="M397" s="14" t="n">
        <v>7.6091</v>
      </c>
      <c r="N397" s="14" t="n">
        <v>3.7028</v>
      </c>
      <c r="O397" s="14" t="n">
        <v>124.21</v>
      </c>
      <c r="P397" s="14" t="n">
        <v>8.5366</v>
      </c>
    </row>
    <row r="398" customFormat="false" ht="15" hidden="false" customHeight="false" outlineLevel="0" collapsed="false">
      <c r="A398" s="13" t="n">
        <v>42908</v>
      </c>
      <c r="B398" s="14" t="n">
        <v>1143.01</v>
      </c>
      <c r="C398" s="14" t="n">
        <v>8.4952</v>
      </c>
      <c r="D398" s="14" t="n">
        <v>1.2659</v>
      </c>
      <c r="E398" s="14" t="n">
        <v>1.1148</v>
      </c>
      <c r="F398" s="14" t="n">
        <v>6.8275</v>
      </c>
      <c r="G398" s="14" t="n">
        <v>3.3301</v>
      </c>
      <c r="H398" s="14" t="n">
        <v>111.36</v>
      </c>
      <c r="I398" s="14" t="n">
        <v>1.1169</v>
      </c>
      <c r="J398" s="14" t="n">
        <v>9.4855</v>
      </c>
      <c r="K398" s="14" t="n">
        <v>1275.96</v>
      </c>
      <c r="L398" s="14" t="n">
        <v>0.88168</v>
      </c>
      <c r="M398" s="14" t="n">
        <v>7.6323</v>
      </c>
      <c r="N398" s="14" t="n">
        <v>3.7164</v>
      </c>
      <c r="O398" s="14" t="n">
        <v>124.27</v>
      </c>
      <c r="P398" s="14" t="n">
        <v>8.4927</v>
      </c>
    </row>
    <row r="399" customFormat="false" ht="15" hidden="false" customHeight="false" outlineLevel="0" collapsed="false">
      <c r="A399" s="13" t="n">
        <v>42909</v>
      </c>
      <c r="B399" s="14" t="n">
        <v>1132.99</v>
      </c>
      <c r="C399" s="14" t="n">
        <v>8.4471</v>
      </c>
      <c r="D399" s="14" t="n">
        <v>1.2727</v>
      </c>
      <c r="E399" s="14" t="n">
        <v>1.1196</v>
      </c>
      <c r="F399" s="14" t="n">
        <v>6.8345</v>
      </c>
      <c r="G399" s="14" t="n">
        <v>3.3281</v>
      </c>
      <c r="H399" s="14" t="n">
        <v>111.26</v>
      </c>
      <c r="I399" s="14" t="n">
        <v>1.1173</v>
      </c>
      <c r="J399" s="14" t="n">
        <v>9.4613</v>
      </c>
      <c r="K399" s="14" t="n">
        <v>1271.16</v>
      </c>
      <c r="L399" s="14" t="n">
        <v>0.87805</v>
      </c>
      <c r="M399" s="14" t="n">
        <v>7.6413</v>
      </c>
      <c r="N399" s="14" t="n">
        <v>3.7293</v>
      </c>
      <c r="O399" s="14" t="n">
        <v>124.36</v>
      </c>
      <c r="P399" s="14" t="n">
        <v>8.468</v>
      </c>
    </row>
    <row r="400" customFormat="false" ht="15" hidden="false" customHeight="false" outlineLevel="0" collapsed="false">
      <c r="A400" s="13" t="n">
        <v>42912</v>
      </c>
      <c r="B400" s="14" t="n">
        <v>1132.48</v>
      </c>
      <c r="C400" s="14" t="n">
        <v>8.4667</v>
      </c>
      <c r="D400" s="14" t="n">
        <v>1.2732</v>
      </c>
      <c r="E400" s="14" t="n">
        <v>1.1196</v>
      </c>
      <c r="F400" s="14" t="n">
        <v>6.8382</v>
      </c>
      <c r="G400" s="14" t="n">
        <v>3.3106</v>
      </c>
      <c r="H400" s="14" t="n">
        <v>111.48</v>
      </c>
      <c r="I400" s="14" t="n">
        <v>1.1187</v>
      </c>
      <c r="J400" s="14" t="n">
        <v>9.4788</v>
      </c>
      <c r="K400" s="14" t="n">
        <v>1271.44</v>
      </c>
      <c r="L400" s="14" t="n">
        <v>0.8783</v>
      </c>
      <c r="M400" s="14" t="n">
        <v>7.6541</v>
      </c>
      <c r="N400" s="14" t="n">
        <v>3.7259</v>
      </c>
      <c r="O400" s="14" t="n">
        <v>124.93</v>
      </c>
      <c r="P400" s="14" t="n">
        <v>8.473</v>
      </c>
    </row>
    <row r="401" customFormat="false" ht="15" hidden="false" customHeight="false" outlineLevel="0" collapsed="false">
      <c r="A401" s="13" t="n">
        <v>42913</v>
      </c>
      <c r="B401" s="14" t="n">
        <v>1137.77</v>
      </c>
      <c r="C401" s="14" t="n">
        <v>8.4107</v>
      </c>
      <c r="D401" s="14" t="n">
        <v>1.2791</v>
      </c>
      <c r="E401" s="14" t="n">
        <v>1.13</v>
      </c>
      <c r="F401" s="14" t="n">
        <v>6.81</v>
      </c>
      <c r="G401" s="14" t="n">
        <v>3.3195</v>
      </c>
      <c r="H401" s="14" t="n">
        <v>112.42</v>
      </c>
      <c r="I401" s="14" t="n">
        <v>1.1278</v>
      </c>
      <c r="J401" s="14" t="n">
        <v>9.52</v>
      </c>
      <c r="K401" s="14" t="n">
        <v>1283.79</v>
      </c>
      <c r="L401" s="14" t="n">
        <v>0.8837</v>
      </c>
      <c r="M401" s="14" t="n">
        <v>7.6853</v>
      </c>
      <c r="N401" s="14" t="n">
        <v>3.7216</v>
      </c>
      <c r="O401" s="14" t="n">
        <v>126.16</v>
      </c>
      <c r="P401" s="14" t="n">
        <v>8.4412</v>
      </c>
    </row>
    <row r="402" customFormat="false" ht="15" hidden="false" customHeight="false" outlineLevel="0" collapsed="false">
      <c r="A402" s="13" t="n">
        <v>42914</v>
      </c>
      <c r="B402" s="14" t="n">
        <v>1141.91</v>
      </c>
      <c r="C402" s="14" t="n">
        <v>8.4498</v>
      </c>
      <c r="D402" s="14" t="n">
        <v>1.2936</v>
      </c>
      <c r="E402" s="14" t="n">
        <v>1.1364</v>
      </c>
      <c r="F402" s="14" t="n">
        <v>6.7984</v>
      </c>
      <c r="G402" s="14" t="n">
        <v>3.2977</v>
      </c>
      <c r="H402" s="14" t="n">
        <v>112.18</v>
      </c>
      <c r="I402" s="14" t="n">
        <v>1.1375</v>
      </c>
      <c r="J402" s="14" t="n">
        <v>9.602</v>
      </c>
      <c r="K402" s="14" t="n">
        <v>1300.61</v>
      </c>
      <c r="L402" s="14" t="n">
        <v>0.88525</v>
      </c>
      <c r="M402" s="14" t="n">
        <v>7.7348</v>
      </c>
      <c r="N402" s="14" t="n">
        <v>3.7632</v>
      </c>
      <c r="O402" s="14" t="n">
        <v>127.53</v>
      </c>
      <c r="P402" s="14" t="n">
        <v>8.4413</v>
      </c>
    </row>
    <row r="403" customFormat="false" ht="15" hidden="false" customHeight="false" outlineLevel="0" collapsed="false">
      <c r="A403" s="13" t="n">
        <v>42915</v>
      </c>
      <c r="B403" s="14" t="n">
        <v>1144.07</v>
      </c>
      <c r="C403" s="14" t="n">
        <v>8.4024</v>
      </c>
      <c r="D403" s="14" t="n">
        <v>1.2984</v>
      </c>
      <c r="E403" s="14" t="n">
        <v>1.142</v>
      </c>
      <c r="F403" s="14" t="n">
        <v>6.784</v>
      </c>
      <c r="G403" s="14" t="n">
        <v>3.3062</v>
      </c>
      <c r="H403" s="14" t="n">
        <v>112.32</v>
      </c>
      <c r="I403" s="14" t="n">
        <v>1.1413</v>
      </c>
      <c r="J403" s="14" t="n">
        <v>9.57</v>
      </c>
      <c r="K403" s="14" t="n">
        <v>1304.08</v>
      </c>
      <c r="L403" s="14" t="n">
        <v>0.8799</v>
      </c>
      <c r="M403" s="14" t="n">
        <v>7.7412</v>
      </c>
      <c r="N403" s="14" t="n">
        <v>3.7476</v>
      </c>
      <c r="O403" s="14" t="n">
        <v>128.59</v>
      </c>
      <c r="P403" s="14" t="n">
        <v>8.3852</v>
      </c>
    </row>
    <row r="404" customFormat="false" ht="15" hidden="false" customHeight="false" outlineLevel="0" collapsed="false">
      <c r="A404" s="13" t="n">
        <v>42916</v>
      </c>
      <c r="B404" s="14" t="n">
        <v>1143.75</v>
      </c>
      <c r="C404" s="14" t="n">
        <v>8.3781</v>
      </c>
      <c r="D404" s="14" t="n">
        <v>1.2995</v>
      </c>
      <c r="E404" s="14" t="n">
        <v>1.1411</v>
      </c>
      <c r="F404" s="14" t="n">
        <v>6.7793</v>
      </c>
      <c r="G404" s="14" t="n">
        <v>3.3057</v>
      </c>
      <c r="H404" s="14" t="n">
        <v>112.4</v>
      </c>
      <c r="I404" s="14" t="n">
        <v>1.1412</v>
      </c>
      <c r="J404" s="14" t="n">
        <v>9.5713</v>
      </c>
      <c r="K404" s="14" t="n">
        <v>1304.56</v>
      </c>
      <c r="L404" s="14" t="n">
        <v>0.87933</v>
      </c>
      <c r="M404" s="14" t="n">
        <v>7.7385</v>
      </c>
      <c r="N404" s="14" t="n">
        <v>3.76</v>
      </c>
      <c r="O404" s="14" t="n">
        <v>127.75</v>
      </c>
      <c r="P404" s="14" t="n">
        <v>8.387</v>
      </c>
    </row>
    <row r="405" customFormat="false" ht="15" hidden="false" customHeight="false" outlineLevel="0" collapsed="false">
      <c r="A405" s="13" t="n">
        <v>42919</v>
      </c>
      <c r="B405" s="14" t="n">
        <v>1149.26</v>
      </c>
      <c r="C405" s="14" t="n">
        <v>8.3647</v>
      </c>
      <c r="D405" s="14" t="n">
        <v>1.2951</v>
      </c>
      <c r="E405" s="14" t="n">
        <v>1.1367</v>
      </c>
      <c r="F405" s="14" t="n">
        <v>6.7984</v>
      </c>
      <c r="G405" s="14" t="n">
        <v>3.3</v>
      </c>
      <c r="H405" s="14" t="n">
        <v>113.32</v>
      </c>
      <c r="I405" s="14" t="n">
        <v>1.1369</v>
      </c>
      <c r="J405" s="14" t="n">
        <v>9.5065</v>
      </c>
      <c r="K405" s="14" t="n">
        <v>1305.91</v>
      </c>
      <c r="L405" s="14" t="n">
        <v>0.87705</v>
      </c>
      <c r="M405" s="14" t="n">
        <v>7.7253</v>
      </c>
      <c r="N405" s="14" t="n">
        <v>3.7737</v>
      </c>
      <c r="O405" s="14" t="n">
        <v>128.46</v>
      </c>
      <c r="P405" s="14" t="n">
        <v>8.3618</v>
      </c>
    </row>
    <row r="406" customFormat="false" ht="15" hidden="false" customHeight="false" outlineLevel="0" collapsed="false">
      <c r="A406" s="13" t="n">
        <v>42920</v>
      </c>
      <c r="I406" s="14" t="n">
        <v>1.1353</v>
      </c>
      <c r="J406" s="14" t="n">
        <v>9.485</v>
      </c>
      <c r="K406" s="14" t="n">
        <v>1307.61</v>
      </c>
      <c r="L406" s="14" t="n">
        <v>0.87805</v>
      </c>
      <c r="M406" s="14" t="n">
        <v>7.722</v>
      </c>
      <c r="N406" s="14" t="n">
        <v>3.7503</v>
      </c>
      <c r="O406" s="14" t="n">
        <v>128.57</v>
      </c>
      <c r="P406" s="14" t="n">
        <v>8.3546</v>
      </c>
    </row>
    <row r="407" customFormat="false" ht="15" hidden="false" customHeight="false" outlineLevel="0" collapsed="false">
      <c r="A407" s="13" t="n">
        <v>42921</v>
      </c>
      <c r="B407" s="14" t="n">
        <v>1153.06</v>
      </c>
      <c r="C407" s="14" t="n">
        <v>8.4027</v>
      </c>
      <c r="D407" s="14" t="n">
        <v>1.2934</v>
      </c>
      <c r="E407" s="14" t="n">
        <v>1.1336</v>
      </c>
      <c r="F407" s="14" t="n">
        <v>6.7995</v>
      </c>
      <c r="G407" s="14" t="n">
        <v>3.3162</v>
      </c>
      <c r="H407" s="14" t="n">
        <v>113.2</v>
      </c>
      <c r="I407" s="14" t="n">
        <v>1.1329</v>
      </c>
      <c r="J407" s="14" t="n">
        <v>9.4965</v>
      </c>
      <c r="K407" s="14" t="n">
        <v>1307.79</v>
      </c>
      <c r="L407" s="14" t="n">
        <v>0.87735</v>
      </c>
      <c r="M407" s="14" t="n">
        <v>7.706</v>
      </c>
      <c r="N407" s="14" t="n">
        <v>3.7545</v>
      </c>
      <c r="O407" s="14" t="n">
        <v>128.64</v>
      </c>
      <c r="P407" s="14" t="n">
        <v>8.3825</v>
      </c>
    </row>
    <row r="408" customFormat="false" ht="15" hidden="false" customHeight="false" outlineLevel="0" collapsed="false">
      <c r="A408" s="13" t="n">
        <v>42922</v>
      </c>
      <c r="B408" s="14" t="n">
        <v>1156.55</v>
      </c>
      <c r="C408" s="14" t="n">
        <v>8.3543</v>
      </c>
      <c r="D408" s="14" t="n">
        <v>1.2967</v>
      </c>
      <c r="E408" s="14" t="n">
        <v>1.1409</v>
      </c>
      <c r="F408" s="14" t="n">
        <v>6.799</v>
      </c>
      <c r="G408" s="14" t="n">
        <v>3.3048</v>
      </c>
      <c r="H408" s="14" t="n">
        <v>113.28</v>
      </c>
      <c r="I408" s="14" t="n">
        <v>1.1385</v>
      </c>
      <c r="J408" s="14" t="n">
        <v>9.5298</v>
      </c>
      <c r="K408" s="14" t="n">
        <v>1317.44</v>
      </c>
      <c r="L408" s="14" t="n">
        <v>0.88013</v>
      </c>
      <c r="M408" s="14" t="n">
        <v>7.7443</v>
      </c>
      <c r="N408" s="14" t="n">
        <v>3.7639</v>
      </c>
      <c r="O408" s="14" t="n">
        <v>129.01</v>
      </c>
      <c r="P408" s="14" t="n">
        <v>8.3705</v>
      </c>
    </row>
    <row r="409" customFormat="false" ht="15" hidden="false" customHeight="false" outlineLevel="0" collapsed="false">
      <c r="A409" s="13" t="n">
        <v>42923</v>
      </c>
      <c r="B409" s="14" t="n">
        <v>1153.85</v>
      </c>
      <c r="C409" s="14" t="n">
        <v>8.3713</v>
      </c>
      <c r="D409" s="14" t="n">
        <v>1.288</v>
      </c>
      <c r="E409" s="14" t="n">
        <v>1.1396</v>
      </c>
      <c r="F409" s="14" t="n">
        <v>6.8039</v>
      </c>
      <c r="G409" s="14" t="n">
        <v>3.2843</v>
      </c>
      <c r="H409" s="14" t="n">
        <v>114.1</v>
      </c>
      <c r="I409" s="14" t="n">
        <v>1.1412</v>
      </c>
      <c r="J409" s="14" t="n">
        <v>9.5613</v>
      </c>
      <c r="K409" s="14" t="n">
        <v>1318.1</v>
      </c>
      <c r="L409" s="14" t="n">
        <v>0.88488</v>
      </c>
      <c r="M409" s="14" t="n">
        <v>7.759</v>
      </c>
      <c r="N409" s="14" t="n">
        <v>3.7587</v>
      </c>
      <c r="O409" s="14" t="n">
        <v>129.8</v>
      </c>
      <c r="P409" s="14" t="n">
        <v>8.3783</v>
      </c>
    </row>
    <row r="410" customFormat="false" ht="15" hidden="false" customHeight="false" outlineLevel="0" collapsed="false">
      <c r="A410" s="13" t="n">
        <v>42926</v>
      </c>
      <c r="B410" s="14" t="n">
        <v>1149.35</v>
      </c>
      <c r="C410" s="14" t="n">
        <v>8.3304</v>
      </c>
      <c r="D410" s="14" t="n">
        <v>1.2884</v>
      </c>
      <c r="E410" s="14" t="n">
        <v>1.1396</v>
      </c>
      <c r="F410" s="14" t="n">
        <v>6.8026</v>
      </c>
      <c r="G410" s="14" t="n">
        <v>3.2627</v>
      </c>
      <c r="H410" s="14" t="n">
        <v>114.08</v>
      </c>
      <c r="I410" s="14" t="n">
        <v>1.1387</v>
      </c>
      <c r="J410" s="14" t="n">
        <v>9.5165</v>
      </c>
      <c r="K410" s="14" t="n">
        <v>1309.36</v>
      </c>
      <c r="L410" s="14" t="n">
        <v>0.88443</v>
      </c>
      <c r="M410" s="14" t="n">
        <v>7.7484</v>
      </c>
      <c r="N410" s="14" t="n">
        <v>3.7292</v>
      </c>
      <c r="O410" s="14" t="n">
        <v>129.98</v>
      </c>
      <c r="P410" s="14" t="n">
        <v>8.3573</v>
      </c>
    </row>
    <row r="411" customFormat="false" ht="15" hidden="false" customHeight="false" outlineLevel="0" collapsed="false">
      <c r="A411" s="13" t="n">
        <v>42927</v>
      </c>
      <c r="B411" s="14" t="n">
        <v>1149.83</v>
      </c>
      <c r="C411" s="14" t="n">
        <v>8.3265</v>
      </c>
      <c r="D411" s="14" t="n">
        <v>1.2851</v>
      </c>
      <c r="E411" s="14" t="n">
        <v>1.143</v>
      </c>
      <c r="F411" s="14" t="n">
        <v>6.801</v>
      </c>
      <c r="G411" s="14" t="n">
        <v>3.2505</v>
      </c>
      <c r="H411" s="14" t="n">
        <v>114.2</v>
      </c>
      <c r="I411" s="14" t="n">
        <v>1.1405</v>
      </c>
      <c r="J411" s="14" t="n">
        <v>9.512</v>
      </c>
      <c r="K411" s="14" t="n">
        <v>1312.25</v>
      </c>
      <c r="L411" s="14" t="n">
        <v>0.88318</v>
      </c>
      <c r="M411" s="14" t="n">
        <v>7.7577</v>
      </c>
      <c r="N411" s="14" t="n">
        <v>3.7258</v>
      </c>
      <c r="O411" s="14" t="n">
        <v>130.36</v>
      </c>
      <c r="P411" s="14" t="n">
        <v>8.3402</v>
      </c>
    </row>
    <row r="412" customFormat="false" ht="15" hidden="false" customHeight="false" outlineLevel="0" collapsed="false">
      <c r="A412" s="13" t="n">
        <v>42928</v>
      </c>
      <c r="B412" s="14" t="n">
        <v>1138.32</v>
      </c>
      <c r="C412" s="14" t="n">
        <v>8.2812</v>
      </c>
      <c r="D412" s="14" t="n">
        <v>1.2889</v>
      </c>
      <c r="E412" s="14" t="n">
        <v>1.1411</v>
      </c>
      <c r="F412" s="14" t="n">
        <v>6.7865</v>
      </c>
      <c r="G412" s="14" t="n">
        <v>3.2258</v>
      </c>
      <c r="H412" s="14" t="n">
        <v>113.19</v>
      </c>
      <c r="I412" s="14" t="n">
        <v>1.1449</v>
      </c>
      <c r="J412" s="14" t="n">
        <v>9.4688</v>
      </c>
      <c r="K412" s="14" t="n">
        <v>1311.87</v>
      </c>
      <c r="L412" s="14" t="n">
        <v>0.88925</v>
      </c>
      <c r="M412" s="14" t="n">
        <v>7.7716</v>
      </c>
      <c r="N412" s="14" t="n">
        <v>3.6997</v>
      </c>
      <c r="O412" s="14" t="n">
        <v>130.02</v>
      </c>
      <c r="P412" s="14" t="n">
        <v>8.2704</v>
      </c>
    </row>
    <row r="413" customFormat="false" ht="15" hidden="false" customHeight="false" outlineLevel="0" collapsed="false">
      <c r="A413" s="13" t="n">
        <v>42929</v>
      </c>
      <c r="B413" s="14" t="n">
        <v>1137.22</v>
      </c>
      <c r="C413" s="14" t="n">
        <v>8.2682</v>
      </c>
      <c r="D413" s="14" t="n">
        <v>1.2921</v>
      </c>
      <c r="E413" s="14" t="n">
        <v>1.1385</v>
      </c>
      <c r="F413" s="14" t="n">
        <v>6.7825</v>
      </c>
      <c r="G413" s="14" t="n">
        <v>3.2133</v>
      </c>
      <c r="H413" s="14" t="n">
        <v>113.39</v>
      </c>
      <c r="I413" s="14" t="n">
        <v>1.1417</v>
      </c>
      <c r="J413" s="14" t="n">
        <v>9.4518</v>
      </c>
      <c r="K413" s="14" t="n">
        <v>1298.7</v>
      </c>
      <c r="L413" s="14" t="n">
        <v>0.88215</v>
      </c>
      <c r="M413" s="14" t="n">
        <v>7.7443</v>
      </c>
      <c r="N413" s="14" t="n">
        <v>3.6733</v>
      </c>
      <c r="O413" s="14" t="n">
        <v>129.17</v>
      </c>
      <c r="P413" s="14" t="n">
        <v>8.2787</v>
      </c>
    </row>
    <row r="414" customFormat="false" ht="15" hidden="false" customHeight="false" outlineLevel="0" collapsed="false">
      <c r="A414" s="13" t="n">
        <v>42930</v>
      </c>
      <c r="B414" s="14" t="n">
        <v>1127.79</v>
      </c>
      <c r="C414" s="14" t="n">
        <v>8.1977</v>
      </c>
      <c r="D414" s="14" t="n">
        <v>1.3079</v>
      </c>
      <c r="E414" s="14" t="n">
        <v>1.1452</v>
      </c>
      <c r="F414" s="14" t="n">
        <v>6.7741</v>
      </c>
      <c r="G414" s="14" t="n">
        <v>3.1832</v>
      </c>
      <c r="H414" s="14" t="n">
        <v>112.66</v>
      </c>
      <c r="I414" s="14" t="n">
        <v>1.1415</v>
      </c>
      <c r="J414" s="14" t="n">
        <v>9.3843</v>
      </c>
      <c r="K414" s="14" t="n">
        <v>1295.1</v>
      </c>
      <c r="L414" s="14" t="n">
        <v>0.87983</v>
      </c>
      <c r="M414" s="14" t="n">
        <v>7.7419</v>
      </c>
      <c r="N414" s="14" t="n">
        <v>3.6599</v>
      </c>
      <c r="O414" s="14" t="n">
        <v>129.1</v>
      </c>
      <c r="P414" s="14" t="n">
        <v>8.221</v>
      </c>
    </row>
    <row r="415" customFormat="false" ht="15" hidden="false" customHeight="false" outlineLevel="0" collapsed="false">
      <c r="A415" s="13" t="n">
        <v>42933</v>
      </c>
      <c r="B415" s="14" t="n">
        <v>1127.74</v>
      </c>
      <c r="C415" s="14" t="n">
        <v>8.1513</v>
      </c>
      <c r="D415" s="14" t="n">
        <v>1.3058</v>
      </c>
      <c r="E415" s="14" t="n">
        <v>1.147</v>
      </c>
      <c r="F415" s="14" t="n">
        <v>6.769</v>
      </c>
      <c r="G415" s="14" t="n">
        <v>3.181</v>
      </c>
      <c r="H415" s="14" t="n">
        <v>112.76</v>
      </c>
      <c r="I415" s="14" t="n">
        <v>1.1462</v>
      </c>
      <c r="J415" s="14" t="n">
        <v>9.3558</v>
      </c>
      <c r="K415" s="14" t="n">
        <v>1292.35</v>
      </c>
      <c r="L415" s="14" t="n">
        <v>0.87755</v>
      </c>
      <c r="M415" s="14" t="n">
        <v>7.7591</v>
      </c>
      <c r="N415" s="14" t="n">
        <v>3.6437</v>
      </c>
      <c r="O415" s="14" t="n">
        <v>128.86</v>
      </c>
      <c r="P415" s="14" t="n">
        <v>8.1624</v>
      </c>
    </row>
    <row r="416" customFormat="false" ht="15" hidden="false" customHeight="false" outlineLevel="0" collapsed="false">
      <c r="A416" s="13" t="n">
        <v>42934</v>
      </c>
      <c r="B416" s="14" t="n">
        <v>1123.69</v>
      </c>
      <c r="C416" s="14" t="n">
        <v>8.0632</v>
      </c>
      <c r="D416" s="14" t="n">
        <v>1.3026</v>
      </c>
      <c r="E416" s="14" t="n">
        <v>1.1578</v>
      </c>
      <c r="F416" s="14" t="n">
        <v>6.7451</v>
      </c>
      <c r="G416" s="14" t="n">
        <v>3.1571</v>
      </c>
      <c r="H416" s="14" t="n">
        <v>111.89</v>
      </c>
      <c r="I416" s="14" t="n">
        <v>1.1555</v>
      </c>
      <c r="J416" s="14" t="n">
        <v>9.3065</v>
      </c>
      <c r="K416" s="14" t="n">
        <v>1298.89</v>
      </c>
      <c r="L416" s="14" t="n">
        <v>0.8878</v>
      </c>
      <c r="M416" s="14" t="n">
        <v>7.8001</v>
      </c>
      <c r="N416" s="14" t="n">
        <v>3.6623</v>
      </c>
      <c r="O416" s="14" t="n">
        <v>129.46</v>
      </c>
      <c r="P416" s="14" t="n">
        <v>8.0541</v>
      </c>
    </row>
    <row r="417" customFormat="false" ht="15" hidden="false" customHeight="false" outlineLevel="0" collapsed="false">
      <c r="A417" s="13" t="n">
        <v>42935</v>
      </c>
      <c r="B417" s="14" t="n">
        <v>1122.92</v>
      </c>
      <c r="C417" s="14" t="n">
        <v>8.0645</v>
      </c>
      <c r="D417" s="14" t="n">
        <v>1.3036</v>
      </c>
      <c r="E417" s="14" t="n">
        <v>1.1518</v>
      </c>
      <c r="F417" s="14" t="n">
        <v>6.7511</v>
      </c>
      <c r="G417" s="14" t="n">
        <v>3.1526</v>
      </c>
      <c r="H417" s="14" t="n">
        <v>111.77</v>
      </c>
      <c r="I417" s="14" t="n">
        <v>1.1533</v>
      </c>
      <c r="J417" s="14" t="n">
        <v>9.3018</v>
      </c>
      <c r="K417" s="14" t="n">
        <v>1294.27</v>
      </c>
      <c r="L417" s="14" t="n">
        <v>0.88485</v>
      </c>
      <c r="M417" s="14" t="n">
        <v>7.7889</v>
      </c>
      <c r="N417" s="14" t="n">
        <v>3.6432</v>
      </c>
      <c r="O417" s="14" t="n">
        <v>129.03</v>
      </c>
      <c r="P417" s="14" t="n">
        <v>8.0654</v>
      </c>
    </row>
    <row r="418" customFormat="false" ht="15" hidden="false" customHeight="false" outlineLevel="0" collapsed="false">
      <c r="A418" s="13" t="n">
        <v>42936</v>
      </c>
      <c r="B418" s="14" t="n">
        <v>1120.77</v>
      </c>
      <c r="C418" s="14" t="n">
        <v>8.0243</v>
      </c>
      <c r="D418" s="14" t="n">
        <v>1.2976</v>
      </c>
      <c r="E418" s="14" t="n">
        <v>1.1634</v>
      </c>
      <c r="F418" s="14" t="n">
        <v>6.757</v>
      </c>
      <c r="G418" s="14" t="n">
        <v>3.1374</v>
      </c>
      <c r="H418" s="14" t="n">
        <v>111.68</v>
      </c>
      <c r="I418" s="14" t="n">
        <v>1.1485</v>
      </c>
      <c r="J418" s="14" t="n">
        <v>9.3</v>
      </c>
      <c r="K418" s="14" t="n">
        <v>1291.52</v>
      </c>
      <c r="L418" s="14" t="n">
        <v>0.88718</v>
      </c>
      <c r="M418" s="14" t="n">
        <v>7.776</v>
      </c>
      <c r="N418" s="14" t="n">
        <v>3.6166</v>
      </c>
      <c r="O418" s="14" t="n">
        <v>128.92</v>
      </c>
      <c r="P418" s="14" t="n">
        <v>8.0975</v>
      </c>
    </row>
    <row r="419" customFormat="false" ht="15" hidden="false" customHeight="false" outlineLevel="0" collapsed="false">
      <c r="A419" s="13" t="n">
        <v>42937</v>
      </c>
      <c r="B419" s="14" t="n">
        <v>1117.47</v>
      </c>
      <c r="C419" s="14" t="n">
        <v>8.0279</v>
      </c>
      <c r="D419" s="14" t="n">
        <v>1.2968</v>
      </c>
      <c r="E419" s="14" t="n">
        <v>1.1655</v>
      </c>
      <c r="F419" s="14" t="n">
        <v>6.7663</v>
      </c>
      <c r="G419" s="14" t="n">
        <v>3.1218</v>
      </c>
      <c r="H419" s="14" t="n">
        <v>111.18</v>
      </c>
      <c r="I419" s="14" t="n">
        <v>1.1642</v>
      </c>
      <c r="J419" s="14" t="n">
        <v>9.3315</v>
      </c>
      <c r="K419" s="14" t="n">
        <v>1302.31</v>
      </c>
      <c r="L419" s="14" t="n">
        <v>0.8961</v>
      </c>
      <c r="M419" s="14" t="n">
        <v>7.8798</v>
      </c>
      <c r="N419" s="14" t="n">
        <v>3.6225</v>
      </c>
      <c r="O419" s="14" t="n">
        <v>129.72</v>
      </c>
      <c r="P419" s="14" t="n">
        <v>8.0154</v>
      </c>
    </row>
    <row r="420" customFormat="false" ht="15" hidden="false" customHeight="false" outlineLevel="0" collapsed="false">
      <c r="A420" s="13" t="n">
        <v>42940</v>
      </c>
      <c r="B420" s="14" t="n">
        <v>1113.82</v>
      </c>
      <c r="C420" s="14" t="n">
        <v>8.0136</v>
      </c>
      <c r="D420" s="14" t="n">
        <v>1.3028</v>
      </c>
      <c r="E420" s="14" t="n">
        <v>1.1642</v>
      </c>
      <c r="F420" s="14" t="n">
        <v>6.7488</v>
      </c>
      <c r="G420" s="14" t="n">
        <v>3.1473</v>
      </c>
      <c r="H420" s="14" t="n">
        <v>111.1</v>
      </c>
      <c r="I420" s="14" t="n">
        <v>1.1648</v>
      </c>
      <c r="J420" s="14" t="n">
        <v>9.3525</v>
      </c>
      <c r="K420" s="14" t="n">
        <v>1299.12</v>
      </c>
      <c r="L420" s="14" t="n">
        <v>0.8935</v>
      </c>
      <c r="M420" s="14" t="n">
        <v>7.8622</v>
      </c>
      <c r="N420" s="14" t="n">
        <v>3.6543</v>
      </c>
      <c r="O420" s="14" t="n">
        <v>129.09</v>
      </c>
      <c r="P420" s="14" t="n">
        <v>8.0293</v>
      </c>
    </row>
    <row r="421" customFormat="false" ht="15" hidden="false" customHeight="false" outlineLevel="0" collapsed="false">
      <c r="A421" s="13" t="n">
        <v>42941</v>
      </c>
      <c r="B421" s="14" t="n">
        <v>1117.02</v>
      </c>
      <c r="C421" s="14" t="n">
        <v>7.9765</v>
      </c>
      <c r="D421" s="14" t="n">
        <v>1.3046</v>
      </c>
      <c r="E421" s="14" t="n">
        <v>1.1656</v>
      </c>
      <c r="F421" s="14" t="n">
        <v>6.7495</v>
      </c>
      <c r="G421" s="14" t="n">
        <v>3.1617</v>
      </c>
      <c r="H421" s="14" t="n">
        <v>111.57</v>
      </c>
      <c r="I421" s="14" t="n">
        <v>1.1694</v>
      </c>
      <c r="J421" s="14" t="n">
        <v>9.3035</v>
      </c>
      <c r="K421" s="14" t="n">
        <v>1305.86</v>
      </c>
      <c r="L421" s="14" t="n">
        <v>0.89395</v>
      </c>
      <c r="M421" s="14" t="n">
        <v>7.8949</v>
      </c>
      <c r="N421" s="14" t="n">
        <v>3.6755</v>
      </c>
      <c r="O421" s="14" t="n">
        <v>130.28</v>
      </c>
      <c r="P421" s="14" t="n">
        <v>7.9558</v>
      </c>
    </row>
    <row r="422" customFormat="false" ht="15" hidden="false" customHeight="false" outlineLevel="0" collapsed="false">
      <c r="A422" s="13" t="n">
        <v>42942</v>
      </c>
      <c r="B422" s="14" t="n">
        <v>1117.76</v>
      </c>
      <c r="C422" s="14" t="n">
        <v>7.9595</v>
      </c>
      <c r="D422" s="14" t="n">
        <v>1.3048</v>
      </c>
      <c r="E422" s="14" t="n">
        <v>1.1632</v>
      </c>
      <c r="F422" s="14" t="n">
        <v>6.753</v>
      </c>
      <c r="G422" s="14" t="n">
        <v>3.1596</v>
      </c>
      <c r="H422" s="14" t="n">
        <v>112.1</v>
      </c>
      <c r="I422" s="14" t="n">
        <v>1.1644</v>
      </c>
      <c r="J422" s="14" t="n">
        <v>9.2893</v>
      </c>
      <c r="K422" s="14" t="n">
        <v>1303.91</v>
      </c>
      <c r="L422" s="14" t="n">
        <v>0.89275</v>
      </c>
      <c r="M422" s="14" t="n">
        <v>7.8646</v>
      </c>
      <c r="N422" s="14" t="n">
        <v>3.6806</v>
      </c>
      <c r="O422" s="14" t="n">
        <v>130.26</v>
      </c>
      <c r="P422" s="14" t="n">
        <v>7.9778</v>
      </c>
    </row>
    <row r="423" customFormat="false" ht="15" hidden="false" customHeight="false" outlineLevel="0" collapsed="false">
      <c r="A423" s="13" t="n">
        <v>42943</v>
      </c>
      <c r="B423" s="14" t="n">
        <v>1115.15</v>
      </c>
      <c r="C423" s="14" t="n">
        <v>7.9578</v>
      </c>
      <c r="D423" s="14" t="n">
        <v>1.3065</v>
      </c>
      <c r="E423" s="14" t="n">
        <v>1.1656</v>
      </c>
      <c r="F423" s="14" t="n">
        <v>6.741</v>
      </c>
      <c r="G423" s="14" t="n">
        <v>3.1527</v>
      </c>
      <c r="H423" s="14" t="n">
        <v>111.62</v>
      </c>
      <c r="I423" s="14" t="n">
        <v>1.1694</v>
      </c>
      <c r="J423" s="14" t="n">
        <v>9.2978</v>
      </c>
      <c r="K423" s="14" t="n">
        <v>1303.38</v>
      </c>
      <c r="L423" s="14" t="n">
        <v>0.88978</v>
      </c>
      <c r="M423" s="14" t="n">
        <v>7.8811</v>
      </c>
      <c r="N423" s="14" t="n">
        <v>3.6836</v>
      </c>
      <c r="O423" s="14" t="n">
        <v>130.32</v>
      </c>
      <c r="P423" s="14" t="n">
        <v>7.9509</v>
      </c>
    </row>
    <row r="424" customFormat="false" ht="15" hidden="false" customHeight="false" outlineLevel="0" collapsed="false">
      <c r="A424" s="13" t="n">
        <v>42944</v>
      </c>
      <c r="B424" s="14" t="n">
        <v>1121.49</v>
      </c>
      <c r="C424" s="14" t="n">
        <v>7.9174</v>
      </c>
      <c r="D424" s="14" t="n">
        <v>1.3124</v>
      </c>
      <c r="E424" s="14" t="n">
        <v>1.1754</v>
      </c>
      <c r="F424" s="14" t="n">
        <v>6.7362</v>
      </c>
      <c r="G424" s="14" t="n">
        <v>3.1424</v>
      </c>
      <c r="H424" s="14" t="n">
        <v>110.87</v>
      </c>
      <c r="I424" s="14" t="n">
        <v>1.1729</v>
      </c>
      <c r="J424" s="14" t="n">
        <v>9.3195</v>
      </c>
      <c r="K424" s="14" t="n">
        <v>1317.62</v>
      </c>
      <c r="L424" s="14" t="n">
        <v>0.89568</v>
      </c>
      <c r="M424" s="14" t="n">
        <v>7.9087</v>
      </c>
      <c r="N424" s="14" t="n">
        <v>3.7015</v>
      </c>
      <c r="O424" s="14" t="n">
        <v>130.37</v>
      </c>
      <c r="P424" s="14" t="n">
        <v>7.9457</v>
      </c>
    </row>
    <row r="425" customFormat="false" ht="15" hidden="false" customHeight="false" outlineLevel="0" collapsed="false">
      <c r="A425" s="13" t="n">
        <v>42947</v>
      </c>
      <c r="B425" s="14" t="n">
        <v>1121.86</v>
      </c>
      <c r="C425" s="14" t="n">
        <v>7.8922</v>
      </c>
      <c r="D425" s="14" t="n">
        <v>1.3196</v>
      </c>
      <c r="E425" s="14" t="n">
        <v>1.1826</v>
      </c>
      <c r="F425" s="14" t="n">
        <v>6.724</v>
      </c>
      <c r="G425" s="14" t="n">
        <v>3.1338</v>
      </c>
      <c r="H425" s="14" t="n">
        <v>110.38</v>
      </c>
      <c r="I425" s="14" t="n">
        <v>1.1727</v>
      </c>
      <c r="J425" s="14" t="n">
        <v>9.305</v>
      </c>
      <c r="K425" s="14" t="n">
        <v>1315.97</v>
      </c>
      <c r="L425" s="14" t="n">
        <v>0.8942</v>
      </c>
      <c r="M425" s="14" t="n">
        <v>7.8896</v>
      </c>
      <c r="N425" s="14" t="n">
        <v>3.6764</v>
      </c>
      <c r="O425" s="14" t="n">
        <v>129.7</v>
      </c>
      <c r="P425" s="14" t="n">
        <v>7.9347</v>
      </c>
    </row>
    <row r="426" customFormat="false" ht="15" hidden="false" customHeight="false" outlineLevel="0" collapsed="false">
      <c r="A426" s="13" t="n">
        <v>42948</v>
      </c>
      <c r="B426" s="14" t="n">
        <v>1121.09</v>
      </c>
      <c r="C426" s="14" t="n">
        <v>7.9235</v>
      </c>
      <c r="D426" s="14" t="n">
        <v>1.3206</v>
      </c>
      <c r="E426" s="14" t="n">
        <v>1.1799</v>
      </c>
      <c r="F426" s="14" t="n">
        <v>6.717</v>
      </c>
      <c r="G426" s="14" t="n">
        <v>3.1143</v>
      </c>
      <c r="H426" s="14" t="n">
        <v>110.33</v>
      </c>
      <c r="I426" s="14" t="n">
        <v>1.1812</v>
      </c>
      <c r="J426" s="14" t="n">
        <v>9.3343</v>
      </c>
      <c r="K426" s="14" t="n">
        <v>1325.5</v>
      </c>
      <c r="L426" s="14" t="n">
        <v>0.8944</v>
      </c>
      <c r="M426" s="14" t="n">
        <v>7.9371</v>
      </c>
      <c r="N426" s="14" t="n">
        <v>3.688</v>
      </c>
      <c r="O426" s="14" t="n">
        <v>130.53</v>
      </c>
      <c r="P426" s="14" t="n">
        <v>7.9024</v>
      </c>
    </row>
    <row r="427" customFormat="false" ht="15" hidden="false" customHeight="false" outlineLevel="0" collapsed="false">
      <c r="A427" s="13" t="n">
        <v>42949</v>
      </c>
      <c r="B427" s="14" t="n">
        <v>1121.55</v>
      </c>
      <c r="C427" s="14" t="n">
        <v>7.8677</v>
      </c>
      <c r="D427" s="14" t="n">
        <v>1.3236</v>
      </c>
      <c r="E427" s="14" t="n">
        <v>1.1861</v>
      </c>
      <c r="F427" s="14" t="n">
        <v>6.72</v>
      </c>
      <c r="G427" s="14" t="n">
        <v>3.1165</v>
      </c>
      <c r="H427" s="14" t="n">
        <v>110.43</v>
      </c>
      <c r="I427" s="14" t="n">
        <v>1.1829</v>
      </c>
      <c r="J427" s="14" t="n">
        <v>9.3505</v>
      </c>
      <c r="K427" s="14" t="n">
        <v>1329.43</v>
      </c>
      <c r="L427" s="14" t="n">
        <v>0.89425</v>
      </c>
      <c r="M427" s="14" t="n">
        <v>7.9559</v>
      </c>
      <c r="N427" s="14" t="n">
        <v>3.6995</v>
      </c>
      <c r="O427" s="14" t="n">
        <v>130.98</v>
      </c>
      <c r="P427" s="14" t="n">
        <v>7.9047</v>
      </c>
    </row>
    <row r="428" customFormat="false" ht="15" hidden="false" customHeight="false" outlineLevel="0" collapsed="false">
      <c r="A428" s="13" t="n">
        <v>42950</v>
      </c>
      <c r="B428" s="14" t="n">
        <v>1127.73</v>
      </c>
      <c r="C428" s="14" t="n">
        <v>7.8803</v>
      </c>
      <c r="D428" s="14" t="n">
        <v>1.3144</v>
      </c>
      <c r="E428" s="14" t="n">
        <v>1.188</v>
      </c>
      <c r="F428" s="14" t="n">
        <v>6.715</v>
      </c>
      <c r="G428" s="14" t="n">
        <v>3.1209</v>
      </c>
      <c r="H428" s="14" t="n">
        <v>110.12</v>
      </c>
      <c r="I428" s="14" t="n">
        <v>1.186</v>
      </c>
      <c r="J428" s="14" t="n">
        <v>9.3768</v>
      </c>
      <c r="K428" s="14" t="n">
        <v>1336.54</v>
      </c>
      <c r="L428" s="14" t="n">
        <v>0.90318</v>
      </c>
      <c r="M428" s="14" t="n">
        <v>7.9726</v>
      </c>
      <c r="N428" s="14" t="n">
        <v>3.7017</v>
      </c>
      <c r="O428" s="14" t="n">
        <v>130.91</v>
      </c>
      <c r="P428" s="14" t="n">
        <v>7.9062</v>
      </c>
    </row>
    <row r="429" customFormat="false" ht="15" hidden="false" customHeight="false" outlineLevel="0" collapsed="false">
      <c r="A429" s="13" t="n">
        <v>42951</v>
      </c>
      <c r="B429" s="14" t="n">
        <v>1128.02</v>
      </c>
      <c r="C429" s="14" t="n">
        <v>7.955</v>
      </c>
      <c r="D429" s="14" t="n">
        <v>1.3036</v>
      </c>
      <c r="E429" s="14" t="n">
        <v>1.1754</v>
      </c>
      <c r="F429" s="14" t="n">
        <v>6.7272</v>
      </c>
      <c r="G429" s="14" t="n">
        <v>3.1176</v>
      </c>
      <c r="H429" s="14" t="n">
        <v>110.76</v>
      </c>
      <c r="I429" s="14" t="n">
        <v>1.1868</v>
      </c>
      <c r="J429" s="14" t="n">
        <v>9.3618</v>
      </c>
      <c r="K429" s="14" t="n">
        <v>1334.12</v>
      </c>
      <c r="L429" s="14" t="n">
        <v>0.9028</v>
      </c>
      <c r="M429" s="14" t="n">
        <v>7.9757</v>
      </c>
      <c r="N429" s="14" t="n">
        <v>3.6911</v>
      </c>
      <c r="O429" s="14" t="n">
        <v>130.67</v>
      </c>
      <c r="P429" s="14" t="n">
        <v>7.8883</v>
      </c>
    </row>
    <row r="430" customFormat="false" ht="15" hidden="false" customHeight="false" outlineLevel="0" collapsed="false">
      <c r="A430" s="13" t="n">
        <v>42954</v>
      </c>
      <c r="B430" s="14" t="n">
        <v>1127.39</v>
      </c>
      <c r="C430" s="14" t="n">
        <v>7.9453</v>
      </c>
      <c r="D430" s="14" t="n">
        <v>1.3021</v>
      </c>
      <c r="E430" s="14" t="n">
        <v>1.1788</v>
      </c>
      <c r="F430" s="14" t="n">
        <v>6.7207</v>
      </c>
      <c r="G430" s="14" t="n">
        <v>3.1247</v>
      </c>
      <c r="H430" s="14" t="n">
        <v>110.76</v>
      </c>
      <c r="I430" s="14" t="n">
        <v>1.1797</v>
      </c>
      <c r="J430" s="14" t="n">
        <v>9.38</v>
      </c>
      <c r="K430" s="14" t="n">
        <v>1332.55</v>
      </c>
      <c r="L430" s="14" t="n">
        <v>0.90435</v>
      </c>
      <c r="M430" s="14" t="n">
        <v>7.9281</v>
      </c>
      <c r="N430" s="14" t="n">
        <v>3.6878</v>
      </c>
      <c r="O430" s="14" t="n">
        <v>130.78</v>
      </c>
      <c r="P430" s="14" t="n">
        <v>7.9512</v>
      </c>
    </row>
    <row r="431" customFormat="false" ht="15" hidden="false" customHeight="false" outlineLevel="0" collapsed="false">
      <c r="A431" s="13" t="n">
        <v>42955</v>
      </c>
      <c r="B431" s="14" t="n">
        <v>1125.6</v>
      </c>
      <c r="C431" s="14" t="n">
        <v>7.9578</v>
      </c>
      <c r="D431" s="14" t="n">
        <v>1.2968</v>
      </c>
      <c r="E431" s="14" t="n">
        <v>1.1724</v>
      </c>
      <c r="F431" s="14" t="n">
        <v>6.7049</v>
      </c>
      <c r="G431" s="14" t="n">
        <v>3.1295</v>
      </c>
      <c r="H431" s="14" t="n">
        <v>110.74</v>
      </c>
      <c r="I431" s="14" t="n">
        <v>1.1814</v>
      </c>
      <c r="J431" s="14" t="n">
        <v>9.3225</v>
      </c>
      <c r="K431" s="14" t="n">
        <v>1329.82</v>
      </c>
      <c r="L431" s="14" t="n">
        <v>0.90678</v>
      </c>
      <c r="M431" s="14" t="n">
        <v>7.9163</v>
      </c>
      <c r="N431" s="14" t="n">
        <v>3.6918</v>
      </c>
      <c r="O431" s="14" t="n">
        <v>130.31</v>
      </c>
      <c r="P431" s="14" t="n">
        <v>7.8911</v>
      </c>
    </row>
    <row r="432" customFormat="false" ht="15" hidden="false" customHeight="false" outlineLevel="0" collapsed="false">
      <c r="A432" s="13" t="n">
        <v>42956</v>
      </c>
      <c r="B432" s="14" t="n">
        <v>1138.69</v>
      </c>
      <c r="C432" s="14" t="n">
        <v>7.9602</v>
      </c>
      <c r="D432" s="14" t="n">
        <v>1.2997</v>
      </c>
      <c r="E432" s="14" t="n">
        <v>1.1748</v>
      </c>
      <c r="F432" s="14" t="n">
        <v>6.672</v>
      </c>
      <c r="G432" s="14" t="n">
        <v>3.1498</v>
      </c>
      <c r="H432" s="14" t="n">
        <v>110.04</v>
      </c>
      <c r="I432" s="14" t="n">
        <v>1.1731</v>
      </c>
      <c r="J432" s="14" t="n">
        <v>9.3398</v>
      </c>
      <c r="K432" s="14" t="n">
        <v>1335.79</v>
      </c>
      <c r="L432" s="14" t="n">
        <v>0.90338</v>
      </c>
      <c r="M432" s="14" t="n">
        <v>7.8316</v>
      </c>
      <c r="N432" s="14" t="n">
        <v>3.6793</v>
      </c>
      <c r="O432" s="14" t="n">
        <v>128.74</v>
      </c>
      <c r="P432" s="14" t="n">
        <v>7.9616</v>
      </c>
    </row>
    <row r="433" customFormat="false" ht="15" hidden="false" customHeight="false" outlineLevel="0" collapsed="false">
      <c r="A433" s="13" t="n">
        <v>42957</v>
      </c>
      <c r="B433" s="14" t="n">
        <v>1144.36</v>
      </c>
      <c r="C433" s="14" t="n">
        <v>7.9446</v>
      </c>
      <c r="D433" s="14" t="n">
        <v>1.2978</v>
      </c>
      <c r="E433" s="14" t="n">
        <v>1.1751</v>
      </c>
      <c r="F433" s="14" t="n">
        <v>6.646</v>
      </c>
      <c r="G433" s="14" t="n">
        <v>3.1518</v>
      </c>
      <c r="H433" s="14" t="n">
        <v>109.37</v>
      </c>
      <c r="I433" s="14" t="n">
        <v>1.1732</v>
      </c>
      <c r="J433" s="14" t="n">
        <v>9.3355</v>
      </c>
      <c r="K433" s="14" t="n">
        <v>1341.21</v>
      </c>
      <c r="L433" s="14" t="n">
        <v>0.90303</v>
      </c>
      <c r="M433" s="14" t="n">
        <v>7.8068</v>
      </c>
      <c r="N433" s="14" t="n">
        <v>3.7024</v>
      </c>
      <c r="O433" s="14" t="n">
        <v>128.76</v>
      </c>
      <c r="P433" s="14" t="n">
        <v>7.9573</v>
      </c>
    </row>
    <row r="434" customFormat="false" ht="15" hidden="false" customHeight="false" outlineLevel="0" collapsed="false">
      <c r="A434" s="13" t="n">
        <v>42958</v>
      </c>
      <c r="B434" s="14" t="n">
        <v>1141.57</v>
      </c>
      <c r="C434" s="14" t="n">
        <v>7.9482</v>
      </c>
      <c r="D434" s="14" t="n">
        <v>1.2988</v>
      </c>
      <c r="E434" s="14" t="n">
        <v>1.1811</v>
      </c>
      <c r="F434" s="14" t="n">
        <v>6.6612</v>
      </c>
      <c r="G434" s="14" t="n">
        <v>3.1639</v>
      </c>
      <c r="H434" s="14" t="n">
        <v>109.06</v>
      </c>
      <c r="I434" s="14" t="n">
        <v>1.1765</v>
      </c>
      <c r="J434" s="14" t="n">
        <v>9.3975</v>
      </c>
      <c r="K434" s="14" t="n">
        <v>1346.47</v>
      </c>
      <c r="L434" s="14" t="n">
        <v>0.90645</v>
      </c>
      <c r="M434" s="14" t="n">
        <v>7.8414</v>
      </c>
      <c r="N434" s="14" t="n">
        <v>3.7378</v>
      </c>
      <c r="O434" s="14" t="n">
        <v>128.41</v>
      </c>
      <c r="P434" s="14" t="n">
        <v>7.9877</v>
      </c>
    </row>
    <row r="435" customFormat="false" ht="15" hidden="false" customHeight="false" outlineLevel="0" collapsed="false">
      <c r="A435" s="13" t="n">
        <v>42961</v>
      </c>
      <c r="B435" s="14" t="n">
        <v>1137.22</v>
      </c>
      <c r="C435" s="14" t="n">
        <v>7.937</v>
      </c>
      <c r="D435" s="14" t="n">
        <v>1.2975</v>
      </c>
      <c r="E435" s="14" t="n">
        <v>1.1786</v>
      </c>
      <c r="F435" s="14" t="n">
        <v>6.6695</v>
      </c>
      <c r="G435" s="14" t="n">
        <v>3.176</v>
      </c>
      <c r="H435" s="14" t="n">
        <v>109.48</v>
      </c>
      <c r="I435" s="14" t="n">
        <v>1.1797</v>
      </c>
      <c r="J435" s="14" t="n">
        <v>9.3478</v>
      </c>
      <c r="K435" s="14" t="n">
        <v>1344.45</v>
      </c>
      <c r="L435" s="14" t="n">
        <v>0.90935</v>
      </c>
      <c r="M435" s="14" t="n">
        <v>7.8713</v>
      </c>
      <c r="N435" s="14" t="n">
        <v>3.7517</v>
      </c>
      <c r="O435" s="14" t="n">
        <v>129.28</v>
      </c>
      <c r="P435" s="14" t="n">
        <v>7.9239</v>
      </c>
    </row>
    <row r="436" customFormat="false" ht="15" hidden="false" customHeight="false" outlineLevel="0" collapsed="false">
      <c r="A436" s="13" t="n">
        <v>42962</v>
      </c>
      <c r="B436" s="14" t="n">
        <v>1135.47</v>
      </c>
      <c r="C436" s="14" t="n">
        <v>7.9603</v>
      </c>
      <c r="D436" s="14" t="n">
        <v>1.2862</v>
      </c>
      <c r="E436" s="14" t="n">
        <v>1.1736</v>
      </c>
      <c r="F436" s="14" t="n">
        <v>6.6845</v>
      </c>
      <c r="G436" s="14" t="n">
        <v>3.1942</v>
      </c>
      <c r="H436" s="14" t="n">
        <v>110.42</v>
      </c>
      <c r="I436" s="14" t="n">
        <v>1.1744</v>
      </c>
      <c r="J436" s="14" t="n">
        <v>9.3538</v>
      </c>
      <c r="K436" s="14" t="n">
        <v>1336.43</v>
      </c>
      <c r="L436" s="14" t="n">
        <v>0.91145</v>
      </c>
      <c r="M436" s="14" t="n">
        <v>7.8488</v>
      </c>
      <c r="N436" s="14" t="n">
        <v>3.754</v>
      </c>
      <c r="O436" s="14" t="n">
        <v>129.67</v>
      </c>
      <c r="P436" s="14" t="n">
        <v>7.9647</v>
      </c>
    </row>
    <row r="437" customFormat="false" ht="15" hidden="false" customHeight="false" outlineLevel="0" collapsed="false">
      <c r="A437" s="13" t="n">
        <v>42963</v>
      </c>
      <c r="B437" s="14" t="n">
        <v>1137.75</v>
      </c>
      <c r="C437" s="14" t="n">
        <v>7.953</v>
      </c>
      <c r="D437" s="14" t="n">
        <v>1.286</v>
      </c>
      <c r="E437" s="14" t="n">
        <v>1.1703</v>
      </c>
      <c r="F437" s="14" t="n">
        <v>6.69</v>
      </c>
      <c r="G437" s="14" t="n">
        <v>3.1635</v>
      </c>
      <c r="H437" s="14" t="n">
        <v>110.8</v>
      </c>
      <c r="I437" s="14" t="n">
        <v>1.171</v>
      </c>
      <c r="J437" s="14" t="n">
        <v>9.3115</v>
      </c>
      <c r="K437" s="14" t="n">
        <v>1334.97</v>
      </c>
      <c r="L437" s="14" t="n">
        <v>0.90993</v>
      </c>
      <c r="M437" s="14" t="n">
        <v>7.8393</v>
      </c>
      <c r="N437" s="14" t="n">
        <v>3.7129</v>
      </c>
      <c r="O437" s="14" t="n">
        <v>129.79</v>
      </c>
      <c r="P437" s="14" t="n">
        <v>7.9518</v>
      </c>
    </row>
    <row r="438" customFormat="false" ht="15" hidden="false" customHeight="false" outlineLevel="0" collapsed="false">
      <c r="A438" s="13" t="n">
        <v>42964</v>
      </c>
      <c r="B438" s="14" t="n">
        <v>1138.23</v>
      </c>
      <c r="C438" s="14" t="n">
        <v>7.9504</v>
      </c>
      <c r="D438" s="14" t="n">
        <v>1.2888</v>
      </c>
      <c r="E438" s="14" t="n">
        <v>1.1736</v>
      </c>
      <c r="F438" s="14" t="n">
        <v>6.673</v>
      </c>
      <c r="G438" s="14" t="n">
        <v>3.1585</v>
      </c>
      <c r="H438" s="14" t="n">
        <v>109.88</v>
      </c>
      <c r="I438" s="14" t="n">
        <v>1.1697</v>
      </c>
      <c r="J438" s="14" t="n">
        <v>9.3243</v>
      </c>
      <c r="K438" s="14" t="n">
        <v>1331.95</v>
      </c>
      <c r="L438" s="14" t="n">
        <v>0.90895</v>
      </c>
      <c r="M438" s="14" t="n">
        <v>7.811</v>
      </c>
      <c r="N438" s="14" t="n">
        <v>3.6986</v>
      </c>
      <c r="O438" s="14" t="n">
        <v>128.81</v>
      </c>
      <c r="P438" s="14" t="n">
        <v>7.9715</v>
      </c>
    </row>
    <row r="439" customFormat="false" ht="15" hidden="false" customHeight="false" outlineLevel="0" collapsed="false">
      <c r="A439" s="13" t="n">
        <v>42965</v>
      </c>
      <c r="B439" s="14" t="n">
        <v>1139.83</v>
      </c>
      <c r="C439" s="14" t="n">
        <v>7.9074</v>
      </c>
      <c r="D439" s="14" t="n">
        <v>1.2847</v>
      </c>
      <c r="E439" s="14" t="n">
        <v>1.1748</v>
      </c>
      <c r="F439" s="14" t="n">
        <v>6.67</v>
      </c>
      <c r="G439" s="14" t="n">
        <v>3.1548</v>
      </c>
      <c r="H439" s="14" t="n">
        <v>109.32</v>
      </c>
      <c r="I439" s="14" t="n">
        <v>1.174</v>
      </c>
      <c r="J439" s="14" t="n">
        <v>9.3183</v>
      </c>
      <c r="K439" s="14" t="n">
        <v>1339.99</v>
      </c>
      <c r="L439" s="14" t="n">
        <v>0.91188</v>
      </c>
      <c r="M439" s="14" t="n">
        <v>7.8332</v>
      </c>
      <c r="N439" s="14" t="n">
        <v>3.7185</v>
      </c>
      <c r="O439" s="14" t="n">
        <v>128.02</v>
      </c>
      <c r="P439" s="14" t="n">
        <v>7.9372</v>
      </c>
    </row>
    <row r="440" customFormat="false" ht="15" hidden="false" customHeight="false" outlineLevel="0" collapsed="false">
      <c r="A440" s="13" t="n">
        <v>42968</v>
      </c>
      <c r="B440" s="14" t="n">
        <v>1137.14</v>
      </c>
      <c r="C440" s="14" t="n">
        <v>7.8975</v>
      </c>
      <c r="D440" s="14" t="n">
        <v>1.2903</v>
      </c>
      <c r="E440" s="14" t="n">
        <v>1.1814</v>
      </c>
      <c r="F440" s="14" t="n">
        <v>6.663</v>
      </c>
      <c r="G440" s="14" t="n">
        <v>3.1436</v>
      </c>
      <c r="H440" s="14" t="n">
        <v>108.89</v>
      </c>
      <c r="I440" s="14" t="n">
        <v>1.1761</v>
      </c>
      <c r="J440" s="14" t="n">
        <v>9.2903</v>
      </c>
      <c r="K440" s="14" t="n">
        <v>1339.54</v>
      </c>
      <c r="L440" s="14" t="n">
        <v>0.91318</v>
      </c>
      <c r="M440" s="14" t="n">
        <v>7.8462</v>
      </c>
      <c r="N440" s="14" t="n">
        <v>3.7042</v>
      </c>
      <c r="O440" s="14" t="n">
        <v>128.17</v>
      </c>
      <c r="P440" s="14" t="n">
        <v>7.8992</v>
      </c>
    </row>
    <row r="441" customFormat="false" ht="15" hidden="false" customHeight="false" outlineLevel="0" collapsed="false">
      <c r="A441" s="13" t="n">
        <v>42969</v>
      </c>
      <c r="B441" s="14" t="n">
        <v>1131.79</v>
      </c>
      <c r="C441" s="14" t="n">
        <v>7.9137</v>
      </c>
      <c r="D441" s="14" t="n">
        <v>1.2834</v>
      </c>
      <c r="E441" s="14" t="n">
        <v>1.1762</v>
      </c>
      <c r="F441" s="14" t="n">
        <v>6.66</v>
      </c>
      <c r="G441" s="14" t="n">
        <v>3.1505</v>
      </c>
      <c r="H441" s="14" t="n">
        <v>109.4</v>
      </c>
      <c r="I441" s="14" t="n">
        <v>1.1771</v>
      </c>
      <c r="J441" s="14" t="n">
        <v>9.3023</v>
      </c>
      <c r="K441" s="14" t="n">
        <v>1335.14</v>
      </c>
      <c r="L441" s="14" t="n">
        <v>0.91713</v>
      </c>
      <c r="M441" s="14" t="n">
        <v>7.843</v>
      </c>
      <c r="N441" s="14" t="n">
        <v>3.7102</v>
      </c>
      <c r="O441" s="14" t="n">
        <v>128.73</v>
      </c>
      <c r="P441" s="14" t="n">
        <v>7.9027</v>
      </c>
    </row>
    <row r="442" customFormat="false" ht="15" hidden="false" customHeight="false" outlineLevel="0" collapsed="false">
      <c r="A442" s="13" t="n">
        <v>42970</v>
      </c>
      <c r="B442" s="14" t="n">
        <v>1128.59</v>
      </c>
      <c r="C442" s="14" t="n">
        <v>7.8776</v>
      </c>
      <c r="D442" s="14" t="n">
        <v>1.2787</v>
      </c>
      <c r="E442" s="14" t="n">
        <v>1.1802</v>
      </c>
      <c r="F442" s="14" t="n">
        <v>6.6569</v>
      </c>
      <c r="G442" s="14" t="n">
        <v>3.1521</v>
      </c>
      <c r="H442" s="14" t="n">
        <v>109.14</v>
      </c>
      <c r="I442" s="14" t="n">
        <v>1.1799</v>
      </c>
      <c r="J442" s="14" t="n">
        <v>9.313</v>
      </c>
      <c r="K442" s="14" t="n">
        <v>1335.19</v>
      </c>
      <c r="L442" s="14" t="n">
        <v>0.92133</v>
      </c>
      <c r="M442" s="14" t="n">
        <v>7.8584</v>
      </c>
      <c r="N442" s="14" t="n">
        <v>3.7314</v>
      </c>
      <c r="O442" s="14" t="n">
        <v>128.71</v>
      </c>
      <c r="P442" s="14" t="n">
        <v>7.893</v>
      </c>
    </row>
    <row r="443" customFormat="false" ht="15" hidden="false" customHeight="false" outlineLevel="0" collapsed="false">
      <c r="A443" s="13" t="n">
        <v>42971</v>
      </c>
      <c r="B443" s="14" t="n">
        <v>1127.8</v>
      </c>
      <c r="C443" s="14" t="n">
        <v>7.8415</v>
      </c>
      <c r="D443" s="14" t="n">
        <v>1.2802</v>
      </c>
      <c r="E443" s="14" t="n">
        <v>1.1801</v>
      </c>
      <c r="F443" s="14" t="n">
        <v>6.66</v>
      </c>
      <c r="G443" s="14" t="n">
        <v>3.1428</v>
      </c>
      <c r="H443" s="14" t="n">
        <v>109.34</v>
      </c>
      <c r="I443" s="14" t="n">
        <v>1.1806</v>
      </c>
      <c r="J443" s="14" t="n">
        <v>9.2585</v>
      </c>
      <c r="K443" s="14" t="n">
        <v>1331.39</v>
      </c>
      <c r="L443" s="14" t="n">
        <v>0.92</v>
      </c>
      <c r="M443" s="14" t="n">
        <v>7.8646</v>
      </c>
      <c r="N443" s="14" t="n">
        <v>3.7113</v>
      </c>
      <c r="O443" s="14" t="n">
        <v>129.06</v>
      </c>
      <c r="P443" s="14" t="n">
        <v>7.8422</v>
      </c>
    </row>
    <row r="444" customFormat="false" ht="15" hidden="false" customHeight="false" outlineLevel="0" collapsed="false">
      <c r="A444" s="13" t="n">
        <v>42972</v>
      </c>
      <c r="B444" s="14" t="n">
        <v>1121.73</v>
      </c>
      <c r="C444" s="14" t="n">
        <v>7.7775</v>
      </c>
      <c r="D444" s="14" t="n">
        <v>1.2873</v>
      </c>
      <c r="E444" s="14" t="n">
        <v>1.1874</v>
      </c>
      <c r="F444" s="14" t="n">
        <v>6.6465</v>
      </c>
      <c r="G444" s="14" t="n">
        <v>3.1463</v>
      </c>
      <c r="H444" s="14" t="n">
        <v>109.24</v>
      </c>
      <c r="I444" s="14" t="n">
        <v>1.1808</v>
      </c>
      <c r="J444" s="14" t="n">
        <v>9.2278</v>
      </c>
      <c r="K444" s="14" t="n">
        <v>1327.05</v>
      </c>
      <c r="L444" s="14" t="n">
        <v>0.92083</v>
      </c>
      <c r="M444" s="14" t="n">
        <v>7.8596</v>
      </c>
      <c r="N444" s="14" t="n">
        <v>3.7045</v>
      </c>
      <c r="O444" s="14" t="n">
        <v>129.59</v>
      </c>
      <c r="P444" s="14" t="n">
        <v>7.8149</v>
      </c>
    </row>
    <row r="445" customFormat="false" ht="15" hidden="false" customHeight="false" outlineLevel="0" collapsed="false">
      <c r="A445" s="13" t="n">
        <v>42975</v>
      </c>
      <c r="B445" s="14" t="n">
        <v>1117.75</v>
      </c>
      <c r="C445" s="14" t="n">
        <v>7.7583</v>
      </c>
      <c r="D445" s="14" t="n">
        <v>1.2927</v>
      </c>
      <c r="E445" s="14" t="n">
        <v>1.1973</v>
      </c>
      <c r="F445" s="14" t="n">
        <v>6.6084</v>
      </c>
      <c r="G445" s="14" t="n">
        <v>3.1577</v>
      </c>
      <c r="H445" s="14" t="n">
        <v>109.22</v>
      </c>
      <c r="I445" s="14" t="n">
        <v>1.1925</v>
      </c>
      <c r="J445" s="14" t="n">
        <v>9.262</v>
      </c>
      <c r="K445" s="14" t="n">
        <v>1335.56</v>
      </c>
      <c r="L445" s="14" t="n">
        <v>0.92328</v>
      </c>
      <c r="M445" s="14" t="n">
        <v>7.8979</v>
      </c>
      <c r="N445" s="14" t="n">
        <v>3.7568</v>
      </c>
      <c r="O445" s="14" t="n">
        <v>130.34</v>
      </c>
      <c r="P445" s="14" t="n">
        <v>7.7669</v>
      </c>
    </row>
    <row r="446" customFormat="false" ht="15" hidden="false" customHeight="false" outlineLevel="0" collapsed="false">
      <c r="A446" s="13" t="n">
        <v>42976</v>
      </c>
      <c r="B446" s="14" t="n">
        <v>1122.5</v>
      </c>
      <c r="C446" s="14" t="n">
        <v>7.7233</v>
      </c>
      <c r="D446" s="14" t="n">
        <v>1.2937</v>
      </c>
      <c r="E446" s="14" t="n">
        <v>1.2025</v>
      </c>
      <c r="F446" s="14" t="n">
        <v>6.5945</v>
      </c>
      <c r="G446" s="14" t="n">
        <v>3.1656</v>
      </c>
      <c r="H446" s="14" t="n">
        <v>109.02</v>
      </c>
      <c r="I446" s="14" t="n">
        <v>1.2048</v>
      </c>
      <c r="J446" s="14" t="n">
        <v>9.2915</v>
      </c>
      <c r="K446" s="14" t="n">
        <v>1353.8</v>
      </c>
      <c r="L446" s="14" t="n">
        <v>0.92965</v>
      </c>
      <c r="M446" s="14" t="n">
        <v>7.9467</v>
      </c>
      <c r="N446" s="14" t="n">
        <v>3.8106</v>
      </c>
      <c r="O446" s="14" t="n">
        <v>130.86</v>
      </c>
      <c r="P446" s="14" t="n">
        <v>7.7121</v>
      </c>
    </row>
    <row r="447" customFormat="false" ht="15" hidden="false" customHeight="false" outlineLevel="0" collapsed="false">
      <c r="A447" s="13" t="n">
        <v>42977</v>
      </c>
      <c r="B447" s="14" t="n">
        <v>1122.05</v>
      </c>
      <c r="C447" s="14" t="n">
        <v>7.7834</v>
      </c>
      <c r="D447" s="14" t="n">
        <v>1.2934</v>
      </c>
      <c r="E447" s="14" t="n">
        <v>1.1927</v>
      </c>
      <c r="F447" s="14" t="n">
        <v>6.5918</v>
      </c>
      <c r="G447" s="14" t="n">
        <v>3.1592</v>
      </c>
      <c r="H447" s="14" t="n">
        <v>110.2</v>
      </c>
      <c r="I447" s="14" t="n">
        <v>1.1916</v>
      </c>
      <c r="J447" s="14" t="n">
        <v>9.2845</v>
      </c>
      <c r="K447" s="14" t="n">
        <v>1338.36</v>
      </c>
      <c r="L447" s="14" t="n">
        <v>0.92246</v>
      </c>
      <c r="M447" s="14" t="n">
        <v>7.8559</v>
      </c>
      <c r="N447" s="14" t="n">
        <v>3.7768</v>
      </c>
      <c r="O447" s="14" t="n">
        <v>131.25</v>
      </c>
      <c r="P447" s="14" t="n">
        <v>7.7916</v>
      </c>
    </row>
    <row r="448" customFormat="false" ht="15" hidden="false" customHeight="false" outlineLevel="0" collapsed="false">
      <c r="A448" s="13" t="n">
        <v>42978</v>
      </c>
      <c r="B448" s="14" t="n">
        <v>1122.36</v>
      </c>
      <c r="C448" s="14" t="n">
        <v>7.7723</v>
      </c>
      <c r="D448" s="14" t="n">
        <v>1.2888</v>
      </c>
      <c r="E448" s="14" t="n">
        <v>1.1894</v>
      </c>
      <c r="F448" s="14" t="n">
        <v>6.5888</v>
      </c>
      <c r="G448" s="14" t="n">
        <v>3.1454</v>
      </c>
      <c r="H448" s="14" t="n">
        <v>110.06</v>
      </c>
      <c r="I448" s="14" t="n">
        <v>1.1825</v>
      </c>
      <c r="J448" s="14" t="n">
        <v>9.279</v>
      </c>
      <c r="K448" s="14" t="n">
        <v>1331.22</v>
      </c>
      <c r="L448" s="14" t="n">
        <v>0.91973</v>
      </c>
      <c r="M448" s="14" t="n">
        <v>7.8059</v>
      </c>
      <c r="N448" s="14" t="n">
        <v>3.741</v>
      </c>
      <c r="O448" s="14" t="n">
        <v>130.81</v>
      </c>
      <c r="P448" s="14" t="n">
        <v>7.8469</v>
      </c>
    </row>
    <row r="449" customFormat="false" ht="15" hidden="false" customHeight="false" outlineLevel="0" collapsed="false">
      <c r="A449" s="13" t="n">
        <v>42979</v>
      </c>
      <c r="B449" s="14" t="n">
        <v>1119.12</v>
      </c>
      <c r="C449" s="14" t="n">
        <v>7.7916</v>
      </c>
      <c r="D449" s="14" t="n">
        <v>1.2972</v>
      </c>
      <c r="E449" s="14" t="n">
        <v>1.1878</v>
      </c>
      <c r="F449" s="14" t="n">
        <v>6.5552</v>
      </c>
      <c r="G449" s="14" t="n">
        <v>3.1308</v>
      </c>
      <c r="H449" s="14" t="n">
        <v>110.09</v>
      </c>
      <c r="I449" s="14" t="n">
        <v>1.192</v>
      </c>
      <c r="J449" s="14" t="n">
        <v>9.2555</v>
      </c>
      <c r="K449" s="14" t="n">
        <v>1335.36</v>
      </c>
      <c r="L449" s="14" t="n">
        <v>0.92075</v>
      </c>
      <c r="M449" s="14" t="n">
        <v>7.8185</v>
      </c>
      <c r="N449" s="14" t="n">
        <v>3.7423</v>
      </c>
      <c r="O449" s="14" t="n">
        <v>131.29</v>
      </c>
      <c r="P449" s="14" t="n">
        <v>7.7647</v>
      </c>
    </row>
    <row r="450" customFormat="false" ht="15" hidden="false" customHeight="false" outlineLevel="0" collapsed="false">
      <c r="A450" s="13" t="n">
        <v>42982</v>
      </c>
      <c r="I450" s="14" t="n">
        <v>1.1905</v>
      </c>
      <c r="J450" s="14" t="n">
        <v>9.2933</v>
      </c>
      <c r="K450" s="14" t="n">
        <v>1345.07</v>
      </c>
      <c r="L450" s="14" t="n">
        <v>0.91855</v>
      </c>
      <c r="M450" s="14" t="n">
        <v>7.7728</v>
      </c>
      <c r="N450" s="14" t="n">
        <v>3.7379</v>
      </c>
      <c r="O450" s="14" t="n">
        <v>130.6</v>
      </c>
      <c r="P450" s="14" t="n">
        <v>7.8062</v>
      </c>
    </row>
    <row r="451" customFormat="false" ht="15" hidden="false" customHeight="false" outlineLevel="0" collapsed="false">
      <c r="A451" s="13" t="n">
        <v>42983</v>
      </c>
      <c r="B451" s="14" t="n">
        <v>1130.01</v>
      </c>
      <c r="C451" s="14" t="n">
        <v>7.7775</v>
      </c>
      <c r="D451" s="14" t="n">
        <v>1.3013</v>
      </c>
      <c r="E451" s="14" t="n">
        <v>1.1911</v>
      </c>
      <c r="F451" s="14" t="n">
        <v>6.5345</v>
      </c>
      <c r="G451" s="14" t="n">
        <v>3.123</v>
      </c>
      <c r="H451" s="14" t="n">
        <v>108.94</v>
      </c>
      <c r="I451" s="14" t="n">
        <v>1.189</v>
      </c>
      <c r="J451" s="14" t="n">
        <v>9.2788</v>
      </c>
      <c r="K451" s="14" t="n">
        <v>1343.64</v>
      </c>
      <c r="L451" s="14" t="n">
        <v>0.9174</v>
      </c>
      <c r="M451" s="14" t="n">
        <v>7.7865</v>
      </c>
      <c r="N451" s="14" t="n">
        <v>3.707</v>
      </c>
      <c r="O451" s="14" t="n">
        <v>129.99</v>
      </c>
      <c r="P451" s="14" t="n">
        <v>7.8039</v>
      </c>
    </row>
    <row r="452" customFormat="false" ht="15" hidden="false" customHeight="false" outlineLevel="0" collapsed="false">
      <c r="A452" s="13" t="n">
        <v>42984</v>
      </c>
      <c r="B452" s="14" t="n">
        <v>1132.49</v>
      </c>
      <c r="C452" s="14" t="n">
        <v>7.7713</v>
      </c>
      <c r="D452" s="14" t="n">
        <v>1.3073</v>
      </c>
      <c r="E452" s="14" t="n">
        <v>1.1943</v>
      </c>
      <c r="F452" s="14" t="n">
        <v>6.5221</v>
      </c>
      <c r="G452" s="14" t="n">
        <v>3.1085</v>
      </c>
      <c r="H452" s="14" t="n">
        <v>108.75</v>
      </c>
      <c r="I452" s="14" t="n">
        <v>1.1931</v>
      </c>
      <c r="J452" s="14" t="n">
        <v>9.2765</v>
      </c>
      <c r="K452" s="14" t="n">
        <v>1353.94</v>
      </c>
      <c r="L452" s="14" t="n">
        <v>0.91428</v>
      </c>
      <c r="M452" s="14" t="n">
        <v>7.785</v>
      </c>
      <c r="N452" s="14" t="n">
        <v>3.7145</v>
      </c>
      <c r="O452" s="14" t="n">
        <v>129.92</v>
      </c>
      <c r="P452" s="14" t="n">
        <v>7.7751</v>
      </c>
    </row>
    <row r="453" customFormat="false" ht="15" hidden="false" customHeight="false" outlineLevel="0" collapsed="false">
      <c r="A453" s="13" t="n">
        <v>42985</v>
      </c>
      <c r="B453" s="14" t="n">
        <v>1125.49</v>
      </c>
      <c r="C453" s="14" t="n">
        <v>7.7479</v>
      </c>
      <c r="D453" s="14" t="n">
        <v>1.3094</v>
      </c>
      <c r="E453" s="14" t="n">
        <v>1.2028</v>
      </c>
      <c r="F453" s="14" t="n">
        <v>6.483</v>
      </c>
      <c r="G453" s="14" t="n">
        <v>3.099</v>
      </c>
      <c r="H453" s="14" t="n">
        <v>108.26</v>
      </c>
      <c r="I453" s="14" t="n">
        <v>1.1971</v>
      </c>
      <c r="J453" s="14" t="n">
        <v>9.2938</v>
      </c>
      <c r="K453" s="14" t="n">
        <v>1350.87</v>
      </c>
      <c r="L453" s="14" t="n">
        <v>0.91403</v>
      </c>
      <c r="M453" s="14" t="n">
        <v>7.7698</v>
      </c>
      <c r="N453" s="14" t="n">
        <v>3.7098</v>
      </c>
      <c r="O453" s="14" t="n">
        <v>130.34</v>
      </c>
      <c r="P453" s="14" t="n">
        <v>7.7636</v>
      </c>
    </row>
    <row r="454" customFormat="false" ht="15" hidden="false" customHeight="false" outlineLevel="0" collapsed="false">
      <c r="A454" s="13" t="n">
        <v>42986</v>
      </c>
      <c r="B454" s="14" t="n">
        <v>1133.08</v>
      </c>
      <c r="C454" s="14" t="n">
        <v>7.7414</v>
      </c>
      <c r="D454" s="14" t="n">
        <v>1.3211</v>
      </c>
      <c r="E454" s="14" t="n">
        <v>1.2041</v>
      </c>
      <c r="F454" s="14" t="n">
        <v>6.4773</v>
      </c>
      <c r="G454" s="14" t="n">
        <v>3.0942</v>
      </c>
      <c r="H454" s="14" t="n">
        <v>107.72</v>
      </c>
      <c r="I454" s="14" t="n">
        <v>1.206</v>
      </c>
      <c r="J454" s="14" t="n">
        <v>9.3093</v>
      </c>
      <c r="K454" s="14" t="n">
        <v>1363.52</v>
      </c>
      <c r="L454" s="14" t="n">
        <v>0.91268</v>
      </c>
      <c r="M454" s="14" t="n">
        <v>7.7926</v>
      </c>
      <c r="N454" s="14" t="n">
        <v>3.7256</v>
      </c>
      <c r="O454" s="14" t="n">
        <v>129.5</v>
      </c>
      <c r="P454" s="14" t="n">
        <v>7.7192</v>
      </c>
    </row>
    <row r="455" customFormat="false" ht="15" hidden="false" customHeight="false" outlineLevel="0" collapsed="false">
      <c r="A455" s="13" t="n">
        <v>42989</v>
      </c>
      <c r="B455" s="14" t="n">
        <v>1129.75</v>
      </c>
      <c r="C455" s="14" t="n">
        <v>7.8436</v>
      </c>
      <c r="D455" s="14" t="n">
        <v>1.3173</v>
      </c>
      <c r="E455" s="14" t="n">
        <v>1.1964</v>
      </c>
      <c r="F455" s="14" t="n">
        <v>6.5254</v>
      </c>
      <c r="G455" s="14" t="n">
        <v>3.089</v>
      </c>
      <c r="H455" s="14" t="n">
        <v>109.03</v>
      </c>
      <c r="I455" s="14" t="n">
        <v>1.1997</v>
      </c>
      <c r="J455" s="14" t="n">
        <v>9.371</v>
      </c>
      <c r="K455" s="14" t="n">
        <v>1357.76</v>
      </c>
      <c r="L455" s="14" t="n">
        <v>0.90775</v>
      </c>
      <c r="M455" s="14" t="n">
        <v>7.8329</v>
      </c>
      <c r="N455" s="14" t="n">
        <v>3.7057</v>
      </c>
      <c r="O455" s="14" t="n">
        <v>130.38</v>
      </c>
      <c r="P455" s="14" t="n">
        <v>7.8111</v>
      </c>
    </row>
    <row r="456" customFormat="false" ht="15" hidden="false" customHeight="false" outlineLevel="0" collapsed="false">
      <c r="A456" s="13" t="n">
        <v>42990</v>
      </c>
      <c r="B456" s="14" t="n">
        <v>1126.56</v>
      </c>
      <c r="C456" s="14" t="n">
        <v>7.8267</v>
      </c>
      <c r="D456" s="14" t="n">
        <v>1.328</v>
      </c>
      <c r="E456" s="14" t="n">
        <v>1.1968</v>
      </c>
      <c r="F456" s="14" t="n">
        <v>6.5334</v>
      </c>
      <c r="G456" s="14" t="n">
        <v>3.1093</v>
      </c>
      <c r="H456" s="14" t="n">
        <v>110.01</v>
      </c>
      <c r="I456" s="14" t="n">
        <v>1.1933</v>
      </c>
      <c r="J456" s="14" t="n">
        <v>9.3593</v>
      </c>
      <c r="K456" s="14" t="n">
        <v>1346.05</v>
      </c>
      <c r="L456" s="14" t="n">
        <v>0.89878</v>
      </c>
      <c r="M456" s="14" t="n">
        <v>7.8024</v>
      </c>
      <c r="N456" s="14" t="n">
        <v>3.7117</v>
      </c>
      <c r="O456" s="14" t="n">
        <v>130.93</v>
      </c>
      <c r="P456" s="14" t="n">
        <v>7.8432</v>
      </c>
    </row>
    <row r="457" customFormat="false" ht="15" hidden="false" customHeight="false" outlineLevel="0" collapsed="false">
      <c r="A457" s="13" t="n">
        <v>42991</v>
      </c>
      <c r="B457" s="14" t="n">
        <v>1129.37</v>
      </c>
      <c r="C457" s="14" t="n">
        <v>7.8898</v>
      </c>
      <c r="D457" s="14" t="n">
        <v>1.3218</v>
      </c>
      <c r="E457" s="14" t="n">
        <v>1.1898</v>
      </c>
      <c r="F457" s="14" t="n">
        <v>6.54</v>
      </c>
      <c r="G457" s="14" t="n">
        <v>3.1372</v>
      </c>
      <c r="H457" s="14" t="n">
        <v>110.58</v>
      </c>
      <c r="I457" s="14" t="n">
        <v>1.1979</v>
      </c>
      <c r="J457" s="14" t="n">
        <v>9.3983</v>
      </c>
      <c r="K457" s="14" t="n">
        <v>1349.96</v>
      </c>
      <c r="L457" s="14" t="n">
        <v>0.90243</v>
      </c>
      <c r="M457" s="14" t="n">
        <v>7.8249</v>
      </c>
      <c r="N457" s="14" t="n">
        <v>3.7521</v>
      </c>
      <c r="O457" s="14" t="n">
        <v>131.79</v>
      </c>
      <c r="P457" s="14" t="n">
        <v>7.8456</v>
      </c>
    </row>
    <row r="458" customFormat="false" ht="15" hidden="false" customHeight="false" outlineLevel="0" collapsed="false">
      <c r="A458" s="13" t="n">
        <v>42992</v>
      </c>
      <c r="B458" s="14" t="n">
        <v>1132.59</v>
      </c>
      <c r="C458" s="14" t="n">
        <v>7.8986</v>
      </c>
      <c r="D458" s="14" t="n">
        <v>1.3398</v>
      </c>
      <c r="E458" s="14" t="n">
        <v>1.1886</v>
      </c>
      <c r="F458" s="14" t="n">
        <v>6.552</v>
      </c>
      <c r="G458" s="14" t="n">
        <v>3.129</v>
      </c>
      <c r="H458" s="14" t="n">
        <v>110.66</v>
      </c>
      <c r="I458" s="14" t="n">
        <v>1.1885</v>
      </c>
      <c r="J458" s="14" t="n">
        <v>9.395</v>
      </c>
      <c r="K458" s="14" t="n">
        <v>1345.47</v>
      </c>
      <c r="L458" s="14" t="n">
        <v>0.89123</v>
      </c>
      <c r="M458" s="14" t="n">
        <v>7.7918</v>
      </c>
      <c r="N458" s="14" t="n">
        <v>3.7295</v>
      </c>
      <c r="O458" s="14" t="n">
        <v>131.55</v>
      </c>
      <c r="P458" s="14" t="n">
        <v>7.9049</v>
      </c>
    </row>
    <row r="459" customFormat="false" ht="15" hidden="false" customHeight="false" outlineLevel="0" collapsed="false">
      <c r="A459" s="13" t="n">
        <v>42993</v>
      </c>
      <c r="B459" s="14" t="n">
        <v>1130.68</v>
      </c>
      <c r="C459" s="14" t="n">
        <v>7.8427</v>
      </c>
      <c r="D459" s="14" t="n">
        <v>1.3578</v>
      </c>
      <c r="E459" s="14" t="n">
        <v>1.1959</v>
      </c>
      <c r="F459" s="14" t="n">
        <v>6.55</v>
      </c>
      <c r="G459" s="14" t="n">
        <v>3.1263</v>
      </c>
      <c r="H459" s="14" t="n">
        <v>110.84</v>
      </c>
      <c r="I459" s="14" t="n">
        <v>1.1963</v>
      </c>
      <c r="J459" s="14" t="n">
        <v>9.3348</v>
      </c>
      <c r="K459" s="14" t="n">
        <v>1353.03</v>
      </c>
      <c r="L459" s="14" t="n">
        <v>0.88043</v>
      </c>
      <c r="M459" s="14" t="n">
        <v>7.8299</v>
      </c>
      <c r="N459" s="14" t="n">
        <v>3.7357</v>
      </c>
      <c r="O459" s="14" t="n">
        <v>132.92</v>
      </c>
      <c r="P459" s="14" t="n">
        <v>7.8031</v>
      </c>
    </row>
    <row r="460" customFormat="false" ht="15" hidden="false" customHeight="false" outlineLevel="0" collapsed="false">
      <c r="A460" s="13" t="n">
        <v>42996</v>
      </c>
      <c r="B460" s="14" t="n">
        <v>1127.07</v>
      </c>
      <c r="C460" s="14" t="n">
        <v>7.8294</v>
      </c>
      <c r="D460" s="14" t="n">
        <v>1.3485</v>
      </c>
      <c r="E460" s="14" t="n">
        <v>1.1938</v>
      </c>
      <c r="F460" s="14" t="n">
        <v>6.5725</v>
      </c>
      <c r="G460" s="14" t="n">
        <v>3.1288</v>
      </c>
      <c r="H460" s="14" t="n">
        <v>111.48</v>
      </c>
      <c r="I460" s="14" t="n">
        <v>1.1948</v>
      </c>
      <c r="J460" s="14" t="n">
        <v>9.341</v>
      </c>
      <c r="K460" s="14" t="n">
        <v>1346.87</v>
      </c>
      <c r="L460" s="14" t="n">
        <v>0.88253</v>
      </c>
      <c r="M460" s="14" t="n">
        <v>7.852</v>
      </c>
      <c r="N460" s="14" t="n">
        <v>3.7204</v>
      </c>
      <c r="O460" s="14" t="n">
        <v>133.09</v>
      </c>
      <c r="P460" s="14" t="n">
        <v>7.818</v>
      </c>
    </row>
    <row r="461" customFormat="false" ht="15" hidden="false" customHeight="false" outlineLevel="0" collapsed="false">
      <c r="A461" s="13" t="n">
        <v>42997</v>
      </c>
      <c r="B461" s="14" t="n">
        <v>1128.83</v>
      </c>
      <c r="C461" s="14" t="n">
        <v>7.8067</v>
      </c>
      <c r="D461" s="14" t="n">
        <v>1.3517</v>
      </c>
      <c r="E461" s="14" t="n">
        <v>1.198</v>
      </c>
      <c r="F461" s="14" t="n">
        <v>6.58</v>
      </c>
      <c r="G461" s="14" t="n">
        <v>3.132</v>
      </c>
      <c r="H461" s="14" t="n">
        <v>111.49</v>
      </c>
      <c r="I461" s="14" t="n">
        <v>1.1972</v>
      </c>
      <c r="J461" s="14" t="n">
        <v>9.342</v>
      </c>
      <c r="K461" s="14" t="n">
        <v>1351.57</v>
      </c>
      <c r="L461" s="14" t="n">
        <v>0.88622</v>
      </c>
      <c r="M461" s="14" t="n">
        <v>7.8832</v>
      </c>
      <c r="N461" s="14" t="n">
        <v>3.7429</v>
      </c>
      <c r="O461" s="14" t="n">
        <v>133.44</v>
      </c>
      <c r="P461" s="14" t="n">
        <v>7.8032</v>
      </c>
    </row>
    <row r="462" customFormat="false" ht="15" hidden="false" customHeight="false" outlineLevel="0" collapsed="false">
      <c r="A462" s="13" t="n">
        <v>42998</v>
      </c>
      <c r="B462" s="14" t="n">
        <v>1125.53</v>
      </c>
      <c r="C462" s="14" t="n">
        <v>7.8066</v>
      </c>
      <c r="D462" s="14" t="n">
        <v>1.3564</v>
      </c>
      <c r="E462" s="14" t="n">
        <v>1.1998</v>
      </c>
      <c r="F462" s="14" t="n">
        <v>6.57</v>
      </c>
      <c r="G462" s="14" t="n">
        <v>3.1198</v>
      </c>
      <c r="H462" s="14" t="n">
        <v>111.5</v>
      </c>
      <c r="I462" s="14" t="n">
        <v>1.2007</v>
      </c>
      <c r="J462" s="14" t="n">
        <v>9.344</v>
      </c>
      <c r="K462" s="14" t="n">
        <v>1353.44</v>
      </c>
      <c r="L462" s="14" t="n">
        <v>0.8868</v>
      </c>
      <c r="M462" s="14" t="n">
        <v>7.8948</v>
      </c>
      <c r="N462" s="14" t="n">
        <v>3.7579</v>
      </c>
      <c r="O462" s="14" t="n">
        <v>133.63</v>
      </c>
      <c r="P462" s="14" t="n">
        <v>7.7821</v>
      </c>
    </row>
    <row r="463" customFormat="false" ht="15" hidden="false" customHeight="false" outlineLevel="0" collapsed="false">
      <c r="A463" s="13" t="n">
        <v>42999</v>
      </c>
      <c r="B463" s="14" t="n">
        <v>1130.87</v>
      </c>
      <c r="C463" s="14" t="n">
        <v>7.8006</v>
      </c>
      <c r="D463" s="14" t="n">
        <v>1.3576</v>
      </c>
      <c r="E463" s="14" t="n">
        <v>1.1946</v>
      </c>
      <c r="F463" s="14" t="n">
        <v>6.5861</v>
      </c>
      <c r="G463" s="14" t="n">
        <v>3.1358</v>
      </c>
      <c r="H463" s="14" t="n">
        <v>112.3</v>
      </c>
      <c r="I463" s="14" t="n">
        <v>1.1905</v>
      </c>
      <c r="J463" s="14" t="n">
        <v>9.3025</v>
      </c>
      <c r="K463" s="14" t="n">
        <v>1349.47</v>
      </c>
      <c r="L463" s="14" t="n">
        <v>0.8824</v>
      </c>
      <c r="M463" s="14" t="n">
        <v>7.848</v>
      </c>
      <c r="N463" s="14" t="n">
        <v>3.7353</v>
      </c>
      <c r="O463" s="14" t="n">
        <v>133.86</v>
      </c>
      <c r="P463" s="14" t="n">
        <v>7.8139</v>
      </c>
    </row>
    <row r="464" customFormat="false" ht="15" hidden="false" customHeight="false" outlineLevel="0" collapsed="false">
      <c r="A464" s="13" t="n">
        <v>43000</v>
      </c>
      <c r="B464" s="14" t="n">
        <v>1130.39</v>
      </c>
      <c r="C464" s="14" t="n">
        <v>7.7833</v>
      </c>
      <c r="D464" s="14" t="n">
        <v>1.3531</v>
      </c>
      <c r="E464" s="14" t="n">
        <v>1.1969</v>
      </c>
      <c r="F464" s="14" t="n">
        <v>6.5899</v>
      </c>
      <c r="G464" s="14" t="n">
        <v>3.1257</v>
      </c>
      <c r="H464" s="14" t="n">
        <v>112.01</v>
      </c>
      <c r="I464" s="14" t="n">
        <v>1.1961</v>
      </c>
      <c r="J464" s="14" t="n">
        <v>9.3193</v>
      </c>
      <c r="K464" s="14" t="n">
        <v>1352.78</v>
      </c>
      <c r="L464" s="14" t="n">
        <v>0.88155</v>
      </c>
      <c r="M464" s="14" t="n">
        <v>7.8805</v>
      </c>
      <c r="N464" s="14" t="n">
        <v>3.7459</v>
      </c>
      <c r="O464" s="14" t="n">
        <v>134.01</v>
      </c>
      <c r="P464" s="14" t="n">
        <v>7.7914</v>
      </c>
    </row>
    <row r="465" customFormat="false" ht="15" hidden="false" customHeight="false" outlineLevel="0" collapsed="false">
      <c r="A465" s="13" t="n">
        <v>43003</v>
      </c>
      <c r="B465" s="14" t="n">
        <v>1134.59</v>
      </c>
      <c r="C465" s="14" t="n">
        <v>7.8325</v>
      </c>
      <c r="D465" s="14" t="n">
        <v>1.3457</v>
      </c>
      <c r="E465" s="14" t="n">
        <v>1.1852</v>
      </c>
      <c r="F465" s="14" t="n">
        <v>6.6189</v>
      </c>
      <c r="G465" s="14" t="n">
        <v>3.1496</v>
      </c>
      <c r="H465" s="14" t="n">
        <v>111.64</v>
      </c>
      <c r="I465" s="14" t="n">
        <v>1.1867</v>
      </c>
      <c r="J465" s="14" t="n">
        <v>9.2725</v>
      </c>
      <c r="K465" s="14" t="n">
        <v>1343.33</v>
      </c>
      <c r="L465" s="14" t="n">
        <v>0.87938</v>
      </c>
      <c r="M465" s="14" t="n">
        <v>7.8599</v>
      </c>
      <c r="N465" s="14" t="n">
        <v>3.7128</v>
      </c>
      <c r="O465" s="14" t="n">
        <v>133.19</v>
      </c>
      <c r="P465" s="14" t="n">
        <v>7.8137</v>
      </c>
    </row>
    <row r="466" customFormat="false" ht="15" hidden="false" customHeight="false" outlineLevel="0" collapsed="false">
      <c r="A466" s="13" t="n">
        <v>43004</v>
      </c>
      <c r="B466" s="14" t="n">
        <v>1136.29</v>
      </c>
      <c r="C466" s="14" t="n">
        <v>7.9091</v>
      </c>
      <c r="D466" s="14" t="n">
        <v>1.3422</v>
      </c>
      <c r="E466" s="14" t="n">
        <v>1.1772</v>
      </c>
      <c r="F466" s="14" t="n">
        <v>6.6371</v>
      </c>
      <c r="G466" s="14" t="n">
        <v>3.1703</v>
      </c>
      <c r="H466" s="14" t="n">
        <v>112.16</v>
      </c>
      <c r="I466" s="14" t="n">
        <v>1.1787</v>
      </c>
      <c r="J466" s="14" t="n">
        <v>9.2843</v>
      </c>
      <c r="K466" s="14" t="n">
        <v>1341.55</v>
      </c>
      <c r="L466" s="14" t="n">
        <v>0.87775</v>
      </c>
      <c r="M466" s="14" t="n">
        <v>7.8189</v>
      </c>
      <c r="N466" s="14" t="n">
        <v>3.7299</v>
      </c>
      <c r="O466" s="14" t="n">
        <v>131.99</v>
      </c>
      <c r="P466" s="14" t="n">
        <v>7.8767</v>
      </c>
    </row>
    <row r="467" customFormat="false" ht="15" hidden="false" customHeight="false" outlineLevel="0" collapsed="false">
      <c r="A467" s="13" t="n">
        <v>43005</v>
      </c>
      <c r="B467" s="14" t="n">
        <v>1141.62</v>
      </c>
      <c r="C467" s="14" t="n">
        <v>7.9495</v>
      </c>
      <c r="D467" s="14" t="n">
        <v>1.3401</v>
      </c>
      <c r="E467" s="14" t="n">
        <v>1.1747</v>
      </c>
      <c r="F467" s="14" t="n">
        <v>6.64</v>
      </c>
      <c r="G467" s="14" t="n">
        <v>3.1915</v>
      </c>
      <c r="H467" s="14" t="n">
        <v>112.76</v>
      </c>
      <c r="I467" s="14" t="n">
        <v>1.1741</v>
      </c>
      <c r="J467" s="14" t="n">
        <v>9.3355</v>
      </c>
      <c r="K467" s="14" t="n">
        <v>1341.1</v>
      </c>
      <c r="L467" s="14" t="n">
        <v>0.87565</v>
      </c>
      <c r="M467" s="14" t="n">
        <v>7.7984</v>
      </c>
      <c r="N467" s="14" t="n">
        <v>3.7357</v>
      </c>
      <c r="O467" s="14" t="n">
        <v>132.6</v>
      </c>
      <c r="P467" s="14" t="n">
        <v>7.9512</v>
      </c>
    </row>
    <row r="468" customFormat="false" ht="15" hidden="false" customHeight="false" outlineLevel="0" collapsed="false">
      <c r="A468" s="13" t="n">
        <v>43006</v>
      </c>
      <c r="B468" s="14" t="n">
        <v>1145.08</v>
      </c>
      <c r="C468" s="14" t="n">
        <v>7.953</v>
      </c>
      <c r="D468" s="14" t="n">
        <v>1.3435</v>
      </c>
      <c r="E468" s="14" t="n">
        <v>1.1776</v>
      </c>
      <c r="F468" s="14" t="n">
        <v>6.6591</v>
      </c>
      <c r="G468" s="14" t="n">
        <v>3.1865</v>
      </c>
      <c r="H468" s="14" t="n">
        <v>112.66</v>
      </c>
      <c r="I468" s="14" t="n">
        <v>1.1778</v>
      </c>
      <c r="J468" s="14" t="n">
        <v>9.3575</v>
      </c>
      <c r="K468" s="14" t="n">
        <v>1350.15</v>
      </c>
      <c r="L468" s="14" t="n">
        <v>0.87635</v>
      </c>
      <c r="M468" s="14" t="n">
        <v>7.8436</v>
      </c>
      <c r="N468" s="14" t="n">
        <v>3.7484</v>
      </c>
      <c r="O468" s="14" t="n">
        <v>132.56</v>
      </c>
      <c r="P468" s="14" t="n">
        <v>7.9449</v>
      </c>
    </row>
    <row r="469" customFormat="false" ht="15" hidden="false" customHeight="false" outlineLevel="0" collapsed="false">
      <c r="A469" s="13" t="n">
        <v>43007</v>
      </c>
      <c r="B469" s="14" t="n">
        <v>1142.57</v>
      </c>
      <c r="C469" s="14" t="n">
        <v>7.9629</v>
      </c>
      <c r="D469" s="14" t="n">
        <v>1.3402</v>
      </c>
      <c r="E469" s="14" t="n">
        <v>1.1813</v>
      </c>
      <c r="F469" s="14" t="n">
        <v>6.6533</v>
      </c>
      <c r="G469" s="14" t="n">
        <v>3.164</v>
      </c>
      <c r="H469" s="14" t="n">
        <v>112.64</v>
      </c>
      <c r="I469" s="14" t="n">
        <v>1.1806</v>
      </c>
      <c r="J469" s="14" t="n">
        <v>9.4125</v>
      </c>
      <c r="K469" s="14" t="n">
        <v>1351.83</v>
      </c>
      <c r="L469" s="14" t="n">
        <v>0.88178</v>
      </c>
      <c r="M469" s="14" t="n">
        <v>7.8534</v>
      </c>
      <c r="N469" s="14" t="n">
        <v>3.7635</v>
      </c>
      <c r="O469" s="14" t="n">
        <v>132.82</v>
      </c>
      <c r="P469" s="14" t="n">
        <v>7.9726</v>
      </c>
    </row>
    <row r="470" customFormat="false" ht="15" hidden="false" customHeight="false" outlineLevel="0" collapsed="false">
      <c r="A470" s="13" t="n">
        <v>43010</v>
      </c>
      <c r="B470" s="14" t="n">
        <v>1146.18</v>
      </c>
      <c r="C470" s="14" t="n">
        <v>7.999</v>
      </c>
      <c r="D470" s="14" t="n">
        <v>1.3268</v>
      </c>
      <c r="E470" s="14" t="n">
        <v>1.1745</v>
      </c>
      <c r="F470" s="14" t="n">
        <v>6.6533</v>
      </c>
      <c r="G470" s="14" t="n">
        <v>3.1585</v>
      </c>
      <c r="H470" s="14" t="n">
        <v>112.6</v>
      </c>
      <c r="I470" s="14" t="n">
        <v>1.1744</v>
      </c>
      <c r="J470" s="14" t="n">
        <v>9.377</v>
      </c>
      <c r="K470" s="14" t="n">
        <v>1345.92</v>
      </c>
      <c r="L470" s="14" t="n">
        <v>0.88418</v>
      </c>
      <c r="M470" s="14" t="n">
        <v>7.8138</v>
      </c>
      <c r="N470" s="14" t="n">
        <v>3.7274</v>
      </c>
      <c r="O470" s="14" t="n">
        <v>132.5</v>
      </c>
      <c r="P470" s="14" t="n">
        <v>7.9845</v>
      </c>
    </row>
    <row r="471" customFormat="false" ht="15" hidden="false" customHeight="false" outlineLevel="0" collapsed="false">
      <c r="A471" s="13" t="n">
        <v>43011</v>
      </c>
      <c r="B471" s="14" t="n">
        <v>1140.5</v>
      </c>
      <c r="C471" s="14" t="n">
        <v>7.9695</v>
      </c>
      <c r="D471" s="14" t="n">
        <v>1.3251</v>
      </c>
      <c r="E471" s="14" t="n">
        <v>1.1759</v>
      </c>
      <c r="F471" s="14" t="n">
        <v>6.6533</v>
      </c>
      <c r="G471" s="14" t="n">
        <v>3.1428</v>
      </c>
      <c r="H471" s="14" t="n">
        <v>112.8</v>
      </c>
      <c r="I471" s="14" t="n">
        <v>1.1753</v>
      </c>
      <c r="J471" s="14" t="n">
        <v>9.3885</v>
      </c>
      <c r="K471" s="14" t="n">
        <v>1344.94</v>
      </c>
      <c r="L471" s="14" t="n">
        <v>0.88793</v>
      </c>
      <c r="M471" s="14" t="n">
        <v>7.8073</v>
      </c>
      <c r="N471" s="14" t="n">
        <v>3.7093</v>
      </c>
      <c r="O471" s="14" t="n">
        <v>132.77</v>
      </c>
      <c r="P471" s="14" t="n">
        <v>7.9882</v>
      </c>
    </row>
    <row r="472" customFormat="false" ht="15" hidden="false" customHeight="false" outlineLevel="0" collapsed="false">
      <c r="A472" s="13" t="n">
        <v>43012</v>
      </c>
      <c r="B472" s="14" t="n">
        <v>1140.44</v>
      </c>
      <c r="C472" s="14" t="n">
        <v>7.9419</v>
      </c>
      <c r="D472" s="14" t="n">
        <v>1.3268</v>
      </c>
      <c r="E472" s="14" t="n">
        <v>1.176</v>
      </c>
      <c r="F472" s="14" t="n">
        <v>6.6533</v>
      </c>
      <c r="G472" s="14" t="n">
        <v>3.1237</v>
      </c>
      <c r="H472" s="14" t="n">
        <v>112.84</v>
      </c>
      <c r="I472" s="14" t="n">
        <v>1.1787</v>
      </c>
      <c r="J472" s="14" t="n">
        <v>9.3533</v>
      </c>
      <c r="K472" s="14" t="n">
        <v>1342.67</v>
      </c>
      <c r="L472" s="14" t="n">
        <v>0.88768</v>
      </c>
      <c r="M472" s="14" t="n">
        <v>7.8163</v>
      </c>
      <c r="N472" s="14" t="n">
        <v>3.6929</v>
      </c>
      <c r="O472" s="14" t="n">
        <v>132.47</v>
      </c>
      <c r="P472" s="14" t="n">
        <v>7.9353</v>
      </c>
    </row>
    <row r="473" customFormat="false" ht="15" hidden="false" customHeight="false" outlineLevel="0" collapsed="false">
      <c r="A473" s="13" t="n">
        <v>43013</v>
      </c>
      <c r="B473" s="14" t="n">
        <v>1139.03</v>
      </c>
      <c r="C473" s="14" t="n">
        <v>7.9948</v>
      </c>
      <c r="D473" s="14" t="n">
        <v>1.3132</v>
      </c>
      <c r="E473" s="14" t="n">
        <v>1.1706</v>
      </c>
      <c r="F473" s="14" t="n">
        <v>6.6533</v>
      </c>
      <c r="G473" s="14" t="n">
        <v>3.1359</v>
      </c>
      <c r="H473" s="14" t="n">
        <v>112.74</v>
      </c>
      <c r="I473" s="14" t="n">
        <v>1.1742</v>
      </c>
      <c r="J473" s="14" t="n">
        <v>9.35</v>
      </c>
      <c r="K473" s="14" t="n">
        <v>1337.65</v>
      </c>
      <c r="L473" s="14" t="n">
        <v>0.89153</v>
      </c>
      <c r="M473" s="14" t="n">
        <v>7.8108</v>
      </c>
      <c r="N473" s="14" t="n">
        <v>3.6772</v>
      </c>
      <c r="O473" s="14" t="n">
        <v>132.05</v>
      </c>
      <c r="P473" s="14" t="n">
        <v>7.9629</v>
      </c>
    </row>
    <row r="474" customFormat="false" ht="15" hidden="false" customHeight="false" outlineLevel="0" collapsed="false">
      <c r="A474" s="13" t="n">
        <v>43014</v>
      </c>
      <c r="B474" s="14" t="n">
        <v>1143.46</v>
      </c>
      <c r="C474" s="14" t="n">
        <v>8.0051</v>
      </c>
      <c r="D474" s="14" t="n">
        <v>1.3063</v>
      </c>
      <c r="E474" s="14" t="n">
        <v>1.1732</v>
      </c>
      <c r="F474" s="14" t="n">
        <v>6.6533</v>
      </c>
      <c r="G474" s="14" t="n">
        <v>3.1566</v>
      </c>
      <c r="H474" s="14" t="n">
        <v>112.68</v>
      </c>
      <c r="I474" s="14" t="n">
        <v>1.1707</v>
      </c>
      <c r="J474" s="14" t="n">
        <v>9.372</v>
      </c>
      <c r="K474" s="14" t="n">
        <v>1337.12</v>
      </c>
      <c r="L474" s="14" t="n">
        <v>0.89535</v>
      </c>
      <c r="M474" s="14" t="n">
        <v>7.7891</v>
      </c>
      <c r="N474" s="14" t="n">
        <v>3.7</v>
      </c>
      <c r="O474" s="14" t="n">
        <v>132.23</v>
      </c>
      <c r="P474" s="14" t="n">
        <v>8.0055</v>
      </c>
    </row>
    <row r="475" customFormat="false" ht="15" hidden="false" customHeight="false" outlineLevel="0" collapsed="false">
      <c r="A475" s="13" t="n">
        <v>43017</v>
      </c>
      <c r="I475" s="14" t="n">
        <v>1.1746</v>
      </c>
      <c r="J475" s="14" t="n">
        <v>9.3788</v>
      </c>
      <c r="K475" s="14" t="n">
        <v>1343.11</v>
      </c>
      <c r="L475" s="14" t="n">
        <v>0.89195</v>
      </c>
      <c r="M475" s="14" t="n">
        <v>7.7788</v>
      </c>
      <c r="N475" s="14" t="n">
        <v>3.7168</v>
      </c>
      <c r="O475" s="14" t="n">
        <v>132.36</v>
      </c>
      <c r="P475" s="14" t="n">
        <v>7.9847</v>
      </c>
    </row>
    <row r="476" customFormat="false" ht="15" hidden="false" customHeight="false" outlineLevel="0" collapsed="false">
      <c r="A476" s="13" t="n">
        <v>43018</v>
      </c>
      <c r="B476" s="14" t="n">
        <v>1132.08</v>
      </c>
      <c r="C476" s="14" t="n">
        <v>7.939</v>
      </c>
      <c r="D476" s="14" t="n">
        <v>1.3215</v>
      </c>
      <c r="E476" s="14" t="n">
        <v>1.1804</v>
      </c>
      <c r="F476" s="14" t="n">
        <v>6.5712</v>
      </c>
      <c r="G476" s="14" t="n">
        <v>3.1747</v>
      </c>
      <c r="H476" s="14" t="n">
        <v>112.15</v>
      </c>
      <c r="I476" s="14" t="n">
        <v>1.1797</v>
      </c>
      <c r="J476" s="14" t="n">
        <v>9.3745</v>
      </c>
      <c r="K476" s="14" t="n">
        <v>1336.25</v>
      </c>
      <c r="L476" s="14" t="n">
        <v>0.8941</v>
      </c>
      <c r="M476" s="14" t="n">
        <v>7.7609</v>
      </c>
      <c r="N476" s="14" t="n">
        <v>3.7378</v>
      </c>
      <c r="O476" s="14" t="n">
        <v>132.55</v>
      </c>
      <c r="P476" s="14" t="n">
        <v>7.9465</v>
      </c>
    </row>
    <row r="477" customFormat="false" ht="15" hidden="false" customHeight="false" outlineLevel="0" collapsed="false">
      <c r="A477" s="13" t="n">
        <v>43019</v>
      </c>
      <c r="B477" s="14" t="n">
        <v>1131.04</v>
      </c>
      <c r="C477" s="14" t="n">
        <v>7.9212</v>
      </c>
      <c r="D477" s="14" t="n">
        <v>1.321</v>
      </c>
      <c r="E477" s="14" t="n">
        <v>1.1847</v>
      </c>
      <c r="F477" s="14" t="n">
        <v>6.587</v>
      </c>
      <c r="G477" s="14" t="n">
        <v>3.1649</v>
      </c>
      <c r="H477" s="14" t="n">
        <v>112.35</v>
      </c>
      <c r="I477" s="14" t="n">
        <v>1.183</v>
      </c>
      <c r="J477" s="14" t="n">
        <v>9.379</v>
      </c>
      <c r="K477" s="14" t="n">
        <v>1339.1</v>
      </c>
      <c r="L477" s="14" t="n">
        <v>0.8971</v>
      </c>
      <c r="M477" s="14" t="n">
        <v>7.7989</v>
      </c>
      <c r="N477" s="14" t="n">
        <v>3.7515</v>
      </c>
      <c r="O477" s="14" t="n">
        <v>132.72</v>
      </c>
      <c r="P477" s="14" t="n">
        <v>7.9281</v>
      </c>
    </row>
    <row r="478" customFormat="false" ht="15" hidden="false" customHeight="false" outlineLevel="0" collapsed="false">
      <c r="A478" s="13" t="n">
        <v>43020</v>
      </c>
      <c r="B478" s="14" t="n">
        <v>1129.71</v>
      </c>
      <c r="C478" s="14" t="n">
        <v>7.8928</v>
      </c>
      <c r="D478" s="14" t="n">
        <v>1.3174</v>
      </c>
      <c r="E478" s="14" t="n">
        <v>1.184</v>
      </c>
      <c r="F478" s="14" t="n">
        <v>6.5855</v>
      </c>
      <c r="G478" s="14" t="n">
        <v>3.1699</v>
      </c>
      <c r="H478" s="14" t="n">
        <v>112.38</v>
      </c>
      <c r="I478" s="14" t="n">
        <v>1.1856</v>
      </c>
      <c r="J478" s="14" t="n">
        <v>9.3601</v>
      </c>
      <c r="K478" s="14" t="n">
        <v>1341.86</v>
      </c>
      <c r="L478" s="14" t="n">
        <v>0.90235</v>
      </c>
      <c r="M478" s="14" t="n">
        <v>7.8111</v>
      </c>
      <c r="N478" s="14" t="n">
        <v>3.7654</v>
      </c>
      <c r="O478" s="14" t="n">
        <v>133.12</v>
      </c>
      <c r="P478" s="14" t="n">
        <v>7.8948</v>
      </c>
    </row>
    <row r="479" customFormat="false" ht="15" hidden="false" customHeight="false" outlineLevel="0" collapsed="false">
      <c r="A479" s="13" t="n">
        <v>43021</v>
      </c>
      <c r="B479" s="14" t="n">
        <v>1125.01</v>
      </c>
      <c r="C479" s="14" t="n">
        <v>7.8789</v>
      </c>
      <c r="D479" s="14" t="n">
        <v>1.3304</v>
      </c>
      <c r="E479" s="14" t="n">
        <v>1.1837</v>
      </c>
      <c r="F479" s="14" t="n">
        <v>6.5785</v>
      </c>
      <c r="G479" s="14" t="n">
        <v>3.1542</v>
      </c>
      <c r="H479" s="14" t="n">
        <v>111.94</v>
      </c>
      <c r="I479" s="14" t="n">
        <v>1.181</v>
      </c>
      <c r="J479" s="14" t="n">
        <v>9.339</v>
      </c>
      <c r="K479" s="14" t="n">
        <v>1333.88</v>
      </c>
      <c r="L479" s="14" t="n">
        <v>0.8898</v>
      </c>
      <c r="M479" s="14" t="n">
        <v>7.7831</v>
      </c>
      <c r="N479" s="14" t="n">
        <v>3.7517</v>
      </c>
      <c r="O479" s="14" t="n">
        <v>132.49</v>
      </c>
      <c r="P479" s="14" t="n">
        <v>7.9077</v>
      </c>
    </row>
    <row r="480" customFormat="false" ht="15" hidden="false" customHeight="false" outlineLevel="0" collapsed="false">
      <c r="A480" s="13" t="n">
        <v>43024</v>
      </c>
      <c r="B480" s="14" t="n">
        <v>1127.72</v>
      </c>
      <c r="C480" s="14" t="n">
        <v>7.8818</v>
      </c>
      <c r="D480" s="14" t="n">
        <v>1.3285</v>
      </c>
      <c r="E480" s="14" t="n">
        <v>1.181</v>
      </c>
      <c r="F480" s="14" t="n">
        <v>6.5885</v>
      </c>
      <c r="G480" s="14" t="n">
        <v>3.1642</v>
      </c>
      <c r="H480" s="14" t="n">
        <v>111.72</v>
      </c>
      <c r="I480" s="14" t="n">
        <v>1.1803</v>
      </c>
      <c r="J480" s="14" t="n">
        <v>9.3133</v>
      </c>
      <c r="K480" s="14" t="n">
        <v>1330.09</v>
      </c>
      <c r="L480" s="14" t="n">
        <v>0.88753</v>
      </c>
      <c r="M480" s="14" t="n">
        <v>7.7782</v>
      </c>
      <c r="N480" s="14" t="n">
        <v>3.7304</v>
      </c>
      <c r="O480" s="14" t="n">
        <v>131.99</v>
      </c>
      <c r="P480" s="14" t="n">
        <v>7.8906</v>
      </c>
    </row>
    <row r="481" customFormat="false" ht="15" hidden="false" customHeight="false" outlineLevel="0" collapsed="false">
      <c r="A481" s="13" t="n">
        <v>43025</v>
      </c>
      <c r="B481" s="14" t="n">
        <v>1129.86</v>
      </c>
      <c r="C481" s="14" t="n">
        <v>7.9507</v>
      </c>
      <c r="D481" s="14" t="n">
        <v>1.3182</v>
      </c>
      <c r="E481" s="14" t="n">
        <v>1.1754</v>
      </c>
      <c r="F481" s="14" t="n">
        <v>6.622</v>
      </c>
      <c r="G481" s="14" t="n">
        <v>3.1803</v>
      </c>
      <c r="H481" s="14" t="n">
        <v>112.32</v>
      </c>
      <c r="I481" s="14" t="n">
        <v>1.1759</v>
      </c>
      <c r="J481" s="14" t="n">
        <v>9.326</v>
      </c>
      <c r="K481" s="14" t="n">
        <v>1328.14</v>
      </c>
      <c r="L481" s="14" t="n">
        <v>0.89148</v>
      </c>
      <c r="M481" s="14" t="n">
        <v>7.7846</v>
      </c>
      <c r="N481" s="14" t="n">
        <v>3.7358</v>
      </c>
      <c r="O481" s="14" t="n">
        <v>131.94</v>
      </c>
      <c r="P481" s="14" t="n">
        <v>7.9309</v>
      </c>
    </row>
    <row r="482" customFormat="false" ht="15" hidden="false" customHeight="false" outlineLevel="0" collapsed="false">
      <c r="A482" s="13" t="n">
        <v>43026</v>
      </c>
      <c r="B482" s="14" t="n">
        <v>1130.94</v>
      </c>
      <c r="C482" s="14" t="n">
        <v>7.9675</v>
      </c>
      <c r="D482" s="14" t="n">
        <v>1.3183</v>
      </c>
      <c r="E482" s="14" t="n">
        <v>1.1775</v>
      </c>
      <c r="F482" s="14" t="n">
        <v>6.625</v>
      </c>
      <c r="G482" s="14" t="n">
        <v>3.1777</v>
      </c>
      <c r="H482" s="14" t="n">
        <v>112.94</v>
      </c>
      <c r="I482" s="14" t="n">
        <v>1.1749</v>
      </c>
      <c r="J482" s="14" t="n">
        <v>9.3575</v>
      </c>
      <c r="K482" s="14" t="n">
        <v>1329.28</v>
      </c>
      <c r="L482" s="14" t="n">
        <v>0.89283</v>
      </c>
      <c r="M482" s="14" t="n">
        <v>7.7867</v>
      </c>
      <c r="N482" s="14" t="n">
        <v>3.7199</v>
      </c>
      <c r="O482" s="14" t="n">
        <v>132.62</v>
      </c>
      <c r="P482" s="14" t="n">
        <v>7.9645</v>
      </c>
    </row>
    <row r="483" customFormat="false" ht="15" hidden="false" customHeight="false" outlineLevel="0" collapsed="false">
      <c r="A483" s="13" t="n">
        <v>43027</v>
      </c>
      <c r="B483" s="14" t="n">
        <v>1129.06</v>
      </c>
      <c r="C483" s="14" t="n">
        <v>7.9498</v>
      </c>
      <c r="D483" s="14" t="n">
        <v>1.3181</v>
      </c>
      <c r="E483" s="14" t="n">
        <v>1.1842</v>
      </c>
      <c r="F483" s="14" t="n">
        <v>6.6126</v>
      </c>
      <c r="G483" s="14" t="n">
        <v>3.1753</v>
      </c>
      <c r="H483" s="14" t="n">
        <v>112.54</v>
      </c>
      <c r="I483" s="14" t="n">
        <v>1.1834</v>
      </c>
      <c r="J483" s="14" t="n">
        <v>9.419</v>
      </c>
      <c r="K483" s="14" t="n">
        <v>1339.16</v>
      </c>
      <c r="L483" s="14" t="n">
        <v>0.89815</v>
      </c>
      <c r="M483" s="14" t="n">
        <v>7.831</v>
      </c>
      <c r="N483" s="14" t="n">
        <v>3.7561</v>
      </c>
      <c r="O483" s="14" t="n">
        <v>133.18</v>
      </c>
      <c r="P483" s="14" t="n">
        <v>7.9593</v>
      </c>
    </row>
    <row r="484" customFormat="false" ht="15" hidden="false" customHeight="false" outlineLevel="0" collapsed="false">
      <c r="A484" s="13" t="n">
        <v>43028</v>
      </c>
      <c r="B484" s="14" t="n">
        <v>1130.69</v>
      </c>
      <c r="C484" s="14" t="n">
        <v>7.9941</v>
      </c>
      <c r="D484" s="14" t="n">
        <v>1.3179</v>
      </c>
      <c r="E484" s="14" t="n">
        <v>1.177</v>
      </c>
      <c r="F484" s="14" t="n">
        <v>6.6185</v>
      </c>
      <c r="G484" s="14" t="n">
        <v>3.1875</v>
      </c>
      <c r="H484" s="14" t="n">
        <v>113.5</v>
      </c>
      <c r="I484" s="14" t="n">
        <v>1.1818</v>
      </c>
      <c r="J484" s="14" t="n">
        <v>9.4145</v>
      </c>
      <c r="K484" s="14" t="n">
        <v>1336.07</v>
      </c>
      <c r="L484" s="14" t="n">
        <v>0.89623</v>
      </c>
      <c r="M484" s="14" t="n">
        <v>7.8217</v>
      </c>
      <c r="N484" s="14" t="n">
        <v>3.7519</v>
      </c>
      <c r="O484" s="14" t="n">
        <v>133.75</v>
      </c>
      <c r="P484" s="14" t="n">
        <v>7.9662</v>
      </c>
    </row>
    <row r="485" customFormat="false" ht="15" hidden="false" customHeight="false" outlineLevel="0" collapsed="false">
      <c r="A485" s="13" t="n">
        <v>43031</v>
      </c>
      <c r="B485" s="14" t="n">
        <v>1129.73</v>
      </c>
      <c r="C485" s="14" t="n">
        <v>7.9849</v>
      </c>
      <c r="D485" s="14" t="n">
        <v>1.3201</v>
      </c>
      <c r="E485" s="14" t="n">
        <v>1.1762</v>
      </c>
      <c r="F485" s="14" t="n">
        <v>6.638</v>
      </c>
      <c r="G485" s="14" t="n">
        <v>3.2122</v>
      </c>
      <c r="H485" s="14" t="n">
        <v>113.66</v>
      </c>
      <c r="I485" s="14" t="n">
        <v>1.174</v>
      </c>
      <c r="J485" s="14" t="n">
        <v>9.3883</v>
      </c>
      <c r="K485" s="14" t="n">
        <v>1326.4</v>
      </c>
      <c r="L485" s="14" t="n">
        <v>0.8909</v>
      </c>
      <c r="M485" s="14" t="n">
        <v>7.7957</v>
      </c>
      <c r="N485" s="14" t="n">
        <v>3.7493</v>
      </c>
      <c r="O485" s="14" t="n">
        <v>133.59</v>
      </c>
      <c r="P485" s="14" t="n">
        <v>7.9968</v>
      </c>
    </row>
    <row r="486" customFormat="false" ht="15" hidden="false" customHeight="false" outlineLevel="0" collapsed="false">
      <c r="A486" s="13" t="n">
        <v>43032</v>
      </c>
      <c r="B486" s="14" t="n">
        <v>1128.36</v>
      </c>
      <c r="C486" s="14" t="n">
        <v>7.9927</v>
      </c>
      <c r="D486" s="14" t="n">
        <v>1.3124</v>
      </c>
      <c r="E486" s="14" t="n">
        <v>1.1766</v>
      </c>
      <c r="F486" s="14" t="n">
        <v>6.6335</v>
      </c>
      <c r="G486" s="14" t="n">
        <v>3.2508</v>
      </c>
      <c r="H486" s="14" t="n">
        <v>113.92</v>
      </c>
      <c r="I486" s="14" t="n">
        <v>1.1761</v>
      </c>
      <c r="J486" s="14" t="n">
        <v>9.3883</v>
      </c>
      <c r="K486" s="14" t="n">
        <v>1327.81</v>
      </c>
      <c r="L486" s="14" t="n">
        <v>0.89303</v>
      </c>
      <c r="M486" s="14" t="n">
        <v>7.8022</v>
      </c>
      <c r="N486" s="14" t="n">
        <v>3.8022</v>
      </c>
      <c r="O486" s="14" t="n">
        <v>133.95</v>
      </c>
      <c r="P486" s="14" t="n">
        <v>7.9826</v>
      </c>
    </row>
    <row r="487" customFormat="false" ht="15" hidden="false" customHeight="false" outlineLevel="0" collapsed="false">
      <c r="A487" s="13" t="n">
        <v>43033</v>
      </c>
      <c r="B487" s="14" t="n">
        <v>1126.49</v>
      </c>
      <c r="C487" s="14" t="n">
        <v>8.0304</v>
      </c>
      <c r="D487" s="14" t="n">
        <v>1.3252</v>
      </c>
      <c r="E487" s="14" t="n">
        <v>1.1802</v>
      </c>
      <c r="F487" s="14" t="n">
        <v>6.635</v>
      </c>
      <c r="G487" s="14" t="n">
        <v>3.2519</v>
      </c>
      <c r="H487" s="14" t="n">
        <v>113.7</v>
      </c>
      <c r="I487" s="14" t="n">
        <v>1.1785</v>
      </c>
      <c r="J487" s="14" t="n">
        <v>9.4383</v>
      </c>
      <c r="K487" s="14" t="n">
        <v>1325.38</v>
      </c>
      <c r="L487" s="14" t="n">
        <v>0.88883</v>
      </c>
      <c r="M487" s="14" t="n">
        <v>7.8317</v>
      </c>
      <c r="N487" s="14" t="n">
        <v>3.8134</v>
      </c>
      <c r="O487" s="14" t="n">
        <v>134.41</v>
      </c>
      <c r="P487" s="14" t="n">
        <v>8.0087</v>
      </c>
    </row>
    <row r="488" customFormat="false" ht="15" hidden="false" customHeight="false" outlineLevel="0" collapsed="false">
      <c r="A488" s="13" t="n">
        <v>43034</v>
      </c>
      <c r="B488" s="14" t="n">
        <v>1123</v>
      </c>
      <c r="C488" s="14" t="n">
        <v>8.1356</v>
      </c>
      <c r="D488" s="14" t="n">
        <v>1.3181</v>
      </c>
      <c r="E488" s="14" t="n">
        <v>1.17</v>
      </c>
      <c r="F488" s="14" t="n">
        <v>6.6392</v>
      </c>
      <c r="G488" s="14" t="n">
        <v>3.253</v>
      </c>
      <c r="H488" s="14" t="n">
        <v>113.72</v>
      </c>
      <c r="I488" s="14" t="n">
        <v>1.1753</v>
      </c>
      <c r="J488" s="14" t="n">
        <v>9.4865</v>
      </c>
      <c r="K488" s="14" t="n">
        <v>1320.41</v>
      </c>
      <c r="L488" s="14" t="n">
        <v>0.8901</v>
      </c>
      <c r="M488" s="14" t="n">
        <v>7.8003</v>
      </c>
      <c r="N488" s="14" t="n">
        <v>3.803</v>
      </c>
      <c r="O488" s="14" t="n">
        <v>133.75</v>
      </c>
      <c r="P488" s="14" t="n">
        <v>8.0716</v>
      </c>
    </row>
    <row r="489" customFormat="false" ht="15" hidden="false" customHeight="false" outlineLevel="0" collapsed="false">
      <c r="A489" s="13" t="n">
        <v>43035</v>
      </c>
      <c r="B489" s="14" t="n">
        <v>1124.79</v>
      </c>
      <c r="C489" s="14" t="n">
        <v>8.1811</v>
      </c>
      <c r="D489" s="14" t="n">
        <v>1.3108</v>
      </c>
      <c r="E489" s="14" t="n">
        <v>1.158</v>
      </c>
      <c r="F489" s="14" t="n">
        <v>6.6498</v>
      </c>
      <c r="G489" s="14" t="n">
        <v>3.2731</v>
      </c>
      <c r="H489" s="14" t="n">
        <v>113.82</v>
      </c>
      <c r="I489" s="14" t="n">
        <v>1.1605</v>
      </c>
      <c r="J489" s="14" t="n">
        <v>9.5348</v>
      </c>
      <c r="K489" s="14" t="n">
        <v>1309.39</v>
      </c>
      <c r="L489" s="14" t="n">
        <v>0.88633</v>
      </c>
      <c r="M489" s="14" t="n">
        <v>7.7225</v>
      </c>
      <c r="N489" s="14" t="n">
        <v>3.8292</v>
      </c>
      <c r="O489" s="14" t="n">
        <v>132.52</v>
      </c>
      <c r="P489" s="14" t="n">
        <v>8.2161</v>
      </c>
    </row>
    <row r="490" customFormat="false" ht="15" hidden="false" customHeight="false" outlineLevel="0" collapsed="false">
      <c r="A490" s="13" t="n">
        <v>43038</v>
      </c>
      <c r="B490" s="14" t="n">
        <v>1124.79</v>
      </c>
      <c r="C490" s="14" t="n">
        <v>8.1623</v>
      </c>
      <c r="D490" s="14" t="n">
        <v>1.3195</v>
      </c>
      <c r="E490" s="14" t="n">
        <v>1.1626</v>
      </c>
      <c r="F490" s="14" t="n">
        <v>6.6498</v>
      </c>
      <c r="G490" s="14" t="n">
        <v>3.2599</v>
      </c>
      <c r="H490" s="14" t="n">
        <v>113.26</v>
      </c>
      <c r="I490" s="14" t="n">
        <v>1.1612</v>
      </c>
      <c r="J490" s="14" t="n">
        <v>9.484</v>
      </c>
      <c r="K490" s="14" t="n">
        <v>1306.01</v>
      </c>
      <c r="L490" s="14" t="n">
        <v>0.8798</v>
      </c>
      <c r="M490" s="14" t="n">
        <v>7.7165</v>
      </c>
      <c r="N490" s="14" t="n">
        <v>3.779</v>
      </c>
      <c r="O490" s="14" t="n">
        <v>131.83</v>
      </c>
      <c r="P490" s="14" t="n">
        <v>8.1674</v>
      </c>
    </row>
    <row r="491" customFormat="false" ht="15" hidden="false" customHeight="false" outlineLevel="0" collapsed="false">
      <c r="A491" s="13" t="n">
        <v>43039</v>
      </c>
      <c r="B491" s="14" t="n">
        <v>1115.68</v>
      </c>
      <c r="C491" s="14" t="n">
        <v>8.1634</v>
      </c>
      <c r="D491" s="14" t="n">
        <v>1.3281</v>
      </c>
      <c r="E491" s="14" t="n">
        <v>1.1648</v>
      </c>
      <c r="F491" s="14" t="n">
        <v>6.6328</v>
      </c>
      <c r="G491" s="14" t="n">
        <v>3.2705</v>
      </c>
      <c r="H491" s="14" t="n">
        <v>113.63</v>
      </c>
      <c r="I491" s="14" t="n">
        <v>1.1638</v>
      </c>
      <c r="J491" s="14" t="n">
        <v>9.5238</v>
      </c>
      <c r="K491" s="14" t="n">
        <v>1301.5</v>
      </c>
      <c r="L491" s="14" t="n">
        <v>0.87853</v>
      </c>
      <c r="M491" s="14" t="n">
        <v>7.7177</v>
      </c>
      <c r="N491" s="14" t="n">
        <v>3.8059</v>
      </c>
      <c r="O491" s="14" t="n">
        <v>132</v>
      </c>
      <c r="P491" s="14" t="n">
        <v>8.1834</v>
      </c>
    </row>
    <row r="492" customFormat="false" ht="15" hidden="false" customHeight="false" outlineLevel="0" collapsed="false">
      <c r="A492" s="13" t="n">
        <v>43040</v>
      </c>
      <c r="B492" s="14" t="n">
        <v>1110.03</v>
      </c>
      <c r="C492" s="14" t="n">
        <v>8.1596</v>
      </c>
      <c r="D492" s="14" t="n">
        <v>1.3257</v>
      </c>
      <c r="E492" s="14" t="n">
        <v>1.1618</v>
      </c>
      <c r="F492" s="14" t="n">
        <v>6.6018</v>
      </c>
      <c r="G492" s="14" t="n">
        <v>3.2697</v>
      </c>
      <c r="H492" s="14" t="n">
        <v>114.04</v>
      </c>
      <c r="I492" s="14" t="n">
        <v>1.1612</v>
      </c>
      <c r="J492" s="14" t="n">
        <v>9.461</v>
      </c>
      <c r="K492" s="14" t="n">
        <v>1291.51</v>
      </c>
      <c r="L492" s="14" t="n">
        <v>0.87385</v>
      </c>
      <c r="M492" s="14" t="n">
        <v>7.6767</v>
      </c>
      <c r="N492" s="14" t="n">
        <v>3.815</v>
      </c>
      <c r="O492" s="14" t="n">
        <v>132.6</v>
      </c>
      <c r="P492" s="14" t="n">
        <v>8.1476</v>
      </c>
    </row>
    <row r="493" customFormat="false" ht="15" hidden="false" customHeight="false" outlineLevel="0" collapsed="false">
      <c r="A493" s="13" t="n">
        <v>43041</v>
      </c>
      <c r="B493" s="14" t="n">
        <v>1111.54</v>
      </c>
      <c r="C493" s="14" t="n">
        <v>8.1392</v>
      </c>
      <c r="D493" s="14" t="n">
        <v>1.3068</v>
      </c>
      <c r="E493" s="14" t="n">
        <v>1.1672</v>
      </c>
      <c r="F493" s="14" t="n">
        <v>6.6068</v>
      </c>
      <c r="G493" s="14" t="n">
        <v>3.2671</v>
      </c>
      <c r="H493" s="14" t="n">
        <v>113.84</v>
      </c>
      <c r="I493" s="14" t="n">
        <v>1.1645</v>
      </c>
      <c r="J493" s="14" t="n">
        <v>9.4838</v>
      </c>
      <c r="K493" s="14" t="n">
        <v>1294.94</v>
      </c>
      <c r="L493" s="14" t="n">
        <v>0.8869</v>
      </c>
      <c r="M493" s="14" t="n">
        <v>7.7011</v>
      </c>
      <c r="N493" s="14" t="n">
        <v>3.8047</v>
      </c>
      <c r="O493" s="14" t="n">
        <v>132.9</v>
      </c>
      <c r="P493" s="14" t="n">
        <v>8.1441</v>
      </c>
    </row>
    <row r="494" customFormat="false" ht="15" hidden="false" customHeight="false" outlineLevel="0" collapsed="false">
      <c r="A494" s="13" t="n">
        <v>43042</v>
      </c>
      <c r="B494" s="14" t="n">
        <v>1114.86</v>
      </c>
      <c r="C494" s="14" t="n">
        <v>8.1796</v>
      </c>
      <c r="D494" s="14" t="n">
        <v>1.3067</v>
      </c>
      <c r="E494" s="14" t="n">
        <v>1.1616</v>
      </c>
      <c r="F494" s="14" t="n">
        <v>6.636</v>
      </c>
      <c r="G494" s="14" t="n">
        <v>3.3075</v>
      </c>
      <c r="H494" s="14" t="n">
        <v>114.25</v>
      </c>
      <c r="I494" s="14" t="n">
        <v>1.1657</v>
      </c>
      <c r="J494" s="14" t="n">
        <v>9.4843</v>
      </c>
      <c r="K494" s="14" t="n">
        <v>1298.74</v>
      </c>
      <c r="L494" s="14" t="n">
        <v>0.88923</v>
      </c>
      <c r="M494" s="14" t="n">
        <v>7.72</v>
      </c>
      <c r="N494" s="14" t="n">
        <v>3.8012</v>
      </c>
      <c r="O494" s="14" t="n">
        <v>132.82</v>
      </c>
      <c r="P494" s="14" t="n">
        <v>8.1361</v>
      </c>
    </row>
    <row r="495" customFormat="false" ht="15" hidden="false" customHeight="false" outlineLevel="0" collapsed="false">
      <c r="A495" s="13" t="n">
        <v>43045</v>
      </c>
      <c r="B495" s="14" t="n">
        <v>1110.09</v>
      </c>
      <c r="C495" s="14" t="n">
        <v>8.1482</v>
      </c>
      <c r="D495" s="14" t="n">
        <v>1.3145</v>
      </c>
      <c r="E495" s="14" t="n">
        <v>1.16</v>
      </c>
      <c r="F495" s="14" t="n">
        <v>6.6311</v>
      </c>
      <c r="G495" s="14" t="n">
        <v>3.2782</v>
      </c>
      <c r="H495" s="14" t="n">
        <v>113.9</v>
      </c>
      <c r="I495" s="14" t="n">
        <v>1.159</v>
      </c>
      <c r="J495" s="14" t="n">
        <v>9.438</v>
      </c>
      <c r="K495" s="14" t="n">
        <v>1288.85</v>
      </c>
      <c r="L495" s="14" t="n">
        <v>0.8839</v>
      </c>
      <c r="M495" s="14" t="n">
        <v>7.6889</v>
      </c>
      <c r="N495" s="14" t="n">
        <v>3.8174</v>
      </c>
      <c r="O495" s="14" t="n">
        <v>132.29</v>
      </c>
      <c r="P495" s="14" t="n">
        <v>8.1432</v>
      </c>
    </row>
    <row r="496" customFormat="false" ht="15" hidden="false" customHeight="false" outlineLevel="0" collapsed="false">
      <c r="A496" s="13" t="n">
        <v>43046</v>
      </c>
      <c r="B496" s="14" t="n">
        <v>1113.1</v>
      </c>
      <c r="C496" s="14" t="n">
        <v>8.182</v>
      </c>
      <c r="D496" s="14" t="n">
        <v>1.3152</v>
      </c>
      <c r="E496" s="14" t="n">
        <v>1.1577</v>
      </c>
      <c r="F496" s="14" t="n">
        <v>6.638</v>
      </c>
      <c r="G496" s="14" t="n">
        <v>3.2776</v>
      </c>
      <c r="H496" s="14" t="n">
        <v>113.9</v>
      </c>
      <c r="I496" s="14" t="n">
        <v>1.1562</v>
      </c>
      <c r="J496" s="14" t="n">
        <v>9.4543</v>
      </c>
      <c r="K496" s="14" t="n">
        <v>1285.17</v>
      </c>
      <c r="L496" s="14" t="n">
        <v>0.88038</v>
      </c>
      <c r="M496" s="14" t="n">
        <v>7.675</v>
      </c>
      <c r="N496" s="14" t="n">
        <v>3.7822</v>
      </c>
      <c r="O496" s="14" t="n">
        <v>132.03</v>
      </c>
      <c r="P496" s="14" t="n">
        <v>8.177</v>
      </c>
    </row>
    <row r="497" customFormat="false" ht="15" hidden="false" customHeight="false" outlineLevel="0" collapsed="false">
      <c r="A497" s="13" t="n">
        <v>43047</v>
      </c>
      <c r="B497" s="14" t="n">
        <v>1111.14</v>
      </c>
      <c r="C497" s="14" t="n">
        <v>8.167</v>
      </c>
      <c r="D497" s="14" t="n">
        <v>1.3108</v>
      </c>
      <c r="E497" s="14" t="n">
        <v>1.1591</v>
      </c>
      <c r="F497" s="14" t="n">
        <v>6.6249</v>
      </c>
      <c r="G497" s="14" t="n">
        <v>3.256</v>
      </c>
      <c r="H497" s="14" t="n">
        <v>113.62</v>
      </c>
      <c r="I497" s="14" t="n">
        <v>1.159</v>
      </c>
      <c r="J497" s="14" t="n">
        <v>9.473</v>
      </c>
      <c r="K497" s="14" t="n">
        <v>1290.33</v>
      </c>
      <c r="L497" s="14" t="n">
        <v>0.88405</v>
      </c>
      <c r="M497" s="14" t="n">
        <v>7.6838</v>
      </c>
      <c r="N497" s="14" t="n">
        <v>3.7662</v>
      </c>
      <c r="O497" s="14" t="n">
        <v>131.54</v>
      </c>
      <c r="P497" s="14" t="n">
        <v>8.1734</v>
      </c>
    </row>
    <row r="498" customFormat="false" ht="15" hidden="false" customHeight="false" outlineLevel="0" collapsed="false">
      <c r="A498" s="13" t="n">
        <v>43048</v>
      </c>
      <c r="B498" s="14" t="n">
        <v>1118.13</v>
      </c>
      <c r="C498" s="14" t="n">
        <v>8.129</v>
      </c>
      <c r="D498" s="14" t="n">
        <v>1.3133</v>
      </c>
      <c r="E498" s="14" t="n">
        <v>1.1648</v>
      </c>
      <c r="F498" s="14" t="n">
        <v>6.6378</v>
      </c>
      <c r="G498" s="14" t="n">
        <v>3.2513</v>
      </c>
      <c r="H498" s="14" t="n">
        <v>113.4</v>
      </c>
      <c r="I498" s="14" t="n">
        <v>1.163</v>
      </c>
      <c r="J498" s="14" t="n">
        <v>9.4535</v>
      </c>
      <c r="K498" s="14" t="n">
        <v>1299.91</v>
      </c>
      <c r="L498" s="14" t="n">
        <v>0.88633</v>
      </c>
      <c r="M498" s="14" t="n">
        <v>7.7193</v>
      </c>
      <c r="N498" s="14" t="n">
        <v>3.7762</v>
      </c>
      <c r="O498" s="14" t="n">
        <v>131.75</v>
      </c>
      <c r="P498" s="14" t="n">
        <v>8.1285</v>
      </c>
    </row>
    <row r="499" customFormat="false" ht="15" hidden="false" customHeight="false" outlineLevel="0" collapsed="false">
      <c r="A499" s="13" t="n">
        <v>43049</v>
      </c>
      <c r="I499" s="14" t="n">
        <v>1.1654</v>
      </c>
      <c r="J499" s="14" t="n">
        <v>9.456</v>
      </c>
      <c r="K499" s="14" t="n">
        <v>1304.46</v>
      </c>
      <c r="L499" s="14" t="n">
        <v>0.8837</v>
      </c>
      <c r="M499" s="14" t="n">
        <v>7.7412</v>
      </c>
      <c r="N499" s="14" t="n">
        <v>3.8084</v>
      </c>
      <c r="O499" s="14" t="n">
        <v>132.08</v>
      </c>
      <c r="P499" s="14" t="n">
        <v>8.114</v>
      </c>
    </row>
    <row r="500" customFormat="false" ht="15" hidden="false" customHeight="false" outlineLevel="0" collapsed="false">
      <c r="A500" s="13" t="n">
        <v>43052</v>
      </c>
      <c r="B500" s="14" t="n">
        <v>1119.96</v>
      </c>
      <c r="C500" s="14" t="n">
        <v>8.1774</v>
      </c>
      <c r="D500" s="14" t="n">
        <v>1.3101</v>
      </c>
      <c r="E500" s="14" t="n">
        <v>1.1656</v>
      </c>
      <c r="F500" s="14" t="n">
        <v>6.6385</v>
      </c>
      <c r="G500" s="14" t="n">
        <v>3.294</v>
      </c>
      <c r="H500" s="14" t="n">
        <v>113.62</v>
      </c>
      <c r="I500" s="14" t="n">
        <v>1.1656</v>
      </c>
      <c r="J500" s="14" t="n">
        <v>9.4913</v>
      </c>
      <c r="K500" s="14" t="n">
        <v>1305.01</v>
      </c>
      <c r="L500" s="14" t="n">
        <v>0.89018</v>
      </c>
      <c r="M500" s="14" t="n">
        <v>7.741</v>
      </c>
      <c r="N500" s="14" t="n">
        <v>3.8362</v>
      </c>
      <c r="O500" s="14" t="n">
        <v>132.07</v>
      </c>
      <c r="P500" s="14" t="n">
        <v>8.1428</v>
      </c>
    </row>
    <row r="501" customFormat="false" ht="15" hidden="false" customHeight="false" outlineLevel="0" collapsed="false">
      <c r="A501" s="13" t="n">
        <v>43053</v>
      </c>
      <c r="B501" s="14" t="n">
        <v>1113.65</v>
      </c>
      <c r="C501" s="14" t="n">
        <v>8.2016</v>
      </c>
      <c r="D501" s="14" t="n">
        <v>1.3128</v>
      </c>
      <c r="E501" s="14" t="n">
        <v>1.1764</v>
      </c>
      <c r="F501" s="14" t="n">
        <v>6.635</v>
      </c>
      <c r="G501" s="14" t="n">
        <v>3.3031</v>
      </c>
      <c r="H501" s="14" t="n">
        <v>113.5</v>
      </c>
      <c r="I501" s="14" t="n">
        <v>1.1745</v>
      </c>
      <c r="J501" s="14" t="n">
        <v>9.5923</v>
      </c>
      <c r="K501" s="14" t="n">
        <v>1309.46</v>
      </c>
      <c r="L501" s="14" t="n">
        <v>0.89585</v>
      </c>
      <c r="M501" s="14" t="n">
        <v>7.795</v>
      </c>
      <c r="N501" s="14" t="n">
        <v>3.8488</v>
      </c>
      <c r="O501" s="14" t="n">
        <v>133.29</v>
      </c>
      <c r="P501" s="14" t="n">
        <v>8.1671</v>
      </c>
    </row>
    <row r="502" customFormat="false" ht="15" hidden="false" customHeight="false" outlineLevel="0" collapsed="false">
      <c r="A502" s="13" t="n">
        <v>43054</v>
      </c>
      <c r="B502" s="14" t="n">
        <v>1103.9</v>
      </c>
      <c r="C502" s="14" t="n">
        <v>8.2538</v>
      </c>
      <c r="D502" s="14" t="n">
        <v>1.3165</v>
      </c>
      <c r="E502" s="14" t="n">
        <v>1.1794</v>
      </c>
      <c r="F502" s="14" t="n">
        <v>6.62</v>
      </c>
      <c r="G502" s="14" t="n">
        <v>3.3132</v>
      </c>
      <c r="H502" s="14" t="n">
        <v>113.15</v>
      </c>
      <c r="I502" s="14" t="n">
        <v>1.184</v>
      </c>
      <c r="J502" s="14" t="n">
        <v>9.751</v>
      </c>
      <c r="K502" s="14" t="n">
        <v>1306.21</v>
      </c>
      <c r="L502" s="14" t="n">
        <v>0.8991</v>
      </c>
      <c r="M502" s="14" t="n">
        <v>7.8404</v>
      </c>
      <c r="N502" s="14" t="n">
        <v>3.849</v>
      </c>
      <c r="O502" s="14" t="n">
        <v>133.45</v>
      </c>
      <c r="P502" s="14" t="n">
        <v>8.2356</v>
      </c>
    </row>
    <row r="503" customFormat="false" ht="15" hidden="false" customHeight="false" outlineLevel="0" collapsed="false">
      <c r="A503" s="13" t="n">
        <v>43055</v>
      </c>
      <c r="B503" s="14" t="n">
        <v>1094.49</v>
      </c>
      <c r="C503" s="14" t="n">
        <v>8.2095</v>
      </c>
      <c r="D503" s="14" t="n">
        <v>1.3197</v>
      </c>
      <c r="E503" s="14" t="n">
        <v>1.1772</v>
      </c>
      <c r="F503" s="14" t="n">
        <v>6.6273</v>
      </c>
      <c r="G503" s="14" t="n">
        <v>3.2756</v>
      </c>
      <c r="H503" s="14" t="n">
        <v>112.89</v>
      </c>
      <c r="I503" s="14" t="n">
        <v>1.1771</v>
      </c>
      <c r="J503" s="14" t="n">
        <v>9.6553</v>
      </c>
      <c r="K503" s="14" t="n">
        <v>1291.59</v>
      </c>
      <c r="L503" s="14" t="n">
        <v>0.89183</v>
      </c>
      <c r="M503" s="14" t="n">
        <v>7.8065</v>
      </c>
      <c r="N503" s="14" t="n">
        <v>3.8579</v>
      </c>
      <c r="O503" s="14" t="n">
        <v>133.12</v>
      </c>
      <c r="P503" s="14" t="n">
        <v>8.2026</v>
      </c>
    </row>
    <row r="504" customFormat="false" ht="15" hidden="false" customHeight="false" outlineLevel="0" collapsed="false">
      <c r="A504" s="13" t="n">
        <v>43056</v>
      </c>
      <c r="B504" s="14" t="n">
        <v>1093.15</v>
      </c>
      <c r="C504" s="14" t="n">
        <v>8.2431</v>
      </c>
      <c r="D504" s="14" t="n">
        <v>1.3222</v>
      </c>
      <c r="E504" s="14" t="n">
        <v>1.1799</v>
      </c>
      <c r="F504" s="14" t="n">
        <v>6.6245</v>
      </c>
      <c r="G504" s="14" t="n">
        <v>3.2629</v>
      </c>
      <c r="H504" s="14" t="n">
        <v>111.98</v>
      </c>
      <c r="I504" s="14" t="n">
        <v>1.1795</v>
      </c>
      <c r="J504" s="14" t="n">
        <v>9.7163</v>
      </c>
      <c r="K504" s="14" t="n">
        <v>1293.09</v>
      </c>
      <c r="L504" s="14" t="n">
        <v>0.89385</v>
      </c>
      <c r="M504" s="14" t="n">
        <v>7.8239</v>
      </c>
      <c r="N504" s="14" t="n">
        <v>3.8658</v>
      </c>
      <c r="O504" s="14" t="n">
        <v>132.82</v>
      </c>
      <c r="P504" s="14" t="n">
        <v>8.2376</v>
      </c>
    </row>
    <row r="505" customFormat="false" ht="15" hidden="false" customHeight="false" outlineLevel="0" collapsed="false">
      <c r="A505" s="13" t="n">
        <v>43059</v>
      </c>
      <c r="B505" s="14" t="n">
        <v>1093.15</v>
      </c>
      <c r="C505" s="14" t="n">
        <v>8.2813</v>
      </c>
      <c r="D505" s="14" t="n">
        <v>1.3241</v>
      </c>
      <c r="E505" s="14" t="n">
        <v>1.1741</v>
      </c>
      <c r="F505" s="14" t="n">
        <v>6.6245</v>
      </c>
      <c r="G505" s="14" t="n">
        <v>3.2573</v>
      </c>
      <c r="H505" s="14" t="n">
        <v>112.49</v>
      </c>
      <c r="I505" s="14" t="n">
        <v>1.1781</v>
      </c>
      <c r="J505" s="14" t="n">
        <v>9.7298</v>
      </c>
      <c r="K505" s="14" t="n">
        <v>1291.1</v>
      </c>
      <c r="L505" s="14" t="n">
        <v>0.8894</v>
      </c>
      <c r="M505" s="14" t="n">
        <v>7.8155</v>
      </c>
      <c r="N505" s="14" t="n">
        <v>3.8388</v>
      </c>
      <c r="O505" s="14" t="n">
        <v>132.1</v>
      </c>
      <c r="P505" s="14" t="n">
        <v>8.2589</v>
      </c>
    </row>
    <row r="506" customFormat="false" ht="15" hidden="false" customHeight="false" outlineLevel="0" collapsed="false">
      <c r="A506" s="13" t="n">
        <v>43060</v>
      </c>
      <c r="B506" s="14" t="n">
        <v>1088.1</v>
      </c>
      <c r="C506" s="14" t="n">
        <v>8.2128</v>
      </c>
      <c r="D506" s="14" t="n">
        <v>1.3232</v>
      </c>
      <c r="E506" s="14" t="n">
        <v>1.1741</v>
      </c>
      <c r="F506" s="14" t="n">
        <v>6.6265</v>
      </c>
      <c r="G506" s="14" t="n">
        <v>3.2447</v>
      </c>
      <c r="H506" s="14" t="n">
        <v>112.46</v>
      </c>
      <c r="I506" s="14" t="n">
        <v>1.1718</v>
      </c>
      <c r="J506" s="14" t="n">
        <v>9.689</v>
      </c>
      <c r="K506" s="14" t="n">
        <v>1276.68</v>
      </c>
      <c r="L506" s="14" t="n">
        <v>0.88498</v>
      </c>
      <c r="M506" s="14" t="n">
        <v>7.7725</v>
      </c>
      <c r="N506" s="14" t="n">
        <v>3.8207</v>
      </c>
      <c r="O506" s="14" t="n">
        <v>131.87</v>
      </c>
      <c r="P506" s="14" t="n">
        <v>8.2685</v>
      </c>
    </row>
    <row r="507" customFormat="false" ht="15" hidden="false" customHeight="false" outlineLevel="0" collapsed="false">
      <c r="A507" s="13" t="n">
        <v>43061</v>
      </c>
      <c r="B507" s="14" t="n">
        <v>1085.66</v>
      </c>
      <c r="C507" s="14" t="n">
        <v>8.1866</v>
      </c>
      <c r="D507" s="14" t="n">
        <v>1.3291</v>
      </c>
      <c r="E507" s="14" t="n">
        <v>1.1789</v>
      </c>
      <c r="F507" s="14" t="n">
        <v>6.6086</v>
      </c>
      <c r="G507" s="14" t="n">
        <v>3.2347</v>
      </c>
      <c r="H507" s="14" t="n">
        <v>111.62</v>
      </c>
      <c r="I507" s="14" t="n">
        <v>1.1749</v>
      </c>
      <c r="J507" s="14" t="n">
        <v>9.6723</v>
      </c>
      <c r="K507" s="14" t="n">
        <v>1280.17</v>
      </c>
      <c r="L507" s="14" t="n">
        <v>0.8881</v>
      </c>
      <c r="M507" s="14" t="n">
        <v>7.7755</v>
      </c>
      <c r="N507" s="14" t="n">
        <v>3.8288</v>
      </c>
      <c r="O507" s="14" t="n">
        <v>131.61</v>
      </c>
      <c r="P507" s="14" t="n">
        <v>8.2324</v>
      </c>
    </row>
    <row r="508" customFormat="false" ht="15" hidden="false" customHeight="false" outlineLevel="0" collapsed="false">
      <c r="A508" s="13" t="n">
        <v>43062</v>
      </c>
      <c r="I508" s="14" t="n">
        <v>1.1848</v>
      </c>
      <c r="J508" s="14" t="n">
        <v>9.6393</v>
      </c>
      <c r="K508" s="14" t="n">
        <v>1284.55</v>
      </c>
      <c r="L508" s="14" t="n">
        <v>0.89005</v>
      </c>
      <c r="M508" s="14" t="n">
        <v>7.7881</v>
      </c>
      <c r="N508" s="14" t="n">
        <v>3.8403</v>
      </c>
      <c r="O508" s="14" t="n">
        <v>131.79</v>
      </c>
      <c r="P508" s="14" t="n">
        <v>8.1358</v>
      </c>
    </row>
    <row r="509" customFormat="false" ht="15" hidden="false" customHeight="false" outlineLevel="0" collapsed="false">
      <c r="A509" s="13" t="n">
        <v>43063</v>
      </c>
      <c r="B509" s="14" t="n">
        <v>1082.59</v>
      </c>
      <c r="C509" s="14" t="n">
        <v>8.1288</v>
      </c>
      <c r="D509" s="14" t="n">
        <v>1.3336</v>
      </c>
      <c r="E509" s="14" t="n">
        <v>1.1936</v>
      </c>
      <c r="F509" s="14" t="n">
        <v>6.5998</v>
      </c>
      <c r="G509" s="14" t="n">
        <v>3.2227</v>
      </c>
      <c r="H509" s="14" t="n">
        <v>111.54</v>
      </c>
      <c r="I509" s="14" t="n">
        <v>1.1877</v>
      </c>
      <c r="J509" s="14" t="n">
        <v>9.6608</v>
      </c>
      <c r="K509" s="14" t="n">
        <v>1287.36</v>
      </c>
      <c r="L509" s="14" t="n">
        <v>0.8912</v>
      </c>
      <c r="M509" s="14" t="n">
        <v>7.8447</v>
      </c>
      <c r="N509" s="14" t="n">
        <v>3.8379</v>
      </c>
      <c r="O509" s="14" t="n">
        <v>132.24</v>
      </c>
      <c r="P509" s="14" t="n">
        <v>8.134</v>
      </c>
    </row>
    <row r="510" customFormat="false" ht="15" hidden="false" customHeight="false" outlineLevel="0" collapsed="false">
      <c r="A510" s="13" t="n">
        <v>43066</v>
      </c>
      <c r="B510" s="14" t="n">
        <v>1088.36</v>
      </c>
      <c r="C510" s="14" t="n">
        <v>8.147</v>
      </c>
      <c r="D510" s="14" t="n">
        <v>1.3333</v>
      </c>
      <c r="E510" s="14" t="n">
        <v>1.1911</v>
      </c>
      <c r="F510" s="14" t="n">
        <v>6.5967</v>
      </c>
      <c r="G510" s="14" t="n">
        <v>3.2247</v>
      </c>
      <c r="H510" s="14" t="n">
        <v>111</v>
      </c>
      <c r="I510" s="14" t="n">
        <v>1.1952</v>
      </c>
      <c r="J510" s="14" t="n">
        <v>9.7533</v>
      </c>
      <c r="K510" s="14" t="n">
        <v>1299.46</v>
      </c>
      <c r="L510" s="14" t="n">
        <v>0.89375</v>
      </c>
      <c r="M510" s="14" t="n">
        <v>7.8905</v>
      </c>
      <c r="N510" s="14" t="n">
        <v>3.8564</v>
      </c>
      <c r="O510" s="14" t="n">
        <v>132.69</v>
      </c>
      <c r="P510" s="14" t="n">
        <v>8.1604</v>
      </c>
    </row>
    <row r="511" customFormat="false" ht="15" hidden="false" customHeight="false" outlineLevel="0" collapsed="false">
      <c r="A511" s="13" t="n">
        <v>43067</v>
      </c>
      <c r="B511" s="14" t="n">
        <v>1079.87</v>
      </c>
      <c r="C511" s="14" t="n">
        <v>8.219</v>
      </c>
      <c r="D511" s="14" t="n">
        <v>1.3231</v>
      </c>
      <c r="E511" s="14" t="n">
        <v>1.1878</v>
      </c>
      <c r="F511" s="14" t="n">
        <v>6.6044</v>
      </c>
      <c r="G511" s="14" t="n">
        <v>3.2055</v>
      </c>
      <c r="H511" s="14" t="n">
        <v>111.13</v>
      </c>
      <c r="I511" s="14" t="n">
        <v>1.1888</v>
      </c>
      <c r="J511" s="14" t="n">
        <v>9.745</v>
      </c>
      <c r="K511" s="14" t="n">
        <v>1284.43</v>
      </c>
      <c r="L511" s="14" t="n">
        <v>0.89538</v>
      </c>
      <c r="M511" s="14" t="n">
        <v>7.8431</v>
      </c>
      <c r="N511" s="14" t="n">
        <v>3.8287</v>
      </c>
      <c r="O511" s="14" t="n">
        <v>132.24</v>
      </c>
      <c r="P511" s="14" t="n">
        <v>8.1973</v>
      </c>
    </row>
    <row r="512" customFormat="false" ht="15" hidden="false" customHeight="false" outlineLevel="0" collapsed="false">
      <c r="A512" s="13" t="n">
        <v>43068</v>
      </c>
      <c r="B512" s="14" t="n">
        <v>1079.33</v>
      </c>
      <c r="C512" s="14" t="n">
        <v>8.2328</v>
      </c>
      <c r="D512" s="14" t="n">
        <v>1.3436</v>
      </c>
      <c r="E512" s="14" t="n">
        <v>1.1858</v>
      </c>
      <c r="F512" s="14" t="n">
        <v>6.6091</v>
      </c>
      <c r="G512" s="14" t="n">
        <v>3.2285</v>
      </c>
      <c r="H512" s="14" t="n">
        <v>111.75</v>
      </c>
      <c r="I512" s="14" t="n">
        <v>1.1827</v>
      </c>
      <c r="J512" s="14" t="n">
        <v>9.741</v>
      </c>
      <c r="K512" s="14" t="n">
        <v>1274.87</v>
      </c>
      <c r="L512" s="14" t="n">
        <v>0.88293</v>
      </c>
      <c r="M512" s="14" t="n">
        <v>7.8106</v>
      </c>
      <c r="N512" s="14" t="n">
        <v>3.7936</v>
      </c>
      <c r="O512" s="14" t="n">
        <v>132.24</v>
      </c>
      <c r="P512" s="14" t="n">
        <v>8.2362</v>
      </c>
    </row>
    <row r="513" customFormat="false" ht="15" hidden="false" customHeight="false" outlineLevel="0" collapsed="false">
      <c r="A513" s="13" t="n">
        <v>43069</v>
      </c>
      <c r="B513" s="14" t="n">
        <v>1084.79</v>
      </c>
      <c r="C513" s="14" t="n">
        <v>8.2929</v>
      </c>
      <c r="D513" s="14" t="n">
        <v>1.3506</v>
      </c>
      <c r="E513" s="14" t="n">
        <v>1.1898</v>
      </c>
      <c r="F513" s="14" t="n">
        <v>6.609</v>
      </c>
      <c r="G513" s="14" t="n">
        <v>3.2843</v>
      </c>
      <c r="H513" s="14" t="n">
        <v>112.3</v>
      </c>
      <c r="I513" s="14" t="n">
        <v>1.1849</v>
      </c>
      <c r="J513" s="14" t="n">
        <v>9.8398</v>
      </c>
      <c r="K513" s="14" t="n">
        <v>1287.26</v>
      </c>
      <c r="L513" s="14" t="n">
        <v>0.87985</v>
      </c>
      <c r="M513" s="14" t="n">
        <v>7.8377</v>
      </c>
      <c r="N513" s="14" t="n">
        <v>3.8668</v>
      </c>
      <c r="O513" s="14" t="n">
        <v>133.08</v>
      </c>
      <c r="P513" s="14" t="n">
        <v>8.3043</v>
      </c>
    </row>
    <row r="514" customFormat="false" ht="15" hidden="false" customHeight="false" outlineLevel="0" collapsed="false">
      <c r="A514" s="13" t="n">
        <v>43070</v>
      </c>
      <c r="B514" s="14" t="n">
        <v>1082.36</v>
      </c>
      <c r="C514" s="14" t="n">
        <v>8.2777</v>
      </c>
      <c r="D514" s="14" t="n">
        <v>1.3505</v>
      </c>
      <c r="E514" s="14" t="n">
        <v>1.191</v>
      </c>
      <c r="F514" s="14" t="n">
        <v>6.6137</v>
      </c>
      <c r="G514" s="14" t="n">
        <v>3.2577</v>
      </c>
      <c r="H514" s="14" t="n">
        <v>111.88</v>
      </c>
      <c r="I514" s="14" t="n">
        <v>1.1885</v>
      </c>
      <c r="J514" s="14" t="n">
        <v>9.8753</v>
      </c>
      <c r="K514" s="14" t="n">
        <v>1287.47</v>
      </c>
      <c r="L514" s="14" t="n">
        <v>0.88115</v>
      </c>
      <c r="M514" s="14" t="n">
        <v>7.8551</v>
      </c>
      <c r="N514" s="14" t="n">
        <v>3.8824</v>
      </c>
      <c r="O514" s="14" t="n">
        <v>133.7</v>
      </c>
      <c r="P514" s="14" t="n">
        <v>8.309</v>
      </c>
    </row>
    <row r="515" customFormat="false" ht="15" hidden="false" customHeight="false" outlineLevel="0" collapsed="false">
      <c r="A515" s="13" t="n">
        <v>43073</v>
      </c>
      <c r="B515" s="14" t="n">
        <v>1082.36</v>
      </c>
      <c r="C515" s="14" t="n">
        <v>8.3306</v>
      </c>
      <c r="D515" s="14" t="n">
        <v>1.3465</v>
      </c>
      <c r="E515" s="14" t="n">
        <v>1.1848</v>
      </c>
      <c r="F515" s="14" t="n">
        <v>6.6185</v>
      </c>
      <c r="G515" s="14" t="n">
        <v>3.2498</v>
      </c>
      <c r="H515" s="14" t="n">
        <v>112.8</v>
      </c>
      <c r="I515" s="14" t="n">
        <v>1.1865</v>
      </c>
      <c r="J515" s="14" t="n">
        <v>9.8668</v>
      </c>
      <c r="K515" s="14" t="n">
        <v>1287.92</v>
      </c>
      <c r="L515" s="14" t="n">
        <v>0.87725</v>
      </c>
      <c r="M515" s="14" t="n">
        <v>7.8532</v>
      </c>
      <c r="N515" s="14" t="n">
        <v>3.8558</v>
      </c>
      <c r="O515" s="14" t="n">
        <v>133.91</v>
      </c>
      <c r="P515" s="14" t="n">
        <v>8.3159</v>
      </c>
    </row>
    <row r="516" customFormat="false" ht="15" hidden="false" customHeight="false" outlineLevel="0" collapsed="false">
      <c r="A516" s="13" t="n">
        <v>43074</v>
      </c>
      <c r="B516" s="14" t="n">
        <v>1086.85</v>
      </c>
      <c r="C516" s="14" t="n">
        <v>8.2819</v>
      </c>
      <c r="D516" s="14" t="n">
        <v>1.345</v>
      </c>
      <c r="E516" s="14" t="n">
        <v>1.182</v>
      </c>
      <c r="F516" s="14" t="n">
        <v>6.617</v>
      </c>
      <c r="G516" s="14" t="n">
        <v>3.2338</v>
      </c>
      <c r="H516" s="14" t="n">
        <v>112.76</v>
      </c>
      <c r="I516" s="14" t="n">
        <v>1.1847</v>
      </c>
      <c r="J516" s="14" t="n">
        <v>9.8228</v>
      </c>
      <c r="K516" s="14" t="n">
        <v>1286.86</v>
      </c>
      <c r="L516" s="14" t="n">
        <v>0.88183</v>
      </c>
      <c r="M516" s="14" t="n">
        <v>7.8356</v>
      </c>
      <c r="N516" s="14" t="n">
        <v>3.8192</v>
      </c>
      <c r="O516" s="14" t="n">
        <v>133.37</v>
      </c>
      <c r="P516" s="14" t="n">
        <v>8.2914</v>
      </c>
    </row>
    <row r="517" customFormat="false" ht="15" hidden="false" customHeight="false" outlineLevel="0" collapsed="false">
      <c r="A517" s="13" t="n">
        <v>43075</v>
      </c>
      <c r="B517" s="14" t="n">
        <v>1094.55</v>
      </c>
      <c r="C517" s="14" t="n">
        <v>8.2801</v>
      </c>
      <c r="D517" s="14" t="n">
        <v>1.3382</v>
      </c>
      <c r="E517" s="14" t="n">
        <v>1.1788</v>
      </c>
      <c r="F517" s="14" t="n">
        <v>6.6136</v>
      </c>
      <c r="G517" s="14" t="n">
        <v>3.2394</v>
      </c>
      <c r="H517" s="14" t="n">
        <v>112.32</v>
      </c>
      <c r="I517" s="14" t="n">
        <v>1.1817</v>
      </c>
      <c r="J517" s="14" t="n">
        <v>9.7575</v>
      </c>
      <c r="K517" s="14" t="n">
        <v>1291.5</v>
      </c>
      <c r="L517" s="14" t="n">
        <v>0.88335</v>
      </c>
      <c r="M517" s="14" t="n">
        <v>7.8169</v>
      </c>
      <c r="N517" s="14" t="n">
        <v>3.8193</v>
      </c>
      <c r="O517" s="14" t="n">
        <v>132.52</v>
      </c>
      <c r="P517" s="14" t="n">
        <v>8.2572</v>
      </c>
    </row>
    <row r="518" customFormat="false" ht="15" hidden="false" customHeight="false" outlineLevel="0" collapsed="false">
      <c r="A518" s="13" t="n">
        <v>43076</v>
      </c>
      <c r="B518" s="14" t="n">
        <v>1090.68</v>
      </c>
      <c r="C518" s="14" t="n">
        <v>8.2961</v>
      </c>
      <c r="D518" s="14" t="n">
        <v>1.3432</v>
      </c>
      <c r="E518" s="14" t="n">
        <v>1.179</v>
      </c>
      <c r="F518" s="14" t="n">
        <v>6.6173</v>
      </c>
      <c r="G518" s="14" t="n">
        <v>3.2993</v>
      </c>
      <c r="H518" s="14" t="n">
        <v>112.7</v>
      </c>
      <c r="I518" s="14" t="n">
        <v>1.1786</v>
      </c>
      <c r="J518" s="14" t="n">
        <v>9.7503</v>
      </c>
      <c r="K518" s="14" t="n">
        <v>1287.95</v>
      </c>
      <c r="L518" s="14" t="n">
        <v>0.88068</v>
      </c>
      <c r="M518" s="14" t="n">
        <v>7.8013</v>
      </c>
      <c r="N518" s="14" t="n">
        <v>3.8824</v>
      </c>
      <c r="O518" s="14" t="n">
        <v>132.88</v>
      </c>
      <c r="P518" s="14" t="n">
        <v>8.2728</v>
      </c>
    </row>
    <row r="519" customFormat="false" ht="15" hidden="false" customHeight="false" outlineLevel="0" collapsed="false">
      <c r="A519" s="13" t="n">
        <v>43077</v>
      </c>
      <c r="B519" s="14" t="n">
        <v>1092.03</v>
      </c>
      <c r="C519" s="14" t="n">
        <v>8.3082</v>
      </c>
      <c r="D519" s="14" t="n">
        <v>1.3367</v>
      </c>
      <c r="E519" s="14" t="n">
        <v>1.1761</v>
      </c>
      <c r="F519" s="14" t="n">
        <v>6.6199</v>
      </c>
      <c r="G519" s="14" t="n">
        <v>3.3075</v>
      </c>
      <c r="H519" s="14" t="n">
        <v>113.55</v>
      </c>
      <c r="I519" s="14" t="n">
        <v>1.1742</v>
      </c>
      <c r="J519" s="14" t="n">
        <v>9.7665</v>
      </c>
      <c r="K519" s="14" t="n">
        <v>1285.33</v>
      </c>
      <c r="L519" s="14" t="n">
        <v>0.87525</v>
      </c>
      <c r="M519" s="14" t="n">
        <v>7.7729</v>
      </c>
      <c r="N519" s="14" t="n">
        <v>3.8435</v>
      </c>
      <c r="O519" s="14" t="n">
        <v>133.26</v>
      </c>
      <c r="P519" s="14" t="n">
        <v>8.3176</v>
      </c>
    </row>
    <row r="520" customFormat="false" ht="15" hidden="false" customHeight="false" outlineLevel="0" collapsed="false">
      <c r="A520" s="13" t="n">
        <v>43080</v>
      </c>
      <c r="B520" s="14" t="n">
        <v>1092.03</v>
      </c>
      <c r="C520" s="14" t="n">
        <v>8.3625</v>
      </c>
      <c r="D520" s="14" t="n">
        <v>1.3363</v>
      </c>
      <c r="E520" s="14" t="n">
        <v>1.1802</v>
      </c>
      <c r="F520" s="14" t="n">
        <v>6.6175</v>
      </c>
      <c r="G520" s="14" t="n">
        <v>3.2883</v>
      </c>
      <c r="H520" s="14" t="n">
        <v>113.34</v>
      </c>
      <c r="I520" s="14" t="n">
        <v>1.1796</v>
      </c>
      <c r="J520" s="14" t="n">
        <v>9.8825</v>
      </c>
      <c r="K520" s="14" t="n">
        <v>1285.61</v>
      </c>
      <c r="L520" s="14" t="n">
        <v>0.8825</v>
      </c>
      <c r="M520" s="14" t="n">
        <v>7.8069</v>
      </c>
      <c r="N520" s="14" t="n">
        <v>3.8654</v>
      </c>
      <c r="O520" s="14" t="n">
        <v>133.66</v>
      </c>
      <c r="P520" s="14" t="n">
        <v>8.3778</v>
      </c>
    </row>
    <row r="521" customFormat="false" ht="15" hidden="false" customHeight="false" outlineLevel="0" collapsed="false">
      <c r="A521" s="13" t="n">
        <v>43081</v>
      </c>
      <c r="B521" s="14" t="n">
        <v>1090.09</v>
      </c>
      <c r="C521" s="14" t="n">
        <v>8.3675</v>
      </c>
      <c r="D521" s="14" t="n">
        <v>1.3323</v>
      </c>
      <c r="E521" s="14" t="n">
        <v>1.1725</v>
      </c>
      <c r="F521" s="14" t="n">
        <v>6.621</v>
      </c>
      <c r="G521" s="14" t="n">
        <v>3.3298</v>
      </c>
      <c r="H521" s="14" t="n">
        <v>113.62</v>
      </c>
      <c r="I521" s="14" t="n">
        <v>1.1766</v>
      </c>
      <c r="J521" s="14" t="n">
        <v>9.8245</v>
      </c>
      <c r="K521" s="14" t="n">
        <v>1281.27</v>
      </c>
      <c r="L521" s="14" t="n">
        <v>0.88068</v>
      </c>
      <c r="M521" s="14" t="n">
        <v>7.7875</v>
      </c>
      <c r="N521" s="14" t="n">
        <v>3.9051</v>
      </c>
      <c r="O521" s="14" t="n">
        <v>133.54</v>
      </c>
      <c r="P521" s="14" t="n">
        <v>8.3499</v>
      </c>
    </row>
    <row r="522" customFormat="false" ht="15" hidden="false" customHeight="false" outlineLevel="0" collapsed="false">
      <c r="A522" s="13" t="n">
        <v>43082</v>
      </c>
      <c r="B522" s="14" t="n">
        <v>1088.01</v>
      </c>
      <c r="C522" s="14" t="n">
        <v>8.3761</v>
      </c>
      <c r="D522" s="14" t="n">
        <v>1.3365</v>
      </c>
      <c r="E522" s="14" t="n">
        <v>1.1762</v>
      </c>
      <c r="F522" s="14" t="n">
        <v>6.6171</v>
      </c>
      <c r="G522" s="14" t="n">
        <v>3.3049</v>
      </c>
      <c r="H522" s="14" t="n">
        <v>113.19</v>
      </c>
      <c r="I522" s="14" t="n">
        <v>1.1736</v>
      </c>
      <c r="J522" s="14" t="n">
        <v>9.8253</v>
      </c>
      <c r="K522" s="14" t="n">
        <v>1280.07</v>
      </c>
      <c r="L522" s="14" t="n">
        <v>0.87905</v>
      </c>
      <c r="M522" s="14" t="n">
        <v>7.7692</v>
      </c>
      <c r="N522" s="14" t="n">
        <v>3.8907</v>
      </c>
      <c r="O522" s="14" t="n">
        <v>132.99</v>
      </c>
      <c r="P522" s="14" t="n">
        <v>8.3719</v>
      </c>
    </row>
    <row r="523" customFormat="false" ht="15" hidden="false" customHeight="false" outlineLevel="0" collapsed="false">
      <c r="A523" s="13" t="n">
        <v>43083</v>
      </c>
      <c r="B523" s="14" t="n">
        <v>1088.09</v>
      </c>
      <c r="C523" s="14" t="n">
        <v>8.2876</v>
      </c>
      <c r="D523" s="14" t="n">
        <v>1.344</v>
      </c>
      <c r="E523" s="14" t="n">
        <v>1.1778</v>
      </c>
      <c r="F523" s="14" t="n">
        <v>6.6091</v>
      </c>
      <c r="G523" s="14" t="n">
        <v>3.3396</v>
      </c>
      <c r="H523" s="14" t="n">
        <v>112.56</v>
      </c>
      <c r="I523" s="14" t="n">
        <v>1.1845</v>
      </c>
      <c r="J523" s="14" t="n">
        <v>9.7783</v>
      </c>
      <c r="K523" s="14" t="n">
        <v>1288.74</v>
      </c>
      <c r="L523" s="14" t="n">
        <v>0.88163</v>
      </c>
      <c r="M523" s="14" t="n">
        <v>7.8278</v>
      </c>
      <c r="N523" s="14" t="n">
        <v>3.9529</v>
      </c>
      <c r="O523" s="14" t="n">
        <v>133.39</v>
      </c>
      <c r="P523" s="14" t="n">
        <v>8.2552</v>
      </c>
    </row>
    <row r="524" customFormat="false" ht="15" hidden="false" customHeight="false" outlineLevel="0" collapsed="false">
      <c r="A524" s="13" t="n">
        <v>43084</v>
      </c>
      <c r="B524" s="14" t="n">
        <v>1086.39</v>
      </c>
      <c r="C524" s="14" t="n">
        <v>8.3751</v>
      </c>
      <c r="D524" s="14" t="n">
        <v>1.3316</v>
      </c>
      <c r="E524" s="14" t="n">
        <v>1.1778</v>
      </c>
      <c r="F524" s="14" t="n">
        <v>6.6088</v>
      </c>
      <c r="G524" s="14" t="n">
        <v>3.3166</v>
      </c>
      <c r="H524" s="14" t="n">
        <v>112.68</v>
      </c>
      <c r="I524" s="14" t="n">
        <v>1.1806</v>
      </c>
      <c r="J524" s="14" t="n">
        <v>9.7828</v>
      </c>
      <c r="K524" s="14" t="n">
        <v>1284.73</v>
      </c>
      <c r="L524" s="14" t="n">
        <v>0.88253</v>
      </c>
      <c r="M524" s="14" t="n">
        <v>7.8022</v>
      </c>
      <c r="N524" s="14" t="n">
        <v>3.9171</v>
      </c>
      <c r="O524" s="14" t="n">
        <v>132.45</v>
      </c>
      <c r="P524" s="14" t="n">
        <v>8.2863</v>
      </c>
    </row>
    <row r="525" customFormat="false" ht="15" hidden="false" customHeight="false" outlineLevel="0" collapsed="false">
      <c r="A525" s="13" t="n">
        <v>43087</v>
      </c>
      <c r="B525" s="14" t="n">
        <v>1084.28</v>
      </c>
      <c r="C525" s="14" t="n">
        <v>8.3358</v>
      </c>
      <c r="D525" s="14" t="n">
        <v>1.3398</v>
      </c>
      <c r="E525" s="14" t="n">
        <v>1.1804</v>
      </c>
      <c r="F525" s="14" t="n">
        <v>6.6088</v>
      </c>
      <c r="G525" s="14" t="n">
        <v>3.2821</v>
      </c>
      <c r="H525" s="14" t="n">
        <v>112.4</v>
      </c>
      <c r="I525" s="14" t="n">
        <v>1.1795</v>
      </c>
      <c r="J525" s="14" t="n">
        <v>9.8573</v>
      </c>
      <c r="K525" s="14" t="n">
        <v>1282.23</v>
      </c>
      <c r="L525" s="14" t="n">
        <v>0.88208</v>
      </c>
      <c r="M525" s="14" t="n">
        <v>7.8055</v>
      </c>
      <c r="N525" s="14" t="n">
        <v>3.8734</v>
      </c>
      <c r="O525" s="14" t="n">
        <v>132.66</v>
      </c>
      <c r="P525" s="14" t="n">
        <v>8.3572</v>
      </c>
    </row>
    <row r="526" customFormat="false" ht="15" hidden="false" customHeight="false" outlineLevel="0" collapsed="false">
      <c r="A526" s="13" t="n">
        <v>43088</v>
      </c>
      <c r="B526" s="14" t="n">
        <v>1084.29</v>
      </c>
      <c r="C526" s="14" t="n">
        <v>8.3733</v>
      </c>
      <c r="D526" s="14" t="n">
        <v>1.3356</v>
      </c>
      <c r="E526" s="14" t="n">
        <v>1.1822</v>
      </c>
      <c r="F526" s="14" t="n">
        <v>6.6088</v>
      </c>
      <c r="G526" s="14" t="n">
        <v>3.3008</v>
      </c>
      <c r="H526" s="14" t="n">
        <v>112.98</v>
      </c>
      <c r="I526" s="14" t="n">
        <v>1.1823</v>
      </c>
      <c r="J526" s="14" t="n">
        <v>9.8875</v>
      </c>
      <c r="K526" s="14" t="n">
        <v>1281.28</v>
      </c>
      <c r="L526" s="14" t="n">
        <v>0.885</v>
      </c>
      <c r="M526" s="14" t="n">
        <v>7.8068</v>
      </c>
      <c r="N526" s="14" t="n">
        <v>3.8862</v>
      </c>
      <c r="O526" s="14" t="n">
        <v>133.23</v>
      </c>
      <c r="P526" s="14" t="n">
        <v>8.3629</v>
      </c>
    </row>
    <row r="527" customFormat="false" ht="15" hidden="false" customHeight="false" outlineLevel="0" collapsed="false">
      <c r="A527" s="13" t="n">
        <v>43089</v>
      </c>
      <c r="B527" s="14" t="n">
        <v>1078.14</v>
      </c>
      <c r="C527" s="14" t="n">
        <v>8.3807</v>
      </c>
      <c r="D527" s="14" t="n">
        <v>1.3408</v>
      </c>
      <c r="E527" s="14" t="n">
        <v>1.1881</v>
      </c>
      <c r="F527" s="14" t="n">
        <v>6.5771</v>
      </c>
      <c r="G527" s="14" t="n">
        <v>3.2907</v>
      </c>
      <c r="H527" s="14" t="n">
        <v>113.29</v>
      </c>
      <c r="I527" s="14" t="n">
        <v>1.1845</v>
      </c>
      <c r="J527" s="14" t="n">
        <v>9.8683</v>
      </c>
      <c r="K527" s="14" t="n">
        <v>1281.59</v>
      </c>
      <c r="L527" s="14" t="n">
        <v>0.8832</v>
      </c>
      <c r="M527" s="14" t="n">
        <v>7.7926</v>
      </c>
      <c r="N527" s="14" t="n">
        <v>3.8953</v>
      </c>
      <c r="O527" s="14" t="n">
        <v>134.16</v>
      </c>
      <c r="P527" s="14" t="n">
        <v>8.3312</v>
      </c>
    </row>
    <row r="528" customFormat="false" ht="15" hidden="false" customHeight="false" outlineLevel="0" collapsed="false">
      <c r="A528" s="13" t="n">
        <v>43090</v>
      </c>
      <c r="B528" s="14" t="n">
        <v>1078.08</v>
      </c>
      <c r="C528" s="14" t="n">
        <v>8.3773</v>
      </c>
      <c r="D528" s="14" t="n">
        <v>1.3372</v>
      </c>
      <c r="E528" s="14" t="n">
        <v>1.1872</v>
      </c>
      <c r="F528" s="14" t="n">
        <v>6.5833</v>
      </c>
      <c r="G528" s="14" t="n">
        <v>3.3065</v>
      </c>
      <c r="H528" s="14" t="n">
        <v>113.42</v>
      </c>
      <c r="I528" s="14" t="n">
        <v>1.1859</v>
      </c>
      <c r="J528" s="14" t="n">
        <v>9.9738</v>
      </c>
      <c r="K528" s="14" t="n">
        <v>1281.82</v>
      </c>
      <c r="L528" s="14" t="n">
        <v>0.88763</v>
      </c>
      <c r="M528" s="14" t="n">
        <v>7.8092</v>
      </c>
      <c r="N528" s="14" t="n">
        <v>3.9214</v>
      </c>
      <c r="O528" s="14" t="n">
        <v>134.59</v>
      </c>
      <c r="P528" s="14" t="n">
        <v>8.4103</v>
      </c>
    </row>
    <row r="529" customFormat="false" ht="15" hidden="false" customHeight="false" outlineLevel="0" collapsed="false">
      <c r="A529" s="13" t="n">
        <v>43091</v>
      </c>
      <c r="B529" s="14" t="n">
        <v>1076.87</v>
      </c>
      <c r="C529" s="14" t="n">
        <v>8.3387</v>
      </c>
      <c r="D529" s="14" t="n">
        <v>1.3379</v>
      </c>
      <c r="E529" s="14" t="n">
        <v>1.1839</v>
      </c>
      <c r="F529" s="14" t="n">
        <v>6.575</v>
      </c>
      <c r="G529" s="14" t="n">
        <v>3.3209</v>
      </c>
      <c r="H529" s="14" t="n">
        <v>113.3</v>
      </c>
      <c r="I529" s="14" t="n">
        <v>1.1853</v>
      </c>
      <c r="J529" s="14" t="n">
        <v>9.8963</v>
      </c>
      <c r="K529" s="14" t="n">
        <v>1276.34</v>
      </c>
      <c r="L529" s="14" t="n">
        <v>0.88568</v>
      </c>
      <c r="M529" s="14" t="n">
        <v>7.7945</v>
      </c>
      <c r="N529" s="14" t="n">
        <v>3.9349</v>
      </c>
      <c r="O529" s="14" t="n">
        <v>134.37</v>
      </c>
      <c r="P529" s="14" t="n">
        <v>8.3492</v>
      </c>
    </row>
    <row r="530" customFormat="false" ht="15" hidden="false" customHeight="false" outlineLevel="0" collapsed="false">
      <c r="A530" s="13" t="n">
        <v>43094</v>
      </c>
    </row>
    <row r="531" customFormat="false" ht="15" hidden="false" customHeight="false" outlineLevel="0" collapsed="false">
      <c r="A531" s="13" t="n">
        <v>43095</v>
      </c>
      <c r="B531" s="14" t="n">
        <v>1073.75</v>
      </c>
      <c r="C531" s="14" t="n">
        <v>8.3148</v>
      </c>
      <c r="D531" s="14" t="n">
        <v>1.3369</v>
      </c>
      <c r="E531" s="14" t="n">
        <v>1.1867</v>
      </c>
      <c r="F531" s="14" t="n">
        <v>6.5429</v>
      </c>
      <c r="G531" s="14" t="n">
        <v>3.3173</v>
      </c>
      <c r="H531" s="14" t="n">
        <v>113.2</v>
      </c>
    </row>
    <row r="532" customFormat="false" ht="15" hidden="false" customHeight="false" outlineLevel="0" collapsed="false">
      <c r="A532" s="13" t="n">
        <v>43096</v>
      </c>
      <c r="B532" s="14" t="n">
        <v>1073.13</v>
      </c>
      <c r="C532" s="14" t="n">
        <v>8.272</v>
      </c>
      <c r="D532" s="14" t="n">
        <v>1.3403</v>
      </c>
      <c r="E532" s="14" t="n">
        <v>1.1902</v>
      </c>
      <c r="F532" s="14" t="n">
        <v>6.556</v>
      </c>
      <c r="G532" s="14" t="n">
        <v>3.3016</v>
      </c>
      <c r="H532" s="14" t="n">
        <v>113.28</v>
      </c>
      <c r="I532" s="14" t="n">
        <v>1.1895</v>
      </c>
      <c r="J532" s="14" t="n">
        <v>9.8605</v>
      </c>
      <c r="K532" s="14" t="n">
        <v>1277.73</v>
      </c>
      <c r="L532" s="14" t="n">
        <v>0.88593</v>
      </c>
      <c r="M532" s="14" t="n">
        <v>7.7975</v>
      </c>
      <c r="N532" s="14" t="n">
        <v>3.9196</v>
      </c>
      <c r="O532" s="14" t="n">
        <v>134.7</v>
      </c>
      <c r="P532" s="14" t="n">
        <v>8.2896</v>
      </c>
    </row>
    <row r="533" customFormat="false" ht="15" hidden="false" customHeight="false" outlineLevel="0" collapsed="false">
      <c r="A533" s="13" t="n">
        <v>43097</v>
      </c>
      <c r="B533" s="14" t="n">
        <v>1068.64</v>
      </c>
      <c r="C533" s="14" t="n">
        <v>8.2381</v>
      </c>
      <c r="D533" s="14" t="n">
        <v>1.345</v>
      </c>
      <c r="E533" s="14" t="n">
        <v>1.1952</v>
      </c>
      <c r="F533" s="14" t="n">
        <v>6.5322</v>
      </c>
      <c r="G533" s="14" t="n">
        <v>3.3005</v>
      </c>
      <c r="H533" s="14" t="n">
        <v>112.85</v>
      </c>
      <c r="I533" s="14" t="n">
        <v>1.1934</v>
      </c>
      <c r="J533" s="14" t="n">
        <v>9.867</v>
      </c>
      <c r="K533" s="14" t="n">
        <v>1276.37</v>
      </c>
      <c r="L533" s="14" t="n">
        <v>0.88768</v>
      </c>
      <c r="M533" s="14" t="n">
        <v>7.8001</v>
      </c>
      <c r="N533" s="14" t="n">
        <v>3.9496</v>
      </c>
      <c r="O533" s="14" t="n">
        <v>134.74</v>
      </c>
      <c r="P533" s="14" t="n">
        <v>8.268</v>
      </c>
    </row>
    <row r="534" customFormat="false" ht="15" hidden="false" customHeight="false" outlineLevel="0" collapsed="false">
      <c r="A534" s="13" t="n">
        <v>43098</v>
      </c>
      <c r="B534" s="14" t="n">
        <v>1067.42</v>
      </c>
      <c r="C534" s="14" t="n">
        <v>8.1819</v>
      </c>
      <c r="D534" s="14" t="n">
        <v>1.3529</v>
      </c>
      <c r="E534" s="14" t="n">
        <v>1.2022</v>
      </c>
      <c r="F534" s="14" t="n">
        <v>6.5063</v>
      </c>
      <c r="G534" s="14" t="n">
        <v>3.3121</v>
      </c>
      <c r="H534" s="14" t="n">
        <v>112.69</v>
      </c>
      <c r="I534" s="14" t="n">
        <v>1.1993</v>
      </c>
      <c r="J534" s="14" t="n">
        <v>9.8403</v>
      </c>
      <c r="K534" s="14" t="n">
        <v>1279.61</v>
      </c>
      <c r="L534" s="14" t="n">
        <v>0.88723</v>
      </c>
      <c r="M534" s="14" t="n">
        <v>7.8044</v>
      </c>
      <c r="N534" s="14" t="n">
        <v>3.9729</v>
      </c>
      <c r="O534" s="14" t="n">
        <v>135.01</v>
      </c>
      <c r="P534" s="14" t="n">
        <v>8.205</v>
      </c>
    </row>
    <row r="535" customFormat="false" ht="15" hidden="false" customHeight="false" outlineLevel="0" collapsed="false">
      <c r="A535" s="13" t="n">
        <v>43101</v>
      </c>
    </row>
    <row r="536" customFormat="false" ht="15" hidden="false" customHeight="false" outlineLevel="0" collapsed="false">
      <c r="A536" s="13" t="n">
        <v>43102</v>
      </c>
      <c r="B536" s="14" t="n">
        <v>1059.39</v>
      </c>
      <c r="C536" s="14" t="n">
        <v>8.1304</v>
      </c>
      <c r="D536" s="14" t="n">
        <v>1.3596</v>
      </c>
      <c r="E536" s="14" t="n">
        <v>1.205</v>
      </c>
      <c r="F536" s="14" t="n">
        <v>6.491</v>
      </c>
      <c r="G536" s="14" t="n">
        <v>3.262</v>
      </c>
      <c r="H536" s="14" t="n">
        <v>112.18</v>
      </c>
      <c r="I536" s="14" t="n">
        <v>1.2065</v>
      </c>
      <c r="J536" s="14" t="n">
        <v>9.7748</v>
      </c>
      <c r="K536" s="14" t="n">
        <v>1281.59</v>
      </c>
      <c r="L536" s="14" t="n">
        <v>0.88953</v>
      </c>
      <c r="M536" s="14" t="n">
        <v>7.8338</v>
      </c>
      <c r="N536" s="14" t="n">
        <v>3.9504</v>
      </c>
      <c r="O536" s="14" t="n">
        <v>135.35</v>
      </c>
      <c r="P536" s="14" t="n">
        <v>8.1018</v>
      </c>
    </row>
    <row r="537" customFormat="false" ht="15" hidden="false" customHeight="false" outlineLevel="0" collapsed="false">
      <c r="A537" s="13" t="n">
        <v>43103</v>
      </c>
      <c r="B537" s="14" t="n">
        <v>1063.11</v>
      </c>
      <c r="C537" s="14" t="n">
        <v>8.11</v>
      </c>
      <c r="D537" s="14" t="n">
        <v>1.3522</v>
      </c>
      <c r="E537" s="14" t="n">
        <v>1.203</v>
      </c>
      <c r="F537" s="14" t="n">
        <v>6.501</v>
      </c>
      <c r="G537" s="14" t="n">
        <v>3.2422</v>
      </c>
      <c r="H537" s="14" t="n">
        <v>112.28</v>
      </c>
      <c r="I537" s="14" t="n">
        <v>1.2023</v>
      </c>
      <c r="J537" s="14" t="n">
        <v>9.744</v>
      </c>
      <c r="K537" s="14" t="n">
        <v>1281.39</v>
      </c>
      <c r="L537" s="14" t="n">
        <v>0.8864</v>
      </c>
      <c r="M537" s="14" t="n">
        <v>7.8168</v>
      </c>
      <c r="N537" s="14" t="n">
        <v>3.9236</v>
      </c>
      <c r="O537" s="14" t="n">
        <v>134.97</v>
      </c>
      <c r="P537" s="14" t="n">
        <v>8.1045</v>
      </c>
    </row>
    <row r="538" customFormat="false" ht="15" hidden="false" customHeight="false" outlineLevel="0" collapsed="false">
      <c r="A538" s="13" t="n">
        <v>43104</v>
      </c>
      <c r="B538" s="14" t="n">
        <v>1061.5</v>
      </c>
      <c r="C538" s="14" t="n">
        <v>8.0731</v>
      </c>
      <c r="D538" s="14" t="n">
        <v>1.3539</v>
      </c>
      <c r="E538" s="14" t="n">
        <v>1.2064</v>
      </c>
      <c r="F538" s="14" t="n">
        <v>6.4915</v>
      </c>
      <c r="G538" s="14" t="n">
        <v>3.2274</v>
      </c>
      <c r="H538" s="14" t="n">
        <v>112.78</v>
      </c>
      <c r="I538" s="14" t="n">
        <v>1.2065</v>
      </c>
      <c r="J538" s="14" t="n">
        <v>9.7655</v>
      </c>
      <c r="K538" s="14" t="n">
        <v>1283.14</v>
      </c>
      <c r="L538" s="14" t="n">
        <v>0.89103</v>
      </c>
      <c r="M538" s="14" t="n">
        <v>7.838</v>
      </c>
      <c r="N538" s="14" t="n">
        <v>3.906</v>
      </c>
      <c r="O538" s="14" t="n">
        <v>135.92</v>
      </c>
      <c r="P538" s="14" t="n">
        <v>8.0941</v>
      </c>
    </row>
    <row r="539" customFormat="false" ht="15" hidden="false" customHeight="false" outlineLevel="0" collapsed="false">
      <c r="A539" s="13" t="n">
        <v>43105</v>
      </c>
      <c r="B539" s="14" t="n">
        <v>1060.07</v>
      </c>
      <c r="C539" s="14" t="n">
        <v>8.048</v>
      </c>
      <c r="D539" s="14" t="n">
        <v>1.3562</v>
      </c>
      <c r="E539" s="14" t="n">
        <v>1.2039</v>
      </c>
      <c r="F539" s="14" t="n">
        <v>6.4875</v>
      </c>
      <c r="G539" s="14" t="n">
        <v>3.2285</v>
      </c>
      <c r="H539" s="14" t="n">
        <v>113.18</v>
      </c>
      <c r="I539" s="14" t="n">
        <v>1.2045</v>
      </c>
      <c r="J539" s="14" t="n">
        <v>9.7418</v>
      </c>
      <c r="K539" s="14" t="n">
        <v>1281.2</v>
      </c>
      <c r="L539" s="14" t="n">
        <v>0.88883</v>
      </c>
      <c r="M539" s="14" t="n">
        <v>7.8151</v>
      </c>
      <c r="N539" s="14" t="n">
        <v>3.9057</v>
      </c>
      <c r="O539" s="14" t="n">
        <v>136.45</v>
      </c>
      <c r="P539" s="14" t="n">
        <v>8.0878</v>
      </c>
    </row>
    <row r="540" customFormat="false" ht="15" hidden="false" customHeight="false" outlineLevel="0" collapsed="false">
      <c r="A540" s="13" t="n">
        <v>43108</v>
      </c>
      <c r="B540" s="14" t="n">
        <v>1066.26</v>
      </c>
      <c r="C540" s="14" t="n">
        <v>8.0712</v>
      </c>
      <c r="D540" s="14" t="n">
        <v>1.3566</v>
      </c>
      <c r="E540" s="14" t="n">
        <v>1.1973</v>
      </c>
      <c r="F540" s="14" t="n">
        <v>6.497</v>
      </c>
      <c r="G540" s="14" t="n">
        <v>3.2308</v>
      </c>
      <c r="H540" s="14" t="n">
        <v>113.08</v>
      </c>
      <c r="I540" s="14" t="n">
        <v>1.1973</v>
      </c>
      <c r="J540" s="14" t="n">
        <v>9.6783</v>
      </c>
      <c r="K540" s="14" t="n">
        <v>1277.87</v>
      </c>
      <c r="L540" s="14" t="n">
        <v>0.88413</v>
      </c>
      <c r="M540" s="14" t="n">
        <v>7.7816</v>
      </c>
      <c r="N540" s="14" t="n">
        <v>3.8825</v>
      </c>
      <c r="O540" s="14" t="n">
        <v>135.34</v>
      </c>
      <c r="P540" s="14" t="n">
        <v>8.0834</v>
      </c>
    </row>
    <row r="541" customFormat="false" ht="15" hidden="false" customHeight="false" outlineLevel="0" collapsed="false">
      <c r="A541" s="13" t="n">
        <v>43109</v>
      </c>
      <c r="B541" s="14" t="n">
        <v>1068.8</v>
      </c>
      <c r="C541" s="14" t="n">
        <v>8.1147</v>
      </c>
      <c r="D541" s="14" t="n">
        <v>1.3518</v>
      </c>
      <c r="E541" s="14" t="n">
        <v>1.1922</v>
      </c>
      <c r="F541" s="14" t="n">
        <v>6.5263</v>
      </c>
      <c r="G541" s="14" t="n">
        <v>3.2491</v>
      </c>
      <c r="H541" s="14" t="n">
        <v>112.57</v>
      </c>
      <c r="I541" s="14" t="n">
        <v>1.1932</v>
      </c>
      <c r="J541" s="14" t="n">
        <v>9.6715</v>
      </c>
      <c r="K541" s="14" t="n">
        <v>1274.81</v>
      </c>
      <c r="L541" s="14" t="n">
        <v>0.8827</v>
      </c>
      <c r="M541" s="14" t="n">
        <v>7.7865</v>
      </c>
      <c r="N541" s="14" t="n">
        <v>3.8571</v>
      </c>
      <c r="O541" s="14" t="n">
        <v>134.31</v>
      </c>
      <c r="P541" s="14" t="n">
        <v>8.1055</v>
      </c>
    </row>
    <row r="542" customFormat="false" ht="15" hidden="false" customHeight="false" outlineLevel="0" collapsed="false">
      <c r="A542" s="13" t="n">
        <v>43110</v>
      </c>
      <c r="B542" s="14" t="n">
        <v>1067.55</v>
      </c>
      <c r="C542" s="14" t="n">
        <v>8.0718</v>
      </c>
      <c r="D542" s="14" t="n">
        <v>1.3513</v>
      </c>
      <c r="E542" s="14" t="n">
        <v>1.1958</v>
      </c>
      <c r="F542" s="14" t="n">
        <v>6.5055</v>
      </c>
      <c r="G542" s="14" t="n">
        <v>3.2363</v>
      </c>
      <c r="H542" s="14" t="n">
        <v>111.48</v>
      </c>
      <c r="I542" s="14" t="n">
        <v>1.1992</v>
      </c>
      <c r="J542" s="14" t="n">
        <v>9.6448</v>
      </c>
      <c r="K542" s="14" t="n">
        <v>1280.95</v>
      </c>
      <c r="L542" s="14" t="n">
        <v>0.8867</v>
      </c>
      <c r="M542" s="14" t="n">
        <v>7.7996</v>
      </c>
      <c r="N542" s="14" t="n">
        <v>3.8952</v>
      </c>
      <c r="O542" s="14" t="n">
        <v>133.62</v>
      </c>
      <c r="P542" s="14" t="n">
        <v>8.0427</v>
      </c>
    </row>
    <row r="543" customFormat="false" ht="15" hidden="false" customHeight="false" outlineLevel="0" collapsed="false">
      <c r="A543" s="13" t="n">
        <v>43111</v>
      </c>
      <c r="B543" s="14" t="n">
        <v>1062.67</v>
      </c>
      <c r="C543" s="14" t="n">
        <v>8.0135</v>
      </c>
      <c r="D543" s="14" t="n">
        <v>1.3543</v>
      </c>
      <c r="E543" s="14" t="n">
        <v>1.2035</v>
      </c>
      <c r="F543" s="14" t="n">
        <v>6.4956</v>
      </c>
      <c r="G543" s="14" t="n">
        <v>3.2254</v>
      </c>
      <c r="H543" s="14" t="n">
        <v>111.35</v>
      </c>
      <c r="I543" s="14" t="n">
        <v>1.2017</v>
      </c>
      <c r="J543" s="14" t="n">
        <v>9.6735</v>
      </c>
      <c r="K543" s="14" t="n">
        <v>1282.33</v>
      </c>
      <c r="L543" s="14" t="n">
        <v>0.89075</v>
      </c>
      <c r="M543" s="14" t="n">
        <v>7.8127</v>
      </c>
      <c r="N543" s="14" t="n">
        <v>3.8858</v>
      </c>
      <c r="O543" s="14" t="n">
        <v>134.19</v>
      </c>
      <c r="P543" s="14" t="n">
        <v>8.0498</v>
      </c>
    </row>
    <row r="544" customFormat="false" ht="15" hidden="false" customHeight="false" outlineLevel="0" collapsed="false">
      <c r="A544" s="13" t="n">
        <v>43112</v>
      </c>
      <c r="B544" s="14" t="n">
        <v>1062.09</v>
      </c>
      <c r="C544" s="14" t="n">
        <v>7.9561</v>
      </c>
      <c r="D544" s="14" t="n">
        <v>1.3689</v>
      </c>
      <c r="E544" s="14" t="n">
        <v>1.213</v>
      </c>
      <c r="F544" s="14" t="n">
        <v>6.4607</v>
      </c>
      <c r="G544" s="14" t="n">
        <v>3.2162</v>
      </c>
      <c r="H544" s="14" t="n">
        <v>111.23</v>
      </c>
      <c r="I544" s="14" t="n">
        <v>1.2137</v>
      </c>
      <c r="J544" s="14" t="n">
        <v>9.659</v>
      </c>
      <c r="K544" s="14" t="n">
        <v>1289.54</v>
      </c>
      <c r="L544" s="14" t="n">
        <v>0.88983</v>
      </c>
      <c r="M544" s="14" t="n">
        <v>7.8417</v>
      </c>
      <c r="N544" s="14" t="n">
        <v>3.8959</v>
      </c>
      <c r="O544" s="14" t="n">
        <v>134.88</v>
      </c>
      <c r="P544" s="14" t="n">
        <v>7.9583</v>
      </c>
    </row>
    <row r="545" customFormat="false" ht="15" hidden="false" customHeight="false" outlineLevel="0" collapsed="false">
      <c r="A545" s="13" t="n">
        <v>43115</v>
      </c>
      <c r="I545" s="14" t="n">
        <v>1.2277</v>
      </c>
      <c r="J545" s="14" t="n">
        <v>9.6708</v>
      </c>
      <c r="K545" s="14" t="n">
        <v>1305.74</v>
      </c>
      <c r="L545" s="14" t="n">
        <v>0.89043</v>
      </c>
      <c r="M545" s="14" t="n">
        <v>7.904</v>
      </c>
      <c r="N545" s="14" t="n">
        <v>3.9237</v>
      </c>
      <c r="O545" s="14" t="n">
        <v>135.81</v>
      </c>
      <c r="P545" s="14" t="n">
        <v>7.8772</v>
      </c>
    </row>
    <row r="546" customFormat="false" ht="15" hidden="false" customHeight="false" outlineLevel="0" collapsed="false">
      <c r="A546" s="13" t="n">
        <v>43116</v>
      </c>
      <c r="B546" s="14" t="n">
        <v>1064.19</v>
      </c>
      <c r="C546" s="14" t="n">
        <v>7.8682</v>
      </c>
      <c r="D546" s="14" t="n">
        <v>1.3774</v>
      </c>
      <c r="E546" s="14" t="n">
        <v>1.2244</v>
      </c>
      <c r="F546" s="14" t="n">
        <v>6.4395</v>
      </c>
      <c r="G546" s="14" t="n">
        <v>3.2274</v>
      </c>
      <c r="H546" s="14" t="n">
        <v>110.74</v>
      </c>
      <c r="I546" s="14" t="n">
        <v>1.223</v>
      </c>
      <c r="J546" s="14" t="n">
        <v>9.6308</v>
      </c>
      <c r="K546" s="14" t="n">
        <v>1302.4</v>
      </c>
      <c r="L546" s="14" t="n">
        <v>0.8886</v>
      </c>
      <c r="M546" s="14" t="n">
        <v>7.878</v>
      </c>
      <c r="N546" s="14" t="n">
        <v>3.9303</v>
      </c>
      <c r="O546" s="14" t="n">
        <v>135.4</v>
      </c>
      <c r="P546" s="14" t="n">
        <v>7.8747</v>
      </c>
    </row>
    <row r="547" customFormat="false" ht="15" hidden="false" customHeight="false" outlineLevel="0" collapsed="false">
      <c r="A547" s="13" t="n">
        <v>43117</v>
      </c>
      <c r="B547" s="14" t="n">
        <v>1066.72</v>
      </c>
      <c r="C547" s="14" t="n">
        <v>7.8536</v>
      </c>
      <c r="D547" s="14" t="n">
        <v>1.3824</v>
      </c>
      <c r="E547" s="14" t="n">
        <v>1.2229</v>
      </c>
      <c r="F547" s="14" t="n">
        <v>6.433</v>
      </c>
      <c r="G547" s="14" t="n">
        <v>3.2215</v>
      </c>
      <c r="H547" s="14" t="n">
        <v>110.81</v>
      </c>
      <c r="I547" s="14" t="n">
        <v>1.2203</v>
      </c>
      <c r="J547" s="14" t="n">
        <v>9.622</v>
      </c>
      <c r="K547" s="14" t="n">
        <v>1303.65</v>
      </c>
      <c r="L547" s="14" t="n">
        <v>0.88568</v>
      </c>
      <c r="M547" s="14" t="n">
        <v>7.8528</v>
      </c>
      <c r="N547" s="14" t="n">
        <v>3.9497</v>
      </c>
      <c r="O547" s="14" t="n">
        <v>135.21</v>
      </c>
      <c r="P547" s="14" t="n">
        <v>7.8849</v>
      </c>
    </row>
    <row r="548" customFormat="false" ht="15" hidden="false" customHeight="false" outlineLevel="0" collapsed="false">
      <c r="A548" s="13" t="n">
        <v>43118</v>
      </c>
      <c r="B548" s="14" t="n">
        <v>1069.35</v>
      </c>
      <c r="C548" s="14" t="n">
        <v>7.8285</v>
      </c>
      <c r="D548" s="14" t="n">
        <v>1.3889</v>
      </c>
      <c r="E548" s="14" t="n">
        <v>1.2238</v>
      </c>
      <c r="F548" s="14" t="n">
        <v>6.4175</v>
      </c>
      <c r="G548" s="14" t="n">
        <v>3.2169</v>
      </c>
      <c r="H548" s="14" t="n">
        <v>110.88</v>
      </c>
      <c r="I548" s="14" t="n">
        <v>1.2235</v>
      </c>
      <c r="J548" s="14" t="n">
        <v>9.6013</v>
      </c>
      <c r="K548" s="14" t="n">
        <v>1306.61</v>
      </c>
      <c r="L548" s="14" t="n">
        <v>0.88208</v>
      </c>
      <c r="M548" s="14" t="n">
        <v>7.8582</v>
      </c>
      <c r="N548" s="14" t="n">
        <v>3.9321</v>
      </c>
      <c r="O548" s="14" t="n">
        <v>136.07</v>
      </c>
      <c r="P548" s="14" t="n">
        <v>7.8474</v>
      </c>
    </row>
    <row r="549" customFormat="false" ht="15" hidden="false" customHeight="false" outlineLevel="0" collapsed="false">
      <c r="A549" s="13" t="n">
        <v>43119</v>
      </c>
      <c r="B549" s="14" t="n">
        <v>1065.81</v>
      </c>
      <c r="C549" s="14" t="n">
        <v>7.8528</v>
      </c>
      <c r="D549" s="14" t="n">
        <v>1.3857</v>
      </c>
      <c r="E549" s="14" t="n">
        <v>1.2238</v>
      </c>
      <c r="F549" s="14" t="n">
        <v>6.399</v>
      </c>
      <c r="G549" s="14" t="n">
        <v>3.205</v>
      </c>
      <c r="H549" s="14" t="n">
        <v>110.56</v>
      </c>
      <c r="I549" s="14" t="n">
        <v>1.2255</v>
      </c>
      <c r="J549" s="14" t="n">
        <v>9.6243</v>
      </c>
      <c r="K549" s="14" t="n">
        <v>1306.92</v>
      </c>
      <c r="L549" s="14" t="n">
        <v>0.88365</v>
      </c>
      <c r="M549" s="14" t="n">
        <v>7.8481</v>
      </c>
      <c r="N549" s="14" t="n">
        <v>3.9312</v>
      </c>
      <c r="O549" s="14" t="n">
        <v>135.54</v>
      </c>
      <c r="P549" s="14" t="n">
        <v>7.8534</v>
      </c>
    </row>
    <row r="550" customFormat="false" ht="15" hidden="false" customHeight="false" outlineLevel="0" collapsed="false">
      <c r="A550" s="13" t="n">
        <v>43122</v>
      </c>
      <c r="B550" s="14" t="n">
        <v>1068.06</v>
      </c>
      <c r="C550" s="14" t="n">
        <v>7.8748</v>
      </c>
      <c r="D550" s="14" t="n">
        <v>1.3944</v>
      </c>
      <c r="E550" s="14" t="n">
        <v>1.223</v>
      </c>
      <c r="F550" s="14" t="n">
        <v>6.4035</v>
      </c>
      <c r="G550" s="14" t="n">
        <v>3.2024</v>
      </c>
      <c r="H550" s="14" t="n">
        <v>111.15</v>
      </c>
      <c r="I550" s="14" t="n">
        <v>1.2239</v>
      </c>
      <c r="J550" s="14" t="n">
        <v>9.6223</v>
      </c>
      <c r="K550" s="14" t="n">
        <v>1309.98</v>
      </c>
      <c r="L550" s="14" t="n">
        <v>0.88085</v>
      </c>
      <c r="M550" s="14" t="n">
        <v>7.8374</v>
      </c>
      <c r="N550" s="14" t="n">
        <v>3.9083</v>
      </c>
      <c r="O550" s="14" t="n">
        <v>135.66</v>
      </c>
      <c r="P550" s="14" t="n">
        <v>7.862</v>
      </c>
    </row>
    <row r="551" customFormat="false" ht="15" hidden="false" customHeight="false" outlineLevel="0" collapsed="false">
      <c r="A551" s="13" t="n">
        <v>43123</v>
      </c>
      <c r="B551" s="14" t="n">
        <v>1072.59</v>
      </c>
      <c r="C551" s="14" t="n">
        <v>7.8416</v>
      </c>
      <c r="D551" s="14" t="n">
        <v>1.3968</v>
      </c>
      <c r="E551" s="14" t="n">
        <v>1.2277</v>
      </c>
      <c r="F551" s="14" t="n">
        <v>6.4</v>
      </c>
      <c r="G551" s="14" t="n">
        <v>3.2312</v>
      </c>
      <c r="H551" s="14" t="n">
        <v>110.46</v>
      </c>
      <c r="I551" s="14" t="n">
        <v>1.2249</v>
      </c>
      <c r="J551" s="14" t="n">
        <v>9.638</v>
      </c>
      <c r="K551" s="14" t="n">
        <v>1317.85</v>
      </c>
      <c r="L551" s="14" t="n">
        <v>0.8783</v>
      </c>
      <c r="M551" s="14" t="n">
        <v>7.8466</v>
      </c>
      <c r="N551" s="14" t="n">
        <v>3.9453</v>
      </c>
      <c r="O551" s="14" t="n">
        <v>135.35</v>
      </c>
      <c r="P551" s="14" t="n">
        <v>7.8684</v>
      </c>
    </row>
    <row r="552" customFormat="false" ht="15" hidden="false" customHeight="false" outlineLevel="0" collapsed="false">
      <c r="A552" s="13" t="n">
        <v>43124</v>
      </c>
      <c r="B552" s="14" t="n">
        <v>1065.39</v>
      </c>
      <c r="C552" s="14" t="n">
        <v>7.7679</v>
      </c>
      <c r="D552" s="14" t="n">
        <v>1.4198</v>
      </c>
      <c r="E552" s="14" t="n">
        <v>1.239</v>
      </c>
      <c r="F552" s="14" t="n">
        <v>6.365</v>
      </c>
      <c r="G552" s="14" t="n">
        <v>3.1938</v>
      </c>
      <c r="H552" s="14" t="n">
        <v>109.15</v>
      </c>
      <c r="I552" s="14" t="n">
        <v>1.2352</v>
      </c>
      <c r="J552" s="14" t="n">
        <v>9.6275</v>
      </c>
      <c r="K552" s="14" t="n">
        <v>1315.33</v>
      </c>
      <c r="L552" s="14" t="n">
        <v>0.87183</v>
      </c>
      <c r="M552" s="14" t="n">
        <v>7.8719</v>
      </c>
      <c r="N552" s="14" t="n">
        <v>3.9437</v>
      </c>
      <c r="O552" s="14" t="n">
        <v>135.13</v>
      </c>
      <c r="P552" s="14" t="n">
        <v>7.7943</v>
      </c>
    </row>
    <row r="553" customFormat="false" ht="15" hidden="false" customHeight="false" outlineLevel="0" collapsed="false">
      <c r="A553" s="13" t="n">
        <v>43125</v>
      </c>
      <c r="B553" s="14" t="n">
        <v>1057.57</v>
      </c>
      <c r="C553" s="14" t="n">
        <v>7.6678</v>
      </c>
      <c r="D553" s="14" t="n">
        <v>1.4264</v>
      </c>
      <c r="E553" s="14" t="n">
        <v>1.2488</v>
      </c>
      <c r="F553" s="14" t="n">
        <v>6.3189</v>
      </c>
      <c r="G553" s="14" t="n">
        <v>3.147</v>
      </c>
      <c r="H553" s="14" t="n">
        <v>108.7</v>
      </c>
      <c r="I553" s="14" t="n">
        <v>1.2407</v>
      </c>
      <c r="J553" s="14" t="n">
        <v>9.5858</v>
      </c>
      <c r="K553" s="14" t="n">
        <v>1314.41</v>
      </c>
      <c r="L553" s="14" t="n">
        <v>0.87038</v>
      </c>
      <c r="M553" s="14" t="n">
        <v>7.8549</v>
      </c>
      <c r="N553" s="14" t="n">
        <v>3.9063</v>
      </c>
      <c r="O553" s="14" t="n">
        <v>135.12</v>
      </c>
      <c r="P553" s="14" t="n">
        <v>7.7261</v>
      </c>
    </row>
    <row r="554" customFormat="false" ht="15" hidden="false" customHeight="false" outlineLevel="0" collapsed="false">
      <c r="A554" s="13" t="n">
        <v>43126</v>
      </c>
      <c r="B554" s="14" t="n">
        <v>1064.12</v>
      </c>
      <c r="C554" s="14" t="n">
        <v>7.6863</v>
      </c>
      <c r="D554" s="14" t="n">
        <v>1.4179</v>
      </c>
      <c r="E554" s="14" t="n">
        <v>1.2422</v>
      </c>
      <c r="F554" s="14" t="n">
        <v>6.3199</v>
      </c>
      <c r="G554" s="14" t="n">
        <v>3.1499</v>
      </c>
      <c r="H554" s="14" t="n">
        <v>108.38</v>
      </c>
      <c r="I554" s="14" t="n">
        <v>1.2436</v>
      </c>
      <c r="J554" s="14" t="n">
        <v>9.5655</v>
      </c>
      <c r="K554" s="14" t="n">
        <v>1323.68</v>
      </c>
      <c r="L554" s="14" t="n">
        <v>0.87335</v>
      </c>
      <c r="M554" s="14" t="n">
        <v>7.8693</v>
      </c>
      <c r="N554" s="14" t="n">
        <v>3.9149</v>
      </c>
      <c r="O554" s="14" t="n">
        <v>135.95</v>
      </c>
      <c r="P554" s="14" t="n">
        <v>7.6918</v>
      </c>
    </row>
    <row r="555" customFormat="false" ht="15" hidden="false" customHeight="false" outlineLevel="0" collapsed="false">
      <c r="A555" s="13" t="n">
        <v>43129</v>
      </c>
      <c r="B555" s="14" t="n">
        <v>1071.28</v>
      </c>
      <c r="C555" s="14" t="n">
        <v>7.727</v>
      </c>
      <c r="D555" s="14" t="n">
        <v>1.4042</v>
      </c>
      <c r="E555" s="14" t="n">
        <v>1.2352</v>
      </c>
      <c r="F555" s="14" t="n">
        <v>6.3328</v>
      </c>
      <c r="G555" s="14" t="n">
        <v>3.1634</v>
      </c>
      <c r="H555" s="14" t="n">
        <v>109.12</v>
      </c>
      <c r="I555" s="14" t="n">
        <v>1.2379</v>
      </c>
      <c r="J555" s="14" t="n">
        <v>9.5548</v>
      </c>
      <c r="K555" s="14" t="n">
        <v>1324.74</v>
      </c>
      <c r="L555" s="14" t="n">
        <v>0.8794</v>
      </c>
      <c r="M555" s="14" t="n">
        <v>7.8383</v>
      </c>
      <c r="N555" s="14" t="n">
        <v>3.9209</v>
      </c>
      <c r="O555" s="14" t="n">
        <v>134.75</v>
      </c>
      <c r="P555" s="14" t="n">
        <v>7.7186</v>
      </c>
    </row>
    <row r="556" customFormat="false" ht="15" hidden="false" customHeight="false" outlineLevel="0" collapsed="false">
      <c r="A556" s="13" t="n">
        <v>43130</v>
      </c>
      <c r="B556" s="14" t="n">
        <v>1073.61</v>
      </c>
      <c r="C556" s="14" t="n">
        <v>7.7218</v>
      </c>
      <c r="D556" s="14" t="n">
        <v>1.4124</v>
      </c>
      <c r="E556" s="14" t="n">
        <v>1.239</v>
      </c>
      <c r="F556" s="14" t="n">
        <v>6.3199</v>
      </c>
      <c r="G556" s="14" t="n">
        <v>3.1874</v>
      </c>
      <c r="H556" s="14" t="n">
        <v>108.9</v>
      </c>
      <c r="I556" s="14" t="n">
        <v>1.2421</v>
      </c>
      <c r="J556" s="14" t="n">
        <v>9.5628</v>
      </c>
      <c r="K556" s="14" t="n">
        <v>1329.25</v>
      </c>
      <c r="L556" s="14" t="n">
        <v>0.8793</v>
      </c>
      <c r="M556" s="14" t="n">
        <v>7.8566</v>
      </c>
      <c r="N556" s="14" t="n">
        <v>3.928</v>
      </c>
      <c r="O556" s="14" t="n">
        <v>134.98</v>
      </c>
      <c r="P556" s="14" t="n">
        <v>7.6989</v>
      </c>
    </row>
    <row r="557" customFormat="false" ht="15" hidden="false" customHeight="false" outlineLevel="0" collapsed="false">
      <c r="A557" s="13" t="n">
        <v>43131</v>
      </c>
      <c r="B557" s="14" t="n">
        <v>1068.33</v>
      </c>
      <c r="C557" s="14" t="n">
        <v>7.7019</v>
      </c>
      <c r="D557" s="14" t="n">
        <v>1.419</v>
      </c>
      <c r="E557" s="14" t="n">
        <v>1.2428</v>
      </c>
      <c r="F557" s="14" t="n">
        <v>6.2841</v>
      </c>
      <c r="G557" s="14" t="n">
        <v>3.1782</v>
      </c>
      <c r="H557" s="14" t="n">
        <v>109.31</v>
      </c>
      <c r="I557" s="14" t="n">
        <v>1.2457</v>
      </c>
      <c r="J557" s="14" t="n">
        <v>9.562</v>
      </c>
      <c r="K557" s="14" t="n">
        <v>1327.03</v>
      </c>
      <c r="L557" s="14" t="n">
        <v>0.8791</v>
      </c>
      <c r="M557" s="14" t="n">
        <v>7.834</v>
      </c>
      <c r="N557" s="14" t="n">
        <v>3.9368</v>
      </c>
      <c r="O557" s="14" t="n">
        <v>135.6</v>
      </c>
      <c r="P557" s="14" t="n">
        <v>7.676</v>
      </c>
    </row>
    <row r="558" customFormat="false" ht="15" hidden="false" customHeight="false" outlineLevel="0" collapsed="false">
      <c r="A558" s="13" t="n">
        <v>43132</v>
      </c>
      <c r="B558" s="14" t="n">
        <v>1069.33</v>
      </c>
      <c r="C558" s="14" t="n">
        <v>7.6671</v>
      </c>
      <c r="D558" s="14" t="n">
        <v>1.4247</v>
      </c>
      <c r="E558" s="14" t="n">
        <v>1.2482</v>
      </c>
      <c r="F558" s="14" t="n">
        <v>6.2969</v>
      </c>
      <c r="G558" s="14" t="n">
        <v>3.1718</v>
      </c>
      <c r="H558" s="14" t="n">
        <v>109.5</v>
      </c>
      <c r="I558" s="14" t="n">
        <v>1.2459</v>
      </c>
      <c r="J558" s="14" t="n">
        <v>9.5705</v>
      </c>
      <c r="K558" s="14" t="n">
        <v>1334.46</v>
      </c>
      <c r="L558" s="14" t="n">
        <v>0.8752</v>
      </c>
      <c r="M558" s="14" t="n">
        <v>7.8451</v>
      </c>
      <c r="N558" s="14" t="n">
        <v>3.9488</v>
      </c>
      <c r="O558" s="14" t="n">
        <v>136.62</v>
      </c>
      <c r="P558" s="14" t="n">
        <v>7.6816</v>
      </c>
    </row>
    <row r="559" customFormat="false" ht="15" hidden="false" customHeight="false" outlineLevel="0" collapsed="false">
      <c r="A559" s="13" t="n">
        <v>43133</v>
      </c>
      <c r="B559" s="14" t="n">
        <v>1086.21</v>
      </c>
      <c r="C559" s="14" t="n">
        <v>7.7396</v>
      </c>
      <c r="D559" s="14" t="n">
        <v>1.4126</v>
      </c>
      <c r="E559" s="14" t="n">
        <v>1.2446</v>
      </c>
      <c r="F559" s="14" t="n">
        <v>6.2984</v>
      </c>
      <c r="G559" s="14" t="n">
        <v>3.2205</v>
      </c>
      <c r="H559" s="14" t="n">
        <v>110.4</v>
      </c>
      <c r="I559" s="14" t="n">
        <v>1.2492</v>
      </c>
      <c r="J559" s="14" t="n">
        <v>9.5663</v>
      </c>
      <c r="K559" s="14" t="n">
        <v>1355.17</v>
      </c>
      <c r="L559" s="14" t="n">
        <v>0.8785</v>
      </c>
      <c r="M559" s="14" t="n">
        <v>7.855</v>
      </c>
      <c r="N559" s="14" t="n">
        <v>3.9993</v>
      </c>
      <c r="O559" s="14" t="n">
        <v>137.22</v>
      </c>
      <c r="P559" s="14" t="n">
        <v>7.6579</v>
      </c>
    </row>
    <row r="560" customFormat="false" ht="15" hidden="false" customHeight="false" outlineLevel="0" collapsed="false">
      <c r="A560" s="13" t="n">
        <v>43136</v>
      </c>
      <c r="B560" s="14" t="n">
        <v>1086.79</v>
      </c>
      <c r="C560" s="14" t="n">
        <v>7.7832</v>
      </c>
      <c r="D560" s="14" t="n">
        <v>1.4022</v>
      </c>
      <c r="E560" s="14" t="n">
        <v>1.2418</v>
      </c>
      <c r="F560" s="14" t="n">
        <v>6.285</v>
      </c>
      <c r="G560" s="14" t="n">
        <v>3.2365</v>
      </c>
      <c r="H560" s="14" t="n">
        <v>110.09</v>
      </c>
      <c r="I560" s="14" t="n">
        <v>1.244</v>
      </c>
      <c r="J560" s="14" t="n">
        <v>9.6108</v>
      </c>
      <c r="K560" s="14" t="n">
        <v>1352.64</v>
      </c>
      <c r="L560" s="14" t="n">
        <v>0.88568</v>
      </c>
      <c r="M560" s="14" t="n">
        <v>7.8248</v>
      </c>
      <c r="N560" s="14" t="n">
        <v>4.0174</v>
      </c>
      <c r="O560" s="14" t="n">
        <v>136.67</v>
      </c>
      <c r="P560" s="14" t="n">
        <v>7.7257</v>
      </c>
    </row>
    <row r="561" customFormat="false" ht="15" hidden="false" customHeight="false" outlineLevel="0" collapsed="false">
      <c r="A561" s="13" t="n">
        <v>43137</v>
      </c>
      <c r="B561" s="14" t="n">
        <v>1081.2</v>
      </c>
      <c r="C561" s="14" t="n">
        <v>7.8253</v>
      </c>
      <c r="D561" s="14" t="n">
        <v>1.3951</v>
      </c>
      <c r="E561" s="14" t="n">
        <v>1.2381</v>
      </c>
      <c r="F561" s="14" t="n">
        <v>6.283</v>
      </c>
      <c r="G561" s="14" t="n">
        <v>3.2535</v>
      </c>
      <c r="H561" s="14" t="n">
        <v>109.18</v>
      </c>
      <c r="I561" s="14" t="n">
        <v>1.2329</v>
      </c>
      <c r="J561" s="14" t="n">
        <v>9.7005</v>
      </c>
      <c r="K561" s="14" t="n">
        <v>1339.89</v>
      </c>
      <c r="L561" s="14" t="n">
        <v>0.88885</v>
      </c>
      <c r="M561" s="14" t="n">
        <v>7.7446</v>
      </c>
      <c r="N561" s="14" t="n">
        <v>4.0381</v>
      </c>
      <c r="O561" s="14" t="n">
        <v>134.97</v>
      </c>
      <c r="P561" s="14" t="n">
        <v>7.868</v>
      </c>
    </row>
    <row r="562" customFormat="false" ht="15" hidden="false" customHeight="false" outlineLevel="0" collapsed="false">
      <c r="A562" s="13" t="n">
        <v>43138</v>
      </c>
      <c r="B562" s="14" t="n">
        <v>1082.56</v>
      </c>
      <c r="C562" s="14" t="n">
        <v>7.8744</v>
      </c>
      <c r="D562" s="14" t="n">
        <v>1.3881</v>
      </c>
      <c r="E562" s="14" t="n">
        <v>1.2281</v>
      </c>
      <c r="F562" s="14" t="n">
        <v>6.2649</v>
      </c>
      <c r="G562" s="14" t="n">
        <v>3.262</v>
      </c>
      <c r="H562" s="14" t="n">
        <v>109.53</v>
      </c>
      <c r="I562" s="14" t="n">
        <v>1.2338</v>
      </c>
      <c r="J562" s="14" t="n">
        <v>9.6618</v>
      </c>
      <c r="K562" s="14" t="n">
        <v>1335.72</v>
      </c>
      <c r="L562" s="14" t="n">
        <v>0.88675</v>
      </c>
      <c r="M562" s="14" t="n">
        <v>7.7416</v>
      </c>
      <c r="N562" s="14" t="n">
        <v>4.007</v>
      </c>
      <c r="O562" s="14" t="n">
        <v>134.84</v>
      </c>
      <c r="P562" s="14" t="n">
        <v>7.8309</v>
      </c>
    </row>
    <row r="563" customFormat="false" ht="15" hidden="false" customHeight="false" outlineLevel="0" collapsed="false">
      <c r="A563" s="13" t="n">
        <v>43139</v>
      </c>
      <c r="B563" s="14" t="n">
        <v>1093.04</v>
      </c>
      <c r="C563" s="14" t="n">
        <v>7.9252</v>
      </c>
      <c r="D563" s="14" t="n">
        <v>1.3915</v>
      </c>
      <c r="E563" s="14" t="n">
        <v>1.2238</v>
      </c>
      <c r="F563" s="14" t="n">
        <v>6.3222</v>
      </c>
      <c r="G563" s="14" t="n">
        <v>3.2895</v>
      </c>
      <c r="H563" s="14" t="n">
        <v>109</v>
      </c>
      <c r="I563" s="14" t="n">
        <v>1.2252</v>
      </c>
      <c r="J563" s="14" t="n">
        <v>9.686</v>
      </c>
      <c r="K563" s="14" t="n">
        <v>1335.37</v>
      </c>
      <c r="L563" s="14" t="n">
        <v>0.87513</v>
      </c>
      <c r="M563" s="14" t="n">
        <v>7.7549</v>
      </c>
      <c r="N563" s="14" t="n">
        <v>4.0034</v>
      </c>
      <c r="O563" s="14" t="n">
        <v>134.31</v>
      </c>
      <c r="P563" s="14" t="n">
        <v>7.9056</v>
      </c>
    </row>
    <row r="564" customFormat="false" ht="15" hidden="false" customHeight="false" outlineLevel="0" collapsed="false">
      <c r="A564" s="13" t="n">
        <v>43140</v>
      </c>
      <c r="B564" s="14" t="n">
        <v>1087.99</v>
      </c>
      <c r="C564" s="14" t="n">
        <v>7.9867</v>
      </c>
      <c r="D564" s="14" t="n">
        <v>1.3794</v>
      </c>
      <c r="E564" s="14" t="n">
        <v>1.2226</v>
      </c>
      <c r="F564" s="14" t="n">
        <v>6.2966</v>
      </c>
      <c r="G564" s="14" t="n">
        <v>3.3083</v>
      </c>
      <c r="H564" s="14" t="n">
        <v>108.44</v>
      </c>
      <c r="I564" s="14" t="n">
        <v>1.2273</v>
      </c>
      <c r="J564" s="14" t="n">
        <v>9.7983</v>
      </c>
      <c r="K564" s="14" t="n">
        <v>1336.19</v>
      </c>
      <c r="L564" s="14" t="n">
        <v>0.8874</v>
      </c>
      <c r="M564" s="14" t="n">
        <v>7.7362</v>
      </c>
      <c r="N564" s="14" t="n">
        <v>4.0244</v>
      </c>
      <c r="O564" s="14" t="n">
        <v>133.59</v>
      </c>
      <c r="P564" s="14" t="n">
        <v>7.9836</v>
      </c>
    </row>
    <row r="565" customFormat="false" ht="15" hidden="false" customHeight="false" outlineLevel="0" collapsed="false">
      <c r="A565" s="13" t="n">
        <v>43143</v>
      </c>
      <c r="B565" s="14" t="n">
        <v>1082.27</v>
      </c>
      <c r="C565" s="14" t="n">
        <v>7.9236</v>
      </c>
      <c r="D565" s="14" t="n">
        <v>1.382</v>
      </c>
      <c r="E565" s="14" t="n">
        <v>1.2267</v>
      </c>
      <c r="F565" s="14" t="n">
        <v>6.325</v>
      </c>
      <c r="G565" s="14" t="n">
        <v>3.2949</v>
      </c>
      <c r="H565" s="14" t="n">
        <v>108.72</v>
      </c>
      <c r="I565" s="14" t="n">
        <v>1.2263</v>
      </c>
      <c r="J565" s="14" t="n">
        <v>9.7475</v>
      </c>
      <c r="K565" s="14" t="n">
        <v>1328.3</v>
      </c>
      <c r="L565" s="14" t="n">
        <v>0.886</v>
      </c>
      <c r="M565" s="14" t="n">
        <v>7.7604</v>
      </c>
      <c r="N565" s="14" t="n">
        <v>4.0415</v>
      </c>
      <c r="O565" s="14" t="n">
        <v>133.23</v>
      </c>
      <c r="P565" s="14" t="n">
        <v>7.9487</v>
      </c>
    </row>
    <row r="566" customFormat="false" ht="15" hidden="false" customHeight="false" outlineLevel="0" collapsed="false">
      <c r="A566" s="13" t="n">
        <v>43144</v>
      </c>
      <c r="B566" s="14" t="n">
        <v>1083.07</v>
      </c>
      <c r="C566" s="14" t="n">
        <v>7.8792</v>
      </c>
      <c r="D566" s="14" t="n">
        <v>1.3892</v>
      </c>
      <c r="E566" s="14" t="n">
        <v>1.2363</v>
      </c>
      <c r="F566" s="14" t="n">
        <v>6.338</v>
      </c>
      <c r="G566" s="14" t="n">
        <v>3.2947</v>
      </c>
      <c r="H566" s="14" t="n">
        <v>107.59</v>
      </c>
      <c r="I566" s="14" t="n">
        <v>1.2333</v>
      </c>
      <c r="J566" s="14" t="n">
        <v>9.7418</v>
      </c>
      <c r="K566" s="14" t="n">
        <v>1338.24</v>
      </c>
      <c r="L566" s="14" t="n">
        <v>0.88935</v>
      </c>
      <c r="M566" s="14" t="n">
        <v>7.8244</v>
      </c>
      <c r="N566" s="14" t="n">
        <v>4.0642</v>
      </c>
      <c r="O566" s="14" t="n">
        <v>132.82</v>
      </c>
      <c r="P566" s="14" t="n">
        <v>7.899</v>
      </c>
    </row>
    <row r="567" customFormat="false" ht="15" hidden="false" customHeight="false" outlineLevel="0" collapsed="false">
      <c r="A567" s="13" t="n">
        <v>43145</v>
      </c>
      <c r="B567" s="14" t="n">
        <v>1076.71</v>
      </c>
      <c r="C567" s="14" t="n">
        <v>7.8429</v>
      </c>
      <c r="D567" s="14" t="n">
        <v>1.3955</v>
      </c>
      <c r="E567" s="14" t="n">
        <v>1.2396</v>
      </c>
      <c r="F567" s="14" t="n">
        <v>6.3438</v>
      </c>
      <c r="G567" s="14" t="n">
        <v>3.2551</v>
      </c>
      <c r="H567" s="14" t="n">
        <v>107</v>
      </c>
      <c r="I567" s="14" t="n">
        <v>1.2348</v>
      </c>
      <c r="J567" s="14" t="n">
        <v>9.7148</v>
      </c>
      <c r="K567" s="14" t="n">
        <v>1331.19</v>
      </c>
      <c r="L567" s="14" t="n">
        <v>0.8904</v>
      </c>
      <c r="M567" s="14" t="n">
        <v>7.8341</v>
      </c>
      <c r="N567" s="14" t="n">
        <v>4.0525</v>
      </c>
      <c r="O567" s="14" t="n">
        <v>132.4</v>
      </c>
      <c r="P567" s="14" t="n">
        <v>7.8675</v>
      </c>
    </row>
    <row r="568" customFormat="false" ht="15" hidden="false" customHeight="false" outlineLevel="0" collapsed="false">
      <c r="A568" s="13" t="n">
        <v>43146</v>
      </c>
      <c r="B568" s="14" t="n">
        <v>1065.69</v>
      </c>
      <c r="C568" s="14" t="n">
        <v>7.7926</v>
      </c>
      <c r="D568" s="14" t="n">
        <v>1.4061</v>
      </c>
      <c r="E568" s="14" t="n">
        <v>1.2482</v>
      </c>
      <c r="F568" s="14" t="n">
        <v>6.3438</v>
      </c>
      <c r="G568" s="14" t="n">
        <v>3.2318</v>
      </c>
      <c r="H568" s="14" t="n">
        <v>106.36</v>
      </c>
      <c r="I568" s="14" t="n">
        <v>1.2493</v>
      </c>
      <c r="J568" s="14" t="n">
        <v>9.735</v>
      </c>
      <c r="K568" s="14" t="n">
        <v>1330.75</v>
      </c>
      <c r="L568" s="14" t="n">
        <v>0.8866</v>
      </c>
      <c r="M568" s="14" t="n">
        <v>7.9261</v>
      </c>
      <c r="N568" s="14" t="n">
        <v>4.0254</v>
      </c>
      <c r="O568" s="14" t="n">
        <v>133.11</v>
      </c>
      <c r="P568" s="14" t="n">
        <v>7.7924</v>
      </c>
    </row>
    <row r="569" customFormat="false" ht="15" hidden="false" customHeight="false" outlineLevel="0" collapsed="false">
      <c r="A569" s="13" t="n">
        <v>43147</v>
      </c>
      <c r="B569" s="14" t="n">
        <v>1065.27</v>
      </c>
      <c r="C569" s="14" t="n">
        <v>7.7556</v>
      </c>
      <c r="D569" s="14" t="n">
        <v>1.4055</v>
      </c>
      <c r="E569" s="14" t="n">
        <v>1.2442</v>
      </c>
      <c r="F569" s="14" t="n">
        <v>6.3438</v>
      </c>
      <c r="G569" s="14" t="n">
        <v>3.2219</v>
      </c>
      <c r="H569" s="14" t="n">
        <v>106.1</v>
      </c>
      <c r="I569" s="14" t="n">
        <v>1.2464</v>
      </c>
      <c r="J569" s="14" t="n">
        <v>9.681</v>
      </c>
      <c r="K569" s="14" t="n">
        <v>1327.26</v>
      </c>
      <c r="L569" s="14" t="n">
        <v>0.88803</v>
      </c>
      <c r="M569" s="14" t="n">
        <v>7.9077</v>
      </c>
      <c r="N569" s="14" t="n">
        <v>4.0314</v>
      </c>
      <c r="O569" s="14" t="n">
        <v>132.34</v>
      </c>
      <c r="P569" s="14" t="n">
        <v>7.7672</v>
      </c>
    </row>
    <row r="570" customFormat="false" ht="15" hidden="false" customHeight="false" outlineLevel="0" collapsed="false">
      <c r="A570" s="13" t="n">
        <v>43150</v>
      </c>
      <c r="I570" s="14" t="n">
        <v>1.241</v>
      </c>
      <c r="J570" s="14" t="n">
        <v>9.6575</v>
      </c>
      <c r="K570" s="14" t="n">
        <v>1323.97</v>
      </c>
      <c r="L570" s="14" t="n">
        <v>0.8859</v>
      </c>
      <c r="M570" s="14" t="n">
        <v>7.8734</v>
      </c>
      <c r="N570" s="14" t="n">
        <v>4.0126</v>
      </c>
      <c r="O570" s="14" t="n">
        <v>132.24</v>
      </c>
      <c r="P570" s="14" t="n">
        <v>7.782</v>
      </c>
    </row>
    <row r="571" customFormat="false" ht="15" hidden="false" customHeight="false" outlineLevel="0" collapsed="false">
      <c r="A571" s="13" t="n">
        <v>43151</v>
      </c>
      <c r="B571" s="14" t="n">
        <v>1072.85</v>
      </c>
      <c r="C571" s="14" t="n">
        <v>7.8331</v>
      </c>
      <c r="D571" s="14" t="n">
        <v>1.4021</v>
      </c>
      <c r="E571" s="14" t="n">
        <v>1.2348</v>
      </c>
      <c r="F571" s="14" t="n">
        <v>6.3351</v>
      </c>
      <c r="G571" s="14" t="n">
        <v>3.2434</v>
      </c>
      <c r="H571" s="14" t="n">
        <v>107.23</v>
      </c>
      <c r="I571" s="14" t="n">
        <v>1.234</v>
      </c>
      <c r="J571" s="14" t="n">
        <v>9.6683</v>
      </c>
      <c r="K571" s="14" t="n">
        <v>1323.7</v>
      </c>
      <c r="L571" s="14" t="n">
        <v>0.88168</v>
      </c>
      <c r="M571" s="14" t="n">
        <v>7.829</v>
      </c>
      <c r="N571" s="14" t="n">
        <v>4.0114</v>
      </c>
      <c r="O571" s="14" t="n">
        <v>132.25</v>
      </c>
      <c r="P571" s="14" t="n">
        <v>7.8349</v>
      </c>
    </row>
    <row r="572" customFormat="false" ht="15" hidden="false" customHeight="false" outlineLevel="0" collapsed="false">
      <c r="A572" s="13" t="n">
        <v>43152</v>
      </c>
      <c r="B572" s="14" t="n">
        <v>1076.11</v>
      </c>
      <c r="C572" s="14" t="n">
        <v>7.8338</v>
      </c>
      <c r="D572" s="14" t="n">
        <v>1.3946</v>
      </c>
      <c r="E572" s="14" t="n">
        <v>1.2314</v>
      </c>
      <c r="F572" s="14" t="n">
        <v>6.3351</v>
      </c>
      <c r="G572" s="14" t="n">
        <v>3.2581</v>
      </c>
      <c r="H572" s="14" t="n">
        <v>107.64</v>
      </c>
      <c r="I572" s="14" t="n">
        <v>1.2312</v>
      </c>
      <c r="J572" s="14" t="n">
        <v>9.642</v>
      </c>
      <c r="K572" s="14" t="n">
        <v>1322.02</v>
      </c>
      <c r="L572" s="14" t="n">
        <v>0.88463</v>
      </c>
      <c r="M572" s="14" t="n">
        <v>7.8112</v>
      </c>
      <c r="N572" s="14" t="n">
        <v>4.008</v>
      </c>
      <c r="O572" s="14" t="n">
        <v>132.41</v>
      </c>
      <c r="P572" s="14" t="n">
        <v>7.8314</v>
      </c>
    </row>
    <row r="573" customFormat="false" ht="15" hidden="false" customHeight="false" outlineLevel="0" collapsed="false">
      <c r="A573" s="13" t="n">
        <v>43153</v>
      </c>
      <c r="B573" s="14" t="n">
        <v>1077.61</v>
      </c>
      <c r="C573" s="14" t="n">
        <v>7.8656</v>
      </c>
      <c r="D573" s="14" t="n">
        <v>1.3939</v>
      </c>
      <c r="E573" s="14" t="n">
        <v>1.2326</v>
      </c>
      <c r="F573" s="14" t="n">
        <v>6.3471</v>
      </c>
      <c r="G573" s="14" t="n">
        <v>3.2579</v>
      </c>
      <c r="H573" s="14" t="n">
        <v>106.96</v>
      </c>
      <c r="I573" s="14" t="n">
        <v>1.2276</v>
      </c>
      <c r="J573" s="14" t="n">
        <v>9.6893</v>
      </c>
      <c r="K573" s="14" t="n">
        <v>1331.26</v>
      </c>
      <c r="L573" s="14" t="n">
        <v>0.88343</v>
      </c>
      <c r="M573" s="14" t="n">
        <v>7.8085</v>
      </c>
      <c r="N573" s="14" t="n">
        <v>4.0149</v>
      </c>
      <c r="O573" s="14" t="n">
        <v>131.47</v>
      </c>
      <c r="P573" s="14" t="n">
        <v>7.8929</v>
      </c>
    </row>
    <row r="574" customFormat="false" ht="15" hidden="false" customHeight="false" outlineLevel="0" collapsed="false">
      <c r="A574" s="13" t="n">
        <v>43154</v>
      </c>
      <c r="B574" s="14" t="n">
        <v>1075.77</v>
      </c>
      <c r="C574" s="14" t="n">
        <v>7.8415</v>
      </c>
      <c r="D574" s="14" t="n">
        <v>1.3979</v>
      </c>
      <c r="E574" s="14" t="n">
        <v>1.2298</v>
      </c>
      <c r="F574" s="14" t="n">
        <v>6.3329</v>
      </c>
      <c r="G574" s="14" t="n">
        <v>3.2344</v>
      </c>
      <c r="H574" s="14" t="n">
        <v>106.64</v>
      </c>
      <c r="I574" s="14" t="n">
        <v>1.2299</v>
      </c>
      <c r="J574" s="14" t="n">
        <v>9.677</v>
      </c>
      <c r="K574" s="14" t="n">
        <v>1324.37</v>
      </c>
      <c r="L574" s="14" t="n">
        <v>0.8794</v>
      </c>
      <c r="M574" s="14" t="n">
        <v>7.7914</v>
      </c>
      <c r="N574" s="14" t="n">
        <v>3.9875</v>
      </c>
      <c r="O574" s="14" t="n">
        <v>131.28</v>
      </c>
      <c r="P574" s="14" t="n">
        <v>7.8681</v>
      </c>
    </row>
    <row r="575" customFormat="false" ht="15" hidden="false" customHeight="false" outlineLevel="0" collapsed="false">
      <c r="A575" s="13" t="n">
        <v>43157</v>
      </c>
      <c r="B575" s="14" t="n">
        <v>1069</v>
      </c>
      <c r="C575" s="14" t="n">
        <v>7.8328</v>
      </c>
      <c r="D575" s="14" t="n">
        <v>1.3952</v>
      </c>
      <c r="E575" s="14" t="n">
        <v>1.2296</v>
      </c>
      <c r="F575" s="14" t="n">
        <v>6.3115</v>
      </c>
      <c r="G575" s="14" t="n">
        <v>3.2381</v>
      </c>
      <c r="H575" s="14" t="n">
        <v>106.96</v>
      </c>
      <c r="I575" s="14" t="n">
        <v>1.232</v>
      </c>
      <c r="J575" s="14" t="n">
        <v>9.6303</v>
      </c>
      <c r="K575" s="14" t="n">
        <v>1320.16</v>
      </c>
      <c r="L575" s="14" t="n">
        <v>0.8782</v>
      </c>
      <c r="M575" s="14" t="n">
        <v>7.7723</v>
      </c>
      <c r="N575" s="14" t="n">
        <v>3.9857</v>
      </c>
      <c r="O575" s="14" t="n">
        <v>131.6</v>
      </c>
      <c r="P575" s="14" t="n">
        <v>7.8168</v>
      </c>
    </row>
    <row r="576" customFormat="false" ht="15" hidden="false" customHeight="false" outlineLevel="0" collapsed="false">
      <c r="A576" s="13" t="n">
        <v>43158</v>
      </c>
      <c r="B576" s="14" t="n">
        <v>1077.43</v>
      </c>
      <c r="C576" s="14" t="n">
        <v>7.8669</v>
      </c>
      <c r="D576" s="14" t="n">
        <v>1.3906</v>
      </c>
      <c r="E576" s="14" t="n">
        <v>1.2239</v>
      </c>
      <c r="F576" s="14" t="n">
        <v>6.3169</v>
      </c>
      <c r="G576" s="14" t="n">
        <v>3.2472</v>
      </c>
      <c r="H576" s="14" t="n">
        <v>107.47</v>
      </c>
      <c r="I576" s="14" t="n">
        <v>1.2301</v>
      </c>
      <c r="J576" s="14" t="n">
        <v>9.629</v>
      </c>
      <c r="K576" s="14" t="n">
        <v>1318.51</v>
      </c>
      <c r="L576" s="14" t="n">
        <v>0.884</v>
      </c>
      <c r="M576" s="14" t="n">
        <v>7.7665</v>
      </c>
      <c r="N576" s="14" t="n">
        <v>3.9831</v>
      </c>
      <c r="O576" s="14" t="n">
        <v>131.77</v>
      </c>
      <c r="P576" s="14" t="n">
        <v>7.8278</v>
      </c>
    </row>
    <row r="577" customFormat="false" ht="15" hidden="false" customHeight="false" outlineLevel="0" collapsed="false">
      <c r="A577" s="13" t="n">
        <v>43159</v>
      </c>
      <c r="B577" s="14" t="n">
        <v>1082.12</v>
      </c>
      <c r="C577" s="14" t="n">
        <v>7.8798</v>
      </c>
      <c r="D577" s="14" t="n">
        <v>1.3794</v>
      </c>
      <c r="E577" s="14" t="n">
        <v>1.2211</v>
      </c>
      <c r="F577" s="14" t="n">
        <v>6.328</v>
      </c>
      <c r="G577" s="14" t="n">
        <v>3.2428</v>
      </c>
      <c r="H577" s="14" t="n">
        <v>106.62</v>
      </c>
      <c r="I577" s="14" t="n">
        <v>1.2214</v>
      </c>
      <c r="J577" s="14" t="n">
        <v>9.6153</v>
      </c>
      <c r="K577" s="14" t="n">
        <v>1320.25</v>
      </c>
      <c r="L577" s="14" t="n">
        <v>0.88415</v>
      </c>
      <c r="M577" s="14" t="n">
        <v>7.7285</v>
      </c>
      <c r="N577" s="14" t="n">
        <v>3.9615</v>
      </c>
      <c r="O577" s="14" t="n">
        <v>130.72</v>
      </c>
      <c r="P577" s="14" t="n">
        <v>7.8724</v>
      </c>
    </row>
    <row r="578" customFormat="false" ht="15" hidden="false" customHeight="false" outlineLevel="0" collapsed="false">
      <c r="A578" s="13" t="n">
        <v>43160</v>
      </c>
      <c r="B578" s="14" t="n">
        <v>1081.33</v>
      </c>
      <c r="C578" s="14" t="n">
        <v>7.8612</v>
      </c>
      <c r="D578" s="14" t="n">
        <v>1.3755</v>
      </c>
      <c r="E578" s="14" t="n">
        <v>1.2216</v>
      </c>
      <c r="F578" s="14" t="n">
        <v>6.3565</v>
      </c>
      <c r="G578" s="14" t="n">
        <v>3.2421</v>
      </c>
      <c r="H578" s="14" t="n">
        <v>106.91</v>
      </c>
      <c r="I578" s="14" t="n">
        <v>1.2171</v>
      </c>
      <c r="J578" s="14" t="n">
        <v>9.66</v>
      </c>
      <c r="K578" s="14" t="n">
        <v>1323.49</v>
      </c>
      <c r="L578" s="14" t="n">
        <v>0.8852</v>
      </c>
      <c r="M578" s="14" t="n">
        <v>7.729</v>
      </c>
      <c r="N578" s="14" t="n">
        <v>3.974</v>
      </c>
      <c r="O578" s="14" t="n">
        <v>129.98</v>
      </c>
      <c r="P578" s="14" t="n">
        <v>7.9369</v>
      </c>
    </row>
    <row r="579" customFormat="false" ht="15" hidden="false" customHeight="false" outlineLevel="0" collapsed="false">
      <c r="A579" s="13" t="n">
        <v>43161</v>
      </c>
      <c r="B579" s="14" t="n">
        <v>1080.25</v>
      </c>
      <c r="C579" s="14" t="n">
        <v>7.8037</v>
      </c>
      <c r="D579" s="14" t="n">
        <v>1.3769</v>
      </c>
      <c r="E579" s="14" t="n">
        <v>1.2314</v>
      </c>
      <c r="F579" s="14" t="n">
        <v>6.3428</v>
      </c>
      <c r="G579" s="14" t="n">
        <v>3.2513</v>
      </c>
      <c r="H579" s="14" t="n">
        <v>105.65</v>
      </c>
      <c r="I579" s="14" t="n">
        <v>1.2312</v>
      </c>
      <c r="J579" s="14" t="n">
        <v>9.6178</v>
      </c>
      <c r="K579" s="14" t="n">
        <v>1334.84</v>
      </c>
      <c r="L579" s="14" t="n">
        <v>0.8932</v>
      </c>
      <c r="M579" s="14" t="n">
        <v>7.8121</v>
      </c>
      <c r="N579" s="14" t="n">
        <v>4.0096</v>
      </c>
      <c r="O579" s="14" t="n">
        <v>129.77</v>
      </c>
      <c r="P579" s="14" t="n">
        <v>7.8117</v>
      </c>
    </row>
    <row r="580" customFormat="false" ht="15" hidden="false" customHeight="false" outlineLevel="0" collapsed="false">
      <c r="A580" s="13" t="n">
        <v>43164</v>
      </c>
      <c r="B580" s="14" t="n">
        <v>1076.75</v>
      </c>
      <c r="C580" s="14" t="n">
        <v>7.8249</v>
      </c>
      <c r="D580" s="14" t="n">
        <v>1.3856</v>
      </c>
      <c r="E580" s="14" t="n">
        <v>1.233</v>
      </c>
      <c r="F580" s="14" t="n">
        <v>6.3491</v>
      </c>
      <c r="G580" s="14" t="n">
        <v>3.2527</v>
      </c>
      <c r="H580" s="14" t="n">
        <v>105.97</v>
      </c>
      <c r="I580" s="14" t="n">
        <v>1.2307</v>
      </c>
      <c r="J580" s="14" t="n">
        <v>9.6335</v>
      </c>
      <c r="K580" s="14" t="n">
        <v>1328.69</v>
      </c>
      <c r="L580" s="14" t="n">
        <v>0.8907</v>
      </c>
      <c r="M580" s="14" t="n">
        <v>7.803</v>
      </c>
      <c r="N580" s="14" t="n">
        <v>4.0096</v>
      </c>
      <c r="O580" s="14" t="n">
        <v>130.02</v>
      </c>
      <c r="P580" s="14" t="n">
        <v>7.8277</v>
      </c>
    </row>
    <row r="581" customFormat="false" ht="15" hidden="false" customHeight="false" outlineLevel="0" collapsed="false">
      <c r="A581" s="13" t="n">
        <v>43165</v>
      </c>
      <c r="B581" s="14" t="n">
        <v>1061.53</v>
      </c>
      <c r="C581" s="14" t="n">
        <v>7.7782</v>
      </c>
      <c r="D581" s="14" t="n">
        <v>1.3886</v>
      </c>
      <c r="E581" s="14" t="n">
        <v>1.2415</v>
      </c>
      <c r="F581" s="14" t="n">
        <v>6.3093</v>
      </c>
      <c r="G581" s="14" t="n">
        <v>3.2191</v>
      </c>
      <c r="H581" s="14" t="n">
        <v>106.03</v>
      </c>
      <c r="I581" s="14" t="n">
        <v>1.2411</v>
      </c>
      <c r="J581" s="14" t="n">
        <v>9.613</v>
      </c>
      <c r="K581" s="14" t="n">
        <v>1316.92</v>
      </c>
      <c r="L581" s="14" t="n">
        <v>0.89165</v>
      </c>
      <c r="M581" s="14" t="n">
        <v>7.8538</v>
      </c>
      <c r="N581" s="14" t="n">
        <v>3.9927</v>
      </c>
      <c r="O581" s="14" t="n">
        <v>131.84</v>
      </c>
      <c r="P581" s="14" t="n">
        <v>7.7455</v>
      </c>
    </row>
    <row r="582" customFormat="false" ht="15" hidden="false" customHeight="false" outlineLevel="0" collapsed="false">
      <c r="A582" s="13" t="n">
        <v>43166</v>
      </c>
      <c r="B582" s="14" t="n">
        <v>1067.93</v>
      </c>
      <c r="C582" s="14" t="n">
        <v>7.818</v>
      </c>
      <c r="D582" s="14" t="n">
        <v>1.3888</v>
      </c>
      <c r="E582" s="14" t="n">
        <v>1.2397</v>
      </c>
      <c r="F582" s="14" t="n">
        <v>6.3225</v>
      </c>
      <c r="G582" s="14" t="n">
        <v>3.2364</v>
      </c>
      <c r="H582" s="14" t="n">
        <v>105.94</v>
      </c>
      <c r="I582" s="14" t="n">
        <v>1.2417</v>
      </c>
      <c r="J582" s="14" t="n">
        <v>9.6775</v>
      </c>
      <c r="K582" s="14" t="n">
        <v>1327.71</v>
      </c>
      <c r="L582" s="14" t="n">
        <v>0.89513</v>
      </c>
      <c r="M582" s="14" t="n">
        <v>7.8484</v>
      </c>
      <c r="N582" s="14" t="n">
        <v>4.0094</v>
      </c>
      <c r="O582" s="14" t="n">
        <v>131.41</v>
      </c>
      <c r="P582" s="14" t="n">
        <v>7.7938</v>
      </c>
    </row>
    <row r="583" customFormat="false" ht="15" hidden="false" customHeight="false" outlineLevel="0" collapsed="false">
      <c r="A583" s="13" t="n">
        <v>43167</v>
      </c>
      <c r="B583" s="14" t="n">
        <v>1074.21</v>
      </c>
      <c r="C583" s="14" t="n">
        <v>7.8409</v>
      </c>
      <c r="D583" s="14" t="n">
        <v>1.3824</v>
      </c>
      <c r="E583" s="14" t="n">
        <v>1.2314</v>
      </c>
      <c r="F583" s="14" t="n">
        <v>6.3389</v>
      </c>
      <c r="G583" s="14" t="n">
        <v>3.262</v>
      </c>
      <c r="H583" s="14" t="n">
        <v>106.08</v>
      </c>
      <c r="I583" s="14" t="n">
        <v>1.2421</v>
      </c>
      <c r="J583" s="14" t="n">
        <v>9.7135</v>
      </c>
      <c r="K583" s="14" t="n">
        <v>1331.33</v>
      </c>
      <c r="L583" s="14" t="n">
        <v>0.89465</v>
      </c>
      <c r="M583" s="14" t="n">
        <v>7.8696</v>
      </c>
      <c r="N583" s="14" t="n">
        <v>4.0261</v>
      </c>
      <c r="O583" s="14" t="n">
        <v>131.83</v>
      </c>
      <c r="P583" s="14" t="n">
        <v>7.8202</v>
      </c>
    </row>
    <row r="584" customFormat="false" ht="15" hidden="false" customHeight="false" outlineLevel="0" collapsed="false">
      <c r="A584" s="13" t="n">
        <v>43168</v>
      </c>
      <c r="B584" s="14" t="n">
        <v>1066.59</v>
      </c>
      <c r="C584" s="14" t="n">
        <v>7.7702</v>
      </c>
      <c r="D584" s="14" t="n">
        <v>1.3863</v>
      </c>
      <c r="E584" s="14" t="n">
        <v>1.2326</v>
      </c>
      <c r="F584" s="14" t="n">
        <v>6.3285</v>
      </c>
      <c r="G584" s="14" t="n">
        <v>3.2469</v>
      </c>
      <c r="H584" s="14" t="n">
        <v>106.74</v>
      </c>
      <c r="I584" s="14" t="n">
        <v>1.2291</v>
      </c>
      <c r="J584" s="14" t="n">
        <v>9.5948</v>
      </c>
      <c r="K584" s="14" t="n">
        <v>1315.51</v>
      </c>
      <c r="L584" s="14" t="n">
        <v>0.88893</v>
      </c>
      <c r="M584" s="14" t="n">
        <v>7.7895</v>
      </c>
      <c r="N584" s="14" t="n">
        <v>4.01</v>
      </c>
      <c r="O584" s="14" t="n">
        <v>131.31</v>
      </c>
      <c r="P584" s="14" t="n">
        <v>7.8064</v>
      </c>
    </row>
    <row r="585" customFormat="false" ht="15" hidden="false" customHeight="false" outlineLevel="0" collapsed="false">
      <c r="A585" s="13" t="n">
        <v>43171</v>
      </c>
      <c r="B585" s="14" t="n">
        <v>1063.7</v>
      </c>
      <c r="C585" s="14" t="n">
        <v>7.7555</v>
      </c>
      <c r="D585" s="14" t="n">
        <v>1.3898</v>
      </c>
      <c r="E585" s="14" t="n">
        <v>1.2318</v>
      </c>
      <c r="F585" s="14" t="n">
        <v>6.327</v>
      </c>
      <c r="G585" s="14" t="n">
        <v>3.2609</v>
      </c>
      <c r="H585" s="14" t="n">
        <v>106.52</v>
      </c>
      <c r="I585" s="14" t="n">
        <v>1.2302</v>
      </c>
      <c r="J585" s="14" t="n">
        <v>9.5645</v>
      </c>
      <c r="K585" s="14" t="n">
        <v>1312.16</v>
      </c>
      <c r="L585" s="14" t="n">
        <v>0.8859</v>
      </c>
      <c r="M585" s="14" t="n">
        <v>7.7886</v>
      </c>
      <c r="N585" s="14" t="n">
        <v>4.0087</v>
      </c>
      <c r="O585" s="14" t="n">
        <v>131.04</v>
      </c>
      <c r="P585" s="14" t="n">
        <v>7.7748</v>
      </c>
    </row>
    <row r="586" customFormat="false" ht="15" hidden="false" customHeight="false" outlineLevel="0" collapsed="false">
      <c r="A586" s="13" t="n">
        <v>43172</v>
      </c>
      <c r="B586" s="14" t="n">
        <v>1062.14</v>
      </c>
      <c r="C586" s="14" t="n">
        <v>7.7226</v>
      </c>
      <c r="D586" s="14" t="n">
        <v>1.3987</v>
      </c>
      <c r="E586" s="14" t="n">
        <v>1.2398</v>
      </c>
      <c r="F586" s="14" t="n">
        <v>6.318</v>
      </c>
      <c r="G586" s="14" t="n">
        <v>3.2483</v>
      </c>
      <c r="H586" s="14" t="n">
        <v>106.64</v>
      </c>
      <c r="I586" s="14" t="n">
        <v>1.2378</v>
      </c>
      <c r="J586" s="14" t="n">
        <v>9.5808</v>
      </c>
      <c r="K586" s="14" t="n">
        <v>1316.84</v>
      </c>
      <c r="L586" s="14" t="n">
        <v>0.8865</v>
      </c>
      <c r="M586" s="14" t="n">
        <v>7.8265</v>
      </c>
      <c r="N586" s="14" t="n">
        <v>4.0142</v>
      </c>
      <c r="O586" s="14" t="n">
        <v>132.31</v>
      </c>
      <c r="P586" s="14" t="n">
        <v>7.7402</v>
      </c>
    </row>
    <row r="587" customFormat="false" ht="15" hidden="false" customHeight="false" outlineLevel="0" collapsed="false">
      <c r="A587" s="13" t="n">
        <v>43173</v>
      </c>
      <c r="B587" s="14" t="n">
        <v>1063.38</v>
      </c>
      <c r="C587" s="14" t="n">
        <v>7.737</v>
      </c>
      <c r="D587" s="14" t="n">
        <v>1.3946</v>
      </c>
      <c r="E587" s="14" t="n">
        <v>1.2362</v>
      </c>
      <c r="F587" s="14" t="n">
        <v>6.314</v>
      </c>
      <c r="G587" s="14" t="n">
        <v>3.2641</v>
      </c>
      <c r="H587" s="14" t="n">
        <v>106.17</v>
      </c>
      <c r="I587" s="14" t="n">
        <v>1.2369</v>
      </c>
      <c r="J587" s="14" t="n">
        <v>9.5728</v>
      </c>
      <c r="K587" s="14" t="n">
        <v>1313.97</v>
      </c>
      <c r="L587" s="14" t="n">
        <v>0.8863</v>
      </c>
      <c r="M587" s="14" t="n">
        <v>7.8089</v>
      </c>
      <c r="N587" s="14" t="n">
        <v>4.0244</v>
      </c>
      <c r="O587" s="14" t="n">
        <v>131.77</v>
      </c>
      <c r="P587" s="14" t="n">
        <v>7.7393</v>
      </c>
    </row>
    <row r="588" customFormat="false" ht="15" hidden="false" customHeight="false" outlineLevel="0" collapsed="false">
      <c r="A588" s="13" t="n">
        <v>43174</v>
      </c>
      <c r="B588" s="14" t="n">
        <v>1065.89</v>
      </c>
      <c r="C588" s="14" t="n">
        <v>7.7064</v>
      </c>
      <c r="D588" s="14" t="n">
        <v>1.3951</v>
      </c>
      <c r="E588" s="14" t="n">
        <v>1.2321</v>
      </c>
      <c r="F588" s="14" t="n">
        <v>6.3202</v>
      </c>
      <c r="G588" s="14" t="n">
        <v>3.2841</v>
      </c>
      <c r="H588" s="14" t="n">
        <v>106.07</v>
      </c>
      <c r="I588" s="14" t="n">
        <v>1.2341</v>
      </c>
      <c r="J588" s="14" t="n">
        <v>9.5078</v>
      </c>
      <c r="K588" s="14" t="n">
        <v>1314.61</v>
      </c>
      <c r="L588" s="14" t="n">
        <v>0.8848</v>
      </c>
      <c r="M588" s="14" t="n">
        <v>7.7966</v>
      </c>
      <c r="N588" s="14" t="n">
        <v>4.0579</v>
      </c>
      <c r="O588" s="14" t="n">
        <v>130.9</v>
      </c>
      <c r="P588" s="14" t="n">
        <v>7.7042</v>
      </c>
    </row>
    <row r="589" customFormat="false" ht="15" hidden="false" customHeight="false" outlineLevel="0" collapsed="false">
      <c r="A589" s="13" t="n">
        <v>43175</v>
      </c>
      <c r="B589" s="14" t="n">
        <v>1068.4</v>
      </c>
      <c r="C589" s="14" t="n">
        <v>7.7155</v>
      </c>
      <c r="D589" s="14" t="n">
        <v>1.3919</v>
      </c>
      <c r="E589" s="14" t="n">
        <v>1.228</v>
      </c>
      <c r="F589" s="14" t="n">
        <v>6.33</v>
      </c>
      <c r="G589" s="14" t="n">
        <v>3.2897</v>
      </c>
      <c r="H589" s="14" t="n">
        <v>106.1</v>
      </c>
      <c r="I589" s="14" t="n">
        <v>1.2301</v>
      </c>
      <c r="J589" s="14" t="n">
        <v>9.491</v>
      </c>
      <c r="K589" s="14" t="n">
        <v>1313.43</v>
      </c>
      <c r="L589" s="14" t="n">
        <v>0.88253</v>
      </c>
      <c r="M589" s="14" t="n">
        <v>7.781</v>
      </c>
      <c r="N589" s="14" t="n">
        <v>4.0464</v>
      </c>
      <c r="O589" s="14" t="n">
        <v>130.21</v>
      </c>
      <c r="P589" s="14" t="n">
        <v>7.7156</v>
      </c>
    </row>
    <row r="590" customFormat="false" ht="15" hidden="false" customHeight="false" outlineLevel="0" collapsed="false">
      <c r="A590" s="13" t="n">
        <v>43178</v>
      </c>
      <c r="B590" s="14" t="n">
        <v>1072.29</v>
      </c>
      <c r="C590" s="14" t="n">
        <v>7.7293</v>
      </c>
      <c r="D590" s="14" t="n">
        <v>1.4032</v>
      </c>
      <c r="E590" s="14" t="n">
        <v>1.2329</v>
      </c>
      <c r="F590" s="14" t="n">
        <v>6.3291</v>
      </c>
      <c r="G590" s="14" t="n">
        <v>3.2873</v>
      </c>
      <c r="H590" s="14" t="n">
        <v>105.83</v>
      </c>
      <c r="I590" s="14" t="n">
        <v>1.2309</v>
      </c>
      <c r="J590" s="14" t="n">
        <v>9.5205</v>
      </c>
      <c r="K590" s="14" t="n">
        <v>1321.16</v>
      </c>
      <c r="L590" s="14" t="n">
        <v>0.87593</v>
      </c>
      <c r="M590" s="14" t="n">
        <v>7.7944</v>
      </c>
      <c r="N590" s="14" t="n">
        <v>4.0567</v>
      </c>
      <c r="O590" s="14" t="n">
        <v>130.65</v>
      </c>
      <c r="P590" s="14" t="n">
        <v>7.7346</v>
      </c>
    </row>
    <row r="591" customFormat="false" ht="15" hidden="false" customHeight="false" outlineLevel="0" collapsed="false">
      <c r="A591" s="13" t="n">
        <v>43179</v>
      </c>
      <c r="B591" s="14" t="n">
        <v>1070.61</v>
      </c>
      <c r="C591" s="14" t="n">
        <v>7.7296</v>
      </c>
      <c r="D591" s="14" t="n">
        <v>1.4013</v>
      </c>
      <c r="E591" s="14" t="n">
        <v>1.2271</v>
      </c>
      <c r="F591" s="14" t="n">
        <v>6.3328</v>
      </c>
      <c r="G591" s="14" t="n">
        <v>3.295</v>
      </c>
      <c r="H591" s="14" t="n">
        <v>106.42</v>
      </c>
      <c r="I591" s="14" t="n">
        <v>1.2276</v>
      </c>
      <c r="J591" s="14" t="n">
        <v>9.4863</v>
      </c>
      <c r="K591" s="14" t="n">
        <v>1314.93</v>
      </c>
      <c r="L591" s="14" t="n">
        <v>0.87715</v>
      </c>
      <c r="M591" s="14" t="n">
        <v>7.7744</v>
      </c>
      <c r="N591" s="14" t="n">
        <v>4.041</v>
      </c>
      <c r="O591" s="14" t="n">
        <v>130.72</v>
      </c>
      <c r="P591" s="14" t="n">
        <v>7.7275</v>
      </c>
    </row>
    <row r="592" customFormat="false" ht="15" hidden="false" customHeight="false" outlineLevel="0" collapsed="false">
      <c r="A592" s="13" t="n">
        <v>43180</v>
      </c>
      <c r="B592" s="14" t="n">
        <v>1070.51</v>
      </c>
      <c r="C592" s="14" t="n">
        <v>7.7401</v>
      </c>
      <c r="D592" s="14" t="n">
        <v>1.4064</v>
      </c>
      <c r="E592" s="14" t="n">
        <v>1.2268</v>
      </c>
      <c r="F592" s="14" t="n">
        <v>6.32</v>
      </c>
      <c r="G592" s="14" t="n">
        <v>3.2865</v>
      </c>
      <c r="H592" s="14" t="n">
        <v>106.3</v>
      </c>
      <c r="I592" s="14" t="n">
        <v>1.2286</v>
      </c>
      <c r="J592" s="14" t="n">
        <v>9.5028</v>
      </c>
      <c r="K592" s="14" t="n">
        <v>1317.22</v>
      </c>
      <c r="L592" s="14" t="n">
        <v>0.87403</v>
      </c>
      <c r="M592" s="14" t="n">
        <v>7.777</v>
      </c>
      <c r="N592" s="14" t="n">
        <v>4.0552</v>
      </c>
      <c r="O592" s="14" t="n">
        <v>130.5</v>
      </c>
      <c r="P592" s="14" t="n">
        <v>7.7347</v>
      </c>
    </row>
    <row r="593" customFormat="false" ht="15" hidden="false" customHeight="false" outlineLevel="0" collapsed="false">
      <c r="A593" s="13" t="n">
        <v>43181</v>
      </c>
      <c r="B593" s="14" t="n">
        <v>1079.51</v>
      </c>
      <c r="C593" s="14" t="n">
        <v>7.752</v>
      </c>
      <c r="D593" s="14" t="n">
        <v>1.4098</v>
      </c>
      <c r="E593" s="14" t="n">
        <v>1.231</v>
      </c>
      <c r="F593" s="14" t="n">
        <v>6.331</v>
      </c>
      <c r="G593" s="14" t="n">
        <v>3.3034</v>
      </c>
      <c r="H593" s="14" t="n">
        <v>105.34</v>
      </c>
      <c r="I593" s="14" t="n">
        <v>1.2316</v>
      </c>
      <c r="J593" s="14" t="n">
        <v>9.5308</v>
      </c>
      <c r="K593" s="14" t="n">
        <v>1330.52</v>
      </c>
      <c r="L593" s="14" t="n">
        <v>0.872</v>
      </c>
      <c r="M593" s="14" t="n">
        <v>7.8016</v>
      </c>
      <c r="N593" s="14" t="n">
        <v>4.0666</v>
      </c>
      <c r="O593" s="14" t="n">
        <v>129.75</v>
      </c>
      <c r="P593" s="14" t="n">
        <v>7.7386</v>
      </c>
    </row>
    <row r="594" customFormat="false" ht="15" hidden="false" customHeight="false" outlineLevel="0" collapsed="false">
      <c r="A594" s="13" t="n">
        <v>43182</v>
      </c>
      <c r="B594" s="14" t="n">
        <v>1081.29</v>
      </c>
      <c r="C594" s="14" t="n">
        <v>7.7462</v>
      </c>
      <c r="D594" s="14" t="n">
        <v>1.4151</v>
      </c>
      <c r="E594" s="14" t="n">
        <v>1.236</v>
      </c>
      <c r="F594" s="14" t="n">
        <v>6.311</v>
      </c>
      <c r="G594" s="14" t="n">
        <v>3.3125</v>
      </c>
      <c r="H594" s="14" t="n">
        <v>104.83</v>
      </c>
      <c r="I594" s="14" t="n">
        <v>1.2346</v>
      </c>
      <c r="J594" s="14" t="n">
        <v>9.5715</v>
      </c>
      <c r="K594" s="14" t="n">
        <v>1330.3</v>
      </c>
      <c r="L594" s="14" t="n">
        <v>0.87285</v>
      </c>
      <c r="M594" s="14" t="n">
        <v>7.7975</v>
      </c>
      <c r="N594" s="14" t="n">
        <v>4.0726</v>
      </c>
      <c r="O594" s="14" t="n">
        <v>129.74</v>
      </c>
      <c r="P594" s="14" t="n">
        <v>7.7527</v>
      </c>
    </row>
    <row r="595" customFormat="false" ht="15" hidden="false" customHeight="false" outlineLevel="0" collapsed="false">
      <c r="A595" s="13" t="n">
        <v>43185</v>
      </c>
      <c r="B595" s="14" t="n">
        <v>1076.87</v>
      </c>
      <c r="C595" s="14" t="n">
        <v>7.6858</v>
      </c>
      <c r="D595" s="14" t="n">
        <v>1.4236</v>
      </c>
      <c r="E595" s="14" t="n">
        <v>1.244</v>
      </c>
      <c r="F595" s="14" t="n">
        <v>6.2685</v>
      </c>
      <c r="G595" s="14" t="n">
        <v>3.3043</v>
      </c>
      <c r="H595" s="14" t="n">
        <v>105</v>
      </c>
      <c r="I595" s="14" t="n">
        <v>1.2411</v>
      </c>
      <c r="J595" s="14" t="n">
        <v>9.5613</v>
      </c>
      <c r="K595" s="14" t="n">
        <v>1336.99</v>
      </c>
      <c r="L595" s="14" t="n">
        <v>0.87248</v>
      </c>
      <c r="M595" s="14" t="n">
        <v>7.7924</v>
      </c>
      <c r="N595" s="14" t="n">
        <v>4.0932</v>
      </c>
      <c r="O595" s="14" t="n">
        <v>130.47</v>
      </c>
      <c r="P595" s="14" t="n">
        <v>7.7039</v>
      </c>
    </row>
    <row r="596" customFormat="false" ht="15" hidden="false" customHeight="false" outlineLevel="0" collapsed="false">
      <c r="A596" s="13" t="n">
        <v>43186</v>
      </c>
      <c r="B596" s="14" t="n">
        <v>1071.21</v>
      </c>
      <c r="C596" s="14" t="n">
        <v>7.6896</v>
      </c>
      <c r="D596" s="14" t="n">
        <v>1.4161</v>
      </c>
      <c r="E596" s="14" t="n">
        <v>1.241</v>
      </c>
      <c r="F596" s="14" t="n">
        <v>6.2781</v>
      </c>
      <c r="G596" s="14" t="n">
        <v>3.3263</v>
      </c>
      <c r="H596" s="14" t="n">
        <v>105.72</v>
      </c>
      <c r="I596" s="14" t="n">
        <v>1.2376</v>
      </c>
      <c r="J596" s="14" t="n">
        <v>9.5603</v>
      </c>
      <c r="K596" s="14" t="n">
        <v>1328.86</v>
      </c>
      <c r="L596" s="14" t="n">
        <v>0.8794</v>
      </c>
      <c r="M596" s="14" t="n">
        <v>7.773</v>
      </c>
      <c r="N596" s="14" t="n">
        <v>4.1051</v>
      </c>
      <c r="O596" s="14" t="n">
        <v>131.04</v>
      </c>
      <c r="P596" s="14" t="n">
        <v>7.7249</v>
      </c>
    </row>
    <row r="597" customFormat="false" ht="15" hidden="false" customHeight="false" outlineLevel="0" collapsed="false">
      <c r="A597" s="13" t="n">
        <v>43187</v>
      </c>
      <c r="B597" s="14" t="n">
        <v>1063.03</v>
      </c>
      <c r="C597" s="14" t="n">
        <v>7.8342</v>
      </c>
      <c r="D597" s="14" t="n">
        <v>1.411</v>
      </c>
      <c r="E597" s="14" t="n">
        <v>1.2351</v>
      </c>
      <c r="F597" s="14" t="n">
        <v>6.2946</v>
      </c>
      <c r="G597" s="14" t="n">
        <v>3.337</v>
      </c>
      <c r="H597" s="14" t="n">
        <v>106.3</v>
      </c>
      <c r="I597" s="14" t="n">
        <v>1.2398</v>
      </c>
      <c r="J597" s="14" t="n">
        <v>9.6423</v>
      </c>
      <c r="K597" s="14" t="n">
        <v>1321.47</v>
      </c>
      <c r="L597" s="14" t="n">
        <v>0.87605</v>
      </c>
      <c r="M597" s="14" t="n">
        <v>7.7971</v>
      </c>
      <c r="N597" s="14" t="n">
        <v>4.1264</v>
      </c>
      <c r="O597" s="14" t="n">
        <v>131.6</v>
      </c>
      <c r="P597" s="14" t="n">
        <v>7.7773</v>
      </c>
    </row>
    <row r="598" customFormat="false" ht="15" hidden="false" customHeight="false" outlineLevel="0" collapsed="false">
      <c r="A598" s="13" t="n">
        <v>43188</v>
      </c>
      <c r="B598" s="14" t="n">
        <v>1060.31</v>
      </c>
      <c r="C598" s="14" t="n">
        <v>7.8511</v>
      </c>
      <c r="D598" s="14" t="n">
        <v>1.4029</v>
      </c>
      <c r="E598" s="14" t="n">
        <v>1.2297</v>
      </c>
      <c r="F598" s="14" t="n">
        <v>6.2876</v>
      </c>
      <c r="G598" s="14" t="n">
        <v>3.3229</v>
      </c>
      <c r="H598" s="14" t="n">
        <v>106.27</v>
      </c>
      <c r="I598" s="14" t="n">
        <v>1.2321</v>
      </c>
      <c r="J598" s="14" t="n">
        <v>9.677</v>
      </c>
      <c r="K598" s="14" t="n">
        <v>1310.89</v>
      </c>
      <c r="L598" s="14" t="n">
        <v>0.8749</v>
      </c>
      <c r="M598" s="14" t="n">
        <v>7.7468</v>
      </c>
      <c r="N598" s="14" t="n">
        <v>4.0938</v>
      </c>
      <c r="O598" s="14" t="n">
        <v>131.15</v>
      </c>
    </row>
    <row r="599" customFormat="false" ht="15" hidden="false" customHeight="false" outlineLevel="0" collapsed="false">
      <c r="A599" s="13" t="n">
        <v>43189</v>
      </c>
      <c r="B599" s="14" t="n">
        <v>1060.99</v>
      </c>
      <c r="C599" s="14" t="n">
        <v>7.8518</v>
      </c>
      <c r="D599" s="14" t="n">
        <v>1.4027</v>
      </c>
      <c r="E599" s="14" t="n">
        <v>1.232</v>
      </c>
      <c r="F599" s="14" t="n">
        <v>6.2726</v>
      </c>
      <c r="G599" s="14" t="n">
        <v>3.3045</v>
      </c>
      <c r="H599" s="14" t="n">
        <v>106.2</v>
      </c>
    </row>
    <row r="600" customFormat="false" ht="15" hidden="false" customHeight="false" outlineLevel="0" collapsed="false">
      <c r="A600" s="13" t="n">
        <v>43192</v>
      </c>
      <c r="B600" s="14" t="n">
        <v>1056.03</v>
      </c>
      <c r="C600" s="14" t="n">
        <v>7.8859</v>
      </c>
      <c r="D600" s="14" t="n">
        <v>1.4032</v>
      </c>
      <c r="E600" s="14" t="n">
        <v>1.2288</v>
      </c>
      <c r="F600" s="14" t="n">
        <v>6.2785</v>
      </c>
      <c r="G600" s="14" t="n">
        <v>3.3149</v>
      </c>
      <c r="H600" s="14" t="n">
        <v>105.99</v>
      </c>
    </row>
    <row r="601" customFormat="false" ht="15" hidden="false" customHeight="false" outlineLevel="0" collapsed="false">
      <c r="A601" s="13" t="n">
        <v>43193</v>
      </c>
      <c r="B601" s="14" t="n">
        <v>1054.63</v>
      </c>
      <c r="C601" s="14" t="n">
        <v>7.8586</v>
      </c>
      <c r="D601" s="14" t="n">
        <v>1.4068</v>
      </c>
      <c r="E601" s="14" t="n">
        <v>1.2261</v>
      </c>
      <c r="F601" s="14" t="n">
        <v>6.2881</v>
      </c>
      <c r="G601" s="14" t="n">
        <v>3.3222</v>
      </c>
      <c r="H601" s="14" t="n">
        <v>106.45</v>
      </c>
      <c r="I601" s="14" t="n">
        <v>1.2308</v>
      </c>
      <c r="J601" s="14" t="n">
        <v>9.6338</v>
      </c>
      <c r="K601" s="14" t="n">
        <v>1297.87</v>
      </c>
      <c r="L601" s="14" t="n">
        <v>0.87523</v>
      </c>
      <c r="M601" s="14" t="n">
        <v>7.7351</v>
      </c>
      <c r="N601" s="14" t="n">
        <v>4.0742</v>
      </c>
      <c r="O601" s="14" t="n">
        <v>130.76</v>
      </c>
      <c r="P601" s="14" t="n">
        <v>7.8273</v>
      </c>
    </row>
    <row r="602" customFormat="false" ht="15" hidden="false" customHeight="false" outlineLevel="0" collapsed="false">
      <c r="A602" s="13" t="n">
        <v>43194</v>
      </c>
      <c r="B602" s="14" t="n">
        <v>1059.5</v>
      </c>
      <c r="C602" s="14" t="n">
        <v>7.8259</v>
      </c>
      <c r="D602" s="14" t="n">
        <v>1.4076</v>
      </c>
      <c r="E602" s="14" t="n">
        <v>1.2292</v>
      </c>
      <c r="F602" s="14" t="n">
        <v>6.3045</v>
      </c>
      <c r="G602" s="14" t="n">
        <v>3.3474</v>
      </c>
      <c r="H602" s="14" t="n">
        <v>106.56</v>
      </c>
      <c r="I602" s="14" t="n">
        <v>1.2276</v>
      </c>
      <c r="J602" s="14" t="n">
        <v>9.6345</v>
      </c>
      <c r="K602" s="14" t="n">
        <v>1306.45</v>
      </c>
      <c r="L602" s="14" t="n">
        <v>0.87573</v>
      </c>
      <c r="M602" s="14" t="n">
        <v>7.7409</v>
      </c>
      <c r="N602" s="14" t="n">
        <v>4.1316</v>
      </c>
      <c r="O602" s="14" t="n">
        <v>130.43</v>
      </c>
      <c r="P602" s="14" t="n">
        <v>7.8482</v>
      </c>
    </row>
    <row r="603" customFormat="false" ht="15" hidden="false" customHeight="false" outlineLevel="0" collapsed="false">
      <c r="A603" s="13" t="n">
        <v>43195</v>
      </c>
      <c r="B603" s="14" t="n">
        <v>1061.56</v>
      </c>
      <c r="C603" s="14" t="n">
        <v>7.8396</v>
      </c>
      <c r="D603" s="14" t="n">
        <v>1.3991</v>
      </c>
      <c r="E603" s="14" t="n">
        <v>1.223</v>
      </c>
      <c r="F603" s="14" t="n">
        <v>6.3045</v>
      </c>
      <c r="G603" s="14" t="n">
        <v>3.3212</v>
      </c>
      <c r="H603" s="14" t="n">
        <v>107.48</v>
      </c>
      <c r="I603" s="14" t="n">
        <v>1.226</v>
      </c>
      <c r="J603" s="14" t="n">
        <v>9.5875</v>
      </c>
      <c r="K603" s="14" t="n">
        <v>1299.41</v>
      </c>
      <c r="L603" s="14" t="n">
        <v>0.87395</v>
      </c>
      <c r="M603" s="14" t="n">
        <v>7.7302</v>
      </c>
      <c r="N603" s="14" t="n">
        <v>4.0452</v>
      </c>
      <c r="O603" s="14" t="n">
        <v>131.26</v>
      </c>
      <c r="P603" s="14" t="n">
        <v>7.8201</v>
      </c>
    </row>
    <row r="604" customFormat="false" ht="15" hidden="false" customHeight="false" outlineLevel="0" collapsed="false">
      <c r="A604" s="13" t="n">
        <v>43196</v>
      </c>
      <c r="B604" s="14" t="n">
        <v>1068.73</v>
      </c>
      <c r="C604" s="14" t="n">
        <v>7.8281</v>
      </c>
      <c r="D604" s="14" t="n">
        <v>1.4088</v>
      </c>
      <c r="E604" s="14" t="n">
        <v>1.2274</v>
      </c>
      <c r="F604" s="14" t="n">
        <v>6.3045</v>
      </c>
      <c r="G604" s="14" t="n">
        <v>3.3702</v>
      </c>
      <c r="H604" s="14" t="n">
        <v>107.03</v>
      </c>
      <c r="I604" s="14" t="n">
        <v>1.2234</v>
      </c>
      <c r="J604" s="14" t="n">
        <v>9.586</v>
      </c>
      <c r="K604" s="14" t="n">
        <v>1310.95</v>
      </c>
      <c r="L604" s="14" t="n">
        <v>0.87295</v>
      </c>
      <c r="M604" s="14" t="n">
        <v>7.7138</v>
      </c>
      <c r="N604" s="14" t="n">
        <v>4.1111</v>
      </c>
      <c r="O604" s="14" t="n">
        <v>131.32</v>
      </c>
      <c r="P604" s="14" t="n">
        <v>7.8355</v>
      </c>
    </row>
    <row r="605" customFormat="false" ht="15" hidden="false" customHeight="false" outlineLevel="0" collapsed="false">
      <c r="A605" s="13" t="n">
        <v>43199</v>
      </c>
      <c r="B605" s="14" t="n">
        <v>1067.11</v>
      </c>
      <c r="C605" s="14" t="n">
        <v>7.7777</v>
      </c>
      <c r="D605" s="14" t="n">
        <v>1.4136</v>
      </c>
      <c r="E605" s="14" t="n">
        <v>1.232</v>
      </c>
      <c r="F605" s="14" t="n">
        <v>6.3035</v>
      </c>
      <c r="G605" s="14" t="n">
        <v>3.395</v>
      </c>
      <c r="H605" s="14" t="n">
        <v>107.06</v>
      </c>
      <c r="I605" s="14" t="n">
        <v>1.2304</v>
      </c>
      <c r="J605" s="14" t="n">
        <v>9.5883</v>
      </c>
      <c r="K605" s="14" t="n">
        <v>1316.69</v>
      </c>
      <c r="L605" s="14" t="n">
        <v>0.87088</v>
      </c>
      <c r="M605" s="14" t="n">
        <v>7.7686</v>
      </c>
      <c r="N605" s="14" t="n">
        <v>4.149</v>
      </c>
      <c r="O605" s="14" t="n">
        <v>131.66</v>
      </c>
      <c r="P605" s="14" t="n">
        <v>7.7928</v>
      </c>
    </row>
    <row r="606" customFormat="false" ht="15" hidden="false" customHeight="false" outlineLevel="0" collapsed="false">
      <c r="A606" s="13" t="n">
        <v>43200</v>
      </c>
      <c r="B606" s="14" t="n">
        <v>1064.53</v>
      </c>
      <c r="C606" s="14" t="n">
        <v>7.8101</v>
      </c>
      <c r="D606" s="14" t="n">
        <v>1.4161</v>
      </c>
      <c r="E606" s="14" t="n">
        <v>1.2338</v>
      </c>
      <c r="F606" s="14" t="n">
        <v>6.2798</v>
      </c>
      <c r="G606" s="14" t="n">
        <v>3.4146</v>
      </c>
      <c r="H606" s="14" t="n">
        <v>107.3</v>
      </c>
      <c r="I606" s="14" t="n">
        <v>1.2361</v>
      </c>
      <c r="J606" s="14" t="n">
        <v>9.647</v>
      </c>
      <c r="K606" s="14" t="n">
        <v>1319.5</v>
      </c>
      <c r="L606" s="14" t="n">
        <v>0.87183</v>
      </c>
      <c r="M606" s="14" t="n">
        <v>7.7741</v>
      </c>
      <c r="N606" s="14" t="n">
        <v>4.206</v>
      </c>
      <c r="O606" s="14" t="n">
        <v>132.28</v>
      </c>
      <c r="P606" s="14" t="n">
        <v>7.8044</v>
      </c>
    </row>
    <row r="607" customFormat="false" ht="15" hidden="false" customHeight="false" outlineLevel="0" collapsed="false">
      <c r="A607" s="13" t="n">
        <v>43201</v>
      </c>
      <c r="B607" s="14" t="n">
        <v>1066.76</v>
      </c>
      <c r="C607" s="14" t="n">
        <v>7.759</v>
      </c>
      <c r="D607" s="14" t="n">
        <v>1.4194</v>
      </c>
      <c r="E607" s="14" t="n">
        <v>1.2384</v>
      </c>
      <c r="F607" s="14" t="n">
        <v>6.2655</v>
      </c>
      <c r="G607" s="14" t="n">
        <v>3.3955</v>
      </c>
      <c r="H607" s="14" t="n">
        <v>106.78</v>
      </c>
      <c r="I607" s="14" t="n">
        <v>1.2384</v>
      </c>
      <c r="J607" s="14" t="n">
        <v>9.6213</v>
      </c>
      <c r="K607" s="14" t="n">
        <v>1324.61</v>
      </c>
      <c r="L607" s="14" t="n">
        <v>0.8736</v>
      </c>
      <c r="M607" s="14" t="n">
        <v>7.7815</v>
      </c>
      <c r="N607" s="14" t="n">
        <v>4.2333</v>
      </c>
      <c r="O607" s="14" t="n">
        <v>132.26</v>
      </c>
      <c r="P607" s="14" t="n">
        <v>7.7691</v>
      </c>
    </row>
    <row r="608" customFormat="false" ht="15" hidden="false" customHeight="false" outlineLevel="0" collapsed="false">
      <c r="A608" s="13" t="n">
        <v>43202</v>
      </c>
      <c r="B608" s="14" t="n">
        <v>1069.84</v>
      </c>
      <c r="C608" s="14" t="n">
        <v>7.7812</v>
      </c>
      <c r="D608" s="14" t="n">
        <v>1.4244</v>
      </c>
      <c r="E608" s="14" t="n">
        <v>1.232</v>
      </c>
      <c r="F608" s="14" t="n">
        <v>6.2876</v>
      </c>
      <c r="G608" s="14" t="n">
        <v>3.3902</v>
      </c>
      <c r="H608" s="14" t="n">
        <v>107.3</v>
      </c>
      <c r="I608" s="14" t="n">
        <v>1.2323</v>
      </c>
      <c r="J608" s="14" t="n">
        <v>9.5973</v>
      </c>
      <c r="K608" s="14" t="n">
        <v>1319.86</v>
      </c>
      <c r="L608" s="14" t="n">
        <v>0.86745</v>
      </c>
      <c r="M608" s="14" t="n">
        <v>7.7452</v>
      </c>
      <c r="N608" s="14" t="n">
        <v>4.1482</v>
      </c>
      <c r="O608" s="14" t="n">
        <v>132.04</v>
      </c>
      <c r="P608" s="14" t="n">
        <v>7.7881</v>
      </c>
    </row>
    <row r="609" customFormat="false" ht="15" hidden="false" customHeight="false" outlineLevel="0" collapsed="false">
      <c r="A609" s="13" t="n">
        <v>43203</v>
      </c>
      <c r="B609" s="14" t="n">
        <v>1070.55</v>
      </c>
      <c r="C609" s="14" t="n">
        <v>7.7621</v>
      </c>
      <c r="D609" s="14" t="n">
        <v>1.4255</v>
      </c>
      <c r="E609" s="14" t="n">
        <v>1.2322</v>
      </c>
      <c r="F609" s="14" t="n">
        <v>6.2725</v>
      </c>
      <c r="G609" s="14" t="n">
        <v>3.4088</v>
      </c>
      <c r="H609" s="14" t="n">
        <v>107.52</v>
      </c>
      <c r="I609" s="14" t="n">
        <v>1.2317</v>
      </c>
      <c r="J609" s="14" t="n">
        <v>9.5643</v>
      </c>
      <c r="K609" s="14" t="n">
        <v>1316.26</v>
      </c>
      <c r="L609" s="14" t="n">
        <v>0.864</v>
      </c>
      <c r="M609" s="14" t="n">
        <v>7.7363</v>
      </c>
      <c r="N609" s="14" t="n">
        <v>4.1979</v>
      </c>
      <c r="O609" s="14" t="n">
        <v>132.64</v>
      </c>
      <c r="P609" s="14" t="n">
        <v>7.7651</v>
      </c>
    </row>
    <row r="610" customFormat="false" ht="15" hidden="false" customHeight="false" outlineLevel="0" collapsed="false">
      <c r="A610" s="13" t="n">
        <v>43206</v>
      </c>
      <c r="B610" s="14" t="n">
        <v>1071.59</v>
      </c>
      <c r="C610" s="14" t="n">
        <v>7.784</v>
      </c>
      <c r="D610" s="14" t="n">
        <v>1.4332</v>
      </c>
      <c r="E610" s="14" t="n">
        <v>1.2373</v>
      </c>
      <c r="F610" s="14" t="n">
        <v>6.2752</v>
      </c>
      <c r="G610" s="14" t="n">
        <v>3.4282</v>
      </c>
      <c r="H610" s="14" t="n">
        <v>107.26</v>
      </c>
      <c r="I610" s="14" t="n">
        <v>1.237</v>
      </c>
      <c r="J610" s="14" t="n">
        <v>9.595</v>
      </c>
      <c r="K610" s="14" t="n">
        <v>1328.33</v>
      </c>
      <c r="L610" s="14" t="n">
        <v>0.86465</v>
      </c>
      <c r="M610" s="14" t="n">
        <v>7.7726</v>
      </c>
      <c r="N610" s="14" t="n">
        <v>4.23</v>
      </c>
      <c r="O610" s="14" t="n">
        <v>132.77</v>
      </c>
      <c r="P610" s="14" t="n">
        <v>7.7567</v>
      </c>
    </row>
    <row r="611" customFormat="false" ht="15" hidden="false" customHeight="false" outlineLevel="0" collapsed="false">
      <c r="A611" s="13" t="n">
        <v>43207</v>
      </c>
      <c r="B611" s="14" t="n">
        <v>1066.56</v>
      </c>
      <c r="C611" s="14" t="n">
        <v>7.7765</v>
      </c>
      <c r="D611" s="14" t="n">
        <v>1.4301</v>
      </c>
      <c r="E611" s="14" t="n">
        <v>1.2345</v>
      </c>
      <c r="F611" s="14" t="n">
        <v>6.2804</v>
      </c>
      <c r="G611" s="14" t="n">
        <v>3.4022</v>
      </c>
      <c r="H611" s="14" t="n">
        <v>107.09</v>
      </c>
      <c r="I611" s="14" t="n">
        <v>1.2357</v>
      </c>
      <c r="J611" s="14" t="n">
        <v>9.598</v>
      </c>
      <c r="K611" s="14" t="n">
        <v>1320.61</v>
      </c>
      <c r="L611" s="14" t="n">
        <v>0.8628</v>
      </c>
      <c r="M611" s="14" t="n">
        <v>7.7639</v>
      </c>
      <c r="N611" s="14" t="n">
        <v>4.2158</v>
      </c>
      <c r="O611" s="14" t="n">
        <v>132.35</v>
      </c>
      <c r="P611" s="14" t="n">
        <v>7.7673</v>
      </c>
    </row>
    <row r="612" customFormat="false" ht="15" hidden="false" customHeight="false" outlineLevel="0" collapsed="false">
      <c r="A612" s="13" t="n">
        <v>43208</v>
      </c>
      <c r="B612" s="14" t="n">
        <v>1064.51</v>
      </c>
      <c r="C612" s="14" t="n">
        <v>7.7536</v>
      </c>
      <c r="D612" s="14" t="n">
        <v>1.4227</v>
      </c>
      <c r="E612" s="14" t="n">
        <v>1.238</v>
      </c>
      <c r="F612" s="14" t="n">
        <v>6.2722</v>
      </c>
      <c r="G612" s="14" t="n">
        <v>3.3844</v>
      </c>
      <c r="H612" s="14" t="n">
        <v>107.26</v>
      </c>
      <c r="I612" s="14" t="n">
        <v>1.2388</v>
      </c>
      <c r="J612" s="14" t="n">
        <v>9.6095</v>
      </c>
      <c r="K612" s="14" t="n">
        <v>1319.56</v>
      </c>
      <c r="L612" s="14" t="n">
        <v>0.87105</v>
      </c>
      <c r="M612" s="14" t="n">
        <v>7.7826</v>
      </c>
      <c r="N612" s="14" t="n">
        <v>4.2047</v>
      </c>
      <c r="O612" s="14" t="n">
        <v>132.82</v>
      </c>
      <c r="P612" s="14" t="n">
        <v>7.7571</v>
      </c>
    </row>
    <row r="613" customFormat="false" ht="15" hidden="false" customHeight="false" outlineLevel="0" collapsed="false">
      <c r="A613" s="13" t="n">
        <v>43209</v>
      </c>
      <c r="B613" s="14" t="n">
        <v>1065.68</v>
      </c>
      <c r="C613" s="14" t="n">
        <v>7.7874</v>
      </c>
      <c r="D613" s="14" t="n">
        <v>1.4193</v>
      </c>
      <c r="E613" s="14" t="n">
        <v>1.2336</v>
      </c>
      <c r="F613" s="14" t="n">
        <v>6.2765</v>
      </c>
      <c r="G613" s="14" t="n">
        <v>3.4028</v>
      </c>
      <c r="H613" s="14" t="n">
        <v>107.42</v>
      </c>
      <c r="I613" s="14" t="n">
        <v>1.2382</v>
      </c>
      <c r="J613" s="14" t="n">
        <v>9.5825</v>
      </c>
      <c r="K613" s="14" t="n">
        <v>1314.38</v>
      </c>
      <c r="L613" s="14" t="n">
        <v>0.86975</v>
      </c>
      <c r="M613" s="14" t="n">
        <v>7.7717</v>
      </c>
      <c r="N613" s="14" t="n">
        <v>4.1925</v>
      </c>
      <c r="O613" s="14" t="n">
        <v>132.88</v>
      </c>
      <c r="P613" s="14" t="n">
        <v>7.7391</v>
      </c>
    </row>
    <row r="614" customFormat="false" ht="15" hidden="false" customHeight="false" outlineLevel="0" collapsed="false">
      <c r="A614" s="13" t="n">
        <v>43210</v>
      </c>
      <c r="B614" s="14" t="n">
        <v>1071</v>
      </c>
      <c r="C614" s="14" t="n">
        <v>7.8223</v>
      </c>
      <c r="D614" s="14" t="n">
        <v>1.4033</v>
      </c>
      <c r="E614" s="14" t="n">
        <v>1.2282</v>
      </c>
      <c r="F614" s="14" t="n">
        <v>6.2945</v>
      </c>
      <c r="G614" s="14" t="n">
        <v>3.4121</v>
      </c>
      <c r="H614" s="14" t="n">
        <v>107.6</v>
      </c>
      <c r="I614" s="14" t="n">
        <v>1.2309</v>
      </c>
      <c r="J614" s="14" t="n">
        <v>9.605</v>
      </c>
      <c r="K614" s="14" t="n">
        <v>1316.26</v>
      </c>
      <c r="L614" s="14" t="n">
        <v>0.87608</v>
      </c>
      <c r="M614" s="14" t="n">
        <v>7.7449</v>
      </c>
      <c r="N614" s="14" t="n">
        <v>4.1892</v>
      </c>
      <c r="O614" s="14" t="n">
        <v>132.41</v>
      </c>
      <c r="P614" s="14" t="n">
        <v>7.8032</v>
      </c>
    </row>
    <row r="615" customFormat="false" ht="15" hidden="false" customHeight="false" outlineLevel="0" collapsed="false">
      <c r="A615" s="13" t="n">
        <v>43213</v>
      </c>
      <c r="B615" s="14" t="n">
        <v>1077.72</v>
      </c>
      <c r="C615" s="14" t="n">
        <v>7.8777</v>
      </c>
      <c r="D615" s="14" t="n">
        <v>1.3953</v>
      </c>
      <c r="E615" s="14" t="n">
        <v>1.2216</v>
      </c>
      <c r="F615" s="14" t="n">
        <v>6.3158</v>
      </c>
      <c r="G615" s="14" t="n">
        <v>3.4463</v>
      </c>
      <c r="H615" s="14" t="n">
        <v>108.62</v>
      </c>
      <c r="I615" s="14" t="n">
        <v>1.2238</v>
      </c>
      <c r="J615" s="14" t="n">
        <v>9.6258</v>
      </c>
      <c r="K615" s="14" t="n">
        <v>1318.33</v>
      </c>
      <c r="L615" s="14" t="n">
        <v>0.8764</v>
      </c>
      <c r="M615" s="14" t="n">
        <v>7.7208</v>
      </c>
      <c r="N615" s="14" t="n">
        <v>4.1981</v>
      </c>
      <c r="O615" s="14" t="n">
        <v>132.38</v>
      </c>
      <c r="P615" s="14" t="n">
        <v>7.8655</v>
      </c>
    </row>
    <row r="616" customFormat="false" ht="15" hidden="false" customHeight="false" outlineLevel="0" collapsed="false">
      <c r="A616" s="13" t="n">
        <v>43214</v>
      </c>
      <c r="B616" s="14" t="n">
        <v>1074.8</v>
      </c>
      <c r="C616" s="14" t="n">
        <v>7.8998</v>
      </c>
      <c r="D616" s="14" t="n">
        <v>1.3975</v>
      </c>
      <c r="E616" s="14" t="n">
        <v>1.2226</v>
      </c>
      <c r="F616" s="14" t="n">
        <v>6.3035</v>
      </c>
      <c r="G616" s="14" t="n">
        <v>3.4685</v>
      </c>
      <c r="H616" s="14" t="n">
        <v>109.03</v>
      </c>
      <c r="I616" s="14" t="n">
        <v>1.2213</v>
      </c>
      <c r="J616" s="14" t="n">
        <v>9.629</v>
      </c>
      <c r="K616" s="14" t="n">
        <v>1314.66</v>
      </c>
      <c r="L616" s="14" t="n">
        <v>0.87468</v>
      </c>
      <c r="M616" s="14" t="n">
        <v>7.7012</v>
      </c>
      <c r="N616" s="14" t="n">
        <v>4.2085</v>
      </c>
      <c r="O616" s="14" t="n">
        <v>132.92</v>
      </c>
      <c r="P616" s="14" t="n">
        <v>7.8842</v>
      </c>
    </row>
    <row r="617" customFormat="false" ht="15" hidden="false" customHeight="false" outlineLevel="0" collapsed="false">
      <c r="A617" s="13" t="n">
        <v>43215</v>
      </c>
      <c r="B617" s="14" t="n">
        <v>1082.99</v>
      </c>
      <c r="C617" s="14" t="n">
        <v>7.9701</v>
      </c>
      <c r="D617" s="14" t="n">
        <v>1.3941</v>
      </c>
      <c r="E617" s="14" t="n">
        <v>1.2178</v>
      </c>
      <c r="F617" s="14" t="n">
        <v>6.3236</v>
      </c>
      <c r="G617" s="14" t="n">
        <v>3.509</v>
      </c>
      <c r="H617" s="14" t="n">
        <v>109.33</v>
      </c>
      <c r="I617" s="14" t="n">
        <v>1.2185</v>
      </c>
      <c r="J617" s="14" t="n">
        <v>9.705</v>
      </c>
      <c r="K617" s="14" t="n">
        <v>1320.61</v>
      </c>
      <c r="L617" s="14" t="n">
        <v>0.8738</v>
      </c>
      <c r="M617" s="14" t="n">
        <v>7.7048</v>
      </c>
      <c r="N617" s="14" t="n">
        <v>4.2705</v>
      </c>
      <c r="O617" s="14" t="n">
        <v>133.03</v>
      </c>
      <c r="P617" s="14" t="n">
        <v>7.9647</v>
      </c>
    </row>
    <row r="618" customFormat="false" ht="15" hidden="false" customHeight="false" outlineLevel="0" collapsed="false">
      <c r="A618" s="13" t="n">
        <v>43216</v>
      </c>
      <c r="B618" s="14" t="n">
        <v>1078.2</v>
      </c>
      <c r="C618" s="14" t="n">
        <v>7.9941</v>
      </c>
      <c r="D618" s="14" t="n">
        <v>1.3927</v>
      </c>
      <c r="E618" s="14" t="n">
        <v>1.2113</v>
      </c>
      <c r="F618" s="14" t="n">
        <v>6.334</v>
      </c>
      <c r="G618" s="14" t="n">
        <v>3.4992</v>
      </c>
      <c r="H618" s="14" t="n">
        <v>109.3</v>
      </c>
      <c r="I618" s="14" t="n">
        <v>1.2168</v>
      </c>
      <c r="J618" s="14" t="n">
        <v>9.6735</v>
      </c>
      <c r="K618" s="14" t="n">
        <v>1310.55</v>
      </c>
      <c r="L618" s="14" t="n">
        <v>0.871</v>
      </c>
      <c r="M618" s="14" t="n">
        <v>7.6962</v>
      </c>
      <c r="N618" s="14" t="n">
        <v>4.2322</v>
      </c>
      <c r="O618" s="14" t="n">
        <v>132.87</v>
      </c>
      <c r="P618" s="14" t="n">
        <v>7.95</v>
      </c>
    </row>
    <row r="619" customFormat="false" ht="15" hidden="false" customHeight="false" outlineLevel="0" collapsed="false">
      <c r="A619" s="13" t="n">
        <v>43217</v>
      </c>
      <c r="B619" s="14" t="n">
        <v>1067.59</v>
      </c>
      <c r="C619" s="14" t="n">
        <v>7.9714</v>
      </c>
      <c r="D619" s="14" t="n">
        <v>1.3785</v>
      </c>
      <c r="E619" s="14" t="n">
        <v>1.2108</v>
      </c>
      <c r="F619" s="14" t="n">
        <v>6.3325</v>
      </c>
      <c r="G619" s="14" t="n">
        <v>3.4685</v>
      </c>
      <c r="H619" s="14" t="n">
        <v>109.12</v>
      </c>
      <c r="I619" s="14" t="n">
        <v>1.207</v>
      </c>
      <c r="J619" s="14" t="n">
        <v>9.659</v>
      </c>
      <c r="K619" s="14" t="n">
        <v>1291.82</v>
      </c>
      <c r="L619" s="14" t="n">
        <v>0.877</v>
      </c>
      <c r="M619" s="14" t="n">
        <v>7.6517</v>
      </c>
      <c r="N619" s="14" t="n">
        <v>4.1992</v>
      </c>
      <c r="O619" s="14" t="n">
        <v>131.95</v>
      </c>
      <c r="P619" s="14" t="n">
        <v>8.0025</v>
      </c>
    </row>
    <row r="620" customFormat="false" ht="15" hidden="false" customHeight="false" outlineLevel="0" collapsed="false">
      <c r="A620" s="13" t="n">
        <v>43220</v>
      </c>
      <c r="B620" s="14" t="n">
        <v>1069.07</v>
      </c>
      <c r="C620" s="14" t="n">
        <v>8.0232</v>
      </c>
      <c r="D620" s="14" t="n">
        <v>1.3751</v>
      </c>
      <c r="E620" s="14" t="n">
        <v>1.2074</v>
      </c>
      <c r="F620" s="14" t="n">
        <v>6.3325</v>
      </c>
      <c r="G620" s="14" t="n">
        <v>3.4854</v>
      </c>
      <c r="H620" s="14" t="n">
        <v>109.28</v>
      </c>
      <c r="I620" s="14" t="n">
        <v>1.2079</v>
      </c>
      <c r="J620" s="14" t="n">
        <v>9.662</v>
      </c>
      <c r="K620" s="14" t="n">
        <v>1292.04</v>
      </c>
      <c r="L620" s="14" t="n">
        <v>0.8796</v>
      </c>
      <c r="M620" s="14" t="n">
        <v>7.6574</v>
      </c>
      <c r="N620" s="14" t="n">
        <v>4.1932</v>
      </c>
      <c r="O620" s="14" t="n">
        <v>132.12</v>
      </c>
      <c r="P620" s="14" t="n">
        <v>7.999</v>
      </c>
    </row>
    <row r="621" customFormat="false" ht="15" hidden="false" customHeight="false" outlineLevel="0" collapsed="false">
      <c r="A621" s="13" t="n">
        <v>43221</v>
      </c>
      <c r="B621" s="14" t="n">
        <v>1071.91</v>
      </c>
      <c r="C621" s="14" t="n">
        <v>8.0834</v>
      </c>
      <c r="D621" s="14" t="n">
        <v>1.3611</v>
      </c>
      <c r="E621" s="14" t="n">
        <v>1.2</v>
      </c>
      <c r="F621" s="14" t="n">
        <v>6.3325</v>
      </c>
      <c r="G621" s="14" t="n">
        <v>3.507</v>
      </c>
      <c r="H621" s="14" t="n">
        <v>109.69</v>
      </c>
    </row>
    <row r="622" customFormat="false" ht="15" hidden="false" customHeight="false" outlineLevel="0" collapsed="false">
      <c r="A622" s="13" t="n">
        <v>43222</v>
      </c>
      <c r="B622" s="14" t="n">
        <v>1076.52</v>
      </c>
      <c r="C622" s="14" t="n">
        <v>8.115</v>
      </c>
      <c r="D622" s="14" t="n">
        <v>1.361</v>
      </c>
      <c r="E622" s="14" t="n">
        <v>1.1968</v>
      </c>
      <c r="F622" s="14" t="n">
        <v>6.361</v>
      </c>
      <c r="G622" s="14" t="n">
        <v>3.5404</v>
      </c>
      <c r="H622" s="14" t="n">
        <v>109.89</v>
      </c>
      <c r="I622" s="14" t="n">
        <v>1.2007</v>
      </c>
      <c r="J622" s="14" t="n">
        <v>9.6958</v>
      </c>
      <c r="K622" s="14" t="n">
        <v>1291.54</v>
      </c>
      <c r="L622" s="14" t="n">
        <v>0.8804</v>
      </c>
      <c r="M622" s="14" t="n">
        <v>7.6353</v>
      </c>
      <c r="N622" s="14" t="n">
        <v>4.2293</v>
      </c>
      <c r="O622" s="14" t="n">
        <v>131.84</v>
      </c>
      <c r="P622" s="14" t="n">
        <v>8.0751</v>
      </c>
    </row>
    <row r="623" customFormat="false" ht="15" hidden="false" customHeight="false" outlineLevel="0" collapsed="false">
      <c r="A623" s="13" t="n">
        <v>43223</v>
      </c>
      <c r="B623" s="14" t="n">
        <v>1078.33</v>
      </c>
      <c r="C623" s="14" t="n">
        <v>8.0621</v>
      </c>
      <c r="D623" s="14" t="n">
        <v>1.3569</v>
      </c>
      <c r="E623" s="14" t="n">
        <v>1.197</v>
      </c>
      <c r="F623" s="14" t="n">
        <v>6.352</v>
      </c>
      <c r="G623" s="14" t="n">
        <v>3.5496</v>
      </c>
      <c r="H623" s="14" t="n">
        <v>109.06</v>
      </c>
      <c r="I623" s="14" t="n">
        <v>1.1992</v>
      </c>
      <c r="J623" s="14" t="n">
        <v>9.6465</v>
      </c>
      <c r="K623" s="14" t="n">
        <v>1288.96</v>
      </c>
      <c r="L623" s="14" t="n">
        <v>0.8818</v>
      </c>
      <c r="M623" s="14" t="n">
        <v>7.6135</v>
      </c>
      <c r="N623" s="14" t="n">
        <v>4.2367</v>
      </c>
      <c r="O623" s="14" t="n">
        <v>131.03</v>
      </c>
      <c r="P623" s="14" t="n">
        <v>8.0441</v>
      </c>
    </row>
    <row r="624" customFormat="false" ht="15" hidden="false" customHeight="false" outlineLevel="0" collapsed="false">
      <c r="A624" s="13" t="n">
        <v>43224</v>
      </c>
      <c r="B624" s="14" t="n">
        <v>1074.09</v>
      </c>
      <c r="C624" s="14" t="n">
        <v>8.0575</v>
      </c>
      <c r="D624" s="14" t="n">
        <v>1.3535</v>
      </c>
      <c r="E624" s="14" t="n">
        <v>1.1946</v>
      </c>
      <c r="F624" s="14" t="n">
        <v>6.3589</v>
      </c>
      <c r="G624" s="14" t="n">
        <v>3.5213</v>
      </c>
      <c r="H624" s="14" t="n">
        <v>109.16</v>
      </c>
      <c r="I624" s="14" t="n">
        <v>1.1969</v>
      </c>
      <c r="J624" s="14" t="n">
        <v>9.644</v>
      </c>
      <c r="K624" s="14" t="n">
        <v>1288.32</v>
      </c>
      <c r="L624" s="14" t="n">
        <v>0.88235</v>
      </c>
      <c r="M624" s="14" t="n">
        <v>7.6113</v>
      </c>
      <c r="N624" s="14" t="n">
        <v>4.2446</v>
      </c>
      <c r="O624" s="14" t="n">
        <v>130.37</v>
      </c>
      <c r="P624" s="14" t="n">
        <v>8.0575</v>
      </c>
    </row>
    <row r="625" customFormat="false" ht="15" hidden="false" customHeight="false" outlineLevel="0" collapsed="false">
      <c r="A625" s="13" t="n">
        <v>43227</v>
      </c>
      <c r="B625" s="14" t="n">
        <v>1079.72</v>
      </c>
      <c r="C625" s="14" t="n">
        <v>8.0474</v>
      </c>
      <c r="D625" s="14" t="n">
        <v>1.3567</v>
      </c>
      <c r="E625" s="14" t="n">
        <v>1.1927</v>
      </c>
      <c r="F625" s="14" t="n">
        <v>6.364</v>
      </c>
      <c r="G625" s="14" t="n">
        <v>3.5543</v>
      </c>
      <c r="H625" s="14" t="n">
        <v>109.14</v>
      </c>
      <c r="I625" s="14" t="n">
        <v>1.1902</v>
      </c>
      <c r="J625" s="14" t="n">
        <v>9.619</v>
      </c>
      <c r="K625" s="14" t="n">
        <v>1288.09</v>
      </c>
      <c r="L625" s="14" t="n">
        <v>0.8801</v>
      </c>
      <c r="M625" s="14" t="n">
        <v>7.5778</v>
      </c>
      <c r="N625" s="14" t="n">
        <v>4.2162</v>
      </c>
      <c r="O625" s="14" t="n">
        <v>130.15</v>
      </c>
      <c r="P625" s="14" t="n">
        <v>8.0818</v>
      </c>
    </row>
    <row r="626" customFormat="false" ht="15" hidden="false" customHeight="false" outlineLevel="0" collapsed="false">
      <c r="A626" s="13" t="n">
        <v>43228</v>
      </c>
      <c r="B626" s="14" t="n">
        <v>1078.35</v>
      </c>
      <c r="C626" s="14" t="n">
        <v>8.1388</v>
      </c>
      <c r="D626" s="14" t="n">
        <v>1.3521</v>
      </c>
      <c r="E626" s="14" t="n">
        <v>1.1863</v>
      </c>
      <c r="F626" s="14" t="n">
        <v>6.369</v>
      </c>
      <c r="G626" s="14" t="n">
        <v>3.585</v>
      </c>
      <c r="H626" s="14" t="n">
        <v>109.16</v>
      </c>
      <c r="I626" s="14" t="n">
        <v>1.187</v>
      </c>
      <c r="J626" s="14" t="n">
        <v>9.6233</v>
      </c>
      <c r="K626" s="14" t="n">
        <v>1278.9</v>
      </c>
      <c r="L626" s="14" t="n">
        <v>0.8793</v>
      </c>
      <c r="M626" s="14" t="n">
        <v>7.5586</v>
      </c>
      <c r="N626" s="14" t="n">
        <v>4.2233</v>
      </c>
      <c r="O626" s="14" t="n">
        <v>129.45</v>
      </c>
      <c r="P626" s="14" t="n">
        <v>8.1072</v>
      </c>
    </row>
    <row r="627" customFormat="false" ht="15" hidden="false" customHeight="false" outlineLevel="0" collapsed="false">
      <c r="A627" s="13" t="n">
        <v>43229</v>
      </c>
      <c r="B627" s="14" t="n">
        <v>1078.22</v>
      </c>
      <c r="C627" s="14" t="n">
        <v>8.0832</v>
      </c>
      <c r="D627" s="14" t="n">
        <v>1.3567</v>
      </c>
      <c r="E627" s="14" t="n">
        <v>1.1852</v>
      </c>
      <c r="F627" s="14" t="n">
        <v>6.3585</v>
      </c>
      <c r="G627" s="14" t="n">
        <v>3.5965</v>
      </c>
      <c r="H627" s="14" t="n">
        <v>109.68</v>
      </c>
      <c r="I627" s="14" t="n">
        <v>1.1879</v>
      </c>
      <c r="J627" s="14" t="n">
        <v>9.6045</v>
      </c>
      <c r="K627" s="14" t="n">
        <v>1279.55</v>
      </c>
      <c r="L627" s="14" t="n">
        <v>0.87445</v>
      </c>
      <c r="M627" s="14" t="n">
        <v>7.5628</v>
      </c>
      <c r="N627" s="14" t="n">
        <v>4.2451</v>
      </c>
      <c r="O627" s="14" t="n">
        <v>130.24</v>
      </c>
      <c r="P627" s="14" t="n">
        <v>8.0853</v>
      </c>
    </row>
    <row r="628" customFormat="false" ht="15" hidden="false" customHeight="false" outlineLevel="0" collapsed="false">
      <c r="A628" s="13" t="n">
        <v>43230</v>
      </c>
      <c r="B628" s="14" t="n">
        <v>1065.41</v>
      </c>
      <c r="C628" s="14" t="n">
        <v>8.0206</v>
      </c>
      <c r="D628" s="14" t="n">
        <v>1.3487</v>
      </c>
      <c r="E628" s="14" t="n">
        <v>1.1896</v>
      </c>
      <c r="F628" s="14" t="n">
        <v>6.344</v>
      </c>
      <c r="G628" s="14" t="n">
        <v>3.5554</v>
      </c>
      <c r="H628" s="14" t="n">
        <v>109.53</v>
      </c>
      <c r="I628" s="14" t="n">
        <v>1.1878</v>
      </c>
      <c r="J628" s="14" t="n">
        <v>9.547</v>
      </c>
      <c r="K628" s="14" t="n">
        <v>1270.74</v>
      </c>
      <c r="L628" s="14" t="n">
        <v>0.8781</v>
      </c>
      <c r="M628" s="14" t="n">
        <v>7.5419</v>
      </c>
      <c r="N628" s="14" t="n">
        <v>4.2464</v>
      </c>
      <c r="O628" s="14" t="n">
        <v>130.22</v>
      </c>
    </row>
    <row r="629" customFormat="false" ht="15" hidden="false" customHeight="false" outlineLevel="0" collapsed="false">
      <c r="A629" s="13" t="n">
        <v>43231</v>
      </c>
      <c r="B629" s="14" t="n">
        <v>1067.14</v>
      </c>
      <c r="C629" s="14" t="n">
        <v>7.9948</v>
      </c>
      <c r="D629" s="14" t="n">
        <v>1.3549</v>
      </c>
      <c r="E629" s="14" t="n">
        <v>1.1951</v>
      </c>
      <c r="F629" s="14" t="n">
        <v>6.3333</v>
      </c>
      <c r="G629" s="14" t="n">
        <v>3.5879</v>
      </c>
      <c r="H629" s="14" t="n">
        <v>109.26</v>
      </c>
      <c r="I629" s="14" t="n">
        <v>1.1934</v>
      </c>
      <c r="J629" s="14" t="n">
        <v>9.5425</v>
      </c>
      <c r="K629" s="14" t="n">
        <v>1273.07</v>
      </c>
      <c r="L629" s="14" t="n">
        <v>0.88</v>
      </c>
      <c r="M629" s="14" t="n">
        <v>7.5572</v>
      </c>
      <c r="N629" s="14" t="n">
        <v>4.2486</v>
      </c>
      <c r="O629" s="14" t="n">
        <v>130.44</v>
      </c>
      <c r="P629" s="14" t="n">
        <v>7.9961</v>
      </c>
    </row>
    <row r="630" customFormat="false" ht="15" hidden="false" customHeight="false" outlineLevel="0" collapsed="false">
      <c r="A630" s="13" t="n">
        <v>43234</v>
      </c>
      <c r="B630" s="14" t="n">
        <v>1068.83</v>
      </c>
      <c r="C630" s="14" t="n">
        <v>7.9914</v>
      </c>
      <c r="D630" s="14" t="n">
        <v>1.3595</v>
      </c>
      <c r="E630" s="14" t="n">
        <v>1.1976</v>
      </c>
      <c r="F630" s="14" t="n">
        <v>6.336</v>
      </c>
      <c r="G630" s="14" t="n">
        <v>3.6212</v>
      </c>
      <c r="H630" s="14" t="n">
        <v>109.52</v>
      </c>
      <c r="I630" s="14" t="n">
        <v>1.1988</v>
      </c>
      <c r="J630" s="14" t="n">
        <v>9.5653</v>
      </c>
      <c r="K630" s="14" t="n">
        <v>1280.74</v>
      </c>
      <c r="L630" s="14" t="n">
        <v>0.8824</v>
      </c>
      <c r="M630" s="14" t="n">
        <v>7.5973</v>
      </c>
      <c r="N630" s="14" t="n">
        <v>4.2927</v>
      </c>
      <c r="O630" s="14" t="n">
        <v>131.27</v>
      </c>
      <c r="P630" s="14" t="n">
        <v>7.9791</v>
      </c>
    </row>
    <row r="631" customFormat="false" ht="15" hidden="false" customHeight="false" outlineLevel="0" collapsed="false">
      <c r="A631" s="13" t="n">
        <v>43235</v>
      </c>
      <c r="B631" s="14" t="n">
        <v>1076.46</v>
      </c>
      <c r="C631" s="14" t="n">
        <v>8.0953</v>
      </c>
      <c r="D631" s="14" t="n">
        <v>1.3512</v>
      </c>
      <c r="E631" s="14" t="n">
        <v>1.1864</v>
      </c>
      <c r="F631" s="14" t="n">
        <v>6.376</v>
      </c>
      <c r="G631" s="14" t="n">
        <v>3.6659</v>
      </c>
      <c r="H631" s="14" t="n">
        <v>110.25</v>
      </c>
      <c r="I631" s="14" t="n">
        <v>1.1883</v>
      </c>
      <c r="J631" s="14" t="n">
        <v>9.5673</v>
      </c>
      <c r="K631" s="14" t="n">
        <v>1279.12</v>
      </c>
      <c r="L631" s="14" t="n">
        <v>0.879</v>
      </c>
      <c r="M631" s="14" t="n">
        <v>7.5606</v>
      </c>
      <c r="N631" s="14" t="n">
        <v>4.3439</v>
      </c>
      <c r="O631" s="14" t="n">
        <v>130.77</v>
      </c>
      <c r="P631" s="14" t="n">
        <v>8.0512</v>
      </c>
    </row>
    <row r="632" customFormat="false" ht="15" hidden="false" customHeight="false" outlineLevel="0" collapsed="false">
      <c r="A632" s="13" t="n">
        <v>43236</v>
      </c>
      <c r="B632" s="14" t="n">
        <v>1076.66</v>
      </c>
      <c r="C632" s="14" t="n">
        <v>8.0946</v>
      </c>
      <c r="D632" s="14" t="n">
        <v>1.3478</v>
      </c>
      <c r="E632" s="14" t="n">
        <v>1.1788</v>
      </c>
      <c r="F632" s="14" t="n">
        <v>6.3706</v>
      </c>
      <c r="G632" s="14" t="n">
        <v>3.68</v>
      </c>
      <c r="H632" s="14" t="n">
        <v>110.22</v>
      </c>
      <c r="I632" s="14" t="n">
        <v>1.1784</v>
      </c>
      <c r="J632" s="14" t="n">
        <v>9.5715</v>
      </c>
      <c r="K632" s="14" t="n">
        <v>1274.5</v>
      </c>
      <c r="L632" s="14" t="n">
        <v>0.87418</v>
      </c>
      <c r="M632" s="14" t="n">
        <v>7.5137</v>
      </c>
      <c r="N632" s="14" t="n">
        <v>4.3294</v>
      </c>
      <c r="O632" s="14" t="n">
        <v>129.83</v>
      </c>
      <c r="P632" s="14" t="n">
        <v>8.1225</v>
      </c>
    </row>
    <row r="633" customFormat="false" ht="15" hidden="false" customHeight="false" outlineLevel="0" collapsed="false">
      <c r="A633" s="13" t="n">
        <v>43237</v>
      </c>
      <c r="B633" s="14" t="n">
        <v>1082.37</v>
      </c>
      <c r="C633" s="14" t="n">
        <v>8.1234</v>
      </c>
      <c r="D633" s="14" t="n">
        <v>1.3507</v>
      </c>
      <c r="E633" s="14" t="n">
        <v>1.1798</v>
      </c>
      <c r="F633" s="14" t="n">
        <v>6.3645</v>
      </c>
      <c r="G633" s="14" t="n">
        <v>3.7073</v>
      </c>
      <c r="H633" s="14" t="n">
        <v>110.76</v>
      </c>
      <c r="I633" s="14" t="n">
        <v>1.1805</v>
      </c>
      <c r="J633" s="14" t="n">
        <v>9.5565</v>
      </c>
      <c r="K633" s="14" t="n">
        <v>1275.6</v>
      </c>
      <c r="L633" s="14" t="n">
        <v>0.8735</v>
      </c>
      <c r="M633" s="14" t="n">
        <v>7.5174</v>
      </c>
      <c r="N633" s="14" t="n">
        <v>4.3286</v>
      </c>
      <c r="O633" s="14" t="n">
        <v>130.66</v>
      </c>
    </row>
    <row r="634" customFormat="false" ht="15" hidden="false" customHeight="false" outlineLevel="0" collapsed="false">
      <c r="A634" s="13" t="n">
        <v>43238</v>
      </c>
      <c r="B634" s="14" t="n">
        <v>1080.91</v>
      </c>
      <c r="C634" s="14" t="n">
        <v>8.1132</v>
      </c>
      <c r="D634" s="14" t="n">
        <v>1.3476</v>
      </c>
      <c r="E634" s="14" t="n">
        <v>1.1775</v>
      </c>
      <c r="F634" s="14" t="n">
        <v>6.3768</v>
      </c>
      <c r="G634" s="14" t="n">
        <v>3.7438</v>
      </c>
      <c r="H634" s="14" t="n">
        <v>110.71</v>
      </c>
      <c r="I634" s="14" t="n">
        <v>1.1781</v>
      </c>
      <c r="J634" s="14" t="n">
        <v>9.5773</v>
      </c>
      <c r="K634" s="14" t="n">
        <v>1273.37</v>
      </c>
      <c r="L634" s="14" t="n">
        <v>0.87325</v>
      </c>
      <c r="M634" s="14" t="n">
        <v>7.5147</v>
      </c>
      <c r="N634" s="14" t="n">
        <v>4.3831</v>
      </c>
      <c r="O634" s="14" t="n">
        <v>130.69</v>
      </c>
      <c r="P634" s="14" t="n">
        <v>8.1294</v>
      </c>
    </row>
    <row r="635" customFormat="false" ht="15" hidden="false" customHeight="false" outlineLevel="0" collapsed="false">
      <c r="A635" s="13" t="n">
        <v>43241</v>
      </c>
      <c r="B635" s="14" t="n">
        <v>1079.33</v>
      </c>
      <c r="C635" s="14" t="n">
        <v>8.0722</v>
      </c>
      <c r="D635" s="14" t="n">
        <v>1.3418</v>
      </c>
      <c r="E635" s="14" t="n">
        <v>1.1768</v>
      </c>
      <c r="F635" s="14" t="n">
        <v>6.3815</v>
      </c>
      <c r="G635" s="14" t="n">
        <v>3.7096</v>
      </c>
      <c r="H635" s="14" t="n">
        <v>111.08</v>
      </c>
      <c r="I635" s="14" t="n">
        <v>1.1759</v>
      </c>
      <c r="J635" s="14" t="n">
        <v>9.5285</v>
      </c>
      <c r="K635" s="14" t="n">
        <v>1274.86</v>
      </c>
      <c r="L635" s="14" t="n">
        <v>0.8764</v>
      </c>
      <c r="M635" s="14" t="n">
        <v>7.5097</v>
      </c>
      <c r="N635" s="14" t="n">
        <v>4.3714</v>
      </c>
      <c r="O635" s="14" t="n">
        <v>130.84</v>
      </c>
    </row>
    <row r="636" customFormat="false" ht="15" hidden="false" customHeight="false" outlineLevel="0" collapsed="false">
      <c r="A636" s="13" t="n">
        <v>43242</v>
      </c>
      <c r="B636" s="14" t="n">
        <v>1073.3</v>
      </c>
      <c r="C636" s="14" t="n">
        <v>8.0358</v>
      </c>
      <c r="D636" s="14" t="n">
        <v>1.3445</v>
      </c>
      <c r="E636" s="14" t="n">
        <v>1.1783</v>
      </c>
      <c r="F636" s="14" t="n">
        <v>6.366</v>
      </c>
      <c r="G636" s="14" t="n">
        <v>3.6367</v>
      </c>
      <c r="H636" s="14" t="n">
        <v>110.94</v>
      </c>
      <c r="I636" s="14" t="n">
        <v>1.1794</v>
      </c>
      <c r="J636" s="14" t="n">
        <v>9.49</v>
      </c>
      <c r="K636" s="14" t="n">
        <v>1267.93</v>
      </c>
      <c r="L636" s="14" t="n">
        <v>0.87688</v>
      </c>
      <c r="M636" s="14" t="n">
        <v>7.5112</v>
      </c>
      <c r="N636" s="14" t="n">
        <v>4.317</v>
      </c>
      <c r="O636" s="14" t="n">
        <v>130.7</v>
      </c>
      <c r="P636" s="14" t="n">
        <v>8.0465</v>
      </c>
    </row>
    <row r="637" customFormat="false" ht="15" hidden="false" customHeight="false" outlineLevel="0" collapsed="false">
      <c r="A637" s="13" t="n">
        <v>43243</v>
      </c>
      <c r="B637" s="14" t="n">
        <v>1078.88</v>
      </c>
      <c r="C637" s="14" t="n">
        <v>8.1085</v>
      </c>
      <c r="D637" s="14" t="n">
        <v>1.3341</v>
      </c>
      <c r="E637" s="14" t="n">
        <v>1.1693</v>
      </c>
      <c r="F637" s="14" t="n">
        <v>6.3875</v>
      </c>
      <c r="G637" s="14" t="n">
        <v>3.6411</v>
      </c>
      <c r="H637" s="14" t="n">
        <v>110.05</v>
      </c>
      <c r="I637" s="14" t="n">
        <v>1.1708</v>
      </c>
      <c r="J637" s="14" t="n">
        <v>9.5063</v>
      </c>
      <c r="K637" s="14" t="n">
        <v>1266.75</v>
      </c>
      <c r="L637" s="14" t="n">
        <v>0.87953</v>
      </c>
      <c r="M637" s="14" t="n">
        <v>7.4797</v>
      </c>
      <c r="N637" s="14" t="n">
        <v>4.304</v>
      </c>
      <c r="O637" s="14" t="n">
        <v>128.61</v>
      </c>
      <c r="P637" s="14" t="n">
        <v>8.1195</v>
      </c>
    </row>
    <row r="638" customFormat="false" ht="15" hidden="false" customHeight="false" outlineLevel="0" collapsed="false">
      <c r="A638" s="13" t="n">
        <v>43244</v>
      </c>
      <c r="B638" s="14" t="n">
        <v>1082.77</v>
      </c>
      <c r="C638" s="14" t="n">
        <v>8.0859</v>
      </c>
      <c r="D638" s="14" t="n">
        <v>1.3384</v>
      </c>
      <c r="E638" s="14" t="n">
        <v>1.1729</v>
      </c>
      <c r="F638" s="14" t="n">
        <v>6.3757</v>
      </c>
      <c r="G638" s="14" t="n">
        <v>3.6402</v>
      </c>
      <c r="H638" s="14" t="n">
        <v>109.3</v>
      </c>
      <c r="I638" s="14" t="n">
        <v>1.1728</v>
      </c>
      <c r="J638" s="14" t="n">
        <v>9.481</v>
      </c>
      <c r="K638" s="14" t="n">
        <v>1264.77</v>
      </c>
      <c r="L638" s="14" t="n">
        <v>0.87475</v>
      </c>
      <c r="M638" s="14" t="n">
        <v>7.4868</v>
      </c>
      <c r="N638" s="14" t="n">
        <v>4.2794</v>
      </c>
      <c r="O638" s="14" t="n">
        <v>128.46</v>
      </c>
      <c r="P638" s="14" t="n">
        <v>8.0841</v>
      </c>
    </row>
    <row r="639" customFormat="false" ht="15" hidden="false" customHeight="false" outlineLevel="0" collapsed="false">
      <c r="A639" s="13" t="n">
        <v>43245</v>
      </c>
      <c r="B639" s="14" t="n">
        <v>1076.35</v>
      </c>
      <c r="C639" s="14" t="n">
        <v>8.1478</v>
      </c>
      <c r="D639" s="14" t="n">
        <v>1.3321</v>
      </c>
      <c r="E639" s="14" t="n">
        <v>1.1666</v>
      </c>
      <c r="F639" s="14" t="n">
        <v>6.3903</v>
      </c>
      <c r="G639" s="14" t="n">
        <v>3.6586</v>
      </c>
      <c r="H639" s="14" t="n">
        <v>109.35</v>
      </c>
      <c r="I639" s="14" t="n">
        <v>1.1675</v>
      </c>
      <c r="J639" s="14" t="n">
        <v>9.4888</v>
      </c>
      <c r="K639" s="14" t="n">
        <v>1259.55</v>
      </c>
      <c r="L639" s="14" t="n">
        <v>0.8754</v>
      </c>
      <c r="M639" s="14" t="n">
        <v>7.4611</v>
      </c>
      <c r="N639" s="14" t="n">
        <v>4.2554</v>
      </c>
      <c r="O639" s="14" t="n">
        <v>127.72</v>
      </c>
      <c r="P639" s="14" t="n">
        <v>8.1275</v>
      </c>
    </row>
    <row r="640" customFormat="false" ht="15" hidden="false" customHeight="false" outlineLevel="0" collapsed="false">
      <c r="A640" s="13" t="n">
        <v>43248</v>
      </c>
      <c r="I640" s="14" t="n">
        <v>1.1644</v>
      </c>
      <c r="J640" s="14" t="n">
        <v>9.5113</v>
      </c>
      <c r="K640" s="14" t="n">
        <v>1250.83</v>
      </c>
      <c r="L640" s="14" t="n">
        <v>0.87465</v>
      </c>
      <c r="M640" s="14" t="n">
        <v>7.4508</v>
      </c>
      <c r="N640" s="14" t="n">
        <v>4.2953</v>
      </c>
      <c r="O640" s="14" t="n">
        <v>127.33</v>
      </c>
      <c r="P640" s="14" t="n">
        <v>8.1684</v>
      </c>
    </row>
    <row r="641" customFormat="false" ht="15" hidden="false" customHeight="false" outlineLevel="0" collapsed="false">
      <c r="A641" s="13" t="n">
        <v>43249</v>
      </c>
      <c r="B641" s="14" t="n">
        <v>1082.59</v>
      </c>
      <c r="C641" s="14" t="n">
        <v>8.2907</v>
      </c>
      <c r="D641" s="14" t="n">
        <v>1.3258</v>
      </c>
      <c r="E641" s="14" t="n">
        <v>1.1551</v>
      </c>
      <c r="F641" s="14" t="n">
        <v>6.4162</v>
      </c>
      <c r="G641" s="14" t="n">
        <v>3.7283</v>
      </c>
      <c r="H641" s="14" t="n">
        <v>108.62</v>
      </c>
      <c r="I641" s="14" t="n">
        <v>1.1558</v>
      </c>
      <c r="J641" s="14" t="n">
        <v>9.5618</v>
      </c>
      <c r="K641" s="14" t="n">
        <v>1248.51</v>
      </c>
      <c r="L641" s="14" t="n">
        <v>0.87143</v>
      </c>
      <c r="M641" s="14" t="n">
        <v>7.4174</v>
      </c>
      <c r="N641" s="14" t="n">
        <v>4.3415</v>
      </c>
      <c r="O641" s="14" t="n">
        <v>125.88</v>
      </c>
      <c r="P641" s="14" t="n">
        <v>8.2729</v>
      </c>
    </row>
    <row r="642" customFormat="false" ht="15" hidden="false" customHeight="false" outlineLevel="0" collapsed="false">
      <c r="A642" s="13" t="n">
        <v>43250</v>
      </c>
      <c r="B642" s="14" t="n">
        <v>1077.62</v>
      </c>
      <c r="C642" s="14" t="n">
        <v>8.173</v>
      </c>
      <c r="D642" s="14" t="n">
        <v>1.3296</v>
      </c>
      <c r="E642" s="14" t="n">
        <v>1.1664</v>
      </c>
      <c r="F642" s="14" t="n">
        <v>6.4175</v>
      </c>
      <c r="G642" s="14" t="n">
        <v>3.7389</v>
      </c>
      <c r="H642" s="14" t="n">
        <v>109.04</v>
      </c>
      <c r="I642" s="14" t="n">
        <v>1.1632</v>
      </c>
      <c r="J642" s="14" t="n">
        <v>9.5463</v>
      </c>
      <c r="K642" s="14" t="n">
        <v>1255.41</v>
      </c>
      <c r="L642" s="14" t="n">
        <v>0.875</v>
      </c>
      <c r="M642" s="14" t="n">
        <v>7.4673</v>
      </c>
      <c r="N642" s="14" t="n">
        <v>4.3112</v>
      </c>
      <c r="O642" s="14" t="n">
        <v>126.76</v>
      </c>
      <c r="P642" s="14" t="n">
        <v>8.2069</v>
      </c>
    </row>
    <row r="643" customFormat="false" ht="15" hidden="false" customHeight="false" outlineLevel="0" collapsed="false">
      <c r="A643" s="13" t="n">
        <v>43251</v>
      </c>
      <c r="B643" s="14" t="n">
        <v>1080.75</v>
      </c>
      <c r="C643" s="14" t="n">
        <v>8.1849</v>
      </c>
      <c r="D643" s="14" t="n">
        <v>1.3289</v>
      </c>
      <c r="E643" s="14" t="n">
        <v>1.167</v>
      </c>
      <c r="F643" s="14" t="n">
        <v>6.4096</v>
      </c>
      <c r="G643" s="14" t="n">
        <v>3.7262</v>
      </c>
      <c r="H643" s="14" t="n">
        <v>108.73</v>
      </c>
      <c r="I643" s="14" t="n">
        <v>1.1699</v>
      </c>
      <c r="J643" s="14" t="n">
        <v>9.5375</v>
      </c>
      <c r="K643" s="14" t="n">
        <v>1261.25</v>
      </c>
      <c r="L643" s="14" t="n">
        <v>0.8768</v>
      </c>
      <c r="M643" s="14" t="n">
        <v>7.4951</v>
      </c>
      <c r="N643" s="14" t="n">
        <v>4.3626</v>
      </c>
      <c r="O643" s="14" t="n">
        <v>127.33</v>
      </c>
      <c r="P643" s="14" t="n">
        <v>8.1524</v>
      </c>
    </row>
    <row r="644" customFormat="false" ht="15" hidden="false" customHeight="false" outlineLevel="0" collapsed="false">
      <c r="A644" s="13" t="n">
        <v>43252</v>
      </c>
      <c r="B644" s="14" t="n">
        <v>1071.27</v>
      </c>
      <c r="C644" s="14" t="n">
        <v>8.1646</v>
      </c>
      <c r="D644" s="14" t="n">
        <v>1.3358</v>
      </c>
      <c r="E644" s="14" t="n">
        <v>1.1679</v>
      </c>
      <c r="F644" s="14" t="n">
        <v>6.418</v>
      </c>
      <c r="G644" s="14" t="n">
        <v>3.755</v>
      </c>
      <c r="H644" s="14" t="n">
        <v>109.49</v>
      </c>
      <c r="I644" s="14" t="n">
        <v>1.1669</v>
      </c>
      <c r="J644" s="14" t="n">
        <v>9.5323</v>
      </c>
      <c r="K644" s="14" t="n">
        <v>1254.17</v>
      </c>
      <c r="L644" s="14" t="n">
        <v>0.8768</v>
      </c>
      <c r="M644" s="14" t="n">
        <v>7.4883</v>
      </c>
      <c r="N644" s="14" t="n">
        <v>4.3681</v>
      </c>
      <c r="O644" s="14" t="n">
        <v>127.74</v>
      </c>
      <c r="P644" s="14" t="n">
        <v>8.1689</v>
      </c>
    </row>
    <row r="645" customFormat="false" ht="15" hidden="false" customHeight="false" outlineLevel="0" collapsed="false">
      <c r="A645" s="13" t="n">
        <v>43255</v>
      </c>
      <c r="B645" s="14" t="n">
        <v>1070.13</v>
      </c>
      <c r="C645" s="14" t="n">
        <v>8.1147</v>
      </c>
      <c r="D645" s="14" t="n">
        <v>1.3314</v>
      </c>
      <c r="E645" s="14" t="n">
        <v>1.1696</v>
      </c>
      <c r="F645" s="14" t="n">
        <v>6.405</v>
      </c>
      <c r="G645" s="14" t="n">
        <v>3.7446</v>
      </c>
      <c r="H645" s="14" t="n">
        <v>109.66</v>
      </c>
      <c r="I645" s="14" t="n">
        <v>1.1737</v>
      </c>
      <c r="J645" s="14" t="n">
        <v>9.503</v>
      </c>
      <c r="K645" s="14" t="n">
        <v>1254.88</v>
      </c>
      <c r="L645" s="14" t="n">
        <v>0.87673</v>
      </c>
      <c r="M645" s="14" t="n">
        <v>7.5166</v>
      </c>
      <c r="N645" s="14" t="n">
        <v>4.3893</v>
      </c>
      <c r="O645" s="14" t="n">
        <v>128.44</v>
      </c>
      <c r="P645" s="14" t="n">
        <v>8.0966</v>
      </c>
    </row>
    <row r="646" customFormat="false" ht="15" hidden="false" customHeight="false" outlineLevel="0" collapsed="false">
      <c r="A646" s="13" t="n">
        <v>43256</v>
      </c>
      <c r="B646" s="14" t="n">
        <v>1071.86</v>
      </c>
      <c r="C646" s="14" t="n">
        <v>8.1344</v>
      </c>
      <c r="D646" s="14" t="n">
        <v>1.336</v>
      </c>
      <c r="E646" s="14" t="n">
        <v>1.1672</v>
      </c>
      <c r="F646" s="14" t="n">
        <v>6.4042</v>
      </c>
      <c r="G646" s="14" t="n">
        <v>3.778</v>
      </c>
      <c r="H646" s="14" t="n">
        <v>109.63</v>
      </c>
      <c r="I646" s="14" t="n">
        <v>1.1675</v>
      </c>
      <c r="J646" s="14" t="n">
        <v>9.5008</v>
      </c>
      <c r="K646" s="14" t="n">
        <v>1250.33</v>
      </c>
      <c r="L646" s="14" t="n">
        <v>0.8739</v>
      </c>
      <c r="M646" s="14" t="n">
        <v>7.477</v>
      </c>
      <c r="N646" s="14" t="n">
        <v>4.3926</v>
      </c>
      <c r="O646" s="14" t="n">
        <v>128.08</v>
      </c>
      <c r="P646" s="14" t="n">
        <v>8.1377</v>
      </c>
    </row>
    <row r="647" customFormat="false" ht="15" hidden="false" customHeight="false" outlineLevel="0" collapsed="false">
      <c r="A647" s="13" t="n">
        <v>43257</v>
      </c>
      <c r="B647" s="14" t="n">
        <v>1065.9</v>
      </c>
      <c r="C647" s="14" t="n">
        <v>8.0772</v>
      </c>
      <c r="D647" s="14" t="n">
        <v>1.3429</v>
      </c>
      <c r="E647" s="14" t="n">
        <v>1.1778</v>
      </c>
      <c r="F647" s="14" t="n">
        <v>6.385</v>
      </c>
      <c r="G647" s="14" t="n">
        <v>3.8178</v>
      </c>
      <c r="H647" s="14" t="n">
        <v>110</v>
      </c>
      <c r="I647" s="14" t="n">
        <v>1.1765</v>
      </c>
      <c r="J647" s="14" t="n">
        <v>9.5238</v>
      </c>
      <c r="K647" s="14" t="n">
        <v>1255.45</v>
      </c>
      <c r="L647" s="14" t="n">
        <v>0.87683</v>
      </c>
      <c r="M647" s="14" t="n">
        <v>7.523</v>
      </c>
      <c r="N647" s="14" t="n">
        <v>4.4924</v>
      </c>
      <c r="O647" s="14" t="n">
        <v>129.57</v>
      </c>
      <c r="P647" s="14" t="n">
        <v>8.095</v>
      </c>
    </row>
    <row r="648" customFormat="false" ht="15" hidden="false" customHeight="false" outlineLevel="0" collapsed="false">
      <c r="A648" s="13" t="n">
        <v>43258</v>
      </c>
      <c r="B648" s="14" t="n">
        <v>1071.11</v>
      </c>
      <c r="C648" s="14" t="n">
        <v>8.0419</v>
      </c>
      <c r="D648" s="14" t="n">
        <v>1.3427</v>
      </c>
      <c r="E648" s="14" t="n">
        <v>1.1815</v>
      </c>
      <c r="F648" s="14" t="n">
        <v>6.389</v>
      </c>
      <c r="G648" s="14" t="n">
        <v>3.9294</v>
      </c>
      <c r="H648" s="14" t="n">
        <v>109.92</v>
      </c>
      <c r="I648" s="14" t="n">
        <v>1.1836</v>
      </c>
      <c r="J648" s="14" t="n">
        <v>9.5013</v>
      </c>
      <c r="K648" s="14" t="n">
        <v>1266.42</v>
      </c>
      <c r="L648" s="14" t="n">
        <v>0.88123</v>
      </c>
      <c r="M648" s="14" t="n">
        <v>7.566</v>
      </c>
      <c r="N648" s="14" t="n">
        <v>4.5872</v>
      </c>
      <c r="O648" s="14" t="n">
        <v>130.26</v>
      </c>
      <c r="P648" s="14" t="n">
        <v>8.0275</v>
      </c>
    </row>
    <row r="649" customFormat="false" ht="15" hidden="false" customHeight="false" outlineLevel="0" collapsed="false">
      <c r="A649" s="13" t="n">
        <v>43259</v>
      </c>
      <c r="B649" s="14" t="n">
        <v>1075</v>
      </c>
      <c r="C649" s="14" t="n">
        <v>8.0574</v>
      </c>
      <c r="D649" s="14" t="n">
        <v>1.3406</v>
      </c>
      <c r="E649" s="14" t="n">
        <v>1.1773</v>
      </c>
      <c r="F649" s="14" t="n">
        <v>6.4031</v>
      </c>
      <c r="G649" s="14" t="n">
        <v>3.7429</v>
      </c>
      <c r="H649" s="14" t="n">
        <v>109.45</v>
      </c>
      <c r="I649" s="14" t="n">
        <v>1.1754</v>
      </c>
      <c r="J649" s="14" t="n">
        <v>9.5085</v>
      </c>
      <c r="K649" s="14" t="n">
        <v>1263.46</v>
      </c>
      <c r="L649" s="14" t="n">
        <v>0.87733</v>
      </c>
      <c r="M649" s="14" t="n">
        <v>7.5333</v>
      </c>
      <c r="N649" s="14" t="n">
        <v>4.5149</v>
      </c>
      <c r="O649" s="14" t="n">
        <v>128.64</v>
      </c>
      <c r="P649" s="14" t="n">
        <v>8.0896</v>
      </c>
    </row>
    <row r="650" customFormat="false" ht="15" hidden="false" customHeight="false" outlineLevel="0" collapsed="false">
      <c r="A650" s="13" t="n">
        <v>43262</v>
      </c>
      <c r="B650" s="14" t="n">
        <v>1075.08</v>
      </c>
      <c r="C650" s="14" t="n">
        <v>8.0283</v>
      </c>
      <c r="D650" s="14" t="n">
        <v>1.3386</v>
      </c>
      <c r="E650" s="14" t="n">
        <v>1.1802</v>
      </c>
      <c r="F650" s="14" t="n">
        <v>6.4</v>
      </c>
      <c r="G650" s="14" t="n">
        <v>3.6839</v>
      </c>
      <c r="H650" s="14" t="n">
        <v>109.94</v>
      </c>
      <c r="I650" s="14" t="n">
        <v>1.179</v>
      </c>
      <c r="J650" s="14" t="n">
        <v>9.5013</v>
      </c>
      <c r="K650" s="14" t="n">
        <v>1268.16</v>
      </c>
      <c r="L650" s="14" t="n">
        <v>0.8818</v>
      </c>
      <c r="M650" s="14" t="n">
        <v>7.5518</v>
      </c>
      <c r="N650" s="14" t="n">
        <v>4.3902</v>
      </c>
      <c r="O650" s="14" t="n">
        <v>129.62</v>
      </c>
      <c r="P650" s="14" t="n">
        <v>8.0588</v>
      </c>
    </row>
    <row r="651" customFormat="false" ht="15" hidden="false" customHeight="false" outlineLevel="0" collapsed="false">
      <c r="A651" s="13" t="n">
        <v>43263</v>
      </c>
      <c r="B651" s="14" t="n">
        <v>1077.14</v>
      </c>
      <c r="C651" s="14" t="n">
        <v>8.013</v>
      </c>
      <c r="D651" s="14" t="n">
        <v>1.3416</v>
      </c>
      <c r="E651" s="14" t="n">
        <v>1.1792</v>
      </c>
      <c r="F651" s="14" t="n">
        <v>6.3992</v>
      </c>
      <c r="G651" s="14" t="n">
        <v>3.6745</v>
      </c>
      <c r="H651" s="14" t="n">
        <v>110.22</v>
      </c>
      <c r="I651" s="14" t="n">
        <v>1.1788</v>
      </c>
      <c r="J651" s="14" t="n">
        <v>9.4435</v>
      </c>
      <c r="K651" s="14" t="n">
        <v>1272.14</v>
      </c>
      <c r="L651" s="14" t="n">
        <v>0.88175</v>
      </c>
      <c r="M651" s="14" t="n">
        <v>7.5496</v>
      </c>
      <c r="N651" s="14" t="n">
        <v>4.3608</v>
      </c>
      <c r="O651" s="14" t="n">
        <v>130.03</v>
      </c>
      <c r="P651" s="14" t="n">
        <v>8.0111</v>
      </c>
    </row>
    <row r="652" customFormat="false" ht="15" hidden="false" customHeight="false" outlineLevel="0" collapsed="false">
      <c r="A652" s="13" t="n">
        <v>43264</v>
      </c>
      <c r="B652" s="14" t="n">
        <v>1082.59</v>
      </c>
      <c r="C652" s="14" t="n">
        <v>8.0076</v>
      </c>
      <c r="D652" s="14" t="n">
        <v>1.3378</v>
      </c>
      <c r="E652" s="14" t="n">
        <v>1.1784</v>
      </c>
      <c r="F652" s="14" t="n">
        <v>6.3944</v>
      </c>
      <c r="G652" s="14" t="n">
        <v>3.7116</v>
      </c>
      <c r="H652" s="14" t="n">
        <v>110.41</v>
      </c>
      <c r="I652" s="14" t="n">
        <v>1.1764</v>
      </c>
      <c r="J652" s="14" t="n">
        <v>9.4373</v>
      </c>
      <c r="K652" s="14" t="n">
        <v>1275.88</v>
      </c>
      <c r="L652" s="14" t="n">
        <v>0.8821</v>
      </c>
      <c r="M652" s="14" t="n">
        <v>7.5293</v>
      </c>
      <c r="N652" s="14" t="n">
        <v>4.3587</v>
      </c>
      <c r="O652" s="14" t="n">
        <v>130.03</v>
      </c>
      <c r="P652" s="14" t="n">
        <v>8.0222</v>
      </c>
    </row>
    <row r="653" customFormat="false" ht="15" hidden="false" customHeight="false" outlineLevel="0" collapsed="false">
      <c r="A653" s="13" t="n">
        <v>43265</v>
      </c>
      <c r="B653" s="14" t="n">
        <v>1084.06</v>
      </c>
      <c r="C653" s="14" t="n">
        <v>8.0944</v>
      </c>
      <c r="D653" s="14" t="n">
        <v>1.3333</v>
      </c>
      <c r="E653" s="14" t="n">
        <v>1.1634</v>
      </c>
      <c r="F653" s="14" t="n">
        <v>6.398</v>
      </c>
      <c r="G653" s="14" t="n">
        <v>3.7018</v>
      </c>
      <c r="H653" s="14" t="n">
        <v>110.44</v>
      </c>
      <c r="I653" s="14" t="n">
        <v>1.173</v>
      </c>
      <c r="J653" s="14" t="n">
        <v>9.4268</v>
      </c>
      <c r="K653" s="14" t="n">
        <v>1269.54</v>
      </c>
      <c r="L653" s="14" t="n">
        <v>0.87683</v>
      </c>
      <c r="M653" s="14" t="n">
        <v>7.5009</v>
      </c>
      <c r="N653" s="14" t="n">
        <v>4.3312</v>
      </c>
      <c r="O653" s="14" t="n">
        <v>129.15</v>
      </c>
      <c r="P653" s="14" t="n">
        <v>8.0365</v>
      </c>
    </row>
    <row r="654" customFormat="false" ht="15" hidden="false" customHeight="false" outlineLevel="0" collapsed="false">
      <c r="A654" s="13" t="n">
        <v>43266</v>
      </c>
      <c r="B654" s="14" t="n">
        <v>1101.89</v>
      </c>
      <c r="C654" s="14" t="n">
        <v>8.1373</v>
      </c>
      <c r="D654" s="14" t="n">
        <v>1.3283</v>
      </c>
      <c r="E654" s="14" t="n">
        <v>1.1616</v>
      </c>
      <c r="F654" s="14" t="n">
        <v>6.4379</v>
      </c>
      <c r="G654" s="14" t="n">
        <v>3.7511</v>
      </c>
      <c r="H654" s="14" t="n">
        <v>110.58</v>
      </c>
      <c r="I654" s="14" t="n">
        <v>1.1596</v>
      </c>
      <c r="J654" s="14" t="n">
        <v>9.432</v>
      </c>
      <c r="K654" s="14" t="n">
        <v>1272.93</v>
      </c>
      <c r="L654" s="14" t="n">
        <v>0.8732</v>
      </c>
      <c r="M654" s="14" t="n">
        <v>7.4463</v>
      </c>
      <c r="N654" s="14" t="n">
        <v>4.3761</v>
      </c>
      <c r="O654" s="14" t="n">
        <v>128.31</v>
      </c>
      <c r="P654" s="14" t="n">
        <v>8.1338</v>
      </c>
    </row>
    <row r="655" customFormat="false" ht="15" hidden="false" customHeight="false" outlineLevel="0" collapsed="false">
      <c r="A655" s="13" t="n">
        <v>43269</v>
      </c>
      <c r="B655" s="14" t="n">
        <v>1105.07</v>
      </c>
      <c r="C655" s="14" t="n">
        <v>8.1441</v>
      </c>
      <c r="D655" s="14" t="n">
        <v>1.3247</v>
      </c>
      <c r="E655" s="14" t="n">
        <v>1.1606</v>
      </c>
      <c r="F655" s="14" t="n">
        <v>6.4379</v>
      </c>
      <c r="G655" s="14" t="n">
        <v>3.7537</v>
      </c>
      <c r="H655" s="14" t="n">
        <v>110.44</v>
      </c>
      <c r="I655" s="14" t="n">
        <v>1.1613</v>
      </c>
      <c r="J655" s="14" t="n">
        <v>9.434</v>
      </c>
      <c r="K655" s="14" t="n">
        <v>1282.56</v>
      </c>
      <c r="L655" s="14" t="n">
        <v>0.87655</v>
      </c>
      <c r="M655" s="14" t="n">
        <v>7.478</v>
      </c>
      <c r="N655" s="14" t="n">
        <v>4.3472</v>
      </c>
      <c r="O655" s="14" t="n">
        <v>128.27</v>
      </c>
      <c r="P655" s="14" t="n">
        <v>8.1237</v>
      </c>
    </row>
    <row r="656" customFormat="false" ht="15" hidden="false" customHeight="false" outlineLevel="0" collapsed="false">
      <c r="A656" s="13" t="n">
        <v>43270</v>
      </c>
      <c r="B656" s="14" t="n">
        <v>1110.64</v>
      </c>
      <c r="C656" s="14" t="n">
        <v>8.1891</v>
      </c>
      <c r="D656" s="14" t="n">
        <v>1.3172</v>
      </c>
      <c r="E656" s="14" t="n">
        <v>1.1577</v>
      </c>
      <c r="F656" s="14" t="n">
        <v>6.4802</v>
      </c>
      <c r="G656" s="14" t="n">
        <v>3.7306</v>
      </c>
      <c r="H656" s="14" t="n">
        <v>110.02</v>
      </c>
      <c r="I656" s="14" t="n">
        <v>1.1534</v>
      </c>
      <c r="J656" s="14" t="n">
        <v>9.4895</v>
      </c>
      <c r="K656" s="14" t="n">
        <v>1287.91</v>
      </c>
      <c r="L656" s="14" t="n">
        <v>0.87693</v>
      </c>
      <c r="M656" s="14" t="n">
        <v>7.4765</v>
      </c>
      <c r="N656" s="14" t="n">
        <v>4.3536</v>
      </c>
      <c r="O656" s="14" t="n">
        <v>126.78</v>
      </c>
      <c r="P656" s="14" t="n">
        <v>8.2274</v>
      </c>
    </row>
    <row r="657" customFormat="false" ht="15" hidden="false" customHeight="false" outlineLevel="0" collapsed="false">
      <c r="A657" s="13" t="n">
        <v>43271</v>
      </c>
      <c r="B657" s="14" t="n">
        <v>1107.42</v>
      </c>
      <c r="C657" s="14" t="n">
        <v>8.1488</v>
      </c>
      <c r="D657" s="14" t="n">
        <v>1.3213</v>
      </c>
      <c r="E657" s="14" t="n">
        <v>1.1592</v>
      </c>
      <c r="F657" s="14" t="n">
        <v>6.4713</v>
      </c>
      <c r="G657" s="14" t="n">
        <v>3.7349</v>
      </c>
      <c r="H657" s="14" t="n">
        <v>110.14</v>
      </c>
      <c r="I657" s="14" t="n">
        <v>1.1578</v>
      </c>
      <c r="J657" s="14" t="n">
        <v>9.4693</v>
      </c>
      <c r="K657" s="14" t="n">
        <v>1281.98</v>
      </c>
      <c r="L657" s="14" t="n">
        <v>0.87878</v>
      </c>
      <c r="M657" s="14" t="n">
        <v>7.4953</v>
      </c>
      <c r="N657" s="14" t="n">
        <v>4.3273</v>
      </c>
      <c r="O657" s="14" t="n">
        <v>127.39</v>
      </c>
      <c r="P657" s="14" t="n">
        <v>8.1787</v>
      </c>
    </row>
    <row r="658" customFormat="false" ht="15" hidden="false" customHeight="false" outlineLevel="0" collapsed="false">
      <c r="A658" s="13" t="n">
        <v>43272</v>
      </c>
      <c r="B658" s="14" t="n">
        <v>1110.01</v>
      </c>
      <c r="C658" s="14" t="n">
        <v>8.1367</v>
      </c>
      <c r="D658" s="14" t="n">
        <v>1.3251</v>
      </c>
      <c r="E658" s="14" t="n">
        <v>1.16</v>
      </c>
      <c r="F658" s="14" t="n">
        <v>6.49</v>
      </c>
      <c r="G658" s="14" t="n">
        <v>3.7992</v>
      </c>
      <c r="H658" s="14" t="n">
        <v>110.05</v>
      </c>
      <c r="I658" s="14" t="n">
        <v>1.1538</v>
      </c>
      <c r="J658" s="14" t="n">
        <v>9.4253</v>
      </c>
      <c r="K658" s="14" t="n">
        <v>1280.79</v>
      </c>
      <c r="L658" s="14" t="n">
        <v>0.8737</v>
      </c>
      <c r="M658" s="14" t="n">
        <v>7.4977</v>
      </c>
      <c r="N658" s="14" t="n">
        <v>4.3567</v>
      </c>
      <c r="O658" s="14" t="n">
        <v>127.59</v>
      </c>
      <c r="P658" s="14" t="n">
        <v>8.1689</v>
      </c>
    </row>
    <row r="659" customFormat="false" ht="15" hidden="false" customHeight="false" outlineLevel="0" collapsed="false">
      <c r="A659" s="13" t="n">
        <v>43273</v>
      </c>
      <c r="B659" s="14" t="n">
        <v>1114.49</v>
      </c>
      <c r="C659" s="14" t="n">
        <v>8.1108</v>
      </c>
      <c r="D659" s="14" t="n">
        <v>1.3258</v>
      </c>
      <c r="E659" s="14" t="n">
        <v>1.163</v>
      </c>
      <c r="F659" s="14" t="n">
        <v>6.5027</v>
      </c>
      <c r="G659" s="14" t="n">
        <v>3.7708</v>
      </c>
      <c r="H659" s="14" t="n">
        <v>109.98</v>
      </c>
      <c r="I659" s="14" t="n">
        <v>1.1648</v>
      </c>
      <c r="J659" s="14" t="n">
        <v>9.4328</v>
      </c>
      <c r="K659" s="14" t="n">
        <v>1293.76</v>
      </c>
      <c r="L659" s="14" t="n">
        <v>0.87663</v>
      </c>
      <c r="M659" s="14" t="n">
        <v>7.5689</v>
      </c>
      <c r="N659" s="14" t="n">
        <v>4.3617</v>
      </c>
      <c r="O659" s="14" t="n">
        <v>128.3</v>
      </c>
      <c r="P659" s="14" t="n">
        <v>8.0982</v>
      </c>
    </row>
    <row r="660" customFormat="false" ht="15" hidden="false" customHeight="false" outlineLevel="0" collapsed="false">
      <c r="A660" s="13" t="n">
        <v>43276</v>
      </c>
      <c r="B660" s="14" t="n">
        <v>1114.4</v>
      </c>
      <c r="C660" s="14" t="n">
        <v>8.1182</v>
      </c>
      <c r="D660" s="14" t="n">
        <v>1.3273</v>
      </c>
      <c r="E660" s="14" t="n">
        <v>1.1694</v>
      </c>
      <c r="F660" s="14" t="n">
        <v>6.536</v>
      </c>
      <c r="G660" s="14" t="n">
        <v>3.7776</v>
      </c>
      <c r="H660" s="14" t="n">
        <v>109.62</v>
      </c>
      <c r="I660" s="14" t="n">
        <v>1.17</v>
      </c>
      <c r="J660" s="14" t="n">
        <v>9.4703</v>
      </c>
      <c r="K660" s="14" t="n">
        <v>1303.95</v>
      </c>
      <c r="L660" s="14" t="n">
        <v>0.8804</v>
      </c>
      <c r="M660" s="14" t="n">
        <v>7.6468</v>
      </c>
      <c r="N660" s="14" t="n">
        <v>4.4042</v>
      </c>
      <c r="O660" s="14" t="n">
        <v>128.21</v>
      </c>
      <c r="P660" s="14" t="n">
        <v>8.0943</v>
      </c>
    </row>
    <row r="661" customFormat="false" ht="15" hidden="false" customHeight="false" outlineLevel="0" collapsed="false">
      <c r="A661" s="13" t="n">
        <v>43277</v>
      </c>
      <c r="B661" s="14" t="n">
        <v>1118.08</v>
      </c>
      <c r="C661" s="14" t="n">
        <v>8.1089</v>
      </c>
      <c r="D661" s="14" t="n">
        <v>1.3243</v>
      </c>
      <c r="E661" s="14" t="n">
        <v>1.1675</v>
      </c>
      <c r="F661" s="14" t="n">
        <v>6.5759</v>
      </c>
      <c r="G661" s="14" t="n">
        <v>3.7705</v>
      </c>
      <c r="H661" s="14" t="n">
        <v>109.92</v>
      </c>
      <c r="I661" s="14" t="n">
        <v>1.1672</v>
      </c>
      <c r="J661" s="14" t="n">
        <v>9.4718</v>
      </c>
      <c r="K661" s="14" t="n">
        <v>1306.32</v>
      </c>
      <c r="L661" s="14" t="n">
        <v>0.8816</v>
      </c>
      <c r="M661" s="14" t="n">
        <v>7.6749</v>
      </c>
      <c r="N661" s="14" t="n">
        <v>4.4051</v>
      </c>
      <c r="O661" s="14" t="n">
        <v>127.95</v>
      </c>
      <c r="P661" s="14" t="n">
        <v>8.115</v>
      </c>
    </row>
    <row r="662" customFormat="false" ht="15" hidden="false" customHeight="false" outlineLevel="0" collapsed="false">
      <c r="A662" s="13" t="n">
        <v>43278</v>
      </c>
      <c r="B662" s="14" t="n">
        <v>1121.57</v>
      </c>
      <c r="C662" s="14" t="n">
        <v>8.1544</v>
      </c>
      <c r="D662" s="14" t="n">
        <v>1.3139</v>
      </c>
      <c r="E662" s="14" t="n">
        <v>1.1588</v>
      </c>
      <c r="F662" s="14" t="n">
        <v>6.5992</v>
      </c>
      <c r="G662" s="14" t="n">
        <v>3.8537</v>
      </c>
      <c r="H662" s="14" t="n">
        <v>110.34</v>
      </c>
      <c r="I662" s="14" t="n">
        <v>1.1616</v>
      </c>
      <c r="J662" s="14" t="n">
        <v>9.4785</v>
      </c>
      <c r="K662" s="14" t="n">
        <v>1298.88</v>
      </c>
      <c r="L662" s="14" t="n">
        <v>0.88173</v>
      </c>
      <c r="M662" s="14" t="n">
        <v>7.6649</v>
      </c>
      <c r="N662" s="14" t="n">
        <v>4.4152</v>
      </c>
      <c r="O662" s="14" t="n">
        <v>128.08</v>
      </c>
      <c r="P662" s="14" t="n">
        <v>8.1599</v>
      </c>
    </row>
    <row r="663" customFormat="false" ht="15" hidden="false" customHeight="false" outlineLevel="0" collapsed="false">
      <c r="A663" s="13" t="n">
        <v>43279</v>
      </c>
      <c r="B663" s="14" t="n">
        <v>1121.96</v>
      </c>
      <c r="C663" s="14" t="n">
        <v>8.1895</v>
      </c>
      <c r="D663" s="14" t="n">
        <v>1.3095</v>
      </c>
      <c r="E663" s="14" t="n">
        <v>1.1582</v>
      </c>
      <c r="F663" s="14" t="n">
        <v>6.6235</v>
      </c>
      <c r="G663" s="14" t="n">
        <v>3.8543</v>
      </c>
      <c r="H663" s="14" t="n">
        <v>110.38</v>
      </c>
      <c r="I663" s="14" t="n">
        <v>1.1583</v>
      </c>
      <c r="J663" s="14" t="n">
        <v>9.474</v>
      </c>
      <c r="K663" s="14" t="n">
        <v>1300.27</v>
      </c>
      <c r="L663" s="14" t="n">
        <v>0.8852</v>
      </c>
      <c r="M663" s="14" t="n">
        <v>7.6728</v>
      </c>
      <c r="N663" s="14" t="n">
        <v>4.4822</v>
      </c>
      <c r="O663" s="14" t="n">
        <v>127.63</v>
      </c>
      <c r="P663" s="14" t="n">
        <v>8.1792</v>
      </c>
    </row>
    <row r="664" customFormat="false" ht="15" hidden="false" customHeight="false" outlineLevel="0" collapsed="false">
      <c r="A664" s="13" t="n">
        <v>43280</v>
      </c>
      <c r="B664" s="14" t="n">
        <v>1111.79</v>
      </c>
      <c r="C664" s="14" t="n">
        <v>8.1478</v>
      </c>
      <c r="D664" s="14" t="n">
        <v>1.3197</v>
      </c>
      <c r="E664" s="14" t="n">
        <v>1.1677</v>
      </c>
      <c r="F664" s="14" t="n">
        <v>6.6171</v>
      </c>
      <c r="G664" s="14" t="n">
        <v>3.8561</v>
      </c>
      <c r="H664" s="14" t="n">
        <v>110.71</v>
      </c>
      <c r="I664" s="14" t="n">
        <v>1.1658</v>
      </c>
      <c r="J664" s="14" t="n">
        <v>9.5115</v>
      </c>
      <c r="K664" s="14" t="n">
        <v>1296.72</v>
      </c>
      <c r="L664" s="14" t="n">
        <v>0.88605</v>
      </c>
      <c r="M664" s="14" t="n">
        <v>7.717</v>
      </c>
      <c r="N664" s="14" t="n">
        <v>4.4876</v>
      </c>
      <c r="O664" s="14" t="n">
        <v>129.04</v>
      </c>
      <c r="P664" s="14" t="n">
        <v>8.1588</v>
      </c>
    </row>
    <row r="665" customFormat="false" ht="15" hidden="false" customHeight="false" outlineLevel="0" collapsed="false">
      <c r="A665" s="13" t="n">
        <v>43283</v>
      </c>
      <c r="B665" s="14" t="n">
        <v>1119.31</v>
      </c>
      <c r="C665" s="14" t="n">
        <v>8.1896</v>
      </c>
      <c r="D665" s="14" t="n">
        <v>1.3133</v>
      </c>
      <c r="E665" s="14" t="n">
        <v>1.1604</v>
      </c>
      <c r="F665" s="14" t="n">
        <v>6.6632</v>
      </c>
      <c r="G665" s="14" t="n">
        <v>3.9135</v>
      </c>
      <c r="H665" s="14" t="n">
        <v>110.73</v>
      </c>
      <c r="I665" s="14" t="n">
        <v>1.1639</v>
      </c>
      <c r="J665" s="14" t="n">
        <v>9.5015</v>
      </c>
      <c r="K665" s="14" t="n">
        <v>1303.87</v>
      </c>
      <c r="L665" s="14" t="n">
        <v>0.8865</v>
      </c>
      <c r="M665" s="14" t="n">
        <v>7.7586</v>
      </c>
      <c r="N665" s="14" t="n">
        <v>4.5227</v>
      </c>
      <c r="O665" s="14" t="n">
        <v>128.86</v>
      </c>
      <c r="P665" s="14" t="n">
        <v>8.1635</v>
      </c>
    </row>
    <row r="666" customFormat="false" ht="15" hidden="false" customHeight="false" outlineLevel="0" collapsed="false">
      <c r="A666" s="13" t="n">
        <v>43284</v>
      </c>
      <c r="B666" s="14" t="n">
        <v>1114.41</v>
      </c>
      <c r="C666" s="14" t="n">
        <v>8.1355</v>
      </c>
      <c r="D666" s="14" t="n">
        <v>1.3174</v>
      </c>
      <c r="E666" s="14" t="n">
        <v>1.1653</v>
      </c>
      <c r="F666" s="14" t="n">
        <v>6.6368</v>
      </c>
      <c r="G666" s="14" t="n">
        <v>3.8789</v>
      </c>
      <c r="H666" s="14" t="n">
        <v>110.54</v>
      </c>
      <c r="I666" s="14" t="n">
        <v>1.1665</v>
      </c>
      <c r="J666" s="14" t="n">
        <v>9.4655</v>
      </c>
      <c r="K666" s="14" t="n">
        <v>1298.07</v>
      </c>
      <c r="L666" s="14" t="n">
        <v>0.8835</v>
      </c>
      <c r="M666" s="14" t="n">
        <v>7.7481</v>
      </c>
      <c r="N666" s="14" t="n">
        <v>4.5429</v>
      </c>
      <c r="O666" s="14" t="n">
        <v>129.09</v>
      </c>
      <c r="P666" s="14" t="n">
        <v>8.1144</v>
      </c>
    </row>
    <row r="667" customFormat="false" ht="15" hidden="false" customHeight="false" outlineLevel="0" collapsed="false">
      <c r="A667" s="13" t="n">
        <v>43285</v>
      </c>
      <c r="I667" s="14" t="n">
        <v>1.1642</v>
      </c>
      <c r="J667" s="14" t="n">
        <v>9.4433</v>
      </c>
      <c r="K667" s="14" t="n">
        <v>1301.2</v>
      </c>
      <c r="L667" s="14" t="n">
        <v>0.88108</v>
      </c>
      <c r="M667" s="14" t="n">
        <v>7.7207</v>
      </c>
      <c r="N667" s="14" t="n">
        <v>4.5346</v>
      </c>
      <c r="O667" s="14" t="n">
        <v>128.64</v>
      </c>
      <c r="P667" s="14" t="n">
        <v>8.1114</v>
      </c>
    </row>
    <row r="668" customFormat="false" ht="15" hidden="false" customHeight="false" outlineLevel="0" collapsed="false">
      <c r="A668" s="13" t="n">
        <v>43286</v>
      </c>
      <c r="B668" s="14" t="n">
        <v>1118.2</v>
      </c>
      <c r="C668" s="14" t="n">
        <v>8.0501</v>
      </c>
      <c r="D668" s="14" t="n">
        <v>1.3228</v>
      </c>
      <c r="E668" s="14" t="n">
        <v>1.1697</v>
      </c>
      <c r="F668" s="14" t="n">
        <v>6.6341</v>
      </c>
      <c r="G668" s="14" t="n">
        <v>3.9242</v>
      </c>
      <c r="H668" s="14" t="n">
        <v>110.59</v>
      </c>
      <c r="I668" s="14" t="n">
        <v>1.1709</v>
      </c>
      <c r="J668" s="14" t="n">
        <v>9.441</v>
      </c>
      <c r="K668" s="14" t="n">
        <v>1309.08</v>
      </c>
      <c r="L668" s="14" t="n">
        <v>0.8831</v>
      </c>
      <c r="M668" s="14" t="n">
        <v>7.7672</v>
      </c>
      <c r="N668" s="14" t="n">
        <v>4.5521</v>
      </c>
      <c r="O668" s="14" t="n">
        <v>129.53</v>
      </c>
      <c r="P668" s="14" t="n">
        <v>8.063</v>
      </c>
    </row>
    <row r="669" customFormat="false" ht="15" hidden="false" customHeight="false" outlineLevel="0" collapsed="false">
      <c r="A669" s="13" t="n">
        <v>43287</v>
      </c>
      <c r="B669" s="14" t="n">
        <v>1114.98</v>
      </c>
      <c r="C669" s="14" t="n">
        <v>8.0302</v>
      </c>
      <c r="D669" s="14" t="n">
        <v>1.3262</v>
      </c>
      <c r="E669" s="14" t="n">
        <v>1.1738</v>
      </c>
      <c r="F669" s="14" t="n">
        <v>6.6396</v>
      </c>
      <c r="G669" s="14" t="n">
        <v>3.906</v>
      </c>
      <c r="H669" s="14" t="n">
        <v>110.48</v>
      </c>
      <c r="I669" s="14" t="n">
        <v>1.1724</v>
      </c>
      <c r="J669" s="14" t="n">
        <v>9.4425</v>
      </c>
      <c r="K669" s="14" t="n">
        <v>1310.92</v>
      </c>
      <c r="L669" s="14" t="n">
        <v>0.88595</v>
      </c>
      <c r="M669" s="14" t="n">
        <v>7.7937</v>
      </c>
      <c r="N669" s="14" t="n">
        <v>4.6279</v>
      </c>
      <c r="O669" s="14" t="n">
        <v>129.65</v>
      </c>
      <c r="P669" s="14" t="n">
        <v>8.054</v>
      </c>
    </row>
    <row r="670" customFormat="false" ht="15" hidden="false" customHeight="false" outlineLevel="0" collapsed="false">
      <c r="A670" s="13" t="n">
        <v>43290</v>
      </c>
      <c r="B670" s="14" t="n">
        <v>1111.38</v>
      </c>
      <c r="C670" s="14" t="n">
        <v>8.0155</v>
      </c>
      <c r="D670" s="14" t="n">
        <v>1.3202</v>
      </c>
      <c r="E670" s="14" t="n">
        <v>1.1744</v>
      </c>
      <c r="F670" s="14" t="n">
        <v>6.6123</v>
      </c>
      <c r="G670" s="14" t="n">
        <v>3.8694</v>
      </c>
      <c r="H670" s="14" t="n">
        <v>110.78</v>
      </c>
      <c r="I670" s="14" t="n">
        <v>1.1789</v>
      </c>
      <c r="J670" s="14" t="n">
        <v>9.4218</v>
      </c>
      <c r="K670" s="14" t="n">
        <v>1309.88</v>
      </c>
      <c r="L670" s="14" t="n">
        <v>0.88345</v>
      </c>
      <c r="M670" s="14" t="n">
        <v>7.7967</v>
      </c>
      <c r="N670" s="14" t="n">
        <v>4.5564</v>
      </c>
      <c r="O670" s="14" t="n">
        <v>130.21</v>
      </c>
      <c r="P670" s="14" t="n">
        <v>7.992</v>
      </c>
    </row>
    <row r="671" customFormat="false" ht="15" hidden="false" customHeight="false" outlineLevel="0" collapsed="false">
      <c r="A671" s="13" t="n">
        <v>43291</v>
      </c>
      <c r="B671" s="14" t="n">
        <v>1113.81</v>
      </c>
      <c r="C671" s="14" t="n">
        <v>8.0322</v>
      </c>
      <c r="D671" s="14" t="n">
        <v>1.3266</v>
      </c>
      <c r="E671" s="14" t="n">
        <v>1.1728</v>
      </c>
      <c r="F671" s="14" t="n">
        <v>6.6296</v>
      </c>
      <c r="G671" s="14" t="n">
        <v>3.826</v>
      </c>
      <c r="H671" s="14" t="n">
        <v>111.24</v>
      </c>
      <c r="I671" s="14" t="n">
        <v>1.1713</v>
      </c>
      <c r="J671" s="14" t="n">
        <v>9.4145</v>
      </c>
      <c r="K671" s="14" t="n">
        <v>1308.63</v>
      </c>
      <c r="L671" s="14" t="n">
        <v>0.88338</v>
      </c>
      <c r="M671" s="14" t="n">
        <v>7.7767</v>
      </c>
      <c r="N671" s="14" t="n">
        <v>4.5513</v>
      </c>
      <c r="O671" s="14" t="n">
        <v>130.3</v>
      </c>
      <c r="P671" s="14" t="n">
        <v>8.0377</v>
      </c>
    </row>
    <row r="672" customFormat="false" ht="15" hidden="false" customHeight="false" outlineLevel="0" collapsed="false">
      <c r="A672" s="13" t="n">
        <v>43292</v>
      </c>
      <c r="B672" s="14" t="n">
        <v>1122.1</v>
      </c>
      <c r="C672" s="14" t="n">
        <v>8.059</v>
      </c>
      <c r="D672" s="14" t="n">
        <v>1.3241</v>
      </c>
      <c r="E672" s="14" t="n">
        <v>1.1722</v>
      </c>
      <c r="F672" s="14" t="n">
        <v>6.6764</v>
      </c>
      <c r="G672" s="14" t="n">
        <v>3.8624</v>
      </c>
      <c r="H672" s="14" t="n">
        <v>111.52</v>
      </c>
      <c r="I672" s="14" t="n">
        <v>1.1735</v>
      </c>
      <c r="J672" s="14" t="n">
        <v>9.4458</v>
      </c>
      <c r="K672" s="14" t="n">
        <v>1318.67</v>
      </c>
      <c r="L672" s="14" t="n">
        <v>0.88482</v>
      </c>
      <c r="M672" s="14" t="n">
        <v>7.8359</v>
      </c>
      <c r="N672" s="14" t="n">
        <v>4.4923</v>
      </c>
      <c r="O672" s="14" t="n">
        <v>130.53</v>
      </c>
      <c r="P672" s="14" t="n">
        <v>8.0493</v>
      </c>
    </row>
    <row r="673" customFormat="false" ht="15" hidden="false" customHeight="false" outlineLevel="0" collapsed="false">
      <c r="A673" s="13" t="n">
        <v>43293</v>
      </c>
      <c r="B673" s="14" t="n">
        <v>1121.38</v>
      </c>
      <c r="C673" s="14" t="n">
        <v>8.0925</v>
      </c>
      <c r="D673" s="14" t="n">
        <v>1.3238</v>
      </c>
      <c r="E673" s="14" t="n">
        <v>1.1692</v>
      </c>
      <c r="F673" s="14" t="n">
        <v>6.663</v>
      </c>
      <c r="G673" s="14" t="n">
        <v>3.8478</v>
      </c>
      <c r="H673" s="14" t="n">
        <v>112.41</v>
      </c>
      <c r="I673" s="14" t="n">
        <v>1.1658</v>
      </c>
      <c r="J673" s="14" t="n">
        <v>9.4443</v>
      </c>
      <c r="K673" s="14" t="n">
        <v>1312.52</v>
      </c>
      <c r="L673" s="14" t="n">
        <v>0.88263</v>
      </c>
      <c r="M673" s="14" t="n">
        <v>7.778</v>
      </c>
      <c r="N673" s="14" t="n">
        <v>4.5049</v>
      </c>
      <c r="O673" s="14" t="n">
        <v>131.13</v>
      </c>
      <c r="P673" s="14" t="n">
        <v>8.1011</v>
      </c>
    </row>
    <row r="674" customFormat="false" ht="15" hidden="false" customHeight="false" outlineLevel="0" collapsed="false">
      <c r="A674" s="13" t="n">
        <v>43294</v>
      </c>
      <c r="B674" s="14" t="n">
        <v>1130.3</v>
      </c>
      <c r="C674" s="14" t="n">
        <v>8.1298</v>
      </c>
      <c r="D674" s="14" t="n">
        <v>1.3216</v>
      </c>
      <c r="E674" s="14" t="n">
        <v>1.1667</v>
      </c>
      <c r="F674" s="14" t="n">
        <v>6.69</v>
      </c>
      <c r="G674" s="14" t="n">
        <v>3.8659</v>
      </c>
      <c r="H674" s="14" t="n">
        <v>112.38</v>
      </c>
      <c r="I674" s="14" t="n">
        <v>1.1643</v>
      </c>
      <c r="J674" s="14" t="n">
        <v>9.483</v>
      </c>
      <c r="K674" s="14" t="n">
        <v>1319.7</v>
      </c>
      <c r="L674" s="14" t="n">
        <v>0.88488</v>
      </c>
      <c r="M674" s="14" t="n">
        <v>7.8012</v>
      </c>
      <c r="N674" s="14" t="n">
        <v>4.5373</v>
      </c>
      <c r="O674" s="14" t="n">
        <v>131.04</v>
      </c>
      <c r="P674" s="14" t="n">
        <v>8.1448</v>
      </c>
    </row>
    <row r="675" customFormat="false" ht="15" hidden="false" customHeight="false" outlineLevel="0" collapsed="false">
      <c r="A675" s="13" t="n">
        <v>43297</v>
      </c>
      <c r="B675" s="14" t="n">
        <v>1127.81</v>
      </c>
      <c r="C675" s="14" t="n">
        <v>8.1021</v>
      </c>
      <c r="D675" s="14" t="n">
        <v>1.3236</v>
      </c>
      <c r="E675" s="14" t="n">
        <v>1.171</v>
      </c>
      <c r="F675" s="14" t="n">
        <v>6.6866</v>
      </c>
      <c r="G675" s="14" t="n">
        <v>3.8534</v>
      </c>
      <c r="H675" s="14" t="n">
        <v>112.29</v>
      </c>
      <c r="I675" s="14" t="n">
        <v>1.172</v>
      </c>
      <c r="J675" s="14" t="n">
        <v>9.479</v>
      </c>
      <c r="K675" s="14" t="n">
        <v>1320.93</v>
      </c>
      <c r="L675" s="14" t="n">
        <v>0.8827</v>
      </c>
      <c r="M675" s="14" t="n">
        <v>7.8273</v>
      </c>
      <c r="N675" s="14" t="n">
        <v>4.509</v>
      </c>
      <c r="O675" s="14" t="n">
        <v>131.65</v>
      </c>
      <c r="P675" s="14" t="n">
        <v>8.0879</v>
      </c>
    </row>
    <row r="676" customFormat="false" ht="15" hidden="false" customHeight="false" outlineLevel="0" collapsed="false">
      <c r="A676" s="13" t="n">
        <v>43298</v>
      </c>
      <c r="B676" s="14" t="n">
        <v>1125.63</v>
      </c>
      <c r="C676" s="14" t="n">
        <v>8.134</v>
      </c>
      <c r="D676" s="14" t="n">
        <v>1.3161</v>
      </c>
      <c r="E676" s="14" t="n">
        <v>1.1664</v>
      </c>
      <c r="F676" s="14" t="n">
        <v>6.7018</v>
      </c>
      <c r="G676" s="14" t="n">
        <v>3.8626</v>
      </c>
      <c r="H676" s="14" t="n">
        <v>112.79</v>
      </c>
      <c r="I676" s="14" t="n">
        <v>1.1707</v>
      </c>
      <c r="J676" s="14" t="n">
        <v>9.4875</v>
      </c>
      <c r="K676" s="14" t="n">
        <v>1319.73</v>
      </c>
      <c r="L676" s="14" t="n">
        <v>0.88725</v>
      </c>
      <c r="M676" s="14" t="n">
        <v>7.8324</v>
      </c>
      <c r="N676" s="14" t="n">
        <v>4.5281</v>
      </c>
      <c r="O676" s="14" t="n">
        <v>131.81</v>
      </c>
      <c r="P676" s="14" t="n">
        <v>8.1041</v>
      </c>
    </row>
    <row r="677" customFormat="false" ht="15" hidden="false" customHeight="false" outlineLevel="0" collapsed="false">
      <c r="A677" s="13" t="n">
        <v>43299</v>
      </c>
      <c r="B677" s="14" t="n">
        <v>1130.76</v>
      </c>
      <c r="C677" s="14" t="n">
        <v>8.1738</v>
      </c>
      <c r="D677" s="14" t="n">
        <v>1.305</v>
      </c>
      <c r="E677" s="14" t="n">
        <v>1.1645</v>
      </c>
      <c r="F677" s="14" t="n">
        <v>6.7161</v>
      </c>
      <c r="G677" s="14" t="n">
        <v>3.8412</v>
      </c>
      <c r="H677" s="14" t="n">
        <v>112.82</v>
      </c>
      <c r="I677" s="14" t="n">
        <v>1.1611</v>
      </c>
      <c r="J677" s="14" t="n">
        <v>9.5023</v>
      </c>
      <c r="K677" s="14" t="n">
        <v>1316.94</v>
      </c>
      <c r="L677" s="14" t="n">
        <v>0.89118</v>
      </c>
      <c r="M677" s="14" t="n">
        <v>7.8042</v>
      </c>
      <c r="N677" s="14" t="n">
        <v>4.4804</v>
      </c>
      <c r="O677" s="14" t="n">
        <v>130.92</v>
      </c>
      <c r="P677" s="14" t="n">
        <v>8.1839</v>
      </c>
    </row>
    <row r="678" customFormat="false" ht="15" hidden="false" customHeight="false" outlineLevel="0" collapsed="false">
      <c r="A678" s="13" t="n">
        <v>43300</v>
      </c>
      <c r="B678" s="14" t="n">
        <v>1136.38</v>
      </c>
      <c r="C678" s="14" t="n">
        <v>8.2566</v>
      </c>
      <c r="D678" s="14" t="n">
        <v>1.2987</v>
      </c>
      <c r="E678" s="14" t="n">
        <v>1.1604</v>
      </c>
      <c r="F678" s="14" t="n">
        <v>6.7701</v>
      </c>
      <c r="G678" s="14" t="n">
        <v>3.8808</v>
      </c>
      <c r="H678" s="14" t="n">
        <v>112.98</v>
      </c>
      <c r="I678" s="14" t="n">
        <v>1.1588</v>
      </c>
      <c r="J678" s="14" t="n">
        <v>9.5763</v>
      </c>
      <c r="K678" s="14" t="n">
        <v>1320.68</v>
      </c>
      <c r="L678" s="14" t="n">
        <v>0.89298</v>
      </c>
      <c r="M678" s="14" t="n">
        <v>7.8553</v>
      </c>
      <c r="N678" s="14" t="n">
        <v>4.4874</v>
      </c>
      <c r="O678" s="14" t="n">
        <v>130.98</v>
      </c>
      <c r="P678" s="14" t="n">
        <v>8.264</v>
      </c>
    </row>
    <row r="679" customFormat="false" ht="15" hidden="false" customHeight="false" outlineLevel="0" collapsed="false">
      <c r="A679" s="13" t="n">
        <v>43301</v>
      </c>
      <c r="B679" s="14" t="n">
        <v>1128.16</v>
      </c>
      <c r="C679" s="14" t="n">
        <v>8.1888</v>
      </c>
      <c r="D679" s="14" t="n">
        <v>1.3114</v>
      </c>
      <c r="E679" s="14" t="n">
        <v>1.1708</v>
      </c>
      <c r="F679" s="14" t="n">
        <v>6.7659</v>
      </c>
      <c r="G679" s="14" t="n">
        <v>3.7801</v>
      </c>
      <c r="H679" s="14" t="n">
        <v>111.74</v>
      </c>
      <c r="I679" s="14" t="n">
        <v>1.167</v>
      </c>
      <c r="J679" s="14" t="n">
        <v>9.5905</v>
      </c>
      <c r="K679" s="14" t="n">
        <v>1322.71</v>
      </c>
      <c r="L679" s="14" t="n">
        <v>0.89445</v>
      </c>
      <c r="M679" s="14" t="n">
        <v>7.921</v>
      </c>
      <c r="N679" s="14" t="n">
        <v>4.4364</v>
      </c>
      <c r="O679" s="14" t="n">
        <v>130.94</v>
      </c>
      <c r="P679" s="14" t="n">
        <v>8.2181</v>
      </c>
    </row>
    <row r="680" customFormat="false" ht="15" hidden="false" customHeight="false" outlineLevel="0" collapsed="false">
      <c r="A680" s="13" t="n">
        <v>43304</v>
      </c>
      <c r="B680" s="14" t="n">
        <v>1134.45</v>
      </c>
      <c r="C680" s="14" t="n">
        <v>8.181</v>
      </c>
      <c r="D680" s="14" t="n">
        <v>1.3105</v>
      </c>
      <c r="E680" s="14" t="n">
        <v>1.1702</v>
      </c>
      <c r="F680" s="14" t="n">
        <v>6.7927</v>
      </c>
      <c r="G680" s="14" t="n">
        <v>3.7965</v>
      </c>
      <c r="H680" s="14" t="n">
        <v>111.36</v>
      </c>
      <c r="I680" s="14" t="n">
        <v>1.1716</v>
      </c>
      <c r="J680" s="14" t="n">
        <v>9.5533</v>
      </c>
      <c r="K680" s="14" t="n">
        <v>1328.95</v>
      </c>
      <c r="L680" s="14" t="n">
        <v>0.8917</v>
      </c>
      <c r="M680" s="14" t="n">
        <v>7.9508</v>
      </c>
      <c r="N680" s="14" t="n">
        <v>4.4322</v>
      </c>
      <c r="O680" s="14" t="n">
        <v>130.18</v>
      </c>
      <c r="P680" s="14" t="n">
        <v>8.1541</v>
      </c>
    </row>
    <row r="681" customFormat="false" ht="15" hidden="false" customHeight="false" outlineLevel="0" collapsed="false">
      <c r="A681" s="13" t="n">
        <v>43305</v>
      </c>
      <c r="B681" s="14" t="n">
        <v>1127.39</v>
      </c>
      <c r="C681" s="14" t="n">
        <v>8.1752</v>
      </c>
      <c r="D681" s="14" t="n">
        <v>1.3135</v>
      </c>
      <c r="E681" s="14" t="n">
        <v>1.1684</v>
      </c>
      <c r="F681" s="14" t="n">
        <v>6.7912</v>
      </c>
      <c r="G681" s="14" t="n">
        <v>3.7381</v>
      </c>
      <c r="H681" s="14" t="n">
        <v>111.27</v>
      </c>
      <c r="I681" s="14" t="n">
        <v>1.1706</v>
      </c>
      <c r="J681" s="14" t="n">
        <v>9.5605</v>
      </c>
      <c r="K681" s="14" t="n">
        <v>1320.85</v>
      </c>
      <c r="L681" s="14" t="n">
        <v>0.89178</v>
      </c>
      <c r="M681" s="14" t="n">
        <v>7.9561</v>
      </c>
      <c r="N681" s="14" t="n">
        <v>4.4184</v>
      </c>
      <c r="O681" s="14" t="n">
        <v>130.06</v>
      </c>
      <c r="P681" s="14" t="n">
        <v>8.1672</v>
      </c>
    </row>
    <row r="682" customFormat="false" ht="15" hidden="false" customHeight="false" outlineLevel="0" collapsed="false">
      <c r="A682" s="13" t="n">
        <v>43306</v>
      </c>
      <c r="B682" s="14" t="n">
        <v>1122.59</v>
      </c>
      <c r="C682" s="14" t="n">
        <v>8.168</v>
      </c>
      <c r="D682" s="14" t="n">
        <v>1.315</v>
      </c>
      <c r="E682" s="14" t="n">
        <v>1.1677</v>
      </c>
      <c r="F682" s="14" t="n">
        <v>6.7658</v>
      </c>
      <c r="G682" s="14" t="n">
        <v>3.7075</v>
      </c>
      <c r="H682" s="14" t="n">
        <v>111.02</v>
      </c>
      <c r="I682" s="14" t="n">
        <v>1.169</v>
      </c>
      <c r="J682" s="14" t="n">
        <v>9.5485</v>
      </c>
      <c r="K682" s="14" t="n">
        <v>1312.47</v>
      </c>
      <c r="L682" s="14" t="n">
        <v>0.88855</v>
      </c>
      <c r="M682" s="14" t="n">
        <v>7.9047</v>
      </c>
      <c r="N682" s="14" t="n">
        <v>4.3539</v>
      </c>
      <c r="O682" s="14" t="n">
        <v>129.8</v>
      </c>
      <c r="P682" s="14" t="n">
        <v>8.1681</v>
      </c>
    </row>
    <row r="683" customFormat="false" ht="15" hidden="false" customHeight="false" outlineLevel="0" collapsed="false">
      <c r="A683" s="13" t="n">
        <v>43307</v>
      </c>
      <c r="B683" s="14" t="n">
        <v>1121.72</v>
      </c>
      <c r="C683" s="14" t="n">
        <v>8.1693</v>
      </c>
      <c r="D683" s="14" t="n">
        <v>1.3119</v>
      </c>
      <c r="E683" s="14" t="n">
        <v>1.1654</v>
      </c>
      <c r="F683" s="14" t="n">
        <v>6.7865</v>
      </c>
      <c r="G683" s="14" t="n">
        <v>3.7285</v>
      </c>
      <c r="H683" s="14" t="n">
        <v>111.2</v>
      </c>
      <c r="I683" s="14" t="n">
        <v>1.1716</v>
      </c>
      <c r="J683" s="14" t="n">
        <v>9.5455</v>
      </c>
      <c r="K683" s="14" t="n">
        <v>1311.82</v>
      </c>
      <c r="L683" s="14" t="n">
        <v>0.8886</v>
      </c>
      <c r="M683" s="14" t="n">
        <v>7.9464</v>
      </c>
      <c r="N683" s="14" t="n">
        <v>4.3523</v>
      </c>
      <c r="O683" s="14" t="n">
        <v>129.91</v>
      </c>
      <c r="P683" s="14" t="n">
        <v>8.1474</v>
      </c>
    </row>
    <row r="684" customFormat="false" ht="15" hidden="false" customHeight="false" outlineLevel="0" collapsed="false">
      <c r="A684" s="13" t="n">
        <v>43308</v>
      </c>
      <c r="B684" s="14" t="n">
        <v>1115.77</v>
      </c>
      <c r="C684" s="14" t="n">
        <v>8.1807</v>
      </c>
      <c r="D684" s="14" t="n">
        <v>1.3118</v>
      </c>
      <c r="E684" s="14" t="n">
        <v>1.166</v>
      </c>
      <c r="F684" s="14" t="n">
        <v>6.8097</v>
      </c>
      <c r="G684" s="14" t="n">
        <v>3.7134</v>
      </c>
      <c r="H684" s="14" t="n">
        <v>110.94</v>
      </c>
      <c r="I684" s="14" t="n">
        <v>1.1625</v>
      </c>
      <c r="J684" s="14" t="n">
        <v>9.5358</v>
      </c>
      <c r="K684" s="14" t="n">
        <v>1300.18</v>
      </c>
      <c r="L684" s="14" t="n">
        <v>0.88823</v>
      </c>
      <c r="M684" s="14" t="n">
        <v>7.9454</v>
      </c>
      <c r="N684" s="14" t="n">
        <v>4.3472</v>
      </c>
      <c r="O684" s="14" t="n">
        <v>129.25</v>
      </c>
      <c r="P684" s="14" t="n">
        <v>8.2028</v>
      </c>
    </row>
    <row r="685" customFormat="false" ht="15" hidden="false" customHeight="false" outlineLevel="0" collapsed="false">
      <c r="A685" s="13" t="n">
        <v>43311</v>
      </c>
      <c r="B685" s="14" t="n">
        <v>1116.98</v>
      </c>
      <c r="C685" s="14" t="n">
        <v>8.1337</v>
      </c>
      <c r="D685" s="14" t="n">
        <v>1.314</v>
      </c>
      <c r="E685" s="14" t="n">
        <v>1.1718</v>
      </c>
      <c r="F685" s="14" t="n">
        <v>6.8102</v>
      </c>
      <c r="G685" s="14" t="n">
        <v>3.7228</v>
      </c>
      <c r="H685" s="14" t="n">
        <v>110.98</v>
      </c>
      <c r="I685" s="14" t="n">
        <v>1.1684</v>
      </c>
      <c r="J685" s="14" t="n">
        <v>9.529</v>
      </c>
      <c r="K685" s="14" t="n">
        <v>1305.99</v>
      </c>
      <c r="L685" s="14" t="n">
        <v>0.8907</v>
      </c>
      <c r="M685" s="14" t="n">
        <v>7.9712</v>
      </c>
      <c r="N685" s="14" t="n">
        <v>4.3334</v>
      </c>
      <c r="O685" s="14" t="n">
        <v>129.79</v>
      </c>
      <c r="P685" s="14" t="n">
        <v>8.1556</v>
      </c>
    </row>
    <row r="686" customFormat="false" ht="15" hidden="false" customHeight="false" outlineLevel="0" collapsed="false">
      <c r="A686" s="13" t="n">
        <v>43312</v>
      </c>
      <c r="B686" s="14" t="n">
        <v>1112.75</v>
      </c>
      <c r="C686" s="14" t="n">
        <v>8.1466</v>
      </c>
      <c r="D686" s="14" t="n">
        <v>1.3125</v>
      </c>
      <c r="E686" s="14" t="n">
        <v>1.1706</v>
      </c>
      <c r="F686" s="14" t="n">
        <v>6.8038</v>
      </c>
      <c r="G686" s="14" t="n">
        <v>3.745</v>
      </c>
      <c r="H686" s="14" t="n">
        <v>111.88</v>
      </c>
      <c r="I686" s="14" t="n">
        <v>1.1736</v>
      </c>
      <c r="J686" s="14" t="n">
        <v>9.5338</v>
      </c>
      <c r="K686" s="14" t="n">
        <v>1312.79</v>
      </c>
      <c r="L686" s="14" t="n">
        <v>0.8922</v>
      </c>
      <c r="M686" s="14" t="n">
        <v>8.0178</v>
      </c>
      <c r="N686" s="14" t="n">
        <v>4.3818</v>
      </c>
      <c r="O686" s="14" t="n">
        <v>130.84</v>
      </c>
      <c r="P686" s="14" t="n">
        <v>8.1236</v>
      </c>
    </row>
    <row r="687" customFormat="false" ht="15" hidden="false" customHeight="false" outlineLevel="0" collapsed="false">
      <c r="A687" s="13" t="n">
        <v>43313</v>
      </c>
      <c r="B687" s="14" t="n">
        <v>1118.15</v>
      </c>
      <c r="C687" s="14" t="n">
        <v>8.174</v>
      </c>
      <c r="D687" s="14" t="n">
        <v>1.312</v>
      </c>
      <c r="E687" s="14" t="n">
        <v>1.1666</v>
      </c>
      <c r="F687" s="14" t="n">
        <v>6.8154</v>
      </c>
      <c r="G687" s="14" t="n">
        <v>3.753</v>
      </c>
      <c r="H687" s="14" t="n">
        <v>111.72</v>
      </c>
      <c r="I687" s="14" t="n">
        <v>1.1696</v>
      </c>
      <c r="J687" s="14" t="n">
        <v>9.538</v>
      </c>
      <c r="K687" s="14" t="n">
        <v>1307.4</v>
      </c>
      <c r="L687" s="14" t="n">
        <v>0.8904</v>
      </c>
      <c r="M687" s="14" t="n">
        <v>7.9519</v>
      </c>
      <c r="N687" s="14" t="n">
        <v>4.4028</v>
      </c>
      <c r="O687" s="14" t="n">
        <v>130.81</v>
      </c>
      <c r="P687" s="14" t="n">
        <v>8.1549</v>
      </c>
    </row>
    <row r="688" customFormat="false" ht="15" hidden="false" customHeight="false" outlineLevel="0" collapsed="false">
      <c r="A688" s="13" t="n">
        <v>43314</v>
      </c>
      <c r="B688" s="14" t="n">
        <v>1126.91</v>
      </c>
      <c r="C688" s="14" t="n">
        <v>8.2235</v>
      </c>
      <c r="D688" s="14" t="n">
        <v>1.3035</v>
      </c>
      <c r="E688" s="14" t="n">
        <v>1.1612</v>
      </c>
      <c r="F688" s="14" t="n">
        <v>6.838</v>
      </c>
      <c r="G688" s="14" t="n">
        <v>3.7555</v>
      </c>
      <c r="H688" s="14" t="n">
        <v>111.48</v>
      </c>
      <c r="I688" s="14" t="n">
        <v>1.1617</v>
      </c>
      <c r="J688" s="14" t="n">
        <v>9.546</v>
      </c>
      <c r="K688" s="14" t="n">
        <v>1312.72</v>
      </c>
      <c r="L688" s="14" t="n">
        <v>0.89145</v>
      </c>
      <c r="M688" s="14" t="n">
        <v>7.9518</v>
      </c>
      <c r="N688" s="14" t="n">
        <v>4.3906</v>
      </c>
      <c r="O688" s="14" t="n">
        <v>129.43</v>
      </c>
      <c r="P688" s="14" t="n">
        <v>8.2173</v>
      </c>
    </row>
    <row r="689" customFormat="false" ht="15" hidden="false" customHeight="false" outlineLevel="0" collapsed="false">
      <c r="A689" s="13" t="n">
        <v>43315</v>
      </c>
      <c r="B689" s="14" t="n">
        <v>1122.68</v>
      </c>
      <c r="C689" s="14" t="n">
        <v>8.2361</v>
      </c>
      <c r="D689" s="14" t="n">
        <v>1.3021</v>
      </c>
      <c r="E689" s="14" t="n">
        <v>1.1597</v>
      </c>
      <c r="F689" s="14" t="n">
        <v>6.8309</v>
      </c>
      <c r="G689" s="14" t="n">
        <v>3.7133</v>
      </c>
      <c r="H689" s="14" t="n">
        <v>111.12</v>
      </c>
      <c r="I689" s="14" t="n">
        <v>1.1588</v>
      </c>
      <c r="J689" s="14" t="n">
        <v>9.541</v>
      </c>
      <c r="K689" s="14" t="n">
        <v>1303.12</v>
      </c>
      <c r="L689" s="14" t="n">
        <v>0.8905</v>
      </c>
      <c r="M689" s="14" t="n">
        <v>7.9195</v>
      </c>
      <c r="N689" s="14" t="n">
        <v>4.3394</v>
      </c>
      <c r="O689" s="14" t="n">
        <v>129.3</v>
      </c>
      <c r="P689" s="14" t="n">
        <v>8.2335</v>
      </c>
    </row>
    <row r="690" customFormat="false" ht="15" hidden="false" customHeight="false" outlineLevel="0" collapsed="false">
      <c r="A690" s="13" t="n">
        <v>43318</v>
      </c>
      <c r="B690" s="14" t="n">
        <v>1125.9</v>
      </c>
      <c r="C690" s="14" t="n">
        <v>8.236</v>
      </c>
      <c r="D690" s="14" t="n">
        <v>1.2947</v>
      </c>
      <c r="E690" s="14" t="n">
        <v>1.1564</v>
      </c>
      <c r="F690" s="14" t="n">
        <v>6.85</v>
      </c>
      <c r="G690" s="14" t="n">
        <v>3.7208</v>
      </c>
      <c r="H690" s="14" t="n">
        <v>111.43</v>
      </c>
      <c r="I690" s="14" t="n">
        <v>1.1543</v>
      </c>
      <c r="J690" s="14" t="n">
        <v>9.5325</v>
      </c>
      <c r="K690" s="14" t="n">
        <v>1299.27</v>
      </c>
      <c r="L690" s="14" t="n">
        <v>0.8928</v>
      </c>
      <c r="M690" s="14" t="n">
        <v>7.9066</v>
      </c>
      <c r="N690" s="14" t="n">
        <v>4.2788</v>
      </c>
      <c r="O690" s="14" t="n">
        <v>128.68</v>
      </c>
      <c r="P690" s="14" t="n">
        <v>8.2583</v>
      </c>
    </row>
    <row r="691" customFormat="false" ht="15" hidden="false" customHeight="false" outlineLevel="0" collapsed="false">
      <c r="A691" s="13" t="n">
        <v>43319</v>
      </c>
      <c r="B691" s="14" t="n">
        <v>1118</v>
      </c>
      <c r="C691" s="14" t="n">
        <v>8.1943</v>
      </c>
      <c r="D691" s="14" t="n">
        <v>1.2957</v>
      </c>
      <c r="E691" s="14" t="n">
        <v>1.1597</v>
      </c>
      <c r="F691" s="14" t="n">
        <v>6.828</v>
      </c>
      <c r="G691" s="14" t="n">
        <v>3.7128</v>
      </c>
      <c r="H691" s="14" t="n">
        <v>111.19</v>
      </c>
      <c r="I691" s="14" t="n">
        <v>1.1602</v>
      </c>
      <c r="J691" s="14" t="n">
        <v>9.5003</v>
      </c>
      <c r="K691" s="14" t="n">
        <v>1299.37</v>
      </c>
      <c r="L691" s="14" t="n">
        <v>0.89483</v>
      </c>
      <c r="M691" s="14" t="n">
        <v>7.9171</v>
      </c>
      <c r="N691" s="14" t="n">
        <v>4.3051</v>
      </c>
      <c r="O691" s="14" t="n">
        <v>128.88</v>
      </c>
      <c r="P691" s="14" t="n">
        <v>8.1885</v>
      </c>
    </row>
    <row r="692" customFormat="false" ht="15" hidden="false" customHeight="false" outlineLevel="0" collapsed="false">
      <c r="A692" s="13" t="n">
        <v>43320</v>
      </c>
      <c r="B692" s="14" t="n">
        <v>1119.01</v>
      </c>
      <c r="C692" s="14" t="n">
        <v>8.2315</v>
      </c>
      <c r="D692" s="14" t="n">
        <v>1.288</v>
      </c>
      <c r="E692" s="14" t="n">
        <v>1.1598</v>
      </c>
      <c r="F692" s="14" t="n">
        <v>6.8344</v>
      </c>
      <c r="G692" s="14" t="n">
        <v>3.7442</v>
      </c>
      <c r="H692" s="14" t="n">
        <v>110.96</v>
      </c>
      <c r="I692" s="14" t="n">
        <v>1.1589</v>
      </c>
      <c r="J692" s="14" t="n">
        <v>9.5303</v>
      </c>
      <c r="K692" s="14" t="n">
        <v>1298.58</v>
      </c>
      <c r="L692" s="14" t="n">
        <v>0.90085</v>
      </c>
      <c r="M692" s="14" t="n">
        <v>7.9231</v>
      </c>
      <c r="N692" s="14" t="n">
        <v>4.3533</v>
      </c>
      <c r="O692" s="14" t="n">
        <v>128.72</v>
      </c>
      <c r="P692" s="14" t="n">
        <v>8.2236</v>
      </c>
    </row>
    <row r="693" customFormat="false" ht="15" hidden="false" customHeight="false" outlineLevel="0" collapsed="false">
      <c r="A693" s="13" t="n">
        <v>43321</v>
      </c>
      <c r="B693" s="14" t="n">
        <v>1119</v>
      </c>
      <c r="C693" s="14" t="n">
        <v>8.2848</v>
      </c>
      <c r="D693" s="14" t="n">
        <v>1.287</v>
      </c>
      <c r="E693" s="14" t="n">
        <v>1.1566</v>
      </c>
      <c r="F693" s="14" t="n">
        <v>6.8199</v>
      </c>
      <c r="G693" s="14" t="n">
        <v>3.8164</v>
      </c>
      <c r="H693" s="14" t="n">
        <v>110.9</v>
      </c>
      <c r="I693" s="14" t="n">
        <v>1.1593</v>
      </c>
      <c r="J693" s="14" t="n">
        <v>9.5443</v>
      </c>
      <c r="K693" s="14" t="n">
        <v>1298.03</v>
      </c>
      <c r="L693" s="14" t="n">
        <v>0.8994</v>
      </c>
      <c r="M693" s="14" t="n">
        <v>7.9053</v>
      </c>
      <c r="N693" s="14" t="n">
        <v>4.3939</v>
      </c>
      <c r="O693" s="14" t="n">
        <v>128.84</v>
      </c>
      <c r="P693" s="14" t="n">
        <v>8.2328</v>
      </c>
    </row>
    <row r="694" customFormat="false" ht="15" hidden="false" customHeight="false" outlineLevel="0" collapsed="false">
      <c r="A694" s="13" t="n">
        <v>43322</v>
      </c>
      <c r="B694" s="14" t="n">
        <v>1130.19</v>
      </c>
      <c r="C694" s="14" t="n">
        <v>8.3682</v>
      </c>
      <c r="D694" s="14" t="n">
        <v>1.2769</v>
      </c>
      <c r="E694" s="14" t="n">
        <v>1.1399</v>
      </c>
      <c r="F694" s="14" t="n">
        <v>6.8458</v>
      </c>
      <c r="G694" s="14" t="n">
        <v>3.8539</v>
      </c>
      <c r="H694" s="14" t="n">
        <v>110.66</v>
      </c>
      <c r="I694" s="14" t="n">
        <v>1.1456</v>
      </c>
      <c r="J694" s="14" t="n">
        <v>9.533</v>
      </c>
      <c r="K694" s="14" t="n">
        <v>1293.54</v>
      </c>
      <c r="L694" s="14" t="n">
        <v>0.89675</v>
      </c>
      <c r="M694" s="14" t="n">
        <v>7.8468</v>
      </c>
      <c r="N694" s="14" t="n">
        <v>4.3904</v>
      </c>
      <c r="O694" s="14" t="n">
        <v>127.07</v>
      </c>
      <c r="P694" s="14" t="n">
        <v>8.3214</v>
      </c>
    </row>
    <row r="695" customFormat="false" ht="15" hidden="false" customHeight="false" outlineLevel="0" collapsed="false">
      <c r="A695" s="13" t="n">
        <v>43325</v>
      </c>
      <c r="B695" s="14" t="n">
        <v>1133.19</v>
      </c>
      <c r="C695" s="14" t="n">
        <v>8.3835</v>
      </c>
      <c r="D695" s="14" t="n">
        <v>1.2757</v>
      </c>
      <c r="E695" s="14" t="n">
        <v>1.1396</v>
      </c>
      <c r="F695" s="14" t="n">
        <v>6.888</v>
      </c>
      <c r="G695" s="14" t="n">
        <v>3.9123</v>
      </c>
      <c r="H695" s="14" t="n">
        <v>110.65</v>
      </c>
      <c r="I695" s="14" t="n">
        <v>1.1403</v>
      </c>
      <c r="J695" s="14" t="n">
        <v>9.5295</v>
      </c>
      <c r="K695" s="14" t="n">
        <v>1294.47</v>
      </c>
      <c r="L695" s="14" t="n">
        <v>0.8933</v>
      </c>
      <c r="M695" s="14" t="n">
        <v>7.8537</v>
      </c>
      <c r="N695" s="14" t="n">
        <v>4.4554</v>
      </c>
      <c r="O695" s="14" t="n">
        <v>126.11</v>
      </c>
      <c r="P695" s="14" t="n">
        <v>8.357</v>
      </c>
    </row>
    <row r="696" customFormat="false" ht="15" hidden="false" customHeight="false" outlineLevel="0" collapsed="false">
      <c r="A696" s="13" t="n">
        <v>43326</v>
      </c>
      <c r="B696" s="14" t="n">
        <v>1128.9</v>
      </c>
      <c r="C696" s="14" t="n">
        <v>8.3991</v>
      </c>
      <c r="D696" s="14" t="n">
        <v>1.2738</v>
      </c>
      <c r="E696" s="14" t="n">
        <v>1.1351</v>
      </c>
      <c r="F696" s="14" t="n">
        <v>6.8809</v>
      </c>
      <c r="G696" s="14" t="n">
        <v>3.8852</v>
      </c>
      <c r="H696" s="14" t="n">
        <v>110.92</v>
      </c>
      <c r="I696" s="14" t="n">
        <v>1.1406</v>
      </c>
      <c r="J696" s="14" t="n">
        <v>9.5275</v>
      </c>
      <c r="K696" s="14" t="n">
        <v>1286.6</v>
      </c>
      <c r="L696" s="14" t="n">
        <v>0.893</v>
      </c>
      <c r="M696" s="14" t="n">
        <v>7.8488</v>
      </c>
      <c r="N696" s="14" t="n">
        <v>4.4144</v>
      </c>
      <c r="O696" s="14" t="n">
        <v>126.42</v>
      </c>
      <c r="P696" s="14" t="n">
        <v>8.3531</v>
      </c>
    </row>
    <row r="697" customFormat="false" ht="15" hidden="false" customHeight="false" outlineLevel="0" collapsed="false">
      <c r="A697" s="13" t="n">
        <v>43327</v>
      </c>
      <c r="B697" s="14" t="n">
        <v>1135.3</v>
      </c>
      <c r="C697" s="14" t="n">
        <v>8.4749</v>
      </c>
      <c r="D697" s="14" t="n">
        <v>1.2685</v>
      </c>
      <c r="E697" s="14" t="n">
        <v>1.1332</v>
      </c>
      <c r="F697" s="14" t="n">
        <v>6.933</v>
      </c>
      <c r="G697" s="14" t="n">
        <v>3.9135</v>
      </c>
      <c r="H697" s="14" t="n">
        <v>110.62</v>
      </c>
      <c r="I697" s="14" t="n">
        <v>1.1321</v>
      </c>
      <c r="J697" s="14" t="n">
        <v>9.5508</v>
      </c>
      <c r="K697" s="14" t="n">
        <v>1285.49</v>
      </c>
      <c r="L697" s="14" t="n">
        <v>0.8913</v>
      </c>
      <c r="M697" s="14" t="n">
        <v>7.8298</v>
      </c>
      <c r="N697" s="14" t="n">
        <v>4.4264</v>
      </c>
      <c r="O697" s="14" t="n">
        <v>125.67</v>
      </c>
      <c r="P697" s="14" t="n">
        <v>8.4364</v>
      </c>
    </row>
    <row r="698" customFormat="false" ht="15" hidden="false" customHeight="false" outlineLevel="0" collapsed="false">
      <c r="A698" s="13" t="n">
        <v>43328</v>
      </c>
      <c r="B698" s="14" t="n">
        <v>1125.35</v>
      </c>
      <c r="C698" s="14" t="n">
        <v>8.4592</v>
      </c>
      <c r="D698" s="14" t="n">
        <v>1.2722</v>
      </c>
      <c r="E698" s="14" t="n">
        <v>1.1388</v>
      </c>
      <c r="F698" s="14" t="n">
        <v>6.8792</v>
      </c>
      <c r="G698" s="14" t="n">
        <v>3.8985</v>
      </c>
      <c r="H698" s="14" t="n">
        <v>110.89</v>
      </c>
      <c r="I698" s="14" t="n">
        <v>1.137</v>
      </c>
      <c r="J698" s="14" t="n">
        <v>9.613</v>
      </c>
      <c r="K698" s="14" t="n">
        <v>1284.56</v>
      </c>
      <c r="L698" s="14" t="n">
        <v>0.89498</v>
      </c>
      <c r="M698" s="14" t="n">
        <v>7.8396</v>
      </c>
      <c r="N698" s="14" t="n">
        <v>4.4228</v>
      </c>
      <c r="O698" s="14" t="n">
        <v>126.02</v>
      </c>
      <c r="P698" s="14" t="n">
        <v>8.4547</v>
      </c>
    </row>
    <row r="699" customFormat="false" ht="15" hidden="false" customHeight="false" outlineLevel="0" collapsed="false">
      <c r="A699" s="13" t="n">
        <v>43329</v>
      </c>
      <c r="B699" s="14" t="n">
        <v>1123.2</v>
      </c>
      <c r="C699" s="14" t="n">
        <v>8.4691</v>
      </c>
      <c r="D699" s="14" t="n">
        <v>1.2735</v>
      </c>
      <c r="E699" s="14" t="n">
        <v>1.141</v>
      </c>
      <c r="F699" s="14" t="n">
        <v>6.874</v>
      </c>
      <c r="G699" s="14" t="n">
        <v>3.9385</v>
      </c>
      <c r="H699" s="14" t="n">
        <v>110.54</v>
      </c>
      <c r="I699" s="14" t="n">
        <v>1.1391</v>
      </c>
      <c r="J699" s="14" t="n">
        <v>9.6795</v>
      </c>
      <c r="K699" s="14" t="n">
        <v>1282.38</v>
      </c>
      <c r="L699" s="14" t="n">
        <v>0.89575</v>
      </c>
      <c r="M699" s="14" t="n">
        <v>7.842</v>
      </c>
      <c r="N699" s="14" t="n">
        <v>4.5001</v>
      </c>
      <c r="O699" s="14" t="n">
        <v>125.75</v>
      </c>
      <c r="P699" s="14" t="n">
        <v>8.4975</v>
      </c>
    </row>
    <row r="700" customFormat="false" ht="15" hidden="false" customHeight="false" outlineLevel="0" collapsed="false">
      <c r="A700" s="13" t="n">
        <v>43332</v>
      </c>
      <c r="B700" s="14" t="n">
        <v>1121.3</v>
      </c>
      <c r="C700" s="14" t="n">
        <v>8.4706</v>
      </c>
      <c r="D700" s="14" t="n">
        <v>1.2765</v>
      </c>
      <c r="E700" s="14" t="n">
        <v>1.1438</v>
      </c>
      <c r="F700" s="14" t="n">
        <v>6.8546</v>
      </c>
      <c r="G700" s="14" t="n">
        <v>3.9473</v>
      </c>
      <c r="H700" s="14" t="n">
        <v>110.38</v>
      </c>
      <c r="I700" s="14" t="n">
        <v>1.142</v>
      </c>
      <c r="J700" s="14" t="n">
        <v>9.672</v>
      </c>
      <c r="K700" s="14" t="n">
        <v>1281.69</v>
      </c>
      <c r="L700" s="14" t="n">
        <v>0.89478</v>
      </c>
      <c r="M700" s="14" t="n">
        <v>7.8351</v>
      </c>
      <c r="N700" s="14" t="n">
        <v>4.4818</v>
      </c>
      <c r="O700" s="14" t="n">
        <v>126.25</v>
      </c>
      <c r="P700" s="14" t="n">
        <v>8.4694</v>
      </c>
    </row>
    <row r="701" customFormat="false" ht="15" hidden="false" customHeight="false" outlineLevel="0" collapsed="false">
      <c r="A701" s="13" t="n">
        <v>43333</v>
      </c>
      <c r="B701" s="14" t="n">
        <v>1117.41</v>
      </c>
      <c r="C701" s="14" t="n">
        <v>8.4242</v>
      </c>
      <c r="D701" s="14" t="n">
        <v>1.286</v>
      </c>
      <c r="E701" s="14" t="n">
        <v>1.1534</v>
      </c>
      <c r="F701" s="14" t="n">
        <v>6.8444</v>
      </c>
      <c r="G701" s="14" t="n">
        <v>3.9948</v>
      </c>
      <c r="H701" s="14" t="n">
        <v>110.48</v>
      </c>
      <c r="I701" s="14" t="n">
        <v>1.1502</v>
      </c>
      <c r="J701" s="14" t="n">
        <v>9.705</v>
      </c>
      <c r="K701" s="14" t="n">
        <v>1287.79</v>
      </c>
      <c r="L701" s="14" t="n">
        <v>0.8974</v>
      </c>
      <c r="M701" s="14" t="n">
        <v>7.8748</v>
      </c>
      <c r="N701" s="14" t="n">
        <v>4.5623</v>
      </c>
      <c r="O701" s="14" t="n">
        <v>127.01</v>
      </c>
      <c r="P701" s="14" t="n">
        <v>8.4377</v>
      </c>
    </row>
    <row r="702" customFormat="false" ht="15" hidden="false" customHeight="false" outlineLevel="0" collapsed="false">
      <c r="A702" s="13" t="n">
        <v>43334</v>
      </c>
      <c r="B702" s="14" t="n">
        <v>1117</v>
      </c>
      <c r="C702" s="14" t="n">
        <v>8.3493</v>
      </c>
      <c r="D702" s="14" t="n">
        <v>1.291</v>
      </c>
      <c r="E702" s="14" t="n">
        <v>1.1595</v>
      </c>
      <c r="F702" s="14" t="n">
        <v>6.84</v>
      </c>
      <c r="G702" s="14" t="n">
        <v>4.0751</v>
      </c>
      <c r="H702" s="14" t="n">
        <v>110.54</v>
      </c>
      <c r="I702" s="14" t="n">
        <v>1.1616</v>
      </c>
      <c r="J702" s="14" t="n">
        <v>9.6808</v>
      </c>
      <c r="K702" s="14" t="n">
        <v>1298.95</v>
      </c>
      <c r="L702" s="14" t="n">
        <v>0.89928</v>
      </c>
      <c r="M702" s="14" t="n">
        <v>7.947</v>
      </c>
      <c r="N702" s="14" t="n">
        <v>4.6912</v>
      </c>
      <c r="O702" s="14" t="n">
        <v>128.08</v>
      </c>
      <c r="P702" s="14" t="n">
        <v>8.334</v>
      </c>
    </row>
    <row r="703" customFormat="false" ht="15" hidden="false" customHeight="false" outlineLevel="0" collapsed="false">
      <c r="A703" s="13" t="n">
        <v>43335</v>
      </c>
      <c r="B703" s="14" t="n">
        <v>1123.37</v>
      </c>
      <c r="C703" s="14" t="n">
        <v>8.369</v>
      </c>
      <c r="D703" s="14" t="n">
        <v>1.283</v>
      </c>
      <c r="E703" s="14" t="n">
        <v>1.1567</v>
      </c>
      <c r="F703" s="14" t="n">
        <v>6.8748</v>
      </c>
      <c r="G703" s="14" t="n">
        <v>4.0898</v>
      </c>
      <c r="H703" s="14" t="n">
        <v>111.14</v>
      </c>
      <c r="I703" s="14" t="n">
        <v>1.1579</v>
      </c>
      <c r="J703" s="14" t="n">
        <v>9.6483</v>
      </c>
      <c r="K703" s="14" t="n">
        <v>1299.75</v>
      </c>
      <c r="L703" s="14" t="n">
        <v>0.89878</v>
      </c>
      <c r="M703" s="14" t="n">
        <v>7.9643</v>
      </c>
      <c r="N703" s="14" t="n">
        <v>4.6976</v>
      </c>
      <c r="O703" s="14" t="n">
        <v>128.31</v>
      </c>
      <c r="P703" s="14" t="n">
        <v>8.3326</v>
      </c>
    </row>
    <row r="704" customFormat="false" ht="15" hidden="false" customHeight="false" outlineLevel="0" collapsed="false">
      <c r="A704" s="13" t="n">
        <v>43336</v>
      </c>
      <c r="B704" s="14" t="n">
        <v>1113.3</v>
      </c>
      <c r="C704" s="14" t="n">
        <v>8.3299</v>
      </c>
      <c r="D704" s="14" t="n">
        <v>1.2858</v>
      </c>
      <c r="E704" s="14" t="n">
        <v>1.1625</v>
      </c>
      <c r="F704" s="14" t="n">
        <v>6.803</v>
      </c>
      <c r="G704" s="14" t="n">
        <v>4.0944</v>
      </c>
      <c r="H704" s="14" t="n">
        <v>111.22</v>
      </c>
      <c r="I704" s="14" t="n">
        <v>1.1588</v>
      </c>
      <c r="J704" s="14" t="n">
        <v>9.6938</v>
      </c>
      <c r="K704" s="14" t="n">
        <v>1292.41</v>
      </c>
      <c r="L704" s="14" t="n">
        <v>0.902</v>
      </c>
      <c r="M704" s="14" t="n">
        <v>7.9326</v>
      </c>
      <c r="N704" s="14" t="n">
        <v>4.7375</v>
      </c>
      <c r="O704" s="14" t="n">
        <v>128.97</v>
      </c>
      <c r="P704" s="14" t="n">
        <v>8.3654</v>
      </c>
    </row>
    <row r="705" customFormat="false" ht="15" hidden="false" customHeight="false" outlineLevel="0" collapsed="false">
      <c r="A705" s="13" t="n">
        <v>43339</v>
      </c>
      <c r="B705" s="14" t="n">
        <v>1107.69</v>
      </c>
      <c r="C705" s="14" t="n">
        <v>8.3195</v>
      </c>
      <c r="D705" s="14" t="n">
        <v>1.2891</v>
      </c>
      <c r="E705" s="14" t="n">
        <v>1.1676</v>
      </c>
      <c r="F705" s="14" t="n">
        <v>6.8145</v>
      </c>
      <c r="G705" s="14" t="n">
        <v>4.0707</v>
      </c>
      <c r="H705" s="14" t="n">
        <v>111.09</v>
      </c>
      <c r="I705" s="14" t="n">
        <v>1.1633</v>
      </c>
      <c r="J705" s="14" t="n">
        <v>9.6988</v>
      </c>
      <c r="K705" s="14" t="n">
        <v>1294.41</v>
      </c>
      <c r="L705" s="14" t="n">
        <v>0.90365</v>
      </c>
      <c r="M705" s="14" t="n">
        <v>7.9396</v>
      </c>
      <c r="N705" s="14" t="n">
        <v>4.7606</v>
      </c>
      <c r="O705" s="14" t="n">
        <v>129.16</v>
      </c>
      <c r="P705" s="14" t="n">
        <v>8.3373</v>
      </c>
    </row>
    <row r="706" customFormat="false" ht="15" hidden="false" customHeight="false" outlineLevel="0" collapsed="false">
      <c r="A706" s="13" t="n">
        <v>43340</v>
      </c>
      <c r="B706" s="14" t="n">
        <v>1105.14</v>
      </c>
      <c r="C706" s="14" t="n">
        <v>8.3326</v>
      </c>
      <c r="D706" s="14" t="n">
        <v>1.2886</v>
      </c>
      <c r="E706" s="14" t="n">
        <v>1.172</v>
      </c>
      <c r="F706" s="14" t="n">
        <v>6.8018</v>
      </c>
      <c r="G706" s="14" t="n">
        <v>4.1248</v>
      </c>
      <c r="H706" s="14" t="n">
        <v>111.04</v>
      </c>
      <c r="I706" s="14" t="n">
        <v>1.171</v>
      </c>
      <c r="J706" s="14" t="n">
        <v>9.7243</v>
      </c>
      <c r="K706" s="14" t="n">
        <v>1294.67</v>
      </c>
      <c r="L706" s="14" t="n">
        <v>0.9068</v>
      </c>
      <c r="M706" s="14" t="n">
        <v>7.9641</v>
      </c>
      <c r="N706" s="14" t="n">
        <v>4.7909</v>
      </c>
      <c r="O706" s="14" t="n">
        <v>130.03</v>
      </c>
      <c r="P706" s="14" t="n">
        <v>8.3043</v>
      </c>
    </row>
    <row r="707" customFormat="false" ht="15" hidden="false" customHeight="false" outlineLevel="0" collapsed="false">
      <c r="A707" s="13" t="n">
        <v>43341</v>
      </c>
      <c r="B707" s="14" t="n">
        <v>1109.2</v>
      </c>
      <c r="C707" s="14" t="n">
        <v>8.3436</v>
      </c>
      <c r="D707" s="14" t="n">
        <v>1.3006</v>
      </c>
      <c r="E707" s="14" t="n">
        <v>1.1699</v>
      </c>
      <c r="F707" s="14" t="n">
        <v>6.819</v>
      </c>
      <c r="G707" s="14" t="n">
        <v>4.122</v>
      </c>
      <c r="H707" s="14" t="n">
        <v>111.8</v>
      </c>
      <c r="I707" s="14" t="n">
        <v>1.166</v>
      </c>
      <c r="J707" s="14" t="n">
        <v>9.7475</v>
      </c>
      <c r="K707" s="14" t="n">
        <v>1299.27</v>
      </c>
      <c r="L707" s="14" t="n">
        <v>0.905</v>
      </c>
      <c r="M707" s="14" t="n">
        <v>7.9626</v>
      </c>
      <c r="N707" s="14" t="n">
        <v>4.8451</v>
      </c>
      <c r="O707" s="14" t="n">
        <v>129.73</v>
      </c>
      <c r="P707" s="14" t="n">
        <v>8.3598</v>
      </c>
    </row>
    <row r="708" customFormat="false" ht="15" hidden="false" customHeight="false" outlineLevel="0" collapsed="false">
      <c r="A708" s="13" t="n">
        <v>43342</v>
      </c>
      <c r="B708" s="14" t="n">
        <v>1113.13</v>
      </c>
      <c r="C708" s="14" t="n">
        <v>8.3546</v>
      </c>
      <c r="D708" s="14" t="n">
        <v>1.2997</v>
      </c>
      <c r="E708" s="14" t="n">
        <v>1.1646</v>
      </c>
      <c r="F708" s="14" t="n">
        <v>6.8415</v>
      </c>
      <c r="G708" s="14" t="n">
        <v>4.2016</v>
      </c>
      <c r="H708" s="14" t="n">
        <v>111.17</v>
      </c>
      <c r="I708" s="14" t="n">
        <v>1.1692</v>
      </c>
      <c r="J708" s="14" t="n">
        <v>9.72</v>
      </c>
      <c r="K708" s="14" t="n">
        <v>1297.53</v>
      </c>
      <c r="L708" s="14" t="n">
        <v>0.89758</v>
      </c>
      <c r="M708" s="14" t="n">
        <v>7.9887</v>
      </c>
      <c r="N708" s="14" t="n">
        <v>4.8221</v>
      </c>
      <c r="O708" s="14" t="n">
        <v>130.32</v>
      </c>
      <c r="P708" s="14" t="n">
        <v>8.3134</v>
      </c>
    </row>
    <row r="709" customFormat="false" ht="15" hidden="false" customHeight="false" outlineLevel="0" collapsed="false">
      <c r="A709" s="13" t="n">
        <v>43343</v>
      </c>
      <c r="B709" s="14" t="n">
        <v>1116.5</v>
      </c>
      <c r="C709" s="14" t="n">
        <v>8.3872</v>
      </c>
      <c r="D709" s="14" t="n">
        <v>1.2964</v>
      </c>
      <c r="E709" s="14" t="n">
        <v>1.1596</v>
      </c>
      <c r="F709" s="14" t="n">
        <v>6.83</v>
      </c>
      <c r="G709" s="14" t="n">
        <v>4.128</v>
      </c>
      <c r="H709" s="14" t="n">
        <v>110.98</v>
      </c>
      <c r="I709" s="14" t="n">
        <v>1.1651</v>
      </c>
      <c r="J709" s="14" t="n">
        <v>9.7148</v>
      </c>
      <c r="K709" s="14" t="n">
        <v>1301.91</v>
      </c>
      <c r="L709" s="14" t="n">
        <v>0.8974</v>
      </c>
      <c r="M709" s="14" t="n">
        <v>7.9664</v>
      </c>
      <c r="N709" s="14" t="n">
        <v>4.8591</v>
      </c>
      <c r="O709" s="14" t="n">
        <v>129.05</v>
      </c>
      <c r="P709" s="14" t="n">
        <v>8.3382</v>
      </c>
    </row>
    <row r="710" customFormat="false" ht="15" hidden="false" customHeight="false" outlineLevel="0" collapsed="false">
      <c r="A710" s="13" t="n">
        <v>43346</v>
      </c>
      <c r="I710" s="14" t="n">
        <v>1.1609</v>
      </c>
      <c r="J710" s="14" t="n">
        <v>9.702</v>
      </c>
      <c r="K710" s="14" t="n">
        <v>1291.04</v>
      </c>
      <c r="L710" s="14" t="n">
        <v>0.90158</v>
      </c>
      <c r="M710" s="14" t="n">
        <v>7.9219</v>
      </c>
      <c r="N710" s="14" t="n">
        <v>4.7859</v>
      </c>
      <c r="O710" s="14" t="n">
        <v>129.03</v>
      </c>
      <c r="P710" s="14" t="n">
        <v>8.3573</v>
      </c>
    </row>
    <row r="711" customFormat="false" ht="15" hidden="false" customHeight="false" outlineLevel="0" collapsed="false">
      <c r="A711" s="13" t="n">
        <v>43347</v>
      </c>
      <c r="B711" s="14" t="n">
        <v>1117.5</v>
      </c>
      <c r="C711" s="14" t="n">
        <v>8.4102</v>
      </c>
      <c r="D711" s="14" t="n">
        <v>1.2833</v>
      </c>
      <c r="E711" s="14" t="n">
        <v>1.1566</v>
      </c>
      <c r="F711" s="14" t="n">
        <v>6.8427</v>
      </c>
      <c r="G711" s="14" t="n">
        <v>4.156</v>
      </c>
      <c r="H711" s="14" t="n">
        <v>111.44</v>
      </c>
      <c r="I711" s="14" t="n">
        <v>1.1562</v>
      </c>
      <c r="J711" s="14" t="n">
        <v>9.717</v>
      </c>
      <c r="K711" s="14" t="n">
        <v>1292.13</v>
      </c>
      <c r="L711" s="14" t="n">
        <v>0.90058</v>
      </c>
      <c r="M711" s="14" t="n">
        <v>7.9079</v>
      </c>
      <c r="N711" s="14" t="n">
        <v>4.8358</v>
      </c>
      <c r="O711" s="14" t="n">
        <v>128.6</v>
      </c>
      <c r="P711" s="14" t="n">
        <v>8.4043</v>
      </c>
    </row>
    <row r="712" customFormat="false" ht="15" hidden="false" customHeight="false" outlineLevel="0" collapsed="false">
      <c r="A712" s="13" t="n">
        <v>43348</v>
      </c>
      <c r="B712" s="14" t="n">
        <v>1121</v>
      </c>
      <c r="C712" s="14" t="n">
        <v>8.4096</v>
      </c>
      <c r="D712" s="14" t="n">
        <v>1.2903</v>
      </c>
      <c r="E712" s="14" t="n">
        <v>1.162</v>
      </c>
      <c r="F712" s="14" t="n">
        <v>6.827</v>
      </c>
      <c r="G712" s="14" t="n">
        <v>4.1589</v>
      </c>
      <c r="H712" s="14" t="n">
        <v>111.47</v>
      </c>
      <c r="I712" s="14" t="n">
        <v>1.1582</v>
      </c>
      <c r="J712" s="14" t="n">
        <v>9.7485</v>
      </c>
      <c r="K712" s="14" t="n">
        <v>1299.75</v>
      </c>
      <c r="L712" s="14" t="n">
        <v>0.90328</v>
      </c>
      <c r="M712" s="14" t="n">
        <v>7.9128</v>
      </c>
      <c r="N712" s="14" t="n">
        <v>4.8364</v>
      </c>
      <c r="O712" s="14" t="n">
        <v>129.17</v>
      </c>
      <c r="P712" s="14" t="n">
        <v>8.4169</v>
      </c>
    </row>
    <row r="713" customFormat="false" ht="15" hidden="false" customHeight="false" outlineLevel="0" collapsed="false">
      <c r="A713" s="13" t="n">
        <v>43349</v>
      </c>
      <c r="B713" s="14" t="n">
        <v>1122.4</v>
      </c>
      <c r="C713" s="14" t="n">
        <v>8.4094</v>
      </c>
      <c r="D713" s="14" t="n">
        <v>1.2933</v>
      </c>
      <c r="E713" s="14" t="n">
        <v>1.1624</v>
      </c>
      <c r="F713" s="14" t="n">
        <v>6.8322</v>
      </c>
      <c r="G713" s="14" t="n">
        <v>4.1462</v>
      </c>
      <c r="H713" s="14" t="n">
        <v>110.87</v>
      </c>
      <c r="I713" s="14" t="n">
        <v>1.1634</v>
      </c>
      <c r="J713" s="14" t="n">
        <v>9.776</v>
      </c>
      <c r="K713" s="14" t="n">
        <v>1304.76</v>
      </c>
      <c r="L713" s="14" t="n">
        <v>0.89824</v>
      </c>
      <c r="M713" s="14" t="n">
        <v>7.9451</v>
      </c>
      <c r="N713" s="14" t="n">
        <v>4.7918</v>
      </c>
      <c r="O713" s="14" t="n">
        <v>129.55</v>
      </c>
      <c r="P713" s="14" t="n">
        <v>8.403</v>
      </c>
    </row>
    <row r="714" customFormat="false" ht="15" hidden="false" customHeight="false" outlineLevel="0" collapsed="false">
      <c r="A714" s="13" t="n">
        <v>43350</v>
      </c>
      <c r="B714" s="14" t="n">
        <v>1123.5</v>
      </c>
      <c r="C714" s="14" t="n">
        <v>8.4381</v>
      </c>
      <c r="D714" s="14" t="n">
        <v>1.2934</v>
      </c>
      <c r="E714" s="14" t="n">
        <v>1.1572</v>
      </c>
      <c r="F714" s="14" t="n">
        <v>6.8419</v>
      </c>
      <c r="G714" s="14" t="n">
        <v>4.0594</v>
      </c>
      <c r="H714" s="14" t="n">
        <v>111.18</v>
      </c>
      <c r="I714" s="14" t="n">
        <v>1.1615</v>
      </c>
      <c r="J714" s="14" t="n">
        <v>9.7745</v>
      </c>
      <c r="K714" s="14" t="n">
        <v>1304.07</v>
      </c>
      <c r="L714" s="14" t="n">
        <v>0.89275</v>
      </c>
      <c r="M714" s="14" t="n">
        <v>7.9476</v>
      </c>
      <c r="N714" s="14" t="n">
        <v>4.715</v>
      </c>
      <c r="O714" s="14" t="n">
        <v>128.74</v>
      </c>
      <c r="P714" s="14" t="n">
        <v>8.4154</v>
      </c>
    </row>
    <row r="715" customFormat="false" ht="15" hidden="false" customHeight="false" outlineLevel="0" collapsed="false">
      <c r="A715" s="13" t="n">
        <v>43353</v>
      </c>
      <c r="B715" s="14" t="n">
        <v>1127.9</v>
      </c>
      <c r="C715" s="14" t="n">
        <v>8.377</v>
      </c>
      <c r="D715" s="14" t="n">
        <v>1.3026</v>
      </c>
      <c r="E715" s="14" t="n">
        <v>1.1604</v>
      </c>
      <c r="F715" s="14" t="n">
        <v>6.8545</v>
      </c>
      <c r="G715" s="14" t="n">
        <v>4.1094</v>
      </c>
      <c r="H715" s="14" t="n">
        <v>111.09</v>
      </c>
      <c r="I715" s="14" t="n">
        <v>1.1571</v>
      </c>
      <c r="J715" s="14" t="n">
        <v>9.703</v>
      </c>
      <c r="K715" s="14" t="n">
        <v>1306.49</v>
      </c>
      <c r="L715" s="14" t="n">
        <v>0.8934</v>
      </c>
      <c r="M715" s="14" t="n">
        <v>7.9413</v>
      </c>
      <c r="N715" s="14" t="n">
        <v>4.7135</v>
      </c>
      <c r="O715" s="14" t="n">
        <v>128.54</v>
      </c>
      <c r="P715" s="14" t="n">
        <v>8.3856</v>
      </c>
    </row>
    <row r="716" customFormat="false" ht="15" hidden="false" customHeight="false" outlineLevel="0" collapsed="false">
      <c r="A716" s="13" t="n">
        <v>43354</v>
      </c>
      <c r="B716" s="14" t="n">
        <v>1126.17</v>
      </c>
      <c r="C716" s="14" t="n">
        <v>8.3778</v>
      </c>
      <c r="D716" s="14" t="n">
        <v>1.3015</v>
      </c>
      <c r="E716" s="14" t="n">
        <v>1.1591</v>
      </c>
      <c r="F716" s="14" t="n">
        <v>6.8704</v>
      </c>
      <c r="G716" s="14" t="n">
        <v>4.1564</v>
      </c>
      <c r="H716" s="14" t="n">
        <v>111.54</v>
      </c>
      <c r="I716" s="14" t="n">
        <v>1.1574</v>
      </c>
      <c r="J716" s="14" t="n">
        <v>9.679</v>
      </c>
      <c r="K716" s="14" t="n">
        <v>1306.14</v>
      </c>
      <c r="L716" s="14" t="n">
        <v>0.89068</v>
      </c>
      <c r="M716" s="14" t="n">
        <v>7.9499</v>
      </c>
      <c r="N716" s="14" t="n">
        <v>4.8011</v>
      </c>
      <c r="O716" s="14" t="n">
        <v>128.82</v>
      </c>
      <c r="P716" s="14" t="n">
        <v>8.3627</v>
      </c>
    </row>
    <row r="717" customFormat="false" ht="15" hidden="false" customHeight="false" outlineLevel="0" collapsed="false">
      <c r="A717" s="13" t="n">
        <v>43355</v>
      </c>
      <c r="B717" s="14" t="n">
        <v>1121.62</v>
      </c>
      <c r="C717" s="14" t="n">
        <v>8.3454</v>
      </c>
      <c r="D717" s="14" t="n">
        <v>1.3029</v>
      </c>
      <c r="E717" s="14" t="n">
        <v>1.1626</v>
      </c>
      <c r="F717" s="14" t="n">
        <v>6.8574</v>
      </c>
      <c r="G717" s="14" t="n">
        <v>4.1363</v>
      </c>
      <c r="H717" s="14" t="n">
        <v>111.29</v>
      </c>
      <c r="I717" s="14" t="n">
        <v>1.1585</v>
      </c>
      <c r="J717" s="14" t="n">
        <v>9.6328</v>
      </c>
      <c r="K717" s="14" t="n">
        <v>1307.37</v>
      </c>
      <c r="L717" s="14" t="n">
        <v>0.89028</v>
      </c>
      <c r="M717" s="14" t="n">
        <v>7.9588</v>
      </c>
      <c r="N717" s="14" t="n">
        <v>4.7859</v>
      </c>
      <c r="O717" s="14" t="n">
        <v>129.13</v>
      </c>
      <c r="P717" s="14" t="n">
        <v>8.3149</v>
      </c>
    </row>
    <row r="718" customFormat="false" ht="15" hidden="false" customHeight="false" outlineLevel="0" collapsed="false">
      <c r="A718" s="13" t="n">
        <v>43356</v>
      </c>
      <c r="B718" s="14" t="n">
        <v>1120.9</v>
      </c>
      <c r="C718" s="14" t="n">
        <v>8.2557</v>
      </c>
      <c r="D718" s="14" t="n">
        <v>1.3104</v>
      </c>
      <c r="E718" s="14" t="n">
        <v>1.1672</v>
      </c>
      <c r="F718" s="14" t="n">
        <v>6.8407</v>
      </c>
      <c r="G718" s="14" t="n">
        <v>4.1752</v>
      </c>
      <c r="H718" s="14" t="n">
        <v>111.92</v>
      </c>
      <c r="I718" s="14" t="n">
        <v>1.162</v>
      </c>
      <c r="J718" s="14" t="n">
        <v>9.573</v>
      </c>
      <c r="K718" s="14" t="n">
        <v>1302.88</v>
      </c>
      <c r="L718" s="14" t="n">
        <v>0.89</v>
      </c>
      <c r="M718" s="14" t="n">
        <v>7.9542</v>
      </c>
      <c r="N718" s="14" t="n">
        <v>4.8214</v>
      </c>
      <c r="O718" s="14" t="n">
        <v>129.68</v>
      </c>
      <c r="P718" s="14" t="n">
        <v>8.2384</v>
      </c>
    </row>
    <row r="719" customFormat="false" ht="15" hidden="false" customHeight="false" outlineLevel="0" collapsed="false">
      <c r="A719" s="13" t="n">
        <v>43357</v>
      </c>
      <c r="B719" s="14" t="n">
        <v>1119</v>
      </c>
      <c r="C719" s="14" t="n">
        <v>8.235</v>
      </c>
      <c r="D719" s="14" t="n">
        <v>1.3084</v>
      </c>
      <c r="E719" s="14" t="n">
        <v>1.1656</v>
      </c>
      <c r="F719" s="14" t="n">
        <v>6.8673</v>
      </c>
      <c r="G719" s="14" t="n">
        <v>4.1852</v>
      </c>
      <c r="H719" s="14" t="n">
        <v>112.09</v>
      </c>
      <c r="I719" s="14" t="n">
        <v>1.1689</v>
      </c>
      <c r="J719" s="14" t="n">
        <v>9.6245</v>
      </c>
      <c r="K719" s="14" t="n">
        <v>1307.93</v>
      </c>
      <c r="L719" s="14" t="n">
        <v>0.89228</v>
      </c>
      <c r="M719" s="14" t="n">
        <v>8.012</v>
      </c>
      <c r="N719" s="14" t="n">
        <v>4.8921</v>
      </c>
      <c r="O719" s="14" t="n">
        <v>130.75</v>
      </c>
      <c r="P719" s="14" t="n">
        <v>8.2338</v>
      </c>
    </row>
    <row r="720" customFormat="false" ht="15" hidden="false" customHeight="false" outlineLevel="0" collapsed="false">
      <c r="A720" s="13" t="n">
        <v>43360</v>
      </c>
      <c r="B720" s="14" t="n">
        <v>1124.71</v>
      </c>
      <c r="C720" s="14" t="n">
        <v>8.173</v>
      </c>
      <c r="D720" s="14" t="n">
        <v>1.3146</v>
      </c>
      <c r="E720" s="14" t="n">
        <v>1.1687</v>
      </c>
      <c r="F720" s="14" t="n">
        <v>6.854</v>
      </c>
      <c r="G720" s="14" t="n">
        <v>4.1718</v>
      </c>
      <c r="H720" s="14" t="n">
        <v>111.97</v>
      </c>
      <c r="I720" s="14" t="n">
        <v>1.1671</v>
      </c>
      <c r="J720" s="14" t="n">
        <v>9.562</v>
      </c>
      <c r="K720" s="14" t="n">
        <v>1312.95</v>
      </c>
      <c r="L720" s="14" t="n">
        <v>0.88875</v>
      </c>
      <c r="M720" s="14" t="n">
        <v>8.0139</v>
      </c>
      <c r="N720" s="14" t="n">
        <v>4.8942</v>
      </c>
      <c r="O720" s="14" t="n">
        <v>130.79</v>
      </c>
      <c r="P720" s="14" t="n">
        <v>8.193</v>
      </c>
    </row>
    <row r="721" customFormat="false" ht="15" hidden="false" customHeight="false" outlineLevel="0" collapsed="false">
      <c r="A721" s="13" t="n">
        <v>43361</v>
      </c>
      <c r="B721" s="14" t="n">
        <v>1122.18</v>
      </c>
      <c r="C721" s="14" t="n">
        <v>8.1463</v>
      </c>
      <c r="D721" s="14" t="n">
        <v>1.3158</v>
      </c>
      <c r="E721" s="14" t="n">
        <v>1.1693</v>
      </c>
      <c r="F721" s="14" t="n">
        <v>6.8591</v>
      </c>
      <c r="G721" s="14" t="n">
        <v>4.1277</v>
      </c>
      <c r="H721" s="14" t="n">
        <v>112.3</v>
      </c>
      <c r="I721" s="14" t="n">
        <v>1.1697</v>
      </c>
      <c r="J721" s="14" t="n">
        <v>9.5473</v>
      </c>
      <c r="K721" s="14" t="n">
        <v>1315.11</v>
      </c>
      <c r="L721" s="14" t="n">
        <v>0.88963</v>
      </c>
      <c r="M721" s="14" t="n">
        <v>8.0317</v>
      </c>
      <c r="N721" s="14" t="n">
        <v>4.8481</v>
      </c>
      <c r="O721" s="14" t="n">
        <v>131.21</v>
      </c>
      <c r="P721" s="14" t="n">
        <v>8.1622</v>
      </c>
    </row>
    <row r="722" customFormat="false" ht="15" hidden="false" customHeight="false" outlineLevel="0" collapsed="false">
      <c r="A722" s="13" t="n">
        <v>43362</v>
      </c>
      <c r="B722" s="14" t="n">
        <v>1120.61</v>
      </c>
      <c r="C722" s="14" t="n">
        <v>8.1503</v>
      </c>
      <c r="D722" s="14" t="n">
        <v>1.3162</v>
      </c>
      <c r="E722" s="14" t="n">
        <v>1.1685</v>
      </c>
      <c r="F722" s="14" t="n">
        <v>6.8466</v>
      </c>
      <c r="G722" s="14" t="n">
        <v>4.116</v>
      </c>
      <c r="H722" s="14" t="n">
        <v>112.21</v>
      </c>
      <c r="I722" s="14" t="n">
        <v>1.1667</v>
      </c>
      <c r="J722" s="14" t="n">
        <v>9.547</v>
      </c>
      <c r="K722" s="14" t="n">
        <v>1308.76</v>
      </c>
      <c r="L722" s="14" t="n">
        <v>0.88813</v>
      </c>
      <c r="M722" s="14" t="n">
        <v>7.9983</v>
      </c>
      <c r="N722" s="14" t="n">
        <v>4.8582</v>
      </c>
      <c r="O722" s="14" t="n">
        <v>130.94</v>
      </c>
      <c r="P722" s="14" t="n">
        <v>8.1829</v>
      </c>
    </row>
    <row r="723" customFormat="false" ht="15" hidden="false" customHeight="false" outlineLevel="0" collapsed="false">
      <c r="A723" s="13" t="n">
        <v>43363</v>
      </c>
      <c r="B723" s="14" t="n">
        <v>1119.58</v>
      </c>
      <c r="C723" s="14" t="n">
        <v>8.1666</v>
      </c>
      <c r="D723" s="14" t="n">
        <v>1.3237</v>
      </c>
      <c r="E723" s="14" t="n">
        <v>1.1744</v>
      </c>
      <c r="F723" s="14" t="n">
        <v>6.8455</v>
      </c>
      <c r="G723" s="14" t="n">
        <v>4.0834</v>
      </c>
      <c r="H723" s="14" t="n">
        <v>112.58</v>
      </c>
      <c r="I723" s="14" t="n">
        <v>1.1769</v>
      </c>
      <c r="J723" s="14" t="n">
        <v>9.5885</v>
      </c>
      <c r="K723" s="14" t="n">
        <v>1316.62</v>
      </c>
      <c r="L723" s="14" t="n">
        <v>0.8859</v>
      </c>
      <c r="M723" s="14" t="n">
        <v>8.0559</v>
      </c>
      <c r="N723" s="14" t="n">
        <v>4.839</v>
      </c>
      <c r="O723" s="14" t="n">
        <v>131.98</v>
      </c>
      <c r="P723" s="14" t="n">
        <v>8.1473</v>
      </c>
    </row>
    <row r="724" customFormat="false" ht="15" hidden="false" customHeight="false" outlineLevel="0" collapsed="false">
      <c r="A724" s="13" t="n">
        <v>43364</v>
      </c>
      <c r="B724" s="14" t="n">
        <v>1114.3</v>
      </c>
      <c r="C724" s="14" t="n">
        <v>8.156</v>
      </c>
      <c r="D724" s="14" t="n">
        <v>1.3067</v>
      </c>
      <c r="E724" s="14" t="n">
        <v>1.1739</v>
      </c>
      <c r="F724" s="14" t="n">
        <v>6.8559</v>
      </c>
      <c r="G724" s="14" t="n">
        <v>4.0536</v>
      </c>
      <c r="H724" s="14" t="n">
        <v>112.62</v>
      </c>
      <c r="I724" s="14" t="n">
        <v>1.1759</v>
      </c>
      <c r="J724" s="14" t="n">
        <v>9.5793</v>
      </c>
      <c r="K724" s="14" t="n">
        <v>1312.42</v>
      </c>
      <c r="L724" s="14" t="n">
        <v>0.894</v>
      </c>
      <c r="M724" s="14" t="n">
        <v>8.0503</v>
      </c>
      <c r="N724" s="14" t="n">
        <v>4.792</v>
      </c>
      <c r="O724" s="14" t="n">
        <v>132.44</v>
      </c>
      <c r="P724" s="14" t="n">
        <v>8.1464</v>
      </c>
    </row>
    <row r="725" customFormat="false" ht="15" hidden="false" customHeight="false" outlineLevel="0" collapsed="false">
      <c r="A725" s="13" t="n">
        <v>43367</v>
      </c>
      <c r="B725" s="14" t="n">
        <v>1119.28</v>
      </c>
      <c r="C725" s="14" t="n">
        <v>8.1304</v>
      </c>
      <c r="D725" s="14" t="n">
        <v>1.3128</v>
      </c>
      <c r="E725" s="14" t="n">
        <v>1.1773</v>
      </c>
      <c r="F725" s="14" t="n">
        <v>6.8559</v>
      </c>
      <c r="G725" s="14" t="n">
        <v>4.0733</v>
      </c>
      <c r="H725" s="14" t="n">
        <v>112.62</v>
      </c>
      <c r="I725" s="14" t="n">
        <v>1.1773</v>
      </c>
      <c r="J725" s="14" t="n">
        <v>9.5693</v>
      </c>
      <c r="K725" s="14" t="n">
        <v>1315.12</v>
      </c>
      <c r="L725" s="14" t="n">
        <v>0.89458</v>
      </c>
      <c r="M725" s="14" t="n">
        <v>8.0729</v>
      </c>
      <c r="N725" s="14" t="n">
        <v>4.7822</v>
      </c>
      <c r="O725" s="14" t="n">
        <v>132.56</v>
      </c>
      <c r="P725" s="14" t="n">
        <v>8.1282</v>
      </c>
    </row>
    <row r="726" customFormat="false" ht="15" hidden="false" customHeight="false" outlineLevel="0" collapsed="false">
      <c r="A726" s="13" t="n">
        <v>43368</v>
      </c>
      <c r="B726" s="14" t="n">
        <v>1118.12</v>
      </c>
      <c r="C726" s="14" t="n">
        <v>8.1263</v>
      </c>
      <c r="D726" s="14" t="n">
        <v>1.3162</v>
      </c>
      <c r="E726" s="14" t="n">
        <v>1.177</v>
      </c>
      <c r="F726" s="14" t="n">
        <v>6.8632</v>
      </c>
      <c r="G726" s="14" t="n">
        <v>4.1186</v>
      </c>
      <c r="H726" s="14" t="n">
        <v>112.88</v>
      </c>
      <c r="I726" s="14" t="n">
        <v>1.1777</v>
      </c>
      <c r="J726" s="14" t="n">
        <v>9.5713</v>
      </c>
      <c r="K726" s="14" t="n">
        <v>1316.95</v>
      </c>
      <c r="L726" s="14" t="n">
        <v>0.89425</v>
      </c>
      <c r="M726" s="14" t="n">
        <v>8.0958</v>
      </c>
      <c r="N726" s="14" t="n">
        <v>4.8532</v>
      </c>
      <c r="O726" s="14" t="n">
        <v>132.78</v>
      </c>
      <c r="P726" s="14" t="n">
        <v>8.1271</v>
      </c>
    </row>
    <row r="727" customFormat="false" ht="15" hidden="false" customHeight="false" outlineLevel="0" collapsed="false">
      <c r="A727" s="13" t="n">
        <v>43369</v>
      </c>
      <c r="B727" s="14" t="n">
        <v>1114.64</v>
      </c>
      <c r="C727" s="14" t="n">
        <v>8.1049</v>
      </c>
      <c r="D727" s="14" t="n">
        <v>1.3182</v>
      </c>
      <c r="E727" s="14" t="n">
        <v>1.1758</v>
      </c>
      <c r="F727" s="14" t="n">
        <v>6.8763</v>
      </c>
      <c r="G727" s="14" t="n">
        <v>4.0425</v>
      </c>
      <c r="H727" s="14" t="n">
        <v>112.92</v>
      </c>
      <c r="I727" s="14" t="n">
        <v>1.1737</v>
      </c>
      <c r="J727" s="14" t="n">
        <v>9.5465</v>
      </c>
      <c r="K727" s="14" t="n">
        <v>1309.19</v>
      </c>
      <c r="L727" s="14" t="n">
        <v>0.8908</v>
      </c>
      <c r="M727" s="14" t="n">
        <v>8.0685</v>
      </c>
      <c r="N727" s="14" t="n">
        <v>4.7985</v>
      </c>
      <c r="O727" s="14" t="n">
        <v>132.61</v>
      </c>
      <c r="P727" s="14" t="n">
        <v>8.1337</v>
      </c>
    </row>
    <row r="728" customFormat="false" ht="15" hidden="false" customHeight="false" outlineLevel="0" collapsed="false">
      <c r="A728" s="13" t="n">
        <v>43370</v>
      </c>
      <c r="B728" s="14" t="n">
        <v>1113.41</v>
      </c>
      <c r="C728" s="14" t="n">
        <v>8.137</v>
      </c>
      <c r="D728" s="14" t="n">
        <v>1.3104</v>
      </c>
      <c r="E728" s="14" t="n">
        <v>1.167</v>
      </c>
      <c r="F728" s="14" t="n">
        <v>6.888</v>
      </c>
      <c r="G728" s="14" t="n">
        <v>3.9968</v>
      </c>
      <c r="H728" s="14" t="n">
        <v>113.38</v>
      </c>
      <c r="I728" s="14" t="n">
        <v>1.1707</v>
      </c>
      <c r="J728" s="14" t="n">
        <v>9.5015</v>
      </c>
      <c r="K728" s="14" t="n">
        <v>1301.82</v>
      </c>
      <c r="L728" s="14" t="n">
        <v>0.88973</v>
      </c>
      <c r="M728" s="14" t="n">
        <v>8.055</v>
      </c>
      <c r="N728" s="14" t="n">
        <v>4.729</v>
      </c>
      <c r="O728" s="14" t="n">
        <v>132.15</v>
      </c>
      <c r="P728" s="14" t="n">
        <v>8.1161</v>
      </c>
    </row>
    <row r="729" customFormat="false" ht="15" hidden="false" customHeight="false" outlineLevel="0" collapsed="false">
      <c r="A729" s="13" t="n">
        <v>43371</v>
      </c>
      <c r="B729" s="14" t="n">
        <v>1109.76</v>
      </c>
      <c r="C729" s="14" t="n">
        <v>8.1327</v>
      </c>
      <c r="D729" s="14" t="n">
        <v>1.3053</v>
      </c>
      <c r="E729" s="14" t="n">
        <v>1.1622</v>
      </c>
      <c r="F729" s="14" t="n">
        <v>6.868</v>
      </c>
      <c r="G729" s="14" t="n">
        <v>3.9995</v>
      </c>
      <c r="H729" s="14" t="n">
        <v>113.48</v>
      </c>
      <c r="I729" s="14" t="n">
        <v>1.1576</v>
      </c>
      <c r="J729" s="14" t="n">
        <v>9.4665</v>
      </c>
      <c r="K729" s="14" t="n">
        <v>1285.75</v>
      </c>
      <c r="L729" s="14" t="n">
        <v>0.8873</v>
      </c>
      <c r="M729" s="14" t="n">
        <v>7.9662</v>
      </c>
      <c r="N729" s="14" t="n">
        <v>4.6535</v>
      </c>
      <c r="O729" s="14" t="n">
        <v>131.23</v>
      </c>
      <c r="P729" s="14" t="n">
        <v>8.1777</v>
      </c>
    </row>
    <row r="730" customFormat="false" ht="15" hidden="false" customHeight="false" outlineLevel="0" collapsed="false">
      <c r="A730" s="13" t="n">
        <v>43374</v>
      </c>
      <c r="B730" s="14" t="n">
        <v>1112.53</v>
      </c>
      <c r="C730" s="14" t="n">
        <v>8.1595</v>
      </c>
      <c r="D730" s="14" t="n">
        <v>1.3032</v>
      </c>
      <c r="E730" s="14" t="n">
        <v>1.1567</v>
      </c>
      <c r="F730" s="14" t="n">
        <v>6.868</v>
      </c>
      <c r="G730" s="14" t="n">
        <v>4.0059</v>
      </c>
      <c r="H730" s="14" t="n">
        <v>113.96</v>
      </c>
      <c r="I730" s="14" t="n">
        <v>1.1606</v>
      </c>
      <c r="J730" s="14" t="n">
        <v>9.4465</v>
      </c>
      <c r="K730" s="14" t="n">
        <v>1290.16</v>
      </c>
      <c r="L730" s="14" t="n">
        <v>0.89078</v>
      </c>
      <c r="M730" s="14" t="n">
        <v>7.972</v>
      </c>
      <c r="N730" s="14" t="n">
        <v>4.6869</v>
      </c>
      <c r="O730" s="14" t="n">
        <v>132.25</v>
      </c>
      <c r="P730" s="14" t="n">
        <v>8.1393</v>
      </c>
    </row>
    <row r="731" customFormat="false" ht="15" hidden="false" customHeight="false" outlineLevel="0" collapsed="false">
      <c r="A731" s="13" t="n">
        <v>43375</v>
      </c>
      <c r="B731" s="14" t="n">
        <v>1112.43</v>
      </c>
      <c r="C731" s="14" t="n">
        <v>8.1637</v>
      </c>
      <c r="D731" s="14" t="n">
        <v>1.2984</v>
      </c>
      <c r="E731" s="14" t="n">
        <v>1.156</v>
      </c>
      <c r="F731" s="14" t="n">
        <v>6.868</v>
      </c>
      <c r="G731" s="14" t="n">
        <v>3.9223</v>
      </c>
      <c r="H731" s="14" t="n">
        <v>113.66</v>
      </c>
      <c r="I731" s="14" t="n">
        <v>1.1543</v>
      </c>
      <c r="J731" s="14" t="n">
        <v>9.4393</v>
      </c>
      <c r="K731" s="14" t="n">
        <v>1290.52</v>
      </c>
      <c r="L731" s="14" t="n">
        <v>0.89043</v>
      </c>
      <c r="M731" s="14" t="n">
        <v>7.9287</v>
      </c>
      <c r="N731" s="14" t="n">
        <v>4.6002</v>
      </c>
      <c r="O731" s="14" t="n">
        <v>131.46</v>
      </c>
      <c r="P731" s="14" t="n">
        <v>8.1775</v>
      </c>
    </row>
    <row r="732" customFormat="false" ht="15" hidden="false" customHeight="false" outlineLevel="0" collapsed="false">
      <c r="A732" s="13" t="n">
        <v>43376</v>
      </c>
      <c r="B732" s="14" t="n">
        <v>1121.42</v>
      </c>
      <c r="C732" s="14" t="n">
        <v>8.2007</v>
      </c>
      <c r="D732" s="14" t="n">
        <v>1.2993</v>
      </c>
      <c r="E732" s="14" t="n">
        <v>1.1525</v>
      </c>
      <c r="F732" s="14" t="n">
        <v>6.868</v>
      </c>
      <c r="G732" s="14" t="n">
        <v>3.8806</v>
      </c>
      <c r="H732" s="14" t="n">
        <v>114.19</v>
      </c>
      <c r="I732" s="14" t="n">
        <v>1.1548</v>
      </c>
      <c r="J732" s="14" t="n">
        <v>9.4443</v>
      </c>
      <c r="K732" s="14" t="n">
        <v>1293.3</v>
      </c>
      <c r="L732" s="14" t="n">
        <v>0.88895</v>
      </c>
      <c r="M732" s="14" t="n">
        <v>7.9321</v>
      </c>
      <c r="N732" s="14" t="n">
        <v>4.4737</v>
      </c>
      <c r="O732" s="14" t="n">
        <v>131.47</v>
      </c>
      <c r="P732" s="14" t="n">
        <v>8.1783</v>
      </c>
    </row>
    <row r="733" customFormat="false" ht="15" hidden="false" customHeight="false" outlineLevel="0" collapsed="false">
      <c r="A733" s="13" t="n">
        <v>43377</v>
      </c>
      <c r="B733" s="14" t="n">
        <v>1130.78</v>
      </c>
      <c r="C733" s="14" t="n">
        <v>8.2436</v>
      </c>
      <c r="D733" s="14" t="n">
        <v>1.3014</v>
      </c>
      <c r="E733" s="14" t="n">
        <v>1.1508</v>
      </c>
      <c r="F733" s="14" t="n">
        <v>6.868</v>
      </c>
      <c r="G733" s="14" t="n">
        <v>3.9229</v>
      </c>
      <c r="H733" s="14" t="n">
        <v>113.79</v>
      </c>
      <c r="I733" s="14" t="n">
        <v>1.1502</v>
      </c>
      <c r="J733" s="14" t="n">
        <v>9.4643</v>
      </c>
      <c r="K733" s="14" t="n">
        <v>1298.27</v>
      </c>
      <c r="L733" s="14" t="n">
        <v>0.8858</v>
      </c>
      <c r="M733" s="14" t="n">
        <v>7.9006</v>
      </c>
      <c r="N733" s="14" t="n">
        <v>4.5116</v>
      </c>
      <c r="O733" s="14" t="n">
        <v>131.31</v>
      </c>
      <c r="P733" s="14" t="n">
        <v>8.2284</v>
      </c>
    </row>
    <row r="734" customFormat="false" ht="15" hidden="false" customHeight="false" outlineLevel="0" collapsed="false">
      <c r="A734" s="13" t="n">
        <v>43378</v>
      </c>
      <c r="B734" s="14" t="n">
        <v>1131.25</v>
      </c>
      <c r="C734" s="14" t="n">
        <v>8.2755</v>
      </c>
      <c r="D734" s="14" t="n">
        <v>1.3101</v>
      </c>
      <c r="E734" s="14" t="n">
        <v>1.1502</v>
      </c>
      <c r="F734" s="14" t="n">
        <v>6.868</v>
      </c>
      <c r="G734" s="14" t="n">
        <v>3.8808</v>
      </c>
      <c r="H734" s="14" t="n">
        <v>113.56</v>
      </c>
      <c r="I734" s="14" t="n">
        <v>1.1506</v>
      </c>
      <c r="J734" s="14" t="n">
        <v>9.5133</v>
      </c>
      <c r="K734" s="14" t="n">
        <v>1298.24</v>
      </c>
      <c r="L734" s="14" t="n">
        <v>0.88165</v>
      </c>
      <c r="M734" s="14" t="n">
        <v>7.9033</v>
      </c>
      <c r="N734" s="14" t="n">
        <v>4.4216</v>
      </c>
      <c r="O734" s="14" t="n">
        <v>131.03</v>
      </c>
      <c r="P734" s="14" t="n">
        <v>8.2681</v>
      </c>
    </row>
    <row r="735" customFormat="false" ht="15" hidden="false" customHeight="false" outlineLevel="0" collapsed="false">
      <c r="A735" s="13" t="n">
        <v>43381</v>
      </c>
      <c r="I735" s="14" t="n">
        <v>1.1478</v>
      </c>
      <c r="J735" s="14" t="n">
        <v>9.5083</v>
      </c>
      <c r="K735" s="14" t="n">
        <v>1304.77</v>
      </c>
      <c r="L735" s="14" t="n">
        <v>0.8801</v>
      </c>
      <c r="M735" s="14" t="n">
        <v>7.9502</v>
      </c>
      <c r="N735" s="14" t="n">
        <v>4.3093</v>
      </c>
      <c r="O735" s="14" t="n">
        <v>130.11</v>
      </c>
      <c r="P735" s="14" t="n">
        <v>8.2839</v>
      </c>
    </row>
    <row r="736" customFormat="false" ht="15" hidden="false" customHeight="false" outlineLevel="0" collapsed="false">
      <c r="A736" s="13" t="n">
        <v>43382</v>
      </c>
      <c r="B736" s="14" t="n">
        <v>1132.87</v>
      </c>
      <c r="C736" s="14" t="n">
        <v>8.2795</v>
      </c>
      <c r="D736" s="14" t="n">
        <v>1.3139</v>
      </c>
      <c r="E736" s="14" t="n">
        <v>1.1482</v>
      </c>
      <c r="F736" s="14" t="n">
        <v>6.9217</v>
      </c>
      <c r="G736" s="14" t="n">
        <v>3.732</v>
      </c>
      <c r="H736" s="14" t="n">
        <v>113.13</v>
      </c>
      <c r="I736" s="14" t="n">
        <v>1.1435</v>
      </c>
      <c r="J736" s="14" t="n">
        <v>9.4915</v>
      </c>
      <c r="K736" s="14" t="n">
        <v>1301.02</v>
      </c>
      <c r="L736" s="14" t="n">
        <v>0.8768</v>
      </c>
      <c r="M736" s="14" t="n">
        <v>7.9185</v>
      </c>
      <c r="N736" s="14" t="n">
        <v>4.3112</v>
      </c>
      <c r="O736" s="14" t="n">
        <v>129.45</v>
      </c>
      <c r="P736" s="14" t="n">
        <v>8.3004</v>
      </c>
    </row>
    <row r="737" customFormat="false" ht="15" hidden="false" customHeight="false" outlineLevel="0" collapsed="false">
      <c r="A737" s="13" t="n">
        <v>43383</v>
      </c>
      <c r="B737" s="14" t="n">
        <v>1138.9</v>
      </c>
      <c r="C737" s="14" t="n">
        <v>8.2035</v>
      </c>
      <c r="D737" s="14" t="n">
        <v>1.3206</v>
      </c>
      <c r="E737" s="14" t="n">
        <v>1.1541</v>
      </c>
      <c r="F737" s="14" t="n">
        <v>6.9224</v>
      </c>
      <c r="G737" s="14" t="n">
        <v>3.7594</v>
      </c>
      <c r="H737" s="14" t="n">
        <v>112.71</v>
      </c>
      <c r="I737" s="14" t="n">
        <v>1.15</v>
      </c>
      <c r="J737" s="14" t="n">
        <v>9.4468</v>
      </c>
      <c r="K737" s="14" t="n">
        <v>1307.75</v>
      </c>
      <c r="L737" s="14" t="n">
        <v>0.87448</v>
      </c>
      <c r="M737" s="14" t="n">
        <v>7.9621</v>
      </c>
      <c r="N737" s="14" t="n">
        <v>4.2893</v>
      </c>
      <c r="O737" s="14" t="n">
        <v>130.23</v>
      </c>
      <c r="P737" s="14" t="n">
        <v>8.2146</v>
      </c>
    </row>
    <row r="738" customFormat="false" ht="15" hidden="false" customHeight="false" outlineLevel="0" collapsed="false">
      <c r="A738" s="13" t="n">
        <v>43384</v>
      </c>
      <c r="B738" s="14" t="n">
        <v>1134.16</v>
      </c>
      <c r="C738" s="14" t="n">
        <v>8.2262</v>
      </c>
      <c r="D738" s="14" t="n">
        <v>1.3193</v>
      </c>
      <c r="E738" s="14" t="n">
        <v>1.1565</v>
      </c>
      <c r="F738" s="14" t="n">
        <v>6.888</v>
      </c>
      <c r="G738" s="14" t="n">
        <v>3.7591</v>
      </c>
      <c r="H738" s="14" t="n">
        <v>112.26</v>
      </c>
      <c r="I738" s="14" t="n">
        <v>1.1575</v>
      </c>
      <c r="J738" s="14" t="n">
        <v>9.5063</v>
      </c>
      <c r="K738" s="14" t="n">
        <v>1320.7</v>
      </c>
      <c r="L738" s="14" t="n">
        <v>0.8749</v>
      </c>
      <c r="M738" s="14" t="n">
        <v>7.9982</v>
      </c>
      <c r="N738" s="14" t="n">
        <v>4.327</v>
      </c>
      <c r="O738" s="14" t="n">
        <v>130</v>
      </c>
      <c r="P738" s="14" t="n">
        <v>8.2128</v>
      </c>
    </row>
    <row r="739" customFormat="false" ht="15" hidden="false" customHeight="false" outlineLevel="0" collapsed="false">
      <c r="A739" s="13" t="n">
        <v>43385</v>
      </c>
      <c r="B739" s="14" t="n">
        <v>1130.82</v>
      </c>
      <c r="C739" s="14" t="n">
        <v>8.1769</v>
      </c>
      <c r="D739" s="14" t="n">
        <v>1.3154</v>
      </c>
      <c r="E739" s="14" t="n">
        <v>1.1559</v>
      </c>
      <c r="F739" s="14" t="n">
        <v>6.9182</v>
      </c>
      <c r="G739" s="14" t="n">
        <v>3.7825</v>
      </c>
      <c r="H739" s="14" t="n">
        <v>112.02</v>
      </c>
      <c r="I739" s="14" t="n">
        <v>1.1574</v>
      </c>
      <c r="J739" s="14" t="n">
        <v>9.4675</v>
      </c>
      <c r="K739" s="14" t="n">
        <v>1309.22</v>
      </c>
      <c r="L739" s="14" t="n">
        <v>0.8764</v>
      </c>
      <c r="M739" s="14" t="n">
        <v>8.0043</v>
      </c>
      <c r="N739" s="14" t="n">
        <v>4.3784</v>
      </c>
      <c r="O739" s="14" t="n">
        <v>129.99</v>
      </c>
      <c r="P739" s="14" t="n">
        <v>8.18</v>
      </c>
    </row>
    <row r="740" customFormat="false" ht="15" hidden="false" customHeight="false" outlineLevel="0" collapsed="false">
      <c r="A740" s="13" t="n">
        <v>43388</v>
      </c>
      <c r="B740" s="14" t="n">
        <v>1129.3</v>
      </c>
      <c r="C740" s="14" t="n">
        <v>8.1481</v>
      </c>
      <c r="D740" s="14" t="n">
        <v>1.3168</v>
      </c>
      <c r="E740" s="14" t="n">
        <v>1.1594</v>
      </c>
      <c r="F740" s="14" t="n">
        <v>6.9131</v>
      </c>
      <c r="G740" s="14" t="n">
        <v>3.7214</v>
      </c>
      <c r="H740" s="14" t="n">
        <v>111.82</v>
      </c>
      <c r="I740" s="14" t="n">
        <v>1.1581</v>
      </c>
      <c r="J740" s="14" t="n">
        <v>9.4598</v>
      </c>
      <c r="K740" s="14" t="n">
        <v>1307.61</v>
      </c>
      <c r="L740" s="14" t="n">
        <v>0.88045</v>
      </c>
      <c r="M740" s="14" t="n">
        <v>8.0135</v>
      </c>
      <c r="N740" s="14" t="n">
        <v>4.3498</v>
      </c>
      <c r="O740" s="14" t="n">
        <v>129.53</v>
      </c>
      <c r="P740" s="14" t="n">
        <v>8.1684</v>
      </c>
    </row>
    <row r="741" customFormat="false" ht="15" hidden="false" customHeight="false" outlineLevel="0" collapsed="false">
      <c r="A741" s="13" t="n">
        <v>43389</v>
      </c>
      <c r="B741" s="14" t="n">
        <v>1123.88</v>
      </c>
      <c r="C741" s="14" t="n">
        <v>8.1288</v>
      </c>
      <c r="D741" s="14" t="n">
        <v>1.321</v>
      </c>
      <c r="E741" s="14" t="n">
        <v>1.1593</v>
      </c>
      <c r="F741" s="14" t="n">
        <v>6.9102</v>
      </c>
      <c r="G741" s="14" t="n">
        <v>3.7177</v>
      </c>
      <c r="H741" s="14" t="n">
        <v>112.16</v>
      </c>
      <c r="I741" s="14" t="n">
        <v>1.1587</v>
      </c>
      <c r="J741" s="14" t="n">
        <v>9.4198</v>
      </c>
      <c r="K741" s="14" t="n">
        <v>1301.92</v>
      </c>
      <c r="L741" s="14" t="n">
        <v>0.87593</v>
      </c>
      <c r="M741" s="14" t="n">
        <v>8.0095</v>
      </c>
      <c r="N741" s="14" t="n">
        <v>4.3017</v>
      </c>
      <c r="O741" s="14" t="n">
        <v>129.92</v>
      </c>
      <c r="P741" s="14" t="n">
        <v>8.1296</v>
      </c>
    </row>
    <row r="742" customFormat="false" ht="15" hidden="false" customHeight="false" outlineLevel="0" collapsed="false">
      <c r="A742" s="13" t="n">
        <v>43390</v>
      </c>
      <c r="B742" s="14" t="n">
        <v>1126.2</v>
      </c>
      <c r="C742" s="14" t="n">
        <v>8.1903</v>
      </c>
      <c r="D742" s="14" t="n">
        <v>1.3137</v>
      </c>
      <c r="E742" s="14" t="n">
        <v>1.154</v>
      </c>
      <c r="F742" s="14" t="n">
        <v>6.9263</v>
      </c>
      <c r="G742" s="14" t="n">
        <v>3.6813</v>
      </c>
      <c r="H742" s="14" t="n">
        <v>112.21</v>
      </c>
      <c r="I742" s="14" t="n">
        <v>1.153</v>
      </c>
      <c r="J742" s="14" t="n">
        <v>9.4293</v>
      </c>
      <c r="K742" s="14" t="n">
        <v>1299.48</v>
      </c>
      <c r="L742" s="14" t="n">
        <v>0.87945</v>
      </c>
      <c r="M742" s="14" t="n">
        <v>7.9887</v>
      </c>
      <c r="N742" s="14" t="n">
        <v>4.309</v>
      </c>
      <c r="O742" s="14" t="n">
        <v>129.43</v>
      </c>
      <c r="P742" s="14" t="n">
        <v>8.1781</v>
      </c>
    </row>
    <row r="743" customFormat="false" ht="15" hidden="false" customHeight="false" outlineLevel="0" collapsed="false">
      <c r="A743" s="13" t="n">
        <v>43391</v>
      </c>
      <c r="B743" s="14" t="n">
        <v>1138.06</v>
      </c>
      <c r="C743" s="14" t="n">
        <v>8.2469</v>
      </c>
      <c r="D743" s="14" t="n">
        <v>1.3061</v>
      </c>
      <c r="E743" s="14" t="n">
        <v>1.1494</v>
      </c>
      <c r="F743" s="14" t="n">
        <v>6.9367</v>
      </c>
      <c r="G743" s="14" t="n">
        <v>3.705</v>
      </c>
      <c r="H743" s="14" t="n">
        <v>112.11</v>
      </c>
      <c r="I743" s="14" t="n">
        <v>1.1505</v>
      </c>
      <c r="J743" s="14" t="n">
        <v>9.4598</v>
      </c>
      <c r="K743" s="14" t="n">
        <v>1306.55</v>
      </c>
      <c r="L743" s="14" t="n">
        <v>0.87843</v>
      </c>
      <c r="M743" s="14" t="n">
        <v>7.9835</v>
      </c>
      <c r="N743" s="14" t="n">
        <v>4.2453</v>
      </c>
      <c r="O743" s="14" t="n">
        <v>129.44</v>
      </c>
      <c r="P743" s="14" t="n">
        <v>8.2223</v>
      </c>
    </row>
    <row r="744" customFormat="false" ht="15" hidden="false" customHeight="false" outlineLevel="0" collapsed="false">
      <c r="A744" s="13" t="n">
        <v>43392</v>
      </c>
      <c r="B744" s="14" t="n">
        <v>1131.13</v>
      </c>
      <c r="C744" s="14" t="n">
        <v>8.2169</v>
      </c>
      <c r="D744" s="14" t="n">
        <v>1.3045</v>
      </c>
      <c r="E744" s="14" t="n">
        <v>1.1513</v>
      </c>
      <c r="F744" s="14" t="n">
        <v>6.9291</v>
      </c>
      <c r="G744" s="14" t="n">
        <v>3.7121</v>
      </c>
      <c r="H744" s="14" t="n">
        <v>112.52</v>
      </c>
      <c r="I744" s="14" t="n">
        <v>1.147</v>
      </c>
      <c r="J744" s="14" t="n">
        <v>9.4518</v>
      </c>
      <c r="K744" s="14" t="n">
        <v>1296.11</v>
      </c>
      <c r="L744" s="14" t="n">
        <v>0.8802</v>
      </c>
      <c r="M744" s="14" t="n">
        <v>7.9489</v>
      </c>
      <c r="N744" s="14" t="n">
        <v>4.2362</v>
      </c>
      <c r="O744" s="14" t="n">
        <v>129.05</v>
      </c>
      <c r="P744" s="14" t="n">
        <v>8.2405</v>
      </c>
    </row>
    <row r="745" customFormat="false" ht="15" hidden="false" customHeight="false" outlineLevel="0" collapsed="false">
      <c r="A745" s="13" t="n">
        <v>43395</v>
      </c>
      <c r="B745" s="14" t="n">
        <v>1132.7</v>
      </c>
      <c r="C745" s="14" t="n">
        <v>8.2558</v>
      </c>
      <c r="D745" s="14" t="n">
        <v>1.2974</v>
      </c>
      <c r="E745" s="14" t="n">
        <v>1.1467</v>
      </c>
      <c r="F745" s="14" t="n">
        <v>6.9446</v>
      </c>
      <c r="G745" s="14" t="n">
        <v>3.685</v>
      </c>
      <c r="H745" s="14" t="n">
        <v>112.78</v>
      </c>
      <c r="I745" s="14" t="n">
        <v>1.1494</v>
      </c>
      <c r="J745" s="14" t="n">
        <v>9.4688</v>
      </c>
      <c r="K745" s="14" t="n">
        <v>1300.75</v>
      </c>
      <c r="L745" s="14" t="n">
        <v>0.88425</v>
      </c>
      <c r="M745" s="14" t="n">
        <v>7.9801</v>
      </c>
      <c r="N745" s="14" t="n">
        <v>4.259</v>
      </c>
      <c r="O745" s="14" t="n">
        <v>129.63</v>
      </c>
      <c r="P745" s="14" t="n">
        <v>8.238</v>
      </c>
    </row>
    <row r="746" customFormat="false" ht="15" hidden="false" customHeight="false" outlineLevel="0" collapsed="false">
      <c r="A746" s="13" t="n">
        <v>43396</v>
      </c>
      <c r="B746" s="14" t="n">
        <v>1137.53</v>
      </c>
      <c r="C746" s="14" t="n">
        <v>8.2978</v>
      </c>
      <c r="D746" s="14" t="n">
        <v>1.2982</v>
      </c>
      <c r="E746" s="14" t="n">
        <v>1.148</v>
      </c>
      <c r="F746" s="14" t="n">
        <v>6.9373</v>
      </c>
      <c r="G746" s="14" t="n">
        <v>3.704</v>
      </c>
      <c r="H746" s="14" t="n">
        <v>112.12</v>
      </c>
      <c r="I746" s="14" t="n">
        <v>1.1478</v>
      </c>
      <c r="J746" s="14" t="n">
        <v>9.5053</v>
      </c>
      <c r="K746" s="14" t="n">
        <v>1305.81</v>
      </c>
      <c r="L746" s="14" t="n">
        <v>0.88103</v>
      </c>
      <c r="M746" s="14" t="n">
        <v>7.9613</v>
      </c>
      <c r="N746" s="14" t="n">
        <v>4.2412</v>
      </c>
      <c r="O746" s="14" t="n">
        <v>128.76</v>
      </c>
      <c r="P746" s="14" t="n">
        <v>8.2813</v>
      </c>
    </row>
    <row r="747" customFormat="false" ht="15" hidden="false" customHeight="false" outlineLevel="0" collapsed="false">
      <c r="A747" s="13" t="n">
        <v>43397</v>
      </c>
      <c r="B747" s="14" t="n">
        <v>1136.66</v>
      </c>
      <c r="C747" s="14" t="n">
        <v>8.3312</v>
      </c>
      <c r="D747" s="14" t="n">
        <v>1.2898</v>
      </c>
      <c r="E747" s="14" t="n">
        <v>1.1389</v>
      </c>
      <c r="F747" s="14" t="n">
        <v>6.942</v>
      </c>
      <c r="G747" s="14" t="n">
        <v>3.7188</v>
      </c>
      <c r="H747" s="14" t="n">
        <v>112.58</v>
      </c>
      <c r="I747" s="14" t="n">
        <v>1.1389</v>
      </c>
      <c r="J747" s="14" t="n">
        <v>9.4868</v>
      </c>
      <c r="K747" s="14" t="n">
        <v>1291.15</v>
      </c>
      <c r="L747" s="14" t="n">
        <v>0.88233</v>
      </c>
      <c r="M747" s="14" t="n">
        <v>7.909</v>
      </c>
      <c r="N747" s="14" t="n">
        <v>4.2198</v>
      </c>
      <c r="O747" s="14" t="n">
        <v>128.37</v>
      </c>
      <c r="P747" s="14" t="n">
        <v>8.3298</v>
      </c>
    </row>
    <row r="748" customFormat="false" ht="15" hidden="false" customHeight="false" outlineLevel="0" collapsed="false">
      <c r="A748" s="13" t="n">
        <v>43398</v>
      </c>
      <c r="B748" s="14" t="n">
        <v>1134.9</v>
      </c>
      <c r="C748" s="14" t="n">
        <v>8.3336</v>
      </c>
      <c r="D748" s="14" t="n">
        <v>1.2827</v>
      </c>
      <c r="E748" s="14" t="n">
        <v>1.1374</v>
      </c>
      <c r="F748" s="14" t="n">
        <v>6.9477</v>
      </c>
      <c r="G748" s="14" t="n">
        <v>3.6887</v>
      </c>
      <c r="H748" s="14" t="n">
        <v>112.54</v>
      </c>
      <c r="I748" s="14" t="n">
        <v>1.1416</v>
      </c>
      <c r="J748" s="14" t="n">
        <v>9.4898</v>
      </c>
      <c r="K748" s="14" t="n">
        <v>1296.4</v>
      </c>
      <c r="L748" s="14" t="n">
        <v>0.88533</v>
      </c>
      <c r="M748" s="14" t="n">
        <v>7.9276</v>
      </c>
      <c r="N748" s="14" t="n">
        <v>4.2357</v>
      </c>
      <c r="O748" s="14" t="n">
        <v>128.27</v>
      </c>
      <c r="P748" s="14" t="n">
        <v>8.3127</v>
      </c>
    </row>
    <row r="749" customFormat="false" ht="15" hidden="false" customHeight="false" outlineLevel="0" collapsed="false">
      <c r="A749" s="13" t="n">
        <v>43399</v>
      </c>
      <c r="B749" s="14" t="n">
        <v>1141.74</v>
      </c>
      <c r="C749" s="14" t="n">
        <v>8.3423</v>
      </c>
      <c r="D749" s="14" t="n">
        <v>1.2826</v>
      </c>
      <c r="E749" s="14" t="n">
        <v>1.1388</v>
      </c>
      <c r="F749" s="14" t="n">
        <v>6.9425</v>
      </c>
      <c r="G749" s="14" t="n">
        <v>3.6695</v>
      </c>
      <c r="H749" s="14" t="n">
        <v>111.65</v>
      </c>
      <c r="I749" s="14" t="n">
        <v>1.1345</v>
      </c>
      <c r="J749" s="14" t="n">
        <v>9.516</v>
      </c>
      <c r="K749" s="14" t="n">
        <v>1298.16</v>
      </c>
      <c r="L749" s="14" t="n">
        <v>0.8868</v>
      </c>
      <c r="M749" s="14" t="n">
        <v>7.8801</v>
      </c>
      <c r="N749" s="14" t="n">
        <v>4.2125</v>
      </c>
      <c r="O749" s="14" t="n">
        <v>127.13</v>
      </c>
      <c r="P749" s="14" t="n">
        <v>8.3878</v>
      </c>
    </row>
    <row r="750" customFormat="false" ht="15" hidden="false" customHeight="false" outlineLevel="0" collapsed="false">
      <c r="A750" s="13" t="n">
        <v>43402</v>
      </c>
      <c r="B750" s="14" t="n">
        <v>1139.81</v>
      </c>
      <c r="C750" s="14" t="n">
        <v>8.3711</v>
      </c>
      <c r="D750" s="14" t="n">
        <v>1.2807</v>
      </c>
      <c r="E750" s="14" t="n">
        <v>1.139</v>
      </c>
      <c r="F750" s="14" t="n">
        <v>6.9605</v>
      </c>
      <c r="G750" s="14" t="n">
        <v>3.667</v>
      </c>
      <c r="H750" s="14" t="n">
        <v>112.49</v>
      </c>
      <c r="I750" s="14" t="n">
        <v>1.1381</v>
      </c>
      <c r="J750" s="14" t="n">
        <v>9.513</v>
      </c>
      <c r="K750" s="14" t="n">
        <v>1297.35</v>
      </c>
      <c r="L750" s="14" t="n">
        <v>0.88788</v>
      </c>
      <c r="M750" s="14" t="n">
        <v>7.9195</v>
      </c>
      <c r="N750" s="14" t="n">
        <v>4.1231</v>
      </c>
      <c r="O750" s="14" t="n">
        <v>127.92</v>
      </c>
      <c r="P750" s="14" t="n">
        <v>8.3587</v>
      </c>
    </row>
    <row r="751" customFormat="false" ht="15" hidden="false" customHeight="false" outlineLevel="0" collapsed="false">
      <c r="A751" s="13" t="n">
        <v>43403</v>
      </c>
      <c r="B751" s="14" t="n">
        <v>1137.68</v>
      </c>
      <c r="C751" s="14" t="n">
        <v>8.3962</v>
      </c>
      <c r="D751" s="14" t="n">
        <v>1.2731</v>
      </c>
      <c r="E751" s="14" t="n">
        <v>1.1364</v>
      </c>
      <c r="F751" s="14" t="n">
        <v>6.9663</v>
      </c>
      <c r="G751" s="14" t="n">
        <v>3.7156</v>
      </c>
      <c r="H751" s="14" t="n">
        <v>112.76</v>
      </c>
      <c r="I751" s="14" t="n">
        <v>1.1372</v>
      </c>
      <c r="J751" s="14" t="n">
        <v>9.5435</v>
      </c>
      <c r="K751" s="14" t="n">
        <v>1295.91</v>
      </c>
      <c r="L751" s="14" t="n">
        <v>0.89148</v>
      </c>
      <c r="M751" s="14" t="n">
        <v>7.9203</v>
      </c>
      <c r="N751" s="14" t="n">
        <v>4.2282</v>
      </c>
      <c r="O751" s="14" t="n">
        <v>128.28</v>
      </c>
      <c r="P751" s="14" t="n">
        <v>8.3921</v>
      </c>
    </row>
    <row r="752" customFormat="false" ht="15" hidden="false" customHeight="false" outlineLevel="0" collapsed="false">
      <c r="A752" s="13" t="n">
        <v>43404</v>
      </c>
      <c r="B752" s="14" t="n">
        <v>1140.78</v>
      </c>
      <c r="C752" s="14" t="n">
        <v>8.41</v>
      </c>
      <c r="D752" s="14" t="n">
        <v>1.2779</v>
      </c>
      <c r="E752" s="14" t="n">
        <v>1.1332</v>
      </c>
      <c r="F752" s="14" t="n">
        <v>6.9737</v>
      </c>
      <c r="G752" s="14" t="n">
        <v>3.7129</v>
      </c>
      <c r="H752" s="14" t="n">
        <v>112.86</v>
      </c>
      <c r="I752" s="14" t="n">
        <v>1.1318</v>
      </c>
      <c r="J752" s="14" t="n">
        <v>9.5528</v>
      </c>
      <c r="K752" s="14" t="n">
        <v>1291.1</v>
      </c>
      <c r="L752" s="14" t="n">
        <v>0.88873</v>
      </c>
      <c r="M752" s="14" t="n">
        <v>7.8935</v>
      </c>
      <c r="N752" s="14" t="n">
        <v>4.1943</v>
      </c>
      <c r="O752" s="14" t="n">
        <v>128.15</v>
      </c>
      <c r="P752" s="14" t="n">
        <v>8.4404</v>
      </c>
    </row>
    <row r="753" customFormat="false" ht="15" hidden="false" customHeight="false" outlineLevel="0" collapsed="false">
      <c r="A753" s="13" t="n">
        <v>43405</v>
      </c>
      <c r="B753" s="14" t="n">
        <v>1126.19</v>
      </c>
      <c r="C753" s="14" t="n">
        <v>8.41</v>
      </c>
      <c r="D753" s="14" t="n">
        <v>1.2974</v>
      </c>
      <c r="E753" s="14" t="n">
        <v>1.1396</v>
      </c>
      <c r="F753" s="14" t="n">
        <v>6.9205</v>
      </c>
      <c r="G753" s="14" t="n">
        <v>3.699</v>
      </c>
      <c r="H753" s="14" t="n">
        <v>112.79</v>
      </c>
      <c r="I753" s="14" t="n">
        <v>1.1393</v>
      </c>
      <c r="J753" s="14" t="n">
        <v>9.515</v>
      </c>
      <c r="K753" s="14" t="n">
        <v>1285.7</v>
      </c>
      <c r="L753" s="14" t="n">
        <v>0.88173</v>
      </c>
      <c r="M753" s="14" t="n">
        <v>7.9046</v>
      </c>
      <c r="N753" s="14" t="n">
        <v>4.2078</v>
      </c>
      <c r="O753" s="14" t="n">
        <v>128.52</v>
      </c>
      <c r="P753" s="14" t="n">
        <v>8.3516</v>
      </c>
    </row>
    <row r="754" customFormat="false" ht="15" hidden="false" customHeight="false" outlineLevel="0" collapsed="false">
      <c r="A754" s="13" t="n">
        <v>43406</v>
      </c>
      <c r="B754" s="14" t="n">
        <v>1117.72</v>
      </c>
      <c r="C754" s="14" t="n">
        <v>8.3721</v>
      </c>
      <c r="D754" s="14" t="n">
        <v>1.2965</v>
      </c>
      <c r="E754" s="14" t="n">
        <v>1.1378</v>
      </c>
      <c r="F754" s="14" t="n">
        <v>6.8894</v>
      </c>
      <c r="G754" s="14" t="n">
        <v>3.6965</v>
      </c>
      <c r="H754" s="14" t="n">
        <v>113.09</v>
      </c>
      <c r="I754" s="14" t="n">
        <v>1.1417</v>
      </c>
      <c r="J754" s="14" t="n">
        <v>9.5143</v>
      </c>
      <c r="K754" s="14" t="n">
        <v>1276.25</v>
      </c>
      <c r="L754" s="14" t="n">
        <v>0.8787</v>
      </c>
      <c r="M754" s="14" t="n">
        <v>7.8712</v>
      </c>
      <c r="N754" s="14" t="n">
        <v>4.2205</v>
      </c>
      <c r="O754" s="14" t="n">
        <v>128.89</v>
      </c>
      <c r="P754" s="14" t="n">
        <v>8.3335</v>
      </c>
    </row>
    <row r="755" customFormat="false" ht="15" hidden="false" customHeight="false" outlineLevel="0" collapsed="false">
      <c r="A755" s="13" t="n">
        <v>43409</v>
      </c>
      <c r="B755" s="14" t="n">
        <v>1122.13</v>
      </c>
      <c r="C755" s="14" t="n">
        <v>8.3566</v>
      </c>
      <c r="D755" s="14" t="n">
        <v>1.302</v>
      </c>
      <c r="E755" s="14" t="n">
        <v>1.1394</v>
      </c>
      <c r="F755" s="14" t="n">
        <v>6.9249</v>
      </c>
      <c r="G755" s="14" t="n">
        <v>3.7155</v>
      </c>
      <c r="H755" s="14" t="n">
        <v>113.22</v>
      </c>
      <c r="I755" s="14" t="n">
        <v>1.137</v>
      </c>
      <c r="J755" s="14" t="n">
        <v>9.524</v>
      </c>
      <c r="K755" s="14" t="n">
        <v>1278.67</v>
      </c>
      <c r="L755" s="14" t="n">
        <v>0.87535</v>
      </c>
      <c r="M755" s="14" t="n">
        <v>7.878</v>
      </c>
      <c r="N755" s="14" t="n">
        <v>4.2253</v>
      </c>
      <c r="O755" s="14" t="n">
        <v>128.81</v>
      </c>
      <c r="P755" s="14" t="n">
        <v>8.3764</v>
      </c>
    </row>
    <row r="756" customFormat="false" ht="15" hidden="false" customHeight="false" outlineLevel="0" collapsed="false">
      <c r="A756" s="13" t="n">
        <v>43410</v>
      </c>
      <c r="B756" s="14" t="n">
        <v>1121.31</v>
      </c>
      <c r="C756" s="14" t="n">
        <v>8.3781</v>
      </c>
      <c r="D756" s="14" t="n">
        <v>1.3076</v>
      </c>
      <c r="E756" s="14" t="n">
        <v>1.1412</v>
      </c>
      <c r="F756" s="14" t="n">
        <v>6.9172</v>
      </c>
      <c r="G756" s="14" t="n">
        <v>3.7509</v>
      </c>
      <c r="H756" s="14" t="n">
        <v>113.38</v>
      </c>
      <c r="I756" s="14" t="n">
        <v>1.1428</v>
      </c>
      <c r="J756" s="14" t="n">
        <v>9.5448</v>
      </c>
      <c r="K756" s="14" t="n">
        <v>1280.9</v>
      </c>
      <c r="L756" s="14" t="n">
        <v>0.87313</v>
      </c>
      <c r="M756" s="14" t="n">
        <v>7.9015</v>
      </c>
      <c r="N756" s="14" t="n">
        <v>4.2833</v>
      </c>
      <c r="O756" s="14" t="n">
        <v>129.31</v>
      </c>
      <c r="P756" s="14" t="n">
        <v>8.3521</v>
      </c>
    </row>
    <row r="757" customFormat="false" ht="15" hidden="false" customHeight="false" outlineLevel="0" collapsed="false">
      <c r="A757" s="13" t="n">
        <v>43411</v>
      </c>
      <c r="B757" s="14" t="n">
        <v>1117.52</v>
      </c>
      <c r="C757" s="14" t="n">
        <v>8.3273</v>
      </c>
      <c r="D757" s="14" t="n">
        <v>1.3144</v>
      </c>
      <c r="E757" s="14" t="n">
        <v>1.1459</v>
      </c>
      <c r="F757" s="14" t="n">
        <v>6.9174</v>
      </c>
      <c r="G757" s="14" t="n">
        <v>3.7595</v>
      </c>
      <c r="H757" s="14" t="n">
        <v>113.32</v>
      </c>
      <c r="I757" s="14" t="n">
        <v>1.1487</v>
      </c>
      <c r="J757" s="14" t="n">
        <v>9.5328</v>
      </c>
      <c r="K757" s="14" t="n">
        <v>1286.25</v>
      </c>
      <c r="L757" s="14" t="n">
        <v>0.87403</v>
      </c>
      <c r="M757" s="14" t="n">
        <v>7.9426</v>
      </c>
      <c r="N757" s="14" t="n">
        <v>4.3061</v>
      </c>
      <c r="O757" s="14" t="n">
        <v>130.02</v>
      </c>
      <c r="P757" s="14" t="n">
        <v>8.2988</v>
      </c>
    </row>
    <row r="758" customFormat="false" ht="15" hidden="false" customHeight="false" outlineLevel="0" collapsed="false">
      <c r="A758" s="13" t="n">
        <v>43412</v>
      </c>
      <c r="B758" s="14" t="n">
        <v>1118.99</v>
      </c>
      <c r="C758" s="14" t="n">
        <v>8.3432</v>
      </c>
      <c r="D758" s="14" t="n">
        <v>1.3116</v>
      </c>
      <c r="E758" s="14" t="n">
        <v>1.1416</v>
      </c>
      <c r="F758" s="14" t="n">
        <v>6.9318</v>
      </c>
      <c r="G758" s="14" t="n">
        <v>3.7563</v>
      </c>
      <c r="H758" s="14" t="n">
        <v>113.87</v>
      </c>
      <c r="I758" s="14" t="n">
        <v>1.1424</v>
      </c>
      <c r="J758" s="14" t="n">
        <v>9.5078</v>
      </c>
      <c r="K758" s="14" t="n">
        <v>1275.88</v>
      </c>
      <c r="L758" s="14" t="n">
        <v>0.87163</v>
      </c>
      <c r="M758" s="14" t="n">
        <v>7.9192</v>
      </c>
      <c r="N758" s="14" t="n">
        <v>4.2622</v>
      </c>
      <c r="O758" s="14" t="n">
        <v>129.9</v>
      </c>
      <c r="P758" s="14" t="n">
        <v>8.3227</v>
      </c>
    </row>
    <row r="759" customFormat="false" ht="15" hidden="false" customHeight="false" outlineLevel="0" collapsed="false">
      <c r="A759" s="13" t="n">
        <v>43413</v>
      </c>
      <c r="B759" s="14" t="n">
        <v>1131.4</v>
      </c>
      <c r="C759" s="14" t="n">
        <v>8.4385</v>
      </c>
      <c r="D759" s="14" t="n">
        <v>1.2978</v>
      </c>
      <c r="E759" s="14" t="n">
        <v>1.1325</v>
      </c>
      <c r="F759" s="14" t="n">
        <v>6.9553</v>
      </c>
      <c r="G759" s="14" t="n">
        <v>3.751</v>
      </c>
      <c r="H759" s="14" t="n">
        <v>113.77</v>
      </c>
      <c r="I759" s="14" t="n">
        <v>1.1346</v>
      </c>
      <c r="J759" s="14" t="n">
        <v>9.5418</v>
      </c>
      <c r="K759" s="14" t="n">
        <v>1278.77</v>
      </c>
      <c r="L759" s="14" t="n">
        <v>0.87053</v>
      </c>
      <c r="M759" s="14" t="n">
        <v>7.8852</v>
      </c>
      <c r="N759" s="14" t="n">
        <v>4.254</v>
      </c>
      <c r="O759" s="14" t="n">
        <v>129.26</v>
      </c>
      <c r="P759" s="14" t="n">
        <v>8.4098</v>
      </c>
    </row>
    <row r="760" customFormat="false" ht="15" hidden="false" customHeight="false" outlineLevel="0" collapsed="false">
      <c r="A760" s="13" t="n">
        <v>43416</v>
      </c>
      <c r="I760" s="14" t="n">
        <v>1.1265</v>
      </c>
      <c r="J760" s="14" t="n">
        <v>9.5378</v>
      </c>
      <c r="K760" s="14" t="n">
        <v>1280.12</v>
      </c>
      <c r="L760" s="14" t="n">
        <v>0.87563</v>
      </c>
      <c r="M760" s="14" t="n">
        <v>7.8447</v>
      </c>
      <c r="N760" s="14" t="n">
        <v>4.2217</v>
      </c>
      <c r="O760" s="14" t="n">
        <v>128.2</v>
      </c>
      <c r="P760" s="14" t="n">
        <v>8.4668</v>
      </c>
    </row>
    <row r="761" customFormat="false" ht="15" hidden="false" customHeight="false" outlineLevel="0" collapsed="false">
      <c r="A761" s="13" t="n">
        <v>43417</v>
      </c>
      <c r="B761" s="14" t="n">
        <v>1132.29</v>
      </c>
      <c r="C761" s="14" t="n">
        <v>8.4736</v>
      </c>
      <c r="D761" s="14" t="n">
        <v>1.3031</v>
      </c>
      <c r="E761" s="14" t="n">
        <v>1.1288</v>
      </c>
      <c r="F761" s="14" t="n">
        <v>6.9546</v>
      </c>
      <c r="G761" s="14" t="n">
        <v>3.7983</v>
      </c>
      <c r="H761" s="14" t="n">
        <v>113.97</v>
      </c>
      <c r="I761" s="14" t="n">
        <v>1.1261</v>
      </c>
      <c r="J761" s="14" t="n">
        <v>9.5563</v>
      </c>
      <c r="K761" s="14" t="n">
        <v>1277.21</v>
      </c>
      <c r="L761" s="14" t="n">
        <v>0.86945</v>
      </c>
      <c r="M761" s="14" t="n">
        <v>7.8354</v>
      </c>
      <c r="N761" s="14" t="n">
        <v>4.2479</v>
      </c>
      <c r="O761" s="14" t="n">
        <v>128.32</v>
      </c>
      <c r="P761" s="14" t="n">
        <v>8.4862</v>
      </c>
    </row>
    <row r="762" customFormat="false" ht="15" hidden="false" customHeight="false" outlineLevel="0" collapsed="false">
      <c r="A762" s="13" t="n">
        <v>43418</v>
      </c>
      <c r="B762" s="14" t="n">
        <v>1132.1</v>
      </c>
      <c r="C762" s="14" t="n">
        <v>8.5</v>
      </c>
      <c r="D762" s="14" t="n">
        <v>1.3011</v>
      </c>
      <c r="E762" s="14" t="n">
        <v>1.1312</v>
      </c>
      <c r="F762" s="14" t="n">
        <v>6.95</v>
      </c>
      <c r="G762" s="14" t="n">
        <v>3.7831</v>
      </c>
      <c r="H762" s="14" t="n">
        <v>113.7</v>
      </c>
      <c r="I762" s="14" t="n">
        <v>1.1296</v>
      </c>
      <c r="J762" s="14" t="n">
        <v>9.599</v>
      </c>
      <c r="K762" s="14" t="n">
        <v>1278.88</v>
      </c>
      <c r="L762" s="14" t="n">
        <v>0.87048</v>
      </c>
      <c r="M762" s="14" t="n">
        <v>7.8543</v>
      </c>
      <c r="N762" s="14" t="n">
        <v>4.2901</v>
      </c>
      <c r="O762" s="14" t="n">
        <v>128.64</v>
      </c>
      <c r="P762" s="14" t="n">
        <v>8.4977</v>
      </c>
    </row>
    <row r="763" customFormat="false" ht="15" hidden="false" customHeight="false" outlineLevel="0" collapsed="false">
      <c r="A763" s="13" t="n">
        <v>43419</v>
      </c>
      <c r="B763" s="14" t="n">
        <v>1127.2</v>
      </c>
      <c r="C763" s="14" t="n">
        <v>8.4767</v>
      </c>
      <c r="D763" s="14" t="n">
        <v>1.2749</v>
      </c>
      <c r="E763" s="14" t="n">
        <v>1.1324</v>
      </c>
      <c r="F763" s="14" t="n">
        <v>6.938</v>
      </c>
      <c r="G763" s="14" t="n">
        <v>3.784</v>
      </c>
      <c r="H763" s="14" t="n">
        <v>113.46</v>
      </c>
      <c r="I763" s="14" t="n">
        <v>1.1305</v>
      </c>
      <c r="J763" s="14" t="n">
        <v>9.6028</v>
      </c>
      <c r="K763" s="14" t="n">
        <v>1277.99</v>
      </c>
      <c r="L763" s="14" t="n">
        <v>0.8837</v>
      </c>
      <c r="M763" s="14" t="n">
        <v>7.8448</v>
      </c>
      <c r="N763" s="14" t="n">
        <v>4.2772</v>
      </c>
      <c r="O763" s="14" t="n">
        <v>128.16</v>
      </c>
      <c r="P763" s="14" t="n">
        <v>8.4943</v>
      </c>
    </row>
    <row r="764" customFormat="false" ht="15" hidden="false" customHeight="false" outlineLevel="0" collapsed="false">
      <c r="A764" s="13" t="n">
        <v>43420</v>
      </c>
      <c r="B764" s="14" t="n">
        <v>1124.81</v>
      </c>
      <c r="C764" s="14" t="n">
        <v>8.4435</v>
      </c>
      <c r="D764" s="14" t="n">
        <v>1.2839</v>
      </c>
      <c r="E764" s="14" t="n">
        <v>1.1402</v>
      </c>
      <c r="F764" s="14" t="n">
        <v>6.9367</v>
      </c>
      <c r="G764" s="14" t="n">
        <v>3.7424</v>
      </c>
      <c r="H764" s="14" t="n">
        <v>112.76</v>
      </c>
      <c r="I764" s="14" t="n">
        <v>1.1346</v>
      </c>
      <c r="J764" s="14" t="n">
        <v>9.6118</v>
      </c>
      <c r="K764" s="14" t="n">
        <v>1283.8</v>
      </c>
      <c r="L764" s="14" t="n">
        <v>0.8835</v>
      </c>
      <c r="M764" s="14" t="n">
        <v>7.8859</v>
      </c>
      <c r="N764" s="14" t="n">
        <v>4.2666</v>
      </c>
      <c r="O764" s="14" t="n">
        <v>128.37</v>
      </c>
      <c r="P764" s="14" t="n">
        <v>8.4715</v>
      </c>
    </row>
    <row r="765" customFormat="false" ht="15" hidden="false" customHeight="false" outlineLevel="0" collapsed="false">
      <c r="A765" s="13" t="n">
        <v>43423</v>
      </c>
      <c r="B765" s="14" t="n">
        <v>1126.08</v>
      </c>
      <c r="C765" s="14" t="n">
        <v>8.4767</v>
      </c>
      <c r="D765" s="14" t="n">
        <v>1.2842</v>
      </c>
      <c r="E765" s="14" t="n">
        <v>1.1448</v>
      </c>
      <c r="F765" s="14" t="n">
        <v>6.9398</v>
      </c>
      <c r="G765" s="14" t="n">
        <v>3.7671</v>
      </c>
      <c r="H765" s="14" t="n">
        <v>112.54</v>
      </c>
      <c r="I765" s="14" t="n">
        <v>1.1427</v>
      </c>
      <c r="J765" s="14" t="n">
        <v>9.6493</v>
      </c>
      <c r="K765" s="14" t="n">
        <v>1287.63</v>
      </c>
      <c r="L765" s="14" t="n">
        <v>0.89083</v>
      </c>
      <c r="M765" s="14" t="n">
        <v>7.9349</v>
      </c>
      <c r="N765" s="14" t="n">
        <v>4.2907</v>
      </c>
      <c r="O765" s="14" t="n">
        <v>128.89</v>
      </c>
      <c r="P765" s="14" t="n">
        <v>8.4443</v>
      </c>
    </row>
    <row r="766" customFormat="false" ht="15" hidden="false" customHeight="false" outlineLevel="0" collapsed="false">
      <c r="A766" s="13" t="n">
        <v>43424</v>
      </c>
      <c r="B766" s="14" t="n">
        <v>1128.53</v>
      </c>
      <c r="C766" s="14" t="n">
        <v>8.5529</v>
      </c>
      <c r="D766" s="14" t="n">
        <v>1.2809</v>
      </c>
      <c r="E766" s="14" t="n">
        <v>1.1391</v>
      </c>
      <c r="F766" s="14" t="n">
        <v>6.9448</v>
      </c>
      <c r="G766" s="14" t="n">
        <v>3.7567</v>
      </c>
      <c r="H766" s="14" t="n">
        <v>112.66</v>
      </c>
      <c r="I766" s="14" t="n">
        <v>1.1421</v>
      </c>
      <c r="J766" s="14" t="n">
        <v>9.7135</v>
      </c>
      <c r="K766" s="14" t="n">
        <v>1287.96</v>
      </c>
      <c r="L766" s="14" t="n">
        <v>0.88908</v>
      </c>
      <c r="M766" s="14" t="n">
        <v>7.9299</v>
      </c>
      <c r="N766" s="14" t="n">
        <v>4.2919</v>
      </c>
      <c r="O766" s="14" t="n">
        <v>128.34</v>
      </c>
      <c r="P766" s="14" t="n">
        <v>8.5049</v>
      </c>
    </row>
    <row r="767" customFormat="false" ht="15" hidden="false" customHeight="false" outlineLevel="0" collapsed="false">
      <c r="A767" s="13" t="n">
        <v>43425</v>
      </c>
      <c r="B767" s="14" t="n">
        <v>1127.3</v>
      </c>
      <c r="C767" s="14" t="n">
        <v>8.5197</v>
      </c>
      <c r="D767" s="14" t="n">
        <v>1.2776</v>
      </c>
      <c r="E767" s="14" t="n">
        <v>1.1393</v>
      </c>
      <c r="F767" s="14" t="n">
        <v>6.9248</v>
      </c>
      <c r="G767" s="14" t="n">
        <v>3.779</v>
      </c>
      <c r="H767" s="14" t="n">
        <v>113.06</v>
      </c>
      <c r="I767" s="14" t="n">
        <v>1.1409</v>
      </c>
      <c r="J767" s="14" t="n">
        <v>9.729</v>
      </c>
      <c r="K767" s="14" t="n">
        <v>1287.06</v>
      </c>
      <c r="L767" s="14" t="n">
        <v>0.89108</v>
      </c>
      <c r="M767" s="14" t="n">
        <v>7.9121</v>
      </c>
      <c r="N767" s="14" t="n">
        <v>4.3262</v>
      </c>
      <c r="O767" s="14" t="n">
        <v>129.04</v>
      </c>
      <c r="P767" s="14" t="n">
        <v>8.5275</v>
      </c>
    </row>
    <row r="768" customFormat="false" ht="15" hidden="false" customHeight="false" outlineLevel="0" collapsed="false">
      <c r="A768" s="13" t="n">
        <v>43426</v>
      </c>
      <c r="I768" s="14" t="n">
        <v>1.1403</v>
      </c>
      <c r="J768" s="14" t="n">
        <v>9.7398</v>
      </c>
      <c r="K768" s="14" t="n">
        <v>1287.51</v>
      </c>
      <c r="L768" s="14" t="n">
        <v>0.88598</v>
      </c>
      <c r="M768" s="14" t="n">
        <v>7.9052</v>
      </c>
      <c r="N768" s="14" t="n">
        <v>4.3368</v>
      </c>
      <c r="O768" s="14" t="n">
        <v>128.8</v>
      </c>
      <c r="P768" s="14" t="n">
        <v>8.5414</v>
      </c>
    </row>
    <row r="769" customFormat="false" ht="15" hidden="false" customHeight="false" outlineLevel="0" collapsed="false">
      <c r="A769" s="13" t="n">
        <v>43427</v>
      </c>
      <c r="B769" s="14" t="n">
        <v>1130.9</v>
      </c>
      <c r="C769" s="14" t="n">
        <v>8.5994</v>
      </c>
      <c r="D769" s="14" t="n">
        <v>1.2804</v>
      </c>
      <c r="E769" s="14" t="n">
        <v>1.1332</v>
      </c>
      <c r="F769" s="14" t="n">
        <v>6.9477</v>
      </c>
      <c r="G769" s="14" t="n">
        <v>3.8205</v>
      </c>
      <c r="H769" s="14" t="n">
        <v>112.83</v>
      </c>
      <c r="I769" s="14" t="n">
        <v>1.1352</v>
      </c>
      <c r="J769" s="14" t="n">
        <v>9.7365</v>
      </c>
      <c r="K769" s="14" t="n">
        <v>1285.15</v>
      </c>
      <c r="L769" s="14" t="n">
        <v>0.8848</v>
      </c>
      <c r="M769" s="14" t="n">
        <v>7.8866</v>
      </c>
      <c r="N769" s="14" t="n">
        <v>4.3205</v>
      </c>
      <c r="O769" s="14" t="n">
        <v>128.07</v>
      </c>
      <c r="P769" s="14" t="n">
        <v>8.5769</v>
      </c>
    </row>
    <row r="770" customFormat="false" ht="15" hidden="false" customHeight="false" outlineLevel="0" collapsed="false">
      <c r="A770" s="13" t="n">
        <v>43430</v>
      </c>
      <c r="B770" s="14" t="n">
        <v>1126.69</v>
      </c>
      <c r="C770" s="14" t="n">
        <v>8.5864</v>
      </c>
      <c r="D770" s="14" t="n">
        <v>1.2809</v>
      </c>
      <c r="E770" s="14" t="n">
        <v>1.1336</v>
      </c>
      <c r="F770" s="14" t="n">
        <v>6.9397</v>
      </c>
      <c r="G770" s="14" t="n">
        <v>3.879</v>
      </c>
      <c r="H770" s="14" t="n">
        <v>113.58</v>
      </c>
      <c r="I770" s="14" t="n">
        <v>1.1363</v>
      </c>
      <c r="J770" s="14" t="n">
        <v>9.729</v>
      </c>
      <c r="K770" s="14" t="n">
        <v>1281.86</v>
      </c>
      <c r="L770" s="14" t="n">
        <v>0.8844</v>
      </c>
      <c r="M770" s="14" t="n">
        <v>7.8869</v>
      </c>
      <c r="N770" s="14" t="n">
        <v>4.3808</v>
      </c>
      <c r="O770" s="14" t="n">
        <v>128.7</v>
      </c>
      <c r="P770" s="14" t="n">
        <v>8.562</v>
      </c>
    </row>
    <row r="771" customFormat="false" ht="15" hidden="false" customHeight="false" outlineLevel="0" collapsed="false">
      <c r="A771" s="13" t="n">
        <v>43431</v>
      </c>
      <c r="B771" s="14" t="n">
        <v>1129.41</v>
      </c>
      <c r="C771" s="14" t="n">
        <v>8.6199</v>
      </c>
      <c r="D771" s="14" t="n">
        <v>1.2729</v>
      </c>
      <c r="E771" s="14" t="n">
        <v>1.1281</v>
      </c>
      <c r="F771" s="14" t="n">
        <v>6.9498</v>
      </c>
      <c r="G771" s="14" t="n">
        <v>3.8919</v>
      </c>
      <c r="H771" s="14" t="n">
        <v>113.84</v>
      </c>
      <c r="I771" s="14" t="n">
        <v>1.1328</v>
      </c>
      <c r="J771" s="14" t="n">
        <v>9.7325</v>
      </c>
      <c r="K771" s="14" t="n">
        <v>1279.17</v>
      </c>
      <c r="L771" s="14" t="n">
        <v>0.88748</v>
      </c>
      <c r="M771" s="14" t="n">
        <v>7.8708</v>
      </c>
      <c r="N771" s="14" t="n">
        <v>4.4011</v>
      </c>
      <c r="O771" s="14" t="n">
        <v>128.66</v>
      </c>
      <c r="P771" s="14" t="n">
        <v>8.5915</v>
      </c>
    </row>
    <row r="772" customFormat="false" ht="15" hidden="false" customHeight="false" outlineLevel="0" collapsed="false">
      <c r="A772" s="13" t="n">
        <v>43432</v>
      </c>
      <c r="B772" s="14" t="n">
        <v>1127.81</v>
      </c>
      <c r="C772" s="14" t="n">
        <v>8.5994</v>
      </c>
      <c r="D772" s="14" t="n">
        <v>1.2766</v>
      </c>
      <c r="E772" s="14" t="n">
        <v>1.1286</v>
      </c>
      <c r="F772" s="14" t="n">
        <v>6.9534</v>
      </c>
      <c r="G772" s="14" t="n">
        <v>3.8766</v>
      </c>
      <c r="H772" s="14" t="n">
        <v>113.96</v>
      </c>
      <c r="I772" s="14" t="n">
        <v>1.1284</v>
      </c>
      <c r="J772" s="14" t="n">
        <v>9.7085</v>
      </c>
      <c r="K772" s="14" t="n">
        <v>1273.13</v>
      </c>
      <c r="L772" s="14" t="n">
        <v>0.88245</v>
      </c>
      <c r="M772" s="14" t="n">
        <v>7.8464</v>
      </c>
      <c r="N772" s="14" t="n">
        <v>4.3579</v>
      </c>
      <c r="O772" s="14" t="n">
        <v>128.47</v>
      </c>
      <c r="P772" s="14" t="n">
        <v>8.6038</v>
      </c>
    </row>
    <row r="773" customFormat="false" ht="15" hidden="false" customHeight="false" outlineLevel="0" collapsed="false">
      <c r="A773" s="13" t="n">
        <v>43433</v>
      </c>
      <c r="B773" s="14" t="n">
        <v>1119.91</v>
      </c>
      <c r="C773" s="14" t="n">
        <v>8.5325</v>
      </c>
      <c r="D773" s="14" t="n">
        <v>1.2789</v>
      </c>
      <c r="E773" s="14" t="n">
        <v>1.1382</v>
      </c>
      <c r="F773" s="14" t="n">
        <v>6.9419</v>
      </c>
      <c r="G773" s="14" t="n">
        <v>3.8546</v>
      </c>
      <c r="H773" s="14" t="n">
        <v>113.42</v>
      </c>
      <c r="I773" s="14" t="n">
        <v>1.1387</v>
      </c>
      <c r="J773" s="14" t="n">
        <v>9.7318</v>
      </c>
      <c r="K773" s="14" t="n">
        <v>1275.57</v>
      </c>
      <c r="L773" s="14" t="n">
        <v>0.89135</v>
      </c>
      <c r="M773" s="14" t="n">
        <v>7.9063</v>
      </c>
      <c r="N773" s="14" t="n">
        <v>4.3867</v>
      </c>
      <c r="O773" s="14" t="n">
        <v>128.99</v>
      </c>
      <c r="P773" s="14" t="n">
        <v>8.5464</v>
      </c>
    </row>
    <row r="774" customFormat="false" ht="15" hidden="false" customHeight="false" outlineLevel="0" collapsed="false">
      <c r="A774" s="13" t="n">
        <v>43434</v>
      </c>
      <c r="B774" s="14" t="n">
        <v>1118.61</v>
      </c>
      <c r="C774" s="14" t="n">
        <v>8.5872</v>
      </c>
      <c r="D774" s="14" t="n">
        <v>1.2772</v>
      </c>
      <c r="E774" s="14" t="n">
        <v>1.1323</v>
      </c>
      <c r="F774" s="14" t="n">
        <v>6.9558</v>
      </c>
      <c r="G774" s="14" t="n">
        <v>3.8571</v>
      </c>
      <c r="H774" s="14" t="n">
        <v>113.54</v>
      </c>
      <c r="I774" s="14" t="n">
        <v>1.1359</v>
      </c>
      <c r="J774" s="14" t="n">
        <v>9.74</v>
      </c>
      <c r="K774" s="14" t="n">
        <v>1274.04</v>
      </c>
      <c r="L774" s="14" t="n">
        <v>0.89068</v>
      </c>
      <c r="M774" s="14" t="n">
        <v>7.8897</v>
      </c>
      <c r="N774" s="14" t="n">
        <v>4.3843</v>
      </c>
      <c r="O774" s="14" t="n">
        <v>128.99</v>
      </c>
      <c r="P774" s="14" t="n">
        <v>8.5747</v>
      </c>
    </row>
    <row r="775" customFormat="false" ht="15" hidden="false" customHeight="false" outlineLevel="0" collapsed="false">
      <c r="A775" s="13" t="n">
        <v>43437</v>
      </c>
      <c r="B775" s="14" t="n">
        <v>1110.2</v>
      </c>
      <c r="C775" s="14" t="n">
        <v>8.5345</v>
      </c>
      <c r="D775" s="14" t="n">
        <v>1.2742</v>
      </c>
      <c r="E775" s="14" t="n">
        <v>1.1356</v>
      </c>
      <c r="F775" s="14" t="n">
        <v>6.8798</v>
      </c>
      <c r="G775" s="14" t="n">
        <v>3.8353</v>
      </c>
      <c r="H775" s="14" t="n">
        <v>113.54</v>
      </c>
      <c r="I775" s="14" t="n">
        <v>1.1332</v>
      </c>
      <c r="J775" s="14" t="n">
        <v>9.6893</v>
      </c>
      <c r="K775" s="14" t="n">
        <v>1260.44</v>
      </c>
      <c r="L775" s="14" t="n">
        <v>0.8915</v>
      </c>
      <c r="M775" s="14" t="n">
        <v>7.8074</v>
      </c>
      <c r="N775" s="14" t="n">
        <v>4.3367</v>
      </c>
      <c r="O775" s="14" t="n">
        <v>128.7</v>
      </c>
      <c r="P775" s="14" t="n">
        <v>8.5504</v>
      </c>
    </row>
    <row r="776" customFormat="false" ht="15" hidden="false" customHeight="false" outlineLevel="0" collapsed="false">
      <c r="A776" s="13" t="n">
        <v>43438</v>
      </c>
      <c r="B776" s="14" t="n">
        <v>1108.82</v>
      </c>
      <c r="C776" s="14" t="n">
        <v>8.4941</v>
      </c>
      <c r="D776" s="14" t="n">
        <v>1.2719</v>
      </c>
      <c r="E776" s="14" t="n">
        <v>1.1345</v>
      </c>
      <c r="F776" s="14" t="n">
        <v>6.8343</v>
      </c>
      <c r="G776" s="14" t="n">
        <v>3.8368</v>
      </c>
      <c r="H776" s="14" t="n">
        <v>112.93</v>
      </c>
      <c r="I776" s="14" t="n">
        <v>1.1409</v>
      </c>
      <c r="J776" s="14" t="n">
        <v>9.6473</v>
      </c>
      <c r="K776" s="14" t="n">
        <v>1261.04</v>
      </c>
      <c r="L776" s="14" t="n">
        <v>0.89058</v>
      </c>
      <c r="M776" s="14" t="n">
        <v>7.7986</v>
      </c>
      <c r="N776" s="14" t="n">
        <v>4.3642</v>
      </c>
      <c r="O776" s="14" t="n">
        <v>128.68</v>
      </c>
      <c r="P776" s="14" t="n">
        <v>8.4559</v>
      </c>
    </row>
    <row r="777" customFormat="false" ht="15" hidden="false" customHeight="false" outlineLevel="0" collapsed="false">
      <c r="A777" s="13" t="n">
        <v>43439</v>
      </c>
      <c r="I777" s="14" t="n">
        <v>1.1354</v>
      </c>
      <c r="J777" s="14" t="n">
        <v>9.648</v>
      </c>
      <c r="K777" s="14" t="n">
        <v>1264.39</v>
      </c>
      <c r="L777" s="14" t="n">
        <v>0.88885</v>
      </c>
      <c r="M777" s="14" t="n">
        <v>7.7848</v>
      </c>
      <c r="N777" s="14" t="n">
        <v>4.3692</v>
      </c>
      <c r="O777" s="14" t="n">
        <v>128.31</v>
      </c>
      <c r="P777" s="14" t="n">
        <v>8.4974</v>
      </c>
    </row>
    <row r="778" customFormat="false" ht="15" hidden="false" customHeight="false" outlineLevel="0" collapsed="false">
      <c r="A778" s="13" t="n">
        <v>43440</v>
      </c>
      <c r="B778" s="14" t="n">
        <v>1122.07</v>
      </c>
      <c r="C778" s="14" t="n">
        <v>8.5323</v>
      </c>
      <c r="D778" s="14" t="n">
        <v>1.2777</v>
      </c>
      <c r="E778" s="14" t="n">
        <v>1.1374</v>
      </c>
      <c r="F778" s="14" t="n">
        <v>6.8816</v>
      </c>
      <c r="G778" s="14" t="n">
        <v>3.9027</v>
      </c>
      <c r="H778" s="14" t="n">
        <v>112.46</v>
      </c>
      <c r="I778" s="14" t="n">
        <v>1.1351</v>
      </c>
      <c r="J778" s="14" t="n">
        <v>9.7028</v>
      </c>
      <c r="K778" s="14" t="n">
        <v>1273.03</v>
      </c>
      <c r="L778" s="14" t="n">
        <v>0.8893</v>
      </c>
      <c r="M778" s="14" t="n">
        <v>7.8239</v>
      </c>
      <c r="N778" s="14" t="n">
        <v>4.437</v>
      </c>
      <c r="O778" s="14" t="n">
        <v>128.04</v>
      </c>
      <c r="P778" s="14" t="n">
        <v>8.548</v>
      </c>
    </row>
    <row r="779" customFormat="false" ht="15" hidden="false" customHeight="false" outlineLevel="0" collapsed="false">
      <c r="A779" s="13" t="n">
        <v>43441</v>
      </c>
      <c r="B779" s="14" t="n">
        <v>1121.8</v>
      </c>
      <c r="C779" s="14" t="n">
        <v>8.4844</v>
      </c>
      <c r="D779" s="14" t="n">
        <v>1.2749</v>
      </c>
      <c r="E779" s="14" t="n">
        <v>1.139</v>
      </c>
      <c r="F779" s="14" t="n">
        <v>6.8733</v>
      </c>
      <c r="G779" s="14" t="n">
        <v>3.8768</v>
      </c>
      <c r="H779" s="14" t="n">
        <v>112.6</v>
      </c>
      <c r="I779" s="14" t="n">
        <v>1.1371</v>
      </c>
      <c r="J779" s="14" t="n">
        <v>9.697</v>
      </c>
      <c r="K779" s="14" t="n">
        <v>1278.67</v>
      </c>
      <c r="L779" s="14" t="n">
        <v>0.89085</v>
      </c>
      <c r="M779" s="14" t="n">
        <v>7.8244</v>
      </c>
      <c r="N779" s="14" t="n">
        <v>4.4358</v>
      </c>
      <c r="O779" s="14" t="n">
        <v>128.36</v>
      </c>
      <c r="P779" s="14" t="n">
        <v>8.5278</v>
      </c>
    </row>
    <row r="780" customFormat="false" ht="15" hidden="false" customHeight="false" outlineLevel="0" collapsed="false">
      <c r="A780" s="13" t="n">
        <v>43444</v>
      </c>
      <c r="B780" s="14" t="n">
        <v>1128.3</v>
      </c>
      <c r="C780" s="14" t="n">
        <v>8.5442</v>
      </c>
      <c r="D780" s="14" t="n">
        <v>1.2558</v>
      </c>
      <c r="E780" s="14" t="n">
        <v>1.1368</v>
      </c>
      <c r="F780" s="14" t="n">
        <v>6.9077</v>
      </c>
      <c r="G780" s="14" t="n">
        <v>3.9298</v>
      </c>
      <c r="H780" s="14" t="n">
        <v>112.96</v>
      </c>
      <c r="I780" s="14" t="n">
        <v>1.1425</v>
      </c>
      <c r="J780" s="14" t="n">
        <v>9.6885</v>
      </c>
      <c r="K780" s="14" t="n">
        <v>1287.42</v>
      </c>
      <c r="L780" s="14" t="n">
        <v>0.90245</v>
      </c>
      <c r="M780" s="14" t="n">
        <v>7.8967</v>
      </c>
      <c r="N780" s="14" t="n">
        <v>4.4524</v>
      </c>
      <c r="O780" s="14" t="n">
        <v>128.79</v>
      </c>
      <c r="P780" s="14" t="n">
        <v>8.4801</v>
      </c>
    </row>
    <row r="781" customFormat="false" ht="15" hidden="false" customHeight="false" outlineLevel="0" collapsed="false">
      <c r="A781" s="13" t="n">
        <v>43445</v>
      </c>
      <c r="B781" s="14" t="n">
        <v>1128.6</v>
      </c>
      <c r="C781" s="14" t="n">
        <v>8.5471</v>
      </c>
      <c r="D781" s="14" t="n">
        <v>1.2524</v>
      </c>
      <c r="E781" s="14" t="n">
        <v>1.1314</v>
      </c>
      <c r="F781" s="14" t="n">
        <v>6.8968</v>
      </c>
      <c r="G781" s="14" t="n">
        <v>3.9165</v>
      </c>
      <c r="H781" s="14" t="n">
        <v>113.41</v>
      </c>
      <c r="I781" s="14" t="n">
        <v>1.1379</v>
      </c>
      <c r="J781" s="14" t="n">
        <v>9.7038</v>
      </c>
      <c r="K781" s="14" t="n">
        <v>1284.17</v>
      </c>
      <c r="L781" s="14" t="n">
        <v>0.90228</v>
      </c>
      <c r="M781" s="14" t="n">
        <v>7.8498</v>
      </c>
      <c r="N781" s="14" t="n">
        <v>4.4417</v>
      </c>
      <c r="O781" s="14" t="n">
        <v>128.75</v>
      </c>
      <c r="P781" s="14" t="n">
        <v>8.5278</v>
      </c>
    </row>
    <row r="782" customFormat="false" ht="15" hidden="false" customHeight="false" outlineLevel="0" collapsed="false">
      <c r="A782" s="13" t="n">
        <v>43446</v>
      </c>
      <c r="B782" s="14" t="n">
        <v>1124.51</v>
      </c>
      <c r="C782" s="14" t="n">
        <v>8.5649</v>
      </c>
      <c r="D782" s="14" t="n">
        <v>1.2658</v>
      </c>
      <c r="E782" s="14" t="n">
        <v>1.1362</v>
      </c>
      <c r="F782" s="14" t="n">
        <v>6.8778</v>
      </c>
      <c r="G782" s="14" t="n">
        <v>3.849</v>
      </c>
      <c r="H782" s="14" t="n">
        <v>113.28</v>
      </c>
      <c r="I782" s="14" t="n">
        <v>1.1346</v>
      </c>
      <c r="J782" s="14" t="n">
        <v>9.7265</v>
      </c>
      <c r="K782" s="14" t="n">
        <v>1280.62</v>
      </c>
      <c r="L782" s="14" t="n">
        <v>0.90135</v>
      </c>
      <c r="M782" s="14" t="n">
        <v>7.8155</v>
      </c>
      <c r="N782" s="14" t="n">
        <v>4.3881</v>
      </c>
      <c r="O782" s="14" t="n">
        <v>128.67</v>
      </c>
      <c r="P782" s="14" t="n">
        <v>8.5726</v>
      </c>
    </row>
    <row r="783" customFormat="false" ht="15" hidden="false" customHeight="false" outlineLevel="0" collapsed="false">
      <c r="A783" s="13" t="n">
        <v>43447</v>
      </c>
      <c r="B783" s="14" t="n">
        <v>1124.73</v>
      </c>
      <c r="C783" s="14" t="n">
        <v>8.5648</v>
      </c>
      <c r="D783" s="14" t="n">
        <v>1.2635</v>
      </c>
      <c r="E783" s="14" t="n">
        <v>1.1358</v>
      </c>
      <c r="F783" s="14" t="n">
        <v>6.8798</v>
      </c>
      <c r="G783" s="14" t="n">
        <v>3.8856</v>
      </c>
      <c r="H783" s="14" t="n">
        <v>113.66</v>
      </c>
      <c r="I783" s="14" t="n">
        <v>1.1371</v>
      </c>
      <c r="J783" s="14" t="n">
        <v>9.7388</v>
      </c>
      <c r="K783" s="14" t="n">
        <v>1278.56</v>
      </c>
      <c r="L783" s="14" t="n">
        <v>0.89848</v>
      </c>
      <c r="M783" s="14" t="n">
        <v>7.8246</v>
      </c>
      <c r="N783" s="14" t="n">
        <v>4.4083</v>
      </c>
      <c r="O783" s="14" t="n">
        <v>129.06</v>
      </c>
      <c r="P783" s="14" t="n">
        <v>8.5646</v>
      </c>
    </row>
    <row r="784" customFormat="false" ht="15" hidden="false" customHeight="false" outlineLevel="0" collapsed="false">
      <c r="A784" s="13" t="n">
        <v>43448</v>
      </c>
      <c r="B784" s="14" t="n">
        <v>1133.2</v>
      </c>
      <c r="C784" s="14" t="n">
        <v>8.6256</v>
      </c>
      <c r="D784" s="14" t="n">
        <v>1.257</v>
      </c>
      <c r="E784" s="14" t="n">
        <v>1.13</v>
      </c>
      <c r="F784" s="14" t="n">
        <v>6.905</v>
      </c>
      <c r="G784" s="14" t="n">
        <v>3.897</v>
      </c>
      <c r="H784" s="14" t="n">
        <v>113.35</v>
      </c>
      <c r="I784" s="14" t="n">
        <v>1.1285</v>
      </c>
      <c r="J784" s="14" t="n">
        <v>9.7235</v>
      </c>
      <c r="K784" s="14" t="n">
        <v>1280.17</v>
      </c>
      <c r="L784" s="14" t="n">
        <v>0.89835</v>
      </c>
      <c r="M784" s="14" t="n">
        <v>7.788</v>
      </c>
      <c r="N784" s="14" t="n">
        <v>4.4129</v>
      </c>
      <c r="O784" s="14" t="n">
        <v>128.13</v>
      </c>
      <c r="P784" s="14" t="n">
        <v>8.6163</v>
      </c>
    </row>
    <row r="785" customFormat="false" ht="15" hidden="false" customHeight="false" outlineLevel="0" collapsed="false">
      <c r="A785" s="13" t="n">
        <v>43451</v>
      </c>
      <c r="B785" s="14" t="n">
        <v>1130.17</v>
      </c>
      <c r="C785" s="14" t="n">
        <v>8.6279</v>
      </c>
      <c r="D785" s="14" t="n">
        <v>1.2606</v>
      </c>
      <c r="E785" s="14" t="n">
        <v>1.1339</v>
      </c>
      <c r="F785" s="14" t="n">
        <v>6.8962</v>
      </c>
      <c r="G785" s="14" t="n">
        <v>3.8922</v>
      </c>
      <c r="H785" s="14" t="n">
        <v>112.96</v>
      </c>
      <c r="I785" s="14" t="n">
        <v>1.1341</v>
      </c>
      <c r="J785" s="14" t="n">
        <v>9.7838</v>
      </c>
      <c r="K785" s="14" t="n">
        <v>1282.21</v>
      </c>
      <c r="L785" s="14" t="n">
        <v>0.8989</v>
      </c>
      <c r="M785" s="14" t="n">
        <v>7.8222</v>
      </c>
      <c r="N785" s="14" t="n">
        <v>4.4355</v>
      </c>
      <c r="O785" s="14" t="n">
        <v>128.44</v>
      </c>
      <c r="P785" s="14" t="n">
        <v>8.6269</v>
      </c>
    </row>
    <row r="786" customFormat="false" ht="15" hidden="false" customHeight="false" outlineLevel="0" collapsed="false">
      <c r="A786" s="13" t="n">
        <v>43452</v>
      </c>
      <c r="B786" s="14" t="n">
        <v>1127.76</v>
      </c>
      <c r="C786" s="14" t="n">
        <v>8.7208</v>
      </c>
      <c r="D786" s="14" t="n">
        <v>1.2644</v>
      </c>
      <c r="E786" s="14" t="n">
        <v>1.1364</v>
      </c>
      <c r="F786" s="14" t="n">
        <v>6.8939</v>
      </c>
      <c r="G786" s="14" t="n">
        <v>3.9072</v>
      </c>
      <c r="H786" s="14" t="n">
        <v>112.54</v>
      </c>
      <c r="I786" s="14" t="n">
        <v>1.1377</v>
      </c>
      <c r="J786" s="14" t="n">
        <v>9.8835</v>
      </c>
      <c r="K786" s="14" t="n">
        <v>1284.35</v>
      </c>
      <c r="L786" s="14" t="n">
        <v>0.89715</v>
      </c>
      <c r="M786" s="14" t="n">
        <v>7.8455</v>
      </c>
      <c r="N786" s="14" t="n">
        <v>4.4366</v>
      </c>
      <c r="O786" s="14" t="n">
        <v>127.86</v>
      </c>
      <c r="P786" s="14" t="n">
        <v>8.6873</v>
      </c>
    </row>
    <row r="787" customFormat="false" ht="15" hidden="false" customHeight="false" outlineLevel="0" collapsed="false">
      <c r="A787" s="13" t="n">
        <v>43453</v>
      </c>
      <c r="B787" s="14" t="n">
        <v>1120.96</v>
      </c>
      <c r="C787" s="14" t="n">
        <v>8.6639</v>
      </c>
      <c r="D787" s="14" t="n">
        <v>1.2669</v>
      </c>
      <c r="E787" s="14" t="n">
        <v>1.1422</v>
      </c>
      <c r="F787" s="14" t="n">
        <v>6.8918</v>
      </c>
      <c r="G787" s="14" t="n">
        <v>3.8737</v>
      </c>
      <c r="H787" s="14" t="n">
        <v>112.15</v>
      </c>
      <c r="I787" s="14" t="n">
        <v>1.1405</v>
      </c>
      <c r="J787" s="14" t="n">
        <v>9.9375</v>
      </c>
      <c r="K787" s="14" t="n">
        <v>1284.2</v>
      </c>
      <c r="L787" s="14" t="n">
        <v>0.90318</v>
      </c>
      <c r="M787" s="14" t="n">
        <v>7.8683</v>
      </c>
      <c r="N787" s="14" t="n">
        <v>4.4515</v>
      </c>
      <c r="O787" s="14" t="n">
        <v>128.11</v>
      </c>
      <c r="P787" s="14" t="n">
        <v>8.7133</v>
      </c>
    </row>
    <row r="788" customFormat="false" ht="15" hidden="false" customHeight="false" outlineLevel="0" collapsed="false">
      <c r="A788" s="13" t="n">
        <v>43454</v>
      </c>
      <c r="B788" s="14" t="n">
        <v>1123.87</v>
      </c>
      <c r="C788" s="14" t="n">
        <v>8.6961</v>
      </c>
      <c r="D788" s="14" t="n">
        <v>1.265</v>
      </c>
      <c r="E788" s="14" t="n">
        <v>1.1432</v>
      </c>
      <c r="F788" s="14" t="n">
        <v>6.8834</v>
      </c>
      <c r="G788" s="14" t="n">
        <v>3.85</v>
      </c>
      <c r="H788" s="14" t="n">
        <v>111.34</v>
      </c>
      <c r="I788" s="14" t="n">
        <v>1.1451</v>
      </c>
      <c r="J788" s="14" t="n">
        <v>9.897</v>
      </c>
      <c r="K788" s="14" t="n">
        <v>1284.69</v>
      </c>
      <c r="L788" s="14" t="n">
        <v>0.90335</v>
      </c>
      <c r="M788" s="14" t="n">
        <v>7.8864</v>
      </c>
      <c r="N788" s="14" t="n">
        <v>4.4076</v>
      </c>
      <c r="O788" s="14" t="n">
        <v>127.94</v>
      </c>
      <c r="P788" s="14" t="n">
        <v>8.6429</v>
      </c>
    </row>
    <row r="789" customFormat="false" ht="15" hidden="false" customHeight="false" outlineLevel="0" collapsed="false">
      <c r="A789" s="13" t="n">
        <v>43455</v>
      </c>
      <c r="B789" s="14" t="n">
        <v>1125.3</v>
      </c>
      <c r="C789" s="14" t="n">
        <v>8.7407</v>
      </c>
      <c r="D789" s="14" t="n">
        <v>1.2681</v>
      </c>
      <c r="E789" s="14" t="n">
        <v>1.1402</v>
      </c>
      <c r="F789" s="14" t="n">
        <v>6.9048</v>
      </c>
      <c r="G789" s="14" t="n">
        <v>3.8815</v>
      </c>
      <c r="H789" s="14" t="n">
        <v>111.14</v>
      </c>
      <c r="I789" s="14" t="n">
        <v>1.1414</v>
      </c>
      <c r="J789" s="14" t="n">
        <v>9.9428</v>
      </c>
      <c r="K789" s="14" t="n">
        <v>1282.71</v>
      </c>
      <c r="L789" s="14" t="n">
        <v>0.90215</v>
      </c>
      <c r="M789" s="14" t="n">
        <v>7.8825</v>
      </c>
      <c r="N789" s="14" t="n">
        <v>4.4099</v>
      </c>
      <c r="O789" s="14" t="n">
        <v>126.98</v>
      </c>
      <c r="P789" s="14" t="n">
        <v>8.7111</v>
      </c>
    </row>
    <row r="790" customFormat="false" ht="15" hidden="false" customHeight="false" outlineLevel="0" collapsed="false">
      <c r="A790" s="13" t="n">
        <v>43458</v>
      </c>
      <c r="I790" s="14" t="n">
        <v>1.1408</v>
      </c>
      <c r="J790" s="14" t="n">
        <v>10.0025</v>
      </c>
      <c r="K790" s="14" t="n">
        <v>1283.61</v>
      </c>
      <c r="L790" s="14" t="n">
        <v>0.90038</v>
      </c>
      <c r="M790" s="14" t="n">
        <v>7.873</v>
      </c>
      <c r="N790" s="14" t="n">
        <v>4.4537</v>
      </c>
      <c r="O790" s="14" t="n">
        <v>126.47</v>
      </c>
    </row>
    <row r="791" customFormat="false" ht="15" hidden="false" customHeight="false" outlineLevel="0" collapsed="false">
      <c r="A791" s="13" t="n">
        <v>43459</v>
      </c>
    </row>
    <row r="792" customFormat="false" ht="15" hidden="false" customHeight="false" outlineLevel="0" collapsed="false">
      <c r="A792" s="13" t="n">
        <v>43460</v>
      </c>
      <c r="B792" s="14" t="n">
        <v>1124.23</v>
      </c>
      <c r="C792" s="14" t="n">
        <v>8.7725</v>
      </c>
      <c r="D792" s="14" t="n">
        <v>1.2676</v>
      </c>
      <c r="E792" s="14" t="n">
        <v>1.1408</v>
      </c>
      <c r="F792" s="14" t="n">
        <v>6.8847</v>
      </c>
      <c r="G792" s="14" t="n">
        <v>3.9253</v>
      </c>
      <c r="H792" s="14" t="n">
        <v>110.45</v>
      </c>
    </row>
    <row r="793" customFormat="false" ht="15" hidden="false" customHeight="false" outlineLevel="0" collapsed="false">
      <c r="A793" s="13" t="n">
        <v>43461</v>
      </c>
      <c r="B793" s="14" t="n">
        <v>1121.37</v>
      </c>
      <c r="C793" s="14" t="n">
        <v>8.7884</v>
      </c>
      <c r="D793" s="14" t="n">
        <v>1.2627</v>
      </c>
      <c r="E793" s="14" t="n">
        <v>1.1412</v>
      </c>
      <c r="F793" s="14" t="n">
        <v>6.8649</v>
      </c>
      <c r="G793" s="14" t="n">
        <v>3.8895</v>
      </c>
      <c r="H793" s="14" t="n">
        <v>110.78</v>
      </c>
      <c r="I793" s="14" t="n">
        <v>1.1377</v>
      </c>
      <c r="J793" s="14" t="n">
        <v>9.9698</v>
      </c>
      <c r="K793" s="14" t="n">
        <v>1276.84</v>
      </c>
      <c r="L793" s="14" t="n">
        <v>0.90073</v>
      </c>
      <c r="M793" s="14" t="n">
        <v>7.8109</v>
      </c>
      <c r="N793" s="14" t="n">
        <v>4.4786</v>
      </c>
      <c r="O793" s="14" t="n">
        <v>126.14</v>
      </c>
      <c r="P793" s="14" t="n">
        <v>8.7631</v>
      </c>
    </row>
    <row r="794" customFormat="false" ht="15" hidden="false" customHeight="false" outlineLevel="0" collapsed="false">
      <c r="A794" s="13" t="n">
        <v>43462</v>
      </c>
      <c r="B794" s="14" t="n">
        <v>1114.9</v>
      </c>
      <c r="C794" s="14" t="n">
        <v>8.7191</v>
      </c>
      <c r="D794" s="14" t="n">
        <v>1.2699</v>
      </c>
      <c r="E794" s="14" t="n">
        <v>1.1445</v>
      </c>
      <c r="F794" s="14" t="n">
        <v>6.8755</v>
      </c>
      <c r="G794" s="14" t="n">
        <v>3.8711</v>
      </c>
      <c r="H794" s="14" t="n">
        <v>110.34</v>
      </c>
      <c r="I794" s="14" t="n">
        <v>1.1454</v>
      </c>
      <c r="J794" s="14" t="n">
        <v>9.9738</v>
      </c>
      <c r="K794" s="14" t="n">
        <v>1279.35</v>
      </c>
      <c r="L794" s="14" t="n">
        <v>0.90273</v>
      </c>
      <c r="M794" s="14" t="n">
        <v>7.8778</v>
      </c>
      <c r="N794" s="14" t="n">
        <v>4.4427</v>
      </c>
      <c r="O794" s="14" t="n">
        <v>126.4</v>
      </c>
      <c r="P794" s="14" t="n">
        <v>8.7077</v>
      </c>
    </row>
    <row r="795" customFormat="false" ht="15" hidden="false" customHeight="false" outlineLevel="0" collapsed="false">
      <c r="A795" s="13" t="n">
        <v>43465</v>
      </c>
      <c r="B795" s="14" t="n">
        <v>1112.85</v>
      </c>
      <c r="C795" s="14" t="n">
        <v>8.6519</v>
      </c>
      <c r="D795" s="14" t="n">
        <v>1.2763</v>
      </c>
      <c r="E795" s="14" t="n">
        <v>1.1456</v>
      </c>
      <c r="F795" s="14" t="n">
        <v>6.8755</v>
      </c>
      <c r="G795" s="14" t="n">
        <v>3.8804</v>
      </c>
      <c r="H795" s="14" t="n">
        <v>109.7</v>
      </c>
      <c r="I795" s="14" t="n">
        <v>1.145</v>
      </c>
      <c r="J795" s="14" t="n">
        <v>9.9483</v>
      </c>
      <c r="K795" s="14" t="n">
        <v>1277.93</v>
      </c>
      <c r="L795" s="14" t="n">
        <v>0.89453</v>
      </c>
      <c r="M795" s="14" t="n">
        <v>7.8751</v>
      </c>
      <c r="N795" s="14" t="n">
        <v>4.444</v>
      </c>
      <c r="O795" s="14" t="n">
        <v>125.85</v>
      </c>
      <c r="P795" s="14" t="n">
        <v>8.6885</v>
      </c>
    </row>
    <row r="796" customFormat="false" ht="15" hidden="false" customHeight="false" outlineLevel="0" collapsed="false">
      <c r="A796" s="13" t="n">
        <v>43466</v>
      </c>
    </row>
    <row r="797" customFormat="false" ht="15" hidden="false" customHeight="false" outlineLevel="0" collapsed="false">
      <c r="A797" s="13" t="n">
        <v>43467</v>
      </c>
      <c r="B797" s="14" t="n">
        <v>1119.11</v>
      </c>
      <c r="C797" s="14" t="n">
        <v>8.6976</v>
      </c>
      <c r="D797" s="14" t="n">
        <v>1.2598</v>
      </c>
      <c r="E797" s="14" t="n">
        <v>1.1357</v>
      </c>
      <c r="F797" s="14" t="n">
        <v>6.8597</v>
      </c>
      <c r="G797" s="14" t="n">
        <v>3.8123</v>
      </c>
      <c r="H797" s="14" t="n">
        <v>109.22</v>
      </c>
      <c r="I797" s="14" t="n">
        <v>1.1397</v>
      </c>
      <c r="J797" s="14" t="n">
        <v>9.9108</v>
      </c>
      <c r="K797" s="14" t="n">
        <v>1278.52</v>
      </c>
      <c r="L797" s="14" t="n">
        <v>0.90165</v>
      </c>
      <c r="M797" s="14" t="n">
        <v>7.8165</v>
      </c>
      <c r="N797" s="14" t="n">
        <v>4.393</v>
      </c>
      <c r="O797" s="14" t="n">
        <v>124.28</v>
      </c>
      <c r="P797" s="14" t="n">
        <v>8.696</v>
      </c>
    </row>
    <row r="798" customFormat="false" ht="15" hidden="false" customHeight="false" outlineLevel="0" collapsed="false">
      <c r="A798" s="13" t="n">
        <v>43468</v>
      </c>
      <c r="B798" s="14" t="n">
        <v>1124.64</v>
      </c>
      <c r="C798" s="14" t="n">
        <v>8.694</v>
      </c>
      <c r="D798" s="14" t="n">
        <v>1.2633</v>
      </c>
      <c r="E798" s="14" t="n">
        <v>1.1399</v>
      </c>
      <c r="F798" s="14" t="n">
        <v>6.8708</v>
      </c>
      <c r="G798" s="14" t="n">
        <v>3.7429</v>
      </c>
      <c r="H798" s="14" t="n">
        <v>108.07</v>
      </c>
      <c r="I798" s="14" t="n">
        <v>1.1348</v>
      </c>
      <c r="J798" s="14" t="n">
        <v>9.9113</v>
      </c>
      <c r="K798" s="14" t="n">
        <v>1279.17</v>
      </c>
      <c r="L798" s="14" t="n">
        <v>0.90312</v>
      </c>
      <c r="M798" s="14" t="n">
        <v>7.8019</v>
      </c>
      <c r="N798" s="14" t="n">
        <v>4.2814</v>
      </c>
      <c r="O798" s="14" t="n">
        <v>122.21</v>
      </c>
      <c r="P798" s="14" t="n">
        <v>8.734</v>
      </c>
    </row>
    <row r="799" customFormat="false" ht="15" hidden="false" customHeight="false" outlineLevel="0" collapsed="false">
      <c r="A799" s="13" t="n">
        <v>43469</v>
      </c>
      <c r="B799" s="14" t="n">
        <v>1116.73</v>
      </c>
      <c r="C799" s="14" t="n">
        <v>8.6109</v>
      </c>
      <c r="D799" s="14" t="n">
        <v>1.274</v>
      </c>
      <c r="E799" s="14" t="n">
        <v>1.141</v>
      </c>
      <c r="F799" s="14" t="n">
        <v>6.8663</v>
      </c>
      <c r="G799" s="14" t="n">
        <v>3.7149</v>
      </c>
      <c r="H799" s="14" t="n">
        <v>108.29</v>
      </c>
      <c r="I799" s="14" t="n">
        <v>1.1403</v>
      </c>
      <c r="J799" s="14" t="n">
        <v>9.8648</v>
      </c>
      <c r="K799" s="14" t="n">
        <v>1279.13</v>
      </c>
      <c r="L799" s="14" t="n">
        <v>0.89988</v>
      </c>
      <c r="M799" s="14" t="n">
        <v>7.828</v>
      </c>
      <c r="N799" s="14" t="n">
        <v>4.2889</v>
      </c>
      <c r="O799" s="14" t="n">
        <v>123.2</v>
      </c>
      <c r="P799" s="14" t="n">
        <v>8.6511</v>
      </c>
    </row>
    <row r="800" customFormat="false" ht="15" hidden="false" customHeight="false" outlineLevel="0" collapsed="false">
      <c r="A800" s="13" t="n">
        <v>43472</v>
      </c>
      <c r="B800" s="14" t="n">
        <v>1117.5</v>
      </c>
      <c r="C800" s="14" t="n">
        <v>8.5387</v>
      </c>
      <c r="D800" s="14" t="n">
        <v>1.2757</v>
      </c>
      <c r="E800" s="14" t="n">
        <v>1.1468</v>
      </c>
      <c r="F800" s="14" t="n">
        <v>6.8501</v>
      </c>
      <c r="G800" s="14" t="n">
        <v>3.71</v>
      </c>
      <c r="H800" s="14" t="n">
        <v>108.62</v>
      </c>
      <c r="I800" s="14" t="n">
        <v>1.1445</v>
      </c>
      <c r="J800" s="14" t="n">
        <v>9.8018</v>
      </c>
      <c r="K800" s="14" t="n">
        <v>1281.15</v>
      </c>
      <c r="L800" s="14" t="n">
        <v>0.8972</v>
      </c>
      <c r="M800" s="14" t="n">
        <v>7.8421</v>
      </c>
      <c r="N800" s="14" t="n">
        <v>4.2289</v>
      </c>
      <c r="O800" s="14" t="n">
        <v>123.9</v>
      </c>
      <c r="P800" s="14" t="n">
        <v>8.5643</v>
      </c>
    </row>
    <row r="801" customFormat="false" ht="15" hidden="false" customHeight="false" outlineLevel="0" collapsed="false">
      <c r="A801" s="13" t="n">
        <v>43473</v>
      </c>
      <c r="B801" s="14" t="n">
        <v>1122.93</v>
      </c>
      <c r="C801" s="14" t="n">
        <v>8.5505</v>
      </c>
      <c r="D801" s="14" t="n">
        <v>1.2724</v>
      </c>
      <c r="E801" s="14" t="n">
        <v>1.1444</v>
      </c>
      <c r="F801" s="14" t="n">
        <v>6.8519</v>
      </c>
      <c r="G801" s="14" t="n">
        <v>3.7204</v>
      </c>
      <c r="H801" s="14" t="n">
        <v>108.57</v>
      </c>
      <c r="I801" s="14" t="n">
        <v>1.144</v>
      </c>
      <c r="J801" s="14" t="n">
        <v>9.775</v>
      </c>
      <c r="K801" s="14" t="n">
        <v>1288.62</v>
      </c>
      <c r="L801" s="14" t="n">
        <v>0.89743</v>
      </c>
      <c r="M801" s="14" t="n">
        <v>7.8405</v>
      </c>
      <c r="N801" s="14" t="n">
        <v>4.2604</v>
      </c>
      <c r="O801" s="14" t="n">
        <v>124.46</v>
      </c>
      <c r="P801" s="14" t="n">
        <v>8.5446</v>
      </c>
    </row>
    <row r="802" customFormat="false" ht="15" hidden="false" customHeight="false" outlineLevel="0" collapsed="false">
      <c r="A802" s="13" t="n">
        <v>43474</v>
      </c>
      <c r="B802" s="14" t="n">
        <v>1117.7</v>
      </c>
      <c r="C802" s="14" t="n">
        <v>8.4745</v>
      </c>
      <c r="D802" s="14" t="n">
        <v>1.2764</v>
      </c>
      <c r="E802" s="14" t="n">
        <v>1.1524</v>
      </c>
      <c r="F802" s="14" t="n">
        <v>6.8117</v>
      </c>
      <c r="G802" s="14" t="n">
        <v>3.6832</v>
      </c>
      <c r="H802" s="14" t="n">
        <v>108.38</v>
      </c>
      <c r="I802" s="14" t="n">
        <v>1.1455</v>
      </c>
      <c r="J802" s="14" t="n">
        <v>9.7668</v>
      </c>
      <c r="K802" s="14" t="n">
        <v>1284.16</v>
      </c>
      <c r="L802" s="14" t="n">
        <v>0.89913</v>
      </c>
      <c r="M802" s="14" t="n">
        <v>7.8226</v>
      </c>
      <c r="N802" s="14" t="n">
        <v>4.2245</v>
      </c>
      <c r="O802" s="14" t="n">
        <v>124.7</v>
      </c>
      <c r="P802" s="14" t="n">
        <v>8.5262</v>
      </c>
    </row>
    <row r="803" customFormat="false" ht="15" hidden="false" customHeight="false" outlineLevel="0" collapsed="false">
      <c r="A803" s="13" t="n">
        <v>43475</v>
      </c>
      <c r="B803" s="14" t="n">
        <v>1116.1</v>
      </c>
      <c r="C803" s="14" t="n">
        <v>8.4702</v>
      </c>
      <c r="D803" s="14" t="n">
        <v>1.2768</v>
      </c>
      <c r="E803" s="14" t="n">
        <v>1.1517</v>
      </c>
      <c r="F803" s="14" t="n">
        <v>6.7875</v>
      </c>
      <c r="G803" s="14" t="n">
        <v>3.6915</v>
      </c>
      <c r="H803" s="14" t="n">
        <v>108.29</v>
      </c>
      <c r="I803" s="14" t="n">
        <v>1.1535</v>
      </c>
      <c r="J803" s="14" t="n">
        <v>9.7493</v>
      </c>
      <c r="K803" s="14" t="n">
        <v>1289.04</v>
      </c>
      <c r="L803" s="14" t="n">
        <v>0.90423</v>
      </c>
      <c r="M803" s="14" t="n">
        <v>7.8213</v>
      </c>
      <c r="N803" s="14" t="n">
        <v>4.2451</v>
      </c>
      <c r="O803" s="14" t="n">
        <v>124.7</v>
      </c>
      <c r="P803" s="14" t="n">
        <v>8.4519</v>
      </c>
    </row>
    <row r="804" customFormat="false" ht="15" hidden="false" customHeight="false" outlineLevel="0" collapsed="false">
      <c r="A804" s="13" t="n">
        <v>43476</v>
      </c>
      <c r="B804" s="14" t="n">
        <v>1117.18</v>
      </c>
      <c r="C804" s="14" t="n">
        <v>8.5245</v>
      </c>
      <c r="D804" s="14" t="n">
        <v>1.2836</v>
      </c>
      <c r="E804" s="14" t="n">
        <v>1.1479</v>
      </c>
      <c r="F804" s="14" t="n">
        <v>6.7596</v>
      </c>
      <c r="G804" s="14" t="n">
        <v>3.7073</v>
      </c>
      <c r="H804" s="14" t="n">
        <v>108.34</v>
      </c>
      <c r="I804" s="14" t="n">
        <v>1.1533</v>
      </c>
      <c r="J804" s="14" t="n">
        <v>9.7578</v>
      </c>
      <c r="K804" s="14" t="n">
        <v>1289.16</v>
      </c>
      <c r="L804" s="14" t="n">
        <v>0.90015</v>
      </c>
      <c r="M804" s="14" t="n">
        <v>7.7922</v>
      </c>
      <c r="N804" s="14" t="n">
        <v>4.2849</v>
      </c>
      <c r="O804" s="14" t="n">
        <v>124.91</v>
      </c>
      <c r="P804" s="14" t="n">
        <v>8.4608</v>
      </c>
    </row>
    <row r="805" customFormat="false" ht="15" hidden="false" customHeight="false" outlineLevel="0" collapsed="false">
      <c r="A805" s="13" t="n">
        <v>43479</v>
      </c>
      <c r="I805" s="14" t="n">
        <v>1.1467</v>
      </c>
      <c r="J805" s="14" t="n">
        <v>9.7868</v>
      </c>
      <c r="K805" s="14" t="n">
        <v>1287.82</v>
      </c>
      <c r="L805" s="14" t="n">
        <v>0.89263</v>
      </c>
      <c r="M805" s="14" t="n">
        <v>7.7595</v>
      </c>
      <c r="N805" s="14" t="n">
        <v>4.2739</v>
      </c>
      <c r="O805" s="14" t="n">
        <v>123.93</v>
      </c>
      <c r="P805" s="14" t="n">
        <v>8.5348</v>
      </c>
    </row>
    <row r="806" customFormat="false" ht="15" hidden="false" customHeight="false" outlineLevel="0" collapsed="false">
      <c r="A806" s="13" t="n">
        <v>43480</v>
      </c>
      <c r="B806" s="14" t="n">
        <v>1122.59</v>
      </c>
      <c r="C806" s="14" t="n">
        <v>8.5545</v>
      </c>
      <c r="D806" s="14" t="n">
        <v>1.2761</v>
      </c>
      <c r="E806" s="14" t="n">
        <v>1.1392</v>
      </c>
      <c r="F806" s="14" t="n">
        <v>6.7595</v>
      </c>
      <c r="G806" s="14" t="n">
        <v>3.7162</v>
      </c>
      <c r="H806" s="14" t="n">
        <v>108.72</v>
      </c>
      <c r="I806" s="14" t="n">
        <v>1.1424</v>
      </c>
      <c r="J806" s="14" t="n">
        <v>9.7615</v>
      </c>
      <c r="K806" s="14" t="n">
        <v>1283.26</v>
      </c>
      <c r="L806" s="14" t="n">
        <v>0.89025</v>
      </c>
      <c r="M806" s="14" t="n">
        <v>7.723</v>
      </c>
      <c r="N806" s="14" t="n">
        <v>4.237</v>
      </c>
      <c r="O806" s="14" t="n">
        <v>124.02</v>
      </c>
      <c r="P806" s="14" t="n">
        <v>8.5447</v>
      </c>
    </row>
    <row r="807" customFormat="false" ht="15" hidden="false" customHeight="false" outlineLevel="0" collapsed="false">
      <c r="A807" s="13" t="n">
        <v>43481</v>
      </c>
      <c r="B807" s="14" t="n">
        <v>1119.1</v>
      </c>
      <c r="C807" s="14" t="n">
        <v>8.5305</v>
      </c>
      <c r="D807" s="14" t="n">
        <v>1.2862</v>
      </c>
      <c r="E807" s="14" t="n">
        <v>1.1408</v>
      </c>
      <c r="F807" s="14" t="n">
        <v>6.7532</v>
      </c>
      <c r="G807" s="14" t="n">
        <v>3.7284</v>
      </c>
      <c r="H807" s="14" t="n">
        <v>108.84</v>
      </c>
      <c r="I807" s="14" t="n">
        <v>1.1389</v>
      </c>
      <c r="J807" s="14" t="n">
        <v>9.7358</v>
      </c>
      <c r="K807" s="14" t="n">
        <v>1278.36</v>
      </c>
      <c r="L807" s="14" t="n">
        <v>0.8859</v>
      </c>
      <c r="M807" s="14" t="n">
        <v>7.7018</v>
      </c>
      <c r="N807" s="14" t="n">
        <v>4.2271</v>
      </c>
      <c r="O807" s="14" t="n">
        <v>123.91</v>
      </c>
      <c r="P807" s="14" t="n">
        <v>8.5484</v>
      </c>
    </row>
    <row r="808" customFormat="false" ht="15" hidden="false" customHeight="false" outlineLevel="0" collapsed="false">
      <c r="A808" s="13" t="n">
        <v>43482</v>
      </c>
      <c r="B808" s="14" t="n">
        <v>1123.34</v>
      </c>
      <c r="C808" s="14" t="n">
        <v>8.5554</v>
      </c>
      <c r="D808" s="14" t="n">
        <v>1.294</v>
      </c>
      <c r="E808" s="14" t="n">
        <v>1.1386</v>
      </c>
      <c r="F808" s="14" t="n">
        <v>6.7735</v>
      </c>
      <c r="G808" s="14" t="n">
        <v>3.7561</v>
      </c>
      <c r="H808" s="14" t="n">
        <v>109.01</v>
      </c>
      <c r="I808" s="14" t="n">
        <v>1.1396</v>
      </c>
      <c r="J808" s="14" t="n">
        <v>9.758</v>
      </c>
      <c r="K808" s="14" t="n">
        <v>1280.68</v>
      </c>
      <c r="L808" s="14" t="n">
        <v>0.8826</v>
      </c>
      <c r="M808" s="14" t="n">
        <v>7.7167</v>
      </c>
      <c r="N808" s="14" t="n">
        <v>4.2879</v>
      </c>
      <c r="O808" s="14" t="n">
        <v>123.95</v>
      </c>
      <c r="P808" s="14" t="n">
        <v>8.5627</v>
      </c>
    </row>
    <row r="809" customFormat="false" ht="15" hidden="false" customHeight="false" outlineLevel="0" collapsed="false">
      <c r="A809" s="13" t="n">
        <v>43483</v>
      </c>
      <c r="B809" s="14" t="n">
        <v>1122.8</v>
      </c>
      <c r="C809" s="14" t="n">
        <v>8.5509</v>
      </c>
      <c r="D809" s="14" t="n">
        <v>1.2898</v>
      </c>
      <c r="E809" s="14" t="n">
        <v>1.1362</v>
      </c>
      <c r="F809" s="14" t="n">
        <v>6.7765</v>
      </c>
      <c r="G809" s="14" t="n">
        <v>3.7658</v>
      </c>
      <c r="H809" s="14" t="n">
        <v>109.79</v>
      </c>
      <c r="I809" s="14" t="n">
        <v>1.1402</v>
      </c>
      <c r="J809" s="14" t="n">
        <v>9.7218</v>
      </c>
      <c r="K809" s="14" t="n">
        <v>1278.73</v>
      </c>
      <c r="L809" s="14" t="n">
        <v>0.88125</v>
      </c>
      <c r="M809" s="14" t="n">
        <v>7.7291</v>
      </c>
      <c r="N809" s="14" t="n">
        <v>4.2701</v>
      </c>
      <c r="O809" s="14" t="n">
        <v>124.78</v>
      </c>
      <c r="P809" s="14" t="n">
        <v>8.5264</v>
      </c>
    </row>
    <row r="810" customFormat="false" ht="15" hidden="false" customHeight="false" outlineLevel="0" collapsed="false">
      <c r="A810" s="13" t="n">
        <v>43486</v>
      </c>
      <c r="I810" s="14" t="n">
        <v>1.1362</v>
      </c>
      <c r="J810" s="14" t="n">
        <v>9.7438</v>
      </c>
      <c r="K810" s="14" t="n">
        <v>1285.38</v>
      </c>
      <c r="L810" s="14" t="n">
        <v>0.88303</v>
      </c>
      <c r="M810" s="14" t="n">
        <v>7.7238</v>
      </c>
      <c r="N810" s="14" t="n">
        <v>4.2853</v>
      </c>
      <c r="O810" s="14" t="n">
        <v>124.6</v>
      </c>
      <c r="P810" s="14" t="n">
        <v>8.5758</v>
      </c>
    </row>
    <row r="811" customFormat="false" ht="15" hidden="false" customHeight="false" outlineLevel="0" collapsed="false">
      <c r="A811" s="13" t="n">
        <v>43487</v>
      </c>
      <c r="B811" s="14" t="n">
        <v>1129.52</v>
      </c>
      <c r="C811" s="14" t="n">
        <v>8.5961</v>
      </c>
      <c r="D811" s="14" t="n">
        <v>1.2955</v>
      </c>
      <c r="E811" s="14" t="n">
        <v>1.1359</v>
      </c>
      <c r="F811" s="14" t="n">
        <v>6.8072</v>
      </c>
      <c r="G811" s="14" t="n">
        <v>3.7811</v>
      </c>
      <c r="H811" s="14" t="n">
        <v>109.34</v>
      </c>
      <c r="I811" s="14" t="n">
        <v>1.1354</v>
      </c>
      <c r="J811" s="14" t="n">
        <v>9.7628</v>
      </c>
      <c r="K811" s="14" t="n">
        <v>1284.77</v>
      </c>
      <c r="L811" s="14" t="n">
        <v>0.88</v>
      </c>
      <c r="M811" s="14" t="n">
        <v>7.7299</v>
      </c>
      <c r="N811" s="14" t="n">
        <v>4.2622</v>
      </c>
      <c r="O811" s="14" t="n">
        <v>124.25</v>
      </c>
      <c r="P811" s="14" t="n">
        <v>8.5986</v>
      </c>
    </row>
    <row r="812" customFormat="false" ht="15" hidden="false" customHeight="false" outlineLevel="0" collapsed="false">
      <c r="A812" s="13" t="n">
        <v>43488</v>
      </c>
      <c r="B812" s="14" t="n">
        <v>1127.89</v>
      </c>
      <c r="C812" s="14" t="n">
        <v>8.5848</v>
      </c>
      <c r="D812" s="14" t="n">
        <v>1.3074</v>
      </c>
      <c r="E812" s="14" t="n">
        <v>1.139</v>
      </c>
      <c r="F812" s="14" t="n">
        <v>6.7897</v>
      </c>
      <c r="G812" s="14" t="n">
        <v>3.7987</v>
      </c>
      <c r="H812" s="14" t="n">
        <v>109.44</v>
      </c>
      <c r="I812" s="14" t="n">
        <v>1.1367</v>
      </c>
      <c r="J812" s="14" t="n">
        <v>9.7563</v>
      </c>
      <c r="K812" s="14" t="n">
        <v>1282</v>
      </c>
      <c r="L812" s="14" t="n">
        <v>0.87213</v>
      </c>
      <c r="M812" s="14" t="n">
        <v>7.7147</v>
      </c>
      <c r="N812" s="14" t="n">
        <v>4.3244</v>
      </c>
      <c r="O812" s="14" t="n">
        <v>124.7</v>
      </c>
      <c r="P812" s="14" t="n">
        <v>8.583</v>
      </c>
    </row>
    <row r="813" customFormat="false" ht="15" hidden="false" customHeight="false" outlineLevel="0" collapsed="false">
      <c r="A813" s="13" t="n">
        <v>43489</v>
      </c>
      <c r="B813" s="14" t="n">
        <v>1126.33</v>
      </c>
      <c r="C813" s="14" t="n">
        <v>8.5756</v>
      </c>
      <c r="D813" s="14" t="n">
        <v>1.3027</v>
      </c>
      <c r="E813" s="14" t="n">
        <v>1.1322</v>
      </c>
      <c r="F813" s="14" t="n">
        <v>6.7835</v>
      </c>
      <c r="G813" s="14" t="n">
        <v>3.7486</v>
      </c>
      <c r="H813" s="14" t="n">
        <v>109.72</v>
      </c>
      <c r="I813" s="14" t="n">
        <v>1.1341</v>
      </c>
      <c r="J813" s="14" t="n">
        <v>9.7278</v>
      </c>
      <c r="K813" s="14" t="n">
        <v>1281.18</v>
      </c>
      <c r="L813" s="14" t="n">
        <v>0.87085</v>
      </c>
      <c r="M813" s="14" t="n">
        <v>7.7041</v>
      </c>
      <c r="N813" s="14" t="n">
        <v>4.2869</v>
      </c>
      <c r="O813" s="14" t="n">
        <v>124.43</v>
      </c>
      <c r="P813" s="14" t="n">
        <v>8.5776</v>
      </c>
    </row>
    <row r="814" customFormat="false" ht="15" hidden="false" customHeight="false" outlineLevel="0" collapsed="false">
      <c r="A814" s="13" t="n">
        <v>43490</v>
      </c>
      <c r="B814" s="14" t="n">
        <v>1117.58</v>
      </c>
      <c r="C814" s="14" t="n">
        <v>8.5193</v>
      </c>
      <c r="D814" s="14" t="n">
        <v>1.3176</v>
      </c>
      <c r="E814" s="14" t="n">
        <v>1.1407</v>
      </c>
      <c r="F814" s="14" t="n">
        <v>6.7448</v>
      </c>
      <c r="G814" s="14" t="n">
        <v>3.77</v>
      </c>
      <c r="H814" s="14" t="n">
        <v>109.6</v>
      </c>
      <c r="I814" s="14" t="n">
        <v>1.1346</v>
      </c>
      <c r="J814" s="14" t="n">
        <v>9.7045</v>
      </c>
      <c r="K814" s="14" t="n">
        <v>1270.87</v>
      </c>
      <c r="L814" s="14" t="n">
        <v>0.8658</v>
      </c>
      <c r="M814" s="14" t="n">
        <v>7.6699</v>
      </c>
      <c r="N814" s="14" t="n">
        <v>4.2737</v>
      </c>
      <c r="O814" s="14" t="n">
        <v>124.72</v>
      </c>
      <c r="P814" s="14" t="n">
        <v>8.5532</v>
      </c>
    </row>
    <row r="815" customFormat="false" ht="15" hidden="false" customHeight="false" outlineLevel="0" collapsed="false">
      <c r="A815" s="13" t="n">
        <v>43493</v>
      </c>
      <c r="B815" s="14" t="n">
        <v>1118.7</v>
      </c>
      <c r="C815" s="14" t="n">
        <v>8.5147</v>
      </c>
      <c r="D815" s="14" t="n">
        <v>1.3158</v>
      </c>
      <c r="E815" s="14" t="n">
        <v>1.1438</v>
      </c>
      <c r="F815" s="14" t="n">
        <v>6.7437</v>
      </c>
      <c r="G815" s="14" t="n">
        <v>3.7628</v>
      </c>
      <c r="H815" s="14" t="n">
        <v>109.2</v>
      </c>
      <c r="I815" s="14" t="n">
        <v>1.1418</v>
      </c>
      <c r="J815" s="14" t="n">
        <v>9.732</v>
      </c>
      <c r="K815" s="14" t="n">
        <v>1277.22</v>
      </c>
      <c r="L815" s="14" t="n">
        <v>0.86888</v>
      </c>
      <c r="M815" s="14" t="n">
        <v>7.6997</v>
      </c>
      <c r="N815" s="14" t="n">
        <v>4.2872</v>
      </c>
      <c r="O815" s="14" t="n">
        <v>124.94</v>
      </c>
      <c r="P815" s="14" t="n">
        <v>8.5234</v>
      </c>
    </row>
    <row r="816" customFormat="false" ht="15" hidden="false" customHeight="false" outlineLevel="0" collapsed="false">
      <c r="A816" s="13" t="n">
        <v>43494</v>
      </c>
      <c r="B816" s="14" t="n">
        <v>1117.75</v>
      </c>
      <c r="C816" s="14" t="n">
        <v>8.5008</v>
      </c>
      <c r="D816" s="14" t="n">
        <v>1.3146</v>
      </c>
      <c r="E816" s="14" t="n">
        <v>1.1424</v>
      </c>
      <c r="F816" s="14" t="n">
        <v>6.7304</v>
      </c>
      <c r="G816" s="14" t="n">
        <v>3.7288</v>
      </c>
      <c r="H816" s="14" t="n">
        <v>109.36</v>
      </c>
      <c r="I816" s="14" t="n">
        <v>1.1422</v>
      </c>
      <c r="J816" s="14" t="n">
        <v>9.7035</v>
      </c>
      <c r="K816" s="14" t="n">
        <v>1277.32</v>
      </c>
      <c r="L816" s="14" t="n">
        <v>0.86735</v>
      </c>
      <c r="M816" s="14" t="n">
        <v>7.6927</v>
      </c>
      <c r="N816" s="14" t="n">
        <v>4.2735</v>
      </c>
      <c r="O816" s="14" t="n">
        <v>125.03</v>
      </c>
      <c r="P816" s="14" t="n">
        <v>8.4954</v>
      </c>
    </row>
    <row r="817" customFormat="false" ht="15" hidden="false" customHeight="false" outlineLevel="0" collapsed="false">
      <c r="A817" s="13" t="n">
        <v>43495</v>
      </c>
      <c r="B817" s="14" t="n">
        <v>1117.29</v>
      </c>
      <c r="C817" s="14" t="n">
        <v>8.4725</v>
      </c>
      <c r="D817" s="14" t="n">
        <v>1.3062</v>
      </c>
      <c r="E817" s="14" t="n">
        <v>1.1418</v>
      </c>
      <c r="F817" s="14" t="n">
        <v>6.7115</v>
      </c>
      <c r="G817" s="14" t="n">
        <v>3.7222</v>
      </c>
      <c r="H817" s="14" t="n">
        <v>109.57</v>
      </c>
      <c r="I817" s="14" t="n">
        <v>1.1429</v>
      </c>
      <c r="J817" s="14" t="n">
        <v>9.6938</v>
      </c>
      <c r="K817" s="14" t="n">
        <v>1277.98</v>
      </c>
      <c r="L817" s="14" t="n">
        <v>0.87341</v>
      </c>
      <c r="M817" s="14" t="n">
        <v>7.6767</v>
      </c>
      <c r="N817" s="14" t="n">
        <v>4.2392</v>
      </c>
      <c r="O817" s="14" t="n">
        <v>125.08</v>
      </c>
      <c r="P817" s="14" t="n">
        <v>8.4818</v>
      </c>
    </row>
    <row r="818" customFormat="false" ht="15" hidden="false" customHeight="false" outlineLevel="0" collapsed="false">
      <c r="A818" s="13" t="n">
        <v>43496</v>
      </c>
      <c r="B818" s="14" t="n">
        <v>1111.82</v>
      </c>
      <c r="C818" s="14" t="n">
        <v>8.4359</v>
      </c>
      <c r="D818" s="14" t="n">
        <v>1.3135</v>
      </c>
      <c r="E818" s="14" t="n">
        <v>1.1454</v>
      </c>
      <c r="F818" s="14" t="n">
        <v>6.6958</v>
      </c>
      <c r="G818" s="14" t="n">
        <v>3.6501</v>
      </c>
      <c r="H818" s="14" t="n">
        <v>108.84</v>
      </c>
      <c r="I818" s="14" t="n">
        <v>1.1488</v>
      </c>
      <c r="J818" s="14" t="n">
        <v>9.6623</v>
      </c>
      <c r="K818" s="14" t="n">
        <v>1277.58</v>
      </c>
      <c r="L818" s="14" t="n">
        <v>0.87578</v>
      </c>
      <c r="M818" s="14" t="n">
        <v>7.701</v>
      </c>
      <c r="N818" s="14" t="n">
        <v>4.2041</v>
      </c>
      <c r="O818" s="14" t="n">
        <v>124.81</v>
      </c>
      <c r="P818" s="14" t="n">
        <v>8.4108</v>
      </c>
    </row>
    <row r="819" customFormat="false" ht="15" hidden="false" customHeight="false" outlineLevel="0" collapsed="false">
      <c r="A819" s="13" t="n">
        <v>43497</v>
      </c>
      <c r="B819" s="14" t="n">
        <v>1118.31</v>
      </c>
      <c r="C819" s="14" t="n">
        <v>8.4316</v>
      </c>
      <c r="D819" s="14" t="n">
        <v>1.3094</v>
      </c>
      <c r="E819" s="14" t="n">
        <v>1.1474</v>
      </c>
      <c r="F819" s="14" t="n">
        <v>6.7426</v>
      </c>
      <c r="G819" s="14" t="n">
        <v>3.6552</v>
      </c>
      <c r="H819" s="14" t="n">
        <v>109.55</v>
      </c>
      <c r="I819" s="14" t="n">
        <v>1.1471</v>
      </c>
      <c r="J819" s="14" t="n">
        <v>9.6685</v>
      </c>
      <c r="K819" s="14" t="n">
        <v>1281.33</v>
      </c>
      <c r="L819" s="14" t="n">
        <v>0.87888</v>
      </c>
      <c r="M819" s="14" t="n">
        <v>7.7262</v>
      </c>
      <c r="N819" s="14" t="n">
        <v>4.211</v>
      </c>
      <c r="O819" s="14" t="n">
        <v>124.91</v>
      </c>
      <c r="P819" s="14" t="n">
        <v>8.4286</v>
      </c>
    </row>
    <row r="820" customFormat="false" ht="15" hidden="false" customHeight="false" outlineLevel="0" collapsed="false">
      <c r="A820" s="13" t="n">
        <v>43500</v>
      </c>
      <c r="B820" s="14" t="n">
        <v>1119.15</v>
      </c>
      <c r="C820" s="14" t="n">
        <v>8.47</v>
      </c>
      <c r="D820" s="14" t="n">
        <v>1.3068</v>
      </c>
      <c r="E820" s="14" t="n">
        <v>1.1438</v>
      </c>
      <c r="F820" s="14" t="n">
        <v>6.7426</v>
      </c>
      <c r="G820" s="14" t="n">
        <v>3.6676</v>
      </c>
      <c r="H820" s="14" t="n">
        <v>109.96</v>
      </c>
      <c r="I820" s="14" t="n">
        <v>1.1445</v>
      </c>
      <c r="J820" s="14" t="n">
        <v>9.703</v>
      </c>
      <c r="K820" s="14" t="n">
        <v>1282.53</v>
      </c>
      <c r="L820" s="14" t="n">
        <v>0.87678</v>
      </c>
      <c r="M820" s="14" t="n">
        <v>7.7194</v>
      </c>
      <c r="N820" s="14" t="n">
        <v>4.2142</v>
      </c>
      <c r="O820" s="14" t="n">
        <v>125.77</v>
      </c>
      <c r="P820" s="14" t="n">
        <v>8.4779</v>
      </c>
    </row>
    <row r="821" customFormat="false" ht="15" hidden="false" customHeight="false" outlineLevel="0" collapsed="false">
      <c r="A821" s="13" t="n">
        <v>43501</v>
      </c>
      <c r="B821" s="14" t="n">
        <v>1117.2</v>
      </c>
      <c r="C821" s="14" t="n">
        <v>8.4813</v>
      </c>
      <c r="D821" s="14" t="n">
        <v>1.2947</v>
      </c>
      <c r="E821" s="14" t="n">
        <v>1.1406</v>
      </c>
      <c r="F821" s="14" t="n">
        <v>6.7426</v>
      </c>
      <c r="G821" s="14" t="n">
        <v>3.6798</v>
      </c>
      <c r="H821" s="14" t="n">
        <v>109.99</v>
      </c>
      <c r="I821" s="14" t="n">
        <v>1.1423</v>
      </c>
      <c r="J821" s="14" t="n">
        <v>9.6783</v>
      </c>
      <c r="K821" s="14" t="n">
        <v>1276.75</v>
      </c>
      <c r="L821" s="14" t="n">
        <v>0.87803</v>
      </c>
      <c r="M821" s="14" t="n">
        <v>7.6938</v>
      </c>
      <c r="N821" s="14" t="n">
        <v>4.1942</v>
      </c>
      <c r="O821" s="14" t="n">
        <v>125.59</v>
      </c>
      <c r="P821" s="14" t="n">
        <v>8.4726</v>
      </c>
    </row>
    <row r="822" customFormat="false" ht="15" hidden="false" customHeight="false" outlineLevel="0" collapsed="false">
      <c r="A822" s="13" t="n">
        <v>43502</v>
      </c>
      <c r="B822" s="14" t="n">
        <v>1119.35</v>
      </c>
      <c r="C822" s="14" t="n">
        <v>8.5235</v>
      </c>
      <c r="D822" s="14" t="n">
        <v>1.2956</v>
      </c>
      <c r="E822" s="14" t="n">
        <v>1.138</v>
      </c>
      <c r="F822" s="14" t="n">
        <v>6.7426</v>
      </c>
      <c r="G822" s="14" t="n">
        <v>3.7015</v>
      </c>
      <c r="H822" s="14" t="n">
        <v>109.75</v>
      </c>
      <c r="I822" s="14" t="n">
        <v>1.1394</v>
      </c>
      <c r="J822" s="14" t="n">
        <v>9.6918</v>
      </c>
      <c r="K822" s="14" t="n">
        <v>1277.09</v>
      </c>
      <c r="L822" s="14" t="n">
        <v>0.8787</v>
      </c>
      <c r="M822" s="14" t="n">
        <v>7.685</v>
      </c>
      <c r="N822" s="14" t="n">
        <v>4.2017</v>
      </c>
      <c r="O822" s="14" t="n">
        <v>125.05</v>
      </c>
      <c r="P822" s="14" t="n">
        <v>8.5061</v>
      </c>
    </row>
    <row r="823" customFormat="false" ht="15" hidden="false" customHeight="false" outlineLevel="0" collapsed="false">
      <c r="A823" s="13" t="n">
        <v>43503</v>
      </c>
      <c r="B823" s="14" t="n">
        <v>1124.11</v>
      </c>
      <c r="C823" s="14" t="n">
        <v>8.5805</v>
      </c>
      <c r="D823" s="14" t="n">
        <v>1.2966</v>
      </c>
      <c r="E823" s="14" t="n">
        <v>1.1357</v>
      </c>
      <c r="F823" s="14" t="n">
        <v>6.7426</v>
      </c>
      <c r="G823" s="14" t="n">
        <v>3.7232</v>
      </c>
      <c r="H823" s="14" t="n">
        <v>109.7</v>
      </c>
      <c r="I823" s="14" t="n">
        <v>1.1345</v>
      </c>
      <c r="J823" s="14" t="n">
        <v>9.7253</v>
      </c>
      <c r="K823" s="14" t="n">
        <v>1276.31</v>
      </c>
      <c r="L823" s="14" t="n">
        <v>0.8775</v>
      </c>
      <c r="M823" s="14" t="n">
        <v>7.652</v>
      </c>
      <c r="N823" s="14" t="n">
        <v>4.2198</v>
      </c>
      <c r="O823" s="14" t="n">
        <v>124.41</v>
      </c>
      <c r="P823" s="14" t="n">
        <v>8.5723</v>
      </c>
    </row>
    <row r="824" customFormat="false" ht="15" hidden="false" customHeight="false" outlineLevel="0" collapsed="false">
      <c r="A824" s="13" t="n">
        <v>43504</v>
      </c>
      <c r="B824" s="14" t="n">
        <v>1123.14</v>
      </c>
      <c r="C824" s="14" t="n">
        <v>8.6335</v>
      </c>
      <c r="D824" s="14" t="n">
        <v>1.2933</v>
      </c>
      <c r="E824" s="14" t="n">
        <v>1.1326</v>
      </c>
      <c r="F824" s="14" t="n">
        <v>6.7426</v>
      </c>
      <c r="G824" s="14" t="n">
        <v>3.7363</v>
      </c>
      <c r="H824" s="14" t="n">
        <v>109.76</v>
      </c>
      <c r="I824" s="14" t="n">
        <v>1.1346</v>
      </c>
      <c r="J824" s="14" t="n">
        <v>9.7693</v>
      </c>
      <c r="K824" s="14" t="n">
        <v>1273.96</v>
      </c>
      <c r="L824" s="14" t="n">
        <v>0.8749</v>
      </c>
      <c r="M824" s="14" t="n">
        <v>7.6527</v>
      </c>
      <c r="N824" s="14" t="n">
        <v>4.2095</v>
      </c>
      <c r="O824" s="14" t="n">
        <v>124.57</v>
      </c>
      <c r="P824" s="14" t="n">
        <v>8.6103</v>
      </c>
    </row>
    <row r="825" customFormat="false" ht="15" hidden="false" customHeight="false" outlineLevel="0" collapsed="false">
      <c r="A825" s="13" t="n">
        <v>43507</v>
      </c>
      <c r="B825" s="14" t="n">
        <v>1126.05</v>
      </c>
      <c r="C825" s="14" t="n">
        <v>8.7232</v>
      </c>
      <c r="D825" s="14" t="n">
        <v>1.2862</v>
      </c>
      <c r="E825" s="14" t="n">
        <v>1.1277</v>
      </c>
      <c r="F825" s="14" t="n">
        <v>6.7907</v>
      </c>
      <c r="G825" s="14" t="n">
        <v>3.765</v>
      </c>
      <c r="H825" s="14" t="n">
        <v>110.4</v>
      </c>
      <c r="I825" s="14" t="n">
        <v>1.1309</v>
      </c>
      <c r="J825" s="14" t="n">
        <v>9.819</v>
      </c>
      <c r="K825" s="14" t="n">
        <v>1272.6</v>
      </c>
      <c r="L825" s="14" t="n">
        <v>0.87615</v>
      </c>
      <c r="M825" s="14" t="n">
        <v>7.6781</v>
      </c>
      <c r="N825" s="14" t="n">
        <v>4.227</v>
      </c>
      <c r="O825" s="14" t="n">
        <v>124.63</v>
      </c>
      <c r="P825" s="14" t="n">
        <v>8.6825</v>
      </c>
    </row>
    <row r="826" customFormat="false" ht="15" hidden="false" customHeight="false" outlineLevel="0" collapsed="false">
      <c r="A826" s="13" t="n">
        <v>43508</v>
      </c>
      <c r="B826" s="14" t="n">
        <v>1122.27</v>
      </c>
      <c r="C826" s="14" t="n">
        <v>8.6525</v>
      </c>
      <c r="D826" s="14" t="n">
        <v>1.2887</v>
      </c>
      <c r="E826" s="14" t="n">
        <v>1.1316</v>
      </c>
      <c r="F826" s="14" t="n">
        <v>6.7726</v>
      </c>
      <c r="G826" s="14" t="n">
        <v>3.7131</v>
      </c>
      <c r="H826" s="14" t="n">
        <v>110.5</v>
      </c>
      <c r="I826" s="14" t="n">
        <v>1.1296</v>
      </c>
      <c r="J826" s="14" t="n">
        <v>9.795</v>
      </c>
      <c r="K826" s="14" t="n">
        <v>1269.23</v>
      </c>
      <c r="L826" s="14" t="n">
        <v>0.87705</v>
      </c>
      <c r="M826" s="14" t="n">
        <v>7.6477</v>
      </c>
      <c r="N826" s="14" t="n">
        <v>4.2013</v>
      </c>
      <c r="O826" s="14" t="n">
        <v>124.7</v>
      </c>
      <c r="P826" s="14" t="n">
        <v>8.6712</v>
      </c>
    </row>
    <row r="827" customFormat="false" ht="15" hidden="false" customHeight="false" outlineLevel="0" collapsed="false">
      <c r="A827" s="13" t="n">
        <v>43509</v>
      </c>
      <c r="B827" s="14" t="n">
        <v>1123.32</v>
      </c>
      <c r="C827" s="14" t="n">
        <v>8.6426</v>
      </c>
      <c r="D827" s="14" t="n">
        <v>1.2865</v>
      </c>
      <c r="E827" s="14" t="n">
        <v>1.1288</v>
      </c>
      <c r="F827" s="14" t="n">
        <v>6.7598</v>
      </c>
      <c r="G827" s="14" t="n">
        <v>3.7485</v>
      </c>
      <c r="H827" s="14" t="n">
        <v>110.86</v>
      </c>
      <c r="I827" s="14" t="n">
        <v>1.1305</v>
      </c>
      <c r="J827" s="14" t="n">
        <v>9.761</v>
      </c>
      <c r="K827" s="14" t="n">
        <v>1270</v>
      </c>
      <c r="L827" s="14" t="n">
        <v>0.87553</v>
      </c>
      <c r="M827" s="14" t="n">
        <v>7.6474</v>
      </c>
      <c r="N827" s="14" t="n">
        <v>4.2163</v>
      </c>
      <c r="O827" s="14" t="n">
        <v>125.19</v>
      </c>
      <c r="P827" s="14" t="n">
        <v>8.6342</v>
      </c>
    </row>
    <row r="828" customFormat="false" ht="15" hidden="false" customHeight="false" outlineLevel="0" collapsed="false">
      <c r="A828" s="13" t="n">
        <v>43510</v>
      </c>
      <c r="B828" s="14" t="n">
        <v>1128</v>
      </c>
      <c r="C828" s="14" t="n">
        <v>8.6572</v>
      </c>
      <c r="D828" s="14" t="n">
        <v>1.2793</v>
      </c>
      <c r="E828" s="14" t="n">
        <v>1.1284</v>
      </c>
      <c r="F828" s="14" t="n">
        <v>6.7711</v>
      </c>
      <c r="G828" s="14" t="n">
        <v>3.7462</v>
      </c>
      <c r="H828" s="14" t="n">
        <v>110.68</v>
      </c>
      <c r="I828" s="14" t="n">
        <v>1.1268</v>
      </c>
      <c r="J828" s="14" t="n">
        <v>9.7585</v>
      </c>
      <c r="K828" s="14" t="n">
        <v>1270.39</v>
      </c>
      <c r="L828" s="14" t="n">
        <v>0.87945</v>
      </c>
      <c r="M828" s="14" t="n">
        <v>7.6347</v>
      </c>
      <c r="N828" s="14" t="n">
        <v>4.2703</v>
      </c>
      <c r="O828" s="14" t="n">
        <v>125.12</v>
      </c>
      <c r="P828" s="14" t="n">
        <v>8.6604</v>
      </c>
    </row>
    <row r="829" customFormat="false" ht="15" hidden="false" customHeight="false" outlineLevel="0" collapsed="false">
      <c r="A829" s="13" t="n">
        <v>43511</v>
      </c>
      <c r="B829" s="14" t="n">
        <v>1125.59</v>
      </c>
      <c r="C829" s="14" t="n">
        <v>8.6473</v>
      </c>
      <c r="D829" s="14" t="n">
        <v>1.2857</v>
      </c>
      <c r="E829" s="14" t="n">
        <v>1.1268</v>
      </c>
      <c r="F829" s="14" t="n">
        <v>6.768</v>
      </c>
      <c r="G829" s="14" t="n">
        <v>3.71</v>
      </c>
      <c r="H829" s="14" t="n">
        <v>110.54</v>
      </c>
      <c r="I829" s="14" t="n">
        <v>1.126</v>
      </c>
      <c r="J829" s="14" t="n">
        <v>9.769</v>
      </c>
      <c r="K829" s="14" t="n">
        <v>1269.32</v>
      </c>
      <c r="L829" s="14" t="n">
        <v>0.87938</v>
      </c>
      <c r="M829" s="14" t="n">
        <v>7.6236</v>
      </c>
      <c r="N829" s="14" t="n">
        <v>4.1852</v>
      </c>
      <c r="O829" s="14" t="n">
        <v>124.45</v>
      </c>
      <c r="P829" s="14" t="n">
        <v>8.6758</v>
      </c>
    </row>
    <row r="830" customFormat="false" ht="15" hidden="false" customHeight="false" outlineLevel="0" collapsed="false">
      <c r="A830" s="13" t="n">
        <v>43514</v>
      </c>
      <c r="I830" s="14" t="n">
        <v>1.1328</v>
      </c>
      <c r="J830" s="14" t="n">
        <v>9.7508</v>
      </c>
      <c r="K830" s="14" t="n">
        <v>1275.31</v>
      </c>
      <c r="L830" s="14" t="n">
        <v>0.8762</v>
      </c>
      <c r="M830" s="14" t="n">
        <v>7.6637</v>
      </c>
      <c r="N830" s="14" t="n">
        <v>4.2213</v>
      </c>
      <c r="O830" s="14" t="n">
        <v>125.23</v>
      </c>
      <c r="P830" s="14" t="n">
        <v>8.6077</v>
      </c>
    </row>
    <row r="831" customFormat="false" ht="15" hidden="false" customHeight="false" outlineLevel="0" collapsed="false">
      <c r="A831" s="13" t="n">
        <v>43515</v>
      </c>
      <c r="B831" s="14" t="n">
        <v>1124.54</v>
      </c>
      <c r="C831" s="14" t="n">
        <v>8.5829</v>
      </c>
      <c r="D831" s="14" t="n">
        <v>1.3036</v>
      </c>
      <c r="E831" s="14" t="n">
        <v>1.1328</v>
      </c>
      <c r="F831" s="14" t="n">
        <v>6.756</v>
      </c>
      <c r="G831" s="14" t="n">
        <v>3.7145</v>
      </c>
      <c r="H831" s="14" t="n">
        <v>110.68</v>
      </c>
      <c r="I831" s="14" t="n">
        <v>1.1294</v>
      </c>
      <c r="J831" s="14" t="n">
        <v>9.746</v>
      </c>
      <c r="K831" s="14" t="n">
        <v>1273.5</v>
      </c>
      <c r="L831" s="14" t="n">
        <v>0.87185</v>
      </c>
      <c r="M831" s="14" t="n">
        <v>7.6418</v>
      </c>
      <c r="N831" s="14" t="n">
        <v>4.2039</v>
      </c>
      <c r="O831" s="14" t="n">
        <v>125.09</v>
      </c>
      <c r="P831" s="14" t="n">
        <v>8.6294</v>
      </c>
    </row>
    <row r="832" customFormat="false" ht="15" hidden="false" customHeight="false" outlineLevel="0" collapsed="false">
      <c r="A832" s="13" t="n">
        <v>43516</v>
      </c>
      <c r="I832" s="14" t="n">
        <v>1.1342</v>
      </c>
      <c r="J832" s="14" t="n">
        <v>9.7335</v>
      </c>
      <c r="K832" s="14" t="n">
        <v>1273.47</v>
      </c>
      <c r="L832" s="14" t="n">
        <v>0.86945</v>
      </c>
      <c r="M832" s="14" t="n">
        <v>7.6244</v>
      </c>
      <c r="N832" s="14" t="n">
        <v>4.2019</v>
      </c>
      <c r="O832" s="14" t="n">
        <v>125.61</v>
      </c>
      <c r="P832" s="14" t="n">
        <v>8.5818</v>
      </c>
    </row>
    <row r="833" customFormat="false" ht="15" hidden="false" customHeight="false" outlineLevel="0" collapsed="false">
      <c r="A833" s="13" t="n">
        <v>43517</v>
      </c>
      <c r="B833" s="14" t="n">
        <v>1125.53</v>
      </c>
      <c r="C833" s="14" t="n">
        <v>8.6254</v>
      </c>
      <c r="D833" s="14" t="n">
        <v>1.306</v>
      </c>
      <c r="E833" s="14" t="n">
        <v>1.1338</v>
      </c>
      <c r="F833" s="14" t="n">
        <v>6.7195</v>
      </c>
      <c r="G833" s="14" t="n">
        <v>3.7636</v>
      </c>
      <c r="H833" s="14" t="n">
        <v>110.72</v>
      </c>
      <c r="I833" s="14" t="n">
        <v>1.1354</v>
      </c>
      <c r="J833" s="14" t="n">
        <v>9.7808</v>
      </c>
      <c r="K833" s="14" t="n">
        <v>1277.61</v>
      </c>
      <c r="L833" s="14" t="n">
        <v>0.86805</v>
      </c>
      <c r="M833" s="14" t="n">
        <v>7.6275</v>
      </c>
      <c r="N833" s="14" t="n">
        <v>4.2476</v>
      </c>
      <c r="O833" s="14" t="n">
        <v>125.7</v>
      </c>
      <c r="P833" s="14" t="n">
        <v>8.6144</v>
      </c>
    </row>
    <row r="834" customFormat="false" ht="15" hidden="false" customHeight="false" outlineLevel="0" collapsed="false">
      <c r="A834" s="13" t="n">
        <v>43518</v>
      </c>
      <c r="B834" s="14" t="n">
        <v>1121.07</v>
      </c>
      <c r="C834" s="14" t="n">
        <v>8.6022</v>
      </c>
      <c r="D834" s="14" t="n">
        <v>1.3067</v>
      </c>
      <c r="E834" s="14" t="n">
        <v>1.1342</v>
      </c>
      <c r="F834" s="14" t="n">
        <v>6.7112</v>
      </c>
      <c r="G834" s="14" t="n">
        <v>3.7376</v>
      </c>
      <c r="H834" s="14" t="n">
        <v>110.7</v>
      </c>
      <c r="I834" s="14" t="n">
        <v>1.1325</v>
      </c>
      <c r="J834" s="14" t="n">
        <v>9.7643</v>
      </c>
      <c r="K834" s="14" t="n">
        <v>1273.2</v>
      </c>
      <c r="L834" s="14" t="n">
        <v>0.87263</v>
      </c>
      <c r="M834" s="14" t="n">
        <v>7.6109</v>
      </c>
      <c r="N834" s="14" t="n">
        <v>4.2392</v>
      </c>
      <c r="O834" s="14" t="n">
        <v>125.56</v>
      </c>
      <c r="P834" s="14" t="n">
        <v>8.6219</v>
      </c>
    </row>
    <row r="835" customFormat="false" ht="15" hidden="false" customHeight="false" outlineLevel="0" collapsed="false">
      <c r="A835" s="13" t="n">
        <v>43521</v>
      </c>
      <c r="B835" s="14" t="n">
        <v>1116.1</v>
      </c>
      <c r="C835" s="14" t="n">
        <v>8.6093</v>
      </c>
      <c r="D835" s="14" t="n">
        <v>1.3059</v>
      </c>
      <c r="E835" s="14" t="n">
        <v>1.1345</v>
      </c>
      <c r="F835" s="14" t="n">
        <v>6.6844</v>
      </c>
      <c r="G835" s="14" t="n">
        <v>3.7305</v>
      </c>
      <c r="H835" s="14" t="n">
        <v>111.07</v>
      </c>
      <c r="I835" s="14" t="n">
        <v>1.1355</v>
      </c>
      <c r="J835" s="14" t="n">
        <v>9.762</v>
      </c>
      <c r="K835" s="14" t="n">
        <v>1269.19</v>
      </c>
      <c r="L835" s="14" t="n">
        <v>0.86828</v>
      </c>
      <c r="M835" s="14" t="n">
        <v>7.5952</v>
      </c>
      <c r="N835" s="14" t="n">
        <v>4.2322</v>
      </c>
      <c r="O835" s="14" t="n">
        <v>125.75</v>
      </c>
      <c r="P835" s="14" t="n">
        <v>8.5971</v>
      </c>
    </row>
    <row r="836" customFormat="false" ht="15" hidden="false" customHeight="false" outlineLevel="0" collapsed="false">
      <c r="A836" s="13" t="n">
        <v>43522</v>
      </c>
      <c r="B836" s="14" t="n">
        <v>1116.88</v>
      </c>
      <c r="C836" s="14" t="n">
        <v>8.5781</v>
      </c>
      <c r="D836" s="14" t="n">
        <v>1.3252</v>
      </c>
      <c r="E836" s="14" t="n">
        <v>1.1374</v>
      </c>
      <c r="F836" s="14" t="n">
        <v>6.698</v>
      </c>
      <c r="G836" s="14" t="n">
        <v>3.7604</v>
      </c>
      <c r="H836" s="14" t="n">
        <v>110.76</v>
      </c>
      <c r="I836" s="14" t="n">
        <v>1.1361</v>
      </c>
      <c r="J836" s="14" t="n">
        <v>9.7725</v>
      </c>
      <c r="K836" s="14" t="n">
        <v>1270</v>
      </c>
      <c r="L836" s="14" t="n">
        <v>0.86055</v>
      </c>
      <c r="M836" s="14" t="n">
        <v>7.6077</v>
      </c>
      <c r="N836" s="14" t="n">
        <v>4.2574</v>
      </c>
      <c r="O836" s="14" t="n">
        <v>125.93</v>
      </c>
      <c r="P836" s="14" t="n">
        <v>8.6018</v>
      </c>
    </row>
    <row r="837" customFormat="false" ht="15" hidden="false" customHeight="false" outlineLevel="0" collapsed="false">
      <c r="A837" s="13" t="n">
        <v>43523</v>
      </c>
      <c r="B837" s="14" t="n">
        <v>1117.74</v>
      </c>
      <c r="C837" s="14" t="n">
        <v>8.5433</v>
      </c>
      <c r="D837" s="14" t="n">
        <v>1.3318</v>
      </c>
      <c r="E837" s="14" t="n">
        <v>1.137</v>
      </c>
      <c r="F837" s="14" t="n">
        <v>6.6822</v>
      </c>
      <c r="G837" s="14" t="n">
        <v>3.7375</v>
      </c>
      <c r="H837" s="14" t="n">
        <v>110.92</v>
      </c>
      <c r="I837" s="14" t="n">
        <v>1.1386</v>
      </c>
      <c r="J837" s="14" t="n">
        <v>9.7123</v>
      </c>
      <c r="K837" s="14" t="n">
        <v>1273.47</v>
      </c>
      <c r="L837" s="14" t="n">
        <v>0.85503</v>
      </c>
      <c r="M837" s="14" t="n">
        <v>7.6073</v>
      </c>
      <c r="N837" s="14" t="n">
        <v>4.245</v>
      </c>
      <c r="O837" s="14" t="n">
        <v>125.9</v>
      </c>
      <c r="P837" s="14" t="n">
        <v>8.53</v>
      </c>
    </row>
    <row r="838" customFormat="false" ht="15" hidden="false" customHeight="false" outlineLevel="0" collapsed="false">
      <c r="A838" s="13" t="n">
        <v>43524</v>
      </c>
      <c r="B838" s="14" t="n">
        <v>1124.65</v>
      </c>
      <c r="C838" s="14" t="n">
        <v>8.5538</v>
      </c>
      <c r="D838" s="14" t="n">
        <v>1.3274</v>
      </c>
      <c r="E838" s="14" t="n">
        <v>1.1379</v>
      </c>
      <c r="F838" s="14" t="n">
        <v>6.6912</v>
      </c>
      <c r="G838" s="14" t="n">
        <v>3.7493</v>
      </c>
      <c r="H838" s="14" t="n">
        <v>111.38</v>
      </c>
      <c r="I838" s="14" t="n">
        <v>1.1416</v>
      </c>
      <c r="J838" s="14" t="n">
        <v>9.7268</v>
      </c>
      <c r="K838" s="14" t="n">
        <v>1281.07</v>
      </c>
      <c r="L838" s="14" t="n">
        <v>0.85835</v>
      </c>
      <c r="M838" s="14" t="n">
        <v>7.6309</v>
      </c>
      <c r="N838" s="14" t="n">
        <v>4.2688</v>
      </c>
      <c r="O838" s="14" t="n">
        <v>126.44</v>
      </c>
      <c r="P838" s="14" t="n">
        <v>8.5203</v>
      </c>
    </row>
    <row r="839" customFormat="false" ht="15" hidden="false" customHeight="false" outlineLevel="0" collapsed="false">
      <c r="A839" s="13" t="n">
        <v>43525</v>
      </c>
      <c r="B839" s="14" t="n">
        <v>1126.76</v>
      </c>
      <c r="C839" s="14" t="n">
        <v>8.5778</v>
      </c>
      <c r="D839" s="14" t="n">
        <v>1.3222</v>
      </c>
      <c r="E839" s="14" t="n">
        <v>1.1376</v>
      </c>
      <c r="F839" s="14" t="n">
        <v>6.7048</v>
      </c>
      <c r="G839" s="14" t="n">
        <v>3.7852</v>
      </c>
      <c r="H839" s="14" t="n">
        <v>111.89</v>
      </c>
      <c r="I839" s="14" t="n">
        <v>1.1383</v>
      </c>
      <c r="J839" s="14" t="n">
        <v>9.7268</v>
      </c>
      <c r="K839" s="14" t="n">
        <v>1282.12</v>
      </c>
      <c r="L839" s="14" t="n">
        <v>0.85968</v>
      </c>
      <c r="M839" s="14" t="n">
        <v>7.6332</v>
      </c>
      <c r="N839" s="14" t="n">
        <v>4.3037</v>
      </c>
      <c r="O839" s="14" t="n">
        <v>127.35</v>
      </c>
      <c r="P839" s="14" t="n">
        <v>8.545</v>
      </c>
    </row>
    <row r="840" customFormat="false" ht="15" hidden="false" customHeight="false" outlineLevel="0" collapsed="false">
      <c r="A840" s="13" t="n">
        <v>43528</v>
      </c>
      <c r="B840" s="14" t="n">
        <v>1126.73</v>
      </c>
      <c r="C840" s="14" t="n">
        <v>8.6555</v>
      </c>
      <c r="D840" s="14" t="n">
        <v>1.3186</v>
      </c>
      <c r="E840" s="14" t="n">
        <v>1.1328</v>
      </c>
      <c r="F840" s="14" t="n">
        <v>6.7045</v>
      </c>
      <c r="G840" s="14" t="n">
        <v>3.775</v>
      </c>
      <c r="H840" s="14" t="n">
        <v>111.68</v>
      </c>
      <c r="I840" s="14" t="n">
        <v>1.1337</v>
      </c>
      <c r="J840" s="14" t="n">
        <v>9.7633</v>
      </c>
      <c r="K840" s="14" t="n">
        <v>1276.68</v>
      </c>
      <c r="L840" s="14" t="n">
        <v>0.85775</v>
      </c>
      <c r="M840" s="14" t="n">
        <v>7.5985</v>
      </c>
      <c r="N840" s="14" t="n">
        <v>4.2794</v>
      </c>
      <c r="O840" s="14" t="n">
        <v>126.91</v>
      </c>
      <c r="P840" s="14" t="n">
        <v>8.6119</v>
      </c>
    </row>
    <row r="841" customFormat="false" ht="15" hidden="false" customHeight="false" outlineLevel="0" collapsed="false">
      <c r="A841" s="13" t="n">
        <v>43529</v>
      </c>
      <c r="B841" s="14" t="n">
        <v>1126.46</v>
      </c>
      <c r="C841" s="14" t="n">
        <v>8.6739</v>
      </c>
      <c r="D841" s="14" t="n">
        <v>1.3141</v>
      </c>
      <c r="E841" s="14" t="n">
        <v>1.13</v>
      </c>
      <c r="F841" s="14" t="n">
        <v>6.706</v>
      </c>
      <c r="G841" s="14" t="n">
        <v>3.775</v>
      </c>
      <c r="H841" s="14" t="n">
        <v>111.98</v>
      </c>
      <c r="I841" s="14" t="n">
        <v>1.1329</v>
      </c>
      <c r="J841" s="14" t="n">
        <v>9.8023</v>
      </c>
      <c r="K841" s="14" t="n">
        <v>1276.61</v>
      </c>
      <c r="L841" s="14" t="n">
        <v>0.86358</v>
      </c>
      <c r="M841" s="14" t="n">
        <v>7.5939</v>
      </c>
      <c r="N841" s="14" t="n">
        <v>4.2773</v>
      </c>
      <c r="O841" s="14" t="n">
        <v>126.8</v>
      </c>
      <c r="P841" s="14" t="n">
        <v>8.6524</v>
      </c>
    </row>
    <row r="842" customFormat="false" ht="15" hidden="false" customHeight="false" outlineLevel="0" collapsed="false">
      <c r="A842" s="13" t="n">
        <v>43530</v>
      </c>
      <c r="B842" s="14" t="n">
        <v>1127.18</v>
      </c>
      <c r="C842" s="14" t="n">
        <v>8.664</v>
      </c>
      <c r="D842" s="14" t="n">
        <v>1.3148</v>
      </c>
      <c r="E842" s="14" t="n">
        <v>1.132</v>
      </c>
      <c r="F842" s="14" t="n">
        <v>6.7099</v>
      </c>
      <c r="G842" s="14" t="n">
        <v>3.8152</v>
      </c>
      <c r="H842" s="14" t="n">
        <v>111.66</v>
      </c>
      <c r="I842" s="14" t="n">
        <v>1.1305</v>
      </c>
      <c r="J842" s="14" t="n">
        <v>9.804</v>
      </c>
      <c r="K842" s="14" t="n">
        <v>1275.05</v>
      </c>
      <c r="L842" s="14" t="n">
        <v>0.8597</v>
      </c>
      <c r="M842" s="14" t="n">
        <v>7.5857</v>
      </c>
      <c r="N842" s="14" t="n">
        <v>4.2682</v>
      </c>
      <c r="O842" s="14" t="n">
        <v>126.4</v>
      </c>
      <c r="P842" s="14" t="n">
        <v>8.6723</v>
      </c>
    </row>
    <row r="843" customFormat="false" ht="15" hidden="false" customHeight="false" outlineLevel="0" collapsed="false">
      <c r="A843" s="13" t="n">
        <v>43531</v>
      </c>
      <c r="B843" s="14" t="n">
        <v>1133.18</v>
      </c>
      <c r="C843" s="14" t="n">
        <v>8.7499</v>
      </c>
      <c r="D843" s="14" t="n">
        <v>1.3107</v>
      </c>
      <c r="E843" s="14" t="n">
        <v>1.1214</v>
      </c>
      <c r="F843" s="14" t="n">
        <v>6.7132</v>
      </c>
      <c r="G843" s="14" t="n">
        <v>3.8836</v>
      </c>
      <c r="H843" s="14" t="n">
        <v>111.6</v>
      </c>
      <c r="I843" s="14" t="n">
        <v>1.1271</v>
      </c>
      <c r="J843" s="14" t="n">
        <v>9.786</v>
      </c>
      <c r="K843" s="14" t="n">
        <v>1273.15</v>
      </c>
      <c r="L843" s="14" t="n">
        <v>0.8588</v>
      </c>
      <c r="M843" s="14" t="n">
        <v>7.5622</v>
      </c>
      <c r="N843" s="14" t="n">
        <v>4.3234</v>
      </c>
      <c r="O843" s="14" t="n">
        <v>125.97</v>
      </c>
      <c r="P843" s="14" t="n">
        <v>8.6825</v>
      </c>
    </row>
    <row r="844" customFormat="false" ht="15" hidden="false" customHeight="false" outlineLevel="0" collapsed="false">
      <c r="A844" s="13" t="n">
        <v>43532</v>
      </c>
      <c r="B844" s="14" t="n">
        <v>1131.74</v>
      </c>
      <c r="C844" s="14" t="n">
        <v>8.7639</v>
      </c>
      <c r="D844" s="14" t="n">
        <v>1.301</v>
      </c>
      <c r="E844" s="14" t="n">
        <v>1.1243</v>
      </c>
      <c r="F844" s="14" t="n">
        <v>6.7201</v>
      </c>
      <c r="G844" s="14" t="n">
        <v>3.8639</v>
      </c>
      <c r="H844" s="14" t="n">
        <v>111.11</v>
      </c>
      <c r="I844" s="14" t="n">
        <v>1.1222</v>
      </c>
      <c r="J844" s="14" t="n">
        <v>9.8733</v>
      </c>
      <c r="K844" s="14" t="n">
        <v>1275.6</v>
      </c>
      <c r="L844" s="14" t="n">
        <v>0.85905</v>
      </c>
      <c r="M844" s="14" t="n">
        <v>7.5451</v>
      </c>
      <c r="N844" s="14" t="n">
        <v>4.3605</v>
      </c>
      <c r="O844" s="14" t="n">
        <v>124.72</v>
      </c>
      <c r="P844" s="14" t="n">
        <v>8.7982</v>
      </c>
    </row>
    <row r="845" customFormat="false" ht="15" hidden="false" customHeight="false" outlineLevel="0" collapsed="false">
      <c r="A845" s="13" t="n">
        <v>43535</v>
      </c>
      <c r="B845" s="14" t="n">
        <v>1133.05</v>
      </c>
      <c r="C845" s="14" t="n">
        <v>8.6885</v>
      </c>
      <c r="D845" s="14" t="n">
        <v>1.3095</v>
      </c>
      <c r="E845" s="14" t="n">
        <v>1.1226</v>
      </c>
      <c r="F845" s="14" t="n">
        <v>6.7215</v>
      </c>
      <c r="G845" s="14" t="n">
        <v>3.8435</v>
      </c>
      <c r="H845" s="14" t="n">
        <v>111.21</v>
      </c>
      <c r="I845" s="14" t="n">
        <v>1.1244</v>
      </c>
      <c r="J845" s="14" t="n">
        <v>9.77</v>
      </c>
      <c r="K845" s="14" t="n">
        <v>1275.28</v>
      </c>
      <c r="L845" s="14" t="n">
        <v>0.8624</v>
      </c>
      <c r="M845" s="14" t="n">
        <v>7.5612</v>
      </c>
      <c r="N845" s="14" t="n">
        <v>4.3275</v>
      </c>
      <c r="O845" s="14" t="n">
        <v>124.91</v>
      </c>
      <c r="P845" s="14" t="n">
        <v>8.6891</v>
      </c>
    </row>
    <row r="846" customFormat="false" ht="15" hidden="false" customHeight="false" outlineLevel="0" collapsed="false">
      <c r="A846" s="13" t="n">
        <v>43536</v>
      </c>
      <c r="B846" s="14" t="n">
        <v>1127.89</v>
      </c>
      <c r="C846" s="14" t="n">
        <v>8.634</v>
      </c>
      <c r="D846" s="14" t="n">
        <v>1.3101</v>
      </c>
      <c r="E846" s="14" t="n">
        <v>1.1276</v>
      </c>
      <c r="F846" s="14" t="n">
        <v>6.707</v>
      </c>
      <c r="G846" s="14" t="n">
        <v>3.809</v>
      </c>
      <c r="H846" s="14" t="n">
        <v>111.38</v>
      </c>
      <c r="I846" s="14" t="n">
        <v>1.1275</v>
      </c>
      <c r="J846" s="14" t="n">
        <v>9.7365</v>
      </c>
      <c r="K846" s="14" t="n">
        <v>1273.88</v>
      </c>
      <c r="L846" s="14" t="n">
        <v>0.86145</v>
      </c>
      <c r="M846" s="14" t="n">
        <v>7.5643</v>
      </c>
      <c r="N846" s="14" t="n">
        <v>4.3045</v>
      </c>
      <c r="O846" s="14" t="n">
        <v>125.27</v>
      </c>
      <c r="P846" s="14" t="n">
        <v>8.6355</v>
      </c>
    </row>
    <row r="847" customFormat="false" ht="15" hidden="false" customHeight="false" outlineLevel="0" collapsed="false">
      <c r="A847" s="13" t="n">
        <v>43537</v>
      </c>
      <c r="B847" s="14" t="n">
        <v>1130.47</v>
      </c>
      <c r="C847" s="14" t="n">
        <v>8.5768</v>
      </c>
      <c r="D847" s="14" t="n">
        <v>1.323</v>
      </c>
      <c r="E847" s="14" t="n">
        <v>1.131</v>
      </c>
      <c r="F847" s="14" t="n">
        <v>6.7064</v>
      </c>
      <c r="G847" s="14" t="n">
        <v>3.8249</v>
      </c>
      <c r="H847" s="14" t="n">
        <v>111.23</v>
      </c>
      <c r="I847" s="14" t="n">
        <v>1.1303</v>
      </c>
      <c r="J847" s="14" t="n">
        <v>9.7245</v>
      </c>
      <c r="K847" s="14" t="n">
        <v>1279.12</v>
      </c>
      <c r="L847" s="14" t="n">
        <v>0.8588</v>
      </c>
      <c r="M847" s="14" t="n">
        <v>7.5818</v>
      </c>
      <c r="N847" s="14" t="n">
        <v>4.326</v>
      </c>
      <c r="O847" s="14" t="n">
        <v>125.89</v>
      </c>
      <c r="P847" s="14" t="n">
        <v>8.6035</v>
      </c>
    </row>
    <row r="848" customFormat="false" ht="15" hidden="false" customHeight="false" outlineLevel="0" collapsed="false">
      <c r="A848" s="13" t="n">
        <v>43538</v>
      </c>
      <c r="B848" s="14" t="n">
        <v>1135.05</v>
      </c>
      <c r="C848" s="14" t="n">
        <v>8.5812</v>
      </c>
      <c r="D848" s="14" t="n">
        <v>1.3281</v>
      </c>
      <c r="E848" s="14" t="n">
        <v>1.1304</v>
      </c>
      <c r="F848" s="14" t="n">
        <v>6.7209</v>
      </c>
      <c r="G848" s="14" t="n">
        <v>3.834</v>
      </c>
      <c r="H848" s="14" t="n">
        <v>111.71</v>
      </c>
      <c r="I848" s="14" t="n">
        <v>1.1295</v>
      </c>
      <c r="J848" s="14" t="n">
        <v>9.7155</v>
      </c>
      <c r="K848" s="14" t="n">
        <v>1283.62</v>
      </c>
      <c r="L848" s="14" t="n">
        <v>0.85228</v>
      </c>
      <c r="M848" s="14" t="n">
        <v>7.5984</v>
      </c>
      <c r="N848" s="14" t="n">
        <v>4.333</v>
      </c>
      <c r="O848" s="14" t="n">
        <v>126.09</v>
      </c>
      <c r="P848" s="14" t="n">
        <v>8.6016</v>
      </c>
    </row>
    <row r="849" customFormat="false" ht="15" hidden="false" customHeight="false" outlineLevel="0" collapsed="false">
      <c r="A849" s="13" t="n">
        <v>43539</v>
      </c>
      <c r="B849" s="14" t="n">
        <v>1134.44</v>
      </c>
      <c r="C849" s="14" t="n">
        <v>8.5377</v>
      </c>
      <c r="D849" s="14" t="n">
        <v>1.3278</v>
      </c>
      <c r="E849" s="14" t="n">
        <v>1.1326</v>
      </c>
      <c r="F849" s="14" t="n">
        <v>6.7129</v>
      </c>
      <c r="G849" s="14" t="n">
        <v>3.814</v>
      </c>
      <c r="H849" s="14" t="n">
        <v>111.57</v>
      </c>
      <c r="I849" s="14" t="n">
        <v>1.1308</v>
      </c>
      <c r="J849" s="14" t="n">
        <v>9.688</v>
      </c>
      <c r="K849" s="14" t="n">
        <v>1284.65</v>
      </c>
      <c r="L849" s="14" t="n">
        <v>0.85415</v>
      </c>
      <c r="M849" s="14" t="n">
        <v>7.5922</v>
      </c>
      <c r="N849" s="14" t="n">
        <v>4.3576</v>
      </c>
      <c r="O849" s="14" t="n">
        <v>126.16</v>
      </c>
      <c r="P849" s="14" t="n">
        <v>8.5674</v>
      </c>
    </row>
    <row r="850" customFormat="false" ht="15" hidden="false" customHeight="false" outlineLevel="0" collapsed="false">
      <c r="A850" s="13" t="n">
        <v>43542</v>
      </c>
      <c r="B850" s="14" t="n">
        <v>1131.74</v>
      </c>
      <c r="C850" s="14" t="n">
        <v>8.5571</v>
      </c>
      <c r="D850" s="14" t="n">
        <v>1.3223</v>
      </c>
      <c r="E850" s="14" t="n">
        <v>1.1337</v>
      </c>
      <c r="F850" s="14" t="n">
        <v>6.7121</v>
      </c>
      <c r="G850" s="14" t="n">
        <v>3.8097</v>
      </c>
      <c r="H850" s="14" t="n">
        <v>111.41</v>
      </c>
      <c r="I850" s="14" t="n">
        <v>1.1349</v>
      </c>
      <c r="J850" s="14" t="n">
        <v>9.672</v>
      </c>
      <c r="K850" s="14" t="n">
        <v>1284.66</v>
      </c>
      <c r="L850" s="14" t="n">
        <v>0.8566</v>
      </c>
      <c r="M850" s="14" t="n">
        <v>7.6186</v>
      </c>
      <c r="N850" s="14" t="n">
        <v>4.3323</v>
      </c>
      <c r="O850" s="14" t="n">
        <v>126.54</v>
      </c>
      <c r="P850" s="14" t="n">
        <v>8.5223</v>
      </c>
    </row>
    <row r="851" customFormat="false" ht="15" hidden="false" customHeight="false" outlineLevel="0" collapsed="false">
      <c r="A851" s="13" t="n">
        <v>43543</v>
      </c>
      <c r="B851" s="14" t="n">
        <v>1129</v>
      </c>
      <c r="C851" s="14" t="n">
        <v>8.521</v>
      </c>
      <c r="D851" s="14" t="n">
        <v>1.3263</v>
      </c>
      <c r="E851" s="14" t="n">
        <v>1.1346</v>
      </c>
      <c r="F851" s="14" t="n">
        <v>6.7106</v>
      </c>
      <c r="G851" s="14" t="n">
        <v>3.767</v>
      </c>
      <c r="H851" s="14" t="n">
        <v>111.38</v>
      </c>
      <c r="I851" s="14" t="n">
        <v>1.1358</v>
      </c>
      <c r="J851" s="14" t="n">
        <v>9.6745</v>
      </c>
      <c r="K851" s="14" t="n">
        <v>1283.15</v>
      </c>
      <c r="L851" s="14" t="n">
        <v>0.85548</v>
      </c>
      <c r="M851" s="14" t="n">
        <v>7.6237</v>
      </c>
      <c r="N851" s="14" t="n">
        <v>4.2878</v>
      </c>
      <c r="O851" s="14" t="n">
        <v>126.59</v>
      </c>
      <c r="P851" s="14" t="n">
        <v>8.5178</v>
      </c>
    </row>
    <row r="852" customFormat="false" ht="15" hidden="false" customHeight="false" outlineLevel="0" collapsed="false">
      <c r="A852" s="13" t="n">
        <v>43544</v>
      </c>
      <c r="B852" s="14" t="n">
        <v>1128.25</v>
      </c>
      <c r="C852" s="14" t="n">
        <v>8.5405</v>
      </c>
      <c r="D852" s="14" t="n">
        <v>1.3191</v>
      </c>
      <c r="E852" s="14" t="n">
        <v>1.1352</v>
      </c>
      <c r="F852" s="14" t="n">
        <v>6.6916</v>
      </c>
      <c r="G852" s="14" t="n">
        <v>3.7856</v>
      </c>
      <c r="H852" s="14" t="n">
        <v>111.41</v>
      </c>
      <c r="I852" s="14" t="n">
        <v>1.1354</v>
      </c>
      <c r="J852" s="14" t="n">
        <v>9.6915</v>
      </c>
      <c r="K852" s="14" t="n">
        <v>1281.96</v>
      </c>
      <c r="L852" s="14" t="n">
        <v>0.8628</v>
      </c>
      <c r="M852" s="14" t="n">
        <v>7.6014</v>
      </c>
      <c r="N852" s="14" t="n">
        <v>4.3012</v>
      </c>
      <c r="O852" s="14" t="n">
        <v>126.63</v>
      </c>
      <c r="P852" s="14" t="n">
        <v>8.5358</v>
      </c>
    </row>
    <row r="853" customFormat="false" ht="15" hidden="false" customHeight="false" outlineLevel="0" collapsed="false">
      <c r="A853" s="13" t="n">
        <v>43545</v>
      </c>
      <c r="B853" s="14" t="n">
        <v>1128.4</v>
      </c>
      <c r="C853" s="14" t="n">
        <v>8.4699</v>
      </c>
      <c r="D853" s="14" t="n">
        <v>1.3073</v>
      </c>
      <c r="E853" s="14" t="n">
        <v>1.1361</v>
      </c>
      <c r="F853" s="14" t="n">
        <v>6.6952</v>
      </c>
      <c r="G853" s="14" t="n">
        <v>3.8176</v>
      </c>
      <c r="H853" s="14" t="n">
        <v>110.86</v>
      </c>
      <c r="I853" s="14" t="n">
        <v>1.1387</v>
      </c>
      <c r="J853" s="14" t="n">
        <v>9.6178</v>
      </c>
      <c r="K853" s="14" t="n">
        <v>1285.36</v>
      </c>
      <c r="L853" s="14" t="n">
        <v>0.8665</v>
      </c>
      <c r="M853" s="14" t="n">
        <v>7.6198</v>
      </c>
      <c r="N853" s="14" t="n">
        <v>4.2924</v>
      </c>
      <c r="O853" s="14" t="n">
        <v>125.92</v>
      </c>
      <c r="P853" s="14" t="n">
        <v>8.4463</v>
      </c>
    </row>
    <row r="854" customFormat="false" ht="15" hidden="false" customHeight="false" outlineLevel="0" collapsed="false">
      <c r="A854" s="13" t="n">
        <v>43546</v>
      </c>
      <c r="B854" s="14" t="n">
        <v>1136.8</v>
      </c>
      <c r="C854" s="14" t="n">
        <v>8.5816</v>
      </c>
      <c r="D854" s="14" t="n">
        <v>1.3219</v>
      </c>
      <c r="E854" s="14" t="n">
        <v>1.1282</v>
      </c>
      <c r="F854" s="14" t="n">
        <v>6.7162</v>
      </c>
      <c r="G854" s="14" t="n">
        <v>3.8942</v>
      </c>
      <c r="H854" s="14" t="n">
        <v>109.76</v>
      </c>
      <c r="I854" s="14" t="n">
        <v>1.1302</v>
      </c>
      <c r="J854" s="14" t="n">
        <v>9.6423</v>
      </c>
      <c r="K854" s="14" t="n">
        <v>1282.81</v>
      </c>
      <c r="L854" s="14" t="n">
        <v>0.8589</v>
      </c>
      <c r="M854" s="14" t="n">
        <v>7.5868</v>
      </c>
      <c r="N854" s="14" t="n">
        <v>4.376</v>
      </c>
      <c r="O854" s="14" t="n">
        <v>124.6</v>
      </c>
      <c r="P854" s="14" t="n">
        <v>8.5315</v>
      </c>
    </row>
    <row r="855" customFormat="false" ht="15" hidden="false" customHeight="false" outlineLevel="0" collapsed="false">
      <c r="A855" s="13" t="n">
        <v>43549</v>
      </c>
      <c r="B855" s="14" t="n">
        <v>1131.88</v>
      </c>
      <c r="C855" s="14" t="n">
        <v>8.5239</v>
      </c>
      <c r="D855" s="14" t="n">
        <v>1.3203</v>
      </c>
      <c r="E855" s="14" t="n">
        <v>1.1324</v>
      </c>
      <c r="F855" s="14" t="n">
        <v>6.7079</v>
      </c>
      <c r="G855" s="14" t="n">
        <v>3.864</v>
      </c>
      <c r="H855" s="14" t="n">
        <v>110.09</v>
      </c>
      <c r="I855" s="14" t="n">
        <v>1.1325</v>
      </c>
      <c r="J855" s="14" t="n">
        <v>9.659</v>
      </c>
      <c r="K855" s="14" t="n">
        <v>1283.07</v>
      </c>
      <c r="L855" s="14" t="n">
        <v>0.85638</v>
      </c>
      <c r="M855" s="14" t="n">
        <v>7.6015</v>
      </c>
      <c r="N855" s="14" t="n">
        <v>4.4032</v>
      </c>
      <c r="O855" s="14" t="n">
        <v>124.65</v>
      </c>
      <c r="P855" s="14" t="n">
        <v>8.5289</v>
      </c>
    </row>
    <row r="856" customFormat="false" ht="15" hidden="false" customHeight="false" outlineLevel="0" collapsed="false">
      <c r="A856" s="13" t="n">
        <v>43550</v>
      </c>
      <c r="B856" s="14" t="n">
        <v>1133.55</v>
      </c>
      <c r="C856" s="14" t="n">
        <v>8.5356</v>
      </c>
      <c r="D856" s="14" t="n">
        <v>1.3215</v>
      </c>
      <c r="E856" s="14" t="n">
        <v>1.128</v>
      </c>
      <c r="F856" s="14" t="n">
        <v>6.7145</v>
      </c>
      <c r="G856" s="14" t="n">
        <v>3.876</v>
      </c>
      <c r="H856" s="14" t="n">
        <v>110.5</v>
      </c>
      <c r="I856" s="14" t="n">
        <v>1.1291</v>
      </c>
      <c r="J856" s="14" t="n">
        <v>9.6398</v>
      </c>
      <c r="K856" s="14" t="n">
        <v>1280.91</v>
      </c>
      <c r="L856" s="14" t="n">
        <v>0.8533</v>
      </c>
      <c r="M856" s="14" t="n">
        <v>7.5818</v>
      </c>
      <c r="N856" s="14" t="n">
        <v>4.3568</v>
      </c>
      <c r="O856" s="14" t="n">
        <v>124.72</v>
      </c>
      <c r="P856" s="14" t="n">
        <v>8.5376</v>
      </c>
    </row>
    <row r="857" customFormat="false" ht="15" hidden="false" customHeight="false" outlineLevel="0" collapsed="false">
      <c r="A857" s="13" t="n">
        <v>43551</v>
      </c>
      <c r="B857" s="14" t="n">
        <v>1138.09</v>
      </c>
      <c r="C857" s="14" t="n">
        <v>8.6349</v>
      </c>
      <c r="D857" s="14" t="n">
        <v>1.3192</v>
      </c>
      <c r="E857" s="14" t="n">
        <v>1.125</v>
      </c>
      <c r="F857" s="14" t="n">
        <v>6.7262</v>
      </c>
      <c r="G857" s="14" t="n">
        <v>3.9602</v>
      </c>
      <c r="H857" s="14" t="n">
        <v>110.38</v>
      </c>
      <c r="I857" s="14" t="n">
        <v>1.1261</v>
      </c>
      <c r="J857" s="14" t="n">
        <v>9.695</v>
      </c>
      <c r="K857" s="14" t="n">
        <v>1281</v>
      </c>
      <c r="L857" s="14" t="n">
        <v>0.85118</v>
      </c>
      <c r="M857" s="14" t="n">
        <v>7.5729</v>
      </c>
      <c r="N857" s="14" t="n">
        <v>4.4193</v>
      </c>
      <c r="O857" s="14" t="n">
        <v>124.42</v>
      </c>
      <c r="P857" s="14" t="n">
        <v>8.6094</v>
      </c>
    </row>
    <row r="858" customFormat="false" ht="15" hidden="false" customHeight="false" outlineLevel="0" collapsed="false">
      <c r="A858" s="13" t="n">
        <v>43552</v>
      </c>
      <c r="B858" s="14" t="n">
        <v>1136.65</v>
      </c>
      <c r="C858" s="14" t="n">
        <v>8.6408</v>
      </c>
      <c r="D858" s="14" t="n">
        <v>1.3088</v>
      </c>
      <c r="E858" s="14" t="n">
        <v>1.1236</v>
      </c>
      <c r="F858" s="14" t="n">
        <v>6.7381</v>
      </c>
      <c r="G858" s="14" t="n">
        <v>3.9689</v>
      </c>
      <c r="H858" s="14" t="n">
        <v>110.54</v>
      </c>
      <c r="I858" s="14" t="n">
        <v>1.1218</v>
      </c>
      <c r="J858" s="14" t="n">
        <v>9.738</v>
      </c>
      <c r="K858" s="14" t="n">
        <v>1277.91</v>
      </c>
      <c r="L858" s="14" t="n">
        <v>0.85555</v>
      </c>
      <c r="M858" s="14" t="n">
        <v>7.5595</v>
      </c>
      <c r="N858" s="14" t="n">
        <v>4.4592</v>
      </c>
      <c r="O858" s="14" t="n">
        <v>124.16</v>
      </c>
      <c r="P858" s="14" t="n">
        <v>8.6807</v>
      </c>
    </row>
    <row r="859" customFormat="false" ht="15" hidden="false" customHeight="false" outlineLevel="0" collapsed="false">
      <c r="A859" s="13" t="n">
        <v>43553</v>
      </c>
      <c r="B859" s="14" t="n">
        <v>1136.3</v>
      </c>
      <c r="C859" s="14" t="n">
        <v>8.642</v>
      </c>
      <c r="D859" s="14" t="n">
        <v>1.3032</v>
      </c>
      <c r="E859" s="14" t="n">
        <v>1.1228</v>
      </c>
      <c r="F859" s="14" t="n">
        <v>6.7112</v>
      </c>
      <c r="G859" s="14" t="n">
        <v>3.8892</v>
      </c>
      <c r="H859" s="14" t="n">
        <v>110.68</v>
      </c>
      <c r="I859" s="14" t="n">
        <v>1.1235</v>
      </c>
      <c r="J859" s="14" t="n">
        <v>9.659</v>
      </c>
      <c r="K859" s="14" t="n">
        <v>1276.46</v>
      </c>
      <c r="L859" s="14" t="n">
        <v>0.8583</v>
      </c>
      <c r="M859" s="14" t="n">
        <v>7.5397</v>
      </c>
      <c r="N859" s="14" t="n">
        <v>4.3865</v>
      </c>
      <c r="O859" s="14" t="n">
        <v>124.45</v>
      </c>
      <c r="P859" s="14" t="n">
        <v>8.5972</v>
      </c>
    </row>
    <row r="860" customFormat="false" ht="15" hidden="false" customHeight="false" outlineLevel="0" collapsed="false">
      <c r="A860" s="13" t="n">
        <v>43556</v>
      </c>
      <c r="B860" s="14" t="n">
        <v>1133</v>
      </c>
      <c r="C860" s="14" t="n">
        <v>8.59</v>
      </c>
      <c r="D860" s="14" t="n">
        <v>1.3144</v>
      </c>
      <c r="E860" s="14" t="n">
        <v>1.121</v>
      </c>
      <c r="F860" s="14" t="n">
        <v>6.7102</v>
      </c>
      <c r="G860" s="14" t="n">
        <v>3.8699</v>
      </c>
      <c r="H860" s="14" t="n">
        <v>111.29</v>
      </c>
      <c r="I860" s="14" t="n">
        <v>1.1236</v>
      </c>
      <c r="J860" s="14" t="n">
        <v>9.638</v>
      </c>
      <c r="K860" s="14" t="n">
        <v>1275.24</v>
      </c>
      <c r="L860" s="14" t="n">
        <v>0.85658</v>
      </c>
      <c r="M860" s="14" t="n">
        <v>7.541</v>
      </c>
      <c r="N860" s="14" t="n">
        <v>4.3564</v>
      </c>
      <c r="O860" s="14" t="n">
        <v>124.68</v>
      </c>
      <c r="P860" s="14" t="n">
        <v>8.5778</v>
      </c>
    </row>
    <row r="861" customFormat="false" ht="15" hidden="false" customHeight="false" outlineLevel="0" collapsed="false">
      <c r="A861" s="13" t="n">
        <v>43557</v>
      </c>
      <c r="B861" s="14" t="n">
        <v>1137.16</v>
      </c>
      <c r="C861" s="14" t="n">
        <v>8.6205</v>
      </c>
      <c r="D861" s="14" t="n">
        <v>1.3035</v>
      </c>
      <c r="E861" s="14" t="n">
        <v>1.1186</v>
      </c>
      <c r="F861" s="14" t="n">
        <v>6.7223</v>
      </c>
      <c r="G861" s="14" t="n">
        <v>3.8647</v>
      </c>
      <c r="H861" s="14" t="n">
        <v>111.32</v>
      </c>
      <c r="I861" s="14" t="n">
        <v>1.12</v>
      </c>
      <c r="J861" s="14" t="n">
        <v>9.6445</v>
      </c>
      <c r="K861" s="14" t="n">
        <v>1272.75</v>
      </c>
      <c r="L861" s="14" t="n">
        <v>0.86</v>
      </c>
      <c r="M861" s="14" t="n">
        <v>7.5265</v>
      </c>
      <c r="N861" s="14" t="n">
        <v>4.3237</v>
      </c>
      <c r="O861" s="14" t="n">
        <v>124.73</v>
      </c>
      <c r="P861" s="14" t="n">
        <v>8.6112</v>
      </c>
    </row>
    <row r="862" customFormat="false" ht="15" hidden="false" customHeight="false" outlineLevel="0" collapsed="false">
      <c r="A862" s="13" t="n">
        <v>43558</v>
      </c>
      <c r="B862" s="14" t="n">
        <v>1134.29</v>
      </c>
      <c r="C862" s="14" t="n">
        <v>8.5516</v>
      </c>
      <c r="D862" s="14" t="n">
        <v>1.3181</v>
      </c>
      <c r="E862" s="14" t="n">
        <v>1.1242</v>
      </c>
      <c r="F862" s="14" t="n">
        <v>6.7098</v>
      </c>
      <c r="G862" s="14" t="n">
        <v>3.8437</v>
      </c>
      <c r="H862" s="14" t="n">
        <v>111.48</v>
      </c>
      <c r="I862" s="14" t="n">
        <v>1.1243</v>
      </c>
      <c r="J862" s="14" t="n">
        <v>9.6218</v>
      </c>
      <c r="K862" s="14" t="n">
        <v>1275.35</v>
      </c>
      <c r="L862" s="14" t="n">
        <v>0.8539</v>
      </c>
      <c r="M862" s="14" t="n">
        <v>7.5423</v>
      </c>
      <c r="N862" s="14" t="n">
        <v>4.313</v>
      </c>
      <c r="O862" s="14" t="n">
        <v>125.3</v>
      </c>
      <c r="P862" s="14" t="n">
        <v>8.558</v>
      </c>
    </row>
    <row r="863" customFormat="false" ht="15" hidden="false" customHeight="false" outlineLevel="0" collapsed="false">
      <c r="A863" s="13" t="n">
        <v>43559</v>
      </c>
      <c r="B863" s="14" t="n">
        <v>1136.05</v>
      </c>
      <c r="C863" s="14" t="n">
        <v>8.5898</v>
      </c>
      <c r="D863" s="14" t="n">
        <v>1.3072</v>
      </c>
      <c r="E863" s="14" t="n">
        <v>1.1216</v>
      </c>
      <c r="F863" s="14" t="n">
        <v>6.7167</v>
      </c>
      <c r="G863" s="14" t="n">
        <v>3.8703</v>
      </c>
      <c r="H863" s="14" t="n">
        <v>111.55</v>
      </c>
      <c r="I863" s="14" t="n">
        <v>1.1219</v>
      </c>
      <c r="J863" s="14" t="n">
        <v>9.6308</v>
      </c>
      <c r="K863" s="14" t="n">
        <v>1276.07</v>
      </c>
      <c r="L863" s="14" t="n">
        <v>0.85418</v>
      </c>
      <c r="M863" s="14" t="n">
        <v>7.5353</v>
      </c>
      <c r="N863" s="14" t="n">
        <v>4.334</v>
      </c>
      <c r="O863" s="14" t="n">
        <v>125.01</v>
      </c>
      <c r="P863" s="14" t="n">
        <v>8.5844</v>
      </c>
    </row>
    <row r="864" customFormat="false" ht="15" hidden="false" customHeight="false" outlineLevel="0" collapsed="false">
      <c r="A864" s="13" t="n">
        <v>43560</v>
      </c>
      <c r="B864" s="14" t="n">
        <v>1136.87</v>
      </c>
      <c r="C864" s="14" t="n">
        <v>8.6155</v>
      </c>
      <c r="D864" s="14" t="n">
        <v>1.301</v>
      </c>
      <c r="E864" s="14" t="n">
        <v>1.1217</v>
      </c>
      <c r="F864" s="14" t="n">
        <v>6.7182</v>
      </c>
      <c r="G864" s="14" t="n">
        <v>3.8627</v>
      </c>
      <c r="H864" s="14" t="n">
        <v>111.71</v>
      </c>
      <c r="I864" s="14" t="n">
        <v>1.1233</v>
      </c>
      <c r="J864" s="14" t="n">
        <v>9.661</v>
      </c>
      <c r="K864" s="14" t="n">
        <v>1277.64</v>
      </c>
      <c r="L864" s="14" t="n">
        <v>0.85938</v>
      </c>
      <c r="M864" s="14" t="n">
        <v>7.5457</v>
      </c>
      <c r="N864" s="14" t="n">
        <v>4.3266</v>
      </c>
      <c r="O864" s="14" t="n">
        <v>125.44</v>
      </c>
      <c r="P864" s="14" t="n">
        <v>8.6006</v>
      </c>
    </row>
    <row r="865" customFormat="false" ht="15" hidden="false" customHeight="false" outlineLevel="0" collapsed="false">
      <c r="A865" s="13" t="n">
        <v>43563</v>
      </c>
      <c r="B865" s="14" t="n">
        <v>1143.25</v>
      </c>
      <c r="C865" s="14" t="n">
        <v>8.5469</v>
      </c>
      <c r="D865" s="14" t="n">
        <v>1.3048</v>
      </c>
      <c r="E865" s="14" t="n">
        <v>1.1262</v>
      </c>
      <c r="F865" s="14" t="n">
        <v>6.7158</v>
      </c>
      <c r="G865" s="14" t="n">
        <v>3.8569</v>
      </c>
      <c r="H865" s="14" t="n">
        <v>111.47</v>
      </c>
      <c r="I865" s="14" t="n">
        <v>1.1246</v>
      </c>
      <c r="J865" s="14" t="n">
        <v>9.6305</v>
      </c>
      <c r="K865" s="14" t="n">
        <v>1288.11</v>
      </c>
      <c r="L865" s="14" t="n">
        <v>0.86183</v>
      </c>
      <c r="M865" s="14" t="n">
        <v>7.5561</v>
      </c>
      <c r="N865" s="14" t="n">
        <v>4.3558</v>
      </c>
      <c r="O865" s="14" t="n">
        <v>125.36</v>
      </c>
      <c r="P865" s="14" t="n">
        <v>8.5635</v>
      </c>
    </row>
    <row r="866" customFormat="false" ht="15" hidden="false" customHeight="false" outlineLevel="0" collapsed="false">
      <c r="A866" s="13" t="n">
        <v>43564</v>
      </c>
      <c r="B866" s="14" t="n">
        <v>1140.25</v>
      </c>
      <c r="C866" s="14" t="n">
        <v>8.5392</v>
      </c>
      <c r="D866" s="14" t="n">
        <v>1.3048</v>
      </c>
      <c r="E866" s="14" t="n">
        <v>1.1278</v>
      </c>
      <c r="F866" s="14" t="n">
        <v>6.7111</v>
      </c>
      <c r="G866" s="14" t="n">
        <v>3.8531</v>
      </c>
      <c r="H866" s="14" t="n">
        <v>111.08</v>
      </c>
      <c r="I866" s="14" t="n">
        <v>1.1277</v>
      </c>
      <c r="J866" s="14" t="n">
        <v>9.619</v>
      </c>
      <c r="K866" s="14" t="n">
        <v>1284.96</v>
      </c>
      <c r="L866" s="14" t="n">
        <v>0.86335</v>
      </c>
      <c r="M866" s="14" t="n">
        <v>7.5688</v>
      </c>
      <c r="N866" s="14" t="n">
        <v>4.3471</v>
      </c>
      <c r="O866" s="14" t="n">
        <v>125.51</v>
      </c>
      <c r="P866" s="14" t="n">
        <v>8.5298</v>
      </c>
    </row>
    <row r="867" customFormat="false" ht="15" hidden="false" customHeight="false" outlineLevel="0" collapsed="false">
      <c r="A867" s="13" t="n">
        <v>43565</v>
      </c>
      <c r="B867" s="14" t="n">
        <v>1137.26</v>
      </c>
      <c r="C867" s="14" t="n">
        <v>8.4993</v>
      </c>
      <c r="D867" s="14" t="n">
        <v>1.31</v>
      </c>
      <c r="E867" s="14" t="n">
        <v>1.1266</v>
      </c>
      <c r="F867" s="14" t="n">
        <v>6.7153</v>
      </c>
      <c r="G867" s="14" t="n">
        <v>3.8269</v>
      </c>
      <c r="H867" s="14" t="n">
        <v>110.92</v>
      </c>
      <c r="I867" s="14" t="n">
        <v>1.1279</v>
      </c>
      <c r="J867" s="14" t="n">
        <v>9.5895</v>
      </c>
      <c r="K867" s="14" t="n">
        <v>1283.09</v>
      </c>
      <c r="L867" s="14" t="n">
        <v>0.86083</v>
      </c>
      <c r="M867" s="14" t="n">
        <v>7.5758</v>
      </c>
      <c r="N867" s="14" t="n">
        <v>4.3301</v>
      </c>
      <c r="O867" s="14" t="n">
        <v>125.38</v>
      </c>
      <c r="P867" s="14" t="n">
        <v>8.5021</v>
      </c>
    </row>
    <row r="868" customFormat="false" ht="15" hidden="false" customHeight="false" outlineLevel="0" collapsed="false">
      <c r="A868" s="13" t="n">
        <v>43566</v>
      </c>
      <c r="B868" s="14" t="n">
        <v>1140.73</v>
      </c>
      <c r="C868" s="14" t="n">
        <v>8.5353</v>
      </c>
      <c r="D868" s="14" t="n">
        <v>1.3068</v>
      </c>
      <c r="E868" s="14" t="n">
        <v>1.1262</v>
      </c>
      <c r="F868" s="14" t="n">
        <v>6.7188</v>
      </c>
      <c r="G868" s="14" t="n">
        <v>3.8509</v>
      </c>
      <c r="H868" s="14" t="n">
        <v>111.48</v>
      </c>
      <c r="I868" s="14" t="n">
        <v>1.1264</v>
      </c>
      <c r="J868" s="14" t="n">
        <v>9.5885</v>
      </c>
      <c r="K868" s="14" t="n">
        <v>1285.17</v>
      </c>
      <c r="L868" s="14" t="n">
        <v>0.86168</v>
      </c>
      <c r="M868" s="14" t="n">
        <v>7.5672</v>
      </c>
      <c r="N868" s="14" t="n">
        <v>4.3221</v>
      </c>
      <c r="O868" s="14" t="n">
        <v>125.3</v>
      </c>
      <c r="P868" s="14" t="n">
        <v>8.5125</v>
      </c>
    </row>
    <row r="869" customFormat="false" ht="15" hidden="false" customHeight="false" outlineLevel="0" collapsed="false">
      <c r="A869" s="13" t="n">
        <v>43567</v>
      </c>
      <c r="B869" s="14" t="n">
        <v>1133</v>
      </c>
      <c r="C869" s="14" t="n">
        <v>8.4956</v>
      </c>
      <c r="D869" s="14" t="n">
        <v>1.3086</v>
      </c>
      <c r="E869" s="14" t="n">
        <v>1.1304</v>
      </c>
      <c r="F869" s="14" t="n">
        <v>6.7039</v>
      </c>
      <c r="G869" s="14" t="n">
        <v>3.8711</v>
      </c>
      <c r="H869" s="14" t="n">
        <v>112</v>
      </c>
      <c r="I869" s="14" t="n">
        <v>1.1321</v>
      </c>
      <c r="J869" s="14" t="n">
        <v>9.602</v>
      </c>
      <c r="K869" s="14" t="n">
        <v>1283</v>
      </c>
      <c r="L869" s="14" t="n">
        <v>0.8629</v>
      </c>
      <c r="M869" s="14" t="n">
        <v>7.5939</v>
      </c>
      <c r="N869" s="14" t="n">
        <v>4.3884</v>
      </c>
      <c r="O869" s="14" t="n">
        <v>126.76</v>
      </c>
      <c r="P869" s="14" t="n">
        <v>8.4816</v>
      </c>
    </row>
    <row r="870" customFormat="false" ht="15" hidden="false" customHeight="false" outlineLevel="0" collapsed="false">
      <c r="A870" s="13" t="n">
        <v>43570</v>
      </c>
      <c r="B870" s="14" t="n">
        <v>1133.6</v>
      </c>
      <c r="C870" s="14" t="n">
        <v>8.4957</v>
      </c>
      <c r="D870" s="14" t="n">
        <v>1.3105</v>
      </c>
      <c r="E870" s="14" t="n">
        <v>1.1304</v>
      </c>
      <c r="F870" s="14" t="n">
        <v>6.7072</v>
      </c>
      <c r="G870" s="14" t="n">
        <v>3.8717</v>
      </c>
      <c r="H870" s="14" t="n">
        <v>112</v>
      </c>
      <c r="I870" s="14" t="n">
        <v>1.1313</v>
      </c>
      <c r="J870" s="14" t="n">
        <v>9.6018</v>
      </c>
      <c r="K870" s="14" t="n">
        <v>1281.37</v>
      </c>
      <c r="L870" s="14" t="n">
        <v>0.86305</v>
      </c>
      <c r="M870" s="14" t="n">
        <v>7.5867</v>
      </c>
      <c r="N870" s="14" t="n">
        <v>4.3985</v>
      </c>
      <c r="O870" s="14" t="n">
        <v>126.66</v>
      </c>
      <c r="P870" s="14" t="n">
        <v>8.4874</v>
      </c>
    </row>
    <row r="871" customFormat="false" ht="15" hidden="false" customHeight="false" outlineLevel="0" collapsed="false">
      <c r="A871" s="13" t="n">
        <v>43571</v>
      </c>
      <c r="B871" s="14" t="n">
        <v>1136.13</v>
      </c>
      <c r="C871" s="14" t="n">
        <v>8.4791</v>
      </c>
      <c r="D871" s="14" t="n">
        <v>1.3049</v>
      </c>
      <c r="E871" s="14" t="n">
        <v>1.1293</v>
      </c>
      <c r="F871" s="14" t="n">
        <v>6.7112</v>
      </c>
      <c r="G871" s="14" t="n">
        <v>3.8972</v>
      </c>
      <c r="H871" s="14" t="n">
        <v>111.95</v>
      </c>
      <c r="I871" s="14" t="n">
        <v>1.1305</v>
      </c>
      <c r="J871" s="14" t="n">
        <v>9.5869</v>
      </c>
      <c r="K871" s="14" t="n">
        <v>1283.17</v>
      </c>
      <c r="L871" s="14" t="n">
        <v>0.8639</v>
      </c>
      <c r="M871" s="14" t="n">
        <v>7.5846</v>
      </c>
      <c r="N871" s="14" t="n">
        <v>4.3922</v>
      </c>
      <c r="O871" s="14" t="n">
        <v>126.59</v>
      </c>
      <c r="P871" s="14" t="n">
        <v>8.4802</v>
      </c>
    </row>
    <row r="872" customFormat="false" ht="15" hidden="false" customHeight="false" outlineLevel="0" collapsed="false">
      <c r="A872" s="13" t="n">
        <v>43572</v>
      </c>
      <c r="B872" s="14" t="n">
        <v>1131.7</v>
      </c>
      <c r="C872" s="14" t="n">
        <v>8.4793</v>
      </c>
      <c r="D872" s="14" t="n">
        <v>1.3036</v>
      </c>
      <c r="E872" s="14" t="n">
        <v>1.1297</v>
      </c>
      <c r="F872" s="14" t="n">
        <v>6.687</v>
      </c>
      <c r="G872" s="14" t="n">
        <v>3.9381</v>
      </c>
      <c r="H872" s="14" t="n">
        <v>112</v>
      </c>
      <c r="I872" s="14" t="n">
        <v>1.1301</v>
      </c>
      <c r="J872" s="14" t="n">
        <v>9.5778</v>
      </c>
      <c r="K872" s="14" t="n">
        <v>1280.65</v>
      </c>
      <c r="L872" s="14" t="n">
        <v>0.86593</v>
      </c>
      <c r="M872" s="14" t="n">
        <v>7.5594</v>
      </c>
      <c r="N872" s="14" t="n">
        <v>4.4046</v>
      </c>
      <c r="O872" s="14" t="n">
        <v>126.51</v>
      </c>
      <c r="P872" s="14" t="n">
        <v>8.4752</v>
      </c>
    </row>
    <row r="873" customFormat="false" ht="15" hidden="false" customHeight="false" outlineLevel="0" collapsed="false">
      <c r="A873" s="13" t="n">
        <v>43573</v>
      </c>
      <c r="B873" s="14" t="n">
        <v>1136.2</v>
      </c>
      <c r="C873" s="14" t="n">
        <v>8.513</v>
      </c>
      <c r="D873" s="14" t="n">
        <v>1.3003</v>
      </c>
      <c r="E873" s="14" t="n">
        <v>1.1241</v>
      </c>
      <c r="F873" s="14" t="n">
        <v>6.7081</v>
      </c>
      <c r="G873" s="14" t="n">
        <v>3.9302</v>
      </c>
      <c r="H873" s="14" t="n">
        <v>111.94</v>
      </c>
      <c r="I873" s="14" t="n">
        <v>1.125</v>
      </c>
      <c r="J873" s="14" t="n">
        <v>9.5978</v>
      </c>
      <c r="K873" s="14" t="n">
        <v>1278.95</v>
      </c>
      <c r="L873" s="14" t="n">
        <v>0.8647</v>
      </c>
      <c r="M873" s="14" t="n">
        <v>7.5445</v>
      </c>
      <c r="N873" s="14" t="n">
        <v>4.4206</v>
      </c>
      <c r="O873" s="14" t="n">
        <v>125.86</v>
      </c>
    </row>
    <row r="874" customFormat="false" ht="15" hidden="false" customHeight="false" outlineLevel="0" collapsed="false">
      <c r="A874" s="13" t="n">
        <v>43574</v>
      </c>
      <c r="B874" s="14" t="n">
        <v>1135.4</v>
      </c>
      <c r="C874" s="14" t="n">
        <v>8.5155</v>
      </c>
      <c r="D874" s="14" t="n">
        <v>1.3003</v>
      </c>
      <c r="E874" s="14" t="n">
        <v>1.1246</v>
      </c>
      <c r="F874" s="14" t="n">
        <v>6.7032</v>
      </c>
      <c r="G874" s="14" t="n">
        <v>3.9311</v>
      </c>
      <c r="H874" s="14" t="n">
        <v>111.92</v>
      </c>
    </row>
    <row r="875" customFormat="false" ht="15" hidden="false" customHeight="false" outlineLevel="0" collapsed="false">
      <c r="A875" s="13" t="n">
        <v>43577</v>
      </c>
      <c r="B875" s="14" t="n">
        <v>1140.52</v>
      </c>
      <c r="C875" s="14" t="n">
        <v>8.495</v>
      </c>
      <c r="D875" s="14" t="n">
        <v>1.2983</v>
      </c>
      <c r="E875" s="14" t="n">
        <v>1.1258</v>
      </c>
      <c r="F875" s="14" t="n">
        <v>6.7112</v>
      </c>
      <c r="G875" s="14" t="n">
        <v>3.9281</v>
      </c>
      <c r="H875" s="14" t="n">
        <v>111.94</v>
      </c>
    </row>
    <row r="876" customFormat="false" ht="15" hidden="false" customHeight="false" outlineLevel="0" collapsed="false">
      <c r="A876" s="13" t="n">
        <v>43578</v>
      </c>
      <c r="B876" s="14" t="n">
        <v>1143.22</v>
      </c>
      <c r="C876" s="14" t="n">
        <v>8.5507</v>
      </c>
      <c r="D876" s="14" t="n">
        <v>1.2943</v>
      </c>
      <c r="E876" s="14" t="n">
        <v>1.1213</v>
      </c>
      <c r="F876" s="14" t="n">
        <v>6.7249</v>
      </c>
      <c r="G876" s="14" t="n">
        <v>3.9418</v>
      </c>
      <c r="H876" s="14" t="n">
        <v>111.86</v>
      </c>
      <c r="I876" s="14" t="n">
        <v>1.1245</v>
      </c>
      <c r="J876" s="14" t="n">
        <v>9.5845</v>
      </c>
      <c r="K876" s="14" t="n">
        <v>1284.26</v>
      </c>
      <c r="L876" s="14" t="n">
        <v>0.8645</v>
      </c>
      <c r="M876" s="14" t="n">
        <v>7.5557</v>
      </c>
      <c r="N876" s="14" t="n">
        <v>4.4201</v>
      </c>
      <c r="O876" s="14" t="n">
        <v>125.82</v>
      </c>
      <c r="P876" s="14" t="n">
        <v>8.5233</v>
      </c>
    </row>
    <row r="877" customFormat="false" ht="15" hidden="false" customHeight="false" outlineLevel="0" collapsed="false">
      <c r="A877" s="13" t="n">
        <v>43579</v>
      </c>
      <c r="B877" s="14" t="n">
        <v>1155.65</v>
      </c>
      <c r="C877" s="14" t="n">
        <v>8.6015</v>
      </c>
      <c r="D877" s="14" t="n">
        <v>1.2947</v>
      </c>
      <c r="E877" s="14" t="n">
        <v>1.1192</v>
      </c>
      <c r="F877" s="14" t="n">
        <v>6.7207</v>
      </c>
      <c r="G877" s="14" t="n">
        <v>3.9758</v>
      </c>
      <c r="H877" s="14" t="n">
        <v>111.81</v>
      </c>
      <c r="I877" s="14" t="n">
        <v>1.1209</v>
      </c>
      <c r="J877" s="14" t="n">
        <v>9.607</v>
      </c>
      <c r="K877" s="14" t="n">
        <v>1290.23</v>
      </c>
      <c r="L877" s="14" t="n">
        <v>0.86545</v>
      </c>
      <c r="M877" s="14" t="n">
        <v>7.5304</v>
      </c>
      <c r="N877" s="14" t="n">
        <v>4.3984</v>
      </c>
      <c r="O877" s="14" t="n">
        <v>125.34</v>
      </c>
      <c r="P877" s="14" t="n">
        <v>8.5708</v>
      </c>
    </row>
    <row r="878" customFormat="false" ht="15" hidden="false" customHeight="false" outlineLevel="0" collapsed="false">
      <c r="A878" s="13" t="n">
        <v>43580</v>
      </c>
      <c r="B878" s="14" t="n">
        <v>1160.15</v>
      </c>
      <c r="C878" s="14" t="n">
        <v>8.6631</v>
      </c>
      <c r="D878" s="14" t="n">
        <v>1.2901</v>
      </c>
      <c r="E878" s="14" t="n">
        <v>1.114</v>
      </c>
      <c r="F878" s="14" t="n">
        <v>6.7418</v>
      </c>
      <c r="G878" s="14" t="n">
        <v>3.9635</v>
      </c>
      <c r="H878" s="14" t="n">
        <v>111.59</v>
      </c>
      <c r="I878" s="14" t="n">
        <v>1.1123</v>
      </c>
      <c r="J878" s="14" t="n">
        <v>9.6638</v>
      </c>
      <c r="K878" s="14" t="n">
        <v>1293.77</v>
      </c>
      <c r="L878" s="14" t="n">
        <v>0.86435</v>
      </c>
      <c r="M878" s="14" t="n">
        <v>7.5047</v>
      </c>
      <c r="N878" s="14" t="n">
        <v>4.4443</v>
      </c>
      <c r="O878" s="14" t="n">
        <v>124.45</v>
      </c>
      <c r="P878" s="14" t="n">
        <v>8.6881</v>
      </c>
    </row>
    <row r="879" customFormat="false" ht="15" hidden="false" customHeight="false" outlineLevel="0" collapsed="false">
      <c r="A879" s="13" t="n">
        <v>43581</v>
      </c>
      <c r="B879" s="14" t="n">
        <v>1158.1</v>
      </c>
      <c r="C879" s="14" t="n">
        <v>8.6739</v>
      </c>
      <c r="D879" s="14" t="n">
        <v>1.293</v>
      </c>
      <c r="E879" s="14" t="n">
        <v>1.1154</v>
      </c>
      <c r="F879" s="14" t="n">
        <v>6.7282</v>
      </c>
      <c r="G879" s="14" t="n">
        <v>3.9227</v>
      </c>
      <c r="H879" s="14" t="n">
        <v>111.6</v>
      </c>
      <c r="I879" s="14" t="n">
        <v>1.1133</v>
      </c>
      <c r="J879" s="14" t="n">
        <v>9.6653</v>
      </c>
      <c r="K879" s="14" t="n">
        <v>1292.46</v>
      </c>
      <c r="L879" s="14" t="n">
        <v>0.8634</v>
      </c>
      <c r="M879" s="14" t="n">
        <v>7.4991</v>
      </c>
      <c r="N879" s="14" t="n">
        <v>4.4134</v>
      </c>
      <c r="O879" s="14" t="n">
        <v>124.45</v>
      </c>
      <c r="P879" s="14" t="n">
        <v>8.6817</v>
      </c>
    </row>
    <row r="880" customFormat="false" ht="15" hidden="false" customHeight="false" outlineLevel="0" collapsed="false">
      <c r="A880" s="13" t="n">
        <v>43584</v>
      </c>
      <c r="B880" s="14" t="n">
        <v>1160</v>
      </c>
      <c r="C880" s="14" t="n">
        <v>8.6766</v>
      </c>
      <c r="D880" s="14" t="n">
        <v>1.2924</v>
      </c>
      <c r="E880" s="14" t="n">
        <v>1.1166</v>
      </c>
      <c r="F880" s="14" t="n">
        <v>6.7332</v>
      </c>
      <c r="G880" s="14" t="n">
        <v>3.9362</v>
      </c>
      <c r="H880" s="14" t="n">
        <v>111.8</v>
      </c>
      <c r="I880" s="14" t="n">
        <v>1.115</v>
      </c>
      <c r="J880" s="14" t="n">
        <v>9.6883</v>
      </c>
      <c r="K880" s="14" t="n">
        <v>1294</v>
      </c>
      <c r="L880" s="14" t="n">
        <v>0.8634</v>
      </c>
      <c r="M880" s="14" t="n">
        <v>7.5067</v>
      </c>
      <c r="N880" s="14" t="n">
        <v>4.3849</v>
      </c>
      <c r="O880" s="14" t="n">
        <v>124.64</v>
      </c>
      <c r="P880" s="14" t="n">
        <v>8.6891</v>
      </c>
    </row>
    <row r="881" customFormat="false" ht="15" hidden="false" customHeight="false" outlineLevel="0" collapsed="false">
      <c r="A881" s="13" t="n">
        <v>43585</v>
      </c>
      <c r="B881" s="14" t="n">
        <v>1165.1</v>
      </c>
      <c r="C881" s="14" t="n">
        <v>8.6434</v>
      </c>
      <c r="D881" s="14" t="n">
        <v>1.303</v>
      </c>
      <c r="E881" s="14" t="n">
        <v>1.1201</v>
      </c>
      <c r="F881" s="14" t="n">
        <v>6.7347</v>
      </c>
      <c r="G881" s="14" t="n">
        <v>3.9367</v>
      </c>
      <c r="H881" s="14" t="n">
        <v>111.4</v>
      </c>
      <c r="I881" s="14" t="n">
        <v>1.1218</v>
      </c>
      <c r="J881" s="14" t="n">
        <v>9.6678</v>
      </c>
      <c r="K881" s="14" t="n">
        <v>1308.01</v>
      </c>
      <c r="L881" s="14" t="n">
        <v>0.86248</v>
      </c>
      <c r="M881" s="14" t="n">
        <v>7.5541</v>
      </c>
      <c r="N881" s="14" t="n">
        <v>4.405</v>
      </c>
      <c r="O881" s="14" t="n">
        <v>124.93</v>
      </c>
      <c r="P881" s="14" t="n">
        <v>8.6181</v>
      </c>
    </row>
    <row r="882" customFormat="false" ht="15" hidden="false" customHeight="false" outlineLevel="0" collapsed="false">
      <c r="A882" s="13" t="n">
        <v>43586</v>
      </c>
      <c r="B882" s="14" t="n">
        <v>1161.61</v>
      </c>
      <c r="C882" s="14" t="n">
        <v>8.6371</v>
      </c>
      <c r="D882" s="14" t="n">
        <v>1.3091</v>
      </c>
      <c r="E882" s="14" t="n">
        <v>1.1246</v>
      </c>
      <c r="F882" s="14" t="n">
        <v>6.7319</v>
      </c>
      <c r="G882" s="14" t="n">
        <v>3.9195</v>
      </c>
      <c r="H882" s="14" t="n">
        <v>111.18</v>
      </c>
    </row>
    <row r="883" customFormat="false" ht="15" hidden="false" customHeight="false" outlineLevel="0" collapsed="false">
      <c r="A883" s="13" t="n">
        <v>43587</v>
      </c>
      <c r="B883" s="14" t="n">
        <v>1166.62</v>
      </c>
      <c r="C883" s="14" t="n">
        <v>8.7627</v>
      </c>
      <c r="D883" s="14" t="n">
        <v>1.3032</v>
      </c>
      <c r="E883" s="14" t="n">
        <v>1.1184</v>
      </c>
      <c r="F883" s="14" t="n">
        <v>6.7337</v>
      </c>
      <c r="G883" s="14" t="n">
        <v>3.9644</v>
      </c>
      <c r="H883" s="14" t="n">
        <v>111.39</v>
      </c>
      <c r="I883" s="14" t="n">
        <v>1.1212</v>
      </c>
      <c r="J883" s="14" t="n">
        <v>9.745</v>
      </c>
      <c r="K883" s="14" t="n">
        <v>1304.15</v>
      </c>
      <c r="L883" s="14" t="n">
        <v>0.8593</v>
      </c>
      <c r="M883" s="14" t="n">
        <v>7.5508</v>
      </c>
      <c r="N883" s="14" t="n">
        <v>4.4095</v>
      </c>
      <c r="O883" s="14" t="n">
        <v>125.01</v>
      </c>
      <c r="P883" s="14" t="n">
        <v>8.6916</v>
      </c>
    </row>
    <row r="884" customFormat="false" ht="15" hidden="false" customHeight="false" outlineLevel="0" collapsed="false">
      <c r="A884" s="13" t="n">
        <v>43588</v>
      </c>
      <c r="B884" s="14" t="n">
        <v>1165.95</v>
      </c>
      <c r="C884" s="14" t="n">
        <v>8.7056</v>
      </c>
      <c r="D884" s="14" t="n">
        <v>1.3139</v>
      </c>
      <c r="E884" s="14" t="n">
        <v>1.1186</v>
      </c>
      <c r="F884" s="14" t="n">
        <v>6.7337</v>
      </c>
      <c r="G884" s="14" t="n">
        <v>3.9366</v>
      </c>
      <c r="H884" s="14" t="n">
        <v>111.28</v>
      </c>
      <c r="I884" s="14" t="n">
        <v>1.1155</v>
      </c>
      <c r="J884" s="14" t="n">
        <v>9.7783</v>
      </c>
      <c r="K884" s="14" t="n">
        <v>1305.08</v>
      </c>
      <c r="L884" s="14" t="n">
        <v>0.85785</v>
      </c>
      <c r="M884" s="14" t="n">
        <v>7.5124</v>
      </c>
      <c r="N884" s="14" t="n">
        <v>4.4194</v>
      </c>
      <c r="O884" s="14" t="n">
        <v>124.4</v>
      </c>
      <c r="P884" s="14" t="n">
        <v>8.7658</v>
      </c>
    </row>
    <row r="885" customFormat="false" ht="15" hidden="false" customHeight="false" outlineLevel="0" collapsed="false">
      <c r="A885" s="13" t="n">
        <v>43591</v>
      </c>
      <c r="B885" s="14" t="n">
        <v>1169.2</v>
      </c>
      <c r="C885" s="14" t="n">
        <v>8.7287</v>
      </c>
      <c r="D885" s="14" t="n">
        <v>1.3093</v>
      </c>
      <c r="E885" s="14" t="n">
        <v>1.1197</v>
      </c>
      <c r="F885" s="14" t="n">
        <v>6.7602</v>
      </c>
      <c r="G885" s="14" t="n">
        <v>3.9534</v>
      </c>
      <c r="H885" s="14" t="n">
        <v>110.86</v>
      </c>
      <c r="I885" s="14" t="n">
        <v>1.1199</v>
      </c>
      <c r="J885" s="14" t="n">
        <v>9.7905</v>
      </c>
      <c r="K885" s="14" t="n">
        <v>1311.18</v>
      </c>
      <c r="L885" s="14" t="n">
        <v>0.8547</v>
      </c>
      <c r="M885" s="14" t="n">
        <v>7.5771</v>
      </c>
      <c r="N885" s="14" t="n">
        <v>4.4468</v>
      </c>
      <c r="O885" s="14" t="n">
        <v>124.13</v>
      </c>
      <c r="P885" s="14" t="n">
        <v>8.7423</v>
      </c>
    </row>
    <row r="886" customFormat="false" ht="15" hidden="false" customHeight="false" outlineLevel="0" collapsed="false">
      <c r="A886" s="13" t="n">
        <v>43592</v>
      </c>
      <c r="B886" s="14" t="n">
        <v>1172.5</v>
      </c>
      <c r="C886" s="14" t="n">
        <v>8.7509</v>
      </c>
      <c r="D886" s="14" t="n">
        <v>1.3052</v>
      </c>
      <c r="E886" s="14" t="n">
        <v>1.1178</v>
      </c>
      <c r="F886" s="14" t="n">
        <v>6.7755</v>
      </c>
      <c r="G886" s="14" t="n">
        <v>3.9847</v>
      </c>
      <c r="H886" s="14" t="n">
        <v>110.34</v>
      </c>
      <c r="I886" s="14" t="n">
        <v>1.1185</v>
      </c>
      <c r="J886" s="14" t="n">
        <v>9.7605</v>
      </c>
      <c r="K886" s="14" t="n">
        <v>1309.83</v>
      </c>
      <c r="L886" s="14" t="n">
        <v>0.85645</v>
      </c>
      <c r="M886" s="14" t="n">
        <v>7.571</v>
      </c>
      <c r="N886" s="14" t="n">
        <v>4.4383</v>
      </c>
      <c r="O886" s="14" t="n">
        <v>123.73</v>
      </c>
      <c r="P886" s="14" t="n">
        <v>8.7264</v>
      </c>
    </row>
    <row r="887" customFormat="false" ht="15" hidden="false" customHeight="false" outlineLevel="0" collapsed="false">
      <c r="A887" s="13" t="n">
        <v>43593</v>
      </c>
      <c r="B887" s="14" t="n">
        <v>1170.2</v>
      </c>
      <c r="C887" s="14" t="n">
        <v>8.7591</v>
      </c>
      <c r="D887" s="14" t="n">
        <v>1.3014</v>
      </c>
      <c r="E887" s="14" t="n">
        <v>1.1206</v>
      </c>
      <c r="F887" s="14" t="n">
        <v>6.7818</v>
      </c>
      <c r="G887" s="14" t="n">
        <v>3.929</v>
      </c>
      <c r="H887" s="14" t="n">
        <v>110.12</v>
      </c>
      <c r="I887" s="14" t="n">
        <v>1.1202</v>
      </c>
      <c r="J887" s="14" t="n">
        <v>9.8285</v>
      </c>
      <c r="K887" s="14" t="n">
        <v>1313.49</v>
      </c>
      <c r="L887" s="14" t="n">
        <v>0.86095</v>
      </c>
      <c r="M887" s="14" t="n">
        <v>7.595</v>
      </c>
      <c r="N887" s="14" t="n">
        <v>4.4293</v>
      </c>
      <c r="O887" s="14" t="n">
        <v>123.31</v>
      </c>
      <c r="P887" s="14" t="n">
        <v>8.7739</v>
      </c>
    </row>
    <row r="888" customFormat="false" ht="15" hidden="false" customHeight="false" outlineLevel="0" collapsed="false">
      <c r="A888" s="13" t="n">
        <v>43594</v>
      </c>
      <c r="B888" s="14" t="n">
        <v>1183.1</v>
      </c>
      <c r="C888" s="14" t="n">
        <v>8.7785</v>
      </c>
      <c r="D888" s="14" t="n">
        <v>1.3013</v>
      </c>
      <c r="E888" s="14" t="n">
        <v>1.1228</v>
      </c>
      <c r="F888" s="14" t="n">
        <v>6.8256</v>
      </c>
      <c r="G888" s="14" t="n">
        <v>3.9646</v>
      </c>
      <c r="H888" s="14" t="n">
        <v>109.55</v>
      </c>
      <c r="I888" s="14" t="n">
        <v>1.1193</v>
      </c>
      <c r="J888" s="14" t="n">
        <v>9.8068</v>
      </c>
      <c r="K888" s="14" t="n">
        <v>1324.18</v>
      </c>
      <c r="L888" s="14" t="n">
        <v>0.8612</v>
      </c>
      <c r="M888" s="14" t="n">
        <v>7.6374</v>
      </c>
      <c r="N888" s="14" t="n">
        <v>4.4368</v>
      </c>
      <c r="O888" s="14" t="n">
        <v>122.91</v>
      </c>
      <c r="P888" s="14" t="n">
        <v>8.7615</v>
      </c>
    </row>
    <row r="889" customFormat="false" ht="15" hidden="false" customHeight="false" outlineLevel="0" collapsed="false">
      <c r="A889" s="13" t="n">
        <v>43595</v>
      </c>
      <c r="B889" s="14" t="n">
        <v>1176.62</v>
      </c>
      <c r="C889" s="14" t="n">
        <v>8.7273</v>
      </c>
      <c r="D889" s="14" t="n">
        <v>1.3036</v>
      </c>
      <c r="E889" s="14" t="n">
        <v>1.1241</v>
      </c>
      <c r="F889" s="14" t="n">
        <v>6.8217</v>
      </c>
      <c r="G889" s="14" t="n">
        <v>3.9614</v>
      </c>
      <c r="H889" s="14" t="n">
        <v>109.56</v>
      </c>
      <c r="I889" s="14" t="n">
        <v>1.123</v>
      </c>
      <c r="J889" s="14" t="n">
        <v>9.8193</v>
      </c>
      <c r="K889" s="14" t="n">
        <v>1325.32</v>
      </c>
      <c r="L889" s="14" t="n">
        <v>0.8625</v>
      </c>
      <c r="M889" s="14" t="n">
        <v>7.6628</v>
      </c>
      <c r="N889" s="14" t="n">
        <v>4.4405</v>
      </c>
      <c r="O889" s="14" t="n">
        <v>123.25</v>
      </c>
      <c r="P889" s="14" t="n">
        <v>8.7438</v>
      </c>
    </row>
    <row r="890" customFormat="false" ht="15" hidden="false" customHeight="false" outlineLevel="0" collapsed="false">
      <c r="A890" s="13" t="n">
        <v>43598</v>
      </c>
      <c r="B890" s="14" t="n">
        <v>1186.94</v>
      </c>
      <c r="C890" s="14" t="n">
        <v>8.7556</v>
      </c>
      <c r="D890" s="14" t="n">
        <v>1.2961</v>
      </c>
      <c r="E890" s="14" t="n">
        <v>1.1232</v>
      </c>
      <c r="F890" s="14" t="n">
        <v>6.8765</v>
      </c>
      <c r="G890" s="14" t="n">
        <v>3.9778</v>
      </c>
      <c r="H890" s="14" t="n">
        <v>109.18</v>
      </c>
      <c r="I890" s="14" t="n">
        <v>1.1245</v>
      </c>
      <c r="J890" s="14" t="n">
        <v>9.8148</v>
      </c>
      <c r="K890" s="14" t="n">
        <v>1335.85</v>
      </c>
      <c r="L890" s="14" t="n">
        <v>0.8635</v>
      </c>
      <c r="M890" s="14" t="n">
        <v>7.7335</v>
      </c>
      <c r="N890" s="14" t="n">
        <v>4.4972</v>
      </c>
      <c r="O890" s="14" t="n">
        <v>123.06</v>
      </c>
      <c r="P890" s="14" t="n">
        <v>8.7281</v>
      </c>
    </row>
    <row r="891" customFormat="false" ht="15" hidden="false" customHeight="false" outlineLevel="0" collapsed="false">
      <c r="A891" s="13" t="n">
        <v>43599</v>
      </c>
      <c r="B891" s="14" t="n">
        <v>1186.94</v>
      </c>
      <c r="C891" s="14" t="n">
        <v>8.758</v>
      </c>
      <c r="D891" s="14" t="n">
        <v>1.2921</v>
      </c>
      <c r="E891" s="14" t="n">
        <v>1.1207</v>
      </c>
      <c r="F891" s="14" t="n">
        <v>6.8737</v>
      </c>
      <c r="G891" s="14" t="n">
        <v>3.9737</v>
      </c>
      <c r="H891" s="14" t="n">
        <v>109.68</v>
      </c>
      <c r="I891" s="14" t="n">
        <v>1.1226</v>
      </c>
      <c r="J891" s="14" t="n">
        <v>9.799</v>
      </c>
      <c r="K891" s="14" t="n">
        <v>1333.2</v>
      </c>
      <c r="L891" s="14" t="n">
        <v>0.86723</v>
      </c>
      <c r="M891" s="14" t="n">
        <v>7.7252</v>
      </c>
      <c r="N891" s="14" t="n">
        <v>4.4743</v>
      </c>
      <c r="O891" s="14" t="n">
        <v>123</v>
      </c>
      <c r="P891" s="14" t="n">
        <v>8.7288</v>
      </c>
    </row>
    <row r="892" customFormat="false" ht="15" hidden="false" customHeight="false" outlineLevel="0" collapsed="false">
      <c r="A892" s="13" t="n">
        <v>43600</v>
      </c>
      <c r="B892" s="14" t="n">
        <v>1188.74</v>
      </c>
      <c r="C892" s="14" t="n">
        <v>8.7169</v>
      </c>
      <c r="D892" s="14" t="n">
        <v>1.2878</v>
      </c>
      <c r="E892" s="14" t="n">
        <v>1.1208</v>
      </c>
      <c r="F892" s="14" t="n">
        <v>6.8742</v>
      </c>
      <c r="G892" s="14" t="n">
        <v>3.9845</v>
      </c>
      <c r="H892" s="14" t="n">
        <v>109.58</v>
      </c>
      <c r="I892" s="14" t="n">
        <v>1.1183</v>
      </c>
      <c r="J892" s="14" t="n">
        <v>9.8003</v>
      </c>
      <c r="K892" s="14" t="n">
        <v>1331.31</v>
      </c>
      <c r="L892" s="14" t="n">
        <v>0.8682</v>
      </c>
      <c r="M892" s="14" t="n">
        <v>7.6925</v>
      </c>
      <c r="N892" s="14" t="n">
        <v>4.4659</v>
      </c>
      <c r="O892" s="14" t="n">
        <v>122.24</v>
      </c>
      <c r="P892" s="14" t="n">
        <v>8.7636</v>
      </c>
    </row>
    <row r="893" customFormat="false" ht="15" hidden="false" customHeight="false" outlineLevel="0" collapsed="false">
      <c r="A893" s="13" t="n">
        <v>43601</v>
      </c>
      <c r="B893" s="14" t="n">
        <v>1190.52</v>
      </c>
      <c r="C893" s="14" t="n">
        <v>8.7184</v>
      </c>
      <c r="D893" s="14" t="n">
        <v>1.2803</v>
      </c>
      <c r="E893" s="14" t="n">
        <v>1.1178</v>
      </c>
      <c r="F893" s="14" t="n">
        <v>6.8832</v>
      </c>
      <c r="G893" s="14" t="n">
        <v>4.0061</v>
      </c>
      <c r="H893" s="14" t="n">
        <v>109.89</v>
      </c>
      <c r="I893" s="14" t="n">
        <v>1.1203</v>
      </c>
      <c r="J893" s="14" t="n">
        <v>9.7513</v>
      </c>
      <c r="K893" s="14" t="n">
        <v>1332.17</v>
      </c>
      <c r="L893" s="14" t="n">
        <v>0.87463</v>
      </c>
      <c r="M893" s="14" t="n">
        <v>7.7067</v>
      </c>
      <c r="N893" s="14" t="n">
        <v>4.4784</v>
      </c>
      <c r="O893" s="14" t="n">
        <v>122.81</v>
      </c>
      <c r="P893" s="14" t="n">
        <v>8.7042</v>
      </c>
    </row>
    <row r="894" customFormat="false" ht="15" hidden="false" customHeight="false" outlineLevel="0" collapsed="false">
      <c r="A894" s="13" t="n">
        <v>43602</v>
      </c>
      <c r="B894" s="14" t="n">
        <v>1195.07</v>
      </c>
      <c r="C894" s="14" t="n">
        <v>8.7836</v>
      </c>
      <c r="D894" s="14" t="n">
        <v>1.2723</v>
      </c>
      <c r="E894" s="14" t="n">
        <v>1.1166</v>
      </c>
      <c r="F894" s="14" t="n">
        <v>6.9182</v>
      </c>
      <c r="G894" s="14" t="n">
        <v>4.0909</v>
      </c>
      <c r="H894" s="14" t="n">
        <v>109.9</v>
      </c>
      <c r="I894" s="14" t="n">
        <v>1.1172</v>
      </c>
      <c r="J894" s="14" t="n">
        <v>9.7953</v>
      </c>
      <c r="K894" s="14" t="n">
        <v>1334.38</v>
      </c>
      <c r="L894" s="14" t="n">
        <v>0.87595</v>
      </c>
      <c r="M894" s="14" t="n">
        <v>7.7245</v>
      </c>
      <c r="N894" s="14" t="n">
        <v>4.5286</v>
      </c>
      <c r="O894" s="14" t="n">
        <v>122.34</v>
      </c>
    </row>
    <row r="895" customFormat="false" ht="15" hidden="false" customHeight="false" outlineLevel="0" collapsed="false">
      <c r="A895" s="13" t="n">
        <v>43605</v>
      </c>
      <c r="B895" s="14" t="n">
        <v>1193.81</v>
      </c>
      <c r="C895" s="14" t="n">
        <v>8.7791</v>
      </c>
      <c r="D895" s="14" t="n">
        <v>1.2718</v>
      </c>
      <c r="E895" s="14" t="n">
        <v>1.117</v>
      </c>
      <c r="F895" s="14" t="n">
        <v>6.9111</v>
      </c>
      <c r="G895" s="14" t="n">
        <v>4.1133</v>
      </c>
      <c r="H895" s="14" t="n">
        <v>109.96</v>
      </c>
      <c r="I895" s="14" t="n">
        <v>1.1167</v>
      </c>
      <c r="J895" s="14" t="n">
        <v>9.7978</v>
      </c>
      <c r="K895" s="14" t="n">
        <v>1333.12</v>
      </c>
      <c r="L895" s="14" t="n">
        <v>0.8762</v>
      </c>
      <c r="M895" s="14" t="n">
        <v>7.7228</v>
      </c>
      <c r="N895" s="14" t="n">
        <v>4.5666</v>
      </c>
      <c r="O895" s="14" t="n">
        <v>122.67</v>
      </c>
      <c r="P895" s="14" t="n">
        <v>8.7739</v>
      </c>
    </row>
    <row r="896" customFormat="false" ht="15" hidden="false" customHeight="false" outlineLevel="0" collapsed="false">
      <c r="A896" s="13" t="n">
        <v>43606</v>
      </c>
      <c r="B896" s="14" t="n">
        <v>1194.31</v>
      </c>
      <c r="C896" s="14" t="n">
        <v>8.7718</v>
      </c>
      <c r="D896" s="14" t="n">
        <v>1.2747</v>
      </c>
      <c r="E896" s="14" t="n">
        <v>1.1158</v>
      </c>
      <c r="F896" s="14" t="n">
        <v>6.9007</v>
      </c>
      <c r="G896" s="14" t="n">
        <v>4.0678</v>
      </c>
      <c r="H896" s="14" t="n">
        <v>110.6</v>
      </c>
      <c r="I896" s="14" t="n">
        <v>1.1161</v>
      </c>
      <c r="J896" s="14" t="n">
        <v>9.7913</v>
      </c>
      <c r="K896" s="14" t="n">
        <v>1331.88</v>
      </c>
      <c r="L896" s="14" t="n">
        <v>0.8761</v>
      </c>
      <c r="M896" s="14" t="n">
        <v>7.7081</v>
      </c>
      <c r="N896" s="14" t="n">
        <v>4.5688</v>
      </c>
      <c r="O896" s="14" t="n">
        <v>123.27</v>
      </c>
      <c r="P896" s="14" t="n">
        <v>8.7728</v>
      </c>
    </row>
    <row r="897" customFormat="false" ht="15" hidden="false" customHeight="false" outlineLevel="0" collapsed="false">
      <c r="A897" s="13" t="n">
        <v>43607</v>
      </c>
      <c r="B897" s="14" t="n">
        <v>1194.36</v>
      </c>
      <c r="C897" s="14" t="n">
        <v>8.7495</v>
      </c>
      <c r="D897" s="14" t="n">
        <v>1.2674</v>
      </c>
      <c r="E897" s="14" t="n">
        <v>1.1156</v>
      </c>
      <c r="F897" s="14" t="n">
        <v>6.9054</v>
      </c>
      <c r="G897" s="14" t="n">
        <v>4.0245</v>
      </c>
      <c r="H897" s="14" t="n">
        <v>110.28</v>
      </c>
      <c r="I897" s="14" t="n">
        <v>1.1171</v>
      </c>
      <c r="J897" s="14" t="n">
        <v>9.7598</v>
      </c>
      <c r="K897" s="14" t="n">
        <v>1329.3</v>
      </c>
      <c r="L897" s="14" t="n">
        <v>0.8828</v>
      </c>
      <c r="M897" s="14" t="n">
        <v>7.7108</v>
      </c>
      <c r="N897" s="14" t="n">
        <v>4.5163</v>
      </c>
      <c r="O897" s="14" t="n">
        <v>123.27</v>
      </c>
      <c r="P897" s="14" t="n">
        <v>8.7367</v>
      </c>
    </row>
    <row r="898" customFormat="false" ht="15" hidden="false" customHeight="false" outlineLevel="0" collapsed="false">
      <c r="A898" s="13" t="n">
        <v>43608</v>
      </c>
      <c r="B898" s="14" t="n">
        <v>1189.31</v>
      </c>
      <c r="C898" s="14" t="n">
        <v>8.7499</v>
      </c>
      <c r="D898" s="14" t="n">
        <v>1.2666</v>
      </c>
      <c r="E898" s="14" t="n">
        <v>1.1172</v>
      </c>
      <c r="F898" s="14" t="n">
        <v>6.9087</v>
      </c>
      <c r="G898" s="14" t="n">
        <v>4.0329</v>
      </c>
      <c r="H898" s="14" t="n">
        <v>109.58</v>
      </c>
      <c r="I898" s="14" t="n">
        <v>1.1139</v>
      </c>
      <c r="J898" s="14" t="n">
        <v>9.7543</v>
      </c>
      <c r="K898" s="14" t="n">
        <v>1327.41</v>
      </c>
      <c r="L898" s="14" t="n">
        <v>0.881</v>
      </c>
      <c r="M898" s="14" t="n">
        <v>7.7058</v>
      </c>
      <c r="N898" s="14" t="n">
        <v>4.5187</v>
      </c>
      <c r="O898" s="14" t="n">
        <v>122.56</v>
      </c>
      <c r="P898" s="14" t="n">
        <v>8.7569</v>
      </c>
    </row>
    <row r="899" customFormat="false" ht="15" hidden="false" customHeight="false" outlineLevel="0" collapsed="false">
      <c r="A899" s="13" t="n">
        <v>43609</v>
      </c>
      <c r="B899" s="14" t="n">
        <v>1186.2</v>
      </c>
      <c r="C899" s="14" t="n">
        <v>8.7079</v>
      </c>
      <c r="D899" s="14" t="n">
        <v>1.27</v>
      </c>
      <c r="E899" s="14" t="n">
        <v>1.1197</v>
      </c>
      <c r="F899" s="14" t="n">
        <v>6.8997</v>
      </c>
      <c r="G899" s="14" t="n">
        <v>4.0251</v>
      </c>
      <c r="H899" s="14" t="n">
        <v>109.38</v>
      </c>
      <c r="I899" s="14" t="n">
        <v>1.1187</v>
      </c>
      <c r="J899" s="14" t="n">
        <v>9.7558</v>
      </c>
      <c r="K899" s="14" t="n">
        <v>1328.29</v>
      </c>
      <c r="L899" s="14" t="n">
        <v>0.88318</v>
      </c>
      <c r="M899" s="14" t="n">
        <v>7.7206</v>
      </c>
      <c r="N899" s="14" t="n">
        <v>4.5247</v>
      </c>
      <c r="O899" s="14" t="n">
        <v>122.61</v>
      </c>
      <c r="P899" s="14" t="n">
        <v>8.7207</v>
      </c>
    </row>
    <row r="900" customFormat="false" ht="15" hidden="false" customHeight="false" outlineLevel="0" collapsed="false">
      <c r="A900" s="13" t="n">
        <v>43612</v>
      </c>
      <c r="I900" s="14" t="n">
        <v>1.1198</v>
      </c>
      <c r="J900" s="14" t="n">
        <v>9.7523</v>
      </c>
      <c r="K900" s="14" t="n">
        <v>1326.85</v>
      </c>
      <c r="L900" s="14" t="n">
        <v>0.88225</v>
      </c>
      <c r="M900" s="14" t="n">
        <v>7.7254</v>
      </c>
      <c r="N900" s="14" t="n">
        <v>4.4905</v>
      </c>
      <c r="O900" s="14" t="n">
        <v>122.56</v>
      </c>
      <c r="P900" s="14" t="n">
        <v>8.709</v>
      </c>
    </row>
    <row r="901" customFormat="false" ht="15" hidden="false" customHeight="false" outlineLevel="0" collapsed="false">
      <c r="A901" s="13" t="n">
        <v>43613</v>
      </c>
      <c r="B901" s="14" t="n">
        <v>1186.66</v>
      </c>
      <c r="C901" s="14" t="n">
        <v>8.6962</v>
      </c>
      <c r="D901" s="14" t="n">
        <v>1.2668</v>
      </c>
      <c r="E901" s="14" t="n">
        <v>1.1177</v>
      </c>
      <c r="F901" s="14" t="n">
        <v>6.9078</v>
      </c>
      <c r="G901" s="14" t="n">
        <v>4.0215</v>
      </c>
      <c r="H901" s="14" t="n">
        <v>109.49</v>
      </c>
      <c r="I901" s="14" t="n">
        <v>1.1192</v>
      </c>
      <c r="J901" s="14" t="n">
        <v>9.7165</v>
      </c>
      <c r="K901" s="14" t="n">
        <v>1329.89</v>
      </c>
      <c r="L901" s="14" t="n">
        <v>0.88373</v>
      </c>
      <c r="M901" s="14" t="n">
        <v>7.7345</v>
      </c>
      <c r="N901" s="14" t="n">
        <v>4.5305</v>
      </c>
      <c r="O901" s="14" t="n">
        <v>122.45</v>
      </c>
      <c r="P901" s="14" t="n">
        <v>8.6816</v>
      </c>
    </row>
    <row r="902" customFormat="false" ht="15" hidden="false" customHeight="false" outlineLevel="0" collapsed="false">
      <c r="A902" s="13" t="n">
        <v>43614</v>
      </c>
      <c r="B902" s="14" t="n">
        <v>1186.66</v>
      </c>
      <c r="C902" s="14" t="n">
        <v>8.6982</v>
      </c>
      <c r="D902" s="14" t="n">
        <v>1.2631</v>
      </c>
      <c r="E902" s="14" t="n">
        <v>1.1136</v>
      </c>
      <c r="F902" s="14" t="n">
        <v>6.9138</v>
      </c>
      <c r="G902" s="14" t="n">
        <v>3.9937</v>
      </c>
      <c r="H902" s="14" t="n">
        <v>109.24</v>
      </c>
      <c r="I902" s="14" t="n">
        <v>1.1156</v>
      </c>
      <c r="J902" s="14" t="n">
        <v>9.773</v>
      </c>
      <c r="K902" s="14" t="n">
        <v>1333.3</v>
      </c>
      <c r="L902" s="14" t="n">
        <v>0.88225</v>
      </c>
      <c r="M902" s="14" t="n">
        <v>7.7081</v>
      </c>
      <c r="N902" s="14" t="n">
        <v>4.4942</v>
      </c>
      <c r="O902" s="14" t="n">
        <v>121.91</v>
      </c>
      <c r="P902" s="14" t="n">
        <v>8.7603</v>
      </c>
    </row>
    <row r="903" customFormat="false" ht="15" hidden="false" customHeight="false" outlineLevel="0" collapsed="false">
      <c r="A903" s="13" t="n">
        <v>43615</v>
      </c>
      <c r="B903" s="14" t="n">
        <v>1189.14</v>
      </c>
      <c r="C903" s="14" t="n">
        <v>8.7602</v>
      </c>
      <c r="D903" s="14" t="n">
        <v>1.2619</v>
      </c>
      <c r="E903" s="14" t="n">
        <v>1.114</v>
      </c>
      <c r="F903" s="14" t="n">
        <v>6.9011</v>
      </c>
      <c r="G903" s="14" t="n">
        <v>3.9658</v>
      </c>
      <c r="H903" s="14" t="n">
        <v>109.67</v>
      </c>
      <c r="I903" s="14" t="n">
        <v>1.1134</v>
      </c>
      <c r="J903" s="14" t="n">
        <v>9.7638</v>
      </c>
      <c r="K903" s="14" t="n">
        <v>1325.97</v>
      </c>
      <c r="L903" s="14" t="n">
        <v>0.88178</v>
      </c>
      <c r="M903" s="14" t="n">
        <v>7.6903</v>
      </c>
      <c r="N903" s="14" t="n">
        <v>4.4327</v>
      </c>
      <c r="O903" s="14" t="n">
        <v>122.1</v>
      </c>
    </row>
    <row r="904" customFormat="false" ht="15" hidden="false" customHeight="false" outlineLevel="0" collapsed="false">
      <c r="A904" s="13" t="n">
        <v>43616</v>
      </c>
      <c r="B904" s="14" t="n">
        <v>1190.5</v>
      </c>
      <c r="C904" s="14" t="n">
        <v>8.7559</v>
      </c>
      <c r="D904" s="14" t="n">
        <v>1.262</v>
      </c>
      <c r="E904" s="14" t="n">
        <v>1.1149</v>
      </c>
      <c r="F904" s="14" t="n">
        <v>6.9027</v>
      </c>
      <c r="G904" s="14" t="n">
        <v>3.9216</v>
      </c>
      <c r="H904" s="14" t="n">
        <v>108.66</v>
      </c>
      <c r="I904" s="14" t="n">
        <v>1.1151</v>
      </c>
      <c r="J904" s="14" t="n">
        <v>9.7915</v>
      </c>
      <c r="K904" s="14" t="n">
        <v>1328.31</v>
      </c>
      <c r="L904" s="14" t="n">
        <v>0.88693</v>
      </c>
      <c r="M904" s="14" t="n">
        <v>7.7045</v>
      </c>
      <c r="N904" s="14" t="n">
        <v>4.4462</v>
      </c>
      <c r="O904" s="14" t="n">
        <v>121.27</v>
      </c>
      <c r="P904" s="14" t="n">
        <v>8.7808</v>
      </c>
    </row>
    <row r="905" customFormat="false" ht="15" hidden="false" customHeight="false" outlineLevel="0" collapsed="false">
      <c r="A905" s="13" t="n">
        <v>43619</v>
      </c>
      <c r="B905" s="14" t="n">
        <v>1180.97</v>
      </c>
      <c r="C905" s="14" t="n">
        <v>8.7213</v>
      </c>
      <c r="D905" s="14" t="n">
        <v>1.2621</v>
      </c>
      <c r="E905" s="14" t="n">
        <v>1.1206</v>
      </c>
      <c r="F905" s="14" t="n">
        <v>6.9028</v>
      </c>
      <c r="G905" s="14" t="n">
        <v>3.8918</v>
      </c>
      <c r="H905" s="14" t="n">
        <v>108.39</v>
      </c>
      <c r="I905" s="14" t="n">
        <v>1.1185</v>
      </c>
      <c r="J905" s="14" t="n">
        <v>9.7778</v>
      </c>
      <c r="K905" s="14" t="n">
        <v>1323.45</v>
      </c>
      <c r="L905" s="14" t="n">
        <v>0.88618</v>
      </c>
      <c r="M905" s="14" t="n">
        <v>7.7253</v>
      </c>
      <c r="N905" s="14" t="n">
        <v>4.3847</v>
      </c>
      <c r="O905" s="14" t="n">
        <v>121.17</v>
      </c>
      <c r="P905" s="14" t="n">
        <v>8.7419</v>
      </c>
    </row>
    <row r="906" customFormat="false" ht="15" hidden="false" customHeight="false" outlineLevel="0" collapsed="false">
      <c r="A906" s="13" t="n">
        <v>43620</v>
      </c>
      <c r="B906" s="14" t="n">
        <v>1180.58</v>
      </c>
      <c r="C906" s="14" t="n">
        <v>8.7109</v>
      </c>
      <c r="D906" s="14" t="n">
        <v>1.2675</v>
      </c>
      <c r="E906" s="14" t="n">
        <v>1.1236</v>
      </c>
      <c r="F906" s="14" t="n">
        <v>6.9072</v>
      </c>
      <c r="G906" s="14" t="n">
        <v>3.8593</v>
      </c>
      <c r="H906" s="14" t="n">
        <v>108.3</v>
      </c>
      <c r="I906" s="14" t="n">
        <v>1.1244</v>
      </c>
      <c r="J906" s="14" t="n">
        <v>9.786</v>
      </c>
      <c r="K906" s="14" t="n">
        <v>1330.9</v>
      </c>
      <c r="L906" s="14" t="n">
        <v>0.88738</v>
      </c>
      <c r="M906" s="14" t="n">
        <v>7.7686</v>
      </c>
      <c r="N906" s="14" t="n">
        <v>4.3638</v>
      </c>
      <c r="O906" s="14" t="n">
        <v>121.62</v>
      </c>
      <c r="P906" s="14" t="n">
        <v>8.7033</v>
      </c>
    </row>
    <row r="907" customFormat="false" ht="15" hidden="false" customHeight="false" outlineLevel="0" collapsed="false">
      <c r="A907" s="13" t="n">
        <v>43621</v>
      </c>
      <c r="B907" s="14" t="n">
        <v>1178.24</v>
      </c>
      <c r="C907" s="14" t="n">
        <v>8.7271</v>
      </c>
      <c r="D907" s="14" t="n">
        <v>1.2706</v>
      </c>
      <c r="E907" s="14" t="n">
        <v>1.1242</v>
      </c>
      <c r="F907" s="14" t="n">
        <v>6.9084</v>
      </c>
      <c r="G907" s="14" t="n">
        <v>3.8655</v>
      </c>
      <c r="H907" s="14" t="n">
        <v>108.2</v>
      </c>
      <c r="I907" s="14" t="n">
        <v>1.1257</v>
      </c>
      <c r="J907" s="14" t="n">
        <v>9.7738</v>
      </c>
      <c r="K907" s="14" t="n">
        <v>1324.33</v>
      </c>
      <c r="L907" s="14" t="n">
        <v>0.88631</v>
      </c>
      <c r="M907" s="14" t="n">
        <v>7.7754</v>
      </c>
      <c r="N907" s="14" t="n">
        <v>4.3427</v>
      </c>
      <c r="O907" s="14" t="n">
        <v>121.96</v>
      </c>
      <c r="P907" s="14" t="n">
        <v>8.6824</v>
      </c>
    </row>
    <row r="908" customFormat="false" ht="15" hidden="false" customHeight="false" outlineLevel="0" collapsed="false">
      <c r="A908" s="13" t="n">
        <v>43622</v>
      </c>
      <c r="B908" s="14" t="n">
        <v>1179.51</v>
      </c>
      <c r="C908" s="14" t="n">
        <v>8.7291</v>
      </c>
      <c r="D908" s="14" t="n">
        <v>1.2713</v>
      </c>
      <c r="E908" s="14" t="n">
        <v>1.1294</v>
      </c>
      <c r="F908" s="14" t="n">
        <v>6.9082</v>
      </c>
      <c r="G908" s="14" t="n">
        <v>3.874</v>
      </c>
      <c r="H908" s="14" t="n">
        <v>108.08</v>
      </c>
      <c r="I908" s="14" t="n">
        <v>1.1266</v>
      </c>
      <c r="J908" s="14" t="n">
        <v>9.8083</v>
      </c>
      <c r="K908" s="14" t="n">
        <v>1328.9</v>
      </c>
      <c r="L908" s="14" t="n">
        <v>0.88558</v>
      </c>
      <c r="M908" s="14" t="n">
        <v>7.788</v>
      </c>
      <c r="N908" s="14" t="n">
        <v>4.3659</v>
      </c>
      <c r="O908" s="14" t="n">
        <v>121.82</v>
      </c>
      <c r="P908" s="14" t="n">
        <v>8.7061</v>
      </c>
    </row>
    <row r="909" customFormat="false" ht="15" hidden="false" customHeight="false" outlineLevel="0" collapsed="false">
      <c r="A909" s="13" t="n">
        <v>43623</v>
      </c>
      <c r="B909" s="14" t="n">
        <v>1181.27</v>
      </c>
      <c r="C909" s="14" t="n">
        <v>8.6273</v>
      </c>
      <c r="D909" s="14" t="n">
        <v>1.274</v>
      </c>
      <c r="E909" s="14" t="n">
        <v>1.1324</v>
      </c>
      <c r="F909" s="14" t="n">
        <v>6.9057</v>
      </c>
      <c r="G909" s="14" t="n">
        <v>3.8616</v>
      </c>
      <c r="H909" s="14" t="n">
        <v>108.15</v>
      </c>
      <c r="I909" s="14" t="n">
        <v>1.1273</v>
      </c>
      <c r="J909" s="14" t="n">
        <v>9.7963</v>
      </c>
      <c r="K909" s="14" t="n">
        <v>1336.22</v>
      </c>
      <c r="L909" s="14" t="n">
        <v>0.88675</v>
      </c>
      <c r="M909" s="14" t="n">
        <v>7.7893</v>
      </c>
      <c r="N909" s="14" t="n">
        <v>4.3719</v>
      </c>
      <c r="O909" s="14" t="n">
        <v>122.27</v>
      </c>
      <c r="P909" s="14" t="n">
        <v>8.6901</v>
      </c>
    </row>
    <row r="910" customFormat="false" ht="15" hidden="false" customHeight="false" outlineLevel="0" collapsed="false">
      <c r="A910" s="13" t="n">
        <v>43626</v>
      </c>
      <c r="B910" s="14" t="n">
        <v>1185.01</v>
      </c>
      <c r="C910" s="14" t="n">
        <v>8.6481</v>
      </c>
      <c r="D910" s="14" t="n">
        <v>1.2684</v>
      </c>
      <c r="E910" s="14" t="n">
        <v>1.1311</v>
      </c>
      <c r="F910" s="14" t="n">
        <v>6.9298</v>
      </c>
      <c r="G910" s="14" t="n">
        <v>3.8708</v>
      </c>
      <c r="H910" s="14" t="n">
        <v>108.56</v>
      </c>
      <c r="I910" s="14" t="n">
        <v>1.1301</v>
      </c>
      <c r="J910" s="14" t="n">
        <v>9.7808</v>
      </c>
      <c r="K910" s="14" t="n">
        <v>1339.72</v>
      </c>
      <c r="L910" s="14" t="n">
        <v>0.89248</v>
      </c>
      <c r="M910" s="14" t="n">
        <v>7.8365</v>
      </c>
      <c r="N910" s="14" t="n">
        <v>4.3877</v>
      </c>
      <c r="O910" s="14" t="n">
        <v>122.78</v>
      </c>
    </row>
    <row r="911" customFormat="false" ht="15" hidden="false" customHeight="false" outlineLevel="0" collapsed="false">
      <c r="A911" s="13" t="n">
        <v>43627</v>
      </c>
      <c r="B911" s="14" t="n">
        <v>1178.88</v>
      </c>
      <c r="C911" s="14" t="n">
        <v>8.6327</v>
      </c>
      <c r="D911" s="14" t="n">
        <v>1.2724</v>
      </c>
      <c r="E911" s="14" t="n">
        <v>1.1316</v>
      </c>
      <c r="F911" s="14" t="n">
        <v>6.9107</v>
      </c>
      <c r="G911" s="14" t="n">
        <v>3.8593</v>
      </c>
      <c r="H911" s="14" t="n">
        <v>108.52</v>
      </c>
      <c r="I911" s="14" t="n">
        <v>1.132</v>
      </c>
      <c r="J911" s="14" t="n">
        <v>9.77</v>
      </c>
      <c r="K911" s="14" t="n">
        <v>1337.48</v>
      </c>
      <c r="L911" s="14" t="n">
        <v>0.89085</v>
      </c>
      <c r="M911" s="14" t="n">
        <v>7.8243</v>
      </c>
      <c r="N911" s="14" t="n">
        <v>4.3893</v>
      </c>
      <c r="O911" s="14" t="n">
        <v>123.09</v>
      </c>
      <c r="P911" s="14" t="n">
        <v>8.6307</v>
      </c>
    </row>
    <row r="912" customFormat="false" ht="15" hidden="false" customHeight="false" outlineLevel="0" collapsed="false">
      <c r="A912" s="13" t="n">
        <v>43628</v>
      </c>
      <c r="B912" s="14" t="n">
        <v>1182.82</v>
      </c>
      <c r="C912" s="14" t="n">
        <v>8.6421</v>
      </c>
      <c r="D912" s="14" t="n">
        <v>1.2693</v>
      </c>
      <c r="E912" s="14" t="n">
        <v>1.131</v>
      </c>
      <c r="F912" s="14" t="n">
        <v>6.9161</v>
      </c>
      <c r="G912" s="14" t="n">
        <v>3.836</v>
      </c>
      <c r="H912" s="14" t="n">
        <v>108.42</v>
      </c>
      <c r="I912" s="14" t="n">
        <v>1.1323</v>
      </c>
      <c r="J912" s="14" t="n">
        <v>9.782</v>
      </c>
      <c r="K912" s="14" t="n">
        <v>1337.81</v>
      </c>
      <c r="L912" s="14" t="n">
        <v>0.88805</v>
      </c>
      <c r="M912" s="14" t="n">
        <v>7.8346</v>
      </c>
      <c r="N912" s="14" t="n">
        <v>4.3661</v>
      </c>
      <c r="O912" s="14" t="n">
        <v>122.72</v>
      </c>
      <c r="P912" s="14" t="n">
        <v>8.6391</v>
      </c>
    </row>
    <row r="913" customFormat="false" ht="15" hidden="false" customHeight="false" outlineLevel="0" collapsed="false">
      <c r="A913" s="13" t="n">
        <v>43629</v>
      </c>
      <c r="B913" s="14" t="n">
        <v>1183.23</v>
      </c>
      <c r="C913" s="14" t="n">
        <v>8.6785</v>
      </c>
      <c r="D913" s="14" t="n">
        <v>1.2678</v>
      </c>
      <c r="E913" s="14" t="n">
        <v>1.1275</v>
      </c>
      <c r="F913" s="14" t="n">
        <v>6.9212</v>
      </c>
      <c r="G913" s="14" t="n">
        <v>3.8456</v>
      </c>
      <c r="H913" s="14" t="n">
        <v>108.44</v>
      </c>
      <c r="I913" s="14" t="n">
        <v>1.1289</v>
      </c>
      <c r="J913" s="14" t="n">
        <v>9.772</v>
      </c>
      <c r="K913" s="14" t="n">
        <v>1335.74</v>
      </c>
      <c r="L913" s="14" t="n">
        <v>0.88948</v>
      </c>
      <c r="M913" s="14" t="n">
        <v>7.8144</v>
      </c>
      <c r="N913" s="14" t="n">
        <v>4.3429</v>
      </c>
      <c r="O913" s="14" t="n">
        <v>122.44</v>
      </c>
      <c r="P913" s="14" t="n">
        <v>8.6562</v>
      </c>
    </row>
    <row r="914" customFormat="false" ht="15" hidden="false" customHeight="false" outlineLevel="0" collapsed="false">
      <c r="A914" s="13" t="n">
        <v>43630</v>
      </c>
      <c r="B914" s="14" t="n">
        <v>1184.7</v>
      </c>
      <c r="C914" s="14" t="n">
        <v>8.7165</v>
      </c>
      <c r="D914" s="14" t="n">
        <v>1.2601</v>
      </c>
      <c r="E914" s="14" t="n">
        <v>1.1217</v>
      </c>
      <c r="F914" s="14" t="n">
        <v>6.9247</v>
      </c>
      <c r="G914" s="14" t="n">
        <v>3.8936</v>
      </c>
      <c r="H914" s="14" t="n">
        <v>108.44</v>
      </c>
      <c r="I914" s="14" t="n">
        <v>1.1265</v>
      </c>
      <c r="J914" s="14" t="n">
        <v>9.7728</v>
      </c>
      <c r="K914" s="14" t="n">
        <v>1333.6</v>
      </c>
      <c r="L914" s="14" t="n">
        <v>0.89093</v>
      </c>
      <c r="M914" s="14" t="n">
        <v>7.7997</v>
      </c>
      <c r="N914" s="14" t="n">
        <v>4.3423</v>
      </c>
      <c r="O914" s="14" t="n">
        <v>121.9</v>
      </c>
      <c r="P914" s="14" t="n">
        <v>8.6754</v>
      </c>
    </row>
    <row r="915" customFormat="false" ht="15" hidden="false" customHeight="false" outlineLevel="0" collapsed="false">
      <c r="A915" s="13" t="n">
        <v>43633</v>
      </c>
      <c r="B915" s="14" t="n">
        <v>1186.53</v>
      </c>
      <c r="C915" s="14" t="n">
        <v>8.7135</v>
      </c>
      <c r="D915" s="14" t="n">
        <v>1.2568</v>
      </c>
      <c r="E915" s="14" t="n">
        <v>1.1235</v>
      </c>
      <c r="F915" s="14" t="n">
        <v>6.9251</v>
      </c>
      <c r="G915" s="14" t="n">
        <v>3.8858</v>
      </c>
      <c r="H915" s="14" t="n">
        <v>108.56</v>
      </c>
      <c r="I915" s="14" t="n">
        <v>1.1234</v>
      </c>
      <c r="J915" s="14" t="n">
        <v>9.7938</v>
      </c>
      <c r="K915" s="14" t="n">
        <v>1333.25</v>
      </c>
      <c r="L915" s="14" t="n">
        <v>0.89208</v>
      </c>
      <c r="M915" s="14" t="n">
        <v>7.7794</v>
      </c>
      <c r="N915" s="14" t="n">
        <v>4.3796</v>
      </c>
      <c r="O915" s="14" t="n">
        <v>122.06</v>
      </c>
      <c r="P915" s="14" t="n">
        <v>8.718</v>
      </c>
    </row>
    <row r="916" customFormat="false" ht="15" hidden="false" customHeight="false" outlineLevel="0" collapsed="false">
      <c r="A916" s="13" t="n">
        <v>43634</v>
      </c>
      <c r="B916" s="14" t="n">
        <v>1185.37</v>
      </c>
      <c r="C916" s="14" t="n">
        <v>8.7411</v>
      </c>
      <c r="D916" s="14" t="n">
        <v>1.2547</v>
      </c>
      <c r="E916" s="14" t="n">
        <v>1.1196</v>
      </c>
      <c r="F916" s="14" t="n">
        <v>6.9002</v>
      </c>
      <c r="G916" s="14" t="n">
        <v>3.8549</v>
      </c>
      <c r="H916" s="14" t="n">
        <v>108.39</v>
      </c>
      <c r="I916" s="14" t="n">
        <v>1.1187</v>
      </c>
      <c r="J916" s="14" t="n">
        <v>9.7795</v>
      </c>
      <c r="K916" s="14" t="n">
        <v>1325.56</v>
      </c>
      <c r="L916" s="14" t="n">
        <v>0.89403</v>
      </c>
      <c r="M916" s="14" t="n">
        <v>7.7486</v>
      </c>
      <c r="N916" s="14" t="n">
        <v>4.3313</v>
      </c>
      <c r="O916" s="14" t="n">
        <v>121.08</v>
      </c>
      <c r="P916" s="14" t="n">
        <v>8.7418</v>
      </c>
    </row>
    <row r="917" customFormat="false" ht="15" hidden="false" customHeight="false" outlineLevel="0" collapsed="false">
      <c r="A917" s="13" t="n">
        <v>43635</v>
      </c>
      <c r="B917" s="14" t="n">
        <v>1185.37</v>
      </c>
      <c r="C917" s="14" t="n">
        <v>8.7303</v>
      </c>
      <c r="D917" s="14" t="n">
        <v>1.2625</v>
      </c>
      <c r="E917" s="14" t="n">
        <v>1.1214</v>
      </c>
      <c r="F917" s="14" t="n">
        <v>6.8996</v>
      </c>
      <c r="G917" s="14" t="n">
        <v>3.8731</v>
      </c>
      <c r="H917" s="14" t="n">
        <v>108.36</v>
      </c>
      <c r="I917" s="14" t="n">
        <v>1.1207</v>
      </c>
      <c r="J917" s="14" t="n">
        <v>9.7815</v>
      </c>
      <c r="K917" s="14" t="n">
        <v>1318.62</v>
      </c>
      <c r="L917" s="14" t="n">
        <v>0.8902</v>
      </c>
      <c r="M917" s="14" t="n">
        <v>7.7378</v>
      </c>
      <c r="N917" s="14" t="n">
        <v>4.3324</v>
      </c>
      <c r="O917" s="14" t="n">
        <v>121.49</v>
      </c>
      <c r="P917" s="14" t="n">
        <v>8.728</v>
      </c>
    </row>
    <row r="918" customFormat="false" ht="15" hidden="false" customHeight="false" outlineLevel="0" collapsed="false">
      <c r="A918" s="13" t="n">
        <v>43636</v>
      </c>
      <c r="B918" s="14" t="n">
        <v>1159.05</v>
      </c>
      <c r="C918" s="14" t="n">
        <v>8.5728</v>
      </c>
      <c r="D918" s="14" t="n">
        <v>1.27</v>
      </c>
      <c r="E918" s="14" t="n">
        <v>1.1284</v>
      </c>
      <c r="F918" s="14" t="n">
        <v>6.851</v>
      </c>
      <c r="G918" s="14" t="n">
        <v>3.8386</v>
      </c>
      <c r="H918" s="14" t="n">
        <v>107.52</v>
      </c>
      <c r="I918" s="14" t="n">
        <v>1.1307</v>
      </c>
      <c r="J918" s="14" t="n">
        <v>9.6678</v>
      </c>
      <c r="K918" s="14" t="n">
        <v>1312.25</v>
      </c>
      <c r="L918" s="14" t="n">
        <v>0.89155</v>
      </c>
      <c r="M918" s="14" t="n">
        <v>7.7502</v>
      </c>
      <c r="N918" s="14" t="n">
        <v>4.3407</v>
      </c>
      <c r="O918" s="14" t="n">
        <v>121.71</v>
      </c>
      <c r="P918" s="14" t="n">
        <v>8.5503</v>
      </c>
    </row>
    <row r="919" customFormat="false" ht="15" hidden="false" customHeight="false" outlineLevel="0" collapsed="false">
      <c r="A919" s="13" t="n">
        <v>43637</v>
      </c>
      <c r="B919" s="14" t="n">
        <v>1163.25</v>
      </c>
      <c r="C919" s="14" t="n">
        <v>8.5434</v>
      </c>
      <c r="D919" s="14" t="n">
        <v>1.2703</v>
      </c>
      <c r="E919" s="14" t="n">
        <v>1.1328</v>
      </c>
      <c r="F919" s="14" t="n">
        <v>6.8686</v>
      </c>
      <c r="G919" s="14" t="n">
        <v>3.8212</v>
      </c>
      <c r="H919" s="14" t="n">
        <v>107.55</v>
      </c>
      <c r="I919" s="14" t="n">
        <v>1.1316</v>
      </c>
      <c r="J919" s="14" t="n">
        <v>9.686</v>
      </c>
      <c r="K919" s="14" t="n">
        <v>1314.41</v>
      </c>
      <c r="L919" s="14" t="n">
        <v>0.89425</v>
      </c>
      <c r="M919" s="14" t="n">
        <v>7.7792</v>
      </c>
      <c r="N919" s="14" t="n">
        <v>4.3357</v>
      </c>
      <c r="O919" s="14" t="n">
        <v>121.64</v>
      </c>
      <c r="P919" s="14" t="n">
        <v>8.5596</v>
      </c>
    </row>
    <row r="920" customFormat="false" ht="15" hidden="false" customHeight="false" outlineLevel="0" collapsed="false">
      <c r="A920" s="13" t="n">
        <v>43640</v>
      </c>
      <c r="B920" s="14" t="n">
        <v>1156.14</v>
      </c>
      <c r="C920" s="14" t="n">
        <v>8.4882</v>
      </c>
      <c r="D920" s="14" t="n">
        <v>1.2728</v>
      </c>
      <c r="E920" s="14" t="n">
        <v>1.1393</v>
      </c>
      <c r="F920" s="14" t="n">
        <v>6.8758</v>
      </c>
      <c r="G920" s="14" t="n">
        <v>3.8265</v>
      </c>
      <c r="H920" s="14" t="n">
        <v>107.36</v>
      </c>
      <c r="I920" s="14" t="n">
        <v>1.1394</v>
      </c>
      <c r="J920" s="14" t="n">
        <v>9.6643</v>
      </c>
      <c r="K920" s="14" t="n">
        <v>1317.77</v>
      </c>
      <c r="L920" s="14" t="n">
        <v>0.89365</v>
      </c>
      <c r="M920" s="14" t="n">
        <v>7.8354</v>
      </c>
      <c r="N920" s="14" t="n">
        <v>4.3565</v>
      </c>
      <c r="O920" s="14" t="n">
        <v>122.25</v>
      </c>
      <c r="P920" s="14" t="n">
        <v>8.4819</v>
      </c>
    </row>
    <row r="921" customFormat="false" ht="15" hidden="false" customHeight="false" outlineLevel="0" collapsed="false">
      <c r="A921" s="13" t="n">
        <v>43641</v>
      </c>
      <c r="B921" s="14" t="n">
        <v>1155.97</v>
      </c>
      <c r="C921" s="14" t="n">
        <v>8.5088</v>
      </c>
      <c r="D921" s="14" t="n">
        <v>1.2721</v>
      </c>
      <c r="E921" s="14" t="n">
        <v>1.1386</v>
      </c>
      <c r="F921" s="14" t="n">
        <v>6.8791</v>
      </c>
      <c r="G921" s="14" t="n">
        <v>3.8312</v>
      </c>
      <c r="H921" s="14" t="n">
        <v>106.92</v>
      </c>
      <c r="I921" s="14" t="n">
        <v>1.1388</v>
      </c>
      <c r="J921" s="14" t="n">
        <v>9.6855</v>
      </c>
      <c r="K921" s="14" t="n">
        <v>1314.27</v>
      </c>
      <c r="L921" s="14" t="n">
        <v>0.89485</v>
      </c>
      <c r="M921" s="14" t="n">
        <v>7.8347</v>
      </c>
      <c r="N921" s="14" t="n">
        <v>4.3669</v>
      </c>
      <c r="O921" s="14" t="n">
        <v>121.97</v>
      </c>
      <c r="P921" s="14" t="n">
        <v>8.505</v>
      </c>
    </row>
    <row r="922" customFormat="false" ht="15" hidden="false" customHeight="false" outlineLevel="0" collapsed="false">
      <c r="A922" s="13" t="n">
        <v>43642</v>
      </c>
      <c r="B922" s="14" t="n">
        <v>1156.36</v>
      </c>
      <c r="C922" s="14" t="n">
        <v>8.4798</v>
      </c>
      <c r="D922" s="14" t="n">
        <v>1.2697</v>
      </c>
      <c r="E922" s="14" t="n">
        <v>1.139</v>
      </c>
      <c r="F922" s="14" t="n">
        <v>6.8781</v>
      </c>
      <c r="G922" s="14" t="n">
        <v>3.8355</v>
      </c>
      <c r="H922" s="14" t="n">
        <v>107.64</v>
      </c>
      <c r="I922" s="14" t="n">
        <v>1.1362</v>
      </c>
      <c r="J922" s="14" t="n">
        <v>9.6733</v>
      </c>
      <c r="K922" s="14" t="n">
        <v>1312.86</v>
      </c>
      <c r="L922" s="14" t="n">
        <v>0.89603</v>
      </c>
      <c r="M922" s="14" t="n">
        <v>7.8139</v>
      </c>
      <c r="N922" s="14" t="n">
        <v>4.3624</v>
      </c>
      <c r="O922" s="14" t="n">
        <v>122.4</v>
      </c>
      <c r="P922" s="14" t="n">
        <v>8.5137</v>
      </c>
    </row>
    <row r="923" customFormat="false" ht="15" hidden="false" customHeight="false" outlineLevel="0" collapsed="false">
      <c r="A923" s="13" t="n">
        <v>43643</v>
      </c>
      <c r="B923" s="14" t="n">
        <v>1157.86</v>
      </c>
      <c r="C923" s="14" t="n">
        <v>8.5184</v>
      </c>
      <c r="D923" s="14" t="n">
        <v>1.2674</v>
      </c>
      <c r="E923" s="14" t="n">
        <v>1.1372</v>
      </c>
      <c r="F923" s="14" t="n">
        <v>6.8762</v>
      </c>
      <c r="G923" s="14" t="n">
        <v>3.8604</v>
      </c>
      <c r="H923" s="14" t="n">
        <v>107.73</v>
      </c>
      <c r="I923" s="14" t="n">
        <v>1.137</v>
      </c>
      <c r="J923" s="14" t="n">
        <v>9.6843</v>
      </c>
      <c r="K923" s="14" t="n">
        <v>1313.12</v>
      </c>
      <c r="L923" s="14" t="n">
        <v>0.89428</v>
      </c>
      <c r="M923" s="14" t="n">
        <v>7.8199</v>
      </c>
      <c r="N923" s="14" t="n">
        <v>4.3868</v>
      </c>
      <c r="O923" s="14" t="n">
        <v>122.64</v>
      </c>
      <c r="P923" s="14" t="n">
        <v>8.5174</v>
      </c>
    </row>
    <row r="924" customFormat="false" ht="15" hidden="false" customHeight="false" outlineLevel="0" collapsed="false">
      <c r="A924" s="13" t="n">
        <v>43644</v>
      </c>
      <c r="B924" s="14" t="n">
        <v>1154.58</v>
      </c>
      <c r="C924" s="14" t="n">
        <v>8.5286</v>
      </c>
      <c r="D924" s="14" t="n">
        <v>1.2704</v>
      </c>
      <c r="E924" s="14" t="n">
        <v>1.1374</v>
      </c>
      <c r="F924" s="14" t="n">
        <v>6.865</v>
      </c>
      <c r="G924" s="14" t="n">
        <v>3.829</v>
      </c>
      <c r="H924" s="14" t="n">
        <v>107.84</v>
      </c>
      <c r="I924" s="14" t="n">
        <v>1.138</v>
      </c>
      <c r="J924" s="14" t="n">
        <v>9.6938</v>
      </c>
      <c r="K924" s="14" t="n">
        <v>1315.35</v>
      </c>
      <c r="L924" s="14" t="n">
        <v>0.89655</v>
      </c>
      <c r="M924" s="14" t="n">
        <v>7.8185</v>
      </c>
      <c r="N924" s="14" t="n">
        <v>4.3511</v>
      </c>
      <c r="O924" s="14" t="n">
        <v>122.6</v>
      </c>
      <c r="P924" s="14" t="n">
        <v>8.5183</v>
      </c>
    </row>
    <row r="925" customFormat="false" ht="15" hidden="false" customHeight="false" outlineLevel="0" collapsed="false">
      <c r="A925" s="13" t="n">
        <v>43647</v>
      </c>
      <c r="B925" s="14" t="n">
        <v>1158.5</v>
      </c>
      <c r="C925" s="14" t="n">
        <v>8.5733</v>
      </c>
      <c r="D925" s="14" t="n">
        <v>1.2644</v>
      </c>
      <c r="E925" s="14" t="n">
        <v>1.1307</v>
      </c>
      <c r="F925" s="14" t="n">
        <v>6.8487</v>
      </c>
      <c r="G925" s="14" t="n">
        <v>3.8217</v>
      </c>
      <c r="H925" s="14" t="n">
        <v>108.42</v>
      </c>
      <c r="I925" s="14" t="n">
        <v>1.1349</v>
      </c>
      <c r="J925" s="14" t="n">
        <v>9.6848</v>
      </c>
      <c r="K925" s="14" t="n">
        <v>1318.27</v>
      </c>
      <c r="L925" s="14" t="n">
        <v>0.89718</v>
      </c>
      <c r="M925" s="14" t="n">
        <v>7.7654</v>
      </c>
      <c r="N925" s="14" t="n">
        <v>4.3435</v>
      </c>
      <c r="O925" s="14" t="n">
        <v>122.93</v>
      </c>
      <c r="P925" s="14" t="n">
        <v>8.5336</v>
      </c>
    </row>
    <row r="926" customFormat="false" ht="15" hidden="false" customHeight="false" outlineLevel="0" collapsed="false">
      <c r="A926" s="13" t="n">
        <v>43648</v>
      </c>
      <c r="B926" s="14" t="n">
        <v>1166.31</v>
      </c>
      <c r="C926" s="14" t="n">
        <v>8.5623</v>
      </c>
      <c r="D926" s="14" t="n">
        <v>1.2599</v>
      </c>
      <c r="E926" s="14" t="n">
        <v>1.1301</v>
      </c>
      <c r="F926" s="14" t="n">
        <v>6.8717</v>
      </c>
      <c r="G926" s="14" t="n">
        <v>3.8613</v>
      </c>
      <c r="H926" s="14" t="n">
        <v>107.98</v>
      </c>
      <c r="I926" s="14" t="n">
        <v>1.1301</v>
      </c>
      <c r="J926" s="14" t="n">
        <v>9.6715</v>
      </c>
      <c r="K926" s="14" t="n">
        <v>1318.3</v>
      </c>
      <c r="L926" s="14" t="n">
        <v>0.89443</v>
      </c>
      <c r="M926" s="14" t="n">
        <v>7.7706</v>
      </c>
      <c r="N926" s="14" t="n">
        <v>4.3381</v>
      </c>
      <c r="O926" s="14" t="n">
        <v>122.36</v>
      </c>
      <c r="P926" s="14" t="n">
        <v>8.5581</v>
      </c>
    </row>
    <row r="927" customFormat="false" ht="15" hidden="false" customHeight="false" outlineLevel="0" collapsed="false">
      <c r="A927" s="13" t="n">
        <v>43649</v>
      </c>
      <c r="B927" s="14" t="n">
        <v>1171.14</v>
      </c>
      <c r="C927" s="14" t="n">
        <v>8.539</v>
      </c>
      <c r="D927" s="14" t="n">
        <v>1.2568</v>
      </c>
      <c r="E927" s="14" t="n">
        <v>1.1275</v>
      </c>
      <c r="F927" s="14" t="n">
        <v>6.8806</v>
      </c>
      <c r="G927" s="14" t="n">
        <v>3.8421</v>
      </c>
      <c r="H927" s="14" t="n">
        <v>107.84</v>
      </c>
      <c r="I927" s="14" t="n">
        <v>1.1293</v>
      </c>
      <c r="J927" s="14" t="n">
        <v>9.6593</v>
      </c>
      <c r="K927" s="14" t="n">
        <v>1321.04</v>
      </c>
      <c r="L927" s="14" t="n">
        <v>0.8975</v>
      </c>
      <c r="M927" s="14" t="n">
        <v>7.7703</v>
      </c>
      <c r="N927" s="14" t="n">
        <v>4.364</v>
      </c>
      <c r="O927" s="14" t="n">
        <v>121.61</v>
      </c>
      <c r="P927" s="14" t="n">
        <v>8.5534</v>
      </c>
    </row>
    <row r="928" customFormat="false" ht="15" hidden="false" customHeight="false" outlineLevel="0" collapsed="false">
      <c r="A928" s="13" t="n">
        <v>43650</v>
      </c>
      <c r="I928" s="14" t="n">
        <v>1.1288</v>
      </c>
      <c r="J928" s="14" t="n">
        <v>9.6298</v>
      </c>
      <c r="K928" s="14" t="n">
        <v>1319.51</v>
      </c>
      <c r="L928" s="14" t="n">
        <v>0.8973</v>
      </c>
      <c r="M928" s="14" t="n">
        <v>7.7567</v>
      </c>
      <c r="N928" s="14" t="n">
        <v>4.3098</v>
      </c>
      <c r="O928" s="14" t="n">
        <v>121.65</v>
      </c>
      <c r="P928" s="14" t="n">
        <v>8.531</v>
      </c>
    </row>
    <row r="929" customFormat="false" ht="15" hidden="false" customHeight="false" outlineLevel="0" collapsed="false">
      <c r="A929" s="13" t="n">
        <v>43651</v>
      </c>
      <c r="B929" s="14" t="n">
        <v>1170.26</v>
      </c>
      <c r="C929" s="14" t="n">
        <v>8.6226</v>
      </c>
      <c r="D929" s="14" t="n">
        <v>1.2506</v>
      </c>
      <c r="E929" s="14" t="n">
        <v>1.1216</v>
      </c>
      <c r="F929" s="14" t="n">
        <v>6.8925</v>
      </c>
      <c r="G929" s="14" t="n">
        <v>3.8178</v>
      </c>
      <c r="H929" s="14" t="n">
        <v>108.55</v>
      </c>
      <c r="I929" s="14" t="n">
        <v>1.126</v>
      </c>
      <c r="J929" s="14" t="n">
        <v>9.6325</v>
      </c>
      <c r="K929" s="14" t="n">
        <v>1318.43</v>
      </c>
      <c r="L929" s="14" t="n">
        <v>0.89703</v>
      </c>
      <c r="M929" s="14" t="n">
        <v>7.7425</v>
      </c>
      <c r="N929" s="14" t="n">
        <v>4.2895</v>
      </c>
      <c r="O929" s="14" t="n">
        <v>121.77</v>
      </c>
      <c r="P929" s="14" t="n">
        <v>8.5546</v>
      </c>
    </row>
    <row r="930" customFormat="false" ht="15" hidden="false" customHeight="false" outlineLevel="0" collapsed="false">
      <c r="A930" s="13" t="n">
        <v>43654</v>
      </c>
      <c r="B930" s="14" t="n">
        <v>1181.31</v>
      </c>
      <c r="C930" s="14" t="n">
        <v>8.6415</v>
      </c>
      <c r="D930" s="14" t="n">
        <v>1.2503</v>
      </c>
      <c r="E930" s="14" t="n">
        <v>1.1208</v>
      </c>
      <c r="F930" s="14" t="n">
        <v>6.8808</v>
      </c>
      <c r="G930" s="14" t="n">
        <v>3.8045</v>
      </c>
      <c r="H930" s="14" t="n">
        <v>108.72</v>
      </c>
      <c r="I930" s="14" t="n">
        <v>1.1215</v>
      </c>
      <c r="J930" s="14" t="n">
        <v>9.684</v>
      </c>
      <c r="K930" s="14" t="n">
        <v>1322.07</v>
      </c>
      <c r="L930" s="14" t="n">
        <v>0.89625</v>
      </c>
      <c r="M930" s="14" t="n">
        <v>7.7173</v>
      </c>
      <c r="N930" s="14" t="n">
        <v>4.2752</v>
      </c>
      <c r="O930" s="14" t="n">
        <v>121.8</v>
      </c>
      <c r="P930" s="14" t="n">
        <v>8.6349</v>
      </c>
    </row>
    <row r="931" customFormat="false" ht="15" hidden="false" customHeight="false" outlineLevel="0" collapsed="false">
      <c r="A931" s="13" t="n">
        <v>43655</v>
      </c>
      <c r="B931" s="14" t="n">
        <v>1180.2</v>
      </c>
      <c r="C931" s="14" t="n">
        <v>8.6416</v>
      </c>
      <c r="D931" s="14" t="n">
        <v>1.2463</v>
      </c>
      <c r="E931" s="14" t="n">
        <v>1.121</v>
      </c>
      <c r="F931" s="14" t="n">
        <v>6.8866</v>
      </c>
      <c r="G931" s="14" t="n">
        <v>3.8045</v>
      </c>
      <c r="H931" s="14" t="n">
        <v>108.78</v>
      </c>
      <c r="I931" s="14" t="n">
        <v>1.1205</v>
      </c>
      <c r="J931" s="14" t="n">
        <v>9.6983</v>
      </c>
      <c r="K931" s="14" t="n">
        <v>1325.05</v>
      </c>
      <c r="L931" s="14" t="n">
        <v>0.89975</v>
      </c>
      <c r="M931" s="14" t="n">
        <v>7.7155</v>
      </c>
      <c r="N931" s="14" t="n">
        <v>4.265</v>
      </c>
      <c r="O931" s="14" t="n">
        <v>121.93</v>
      </c>
      <c r="P931" s="14" t="n">
        <v>8.6553</v>
      </c>
    </row>
    <row r="932" customFormat="false" ht="15" hidden="false" customHeight="false" outlineLevel="0" collapsed="false">
      <c r="A932" s="13" t="n">
        <v>43656</v>
      </c>
      <c r="B932" s="14" t="n">
        <v>1181.58</v>
      </c>
      <c r="C932" s="14" t="n">
        <v>8.5814</v>
      </c>
      <c r="D932" s="14" t="n">
        <v>1.2507</v>
      </c>
      <c r="E932" s="14" t="n">
        <v>1.126</v>
      </c>
      <c r="F932" s="14" t="n">
        <v>6.8705</v>
      </c>
      <c r="G932" s="14" t="n">
        <v>3.7646</v>
      </c>
      <c r="H932" s="14" t="n">
        <v>108.44</v>
      </c>
      <c r="I932" s="14" t="n">
        <v>1.122</v>
      </c>
      <c r="J932" s="14" t="n">
        <v>9.693</v>
      </c>
      <c r="K932" s="14" t="n">
        <v>1325.21</v>
      </c>
      <c r="L932" s="14" t="n">
        <v>0.89928</v>
      </c>
      <c r="M932" s="14" t="n">
        <v>7.7227</v>
      </c>
      <c r="N932" s="14" t="n">
        <v>4.2585</v>
      </c>
      <c r="O932" s="14" t="n">
        <v>122.2</v>
      </c>
      <c r="P932" s="14" t="n">
        <v>8.639</v>
      </c>
    </row>
    <row r="933" customFormat="false" ht="15" hidden="false" customHeight="false" outlineLevel="0" collapsed="false">
      <c r="A933" s="13" t="n">
        <v>43657</v>
      </c>
      <c r="B933" s="14" t="n">
        <v>1173.35</v>
      </c>
      <c r="C933" s="14" t="n">
        <v>8.543</v>
      </c>
      <c r="D933" s="14" t="n">
        <v>1.2549</v>
      </c>
      <c r="E933" s="14" t="n">
        <v>1.1261</v>
      </c>
      <c r="F933" s="14" t="n">
        <v>6.8682</v>
      </c>
      <c r="G933" s="14" t="n">
        <v>3.7577</v>
      </c>
      <c r="H933" s="14" t="n">
        <v>108.29</v>
      </c>
      <c r="I933" s="14" t="n">
        <v>1.1285</v>
      </c>
      <c r="J933" s="14" t="n">
        <v>9.6323</v>
      </c>
      <c r="K933" s="14" t="n">
        <v>1324.03</v>
      </c>
      <c r="L933" s="14" t="n">
        <v>0.8979</v>
      </c>
      <c r="M933" s="14" t="n">
        <v>7.7477</v>
      </c>
      <c r="N933" s="14" t="n">
        <v>4.2169</v>
      </c>
      <c r="O933" s="14" t="n">
        <v>121.94</v>
      </c>
      <c r="P933" s="14" t="n">
        <v>8.5355</v>
      </c>
    </row>
    <row r="934" customFormat="false" ht="15" hidden="false" customHeight="false" outlineLevel="0" collapsed="false">
      <c r="A934" s="13" t="n">
        <v>43658</v>
      </c>
      <c r="B934" s="14" t="n">
        <v>1178.71</v>
      </c>
      <c r="C934" s="14" t="n">
        <v>8.5472</v>
      </c>
      <c r="D934" s="14" t="n">
        <v>1.2553</v>
      </c>
      <c r="E934" s="14" t="n">
        <v>1.1254</v>
      </c>
      <c r="F934" s="14" t="n">
        <v>6.8796</v>
      </c>
      <c r="G934" s="14" t="n">
        <v>3.7429</v>
      </c>
      <c r="H934" s="14" t="n">
        <v>108</v>
      </c>
      <c r="I934" s="14" t="n">
        <v>1.1253</v>
      </c>
      <c r="J934" s="14" t="n">
        <v>9.6208</v>
      </c>
      <c r="K934" s="14" t="n">
        <v>1326.69</v>
      </c>
      <c r="L934" s="14" t="n">
        <v>0.89788</v>
      </c>
      <c r="M934" s="14" t="n">
        <v>7.7432</v>
      </c>
      <c r="N934" s="14" t="n">
        <v>4.2271</v>
      </c>
      <c r="O934" s="14" t="n">
        <v>121.83</v>
      </c>
      <c r="P934" s="14" t="n">
        <v>8.5495</v>
      </c>
    </row>
    <row r="935" customFormat="false" ht="15" hidden="false" customHeight="false" outlineLevel="0" collapsed="false">
      <c r="A935" s="13" t="n">
        <v>43661</v>
      </c>
      <c r="B935" s="14" t="n">
        <v>1179.04</v>
      </c>
      <c r="C935" s="14" t="n">
        <v>8.542</v>
      </c>
      <c r="D935" s="14" t="n">
        <v>1.2523</v>
      </c>
      <c r="E935" s="14" t="n">
        <v>1.126</v>
      </c>
      <c r="F935" s="14" t="n">
        <v>6.8769</v>
      </c>
      <c r="G935" s="14" t="n">
        <v>3.749</v>
      </c>
      <c r="H935" s="14" t="n">
        <v>107.89</v>
      </c>
      <c r="I935" s="14" t="n">
        <v>1.1269</v>
      </c>
      <c r="J935" s="14" t="n">
        <v>9.6223</v>
      </c>
      <c r="K935" s="14" t="n">
        <v>1329</v>
      </c>
      <c r="L935" s="14" t="n">
        <v>0.89873</v>
      </c>
      <c r="M935" s="14" t="n">
        <v>7.7484</v>
      </c>
      <c r="N935" s="14" t="n">
        <v>4.21</v>
      </c>
      <c r="O935" s="14" t="n">
        <v>121.62</v>
      </c>
      <c r="P935" s="14" t="n">
        <v>8.5387</v>
      </c>
    </row>
    <row r="936" customFormat="false" ht="15" hidden="false" customHeight="false" outlineLevel="0" collapsed="false">
      <c r="A936" s="13" t="n">
        <v>43662</v>
      </c>
      <c r="B936" s="14" t="n">
        <v>1177.31</v>
      </c>
      <c r="C936" s="14" t="n">
        <v>8.5583</v>
      </c>
      <c r="D936" s="14" t="n">
        <v>1.2408</v>
      </c>
      <c r="E936" s="14" t="n">
        <v>1.1212</v>
      </c>
      <c r="F936" s="14" t="n">
        <v>6.8753</v>
      </c>
      <c r="G936" s="14" t="n">
        <v>3.7607</v>
      </c>
      <c r="H936" s="14" t="n">
        <v>108.35</v>
      </c>
      <c r="I936" s="14" t="n">
        <v>1.1223</v>
      </c>
      <c r="J936" s="14" t="n">
        <v>9.5933</v>
      </c>
      <c r="K936" s="14" t="n">
        <v>1322.95</v>
      </c>
      <c r="L936" s="14" t="n">
        <v>0.9026</v>
      </c>
      <c r="M936" s="14" t="n">
        <v>7.7187</v>
      </c>
      <c r="N936" s="14" t="n">
        <v>4.221</v>
      </c>
      <c r="O936" s="14" t="n">
        <v>121.13</v>
      </c>
      <c r="P936" s="14" t="n">
        <v>8.5479</v>
      </c>
    </row>
    <row r="937" customFormat="false" ht="15" hidden="false" customHeight="false" outlineLevel="0" collapsed="false">
      <c r="A937" s="13" t="n">
        <v>43663</v>
      </c>
      <c r="B937" s="14" t="n">
        <v>1181.09</v>
      </c>
      <c r="C937" s="14" t="n">
        <v>8.5659</v>
      </c>
      <c r="D937" s="14" t="n">
        <v>1.2438</v>
      </c>
      <c r="E937" s="14" t="n">
        <v>1.1232</v>
      </c>
      <c r="F937" s="14" t="n">
        <v>6.8731</v>
      </c>
      <c r="G937" s="14" t="n">
        <v>3.7611</v>
      </c>
      <c r="H937" s="14" t="n">
        <v>108.1</v>
      </c>
      <c r="I937" s="14" t="n">
        <v>1.1215</v>
      </c>
      <c r="J937" s="14" t="n">
        <v>9.622</v>
      </c>
      <c r="K937" s="14" t="n">
        <v>1324.68</v>
      </c>
      <c r="L937" s="14" t="n">
        <v>0.9034</v>
      </c>
      <c r="M937" s="14" t="n">
        <v>7.7131</v>
      </c>
      <c r="N937" s="14" t="n">
        <v>4.2183</v>
      </c>
      <c r="O937" s="14" t="n">
        <v>121.42</v>
      </c>
      <c r="P937" s="14" t="n">
        <v>8.5796</v>
      </c>
    </row>
    <row r="938" customFormat="false" ht="15" hidden="false" customHeight="false" outlineLevel="0" collapsed="false">
      <c r="A938" s="13" t="n">
        <v>43664</v>
      </c>
      <c r="B938" s="14" t="n">
        <v>1178.29</v>
      </c>
      <c r="C938" s="14" t="n">
        <v>8.5888</v>
      </c>
      <c r="D938" s="14" t="n">
        <v>1.2494</v>
      </c>
      <c r="E938" s="14" t="n">
        <v>1.1228</v>
      </c>
      <c r="F938" s="14" t="n">
        <v>6.8788</v>
      </c>
      <c r="G938" s="14" t="n">
        <v>3.7443</v>
      </c>
      <c r="H938" s="14" t="n">
        <v>107.74</v>
      </c>
      <c r="I938" s="14" t="n">
        <v>1.1216</v>
      </c>
      <c r="J938" s="14" t="n">
        <v>9.6438</v>
      </c>
      <c r="K938" s="14" t="n">
        <v>1321.3</v>
      </c>
      <c r="L938" s="14" t="n">
        <v>0.89853</v>
      </c>
      <c r="M938" s="14" t="n">
        <v>7.7168</v>
      </c>
      <c r="N938" s="14" t="n">
        <v>4.2164</v>
      </c>
      <c r="O938" s="14" t="n">
        <v>120.89</v>
      </c>
      <c r="P938" s="14" t="n">
        <v>8.5983</v>
      </c>
    </row>
    <row r="939" customFormat="false" ht="15" hidden="false" customHeight="false" outlineLevel="0" collapsed="false">
      <c r="A939" s="13" t="n">
        <v>43665</v>
      </c>
      <c r="B939" s="14" t="n">
        <v>1173.92</v>
      </c>
      <c r="C939" s="14" t="n">
        <v>8.5696</v>
      </c>
      <c r="D939" s="14" t="n">
        <v>1.25</v>
      </c>
      <c r="E939" s="14" t="n">
        <v>1.122</v>
      </c>
      <c r="F939" s="14" t="n">
        <v>6.8812</v>
      </c>
      <c r="G939" s="14" t="n">
        <v>3.7406</v>
      </c>
      <c r="H939" s="14" t="n">
        <v>107.78</v>
      </c>
      <c r="I939" s="14" t="n">
        <v>1.1226</v>
      </c>
      <c r="J939" s="14" t="n">
        <v>9.6138</v>
      </c>
      <c r="K939" s="14" t="n">
        <v>1319.12</v>
      </c>
      <c r="L939" s="14" t="n">
        <v>0.89635</v>
      </c>
      <c r="M939" s="14" t="n">
        <v>7.7217</v>
      </c>
      <c r="N939" s="14" t="n">
        <v>4.1889</v>
      </c>
      <c r="O939" s="14" t="n">
        <v>120.93</v>
      </c>
      <c r="P939" s="14" t="n">
        <v>8.5639</v>
      </c>
    </row>
    <row r="940" customFormat="false" ht="15" hidden="false" customHeight="false" outlineLevel="0" collapsed="false">
      <c r="A940" s="13" t="n">
        <v>43668</v>
      </c>
      <c r="B940" s="14" t="n">
        <v>1178.17</v>
      </c>
      <c r="C940" s="14" t="n">
        <v>8.6028</v>
      </c>
      <c r="D940" s="14" t="n">
        <v>1.2475</v>
      </c>
      <c r="E940" s="14" t="n">
        <v>1.1214</v>
      </c>
      <c r="F940" s="14" t="n">
        <v>6.8803</v>
      </c>
      <c r="G940" s="14" t="n">
        <v>3.735</v>
      </c>
      <c r="H940" s="14" t="n">
        <v>107.91</v>
      </c>
      <c r="I940" s="14" t="n">
        <v>1.1215</v>
      </c>
      <c r="J940" s="14" t="n">
        <v>9.6275</v>
      </c>
      <c r="K940" s="14" t="n">
        <v>1320.34</v>
      </c>
      <c r="L940" s="14" t="n">
        <v>0.89968</v>
      </c>
      <c r="M940" s="14" t="n">
        <v>7.7168</v>
      </c>
      <c r="N940" s="14" t="n">
        <v>4.1983</v>
      </c>
      <c r="O940" s="14" t="n">
        <v>121.03</v>
      </c>
      <c r="P940" s="14" t="n">
        <v>8.5845</v>
      </c>
    </row>
    <row r="941" customFormat="false" ht="15" hidden="false" customHeight="false" outlineLevel="0" collapsed="false">
      <c r="A941" s="13" t="n">
        <v>43669</v>
      </c>
      <c r="B941" s="14" t="n">
        <v>1178.72</v>
      </c>
      <c r="C941" s="14" t="n">
        <v>8.684</v>
      </c>
      <c r="D941" s="14" t="n">
        <v>1.2449</v>
      </c>
      <c r="E941" s="14" t="n">
        <v>1.1156</v>
      </c>
      <c r="F941" s="14" t="n">
        <v>6.8787</v>
      </c>
      <c r="G941" s="14" t="n">
        <v>3.768</v>
      </c>
      <c r="H941" s="14" t="n">
        <v>108.06</v>
      </c>
      <c r="I941" s="14" t="n">
        <v>1.1173</v>
      </c>
      <c r="J941" s="14" t="n">
        <v>9.681</v>
      </c>
      <c r="K941" s="14" t="n">
        <v>1317.02</v>
      </c>
      <c r="L941" s="14" t="n">
        <v>0.8983</v>
      </c>
      <c r="M941" s="14" t="n">
        <v>7.6856</v>
      </c>
      <c r="N941" s="14" t="n">
        <v>4.1878</v>
      </c>
      <c r="O941" s="14" t="n">
        <v>120.82</v>
      </c>
      <c r="P941" s="14" t="n">
        <v>8.6646</v>
      </c>
    </row>
    <row r="942" customFormat="false" ht="15" hidden="false" customHeight="false" outlineLevel="0" collapsed="false">
      <c r="A942" s="13" t="n">
        <v>43670</v>
      </c>
      <c r="B942" s="14" t="n">
        <v>1177.54</v>
      </c>
      <c r="C942" s="14" t="n">
        <v>8.6413</v>
      </c>
      <c r="D942" s="14" t="n">
        <v>1.2498</v>
      </c>
      <c r="E942" s="14" t="n">
        <v>1.1141</v>
      </c>
      <c r="F942" s="14" t="n">
        <v>6.8717</v>
      </c>
      <c r="G942" s="14" t="n">
        <v>3.761</v>
      </c>
      <c r="H942" s="14" t="n">
        <v>108.08</v>
      </c>
      <c r="I942" s="14" t="n">
        <v>1.114</v>
      </c>
      <c r="J942" s="14" t="n">
        <v>9.6355</v>
      </c>
      <c r="K942" s="14" t="n">
        <v>1311.47</v>
      </c>
      <c r="L942" s="14" t="n">
        <v>0.89143</v>
      </c>
      <c r="M942" s="14" t="n">
        <v>7.6588</v>
      </c>
      <c r="N942" s="14" t="n">
        <v>4.1948</v>
      </c>
      <c r="O942" s="14" t="n">
        <v>120.41</v>
      </c>
      <c r="P942" s="14" t="n">
        <v>8.6495</v>
      </c>
    </row>
    <row r="943" customFormat="false" ht="15" hidden="false" customHeight="false" outlineLevel="0" collapsed="false">
      <c r="A943" s="13" t="n">
        <v>43671</v>
      </c>
      <c r="B943" s="14" t="n">
        <v>1181.17</v>
      </c>
      <c r="C943" s="14" t="n">
        <v>8.6676</v>
      </c>
      <c r="D943" s="14" t="n">
        <v>1.2471</v>
      </c>
      <c r="E943" s="14" t="n">
        <v>1.1156</v>
      </c>
      <c r="F943" s="14" t="n">
        <v>6.8714</v>
      </c>
      <c r="G943" s="14" t="n">
        <v>3.788</v>
      </c>
      <c r="H943" s="14" t="n">
        <v>108.58</v>
      </c>
      <c r="I943" s="14" t="n">
        <v>1.1115</v>
      </c>
      <c r="J943" s="14" t="n">
        <v>9.6058</v>
      </c>
      <c r="K943" s="14" t="n">
        <v>1312.16</v>
      </c>
      <c r="L943" s="14" t="n">
        <v>0.88963</v>
      </c>
      <c r="M943" s="14" t="n">
        <v>7.6393</v>
      </c>
      <c r="N943" s="14" t="n">
        <v>4.1771</v>
      </c>
      <c r="O943" s="14" t="n">
        <v>120.15</v>
      </c>
      <c r="P943" s="14" t="n">
        <v>8.6422</v>
      </c>
    </row>
    <row r="944" customFormat="false" ht="15" hidden="false" customHeight="false" outlineLevel="0" collapsed="false">
      <c r="A944" s="13" t="n">
        <v>43672</v>
      </c>
      <c r="B944" s="14" t="n">
        <v>1184.51</v>
      </c>
      <c r="C944" s="14" t="n">
        <v>8.7195</v>
      </c>
      <c r="D944" s="14" t="n">
        <v>1.2387</v>
      </c>
      <c r="E944" s="14" t="n">
        <v>1.1121</v>
      </c>
      <c r="F944" s="14" t="n">
        <v>6.8785</v>
      </c>
      <c r="G944" s="14" t="n">
        <v>3.7714</v>
      </c>
      <c r="H944" s="14" t="n">
        <v>108.69</v>
      </c>
      <c r="I944" s="14" t="n">
        <v>1.1138</v>
      </c>
      <c r="J944" s="14" t="n">
        <v>9.6913</v>
      </c>
      <c r="K944" s="14" t="n">
        <v>1317.79</v>
      </c>
      <c r="L944" s="14" t="n">
        <v>0.89633</v>
      </c>
      <c r="M944" s="14" t="n">
        <v>7.6609</v>
      </c>
      <c r="N944" s="14" t="n">
        <v>4.2053</v>
      </c>
      <c r="O944" s="14" t="n">
        <v>121.06</v>
      </c>
      <c r="P944" s="14" t="n">
        <v>8.7011</v>
      </c>
    </row>
    <row r="945" customFormat="false" ht="15" hidden="false" customHeight="false" outlineLevel="0" collapsed="false">
      <c r="A945" s="13" t="n">
        <v>43675</v>
      </c>
      <c r="B945" s="14" t="n">
        <v>1183.36</v>
      </c>
      <c r="C945" s="14" t="n">
        <v>8.7007</v>
      </c>
      <c r="D945" s="14" t="n">
        <v>1.2236</v>
      </c>
      <c r="E945" s="14" t="n">
        <v>1.1142</v>
      </c>
      <c r="F945" s="14" t="n">
        <v>6.8927</v>
      </c>
      <c r="G945" s="14" t="n">
        <v>3.7873</v>
      </c>
      <c r="H945" s="14" t="n">
        <v>108.86</v>
      </c>
      <c r="I945" s="14" t="n">
        <v>1.1119</v>
      </c>
      <c r="J945" s="14" t="n">
        <v>9.6935</v>
      </c>
      <c r="K945" s="14" t="n">
        <v>1316.82</v>
      </c>
      <c r="L945" s="14" t="n">
        <v>0.90443</v>
      </c>
      <c r="M945" s="14" t="n">
        <v>7.6648</v>
      </c>
      <c r="N945" s="14" t="n">
        <v>4.2104</v>
      </c>
      <c r="O945" s="14" t="n">
        <v>120.81</v>
      </c>
      <c r="P945" s="14" t="n">
        <v>8.718</v>
      </c>
    </row>
    <row r="946" customFormat="false" ht="15" hidden="false" customHeight="false" outlineLevel="0" collapsed="false">
      <c r="A946" s="13" t="n">
        <v>43676</v>
      </c>
      <c r="B946" s="14" t="n">
        <v>1181.94</v>
      </c>
      <c r="C946" s="14" t="n">
        <v>8.7571</v>
      </c>
      <c r="D946" s="14" t="n">
        <v>1.2148</v>
      </c>
      <c r="E946" s="14" t="n">
        <v>1.1148</v>
      </c>
      <c r="F946" s="14" t="n">
        <v>6.8833</v>
      </c>
      <c r="G946" s="14" t="n">
        <v>3.7867</v>
      </c>
      <c r="H946" s="14" t="n">
        <v>108.66</v>
      </c>
      <c r="I946" s="14" t="n">
        <v>1.1154</v>
      </c>
      <c r="J946" s="14" t="n">
        <v>9.7368</v>
      </c>
      <c r="K946" s="14" t="n">
        <v>1317.25</v>
      </c>
      <c r="L946" s="14" t="n">
        <v>0.91653</v>
      </c>
      <c r="M946" s="14" t="n">
        <v>7.6761</v>
      </c>
      <c r="N946" s="14" t="n">
        <v>4.2237</v>
      </c>
      <c r="O946" s="14" t="n">
        <v>121</v>
      </c>
      <c r="P946" s="14" t="n">
        <v>8.7294</v>
      </c>
    </row>
    <row r="947" customFormat="false" ht="15" hidden="false" customHeight="false" outlineLevel="0" collapsed="false">
      <c r="A947" s="13" t="n">
        <v>43677</v>
      </c>
      <c r="B947" s="14" t="n">
        <v>1182.74</v>
      </c>
      <c r="C947" s="14" t="n">
        <v>8.7808</v>
      </c>
      <c r="D947" s="14" t="n">
        <v>1.222</v>
      </c>
      <c r="E947" s="14" t="n">
        <v>1.113</v>
      </c>
      <c r="F947" s="14" t="n">
        <v>6.8833</v>
      </c>
      <c r="G947" s="14" t="n">
        <v>3.7571</v>
      </c>
      <c r="H947" s="14" t="n">
        <v>108.58</v>
      </c>
      <c r="I947" s="14" t="n">
        <v>1.1151</v>
      </c>
      <c r="J947" s="14" t="n">
        <v>9.7778</v>
      </c>
      <c r="K947" s="14" t="n">
        <v>1318.25</v>
      </c>
      <c r="L947" s="14" t="n">
        <v>0.91623</v>
      </c>
      <c r="M947" s="14" t="n">
        <v>7.6743</v>
      </c>
      <c r="N947" s="14" t="n">
        <v>4.218</v>
      </c>
      <c r="O947" s="14" t="n">
        <v>121.04</v>
      </c>
      <c r="P947" s="14" t="n">
        <v>8.7685</v>
      </c>
    </row>
    <row r="948" customFormat="false" ht="15" hidden="false" customHeight="false" outlineLevel="0" collapsed="false">
      <c r="A948" s="13" t="n">
        <v>43678</v>
      </c>
      <c r="B948" s="14" t="n">
        <v>1187</v>
      </c>
      <c r="C948" s="14" t="n">
        <v>8.8706</v>
      </c>
      <c r="D948" s="14" t="n">
        <v>1.2145</v>
      </c>
      <c r="E948" s="14" t="n">
        <v>1.1062</v>
      </c>
      <c r="F948" s="14" t="n">
        <v>6.8972</v>
      </c>
      <c r="G948" s="14" t="n">
        <v>3.8366</v>
      </c>
      <c r="H948" s="14" t="n">
        <v>108.28</v>
      </c>
      <c r="I948" s="14" t="n">
        <v>1.1037</v>
      </c>
      <c r="J948" s="14" t="n">
        <v>9.812</v>
      </c>
      <c r="K948" s="14" t="n">
        <v>1313.68</v>
      </c>
      <c r="L948" s="14" t="n">
        <v>0.9115</v>
      </c>
      <c r="M948" s="14" t="n">
        <v>7.6177</v>
      </c>
      <c r="N948" s="14" t="n">
        <v>4.2223</v>
      </c>
      <c r="O948" s="14" t="n">
        <v>120.18</v>
      </c>
      <c r="P948" s="14" t="n">
        <v>8.8901</v>
      </c>
    </row>
    <row r="949" customFormat="false" ht="15" hidden="false" customHeight="false" outlineLevel="0" collapsed="false">
      <c r="A949" s="13" t="n">
        <v>43679</v>
      </c>
      <c r="B949" s="14" t="n">
        <v>1196.59</v>
      </c>
      <c r="C949" s="14" t="n">
        <v>8.9135</v>
      </c>
      <c r="D949" s="14" t="n">
        <v>1.2132</v>
      </c>
      <c r="E949" s="14" t="n">
        <v>1.1112</v>
      </c>
      <c r="F949" s="14" t="n">
        <v>6.9387</v>
      </c>
      <c r="G949" s="14" t="n">
        <v>3.8789</v>
      </c>
      <c r="H949" s="14" t="n">
        <v>106.64</v>
      </c>
      <c r="I949" s="14" t="n">
        <v>1.1106</v>
      </c>
      <c r="J949" s="14" t="n">
        <v>9.9105</v>
      </c>
      <c r="K949" s="14" t="n">
        <v>1333.44</v>
      </c>
      <c r="L949" s="14" t="n">
        <v>0.91505</v>
      </c>
      <c r="M949" s="14" t="n">
        <v>7.7058</v>
      </c>
      <c r="N949" s="14" t="n">
        <v>4.2958</v>
      </c>
      <c r="O949" s="14" t="n">
        <v>118.57</v>
      </c>
      <c r="P949" s="14" t="n">
        <v>8.9236</v>
      </c>
    </row>
    <row r="950" customFormat="false" ht="15" hidden="false" customHeight="false" outlineLevel="0" collapsed="false">
      <c r="A950" s="13" t="n">
        <v>43682</v>
      </c>
      <c r="B950" s="14" t="n">
        <v>1215.5</v>
      </c>
      <c r="C950" s="14" t="n">
        <v>8.9183</v>
      </c>
      <c r="D950" s="14" t="n">
        <v>1.2165</v>
      </c>
      <c r="E950" s="14" t="n">
        <v>1.1197</v>
      </c>
      <c r="F950" s="14" t="n">
        <v>7.0481</v>
      </c>
      <c r="G950" s="14" t="n">
        <v>3.9423</v>
      </c>
      <c r="H950" s="14" t="n">
        <v>106.02</v>
      </c>
      <c r="I950" s="14" t="n">
        <v>1.1182</v>
      </c>
      <c r="J950" s="14" t="n">
        <v>9.972</v>
      </c>
      <c r="K950" s="14" t="n">
        <v>1359.84</v>
      </c>
      <c r="L950" s="14" t="n">
        <v>0.9188</v>
      </c>
      <c r="M950" s="14" t="n">
        <v>7.8705</v>
      </c>
      <c r="N950" s="14" t="n">
        <v>4.3805</v>
      </c>
      <c r="O950" s="14" t="n">
        <v>118.61</v>
      </c>
      <c r="P950" s="14" t="n">
        <v>8.9179</v>
      </c>
    </row>
    <row r="951" customFormat="false" ht="15" hidden="false" customHeight="false" outlineLevel="0" collapsed="false">
      <c r="A951" s="13" t="n">
        <v>43683</v>
      </c>
      <c r="B951" s="14" t="n">
        <v>1214.83</v>
      </c>
      <c r="C951" s="14" t="n">
        <v>8.9087</v>
      </c>
      <c r="D951" s="14" t="n">
        <v>1.2149</v>
      </c>
      <c r="E951" s="14" t="n">
        <v>1.1196</v>
      </c>
      <c r="F951" s="14" t="n">
        <v>7.0192</v>
      </c>
      <c r="G951" s="14" t="n">
        <v>3.974</v>
      </c>
      <c r="H951" s="14" t="n">
        <v>106.45</v>
      </c>
      <c r="I951" s="14" t="n">
        <v>1.1187</v>
      </c>
      <c r="J951" s="14" t="n">
        <v>9.9545</v>
      </c>
      <c r="K951" s="14" t="n">
        <v>1357.32</v>
      </c>
      <c r="L951" s="14" t="n">
        <v>0.9183</v>
      </c>
      <c r="M951" s="14" t="n">
        <v>7.8521</v>
      </c>
      <c r="N951" s="14" t="n">
        <v>4.4099</v>
      </c>
      <c r="O951" s="14" t="n">
        <v>119.1</v>
      </c>
      <c r="P951" s="14" t="n">
        <v>8.8983</v>
      </c>
    </row>
    <row r="952" customFormat="false" ht="15" hidden="false" customHeight="false" outlineLevel="0" collapsed="false">
      <c r="A952" s="13" t="n">
        <v>43684</v>
      </c>
      <c r="B952" s="14" t="n">
        <v>1214.46</v>
      </c>
      <c r="C952" s="14" t="n">
        <v>8.965</v>
      </c>
      <c r="D952" s="14" t="n">
        <v>1.2158</v>
      </c>
      <c r="E952" s="14" t="n">
        <v>1.1236</v>
      </c>
      <c r="F952" s="14" t="n">
        <v>7.0592</v>
      </c>
      <c r="G952" s="14" t="n">
        <v>3.9863</v>
      </c>
      <c r="H952" s="14" t="n">
        <v>105.62</v>
      </c>
      <c r="I952" s="14" t="n">
        <v>1.1202</v>
      </c>
      <c r="J952" s="14" t="n">
        <v>9.996</v>
      </c>
      <c r="K952" s="14" t="n">
        <v>1361.74</v>
      </c>
      <c r="L952" s="14" t="n">
        <v>0.92353</v>
      </c>
      <c r="M952" s="14" t="n">
        <v>7.8957</v>
      </c>
      <c r="N952" s="14" t="n">
        <v>4.4438</v>
      </c>
      <c r="O952" s="14" t="n">
        <v>118.48</v>
      </c>
      <c r="P952" s="14" t="n">
        <v>8.9234</v>
      </c>
    </row>
    <row r="953" customFormat="false" ht="15" hidden="false" customHeight="false" outlineLevel="0" collapsed="false">
      <c r="A953" s="13" t="n">
        <v>43685</v>
      </c>
      <c r="B953" s="14" t="n">
        <v>1208.77</v>
      </c>
      <c r="C953" s="14" t="n">
        <v>8.9215</v>
      </c>
      <c r="D953" s="14" t="n">
        <v>1.2138</v>
      </c>
      <c r="E953" s="14" t="n">
        <v>1.121</v>
      </c>
      <c r="F953" s="14" t="n">
        <v>7.044</v>
      </c>
      <c r="G953" s="14" t="n">
        <v>3.9349</v>
      </c>
      <c r="H953" s="14" t="n">
        <v>106.04</v>
      </c>
      <c r="I953" s="14" t="n">
        <v>1.1193</v>
      </c>
      <c r="J953" s="14" t="n">
        <v>10.018</v>
      </c>
      <c r="K953" s="14" t="n">
        <v>1353.16</v>
      </c>
      <c r="L953" s="14" t="n">
        <v>0.92115</v>
      </c>
      <c r="M953" s="14" t="n">
        <v>7.8873</v>
      </c>
      <c r="N953" s="14" t="n">
        <v>4.4283</v>
      </c>
      <c r="O953" s="14" t="n">
        <v>118.64</v>
      </c>
      <c r="P953" s="14" t="n">
        <v>8.9502</v>
      </c>
    </row>
    <row r="954" customFormat="false" ht="15" hidden="false" customHeight="false" outlineLevel="0" collapsed="false">
      <c r="A954" s="13" t="n">
        <v>43686</v>
      </c>
      <c r="B954" s="14" t="n">
        <v>1214.15</v>
      </c>
      <c r="C954" s="14" t="n">
        <v>8.8778</v>
      </c>
      <c r="D954" s="14" t="n">
        <v>1.2085</v>
      </c>
      <c r="E954" s="14" t="n">
        <v>1.1222</v>
      </c>
      <c r="F954" s="14" t="n">
        <v>7.0613</v>
      </c>
      <c r="G954" s="14" t="n">
        <v>3.9385</v>
      </c>
      <c r="H954" s="14" t="n">
        <v>105.3</v>
      </c>
      <c r="I954" s="14" t="n">
        <v>1.1198</v>
      </c>
      <c r="J954" s="14" t="n">
        <v>9.9588</v>
      </c>
      <c r="K954" s="14" t="n">
        <v>1356.25</v>
      </c>
      <c r="L954" s="14" t="n">
        <v>0.9282</v>
      </c>
      <c r="M954" s="14" t="n">
        <v>7.9039</v>
      </c>
      <c r="N954" s="14" t="n">
        <v>4.3994</v>
      </c>
      <c r="O954" s="14" t="n">
        <v>118.51</v>
      </c>
      <c r="P954" s="14" t="n">
        <v>8.8934</v>
      </c>
    </row>
    <row r="955" customFormat="false" ht="15" hidden="false" customHeight="false" outlineLevel="0" collapsed="false">
      <c r="A955" s="13" t="n">
        <v>43689</v>
      </c>
      <c r="B955" s="14" t="n">
        <v>1215.7</v>
      </c>
      <c r="C955" s="14" t="n">
        <v>8.9123</v>
      </c>
      <c r="D955" s="14" t="n">
        <v>1.207</v>
      </c>
      <c r="E955" s="14" t="n">
        <v>1.1212</v>
      </c>
      <c r="F955" s="14" t="n">
        <v>7.0578</v>
      </c>
      <c r="G955" s="14" t="n">
        <v>3.9862</v>
      </c>
      <c r="H955" s="14" t="n">
        <v>105.38</v>
      </c>
      <c r="I955" s="14" t="n">
        <v>1.1194</v>
      </c>
      <c r="J955" s="14" t="n">
        <v>10.0003</v>
      </c>
      <c r="K955" s="14" t="n">
        <v>1364.55</v>
      </c>
      <c r="L955" s="14" t="n">
        <v>0.92615</v>
      </c>
      <c r="M955" s="14" t="n">
        <v>7.9014</v>
      </c>
      <c r="N955" s="14" t="n">
        <v>4.466</v>
      </c>
      <c r="O955" s="14" t="n">
        <v>117.69</v>
      </c>
      <c r="P955" s="14" t="n">
        <v>8.9336</v>
      </c>
    </row>
    <row r="956" customFormat="false" ht="15" hidden="false" customHeight="false" outlineLevel="0" collapsed="false">
      <c r="A956" s="13" t="n">
        <v>43690</v>
      </c>
      <c r="B956" s="14" t="n">
        <v>1220.7</v>
      </c>
      <c r="C956" s="14" t="n">
        <v>8.8756</v>
      </c>
      <c r="D956" s="14" t="n">
        <v>1.2067</v>
      </c>
      <c r="E956" s="14" t="n">
        <v>1.1182</v>
      </c>
      <c r="F956" s="14" t="n">
        <v>7.0423</v>
      </c>
      <c r="G956" s="14" t="n">
        <v>3.9531</v>
      </c>
      <c r="H956" s="14" t="n">
        <v>106.6</v>
      </c>
      <c r="I956" s="14" t="n">
        <v>1.1222</v>
      </c>
      <c r="J956" s="14" t="n">
        <v>10.0078</v>
      </c>
      <c r="K956" s="14" t="n">
        <v>1373.2</v>
      </c>
      <c r="L956" s="14" t="n">
        <v>0.9283</v>
      </c>
      <c r="M956" s="14" t="n">
        <v>7.9303</v>
      </c>
      <c r="N956" s="14" t="n">
        <v>4.4773</v>
      </c>
      <c r="O956" s="14" t="n">
        <v>118.01</v>
      </c>
      <c r="P956" s="14" t="n">
        <v>8.918</v>
      </c>
    </row>
    <row r="957" customFormat="false" ht="15" hidden="false" customHeight="false" outlineLevel="0" collapsed="false">
      <c r="A957" s="13" t="n">
        <v>43691</v>
      </c>
      <c r="B957" s="14" t="n">
        <v>1212.44</v>
      </c>
      <c r="C957" s="14" t="n">
        <v>8.9735</v>
      </c>
      <c r="D957" s="14" t="n">
        <v>1.2068</v>
      </c>
      <c r="E957" s="14" t="n">
        <v>1.1144</v>
      </c>
      <c r="F957" s="14" t="n">
        <v>7.0224</v>
      </c>
      <c r="G957" s="14" t="n">
        <v>4.0143</v>
      </c>
      <c r="H957" s="14" t="n">
        <v>105.79</v>
      </c>
      <c r="I957" s="14" t="n">
        <v>1.1188</v>
      </c>
      <c r="J957" s="14" t="n">
        <v>10.0035</v>
      </c>
      <c r="K957" s="14" t="n">
        <v>1358.5</v>
      </c>
      <c r="L957" s="14" t="n">
        <v>0.92673</v>
      </c>
      <c r="M957" s="14" t="n">
        <v>7.8526</v>
      </c>
      <c r="N957" s="14" t="n">
        <v>4.4702</v>
      </c>
      <c r="O957" s="14" t="n">
        <v>118.48</v>
      </c>
      <c r="P957" s="14" t="n">
        <v>8.9413</v>
      </c>
    </row>
    <row r="958" customFormat="false" ht="15" hidden="false" customHeight="false" outlineLevel="0" collapsed="false">
      <c r="A958" s="13" t="n">
        <v>43692</v>
      </c>
      <c r="B958" s="14" t="n">
        <v>1214.34</v>
      </c>
      <c r="C958" s="14" t="n">
        <v>9.0116</v>
      </c>
      <c r="D958" s="14" t="n">
        <v>1.2112</v>
      </c>
      <c r="E958" s="14" t="n">
        <v>1.1106</v>
      </c>
      <c r="F958" s="14" t="n">
        <v>7.0327</v>
      </c>
      <c r="G958" s="14" t="n">
        <v>4.01</v>
      </c>
      <c r="H958" s="14" t="n">
        <v>106.12</v>
      </c>
      <c r="I958" s="14" t="n">
        <v>1.115</v>
      </c>
      <c r="J958" s="14" t="n">
        <v>10.0145</v>
      </c>
      <c r="K958" s="14" t="n">
        <v>1353.11</v>
      </c>
      <c r="L958" s="14" t="n">
        <v>0.91863</v>
      </c>
      <c r="M958" s="14" t="n">
        <v>7.8463</v>
      </c>
      <c r="N958" s="14" t="n">
        <v>4.4868</v>
      </c>
      <c r="O958" s="14" t="n">
        <v>118.37</v>
      </c>
      <c r="P958" s="14" t="n">
        <v>8.9816</v>
      </c>
    </row>
    <row r="959" customFormat="false" ht="15" hidden="false" customHeight="false" outlineLevel="0" collapsed="false">
      <c r="A959" s="13" t="n">
        <v>43693</v>
      </c>
      <c r="B959" s="14" t="n">
        <v>1205.75</v>
      </c>
      <c r="C959" s="14" t="n">
        <v>8.9899</v>
      </c>
      <c r="D959" s="14" t="n">
        <v>1.2152</v>
      </c>
      <c r="E959" s="14" t="n">
        <v>1.1091</v>
      </c>
      <c r="F959" s="14" t="n">
        <v>7.0413</v>
      </c>
      <c r="G959" s="14" t="n">
        <v>3.9926</v>
      </c>
      <c r="H959" s="14" t="n">
        <v>106.34</v>
      </c>
      <c r="I959" s="14" t="n">
        <v>1.1076</v>
      </c>
      <c r="J959" s="14" t="n">
        <v>9.9653</v>
      </c>
      <c r="K959" s="14" t="n">
        <v>1338.6</v>
      </c>
      <c r="L959" s="14" t="n">
        <v>0.91033</v>
      </c>
      <c r="M959" s="14" t="n">
        <v>7.7978</v>
      </c>
      <c r="N959" s="14" t="n">
        <v>4.4075</v>
      </c>
      <c r="O959" s="14" t="n">
        <v>117.77</v>
      </c>
      <c r="P959" s="14" t="n">
        <v>8.9972</v>
      </c>
    </row>
    <row r="960" customFormat="false" ht="15" hidden="false" customHeight="false" outlineLevel="0" collapsed="false">
      <c r="A960" s="13" t="n">
        <v>43696</v>
      </c>
      <c r="B960" s="14" t="n">
        <v>1210.6</v>
      </c>
      <c r="C960" s="14" t="n">
        <v>8.9716</v>
      </c>
      <c r="D960" s="14" t="n">
        <v>1.2138</v>
      </c>
      <c r="E960" s="14" t="n">
        <v>1.1096</v>
      </c>
      <c r="F960" s="14" t="n">
        <v>7.0499</v>
      </c>
      <c r="G960" s="14" t="n">
        <v>4.0344</v>
      </c>
      <c r="H960" s="14" t="n">
        <v>106.5</v>
      </c>
      <c r="I960" s="14" t="n">
        <v>1.1103</v>
      </c>
      <c r="J960" s="14" t="n">
        <v>9.9658</v>
      </c>
      <c r="K960" s="14" t="n">
        <v>1343.14</v>
      </c>
      <c r="L960" s="14" t="n">
        <v>0.91583</v>
      </c>
      <c r="M960" s="14" t="n">
        <v>7.8283</v>
      </c>
      <c r="N960" s="14" t="n">
        <v>4.4355</v>
      </c>
      <c r="O960" s="14" t="n">
        <v>118.34</v>
      </c>
      <c r="P960" s="14" t="n">
        <v>8.9758</v>
      </c>
    </row>
    <row r="961" customFormat="false" ht="15" hidden="false" customHeight="false" outlineLevel="0" collapsed="false">
      <c r="A961" s="13" t="n">
        <v>43697</v>
      </c>
      <c r="B961" s="14" t="n">
        <v>1207.93</v>
      </c>
      <c r="C961" s="14" t="n">
        <v>9.0008</v>
      </c>
      <c r="D961" s="14" t="n">
        <v>1.2153</v>
      </c>
      <c r="E961" s="14" t="n">
        <v>1.1092</v>
      </c>
      <c r="F961" s="14" t="n">
        <v>7.0597</v>
      </c>
      <c r="G961" s="14" t="n">
        <v>4.0409</v>
      </c>
      <c r="H961" s="14" t="n">
        <v>106.35</v>
      </c>
      <c r="I961" s="14" t="n">
        <v>1.1076</v>
      </c>
      <c r="J961" s="14" t="n">
        <v>9.9638</v>
      </c>
      <c r="K961" s="14" t="n">
        <v>1337.78</v>
      </c>
      <c r="L961" s="14" t="n">
        <v>0.91623</v>
      </c>
      <c r="M961" s="14" t="n">
        <v>7.818</v>
      </c>
      <c r="N961" s="14" t="n">
        <v>4.4959</v>
      </c>
      <c r="O961" s="14" t="n">
        <v>117.79</v>
      </c>
      <c r="P961" s="14" t="n">
        <v>8.9958</v>
      </c>
    </row>
    <row r="962" customFormat="false" ht="15" hidden="false" customHeight="false" outlineLevel="0" collapsed="false">
      <c r="A962" s="13" t="n">
        <v>43698</v>
      </c>
      <c r="B962" s="14" t="n">
        <v>1202</v>
      </c>
      <c r="C962" s="14" t="n">
        <v>8.9474</v>
      </c>
      <c r="D962" s="14" t="n">
        <v>1.2142</v>
      </c>
      <c r="E962" s="14" t="n">
        <v>1.1098</v>
      </c>
      <c r="F962" s="14" t="n">
        <v>7.0623</v>
      </c>
      <c r="G962" s="14" t="n">
        <v>4.0188</v>
      </c>
      <c r="H962" s="14" t="n">
        <v>106.52</v>
      </c>
      <c r="I962" s="14" t="n">
        <v>1.1104</v>
      </c>
      <c r="J962" s="14" t="n">
        <v>9.9263</v>
      </c>
      <c r="K962" s="14" t="n">
        <v>1335.79</v>
      </c>
      <c r="L962" s="14" t="n">
        <v>0.91545</v>
      </c>
      <c r="M962" s="14" t="n">
        <v>7.8438</v>
      </c>
      <c r="N962" s="14" t="n">
        <v>4.4621</v>
      </c>
      <c r="O962" s="14" t="n">
        <v>118.24</v>
      </c>
      <c r="P962" s="14" t="n">
        <v>8.9394</v>
      </c>
    </row>
    <row r="963" customFormat="false" ht="15" hidden="false" customHeight="false" outlineLevel="0" collapsed="false">
      <c r="A963" s="13" t="n">
        <v>43699</v>
      </c>
      <c r="B963" s="14" t="n">
        <v>1206.96</v>
      </c>
      <c r="C963" s="14" t="n">
        <v>8.9715</v>
      </c>
      <c r="D963" s="14" t="n">
        <v>1.225</v>
      </c>
      <c r="E963" s="14" t="n">
        <v>1.1089</v>
      </c>
      <c r="F963" s="14" t="n">
        <v>7.0829</v>
      </c>
      <c r="G963" s="14" t="n">
        <v>4.0558</v>
      </c>
      <c r="H963" s="14" t="n">
        <v>106.44</v>
      </c>
      <c r="I963" s="14" t="n">
        <v>1.1083</v>
      </c>
      <c r="J963" s="14" t="n">
        <v>9.939</v>
      </c>
      <c r="K963" s="14" t="n">
        <v>1340.99</v>
      </c>
      <c r="L963" s="14" t="n">
        <v>0.9115</v>
      </c>
      <c r="M963" s="14" t="n">
        <v>7.8523</v>
      </c>
      <c r="N963" s="14" t="n">
        <v>4.4717</v>
      </c>
      <c r="O963" s="14" t="n">
        <v>118.13</v>
      </c>
      <c r="P963" s="14" t="n">
        <v>8.9678</v>
      </c>
    </row>
    <row r="964" customFormat="false" ht="15" hidden="false" customHeight="false" outlineLevel="0" collapsed="false">
      <c r="A964" s="13" t="n">
        <v>43700</v>
      </c>
      <c r="B964" s="14" t="n">
        <v>1210.5</v>
      </c>
      <c r="C964" s="14" t="n">
        <v>8.9644</v>
      </c>
      <c r="D964" s="14" t="n">
        <v>1.2261</v>
      </c>
      <c r="E964" s="14" t="n">
        <v>1.1148</v>
      </c>
      <c r="F964" s="14" t="n">
        <v>7.0928</v>
      </c>
      <c r="G964" s="14" t="n">
        <v>4.1114</v>
      </c>
      <c r="H964" s="14" t="n">
        <v>105.3</v>
      </c>
      <c r="I964" s="14" t="n">
        <v>1.1065</v>
      </c>
      <c r="J964" s="14" t="n">
        <v>9.9593</v>
      </c>
      <c r="K964" s="14" t="n">
        <v>1341.19</v>
      </c>
      <c r="L964" s="14" t="n">
        <v>0.90453</v>
      </c>
      <c r="M964" s="14" t="n">
        <v>7.8439</v>
      </c>
      <c r="N964" s="14" t="n">
        <v>4.5224</v>
      </c>
      <c r="O964" s="14" t="n">
        <v>117.79</v>
      </c>
      <c r="P964" s="14" t="n">
        <v>9.0007</v>
      </c>
    </row>
    <row r="965" customFormat="false" ht="15" hidden="false" customHeight="false" outlineLevel="0" collapsed="false">
      <c r="A965" s="13" t="n">
        <v>43703</v>
      </c>
      <c r="B965" s="14" t="n">
        <v>1217.51</v>
      </c>
      <c r="C965" s="14" t="n">
        <v>8.9888</v>
      </c>
      <c r="D965" s="14" t="n">
        <v>1.2232</v>
      </c>
      <c r="E965" s="14" t="n">
        <v>1.1112</v>
      </c>
      <c r="F965" s="14" t="n">
        <v>7.1503</v>
      </c>
      <c r="G965" s="14" t="n">
        <v>4.1528</v>
      </c>
      <c r="H965" s="14" t="n">
        <v>106</v>
      </c>
      <c r="I965" s="14" t="n">
        <v>1.1116</v>
      </c>
      <c r="J965" s="14" t="n">
        <v>9.9873</v>
      </c>
      <c r="K965" s="14" t="n">
        <v>1348.82</v>
      </c>
      <c r="L965" s="14" t="n">
        <v>0.90808</v>
      </c>
      <c r="M965" s="14" t="n">
        <v>7.9429</v>
      </c>
      <c r="N965" s="14" t="n">
        <v>4.5701</v>
      </c>
      <c r="O965" s="14" t="n">
        <v>117.67</v>
      </c>
      <c r="P965" s="14" t="n">
        <v>8.9846</v>
      </c>
    </row>
    <row r="966" customFormat="false" ht="15" hidden="false" customHeight="false" outlineLevel="0" collapsed="false">
      <c r="A966" s="13" t="n">
        <v>43704</v>
      </c>
      <c r="B966" s="14" t="n">
        <v>1211.38</v>
      </c>
      <c r="C966" s="14" t="n">
        <v>9.0225</v>
      </c>
      <c r="D966" s="14" t="n">
        <v>1.2288</v>
      </c>
      <c r="E966" s="14" t="n">
        <v>1.1094</v>
      </c>
      <c r="F966" s="14" t="n">
        <v>7.1603</v>
      </c>
      <c r="G966" s="14" t="n">
        <v>4.1813</v>
      </c>
      <c r="H966" s="14" t="n">
        <v>105.8</v>
      </c>
      <c r="I966" s="14" t="n">
        <v>1.1104</v>
      </c>
      <c r="J966" s="14" t="n">
        <v>9.992</v>
      </c>
      <c r="K966" s="14" t="n">
        <v>1346.43</v>
      </c>
      <c r="L966" s="14" t="n">
        <v>0.90435</v>
      </c>
      <c r="M966" s="14" t="n">
        <v>7.9519</v>
      </c>
      <c r="N966" s="14" t="n">
        <v>4.6144</v>
      </c>
      <c r="O966" s="14" t="n">
        <v>117.43</v>
      </c>
      <c r="P966" s="14" t="n">
        <v>8.9986</v>
      </c>
    </row>
    <row r="967" customFormat="false" ht="15" hidden="false" customHeight="false" outlineLevel="0" collapsed="false">
      <c r="A967" s="13" t="n">
        <v>43705</v>
      </c>
      <c r="B967" s="14" t="n">
        <v>1213.75</v>
      </c>
      <c r="C967" s="14" t="n">
        <v>9.0337</v>
      </c>
      <c r="D967" s="14" t="n">
        <v>1.2248</v>
      </c>
      <c r="E967" s="14" t="n">
        <v>1.1084</v>
      </c>
      <c r="F967" s="14" t="n">
        <v>7.1628</v>
      </c>
      <c r="G967" s="14" t="n">
        <v>4.1553</v>
      </c>
      <c r="H967" s="14" t="n">
        <v>105.86</v>
      </c>
      <c r="I967" s="14" t="n">
        <v>1.1083</v>
      </c>
      <c r="J967" s="14" t="n">
        <v>10.011</v>
      </c>
      <c r="K967" s="14" t="n">
        <v>1345.47</v>
      </c>
      <c r="L967" s="14" t="n">
        <v>0.90823</v>
      </c>
      <c r="M967" s="14" t="n">
        <v>7.9357</v>
      </c>
      <c r="N967" s="14" t="n">
        <v>4.5901</v>
      </c>
      <c r="O967" s="14" t="n">
        <v>117.18</v>
      </c>
      <c r="P967" s="14" t="n">
        <v>9.0328</v>
      </c>
    </row>
    <row r="968" customFormat="false" ht="15" hidden="false" customHeight="false" outlineLevel="0" collapsed="false">
      <c r="A968" s="13" t="n">
        <v>43706</v>
      </c>
      <c r="B968" s="14" t="n">
        <v>1216.14</v>
      </c>
      <c r="C968" s="14" t="n">
        <v>9.091</v>
      </c>
      <c r="D968" s="14" t="n">
        <v>1.2197</v>
      </c>
      <c r="E968" s="14" t="n">
        <v>1.1059</v>
      </c>
      <c r="F968" s="14" t="n">
        <v>7.1434</v>
      </c>
      <c r="G968" s="14" t="n">
        <v>4.1595</v>
      </c>
      <c r="H968" s="14" t="n">
        <v>106.5</v>
      </c>
      <c r="I968" s="14" t="n">
        <v>1.1072</v>
      </c>
      <c r="J968" s="14" t="n">
        <v>10.0365</v>
      </c>
      <c r="K968" s="14" t="n">
        <v>1340.01</v>
      </c>
      <c r="L968" s="14" t="n">
        <v>0.90531</v>
      </c>
      <c r="M968" s="14" t="n">
        <v>7.9081</v>
      </c>
      <c r="N968" s="14" t="n">
        <v>4.5908</v>
      </c>
      <c r="O968" s="14" t="n">
        <v>117.68</v>
      </c>
      <c r="P968" s="14" t="n">
        <v>9.0648</v>
      </c>
    </row>
    <row r="969" customFormat="false" ht="15" hidden="false" customHeight="false" outlineLevel="0" collapsed="false">
      <c r="A969" s="13" t="n">
        <v>43707</v>
      </c>
      <c r="B969" s="14" t="n">
        <v>1211.32</v>
      </c>
      <c r="C969" s="14" t="n">
        <v>9.1192</v>
      </c>
      <c r="D969" s="14" t="n">
        <v>1.2166</v>
      </c>
      <c r="E969" s="14" t="n">
        <v>1.0989</v>
      </c>
      <c r="F969" s="14" t="n">
        <v>7.1543</v>
      </c>
      <c r="G969" s="14" t="n">
        <v>4.1254</v>
      </c>
      <c r="H969" s="14" t="n">
        <v>106.3</v>
      </c>
      <c r="I969" s="14" t="n">
        <v>1.1036</v>
      </c>
      <c r="J969" s="14" t="n">
        <v>10.038</v>
      </c>
      <c r="K969" s="14" t="n">
        <v>1333.21</v>
      </c>
      <c r="L969" s="14" t="n">
        <v>0.90565</v>
      </c>
      <c r="M969" s="14" t="n">
        <v>7.8908</v>
      </c>
      <c r="N969" s="14" t="n">
        <v>4.5879</v>
      </c>
      <c r="O969" s="14" t="n">
        <v>117.28</v>
      </c>
      <c r="P969" s="14" t="n">
        <v>9.0957</v>
      </c>
    </row>
    <row r="970" customFormat="false" ht="15" hidden="false" customHeight="false" outlineLevel="0" collapsed="false">
      <c r="A970" s="13" t="n">
        <v>43710</v>
      </c>
      <c r="I970" s="14" t="n">
        <v>1.0968</v>
      </c>
      <c r="J970" s="14" t="n">
        <v>9.9788</v>
      </c>
      <c r="K970" s="14" t="n">
        <v>1329.49</v>
      </c>
      <c r="L970" s="14" t="n">
        <v>0.9082</v>
      </c>
      <c r="M970" s="14" t="n">
        <v>7.8657</v>
      </c>
      <c r="N970" s="14" t="n">
        <v>4.5498</v>
      </c>
      <c r="O970" s="14" t="n">
        <v>116.66</v>
      </c>
      <c r="P970" s="14" t="n">
        <v>9.0981</v>
      </c>
    </row>
    <row r="971" customFormat="false" ht="15" hidden="false" customHeight="false" outlineLevel="0" collapsed="false">
      <c r="A971" s="13" t="n">
        <v>43711</v>
      </c>
      <c r="B971" s="14" t="n">
        <v>1212.44</v>
      </c>
      <c r="C971" s="14" t="n">
        <v>9.1034</v>
      </c>
      <c r="D971" s="14" t="n">
        <v>1.2086</v>
      </c>
      <c r="E971" s="14" t="n">
        <v>1.0968</v>
      </c>
      <c r="F971" s="14" t="n">
        <v>7.1786</v>
      </c>
      <c r="G971" s="14" t="n">
        <v>4.1726</v>
      </c>
      <c r="H971" s="14" t="n">
        <v>105.88</v>
      </c>
      <c r="I971" s="14" t="n">
        <v>1.0937</v>
      </c>
      <c r="J971" s="14" t="n">
        <v>10.019</v>
      </c>
      <c r="K971" s="14" t="n">
        <v>1328.8</v>
      </c>
      <c r="L971" s="14" t="n">
        <v>0.90885</v>
      </c>
      <c r="M971" s="14" t="n">
        <v>7.8513</v>
      </c>
      <c r="N971" s="14" t="n">
        <v>4.5684</v>
      </c>
      <c r="O971" s="14" t="n">
        <v>116.05</v>
      </c>
      <c r="P971" s="14" t="n">
        <v>9.1606</v>
      </c>
    </row>
    <row r="972" customFormat="false" ht="15" hidden="false" customHeight="false" outlineLevel="0" collapsed="false">
      <c r="A972" s="13" t="n">
        <v>43712</v>
      </c>
      <c r="B972" s="14" t="n">
        <v>1207.84</v>
      </c>
      <c r="C972" s="14" t="n">
        <v>9.0368</v>
      </c>
      <c r="D972" s="14" t="n">
        <v>1.219</v>
      </c>
      <c r="E972" s="14" t="n">
        <v>1.1025</v>
      </c>
      <c r="F972" s="14" t="n">
        <v>7.144</v>
      </c>
      <c r="G972" s="14" t="n">
        <v>4.114</v>
      </c>
      <c r="H972" s="14" t="n">
        <v>106.28</v>
      </c>
      <c r="I972" s="14" t="n">
        <v>1.1018</v>
      </c>
      <c r="J972" s="14" t="n">
        <v>9.9838</v>
      </c>
      <c r="K972" s="14" t="n">
        <v>1327.96</v>
      </c>
      <c r="L972" s="14" t="n">
        <v>0.90255</v>
      </c>
      <c r="M972" s="14" t="n">
        <v>7.8808</v>
      </c>
      <c r="N972" s="14" t="n">
        <v>4.5603</v>
      </c>
      <c r="O972" s="14" t="n">
        <v>117.03</v>
      </c>
      <c r="P972" s="14" t="n">
        <v>9.0614</v>
      </c>
    </row>
    <row r="973" customFormat="false" ht="15" hidden="false" customHeight="false" outlineLevel="0" collapsed="false">
      <c r="A973" s="13" t="n">
        <v>43713</v>
      </c>
      <c r="B973" s="14" t="n">
        <v>1200.18</v>
      </c>
      <c r="C973" s="14" t="n">
        <v>8.9955</v>
      </c>
      <c r="D973" s="14" t="n">
        <v>1.2337</v>
      </c>
      <c r="E973" s="14" t="n">
        <v>1.1038</v>
      </c>
      <c r="F973" s="14" t="n">
        <v>7.1468</v>
      </c>
      <c r="G973" s="14" t="n">
        <v>4.0908</v>
      </c>
      <c r="H973" s="14" t="n">
        <v>106.96</v>
      </c>
      <c r="I973" s="14" t="n">
        <v>1.1058</v>
      </c>
      <c r="J973" s="14" t="n">
        <v>9.9332</v>
      </c>
      <c r="K973" s="14" t="n">
        <v>1323.9</v>
      </c>
      <c r="L973" s="14" t="n">
        <v>0.8958</v>
      </c>
      <c r="M973" s="14" t="n">
        <v>7.8996</v>
      </c>
      <c r="N973" s="14" t="n">
        <v>4.5036</v>
      </c>
      <c r="O973" s="14" t="n">
        <v>117.97</v>
      </c>
      <c r="P973" s="14" t="n">
        <v>8.9828</v>
      </c>
    </row>
    <row r="974" customFormat="false" ht="15" hidden="false" customHeight="false" outlineLevel="0" collapsed="false">
      <c r="A974" s="13" t="n">
        <v>43714</v>
      </c>
      <c r="B974" s="14" t="n">
        <v>1196.81</v>
      </c>
      <c r="C974" s="14" t="n">
        <v>8.9668</v>
      </c>
      <c r="D974" s="14" t="n">
        <v>1.2299</v>
      </c>
      <c r="E974" s="14" t="n">
        <v>1.1042</v>
      </c>
      <c r="F974" s="14" t="n">
        <v>7.1131</v>
      </c>
      <c r="G974" s="14" t="n">
        <v>4.0643</v>
      </c>
      <c r="H974" s="14" t="n">
        <v>106.8</v>
      </c>
      <c r="I974" s="14" t="n">
        <v>1.1027</v>
      </c>
      <c r="J974" s="14" t="n">
        <v>9.923</v>
      </c>
      <c r="K974" s="14" t="n">
        <v>1314.72</v>
      </c>
      <c r="L974" s="14" t="n">
        <v>0.89635</v>
      </c>
      <c r="M974" s="14" t="n">
        <v>7.8442</v>
      </c>
      <c r="N974" s="14" t="n">
        <v>4.5145</v>
      </c>
      <c r="O974" s="14" t="n">
        <v>118.01</v>
      </c>
      <c r="P974" s="14" t="n">
        <v>8.9988</v>
      </c>
    </row>
    <row r="975" customFormat="false" ht="15" hidden="false" customHeight="false" outlineLevel="0" collapsed="false">
      <c r="A975" s="13" t="n">
        <v>43717</v>
      </c>
      <c r="B975" s="14" t="n">
        <v>1192.33</v>
      </c>
      <c r="C975" s="14" t="n">
        <v>8.9255</v>
      </c>
      <c r="D975" s="14" t="n">
        <v>1.2368</v>
      </c>
      <c r="E975" s="14" t="n">
        <v>1.1056</v>
      </c>
      <c r="F975" s="14" t="n">
        <v>7.121</v>
      </c>
      <c r="G975" s="14" t="n">
        <v>4.0819</v>
      </c>
      <c r="H975" s="14" t="n">
        <v>107.14</v>
      </c>
      <c r="I975" s="14" t="n">
        <v>1.1033</v>
      </c>
      <c r="J975" s="14" t="n">
        <v>9.8663</v>
      </c>
      <c r="K975" s="14" t="n">
        <v>1315.99</v>
      </c>
      <c r="L975" s="14" t="n">
        <v>0.89275</v>
      </c>
      <c r="M975" s="14" t="n">
        <v>7.861</v>
      </c>
      <c r="N975" s="14" t="n">
        <v>4.4764</v>
      </c>
      <c r="O975" s="14" t="n">
        <v>118.01</v>
      </c>
      <c r="P975" s="14" t="n">
        <v>8.9425</v>
      </c>
    </row>
    <row r="976" customFormat="false" ht="15" hidden="false" customHeight="false" outlineLevel="0" collapsed="false">
      <c r="A976" s="13" t="n">
        <v>43718</v>
      </c>
      <c r="B976" s="14" t="n">
        <v>1191.22</v>
      </c>
      <c r="C976" s="14" t="n">
        <v>8.951</v>
      </c>
      <c r="D976" s="14" t="n">
        <v>1.2355</v>
      </c>
      <c r="E976" s="14" t="n">
        <v>1.1042</v>
      </c>
      <c r="F976" s="14" t="n">
        <v>7.1121</v>
      </c>
      <c r="G976" s="14" t="n">
        <v>4.101</v>
      </c>
      <c r="H976" s="14" t="n">
        <v>107.34</v>
      </c>
      <c r="I976" s="14" t="n">
        <v>1.104</v>
      </c>
      <c r="J976" s="14" t="n">
        <v>9.9125</v>
      </c>
      <c r="K976" s="14" t="n">
        <v>1315.87</v>
      </c>
      <c r="L976" s="14" t="n">
        <v>0.893</v>
      </c>
      <c r="M976" s="14" t="n">
        <v>7.8445</v>
      </c>
      <c r="N976" s="14" t="n">
        <v>4.5234</v>
      </c>
      <c r="O976" s="14" t="n">
        <v>118.52</v>
      </c>
      <c r="P976" s="14" t="n">
        <v>8.9787</v>
      </c>
    </row>
    <row r="977" customFormat="false" ht="15" hidden="false" customHeight="false" outlineLevel="0" collapsed="false">
      <c r="A977" s="13" t="n">
        <v>43719</v>
      </c>
      <c r="B977" s="14" t="n">
        <v>1191.51</v>
      </c>
      <c r="C977" s="14" t="n">
        <v>8.9762</v>
      </c>
      <c r="D977" s="14" t="n">
        <v>1.2329</v>
      </c>
      <c r="E977" s="14" t="n">
        <v>1.1001</v>
      </c>
      <c r="F977" s="14" t="n">
        <v>7.1153</v>
      </c>
      <c r="G977" s="14" t="n">
        <v>4.0592</v>
      </c>
      <c r="H977" s="14" t="n">
        <v>107.73</v>
      </c>
      <c r="I977" s="14" t="n">
        <v>1.1003</v>
      </c>
      <c r="J977" s="14" t="n">
        <v>9.8745</v>
      </c>
      <c r="K977" s="14" t="n">
        <v>1312.34</v>
      </c>
      <c r="L977" s="14" t="n">
        <v>0.89133</v>
      </c>
      <c r="M977" s="14" t="n">
        <v>7.8309</v>
      </c>
      <c r="N977" s="14" t="n">
        <v>4.4721</v>
      </c>
      <c r="O977" s="14" t="n">
        <v>118.51</v>
      </c>
      <c r="P977" s="14" t="n">
        <v>8.9744</v>
      </c>
    </row>
    <row r="978" customFormat="false" ht="15" hidden="false" customHeight="false" outlineLevel="0" collapsed="false">
      <c r="A978" s="13" t="n">
        <v>43720</v>
      </c>
      <c r="B978" s="14" t="n">
        <v>1180.7</v>
      </c>
      <c r="C978" s="14" t="n">
        <v>8.9668</v>
      </c>
      <c r="D978" s="14" t="n">
        <v>1.2357</v>
      </c>
      <c r="E978" s="14" t="n">
        <v>1.1074</v>
      </c>
      <c r="F978" s="14" t="n">
        <v>7.0787</v>
      </c>
      <c r="G978" s="14" t="n">
        <v>4.0606</v>
      </c>
      <c r="H978" s="14" t="n">
        <v>107.97</v>
      </c>
      <c r="I978" s="14" t="n">
        <v>1.0963</v>
      </c>
      <c r="J978" s="14" t="n">
        <v>9.8543</v>
      </c>
      <c r="K978" s="14" t="n">
        <v>1296.86</v>
      </c>
      <c r="L978" s="14" t="n">
        <v>0.8892</v>
      </c>
      <c r="M978" s="14" t="n">
        <v>7.7702</v>
      </c>
      <c r="N978" s="14" t="n">
        <v>4.4402</v>
      </c>
      <c r="O978" s="14" t="n">
        <v>118.14</v>
      </c>
      <c r="P978" s="14" t="n">
        <v>8.9887</v>
      </c>
    </row>
    <row r="979" customFormat="false" ht="15" hidden="false" customHeight="false" outlineLevel="0" collapsed="false">
      <c r="A979" s="13" t="n">
        <v>43721</v>
      </c>
      <c r="B979" s="14" t="n">
        <v>1176.62</v>
      </c>
      <c r="C979" s="14" t="n">
        <v>8.9765</v>
      </c>
      <c r="D979" s="14" t="n">
        <v>1.2462</v>
      </c>
      <c r="E979" s="14" t="n">
        <v>1.1074</v>
      </c>
      <c r="F979" s="14" t="n">
        <v>7.0754</v>
      </c>
      <c r="G979" s="14" t="n">
        <v>4.061</v>
      </c>
      <c r="H979" s="14" t="n">
        <v>108.12</v>
      </c>
      <c r="I979" s="14" t="n">
        <v>1.1096</v>
      </c>
      <c r="J979" s="14" t="n">
        <v>9.9213</v>
      </c>
      <c r="K979" s="14" t="n">
        <v>1306</v>
      </c>
      <c r="L979" s="14" t="n">
        <v>0.89093</v>
      </c>
      <c r="M979" s="14" t="n">
        <v>7.8589</v>
      </c>
      <c r="N979" s="14" t="n">
        <v>4.4964</v>
      </c>
      <c r="O979" s="14" t="n">
        <v>119.83</v>
      </c>
      <c r="P979" s="14" t="n">
        <v>8.9413</v>
      </c>
    </row>
    <row r="980" customFormat="false" ht="15" hidden="false" customHeight="false" outlineLevel="0" collapsed="false">
      <c r="A980" s="13" t="n">
        <v>43724</v>
      </c>
      <c r="B980" s="14" t="n">
        <v>1182.96</v>
      </c>
      <c r="C980" s="14" t="n">
        <v>8.9607</v>
      </c>
      <c r="D980" s="14" t="n">
        <v>1.2423</v>
      </c>
      <c r="E980" s="14" t="n">
        <v>1.1006</v>
      </c>
      <c r="F980" s="14" t="n">
        <v>7.0659</v>
      </c>
      <c r="G980" s="14" t="n">
        <v>4.0831</v>
      </c>
      <c r="H980" s="14" t="n">
        <v>107.94</v>
      </c>
      <c r="I980" s="14" t="n">
        <v>1.1031</v>
      </c>
      <c r="J980" s="14" t="n">
        <v>9.9043</v>
      </c>
      <c r="K980" s="14" t="n">
        <v>1306.13</v>
      </c>
      <c r="L980" s="14" t="n">
        <v>0.8851</v>
      </c>
      <c r="M980" s="14" t="n">
        <v>7.7957</v>
      </c>
      <c r="N980" s="14" t="n">
        <v>4.5138</v>
      </c>
      <c r="O980" s="14" t="n">
        <v>118.96</v>
      </c>
      <c r="P980" s="14" t="n">
        <v>8.9786</v>
      </c>
    </row>
    <row r="981" customFormat="false" ht="15" hidden="false" customHeight="false" outlineLevel="0" collapsed="false">
      <c r="A981" s="13" t="n">
        <v>43725</v>
      </c>
      <c r="B981" s="14" t="n">
        <v>1186.1</v>
      </c>
      <c r="C981" s="14" t="n">
        <v>8.9357</v>
      </c>
      <c r="D981" s="14" t="n">
        <v>1.2493</v>
      </c>
      <c r="E981" s="14" t="n">
        <v>1.1063</v>
      </c>
      <c r="F981" s="14" t="n">
        <v>7.0905</v>
      </c>
      <c r="G981" s="14" t="n">
        <v>4.097</v>
      </c>
      <c r="H981" s="14" t="n">
        <v>108.12</v>
      </c>
      <c r="I981" s="14" t="n">
        <v>1.1026</v>
      </c>
      <c r="J981" s="14" t="n">
        <v>9.8715</v>
      </c>
      <c r="K981" s="14" t="n">
        <v>1311.65</v>
      </c>
      <c r="L981" s="14" t="n">
        <v>0.88813</v>
      </c>
      <c r="M981" s="14" t="n">
        <v>7.8249</v>
      </c>
      <c r="N981" s="14" t="n">
        <v>4.5207</v>
      </c>
      <c r="O981" s="14" t="n">
        <v>119.23</v>
      </c>
      <c r="P981" s="14" t="n">
        <v>8.9529</v>
      </c>
    </row>
    <row r="982" customFormat="false" ht="15" hidden="false" customHeight="false" outlineLevel="0" collapsed="false">
      <c r="A982" s="13" t="n">
        <v>43726</v>
      </c>
      <c r="B982" s="14" t="n">
        <v>1191.51</v>
      </c>
      <c r="C982" s="14" t="n">
        <v>8.9331</v>
      </c>
      <c r="D982" s="14" t="n">
        <v>1.2478</v>
      </c>
      <c r="E982" s="14" t="n">
        <v>1.1061</v>
      </c>
      <c r="F982" s="14" t="n">
        <v>7.0849</v>
      </c>
      <c r="G982" s="14" t="n">
        <v>4.0964</v>
      </c>
      <c r="H982" s="14" t="n">
        <v>108.17</v>
      </c>
      <c r="I982" s="14" t="n">
        <v>1.1053</v>
      </c>
      <c r="J982" s="14" t="n">
        <v>9.8905</v>
      </c>
      <c r="K982" s="14" t="n">
        <v>1316.22</v>
      </c>
      <c r="L982" s="14" t="n">
        <v>0.8872</v>
      </c>
      <c r="M982" s="14" t="n">
        <v>7.8349</v>
      </c>
      <c r="N982" s="14" t="n">
        <v>4.5045</v>
      </c>
      <c r="O982" s="14" t="n">
        <v>119.54</v>
      </c>
      <c r="P982" s="14" t="n">
        <v>8.9482</v>
      </c>
    </row>
    <row r="983" customFormat="false" ht="15" hidden="false" customHeight="false" outlineLevel="0" collapsed="false">
      <c r="A983" s="13" t="n">
        <v>43727</v>
      </c>
      <c r="B983" s="14" t="n">
        <v>1193.87</v>
      </c>
      <c r="C983" s="14" t="n">
        <v>8.9781</v>
      </c>
      <c r="D983" s="14" t="n">
        <v>1.2481</v>
      </c>
      <c r="E983" s="14" t="n">
        <v>1.1046</v>
      </c>
      <c r="F983" s="14" t="n">
        <v>7.0959</v>
      </c>
      <c r="G983" s="14" t="n">
        <v>4.1389</v>
      </c>
      <c r="H983" s="14" t="n">
        <v>108</v>
      </c>
      <c r="I983" s="14" t="n">
        <v>1.1067</v>
      </c>
      <c r="J983" s="14" t="n">
        <v>9.8905</v>
      </c>
      <c r="K983" s="14" t="n">
        <v>1321.64</v>
      </c>
      <c r="L983" s="14" t="n">
        <v>0.88735</v>
      </c>
      <c r="M983" s="14" t="n">
        <v>7.8518</v>
      </c>
      <c r="N983" s="14" t="n">
        <v>4.5738</v>
      </c>
      <c r="O983" s="14" t="n">
        <v>119.46</v>
      </c>
      <c r="P983" s="14" t="n">
        <v>8.9369</v>
      </c>
    </row>
    <row r="984" customFormat="false" ht="15" hidden="false" customHeight="false" outlineLevel="0" collapsed="false">
      <c r="A984" s="13" t="n">
        <v>43728</v>
      </c>
      <c r="B984" s="14" t="n">
        <v>1188.16</v>
      </c>
      <c r="C984" s="14" t="n">
        <v>9.0461</v>
      </c>
      <c r="D984" s="14" t="n">
        <v>1.2489</v>
      </c>
      <c r="E984" s="14" t="n">
        <v>1.1004</v>
      </c>
      <c r="F984" s="14" t="n">
        <v>7.0909</v>
      </c>
      <c r="G984" s="14" t="n">
        <v>4.1698</v>
      </c>
      <c r="H984" s="14" t="n">
        <v>107.95</v>
      </c>
      <c r="I984" s="14" t="n">
        <v>1.103</v>
      </c>
      <c r="J984" s="14" t="n">
        <v>9.9423</v>
      </c>
      <c r="K984" s="14" t="n">
        <v>1311.24</v>
      </c>
      <c r="L984" s="14" t="n">
        <v>0.8823</v>
      </c>
      <c r="M984" s="14" t="n">
        <v>7.8207</v>
      </c>
      <c r="N984" s="14" t="n">
        <v>4.5956</v>
      </c>
      <c r="O984" s="14" t="n">
        <v>119.11</v>
      </c>
      <c r="P984" s="14" t="n">
        <v>9.0139</v>
      </c>
    </row>
    <row r="985" customFormat="false" ht="15" hidden="false" customHeight="false" outlineLevel="0" collapsed="false">
      <c r="A985" s="13" t="n">
        <v>43731</v>
      </c>
      <c r="B985" s="14" t="n">
        <v>1195.48</v>
      </c>
      <c r="C985" s="14" t="n">
        <v>9.0552</v>
      </c>
      <c r="D985" s="14" t="n">
        <v>1.2428</v>
      </c>
      <c r="E985" s="14" t="n">
        <v>1.0991</v>
      </c>
      <c r="F985" s="14" t="n">
        <v>7.1168</v>
      </c>
      <c r="G985" s="14" t="n">
        <v>4.1771</v>
      </c>
      <c r="H985" s="14" t="n">
        <v>107.47</v>
      </c>
      <c r="I985" s="14" t="n">
        <v>1.0985</v>
      </c>
      <c r="J985" s="14" t="n">
        <v>9.9723</v>
      </c>
      <c r="K985" s="14" t="n">
        <v>1315.27</v>
      </c>
      <c r="L985" s="14" t="n">
        <v>0.88343</v>
      </c>
      <c r="M985" s="14" t="n">
        <v>7.8279</v>
      </c>
      <c r="N985" s="14" t="n">
        <v>4.5665</v>
      </c>
      <c r="O985" s="14" t="n">
        <v>118.07</v>
      </c>
      <c r="P985" s="14" t="n">
        <v>9.0781</v>
      </c>
    </row>
    <row r="986" customFormat="false" ht="15" hidden="false" customHeight="false" outlineLevel="0" collapsed="false">
      <c r="A986" s="13" t="n">
        <v>43732</v>
      </c>
      <c r="B986" s="14" t="n">
        <v>1196.52</v>
      </c>
      <c r="C986" s="14" t="n">
        <v>9.0005</v>
      </c>
      <c r="D986" s="14" t="n">
        <v>1.2475</v>
      </c>
      <c r="E986" s="14" t="n">
        <v>1.0999</v>
      </c>
      <c r="F986" s="14" t="n">
        <v>7.1138</v>
      </c>
      <c r="G986" s="14" t="n">
        <v>4.1737</v>
      </c>
      <c r="H986" s="14" t="n">
        <v>107.32</v>
      </c>
      <c r="I986" s="14" t="n">
        <v>1.1003</v>
      </c>
      <c r="J986" s="14" t="n">
        <v>9.9225</v>
      </c>
      <c r="K986" s="14" t="n">
        <v>1313.66</v>
      </c>
      <c r="L986" s="14" t="n">
        <v>0.88153</v>
      </c>
      <c r="M986" s="14" t="n">
        <v>7.8199</v>
      </c>
      <c r="N986" s="14" t="n">
        <v>4.5759</v>
      </c>
      <c r="O986" s="14" t="n">
        <v>118.45</v>
      </c>
      <c r="P986" s="14" t="n">
        <v>9.018</v>
      </c>
    </row>
    <row r="987" customFormat="false" ht="15" hidden="false" customHeight="false" outlineLevel="0" collapsed="false">
      <c r="A987" s="13" t="n">
        <v>43733</v>
      </c>
      <c r="B987" s="14" t="n">
        <v>1200.17</v>
      </c>
      <c r="C987" s="14" t="n">
        <v>9.0513</v>
      </c>
      <c r="D987" s="14" t="n">
        <v>1.2363</v>
      </c>
      <c r="E987" s="14" t="n">
        <v>1.0949</v>
      </c>
      <c r="F987" s="14" t="n">
        <v>7.1313</v>
      </c>
      <c r="G987" s="14" t="n">
        <v>4.1764</v>
      </c>
      <c r="H987" s="14" t="n">
        <v>107.78</v>
      </c>
      <c r="I987" s="14" t="n">
        <v>1.0982</v>
      </c>
      <c r="J987" s="14" t="n">
        <v>9.931</v>
      </c>
      <c r="K987" s="14" t="n">
        <v>1318.39</v>
      </c>
      <c r="L987" s="14" t="n">
        <v>0.88668</v>
      </c>
      <c r="M987" s="14" t="n">
        <v>7.8239</v>
      </c>
      <c r="N987" s="14" t="n">
        <v>4.5987</v>
      </c>
      <c r="O987" s="14" t="n">
        <v>118</v>
      </c>
      <c r="P987" s="14" t="n">
        <v>9.043</v>
      </c>
    </row>
    <row r="988" customFormat="false" ht="15" hidden="false" customHeight="false" outlineLevel="0" collapsed="false">
      <c r="A988" s="13" t="n">
        <v>43734</v>
      </c>
      <c r="B988" s="14" t="n">
        <v>1201.99</v>
      </c>
      <c r="C988" s="14" t="n">
        <v>9.0813</v>
      </c>
      <c r="D988" s="14" t="n">
        <v>1.2343</v>
      </c>
      <c r="E988" s="14" t="n">
        <v>1.0938</v>
      </c>
      <c r="F988" s="14" t="n">
        <v>7.13</v>
      </c>
      <c r="G988" s="14" t="n">
        <v>4.1517</v>
      </c>
      <c r="H988" s="14" t="n">
        <v>107.67</v>
      </c>
      <c r="I988" s="14" t="n">
        <v>1.0938</v>
      </c>
      <c r="J988" s="14" t="n">
        <v>9.9235</v>
      </c>
      <c r="K988" s="14" t="n">
        <v>1313.91</v>
      </c>
      <c r="L988" s="14" t="n">
        <v>0.88505</v>
      </c>
      <c r="M988" s="14" t="n">
        <v>7.7976</v>
      </c>
      <c r="N988" s="14" t="n">
        <v>4.5113</v>
      </c>
      <c r="O988" s="14" t="n">
        <v>117.73</v>
      </c>
      <c r="P988" s="14" t="n">
        <v>9.0725</v>
      </c>
    </row>
    <row r="989" customFormat="false" ht="15" hidden="false" customHeight="false" outlineLevel="0" collapsed="false">
      <c r="A989" s="13" t="n">
        <v>43735</v>
      </c>
      <c r="B989" s="14" t="n">
        <v>1200.03</v>
      </c>
      <c r="C989" s="14" t="n">
        <v>9.0822</v>
      </c>
      <c r="D989" s="14" t="n">
        <v>1.2312</v>
      </c>
      <c r="E989" s="14" t="n">
        <v>1.0942</v>
      </c>
      <c r="F989" s="14" t="n">
        <v>7.1218</v>
      </c>
      <c r="G989" s="14" t="n">
        <v>4.1576</v>
      </c>
      <c r="H989" s="14" t="n">
        <v>108.05</v>
      </c>
      <c r="I989" s="14" t="n">
        <v>1.0935</v>
      </c>
      <c r="J989" s="14" t="n">
        <v>9.9155</v>
      </c>
      <c r="K989" s="14" t="n">
        <v>1310.45</v>
      </c>
      <c r="L989" s="14" t="n">
        <v>0.88778</v>
      </c>
      <c r="M989" s="14" t="n">
        <v>7.7947</v>
      </c>
      <c r="N989" s="14" t="n">
        <v>4.5492</v>
      </c>
      <c r="O989" s="14" t="n">
        <v>118.21</v>
      </c>
      <c r="P989" s="14" t="n">
        <v>9.0677</v>
      </c>
    </row>
    <row r="990" customFormat="false" ht="15" hidden="false" customHeight="false" outlineLevel="0" collapsed="false">
      <c r="A990" s="13" t="n">
        <v>43738</v>
      </c>
      <c r="B990" s="14" t="n">
        <v>1195.85</v>
      </c>
      <c r="C990" s="14" t="n">
        <v>9.0834</v>
      </c>
      <c r="D990" s="14" t="n">
        <v>1.2305</v>
      </c>
      <c r="E990" s="14" t="n">
        <v>1.0905</v>
      </c>
      <c r="F990" s="14" t="n">
        <v>7.1477</v>
      </c>
      <c r="G990" s="14" t="n">
        <v>4.1629</v>
      </c>
      <c r="H990" s="14" t="n">
        <v>108.11</v>
      </c>
      <c r="I990" s="14" t="n">
        <v>1.0889</v>
      </c>
      <c r="J990" s="14" t="n">
        <v>9.8953</v>
      </c>
      <c r="K990" s="14" t="n">
        <v>1304.83</v>
      </c>
      <c r="L990" s="14" t="n">
        <v>0.88573</v>
      </c>
      <c r="M990" s="14" t="n">
        <v>7.7784</v>
      </c>
      <c r="N990" s="14" t="n">
        <v>4.5288</v>
      </c>
      <c r="O990" s="14" t="n">
        <v>117.59</v>
      </c>
      <c r="P990" s="14" t="n">
        <v>9.0874</v>
      </c>
    </row>
    <row r="991" customFormat="false" ht="15" hidden="false" customHeight="false" outlineLevel="0" collapsed="false">
      <c r="A991" s="13" t="n">
        <v>43739</v>
      </c>
      <c r="B991" s="14" t="n">
        <v>1198.96</v>
      </c>
      <c r="C991" s="14" t="n">
        <v>9.1192</v>
      </c>
      <c r="D991" s="14" t="n">
        <v>1.2242</v>
      </c>
      <c r="E991" s="14" t="n">
        <v>1.0932</v>
      </c>
      <c r="F991" s="14" t="n">
        <v>7.1473</v>
      </c>
      <c r="G991" s="14" t="n">
        <v>4.1624</v>
      </c>
      <c r="H991" s="14" t="n">
        <v>107.7</v>
      </c>
      <c r="I991" s="14" t="n">
        <v>1.0898</v>
      </c>
      <c r="J991" s="14" t="n">
        <v>9.9463</v>
      </c>
      <c r="K991" s="14" t="n">
        <v>1310.56</v>
      </c>
      <c r="L991" s="14" t="n">
        <v>0.88955</v>
      </c>
      <c r="M991" s="14" t="n">
        <v>7.7903</v>
      </c>
      <c r="N991" s="14" t="n">
        <v>4.5384</v>
      </c>
      <c r="O991" s="14" t="n">
        <v>118</v>
      </c>
      <c r="P991" s="14" t="n">
        <v>9.1267</v>
      </c>
    </row>
    <row r="992" customFormat="false" ht="15" hidden="false" customHeight="false" outlineLevel="0" collapsed="false">
      <c r="A992" s="13" t="n">
        <v>43740</v>
      </c>
      <c r="B992" s="14" t="n">
        <v>1205.47</v>
      </c>
      <c r="C992" s="14" t="n">
        <v>9.1412</v>
      </c>
      <c r="D992" s="14" t="n">
        <v>1.2313</v>
      </c>
      <c r="E992" s="14" t="n">
        <v>1.0951</v>
      </c>
      <c r="F992" s="14" t="n">
        <v>7.1473</v>
      </c>
      <c r="G992" s="14" t="n">
        <v>4.1434</v>
      </c>
      <c r="H992" s="14" t="n">
        <v>107.21</v>
      </c>
      <c r="I992" s="14" t="n">
        <v>1.0925</v>
      </c>
      <c r="J992" s="14" t="n">
        <v>9.993</v>
      </c>
      <c r="K992" s="14" t="n">
        <v>1318.2</v>
      </c>
      <c r="L992" s="14" t="n">
        <v>0.8897</v>
      </c>
      <c r="M992" s="14" t="n">
        <v>7.8096</v>
      </c>
      <c r="N992" s="14" t="n">
        <v>4.5516</v>
      </c>
      <c r="O992" s="14" t="n">
        <v>117.47</v>
      </c>
      <c r="P992" s="14" t="n">
        <v>9.1469</v>
      </c>
    </row>
    <row r="993" customFormat="false" ht="15" hidden="false" customHeight="false" outlineLevel="0" collapsed="false">
      <c r="A993" s="13" t="n">
        <v>43741</v>
      </c>
      <c r="B993" s="14" t="n">
        <v>1204.67</v>
      </c>
      <c r="C993" s="14" t="n">
        <v>9.1065</v>
      </c>
      <c r="D993" s="14" t="n">
        <v>1.239</v>
      </c>
      <c r="E993" s="14" t="n">
        <v>1.0991</v>
      </c>
      <c r="F993" s="14" t="n">
        <v>7.1473</v>
      </c>
      <c r="G993" s="14" t="n">
        <v>4.0876</v>
      </c>
      <c r="H993" s="14" t="n">
        <v>106.76</v>
      </c>
      <c r="I993" s="14" t="n">
        <v>1.0951</v>
      </c>
      <c r="J993" s="14" t="n">
        <v>10.0165</v>
      </c>
      <c r="K993" s="14" t="n">
        <v>1317.84</v>
      </c>
      <c r="L993" s="14" t="n">
        <v>0.8879</v>
      </c>
      <c r="M993" s="14" t="n">
        <v>7.8282</v>
      </c>
      <c r="N993" s="14" t="n">
        <v>4.5094</v>
      </c>
      <c r="O993" s="14" t="n">
        <v>117.17</v>
      </c>
      <c r="P993" s="14" t="n">
        <v>9.1467</v>
      </c>
    </row>
    <row r="994" customFormat="false" ht="15" hidden="false" customHeight="false" outlineLevel="0" collapsed="false">
      <c r="A994" s="13" t="n">
        <v>43742</v>
      </c>
      <c r="B994" s="14" t="n">
        <v>1192.93</v>
      </c>
      <c r="C994" s="14" t="n">
        <v>9.1025</v>
      </c>
      <c r="D994" s="14" t="n">
        <v>1.2309</v>
      </c>
      <c r="E994" s="14" t="n">
        <v>1.0974</v>
      </c>
      <c r="F994" s="14" t="n">
        <v>7.1473</v>
      </c>
      <c r="G994" s="14" t="n">
        <v>4.0601</v>
      </c>
      <c r="H994" s="14" t="n">
        <v>106.91</v>
      </c>
      <c r="I994" s="14" t="n">
        <v>1.0979</v>
      </c>
      <c r="J994" s="14" t="n">
        <v>9.9915</v>
      </c>
      <c r="K994" s="14" t="n">
        <v>1312.32</v>
      </c>
      <c r="L994" s="14" t="n">
        <v>0.89045</v>
      </c>
      <c r="M994" s="14" t="n">
        <v>7.8497</v>
      </c>
      <c r="N994" s="14" t="n">
        <v>4.4726</v>
      </c>
      <c r="O994" s="14" t="n">
        <v>117.23</v>
      </c>
      <c r="P994" s="14" t="n">
        <v>9.1006</v>
      </c>
    </row>
    <row r="995" customFormat="false" ht="15" hidden="false" customHeight="false" outlineLevel="0" collapsed="false">
      <c r="A995" s="13" t="n">
        <v>43745</v>
      </c>
      <c r="B995" s="14" t="n">
        <v>1196.49</v>
      </c>
      <c r="C995" s="14" t="n">
        <v>9.129</v>
      </c>
      <c r="D995" s="14" t="n">
        <v>1.2322</v>
      </c>
      <c r="E995" s="14" t="n">
        <v>1.0984</v>
      </c>
      <c r="F995" s="14" t="n">
        <v>7.1473</v>
      </c>
      <c r="G995" s="14" t="n">
        <v>4.0831</v>
      </c>
      <c r="H995" s="14" t="n">
        <v>107.06</v>
      </c>
      <c r="I995" s="14" t="n">
        <v>1.0993</v>
      </c>
      <c r="J995" s="14" t="n">
        <v>10.0388</v>
      </c>
      <c r="K995" s="14" t="n">
        <v>1315.2</v>
      </c>
      <c r="L995" s="14" t="n">
        <v>0.89155</v>
      </c>
      <c r="M995" s="14" t="n">
        <v>7.8582</v>
      </c>
      <c r="N995" s="14" t="n">
        <v>4.4709</v>
      </c>
      <c r="O995" s="14" t="n">
        <v>117.44</v>
      </c>
      <c r="P995" s="14" t="n">
        <v>9.132</v>
      </c>
    </row>
    <row r="996" customFormat="false" ht="15" hidden="false" customHeight="false" outlineLevel="0" collapsed="false">
      <c r="A996" s="13" t="n">
        <v>43746</v>
      </c>
      <c r="B996" s="14" t="n">
        <v>1193.24</v>
      </c>
      <c r="C996" s="14" t="n">
        <v>9.1735</v>
      </c>
      <c r="D996" s="14" t="n">
        <v>1.2206</v>
      </c>
      <c r="E996" s="14" t="n">
        <v>1.0949</v>
      </c>
      <c r="F996" s="14" t="n">
        <v>7.1422</v>
      </c>
      <c r="G996" s="14" t="n">
        <v>4.0846</v>
      </c>
      <c r="H996" s="14" t="n">
        <v>107.06</v>
      </c>
      <c r="I996" s="14" t="n">
        <v>1.0986</v>
      </c>
      <c r="J996" s="14" t="n">
        <v>10.045</v>
      </c>
      <c r="K996" s="14" t="n">
        <v>1316.41</v>
      </c>
      <c r="L996" s="14" t="n">
        <v>0.89795</v>
      </c>
      <c r="M996" s="14" t="n">
        <v>7.8474</v>
      </c>
      <c r="N996" s="14" t="n">
        <v>4.5073</v>
      </c>
      <c r="O996" s="14" t="n">
        <v>117.43</v>
      </c>
      <c r="P996" s="14" t="n">
        <v>9.1435</v>
      </c>
    </row>
    <row r="997" customFormat="false" ht="15" hidden="false" customHeight="false" outlineLevel="0" collapsed="false">
      <c r="A997" s="13" t="n">
        <v>43747</v>
      </c>
      <c r="B997" s="14" t="n">
        <v>1197.29</v>
      </c>
      <c r="C997" s="14" t="n">
        <v>9.1649</v>
      </c>
      <c r="D997" s="14" t="n">
        <v>1.2215</v>
      </c>
      <c r="E997" s="14" t="n">
        <v>1.0978</v>
      </c>
      <c r="F997" s="14" t="n">
        <v>7.1316</v>
      </c>
      <c r="G997" s="14" t="n">
        <v>4.1043</v>
      </c>
      <c r="H997" s="14" t="n">
        <v>107.43</v>
      </c>
      <c r="I997" s="14" t="n">
        <v>1.0981</v>
      </c>
      <c r="J997" s="14" t="n">
        <v>10.0528</v>
      </c>
      <c r="K997" s="14" t="n">
        <v>1314.77</v>
      </c>
      <c r="L997" s="14" t="n">
        <v>0.8985</v>
      </c>
      <c r="M997" s="14" t="n">
        <v>7.8265</v>
      </c>
      <c r="N997" s="14" t="n">
        <v>4.4783</v>
      </c>
      <c r="O997" s="14" t="n">
        <v>117.91</v>
      </c>
      <c r="P997" s="14" t="n">
        <v>9.1547</v>
      </c>
    </row>
    <row r="998" customFormat="false" ht="15" hidden="false" customHeight="false" outlineLevel="0" collapsed="false">
      <c r="A998" s="13" t="n">
        <v>43748</v>
      </c>
      <c r="B998" s="14" t="n">
        <v>1190.06</v>
      </c>
      <c r="C998" s="14" t="n">
        <v>9.1184</v>
      </c>
      <c r="D998" s="14" t="n">
        <v>1.2382</v>
      </c>
      <c r="E998" s="14" t="n">
        <v>1.1018</v>
      </c>
      <c r="F998" s="14" t="n">
        <v>7.1153</v>
      </c>
      <c r="G998" s="14" t="n">
        <v>4.1075</v>
      </c>
      <c r="H998" s="14" t="n">
        <v>107.91</v>
      </c>
      <c r="I998" s="14" t="n">
        <v>1.103</v>
      </c>
      <c r="J998" s="14" t="n">
        <v>10.0535</v>
      </c>
      <c r="K998" s="14" t="n">
        <v>1315.87</v>
      </c>
      <c r="L998" s="14" t="n">
        <v>0.90155</v>
      </c>
      <c r="M998" s="14" t="n">
        <v>7.8567</v>
      </c>
      <c r="N998" s="14" t="n">
        <v>4.5186</v>
      </c>
      <c r="O998" s="14" t="n">
        <v>118.52</v>
      </c>
      <c r="P998" s="14" t="n">
        <v>9.1147</v>
      </c>
    </row>
    <row r="999" customFormat="false" ht="15" hidden="false" customHeight="false" outlineLevel="0" collapsed="false">
      <c r="A999" s="13" t="n">
        <v>43749</v>
      </c>
      <c r="B999" s="14" t="n">
        <v>1195.61</v>
      </c>
      <c r="C999" s="14" t="n">
        <v>9.0664</v>
      </c>
      <c r="D999" s="14" t="n">
        <v>1.2683</v>
      </c>
      <c r="E999" s="14" t="n">
        <v>1.1039</v>
      </c>
      <c r="F999" s="14" t="n">
        <v>7.0868</v>
      </c>
      <c r="G999" s="14" t="n">
        <v>4.0945</v>
      </c>
      <c r="H999" s="14" t="n">
        <v>108.52</v>
      </c>
      <c r="I999" s="14" t="n">
        <v>1.1043</v>
      </c>
      <c r="J999" s="14" t="n">
        <v>10.0375</v>
      </c>
      <c r="K999" s="14" t="n">
        <v>1308.61</v>
      </c>
      <c r="L999" s="14" t="n">
        <v>0.87518</v>
      </c>
      <c r="M999" s="14" t="n">
        <v>7.8417</v>
      </c>
      <c r="N999" s="14" t="n">
        <v>4.5291</v>
      </c>
      <c r="O999" s="14" t="n">
        <v>119.75</v>
      </c>
      <c r="P999" s="14" t="n">
        <v>9.0895</v>
      </c>
    </row>
    <row r="1000" customFormat="false" ht="15" hidden="false" customHeight="false" outlineLevel="0" collapsed="false">
      <c r="A1000" s="13" t="n">
        <v>43752</v>
      </c>
      <c r="I1000" s="14" t="n">
        <v>1.1031</v>
      </c>
      <c r="J1000" s="14" t="n">
        <v>10.0463</v>
      </c>
      <c r="K1000" s="14" t="n">
        <v>1307.06</v>
      </c>
      <c r="L1000" s="14" t="n">
        <v>0.87983</v>
      </c>
      <c r="M1000" s="14" t="n">
        <v>7.7988</v>
      </c>
      <c r="N1000" s="14" t="n">
        <v>4.5395</v>
      </c>
      <c r="O1000" s="14" t="n">
        <v>119.4</v>
      </c>
      <c r="P1000" s="14" t="n">
        <v>9.1073</v>
      </c>
    </row>
    <row r="1001" customFormat="false" ht="15" hidden="false" customHeight="false" outlineLevel="0" collapsed="false">
      <c r="A1001" s="13" t="n">
        <v>43753</v>
      </c>
      <c r="B1001" s="14" t="n">
        <v>1184.67</v>
      </c>
      <c r="C1001" s="14" t="n">
        <v>9.1194</v>
      </c>
      <c r="D1001" s="14" t="n">
        <v>1.2737</v>
      </c>
      <c r="E1001" s="14" t="n">
        <v>1.1036</v>
      </c>
      <c r="F1001" s="14" t="n">
        <v>7.0814</v>
      </c>
      <c r="G1001" s="14" t="n">
        <v>4.1506</v>
      </c>
      <c r="H1001" s="14" t="n">
        <v>108.83</v>
      </c>
      <c r="I1001" s="14" t="n">
        <v>1.1007</v>
      </c>
      <c r="J1001" s="14" t="n">
        <v>10.0653</v>
      </c>
      <c r="K1001" s="14" t="n">
        <v>1305.51</v>
      </c>
      <c r="L1001" s="14" t="n">
        <v>0.87058</v>
      </c>
      <c r="M1001" s="14" t="n">
        <v>7.7943</v>
      </c>
      <c r="N1001" s="14" t="n">
        <v>4.5467</v>
      </c>
      <c r="O1001" s="14" t="n">
        <v>119.23</v>
      </c>
      <c r="P1001" s="14" t="n">
        <v>9.1445</v>
      </c>
    </row>
    <row r="1002" customFormat="false" ht="15" hidden="false" customHeight="false" outlineLevel="0" collapsed="false">
      <c r="A1002" s="13" t="n">
        <v>43754</v>
      </c>
      <c r="B1002" s="14" t="n">
        <v>1186.38</v>
      </c>
      <c r="C1002" s="14" t="n">
        <v>9.1701</v>
      </c>
      <c r="D1002" s="14" t="n">
        <v>1.2854</v>
      </c>
      <c r="E1002" s="14" t="n">
        <v>1.1075</v>
      </c>
      <c r="F1002" s="14" t="n">
        <v>7.092</v>
      </c>
      <c r="G1002" s="14" t="n">
        <v>4.161</v>
      </c>
      <c r="H1002" s="14" t="n">
        <v>108.71</v>
      </c>
      <c r="I1002" s="14" t="n">
        <v>1.1025</v>
      </c>
      <c r="J1002" s="14" t="n">
        <v>10.1465</v>
      </c>
      <c r="K1002" s="14" t="n">
        <v>1310.51</v>
      </c>
      <c r="L1002" s="14" t="n">
        <v>0.8656</v>
      </c>
      <c r="M1002" s="14" t="n">
        <v>7.827</v>
      </c>
      <c r="N1002" s="14" t="n">
        <v>4.6024</v>
      </c>
      <c r="O1002" s="14" t="n">
        <v>119.9</v>
      </c>
      <c r="P1002" s="14" t="n">
        <v>9.2032</v>
      </c>
    </row>
    <row r="1003" customFormat="false" ht="15" hidden="false" customHeight="false" outlineLevel="0" collapsed="false">
      <c r="A1003" s="13" t="n">
        <v>43755</v>
      </c>
      <c r="B1003" s="14" t="n">
        <v>1179.05</v>
      </c>
      <c r="C1003" s="14" t="n">
        <v>9.182</v>
      </c>
      <c r="D1003" s="14" t="n">
        <v>1.2853</v>
      </c>
      <c r="E1003" s="14" t="n">
        <v>1.1129</v>
      </c>
      <c r="F1003" s="14" t="n">
        <v>7.0766</v>
      </c>
      <c r="G1003" s="14" t="n">
        <v>4.16</v>
      </c>
      <c r="H1003" s="14" t="n">
        <v>108.51</v>
      </c>
      <c r="I1003" s="14" t="n">
        <v>1.1113</v>
      </c>
      <c r="J1003" s="14" t="n">
        <v>10.1925</v>
      </c>
      <c r="K1003" s="14" t="n">
        <v>1310.18</v>
      </c>
      <c r="L1003" s="14" t="n">
        <v>0.8684</v>
      </c>
      <c r="M1003" s="14" t="n">
        <v>7.8657</v>
      </c>
      <c r="N1003" s="14" t="n">
        <v>4.623</v>
      </c>
      <c r="O1003" s="14" t="n">
        <v>120.81</v>
      </c>
      <c r="P1003" s="14" t="n">
        <v>9.1717</v>
      </c>
    </row>
    <row r="1004" customFormat="false" ht="15" hidden="false" customHeight="false" outlineLevel="0" collapsed="false">
      <c r="A1004" s="13" t="n">
        <v>43756</v>
      </c>
      <c r="B1004" s="14" t="n">
        <v>1181.06</v>
      </c>
      <c r="C1004" s="14" t="n">
        <v>9.1756</v>
      </c>
      <c r="D1004" s="14" t="n">
        <v>1.2904</v>
      </c>
      <c r="E1004" s="14" t="n">
        <v>1.1155</v>
      </c>
      <c r="F1004" s="14" t="n">
        <v>7.0805</v>
      </c>
      <c r="G1004" s="14" t="n">
        <v>4.1312</v>
      </c>
      <c r="H1004" s="14" t="n">
        <v>108.44</v>
      </c>
      <c r="I1004" s="14" t="n">
        <v>1.1144</v>
      </c>
      <c r="J1004" s="14" t="n">
        <v>10.2198</v>
      </c>
      <c r="K1004" s="14" t="n">
        <v>1314.33</v>
      </c>
      <c r="L1004" s="14" t="n">
        <v>0.86435</v>
      </c>
      <c r="M1004" s="14" t="n">
        <v>7.8941</v>
      </c>
      <c r="N1004" s="14" t="n">
        <v>4.6363</v>
      </c>
      <c r="O1004" s="14" t="n">
        <v>120.97</v>
      </c>
      <c r="P1004" s="14" t="n">
        <v>9.1707</v>
      </c>
    </row>
    <row r="1005" customFormat="false" ht="15" hidden="false" customHeight="false" outlineLevel="0" collapsed="false">
      <c r="A1005" s="13" t="n">
        <v>43759</v>
      </c>
      <c r="B1005" s="14" t="n">
        <v>1172.57</v>
      </c>
      <c r="C1005" s="14" t="n">
        <v>9.1375</v>
      </c>
      <c r="D1005" s="14" t="n">
        <v>1.2983</v>
      </c>
      <c r="E1005" s="14" t="n">
        <v>1.1145</v>
      </c>
      <c r="F1005" s="14" t="n">
        <v>7.0748</v>
      </c>
      <c r="G1005" s="14" t="n">
        <v>4.136</v>
      </c>
      <c r="H1005" s="14" t="n">
        <v>108.57</v>
      </c>
      <c r="I1005" s="14" t="n">
        <v>1.1173</v>
      </c>
      <c r="J1005" s="14" t="n">
        <v>10.1638</v>
      </c>
      <c r="K1005" s="14" t="n">
        <v>1309.04</v>
      </c>
      <c r="L1005" s="14" t="n">
        <v>0.8593</v>
      </c>
      <c r="M1005" s="14" t="n">
        <v>7.9025</v>
      </c>
      <c r="N1005" s="14" t="n">
        <v>4.6059</v>
      </c>
      <c r="O1005" s="14" t="n">
        <v>121.29</v>
      </c>
      <c r="P1005" s="14" t="n">
        <v>9.0968</v>
      </c>
    </row>
    <row r="1006" customFormat="false" ht="15" hidden="false" customHeight="false" outlineLevel="0" collapsed="false">
      <c r="A1006" s="13" t="n">
        <v>43760</v>
      </c>
      <c r="B1006" s="14" t="n">
        <v>1170.49</v>
      </c>
      <c r="C1006" s="14" t="n">
        <v>9.1407</v>
      </c>
      <c r="D1006" s="14" t="n">
        <v>1.2948</v>
      </c>
      <c r="E1006" s="14" t="n">
        <v>1.1138</v>
      </c>
      <c r="F1006" s="14" t="n">
        <v>7.0761</v>
      </c>
      <c r="G1006" s="14" t="n">
        <v>4.0713</v>
      </c>
      <c r="H1006" s="14" t="n">
        <v>108.56</v>
      </c>
      <c r="I1006" s="14" t="n">
        <v>1.113</v>
      </c>
      <c r="J1006" s="14" t="n">
        <v>10.1833</v>
      </c>
      <c r="K1006" s="14" t="n">
        <v>1305.83</v>
      </c>
      <c r="L1006" s="14" t="n">
        <v>0.86065</v>
      </c>
      <c r="M1006" s="14" t="n">
        <v>7.8795</v>
      </c>
      <c r="N1006" s="14" t="n">
        <v>4.59</v>
      </c>
      <c r="O1006" s="14" t="n">
        <v>120.87</v>
      </c>
      <c r="P1006" s="14" t="n">
        <v>9.1494</v>
      </c>
    </row>
    <row r="1007" customFormat="false" ht="15" hidden="false" customHeight="false" outlineLevel="0" collapsed="false">
      <c r="A1007" s="13" t="n">
        <v>43761</v>
      </c>
      <c r="B1007" s="14" t="n">
        <v>1172.07</v>
      </c>
      <c r="C1007" s="14" t="n">
        <v>9.1512</v>
      </c>
      <c r="D1007" s="14" t="n">
        <v>1.2886</v>
      </c>
      <c r="E1007" s="14" t="n">
        <v>1.1118</v>
      </c>
      <c r="F1007" s="14" t="n">
        <v>7.0624</v>
      </c>
      <c r="G1007" s="14" t="n">
        <v>4.0674</v>
      </c>
      <c r="H1007" s="14" t="n">
        <v>108.64</v>
      </c>
      <c r="I1007" s="14" t="n">
        <v>1.1123</v>
      </c>
      <c r="J1007" s="14" t="n">
        <v>10.1775</v>
      </c>
      <c r="K1007" s="14" t="n">
        <v>1303.45</v>
      </c>
      <c r="L1007" s="14" t="n">
        <v>0.86408</v>
      </c>
      <c r="M1007" s="14" t="n">
        <v>7.8684</v>
      </c>
      <c r="N1007" s="14" t="n">
        <v>4.5459</v>
      </c>
      <c r="O1007" s="14" t="n">
        <v>120.63</v>
      </c>
      <c r="P1007" s="14" t="n">
        <v>9.15</v>
      </c>
    </row>
    <row r="1008" customFormat="false" ht="15" hidden="false" customHeight="false" outlineLevel="0" collapsed="false">
      <c r="A1008" s="13" t="n">
        <v>43762</v>
      </c>
      <c r="B1008" s="14" t="n">
        <v>1173.19</v>
      </c>
      <c r="C1008" s="14" t="n">
        <v>9.1372</v>
      </c>
      <c r="D1008" s="14" t="n">
        <v>1.281</v>
      </c>
      <c r="E1008" s="14" t="n">
        <v>1.1098</v>
      </c>
      <c r="F1008" s="14" t="n">
        <v>7.0684</v>
      </c>
      <c r="G1008" s="14" t="n">
        <v>4.01</v>
      </c>
      <c r="H1008" s="14" t="n">
        <v>108.62</v>
      </c>
      <c r="I1008" s="14" t="n">
        <v>1.1128</v>
      </c>
      <c r="J1008" s="14" t="n">
        <v>10.1368</v>
      </c>
      <c r="K1008" s="14" t="n">
        <v>1305.33</v>
      </c>
      <c r="L1008" s="14" t="n">
        <v>0.86288</v>
      </c>
      <c r="M1008" s="14" t="n">
        <v>7.8704</v>
      </c>
      <c r="N1008" s="14" t="n">
        <v>4.4908</v>
      </c>
      <c r="O1008" s="14" t="n">
        <v>120.86</v>
      </c>
      <c r="P1008" s="14" t="n">
        <v>9.1093</v>
      </c>
    </row>
    <row r="1009" customFormat="false" ht="15" hidden="false" customHeight="false" outlineLevel="0" collapsed="false">
      <c r="A1009" s="13" t="n">
        <v>43763</v>
      </c>
      <c r="B1009" s="14" t="n">
        <v>1171.58</v>
      </c>
      <c r="C1009" s="14" t="n">
        <v>9.1942</v>
      </c>
      <c r="D1009" s="14" t="n">
        <v>1.2833</v>
      </c>
      <c r="E1009" s="14" t="n">
        <v>1.1081</v>
      </c>
      <c r="F1009" s="14" t="n">
        <v>7.0647</v>
      </c>
      <c r="G1009" s="14" t="n">
        <v>4.0018</v>
      </c>
      <c r="H1009" s="14" t="n">
        <v>108.75</v>
      </c>
      <c r="I1009" s="14" t="n">
        <v>1.1107</v>
      </c>
      <c r="J1009" s="14" t="n">
        <v>10.1865</v>
      </c>
      <c r="K1009" s="14" t="n">
        <v>1304.87</v>
      </c>
      <c r="L1009" s="14" t="n">
        <v>0.86598</v>
      </c>
      <c r="M1009" s="14" t="n">
        <v>7.8524</v>
      </c>
      <c r="N1009" s="14" t="n">
        <v>4.4732</v>
      </c>
      <c r="O1009" s="14" t="n">
        <v>120.59</v>
      </c>
      <c r="P1009" s="14" t="n">
        <v>9.1712</v>
      </c>
    </row>
    <row r="1010" customFormat="false" ht="15" hidden="false" customHeight="false" outlineLevel="0" collapsed="false">
      <c r="A1010" s="13" t="n">
        <v>43766</v>
      </c>
      <c r="B1010" s="14" t="n">
        <v>1170.17</v>
      </c>
      <c r="C1010" s="14" t="n">
        <v>9.2076</v>
      </c>
      <c r="D1010" s="14" t="n">
        <v>1.286</v>
      </c>
      <c r="E1010" s="14" t="n">
        <v>1.1094</v>
      </c>
      <c r="F1010" s="14" t="n">
        <v>7.067</v>
      </c>
      <c r="G1010" s="14" t="n">
        <v>3.9769</v>
      </c>
      <c r="H1010" s="14" t="n">
        <v>109.02</v>
      </c>
      <c r="I1010" s="14" t="n">
        <v>1.1087</v>
      </c>
      <c r="J1010" s="14" t="n">
        <v>10.2105</v>
      </c>
      <c r="K1010" s="14" t="n">
        <v>1297.1</v>
      </c>
      <c r="L1010" s="14" t="n">
        <v>0.86328</v>
      </c>
      <c r="M1010" s="14" t="n">
        <v>7.8366</v>
      </c>
      <c r="N1010" s="14" t="n">
        <v>4.4158</v>
      </c>
      <c r="O1010" s="14" t="n">
        <v>120.69</v>
      </c>
      <c r="P1010" s="14" t="n">
        <v>9.2094</v>
      </c>
    </row>
    <row r="1011" customFormat="false" ht="15" hidden="false" customHeight="false" outlineLevel="0" collapsed="false">
      <c r="A1011" s="13" t="n">
        <v>43767</v>
      </c>
      <c r="B1011" s="14" t="n">
        <v>1163.03</v>
      </c>
      <c r="C1011" s="14" t="n">
        <v>9.2304</v>
      </c>
      <c r="D1011" s="14" t="n">
        <v>1.2905</v>
      </c>
      <c r="E1011" s="14" t="n">
        <v>1.1117</v>
      </c>
      <c r="F1011" s="14" t="n">
        <v>7.0655</v>
      </c>
      <c r="G1011" s="14" t="n">
        <v>3.9923</v>
      </c>
      <c r="H1011" s="14" t="n">
        <v>108.83</v>
      </c>
      <c r="I1011" s="14" t="n">
        <v>1.1095</v>
      </c>
      <c r="J1011" s="14" t="n">
        <v>10.2748</v>
      </c>
      <c r="K1011" s="14" t="n">
        <v>1295.86</v>
      </c>
      <c r="L1011" s="14" t="n">
        <v>0.86328</v>
      </c>
      <c r="M1011" s="14" t="n">
        <v>7.8392</v>
      </c>
      <c r="N1011" s="14" t="n">
        <v>4.43</v>
      </c>
      <c r="O1011" s="14" t="n">
        <v>120.88</v>
      </c>
      <c r="P1011" s="14" t="n">
        <v>9.2607</v>
      </c>
    </row>
    <row r="1012" customFormat="false" ht="15" hidden="false" customHeight="false" outlineLevel="0" collapsed="false">
      <c r="A1012" s="13" t="n">
        <v>43768</v>
      </c>
      <c r="B1012" s="14" t="n">
        <v>1167.76</v>
      </c>
      <c r="C1012" s="14" t="n">
        <v>9.2122</v>
      </c>
      <c r="D1012" s="14" t="n">
        <v>1.2872</v>
      </c>
      <c r="E1012" s="14" t="n">
        <v>1.1123</v>
      </c>
      <c r="F1012" s="14" t="n">
        <v>7.0541</v>
      </c>
      <c r="G1012" s="14" t="n">
        <v>4.017</v>
      </c>
      <c r="H1012" s="14" t="n">
        <v>108.88</v>
      </c>
      <c r="I1012" s="14" t="n">
        <v>1.1106</v>
      </c>
      <c r="J1012" s="14" t="n">
        <v>10.2488</v>
      </c>
      <c r="K1012" s="14" t="n">
        <v>1297.21</v>
      </c>
      <c r="L1012" s="14" t="n">
        <v>0.862</v>
      </c>
      <c r="M1012" s="14" t="n">
        <v>7.8371</v>
      </c>
      <c r="N1012" s="14" t="n">
        <v>4.4611</v>
      </c>
      <c r="O1012" s="14" t="n">
        <v>120.99</v>
      </c>
      <c r="P1012" s="14" t="n">
        <v>9.2282</v>
      </c>
    </row>
    <row r="1013" customFormat="false" ht="15" hidden="false" customHeight="false" outlineLevel="0" collapsed="false">
      <c r="A1013" s="13" t="n">
        <v>43769</v>
      </c>
      <c r="B1013" s="14" t="n">
        <v>1169.1</v>
      </c>
      <c r="C1013" s="14" t="n">
        <v>9.1818</v>
      </c>
      <c r="D1013" s="14" t="n">
        <v>1.2939</v>
      </c>
      <c r="E1013" s="14" t="n">
        <v>1.1155</v>
      </c>
      <c r="F1013" s="14" t="n">
        <v>7.0379</v>
      </c>
      <c r="G1013" s="14" t="n">
        <v>4.013</v>
      </c>
      <c r="H1013" s="14" t="n">
        <v>108.09</v>
      </c>
      <c r="I1013" s="14" t="n">
        <v>1.1154</v>
      </c>
      <c r="J1013" s="14" t="n">
        <v>10.252</v>
      </c>
      <c r="K1013" s="14" t="n">
        <v>1302.87</v>
      </c>
      <c r="L1013" s="14" t="n">
        <v>0.86133</v>
      </c>
      <c r="M1013" s="14" t="n">
        <v>7.854</v>
      </c>
      <c r="N1013" s="14" t="n">
        <v>4.4514</v>
      </c>
      <c r="O1013" s="14" t="n">
        <v>120.73</v>
      </c>
      <c r="P1013" s="14" t="n">
        <v>9.1913</v>
      </c>
    </row>
    <row r="1014" customFormat="false" ht="15" hidden="false" customHeight="false" outlineLevel="0" collapsed="false">
      <c r="A1014" s="13" t="n">
        <v>43770</v>
      </c>
      <c r="B1014" s="14" t="n">
        <v>1165.45</v>
      </c>
      <c r="C1014" s="14" t="n">
        <v>9.09</v>
      </c>
      <c r="D1014" s="14" t="n">
        <v>1.295</v>
      </c>
      <c r="E1014" s="14" t="n">
        <v>1.1169</v>
      </c>
      <c r="F1014" s="14" t="n">
        <v>7.0368</v>
      </c>
      <c r="G1014" s="14" t="n">
        <v>3.9756</v>
      </c>
      <c r="H1014" s="14" t="n">
        <v>108.16</v>
      </c>
      <c r="I1014" s="14" t="n">
        <v>1.1139</v>
      </c>
      <c r="J1014" s="14" t="n">
        <v>10.1638</v>
      </c>
      <c r="K1014" s="14" t="n">
        <v>1300.09</v>
      </c>
      <c r="L1014" s="14" t="n">
        <v>0.86008</v>
      </c>
      <c r="M1014" s="14" t="n">
        <v>7.844</v>
      </c>
      <c r="N1014" s="14" t="n">
        <v>4.4437</v>
      </c>
      <c r="O1014" s="14" t="n">
        <v>120.43</v>
      </c>
      <c r="P1014" s="14" t="n">
        <v>9.1245</v>
      </c>
    </row>
    <row r="1015" customFormat="false" ht="15" hidden="false" customHeight="false" outlineLevel="0" collapsed="false">
      <c r="A1015" s="13" t="n">
        <v>43773</v>
      </c>
      <c r="B1015" s="14" t="n">
        <v>1159.29</v>
      </c>
      <c r="C1015" s="14" t="n">
        <v>9.1226</v>
      </c>
      <c r="D1015" s="14" t="n">
        <v>1.2906</v>
      </c>
      <c r="E1015" s="14" t="n">
        <v>1.1144</v>
      </c>
      <c r="F1015" s="14" t="n">
        <v>7.03</v>
      </c>
      <c r="G1015" s="14" t="n">
        <v>4.0007</v>
      </c>
      <c r="H1015" s="14" t="n">
        <v>108.56</v>
      </c>
      <c r="I1015" s="14" t="n">
        <v>1.1158</v>
      </c>
      <c r="J1015" s="14" t="n">
        <v>10.1668</v>
      </c>
      <c r="K1015" s="14" t="n">
        <v>1296.92</v>
      </c>
      <c r="L1015" s="14" t="n">
        <v>0.86368</v>
      </c>
      <c r="M1015" s="14" t="n">
        <v>7.8425</v>
      </c>
      <c r="N1015" s="14" t="n">
        <v>4.4644</v>
      </c>
      <c r="O1015" s="14" t="n">
        <v>120.93</v>
      </c>
      <c r="P1015" s="14" t="n">
        <v>9.1117</v>
      </c>
    </row>
    <row r="1016" customFormat="false" ht="15" hidden="false" customHeight="false" outlineLevel="0" collapsed="false">
      <c r="A1016" s="13" t="n">
        <v>43774</v>
      </c>
      <c r="B1016" s="14" t="n">
        <v>1157.64</v>
      </c>
      <c r="C1016" s="14" t="n">
        <v>9.1922</v>
      </c>
      <c r="D1016" s="14" t="n">
        <v>1.287</v>
      </c>
      <c r="E1016" s="14" t="n">
        <v>1.107</v>
      </c>
      <c r="F1016" s="14" t="n">
        <v>7.0082</v>
      </c>
      <c r="G1016" s="14" t="n">
        <v>3.9865</v>
      </c>
      <c r="H1016" s="14" t="n">
        <v>109.13</v>
      </c>
      <c r="I1016" s="14" t="n">
        <v>1.1109</v>
      </c>
      <c r="J1016" s="14" t="n">
        <v>10.1525</v>
      </c>
      <c r="K1016" s="14" t="n">
        <v>1284.34</v>
      </c>
      <c r="L1016" s="14" t="n">
        <v>0.86113</v>
      </c>
      <c r="M1016" s="14" t="n">
        <v>7.7734</v>
      </c>
      <c r="N1016" s="14" t="n">
        <v>4.4655</v>
      </c>
      <c r="O1016" s="14" t="n">
        <v>120.93</v>
      </c>
      <c r="P1016" s="14" t="n">
        <v>9.139</v>
      </c>
    </row>
    <row r="1017" customFormat="false" ht="15" hidden="false" customHeight="false" outlineLevel="0" collapsed="false">
      <c r="A1017" s="13" t="n">
        <v>43775</v>
      </c>
      <c r="B1017" s="14" t="n">
        <v>1156.73</v>
      </c>
      <c r="C1017" s="14" t="n">
        <v>9.1664</v>
      </c>
      <c r="D1017" s="14" t="n">
        <v>1.2872</v>
      </c>
      <c r="E1017" s="14" t="n">
        <v>1.1076</v>
      </c>
      <c r="F1017" s="14" t="n">
        <v>6.9968</v>
      </c>
      <c r="G1017" s="14" t="n">
        <v>4.0582</v>
      </c>
      <c r="H1017" s="14" t="n">
        <v>108.86</v>
      </c>
      <c r="I1017" s="14" t="n">
        <v>1.109</v>
      </c>
      <c r="J1017" s="14" t="n">
        <v>10.126</v>
      </c>
      <c r="K1017" s="14" t="n">
        <v>1284.3</v>
      </c>
      <c r="L1017" s="14" t="n">
        <v>0.86033</v>
      </c>
      <c r="M1017" s="14" t="n">
        <v>7.7604</v>
      </c>
      <c r="N1017" s="14" t="n">
        <v>4.4242</v>
      </c>
      <c r="O1017" s="14" t="n">
        <v>120.88</v>
      </c>
      <c r="P1017" s="14" t="n">
        <v>9.1307</v>
      </c>
    </row>
    <row r="1018" customFormat="false" ht="15" hidden="false" customHeight="false" outlineLevel="0" collapsed="false">
      <c r="A1018" s="13" t="n">
        <v>43776</v>
      </c>
      <c r="B1018" s="14" t="n">
        <v>1154.44</v>
      </c>
      <c r="C1018" s="14" t="n">
        <v>9.1255</v>
      </c>
      <c r="D1018" s="14" t="n">
        <v>1.2829</v>
      </c>
      <c r="E1018" s="14" t="n">
        <v>1.1045</v>
      </c>
      <c r="F1018" s="14" t="n">
        <v>6.9766</v>
      </c>
      <c r="G1018" s="14" t="n">
        <v>4.0884</v>
      </c>
      <c r="H1018" s="14" t="n">
        <v>109.42</v>
      </c>
      <c r="I1018" s="14" t="n">
        <v>1.1077</v>
      </c>
      <c r="J1018" s="14" t="n">
        <v>10.0715</v>
      </c>
      <c r="K1018" s="14" t="n">
        <v>1279.27</v>
      </c>
      <c r="L1018" s="14" t="n">
        <v>0.86442</v>
      </c>
      <c r="M1018" s="14" t="n">
        <v>7.7271</v>
      </c>
      <c r="N1018" s="14" t="n">
        <v>4.5238</v>
      </c>
      <c r="O1018" s="14" t="n">
        <v>120.9</v>
      </c>
      <c r="P1018" s="14" t="n">
        <v>9.0923</v>
      </c>
    </row>
    <row r="1019" customFormat="false" ht="15" hidden="false" customHeight="false" outlineLevel="0" collapsed="false">
      <c r="A1019" s="13" t="n">
        <v>43777</v>
      </c>
      <c r="B1019" s="14" t="n">
        <v>1157.14</v>
      </c>
      <c r="C1019" s="14" t="n">
        <v>9.1476</v>
      </c>
      <c r="D1019" s="14" t="n">
        <v>1.279</v>
      </c>
      <c r="E1019" s="14" t="n">
        <v>1.1019</v>
      </c>
      <c r="F1019" s="14" t="n">
        <v>6.9954</v>
      </c>
      <c r="G1019" s="14" t="n">
        <v>4.1545</v>
      </c>
      <c r="H1019" s="14" t="n">
        <v>109.14</v>
      </c>
      <c r="I1019" s="14" t="n">
        <v>1.1034</v>
      </c>
      <c r="J1019" s="14" t="n">
        <v>10.0893</v>
      </c>
      <c r="K1019" s="14" t="n">
        <v>1276.66</v>
      </c>
      <c r="L1019" s="14" t="n">
        <v>0.86158</v>
      </c>
      <c r="M1019" s="14" t="n">
        <v>7.7115</v>
      </c>
      <c r="N1019" s="14" t="n">
        <v>4.5583</v>
      </c>
      <c r="O1019" s="14" t="n">
        <v>120.72</v>
      </c>
      <c r="P1019" s="14" t="n">
        <v>9.1438</v>
      </c>
    </row>
    <row r="1020" customFormat="false" ht="15" hidden="false" customHeight="false" outlineLevel="0" collapsed="false">
      <c r="A1020" s="13" t="n">
        <v>43780</v>
      </c>
      <c r="I1020" s="14" t="n">
        <v>1.1041</v>
      </c>
      <c r="J1020" s="14" t="n">
        <v>10.091</v>
      </c>
      <c r="K1020" s="14" t="n">
        <v>1288</v>
      </c>
      <c r="L1020" s="14" t="n">
        <v>0.85743</v>
      </c>
      <c r="M1020" s="14" t="n">
        <v>7.7404</v>
      </c>
      <c r="N1020" s="14" t="n">
        <v>4.5949</v>
      </c>
      <c r="O1020" s="14" t="n">
        <v>120.29</v>
      </c>
      <c r="P1020" s="14" t="n">
        <v>9.1396</v>
      </c>
    </row>
    <row r="1021" customFormat="false" ht="15" hidden="false" customHeight="false" outlineLevel="0" collapsed="false">
      <c r="A1021" s="13" t="n">
        <v>43781</v>
      </c>
      <c r="B1021" s="14" t="n">
        <v>1160.8</v>
      </c>
      <c r="C1021" s="14" t="n">
        <v>9.1438</v>
      </c>
      <c r="D1021" s="14" t="n">
        <v>1.2855</v>
      </c>
      <c r="E1021" s="14" t="n">
        <v>1.1017</v>
      </c>
      <c r="F1021" s="14" t="n">
        <v>7.0066</v>
      </c>
      <c r="G1021" s="14" t="n">
        <v>4.1742</v>
      </c>
      <c r="H1021" s="14" t="n">
        <v>109.09</v>
      </c>
      <c r="I1021" s="14" t="n">
        <v>1.1015</v>
      </c>
      <c r="J1021" s="14" t="n">
        <v>10.0798</v>
      </c>
      <c r="K1021" s="14" t="n">
        <v>1281.79</v>
      </c>
      <c r="L1021" s="14" t="n">
        <v>0.8582</v>
      </c>
      <c r="M1021" s="14" t="n">
        <v>7.7187</v>
      </c>
      <c r="N1021" s="14" t="n">
        <v>4.5868</v>
      </c>
      <c r="O1021" s="14" t="n">
        <v>120.24</v>
      </c>
      <c r="P1021" s="14" t="n">
        <v>9.151</v>
      </c>
    </row>
    <row r="1022" customFormat="false" ht="15" hidden="false" customHeight="false" outlineLevel="0" collapsed="false">
      <c r="A1022" s="13" t="n">
        <v>43782</v>
      </c>
      <c r="B1022" s="14" t="n">
        <v>1167.76</v>
      </c>
      <c r="C1022" s="14" t="n">
        <v>9.189</v>
      </c>
      <c r="D1022" s="14" t="n">
        <v>1.284</v>
      </c>
      <c r="E1022" s="14" t="n">
        <v>1.1004</v>
      </c>
      <c r="F1022" s="14" t="n">
        <v>7.0223</v>
      </c>
      <c r="G1022" s="14" t="n">
        <v>4.1772</v>
      </c>
      <c r="H1022" s="14" t="n">
        <v>108.83</v>
      </c>
      <c r="I1022" s="14" t="n">
        <v>1.1006</v>
      </c>
      <c r="J1022" s="14" t="n">
        <v>10.139</v>
      </c>
      <c r="K1022" s="14" t="n">
        <v>1288.15</v>
      </c>
      <c r="L1022" s="14" t="n">
        <v>0.8576</v>
      </c>
      <c r="M1022" s="14" t="n">
        <v>7.7281</v>
      </c>
      <c r="N1022" s="14" t="n">
        <v>4.6017</v>
      </c>
      <c r="O1022" s="14" t="n">
        <v>119.79</v>
      </c>
      <c r="P1022" s="14" t="n">
        <v>9.2122</v>
      </c>
    </row>
    <row r="1023" customFormat="false" ht="15" hidden="false" customHeight="false" outlineLevel="0" collapsed="false">
      <c r="A1023" s="13" t="n">
        <v>43783</v>
      </c>
      <c r="B1023" s="14" t="n">
        <v>1169.82</v>
      </c>
      <c r="C1023" s="14" t="n">
        <v>9.1751</v>
      </c>
      <c r="D1023" s="14" t="n">
        <v>1.2879</v>
      </c>
      <c r="E1023" s="14" t="n">
        <v>1.1016</v>
      </c>
      <c r="F1023" s="14" t="n">
        <v>7.0195</v>
      </c>
      <c r="G1023" s="14" t="n">
        <v>4.1912</v>
      </c>
      <c r="H1023" s="14" t="n">
        <v>108.33</v>
      </c>
      <c r="I1023" s="14" t="n">
        <v>1.0997</v>
      </c>
      <c r="J1023" s="14" t="n">
        <v>10.1198</v>
      </c>
      <c r="K1023" s="14" t="n">
        <v>1287.87</v>
      </c>
      <c r="L1023" s="14" t="n">
        <v>0.85643</v>
      </c>
      <c r="M1023" s="14" t="n">
        <v>7.721</v>
      </c>
      <c r="N1023" s="14" t="n">
        <v>4.5928</v>
      </c>
      <c r="O1023" s="14" t="n">
        <v>119.49</v>
      </c>
      <c r="P1023" s="14" t="n">
        <v>9.2023</v>
      </c>
    </row>
    <row r="1024" customFormat="false" ht="15" hidden="false" customHeight="false" outlineLevel="0" collapsed="false">
      <c r="A1024" s="13" t="n">
        <v>43784</v>
      </c>
      <c r="B1024" s="14" t="n">
        <v>1166.98</v>
      </c>
      <c r="C1024" s="14" t="n">
        <v>9.0857</v>
      </c>
      <c r="D1024" s="14" t="n">
        <v>1.2901</v>
      </c>
      <c r="E1024" s="14" t="n">
        <v>1.1046</v>
      </c>
      <c r="F1024" s="14" t="n">
        <v>7.0075</v>
      </c>
      <c r="G1024" s="14" t="n">
        <v>4.1957</v>
      </c>
      <c r="H1024" s="14" t="n">
        <v>108.8</v>
      </c>
      <c r="I1024" s="14" t="n">
        <v>1.1034</v>
      </c>
      <c r="J1024" s="14" t="n">
        <v>10.0345</v>
      </c>
      <c r="K1024" s="14" t="n">
        <v>1285.34</v>
      </c>
      <c r="L1024" s="14" t="n">
        <v>0.8566</v>
      </c>
      <c r="M1024" s="14" t="n">
        <v>7.7343</v>
      </c>
      <c r="N1024" s="14" t="n">
        <v>4.6296</v>
      </c>
      <c r="O1024" s="14" t="n">
        <v>119.95</v>
      </c>
      <c r="P1024" s="14" t="n">
        <v>9.0942</v>
      </c>
    </row>
    <row r="1025" customFormat="false" ht="15" hidden="false" customHeight="false" outlineLevel="0" collapsed="false">
      <c r="A1025" s="13" t="n">
        <v>43787</v>
      </c>
      <c r="B1025" s="14" t="n">
        <v>1163.76</v>
      </c>
      <c r="C1025" s="14" t="n">
        <v>9.1032</v>
      </c>
      <c r="D1025" s="14" t="n">
        <v>1.2965</v>
      </c>
      <c r="E1025" s="14" t="n">
        <v>1.1079</v>
      </c>
      <c r="F1025" s="14" t="n">
        <v>7.0246</v>
      </c>
      <c r="G1025" s="14" t="n">
        <v>4.1932</v>
      </c>
      <c r="H1025" s="14" t="n">
        <v>108.61</v>
      </c>
      <c r="I1025" s="14" t="n">
        <v>1.1061</v>
      </c>
      <c r="J1025" s="14" t="n">
        <v>10.086</v>
      </c>
      <c r="K1025" s="14" t="n">
        <v>1289.14</v>
      </c>
      <c r="L1025" s="14" t="n">
        <v>0.8533</v>
      </c>
      <c r="M1025" s="14" t="n">
        <v>7.7629</v>
      </c>
      <c r="N1025" s="14" t="n">
        <v>4.6201</v>
      </c>
      <c r="O1025" s="14" t="n">
        <v>120.55</v>
      </c>
      <c r="P1025" s="14" t="n">
        <v>9.1185</v>
      </c>
    </row>
    <row r="1026" customFormat="false" ht="15" hidden="false" customHeight="false" outlineLevel="0" collapsed="false">
      <c r="A1026" s="13" t="n">
        <v>43788</v>
      </c>
      <c r="B1026" s="14" t="n">
        <v>1167.13</v>
      </c>
      <c r="C1026" s="14" t="n">
        <v>9.1262</v>
      </c>
      <c r="D1026" s="14" t="n">
        <v>1.2926</v>
      </c>
      <c r="E1026" s="14" t="n">
        <v>1.1075</v>
      </c>
      <c r="F1026" s="14" t="n">
        <v>7.0263</v>
      </c>
      <c r="G1026" s="14" t="n">
        <v>4.2032</v>
      </c>
      <c r="H1026" s="14" t="n">
        <v>108.59</v>
      </c>
      <c r="I1026" s="14" t="n">
        <v>1.1077</v>
      </c>
      <c r="J1026" s="14" t="n">
        <v>10.0853</v>
      </c>
      <c r="K1026" s="14" t="n">
        <v>1292.01</v>
      </c>
      <c r="L1026" s="14" t="n">
        <v>0.85573</v>
      </c>
      <c r="M1026" s="14" t="n">
        <v>7.7829</v>
      </c>
      <c r="N1026" s="14" t="n">
        <v>4.6465</v>
      </c>
      <c r="O1026" s="14" t="n">
        <v>120.46</v>
      </c>
      <c r="P1026" s="14" t="n">
        <v>9.1047</v>
      </c>
    </row>
    <row r="1027" customFormat="false" ht="15" hidden="false" customHeight="false" outlineLevel="0" collapsed="false">
      <c r="A1027" s="13" t="n">
        <v>43789</v>
      </c>
      <c r="B1027" s="14" t="n">
        <v>1169.8</v>
      </c>
      <c r="C1027" s="14" t="n">
        <v>9.1425</v>
      </c>
      <c r="D1027" s="14" t="n">
        <v>1.2918</v>
      </c>
      <c r="E1027" s="14" t="n">
        <v>1.1063</v>
      </c>
      <c r="F1027" s="14" t="n">
        <v>7.0344</v>
      </c>
      <c r="G1027" s="14" t="n">
        <v>4.1955</v>
      </c>
      <c r="H1027" s="14" t="n">
        <v>108.67</v>
      </c>
      <c r="I1027" s="14" t="n">
        <v>1.1059</v>
      </c>
      <c r="J1027" s="14" t="n">
        <v>10.1455</v>
      </c>
      <c r="K1027" s="14" t="n">
        <v>1294.49</v>
      </c>
      <c r="L1027" s="14" t="n">
        <v>0.85715</v>
      </c>
      <c r="M1027" s="14" t="n">
        <v>7.7786</v>
      </c>
      <c r="N1027" s="14" t="n">
        <v>4.6409</v>
      </c>
      <c r="O1027" s="14" t="n">
        <v>119.96</v>
      </c>
      <c r="P1027" s="14" t="n">
        <v>9.174</v>
      </c>
    </row>
    <row r="1028" customFormat="false" ht="15" hidden="false" customHeight="false" outlineLevel="0" collapsed="false">
      <c r="A1028" s="13" t="n">
        <v>43790</v>
      </c>
      <c r="B1028" s="14" t="n">
        <v>1175.71</v>
      </c>
      <c r="C1028" s="14" t="n">
        <v>9.1348</v>
      </c>
      <c r="D1028" s="14" t="n">
        <v>1.2915</v>
      </c>
      <c r="E1028" s="14" t="n">
        <v>1.1067</v>
      </c>
      <c r="F1028" s="14" t="n">
        <v>7.0285</v>
      </c>
      <c r="G1028" s="14" t="n">
        <v>4.2213</v>
      </c>
      <c r="H1028" s="14" t="n">
        <v>108.53</v>
      </c>
      <c r="I1028" s="14" t="n">
        <v>1.1091</v>
      </c>
      <c r="J1028" s="14" t="n">
        <v>10.1018</v>
      </c>
      <c r="K1028" s="14" t="n">
        <v>1303.11</v>
      </c>
      <c r="L1028" s="14" t="n">
        <v>0.85548</v>
      </c>
      <c r="M1028" s="14" t="n">
        <v>7.7933</v>
      </c>
      <c r="N1028" s="14" t="n">
        <v>4.6453</v>
      </c>
      <c r="O1028" s="14" t="n">
        <v>120.46</v>
      </c>
      <c r="P1028" s="14" t="n">
        <v>9.1081</v>
      </c>
    </row>
    <row r="1029" customFormat="false" ht="15" hidden="false" customHeight="false" outlineLevel="0" collapsed="false">
      <c r="A1029" s="13" t="n">
        <v>43791</v>
      </c>
      <c r="B1029" s="14" t="n">
        <v>1179.33</v>
      </c>
      <c r="C1029" s="14" t="n">
        <v>9.1585</v>
      </c>
      <c r="D1029" s="14" t="n">
        <v>1.2829</v>
      </c>
      <c r="E1029" s="14" t="n">
        <v>1.1029</v>
      </c>
      <c r="F1029" s="14" t="n">
        <v>7.0389</v>
      </c>
      <c r="G1029" s="14" t="n">
        <v>4.1859</v>
      </c>
      <c r="H1029" s="14" t="n">
        <v>108.67</v>
      </c>
      <c r="I1029" s="14" t="n">
        <v>1.1058</v>
      </c>
      <c r="J1029" s="14" t="n">
        <v>10.1083</v>
      </c>
      <c r="K1029" s="14" t="n">
        <v>1303.07</v>
      </c>
      <c r="L1029" s="14" t="n">
        <v>0.8598</v>
      </c>
      <c r="M1029" s="14" t="n">
        <v>7.7834</v>
      </c>
      <c r="N1029" s="14" t="n">
        <v>4.6313</v>
      </c>
      <c r="O1029" s="14" t="n">
        <v>120.03</v>
      </c>
      <c r="P1029" s="14" t="n">
        <v>9.1412</v>
      </c>
    </row>
    <row r="1030" customFormat="false" ht="15" hidden="false" customHeight="false" outlineLevel="0" collapsed="false">
      <c r="A1030" s="13" t="n">
        <v>43794</v>
      </c>
      <c r="B1030" s="14" t="n">
        <v>1173.09</v>
      </c>
      <c r="C1030" s="14" t="n">
        <v>9.1934</v>
      </c>
      <c r="D1030" s="14" t="n">
        <v>1.2885</v>
      </c>
      <c r="E1030" s="14" t="n">
        <v>1.1009</v>
      </c>
      <c r="F1030" s="14" t="n">
        <v>7.0349</v>
      </c>
      <c r="G1030" s="14" t="n">
        <v>4.2153</v>
      </c>
      <c r="H1030" s="14" t="n">
        <v>108.95</v>
      </c>
      <c r="I1030" s="14" t="n">
        <v>1.1008</v>
      </c>
      <c r="J1030" s="14" t="n">
        <v>10.1065</v>
      </c>
      <c r="K1030" s="14" t="n">
        <v>1293.96</v>
      </c>
      <c r="L1030" s="14" t="n">
        <v>0.85515</v>
      </c>
      <c r="M1030" s="14" t="n">
        <v>7.7454</v>
      </c>
      <c r="N1030" s="14" t="n">
        <v>4.6295</v>
      </c>
      <c r="O1030" s="14" t="n">
        <v>119.88</v>
      </c>
      <c r="P1030" s="14" t="n">
        <v>9.1811</v>
      </c>
    </row>
    <row r="1031" customFormat="false" ht="15" hidden="false" customHeight="false" outlineLevel="0" collapsed="false">
      <c r="A1031" s="13" t="n">
        <v>43795</v>
      </c>
      <c r="B1031" s="14" t="n">
        <v>1175.59</v>
      </c>
      <c r="C1031" s="14" t="n">
        <v>9.1725</v>
      </c>
      <c r="D1031" s="14" t="n">
        <v>1.285</v>
      </c>
      <c r="E1031" s="14" t="n">
        <v>1.1012</v>
      </c>
      <c r="F1031" s="14" t="n">
        <v>7.0319</v>
      </c>
      <c r="G1031" s="14" t="n">
        <v>4.2594</v>
      </c>
      <c r="H1031" s="14" t="n">
        <v>109.11</v>
      </c>
      <c r="I1031" s="14" t="n">
        <v>1.102</v>
      </c>
      <c r="J1031" s="14" t="n">
        <v>10.0968</v>
      </c>
      <c r="K1031" s="14" t="n">
        <v>1296.87</v>
      </c>
      <c r="L1031" s="14" t="n">
        <v>0.85715</v>
      </c>
      <c r="M1031" s="14" t="n">
        <v>7.7576</v>
      </c>
      <c r="N1031" s="14" t="n">
        <v>4.6915</v>
      </c>
      <c r="O1031" s="14" t="n">
        <v>120.09</v>
      </c>
      <c r="P1031" s="14" t="n">
        <v>9.1623</v>
      </c>
    </row>
    <row r="1032" customFormat="false" ht="15" hidden="false" customHeight="false" outlineLevel="0" collapsed="false">
      <c r="A1032" s="13" t="n">
        <v>43796</v>
      </c>
      <c r="B1032" s="14" t="n">
        <v>1176.89</v>
      </c>
      <c r="C1032" s="14" t="n">
        <v>9.1659</v>
      </c>
      <c r="D1032" s="14" t="n">
        <v>1.2881</v>
      </c>
      <c r="E1032" s="14" t="n">
        <v>1.1002</v>
      </c>
      <c r="F1032" s="14" t="n">
        <v>7.028</v>
      </c>
      <c r="G1032" s="14" t="n">
        <v>4.2569</v>
      </c>
      <c r="H1032" s="14" t="n">
        <v>109.38</v>
      </c>
      <c r="I1032" s="14" t="n">
        <v>1.1009</v>
      </c>
      <c r="J1032" s="14" t="n">
        <v>10.102</v>
      </c>
      <c r="K1032" s="14" t="n">
        <v>1295.88</v>
      </c>
      <c r="L1032" s="14" t="n">
        <v>0.8545</v>
      </c>
      <c r="M1032" s="14" t="n">
        <v>7.7353</v>
      </c>
      <c r="N1032" s="14" t="n">
        <v>4.6743</v>
      </c>
      <c r="O1032" s="14" t="n">
        <v>120.18</v>
      </c>
      <c r="P1032" s="14" t="n">
        <v>9.1761</v>
      </c>
    </row>
    <row r="1033" customFormat="false" ht="15" hidden="false" customHeight="false" outlineLevel="0" collapsed="false">
      <c r="A1033" s="13" t="n">
        <v>43797</v>
      </c>
      <c r="I1033" s="14" t="n">
        <v>1.1005</v>
      </c>
      <c r="J1033" s="14" t="n">
        <v>10.113</v>
      </c>
      <c r="K1033" s="14" t="n">
        <v>1298</v>
      </c>
      <c r="L1033" s="14" t="n">
        <v>0.8518</v>
      </c>
      <c r="M1033" s="14" t="n">
        <v>7.7416</v>
      </c>
      <c r="N1033" s="14" t="n">
        <v>4.6793</v>
      </c>
      <c r="O1033" s="14" t="n">
        <v>120.5</v>
      </c>
      <c r="P1033" s="14" t="n">
        <v>9.1895</v>
      </c>
    </row>
    <row r="1034" customFormat="false" ht="15" hidden="false" customHeight="false" outlineLevel="0" collapsed="false">
      <c r="A1034" s="13" t="n">
        <v>43798</v>
      </c>
      <c r="B1034" s="14" t="n">
        <v>1181.33</v>
      </c>
      <c r="C1034" s="14" t="n">
        <v>9.2156</v>
      </c>
      <c r="D1034" s="14" t="n">
        <v>1.2939</v>
      </c>
      <c r="E1034" s="14" t="n">
        <v>1.1019</v>
      </c>
      <c r="F1034" s="14" t="n">
        <v>7.0308</v>
      </c>
      <c r="G1034" s="14" t="n">
        <v>4.2272</v>
      </c>
      <c r="H1034" s="14" t="n">
        <v>109.47</v>
      </c>
      <c r="I1034" s="14" t="n">
        <v>1.0982</v>
      </c>
      <c r="J1034" s="14" t="n">
        <v>10.1045</v>
      </c>
      <c r="K1034" s="14" t="n">
        <v>1295.81</v>
      </c>
      <c r="L1034" s="14" t="n">
        <v>0.85225</v>
      </c>
      <c r="M1034" s="14" t="n">
        <v>7.7172</v>
      </c>
      <c r="N1034" s="14" t="n">
        <v>4.6459</v>
      </c>
      <c r="O1034" s="14" t="n">
        <v>120.43</v>
      </c>
      <c r="P1034" s="14" t="n">
        <v>9.201</v>
      </c>
    </row>
    <row r="1035" customFormat="false" ht="15" hidden="false" customHeight="false" outlineLevel="0" collapsed="false">
      <c r="A1035" s="13" t="n">
        <v>43801</v>
      </c>
      <c r="B1035" s="14" t="n">
        <v>1182.84</v>
      </c>
      <c r="C1035" s="14" t="n">
        <v>9.1554</v>
      </c>
      <c r="D1035" s="14" t="n">
        <v>1.2936</v>
      </c>
      <c r="E1035" s="14" t="n">
        <v>1.1075</v>
      </c>
      <c r="F1035" s="14" t="n">
        <v>7.038</v>
      </c>
      <c r="G1035" s="14" t="n">
        <v>4.22</v>
      </c>
      <c r="H1035" s="14" t="n">
        <v>109.09</v>
      </c>
      <c r="I1035" s="14" t="n">
        <v>1.1023</v>
      </c>
      <c r="J1035" s="14" t="n">
        <v>10.1353</v>
      </c>
      <c r="K1035" s="14" t="n">
        <v>1306.52</v>
      </c>
      <c r="L1035" s="14" t="n">
        <v>0.85218</v>
      </c>
      <c r="M1035" s="14" t="n">
        <v>7.7625</v>
      </c>
      <c r="N1035" s="14" t="n">
        <v>4.6654</v>
      </c>
      <c r="O1035" s="14" t="n">
        <v>120.75</v>
      </c>
      <c r="P1035" s="14" t="n">
        <v>9.1947</v>
      </c>
    </row>
    <row r="1036" customFormat="false" ht="15" hidden="false" customHeight="false" outlineLevel="0" collapsed="false">
      <c r="A1036" s="13" t="n">
        <v>43802</v>
      </c>
      <c r="B1036" s="14" t="n">
        <v>1190.31</v>
      </c>
      <c r="C1036" s="14" t="n">
        <v>9.1772</v>
      </c>
      <c r="D1036" s="14" t="n">
        <v>1.3002</v>
      </c>
      <c r="E1036" s="14" t="n">
        <v>1.1089</v>
      </c>
      <c r="F1036" s="14" t="n">
        <v>7.0609</v>
      </c>
      <c r="G1036" s="14" t="n">
        <v>4.1928</v>
      </c>
      <c r="H1036" s="14" t="n">
        <v>108.53</v>
      </c>
      <c r="I1036" s="14" t="n">
        <v>1.1071</v>
      </c>
      <c r="J1036" s="14" t="n">
        <v>10.1668</v>
      </c>
      <c r="K1036" s="14" t="n">
        <v>1319.15</v>
      </c>
      <c r="L1036" s="14" t="n">
        <v>0.852</v>
      </c>
      <c r="M1036" s="14" t="n">
        <v>7.814</v>
      </c>
      <c r="N1036" s="14" t="n">
        <v>4.6545</v>
      </c>
      <c r="O1036" s="14" t="n">
        <v>120.39</v>
      </c>
      <c r="P1036" s="14" t="n">
        <v>9.1833</v>
      </c>
    </row>
    <row r="1037" customFormat="false" ht="15" hidden="false" customHeight="false" outlineLevel="0" collapsed="false">
      <c r="A1037" s="13" t="n">
        <v>43803</v>
      </c>
      <c r="B1037" s="14" t="n">
        <v>1194.45</v>
      </c>
      <c r="C1037" s="14" t="n">
        <v>9.1729</v>
      </c>
      <c r="D1037" s="14" t="n">
        <v>1.3095</v>
      </c>
      <c r="E1037" s="14" t="n">
        <v>1.1076</v>
      </c>
      <c r="F1037" s="14" t="n">
        <v>7.0489</v>
      </c>
      <c r="G1037" s="14" t="n">
        <v>4.1886</v>
      </c>
      <c r="H1037" s="14" t="n">
        <v>108.87</v>
      </c>
      <c r="I1037" s="14" t="n">
        <v>1.1081</v>
      </c>
      <c r="J1037" s="14" t="n">
        <v>10.1723</v>
      </c>
      <c r="K1037" s="14" t="n">
        <v>1321.2</v>
      </c>
      <c r="L1037" s="14" t="n">
        <v>0.8461</v>
      </c>
      <c r="M1037" s="14" t="n">
        <v>7.8149</v>
      </c>
      <c r="N1037" s="14" t="n">
        <v>4.6521</v>
      </c>
      <c r="O1037" s="14" t="n">
        <v>120.45</v>
      </c>
      <c r="P1037" s="14" t="n">
        <v>9.1799</v>
      </c>
    </row>
    <row r="1038" customFormat="false" ht="15" hidden="false" customHeight="false" outlineLevel="0" collapsed="false">
      <c r="A1038" s="13" t="n">
        <v>43804</v>
      </c>
      <c r="B1038" s="14" t="n">
        <v>1189.23</v>
      </c>
      <c r="C1038" s="14" t="n">
        <v>9.1317</v>
      </c>
      <c r="D1038" s="14" t="n">
        <v>1.3165</v>
      </c>
      <c r="E1038" s="14" t="n">
        <v>1.1104</v>
      </c>
      <c r="F1038" s="14" t="n">
        <v>7.0445</v>
      </c>
      <c r="G1038" s="14" t="n">
        <v>4.1912</v>
      </c>
      <c r="H1038" s="14" t="n">
        <v>108.69</v>
      </c>
      <c r="I1038" s="14" t="n">
        <v>1.1094</v>
      </c>
      <c r="J1038" s="14" t="n">
        <v>10.1613</v>
      </c>
      <c r="K1038" s="14" t="n">
        <v>1320.69</v>
      </c>
      <c r="L1038" s="14" t="n">
        <v>0.8447</v>
      </c>
      <c r="M1038" s="14" t="n">
        <v>7.8125</v>
      </c>
      <c r="N1038" s="14" t="n">
        <v>4.6794</v>
      </c>
      <c r="O1038" s="14" t="n">
        <v>120.69</v>
      </c>
      <c r="P1038" s="14" t="n">
        <v>9.1593</v>
      </c>
    </row>
    <row r="1039" customFormat="false" ht="15" hidden="false" customHeight="false" outlineLevel="0" collapsed="false">
      <c r="A1039" s="13" t="n">
        <v>43805</v>
      </c>
      <c r="B1039" s="14" t="n">
        <v>1189.86</v>
      </c>
      <c r="C1039" s="14" t="n">
        <v>9.1347</v>
      </c>
      <c r="D1039" s="14" t="n">
        <v>1.3127</v>
      </c>
      <c r="E1039" s="14" t="n">
        <v>1.1052</v>
      </c>
      <c r="F1039" s="14" t="n">
        <v>7.0348</v>
      </c>
      <c r="G1039" s="14" t="n">
        <v>4.1749</v>
      </c>
      <c r="H1039" s="14" t="n">
        <v>108.66</v>
      </c>
      <c r="I1039" s="14" t="n">
        <v>1.1094</v>
      </c>
      <c r="J1039" s="14" t="n">
        <v>10.1235</v>
      </c>
      <c r="K1039" s="14" t="n">
        <v>1317.31</v>
      </c>
      <c r="L1039" s="14" t="n">
        <v>0.84453</v>
      </c>
      <c r="M1039" s="14" t="n">
        <v>7.7993</v>
      </c>
      <c r="N1039" s="14" t="n">
        <v>4.6402</v>
      </c>
      <c r="O1039" s="14" t="n">
        <v>120.44</v>
      </c>
      <c r="P1039" s="14" t="n">
        <v>9.1252</v>
      </c>
    </row>
    <row r="1040" customFormat="false" ht="15" hidden="false" customHeight="false" outlineLevel="0" collapsed="false">
      <c r="A1040" s="13" t="n">
        <v>43808</v>
      </c>
      <c r="B1040" s="14" t="n">
        <v>1189.45</v>
      </c>
      <c r="C1040" s="14" t="n">
        <v>9.1445</v>
      </c>
      <c r="D1040" s="14" t="n">
        <v>1.3157</v>
      </c>
      <c r="E1040" s="14" t="n">
        <v>1.1067</v>
      </c>
      <c r="F1040" s="14" t="n">
        <v>7.0389</v>
      </c>
      <c r="G1040" s="14" t="n">
        <v>4.1299</v>
      </c>
      <c r="H1040" s="14" t="n">
        <v>108.59</v>
      </c>
      <c r="I1040" s="14" t="n">
        <v>1.1075</v>
      </c>
      <c r="J1040" s="14" t="n">
        <v>10.1238</v>
      </c>
      <c r="K1040" s="14" t="n">
        <v>1319.29</v>
      </c>
      <c r="L1040" s="14" t="n">
        <v>0.84195</v>
      </c>
      <c r="M1040" s="14" t="n">
        <v>7.796</v>
      </c>
      <c r="N1040" s="14" t="n">
        <v>4.5903</v>
      </c>
      <c r="O1040" s="14" t="n">
        <v>120.15</v>
      </c>
      <c r="P1040" s="14" t="n">
        <v>9.1411</v>
      </c>
    </row>
    <row r="1041" customFormat="false" ht="15" hidden="false" customHeight="false" outlineLevel="0" collapsed="false">
      <c r="A1041" s="13" t="n">
        <v>43809</v>
      </c>
      <c r="B1041" s="14" t="n">
        <v>1191.01</v>
      </c>
      <c r="C1041" s="14" t="n">
        <v>9.172</v>
      </c>
      <c r="D1041" s="14" t="n">
        <v>1.3178</v>
      </c>
      <c r="E1041" s="14" t="n">
        <v>1.109</v>
      </c>
      <c r="F1041" s="14" t="n">
        <v>7.0328</v>
      </c>
      <c r="G1041" s="14" t="n">
        <v>4.1412</v>
      </c>
      <c r="H1041" s="14" t="n">
        <v>108.73</v>
      </c>
      <c r="I1041" s="14" t="n">
        <v>1.1077</v>
      </c>
      <c r="J1041" s="14" t="n">
        <v>10.1823</v>
      </c>
      <c r="K1041" s="14" t="n">
        <v>1320.74</v>
      </c>
      <c r="L1041" s="14" t="n">
        <v>0.84073</v>
      </c>
      <c r="M1041" s="14" t="n">
        <v>7.7968</v>
      </c>
      <c r="N1041" s="14" t="n">
        <v>4.5891</v>
      </c>
      <c r="O1041" s="14" t="n">
        <v>120.27</v>
      </c>
      <c r="P1041" s="14" t="n">
        <v>9.1923</v>
      </c>
    </row>
    <row r="1042" customFormat="false" ht="15" hidden="false" customHeight="false" outlineLevel="0" collapsed="false">
      <c r="A1042" s="13" t="n">
        <v>43810</v>
      </c>
      <c r="B1042" s="14" t="n">
        <v>1192.2</v>
      </c>
      <c r="C1042" s="14" t="n">
        <v>9.1524</v>
      </c>
      <c r="D1042" s="14" t="n">
        <v>1.3176</v>
      </c>
      <c r="E1042" s="14" t="n">
        <v>1.1092</v>
      </c>
      <c r="F1042" s="14" t="n">
        <v>7.0384</v>
      </c>
      <c r="G1042" s="14" t="n">
        <v>4.1179</v>
      </c>
      <c r="H1042" s="14" t="n">
        <v>108.67</v>
      </c>
      <c r="I1042" s="14" t="n">
        <v>1.1075</v>
      </c>
      <c r="J1042" s="14" t="n">
        <v>10.1495</v>
      </c>
      <c r="K1042" s="14" t="n">
        <v>1321.5</v>
      </c>
      <c r="L1042" s="14" t="n">
        <v>0.84245</v>
      </c>
      <c r="M1042" s="14" t="n">
        <v>7.796</v>
      </c>
      <c r="N1042" s="14" t="n">
        <v>4.559</v>
      </c>
      <c r="O1042" s="14" t="n">
        <v>120.44</v>
      </c>
      <c r="P1042" s="14" t="n">
        <v>9.1643</v>
      </c>
    </row>
    <row r="1043" customFormat="false" ht="15" hidden="false" customHeight="false" outlineLevel="0" collapsed="false">
      <c r="A1043" s="13" t="n">
        <v>43811</v>
      </c>
      <c r="B1043" s="14" t="n">
        <v>1186.41</v>
      </c>
      <c r="C1043" s="14" t="n">
        <v>9.1001</v>
      </c>
      <c r="D1043" s="14" t="n">
        <v>1.3133</v>
      </c>
      <c r="E1043" s="14" t="n">
        <v>1.1115</v>
      </c>
      <c r="F1043" s="14" t="n">
        <v>6.9925</v>
      </c>
      <c r="G1043" s="14" t="n">
        <v>4.099</v>
      </c>
      <c r="H1043" s="14" t="n">
        <v>109.16</v>
      </c>
      <c r="I1043" s="14" t="n">
        <v>1.1137</v>
      </c>
      <c r="J1043" s="14" t="n">
        <v>10.135</v>
      </c>
      <c r="K1043" s="14" t="n">
        <v>1323.39</v>
      </c>
      <c r="L1043" s="14" t="n">
        <v>0.8456</v>
      </c>
      <c r="M1043" s="14" t="n">
        <v>7.8374</v>
      </c>
      <c r="N1043" s="14" t="n">
        <v>4.5788</v>
      </c>
      <c r="O1043" s="14" t="n">
        <v>120.95</v>
      </c>
      <c r="P1043" s="14" t="n">
        <v>9.1003</v>
      </c>
    </row>
    <row r="1044" customFormat="false" ht="15" hidden="false" customHeight="false" outlineLevel="0" collapsed="false">
      <c r="A1044" s="13" t="n">
        <v>43812</v>
      </c>
      <c r="B1044" s="14" t="n">
        <v>1171.97</v>
      </c>
      <c r="C1044" s="14" t="n">
        <v>9.048</v>
      </c>
      <c r="D1044" s="14" t="n">
        <v>1.3349</v>
      </c>
      <c r="E1044" s="14" t="n">
        <v>1.1128</v>
      </c>
      <c r="F1044" s="14" t="n">
        <v>6.9925</v>
      </c>
      <c r="G1044" s="14" t="n">
        <v>4.1065</v>
      </c>
      <c r="H1044" s="14" t="n">
        <v>109.28</v>
      </c>
      <c r="I1044" s="14" t="n">
        <v>1.1174</v>
      </c>
      <c r="J1044" s="14" t="n">
        <v>10.063</v>
      </c>
      <c r="K1044" s="14" t="n">
        <v>1308.97</v>
      </c>
      <c r="L1044" s="14" t="n">
        <v>0.83508</v>
      </c>
      <c r="M1044" s="14" t="n">
        <v>7.79</v>
      </c>
      <c r="N1044" s="14" t="n">
        <v>4.5664</v>
      </c>
      <c r="O1044" s="14" t="n">
        <v>122.43</v>
      </c>
      <c r="P1044" s="14" t="n">
        <v>9.0057</v>
      </c>
    </row>
    <row r="1045" customFormat="false" ht="15" hidden="false" customHeight="false" outlineLevel="0" collapsed="false">
      <c r="A1045" s="13" t="n">
        <v>43815</v>
      </c>
      <c r="B1045" s="14" t="n">
        <v>1171.8</v>
      </c>
      <c r="C1045" s="14" t="n">
        <v>9.0134</v>
      </c>
      <c r="D1045" s="14" t="n">
        <v>1.333</v>
      </c>
      <c r="E1045" s="14" t="n">
        <v>1.1139</v>
      </c>
      <c r="F1045" s="14" t="n">
        <v>6.9921</v>
      </c>
      <c r="G1045" s="14" t="n">
        <v>4.0681</v>
      </c>
      <c r="H1045" s="14" t="n">
        <v>109.64</v>
      </c>
      <c r="I1045" s="14" t="n">
        <v>1.1146</v>
      </c>
      <c r="J1045" s="14" t="n">
        <v>10.028</v>
      </c>
      <c r="K1045" s="14" t="n">
        <v>1304.67</v>
      </c>
      <c r="L1045" s="14" t="n">
        <v>0.83415</v>
      </c>
      <c r="M1045" s="14" t="n">
        <v>7.8025</v>
      </c>
      <c r="N1045" s="14" t="n">
        <v>4.5491</v>
      </c>
      <c r="O1045" s="14" t="n">
        <v>121.97</v>
      </c>
      <c r="P1045" s="14" t="n">
        <v>8.9969</v>
      </c>
    </row>
    <row r="1046" customFormat="false" ht="15" hidden="false" customHeight="false" outlineLevel="0" collapsed="false">
      <c r="A1046" s="13" t="n">
        <v>43816</v>
      </c>
      <c r="B1046" s="14" t="n">
        <v>1165.81</v>
      </c>
      <c r="C1046" s="14" t="n">
        <v>9.0159</v>
      </c>
      <c r="D1046" s="14" t="n">
        <v>1.3116</v>
      </c>
      <c r="E1046" s="14" t="n">
        <v>1.1148</v>
      </c>
      <c r="F1046" s="14" t="n">
        <v>6.9967</v>
      </c>
      <c r="G1046" s="14" t="n">
        <v>4.0673</v>
      </c>
      <c r="H1046" s="14" t="n">
        <v>109.52</v>
      </c>
      <c r="I1046" s="14" t="n">
        <v>1.1162</v>
      </c>
      <c r="J1046" s="14" t="n">
        <v>10.0648</v>
      </c>
      <c r="K1046" s="14" t="n">
        <v>1299.38</v>
      </c>
      <c r="L1046" s="14" t="n">
        <v>0.84748</v>
      </c>
      <c r="M1046" s="14" t="n">
        <v>7.809</v>
      </c>
      <c r="N1046" s="14" t="n">
        <v>4.5409</v>
      </c>
      <c r="O1046" s="14" t="n">
        <v>122.31</v>
      </c>
      <c r="P1046" s="14" t="n">
        <v>9.017</v>
      </c>
    </row>
    <row r="1047" customFormat="false" ht="15" hidden="false" customHeight="false" outlineLevel="0" collapsed="false">
      <c r="A1047" s="13" t="n">
        <v>43817</v>
      </c>
      <c r="B1047" s="14" t="n">
        <v>1168.02</v>
      </c>
      <c r="C1047" s="14" t="n">
        <v>9.0203</v>
      </c>
      <c r="D1047" s="14" t="n">
        <v>1.3078</v>
      </c>
      <c r="E1047" s="14" t="n">
        <v>1.1113</v>
      </c>
      <c r="F1047" s="14" t="n">
        <v>7.0029</v>
      </c>
      <c r="G1047" s="14" t="n">
        <v>4.0624</v>
      </c>
      <c r="H1047" s="14" t="n">
        <v>109.58</v>
      </c>
      <c r="I1047" s="14" t="n">
        <v>1.1115</v>
      </c>
      <c r="J1047" s="14" t="n">
        <v>10.0353</v>
      </c>
      <c r="K1047" s="14" t="n">
        <v>1296.56</v>
      </c>
      <c r="L1047" s="14" t="n">
        <v>0.85055</v>
      </c>
      <c r="M1047" s="14" t="n">
        <v>7.7783</v>
      </c>
      <c r="N1047" s="14" t="n">
        <v>4.5097</v>
      </c>
      <c r="O1047" s="14" t="n">
        <v>121.81</v>
      </c>
      <c r="P1047" s="14" t="n">
        <v>9.0286</v>
      </c>
    </row>
    <row r="1048" customFormat="false" ht="15" hidden="false" customHeight="false" outlineLevel="0" collapsed="false">
      <c r="A1048" s="13" t="n">
        <v>43818</v>
      </c>
      <c r="B1048" s="14" t="n">
        <v>1165.04</v>
      </c>
      <c r="C1048" s="14" t="n">
        <v>8.9619</v>
      </c>
      <c r="D1048" s="14" t="n">
        <v>1.3034</v>
      </c>
      <c r="E1048" s="14" t="n">
        <v>1.1128</v>
      </c>
      <c r="F1048" s="14" t="n">
        <v>7.0097</v>
      </c>
      <c r="G1048" s="14" t="n">
        <v>4.058</v>
      </c>
      <c r="H1048" s="14" t="n">
        <v>109.23</v>
      </c>
      <c r="I1048" s="14" t="n">
        <v>1.1117</v>
      </c>
      <c r="J1048" s="14" t="n">
        <v>9.9785</v>
      </c>
      <c r="K1048" s="14" t="n">
        <v>1296.6</v>
      </c>
      <c r="L1048" s="14" t="n">
        <v>0.85073</v>
      </c>
      <c r="M1048" s="14" t="n">
        <v>7.7931</v>
      </c>
      <c r="N1048" s="14" t="n">
        <v>4.5163</v>
      </c>
      <c r="O1048" s="14" t="n">
        <v>121.73</v>
      </c>
      <c r="P1048" s="14" t="n">
        <v>8.9759</v>
      </c>
    </row>
    <row r="1049" customFormat="false" ht="15" hidden="false" customHeight="false" outlineLevel="0" collapsed="false">
      <c r="A1049" s="13" t="n">
        <v>43819</v>
      </c>
      <c r="B1049" s="14" t="n">
        <v>1160.3</v>
      </c>
      <c r="C1049" s="14" t="n">
        <v>8.9673</v>
      </c>
      <c r="D1049" s="14" t="n">
        <v>1.3036</v>
      </c>
      <c r="E1049" s="14" t="n">
        <v>1.1076</v>
      </c>
      <c r="F1049" s="14" t="n">
        <v>7.0063</v>
      </c>
      <c r="G1049" s="14" t="n">
        <v>4.0859</v>
      </c>
      <c r="H1049" s="14" t="n">
        <v>109.45</v>
      </c>
      <c r="I1049" s="14" t="n">
        <v>1.1097</v>
      </c>
      <c r="J1049" s="14" t="n">
        <v>9.9463</v>
      </c>
      <c r="K1049" s="14" t="n">
        <v>1286.58</v>
      </c>
      <c r="L1049" s="14" t="n">
        <v>0.85133</v>
      </c>
      <c r="M1049" s="14" t="n">
        <v>7.7764</v>
      </c>
      <c r="N1049" s="14" t="n">
        <v>4.5175</v>
      </c>
      <c r="O1049" s="14" t="n">
        <v>121.31</v>
      </c>
      <c r="P1049" s="14" t="n">
        <v>8.9631</v>
      </c>
    </row>
    <row r="1050" customFormat="false" ht="15" hidden="false" customHeight="false" outlineLevel="0" collapsed="false">
      <c r="A1050" s="13" t="n">
        <v>43822</v>
      </c>
      <c r="B1050" s="14" t="n">
        <v>1163.64</v>
      </c>
      <c r="C1050" s="14" t="n">
        <v>8.947</v>
      </c>
      <c r="D1050" s="14" t="n">
        <v>1.2917</v>
      </c>
      <c r="E1050" s="14" t="n">
        <v>1.1091</v>
      </c>
      <c r="F1050" s="14" t="n">
        <v>7.0124</v>
      </c>
      <c r="G1050" s="14" t="n">
        <v>4.0621</v>
      </c>
      <c r="H1050" s="14" t="n">
        <v>109.39</v>
      </c>
      <c r="I1050" s="14" t="n">
        <v>1.1075</v>
      </c>
      <c r="J1050" s="14" t="n">
        <v>9.913</v>
      </c>
      <c r="K1050" s="14" t="n">
        <v>1288.52</v>
      </c>
      <c r="L1050" s="14" t="n">
        <v>0.85708</v>
      </c>
      <c r="M1050" s="14" t="n">
        <v>7.7652</v>
      </c>
      <c r="N1050" s="14" t="n">
        <v>4.522</v>
      </c>
      <c r="O1050" s="14" t="n">
        <v>121.18</v>
      </c>
      <c r="P1050" s="14" t="n">
        <v>8.9508</v>
      </c>
    </row>
    <row r="1051" customFormat="false" ht="15" hidden="false" customHeight="false" outlineLevel="0" collapsed="false">
      <c r="A1051" s="13" t="n">
        <v>43823</v>
      </c>
      <c r="B1051" s="14" t="n">
        <v>1163.21</v>
      </c>
      <c r="C1051" s="14" t="n">
        <v>8.9142</v>
      </c>
      <c r="D1051" s="14" t="n">
        <v>1.2955</v>
      </c>
      <c r="E1051" s="14" t="n">
        <v>1.1084</v>
      </c>
      <c r="F1051" s="14" t="n">
        <v>7.0064</v>
      </c>
      <c r="G1051" s="14" t="n">
        <v>4.0833</v>
      </c>
      <c r="H1051" s="14" t="n">
        <v>109.38</v>
      </c>
      <c r="I1051" s="14" t="n">
        <v>1.108</v>
      </c>
      <c r="J1051" s="14" t="n">
        <v>9.9118</v>
      </c>
      <c r="K1051" s="14" t="n">
        <v>1287.71</v>
      </c>
      <c r="L1051" s="14" t="n">
        <v>0.85533</v>
      </c>
      <c r="M1051" s="14" t="n">
        <v>7.7643</v>
      </c>
      <c r="N1051" s="14" t="n">
        <v>4.5246</v>
      </c>
      <c r="O1051" s="14" t="n">
        <v>121.19</v>
      </c>
    </row>
    <row r="1052" customFormat="false" ht="15" hidden="false" customHeight="false" outlineLevel="0" collapsed="false">
      <c r="A1052" s="13" t="n">
        <v>43824</v>
      </c>
    </row>
    <row r="1053" customFormat="false" ht="15" hidden="false" customHeight="false" outlineLevel="0" collapsed="false">
      <c r="A1053" s="13" t="n">
        <v>43825</v>
      </c>
      <c r="B1053" s="14" t="n">
        <v>1161.18</v>
      </c>
      <c r="C1053" s="14" t="n">
        <v>8.8799</v>
      </c>
      <c r="D1053" s="14" t="n">
        <v>1.3007</v>
      </c>
      <c r="E1053" s="14" t="n">
        <v>1.1102</v>
      </c>
      <c r="F1053" s="14" t="n">
        <v>6.9949</v>
      </c>
      <c r="G1053" s="14" t="n">
        <v>4.0602</v>
      </c>
      <c r="H1053" s="14" t="n">
        <v>109.67</v>
      </c>
    </row>
    <row r="1054" customFormat="false" ht="15" hidden="false" customHeight="false" outlineLevel="0" collapsed="false">
      <c r="A1054" s="13" t="n">
        <v>43826</v>
      </c>
      <c r="B1054" s="14" t="n">
        <v>1160.87</v>
      </c>
      <c r="C1054" s="14" t="n">
        <v>8.8291</v>
      </c>
      <c r="D1054" s="14" t="n">
        <v>1.309</v>
      </c>
      <c r="E1054" s="14" t="n">
        <v>1.1174</v>
      </c>
      <c r="F1054" s="14" t="n">
        <v>6.9954</v>
      </c>
      <c r="G1054" s="14" t="n">
        <v>4.0507</v>
      </c>
      <c r="H1054" s="14" t="n">
        <v>109.47</v>
      </c>
      <c r="I1054" s="14" t="n">
        <v>1.1153</v>
      </c>
      <c r="J1054" s="14" t="n">
        <v>9.8578</v>
      </c>
      <c r="K1054" s="14" t="n">
        <v>1294.42</v>
      </c>
      <c r="L1054" s="14" t="n">
        <v>0.8513</v>
      </c>
      <c r="M1054" s="14" t="n">
        <v>7.8025</v>
      </c>
      <c r="N1054" s="14" t="n">
        <v>4.5157</v>
      </c>
      <c r="O1054" s="14" t="n">
        <v>122.23</v>
      </c>
      <c r="P1054" s="14" t="n">
        <v>8.8387</v>
      </c>
    </row>
    <row r="1055" customFormat="false" ht="15" hidden="false" customHeight="false" outlineLevel="0" collapsed="false">
      <c r="A1055" s="13" t="n">
        <v>43829</v>
      </c>
      <c r="B1055" s="14" t="n">
        <v>1155.75</v>
      </c>
      <c r="C1055" s="14" t="n">
        <v>8.7839</v>
      </c>
      <c r="D1055" s="14" t="n">
        <v>1.314</v>
      </c>
      <c r="E1055" s="14" t="n">
        <v>1.1217</v>
      </c>
      <c r="F1055" s="14" t="n">
        <v>6.9864</v>
      </c>
      <c r="G1055" s="14" t="n">
        <v>4.0152</v>
      </c>
      <c r="H1055" s="14" t="n">
        <v>108.85</v>
      </c>
      <c r="I1055" s="14" t="n">
        <v>1.1189</v>
      </c>
      <c r="J1055" s="14" t="n">
        <v>9.846</v>
      </c>
      <c r="K1055" s="14" t="n">
        <v>1294.35</v>
      </c>
      <c r="L1055" s="14" t="n">
        <v>0.85208</v>
      </c>
      <c r="M1055" s="14" t="n">
        <v>7.8175</v>
      </c>
      <c r="N1055" s="14" t="n">
        <v>4.5128</v>
      </c>
      <c r="O1055" s="14" t="n">
        <v>122.19</v>
      </c>
      <c r="P1055" s="14" t="n">
        <v>8.7997</v>
      </c>
    </row>
    <row r="1056" customFormat="false" ht="15" hidden="false" customHeight="false" outlineLevel="0" collapsed="false">
      <c r="A1056" s="13" t="n">
        <v>43830</v>
      </c>
      <c r="B1056" s="14" t="n">
        <v>1155.46</v>
      </c>
      <c r="C1056" s="14" t="n">
        <v>8.7823</v>
      </c>
      <c r="D1056" s="14" t="n">
        <v>1.3269</v>
      </c>
      <c r="E1056" s="14" t="n">
        <v>1.1227</v>
      </c>
      <c r="F1056" s="14" t="n">
        <v>6.9618</v>
      </c>
      <c r="G1056" s="14" t="n">
        <v>4.019</v>
      </c>
      <c r="H1056" s="14" t="n">
        <v>108.67</v>
      </c>
      <c r="I1056" s="14" t="n">
        <v>1.1234</v>
      </c>
      <c r="J1056" s="14" t="n">
        <v>9.8638</v>
      </c>
      <c r="K1056" s="14" t="n">
        <v>1296.28</v>
      </c>
      <c r="L1056" s="14" t="n">
        <v>0.8508</v>
      </c>
      <c r="M1056" s="14" t="n">
        <v>7.8205</v>
      </c>
      <c r="N1056" s="14" t="n">
        <v>4.5157</v>
      </c>
      <c r="O1056" s="14" t="n">
        <v>121.94</v>
      </c>
      <c r="P1056" s="14" t="n">
        <v>8.7803</v>
      </c>
    </row>
    <row r="1057" customFormat="false" ht="15" hidden="false" customHeight="false" outlineLevel="0" collapsed="false">
      <c r="A1057" s="13" t="n">
        <v>43831</v>
      </c>
    </row>
    <row r="1058" customFormat="false" ht="15" hidden="false" customHeight="false" outlineLevel="0" collapsed="false">
      <c r="A1058" s="13" t="n">
        <v>43832</v>
      </c>
      <c r="B1058" s="14" t="n">
        <v>1157.95</v>
      </c>
      <c r="C1058" s="14" t="n">
        <v>8.8074</v>
      </c>
      <c r="D1058" s="14" t="n">
        <v>1.3128</v>
      </c>
      <c r="E1058" s="14" t="n">
        <v>1.1166</v>
      </c>
      <c r="F1058" s="14" t="n">
        <v>6.9642</v>
      </c>
      <c r="G1058" s="14" t="n">
        <v>4.0384</v>
      </c>
      <c r="H1058" s="14" t="n">
        <v>108.43</v>
      </c>
      <c r="I1058" s="14" t="n">
        <v>1.1193</v>
      </c>
      <c r="J1058" s="14" t="n">
        <v>9.8408</v>
      </c>
      <c r="K1058" s="14" t="n">
        <v>1298.24</v>
      </c>
      <c r="L1058" s="14" t="n">
        <v>0.84828</v>
      </c>
      <c r="M1058" s="14" t="n">
        <v>7.7946</v>
      </c>
      <c r="N1058" s="14" t="n">
        <v>4.487</v>
      </c>
      <c r="O1058" s="14" t="n">
        <v>121.75</v>
      </c>
      <c r="P1058" s="14" t="n">
        <v>8.7919</v>
      </c>
    </row>
    <row r="1059" customFormat="false" ht="15" hidden="false" customHeight="false" outlineLevel="0" collapsed="false">
      <c r="A1059" s="13" t="n">
        <v>43833</v>
      </c>
      <c r="B1059" s="14" t="n">
        <v>1165.15</v>
      </c>
      <c r="C1059" s="14" t="n">
        <v>8.8181</v>
      </c>
      <c r="D1059" s="14" t="n">
        <v>1.3091</v>
      </c>
      <c r="E1059" s="14" t="n">
        <v>1.1173</v>
      </c>
      <c r="F1059" s="14" t="n">
        <v>6.9649</v>
      </c>
      <c r="G1059" s="14" t="n">
        <v>4.0378</v>
      </c>
      <c r="H1059" s="14" t="n">
        <v>107.94</v>
      </c>
      <c r="I1059" s="14" t="n">
        <v>1.1147</v>
      </c>
      <c r="J1059" s="14" t="n">
        <v>9.8315</v>
      </c>
      <c r="K1059" s="14" t="n">
        <v>1300.32</v>
      </c>
      <c r="L1059" s="14" t="n">
        <v>0.85115</v>
      </c>
      <c r="M1059" s="14" t="n">
        <v>7.7712</v>
      </c>
      <c r="N1059" s="14" t="n">
        <v>4.5271</v>
      </c>
      <c r="O1059" s="14" t="n">
        <v>120.54</v>
      </c>
      <c r="P1059" s="14" t="n">
        <v>8.8199</v>
      </c>
    </row>
    <row r="1060" customFormat="false" ht="15" hidden="false" customHeight="false" outlineLevel="0" collapsed="false">
      <c r="A1060" s="13" t="n">
        <v>43836</v>
      </c>
      <c r="B1060" s="14" t="n">
        <v>1167.49</v>
      </c>
      <c r="C1060" s="14" t="n">
        <v>8.8034</v>
      </c>
      <c r="D1060" s="14" t="n">
        <v>1.3163</v>
      </c>
      <c r="E1060" s="14" t="n">
        <v>1.1187</v>
      </c>
      <c r="F1060" s="14" t="n">
        <v>6.9749</v>
      </c>
      <c r="G1060" s="14" t="n">
        <v>4.0548</v>
      </c>
      <c r="H1060" s="14" t="n">
        <v>108.36</v>
      </c>
      <c r="I1060" s="14" t="n">
        <v>1.1194</v>
      </c>
      <c r="J1060" s="14" t="n">
        <v>9.8488</v>
      </c>
      <c r="K1060" s="14" t="n">
        <v>1308.83</v>
      </c>
      <c r="L1060" s="14" t="n">
        <v>0.85215</v>
      </c>
      <c r="M1060" s="14" t="n">
        <v>7.8049</v>
      </c>
      <c r="N1060" s="14" t="n">
        <v>4.5461</v>
      </c>
      <c r="O1060" s="14" t="n">
        <v>121.02</v>
      </c>
      <c r="P1060" s="14" t="n">
        <v>8.7983</v>
      </c>
    </row>
    <row r="1061" customFormat="false" ht="15" hidden="false" customHeight="false" outlineLevel="0" collapsed="false">
      <c r="A1061" s="13" t="n">
        <v>43837</v>
      </c>
      <c r="B1061" s="14" t="n">
        <v>1166.21</v>
      </c>
      <c r="C1061" s="14" t="n">
        <v>8.8588</v>
      </c>
      <c r="D1061" s="14" t="n">
        <v>1.3127</v>
      </c>
      <c r="E1061" s="14" t="n">
        <v>1.1138</v>
      </c>
      <c r="F1061" s="14" t="n">
        <v>6.9443</v>
      </c>
      <c r="G1061" s="14" t="n">
        <v>4.0813</v>
      </c>
      <c r="H1061" s="14" t="n">
        <v>108.53</v>
      </c>
      <c r="I1061" s="14" t="n">
        <v>1.1172</v>
      </c>
      <c r="J1061" s="14" t="n">
        <v>9.8548</v>
      </c>
      <c r="K1061" s="14" t="n">
        <v>1302.48</v>
      </c>
      <c r="L1061" s="14" t="n">
        <v>0.85183</v>
      </c>
      <c r="M1061" s="14" t="n">
        <v>7.7562</v>
      </c>
      <c r="N1061" s="14" t="n">
        <v>4.5625</v>
      </c>
      <c r="O1061" s="14" t="n">
        <v>121.15</v>
      </c>
      <c r="P1061" s="14" t="n">
        <v>8.821</v>
      </c>
    </row>
    <row r="1062" customFormat="false" ht="15" hidden="false" customHeight="false" outlineLevel="0" collapsed="false">
      <c r="A1062" s="13" t="n">
        <v>43838</v>
      </c>
      <c r="B1062" s="14" t="n">
        <v>1170.61</v>
      </c>
      <c r="C1062" s="14" t="n">
        <v>8.8695</v>
      </c>
      <c r="D1062" s="14" t="n">
        <v>1.311</v>
      </c>
      <c r="E1062" s="14" t="n">
        <v>1.1117</v>
      </c>
      <c r="F1062" s="14" t="n">
        <v>6.9447</v>
      </c>
      <c r="G1062" s="14" t="n">
        <v>4.0463</v>
      </c>
      <c r="H1062" s="14" t="n">
        <v>109.03</v>
      </c>
      <c r="I1062" s="14" t="n">
        <v>1.1115</v>
      </c>
      <c r="J1062" s="14" t="n">
        <v>9.8508</v>
      </c>
      <c r="K1062" s="14" t="n">
        <v>1297.37</v>
      </c>
      <c r="L1062" s="14" t="n">
        <v>0.84868</v>
      </c>
      <c r="M1062" s="14" t="n">
        <v>7.7184</v>
      </c>
      <c r="N1062" s="14" t="n">
        <v>4.5092</v>
      </c>
      <c r="O1062" s="14" t="n">
        <v>120.86</v>
      </c>
      <c r="P1062" s="14" t="n">
        <v>8.8626</v>
      </c>
    </row>
    <row r="1063" customFormat="false" ht="15" hidden="false" customHeight="false" outlineLevel="0" collapsed="false">
      <c r="A1063" s="13" t="n">
        <v>43839</v>
      </c>
      <c r="B1063" s="14" t="n">
        <v>1158.63</v>
      </c>
      <c r="C1063" s="14" t="n">
        <v>8.8769</v>
      </c>
      <c r="D1063" s="14" t="n">
        <v>1.3069</v>
      </c>
      <c r="E1063" s="14" t="n">
        <v>1.1106</v>
      </c>
      <c r="F1063" s="14" t="n">
        <v>6.9309</v>
      </c>
      <c r="G1063" s="14" t="n">
        <v>4.0747</v>
      </c>
      <c r="H1063" s="14" t="n">
        <v>109.47</v>
      </c>
      <c r="I1063" s="14" t="n">
        <v>1.111</v>
      </c>
      <c r="J1063" s="14" t="n">
        <v>9.8665</v>
      </c>
      <c r="K1063" s="14" t="n">
        <v>1288.28</v>
      </c>
      <c r="L1063" s="14" t="n">
        <v>0.85285</v>
      </c>
      <c r="M1063" s="14" t="n">
        <v>7.7011</v>
      </c>
      <c r="N1063" s="14" t="n">
        <v>4.5194</v>
      </c>
      <c r="O1063" s="14" t="n">
        <v>121.54</v>
      </c>
      <c r="P1063" s="14" t="n">
        <v>8.8807</v>
      </c>
    </row>
    <row r="1064" customFormat="false" ht="15" hidden="false" customHeight="false" outlineLevel="0" collapsed="false">
      <c r="A1064" s="13" t="n">
        <v>43840</v>
      </c>
      <c r="B1064" s="14" t="n">
        <v>1161.18</v>
      </c>
      <c r="C1064" s="14" t="n">
        <v>8.8857</v>
      </c>
      <c r="D1064" s="14" t="n">
        <v>1.306</v>
      </c>
      <c r="E1064" s="14" t="n">
        <v>1.1119</v>
      </c>
      <c r="F1064" s="14" t="n">
        <v>6.9178</v>
      </c>
      <c r="G1064" s="14" t="n">
        <v>4.0771</v>
      </c>
      <c r="H1064" s="14" t="n">
        <v>109.5</v>
      </c>
      <c r="I1064" s="14" t="n">
        <v>1.1091</v>
      </c>
      <c r="J1064" s="14" t="n">
        <v>9.8745</v>
      </c>
      <c r="K1064" s="14" t="n">
        <v>1286</v>
      </c>
      <c r="L1064" s="14" t="n">
        <v>0.8481</v>
      </c>
      <c r="M1064" s="14" t="n">
        <v>7.6773</v>
      </c>
      <c r="N1064" s="14" t="n">
        <v>4.5188</v>
      </c>
      <c r="O1064" s="14" t="n">
        <v>121.6</v>
      </c>
      <c r="P1064" s="14" t="n">
        <v>8.9032</v>
      </c>
    </row>
    <row r="1065" customFormat="false" ht="15" hidden="false" customHeight="false" outlineLevel="0" collapsed="false">
      <c r="A1065" s="13" t="n">
        <v>43843</v>
      </c>
      <c r="B1065" s="14" t="n">
        <v>1156.25</v>
      </c>
      <c r="C1065" s="14" t="n">
        <v>8.8912</v>
      </c>
      <c r="D1065" s="14" t="n">
        <v>1.2983</v>
      </c>
      <c r="E1065" s="14" t="n">
        <v>1.1138</v>
      </c>
      <c r="F1065" s="14" t="n">
        <v>6.8924</v>
      </c>
      <c r="G1065" s="14" t="n">
        <v>4.1351</v>
      </c>
      <c r="H1065" s="14" t="n">
        <v>109.93</v>
      </c>
      <c r="I1065" s="14" t="n">
        <v>1.1126</v>
      </c>
      <c r="J1065" s="14" t="n">
        <v>9.8955</v>
      </c>
      <c r="K1065" s="14" t="n">
        <v>1288.09</v>
      </c>
      <c r="L1065" s="14" t="n">
        <v>0.8576</v>
      </c>
      <c r="M1065" s="14" t="n">
        <v>7.6697</v>
      </c>
      <c r="N1065" s="14" t="n">
        <v>4.5832</v>
      </c>
      <c r="O1065" s="14" t="n">
        <v>122.25</v>
      </c>
      <c r="P1065" s="14" t="n">
        <v>8.894</v>
      </c>
    </row>
    <row r="1066" customFormat="false" ht="15" hidden="false" customHeight="false" outlineLevel="0" collapsed="false">
      <c r="A1066" s="13" t="n">
        <v>43844</v>
      </c>
      <c r="B1066" s="14" t="n">
        <v>1156.28</v>
      </c>
      <c r="C1066" s="14" t="n">
        <v>8.871</v>
      </c>
      <c r="D1066" s="14" t="n">
        <v>1.3018</v>
      </c>
      <c r="E1066" s="14" t="n">
        <v>1.113</v>
      </c>
      <c r="F1066" s="14" t="n">
        <v>6.8837</v>
      </c>
      <c r="G1066" s="14" t="n">
        <v>4.1409</v>
      </c>
      <c r="H1066" s="14" t="n">
        <v>110.05</v>
      </c>
      <c r="I1066" s="14" t="n">
        <v>1.1115</v>
      </c>
      <c r="J1066" s="14" t="n">
        <v>9.892</v>
      </c>
      <c r="K1066" s="14" t="n">
        <v>1285.74</v>
      </c>
      <c r="L1066" s="14" t="n">
        <v>0.85618</v>
      </c>
      <c r="M1066" s="14" t="n">
        <v>7.6536</v>
      </c>
      <c r="N1066" s="14" t="n">
        <v>4.6056</v>
      </c>
      <c r="O1066" s="14" t="n">
        <v>122.32</v>
      </c>
      <c r="P1066" s="14" t="n">
        <v>8.8997</v>
      </c>
    </row>
    <row r="1067" customFormat="false" ht="15" hidden="false" customHeight="false" outlineLevel="0" collapsed="false">
      <c r="A1067" s="13" t="n">
        <v>43845</v>
      </c>
      <c r="B1067" s="14" t="n">
        <v>1156.84</v>
      </c>
      <c r="C1067" s="14" t="n">
        <v>8.8575</v>
      </c>
      <c r="D1067" s="14" t="n">
        <v>1.303</v>
      </c>
      <c r="E1067" s="14" t="n">
        <v>1.116</v>
      </c>
      <c r="F1067" s="14" t="n">
        <v>6.8899</v>
      </c>
      <c r="G1067" s="14" t="n">
        <v>4.1773</v>
      </c>
      <c r="H1067" s="14" t="n">
        <v>109.94</v>
      </c>
      <c r="I1067" s="14" t="n">
        <v>1.1142</v>
      </c>
      <c r="J1067" s="14" t="n">
        <v>9.882</v>
      </c>
      <c r="K1067" s="14" t="n">
        <v>1289.22</v>
      </c>
      <c r="L1067" s="14" t="n">
        <v>0.85683</v>
      </c>
      <c r="M1067" s="14" t="n">
        <v>7.6746</v>
      </c>
      <c r="N1067" s="14" t="n">
        <v>4.635</v>
      </c>
      <c r="O1067" s="14" t="n">
        <v>122.43</v>
      </c>
      <c r="P1067" s="14" t="n">
        <v>8.8691</v>
      </c>
    </row>
    <row r="1068" customFormat="false" ht="15" hidden="false" customHeight="false" outlineLevel="0" collapsed="false">
      <c r="A1068" s="13" t="n">
        <v>43846</v>
      </c>
      <c r="B1068" s="14" t="n">
        <v>1160.86</v>
      </c>
      <c r="C1068" s="14" t="n">
        <v>8.8821</v>
      </c>
      <c r="D1068" s="14" t="n">
        <v>1.3076</v>
      </c>
      <c r="E1068" s="14" t="n">
        <v>1.1131</v>
      </c>
      <c r="F1068" s="14" t="n">
        <v>6.8769</v>
      </c>
      <c r="G1068" s="14" t="n">
        <v>4.1903</v>
      </c>
      <c r="H1068" s="14" t="n">
        <v>110.16</v>
      </c>
      <c r="I1068" s="14" t="n">
        <v>1.1169</v>
      </c>
      <c r="J1068" s="14" t="n">
        <v>9.9058</v>
      </c>
      <c r="K1068" s="14" t="n">
        <v>1293.87</v>
      </c>
      <c r="L1068" s="14" t="n">
        <v>0.8547</v>
      </c>
      <c r="M1068" s="14" t="n">
        <v>7.6837</v>
      </c>
      <c r="N1068" s="14" t="n">
        <v>4.6519</v>
      </c>
      <c r="O1068" s="14" t="n">
        <v>122.8</v>
      </c>
      <c r="P1068" s="14" t="n">
        <v>8.869</v>
      </c>
    </row>
    <row r="1069" customFormat="false" ht="15" hidden="false" customHeight="false" outlineLevel="0" collapsed="false">
      <c r="A1069" s="13" t="n">
        <v>43847</v>
      </c>
      <c r="B1069" s="14" t="n">
        <v>1159.08</v>
      </c>
      <c r="C1069" s="14" t="n">
        <v>8.9133</v>
      </c>
      <c r="D1069" s="14" t="n">
        <v>1.3029</v>
      </c>
      <c r="E1069" s="14" t="n">
        <v>1.1093</v>
      </c>
      <c r="F1069" s="14" t="n">
        <v>6.8589</v>
      </c>
      <c r="G1069" s="14" t="n">
        <v>4.1857</v>
      </c>
      <c r="H1069" s="14" t="n">
        <v>110.16</v>
      </c>
      <c r="I1069" s="14" t="n">
        <v>1.1108</v>
      </c>
      <c r="J1069" s="14" t="n">
        <v>9.889</v>
      </c>
      <c r="K1069" s="14" t="n">
        <v>1288.37</v>
      </c>
      <c r="L1069" s="14" t="n">
        <v>0.85105</v>
      </c>
      <c r="M1069" s="14" t="n">
        <v>7.6186</v>
      </c>
      <c r="N1069" s="14" t="n">
        <v>4.639</v>
      </c>
      <c r="O1069" s="14" t="n">
        <v>122.31</v>
      </c>
      <c r="P1069" s="14" t="n">
        <v>8.9026</v>
      </c>
    </row>
    <row r="1070" customFormat="false" ht="15" hidden="false" customHeight="false" outlineLevel="0" collapsed="false">
      <c r="A1070" s="13" t="n">
        <v>43850</v>
      </c>
      <c r="I1070" s="14" t="n">
        <v>1.1085</v>
      </c>
      <c r="J1070" s="14" t="n">
        <v>9.8815</v>
      </c>
      <c r="K1070" s="14" t="n">
        <v>1286.08</v>
      </c>
      <c r="L1070" s="14" t="n">
        <v>0.85275</v>
      </c>
      <c r="M1070" s="14" t="n">
        <v>7.6112</v>
      </c>
      <c r="N1070" s="14" t="n">
        <v>4.636</v>
      </c>
      <c r="O1070" s="14" t="n">
        <v>122.14</v>
      </c>
      <c r="P1070" s="14" t="n">
        <v>8.9143</v>
      </c>
    </row>
    <row r="1071" customFormat="false" ht="15" hidden="false" customHeight="false" outlineLevel="0" collapsed="false">
      <c r="A1071" s="13" t="n">
        <v>43851</v>
      </c>
      <c r="B1071" s="14" t="n">
        <v>1166.56</v>
      </c>
      <c r="C1071" s="14" t="n">
        <v>8.9698</v>
      </c>
      <c r="D1071" s="14" t="n">
        <v>1.3047</v>
      </c>
      <c r="E1071" s="14" t="n">
        <v>1.1096</v>
      </c>
      <c r="F1071" s="14" t="n">
        <v>6.9049</v>
      </c>
      <c r="G1071" s="14" t="n">
        <v>4.2</v>
      </c>
      <c r="H1071" s="14" t="n">
        <v>109.95</v>
      </c>
      <c r="I1071" s="14" t="n">
        <v>1.1115</v>
      </c>
      <c r="J1071" s="14" t="n">
        <v>9.936</v>
      </c>
      <c r="K1071" s="14" t="n">
        <v>1298.12</v>
      </c>
      <c r="L1071" s="14" t="n">
        <v>0.8503</v>
      </c>
      <c r="M1071" s="14" t="n">
        <v>7.6732</v>
      </c>
      <c r="N1071" s="14" t="n">
        <v>4.6661</v>
      </c>
      <c r="O1071" s="14" t="n">
        <v>122.31</v>
      </c>
      <c r="P1071" s="14" t="n">
        <v>8.9393</v>
      </c>
    </row>
    <row r="1072" customFormat="false" ht="15" hidden="false" customHeight="false" outlineLevel="0" collapsed="false">
      <c r="A1072" s="13" t="n">
        <v>43852</v>
      </c>
      <c r="B1072" s="14" t="n">
        <v>1165.68</v>
      </c>
      <c r="C1072" s="14" t="n">
        <v>8.9846</v>
      </c>
      <c r="D1072" s="14" t="n">
        <v>1.3136</v>
      </c>
      <c r="E1072" s="14" t="n">
        <v>1.1085</v>
      </c>
      <c r="F1072" s="14" t="n">
        <v>6.904</v>
      </c>
      <c r="G1072" s="14" t="n">
        <v>4.1852</v>
      </c>
      <c r="H1072" s="14" t="n">
        <v>109.93</v>
      </c>
      <c r="I1072" s="14" t="n">
        <v>1.1088</v>
      </c>
      <c r="J1072" s="14" t="n">
        <v>9.959</v>
      </c>
      <c r="K1072" s="14" t="n">
        <v>1290.57</v>
      </c>
      <c r="L1072" s="14" t="n">
        <v>0.84445</v>
      </c>
      <c r="M1072" s="14" t="n">
        <v>7.653</v>
      </c>
      <c r="N1072" s="14" t="n">
        <v>4.6486</v>
      </c>
      <c r="O1072" s="14" t="n">
        <v>121.93</v>
      </c>
      <c r="P1072" s="14" t="n">
        <v>8.9818</v>
      </c>
    </row>
    <row r="1073" customFormat="false" ht="15" hidden="false" customHeight="false" outlineLevel="0" collapsed="false">
      <c r="A1073" s="13" t="n">
        <v>43853</v>
      </c>
      <c r="B1073" s="14" t="n">
        <v>1168.38</v>
      </c>
      <c r="C1073" s="14" t="n">
        <v>9.0158</v>
      </c>
      <c r="D1073" s="14" t="n">
        <v>1.3104</v>
      </c>
      <c r="E1073" s="14" t="n">
        <v>1.1041</v>
      </c>
      <c r="F1073" s="14" t="n">
        <v>6.9364</v>
      </c>
      <c r="G1073" s="14" t="n">
        <v>4.1689</v>
      </c>
      <c r="H1073" s="14" t="n">
        <v>109.39</v>
      </c>
      <c r="I1073" s="14" t="n">
        <v>1.1091</v>
      </c>
      <c r="J1073" s="14" t="n">
        <v>9.9678</v>
      </c>
      <c r="K1073" s="14" t="n">
        <v>1295.15</v>
      </c>
      <c r="L1073" s="14" t="n">
        <v>0.84498</v>
      </c>
      <c r="M1073" s="14" t="n">
        <v>7.6897</v>
      </c>
      <c r="N1073" s="14" t="n">
        <v>4.6253</v>
      </c>
      <c r="O1073" s="14" t="n">
        <v>121.5</v>
      </c>
      <c r="P1073" s="14" t="n">
        <v>8.9873</v>
      </c>
    </row>
    <row r="1074" customFormat="false" ht="15" hidden="false" customHeight="false" outlineLevel="0" collapsed="false">
      <c r="A1074" s="13" t="n">
        <v>43854</v>
      </c>
      <c r="B1074" s="14" t="n">
        <v>1166.91</v>
      </c>
      <c r="C1074" s="14" t="n">
        <v>9.0393</v>
      </c>
      <c r="D1074" s="14" t="n">
        <v>1.3071</v>
      </c>
      <c r="E1074" s="14" t="n">
        <v>1.1026</v>
      </c>
      <c r="F1074" s="14" t="n">
        <v>6.9161</v>
      </c>
      <c r="G1074" s="14" t="n">
        <v>4.1879</v>
      </c>
      <c r="H1074" s="14" t="n">
        <v>109.31</v>
      </c>
      <c r="I1074" s="14" t="n">
        <v>1.1035</v>
      </c>
      <c r="J1074" s="14" t="n">
        <v>9.9375</v>
      </c>
      <c r="K1074" s="14" t="n">
        <v>1289.12</v>
      </c>
      <c r="L1074" s="14" t="n">
        <v>0.84313</v>
      </c>
      <c r="M1074" s="14" t="n">
        <v>7.6509</v>
      </c>
      <c r="N1074" s="14" t="n">
        <v>4.6084</v>
      </c>
      <c r="O1074" s="14" t="n">
        <v>120.96</v>
      </c>
      <c r="P1074" s="14" t="n">
        <v>9.0054</v>
      </c>
    </row>
    <row r="1075" customFormat="false" ht="15" hidden="false" customHeight="false" outlineLevel="0" collapsed="false">
      <c r="A1075" s="13" t="n">
        <v>43857</v>
      </c>
      <c r="B1075" s="14" t="n">
        <v>1176.2</v>
      </c>
      <c r="C1075" s="14" t="n">
        <v>9.1438</v>
      </c>
      <c r="D1075" s="14" t="n">
        <v>1.3054</v>
      </c>
      <c r="E1075" s="14" t="n">
        <v>1.1019</v>
      </c>
      <c r="F1075" s="14" t="n">
        <v>6.9161</v>
      </c>
      <c r="G1075" s="14" t="n">
        <v>4.2268</v>
      </c>
      <c r="H1075" s="14" t="n">
        <v>108.95</v>
      </c>
      <c r="I1075" s="14" t="n">
        <v>1.1025</v>
      </c>
      <c r="J1075" s="14" t="n">
        <v>10.0363</v>
      </c>
      <c r="K1075" s="14" t="n">
        <v>1298.34</v>
      </c>
      <c r="L1075" s="14" t="n">
        <v>0.84358</v>
      </c>
      <c r="M1075" s="14" t="n">
        <v>7.6477</v>
      </c>
      <c r="N1075" s="14" t="n">
        <v>4.6467</v>
      </c>
      <c r="O1075" s="14" t="n">
        <v>120.11</v>
      </c>
      <c r="P1075" s="14" t="n">
        <v>9.1032</v>
      </c>
    </row>
    <row r="1076" customFormat="false" ht="15" hidden="false" customHeight="false" outlineLevel="0" collapsed="false">
      <c r="A1076" s="13" t="n">
        <v>43858</v>
      </c>
      <c r="B1076" s="14" t="n">
        <v>1176.23</v>
      </c>
      <c r="C1076" s="14" t="n">
        <v>9.1325</v>
      </c>
      <c r="D1076" s="14" t="n">
        <v>1.2996</v>
      </c>
      <c r="E1076" s="14" t="n">
        <v>1.1008</v>
      </c>
      <c r="F1076" s="14" t="n">
        <v>6.9161</v>
      </c>
      <c r="G1076" s="14" t="n">
        <v>4.2094</v>
      </c>
      <c r="H1076" s="14" t="n">
        <v>109.17</v>
      </c>
      <c r="I1076" s="14" t="n">
        <v>1.1005</v>
      </c>
      <c r="J1076" s="14" t="n">
        <v>10.0758</v>
      </c>
      <c r="K1076" s="14" t="n">
        <v>1297.2</v>
      </c>
      <c r="L1076" s="14" t="n">
        <v>0.84603</v>
      </c>
      <c r="M1076" s="14" t="n">
        <v>7.6338</v>
      </c>
      <c r="N1076" s="14" t="n">
        <v>4.6196</v>
      </c>
      <c r="O1076" s="14" t="n">
        <v>120.02</v>
      </c>
      <c r="P1076" s="14" t="n">
        <v>9.1557</v>
      </c>
    </row>
    <row r="1077" customFormat="false" ht="15" hidden="false" customHeight="false" outlineLevel="0" collapsed="false">
      <c r="A1077" s="13" t="n">
        <v>43859</v>
      </c>
      <c r="B1077" s="14" t="n">
        <v>1176.98</v>
      </c>
      <c r="C1077" s="14" t="n">
        <v>9.1646</v>
      </c>
      <c r="D1077" s="14" t="n">
        <v>1.3012</v>
      </c>
      <c r="E1077" s="14" t="n">
        <v>1.1004</v>
      </c>
      <c r="F1077" s="14" t="n">
        <v>6.9161</v>
      </c>
      <c r="G1077" s="14" t="n">
        <v>4.2162</v>
      </c>
      <c r="H1077" s="14" t="n">
        <v>109.15</v>
      </c>
      <c r="I1077" s="14" t="n">
        <v>1.1001</v>
      </c>
      <c r="J1077" s="14" t="n">
        <v>10.0563</v>
      </c>
      <c r="K1077" s="14" t="n">
        <v>1296.65</v>
      </c>
      <c r="L1077" s="14" t="n">
        <v>0.8458</v>
      </c>
      <c r="M1077" s="14" t="n">
        <v>7.631</v>
      </c>
      <c r="N1077" s="14" t="n">
        <v>4.6089</v>
      </c>
      <c r="O1077" s="14" t="n">
        <v>120.06</v>
      </c>
      <c r="P1077" s="14" t="n">
        <v>9.1413</v>
      </c>
    </row>
    <row r="1078" customFormat="false" ht="15" hidden="false" customHeight="false" outlineLevel="0" collapsed="false">
      <c r="A1078" s="13" t="n">
        <v>43860</v>
      </c>
      <c r="B1078" s="14" t="n">
        <v>1191.94</v>
      </c>
      <c r="C1078" s="14" t="n">
        <v>9.2067</v>
      </c>
      <c r="D1078" s="14" t="n">
        <v>1.3106</v>
      </c>
      <c r="E1078" s="14" t="n">
        <v>1.1032</v>
      </c>
      <c r="F1078" s="14" t="n">
        <v>6.9161</v>
      </c>
      <c r="G1078" s="14" t="n">
        <v>4.2602</v>
      </c>
      <c r="H1078" s="14" t="n">
        <v>108.75</v>
      </c>
      <c r="I1078" s="14" t="n">
        <v>1.1029</v>
      </c>
      <c r="J1078" s="14" t="n">
        <v>10.1738</v>
      </c>
      <c r="K1078" s="14" t="n">
        <v>1315</v>
      </c>
      <c r="L1078" s="14" t="n">
        <v>0.84183</v>
      </c>
      <c r="M1078" s="14" t="n">
        <v>7.6504</v>
      </c>
      <c r="N1078" s="14" t="n">
        <v>4.6836</v>
      </c>
      <c r="O1078" s="14" t="n">
        <v>120.03</v>
      </c>
      <c r="P1078" s="14" t="n">
        <v>9.2246</v>
      </c>
    </row>
    <row r="1079" customFormat="false" ht="15" hidden="false" customHeight="false" outlineLevel="0" collapsed="false">
      <c r="A1079" s="13" t="n">
        <v>43861</v>
      </c>
      <c r="B1079" s="14" t="n">
        <v>1191.3</v>
      </c>
      <c r="C1079" s="14" t="n">
        <v>9.1985</v>
      </c>
      <c r="D1079" s="14" t="n">
        <v>1.3195</v>
      </c>
      <c r="E1079" s="14" t="n">
        <v>1.1082</v>
      </c>
      <c r="F1079" s="14" t="n">
        <v>6.9161</v>
      </c>
      <c r="G1079" s="14" t="n">
        <v>4.2801</v>
      </c>
      <c r="H1079" s="14" t="n">
        <v>108.5</v>
      </c>
      <c r="I1079" s="14" t="n">
        <v>1.1052</v>
      </c>
      <c r="J1079" s="14" t="n">
        <v>10.1893</v>
      </c>
      <c r="K1079" s="14" t="n">
        <v>1321.6</v>
      </c>
      <c r="L1079" s="14" t="n">
        <v>0.84175</v>
      </c>
      <c r="M1079" s="14" t="n">
        <v>7.6664</v>
      </c>
      <c r="N1079" s="14" t="n">
        <v>4.7157</v>
      </c>
      <c r="O1079" s="14" t="n">
        <v>120.35</v>
      </c>
      <c r="P1079" s="14" t="n">
        <v>9.2194</v>
      </c>
    </row>
    <row r="1080" customFormat="false" ht="15" hidden="false" customHeight="false" outlineLevel="0" collapsed="false">
      <c r="A1080" s="13" t="n">
        <v>43864</v>
      </c>
      <c r="B1080" s="14" t="n">
        <v>1194.8</v>
      </c>
      <c r="C1080" s="14" t="n">
        <v>9.2815</v>
      </c>
      <c r="D1080" s="14" t="n">
        <v>1.3006</v>
      </c>
      <c r="E1080" s="14" t="n">
        <v>1.1062</v>
      </c>
      <c r="F1080" s="14" t="n">
        <v>7.0208</v>
      </c>
      <c r="G1080" s="14" t="n">
        <v>4.2411</v>
      </c>
      <c r="H1080" s="14" t="n">
        <v>108.59</v>
      </c>
      <c r="I1080" s="14" t="n">
        <v>1.1066</v>
      </c>
      <c r="J1080" s="14" t="n">
        <v>10.259</v>
      </c>
      <c r="K1080" s="14" t="n">
        <v>1319.12</v>
      </c>
      <c r="L1080" s="14" t="n">
        <v>0.84775</v>
      </c>
      <c r="M1080" s="14" t="n">
        <v>7.7681</v>
      </c>
      <c r="N1080" s="14" t="n">
        <v>4.717</v>
      </c>
      <c r="O1080" s="14" t="n">
        <v>120.1</v>
      </c>
      <c r="P1080" s="14" t="n">
        <v>9.2707</v>
      </c>
    </row>
    <row r="1081" customFormat="false" ht="15" hidden="false" customHeight="false" outlineLevel="0" collapsed="false">
      <c r="A1081" s="13" t="n">
        <v>43865</v>
      </c>
      <c r="B1081" s="14" t="n">
        <v>1184.51</v>
      </c>
      <c r="C1081" s="14" t="n">
        <v>9.2123</v>
      </c>
      <c r="D1081" s="14" t="n">
        <v>1.3029</v>
      </c>
      <c r="E1081" s="14" t="n">
        <v>1.1043</v>
      </c>
      <c r="F1081" s="14" t="n">
        <v>6.9979</v>
      </c>
      <c r="G1081" s="14" t="n">
        <v>4.2405</v>
      </c>
      <c r="H1081" s="14" t="n">
        <v>109.41</v>
      </c>
      <c r="I1081" s="14" t="n">
        <v>1.1048</v>
      </c>
      <c r="J1081" s="14" t="n">
        <v>10.1948</v>
      </c>
      <c r="K1081" s="14" t="n">
        <v>1310.75</v>
      </c>
      <c r="L1081" s="14" t="n">
        <v>0.8488</v>
      </c>
      <c r="M1081" s="14" t="n">
        <v>7.7298</v>
      </c>
      <c r="N1081" s="14" t="n">
        <v>4.6704</v>
      </c>
      <c r="O1081" s="14" t="n">
        <v>120.52</v>
      </c>
      <c r="P1081" s="14" t="n">
        <v>9.2277</v>
      </c>
    </row>
    <row r="1082" customFormat="false" ht="15" hidden="false" customHeight="false" outlineLevel="0" collapsed="false">
      <c r="A1082" s="13" t="n">
        <v>43866</v>
      </c>
      <c r="B1082" s="14" t="n">
        <v>1187.25</v>
      </c>
      <c r="C1082" s="14" t="n">
        <v>9.2125</v>
      </c>
      <c r="D1082" s="14" t="n">
        <v>1.3</v>
      </c>
      <c r="E1082" s="14" t="n">
        <v>1.1006</v>
      </c>
      <c r="F1082" s="14" t="n">
        <v>6.972</v>
      </c>
      <c r="G1082" s="14" t="n">
        <v>4.2567</v>
      </c>
      <c r="H1082" s="14" t="n">
        <v>109.74</v>
      </c>
      <c r="I1082" s="14" t="n">
        <v>1.1023</v>
      </c>
      <c r="J1082" s="14" t="n">
        <v>10.1173</v>
      </c>
      <c r="K1082" s="14" t="n">
        <v>1302.97</v>
      </c>
      <c r="L1082" s="14" t="n">
        <v>0.84444</v>
      </c>
      <c r="M1082" s="14" t="n">
        <v>7.6858</v>
      </c>
      <c r="N1082" s="14" t="n">
        <v>4.6614</v>
      </c>
      <c r="O1082" s="14" t="n">
        <v>120.94</v>
      </c>
      <c r="P1082" s="14" t="n">
        <v>9.1784</v>
      </c>
    </row>
    <row r="1083" customFormat="false" ht="15" hidden="false" customHeight="false" outlineLevel="0" collapsed="false">
      <c r="A1083" s="13" t="n">
        <v>43867</v>
      </c>
      <c r="B1083" s="14" t="n">
        <v>1179.64</v>
      </c>
      <c r="C1083" s="14" t="n">
        <v>9.2342</v>
      </c>
      <c r="D1083" s="14" t="n">
        <v>1.2935</v>
      </c>
      <c r="E1083" s="14" t="n">
        <v>1.0979</v>
      </c>
      <c r="F1083" s="14" t="n">
        <v>6.9694</v>
      </c>
      <c r="G1083" s="14" t="n">
        <v>4.2694</v>
      </c>
      <c r="H1083" s="14" t="n">
        <v>109.89</v>
      </c>
      <c r="I1083" s="14" t="n">
        <v>1.1003</v>
      </c>
      <c r="J1083" s="14" t="n">
        <v>10.1288</v>
      </c>
      <c r="K1083" s="14" t="n">
        <v>1301.78</v>
      </c>
      <c r="L1083" s="14" t="n">
        <v>0.84835</v>
      </c>
      <c r="M1083" s="14" t="n">
        <v>7.6676</v>
      </c>
      <c r="N1083" s="14" t="n">
        <v>4.6553</v>
      </c>
      <c r="O1083" s="14" t="n">
        <v>120.87</v>
      </c>
      <c r="P1083" s="14" t="n">
        <v>9.2055</v>
      </c>
    </row>
    <row r="1084" customFormat="false" ht="15" hidden="false" customHeight="false" outlineLevel="0" collapsed="false">
      <c r="A1084" s="13" t="n">
        <v>43868</v>
      </c>
      <c r="B1084" s="14" t="n">
        <v>1186.24</v>
      </c>
      <c r="C1084" s="14" t="n">
        <v>9.2888</v>
      </c>
      <c r="D1084" s="14" t="n">
        <v>1.2908</v>
      </c>
      <c r="E1084" s="14" t="n">
        <v>1.095</v>
      </c>
      <c r="F1084" s="14" t="n">
        <v>7.0003</v>
      </c>
      <c r="G1084" s="14" t="n">
        <v>4.3126</v>
      </c>
      <c r="H1084" s="14" t="n">
        <v>109.81</v>
      </c>
      <c r="I1084" s="14" t="n">
        <v>1.0969</v>
      </c>
      <c r="J1084" s="14" t="n">
        <v>10.1673</v>
      </c>
      <c r="K1084" s="14" t="n">
        <v>1309.78</v>
      </c>
      <c r="L1084" s="14" t="n">
        <v>0.8472</v>
      </c>
      <c r="M1084" s="14" t="n">
        <v>7.6711</v>
      </c>
      <c r="N1084" s="14" t="n">
        <v>4.7078</v>
      </c>
      <c r="O1084" s="14" t="n">
        <v>120.51</v>
      </c>
      <c r="P1084" s="14" t="n">
        <v>9.2691</v>
      </c>
    </row>
    <row r="1085" customFormat="false" ht="15" hidden="false" customHeight="false" outlineLevel="0" collapsed="false">
      <c r="A1085" s="13" t="n">
        <v>43871</v>
      </c>
      <c r="B1085" s="14" t="n">
        <v>1186.96</v>
      </c>
      <c r="C1085" s="14" t="n">
        <v>9.2961</v>
      </c>
      <c r="D1085" s="14" t="n">
        <v>1.2919</v>
      </c>
      <c r="E1085" s="14" t="n">
        <v>1.0916</v>
      </c>
      <c r="F1085" s="14" t="n">
        <v>6.982</v>
      </c>
      <c r="G1085" s="14" t="n">
        <v>4.3155</v>
      </c>
      <c r="H1085" s="14" t="n">
        <v>109.77</v>
      </c>
      <c r="I1085" s="14" t="n">
        <v>1.0951</v>
      </c>
      <c r="J1085" s="14" t="n">
        <v>10.1188</v>
      </c>
      <c r="K1085" s="14" t="n">
        <v>1301.41</v>
      </c>
      <c r="L1085" s="14" t="n">
        <v>0.84628</v>
      </c>
      <c r="M1085" s="14" t="n">
        <v>7.6471</v>
      </c>
      <c r="N1085" s="14" t="n">
        <v>4.721</v>
      </c>
      <c r="O1085" s="14" t="n">
        <v>120.18</v>
      </c>
      <c r="P1085" s="14" t="n">
        <v>9.2401</v>
      </c>
    </row>
    <row r="1086" customFormat="false" ht="15" hidden="false" customHeight="false" outlineLevel="0" collapsed="false">
      <c r="A1086" s="13" t="n">
        <v>43872</v>
      </c>
      <c r="B1086" s="14" t="n">
        <v>1181.32</v>
      </c>
      <c r="C1086" s="14" t="n">
        <v>9.2546</v>
      </c>
      <c r="D1086" s="14" t="n">
        <v>1.2945</v>
      </c>
      <c r="E1086" s="14" t="n">
        <v>1.0917</v>
      </c>
      <c r="F1086" s="14" t="n">
        <v>6.965</v>
      </c>
      <c r="G1086" s="14" t="n">
        <v>4.3346</v>
      </c>
      <c r="H1086" s="14" t="n">
        <v>109.78</v>
      </c>
      <c r="I1086" s="14" t="n">
        <v>1.0901</v>
      </c>
      <c r="J1086" s="14" t="n">
        <v>10.0953</v>
      </c>
      <c r="K1086" s="14" t="n">
        <v>1290.63</v>
      </c>
      <c r="L1086" s="14" t="n">
        <v>0.84325</v>
      </c>
      <c r="M1086" s="14" t="n">
        <v>7.6025</v>
      </c>
      <c r="N1086" s="14" t="n">
        <v>4.6995</v>
      </c>
      <c r="O1086" s="14" t="n">
        <v>119.73</v>
      </c>
      <c r="P1086" s="14" t="n">
        <v>9.2609</v>
      </c>
    </row>
    <row r="1087" customFormat="false" ht="15" hidden="false" customHeight="false" outlineLevel="0" collapsed="false">
      <c r="A1087" s="13" t="n">
        <v>43873</v>
      </c>
      <c r="B1087" s="14" t="n">
        <v>1178.98</v>
      </c>
      <c r="C1087" s="14" t="n">
        <v>9.2148</v>
      </c>
      <c r="D1087" s="14" t="n">
        <v>1.2978</v>
      </c>
      <c r="E1087" s="14" t="n">
        <v>1.0893</v>
      </c>
      <c r="F1087" s="14" t="n">
        <v>6.9708</v>
      </c>
      <c r="G1087" s="14" t="n">
        <v>4.3428</v>
      </c>
      <c r="H1087" s="14" t="n">
        <v>110</v>
      </c>
      <c r="I1087" s="14" t="n">
        <v>1.0914</v>
      </c>
      <c r="J1087" s="14" t="n">
        <v>10.0445</v>
      </c>
      <c r="K1087" s="14" t="n">
        <v>1288</v>
      </c>
      <c r="L1087" s="14" t="n">
        <v>0.84058</v>
      </c>
      <c r="M1087" s="14" t="n">
        <v>7.6073</v>
      </c>
      <c r="N1087" s="14" t="n">
        <v>4.7286</v>
      </c>
      <c r="O1087" s="14" t="n">
        <v>120.03</v>
      </c>
      <c r="P1087" s="14" t="n">
        <v>9.2033</v>
      </c>
    </row>
    <row r="1088" customFormat="false" ht="15" hidden="false" customHeight="false" outlineLevel="0" collapsed="false">
      <c r="A1088" s="13" t="n">
        <v>43874</v>
      </c>
      <c r="B1088" s="14" t="n">
        <v>1182.02</v>
      </c>
      <c r="C1088" s="14" t="n">
        <v>9.2602</v>
      </c>
      <c r="D1088" s="14" t="n">
        <v>1.3051</v>
      </c>
      <c r="E1088" s="14" t="n">
        <v>1.0848</v>
      </c>
      <c r="F1088" s="14" t="n">
        <v>6.9759</v>
      </c>
      <c r="G1088" s="14" t="n">
        <v>4.3302</v>
      </c>
      <c r="H1088" s="14" t="n">
        <v>109.81</v>
      </c>
      <c r="I1088" s="14" t="n">
        <v>1.0867</v>
      </c>
      <c r="J1088" s="14" t="n">
        <v>10.0415</v>
      </c>
      <c r="K1088" s="14" t="n">
        <v>1286.02</v>
      </c>
      <c r="L1088" s="14" t="n">
        <v>0.83375</v>
      </c>
      <c r="M1088" s="14" t="n">
        <v>7.589</v>
      </c>
      <c r="N1088" s="14" t="n">
        <v>4.7182</v>
      </c>
      <c r="O1088" s="14" t="n">
        <v>119.21</v>
      </c>
      <c r="P1088" s="14" t="n">
        <v>9.2404</v>
      </c>
    </row>
    <row r="1089" customFormat="false" ht="15" hidden="false" customHeight="false" outlineLevel="0" collapsed="false">
      <c r="A1089" s="13" t="n">
        <v>43875</v>
      </c>
      <c r="B1089" s="14" t="n">
        <v>1183.2</v>
      </c>
      <c r="C1089" s="14" t="n">
        <v>9.2479</v>
      </c>
      <c r="D1089" s="14" t="n">
        <v>1.3039</v>
      </c>
      <c r="E1089" s="14" t="n">
        <v>1.0839</v>
      </c>
      <c r="F1089" s="14" t="n">
        <v>6.9859</v>
      </c>
      <c r="G1089" s="14" t="n">
        <v>4.3104</v>
      </c>
      <c r="H1089" s="14" t="n">
        <v>109.77</v>
      </c>
      <c r="I1089" s="14" t="n">
        <v>1.0842</v>
      </c>
      <c r="J1089" s="14" t="n">
        <v>10.0258</v>
      </c>
      <c r="K1089" s="14" t="n">
        <v>1283.75</v>
      </c>
      <c r="L1089" s="14" t="n">
        <v>0.83208</v>
      </c>
      <c r="M1089" s="14" t="n">
        <v>7.5757</v>
      </c>
      <c r="N1089" s="14" t="n">
        <v>4.6927</v>
      </c>
      <c r="O1089" s="14" t="n">
        <v>119.11</v>
      </c>
      <c r="P1089" s="14" t="n">
        <v>9.2472</v>
      </c>
    </row>
    <row r="1090" customFormat="false" ht="15" hidden="false" customHeight="false" outlineLevel="0" collapsed="false">
      <c r="A1090" s="13" t="n">
        <v>43878</v>
      </c>
      <c r="I1090" s="14" t="n">
        <v>1.0835</v>
      </c>
      <c r="J1090" s="14" t="n">
        <v>10.0373</v>
      </c>
      <c r="K1090" s="14" t="n">
        <v>1282.7</v>
      </c>
      <c r="L1090" s="14" t="n">
        <v>0.83238</v>
      </c>
      <c r="M1090" s="14" t="n">
        <v>7.5645</v>
      </c>
      <c r="N1090" s="14" t="n">
        <v>4.6739</v>
      </c>
      <c r="O1090" s="14" t="n">
        <v>119.05</v>
      </c>
      <c r="P1090" s="14" t="n">
        <v>9.2638</v>
      </c>
    </row>
    <row r="1091" customFormat="false" ht="15" hidden="false" customHeight="false" outlineLevel="0" collapsed="false">
      <c r="A1091" s="13" t="n">
        <v>43879</v>
      </c>
      <c r="B1091" s="14" t="n">
        <v>1190.6</v>
      </c>
      <c r="C1091" s="14" t="n">
        <v>9.3092</v>
      </c>
      <c r="D1091" s="14" t="n">
        <v>1.3017</v>
      </c>
      <c r="E1091" s="14" t="n">
        <v>1.0815</v>
      </c>
      <c r="F1091" s="14" t="n">
        <v>6.9949</v>
      </c>
      <c r="G1091" s="14" t="n">
        <v>4.3507</v>
      </c>
      <c r="H1091" s="14" t="n">
        <v>109.8</v>
      </c>
      <c r="I1091" s="14" t="n">
        <v>1.0816</v>
      </c>
      <c r="J1091" s="14" t="n">
        <v>10.0883</v>
      </c>
      <c r="K1091" s="14" t="n">
        <v>1288.74</v>
      </c>
      <c r="L1091" s="14" t="n">
        <v>0.82985</v>
      </c>
      <c r="M1091" s="14" t="n">
        <v>7.5732</v>
      </c>
      <c r="N1091" s="14" t="n">
        <v>4.7009</v>
      </c>
      <c r="O1091" s="14" t="n">
        <v>118.7</v>
      </c>
      <c r="P1091" s="14" t="n">
        <v>9.3272</v>
      </c>
    </row>
    <row r="1092" customFormat="false" ht="15" hidden="false" customHeight="false" outlineLevel="0" collapsed="false">
      <c r="A1092" s="13" t="n">
        <v>43880</v>
      </c>
      <c r="B1092" s="14" t="n">
        <v>1191.1</v>
      </c>
      <c r="C1092" s="14" t="n">
        <v>9.2762</v>
      </c>
      <c r="D1092" s="14" t="n">
        <v>1.2934</v>
      </c>
      <c r="E1092" s="14" t="n">
        <v>1.0794</v>
      </c>
      <c r="F1092" s="14" t="n">
        <v>6.9975</v>
      </c>
      <c r="G1092" s="14" t="n">
        <v>4.366</v>
      </c>
      <c r="H1092" s="14" t="n">
        <v>111.17</v>
      </c>
      <c r="I1092" s="14" t="n">
        <v>1.08</v>
      </c>
      <c r="J1092" s="14" t="n">
        <v>10.0178</v>
      </c>
      <c r="K1092" s="14" t="n">
        <v>1284.75</v>
      </c>
      <c r="L1092" s="14" t="n">
        <v>0.83148</v>
      </c>
      <c r="M1092" s="14" t="n">
        <v>7.5538</v>
      </c>
      <c r="N1092" s="14" t="n">
        <v>4.7184</v>
      </c>
      <c r="O1092" s="14" t="n">
        <v>119.35</v>
      </c>
      <c r="P1092" s="14" t="n">
        <v>9.2757</v>
      </c>
    </row>
    <row r="1093" customFormat="false" ht="15" hidden="false" customHeight="false" outlineLevel="0" collapsed="false">
      <c r="A1093" s="13" t="n">
        <v>43881</v>
      </c>
      <c r="B1093" s="14" t="n">
        <v>1198.34</v>
      </c>
      <c r="C1093" s="14" t="n">
        <v>9.3194</v>
      </c>
      <c r="D1093" s="14" t="n">
        <v>1.2877</v>
      </c>
      <c r="E1093" s="14" t="n">
        <v>1.0797</v>
      </c>
      <c r="F1093" s="14" t="n">
        <v>7.0225</v>
      </c>
      <c r="G1093" s="14" t="n">
        <v>4.3845</v>
      </c>
      <c r="H1093" s="14" t="n">
        <v>111.86</v>
      </c>
      <c r="I1093" s="14" t="n">
        <v>1.079</v>
      </c>
      <c r="J1093" s="14" t="n">
        <v>10.0455</v>
      </c>
      <c r="K1093" s="14" t="n">
        <v>1301.79</v>
      </c>
      <c r="L1093" s="14" t="n">
        <v>0.8384</v>
      </c>
      <c r="M1093" s="14" t="n">
        <v>7.5787</v>
      </c>
      <c r="N1093" s="14" t="n">
        <v>4.7341</v>
      </c>
      <c r="O1093" s="14" t="n">
        <v>120.86</v>
      </c>
      <c r="P1093" s="14" t="n">
        <v>9.31</v>
      </c>
    </row>
    <row r="1094" customFormat="false" ht="15" hidden="false" customHeight="false" outlineLevel="0" collapsed="false">
      <c r="A1094" s="13" t="n">
        <v>43882</v>
      </c>
      <c r="B1094" s="14" t="n">
        <v>1207.91</v>
      </c>
      <c r="C1094" s="14" t="n">
        <v>9.2782</v>
      </c>
      <c r="D1094" s="14" t="n">
        <v>1.2966</v>
      </c>
      <c r="E1094" s="14" t="n">
        <v>1.0855</v>
      </c>
      <c r="F1094" s="14" t="n">
        <v>7.0255</v>
      </c>
      <c r="G1094" s="14" t="n">
        <v>4.383</v>
      </c>
      <c r="H1094" s="14" t="n">
        <v>111.74</v>
      </c>
      <c r="I1094" s="14" t="n">
        <v>1.0801</v>
      </c>
      <c r="J1094" s="14" t="n">
        <v>10.0873</v>
      </c>
      <c r="K1094" s="14" t="n">
        <v>1309.45</v>
      </c>
      <c r="L1094" s="14" t="n">
        <v>0.8351</v>
      </c>
      <c r="M1094" s="14" t="n">
        <v>7.5945</v>
      </c>
      <c r="N1094" s="14" t="n">
        <v>4.755</v>
      </c>
      <c r="O1094" s="14" t="n">
        <v>120.96</v>
      </c>
      <c r="P1094" s="14" t="n">
        <v>9.3392</v>
      </c>
    </row>
    <row r="1095" customFormat="false" ht="15" hidden="false" customHeight="false" outlineLevel="0" collapsed="false">
      <c r="A1095" s="13" t="n">
        <v>43885</v>
      </c>
      <c r="B1095" s="14" t="n">
        <v>1218.5</v>
      </c>
      <c r="C1095" s="14" t="n">
        <v>9.33</v>
      </c>
      <c r="D1095" s="14" t="n">
        <v>1.2923</v>
      </c>
      <c r="E1095" s="14" t="n">
        <v>1.0857</v>
      </c>
      <c r="F1095" s="14" t="n">
        <v>7.0286</v>
      </c>
      <c r="G1095" s="14" t="n">
        <v>4.3878</v>
      </c>
      <c r="H1095" s="14" t="n">
        <v>110.56</v>
      </c>
      <c r="I1095" s="14" t="n">
        <v>1.0818</v>
      </c>
      <c r="J1095" s="14" t="n">
        <v>10.1328</v>
      </c>
      <c r="K1095" s="14" t="n">
        <v>1319.2</v>
      </c>
      <c r="L1095" s="14" t="n">
        <v>0.83833</v>
      </c>
      <c r="M1095" s="14" t="n">
        <v>7.6102</v>
      </c>
      <c r="N1095" s="14" t="n">
        <v>4.7474</v>
      </c>
      <c r="O1095" s="14" t="n">
        <v>120.52</v>
      </c>
      <c r="P1095" s="14" t="n">
        <v>9.3666</v>
      </c>
    </row>
    <row r="1096" customFormat="false" ht="15" hidden="false" customHeight="false" outlineLevel="0" collapsed="false">
      <c r="A1096" s="13" t="n">
        <v>43886</v>
      </c>
      <c r="B1096" s="14" t="n">
        <v>1214.45</v>
      </c>
      <c r="C1096" s="14" t="n">
        <v>9.3743</v>
      </c>
      <c r="D1096" s="14" t="n">
        <v>1.3004</v>
      </c>
      <c r="E1096" s="14" t="n">
        <v>1.0868</v>
      </c>
      <c r="F1096" s="14" t="n">
        <v>7.0128</v>
      </c>
      <c r="G1096" s="14" t="n">
        <v>4.3878</v>
      </c>
      <c r="H1096" s="14" t="n">
        <v>110.23</v>
      </c>
      <c r="I1096" s="14" t="n">
        <v>1.084</v>
      </c>
      <c r="J1096" s="14" t="n">
        <v>10.16</v>
      </c>
      <c r="K1096" s="14" t="n">
        <v>1315.68</v>
      </c>
      <c r="L1096" s="14" t="n">
        <v>0.8363</v>
      </c>
      <c r="M1096" s="14" t="n">
        <v>7.6045</v>
      </c>
      <c r="N1096" s="14" t="n">
        <v>4.7569</v>
      </c>
      <c r="O1096" s="14" t="n">
        <v>119.92</v>
      </c>
      <c r="P1096" s="14" t="n">
        <v>9.3727</v>
      </c>
    </row>
    <row r="1097" customFormat="false" ht="15" hidden="false" customHeight="false" outlineLevel="0" collapsed="false">
      <c r="A1097" s="13" t="n">
        <v>43887</v>
      </c>
      <c r="B1097" s="14" t="n">
        <v>1213.61</v>
      </c>
      <c r="C1097" s="14" t="n">
        <v>9.3868</v>
      </c>
      <c r="D1097" s="14" t="n">
        <v>1.2921</v>
      </c>
      <c r="E1097" s="14" t="n">
        <v>1.0887</v>
      </c>
      <c r="F1097" s="14" t="n">
        <v>7.0214</v>
      </c>
      <c r="G1097" s="14" t="n">
        <v>4.4304</v>
      </c>
      <c r="H1097" s="14" t="n">
        <v>110.36</v>
      </c>
      <c r="I1097" s="14" t="n">
        <v>1.0875</v>
      </c>
      <c r="J1097" s="14" t="n">
        <v>10.2113</v>
      </c>
      <c r="K1097" s="14" t="n">
        <v>1322.29</v>
      </c>
      <c r="L1097" s="14" t="n">
        <v>0.8415</v>
      </c>
      <c r="M1097" s="14" t="n">
        <v>7.6329</v>
      </c>
      <c r="N1097" s="14" t="n">
        <v>4.7741</v>
      </c>
      <c r="O1097" s="14" t="n">
        <v>120.13</v>
      </c>
      <c r="P1097" s="14" t="n">
        <v>9.3897</v>
      </c>
    </row>
    <row r="1098" customFormat="false" ht="15" hidden="false" customHeight="false" outlineLevel="0" collapsed="false">
      <c r="A1098" s="13" t="n">
        <v>43888</v>
      </c>
      <c r="B1098" s="14" t="n">
        <v>1217.03</v>
      </c>
      <c r="C1098" s="14" t="n">
        <v>9.3926</v>
      </c>
      <c r="D1098" s="14" t="n">
        <v>1.2876</v>
      </c>
      <c r="E1098" s="14" t="n">
        <v>1.0977</v>
      </c>
      <c r="F1098" s="14" t="n">
        <v>7.0036</v>
      </c>
      <c r="G1098" s="14" t="n">
        <v>4.4587</v>
      </c>
      <c r="H1098" s="14" t="n">
        <v>110.15</v>
      </c>
      <c r="I1098" s="14" t="n">
        <v>1.0964</v>
      </c>
      <c r="J1098" s="14" t="n">
        <v>10.2918</v>
      </c>
      <c r="K1098" s="14" t="n">
        <v>1327.83</v>
      </c>
      <c r="L1098" s="14" t="n">
        <v>0.84995</v>
      </c>
      <c r="M1098" s="14" t="n">
        <v>7.6813</v>
      </c>
      <c r="N1098" s="14" t="n">
        <v>4.8975</v>
      </c>
      <c r="O1098" s="14" t="n">
        <v>120.46</v>
      </c>
      <c r="P1098" s="14" t="n">
        <v>9.3869</v>
      </c>
    </row>
    <row r="1099" customFormat="false" ht="15" hidden="false" customHeight="false" outlineLevel="0" collapsed="false">
      <c r="A1099" s="13" t="n">
        <v>43889</v>
      </c>
      <c r="B1099" s="14" t="n">
        <v>1214.92</v>
      </c>
      <c r="C1099" s="14" t="n">
        <v>9.4491</v>
      </c>
      <c r="D1099" s="14" t="n">
        <v>1.2778</v>
      </c>
      <c r="E1099" s="14" t="n">
        <v>1.1001</v>
      </c>
      <c r="F1099" s="14" t="n">
        <v>6.9906</v>
      </c>
      <c r="G1099" s="14" t="n">
        <v>4.4906</v>
      </c>
      <c r="H1099" s="14" t="n">
        <v>108.12</v>
      </c>
      <c r="I1099" s="14" t="n">
        <v>1.0977</v>
      </c>
      <c r="J1099" s="14" t="n">
        <v>10.3888</v>
      </c>
      <c r="K1099" s="14" t="n">
        <v>1324.98</v>
      </c>
      <c r="L1099" s="14" t="n">
        <v>0.85315</v>
      </c>
      <c r="M1099" s="14" t="n">
        <v>7.6662</v>
      </c>
      <c r="N1099" s="14" t="n">
        <v>4.9232</v>
      </c>
      <c r="O1099" s="14" t="n">
        <v>119.36</v>
      </c>
      <c r="P1099" s="14" t="n">
        <v>9.4642</v>
      </c>
    </row>
    <row r="1100" customFormat="false" ht="15" hidden="false" customHeight="false" outlineLevel="0" collapsed="false">
      <c r="A1100" s="13" t="n">
        <v>43892</v>
      </c>
      <c r="B1100" s="14" t="n">
        <v>1190.89</v>
      </c>
      <c r="C1100" s="14" t="n">
        <v>9.3057</v>
      </c>
      <c r="D1100" s="14" t="n">
        <v>1.2791</v>
      </c>
      <c r="E1100" s="14" t="n">
        <v>1.1164</v>
      </c>
      <c r="F1100" s="14" t="n">
        <v>6.9595</v>
      </c>
      <c r="G1100" s="14" t="n">
        <v>4.4782</v>
      </c>
      <c r="H1100" s="14" t="n">
        <v>108.02</v>
      </c>
      <c r="I1100" s="14" t="n">
        <v>1.1122</v>
      </c>
      <c r="J1100" s="14" t="n">
        <v>10.4043</v>
      </c>
      <c r="K1100" s="14" t="n">
        <v>1325.85</v>
      </c>
      <c r="L1100" s="14" t="n">
        <v>0.87113</v>
      </c>
      <c r="M1100" s="14" t="n">
        <v>7.7469</v>
      </c>
      <c r="N1100" s="14" t="n">
        <v>4.9938</v>
      </c>
      <c r="O1100" s="14" t="n">
        <v>119.82</v>
      </c>
      <c r="P1100" s="14" t="n">
        <v>9.3547</v>
      </c>
    </row>
    <row r="1101" customFormat="false" ht="15" hidden="false" customHeight="false" outlineLevel="0" collapsed="false">
      <c r="A1101" s="13" t="n">
        <v>43893</v>
      </c>
      <c r="B1101" s="14" t="n">
        <v>1194.66</v>
      </c>
      <c r="C1101" s="14" t="n">
        <v>9.2372</v>
      </c>
      <c r="D1101" s="14" t="n">
        <v>1.2827</v>
      </c>
      <c r="E1101" s="14" t="n">
        <v>1.1175</v>
      </c>
      <c r="F1101" s="14" t="n">
        <v>6.9579</v>
      </c>
      <c r="G1101" s="14" t="n">
        <v>4.4908</v>
      </c>
      <c r="H1101" s="14" t="n">
        <v>107.28</v>
      </c>
      <c r="I1101" s="14" t="n">
        <v>1.1117</v>
      </c>
      <c r="J1101" s="14" t="n">
        <v>10.3328</v>
      </c>
      <c r="K1101" s="14" t="n">
        <v>1327.59</v>
      </c>
      <c r="L1101" s="14" t="n">
        <v>0.8701</v>
      </c>
      <c r="M1101" s="14" t="n">
        <v>7.7572</v>
      </c>
      <c r="N1101" s="14" t="n">
        <v>5.0032</v>
      </c>
      <c r="O1101" s="14" t="n">
        <v>119.77</v>
      </c>
      <c r="P1101" s="14" t="n">
        <v>9.2946</v>
      </c>
    </row>
    <row r="1102" customFormat="false" ht="15" hidden="false" customHeight="false" outlineLevel="0" collapsed="false">
      <c r="A1102" s="13" t="n">
        <v>43894</v>
      </c>
      <c r="B1102" s="14" t="n">
        <v>1187.54</v>
      </c>
      <c r="C1102" s="14" t="n">
        <v>9.285</v>
      </c>
      <c r="D1102" s="14" t="n">
        <v>1.2836</v>
      </c>
      <c r="E1102" s="14" t="n">
        <v>1.113</v>
      </c>
      <c r="F1102" s="14" t="n">
        <v>6.9244</v>
      </c>
      <c r="G1102" s="14" t="n">
        <v>4.5497</v>
      </c>
      <c r="H1102" s="14" t="n">
        <v>107.34</v>
      </c>
      <c r="I1102" s="14" t="n">
        <v>1.1125</v>
      </c>
      <c r="J1102" s="14" t="n">
        <v>10.3051</v>
      </c>
      <c r="K1102" s="14" t="n">
        <v>1314.96</v>
      </c>
      <c r="L1102" s="14" t="n">
        <v>0.8685</v>
      </c>
      <c r="M1102" s="14" t="n">
        <v>7.7014</v>
      </c>
      <c r="N1102" s="14" t="n">
        <v>5.0146</v>
      </c>
      <c r="O1102" s="14" t="n">
        <v>119.58</v>
      </c>
      <c r="P1102" s="14" t="n">
        <v>9.263</v>
      </c>
    </row>
    <row r="1103" customFormat="false" ht="15" hidden="false" customHeight="false" outlineLevel="0" collapsed="false">
      <c r="A1103" s="13" t="n">
        <v>43895</v>
      </c>
      <c r="B1103" s="14" t="n">
        <v>1181.11</v>
      </c>
      <c r="C1103" s="14" t="n">
        <v>9.2792</v>
      </c>
      <c r="D1103" s="14" t="n">
        <v>1.2939</v>
      </c>
      <c r="E1103" s="14" t="n">
        <v>1.1202</v>
      </c>
      <c r="F1103" s="14" t="n">
        <v>6.9366</v>
      </c>
      <c r="G1103" s="14" t="n">
        <v>4.6533</v>
      </c>
      <c r="H1103" s="14" t="n">
        <v>106.56</v>
      </c>
      <c r="I1103" s="14" t="n">
        <v>1.1187</v>
      </c>
      <c r="J1103" s="14" t="n">
        <v>10.371</v>
      </c>
      <c r="K1103" s="14" t="n">
        <v>1327.01</v>
      </c>
      <c r="L1103" s="14" t="n">
        <v>0.8667</v>
      </c>
      <c r="M1103" s="14" t="n">
        <v>7.7579</v>
      </c>
      <c r="N1103" s="14" t="n">
        <v>5.148</v>
      </c>
      <c r="O1103" s="14" t="n">
        <v>119.63</v>
      </c>
      <c r="P1103" s="14" t="n">
        <v>9.2706</v>
      </c>
    </row>
    <row r="1104" customFormat="false" ht="15" hidden="false" customHeight="false" outlineLevel="0" collapsed="false">
      <c r="A1104" s="13" t="n">
        <v>43896</v>
      </c>
      <c r="B1104" s="14" t="n">
        <v>1192</v>
      </c>
      <c r="C1104" s="14" t="n">
        <v>9.2473</v>
      </c>
      <c r="D1104" s="14" t="n">
        <v>1.301</v>
      </c>
      <c r="E1104" s="14" t="n">
        <v>1.1319</v>
      </c>
      <c r="F1104" s="14" t="n">
        <v>6.9298</v>
      </c>
      <c r="G1104" s="14" t="n">
        <v>4.638</v>
      </c>
      <c r="H1104" s="14" t="n">
        <v>105.31</v>
      </c>
      <c r="I1104" s="14" t="n">
        <v>1.1336</v>
      </c>
      <c r="J1104" s="14" t="n">
        <v>10.4983</v>
      </c>
      <c r="K1104" s="14" t="n">
        <v>1351.63</v>
      </c>
      <c r="L1104" s="14" t="n">
        <v>0.87165</v>
      </c>
      <c r="M1104" s="14" t="n">
        <v>7.8511</v>
      </c>
      <c r="N1104" s="14" t="n">
        <v>5.2748</v>
      </c>
      <c r="O1104" s="14" t="n">
        <v>119.08</v>
      </c>
      <c r="P1104" s="14" t="n">
        <v>9.261</v>
      </c>
    </row>
    <row r="1105" customFormat="false" ht="15" hidden="false" customHeight="false" outlineLevel="0" collapsed="false">
      <c r="A1105" s="13" t="n">
        <v>43899</v>
      </c>
      <c r="B1105" s="14" t="n">
        <v>1203.75</v>
      </c>
      <c r="C1105" s="14" t="n">
        <v>9.4723</v>
      </c>
      <c r="D1105" s="14" t="n">
        <v>1.31</v>
      </c>
      <c r="E1105" s="14" t="n">
        <v>1.142</v>
      </c>
      <c r="F1105" s="14" t="n">
        <v>6.9448</v>
      </c>
      <c r="G1105" s="14" t="n">
        <v>4.7304</v>
      </c>
      <c r="H1105" s="14" t="n">
        <v>102.52</v>
      </c>
      <c r="I1105" s="14" t="n">
        <v>1.1456</v>
      </c>
      <c r="J1105" s="14" t="n">
        <v>10.89</v>
      </c>
      <c r="K1105" s="14" t="n">
        <v>1374.71</v>
      </c>
      <c r="L1105" s="14" t="n">
        <v>0.87383</v>
      </c>
      <c r="M1105" s="14" t="n">
        <v>7.96</v>
      </c>
      <c r="N1105" s="14" t="n">
        <v>5.4418</v>
      </c>
      <c r="O1105" s="14" t="n">
        <v>117.12</v>
      </c>
      <c r="P1105" s="14" t="n">
        <v>9.5059</v>
      </c>
    </row>
    <row r="1106" customFormat="false" ht="15" hidden="false" customHeight="false" outlineLevel="0" collapsed="false">
      <c r="A1106" s="13" t="n">
        <v>43900</v>
      </c>
      <c r="B1106" s="14" t="n">
        <v>1193.1</v>
      </c>
      <c r="C1106" s="14" t="n">
        <v>9.6008</v>
      </c>
      <c r="D1106" s="14" t="n">
        <v>1.2933</v>
      </c>
      <c r="E1106" s="14" t="n">
        <v>1.1342</v>
      </c>
      <c r="F1106" s="14" t="n">
        <v>6.9549</v>
      </c>
      <c r="G1106" s="14" t="n">
        <v>4.6745</v>
      </c>
      <c r="H1106" s="14" t="n">
        <v>103.71</v>
      </c>
      <c r="I1106" s="14" t="n">
        <v>1.139</v>
      </c>
      <c r="J1106" s="14" t="n">
        <v>10.8433</v>
      </c>
      <c r="K1106" s="14" t="n">
        <v>1357.12</v>
      </c>
      <c r="L1106" s="14" t="n">
        <v>0.87385</v>
      </c>
      <c r="M1106" s="14" t="n">
        <v>7.924</v>
      </c>
      <c r="N1106" s="14" t="n">
        <v>5.3243</v>
      </c>
      <c r="O1106" s="14" t="n">
        <v>118.65</v>
      </c>
      <c r="P1106" s="14" t="n">
        <v>9.52</v>
      </c>
    </row>
    <row r="1107" customFormat="false" ht="15" hidden="false" customHeight="false" outlineLevel="0" collapsed="false">
      <c r="A1107" s="13" t="n">
        <v>43901</v>
      </c>
      <c r="B1107" s="14" t="n">
        <v>1194.16</v>
      </c>
      <c r="C1107" s="14" t="n">
        <v>9.6262</v>
      </c>
      <c r="D1107" s="14" t="n">
        <v>1.2887</v>
      </c>
      <c r="E1107" s="14" t="n">
        <v>1.128</v>
      </c>
      <c r="F1107" s="14" t="n">
        <v>6.9595</v>
      </c>
      <c r="G1107" s="14" t="n">
        <v>4.6844</v>
      </c>
      <c r="H1107" s="14" t="n">
        <v>104.81</v>
      </c>
      <c r="I1107" s="14" t="n">
        <v>1.1336</v>
      </c>
      <c r="J1107" s="14" t="n">
        <v>10.8558</v>
      </c>
      <c r="K1107" s="14" t="n">
        <v>1348.07</v>
      </c>
      <c r="L1107" s="14" t="n">
        <v>0.8769</v>
      </c>
      <c r="M1107" s="14" t="n">
        <v>7.8801</v>
      </c>
      <c r="N1107" s="14" t="n">
        <v>5.2874</v>
      </c>
      <c r="O1107" s="14" t="n">
        <v>118.55</v>
      </c>
      <c r="P1107" s="14" t="n">
        <v>9.5764</v>
      </c>
    </row>
    <row r="1108" customFormat="false" ht="15" hidden="false" customHeight="false" outlineLevel="0" collapsed="false">
      <c r="A1108" s="13" t="n">
        <v>43902</v>
      </c>
      <c r="B1108" s="14" t="n">
        <v>1206.19</v>
      </c>
      <c r="C1108" s="14" t="n">
        <v>10.1959</v>
      </c>
      <c r="D1108" s="14" t="n">
        <v>1.2541</v>
      </c>
      <c r="E1108" s="14" t="n">
        <v>1.1081</v>
      </c>
      <c r="F1108" s="14" t="n">
        <v>7.0282</v>
      </c>
      <c r="G1108" s="14" t="n">
        <v>4.8563</v>
      </c>
      <c r="H1108" s="14" t="n">
        <v>105.67</v>
      </c>
      <c r="I1108" s="14" t="n">
        <v>1.124</v>
      </c>
      <c r="J1108" s="14" t="n">
        <v>11.3682</v>
      </c>
      <c r="K1108" s="14" t="n">
        <v>1359.4</v>
      </c>
      <c r="L1108" s="14" t="n">
        <v>0.88623</v>
      </c>
      <c r="M1108" s="14" t="n">
        <v>7.8877</v>
      </c>
      <c r="N1108" s="14" t="n">
        <v>5.5081</v>
      </c>
      <c r="O1108" s="14" t="n">
        <v>116.84</v>
      </c>
      <c r="P1108" s="14" t="n">
        <v>10.1141</v>
      </c>
    </row>
    <row r="1109" customFormat="false" ht="15" hidden="false" customHeight="false" outlineLevel="0" collapsed="false">
      <c r="A1109" s="13" t="n">
        <v>43903</v>
      </c>
      <c r="B1109" s="14" t="n">
        <v>1211.7</v>
      </c>
      <c r="C1109" s="14" t="n">
        <v>10.0904</v>
      </c>
      <c r="D1109" s="14" t="n">
        <v>1.2406</v>
      </c>
      <c r="E1109" s="14" t="n">
        <v>1.1066</v>
      </c>
      <c r="F1109" s="14" t="n">
        <v>7.0079</v>
      </c>
      <c r="G1109" s="14" t="n">
        <v>4.7622</v>
      </c>
      <c r="H1109" s="14" t="n">
        <v>107.15</v>
      </c>
      <c r="I1109" s="14" t="n">
        <v>1.1104</v>
      </c>
      <c r="J1109" s="14" t="n">
        <v>11.0966</v>
      </c>
      <c r="K1109" s="14" t="n">
        <v>1341.38</v>
      </c>
      <c r="L1109" s="14" t="n">
        <v>0.8907</v>
      </c>
      <c r="M1109" s="14" t="n">
        <v>7.7587</v>
      </c>
      <c r="N1109" s="14" t="n">
        <v>5.2042</v>
      </c>
      <c r="O1109" s="14" t="n">
        <v>119.11</v>
      </c>
      <c r="P1109" s="14" t="n">
        <v>9.9933</v>
      </c>
    </row>
    <row r="1110" customFormat="false" ht="15" hidden="false" customHeight="false" outlineLevel="0" collapsed="false">
      <c r="A1110" s="13" t="n">
        <v>43906</v>
      </c>
      <c r="B1110" s="14" t="n">
        <v>1225.33</v>
      </c>
      <c r="C1110" s="14" t="n">
        <v>10.2664</v>
      </c>
      <c r="D1110" s="14" t="n">
        <v>1.2278</v>
      </c>
      <c r="E1110" s="14" t="n">
        <v>1.1139</v>
      </c>
      <c r="F1110" s="14" t="n">
        <v>6.9913</v>
      </c>
      <c r="G1110" s="14" t="n">
        <v>4.9813</v>
      </c>
      <c r="H1110" s="14" t="n">
        <v>105.64</v>
      </c>
      <c r="I1110" s="14" t="n">
        <v>1.1157</v>
      </c>
      <c r="J1110" s="14" t="n">
        <v>11.4765</v>
      </c>
      <c r="K1110" s="14" t="n">
        <v>1373.34</v>
      </c>
      <c r="L1110" s="14" t="n">
        <v>0.90918</v>
      </c>
      <c r="M1110" s="14" t="n">
        <v>7.8351</v>
      </c>
      <c r="N1110" s="14" t="n">
        <v>5.5381</v>
      </c>
      <c r="O1110" s="14" t="n">
        <v>117.76</v>
      </c>
      <c r="P1110" s="14" t="n">
        <v>10.2864</v>
      </c>
    </row>
    <row r="1111" customFormat="false" ht="15" hidden="false" customHeight="false" outlineLevel="0" collapsed="false">
      <c r="A1111" s="13" t="n">
        <v>43907</v>
      </c>
      <c r="B1111" s="14" t="n">
        <v>1240.98</v>
      </c>
      <c r="C1111" s="14" t="n">
        <v>10.4332</v>
      </c>
      <c r="D1111" s="14" t="n">
        <v>1.2017</v>
      </c>
      <c r="E1111" s="14" t="n">
        <v>1.0971</v>
      </c>
      <c r="F1111" s="14" t="n">
        <v>7.003</v>
      </c>
      <c r="G1111" s="14" t="n">
        <v>5.0185</v>
      </c>
      <c r="H1111" s="14" t="n">
        <v>107.41</v>
      </c>
      <c r="I1111" s="14" t="n">
        <v>1.0982</v>
      </c>
      <c r="J1111" s="14" t="n">
        <v>11.5063</v>
      </c>
      <c r="K1111" s="14" t="n">
        <v>1365.21</v>
      </c>
      <c r="L1111" s="14" t="n">
        <v>0.90823</v>
      </c>
      <c r="M1111" s="14" t="n">
        <v>7.7095</v>
      </c>
      <c r="N1111" s="14" t="n">
        <v>5.528</v>
      </c>
      <c r="O1111" s="14" t="n">
        <v>117.5</v>
      </c>
      <c r="P1111" s="14" t="n">
        <v>10.4774</v>
      </c>
    </row>
    <row r="1112" customFormat="false" ht="15" hidden="false" customHeight="false" outlineLevel="0" collapsed="false">
      <c r="A1112" s="13" t="n">
        <v>43908</v>
      </c>
      <c r="B1112" s="14" t="n">
        <v>1245.19</v>
      </c>
      <c r="C1112" s="14" t="n">
        <v>11.0912</v>
      </c>
      <c r="D1112" s="14" t="n">
        <v>1.176</v>
      </c>
      <c r="E1112" s="14" t="n">
        <v>1.0833</v>
      </c>
      <c r="F1112" s="14" t="n">
        <v>7.0459</v>
      </c>
      <c r="G1112" s="14" t="n">
        <v>5.1136</v>
      </c>
      <c r="H1112" s="14" t="n">
        <v>108.45</v>
      </c>
      <c r="I1112" s="14" t="n">
        <v>1.0934</v>
      </c>
      <c r="J1112" s="14" t="n">
        <v>11.701</v>
      </c>
      <c r="K1112" s="14" t="n">
        <v>1377.8</v>
      </c>
      <c r="L1112" s="14" t="n">
        <v>0.9219</v>
      </c>
      <c r="M1112" s="14" t="n">
        <v>7.6925</v>
      </c>
      <c r="N1112" s="14" t="n">
        <v>5.6133</v>
      </c>
      <c r="O1112" s="14" t="n">
        <v>117.78</v>
      </c>
      <c r="P1112" s="14" t="n">
        <v>10.7015</v>
      </c>
    </row>
    <row r="1113" customFormat="false" ht="15" hidden="false" customHeight="false" outlineLevel="0" collapsed="false">
      <c r="A1113" s="13" t="n">
        <v>43909</v>
      </c>
      <c r="B1113" s="14" t="n">
        <v>1250.86</v>
      </c>
      <c r="C1113" s="14" t="n">
        <v>11.2584</v>
      </c>
      <c r="D1113" s="14" t="n">
        <v>1.1662</v>
      </c>
      <c r="E1113" s="14" t="n">
        <v>1.0699</v>
      </c>
      <c r="F1113" s="14" t="n">
        <v>7.1058</v>
      </c>
      <c r="G1113" s="14" t="n">
        <v>5.1503</v>
      </c>
      <c r="H1113" s="14" t="n">
        <v>110.08</v>
      </c>
      <c r="I1113" s="14" t="n">
        <v>1.0801</v>
      </c>
      <c r="J1113" s="14" t="n">
        <v>12.3165</v>
      </c>
      <c r="K1113" s="14" t="n">
        <v>1364.14</v>
      </c>
      <c r="L1113" s="14" t="n">
        <v>0.92985</v>
      </c>
      <c r="M1113" s="14" t="n">
        <v>7.6849</v>
      </c>
      <c r="N1113" s="14" t="n">
        <v>5.6037</v>
      </c>
      <c r="O1113" s="14" t="n">
        <v>118.63</v>
      </c>
      <c r="P1113" s="14" t="n">
        <v>11.4031</v>
      </c>
    </row>
    <row r="1114" customFormat="false" ht="15" hidden="false" customHeight="false" outlineLevel="0" collapsed="false">
      <c r="A1114" s="13" t="n">
        <v>43910</v>
      </c>
      <c r="B1114" s="14" t="n">
        <v>1250.55</v>
      </c>
      <c r="C1114" s="14" t="n">
        <v>11.6842</v>
      </c>
      <c r="D1114" s="14" t="n">
        <v>1.1743</v>
      </c>
      <c r="E1114" s="14" t="n">
        <v>1.0682</v>
      </c>
      <c r="F1114" s="14" t="n">
        <v>7.095</v>
      </c>
      <c r="G1114" s="14" t="n">
        <v>5.001</v>
      </c>
      <c r="H1114" s="14" t="n">
        <v>111.3</v>
      </c>
      <c r="I1114" s="14" t="n">
        <v>1.0707</v>
      </c>
      <c r="J1114" s="14" t="n">
        <v>12.1215</v>
      </c>
      <c r="K1114" s="14" t="n">
        <v>1335.64</v>
      </c>
      <c r="L1114" s="14" t="n">
        <v>0.91028</v>
      </c>
      <c r="M1114" s="14" t="n">
        <v>7.5919</v>
      </c>
      <c r="N1114" s="14" t="n">
        <v>5.3937</v>
      </c>
      <c r="O1114" s="14" t="n">
        <v>118.37</v>
      </c>
      <c r="P1114" s="14" t="n">
        <v>11.3211</v>
      </c>
    </row>
    <row r="1115" customFormat="false" ht="15" hidden="false" customHeight="false" outlineLevel="0" collapsed="false">
      <c r="A1115" s="13" t="n">
        <v>43913</v>
      </c>
      <c r="B1115" s="14" t="n">
        <v>1267.25</v>
      </c>
      <c r="C1115" s="14" t="n">
        <v>11.2963</v>
      </c>
      <c r="D1115" s="14" t="n">
        <v>1.1492</v>
      </c>
      <c r="E1115" s="14" t="n">
        <v>1.076</v>
      </c>
      <c r="F1115" s="14" t="n">
        <v>7.09</v>
      </c>
      <c r="G1115" s="14" t="n">
        <v>5.1286</v>
      </c>
      <c r="H1115" s="14" t="n">
        <v>111.36</v>
      </c>
      <c r="I1115" s="14" t="n">
        <v>1.0783</v>
      </c>
      <c r="J1115" s="14" t="n">
        <v>12.2568</v>
      </c>
      <c r="K1115" s="14" t="n">
        <v>1355.1</v>
      </c>
      <c r="L1115" s="14" t="n">
        <v>0.9297</v>
      </c>
      <c r="M1115" s="14" t="n">
        <v>7.6385</v>
      </c>
      <c r="N1115" s="14" t="n">
        <v>5.4652</v>
      </c>
      <c r="O1115" s="14" t="n">
        <v>119.11</v>
      </c>
      <c r="P1115" s="14" t="n">
        <v>11.3668</v>
      </c>
    </row>
    <row r="1116" customFormat="false" ht="15" hidden="false" customHeight="false" outlineLevel="0" collapsed="false">
      <c r="A1116" s="13" t="n">
        <v>43914</v>
      </c>
      <c r="B1116" s="14" t="n">
        <v>1249.88</v>
      </c>
      <c r="C1116" s="14" t="n">
        <v>11.0926</v>
      </c>
      <c r="D1116" s="14" t="n">
        <v>1.1784</v>
      </c>
      <c r="E1116" s="14" t="n">
        <v>1.0794</v>
      </c>
      <c r="F1116" s="14" t="n">
        <v>7.061</v>
      </c>
      <c r="G1116" s="14" t="n">
        <v>5.0731</v>
      </c>
      <c r="H1116" s="14" t="n">
        <v>111.44</v>
      </c>
      <c r="I1116" s="14" t="n">
        <v>1.0843</v>
      </c>
      <c r="J1116" s="14" t="n">
        <v>11.9745</v>
      </c>
      <c r="K1116" s="14" t="n">
        <v>1346.65</v>
      </c>
      <c r="L1116" s="14" t="n">
        <v>0.921</v>
      </c>
      <c r="M1116" s="14" t="n">
        <v>7.6549</v>
      </c>
      <c r="N1116" s="14" t="n">
        <v>5.5116</v>
      </c>
      <c r="O1116" s="14" t="n">
        <v>119.99</v>
      </c>
      <c r="P1116" s="14" t="n">
        <v>11.0435</v>
      </c>
    </row>
    <row r="1117" customFormat="false" ht="15" hidden="false" customHeight="false" outlineLevel="0" collapsed="false">
      <c r="A1117" s="13" t="n">
        <v>43915</v>
      </c>
      <c r="B1117" s="14" t="n">
        <v>1228.15</v>
      </c>
      <c r="C1117" s="14" t="n">
        <v>10.9069</v>
      </c>
      <c r="D1117" s="14" t="n">
        <v>1.1763</v>
      </c>
      <c r="E1117" s="14" t="n">
        <v>1.0835</v>
      </c>
      <c r="F1117" s="14" t="n">
        <v>7.1099</v>
      </c>
      <c r="G1117" s="14" t="n">
        <v>5.0589</v>
      </c>
      <c r="H1117" s="14" t="n">
        <v>111.43</v>
      </c>
      <c r="I1117" s="14" t="n">
        <v>1.0827</v>
      </c>
      <c r="J1117" s="14" t="n">
        <v>11.7745</v>
      </c>
      <c r="K1117" s="14" t="n">
        <v>1334.82</v>
      </c>
      <c r="L1117" s="14" t="n">
        <v>0.91503</v>
      </c>
      <c r="M1117" s="14" t="n">
        <v>7.6844</v>
      </c>
      <c r="N1117" s="14" t="n">
        <v>5.4937</v>
      </c>
      <c r="O1117" s="14" t="n">
        <v>120.67</v>
      </c>
      <c r="P1117" s="14" t="n">
        <v>10.8751</v>
      </c>
    </row>
    <row r="1118" customFormat="false" ht="15" hidden="false" customHeight="false" outlineLevel="0" collapsed="false">
      <c r="A1118" s="13" t="n">
        <v>43916</v>
      </c>
      <c r="B1118" s="14" t="n">
        <v>1233.47</v>
      </c>
      <c r="C1118" s="14" t="n">
        <v>10.401</v>
      </c>
      <c r="D1118" s="14" t="n">
        <v>1.214</v>
      </c>
      <c r="E1118" s="14" t="n">
        <v>1.1025</v>
      </c>
      <c r="F1118" s="14" t="n">
        <v>7.0709</v>
      </c>
      <c r="G1118" s="14" t="n">
        <v>4.9972</v>
      </c>
      <c r="H1118" s="14" t="n">
        <v>109.45</v>
      </c>
      <c r="I1118" s="14" t="n">
        <v>1.0981</v>
      </c>
      <c r="J1118" s="14" t="n">
        <v>11.5273</v>
      </c>
      <c r="K1118" s="14" t="n">
        <v>1336.46</v>
      </c>
      <c r="L1118" s="14" t="n">
        <v>0.91348</v>
      </c>
      <c r="M1118" s="14" t="n">
        <v>7.7675</v>
      </c>
      <c r="N1118" s="14" t="n">
        <v>5.4806</v>
      </c>
      <c r="O1118" s="14" t="n">
        <v>120.18</v>
      </c>
      <c r="P1118" s="14" t="n">
        <v>10.4975</v>
      </c>
    </row>
    <row r="1119" customFormat="false" ht="15" hidden="false" customHeight="false" outlineLevel="0" collapsed="false">
      <c r="A1119" s="13" t="n">
        <v>43917</v>
      </c>
      <c r="B1119" s="14" t="n">
        <v>1210.49</v>
      </c>
      <c r="C1119" s="14" t="n">
        <v>10.5017</v>
      </c>
      <c r="D1119" s="14" t="n">
        <v>1.236</v>
      </c>
      <c r="E1119" s="14" t="n">
        <v>1.1059</v>
      </c>
      <c r="F1119" s="14" t="n">
        <v>7.0942</v>
      </c>
      <c r="G1119" s="14" t="n">
        <v>5.1113</v>
      </c>
      <c r="H1119" s="14" t="n">
        <v>108.16</v>
      </c>
      <c r="I1119" s="14" t="n">
        <v>1.0977</v>
      </c>
      <c r="J1119" s="14" t="n">
        <v>11.6558</v>
      </c>
      <c r="K1119" s="14" t="n">
        <v>1346.31</v>
      </c>
      <c r="L1119" s="14" t="n">
        <v>0.89743</v>
      </c>
      <c r="M1119" s="14" t="n">
        <v>7.7894</v>
      </c>
      <c r="N1119" s="14" t="n">
        <v>5.5905</v>
      </c>
      <c r="O1119" s="14" t="n">
        <v>119.36</v>
      </c>
      <c r="P1119" s="14" t="n">
        <v>10.6184</v>
      </c>
    </row>
    <row r="1120" customFormat="false" ht="15" hidden="false" customHeight="false" outlineLevel="0" collapsed="false">
      <c r="A1120" s="13" t="n">
        <v>43920</v>
      </c>
      <c r="B1120" s="14" t="n">
        <v>1224.11</v>
      </c>
      <c r="C1120" s="14" t="n">
        <v>10.6095</v>
      </c>
      <c r="D1120" s="14" t="n">
        <v>1.2392</v>
      </c>
      <c r="E1120" s="14" t="n">
        <v>1.1018</v>
      </c>
      <c r="F1120" s="14" t="n">
        <v>7.0986</v>
      </c>
      <c r="G1120" s="14" t="n">
        <v>5.1593</v>
      </c>
      <c r="H1120" s="14" t="n">
        <v>108.06</v>
      </c>
      <c r="I1120" s="14" t="n">
        <v>1.1034</v>
      </c>
      <c r="J1120" s="14" t="n">
        <v>11.6888</v>
      </c>
      <c r="K1120" s="14" t="n">
        <v>1351.52</v>
      </c>
      <c r="L1120" s="14" t="n">
        <v>0.889</v>
      </c>
      <c r="M1120" s="14" t="n">
        <v>7.8337</v>
      </c>
      <c r="N1120" s="14" t="n">
        <v>5.6511</v>
      </c>
      <c r="O1120" s="14" t="n">
        <v>119.34</v>
      </c>
      <c r="P1120" s="14" t="n">
        <v>10.5934</v>
      </c>
    </row>
    <row r="1121" customFormat="false" ht="15" hidden="false" customHeight="false" outlineLevel="0" collapsed="false">
      <c r="A1121" s="13" t="n">
        <v>43921</v>
      </c>
      <c r="B1121" s="14" t="n">
        <v>1218.92</v>
      </c>
      <c r="C1121" s="14" t="n">
        <v>10.4059</v>
      </c>
      <c r="D1121" s="14" t="n">
        <v>1.2454</v>
      </c>
      <c r="E1121" s="14" t="n">
        <v>1.1016</v>
      </c>
      <c r="F1121" s="14" t="n">
        <v>7.0808</v>
      </c>
      <c r="G1121" s="14" t="n">
        <v>5.1855</v>
      </c>
      <c r="H1121" s="14" t="n">
        <v>107.53</v>
      </c>
      <c r="I1121" s="14" t="n">
        <v>1.0956</v>
      </c>
      <c r="J1121" s="14" t="n">
        <v>11.51</v>
      </c>
      <c r="K1121" s="14" t="n">
        <v>1341.03</v>
      </c>
      <c r="L1121" s="14" t="n">
        <v>0.88643</v>
      </c>
      <c r="M1121" s="14" t="n">
        <v>7.7784</v>
      </c>
      <c r="N1121" s="14" t="n">
        <v>5.7001</v>
      </c>
      <c r="O1121" s="14" t="n">
        <v>118.9</v>
      </c>
      <c r="P1121" s="14" t="n">
        <v>10.5057</v>
      </c>
    </row>
    <row r="1122" customFormat="false" ht="15" hidden="false" customHeight="false" outlineLevel="0" collapsed="false">
      <c r="A1122" s="13" t="n">
        <v>43922</v>
      </c>
      <c r="B1122" s="14" t="n">
        <v>1229.65</v>
      </c>
      <c r="C1122" s="14" t="n">
        <v>10.4593</v>
      </c>
      <c r="D1122" s="14" t="n">
        <v>1.2394</v>
      </c>
      <c r="E1122" s="14" t="n">
        <v>1.0934</v>
      </c>
      <c r="F1122" s="14" t="n">
        <v>7.0989</v>
      </c>
      <c r="G1122" s="14" t="n">
        <v>5.2494</v>
      </c>
      <c r="H1122" s="14" t="n">
        <v>107.05</v>
      </c>
      <c r="I1122" s="14" t="n">
        <v>1.0936</v>
      </c>
      <c r="J1122" s="14" t="n">
        <v>11.2685</v>
      </c>
      <c r="K1122" s="14" t="n">
        <v>1346.48</v>
      </c>
      <c r="L1122" s="14" t="n">
        <v>0.8846</v>
      </c>
      <c r="M1122" s="14" t="n">
        <v>7.7653</v>
      </c>
      <c r="N1122" s="14" t="n">
        <v>5.7349</v>
      </c>
      <c r="O1122" s="14" t="n">
        <v>117.55</v>
      </c>
      <c r="P1122" s="14" t="n">
        <v>10.304</v>
      </c>
    </row>
    <row r="1123" customFormat="false" ht="15" hidden="false" customHeight="false" outlineLevel="0" collapsed="false">
      <c r="A1123" s="13" t="n">
        <v>43923</v>
      </c>
      <c r="B1123" s="14" t="n">
        <v>1229.89</v>
      </c>
      <c r="C1123" s="14" t="n">
        <v>10.3592</v>
      </c>
      <c r="D1123" s="14" t="n">
        <v>1.238</v>
      </c>
      <c r="E1123" s="14" t="n">
        <v>1.0862</v>
      </c>
      <c r="F1123" s="14" t="n">
        <v>7.0857</v>
      </c>
      <c r="G1123" s="14" t="n">
        <v>5.2649</v>
      </c>
      <c r="H1123" s="14" t="n">
        <v>107.85</v>
      </c>
      <c r="I1123" s="14" t="n">
        <v>1.0906</v>
      </c>
      <c r="J1123" s="14" t="n">
        <v>11.2345</v>
      </c>
      <c r="K1123" s="14" t="n">
        <v>1339.88</v>
      </c>
      <c r="L1123" s="14" t="n">
        <v>0.87738</v>
      </c>
      <c r="M1123" s="14" t="n">
        <v>7.7387</v>
      </c>
      <c r="N1123" s="14" t="n">
        <v>5.7023</v>
      </c>
      <c r="O1123" s="14" t="n">
        <v>117.06</v>
      </c>
      <c r="P1123" s="14" t="n">
        <v>10.3012</v>
      </c>
    </row>
    <row r="1124" customFormat="false" ht="15" hidden="false" customHeight="false" outlineLevel="0" collapsed="false">
      <c r="A1124" s="13" t="n">
        <v>43924</v>
      </c>
      <c r="B1124" s="14" t="n">
        <v>1230.56</v>
      </c>
      <c r="C1124" s="14" t="n">
        <v>10.5712</v>
      </c>
      <c r="D1124" s="14" t="n">
        <v>1.2228</v>
      </c>
      <c r="E1124" s="14" t="n">
        <v>1.0797</v>
      </c>
      <c r="F1124" s="14" t="n">
        <v>7.0908</v>
      </c>
      <c r="G1124" s="14" t="n">
        <v>5.3129</v>
      </c>
      <c r="H1124" s="14" t="n">
        <v>108.53</v>
      </c>
      <c r="I1124" s="14" t="n">
        <v>1.0785</v>
      </c>
      <c r="J1124" s="14" t="n">
        <v>11.2628</v>
      </c>
      <c r="K1124" s="14" t="n">
        <v>1332.82</v>
      </c>
      <c r="L1124" s="14" t="n">
        <v>0.8785</v>
      </c>
      <c r="M1124" s="14" t="n">
        <v>7.6476</v>
      </c>
      <c r="N1124" s="14" t="n">
        <v>5.6893</v>
      </c>
      <c r="O1124" s="14" t="n">
        <v>117.1</v>
      </c>
      <c r="P1124" s="14" t="n">
        <v>10.443</v>
      </c>
    </row>
    <row r="1125" customFormat="false" ht="15" hidden="false" customHeight="false" outlineLevel="0" collapsed="false">
      <c r="A1125" s="13" t="n">
        <v>43927</v>
      </c>
      <c r="B1125" s="14" t="n">
        <v>1224.6</v>
      </c>
      <c r="C1125" s="14" t="n">
        <v>10.4341</v>
      </c>
      <c r="D1125" s="14" t="n">
        <v>1.2298</v>
      </c>
      <c r="E1125" s="14" t="n">
        <v>1.0808</v>
      </c>
      <c r="F1125" s="14" t="n">
        <v>7.0895</v>
      </c>
      <c r="G1125" s="14" t="n">
        <v>5.2342</v>
      </c>
      <c r="H1125" s="14" t="n">
        <v>109.11</v>
      </c>
      <c r="I1125" s="14" t="n">
        <v>1.0791</v>
      </c>
      <c r="J1125" s="14" t="n">
        <v>11.3875</v>
      </c>
      <c r="K1125" s="14" t="n">
        <v>1326.04</v>
      </c>
      <c r="L1125" s="14" t="n">
        <v>0.878</v>
      </c>
      <c r="M1125" s="14" t="n">
        <v>7.6519</v>
      </c>
      <c r="N1125" s="14" t="n">
        <v>5.7056</v>
      </c>
      <c r="O1125" s="14" t="n">
        <v>117.54</v>
      </c>
      <c r="P1125" s="14" t="n">
        <v>10.5528</v>
      </c>
    </row>
    <row r="1126" customFormat="false" ht="15" hidden="false" customHeight="false" outlineLevel="0" collapsed="false">
      <c r="A1126" s="13" t="n">
        <v>43928</v>
      </c>
      <c r="B1126" s="14" t="n">
        <v>1220.43</v>
      </c>
      <c r="C1126" s="14" t="n">
        <v>10.2449</v>
      </c>
      <c r="D1126" s="14" t="n">
        <v>1.2343</v>
      </c>
      <c r="E1126" s="14" t="n">
        <v>1.0886</v>
      </c>
      <c r="F1126" s="14" t="n">
        <v>7.0448</v>
      </c>
      <c r="G1126" s="14" t="n">
        <v>5.2319</v>
      </c>
      <c r="H1126" s="14" t="n">
        <v>108.97</v>
      </c>
      <c r="I1126" s="14" t="n">
        <v>1.0885</v>
      </c>
      <c r="J1126" s="14" t="n">
        <v>11.0945</v>
      </c>
      <c r="K1126" s="14" t="n">
        <v>1319.39</v>
      </c>
      <c r="L1126" s="14" t="n">
        <v>0.88093</v>
      </c>
      <c r="M1126" s="14" t="n">
        <v>7.6802</v>
      </c>
      <c r="N1126" s="14" t="n">
        <v>5.6678</v>
      </c>
      <c r="O1126" s="14" t="n">
        <v>118.55</v>
      </c>
      <c r="P1126" s="14" t="n">
        <v>10.1925</v>
      </c>
    </row>
    <row r="1127" customFormat="false" ht="15" hidden="false" customHeight="false" outlineLevel="0" collapsed="false">
      <c r="A1127" s="13" t="n">
        <v>43929</v>
      </c>
      <c r="B1127" s="14" t="n">
        <v>1220.77</v>
      </c>
      <c r="C1127" s="14" t="n">
        <v>10.2676</v>
      </c>
      <c r="D1127" s="14" t="n">
        <v>1.2394</v>
      </c>
      <c r="E1127" s="14" t="n">
        <v>1.0864</v>
      </c>
      <c r="F1127" s="14" t="n">
        <v>7.0649</v>
      </c>
      <c r="G1127" s="14" t="n">
        <v>5.1701</v>
      </c>
      <c r="H1127" s="14" t="n">
        <v>108.7</v>
      </c>
      <c r="I1127" s="14" t="n">
        <v>1.0871</v>
      </c>
      <c r="J1127" s="14" t="n">
        <v>11.194</v>
      </c>
      <c r="K1127" s="14" t="n">
        <v>1324.36</v>
      </c>
      <c r="L1127" s="14" t="n">
        <v>0.87948</v>
      </c>
      <c r="M1127" s="14" t="n">
        <v>7.6818</v>
      </c>
      <c r="N1127" s="14" t="n">
        <v>5.6741</v>
      </c>
      <c r="O1127" s="14" t="n">
        <v>118.36</v>
      </c>
      <c r="P1127" s="14" t="n">
        <v>10.2971</v>
      </c>
    </row>
    <row r="1128" customFormat="false" ht="15" hidden="false" customHeight="false" outlineLevel="0" collapsed="false">
      <c r="A1128" s="13" t="n">
        <v>43930</v>
      </c>
      <c r="B1128" s="14" t="n">
        <v>1219.71</v>
      </c>
      <c r="C1128" s="14" t="n">
        <v>10.1992</v>
      </c>
      <c r="D1128" s="14" t="n">
        <v>1.2458</v>
      </c>
      <c r="E1128" s="14" t="n">
        <v>1.0931</v>
      </c>
      <c r="F1128" s="14" t="n">
        <v>7.0428</v>
      </c>
      <c r="G1128" s="14" t="n">
        <v>5.0708</v>
      </c>
      <c r="H1128" s="14" t="n">
        <v>108.38</v>
      </c>
      <c r="I1128" s="14" t="n">
        <v>1.0867</v>
      </c>
      <c r="J1128" s="14" t="n">
        <v>11.2143</v>
      </c>
      <c r="K1128" s="14" t="n">
        <v>1322.49</v>
      </c>
      <c r="L1128" s="14" t="n">
        <v>0.87565</v>
      </c>
      <c r="M1128" s="14" t="n">
        <v>7.6709</v>
      </c>
      <c r="N1128" s="14" t="n">
        <v>5.5956</v>
      </c>
      <c r="O1128" s="14" t="n">
        <v>118.33</v>
      </c>
    </row>
    <row r="1129" customFormat="false" ht="15" hidden="false" customHeight="false" outlineLevel="0" collapsed="false">
      <c r="A1129" s="13" t="n">
        <v>43931</v>
      </c>
      <c r="B1129" s="14" t="n">
        <v>1211.71</v>
      </c>
      <c r="C1129" s="14" t="n">
        <v>10.175</v>
      </c>
      <c r="D1129" s="14" t="n">
        <v>1.2485</v>
      </c>
      <c r="E1129" s="14" t="n">
        <v>1.0951</v>
      </c>
      <c r="F1129" s="14" t="n">
        <v>7.0341</v>
      </c>
      <c r="G1129" s="14" t="n">
        <v>5.1063</v>
      </c>
      <c r="H1129" s="14" t="n">
        <v>108.39</v>
      </c>
    </row>
    <row r="1130" customFormat="false" ht="15" hidden="false" customHeight="false" outlineLevel="0" collapsed="false">
      <c r="A1130" s="13" t="n">
        <v>43934</v>
      </c>
      <c r="B1130" s="14" t="n">
        <v>1217.72</v>
      </c>
      <c r="C1130" s="14" t="n">
        <v>10.3121</v>
      </c>
      <c r="D1130" s="14" t="n">
        <v>1.2518</v>
      </c>
      <c r="E1130" s="14" t="n">
        <v>1.0906</v>
      </c>
      <c r="F1130" s="14" t="n">
        <v>7.0501</v>
      </c>
      <c r="G1130" s="14" t="n">
        <v>5.1871</v>
      </c>
      <c r="H1130" s="14" t="n">
        <v>107.59</v>
      </c>
    </row>
    <row r="1131" customFormat="false" ht="15" hidden="false" customHeight="false" outlineLevel="0" collapsed="false">
      <c r="A1131" s="13" t="n">
        <v>43935</v>
      </c>
      <c r="B1131" s="14" t="n">
        <v>1216.85</v>
      </c>
      <c r="C1131" s="14" t="n">
        <v>10.3037</v>
      </c>
      <c r="D1131" s="14" t="n">
        <v>1.2617</v>
      </c>
      <c r="E1131" s="14" t="n">
        <v>1.0971</v>
      </c>
      <c r="F1131" s="14" t="n">
        <v>7.0479</v>
      </c>
      <c r="G1131" s="14" t="n">
        <v>5.2074</v>
      </c>
      <c r="H1131" s="14" t="n">
        <v>107.08</v>
      </c>
      <c r="I1131" s="14" t="n">
        <v>1.0963</v>
      </c>
      <c r="J1131" s="14" t="n">
        <v>11.3118</v>
      </c>
      <c r="K1131" s="14" t="n">
        <v>1332.53</v>
      </c>
      <c r="L1131" s="14" t="n">
        <v>0.87253</v>
      </c>
      <c r="M1131" s="14" t="n">
        <v>7.7366</v>
      </c>
      <c r="N1131" s="14" t="n">
        <v>5.6585</v>
      </c>
      <c r="O1131" s="14" t="n">
        <v>117.66</v>
      </c>
      <c r="P1131" s="14" t="n">
        <v>10.3182</v>
      </c>
    </row>
    <row r="1132" customFormat="false" ht="15" hidden="false" customHeight="false" outlineLevel="0" collapsed="false">
      <c r="A1132" s="13" t="n">
        <v>43936</v>
      </c>
      <c r="B1132" s="14" t="n">
        <v>1224.55</v>
      </c>
      <c r="C1132" s="14" t="n">
        <v>10.5356</v>
      </c>
      <c r="D1132" s="14" t="n">
        <v>1.2523</v>
      </c>
      <c r="E1132" s="14" t="n">
        <v>1.0909</v>
      </c>
      <c r="F1132" s="14" t="n">
        <v>7.0664</v>
      </c>
      <c r="G1132" s="14" t="n">
        <v>5.2559</v>
      </c>
      <c r="H1132" s="14" t="n">
        <v>107.42</v>
      </c>
      <c r="I1132" s="14" t="n">
        <v>1.0903</v>
      </c>
      <c r="J1132" s="14" t="n">
        <v>11.4503</v>
      </c>
      <c r="K1132" s="14" t="n">
        <v>1330.54</v>
      </c>
      <c r="L1132" s="14" t="n">
        <v>0.87385</v>
      </c>
      <c r="M1132" s="14" t="n">
        <v>7.6998</v>
      </c>
      <c r="N1132" s="14" t="n">
        <v>5.7116</v>
      </c>
      <c r="O1132" s="14" t="n">
        <v>117.12</v>
      </c>
      <c r="P1132" s="14" t="n">
        <v>10.502</v>
      </c>
    </row>
    <row r="1133" customFormat="false" ht="15" hidden="false" customHeight="false" outlineLevel="0" collapsed="false">
      <c r="A1133" s="13" t="n">
        <v>43937</v>
      </c>
      <c r="B1133" s="14" t="n">
        <v>1228.21</v>
      </c>
      <c r="C1133" s="14" t="n">
        <v>10.4691</v>
      </c>
      <c r="D1133" s="14" t="n">
        <v>1.2433</v>
      </c>
      <c r="E1133" s="14" t="n">
        <v>1.084</v>
      </c>
      <c r="F1133" s="14" t="n">
        <v>7.0778</v>
      </c>
      <c r="G1133" s="14" t="n">
        <v>5.2318</v>
      </c>
      <c r="H1133" s="14" t="n">
        <v>107.72</v>
      </c>
      <c r="I1133" s="14" t="n">
        <v>1.0888</v>
      </c>
      <c r="J1133" s="14" t="n">
        <v>11.4145</v>
      </c>
      <c r="K1133" s="14" t="n">
        <v>1334.51</v>
      </c>
      <c r="L1133" s="14" t="n">
        <v>0.87163</v>
      </c>
      <c r="M1133" s="14" t="n">
        <v>7.6991</v>
      </c>
      <c r="N1133" s="14" t="n">
        <v>5.699</v>
      </c>
      <c r="O1133" s="14" t="n">
        <v>117.12</v>
      </c>
      <c r="P1133" s="14" t="n">
        <v>10.4836</v>
      </c>
    </row>
    <row r="1134" customFormat="false" ht="15" hidden="false" customHeight="false" outlineLevel="0" collapsed="false">
      <c r="A1134" s="13" t="n">
        <v>43938</v>
      </c>
      <c r="B1134" s="14" t="n">
        <v>1217.81</v>
      </c>
      <c r="C1134" s="14" t="n">
        <v>10.3099</v>
      </c>
      <c r="D1134" s="14" t="n">
        <v>1.2503</v>
      </c>
      <c r="E1134" s="14" t="n">
        <v>1.0883</v>
      </c>
      <c r="F1134" s="14" t="n">
        <v>7.0711</v>
      </c>
      <c r="G1134" s="14" t="n">
        <v>5.255</v>
      </c>
      <c r="H1134" s="14" t="n">
        <v>107.52</v>
      </c>
      <c r="I1134" s="14" t="n">
        <v>1.086</v>
      </c>
      <c r="J1134" s="14" t="n">
        <v>11.2845</v>
      </c>
      <c r="K1134" s="14" t="n">
        <v>1321.53</v>
      </c>
      <c r="L1134" s="14" t="n">
        <v>0.86978</v>
      </c>
      <c r="M1134" s="14" t="n">
        <v>7.6821</v>
      </c>
      <c r="N1134" s="14" t="n">
        <v>5.6798</v>
      </c>
      <c r="O1134" s="14" t="n">
        <v>116.86</v>
      </c>
      <c r="P1134" s="14" t="n">
        <v>10.3909</v>
      </c>
    </row>
    <row r="1135" customFormat="false" ht="15" hidden="false" customHeight="false" outlineLevel="0" collapsed="false">
      <c r="A1135" s="13" t="n">
        <v>43941</v>
      </c>
      <c r="B1135" s="14" t="n">
        <v>1217.29</v>
      </c>
      <c r="C1135" s="14" t="n">
        <v>10.3634</v>
      </c>
      <c r="D1135" s="14" t="n">
        <v>1.2467</v>
      </c>
      <c r="E1135" s="14" t="n">
        <v>1.0874</v>
      </c>
      <c r="F1135" s="14" t="n">
        <v>7.0721</v>
      </c>
      <c r="G1135" s="14" t="n">
        <v>5.2911</v>
      </c>
      <c r="H1135" s="14" t="n">
        <v>107.69</v>
      </c>
      <c r="I1135" s="14" t="n">
        <v>1.086</v>
      </c>
      <c r="J1135" s="14" t="n">
        <v>11.2698</v>
      </c>
      <c r="K1135" s="14" t="n">
        <v>1323.52</v>
      </c>
      <c r="L1135" s="14" t="n">
        <v>0.87343</v>
      </c>
      <c r="M1135" s="14" t="n">
        <v>7.6819</v>
      </c>
      <c r="N1135" s="14" t="n">
        <v>5.7463</v>
      </c>
      <c r="O1135" s="14" t="n">
        <v>117.11</v>
      </c>
      <c r="P1135" s="14" t="n">
        <v>10.3773</v>
      </c>
    </row>
    <row r="1136" customFormat="false" ht="15" hidden="false" customHeight="false" outlineLevel="0" collapsed="false">
      <c r="A1136" s="13" t="n">
        <v>43942</v>
      </c>
      <c r="B1136" s="14" t="n">
        <v>1229.28</v>
      </c>
      <c r="C1136" s="14" t="n">
        <v>10.5984</v>
      </c>
      <c r="D1136" s="14" t="n">
        <v>1.2266</v>
      </c>
      <c r="E1136" s="14" t="n">
        <v>1.0854</v>
      </c>
      <c r="F1136" s="14" t="n">
        <v>7.0914</v>
      </c>
      <c r="G1136" s="14" t="n">
        <v>5.3166</v>
      </c>
      <c r="H1136" s="14" t="n">
        <v>107.69</v>
      </c>
      <c r="I1136" s="14" t="n">
        <v>1.0837</v>
      </c>
      <c r="J1136" s="14" t="n">
        <v>11.4843</v>
      </c>
      <c r="K1136" s="14" t="n">
        <v>1335.34</v>
      </c>
      <c r="L1136" s="14" t="n">
        <v>0.8812</v>
      </c>
      <c r="M1136" s="14" t="n">
        <v>7.6888</v>
      </c>
      <c r="N1136" s="14" t="n">
        <v>5.7619</v>
      </c>
      <c r="O1136" s="14" t="n">
        <v>116.39</v>
      </c>
      <c r="P1136" s="14" t="n">
        <v>10.5973</v>
      </c>
    </row>
    <row r="1137" customFormat="false" ht="15" hidden="false" customHeight="false" outlineLevel="0" collapsed="false">
      <c r="A1137" s="13" t="n">
        <v>43943</v>
      </c>
      <c r="B1137" s="14" t="n">
        <v>1234.79</v>
      </c>
      <c r="C1137" s="14" t="n">
        <v>10.764</v>
      </c>
      <c r="D1137" s="14" t="n">
        <v>1.2332</v>
      </c>
      <c r="E1137" s="14" t="n">
        <v>1.0829</v>
      </c>
      <c r="F1137" s="14" t="n">
        <v>7.0831</v>
      </c>
      <c r="G1137" s="14" t="n">
        <v>5.3955</v>
      </c>
      <c r="H1137" s="14" t="n">
        <v>107.81</v>
      </c>
      <c r="I1137" s="14" t="n">
        <v>1.0867</v>
      </c>
      <c r="J1137" s="14" t="n">
        <v>11.6775</v>
      </c>
      <c r="K1137" s="14" t="n">
        <v>1339.66</v>
      </c>
      <c r="L1137" s="14" t="n">
        <v>0.8792</v>
      </c>
      <c r="M1137" s="14" t="n">
        <v>7.6964</v>
      </c>
      <c r="N1137" s="14" t="n">
        <v>5.7866</v>
      </c>
      <c r="O1137" s="14" t="n">
        <v>117.01</v>
      </c>
      <c r="P1137" s="14" t="n">
        <v>10.7458</v>
      </c>
    </row>
    <row r="1138" customFormat="false" ht="15" hidden="false" customHeight="false" outlineLevel="0" collapsed="false">
      <c r="A1138" s="13" t="n">
        <v>43944</v>
      </c>
      <c r="B1138" s="14" t="n">
        <v>1229.04</v>
      </c>
      <c r="C1138" s="14" t="n">
        <v>10.5957</v>
      </c>
      <c r="D1138" s="14" t="n">
        <v>1.2369</v>
      </c>
      <c r="E1138" s="14" t="n">
        <v>1.0815</v>
      </c>
      <c r="F1138" s="14" t="n">
        <v>7.0654</v>
      </c>
      <c r="G1138" s="14" t="n">
        <v>5.4498</v>
      </c>
      <c r="H1138" s="14" t="n">
        <v>107.65</v>
      </c>
      <c r="I1138" s="14" t="n">
        <v>1.0772</v>
      </c>
      <c r="J1138" s="14" t="n">
        <v>11.5165</v>
      </c>
      <c r="K1138" s="14" t="n">
        <v>1326.8</v>
      </c>
      <c r="L1138" s="14" t="n">
        <v>0.872</v>
      </c>
      <c r="M1138" s="14" t="n">
        <v>7.6259</v>
      </c>
      <c r="N1138" s="14" t="n">
        <v>5.8666</v>
      </c>
      <c r="O1138" s="14" t="n">
        <v>115.75</v>
      </c>
      <c r="P1138" s="14" t="n">
        <v>10.6911</v>
      </c>
    </row>
    <row r="1139" customFormat="false" ht="15" hidden="false" customHeight="false" outlineLevel="0" collapsed="false">
      <c r="A1139" s="13" t="n">
        <v>43945</v>
      </c>
      <c r="B1139" s="14" t="n">
        <v>1233.88</v>
      </c>
      <c r="C1139" s="14" t="n">
        <v>10.68</v>
      </c>
      <c r="D1139" s="14" t="n">
        <v>1.2335</v>
      </c>
      <c r="E1139" s="14" t="n">
        <v>1.0798</v>
      </c>
      <c r="F1139" s="14" t="n">
        <v>7.0813</v>
      </c>
      <c r="G1139" s="14" t="n">
        <v>5.6858</v>
      </c>
      <c r="H1139" s="14" t="n">
        <v>107.44</v>
      </c>
      <c r="I1139" s="14" t="n">
        <v>1.08</v>
      </c>
      <c r="J1139" s="14" t="n">
        <v>11.4785</v>
      </c>
      <c r="K1139" s="14" t="n">
        <v>1332.59</v>
      </c>
      <c r="L1139" s="14" t="n">
        <v>0.87498</v>
      </c>
      <c r="M1139" s="14" t="n">
        <v>7.6455</v>
      </c>
      <c r="N1139" s="14" t="n">
        <v>6.0128</v>
      </c>
      <c r="O1139" s="14" t="n">
        <v>116.22</v>
      </c>
      <c r="P1139" s="14" t="n">
        <v>10.6282</v>
      </c>
    </row>
    <row r="1140" customFormat="false" ht="15" hidden="false" customHeight="false" outlineLevel="0" collapsed="false">
      <c r="A1140" s="13" t="n">
        <v>43948</v>
      </c>
      <c r="B1140" s="14" t="n">
        <v>1224.16</v>
      </c>
      <c r="C1140" s="14" t="n">
        <v>10.5772</v>
      </c>
      <c r="D1140" s="14" t="n">
        <v>1.2421</v>
      </c>
      <c r="E1140" s="14" t="n">
        <v>1.0829</v>
      </c>
      <c r="F1140" s="14" t="n">
        <v>7.0848</v>
      </c>
      <c r="G1140" s="14" t="n">
        <v>5.6741</v>
      </c>
      <c r="H1140" s="14" t="n">
        <v>107.22</v>
      </c>
      <c r="I1140" s="14" t="n">
        <v>1.0852</v>
      </c>
      <c r="J1140" s="14" t="n">
        <v>11.4513</v>
      </c>
      <c r="K1140" s="14" t="n">
        <v>1328.82</v>
      </c>
      <c r="L1140" s="14" t="n">
        <v>0.87263</v>
      </c>
      <c r="M1140" s="14" t="n">
        <v>7.686</v>
      </c>
      <c r="N1140" s="14" t="n">
        <v>6.0328</v>
      </c>
      <c r="O1140" s="14" t="n">
        <v>116.22</v>
      </c>
      <c r="P1140" s="14" t="n">
        <v>10.5522</v>
      </c>
    </row>
    <row r="1141" customFormat="false" ht="15" hidden="false" customHeight="false" outlineLevel="0" collapsed="false">
      <c r="A1141" s="13" t="n">
        <v>43949</v>
      </c>
      <c r="B1141" s="14" t="n">
        <v>1224.83</v>
      </c>
      <c r="C1141" s="14" t="n">
        <v>10.4079</v>
      </c>
      <c r="D1141" s="14" t="n">
        <v>1.2438</v>
      </c>
      <c r="E1141" s="14" t="n">
        <v>1.0836</v>
      </c>
      <c r="F1141" s="14" t="n">
        <v>7.0776</v>
      </c>
      <c r="G1141" s="14" t="n">
        <v>5.5646</v>
      </c>
      <c r="H1141" s="14" t="n">
        <v>106.83</v>
      </c>
      <c r="I1141" s="14" t="n">
        <v>1.0877</v>
      </c>
      <c r="J1141" s="14" t="n">
        <v>11.2783</v>
      </c>
      <c r="K1141" s="14" t="n">
        <v>1325.8</v>
      </c>
      <c r="L1141" s="14" t="n">
        <v>0.87078</v>
      </c>
      <c r="M1141" s="14" t="n">
        <v>7.6977</v>
      </c>
      <c r="N1141" s="14" t="n">
        <v>6.1004</v>
      </c>
      <c r="O1141" s="14" t="n">
        <v>116.06</v>
      </c>
      <c r="P1141" s="14" t="n">
        <v>10.3689</v>
      </c>
    </row>
    <row r="1142" customFormat="false" ht="15" hidden="false" customHeight="false" outlineLevel="0" collapsed="false">
      <c r="A1142" s="13" t="n">
        <v>43950</v>
      </c>
      <c r="B1142" s="14" t="n">
        <v>1219.2</v>
      </c>
      <c r="C1142" s="14" t="n">
        <v>10.3548</v>
      </c>
      <c r="D1142" s="14" t="n">
        <v>1.2429</v>
      </c>
      <c r="E1142" s="14" t="n">
        <v>1.0853</v>
      </c>
      <c r="F1142" s="14" t="n">
        <v>7.0755</v>
      </c>
      <c r="G1142" s="14" t="n">
        <v>5.3923</v>
      </c>
      <c r="H1142" s="14" t="n">
        <v>106.67</v>
      </c>
      <c r="I1142" s="14" t="n">
        <v>1.0842</v>
      </c>
      <c r="J1142" s="14" t="n">
        <v>11.2728</v>
      </c>
      <c r="K1142" s="14" t="n">
        <v>1321.59</v>
      </c>
      <c r="L1142" s="14" t="n">
        <v>0.87378</v>
      </c>
      <c r="M1142" s="14" t="n">
        <v>7.6723</v>
      </c>
      <c r="N1142" s="14" t="n">
        <v>5.9318</v>
      </c>
      <c r="O1142" s="14" t="n">
        <v>115.52</v>
      </c>
      <c r="P1142" s="14" t="n">
        <v>10.3973</v>
      </c>
    </row>
    <row r="1143" customFormat="false" ht="15" hidden="false" customHeight="false" outlineLevel="0" collapsed="false">
      <c r="A1143" s="13" t="n">
        <v>43951</v>
      </c>
      <c r="B1143" s="14" t="n">
        <v>1203.95</v>
      </c>
      <c r="C1143" s="14" t="n">
        <v>10.2553</v>
      </c>
      <c r="D1143" s="14" t="n">
        <v>1.2602</v>
      </c>
      <c r="E1143" s="14" t="n">
        <v>1.0934</v>
      </c>
      <c r="F1143" s="14" t="n">
        <v>7.0622</v>
      </c>
      <c r="G1143" s="14" t="n">
        <v>5.4296</v>
      </c>
      <c r="H1143" s="14" t="n">
        <v>106.94</v>
      </c>
      <c r="I1143" s="14" t="n">
        <v>1.0876</v>
      </c>
      <c r="J1143" s="14" t="n">
        <v>11.184</v>
      </c>
      <c r="K1143" s="14" t="n">
        <v>1313.09</v>
      </c>
      <c r="L1143" s="14" t="n">
        <v>0.86905</v>
      </c>
      <c r="M1143" s="14" t="n">
        <v>7.6665</v>
      </c>
      <c r="N1143" s="14" t="n">
        <v>5.8565</v>
      </c>
      <c r="O1143" s="14" t="n">
        <v>115.87</v>
      </c>
      <c r="P1143" s="14" t="n">
        <v>10.2832</v>
      </c>
    </row>
    <row r="1144" customFormat="false" ht="15" hidden="false" customHeight="false" outlineLevel="0" collapsed="false">
      <c r="A1144" s="13" t="n">
        <v>43952</v>
      </c>
      <c r="B1144" s="14" t="n">
        <v>1223.2</v>
      </c>
      <c r="C1144" s="14" t="n">
        <v>10.3348</v>
      </c>
      <c r="D1144" s="14" t="n">
        <v>1.2509</v>
      </c>
      <c r="E1144" s="14" t="n">
        <v>1.0998</v>
      </c>
      <c r="F1144" s="14" t="n">
        <v>7.0622</v>
      </c>
      <c r="G1144" s="14" t="n">
        <v>5.4858</v>
      </c>
      <c r="H1144" s="14" t="n">
        <v>106.76</v>
      </c>
    </row>
    <row r="1145" customFormat="false" ht="15" hidden="false" customHeight="false" outlineLevel="0" collapsed="false">
      <c r="A1145" s="13" t="n">
        <v>43955</v>
      </c>
      <c r="B1145" s="14" t="n">
        <v>1228.81</v>
      </c>
      <c r="C1145" s="14" t="n">
        <v>10.3445</v>
      </c>
      <c r="D1145" s="14" t="n">
        <v>1.243</v>
      </c>
      <c r="E1145" s="14" t="n">
        <v>1.0911</v>
      </c>
      <c r="F1145" s="14" t="n">
        <v>7.0622</v>
      </c>
      <c r="G1145" s="14" t="n">
        <v>5.5714</v>
      </c>
      <c r="H1145" s="14" t="n">
        <v>106.82</v>
      </c>
      <c r="I1145" s="14" t="n">
        <v>1.0942</v>
      </c>
      <c r="J1145" s="14" t="n">
        <v>11.328</v>
      </c>
      <c r="K1145" s="14" t="n">
        <v>1340</v>
      </c>
      <c r="L1145" s="14" t="n">
        <v>0.87898</v>
      </c>
      <c r="M1145" s="14" t="n">
        <v>7.7275</v>
      </c>
      <c r="N1145" s="14" t="n">
        <v>6.0781</v>
      </c>
      <c r="O1145" s="14" t="n">
        <v>116.84</v>
      </c>
      <c r="P1145" s="14" t="n">
        <v>10.3528</v>
      </c>
    </row>
    <row r="1146" customFormat="false" ht="15" hidden="false" customHeight="false" outlineLevel="0" collapsed="false">
      <c r="A1146" s="13" t="n">
        <v>43956</v>
      </c>
      <c r="B1146" s="14" t="n">
        <v>1220.13</v>
      </c>
      <c r="C1146" s="14" t="n">
        <v>10.2603</v>
      </c>
      <c r="D1146" s="14" t="n">
        <v>1.2449</v>
      </c>
      <c r="E1146" s="14" t="n">
        <v>1.0844</v>
      </c>
      <c r="F1146" s="14" t="n">
        <v>7.0622</v>
      </c>
      <c r="G1146" s="14" t="n">
        <v>5.5623</v>
      </c>
      <c r="H1146" s="14" t="n">
        <v>106.52</v>
      </c>
      <c r="I1146" s="14" t="n">
        <v>1.0843</v>
      </c>
      <c r="J1146" s="14" t="n">
        <v>11.173</v>
      </c>
      <c r="K1146" s="14" t="n">
        <v>1324.81</v>
      </c>
      <c r="L1146" s="14" t="n">
        <v>0.8706</v>
      </c>
      <c r="M1146" s="14" t="n">
        <v>7.6575</v>
      </c>
      <c r="N1146" s="14" t="n">
        <v>5.9576</v>
      </c>
      <c r="O1146" s="14" t="n">
        <v>115.71</v>
      </c>
      <c r="P1146" s="14" t="n">
        <v>10.3043</v>
      </c>
    </row>
    <row r="1147" customFormat="false" ht="15" hidden="false" customHeight="false" outlineLevel="0" collapsed="false">
      <c r="A1147" s="13" t="n">
        <v>43957</v>
      </c>
      <c r="B1147" s="14" t="n">
        <v>1222.03</v>
      </c>
      <c r="C1147" s="14" t="n">
        <v>10.2799</v>
      </c>
      <c r="D1147" s="14" t="n">
        <v>1.2347</v>
      </c>
      <c r="E1147" s="14" t="n">
        <v>1.0806</v>
      </c>
      <c r="F1147" s="14" t="n">
        <v>7.1031</v>
      </c>
      <c r="G1147" s="14" t="n">
        <v>5.6798</v>
      </c>
      <c r="H1147" s="14" t="n">
        <v>106.07</v>
      </c>
      <c r="I1147" s="14" t="n">
        <v>1.0807</v>
      </c>
      <c r="J1147" s="14" t="n">
        <v>11.09</v>
      </c>
      <c r="K1147" s="14" t="n">
        <v>1323.48</v>
      </c>
      <c r="L1147" s="14" t="n">
        <v>0.87253</v>
      </c>
      <c r="M1147" s="14" t="n">
        <v>7.6707</v>
      </c>
      <c r="N1147" s="14" t="n">
        <v>6.0896</v>
      </c>
      <c r="O1147" s="14" t="n">
        <v>114.65</v>
      </c>
      <c r="P1147" s="14" t="n">
        <v>10.2619</v>
      </c>
    </row>
    <row r="1148" customFormat="false" ht="15" hidden="false" customHeight="false" outlineLevel="0" collapsed="false">
      <c r="A1148" s="13" t="n">
        <v>43958</v>
      </c>
      <c r="B1148" s="14" t="n">
        <v>1224.76</v>
      </c>
      <c r="C1148" s="14" t="n">
        <v>10.2274</v>
      </c>
      <c r="D1148" s="14" t="n">
        <v>1.2349</v>
      </c>
      <c r="E1148" s="14" t="n">
        <v>1.0815</v>
      </c>
      <c r="F1148" s="14" t="n">
        <v>7.0825</v>
      </c>
      <c r="G1148" s="14" t="n">
        <v>5.8027</v>
      </c>
      <c r="H1148" s="14" t="n">
        <v>106.36</v>
      </c>
      <c r="I1148" s="14" t="n">
        <v>1.0783</v>
      </c>
      <c r="J1148" s="14" t="n">
        <v>11.0405</v>
      </c>
      <c r="K1148" s="14" t="n">
        <v>1320.18</v>
      </c>
      <c r="L1148" s="14" t="n">
        <v>0.87478</v>
      </c>
      <c r="M1148" s="14" t="n">
        <v>7.6427</v>
      </c>
      <c r="N1148" s="14" t="n">
        <v>6.2271</v>
      </c>
      <c r="O1148" s="14" t="n">
        <v>114.91</v>
      </c>
      <c r="P1148" s="14" t="n">
        <v>10.2388</v>
      </c>
    </row>
    <row r="1149" customFormat="false" ht="15" hidden="false" customHeight="false" outlineLevel="0" collapsed="false">
      <c r="A1149" s="13" t="n">
        <v>43959</v>
      </c>
      <c r="B1149" s="14" t="n">
        <v>1216.47</v>
      </c>
      <c r="C1149" s="14" t="n">
        <v>10.1864</v>
      </c>
      <c r="D1149" s="14" t="n">
        <v>1.2436</v>
      </c>
      <c r="E1149" s="14" t="n">
        <v>1.0854</v>
      </c>
      <c r="F1149" s="14" t="n">
        <v>7.0732</v>
      </c>
      <c r="G1149" s="14" t="n">
        <v>5.7455</v>
      </c>
      <c r="H1149" s="14" t="n">
        <v>106.5</v>
      </c>
      <c r="I1149" s="14" t="n">
        <v>1.0843</v>
      </c>
      <c r="J1149" s="14" t="n">
        <v>11.0695</v>
      </c>
      <c r="K1149" s="14" t="n">
        <v>1322.41</v>
      </c>
      <c r="L1149" s="14" t="n">
        <v>0.87535</v>
      </c>
      <c r="M1149" s="14" t="n">
        <v>7.6719</v>
      </c>
      <c r="N1149" s="14" t="n">
        <v>6.3074</v>
      </c>
      <c r="O1149" s="14" t="n">
        <v>115.34</v>
      </c>
      <c r="P1149" s="14" t="n">
        <v>10.2089</v>
      </c>
    </row>
    <row r="1150" customFormat="false" ht="15" hidden="false" customHeight="false" outlineLevel="0" collapsed="false">
      <c r="A1150" s="13" t="n">
        <v>43962</v>
      </c>
      <c r="B1150" s="14" t="n">
        <v>1220.2</v>
      </c>
      <c r="C1150" s="14" t="n">
        <v>10.285</v>
      </c>
      <c r="D1150" s="14" t="n">
        <v>1.233</v>
      </c>
      <c r="E1150" s="14" t="n">
        <v>1.0818</v>
      </c>
      <c r="F1150" s="14" t="n">
        <v>7.0972</v>
      </c>
      <c r="G1150" s="14" t="n">
        <v>5.7958</v>
      </c>
      <c r="H1150" s="14" t="n">
        <v>107.7</v>
      </c>
      <c r="I1150" s="14" t="n">
        <v>1.0824</v>
      </c>
      <c r="J1150" s="14" t="n">
        <v>11.046</v>
      </c>
      <c r="K1150" s="14" t="n">
        <v>1325.57</v>
      </c>
      <c r="L1150" s="14" t="n">
        <v>0.87875</v>
      </c>
      <c r="M1150" s="14" t="n">
        <v>7.6783</v>
      </c>
      <c r="N1150" s="14" t="n">
        <v>6.2691</v>
      </c>
      <c r="O1150" s="14" t="n">
        <v>116.16</v>
      </c>
      <c r="P1150" s="14" t="n">
        <v>10.2051</v>
      </c>
    </row>
    <row r="1151" customFormat="false" ht="15" hidden="false" customHeight="false" outlineLevel="0" collapsed="false">
      <c r="A1151" s="13" t="n">
        <v>43963</v>
      </c>
      <c r="B1151" s="14" t="n">
        <v>1222</v>
      </c>
      <c r="C1151" s="14" t="n">
        <v>10.1585</v>
      </c>
      <c r="D1151" s="14" t="n">
        <v>1.2299</v>
      </c>
      <c r="E1151" s="14" t="n">
        <v>1.0864</v>
      </c>
      <c r="F1151" s="14" t="n">
        <v>7.0816</v>
      </c>
      <c r="G1151" s="14" t="n">
        <v>5.7922</v>
      </c>
      <c r="H1151" s="14" t="n">
        <v>107.33</v>
      </c>
      <c r="I1151" s="14" t="n">
        <v>1.0858</v>
      </c>
      <c r="J1151" s="14" t="n">
        <v>11.0518</v>
      </c>
      <c r="K1151" s="14" t="n">
        <v>1326.17</v>
      </c>
      <c r="L1151" s="14" t="n">
        <v>0.87773</v>
      </c>
      <c r="M1151" s="14" t="n">
        <v>7.6933</v>
      </c>
      <c r="N1151" s="14" t="n">
        <v>6.2708</v>
      </c>
      <c r="O1151" s="14" t="n">
        <v>116.56</v>
      </c>
      <c r="P1151" s="14" t="n">
        <v>10.1785</v>
      </c>
    </row>
    <row r="1152" customFormat="false" ht="15" hidden="false" customHeight="false" outlineLevel="0" collapsed="false">
      <c r="A1152" s="13" t="n">
        <v>43964</v>
      </c>
      <c r="B1152" s="14" t="n">
        <v>1223.86</v>
      </c>
      <c r="C1152" s="14" t="n">
        <v>10.1418</v>
      </c>
      <c r="D1152" s="14" t="n">
        <v>1.2225</v>
      </c>
      <c r="E1152" s="14" t="n">
        <v>1.0837</v>
      </c>
      <c r="F1152" s="14" t="n">
        <v>7.0911</v>
      </c>
      <c r="G1152" s="14" t="n">
        <v>5.9204</v>
      </c>
      <c r="H1152" s="14" t="n">
        <v>106.92</v>
      </c>
      <c r="I1152" s="14" t="n">
        <v>1.0875</v>
      </c>
      <c r="J1152" s="14" t="n">
        <v>10.938</v>
      </c>
      <c r="K1152" s="14" t="n">
        <v>1331.08</v>
      </c>
      <c r="L1152" s="14" t="n">
        <v>0.88245</v>
      </c>
      <c r="M1152" s="14" t="n">
        <v>7.7102</v>
      </c>
      <c r="N1152" s="14" t="n">
        <v>6.3606</v>
      </c>
      <c r="O1152" s="14" t="n">
        <v>116.28</v>
      </c>
      <c r="P1152" s="14" t="n">
        <v>10.0579</v>
      </c>
    </row>
    <row r="1153" customFormat="false" ht="15" hidden="false" customHeight="false" outlineLevel="0" collapsed="false">
      <c r="A1153" s="13" t="n">
        <v>43965</v>
      </c>
      <c r="B1153" s="14" t="n">
        <v>1227.76</v>
      </c>
      <c r="C1153" s="14" t="n">
        <v>10.2232</v>
      </c>
      <c r="D1153" s="14" t="n">
        <v>1.2194</v>
      </c>
      <c r="E1153" s="14" t="n">
        <v>1.08</v>
      </c>
      <c r="F1153" s="14" t="n">
        <v>7.0935</v>
      </c>
      <c r="G1153" s="14" t="n">
        <v>5.9181</v>
      </c>
      <c r="H1153" s="14" t="n">
        <v>107.09</v>
      </c>
      <c r="I1153" s="14" t="n">
        <v>1.0792</v>
      </c>
      <c r="J1153" s="14" t="n">
        <v>11.0598</v>
      </c>
      <c r="K1153" s="14" t="n">
        <v>1329.17</v>
      </c>
      <c r="L1153" s="14" t="n">
        <v>0.88495</v>
      </c>
      <c r="M1153" s="14" t="n">
        <v>7.6655</v>
      </c>
      <c r="N1153" s="14" t="n">
        <v>6.3925</v>
      </c>
      <c r="O1153" s="14" t="n">
        <v>115.48</v>
      </c>
      <c r="P1153" s="14" t="n">
        <v>10.2481</v>
      </c>
    </row>
    <row r="1154" customFormat="false" ht="15" hidden="false" customHeight="false" outlineLevel="0" collapsed="false">
      <c r="A1154" s="13" t="n">
        <v>43966</v>
      </c>
      <c r="B1154" s="14" t="n">
        <v>1230.71</v>
      </c>
      <c r="C1154" s="14" t="n">
        <v>10.2422</v>
      </c>
      <c r="D1154" s="14" t="n">
        <v>1.2129</v>
      </c>
      <c r="E1154" s="14" t="n">
        <v>1.0816</v>
      </c>
      <c r="F1154" s="14" t="n">
        <v>7.1013</v>
      </c>
      <c r="G1154" s="14" t="n">
        <v>5.8235</v>
      </c>
      <c r="H1154" s="14" t="n">
        <v>107.27</v>
      </c>
      <c r="I1154" s="14" t="n">
        <v>1.0798</v>
      </c>
      <c r="J1154" s="14" t="n">
        <v>11.0568</v>
      </c>
      <c r="K1154" s="14" t="n">
        <v>1332.6</v>
      </c>
      <c r="L1154" s="14" t="n">
        <v>0.88738</v>
      </c>
      <c r="M1154" s="14" t="n">
        <v>7.6759</v>
      </c>
      <c r="N1154" s="14" t="n">
        <v>6.3172</v>
      </c>
      <c r="O1154" s="14" t="n">
        <v>115.53</v>
      </c>
      <c r="P1154" s="14" t="n">
        <v>10.2397</v>
      </c>
    </row>
    <row r="1155" customFormat="false" ht="15" hidden="false" customHeight="false" outlineLevel="0" collapsed="false">
      <c r="A1155" s="13" t="n">
        <v>43969</v>
      </c>
      <c r="B1155" s="14" t="n">
        <v>1232.32</v>
      </c>
      <c r="C1155" s="14" t="n">
        <v>10.0317</v>
      </c>
      <c r="D1155" s="14" t="n">
        <v>1.2211</v>
      </c>
      <c r="E1155" s="14" t="n">
        <v>1.0904</v>
      </c>
      <c r="F1155" s="14" t="n">
        <v>7.1086</v>
      </c>
      <c r="G1155" s="14" t="n">
        <v>5.708</v>
      </c>
      <c r="H1155" s="14" t="n">
        <v>107.25</v>
      </c>
      <c r="I1155" s="14" t="n">
        <v>1.0832</v>
      </c>
      <c r="J1155" s="14" t="n">
        <v>10.9663</v>
      </c>
      <c r="K1155" s="14" t="n">
        <v>1332.42</v>
      </c>
      <c r="L1155" s="14" t="n">
        <v>0.89153</v>
      </c>
      <c r="M1155" s="14" t="n">
        <v>7.7068</v>
      </c>
      <c r="N1155" s="14" t="n">
        <v>6.2701</v>
      </c>
      <c r="O1155" s="14" t="n">
        <v>116.31</v>
      </c>
      <c r="P1155" s="14" t="n">
        <v>10.124</v>
      </c>
    </row>
    <row r="1156" customFormat="false" ht="15" hidden="false" customHeight="false" outlineLevel="0" collapsed="false">
      <c r="A1156" s="13" t="n">
        <v>43970</v>
      </c>
      <c r="B1156" s="14" t="n">
        <v>1225.19</v>
      </c>
      <c r="C1156" s="14" t="n">
        <v>9.9461</v>
      </c>
      <c r="D1156" s="14" t="n">
        <v>1.2255</v>
      </c>
      <c r="E1156" s="14" t="n">
        <v>1.0937</v>
      </c>
      <c r="F1156" s="14" t="n">
        <v>7.098</v>
      </c>
      <c r="G1156" s="14" t="n">
        <v>5.7101</v>
      </c>
      <c r="H1156" s="14" t="n">
        <v>107.89</v>
      </c>
      <c r="I1156" s="14" t="n">
        <v>1.095</v>
      </c>
      <c r="J1156" s="14" t="n">
        <v>10.9153</v>
      </c>
      <c r="K1156" s="14" t="n">
        <v>1341.19</v>
      </c>
      <c r="L1156" s="14" t="n">
        <v>0.89535</v>
      </c>
      <c r="M1156" s="14" t="n">
        <v>7.7816</v>
      </c>
      <c r="N1156" s="14" t="n">
        <v>6.2357</v>
      </c>
      <c r="O1156" s="14" t="n">
        <v>118</v>
      </c>
      <c r="P1156" s="14" t="n">
        <v>9.9683</v>
      </c>
    </row>
    <row r="1157" customFormat="false" ht="15" hidden="false" customHeight="false" outlineLevel="0" collapsed="false">
      <c r="A1157" s="13" t="n">
        <v>43971</v>
      </c>
      <c r="B1157" s="14" t="n">
        <v>1230.02</v>
      </c>
      <c r="C1157" s="14" t="n">
        <v>9.9089</v>
      </c>
      <c r="D1157" s="14" t="n">
        <v>1.2257</v>
      </c>
      <c r="E1157" s="14" t="n">
        <v>1.098</v>
      </c>
      <c r="F1157" s="14" t="n">
        <v>7.0928</v>
      </c>
      <c r="G1157" s="14" t="n">
        <v>5.6909</v>
      </c>
      <c r="H1157" s="14" t="n">
        <v>107.46</v>
      </c>
      <c r="I1157" s="14" t="n">
        <v>1.0958</v>
      </c>
      <c r="J1157" s="14" t="n">
        <v>10.8765</v>
      </c>
      <c r="K1157" s="14" t="n">
        <v>1345.71</v>
      </c>
      <c r="L1157" s="14" t="n">
        <v>0.89358</v>
      </c>
      <c r="M1157" s="14" t="n">
        <v>7.7806</v>
      </c>
      <c r="N1157" s="14" t="n">
        <v>6.2656</v>
      </c>
      <c r="O1157" s="14" t="n">
        <v>117.95</v>
      </c>
      <c r="P1157" s="14" t="n">
        <v>9.9256</v>
      </c>
    </row>
    <row r="1158" customFormat="false" ht="15" hidden="false" customHeight="false" outlineLevel="0" collapsed="false">
      <c r="A1158" s="13" t="n">
        <v>43972</v>
      </c>
      <c r="B1158" s="14" t="n">
        <v>1230.53</v>
      </c>
      <c r="C1158" s="14" t="n">
        <v>9.951</v>
      </c>
      <c r="D1158" s="14" t="n">
        <v>1.2227</v>
      </c>
      <c r="E1158" s="14" t="n">
        <v>1.0953</v>
      </c>
      <c r="F1158" s="14" t="n">
        <v>7.1138</v>
      </c>
      <c r="G1158" s="14" t="n">
        <v>5.5989</v>
      </c>
      <c r="H1158" s="14" t="n">
        <v>107.69</v>
      </c>
      <c r="I1158" s="14" t="n">
        <v>1.1</v>
      </c>
      <c r="J1158" s="14" t="n">
        <v>10.903</v>
      </c>
      <c r="K1158" s="14" t="n">
        <v>1354.6</v>
      </c>
      <c r="L1158" s="14" t="n">
        <v>0.89943</v>
      </c>
      <c r="M1158" s="14" t="n">
        <v>7.8153</v>
      </c>
      <c r="N1158" s="14" t="n">
        <v>6.2532</v>
      </c>
      <c r="O1158" s="14" t="n">
        <v>118.42</v>
      </c>
    </row>
    <row r="1159" customFormat="false" ht="15" hidden="false" customHeight="false" outlineLevel="0" collapsed="false">
      <c r="A1159" s="13" t="n">
        <v>43973</v>
      </c>
      <c r="B1159" s="14" t="n">
        <v>1236.53</v>
      </c>
      <c r="C1159" s="14" t="n">
        <v>10.0159</v>
      </c>
      <c r="D1159" s="14" t="n">
        <v>1.2178</v>
      </c>
      <c r="E1159" s="14" t="n">
        <v>1.0894</v>
      </c>
      <c r="F1159" s="14" t="n">
        <v>7.1269</v>
      </c>
      <c r="G1159" s="14" t="n">
        <v>5.5663</v>
      </c>
      <c r="H1159" s="14" t="n">
        <v>107.5</v>
      </c>
      <c r="I1159" s="14" t="n">
        <v>1.0904</v>
      </c>
      <c r="J1159" s="14" t="n">
        <v>10.9078</v>
      </c>
      <c r="K1159" s="14" t="n">
        <v>1353.51</v>
      </c>
      <c r="L1159" s="14" t="n">
        <v>0.89563</v>
      </c>
      <c r="M1159" s="14" t="n">
        <v>7.7797</v>
      </c>
      <c r="N1159" s="14" t="n">
        <v>6.0857</v>
      </c>
      <c r="O1159" s="14" t="n">
        <v>117.26</v>
      </c>
      <c r="P1159" s="14" t="n">
        <v>10.0035</v>
      </c>
    </row>
    <row r="1160" customFormat="false" ht="15" hidden="false" customHeight="false" outlineLevel="0" collapsed="false">
      <c r="A1160" s="13" t="n">
        <v>43976</v>
      </c>
      <c r="I1160" s="14" t="n">
        <v>1.091</v>
      </c>
      <c r="J1160" s="14" t="n">
        <v>10.9358</v>
      </c>
      <c r="K1160" s="14" t="n">
        <v>1354.63</v>
      </c>
      <c r="L1160" s="14" t="n">
        <v>0.89515</v>
      </c>
      <c r="M1160" s="14" t="n">
        <v>7.7856</v>
      </c>
      <c r="N1160" s="14" t="n">
        <v>6.0243</v>
      </c>
      <c r="O1160" s="14" t="n">
        <v>117.47</v>
      </c>
      <c r="P1160" s="14" t="n">
        <v>10.0236</v>
      </c>
    </row>
    <row r="1161" customFormat="false" ht="15" hidden="false" customHeight="false" outlineLevel="0" collapsed="false">
      <c r="A1161" s="13" t="n">
        <v>43977</v>
      </c>
      <c r="B1161" s="14" t="n">
        <v>1234.24</v>
      </c>
      <c r="C1161" s="14" t="n">
        <v>9.907</v>
      </c>
      <c r="D1161" s="14" t="n">
        <v>1.2337</v>
      </c>
      <c r="E1161" s="14" t="n">
        <v>1.097</v>
      </c>
      <c r="F1161" s="14" t="n">
        <v>7.134</v>
      </c>
      <c r="G1161" s="14" t="n">
        <v>5.376</v>
      </c>
      <c r="H1161" s="14" t="n">
        <v>107.64</v>
      </c>
      <c r="I1161" s="14" t="n">
        <v>1.0975</v>
      </c>
      <c r="J1161" s="14" t="n">
        <v>10.8943</v>
      </c>
      <c r="K1161" s="14" t="n">
        <v>1352.23</v>
      </c>
      <c r="L1161" s="14" t="n">
        <v>0.88878</v>
      </c>
      <c r="M1161" s="14" t="n">
        <v>7.8269</v>
      </c>
      <c r="N1161" s="14" t="n">
        <v>5.9114</v>
      </c>
      <c r="O1161" s="14" t="n">
        <v>117.92</v>
      </c>
      <c r="P1161" s="14" t="n">
        <v>9.9265</v>
      </c>
    </row>
    <row r="1162" customFormat="false" ht="15" hidden="false" customHeight="false" outlineLevel="0" collapsed="false">
      <c r="A1162" s="13" t="n">
        <v>43978</v>
      </c>
      <c r="B1162" s="14" t="n">
        <v>1238.03</v>
      </c>
      <c r="C1162" s="14" t="n">
        <v>9.9041</v>
      </c>
      <c r="D1162" s="14" t="n">
        <v>1.2231</v>
      </c>
      <c r="E1162" s="14" t="n">
        <v>1.0969</v>
      </c>
      <c r="F1162" s="14" t="n">
        <v>7.1681</v>
      </c>
      <c r="G1162" s="14" t="n">
        <v>5.2818</v>
      </c>
      <c r="H1162" s="14" t="n">
        <v>107.79</v>
      </c>
      <c r="I1162" s="14" t="n">
        <v>1.0991</v>
      </c>
      <c r="J1162" s="14" t="n">
        <v>10.8283</v>
      </c>
      <c r="K1162" s="14" t="n">
        <v>1359.04</v>
      </c>
      <c r="L1162" s="14" t="n">
        <v>0.89595</v>
      </c>
      <c r="M1162" s="14" t="n">
        <v>7.8682</v>
      </c>
      <c r="N1162" s="14" t="n">
        <v>5.8679</v>
      </c>
      <c r="O1162" s="14" t="n">
        <v>118.58</v>
      </c>
      <c r="P1162" s="14" t="n">
        <v>9.852</v>
      </c>
    </row>
    <row r="1163" customFormat="false" ht="15" hidden="false" customHeight="false" outlineLevel="0" collapsed="false">
      <c r="A1163" s="13" t="n">
        <v>43979</v>
      </c>
      <c r="B1163" s="14" t="n">
        <v>1239.28</v>
      </c>
      <c r="C1163" s="14" t="n">
        <v>9.7729</v>
      </c>
      <c r="D1163" s="14" t="n">
        <v>1.2325</v>
      </c>
      <c r="E1163" s="14" t="n">
        <v>1.1069</v>
      </c>
      <c r="F1163" s="14" t="n">
        <v>7.1447</v>
      </c>
      <c r="G1163" s="14" t="n">
        <v>5.3346</v>
      </c>
      <c r="H1163" s="14" t="n">
        <v>107.67</v>
      </c>
      <c r="I1163" s="14" t="n">
        <v>1.1016</v>
      </c>
      <c r="J1163" s="14" t="n">
        <v>10.8553</v>
      </c>
      <c r="K1163" s="14" t="n">
        <v>1363.76</v>
      </c>
      <c r="L1163" s="14" t="n">
        <v>0.89728</v>
      </c>
      <c r="M1163" s="14" t="n">
        <v>7.8804</v>
      </c>
      <c r="N1163" s="14" t="n">
        <v>5.8495</v>
      </c>
      <c r="O1163" s="14" t="n">
        <v>118.68</v>
      </c>
      <c r="P1163" s="14" t="n">
        <v>9.8541</v>
      </c>
    </row>
    <row r="1164" customFormat="false" ht="15" hidden="false" customHeight="false" outlineLevel="0" collapsed="false">
      <c r="A1164" s="13" t="n">
        <v>43980</v>
      </c>
      <c r="B1164" s="14" t="n">
        <v>1236.61</v>
      </c>
      <c r="C1164" s="14" t="n">
        <v>9.7306</v>
      </c>
      <c r="D1164" s="14" t="n">
        <v>1.232</v>
      </c>
      <c r="E1164" s="14" t="n">
        <v>1.1107</v>
      </c>
      <c r="F1164" s="14" t="n">
        <v>7.1348</v>
      </c>
      <c r="G1164" s="14" t="n">
        <v>5.4248</v>
      </c>
      <c r="H1164" s="14" t="n">
        <v>107.77</v>
      </c>
      <c r="I1164" s="14" t="n">
        <v>1.1136</v>
      </c>
      <c r="J1164" s="14" t="n">
        <v>10.788</v>
      </c>
      <c r="K1164" s="14" t="n">
        <v>1376.21</v>
      </c>
      <c r="L1164" s="14" t="n">
        <v>0.90088</v>
      </c>
      <c r="M1164" s="14" t="n">
        <v>7.9456</v>
      </c>
      <c r="N1164" s="14" t="n">
        <v>5.9654</v>
      </c>
      <c r="O1164" s="14" t="n">
        <v>119.29</v>
      </c>
      <c r="P1164" s="14" t="n">
        <v>9.6875</v>
      </c>
    </row>
    <row r="1165" customFormat="false" ht="15" hidden="false" customHeight="false" outlineLevel="0" collapsed="false">
      <c r="A1165" s="13" t="n">
        <v>43983</v>
      </c>
      <c r="B1165" s="14" t="n">
        <v>1224.79</v>
      </c>
      <c r="C1165" s="14" t="n">
        <v>9.6403</v>
      </c>
      <c r="D1165" s="14" t="n">
        <v>1.2472</v>
      </c>
      <c r="E1165" s="14" t="n">
        <v>1.1123</v>
      </c>
      <c r="F1165" s="14" t="n">
        <v>7.1263</v>
      </c>
      <c r="G1165" s="14" t="n">
        <v>5.3727</v>
      </c>
      <c r="H1165" s="14" t="n">
        <v>107.56</v>
      </c>
      <c r="I1165" s="14" t="n">
        <v>1.1116</v>
      </c>
      <c r="J1165" s="14" t="n">
        <v>10.789</v>
      </c>
      <c r="K1165" s="14" t="n">
        <v>1364.44</v>
      </c>
      <c r="L1165" s="14" t="n">
        <v>0.89673</v>
      </c>
      <c r="M1165" s="14" t="n">
        <v>7.9327</v>
      </c>
      <c r="N1165" s="14" t="n">
        <v>5.9276</v>
      </c>
      <c r="O1165" s="14" t="n">
        <v>119.75</v>
      </c>
    </row>
    <row r="1166" customFormat="false" ht="15" hidden="false" customHeight="false" outlineLevel="0" collapsed="false">
      <c r="A1166" s="13" t="n">
        <v>43984</v>
      </c>
      <c r="B1166" s="14" t="n">
        <v>1225.07</v>
      </c>
      <c r="C1166" s="14" t="n">
        <v>9.5632</v>
      </c>
      <c r="D1166" s="14" t="n">
        <v>1.2531</v>
      </c>
      <c r="E1166" s="14" t="n">
        <v>1.1166</v>
      </c>
      <c r="F1166" s="14" t="n">
        <v>7.0992</v>
      </c>
      <c r="G1166" s="14" t="n">
        <v>5.2331</v>
      </c>
      <c r="H1166" s="14" t="n">
        <v>108.6</v>
      </c>
      <c r="I1166" s="14" t="n">
        <v>1.1174</v>
      </c>
      <c r="J1166" s="14" t="n">
        <v>10.6798</v>
      </c>
      <c r="K1166" s="14" t="n">
        <v>1364.42</v>
      </c>
      <c r="L1166" s="14" t="n">
        <v>0.89083</v>
      </c>
      <c r="M1166" s="14" t="n">
        <v>7.9413</v>
      </c>
      <c r="N1166" s="14" t="n">
        <v>5.9499</v>
      </c>
      <c r="O1166" s="14" t="n">
        <v>120.83</v>
      </c>
      <c r="P1166" s="14" t="n">
        <v>9.5577</v>
      </c>
    </row>
    <row r="1167" customFormat="false" ht="15" hidden="false" customHeight="false" outlineLevel="0" collapsed="false">
      <c r="A1167" s="13" t="n">
        <v>43985</v>
      </c>
      <c r="B1167" s="14" t="n">
        <v>1216.08</v>
      </c>
      <c r="C1167" s="14" t="n">
        <v>9.4544</v>
      </c>
      <c r="D1167" s="14" t="n">
        <v>1.26</v>
      </c>
      <c r="E1167" s="14" t="n">
        <v>1.1246</v>
      </c>
      <c r="F1167" s="14" t="n">
        <v>7.1115</v>
      </c>
      <c r="G1167" s="14" t="n">
        <v>5.0417</v>
      </c>
      <c r="H1167" s="14" t="n">
        <v>108.88</v>
      </c>
      <c r="I1167" s="14" t="n">
        <v>1.1194</v>
      </c>
      <c r="J1167" s="14" t="n">
        <v>10.6777</v>
      </c>
      <c r="K1167" s="14" t="n">
        <v>1364.09</v>
      </c>
      <c r="L1167" s="14" t="n">
        <v>0.89065</v>
      </c>
      <c r="M1167" s="14" t="n">
        <v>7.9599</v>
      </c>
      <c r="N1167" s="14" t="n">
        <v>5.7993</v>
      </c>
      <c r="O1167" s="14" t="n">
        <v>121.54</v>
      </c>
      <c r="P1167" s="14" t="n">
        <v>9.5388</v>
      </c>
    </row>
    <row r="1168" customFormat="false" ht="15" hidden="false" customHeight="false" outlineLevel="0" collapsed="false">
      <c r="A1168" s="13" t="n">
        <v>43986</v>
      </c>
      <c r="B1168" s="14" t="n">
        <v>1218.77</v>
      </c>
      <c r="C1168" s="14" t="n">
        <v>9.3616</v>
      </c>
      <c r="D1168" s="14" t="n">
        <v>1.2608</v>
      </c>
      <c r="E1168" s="14" t="n">
        <v>1.1322</v>
      </c>
      <c r="F1168" s="14" t="n">
        <v>7.1075</v>
      </c>
      <c r="G1168" s="14" t="n">
        <v>5.0927</v>
      </c>
      <c r="H1168" s="14" t="n">
        <v>109</v>
      </c>
      <c r="I1168" s="14" t="n">
        <v>1.125</v>
      </c>
      <c r="J1168" s="14" t="n">
        <v>10.6048</v>
      </c>
      <c r="K1168" s="14" t="n">
        <v>1368.73</v>
      </c>
      <c r="L1168" s="14" t="n">
        <v>0.89685</v>
      </c>
      <c r="M1168" s="14" t="n">
        <v>8.0066</v>
      </c>
      <c r="N1168" s="14" t="n">
        <v>5.6989</v>
      </c>
      <c r="O1168" s="14" t="n">
        <v>122.48</v>
      </c>
      <c r="P1168" s="14" t="n">
        <v>9.4265</v>
      </c>
    </row>
    <row r="1169" customFormat="false" ht="15" hidden="false" customHeight="false" outlineLevel="0" collapsed="false">
      <c r="A1169" s="13" t="n">
        <v>43987</v>
      </c>
      <c r="B1169" s="14" t="n">
        <v>1202.79</v>
      </c>
      <c r="C1169" s="14" t="n">
        <v>9.2955</v>
      </c>
      <c r="D1169" s="14" t="n">
        <v>1.2703</v>
      </c>
      <c r="E1169" s="14" t="n">
        <v>1.1297</v>
      </c>
      <c r="F1169" s="14" t="n">
        <v>7.0808</v>
      </c>
      <c r="G1169" s="14" t="n">
        <v>4.9542</v>
      </c>
      <c r="H1169" s="14" t="n">
        <v>109.68</v>
      </c>
      <c r="I1169" s="14" t="n">
        <v>1.133</v>
      </c>
      <c r="J1169" s="14" t="n">
        <v>10.5403</v>
      </c>
      <c r="K1169" s="14" t="n">
        <v>1365.57</v>
      </c>
      <c r="L1169" s="14" t="n">
        <v>0.89448</v>
      </c>
      <c r="M1169" s="14" t="n">
        <v>8.0349</v>
      </c>
      <c r="N1169" s="14" t="n">
        <v>5.7329</v>
      </c>
      <c r="O1169" s="14" t="n">
        <v>123.77</v>
      </c>
      <c r="P1169" s="14" t="n">
        <v>9.303</v>
      </c>
    </row>
    <row r="1170" customFormat="false" ht="15" hidden="false" customHeight="false" outlineLevel="0" collapsed="false">
      <c r="A1170" s="13" t="n">
        <v>43990</v>
      </c>
      <c r="B1170" s="14" t="n">
        <v>1197.84</v>
      </c>
      <c r="C1170" s="14" t="n">
        <v>9.2754</v>
      </c>
      <c r="D1170" s="14" t="n">
        <v>1.2694</v>
      </c>
      <c r="E1170" s="14" t="n">
        <v>1.1293</v>
      </c>
      <c r="F1170" s="14" t="n">
        <v>7.07</v>
      </c>
      <c r="G1170" s="14" t="n">
        <v>4.8858</v>
      </c>
      <c r="H1170" s="14" t="n">
        <v>108.46</v>
      </c>
      <c r="I1170" s="14" t="n">
        <v>1.1285</v>
      </c>
      <c r="J1170" s="14" t="n">
        <v>10.4603</v>
      </c>
      <c r="K1170" s="14" t="n">
        <v>1353.2</v>
      </c>
      <c r="L1170" s="14" t="n">
        <v>0.89173</v>
      </c>
      <c r="M1170" s="14" t="n">
        <v>7.9836</v>
      </c>
      <c r="N1170" s="14" t="n">
        <v>5.5702</v>
      </c>
      <c r="O1170" s="14" t="n">
        <v>123.41</v>
      </c>
      <c r="P1170" s="14" t="n">
        <v>9.2692</v>
      </c>
    </row>
    <row r="1171" customFormat="false" ht="15" hidden="false" customHeight="false" outlineLevel="0" collapsed="false">
      <c r="A1171" s="13" t="n">
        <v>43991</v>
      </c>
      <c r="B1171" s="14" t="n">
        <v>1197.04</v>
      </c>
      <c r="C1171" s="14" t="n">
        <v>9.2866</v>
      </c>
      <c r="D1171" s="14" t="n">
        <v>1.2736</v>
      </c>
      <c r="E1171" s="14" t="n">
        <v>1.1348</v>
      </c>
      <c r="F1171" s="14" t="n">
        <v>7.0765</v>
      </c>
      <c r="G1171" s="14" t="n">
        <v>4.899</v>
      </c>
      <c r="H1171" s="14" t="n">
        <v>107.66</v>
      </c>
      <c r="I1171" s="14" t="n">
        <v>1.1294</v>
      </c>
      <c r="J1171" s="14" t="n">
        <v>10.5418</v>
      </c>
      <c r="K1171" s="14" t="n">
        <v>1353.3</v>
      </c>
      <c r="L1171" s="14" t="n">
        <v>0.8912</v>
      </c>
      <c r="M1171" s="14" t="n">
        <v>8.0025</v>
      </c>
      <c r="N1171" s="14" t="n">
        <v>5.4944</v>
      </c>
      <c r="O1171" s="14" t="n">
        <v>122.14</v>
      </c>
      <c r="P1171" s="14" t="n">
        <v>9.334</v>
      </c>
    </row>
    <row r="1172" customFormat="false" ht="15" hidden="false" customHeight="false" outlineLevel="0" collapsed="false">
      <c r="A1172" s="13" t="n">
        <v>43992</v>
      </c>
      <c r="B1172" s="14" t="n">
        <v>1189.9</v>
      </c>
      <c r="C1172" s="14" t="n">
        <v>9.3445</v>
      </c>
      <c r="D1172" s="14" t="n">
        <v>1.2758</v>
      </c>
      <c r="E1172" s="14" t="n">
        <v>1.1355</v>
      </c>
      <c r="F1172" s="14" t="n">
        <v>7.0599</v>
      </c>
      <c r="G1172" s="14" t="n">
        <v>4.8979</v>
      </c>
      <c r="H1172" s="14" t="n">
        <v>107.25</v>
      </c>
      <c r="I1172" s="14" t="n">
        <v>1.1375</v>
      </c>
      <c r="J1172" s="14" t="n">
        <v>10.5383</v>
      </c>
      <c r="K1172" s="14" t="n">
        <v>1352.17</v>
      </c>
      <c r="L1172" s="14" t="n">
        <v>0.88963</v>
      </c>
      <c r="M1172" s="14" t="n">
        <v>8.0305</v>
      </c>
      <c r="N1172" s="14" t="n">
        <v>5.5213</v>
      </c>
      <c r="O1172" s="14" t="n">
        <v>122.16</v>
      </c>
      <c r="P1172" s="14" t="n">
        <v>9.2644</v>
      </c>
    </row>
    <row r="1173" customFormat="false" ht="15" hidden="false" customHeight="false" outlineLevel="0" collapsed="false">
      <c r="A1173" s="13" t="n">
        <v>43993</v>
      </c>
      <c r="B1173" s="14" t="n">
        <v>1196.34</v>
      </c>
      <c r="C1173" s="14" t="n">
        <v>9.5249</v>
      </c>
      <c r="D1173" s="14" t="n">
        <v>1.2635</v>
      </c>
      <c r="E1173" s="14" t="n">
        <v>1.1378</v>
      </c>
      <c r="F1173" s="14" t="n">
        <v>7.064</v>
      </c>
      <c r="G1173" s="14" t="n">
        <v>4.976</v>
      </c>
      <c r="H1173" s="14" t="n">
        <v>106.67</v>
      </c>
      <c r="I1173" s="14" t="n">
        <v>1.1348</v>
      </c>
      <c r="J1173" s="14" t="n">
        <v>10.72</v>
      </c>
      <c r="K1173" s="14" t="n">
        <v>1359.18</v>
      </c>
      <c r="L1173" s="14" t="n">
        <v>0.89665</v>
      </c>
      <c r="M1173" s="14" t="n">
        <v>8.025</v>
      </c>
      <c r="N1173" s="14" t="n">
        <v>5.6471</v>
      </c>
      <c r="O1173" s="14" t="n">
        <v>121.52</v>
      </c>
      <c r="P1173" s="14" t="n">
        <v>9.4466</v>
      </c>
    </row>
    <row r="1174" customFormat="false" ht="15" hidden="false" customHeight="false" outlineLevel="0" collapsed="false">
      <c r="A1174" s="13" t="n">
        <v>43994</v>
      </c>
      <c r="B1174" s="14" t="n">
        <v>1204.52</v>
      </c>
      <c r="C1174" s="14" t="n">
        <v>9.6331</v>
      </c>
      <c r="D1174" s="14" t="n">
        <v>1.2527</v>
      </c>
      <c r="E1174" s="14" t="n">
        <v>1.1253</v>
      </c>
      <c r="F1174" s="14" t="n">
        <v>7.0825</v>
      </c>
      <c r="G1174" s="14" t="n">
        <v>5.0241</v>
      </c>
      <c r="H1174" s="14" t="n">
        <v>107.36</v>
      </c>
      <c r="I1174" s="14" t="n">
        <v>1.1304</v>
      </c>
      <c r="J1174" s="14" t="n">
        <v>10.8475</v>
      </c>
      <c r="K1174" s="14" t="n">
        <v>1360.45</v>
      </c>
      <c r="L1174" s="14" t="n">
        <v>0.89653</v>
      </c>
      <c r="M1174" s="14" t="n">
        <v>7.999</v>
      </c>
      <c r="N1174" s="14" t="n">
        <v>5.7388</v>
      </c>
      <c r="O1174" s="14" t="n">
        <v>121.26</v>
      </c>
      <c r="P1174" s="14" t="n">
        <v>9.5962</v>
      </c>
    </row>
    <row r="1175" customFormat="false" ht="15" hidden="false" customHeight="false" outlineLevel="0" collapsed="false">
      <c r="A1175" s="13" t="n">
        <v>43997</v>
      </c>
      <c r="B1175" s="14" t="n">
        <v>1212.21</v>
      </c>
      <c r="C1175" s="14" t="n">
        <v>9.6138</v>
      </c>
      <c r="D1175" s="14" t="n">
        <v>1.2543</v>
      </c>
      <c r="E1175" s="14" t="n">
        <v>1.127</v>
      </c>
      <c r="F1175" s="14" t="n">
        <v>7.0887</v>
      </c>
      <c r="G1175" s="14" t="n">
        <v>5.2082</v>
      </c>
      <c r="H1175" s="14" t="n">
        <v>107.33</v>
      </c>
      <c r="I1175" s="14" t="n">
        <v>1.1253</v>
      </c>
      <c r="J1175" s="14" t="n">
        <v>10.8894</v>
      </c>
      <c r="K1175" s="14" t="n">
        <v>1366.08</v>
      </c>
      <c r="L1175" s="14" t="n">
        <v>0.89648</v>
      </c>
      <c r="M1175" s="14" t="n">
        <v>7.984</v>
      </c>
      <c r="N1175" s="14" t="n">
        <v>5.8049</v>
      </c>
      <c r="O1175" s="14" t="n">
        <v>120.83</v>
      </c>
      <c r="P1175" s="14" t="n">
        <v>9.6769</v>
      </c>
    </row>
    <row r="1176" customFormat="false" ht="15" hidden="false" customHeight="false" outlineLevel="0" collapsed="false">
      <c r="A1176" s="13" t="n">
        <v>43998</v>
      </c>
      <c r="B1176" s="14" t="n">
        <v>1207.26</v>
      </c>
      <c r="C1176" s="14" t="n">
        <v>9.5735</v>
      </c>
      <c r="D1176" s="14" t="n">
        <v>1.2586</v>
      </c>
      <c r="E1176" s="14" t="n">
        <v>1.1259</v>
      </c>
      <c r="F1176" s="14" t="n">
        <v>7.0854</v>
      </c>
      <c r="G1176" s="14" t="n">
        <v>5.1563</v>
      </c>
      <c r="H1176" s="14" t="n">
        <v>107.35</v>
      </c>
      <c r="I1176" s="14" t="n">
        <v>1.1308</v>
      </c>
      <c r="J1176" s="14" t="n">
        <v>10.7389</v>
      </c>
      <c r="K1176" s="14" t="n">
        <v>1369.11</v>
      </c>
      <c r="L1176" s="14" t="n">
        <v>0.8937</v>
      </c>
      <c r="M1176" s="14" t="n">
        <v>8.0041</v>
      </c>
      <c r="N1176" s="14" t="n">
        <v>5.7647</v>
      </c>
      <c r="O1176" s="14" t="n">
        <v>121.39</v>
      </c>
      <c r="P1176" s="14" t="n">
        <v>9.4967</v>
      </c>
    </row>
    <row r="1177" customFormat="false" ht="15" hidden="false" customHeight="false" outlineLevel="0" collapsed="false">
      <c r="A1177" s="13" t="n">
        <v>43999</v>
      </c>
      <c r="B1177" s="14" t="n">
        <v>1215.02</v>
      </c>
      <c r="C1177" s="14" t="n">
        <v>9.5397</v>
      </c>
      <c r="D1177" s="14" t="n">
        <v>1.2526</v>
      </c>
      <c r="E1177" s="14" t="n">
        <v>1.1219</v>
      </c>
      <c r="F1177" s="14" t="n">
        <v>7.084</v>
      </c>
      <c r="G1177" s="14" t="n">
        <v>5.264</v>
      </c>
      <c r="H1177" s="14" t="n">
        <v>107.26</v>
      </c>
      <c r="I1177" s="14" t="n">
        <v>1.1232</v>
      </c>
      <c r="J1177" s="14" t="n">
        <v>10.705</v>
      </c>
      <c r="K1177" s="14" t="n">
        <v>1362.21</v>
      </c>
      <c r="L1177" s="14" t="n">
        <v>0.89448</v>
      </c>
      <c r="M1177" s="14" t="n">
        <v>7.9602</v>
      </c>
      <c r="N1177" s="14" t="n">
        <v>5.8521</v>
      </c>
      <c r="O1177" s="14" t="n">
        <v>120.65</v>
      </c>
      <c r="P1177" s="14" t="n">
        <v>9.5308</v>
      </c>
    </row>
    <row r="1178" customFormat="false" ht="15" hidden="false" customHeight="false" outlineLevel="0" collapsed="false">
      <c r="A1178" s="13" t="n">
        <v>44000</v>
      </c>
      <c r="B1178" s="14" t="n">
        <v>1211.65</v>
      </c>
      <c r="C1178" s="14" t="n">
        <v>9.5402</v>
      </c>
      <c r="D1178" s="14" t="n">
        <v>1.243</v>
      </c>
      <c r="E1178" s="14" t="n">
        <v>1.1216</v>
      </c>
      <c r="F1178" s="14" t="n">
        <v>7.0869</v>
      </c>
      <c r="G1178" s="14" t="n">
        <v>5.354</v>
      </c>
      <c r="H1178" s="14" t="n">
        <v>106.78</v>
      </c>
      <c r="I1178" s="14" t="n">
        <v>1.1222</v>
      </c>
      <c r="J1178" s="14" t="n">
        <v>10.7083</v>
      </c>
      <c r="K1178" s="14" t="n">
        <v>1359.26</v>
      </c>
      <c r="L1178" s="14" t="n">
        <v>0.90028</v>
      </c>
      <c r="M1178" s="14" t="n">
        <v>7.9545</v>
      </c>
      <c r="N1178" s="14" t="n">
        <v>5.9738</v>
      </c>
      <c r="O1178" s="14" t="n">
        <v>120</v>
      </c>
      <c r="P1178" s="14" t="n">
        <v>9.5422</v>
      </c>
    </row>
    <row r="1179" customFormat="false" ht="15" hidden="false" customHeight="false" outlineLevel="0" collapsed="false">
      <c r="A1179" s="13" t="n">
        <v>44001</v>
      </c>
      <c r="B1179" s="14" t="n">
        <v>1208.38</v>
      </c>
      <c r="C1179" s="14" t="n">
        <v>9.6154</v>
      </c>
      <c r="D1179" s="14" t="n">
        <v>1.2362</v>
      </c>
      <c r="E1179" s="14" t="n">
        <v>1.1189</v>
      </c>
      <c r="F1179" s="14" t="n">
        <v>7.0707</v>
      </c>
      <c r="G1179" s="14" t="n">
        <v>5.3388</v>
      </c>
      <c r="H1179" s="14" t="n">
        <v>106.89</v>
      </c>
      <c r="I1179" s="14" t="n">
        <v>1.121</v>
      </c>
      <c r="J1179" s="14" t="n">
        <v>10.7135</v>
      </c>
      <c r="K1179" s="14" t="n">
        <v>1353.53</v>
      </c>
      <c r="L1179" s="14" t="n">
        <v>0.90505</v>
      </c>
      <c r="M1179" s="14" t="n">
        <v>7.9332</v>
      </c>
      <c r="N1179" s="14" t="n">
        <v>6.0029</v>
      </c>
      <c r="O1179" s="14" t="n">
        <v>119.77</v>
      </c>
      <c r="P1179" s="14" t="n">
        <v>9.5571</v>
      </c>
    </row>
    <row r="1180" customFormat="false" ht="15" hidden="false" customHeight="false" outlineLevel="0" collapsed="false">
      <c r="A1180" s="13" t="n">
        <v>44004</v>
      </c>
      <c r="B1180" s="14" t="n">
        <v>1210.73</v>
      </c>
      <c r="C1180" s="14" t="n">
        <v>9.5965</v>
      </c>
      <c r="D1180" s="14" t="n">
        <v>1.2447</v>
      </c>
      <c r="E1180" s="14" t="n">
        <v>1.126</v>
      </c>
      <c r="F1180" s="14" t="n">
        <v>7.0678</v>
      </c>
      <c r="G1180" s="14" t="n">
        <v>5.2235</v>
      </c>
      <c r="H1180" s="14" t="n">
        <v>106.84</v>
      </c>
      <c r="I1180" s="14" t="n">
        <v>1.1213</v>
      </c>
      <c r="J1180" s="14" t="n">
        <v>10.7985</v>
      </c>
      <c r="K1180" s="14" t="n">
        <v>1361.3</v>
      </c>
      <c r="L1180" s="14" t="n">
        <v>0.90328</v>
      </c>
      <c r="M1180" s="14" t="n">
        <v>7.9348</v>
      </c>
      <c r="N1180" s="14" t="n">
        <v>5.9248</v>
      </c>
      <c r="O1180" s="14" t="n">
        <v>119.89</v>
      </c>
      <c r="P1180" s="14" t="n">
        <v>9.6303</v>
      </c>
    </row>
    <row r="1181" customFormat="false" ht="15" hidden="false" customHeight="false" outlineLevel="0" collapsed="false">
      <c r="A1181" s="13" t="n">
        <v>44005</v>
      </c>
      <c r="B1181" s="14" t="n">
        <v>1206.43</v>
      </c>
      <c r="C1181" s="14" t="n">
        <v>9.4813</v>
      </c>
      <c r="D1181" s="14" t="n">
        <v>1.2531</v>
      </c>
      <c r="E1181" s="14" t="n">
        <v>1.1322</v>
      </c>
      <c r="F1181" s="14" t="n">
        <v>7.0575</v>
      </c>
      <c r="G1181" s="14" t="n">
        <v>5.1578</v>
      </c>
      <c r="H1181" s="14" t="n">
        <v>106.44</v>
      </c>
      <c r="I1181" s="14" t="n">
        <v>1.1318</v>
      </c>
      <c r="J1181" s="14" t="n">
        <v>10.7345</v>
      </c>
      <c r="K1181" s="14" t="n">
        <v>1366.51</v>
      </c>
      <c r="L1181" s="14" t="n">
        <v>0.9063</v>
      </c>
      <c r="M1181" s="14" t="n">
        <v>7.9944</v>
      </c>
      <c r="N1181" s="14" t="n">
        <v>5.9006</v>
      </c>
      <c r="O1181" s="14" t="n">
        <v>121.05</v>
      </c>
      <c r="P1181" s="14" t="n">
        <v>9.4844</v>
      </c>
    </row>
    <row r="1182" customFormat="false" ht="15" hidden="false" customHeight="false" outlineLevel="0" collapsed="false">
      <c r="A1182" s="13" t="n">
        <v>44006</v>
      </c>
      <c r="B1182" s="14" t="n">
        <v>1199.55</v>
      </c>
      <c r="C1182" s="14" t="n">
        <v>9.6145</v>
      </c>
      <c r="D1182" s="14" t="n">
        <v>1.2432</v>
      </c>
      <c r="E1182" s="14" t="n">
        <v>1.1272</v>
      </c>
      <c r="F1182" s="14" t="n">
        <v>7.077</v>
      </c>
      <c r="G1182" s="14" t="n">
        <v>5.302</v>
      </c>
      <c r="H1182" s="14" t="n">
        <v>106.83</v>
      </c>
      <c r="I1182" s="14" t="n">
        <v>1.128</v>
      </c>
      <c r="J1182" s="14" t="n">
        <v>10.7958</v>
      </c>
      <c r="K1182" s="14" t="n">
        <v>1356.39</v>
      </c>
      <c r="L1182" s="14" t="n">
        <v>0.90343</v>
      </c>
      <c r="M1182" s="14" t="n">
        <v>7.9772</v>
      </c>
      <c r="N1182" s="14" t="n">
        <v>5.8422</v>
      </c>
      <c r="O1182" s="14" t="n">
        <v>120.3</v>
      </c>
      <c r="P1182" s="14" t="n">
        <v>9.5707</v>
      </c>
    </row>
    <row r="1183" customFormat="false" ht="15" hidden="false" customHeight="false" outlineLevel="0" collapsed="false">
      <c r="A1183" s="13" t="n">
        <v>44007</v>
      </c>
      <c r="B1183" s="14" t="n">
        <v>1203.59</v>
      </c>
      <c r="C1183" s="14" t="n">
        <v>9.6892</v>
      </c>
      <c r="D1183" s="14" t="n">
        <v>1.2406</v>
      </c>
      <c r="E1183" s="14" t="n">
        <v>1.1221</v>
      </c>
      <c r="F1183" s="14" t="n">
        <v>7.0768</v>
      </c>
      <c r="G1183" s="14" t="n">
        <v>5.3541</v>
      </c>
      <c r="H1183" s="14" t="n">
        <v>107.21</v>
      </c>
      <c r="I1183" s="14" t="n">
        <v>1.12</v>
      </c>
      <c r="J1183" s="14" t="n">
        <v>10.8748</v>
      </c>
      <c r="K1183" s="14" t="n">
        <v>1347.73</v>
      </c>
      <c r="L1183" s="14" t="n">
        <v>0.90133</v>
      </c>
      <c r="M1183" s="14" t="n">
        <v>7.9206</v>
      </c>
      <c r="N1183" s="14" t="n">
        <v>6.0012</v>
      </c>
      <c r="O1183" s="14" t="n">
        <v>120.25</v>
      </c>
      <c r="P1183" s="14" t="n">
        <v>9.7096</v>
      </c>
    </row>
    <row r="1184" customFormat="false" ht="15" hidden="false" customHeight="false" outlineLevel="0" collapsed="false">
      <c r="A1184" s="13" t="n">
        <v>44008</v>
      </c>
      <c r="B1184" s="14" t="n">
        <v>1203.44</v>
      </c>
      <c r="C1184" s="14" t="n">
        <v>9.7166</v>
      </c>
      <c r="D1184" s="14" t="n">
        <v>1.2337</v>
      </c>
      <c r="E1184" s="14" t="n">
        <v>1.1215</v>
      </c>
      <c r="F1184" s="14" t="n">
        <v>7.0768</v>
      </c>
      <c r="G1184" s="14" t="n">
        <v>5.4661</v>
      </c>
      <c r="H1184" s="14" t="n">
        <v>107.19</v>
      </c>
      <c r="I1184" s="14" t="n">
        <v>1.1213</v>
      </c>
      <c r="J1184" s="14" t="n">
        <v>10.885</v>
      </c>
      <c r="K1184" s="14" t="n">
        <v>1346.19</v>
      </c>
      <c r="L1184" s="14" t="n">
        <v>0.90575</v>
      </c>
      <c r="M1184" s="14" t="n">
        <v>7.9298</v>
      </c>
      <c r="N1184" s="14" t="n">
        <v>6.0595</v>
      </c>
      <c r="O1184" s="14" t="n">
        <v>119.93</v>
      </c>
      <c r="P1184" s="14" t="n">
        <v>9.7075</v>
      </c>
    </row>
    <row r="1185" customFormat="false" ht="15" hidden="false" customHeight="false" outlineLevel="0" collapsed="false">
      <c r="A1185" s="13" t="n">
        <v>44011</v>
      </c>
      <c r="B1185" s="14" t="n">
        <v>1200.91</v>
      </c>
      <c r="C1185" s="14" t="n">
        <v>9.7074</v>
      </c>
      <c r="D1185" s="14" t="n">
        <v>1.2279</v>
      </c>
      <c r="E1185" s="14" t="n">
        <v>1.1237</v>
      </c>
      <c r="F1185" s="14" t="n">
        <v>7.0794</v>
      </c>
      <c r="G1185" s="14" t="n">
        <v>5.4587</v>
      </c>
      <c r="H1185" s="14" t="n">
        <v>107.71</v>
      </c>
      <c r="I1185" s="14" t="n">
        <v>1.1284</v>
      </c>
      <c r="J1185" s="14" t="n">
        <v>10.9013</v>
      </c>
      <c r="K1185" s="14" t="n">
        <v>1352.81</v>
      </c>
      <c r="L1185" s="14" t="n">
        <v>0.9154</v>
      </c>
      <c r="M1185" s="14" t="n">
        <v>7.9841</v>
      </c>
      <c r="N1185" s="14" t="n">
        <v>6.1105</v>
      </c>
      <c r="O1185" s="14" t="n">
        <v>121.07</v>
      </c>
      <c r="P1185" s="14" t="n">
        <v>9.6608</v>
      </c>
    </row>
    <row r="1186" customFormat="false" ht="15" hidden="false" customHeight="false" outlineLevel="0" collapsed="false">
      <c r="A1186" s="13" t="n">
        <v>44012</v>
      </c>
      <c r="B1186" s="14" t="n">
        <v>1200.5</v>
      </c>
      <c r="C1186" s="14" t="n">
        <v>9.6577</v>
      </c>
      <c r="D1186" s="14" t="n">
        <v>1.2369</v>
      </c>
      <c r="E1186" s="14" t="n">
        <v>1.1237</v>
      </c>
      <c r="F1186" s="14" t="n">
        <v>7.0651</v>
      </c>
      <c r="G1186" s="14" t="n">
        <v>5.4844</v>
      </c>
      <c r="H1186" s="14" t="n">
        <v>107.77</v>
      </c>
      <c r="I1186" s="14" t="n">
        <v>1.1198</v>
      </c>
      <c r="J1186" s="14" t="n">
        <v>10.912</v>
      </c>
      <c r="K1186" s="14" t="n">
        <v>1345.83</v>
      </c>
      <c r="L1186" s="14" t="n">
        <v>0.91243</v>
      </c>
      <c r="M1186" s="14" t="n">
        <v>7.9219</v>
      </c>
      <c r="N1186" s="14" t="n">
        <v>6.1118</v>
      </c>
      <c r="O1186" s="14" t="n">
        <v>120.66</v>
      </c>
      <c r="P1186" s="14" t="n">
        <v>9.7446</v>
      </c>
    </row>
    <row r="1187" customFormat="false" ht="15" hidden="false" customHeight="false" outlineLevel="0" collapsed="false">
      <c r="A1187" s="13" t="n">
        <v>44013</v>
      </c>
      <c r="B1187" s="14" t="n">
        <v>1201.84</v>
      </c>
      <c r="C1187" s="14" t="n">
        <v>9.5139</v>
      </c>
      <c r="D1187" s="14" t="n">
        <v>1.2474</v>
      </c>
      <c r="E1187" s="14" t="n">
        <v>1.1259</v>
      </c>
      <c r="F1187" s="14" t="n">
        <v>7.0703</v>
      </c>
      <c r="G1187" s="14" t="n">
        <v>5.3492</v>
      </c>
      <c r="H1187" s="14" t="n">
        <v>107.5</v>
      </c>
      <c r="I1187" s="14" t="n">
        <v>1.12</v>
      </c>
      <c r="J1187" s="14" t="n">
        <v>10.7736</v>
      </c>
      <c r="K1187" s="14" t="n">
        <v>1347.84</v>
      </c>
      <c r="L1187" s="14" t="n">
        <v>0.9043</v>
      </c>
      <c r="M1187" s="14" t="n">
        <v>7.9151</v>
      </c>
      <c r="N1187" s="14" t="n">
        <v>6.096</v>
      </c>
      <c r="O1187" s="14" t="n">
        <v>120.31</v>
      </c>
      <c r="P1187" s="14" t="n">
        <v>9.6193</v>
      </c>
    </row>
    <row r="1188" customFormat="false" ht="15" hidden="false" customHeight="false" outlineLevel="0" collapsed="false">
      <c r="A1188" s="13" t="n">
        <v>44014</v>
      </c>
      <c r="B1188" s="14" t="n">
        <v>1199.84</v>
      </c>
      <c r="C1188" s="14" t="n">
        <v>9.5357</v>
      </c>
      <c r="D1188" s="14" t="n">
        <v>1.2469</v>
      </c>
      <c r="E1188" s="14" t="n">
        <v>1.1237</v>
      </c>
      <c r="F1188" s="14" t="n">
        <v>7.066</v>
      </c>
      <c r="G1188" s="14" t="n">
        <v>5.3146</v>
      </c>
      <c r="H1188" s="14" t="n">
        <v>107.55</v>
      </c>
      <c r="I1188" s="14" t="n">
        <v>1.1286</v>
      </c>
      <c r="J1188" s="14" t="n">
        <v>10.6873</v>
      </c>
      <c r="K1188" s="14" t="n">
        <v>1353.9</v>
      </c>
      <c r="L1188" s="14" t="n">
        <v>0.90225</v>
      </c>
      <c r="M1188" s="14" t="n">
        <v>7.9759</v>
      </c>
      <c r="N1188" s="14" t="n">
        <v>5.9823</v>
      </c>
      <c r="O1188" s="14" t="n">
        <v>121.24</v>
      </c>
      <c r="P1188" s="14" t="n">
        <v>9.4695</v>
      </c>
    </row>
    <row r="1189" customFormat="false" ht="15" hidden="false" customHeight="false" outlineLevel="0" collapsed="false">
      <c r="A1189" s="13" t="n">
        <v>44015</v>
      </c>
      <c r="I1189" s="14" t="n">
        <v>1.1224</v>
      </c>
      <c r="J1189" s="14" t="n">
        <v>10.6775</v>
      </c>
      <c r="K1189" s="14" t="n">
        <v>1346.54</v>
      </c>
      <c r="L1189" s="14" t="n">
        <v>0.9012</v>
      </c>
      <c r="M1189" s="14" t="n">
        <v>7.931</v>
      </c>
      <c r="N1189" s="14" t="n">
        <v>6.0117</v>
      </c>
      <c r="O1189" s="14" t="n">
        <v>120.68</v>
      </c>
      <c r="P1189" s="14" t="n">
        <v>9.5131</v>
      </c>
    </row>
    <row r="1190" customFormat="false" ht="15" hidden="false" customHeight="false" outlineLevel="0" collapsed="false">
      <c r="A1190" s="13" t="n">
        <v>44018</v>
      </c>
      <c r="B1190" s="14" t="n">
        <v>1192.66</v>
      </c>
      <c r="C1190" s="14" t="n">
        <v>9.407</v>
      </c>
      <c r="D1190" s="14" t="n">
        <v>1.2482</v>
      </c>
      <c r="E1190" s="14" t="n">
        <v>1.1307</v>
      </c>
      <c r="F1190" s="14" t="n">
        <v>7.0159</v>
      </c>
      <c r="G1190" s="14" t="n">
        <v>5.314</v>
      </c>
      <c r="H1190" s="14" t="n">
        <v>107.5</v>
      </c>
      <c r="I1190" s="14" t="n">
        <v>1.1325</v>
      </c>
      <c r="J1190" s="14" t="n">
        <v>10.6218</v>
      </c>
      <c r="K1190" s="14" t="n">
        <v>1350.51</v>
      </c>
      <c r="L1190" s="14" t="n">
        <v>0.90505</v>
      </c>
      <c r="M1190" s="14" t="n">
        <v>7.9498</v>
      </c>
      <c r="N1190" s="14" t="n">
        <v>5.9745</v>
      </c>
      <c r="O1190" s="14" t="n">
        <v>121.78</v>
      </c>
      <c r="P1190" s="14" t="n">
        <v>9.3791</v>
      </c>
    </row>
    <row r="1191" customFormat="false" ht="15" hidden="false" customHeight="false" outlineLevel="0" collapsed="false">
      <c r="A1191" s="13" t="n">
        <v>44019</v>
      </c>
      <c r="B1191" s="14" t="n">
        <v>1194.43</v>
      </c>
      <c r="C1191" s="14" t="n">
        <v>9.4318</v>
      </c>
      <c r="D1191" s="14" t="n">
        <v>1.2572</v>
      </c>
      <c r="E1191" s="14" t="n">
        <v>1.1299</v>
      </c>
      <c r="F1191" s="14" t="n">
        <v>7.0127</v>
      </c>
      <c r="G1191" s="14" t="n">
        <v>5.358</v>
      </c>
      <c r="H1191" s="14" t="n">
        <v>107.53</v>
      </c>
      <c r="I1191" s="14" t="n">
        <v>1.129</v>
      </c>
      <c r="J1191" s="14" t="n">
        <v>10.6428</v>
      </c>
      <c r="K1191" s="14" t="n">
        <v>1349.06</v>
      </c>
      <c r="L1191" s="14" t="n">
        <v>0.9015</v>
      </c>
      <c r="M1191" s="14" t="n">
        <v>7.9287</v>
      </c>
      <c r="N1191" s="14" t="n">
        <v>6.0701</v>
      </c>
      <c r="O1191" s="14" t="n">
        <v>121.61</v>
      </c>
      <c r="P1191" s="14" t="n">
        <v>9.4267</v>
      </c>
    </row>
    <row r="1192" customFormat="false" ht="15" hidden="false" customHeight="false" outlineLevel="0" collapsed="false">
      <c r="A1192" s="13" t="n">
        <v>44020</v>
      </c>
      <c r="B1192" s="14" t="n">
        <v>1194.63</v>
      </c>
      <c r="C1192" s="14" t="n">
        <v>9.416</v>
      </c>
      <c r="D1192" s="14" t="n">
        <v>1.2593</v>
      </c>
      <c r="E1192" s="14" t="n">
        <v>1.1329</v>
      </c>
      <c r="F1192" s="14" t="n">
        <v>7.0041</v>
      </c>
      <c r="G1192" s="14" t="n">
        <v>5.3581</v>
      </c>
      <c r="H1192" s="14" t="n">
        <v>107.39</v>
      </c>
      <c r="I1192" s="14" t="n">
        <v>1.1286</v>
      </c>
      <c r="J1192" s="14" t="n">
        <v>10.6885</v>
      </c>
      <c r="K1192" s="14" t="n">
        <v>1348.86</v>
      </c>
      <c r="L1192" s="14" t="n">
        <v>0.89923</v>
      </c>
      <c r="M1192" s="14" t="n">
        <v>7.9163</v>
      </c>
      <c r="N1192" s="14" t="n">
        <v>6.0439</v>
      </c>
      <c r="O1192" s="14" t="n">
        <v>121.39</v>
      </c>
      <c r="P1192" s="14" t="n">
        <v>9.4706</v>
      </c>
    </row>
    <row r="1193" customFormat="false" ht="15" hidden="false" customHeight="false" outlineLevel="0" collapsed="false">
      <c r="A1193" s="13" t="n">
        <v>44021</v>
      </c>
      <c r="B1193" s="14" t="n">
        <v>1197.84</v>
      </c>
      <c r="C1193" s="14" t="n">
        <v>9.4554</v>
      </c>
      <c r="D1193" s="14" t="n">
        <v>1.2614</v>
      </c>
      <c r="E1193" s="14" t="n">
        <v>1.1298</v>
      </c>
      <c r="F1193" s="14" t="n">
        <v>6.9923</v>
      </c>
      <c r="G1193" s="14" t="n">
        <v>5.3182</v>
      </c>
      <c r="H1193" s="14" t="n">
        <v>107.27</v>
      </c>
      <c r="I1193" s="14" t="n">
        <v>1.1342</v>
      </c>
      <c r="J1193" s="14" t="n">
        <v>10.6173</v>
      </c>
      <c r="K1193" s="14" t="n">
        <v>1354.35</v>
      </c>
      <c r="L1193" s="14" t="n">
        <v>0.89655</v>
      </c>
      <c r="M1193" s="14" t="n">
        <v>7.923</v>
      </c>
      <c r="N1193" s="14" t="n">
        <v>6.052</v>
      </c>
      <c r="O1193" s="14" t="n">
        <v>121.67</v>
      </c>
      <c r="P1193" s="14" t="n">
        <v>9.361</v>
      </c>
    </row>
    <row r="1194" customFormat="false" ht="15" hidden="false" customHeight="false" outlineLevel="0" collapsed="false">
      <c r="A1194" s="13" t="n">
        <v>44022</v>
      </c>
      <c r="B1194" s="14" t="n">
        <v>1204.34</v>
      </c>
      <c r="C1194" s="14" t="n">
        <v>9.4213</v>
      </c>
      <c r="D1194" s="14" t="n">
        <v>1.2654</v>
      </c>
      <c r="E1194" s="14" t="n">
        <v>1.1318</v>
      </c>
      <c r="F1194" s="14" t="n">
        <v>6.999</v>
      </c>
      <c r="G1194" s="14" t="n">
        <v>5.3334</v>
      </c>
      <c r="H1194" s="14" t="n">
        <v>106.77</v>
      </c>
      <c r="I1194" s="14" t="n">
        <v>1.1276</v>
      </c>
      <c r="J1194" s="14" t="n">
        <v>10.7163</v>
      </c>
      <c r="K1194" s="14" t="n">
        <v>1354.7</v>
      </c>
      <c r="L1194" s="14" t="n">
        <v>0.8957</v>
      </c>
      <c r="M1194" s="14" t="n">
        <v>7.8952</v>
      </c>
      <c r="N1194" s="14" t="n">
        <v>6.0691</v>
      </c>
      <c r="O1194" s="14" t="n">
        <v>120.48</v>
      </c>
      <c r="P1194" s="14" t="n">
        <v>9.5036</v>
      </c>
    </row>
    <row r="1195" customFormat="false" ht="15" hidden="false" customHeight="false" outlineLevel="0" collapsed="false">
      <c r="A1195" s="13" t="n">
        <v>44025</v>
      </c>
      <c r="B1195" s="14" t="n">
        <v>1200.13</v>
      </c>
      <c r="C1195" s="14" t="n">
        <v>9.3667</v>
      </c>
      <c r="D1195" s="14" t="n">
        <v>1.2614</v>
      </c>
      <c r="E1195" s="14" t="n">
        <v>1.1364</v>
      </c>
      <c r="F1195" s="14" t="n">
        <v>6.9959</v>
      </c>
      <c r="G1195" s="14" t="n">
        <v>5.3439</v>
      </c>
      <c r="H1195" s="14" t="n">
        <v>107.22</v>
      </c>
      <c r="I1195" s="14" t="n">
        <v>1.1329</v>
      </c>
      <c r="J1195" s="14" t="n">
        <v>10.665</v>
      </c>
      <c r="K1195" s="14" t="n">
        <v>1361.37</v>
      </c>
      <c r="L1195" s="14" t="n">
        <v>0.89938</v>
      </c>
      <c r="M1195" s="14" t="n">
        <v>7.9309</v>
      </c>
      <c r="N1195" s="14" t="n">
        <v>6.0494</v>
      </c>
      <c r="O1195" s="14" t="n">
        <v>121.4</v>
      </c>
      <c r="P1195" s="14" t="n">
        <v>9.4139</v>
      </c>
    </row>
    <row r="1196" customFormat="false" ht="15" hidden="false" customHeight="false" outlineLevel="0" collapsed="false">
      <c r="A1196" s="13" t="n">
        <v>44026</v>
      </c>
      <c r="B1196" s="14" t="n">
        <v>1205.24</v>
      </c>
      <c r="C1196" s="14" t="n">
        <v>9.3875</v>
      </c>
      <c r="D1196" s="14" t="n">
        <v>1.2546</v>
      </c>
      <c r="E1196" s="14" t="n">
        <v>1.1406</v>
      </c>
      <c r="F1196" s="14" t="n">
        <v>7.006</v>
      </c>
      <c r="G1196" s="14" t="n">
        <v>5.429</v>
      </c>
      <c r="H1196" s="14" t="n">
        <v>107.2</v>
      </c>
      <c r="I1196" s="14" t="n">
        <v>1.1375</v>
      </c>
      <c r="J1196" s="14" t="n">
        <v>10.711</v>
      </c>
      <c r="K1196" s="14" t="n">
        <v>1371.98</v>
      </c>
      <c r="L1196" s="14" t="n">
        <v>0.90778</v>
      </c>
      <c r="M1196" s="14" t="n">
        <v>7.9805</v>
      </c>
      <c r="N1196" s="14" t="n">
        <v>6.0925</v>
      </c>
      <c r="O1196" s="14" t="n">
        <v>122.17</v>
      </c>
      <c r="P1196" s="14" t="n">
        <v>9.4163</v>
      </c>
    </row>
    <row r="1197" customFormat="false" ht="15" hidden="false" customHeight="false" outlineLevel="0" collapsed="false">
      <c r="A1197" s="13" t="n">
        <v>44027</v>
      </c>
      <c r="B1197" s="14" t="n">
        <v>1201.97</v>
      </c>
      <c r="C1197" s="14" t="n">
        <v>9.3149</v>
      </c>
      <c r="D1197" s="14" t="n">
        <v>1.2586</v>
      </c>
      <c r="E1197" s="14" t="n">
        <v>1.1406</v>
      </c>
      <c r="F1197" s="14" t="n">
        <v>6.9885</v>
      </c>
      <c r="G1197" s="14" t="n">
        <v>5.362</v>
      </c>
      <c r="H1197" s="14" t="n">
        <v>106.92</v>
      </c>
      <c r="I1197" s="14" t="n">
        <v>1.1444</v>
      </c>
      <c r="J1197" s="14" t="n">
        <v>10.6275</v>
      </c>
      <c r="K1197" s="14" t="n">
        <v>1373.55</v>
      </c>
      <c r="L1197" s="14" t="n">
        <v>0.9054</v>
      </c>
      <c r="M1197" s="14" t="n">
        <v>7.9975</v>
      </c>
      <c r="N1197" s="14" t="n">
        <v>6.0911</v>
      </c>
      <c r="O1197" s="14" t="n">
        <v>122.25</v>
      </c>
      <c r="P1197" s="14" t="n">
        <v>9.2865</v>
      </c>
    </row>
    <row r="1198" customFormat="false" ht="15" hidden="false" customHeight="false" outlineLevel="0" collapsed="false">
      <c r="A1198" s="13" t="n">
        <v>44028</v>
      </c>
      <c r="B1198" s="14" t="n">
        <v>1202.97</v>
      </c>
      <c r="C1198" s="14" t="n">
        <v>9.2516</v>
      </c>
      <c r="D1198" s="14" t="n">
        <v>1.2621</v>
      </c>
      <c r="E1198" s="14" t="n">
        <v>1.1433</v>
      </c>
      <c r="F1198" s="14" t="n">
        <v>6.9881</v>
      </c>
      <c r="G1198" s="14" t="n">
        <v>5.343</v>
      </c>
      <c r="H1198" s="14" t="n">
        <v>107.05</v>
      </c>
      <c r="I1198" s="14" t="n">
        <v>1.1414</v>
      </c>
      <c r="J1198" s="14" t="n">
        <v>10.6148</v>
      </c>
      <c r="K1198" s="14" t="n">
        <v>1373.74</v>
      </c>
      <c r="L1198" s="14" t="n">
        <v>0.90875</v>
      </c>
      <c r="M1198" s="14" t="n">
        <v>7.9861</v>
      </c>
      <c r="N1198" s="14" t="n">
        <v>6.1154</v>
      </c>
      <c r="O1198" s="14" t="n">
        <v>122.24</v>
      </c>
      <c r="P1198" s="14" t="n">
        <v>9.2998</v>
      </c>
    </row>
    <row r="1199" customFormat="false" ht="15" hidden="false" customHeight="false" outlineLevel="0" collapsed="false">
      <c r="A1199" s="13" t="n">
        <v>44029</v>
      </c>
      <c r="B1199" s="14" t="n">
        <v>1203.86</v>
      </c>
      <c r="C1199" s="14" t="n">
        <v>9.2712</v>
      </c>
      <c r="D1199" s="14" t="n">
        <v>1.255</v>
      </c>
      <c r="E1199" s="14" t="n">
        <v>1.1438</v>
      </c>
      <c r="F1199" s="14" t="n">
        <v>6.9912</v>
      </c>
      <c r="G1199" s="14" t="n">
        <v>5.352</v>
      </c>
      <c r="H1199" s="14" t="n">
        <v>107.06</v>
      </c>
      <c r="I1199" s="14" t="n">
        <v>1.1428</v>
      </c>
      <c r="J1199" s="14" t="n">
        <v>10.5995</v>
      </c>
      <c r="K1199" s="14" t="n">
        <v>1376.55</v>
      </c>
      <c r="L1199" s="14" t="n">
        <v>0.91078</v>
      </c>
      <c r="M1199" s="14" t="n">
        <v>7.9975</v>
      </c>
      <c r="N1199" s="14" t="n">
        <v>6.0839</v>
      </c>
      <c r="O1199" s="14" t="n">
        <v>122.53</v>
      </c>
      <c r="P1199" s="14" t="n">
        <v>9.275</v>
      </c>
    </row>
    <row r="1200" customFormat="false" ht="15" hidden="false" customHeight="false" outlineLevel="0" collapsed="false">
      <c r="A1200" s="13" t="n">
        <v>44032</v>
      </c>
      <c r="B1200" s="14" t="n">
        <v>1202.26</v>
      </c>
      <c r="C1200" s="14" t="n">
        <v>9.2486</v>
      </c>
      <c r="D1200" s="14" t="n">
        <v>1.2658</v>
      </c>
      <c r="E1200" s="14" t="n">
        <v>1.1442</v>
      </c>
      <c r="F1200" s="14" t="n">
        <v>6.9829</v>
      </c>
      <c r="G1200" s="14" t="n">
        <v>5.3365</v>
      </c>
      <c r="H1200" s="14" t="n">
        <v>107.21</v>
      </c>
      <c r="I1200" s="14" t="n">
        <v>1.1448</v>
      </c>
      <c r="J1200" s="14" t="n">
        <v>10.606</v>
      </c>
      <c r="K1200" s="14" t="n">
        <v>1377.07</v>
      </c>
      <c r="L1200" s="14" t="n">
        <v>0.90575</v>
      </c>
      <c r="M1200" s="14" t="n">
        <v>7.9992</v>
      </c>
      <c r="N1200" s="14" t="n">
        <v>6.148</v>
      </c>
      <c r="O1200" s="14" t="n">
        <v>122.63</v>
      </c>
      <c r="P1200" s="14" t="n">
        <v>9.2645</v>
      </c>
    </row>
    <row r="1201" customFormat="false" ht="15" hidden="false" customHeight="false" outlineLevel="0" collapsed="false">
      <c r="A1201" s="13" t="n">
        <v>44033</v>
      </c>
      <c r="B1201" s="14" t="n">
        <v>1194.64</v>
      </c>
      <c r="C1201" s="14" t="n">
        <v>9.1262</v>
      </c>
      <c r="D1201" s="14" t="n">
        <v>1.2736</v>
      </c>
      <c r="E1201" s="14" t="n">
        <v>1.1495</v>
      </c>
      <c r="F1201" s="14" t="n">
        <v>6.98</v>
      </c>
      <c r="G1201" s="14" t="n">
        <v>5.1936</v>
      </c>
      <c r="H1201" s="14" t="n">
        <v>106.82</v>
      </c>
      <c r="I1201" s="14" t="n">
        <v>1.1443</v>
      </c>
      <c r="J1201" s="14" t="n">
        <v>10.4933</v>
      </c>
      <c r="K1201" s="14" t="n">
        <v>1367.96</v>
      </c>
      <c r="L1201" s="14" t="n">
        <v>0.90055</v>
      </c>
      <c r="M1201" s="14" t="n">
        <v>7.9982</v>
      </c>
      <c r="N1201" s="14" t="n">
        <v>6.0416</v>
      </c>
      <c r="O1201" s="14" t="n">
        <v>122.7</v>
      </c>
      <c r="P1201" s="14" t="n">
        <v>9.1701</v>
      </c>
    </row>
    <row r="1202" customFormat="false" ht="15" hidden="false" customHeight="false" outlineLevel="0" collapsed="false">
      <c r="A1202" s="13" t="n">
        <v>44034</v>
      </c>
      <c r="B1202" s="14" t="n">
        <v>1194.83</v>
      </c>
      <c r="C1202" s="14" t="n">
        <v>9.1262</v>
      </c>
      <c r="D1202" s="14" t="n">
        <v>1.2729</v>
      </c>
      <c r="E1202" s="14" t="n">
        <v>1.1587</v>
      </c>
      <c r="F1202" s="14" t="n">
        <v>6.9988</v>
      </c>
      <c r="G1202" s="14" t="n">
        <v>5.0973</v>
      </c>
      <c r="H1202" s="14" t="n">
        <v>107.18</v>
      </c>
      <c r="I1202" s="14" t="n">
        <v>1.1578</v>
      </c>
      <c r="J1202" s="14" t="n">
        <v>10.5343</v>
      </c>
      <c r="K1202" s="14" t="n">
        <v>1384.38</v>
      </c>
      <c r="L1202" s="14" t="n">
        <v>0.91123</v>
      </c>
      <c r="M1202" s="14" t="n">
        <v>8.0999</v>
      </c>
      <c r="N1202" s="14" t="n">
        <v>5.992</v>
      </c>
      <c r="O1202" s="14" t="n">
        <v>123.94</v>
      </c>
      <c r="P1202" s="14" t="n">
        <v>9.0985</v>
      </c>
    </row>
    <row r="1203" customFormat="false" ht="15" hidden="false" customHeight="false" outlineLevel="0" collapsed="false">
      <c r="A1203" s="13" t="n">
        <v>44035</v>
      </c>
      <c r="B1203" s="14" t="n">
        <v>1198.91</v>
      </c>
      <c r="C1203" s="14" t="n">
        <v>9.1544</v>
      </c>
      <c r="D1203" s="14" t="n">
        <v>1.2759</v>
      </c>
      <c r="E1203" s="14" t="n">
        <v>1.1623</v>
      </c>
      <c r="F1203" s="14" t="n">
        <v>7.0034</v>
      </c>
      <c r="G1203" s="14" t="n">
        <v>5.1405</v>
      </c>
      <c r="H1203" s="14" t="n">
        <v>106.83</v>
      </c>
      <c r="I1203" s="14" t="n">
        <v>1.1569</v>
      </c>
      <c r="J1203" s="14" t="n">
        <v>10.6073</v>
      </c>
      <c r="K1203" s="14" t="n">
        <v>1389.31</v>
      </c>
      <c r="L1203" s="14" t="n">
        <v>0.91195</v>
      </c>
      <c r="M1203" s="14" t="n">
        <v>8.1057</v>
      </c>
      <c r="N1203" s="14" t="n">
        <v>5.9524</v>
      </c>
      <c r="O1203" s="14" t="n">
        <v>123.98</v>
      </c>
      <c r="P1203" s="14" t="n">
        <v>9.1687</v>
      </c>
    </row>
    <row r="1204" customFormat="false" ht="15" hidden="false" customHeight="false" outlineLevel="0" collapsed="false">
      <c r="A1204" s="13" t="n">
        <v>44036</v>
      </c>
      <c r="B1204" s="14" t="n">
        <v>1203.17</v>
      </c>
      <c r="C1204" s="14" t="n">
        <v>9.1907</v>
      </c>
      <c r="D1204" s="14" t="n">
        <v>1.2791</v>
      </c>
      <c r="E1204" s="14" t="n">
        <v>1.1635</v>
      </c>
      <c r="F1204" s="14" t="n">
        <v>7.0168</v>
      </c>
      <c r="G1204" s="14" t="n">
        <v>5.1948</v>
      </c>
      <c r="H1204" s="14" t="n">
        <v>105.79</v>
      </c>
      <c r="I1204" s="14" t="n">
        <v>1.1608</v>
      </c>
      <c r="J1204" s="14" t="n">
        <v>10.6953</v>
      </c>
      <c r="K1204" s="14" t="n">
        <v>1396.83</v>
      </c>
      <c r="L1204" s="14" t="n">
        <v>0.90985</v>
      </c>
      <c r="M1204" s="14" t="n">
        <v>8.1453</v>
      </c>
      <c r="N1204" s="14" t="n">
        <v>6.0777</v>
      </c>
      <c r="O1204" s="14" t="n">
        <v>123.36</v>
      </c>
      <c r="P1204" s="14" t="n">
        <v>9.2137</v>
      </c>
    </row>
    <row r="1205" customFormat="false" ht="15" hidden="false" customHeight="false" outlineLevel="0" collapsed="false">
      <c r="A1205" s="13" t="n">
        <v>44039</v>
      </c>
      <c r="B1205" s="14" t="n">
        <v>1195.94</v>
      </c>
      <c r="C1205" s="14" t="n">
        <v>9.1115</v>
      </c>
      <c r="D1205" s="14" t="n">
        <v>1.2887</v>
      </c>
      <c r="E1205" s="14" t="n">
        <v>1.175</v>
      </c>
      <c r="F1205" s="14" t="n">
        <v>6.995</v>
      </c>
      <c r="G1205" s="14" t="n">
        <v>5.1835</v>
      </c>
      <c r="H1205" s="14" t="n">
        <v>105.29</v>
      </c>
      <c r="I1205" s="14" t="n">
        <v>1.176</v>
      </c>
      <c r="J1205" s="14" t="n">
        <v>10.6683</v>
      </c>
      <c r="K1205" s="14" t="n">
        <v>1407.15</v>
      </c>
      <c r="L1205" s="14" t="n">
        <v>0.9134</v>
      </c>
      <c r="M1205" s="14" t="n">
        <v>8.2344</v>
      </c>
      <c r="N1205" s="14" t="n">
        <v>6.0919</v>
      </c>
      <c r="O1205" s="14" t="n">
        <v>123.88</v>
      </c>
      <c r="P1205" s="14" t="n">
        <v>9.0717</v>
      </c>
    </row>
    <row r="1206" customFormat="false" ht="15" hidden="false" customHeight="false" outlineLevel="0" collapsed="false">
      <c r="A1206" s="13" t="n">
        <v>44040</v>
      </c>
      <c r="B1206" s="14" t="n">
        <v>1198.15</v>
      </c>
      <c r="C1206" s="14" t="n">
        <v>9.0953</v>
      </c>
      <c r="D1206" s="14" t="n">
        <v>1.295</v>
      </c>
      <c r="E1206" s="14" t="n">
        <v>1.1733</v>
      </c>
      <c r="F1206" s="14" t="n">
        <v>6.9998</v>
      </c>
      <c r="G1206" s="14" t="n">
        <v>5.1684</v>
      </c>
      <c r="H1206" s="14" t="n">
        <v>105.03</v>
      </c>
      <c r="I1206" s="14" t="n">
        <v>1.1717</v>
      </c>
      <c r="J1206" s="14" t="n">
        <v>10.694</v>
      </c>
      <c r="K1206" s="14" t="n">
        <v>1406.13</v>
      </c>
      <c r="L1206" s="14" t="n">
        <v>0.90968</v>
      </c>
      <c r="M1206" s="14" t="n">
        <v>8.2041</v>
      </c>
      <c r="N1206" s="14" t="n">
        <v>6.065</v>
      </c>
      <c r="O1206" s="14" t="n">
        <v>123.34</v>
      </c>
      <c r="P1206" s="14" t="n">
        <v>9.1269</v>
      </c>
    </row>
    <row r="1207" customFormat="false" ht="15" hidden="false" customHeight="false" outlineLevel="0" collapsed="false">
      <c r="A1207" s="13" t="n">
        <v>44041</v>
      </c>
      <c r="B1207" s="14" t="n">
        <v>1192.98</v>
      </c>
      <c r="C1207" s="14" t="n">
        <v>9.0647</v>
      </c>
      <c r="D1207" s="14" t="n">
        <v>1.2974</v>
      </c>
      <c r="E1207" s="14" t="n">
        <v>1.177</v>
      </c>
      <c r="F1207" s="14" t="n">
        <v>7.0014</v>
      </c>
      <c r="G1207" s="14" t="n">
        <v>5.1483</v>
      </c>
      <c r="H1207" s="14" t="n">
        <v>105.06</v>
      </c>
      <c r="I1207" s="14" t="n">
        <v>1.1725</v>
      </c>
      <c r="J1207" s="14" t="n">
        <v>10.6573</v>
      </c>
      <c r="K1207" s="14" t="n">
        <v>1400.22</v>
      </c>
      <c r="L1207" s="14" t="n">
        <v>0.90385</v>
      </c>
      <c r="M1207" s="14" t="n">
        <v>8.2067</v>
      </c>
      <c r="N1207" s="14" t="n">
        <v>6.0149</v>
      </c>
      <c r="O1207" s="14" t="n">
        <v>123.28</v>
      </c>
      <c r="P1207" s="14" t="n">
        <v>9.0894</v>
      </c>
    </row>
    <row r="1208" customFormat="false" ht="15" hidden="false" customHeight="false" outlineLevel="0" collapsed="false">
      <c r="A1208" s="13" t="n">
        <v>44042</v>
      </c>
      <c r="B1208" s="14" t="n">
        <v>1196.3</v>
      </c>
      <c r="C1208" s="14" t="n">
        <v>9.1302</v>
      </c>
      <c r="D1208" s="14" t="n">
        <v>1.3035</v>
      </c>
      <c r="E1208" s="14" t="n">
        <v>1.1791</v>
      </c>
      <c r="F1208" s="14" t="n">
        <v>7.008</v>
      </c>
      <c r="G1208" s="14" t="n">
        <v>5.1824</v>
      </c>
      <c r="H1208" s="14" t="n">
        <v>105.05</v>
      </c>
      <c r="I1208" s="14" t="n">
        <v>1.1743</v>
      </c>
      <c r="J1208" s="14" t="n">
        <v>10.7213</v>
      </c>
      <c r="K1208" s="14" t="n">
        <v>1404.16</v>
      </c>
      <c r="L1208" s="14" t="n">
        <v>0.90268</v>
      </c>
      <c r="M1208" s="14" t="n">
        <v>8.224</v>
      </c>
      <c r="N1208" s="14" t="n">
        <v>6.1189</v>
      </c>
      <c r="O1208" s="14" t="n">
        <v>123.58</v>
      </c>
      <c r="P1208" s="14" t="n">
        <v>9.1299</v>
      </c>
    </row>
    <row r="1209" customFormat="false" ht="15" hidden="false" customHeight="false" outlineLevel="0" collapsed="false">
      <c r="A1209" s="13" t="n">
        <v>44043</v>
      </c>
      <c r="B1209" s="14" t="n">
        <v>1192.68</v>
      </c>
      <c r="C1209" s="14" t="n">
        <v>9.0889</v>
      </c>
      <c r="D1209" s="14" t="n">
        <v>1.3133</v>
      </c>
      <c r="E1209" s="14" t="n">
        <v>1.1822</v>
      </c>
      <c r="F1209" s="14" t="n">
        <v>6.9744</v>
      </c>
      <c r="G1209" s="14" t="n">
        <v>5.1967</v>
      </c>
      <c r="H1209" s="14" t="n">
        <v>105.78</v>
      </c>
      <c r="I1209" s="14" t="n">
        <v>1.1848</v>
      </c>
      <c r="J1209" s="14" t="n">
        <v>10.7323</v>
      </c>
      <c r="K1209" s="14" t="n">
        <v>1409.56</v>
      </c>
      <c r="L1209" s="14" t="n">
        <v>0.90053</v>
      </c>
      <c r="M1209" s="14" t="n">
        <v>8.2637</v>
      </c>
      <c r="N1209" s="14" t="n">
        <v>6.1219</v>
      </c>
      <c r="O1209" s="14" t="n">
        <v>124.31</v>
      </c>
      <c r="P1209" s="14" t="n">
        <v>9.0583</v>
      </c>
    </row>
    <row r="1210" customFormat="false" ht="15" hidden="false" customHeight="false" outlineLevel="0" collapsed="false">
      <c r="A1210" s="13" t="n">
        <v>44046</v>
      </c>
      <c r="B1210" s="14" t="n">
        <v>1194.31</v>
      </c>
      <c r="C1210" s="14" t="n">
        <v>9.1382</v>
      </c>
      <c r="D1210" s="14" t="n">
        <v>1.3053</v>
      </c>
      <c r="E1210" s="14" t="n">
        <v>1.175</v>
      </c>
      <c r="F1210" s="14" t="n">
        <v>6.9799</v>
      </c>
      <c r="G1210" s="14" t="n">
        <v>5.32</v>
      </c>
      <c r="H1210" s="14" t="n">
        <v>106.11</v>
      </c>
      <c r="I1210" s="14" t="n">
        <v>1.1726</v>
      </c>
      <c r="J1210" s="14" t="n">
        <v>10.7188</v>
      </c>
      <c r="K1210" s="14" t="n">
        <v>1401.26</v>
      </c>
      <c r="L1210" s="14" t="n">
        <v>0.90013</v>
      </c>
      <c r="M1210" s="14" t="n">
        <v>8.19</v>
      </c>
      <c r="N1210" s="14" t="n">
        <v>6.1375</v>
      </c>
      <c r="O1210" s="14" t="n">
        <v>124.51</v>
      </c>
      <c r="P1210" s="14" t="n">
        <v>9.1411</v>
      </c>
    </row>
    <row r="1211" customFormat="false" ht="15" hidden="false" customHeight="false" outlineLevel="0" collapsed="false">
      <c r="A1211" s="13" t="n">
        <v>44047</v>
      </c>
      <c r="B1211" s="14" t="n">
        <v>1194.53</v>
      </c>
      <c r="C1211" s="14" t="n">
        <v>9.1165</v>
      </c>
      <c r="D1211" s="14" t="n">
        <v>1.3059</v>
      </c>
      <c r="E1211" s="14" t="n">
        <v>1.1766</v>
      </c>
      <c r="F1211" s="14" t="n">
        <v>6.972</v>
      </c>
      <c r="G1211" s="14" t="n">
        <v>5.3259</v>
      </c>
      <c r="H1211" s="14" t="n">
        <v>105.87</v>
      </c>
      <c r="I1211" s="14" t="n">
        <v>1.1765</v>
      </c>
      <c r="J1211" s="14" t="n">
        <v>10.7568</v>
      </c>
      <c r="K1211" s="14" t="n">
        <v>1406.49</v>
      </c>
      <c r="L1211" s="14" t="n">
        <v>0.90335</v>
      </c>
      <c r="M1211" s="14" t="n">
        <v>8.2157</v>
      </c>
      <c r="N1211" s="14" t="n">
        <v>6.2743</v>
      </c>
      <c r="O1211" s="14" t="n">
        <v>124.78</v>
      </c>
      <c r="P1211" s="14" t="n">
        <v>9.1431</v>
      </c>
    </row>
    <row r="1212" customFormat="false" ht="15" hidden="false" customHeight="false" outlineLevel="0" collapsed="false">
      <c r="A1212" s="13" t="n">
        <v>44048</v>
      </c>
      <c r="B1212" s="14" t="n">
        <v>1188.93</v>
      </c>
      <c r="C1212" s="14" t="n">
        <v>8.9435</v>
      </c>
      <c r="D1212" s="14" t="n">
        <v>1.3141</v>
      </c>
      <c r="E1212" s="14" t="n">
        <v>1.1898</v>
      </c>
      <c r="F1212" s="14" t="n">
        <v>6.9353</v>
      </c>
      <c r="G1212" s="14" t="n">
        <v>5.2928</v>
      </c>
      <c r="H1212" s="14" t="n">
        <v>105.44</v>
      </c>
      <c r="I1212" s="14" t="n">
        <v>1.1854</v>
      </c>
      <c r="J1212" s="14" t="n">
        <v>10.6585</v>
      </c>
      <c r="K1212" s="14" t="n">
        <v>1405.74</v>
      </c>
      <c r="L1212" s="14" t="n">
        <v>0.90265</v>
      </c>
      <c r="M1212" s="14" t="n">
        <v>8.2277</v>
      </c>
      <c r="N1212" s="14" t="n">
        <v>6.2311</v>
      </c>
      <c r="O1212" s="14" t="n">
        <v>125.37</v>
      </c>
      <c r="P1212" s="14" t="n">
        <v>8.9915</v>
      </c>
    </row>
    <row r="1213" customFormat="false" ht="15" hidden="false" customHeight="false" outlineLevel="0" collapsed="false">
      <c r="A1213" s="13" t="n">
        <v>44049</v>
      </c>
      <c r="B1213" s="14" t="n">
        <v>1185.29</v>
      </c>
      <c r="C1213" s="14" t="n">
        <v>8.9802</v>
      </c>
      <c r="D1213" s="14" t="n">
        <v>1.3147</v>
      </c>
      <c r="E1213" s="14" t="n">
        <v>1.1856</v>
      </c>
      <c r="F1213" s="14" t="n">
        <v>6.952</v>
      </c>
      <c r="G1213" s="14" t="n">
        <v>5.3537</v>
      </c>
      <c r="H1213" s="14" t="n">
        <v>105.52</v>
      </c>
      <c r="I1213" s="14" t="n">
        <v>1.1843</v>
      </c>
      <c r="J1213" s="14" t="n">
        <v>10.6538</v>
      </c>
      <c r="K1213" s="14" t="n">
        <v>1404.99</v>
      </c>
      <c r="L1213" s="14" t="n">
        <v>0.90033</v>
      </c>
      <c r="M1213" s="14" t="n">
        <v>8.2325</v>
      </c>
      <c r="N1213" s="14" t="n">
        <v>6.334</v>
      </c>
      <c r="O1213" s="14" t="n">
        <v>124.96</v>
      </c>
      <c r="P1213" s="14" t="n">
        <v>8.9959</v>
      </c>
    </row>
    <row r="1214" customFormat="false" ht="15" hidden="false" customHeight="false" outlineLevel="0" collapsed="false">
      <c r="A1214" s="13" t="n">
        <v>44050</v>
      </c>
      <c r="B1214" s="14" t="n">
        <v>1189.25</v>
      </c>
      <c r="C1214" s="14" t="n">
        <v>9.0623</v>
      </c>
      <c r="D1214" s="14" t="n">
        <v>1.3043</v>
      </c>
      <c r="E1214" s="14" t="n">
        <v>1.1776</v>
      </c>
      <c r="F1214" s="14" t="n">
        <v>6.967</v>
      </c>
      <c r="G1214" s="14" t="n">
        <v>5.4343</v>
      </c>
      <c r="H1214" s="14" t="n">
        <v>105.92</v>
      </c>
      <c r="I1214" s="14" t="n">
        <v>1.1817</v>
      </c>
      <c r="J1214" s="14" t="n">
        <v>10.6433</v>
      </c>
      <c r="K1214" s="14" t="n">
        <v>1401.9</v>
      </c>
      <c r="L1214" s="14" t="n">
        <v>0.90373</v>
      </c>
      <c r="M1214" s="14" t="n">
        <v>8.2238</v>
      </c>
      <c r="N1214" s="14" t="n">
        <v>6.3274</v>
      </c>
      <c r="O1214" s="14" t="n">
        <v>124.91</v>
      </c>
      <c r="P1214" s="14" t="n">
        <v>9.0068</v>
      </c>
    </row>
    <row r="1215" customFormat="false" ht="15" hidden="false" customHeight="false" outlineLevel="0" collapsed="false">
      <c r="A1215" s="13" t="n">
        <v>44053</v>
      </c>
      <c r="B1215" s="14" t="n">
        <v>1186.28</v>
      </c>
      <c r="C1215" s="14" t="n">
        <v>9.0288</v>
      </c>
      <c r="D1215" s="14" t="n">
        <v>1.3082</v>
      </c>
      <c r="E1215" s="14" t="n">
        <v>1.1756</v>
      </c>
      <c r="F1215" s="14" t="n">
        <v>6.9611</v>
      </c>
      <c r="G1215" s="14" t="n">
        <v>5.423</v>
      </c>
      <c r="H1215" s="14" t="n">
        <v>105.85</v>
      </c>
      <c r="I1215" s="14" t="n">
        <v>1.1763</v>
      </c>
      <c r="J1215" s="14" t="n">
        <v>10.629</v>
      </c>
      <c r="K1215" s="14" t="n">
        <v>1396.28</v>
      </c>
      <c r="L1215" s="14" t="n">
        <v>0.90155</v>
      </c>
      <c r="M1215" s="14" t="n">
        <v>8.2003</v>
      </c>
      <c r="N1215" s="14" t="n">
        <v>6.3697</v>
      </c>
      <c r="O1215" s="14" t="n">
        <v>124.74</v>
      </c>
      <c r="P1215" s="14" t="n">
        <v>9.036</v>
      </c>
    </row>
    <row r="1216" customFormat="false" ht="15" hidden="false" customHeight="false" outlineLevel="0" collapsed="false">
      <c r="A1216" s="13" t="n">
        <v>44054</v>
      </c>
      <c r="B1216" s="14" t="n">
        <v>1184.84</v>
      </c>
      <c r="C1216" s="14" t="n">
        <v>8.9875</v>
      </c>
      <c r="D1216" s="14" t="n">
        <v>1.3077</v>
      </c>
      <c r="E1216" s="14" t="n">
        <v>1.1764</v>
      </c>
      <c r="F1216" s="14" t="n">
        <v>6.9451</v>
      </c>
      <c r="G1216" s="14" t="n">
        <v>5.423</v>
      </c>
      <c r="H1216" s="14" t="n">
        <v>106.56</v>
      </c>
      <c r="I1216" s="14" t="n">
        <v>1.1783</v>
      </c>
      <c r="J1216" s="14" t="n">
        <v>10.5658</v>
      </c>
      <c r="K1216" s="14" t="n">
        <v>1393.79</v>
      </c>
      <c r="L1216" s="14" t="n">
        <v>0.89843</v>
      </c>
      <c r="M1216" s="14" t="n">
        <v>8.1857</v>
      </c>
      <c r="N1216" s="14" t="n">
        <v>6.4068</v>
      </c>
      <c r="O1216" s="14" t="n">
        <v>124.97</v>
      </c>
      <c r="P1216" s="14" t="n">
        <v>8.967</v>
      </c>
    </row>
    <row r="1217" customFormat="false" ht="15" hidden="false" customHeight="false" outlineLevel="0" collapsed="false">
      <c r="A1217" s="13" t="n">
        <v>44055</v>
      </c>
      <c r="B1217" s="14" t="n">
        <v>1184.09</v>
      </c>
      <c r="C1217" s="14" t="n">
        <v>8.9387</v>
      </c>
      <c r="D1217" s="14" t="n">
        <v>1.3047</v>
      </c>
      <c r="E1217" s="14" t="n">
        <v>1.1796</v>
      </c>
      <c r="F1217" s="14" t="n">
        <v>6.9363</v>
      </c>
      <c r="G1217" s="14" t="n">
        <v>5.4745</v>
      </c>
      <c r="H1217" s="14" t="n">
        <v>106.85</v>
      </c>
      <c r="I1217" s="14" t="n">
        <v>1.1771</v>
      </c>
      <c r="J1217" s="14" t="n">
        <v>10.5463</v>
      </c>
      <c r="K1217" s="14" t="n">
        <v>1393.92</v>
      </c>
      <c r="L1217" s="14" t="n">
        <v>0.90475</v>
      </c>
      <c r="M1217" s="14" t="n">
        <v>8.1758</v>
      </c>
      <c r="N1217" s="14" t="n">
        <v>6.3782</v>
      </c>
      <c r="O1217" s="14" t="n">
        <v>125.92</v>
      </c>
      <c r="P1217" s="14" t="n">
        <v>8.9596</v>
      </c>
    </row>
    <row r="1218" customFormat="false" ht="15" hidden="false" customHeight="false" outlineLevel="0" collapsed="false">
      <c r="A1218" s="13" t="n">
        <v>44056</v>
      </c>
      <c r="B1218" s="14" t="n">
        <v>1183.25</v>
      </c>
      <c r="C1218" s="14" t="n">
        <v>8.8831</v>
      </c>
      <c r="D1218" s="14" t="n">
        <v>1.3082</v>
      </c>
      <c r="E1218" s="14" t="n">
        <v>1.1818</v>
      </c>
      <c r="F1218" s="14" t="n">
        <v>6.944</v>
      </c>
      <c r="G1218" s="14" t="n">
        <v>5.3835</v>
      </c>
      <c r="H1218" s="14" t="n">
        <v>106.89</v>
      </c>
      <c r="I1218" s="14" t="n">
        <v>1.1833</v>
      </c>
      <c r="J1218" s="14" t="n">
        <v>10.5148</v>
      </c>
      <c r="K1218" s="14" t="n">
        <v>1402.22</v>
      </c>
      <c r="L1218" s="14" t="n">
        <v>0.90373</v>
      </c>
      <c r="M1218" s="14" t="n">
        <v>8.2187</v>
      </c>
      <c r="N1218" s="14" t="n">
        <v>6.3766</v>
      </c>
      <c r="O1218" s="14" t="n">
        <v>126.58</v>
      </c>
      <c r="P1218" s="14" t="n">
        <v>8.886</v>
      </c>
    </row>
    <row r="1219" customFormat="false" ht="15" hidden="false" customHeight="false" outlineLevel="0" collapsed="false">
      <c r="A1219" s="13" t="n">
        <v>44057</v>
      </c>
      <c r="B1219" s="14" t="n">
        <v>1186.53</v>
      </c>
      <c r="C1219" s="14" t="n">
        <v>8.8945</v>
      </c>
      <c r="D1219" s="14" t="n">
        <v>1.3108</v>
      </c>
      <c r="E1219" s="14" t="n">
        <v>1.1833</v>
      </c>
      <c r="F1219" s="14" t="n">
        <v>6.9501</v>
      </c>
      <c r="G1219" s="14" t="n">
        <v>5.3881</v>
      </c>
      <c r="H1219" s="14" t="n">
        <v>106.49</v>
      </c>
      <c r="I1219" s="14" t="n">
        <v>1.1813</v>
      </c>
      <c r="J1219" s="14" t="n">
        <v>10.5403</v>
      </c>
      <c r="K1219" s="14" t="n">
        <v>1402.11</v>
      </c>
      <c r="L1219" s="14" t="n">
        <v>0.90173</v>
      </c>
      <c r="M1219" s="14" t="n">
        <v>8.21</v>
      </c>
      <c r="N1219" s="14" t="n">
        <v>6.375</v>
      </c>
      <c r="O1219" s="14" t="n">
        <v>126.01</v>
      </c>
      <c r="P1219" s="14" t="n">
        <v>8.9226</v>
      </c>
    </row>
    <row r="1220" customFormat="false" ht="15" hidden="false" customHeight="false" outlineLevel="0" collapsed="false">
      <c r="A1220" s="13" t="n">
        <v>44060</v>
      </c>
      <c r="B1220" s="14" t="n">
        <v>1184.17</v>
      </c>
      <c r="C1220" s="14" t="n">
        <v>8.8633</v>
      </c>
      <c r="D1220" s="14" t="n">
        <v>1.3105</v>
      </c>
      <c r="E1220" s="14" t="n">
        <v>1.1869</v>
      </c>
      <c r="F1220" s="14" t="n">
        <v>6.9318</v>
      </c>
      <c r="G1220" s="14" t="n">
        <v>5.4734</v>
      </c>
      <c r="H1220" s="14" t="n">
        <v>105.97</v>
      </c>
      <c r="I1220" s="14" t="n">
        <v>1.1853</v>
      </c>
      <c r="J1220" s="14" t="n">
        <v>10.512</v>
      </c>
      <c r="K1220" s="14" t="n">
        <v>1405.87</v>
      </c>
      <c r="L1220" s="14" t="n">
        <v>0.90625</v>
      </c>
      <c r="M1220" s="14" t="n">
        <v>8.2262</v>
      </c>
      <c r="N1220" s="14" t="n">
        <v>6.4166</v>
      </c>
      <c r="O1220" s="14" t="n">
        <v>125.99</v>
      </c>
      <c r="P1220" s="14" t="n">
        <v>8.8686</v>
      </c>
    </row>
    <row r="1221" customFormat="false" ht="15" hidden="false" customHeight="false" outlineLevel="0" collapsed="false">
      <c r="A1221" s="13" t="n">
        <v>44061</v>
      </c>
      <c r="B1221" s="14" t="n">
        <v>1184.74</v>
      </c>
      <c r="C1221" s="14" t="n">
        <v>8.8387</v>
      </c>
      <c r="D1221" s="14" t="n">
        <v>1.3228</v>
      </c>
      <c r="E1221" s="14" t="n">
        <v>1.1928</v>
      </c>
      <c r="F1221" s="14" t="n">
        <v>6.9215</v>
      </c>
      <c r="G1221" s="14" t="n">
        <v>5.4845</v>
      </c>
      <c r="H1221" s="14" t="n">
        <v>105.41</v>
      </c>
      <c r="I1221" s="14" t="n">
        <v>1.1906</v>
      </c>
      <c r="J1221" s="14" t="n">
        <v>10.501</v>
      </c>
      <c r="K1221" s="14" t="n">
        <v>1410.08</v>
      </c>
      <c r="L1221" s="14" t="n">
        <v>0.90375</v>
      </c>
      <c r="M1221" s="14" t="n">
        <v>8.2407</v>
      </c>
      <c r="N1221" s="14" t="n">
        <v>6.4778</v>
      </c>
      <c r="O1221" s="14" t="n">
        <v>125.54</v>
      </c>
      <c r="P1221" s="14" t="n">
        <v>8.8199</v>
      </c>
    </row>
    <row r="1222" customFormat="false" ht="15" hidden="false" customHeight="false" outlineLevel="0" collapsed="false">
      <c r="A1222" s="13" t="n">
        <v>44062</v>
      </c>
      <c r="B1222" s="14" t="n">
        <v>1181.06</v>
      </c>
      <c r="C1222" s="14" t="n">
        <v>8.8504</v>
      </c>
      <c r="D1222" s="14" t="n">
        <v>1.3191</v>
      </c>
      <c r="E1222" s="14" t="n">
        <v>1.1898</v>
      </c>
      <c r="F1222" s="14" t="n">
        <v>6.9192</v>
      </c>
      <c r="G1222" s="14" t="n">
        <v>5.5045</v>
      </c>
      <c r="H1222" s="14" t="n">
        <v>105.71</v>
      </c>
      <c r="I1222" s="14" t="n">
        <v>1.1933</v>
      </c>
      <c r="J1222" s="14" t="n">
        <v>10.5455</v>
      </c>
      <c r="K1222" s="14" t="n">
        <v>1405.97</v>
      </c>
      <c r="L1222" s="14" t="n">
        <v>0.90345</v>
      </c>
      <c r="M1222" s="14" t="n">
        <v>8.2472</v>
      </c>
      <c r="N1222" s="14" t="n">
        <v>6.5115</v>
      </c>
      <c r="O1222" s="14" t="n">
        <v>125.74</v>
      </c>
      <c r="P1222" s="14" t="n">
        <v>8.8373</v>
      </c>
    </row>
    <row r="1223" customFormat="false" ht="15" hidden="false" customHeight="false" outlineLevel="0" collapsed="false">
      <c r="A1223" s="13" t="n">
        <v>44063</v>
      </c>
      <c r="B1223" s="14" t="n">
        <v>1187.66</v>
      </c>
      <c r="C1223" s="14" t="n">
        <v>8.9437</v>
      </c>
      <c r="D1223" s="14" t="n">
        <v>1.319</v>
      </c>
      <c r="E1223" s="14" t="n">
        <v>1.1862</v>
      </c>
      <c r="F1223" s="14" t="n">
        <v>6.9143</v>
      </c>
      <c r="G1223" s="14" t="n">
        <v>5.637</v>
      </c>
      <c r="H1223" s="14" t="n">
        <v>105.81</v>
      </c>
      <c r="I1223" s="14" t="n">
        <v>1.185</v>
      </c>
      <c r="J1223" s="14" t="n">
        <v>10.6068</v>
      </c>
      <c r="K1223" s="14" t="n">
        <v>1408.22</v>
      </c>
      <c r="L1223" s="14" t="n">
        <v>0.90173</v>
      </c>
      <c r="M1223" s="14" t="n">
        <v>8.1985</v>
      </c>
      <c r="N1223" s="14" t="n">
        <v>6.6454</v>
      </c>
      <c r="O1223" s="14" t="n">
        <v>125.46</v>
      </c>
      <c r="P1223" s="14" t="n">
        <v>8.9509</v>
      </c>
    </row>
    <row r="1224" customFormat="false" ht="15" hidden="false" customHeight="false" outlineLevel="0" collapsed="false">
      <c r="A1224" s="13" t="n">
        <v>44064</v>
      </c>
      <c r="B1224" s="14" t="n">
        <v>1191.84</v>
      </c>
      <c r="C1224" s="14" t="n">
        <v>9.0457</v>
      </c>
      <c r="D1224" s="14" t="n">
        <v>1.3098</v>
      </c>
      <c r="E1224" s="14" t="n">
        <v>1.1775</v>
      </c>
      <c r="F1224" s="14" t="n">
        <v>6.9179</v>
      </c>
      <c r="G1224" s="14" t="n">
        <v>5.5949</v>
      </c>
      <c r="H1224" s="14" t="n">
        <v>105.88</v>
      </c>
      <c r="I1224" s="14" t="n">
        <v>1.1769</v>
      </c>
      <c r="J1224" s="14" t="n">
        <v>10.5913</v>
      </c>
      <c r="K1224" s="14" t="n">
        <v>1403.15</v>
      </c>
      <c r="L1224" s="14" t="n">
        <v>0.89755</v>
      </c>
      <c r="M1224" s="14" t="n">
        <v>8.1483</v>
      </c>
      <c r="N1224" s="14" t="n">
        <v>6.5908</v>
      </c>
      <c r="O1224" s="14" t="n">
        <v>124.53</v>
      </c>
      <c r="P1224" s="14" t="n">
        <v>8.9993</v>
      </c>
    </row>
    <row r="1225" customFormat="false" ht="15" hidden="false" customHeight="false" outlineLevel="0" collapsed="false">
      <c r="A1225" s="13" t="n">
        <v>44067</v>
      </c>
      <c r="B1225" s="14" t="n">
        <v>1189.11</v>
      </c>
      <c r="C1225" s="14" t="n">
        <v>8.9953</v>
      </c>
      <c r="D1225" s="14" t="n">
        <v>1.3078</v>
      </c>
      <c r="E1225" s="14" t="n">
        <v>1.1803</v>
      </c>
      <c r="F1225" s="14" t="n">
        <v>6.918</v>
      </c>
      <c r="G1225" s="14" t="n">
        <v>5.601</v>
      </c>
      <c r="H1225" s="14" t="n">
        <v>105.9</v>
      </c>
      <c r="I1225" s="14" t="n">
        <v>1.1847</v>
      </c>
      <c r="J1225" s="14" t="n">
        <v>10.6188</v>
      </c>
      <c r="K1225" s="14" t="n">
        <v>1406.32</v>
      </c>
      <c r="L1225" s="14" t="n">
        <v>0.90175</v>
      </c>
      <c r="M1225" s="14" t="n">
        <v>8.1897</v>
      </c>
      <c r="N1225" s="14" t="n">
        <v>6.5941</v>
      </c>
      <c r="O1225" s="14" t="n">
        <v>125.26</v>
      </c>
      <c r="P1225" s="14" t="n">
        <v>8.9633</v>
      </c>
    </row>
    <row r="1226" customFormat="false" ht="15" hidden="false" customHeight="false" outlineLevel="0" collapsed="false">
      <c r="A1226" s="13" t="n">
        <v>44068</v>
      </c>
      <c r="B1226" s="14" t="n">
        <v>1188.18</v>
      </c>
      <c r="C1226" s="14" t="n">
        <v>8.9755</v>
      </c>
      <c r="D1226" s="14" t="n">
        <v>1.3136</v>
      </c>
      <c r="E1226" s="14" t="n">
        <v>1.1818</v>
      </c>
      <c r="F1226" s="14" t="n">
        <v>6.9116</v>
      </c>
      <c r="G1226" s="14" t="n">
        <v>5.6046</v>
      </c>
      <c r="H1226" s="14" t="n">
        <v>106.4</v>
      </c>
      <c r="I1226" s="14" t="n">
        <v>1.1814</v>
      </c>
      <c r="J1226" s="14" t="n">
        <v>10.5688</v>
      </c>
      <c r="K1226" s="14" t="n">
        <v>1402.12</v>
      </c>
      <c r="L1226" s="14" t="n">
        <v>0.89945</v>
      </c>
      <c r="M1226" s="14" t="n">
        <v>8.1671</v>
      </c>
      <c r="N1226" s="14" t="n">
        <v>6.586</v>
      </c>
      <c r="O1226" s="14" t="n">
        <v>125.67</v>
      </c>
      <c r="P1226" s="14" t="n">
        <v>8.946</v>
      </c>
    </row>
    <row r="1227" customFormat="false" ht="15" hidden="false" customHeight="false" outlineLevel="0" collapsed="false">
      <c r="A1227" s="13" t="n">
        <v>44069</v>
      </c>
      <c r="B1227" s="14" t="n">
        <v>1185.6</v>
      </c>
      <c r="C1227" s="14" t="n">
        <v>8.9201</v>
      </c>
      <c r="D1227" s="14" t="n">
        <v>1.3186</v>
      </c>
      <c r="E1227" s="14" t="n">
        <v>1.1813</v>
      </c>
      <c r="F1227" s="14" t="n">
        <v>6.8855</v>
      </c>
      <c r="G1227" s="14" t="n">
        <v>5.6073</v>
      </c>
      <c r="H1227" s="14" t="n">
        <v>106.13</v>
      </c>
      <c r="I1227" s="14" t="n">
        <v>1.1789</v>
      </c>
      <c r="J1227" s="14" t="n">
        <v>10.5603</v>
      </c>
      <c r="K1227" s="14" t="n">
        <v>1398.97</v>
      </c>
      <c r="L1227" s="14" t="n">
        <v>0.8969</v>
      </c>
      <c r="M1227" s="14" t="n">
        <v>8.1262</v>
      </c>
      <c r="N1227" s="14" t="n">
        <v>6.5317</v>
      </c>
      <c r="O1227" s="14" t="n">
        <v>125.34</v>
      </c>
      <c r="P1227" s="14" t="n">
        <v>8.9578</v>
      </c>
    </row>
    <row r="1228" customFormat="false" ht="15" hidden="false" customHeight="false" outlineLevel="0" collapsed="false">
      <c r="A1228" s="13" t="n">
        <v>44070</v>
      </c>
      <c r="B1228" s="14" t="n">
        <v>1185.22</v>
      </c>
      <c r="C1228" s="14" t="n">
        <v>8.8878</v>
      </c>
      <c r="D1228" s="14" t="n">
        <v>1.3229</v>
      </c>
      <c r="E1228" s="14" t="n">
        <v>1.1824</v>
      </c>
      <c r="F1228" s="14" t="n">
        <v>6.8925</v>
      </c>
      <c r="G1228" s="14" t="n">
        <v>5.5965</v>
      </c>
      <c r="H1228" s="14" t="n">
        <v>106.42</v>
      </c>
      <c r="I1228" s="14" t="n">
        <v>1.1806</v>
      </c>
      <c r="J1228" s="14" t="n">
        <v>10.5178</v>
      </c>
      <c r="K1228" s="14" t="n">
        <v>1399.75</v>
      </c>
      <c r="L1228" s="14" t="n">
        <v>0.89505</v>
      </c>
      <c r="M1228" s="14" t="n">
        <v>8.1323</v>
      </c>
      <c r="N1228" s="14" t="n">
        <v>6.601</v>
      </c>
      <c r="O1228" s="14" t="n">
        <v>125.34</v>
      </c>
      <c r="P1228" s="14" t="n">
        <v>8.9089</v>
      </c>
    </row>
    <row r="1229" customFormat="false" ht="15" hidden="false" customHeight="false" outlineLevel="0" collapsed="false">
      <c r="A1229" s="13" t="n">
        <v>44071</v>
      </c>
      <c r="B1229" s="14" t="n">
        <v>1181.62</v>
      </c>
      <c r="C1229" s="14" t="n">
        <v>8.788</v>
      </c>
      <c r="D1229" s="14" t="n">
        <v>1.3341</v>
      </c>
      <c r="E1229" s="14" t="n">
        <v>1.1901</v>
      </c>
      <c r="F1229" s="14" t="n">
        <v>6.8647</v>
      </c>
      <c r="G1229" s="14" t="n">
        <v>5.4469</v>
      </c>
      <c r="H1229" s="14" t="n">
        <v>105.3</v>
      </c>
      <c r="I1229" s="14" t="n">
        <v>1.1915</v>
      </c>
      <c r="J1229" s="14" t="n">
        <v>10.47</v>
      </c>
      <c r="K1229" s="14" t="n">
        <v>1407.24</v>
      </c>
      <c r="L1229" s="14" t="n">
        <v>0.89468</v>
      </c>
      <c r="M1229" s="14" t="n">
        <v>8.1749</v>
      </c>
      <c r="N1229" s="14" t="n">
        <v>6.5608</v>
      </c>
      <c r="O1229" s="14" t="n">
        <v>125.39</v>
      </c>
      <c r="P1229" s="14" t="n">
        <v>8.7872</v>
      </c>
    </row>
    <row r="1230" customFormat="false" ht="15" hidden="false" customHeight="false" outlineLevel="0" collapsed="false">
      <c r="A1230" s="13" t="n">
        <v>44074</v>
      </c>
      <c r="B1230" s="14" t="n">
        <v>1187.48</v>
      </c>
      <c r="C1230" s="14" t="n">
        <v>8.7043</v>
      </c>
      <c r="D1230" s="14" t="n">
        <v>1.3375</v>
      </c>
      <c r="E1230" s="14" t="n">
        <v>1.195</v>
      </c>
      <c r="F1230" s="14" t="n">
        <v>6.8474</v>
      </c>
      <c r="G1230" s="14" t="n">
        <v>5.4698</v>
      </c>
      <c r="H1230" s="14" t="n">
        <v>105.84</v>
      </c>
      <c r="I1230" s="14" t="n">
        <v>1.194</v>
      </c>
      <c r="J1230" s="14" t="n">
        <v>10.455</v>
      </c>
      <c r="K1230" s="14" t="n">
        <v>1415.76</v>
      </c>
      <c r="L1230" s="14" t="n">
        <v>0.89605</v>
      </c>
      <c r="M1230" s="14" t="n">
        <v>8.1711</v>
      </c>
      <c r="N1230" s="14" t="n">
        <v>6.4739</v>
      </c>
      <c r="O1230" s="14" t="n">
        <v>126.47</v>
      </c>
      <c r="P1230" s="14" t="n">
        <v>8.7563</v>
      </c>
    </row>
    <row r="1231" customFormat="false" ht="15" hidden="false" customHeight="false" outlineLevel="0" collapsed="false">
      <c r="A1231" s="13" t="n">
        <v>44075</v>
      </c>
      <c r="B1231" s="14" t="n">
        <v>1182.94</v>
      </c>
      <c r="C1231" s="14" t="n">
        <v>8.748</v>
      </c>
      <c r="D1231" s="14" t="n">
        <v>1.3416</v>
      </c>
      <c r="E1231" s="14" t="n">
        <v>1.1949</v>
      </c>
      <c r="F1231" s="14" t="n">
        <v>6.8272</v>
      </c>
      <c r="G1231" s="14" t="n">
        <v>5.3578</v>
      </c>
      <c r="H1231" s="14" t="n">
        <v>106</v>
      </c>
      <c r="I1231" s="14" t="n">
        <v>1.1987</v>
      </c>
      <c r="J1231" s="14" t="n">
        <v>10.4378</v>
      </c>
      <c r="K1231" s="14" t="n">
        <v>1420.12</v>
      </c>
      <c r="L1231" s="14" t="n">
        <v>0.88975</v>
      </c>
      <c r="M1231" s="14" t="n">
        <v>8.1739</v>
      </c>
      <c r="N1231" s="14" t="n">
        <v>6.5126</v>
      </c>
      <c r="O1231" s="14" t="n">
        <v>126.92</v>
      </c>
      <c r="P1231" s="14" t="n">
        <v>8.7076</v>
      </c>
    </row>
    <row r="1232" customFormat="false" ht="15" hidden="false" customHeight="false" outlineLevel="0" collapsed="false">
      <c r="A1232" s="13" t="n">
        <v>44076</v>
      </c>
      <c r="B1232" s="14" t="n">
        <v>1189.98</v>
      </c>
      <c r="C1232" s="14" t="n">
        <v>8.8481</v>
      </c>
      <c r="D1232" s="14" t="n">
        <v>1.3315</v>
      </c>
      <c r="E1232" s="14" t="n">
        <v>1.184</v>
      </c>
      <c r="F1232" s="14" t="n">
        <v>6.8375</v>
      </c>
      <c r="G1232" s="14" t="n">
        <v>5.355</v>
      </c>
      <c r="H1232" s="14" t="n">
        <v>106.15</v>
      </c>
      <c r="I1232" s="14" t="n">
        <v>1.1861</v>
      </c>
      <c r="J1232" s="14" t="n">
        <v>10.406</v>
      </c>
      <c r="K1232" s="14" t="n">
        <v>1408.07</v>
      </c>
      <c r="L1232" s="14" t="n">
        <v>0.8884</v>
      </c>
      <c r="M1232" s="14" t="n">
        <v>8.0976</v>
      </c>
      <c r="N1232" s="14" t="n">
        <v>6.4205</v>
      </c>
      <c r="O1232" s="14" t="n">
        <v>126</v>
      </c>
      <c r="P1232" s="14" t="n">
        <v>8.7733</v>
      </c>
    </row>
    <row r="1233" customFormat="false" ht="15" hidden="false" customHeight="false" outlineLevel="0" collapsed="false">
      <c r="A1233" s="13" t="n">
        <v>44077</v>
      </c>
      <c r="B1233" s="14" t="n">
        <v>1188.04</v>
      </c>
      <c r="C1233" s="14" t="n">
        <v>8.9253</v>
      </c>
      <c r="D1233" s="14" t="n">
        <v>1.3263</v>
      </c>
      <c r="E1233" s="14" t="n">
        <v>1.1832</v>
      </c>
      <c r="F1233" s="14" t="n">
        <v>6.8474</v>
      </c>
      <c r="G1233" s="14" t="n">
        <v>5.3078</v>
      </c>
      <c r="H1233" s="14" t="n">
        <v>106.14</v>
      </c>
      <c r="I1233" s="14" t="n">
        <v>1.1813</v>
      </c>
      <c r="J1233" s="14" t="n">
        <v>10.5315</v>
      </c>
      <c r="K1233" s="14" t="n">
        <v>1406.65</v>
      </c>
      <c r="L1233" s="14" t="n">
        <v>0.89135</v>
      </c>
      <c r="M1233" s="14" t="n">
        <v>8.0802</v>
      </c>
      <c r="N1233" s="14" t="n">
        <v>6.3424</v>
      </c>
      <c r="O1233" s="14" t="n">
        <v>125.85</v>
      </c>
      <c r="P1233" s="14" t="n">
        <v>8.9152</v>
      </c>
    </row>
    <row r="1234" customFormat="false" ht="15" hidden="false" customHeight="false" outlineLevel="0" collapsed="false">
      <c r="A1234" s="13" t="n">
        <v>44078</v>
      </c>
      <c r="B1234" s="14" t="n">
        <v>1190.6</v>
      </c>
      <c r="C1234" s="14" t="n">
        <v>8.95</v>
      </c>
      <c r="D1234" s="14" t="n">
        <v>1.323</v>
      </c>
      <c r="E1234" s="14" t="n">
        <v>1.182</v>
      </c>
      <c r="F1234" s="14" t="n">
        <v>6.8409</v>
      </c>
      <c r="G1234" s="14" t="n">
        <v>5.2873</v>
      </c>
      <c r="H1234" s="14" t="n">
        <v>106.34</v>
      </c>
      <c r="I1234" s="14" t="n">
        <v>1.1842</v>
      </c>
      <c r="J1234" s="14" t="n">
        <v>10.5768</v>
      </c>
      <c r="K1234" s="14" t="n">
        <v>1409.07</v>
      </c>
      <c r="L1234" s="14" t="n">
        <v>0.89325</v>
      </c>
      <c r="M1234" s="14" t="n">
        <v>8.1006</v>
      </c>
      <c r="N1234" s="14" t="n">
        <v>6.2775</v>
      </c>
      <c r="O1234" s="14" t="n">
        <v>125.79</v>
      </c>
      <c r="P1234" s="14" t="n">
        <v>8.9316</v>
      </c>
    </row>
    <row r="1235" customFormat="false" ht="15" hidden="false" customHeight="false" outlineLevel="0" collapsed="false">
      <c r="A1235" s="13" t="n">
        <v>44081</v>
      </c>
      <c r="I1235" s="14" t="n">
        <v>1.1824</v>
      </c>
      <c r="J1235" s="14" t="n">
        <v>10.5453</v>
      </c>
      <c r="K1235" s="14" t="n">
        <v>1405.09</v>
      </c>
      <c r="L1235" s="14" t="n">
        <v>0.89835</v>
      </c>
      <c r="M1235" s="14" t="n">
        <v>8.0789</v>
      </c>
      <c r="N1235" s="14" t="n">
        <v>6.2664</v>
      </c>
      <c r="O1235" s="14" t="n">
        <v>125.59</v>
      </c>
      <c r="P1235" s="14" t="n">
        <v>8.9186</v>
      </c>
    </row>
    <row r="1236" customFormat="false" ht="15" hidden="false" customHeight="false" outlineLevel="0" collapsed="false">
      <c r="A1236" s="13" t="n">
        <v>44082</v>
      </c>
      <c r="B1236" s="14" t="n">
        <v>1188.69</v>
      </c>
      <c r="C1236" s="14" t="n">
        <v>9.0929</v>
      </c>
      <c r="D1236" s="14" t="n">
        <v>1.3039</v>
      </c>
      <c r="E1236" s="14" t="n">
        <v>1.1789</v>
      </c>
      <c r="F1236" s="14" t="n">
        <v>6.8435</v>
      </c>
      <c r="G1236" s="14" t="n">
        <v>5.351</v>
      </c>
      <c r="H1236" s="14" t="n">
        <v>105.97</v>
      </c>
      <c r="I1236" s="14" t="n">
        <v>1.1785</v>
      </c>
      <c r="J1236" s="14" t="n">
        <v>10.6713</v>
      </c>
      <c r="K1236" s="14" t="n">
        <v>1402.14</v>
      </c>
      <c r="L1236" s="14" t="n">
        <v>0.90453</v>
      </c>
      <c r="M1236" s="14" t="n">
        <v>8.0658</v>
      </c>
      <c r="N1236" s="14" t="n">
        <v>6.3427</v>
      </c>
      <c r="O1236" s="14" t="n">
        <v>125.2</v>
      </c>
      <c r="P1236" s="14" t="n">
        <v>9.055</v>
      </c>
    </row>
    <row r="1237" customFormat="false" ht="15" hidden="false" customHeight="false" outlineLevel="0" collapsed="false">
      <c r="A1237" s="13" t="n">
        <v>44083</v>
      </c>
      <c r="B1237" s="14" t="n">
        <v>1185.12</v>
      </c>
      <c r="C1237" s="14" t="n">
        <v>9.0271</v>
      </c>
      <c r="D1237" s="14" t="n">
        <v>1.3011</v>
      </c>
      <c r="E1237" s="14" t="n">
        <v>1.181</v>
      </c>
      <c r="F1237" s="14" t="n">
        <v>6.8308</v>
      </c>
      <c r="G1237" s="14" t="n">
        <v>5.2849</v>
      </c>
      <c r="H1237" s="14" t="n">
        <v>106.23</v>
      </c>
      <c r="I1237" s="14" t="n">
        <v>1.1773</v>
      </c>
      <c r="J1237" s="14" t="n">
        <v>10.715</v>
      </c>
      <c r="K1237" s="14" t="n">
        <v>1397.84</v>
      </c>
      <c r="L1237" s="14" t="n">
        <v>0.91213</v>
      </c>
      <c r="M1237" s="14" t="n">
        <v>8.0584</v>
      </c>
      <c r="N1237" s="14" t="n">
        <v>6.2785</v>
      </c>
      <c r="O1237" s="14" t="n">
        <v>125.05</v>
      </c>
      <c r="P1237" s="14" t="n">
        <v>9.1013</v>
      </c>
    </row>
    <row r="1238" customFormat="false" ht="15" hidden="false" customHeight="false" outlineLevel="0" collapsed="false">
      <c r="A1238" s="13" t="n">
        <v>44084</v>
      </c>
      <c r="B1238" s="14" t="n">
        <v>1184.41</v>
      </c>
      <c r="C1238" s="14" t="n">
        <v>8.9975</v>
      </c>
      <c r="D1238" s="14" t="n">
        <v>1.2846</v>
      </c>
      <c r="E1238" s="14" t="n">
        <v>1.188</v>
      </c>
      <c r="F1238" s="14" t="n">
        <v>6.8335</v>
      </c>
      <c r="G1238" s="14" t="n">
        <v>5.3023</v>
      </c>
      <c r="H1238" s="14" t="n">
        <v>106.19</v>
      </c>
      <c r="I1238" s="14" t="n">
        <v>1.1849</v>
      </c>
      <c r="J1238" s="14" t="n">
        <v>10.687</v>
      </c>
      <c r="K1238" s="14" t="n">
        <v>1405.84</v>
      </c>
      <c r="L1238" s="14" t="n">
        <v>0.9159</v>
      </c>
      <c r="M1238" s="14" t="n">
        <v>8.1022</v>
      </c>
      <c r="N1238" s="14" t="n">
        <v>6.2919</v>
      </c>
      <c r="O1238" s="14" t="n">
        <v>125.76</v>
      </c>
      <c r="P1238" s="14" t="n">
        <v>9.0193</v>
      </c>
    </row>
    <row r="1239" customFormat="false" ht="15" hidden="false" customHeight="false" outlineLevel="0" collapsed="false">
      <c r="A1239" s="13" t="n">
        <v>44085</v>
      </c>
      <c r="B1239" s="14" t="n">
        <v>1186.55</v>
      </c>
      <c r="C1239" s="14" t="n">
        <v>9.0548</v>
      </c>
      <c r="D1239" s="14" t="n">
        <v>1.2788</v>
      </c>
      <c r="E1239" s="14" t="n">
        <v>1.1831</v>
      </c>
      <c r="F1239" s="14" t="n">
        <v>6.833</v>
      </c>
      <c r="G1239" s="14" t="n">
        <v>5.304</v>
      </c>
      <c r="H1239" s="14" t="n">
        <v>106.17</v>
      </c>
      <c r="I1239" s="14" t="n">
        <v>1.1854</v>
      </c>
      <c r="J1239" s="14" t="n">
        <v>10.7028</v>
      </c>
      <c r="K1239" s="14" t="n">
        <v>1407.07</v>
      </c>
      <c r="L1239" s="14" t="n">
        <v>0.92408</v>
      </c>
      <c r="M1239" s="14" t="n">
        <v>8.1043</v>
      </c>
      <c r="N1239" s="14" t="n">
        <v>6.2561</v>
      </c>
      <c r="O1239" s="14" t="n">
        <v>125.82</v>
      </c>
      <c r="P1239" s="14" t="n">
        <v>9.0289</v>
      </c>
    </row>
    <row r="1240" customFormat="false" ht="15" hidden="false" customHeight="false" outlineLevel="0" collapsed="false">
      <c r="A1240" s="13" t="n">
        <v>44088</v>
      </c>
      <c r="B1240" s="14" t="n">
        <v>1181.27</v>
      </c>
      <c r="C1240" s="14" t="n">
        <v>9.0191</v>
      </c>
      <c r="D1240" s="14" t="n">
        <v>1.2876</v>
      </c>
      <c r="E1240" s="14" t="n">
        <v>1.1874</v>
      </c>
      <c r="F1240" s="14" t="n">
        <v>6.808</v>
      </c>
      <c r="G1240" s="14" t="n">
        <v>5.2892</v>
      </c>
      <c r="H1240" s="14" t="n">
        <v>105.68</v>
      </c>
      <c r="I1240" s="14" t="n">
        <v>1.1876</v>
      </c>
      <c r="J1240" s="14" t="n">
        <v>10.6933</v>
      </c>
      <c r="K1240" s="14" t="n">
        <v>1404.73</v>
      </c>
      <c r="L1240" s="14" t="n">
        <v>0.9219</v>
      </c>
      <c r="M1240" s="14" t="n">
        <v>8.0987</v>
      </c>
      <c r="N1240" s="14" t="n">
        <v>6.3109</v>
      </c>
      <c r="O1240" s="14" t="n">
        <v>125.82</v>
      </c>
      <c r="P1240" s="14" t="n">
        <v>9.0041</v>
      </c>
    </row>
    <row r="1241" customFormat="false" ht="15" hidden="false" customHeight="false" outlineLevel="0" collapsed="false">
      <c r="A1241" s="13" t="n">
        <v>44089</v>
      </c>
      <c r="B1241" s="14" t="n">
        <v>1179.99</v>
      </c>
      <c r="C1241" s="14" t="n">
        <v>9.04</v>
      </c>
      <c r="D1241" s="14" t="n">
        <v>1.2866</v>
      </c>
      <c r="E1241" s="14" t="n">
        <v>1.1846</v>
      </c>
      <c r="F1241" s="14" t="n">
        <v>6.7819</v>
      </c>
      <c r="G1241" s="14" t="n">
        <v>5.2852</v>
      </c>
      <c r="H1241" s="14" t="n">
        <v>105.5</v>
      </c>
      <c r="I1241" s="14" t="n">
        <v>1.1892</v>
      </c>
      <c r="J1241" s="14" t="n">
        <v>10.6963</v>
      </c>
      <c r="K1241" s="14" t="n">
        <v>1400.73</v>
      </c>
      <c r="L1241" s="14" t="n">
        <v>0.92095</v>
      </c>
      <c r="M1241" s="14" t="n">
        <v>8.0526</v>
      </c>
      <c r="N1241" s="14" t="n">
        <v>6.2272</v>
      </c>
      <c r="O1241" s="14" t="n">
        <v>125.39</v>
      </c>
      <c r="P1241" s="14" t="n">
        <v>8.9945</v>
      </c>
    </row>
    <row r="1242" customFormat="false" ht="15" hidden="false" customHeight="false" outlineLevel="0" collapsed="false">
      <c r="A1242" s="13" t="n">
        <v>44090</v>
      </c>
      <c r="B1242" s="14" t="n">
        <v>1176</v>
      </c>
      <c r="C1242" s="14" t="n">
        <v>9.0109</v>
      </c>
      <c r="D1242" s="14" t="n">
        <v>1.298</v>
      </c>
      <c r="E1242" s="14" t="n">
        <v>1.1835</v>
      </c>
      <c r="F1242" s="14" t="n">
        <v>6.7529</v>
      </c>
      <c r="G1242" s="14" t="n">
        <v>5.241</v>
      </c>
      <c r="H1242" s="14" t="n">
        <v>104.94</v>
      </c>
      <c r="I1242" s="14" t="n">
        <v>1.1869</v>
      </c>
      <c r="J1242" s="14" t="n">
        <v>10.6608</v>
      </c>
      <c r="K1242" s="14" t="n">
        <v>1390.72</v>
      </c>
      <c r="L1242" s="14" t="n">
        <v>0.91423</v>
      </c>
      <c r="M1242" s="14" t="n">
        <v>8.0229</v>
      </c>
      <c r="N1242" s="14" t="n">
        <v>6.2211</v>
      </c>
      <c r="O1242" s="14" t="n">
        <v>124.72</v>
      </c>
      <c r="P1242" s="14" t="n">
        <v>8.9821</v>
      </c>
    </row>
    <row r="1243" customFormat="false" ht="15" hidden="false" customHeight="false" outlineLevel="0" collapsed="false">
      <c r="A1243" s="13" t="n">
        <v>44091</v>
      </c>
      <c r="B1243" s="14" t="n">
        <v>1174.25</v>
      </c>
      <c r="C1243" s="14" t="n">
        <v>9.0901</v>
      </c>
      <c r="D1243" s="14" t="n">
        <v>1.2955</v>
      </c>
      <c r="E1243" s="14" t="n">
        <v>1.1823</v>
      </c>
      <c r="F1243" s="14" t="n">
        <v>6.7628</v>
      </c>
      <c r="G1243" s="14" t="n">
        <v>5.2584</v>
      </c>
      <c r="H1243" s="14" t="n">
        <v>104.77</v>
      </c>
      <c r="I1243" s="14" t="n">
        <v>1.1797</v>
      </c>
      <c r="J1243" s="14" t="n">
        <v>10.7238</v>
      </c>
      <c r="K1243" s="14" t="n">
        <v>1383.16</v>
      </c>
      <c r="L1243" s="14" t="n">
        <v>0.9153</v>
      </c>
      <c r="M1243" s="14" t="n">
        <v>7.9861</v>
      </c>
      <c r="N1243" s="14" t="n">
        <v>6.2117</v>
      </c>
      <c r="O1243" s="14" t="n">
        <v>123.38</v>
      </c>
      <c r="P1243" s="14" t="n">
        <v>9.0903</v>
      </c>
    </row>
    <row r="1244" customFormat="false" ht="15" hidden="false" customHeight="false" outlineLevel="0" collapsed="false">
      <c r="A1244" s="13" t="n">
        <v>44092</v>
      </c>
      <c r="B1244" s="14" t="n">
        <v>1163.2</v>
      </c>
      <c r="C1244" s="14" t="n">
        <v>9.062</v>
      </c>
      <c r="D1244" s="14" t="n">
        <v>1.295</v>
      </c>
      <c r="E1244" s="14" t="n">
        <v>1.1857</v>
      </c>
      <c r="F1244" s="14" t="n">
        <v>6.7675</v>
      </c>
      <c r="G1244" s="14" t="n">
        <v>5.3056</v>
      </c>
      <c r="H1244" s="14" t="n">
        <v>104.44</v>
      </c>
      <c r="I1244" s="14" t="n">
        <v>1.1833</v>
      </c>
      <c r="J1244" s="14" t="n">
        <v>10.7538</v>
      </c>
      <c r="K1244" s="14" t="n">
        <v>1375.96</v>
      </c>
      <c r="L1244" s="14" t="n">
        <v>0.91318</v>
      </c>
      <c r="M1244" s="14" t="n">
        <v>8.0146</v>
      </c>
      <c r="N1244" s="14" t="n">
        <v>6.2176</v>
      </c>
      <c r="O1244" s="14" t="n">
        <v>123.49</v>
      </c>
      <c r="P1244" s="14" t="n">
        <v>9.088</v>
      </c>
    </row>
    <row r="1245" customFormat="false" ht="15" hidden="false" customHeight="false" outlineLevel="0" collapsed="false">
      <c r="A1245" s="13" t="n">
        <v>44095</v>
      </c>
      <c r="B1245" s="14" t="n">
        <v>1166.75</v>
      </c>
      <c r="C1245" s="14" t="n">
        <v>9.2999</v>
      </c>
      <c r="D1245" s="14" t="n">
        <v>1.2794</v>
      </c>
      <c r="E1245" s="14" t="n">
        <v>1.1737</v>
      </c>
      <c r="F1245" s="14" t="n">
        <v>6.8043</v>
      </c>
      <c r="G1245" s="14" t="n">
        <v>5.4397</v>
      </c>
      <c r="H1245" s="14" t="n">
        <v>104.69</v>
      </c>
      <c r="I1245" s="14" t="n">
        <v>1.1787</v>
      </c>
      <c r="J1245" s="14" t="n">
        <v>10.884</v>
      </c>
      <c r="K1245" s="14" t="n">
        <v>1372.84</v>
      </c>
      <c r="L1245" s="14" t="n">
        <v>0.91608</v>
      </c>
      <c r="M1245" s="14" t="n">
        <v>7.9992</v>
      </c>
      <c r="N1245" s="14" t="n">
        <v>6.4262</v>
      </c>
      <c r="O1245" s="14" t="n">
        <v>122.7</v>
      </c>
      <c r="P1245" s="14" t="n">
        <v>9.2339</v>
      </c>
    </row>
    <row r="1246" customFormat="false" ht="15" hidden="false" customHeight="false" outlineLevel="0" collapsed="false">
      <c r="A1246" s="13" t="n">
        <v>44096</v>
      </c>
      <c r="B1246" s="14" t="n">
        <v>1164.83</v>
      </c>
      <c r="C1246" s="14" t="n">
        <v>9.3559</v>
      </c>
      <c r="D1246" s="14" t="n">
        <v>1.2726</v>
      </c>
      <c r="E1246" s="14" t="n">
        <v>1.1703</v>
      </c>
      <c r="F1246" s="14" t="n">
        <v>6.7779</v>
      </c>
      <c r="G1246" s="14" t="n">
        <v>5.47</v>
      </c>
      <c r="H1246" s="14" t="n">
        <v>105.05</v>
      </c>
      <c r="I1246" s="14" t="n">
        <v>1.174</v>
      </c>
      <c r="J1246" s="14" t="n">
        <v>10.9528</v>
      </c>
      <c r="K1246" s="14" t="n">
        <v>1363.87</v>
      </c>
      <c r="L1246" s="14" t="n">
        <v>0.91743</v>
      </c>
      <c r="M1246" s="14" t="n">
        <v>7.955</v>
      </c>
      <c r="N1246" s="14" t="n">
        <v>6.3677</v>
      </c>
      <c r="O1246" s="14" t="n">
        <v>122.78</v>
      </c>
      <c r="P1246" s="14" t="n">
        <v>9.3295</v>
      </c>
    </row>
    <row r="1247" customFormat="false" ht="15" hidden="false" customHeight="false" outlineLevel="0" collapsed="false">
      <c r="A1247" s="13" t="n">
        <v>44097</v>
      </c>
      <c r="B1247" s="14" t="n">
        <v>1164.56</v>
      </c>
      <c r="C1247" s="14" t="n">
        <v>9.4414</v>
      </c>
      <c r="D1247" s="14" t="n">
        <v>1.275</v>
      </c>
      <c r="E1247" s="14" t="n">
        <v>1.1677</v>
      </c>
      <c r="F1247" s="14" t="n">
        <v>6.8089</v>
      </c>
      <c r="G1247" s="14" t="n">
        <v>5.549</v>
      </c>
      <c r="H1247" s="14" t="n">
        <v>105.34</v>
      </c>
      <c r="I1247" s="14" t="n">
        <v>1.1692</v>
      </c>
      <c r="J1247" s="14" t="n">
        <v>10.9938</v>
      </c>
      <c r="K1247" s="14" t="n">
        <v>1362.8</v>
      </c>
      <c r="L1247" s="14" t="n">
        <v>0.91885</v>
      </c>
      <c r="M1247" s="14" t="n">
        <v>7.9433</v>
      </c>
      <c r="N1247" s="14" t="n">
        <v>6.4498</v>
      </c>
      <c r="O1247" s="14" t="n">
        <v>122.91</v>
      </c>
      <c r="P1247" s="14" t="n">
        <v>9.4028</v>
      </c>
    </row>
    <row r="1248" customFormat="false" ht="15" hidden="false" customHeight="false" outlineLevel="0" collapsed="false">
      <c r="A1248" s="13" t="n">
        <v>44098</v>
      </c>
      <c r="B1248" s="14" t="n">
        <v>1170.49</v>
      </c>
      <c r="C1248" s="14" t="n">
        <v>9.534</v>
      </c>
      <c r="D1248" s="14" t="n">
        <v>1.2739</v>
      </c>
      <c r="E1248" s="14" t="n">
        <v>1.1666</v>
      </c>
      <c r="F1248" s="14" t="n">
        <v>6.8273</v>
      </c>
      <c r="G1248" s="14" t="n">
        <v>5.5308</v>
      </c>
      <c r="H1248" s="14" t="n">
        <v>105.42</v>
      </c>
      <c r="I1248" s="14" t="n">
        <v>1.1645</v>
      </c>
      <c r="J1248" s="14" t="n">
        <v>11.1023</v>
      </c>
      <c r="K1248" s="14" t="n">
        <v>1367.55</v>
      </c>
      <c r="L1248" s="14" t="n">
        <v>0.91228</v>
      </c>
      <c r="M1248" s="14" t="n">
        <v>7.9527</v>
      </c>
      <c r="N1248" s="14" t="n">
        <v>6.4935</v>
      </c>
      <c r="O1248" s="14" t="n">
        <v>122.73</v>
      </c>
      <c r="P1248" s="14" t="n">
        <v>9.534</v>
      </c>
    </row>
    <row r="1249" customFormat="false" ht="15" hidden="false" customHeight="false" outlineLevel="0" collapsed="false">
      <c r="A1249" s="13" t="n">
        <v>44099</v>
      </c>
      <c r="B1249" s="14" t="n">
        <v>1172.71</v>
      </c>
      <c r="C1249" s="14" t="n">
        <v>9.5938</v>
      </c>
      <c r="D1249" s="14" t="n">
        <v>1.2706</v>
      </c>
      <c r="E1249" s="14" t="n">
        <v>1.1618</v>
      </c>
      <c r="F1249" s="14" t="n">
        <v>6.822</v>
      </c>
      <c r="G1249" s="14" t="n">
        <v>5.5644</v>
      </c>
      <c r="H1249" s="14" t="n">
        <v>105.59</v>
      </c>
      <c r="I1249" s="14" t="n">
        <v>1.1634</v>
      </c>
      <c r="J1249" s="14" t="n">
        <v>11.1445</v>
      </c>
      <c r="K1249" s="14" t="n">
        <v>1367.57</v>
      </c>
      <c r="L1249" s="14" t="n">
        <v>0.91343</v>
      </c>
      <c r="M1249" s="14" t="n">
        <v>7.9451</v>
      </c>
      <c r="N1249" s="14" t="n">
        <v>6.456</v>
      </c>
      <c r="O1249" s="14" t="n">
        <v>122.74</v>
      </c>
      <c r="P1249" s="14" t="n">
        <v>9.5793</v>
      </c>
    </row>
    <row r="1250" customFormat="false" ht="15" hidden="false" customHeight="false" outlineLevel="0" collapsed="false">
      <c r="A1250" s="13" t="n">
        <v>44102</v>
      </c>
      <c r="B1250" s="14" t="n">
        <v>1168.08</v>
      </c>
      <c r="C1250" s="14" t="n">
        <v>9.4839</v>
      </c>
      <c r="D1250" s="14" t="n">
        <v>1.2865</v>
      </c>
      <c r="E1250" s="14" t="n">
        <v>1.166</v>
      </c>
      <c r="F1250" s="14" t="n">
        <v>6.8106</v>
      </c>
      <c r="G1250" s="14" t="n">
        <v>5.6155</v>
      </c>
      <c r="H1250" s="14" t="n">
        <v>105.5</v>
      </c>
      <c r="I1250" s="14" t="n">
        <v>1.167</v>
      </c>
      <c r="J1250" s="14" t="n">
        <v>11.058</v>
      </c>
      <c r="K1250" s="14" t="n">
        <v>1364.72</v>
      </c>
      <c r="L1250" s="14" t="n">
        <v>0.90508</v>
      </c>
      <c r="M1250" s="14" t="n">
        <v>7.951</v>
      </c>
      <c r="N1250" s="14" t="n">
        <v>6.4552</v>
      </c>
      <c r="O1250" s="14" t="n">
        <v>123.02</v>
      </c>
      <c r="P1250" s="14" t="n">
        <v>9.4756</v>
      </c>
    </row>
    <row r="1251" customFormat="false" ht="15" hidden="false" customHeight="false" outlineLevel="0" collapsed="false">
      <c r="A1251" s="13" t="n">
        <v>44103</v>
      </c>
      <c r="B1251" s="14" t="n">
        <v>1169.67</v>
      </c>
      <c r="C1251" s="14" t="n">
        <v>9.4636</v>
      </c>
      <c r="D1251" s="14" t="n">
        <v>1.2847</v>
      </c>
      <c r="E1251" s="14" t="n">
        <v>1.1717</v>
      </c>
      <c r="F1251" s="14" t="n">
        <v>6.815</v>
      </c>
      <c r="G1251" s="14" t="n">
        <v>5.6679</v>
      </c>
      <c r="H1251" s="14" t="n">
        <v>105.68</v>
      </c>
      <c r="I1251" s="14" t="n">
        <v>1.1702</v>
      </c>
      <c r="J1251" s="14" t="n">
        <v>11.0543</v>
      </c>
      <c r="K1251" s="14" t="n">
        <v>1365.89</v>
      </c>
      <c r="L1251" s="14" t="n">
        <v>0.90963</v>
      </c>
      <c r="M1251" s="14" t="n">
        <v>7.9777</v>
      </c>
      <c r="N1251" s="14" t="n">
        <v>6.6022</v>
      </c>
      <c r="O1251" s="14" t="n">
        <v>123.61</v>
      </c>
      <c r="P1251" s="14" t="n">
        <v>9.4465</v>
      </c>
    </row>
    <row r="1252" customFormat="false" ht="15" hidden="false" customHeight="false" outlineLevel="0" collapsed="false">
      <c r="A1252" s="13" t="n">
        <v>44104</v>
      </c>
      <c r="B1252" s="14" t="n">
        <v>1165.97</v>
      </c>
      <c r="C1252" s="14" t="n">
        <v>9.3666</v>
      </c>
      <c r="D1252" s="14" t="n">
        <v>1.2921</v>
      </c>
      <c r="E1252" s="14" t="n">
        <v>1.1723</v>
      </c>
      <c r="F1252" s="14" t="n">
        <v>6.7896</v>
      </c>
      <c r="G1252" s="14" t="n">
        <v>5.6326</v>
      </c>
      <c r="H1252" s="14" t="n">
        <v>105.58</v>
      </c>
      <c r="I1252" s="14" t="n">
        <v>1.1708</v>
      </c>
      <c r="J1252" s="14" t="n">
        <v>11.1008</v>
      </c>
      <c r="K1252" s="14" t="n">
        <v>1368.51</v>
      </c>
      <c r="L1252" s="14" t="n">
        <v>0.91235</v>
      </c>
      <c r="M1252" s="14" t="n">
        <v>7.972</v>
      </c>
      <c r="N1252" s="14" t="n">
        <v>6.6308</v>
      </c>
      <c r="O1252" s="14" t="n">
        <v>123.76</v>
      </c>
      <c r="P1252" s="14" t="n">
        <v>9.4814</v>
      </c>
    </row>
    <row r="1253" customFormat="false" ht="15" hidden="false" customHeight="false" outlineLevel="0" collapsed="false">
      <c r="A1253" s="13" t="n">
        <v>44105</v>
      </c>
      <c r="B1253" s="14" t="n">
        <v>1163.05</v>
      </c>
      <c r="C1253" s="14" t="n">
        <v>9.3095</v>
      </c>
      <c r="D1253" s="14" t="n">
        <v>1.2901</v>
      </c>
      <c r="E1253" s="14" t="n">
        <v>1.1752</v>
      </c>
      <c r="F1253" s="14" t="n">
        <v>6.7898</v>
      </c>
      <c r="G1253" s="14" t="n">
        <v>5.6463</v>
      </c>
      <c r="H1253" s="14" t="n">
        <v>105.53</v>
      </c>
      <c r="I1253" s="14" t="n">
        <v>1.1752</v>
      </c>
      <c r="J1253" s="14" t="n">
        <v>10.9073</v>
      </c>
      <c r="K1253" s="14" t="n">
        <v>1365.03</v>
      </c>
      <c r="L1253" s="14" t="n">
        <v>0.90723</v>
      </c>
      <c r="M1253" s="14" t="n">
        <v>7.9805</v>
      </c>
      <c r="N1253" s="14" t="n">
        <v>6.5821</v>
      </c>
      <c r="O1253" s="14" t="n">
        <v>123.98</v>
      </c>
      <c r="P1253" s="14" t="n">
        <v>9.2812</v>
      </c>
    </row>
    <row r="1254" customFormat="false" ht="15" hidden="false" customHeight="false" outlineLevel="0" collapsed="false">
      <c r="A1254" s="13" t="n">
        <v>44106</v>
      </c>
      <c r="B1254" s="14" t="n">
        <v>1166.08</v>
      </c>
      <c r="C1254" s="14" t="n">
        <v>9.3346</v>
      </c>
      <c r="D1254" s="14" t="n">
        <v>1.2928</v>
      </c>
      <c r="E1254" s="14" t="n">
        <v>1.1706</v>
      </c>
      <c r="F1254" s="14" t="n">
        <v>6.7898</v>
      </c>
      <c r="G1254" s="14" t="n">
        <v>5.6822</v>
      </c>
      <c r="H1254" s="14" t="n">
        <v>105.36</v>
      </c>
      <c r="I1254" s="14" t="n">
        <v>1.173</v>
      </c>
      <c r="J1254" s="14" t="n">
        <v>10.904</v>
      </c>
      <c r="K1254" s="14" t="n">
        <v>1364.68</v>
      </c>
      <c r="L1254" s="14" t="n">
        <v>0.90673</v>
      </c>
      <c r="M1254" s="14" t="n">
        <v>7.9656</v>
      </c>
      <c r="N1254" s="14" t="n">
        <v>6.6039</v>
      </c>
      <c r="O1254" s="14" t="n">
        <v>123.4</v>
      </c>
      <c r="P1254" s="14" t="n">
        <v>9.2958</v>
      </c>
    </row>
    <row r="1255" customFormat="false" ht="15" hidden="false" customHeight="false" outlineLevel="0" collapsed="false">
      <c r="A1255" s="13" t="n">
        <v>44109</v>
      </c>
      <c r="B1255" s="14" t="n">
        <v>1157.77</v>
      </c>
      <c r="C1255" s="14" t="n">
        <v>9.2312</v>
      </c>
      <c r="D1255" s="14" t="n">
        <v>1.2972</v>
      </c>
      <c r="E1255" s="14" t="n">
        <v>1.1784</v>
      </c>
      <c r="F1255" s="14" t="n">
        <v>6.7896</v>
      </c>
      <c r="G1255" s="14" t="n">
        <v>5.6173</v>
      </c>
      <c r="H1255" s="14" t="n">
        <v>105.7</v>
      </c>
      <c r="I1255" s="14" t="n">
        <v>1.1768</v>
      </c>
      <c r="J1255" s="14" t="n">
        <v>10.8855</v>
      </c>
      <c r="K1255" s="14" t="n">
        <v>1363.72</v>
      </c>
      <c r="L1255" s="14" t="n">
        <v>0.9081</v>
      </c>
      <c r="M1255" s="14" t="n">
        <v>8.0128</v>
      </c>
      <c r="N1255" s="14" t="n">
        <v>6.6568</v>
      </c>
      <c r="O1255" s="14" t="n">
        <v>124.25</v>
      </c>
      <c r="P1255" s="14" t="n">
        <v>9.2501</v>
      </c>
    </row>
    <row r="1256" customFormat="false" ht="15" hidden="false" customHeight="false" outlineLevel="0" collapsed="false">
      <c r="A1256" s="13" t="n">
        <v>44110</v>
      </c>
      <c r="B1256" s="14" t="n">
        <v>1162</v>
      </c>
      <c r="C1256" s="14" t="n">
        <v>9.2845</v>
      </c>
      <c r="D1256" s="14" t="n">
        <v>1.2945</v>
      </c>
      <c r="E1256" s="14" t="n">
        <v>1.1778</v>
      </c>
      <c r="F1256" s="14" t="n">
        <v>6.7896</v>
      </c>
      <c r="G1256" s="14" t="n">
        <v>5.5402</v>
      </c>
      <c r="H1256" s="14" t="n">
        <v>105.64</v>
      </c>
      <c r="I1256" s="14" t="n">
        <v>1.1795</v>
      </c>
      <c r="J1256" s="14" t="n">
        <v>10.8603</v>
      </c>
      <c r="K1256" s="14" t="n">
        <v>1368.49</v>
      </c>
      <c r="L1256" s="14" t="n">
        <v>0.91058</v>
      </c>
      <c r="M1256" s="14" t="n">
        <v>8.0111</v>
      </c>
      <c r="N1256" s="14" t="n">
        <v>6.5363</v>
      </c>
      <c r="O1256" s="14" t="n">
        <v>124.58</v>
      </c>
      <c r="P1256" s="14" t="n">
        <v>9.2075</v>
      </c>
    </row>
    <row r="1257" customFormat="false" ht="15" hidden="false" customHeight="false" outlineLevel="0" collapsed="false">
      <c r="A1257" s="13" t="n">
        <v>44111</v>
      </c>
      <c r="B1257" s="14" t="n">
        <v>1158.41</v>
      </c>
      <c r="C1257" s="14" t="n">
        <v>9.3064</v>
      </c>
      <c r="D1257" s="14" t="n">
        <v>1.2914</v>
      </c>
      <c r="E1257" s="14" t="n">
        <v>1.1766</v>
      </c>
      <c r="F1257" s="14" t="n">
        <v>6.7896</v>
      </c>
      <c r="G1257" s="14" t="n">
        <v>5.6125</v>
      </c>
      <c r="H1257" s="14" t="n">
        <v>105.97</v>
      </c>
      <c r="I1257" s="14" t="n">
        <v>1.177</v>
      </c>
      <c r="J1257" s="14" t="n">
        <v>10.9313</v>
      </c>
      <c r="K1257" s="14" t="n">
        <v>1362.7</v>
      </c>
      <c r="L1257" s="14" t="n">
        <v>0.91413</v>
      </c>
      <c r="M1257" s="14" t="n">
        <v>7.9934</v>
      </c>
      <c r="N1257" s="14" t="n">
        <v>6.5448</v>
      </c>
      <c r="O1257" s="14" t="n">
        <v>124.73</v>
      </c>
      <c r="P1257" s="14" t="n">
        <v>9.2874</v>
      </c>
    </row>
    <row r="1258" customFormat="false" ht="15" hidden="false" customHeight="false" outlineLevel="0" collapsed="false">
      <c r="A1258" s="13" t="n">
        <v>44112</v>
      </c>
      <c r="B1258" s="14" t="n">
        <v>1152.44</v>
      </c>
      <c r="C1258" s="14" t="n">
        <v>9.2768</v>
      </c>
      <c r="D1258" s="14" t="n">
        <v>1.2944</v>
      </c>
      <c r="E1258" s="14" t="n">
        <v>1.1753</v>
      </c>
      <c r="F1258" s="14" t="n">
        <v>6.7896</v>
      </c>
      <c r="G1258" s="14" t="n">
        <v>5.5948</v>
      </c>
      <c r="H1258" s="14" t="n">
        <v>105.98</v>
      </c>
      <c r="I1258" s="14" t="n">
        <v>1.1765</v>
      </c>
      <c r="J1258" s="14" t="n">
        <v>10.9038</v>
      </c>
      <c r="K1258" s="14" t="n">
        <v>1355.48</v>
      </c>
      <c r="L1258" s="14" t="n">
        <v>0.91035</v>
      </c>
      <c r="M1258" s="14" t="n">
        <v>7.9894</v>
      </c>
      <c r="N1258" s="14" t="n">
        <v>6.5832</v>
      </c>
      <c r="O1258" s="14" t="n">
        <v>124.69</v>
      </c>
      <c r="P1258" s="14" t="n">
        <v>9.268</v>
      </c>
    </row>
    <row r="1259" customFormat="false" ht="15" hidden="false" customHeight="false" outlineLevel="0" collapsed="false">
      <c r="A1259" s="13" t="n">
        <v>44113</v>
      </c>
      <c r="B1259" s="14" t="n">
        <v>1143.46</v>
      </c>
      <c r="C1259" s="14" t="n">
        <v>9.1531</v>
      </c>
      <c r="D1259" s="14" t="n">
        <v>1.3003</v>
      </c>
      <c r="E1259" s="14" t="n">
        <v>1.1819</v>
      </c>
      <c r="F1259" s="14" t="n">
        <v>6.6933</v>
      </c>
      <c r="G1259" s="14" t="n">
        <v>5.522</v>
      </c>
      <c r="H1259" s="14" t="n">
        <v>105.72</v>
      </c>
      <c r="I1259" s="14" t="n">
        <v>1.1795</v>
      </c>
      <c r="J1259" s="14" t="n">
        <v>10.8623</v>
      </c>
      <c r="K1259" s="14" t="n">
        <v>1350.52</v>
      </c>
      <c r="L1259" s="14" t="n">
        <v>0.91167</v>
      </c>
      <c r="M1259" s="14" t="n">
        <v>7.9047</v>
      </c>
      <c r="N1259" s="14" t="n">
        <v>6.5796</v>
      </c>
      <c r="O1259" s="14" t="n">
        <v>124.95</v>
      </c>
      <c r="P1259" s="14" t="n">
        <v>9.2092</v>
      </c>
    </row>
    <row r="1260" customFormat="false" ht="15" hidden="false" customHeight="false" outlineLevel="0" collapsed="false">
      <c r="A1260" s="13" t="n">
        <v>44116</v>
      </c>
      <c r="I1260" s="14" t="n">
        <v>1.1799</v>
      </c>
      <c r="J1260" s="14" t="n">
        <v>10.7925</v>
      </c>
      <c r="K1260" s="14" t="n">
        <v>1355.3</v>
      </c>
      <c r="L1260" s="14" t="n">
        <v>0.90598</v>
      </c>
      <c r="M1260" s="14" t="n">
        <v>7.9578</v>
      </c>
      <c r="N1260" s="14" t="n">
        <v>6.5268</v>
      </c>
      <c r="O1260" s="14" t="n">
        <v>124.41</v>
      </c>
      <c r="P1260" s="14" t="n">
        <v>9.147</v>
      </c>
    </row>
    <row r="1261" customFormat="false" ht="15" hidden="false" customHeight="false" outlineLevel="0" collapsed="false">
      <c r="A1261" s="13" t="n">
        <v>44117</v>
      </c>
      <c r="B1261" s="14" t="n">
        <v>1147.4</v>
      </c>
      <c r="C1261" s="14" t="n">
        <v>9.2129</v>
      </c>
      <c r="D1261" s="14" t="n">
        <v>1.2968</v>
      </c>
      <c r="E1261" s="14" t="n">
        <v>1.1737</v>
      </c>
      <c r="F1261" s="14" t="n">
        <v>6.7452</v>
      </c>
      <c r="G1261" s="14" t="n">
        <v>5.5944</v>
      </c>
      <c r="H1261" s="14" t="n">
        <v>105.55</v>
      </c>
      <c r="I1261" s="14" t="n">
        <v>1.1787</v>
      </c>
      <c r="J1261" s="14" t="n">
        <v>10.7923</v>
      </c>
      <c r="K1261" s="14" t="n">
        <v>1351</v>
      </c>
      <c r="L1261" s="14" t="n">
        <v>0.90591</v>
      </c>
      <c r="M1261" s="14" t="n">
        <v>7.9388</v>
      </c>
      <c r="N1261" s="14" t="n">
        <v>6.5389</v>
      </c>
      <c r="O1261" s="14" t="n">
        <v>124.38</v>
      </c>
      <c r="P1261" s="14" t="n">
        <v>9.1561</v>
      </c>
    </row>
    <row r="1262" customFormat="false" ht="15" hidden="false" customHeight="false" outlineLevel="0" collapsed="false">
      <c r="A1262" s="13" t="n">
        <v>44118</v>
      </c>
      <c r="B1262" s="14" t="n">
        <v>1146.58</v>
      </c>
      <c r="C1262" s="14" t="n">
        <v>9.2179</v>
      </c>
      <c r="D1262" s="14" t="n">
        <v>1.3023</v>
      </c>
      <c r="E1262" s="14" t="n">
        <v>1.1755</v>
      </c>
      <c r="F1262" s="14" t="n">
        <v>6.7136</v>
      </c>
      <c r="G1262" s="14" t="n">
        <v>5.5804</v>
      </c>
      <c r="H1262" s="14" t="n">
        <v>105.08</v>
      </c>
      <c r="I1262" s="14" t="n">
        <v>1.175</v>
      </c>
      <c r="J1262" s="14" t="n">
        <v>10.8218</v>
      </c>
      <c r="K1262" s="14" t="n">
        <v>1346.7</v>
      </c>
      <c r="L1262" s="14" t="n">
        <v>0.90395</v>
      </c>
      <c r="M1262" s="14" t="n">
        <v>7.9092</v>
      </c>
      <c r="N1262" s="14" t="n">
        <v>6.5426</v>
      </c>
      <c r="O1262" s="14" t="n">
        <v>123.7</v>
      </c>
      <c r="P1262" s="14" t="n">
        <v>9.21</v>
      </c>
    </row>
    <row r="1263" customFormat="false" ht="15" hidden="false" customHeight="false" outlineLevel="0" collapsed="false">
      <c r="A1263" s="13" t="n">
        <v>44119</v>
      </c>
      <c r="B1263" s="14" t="n">
        <v>1143.03</v>
      </c>
      <c r="C1263" s="14" t="n">
        <v>9.3691</v>
      </c>
      <c r="D1263" s="14" t="n">
        <v>1.2917</v>
      </c>
      <c r="E1263" s="14" t="n">
        <v>1.1701</v>
      </c>
      <c r="F1263" s="14" t="n">
        <v>6.7233</v>
      </c>
      <c r="G1263" s="14" t="n">
        <v>5.616</v>
      </c>
      <c r="H1263" s="14" t="n">
        <v>105.38</v>
      </c>
      <c r="I1263" s="14" t="n">
        <v>1.1698</v>
      </c>
      <c r="J1263" s="14" t="n">
        <v>10.9678</v>
      </c>
      <c r="K1263" s="14" t="n">
        <v>1344.08</v>
      </c>
      <c r="L1263" s="14" t="n">
        <v>0.90535</v>
      </c>
      <c r="M1263" s="14" t="n">
        <v>7.8756</v>
      </c>
      <c r="N1263" s="14" t="n">
        <v>6.5942</v>
      </c>
      <c r="O1263" s="14" t="n">
        <v>123.15</v>
      </c>
      <c r="P1263" s="14" t="n">
        <v>9.3758</v>
      </c>
    </row>
    <row r="1264" customFormat="false" ht="15" hidden="false" customHeight="false" outlineLevel="0" collapsed="false">
      <c r="A1264" s="13" t="n">
        <v>44120</v>
      </c>
      <c r="B1264" s="14" t="n">
        <v>1146.82</v>
      </c>
      <c r="C1264" s="14" t="n">
        <v>9.358</v>
      </c>
      <c r="D1264" s="14" t="n">
        <v>1.2931</v>
      </c>
      <c r="E1264" s="14" t="n">
        <v>1.1717</v>
      </c>
      <c r="F1264" s="14" t="n">
        <v>6.6962</v>
      </c>
      <c r="G1264" s="14" t="n">
        <v>5.6228</v>
      </c>
      <c r="H1264" s="14" t="n">
        <v>105.41</v>
      </c>
      <c r="I1264" s="14" t="n">
        <v>1.1741</v>
      </c>
      <c r="J1264" s="14" t="n">
        <v>10.957</v>
      </c>
      <c r="K1264" s="14" t="n">
        <v>1341.16</v>
      </c>
      <c r="L1264" s="14" t="n">
        <v>0.90915</v>
      </c>
      <c r="M1264" s="14" t="n">
        <v>7.8639</v>
      </c>
      <c r="N1264" s="14" t="n">
        <v>6.6054</v>
      </c>
      <c r="O1264" s="14" t="n">
        <v>123.59</v>
      </c>
      <c r="P1264" s="14" t="n">
        <v>9.3323</v>
      </c>
    </row>
    <row r="1265" customFormat="false" ht="15" hidden="false" customHeight="false" outlineLevel="0" collapsed="false">
      <c r="A1265" s="13" t="n">
        <v>44123</v>
      </c>
      <c r="B1265" s="14" t="n">
        <v>1141.76</v>
      </c>
      <c r="C1265" s="14" t="n">
        <v>9.3002</v>
      </c>
      <c r="D1265" s="14" t="n">
        <v>1.2998</v>
      </c>
      <c r="E1265" s="14" t="n">
        <v>1.1788</v>
      </c>
      <c r="F1265" s="14" t="n">
        <v>6.6803</v>
      </c>
      <c r="G1265" s="14" t="n">
        <v>5.578</v>
      </c>
      <c r="H1265" s="14" t="n">
        <v>105.42</v>
      </c>
      <c r="I1265" s="14" t="n">
        <v>1.1785</v>
      </c>
      <c r="J1265" s="14" t="n">
        <v>10.947</v>
      </c>
      <c r="K1265" s="14" t="n">
        <v>1341.33</v>
      </c>
      <c r="L1265" s="14" t="n">
        <v>0.90588</v>
      </c>
      <c r="M1265" s="14" t="n">
        <v>7.8767</v>
      </c>
      <c r="N1265" s="14" t="n">
        <v>6.6139</v>
      </c>
      <c r="O1265" s="14" t="n">
        <v>124.11</v>
      </c>
      <c r="P1265" s="14" t="n">
        <v>9.2889</v>
      </c>
    </row>
    <row r="1266" customFormat="false" ht="15" hidden="false" customHeight="false" outlineLevel="0" collapsed="false">
      <c r="A1266" s="13" t="n">
        <v>44124</v>
      </c>
      <c r="B1266" s="14" t="n">
        <v>1138.65</v>
      </c>
      <c r="C1266" s="14" t="n">
        <v>9.2666</v>
      </c>
      <c r="D1266" s="14" t="n">
        <v>1.2951</v>
      </c>
      <c r="E1266" s="14" t="n">
        <v>1.1824</v>
      </c>
      <c r="F1266" s="14" t="n">
        <v>6.6754</v>
      </c>
      <c r="G1266" s="14" t="n">
        <v>5.5773</v>
      </c>
      <c r="H1266" s="14" t="n">
        <v>105.56</v>
      </c>
      <c r="I1266" s="14" t="n">
        <v>1.181</v>
      </c>
      <c r="J1266" s="14" t="n">
        <v>10.9698</v>
      </c>
      <c r="K1266" s="14" t="n">
        <v>1346.35</v>
      </c>
      <c r="L1266" s="14" t="n">
        <v>0.91329</v>
      </c>
      <c r="M1266" s="14" t="n">
        <v>7.8918</v>
      </c>
      <c r="N1266" s="14" t="n">
        <v>6.6182</v>
      </c>
      <c r="O1266" s="14" t="n">
        <v>124.79</v>
      </c>
      <c r="P1266" s="14" t="n">
        <v>9.2886</v>
      </c>
    </row>
    <row r="1267" customFormat="false" ht="15" hidden="false" customHeight="false" outlineLevel="0" collapsed="false">
      <c r="A1267" s="13" t="n">
        <v>44125</v>
      </c>
      <c r="B1267" s="14" t="n">
        <v>1132.11</v>
      </c>
      <c r="C1267" s="14" t="n">
        <v>9.2033</v>
      </c>
      <c r="D1267" s="14" t="n">
        <v>1.3143</v>
      </c>
      <c r="E1267" s="14" t="n">
        <v>1.187</v>
      </c>
      <c r="F1267" s="14" t="n">
        <v>6.6503</v>
      </c>
      <c r="G1267" s="14" t="n">
        <v>5.6084</v>
      </c>
      <c r="H1267" s="14" t="n">
        <v>104.58</v>
      </c>
      <c r="I1267" s="14" t="n">
        <v>1.1852</v>
      </c>
      <c r="J1267" s="14" t="n">
        <v>10.9315</v>
      </c>
      <c r="K1267" s="14" t="n">
        <v>1343.08</v>
      </c>
      <c r="L1267" s="14" t="n">
        <v>0.90754</v>
      </c>
      <c r="M1267" s="14" t="n">
        <v>7.8879</v>
      </c>
      <c r="N1267" s="14" t="n">
        <v>6.6118</v>
      </c>
      <c r="O1267" s="14" t="n">
        <v>124.27</v>
      </c>
      <c r="P1267" s="14" t="n">
        <v>9.2233</v>
      </c>
    </row>
    <row r="1268" customFormat="false" ht="15" hidden="false" customHeight="false" outlineLevel="0" collapsed="false">
      <c r="A1268" s="13" t="n">
        <v>44126</v>
      </c>
      <c r="B1268" s="14" t="n">
        <v>1135.26</v>
      </c>
      <c r="C1268" s="14" t="n">
        <v>9.2425</v>
      </c>
      <c r="D1268" s="14" t="n">
        <v>1.309</v>
      </c>
      <c r="E1268" s="14" t="n">
        <v>1.1824</v>
      </c>
      <c r="F1268" s="14" t="n">
        <v>6.6821</v>
      </c>
      <c r="G1268" s="14" t="n">
        <v>5.5843</v>
      </c>
      <c r="H1268" s="14" t="n">
        <v>104.88</v>
      </c>
      <c r="I1268" s="14" t="n">
        <v>1.1821</v>
      </c>
      <c r="J1268" s="14" t="n">
        <v>10.9325</v>
      </c>
      <c r="K1268" s="14" t="n">
        <v>1341.66</v>
      </c>
      <c r="L1268" s="14" t="n">
        <v>0.90273</v>
      </c>
      <c r="M1268" s="14" t="n">
        <v>7.898</v>
      </c>
      <c r="N1268" s="14" t="n">
        <v>6.6389</v>
      </c>
      <c r="O1268" s="14" t="n">
        <v>123.72</v>
      </c>
      <c r="P1268" s="14" t="n">
        <v>9.2484</v>
      </c>
    </row>
    <row r="1269" customFormat="false" ht="15" hidden="false" customHeight="false" outlineLevel="0" collapsed="false">
      <c r="A1269" s="13" t="n">
        <v>44127</v>
      </c>
      <c r="B1269" s="14" t="n">
        <v>1129.77</v>
      </c>
      <c r="C1269" s="14" t="n">
        <v>9.2637</v>
      </c>
      <c r="D1269" s="14" t="n">
        <v>1.3039</v>
      </c>
      <c r="E1269" s="14" t="n">
        <v>1.1844</v>
      </c>
      <c r="F1269" s="14" t="n">
        <v>6.6861</v>
      </c>
      <c r="G1269" s="14" t="n">
        <v>5.6135</v>
      </c>
      <c r="H1269" s="14" t="n">
        <v>104.78</v>
      </c>
      <c r="I1269" s="14" t="n">
        <v>1.1856</v>
      </c>
      <c r="J1269" s="14" t="n">
        <v>10.9178</v>
      </c>
      <c r="K1269" s="14" t="n">
        <v>1338.52</v>
      </c>
      <c r="L1269" s="14" t="n">
        <v>0.90675</v>
      </c>
      <c r="M1269" s="14" t="n">
        <v>7.9157</v>
      </c>
      <c r="N1269" s="14" t="n">
        <v>6.6052</v>
      </c>
      <c r="O1269" s="14" t="n">
        <v>124.17</v>
      </c>
      <c r="P1269" s="14" t="n">
        <v>9.2087</v>
      </c>
    </row>
    <row r="1270" customFormat="false" ht="15" hidden="false" customHeight="false" outlineLevel="0" collapsed="false">
      <c r="A1270" s="13" t="n">
        <v>44130</v>
      </c>
      <c r="B1270" s="14" t="n">
        <v>1127.77</v>
      </c>
      <c r="C1270" s="14" t="n">
        <v>9.2479</v>
      </c>
      <c r="D1270" s="14" t="n">
        <v>1.3021</v>
      </c>
      <c r="E1270" s="14" t="n">
        <v>1.1816</v>
      </c>
      <c r="F1270" s="14" t="n">
        <v>6.7119</v>
      </c>
      <c r="G1270" s="14" t="n">
        <v>5.6141</v>
      </c>
      <c r="H1270" s="14" t="n">
        <v>104.86</v>
      </c>
      <c r="I1270" s="14" t="n">
        <v>1.1819</v>
      </c>
      <c r="J1270" s="14" t="n">
        <v>10.9465</v>
      </c>
      <c r="K1270" s="14" t="n">
        <v>1338.31</v>
      </c>
      <c r="L1270" s="14" t="n">
        <v>0.90755</v>
      </c>
      <c r="M1270" s="14" t="n">
        <v>7.9342</v>
      </c>
      <c r="N1270" s="14" t="n">
        <v>6.6714</v>
      </c>
      <c r="O1270" s="14" t="n">
        <v>124.14</v>
      </c>
      <c r="P1270" s="14" t="n">
        <v>9.2618</v>
      </c>
    </row>
    <row r="1271" customFormat="false" ht="15" hidden="false" customHeight="false" outlineLevel="0" collapsed="false">
      <c r="A1271" s="13" t="n">
        <v>44131</v>
      </c>
      <c r="B1271" s="14" t="n">
        <v>1127.9</v>
      </c>
      <c r="C1271" s="14" t="n">
        <v>9.1346</v>
      </c>
      <c r="D1271" s="14" t="n">
        <v>1.3067</v>
      </c>
      <c r="E1271" s="14" t="n">
        <v>1.1834</v>
      </c>
      <c r="F1271" s="14" t="n">
        <v>6.7044</v>
      </c>
      <c r="G1271" s="14" t="n">
        <v>5.6484</v>
      </c>
      <c r="H1271" s="14" t="n">
        <v>104.44</v>
      </c>
      <c r="I1271" s="14" t="n">
        <v>1.1832</v>
      </c>
      <c r="J1271" s="14" t="n">
        <v>10.8398</v>
      </c>
      <c r="K1271" s="14" t="n">
        <v>1332.89</v>
      </c>
      <c r="L1271" s="14" t="n">
        <v>0.90718</v>
      </c>
      <c r="M1271" s="14" t="n">
        <v>7.9345</v>
      </c>
      <c r="N1271" s="14" t="n">
        <v>6.6711</v>
      </c>
      <c r="O1271" s="14" t="n">
        <v>123.74</v>
      </c>
      <c r="P1271" s="14" t="n">
        <v>9.1614</v>
      </c>
    </row>
    <row r="1272" customFormat="false" ht="15" hidden="false" customHeight="false" outlineLevel="0" collapsed="false">
      <c r="A1272" s="13" t="n">
        <v>44132</v>
      </c>
      <c r="B1272" s="14" t="n">
        <v>1133.76</v>
      </c>
      <c r="C1272" s="14" t="n">
        <v>9.3456</v>
      </c>
      <c r="D1272" s="14" t="n">
        <v>1.2997</v>
      </c>
      <c r="E1272" s="14" t="n">
        <v>1.1751</v>
      </c>
      <c r="F1272" s="14" t="n">
        <v>6.7279</v>
      </c>
      <c r="G1272" s="14" t="n">
        <v>5.7406</v>
      </c>
      <c r="H1272" s="14" t="n">
        <v>104.33</v>
      </c>
      <c r="I1272" s="14" t="n">
        <v>1.1727</v>
      </c>
      <c r="J1272" s="14" t="n">
        <v>10.9693</v>
      </c>
      <c r="K1272" s="14" t="n">
        <v>1332.51</v>
      </c>
      <c r="L1272" s="14" t="n">
        <v>0.90662</v>
      </c>
      <c r="M1272" s="14" t="n">
        <v>7.8845</v>
      </c>
      <c r="N1272" s="14" t="n">
        <v>6.7191</v>
      </c>
      <c r="O1272" s="14" t="n">
        <v>122.36</v>
      </c>
      <c r="P1272" s="14" t="n">
        <v>9.3539</v>
      </c>
    </row>
    <row r="1273" customFormat="false" ht="15" hidden="false" customHeight="false" outlineLevel="0" collapsed="false">
      <c r="A1273" s="13" t="n">
        <v>44133</v>
      </c>
      <c r="B1273" s="14" t="n">
        <v>1131.12</v>
      </c>
      <c r="C1273" s="14" t="n">
        <v>9.5865</v>
      </c>
      <c r="D1273" s="14" t="n">
        <v>1.289</v>
      </c>
      <c r="E1273" s="14" t="n">
        <v>1.1658</v>
      </c>
      <c r="F1273" s="14" t="n">
        <v>6.714</v>
      </c>
      <c r="G1273" s="14" t="n">
        <v>5.779</v>
      </c>
      <c r="H1273" s="14" t="n">
        <v>104.69</v>
      </c>
      <c r="I1273" s="14" t="n">
        <v>1.1704</v>
      </c>
      <c r="J1273" s="14" t="n">
        <v>11.1495</v>
      </c>
      <c r="K1273" s="14" t="n">
        <v>1326.92</v>
      </c>
      <c r="L1273" s="14" t="n">
        <v>0.9043</v>
      </c>
      <c r="M1273" s="14" t="n">
        <v>7.8531</v>
      </c>
      <c r="N1273" s="14" t="n">
        <v>6.768</v>
      </c>
      <c r="O1273" s="14" t="n">
        <v>122.09</v>
      </c>
      <c r="P1273" s="14" t="n">
        <v>9.5262</v>
      </c>
    </row>
    <row r="1274" customFormat="false" ht="15" hidden="false" customHeight="false" outlineLevel="0" collapsed="false">
      <c r="A1274" s="13" t="n">
        <v>44134</v>
      </c>
      <c r="B1274" s="14" t="n">
        <v>1133.99</v>
      </c>
      <c r="C1274" s="14" t="n">
        <v>9.5617</v>
      </c>
      <c r="D1274" s="14" t="n">
        <v>1.2933</v>
      </c>
      <c r="E1274" s="14" t="n">
        <v>1.1647</v>
      </c>
      <c r="F1274" s="14" t="n">
        <v>6.6919</v>
      </c>
      <c r="G1274" s="14" t="n">
        <v>5.7588</v>
      </c>
      <c r="H1274" s="14" t="n">
        <v>104.54</v>
      </c>
      <c r="I1274" s="14" t="n">
        <v>1.1698</v>
      </c>
      <c r="J1274" s="14" t="n">
        <v>11.094</v>
      </c>
      <c r="K1274" s="14" t="n">
        <v>1324.2</v>
      </c>
      <c r="L1274" s="14" t="n">
        <v>0.90208</v>
      </c>
      <c r="M1274" s="14" t="n">
        <v>7.8158</v>
      </c>
      <c r="N1274" s="14" t="n">
        <v>6.7607</v>
      </c>
      <c r="O1274" s="14" t="n">
        <v>122.36</v>
      </c>
      <c r="P1274" s="14" t="n">
        <v>9.4837</v>
      </c>
    </row>
    <row r="1275" customFormat="false" ht="15" hidden="false" customHeight="false" outlineLevel="0" collapsed="false">
      <c r="A1275" s="13" t="n">
        <v>44137</v>
      </c>
      <c r="B1275" s="14" t="n">
        <v>1134.62</v>
      </c>
      <c r="C1275" s="14" t="n">
        <v>9.5665</v>
      </c>
      <c r="D1275" s="14" t="n">
        <v>1.2904</v>
      </c>
      <c r="E1275" s="14" t="n">
        <v>1.1634</v>
      </c>
      <c r="F1275" s="14" t="n">
        <v>6.6899</v>
      </c>
      <c r="G1275" s="14" t="n">
        <v>5.7425</v>
      </c>
      <c r="H1275" s="14" t="n">
        <v>104.8</v>
      </c>
      <c r="I1275" s="14" t="n">
        <v>1.1652</v>
      </c>
      <c r="J1275" s="14" t="n">
        <v>11.1128</v>
      </c>
      <c r="K1275" s="14" t="n">
        <v>1320.61</v>
      </c>
      <c r="L1275" s="14" t="n">
        <v>0.90053</v>
      </c>
      <c r="M1275" s="14" t="n">
        <v>7.7962</v>
      </c>
      <c r="N1275" s="14" t="n">
        <v>6.6916</v>
      </c>
      <c r="O1275" s="14" t="n">
        <v>121.93</v>
      </c>
      <c r="P1275" s="14" t="n">
        <v>9.5372</v>
      </c>
    </row>
    <row r="1276" customFormat="false" ht="15" hidden="false" customHeight="false" outlineLevel="0" collapsed="false">
      <c r="A1276" s="13" t="n">
        <v>44138</v>
      </c>
      <c r="B1276" s="14" t="n">
        <v>1134.3</v>
      </c>
      <c r="C1276" s="14" t="n">
        <v>9.3807</v>
      </c>
      <c r="D1276" s="14" t="n">
        <v>1.305</v>
      </c>
      <c r="E1276" s="14" t="n">
        <v>1.1724</v>
      </c>
      <c r="F1276" s="14" t="n">
        <v>6.6759</v>
      </c>
      <c r="G1276" s="14" t="n">
        <v>5.7328</v>
      </c>
      <c r="H1276" s="14" t="n">
        <v>104.5</v>
      </c>
      <c r="I1276" s="14" t="n">
        <v>1.1702</v>
      </c>
      <c r="J1276" s="14" t="n">
        <v>11.0103</v>
      </c>
      <c r="K1276" s="14" t="n">
        <v>1323.74</v>
      </c>
      <c r="L1276" s="14" t="n">
        <v>0.90042</v>
      </c>
      <c r="M1276" s="14" t="n">
        <v>7.8198</v>
      </c>
      <c r="N1276" s="14" t="n">
        <v>6.6742</v>
      </c>
      <c r="O1276" s="14" t="n">
        <v>122.56</v>
      </c>
      <c r="P1276" s="14" t="n">
        <v>9.4089</v>
      </c>
    </row>
    <row r="1277" customFormat="false" ht="15" hidden="false" customHeight="false" outlineLevel="0" collapsed="false">
      <c r="A1277" s="13" t="n">
        <v>44139</v>
      </c>
      <c r="B1277" s="14" t="n">
        <v>1137.37</v>
      </c>
      <c r="C1277" s="14" t="n">
        <v>9.2933</v>
      </c>
      <c r="D1277" s="14" t="n">
        <v>1.3021</v>
      </c>
      <c r="E1277" s="14" t="n">
        <v>1.173</v>
      </c>
      <c r="F1277" s="14" t="n">
        <v>6.6504</v>
      </c>
      <c r="G1277" s="14" t="n">
        <v>5.654</v>
      </c>
      <c r="H1277" s="14" t="n">
        <v>104.39</v>
      </c>
      <c r="I1277" s="14" t="n">
        <v>1.1721</v>
      </c>
      <c r="J1277" s="14" t="n">
        <v>10.9583</v>
      </c>
      <c r="K1277" s="14" t="n">
        <v>1327.24</v>
      </c>
      <c r="L1277" s="14" t="n">
        <v>0.89954</v>
      </c>
      <c r="M1277" s="14" t="n">
        <v>7.8038</v>
      </c>
      <c r="N1277" s="14" t="n">
        <v>6.676</v>
      </c>
      <c r="O1277" s="14" t="n">
        <v>122.31</v>
      </c>
      <c r="P1277" s="14" t="n">
        <v>9.3493</v>
      </c>
    </row>
    <row r="1278" customFormat="false" ht="15" hidden="false" customHeight="false" outlineLevel="0" collapsed="false">
      <c r="A1278" s="13" t="n">
        <v>44140</v>
      </c>
      <c r="B1278" s="14" t="n">
        <v>1122.96</v>
      </c>
      <c r="C1278" s="14" t="n">
        <v>9.1882</v>
      </c>
      <c r="D1278" s="14" t="n">
        <v>1.3116</v>
      </c>
      <c r="E1278" s="14" t="n">
        <v>1.1809</v>
      </c>
      <c r="F1278" s="14" t="n">
        <v>6.6027</v>
      </c>
      <c r="G1278" s="14" t="n">
        <v>5.5682</v>
      </c>
      <c r="H1278" s="14" t="n">
        <v>103.67</v>
      </c>
      <c r="I1278" s="14" t="n">
        <v>1.1855</v>
      </c>
      <c r="J1278" s="14" t="n">
        <v>10.85</v>
      </c>
      <c r="K1278" s="14" t="n">
        <v>1330.68</v>
      </c>
      <c r="L1278" s="14" t="n">
        <v>0.9045</v>
      </c>
      <c r="M1278" s="14" t="n">
        <v>7.8331</v>
      </c>
      <c r="N1278" s="14" t="n">
        <v>6.5906</v>
      </c>
      <c r="O1278" s="14" t="n">
        <v>122.86</v>
      </c>
      <c r="P1278" s="14" t="n">
        <v>9.1523</v>
      </c>
    </row>
    <row r="1279" customFormat="false" ht="15" hidden="false" customHeight="false" outlineLevel="0" collapsed="false">
      <c r="A1279" s="13" t="n">
        <v>44141</v>
      </c>
      <c r="B1279" s="14" t="n">
        <v>1121</v>
      </c>
      <c r="C1279" s="14" t="n">
        <v>9.1552</v>
      </c>
      <c r="D1279" s="14" t="n">
        <v>1.3162</v>
      </c>
      <c r="E1279" s="14" t="n">
        <v>1.1886</v>
      </c>
      <c r="F1279" s="14" t="n">
        <v>6.608</v>
      </c>
      <c r="G1279" s="14" t="n">
        <v>5.4577</v>
      </c>
      <c r="H1279" s="14" t="n">
        <v>103.32</v>
      </c>
      <c r="I1279" s="14" t="n">
        <v>1.187</v>
      </c>
      <c r="J1279" s="14" t="n">
        <v>10.9203</v>
      </c>
      <c r="K1279" s="14" t="n">
        <v>1332.6</v>
      </c>
      <c r="L1279" s="14" t="n">
        <v>0.9043</v>
      </c>
      <c r="M1279" s="14" t="n">
        <v>7.8468</v>
      </c>
      <c r="N1279" s="14" t="n">
        <v>6.6072</v>
      </c>
      <c r="O1279" s="14" t="n">
        <v>122.66</v>
      </c>
      <c r="P1279" s="14" t="n">
        <v>9.1999</v>
      </c>
    </row>
    <row r="1280" customFormat="false" ht="15" hidden="false" customHeight="false" outlineLevel="0" collapsed="false">
      <c r="A1280" s="13" t="n">
        <v>44144</v>
      </c>
      <c r="B1280" s="14" t="n">
        <v>1113.14</v>
      </c>
      <c r="C1280" s="14" t="n">
        <v>9.0415</v>
      </c>
      <c r="D1280" s="14" t="n">
        <v>1.3137</v>
      </c>
      <c r="E1280" s="14" t="n">
        <v>1.1811</v>
      </c>
      <c r="F1280" s="14" t="n">
        <v>6.628</v>
      </c>
      <c r="G1280" s="14" t="n">
        <v>5.3696</v>
      </c>
      <c r="H1280" s="14" t="n">
        <v>105.58</v>
      </c>
      <c r="I1280" s="14" t="n">
        <v>1.1883</v>
      </c>
      <c r="J1280" s="14" t="n">
        <v>10.7101</v>
      </c>
      <c r="K1280" s="14" t="n">
        <v>1321.43</v>
      </c>
      <c r="L1280" s="14" t="n">
        <v>0.90224</v>
      </c>
      <c r="M1280" s="14" t="n">
        <v>7.8475</v>
      </c>
      <c r="N1280" s="14" t="n">
        <v>6.2447</v>
      </c>
      <c r="O1280" s="14" t="n">
        <v>124.67</v>
      </c>
      <c r="P1280" s="14" t="n">
        <v>9.013</v>
      </c>
    </row>
    <row r="1281" customFormat="false" ht="15" hidden="false" customHeight="false" outlineLevel="0" collapsed="false">
      <c r="A1281" s="13" t="n">
        <v>44145</v>
      </c>
      <c r="B1281" s="14" t="n">
        <v>1117.63</v>
      </c>
      <c r="C1281" s="14" t="n">
        <v>9.0318</v>
      </c>
      <c r="D1281" s="14" t="n">
        <v>1.3234</v>
      </c>
      <c r="E1281" s="14" t="n">
        <v>1.181</v>
      </c>
      <c r="F1281" s="14" t="n">
        <v>6.6146</v>
      </c>
      <c r="G1281" s="14" t="n">
        <v>5.3715</v>
      </c>
      <c r="H1281" s="14" t="n">
        <v>105.36</v>
      </c>
      <c r="I1281" s="14" t="n">
        <v>1.1808</v>
      </c>
      <c r="J1281" s="14" t="n">
        <v>10.6618</v>
      </c>
      <c r="K1281" s="14" t="n">
        <v>1318.93</v>
      </c>
      <c r="L1281" s="14" t="n">
        <v>0.89183</v>
      </c>
      <c r="M1281" s="14" t="n">
        <v>7.8107</v>
      </c>
      <c r="N1281" s="14" t="n">
        <v>6.3563</v>
      </c>
      <c r="O1281" s="14" t="n">
        <v>124.36</v>
      </c>
      <c r="P1281" s="14" t="n">
        <v>9.0293</v>
      </c>
    </row>
    <row r="1282" customFormat="false" ht="15" hidden="false" customHeight="false" outlineLevel="0" collapsed="false">
      <c r="A1282" s="13" t="n">
        <v>44146</v>
      </c>
      <c r="I1282" s="14" t="n">
        <v>1.1766</v>
      </c>
      <c r="J1282" s="14" t="n">
        <v>10.6773</v>
      </c>
      <c r="K1282" s="14" t="n">
        <v>1311.14</v>
      </c>
      <c r="L1282" s="14" t="n">
        <v>0.88935</v>
      </c>
      <c r="M1282" s="14" t="n">
        <v>7.7943</v>
      </c>
      <c r="N1282" s="14" t="n">
        <v>6.3835</v>
      </c>
      <c r="O1282" s="14" t="n">
        <v>124.07</v>
      </c>
      <c r="P1282" s="14" t="n">
        <v>9.0747</v>
      </c>
    </row>
    <row r="1283" customFormat="false" ht="15" hidden="false" customHeight="false" outlineLevel="0" collapsed="false">
      <c r="A1283" s="13" t="n">
        <v>44147</v>
      </c>
      <c r="B1283" s="14" t="n">
        <v>1112.95</v>
      </c>
      <c r="C1283" s="14" t="n">
        <v>9.1156</v>
      </c>
      <c r="D1283" s="14" t="n">
        <v>1.3142</v>
      </c>
      <c r="E1283" s="14" t="n">
        <v>1.1814</v>
      </c>
      <c r="F1283" s="14" t="n">
        <v>6.6114</v>
      </c>
      <c r="G1283" s="14" t="n">
        <v>5.4141</v>
      </c>
      <c r="H1283" s="14" t="n">
        <v>105.16</v>
      </c>
      <c r="I1283" s="14" t="n">
        <v>1.1791</v>
      </c>
      <c r="J1283" s="14" t="n">
        <v>10.7658</v>
      </c>
      <c r="K1283" s="14" t="n">
        <v>1314.39</v>
      </c>
      <c r="L1283" s="14" t="n">
        <v>0.89765</v>
      </c>
      <c r="M1283" s="14" t="n">
        <v>7.8105</v>
      </c>
      <c r="N1283" s="14" t="n">
        <v>6.3638</v>
      </c>
      <c r="O1283" s="14" t="n">
        <v>124.25</v>
      </c>
      <c r="P1283" s="14" t="n">
        <v>9.1305</v>
      </c>
    </row>
    <row r="1284" customFormat="false" ht="15" hidden="false" customHeight="false" outlineLevel="0" collapsed="false">
      <c r="A1284" s="13" t="n">
        <v>44148</v>
      </c>
      <c r="B1284" s="14" t="n">
        <v>1109.47</v>
      </c>
      <c r="C1284" s="14" t="n">
        <v>9.1685</v>
      </c>
      <c r="D1284" s="14" t="n">
        <v>1.3176</v>
      </c>
      <c r="E1284" s="14" t="n">
        <v>1.1824</v>
      </c>
      <c r="F1284" s="14" t="n">
        <v>6.6039</v>
      </c>
      <c r="G1284" s="14" t="n">
        <v>5.5006</v>
      </c>
      <c r="H1284" s="14" t="n">
        <v>104.61</v>
      </c>
      <c r="I1284" s="14" t="n">
        <v>1.1815</v>
      </c>
      <c r="J1284" s="14" t="n">
        <v>10.8123</v>
      </c>
      <c r="K1284" s="14" t="n">
        <v>1311.84</v>
      </c>
      <c r="L1284" s="14" t="n">
        <v>0.89683</v>
      </c>
      <c r="M1284" s="14" t="n">
        <v>7.8071</v>
      </c>
      <c r="N1284" s="14" t="n">
        <v>6.4508</v>
      </c>
      <c r="O1284" s="14" t="n">
        <v>123.88</v>
      </c>
      <c r="P1284" s="14" t="n">
        <v>9.1513</v>
      </c>
    </row>
    <row r="1285" customFormat="false" ht="15" hidden="false" customHeight="false" outlineLevel="0" collapsed="false">
      <c r="A1285" s="13" t="n">
        <v>44151</v>
      </c>
      <c r="B1285" s="14" t="n">
        <v>1106.88</v>
      </c>
      <c r="C1285" s="14" t="n">
        <v>9.0702</v>
      </c>
      <c r="D1285" s="14" t="n">
        <v>1.3197</v>
      </c>
      <c r="E1285" s="14" t="n">
        <v>1.1844</v>
      </c>
      <c r="F1285" s="14" t="n">
        <v>6.583</v>
      </c>
      <c r="G1285" s="14" t="n">
        <v>5.3999</v>
      </c>
      <c r="H1285" s="14" t="n">
        <v>104.54</v>
      </c>
      <c r="I1285" s="14" t="n">
        <v>1.183</v>
      </c>
      <c r="J1285" s="14" t="n">
        <v>10.731</v>
      </c>
      <c r="K1285" s="14" t="n">
        <v>1310.5</v>
      </c>
      <c r="L1285" s="14" t="n">
        <v>0.89819</v>
      </c>
      <c r="M1285" s="14" t="n">
        <v>7.7945</v>
      </c>
      <c r="N1285" s="14" t="n">
        <v>6.393</v>
      </c>
      <c r="O1285" s="14" t="n">
        <v>124.15</v>
      </c>
      <c r="P1285" s="14" t="n">
        <v>9.071</v>
      </c>
    </row>
    <row r="1286" customFormat="false" ht="15" hidden="false" customHeight="false" outlineLevel="0" collapsed="false">
      <c r="A1286" s="13" t="n">
        <v>44152</v>
      </c>
      <c r="B1286" s="14" t="n">
        <v>1105.33</v>
      </c>
      <c r="C1286" s="14" t="n">
        <v>9.0661</v>
      </c>
      <c r="D1286" s="14" t="n">
        <v>1.3247</v>
      </c>
      <c r="E1286" s="14" t="n">
        <v>1.1862</v>
      </c>
      <c r="F1286" s="14" t="n">
        <v>6.5556</v>
      </c>
      <c r="G1286" s="14" t="n">
        <v>5.3401</v>
      </c>
      <c r="H1286" s="14" t="n">
        <v>104.2</v>
      </c>
      <c r="I1286" s="14" t="n">
        <v>1.1882</v>
      </c>
      <c r="J1286" s="14" t="n">
        <v>10.7683</v>
      </c>
      <c r="K1286" s="14" t="n">
        <v>1314.74</v>
      </c>
      <c r="L1286" s="14" t="n">
        <v>0.89585</v>
      </c>
      <c r="M1286" s="14" t="n">
        <v>7.7892</v>
      </c>
      <c r="N1286" s="14" t="n">
        <v>6.4375</v>
      </c>
      <c r="O1286" s="14" t="n">
        <v>123.78</v>
      </c>
      <c r="P1286" s="14" t="n">
        <v>9.0627</v>
      </c>
    </row>
    <row r="1287" customFormat="false" ht="15" hidden="false" customHeight="false" outlineLevel="0" collapsed="false">
      <c r="A1287" s="13" t="n">
        <v>44153</v>
      </c>
      <c r="B1287" s="14" t="n">
        <v>1105.72</v>
      </c>
      <c r="C1287" s="14" t="n">
        <v>8.9914</v>
      </c>
      <c r="D1287" s="14" t="n">
        <v>1.3299</v>
      </c>
      <c r="E1287" s="14" t="n">
        <v>1.1869</v>
      </c>
      <c r="F1287" s="14" t="n">
        <v>6.5588</v>
      </c>
      <c r="G1287" s="14" t="n">
        <v>5.3069</v>
      </c>
      <c r="H1287" s="14" t="n">
        <v>103.72</v>
      </c>
      <c r="I1287" s="14" t="n">
        <v>1.1868</v>
      </c>
      <c r="J1287" s="14" t="n">
        <v>10.7115</v>
      </c>
      <c r="K1287" s="14" t="n">
        <v>1310.55</v>
      </c>
      <c r="L1287" s="14" t="n">
        <v>0.89373</v>
      </c>
      <c r="M1287" s="14" t="n">
        <v>7.782</v>
      </c>
      <c r="N1287" s="14" t="n">
        <v>6.2974</v>
      </c>
      <c r="O1287" s="14" t="n">
        <v>123.28</v>
      </c>
      <c r="P1287" s="14" t="n">
        <v>9.0255</v>
      </c>
    </row>
    <row r="1288" customFormat="false" ht="15" hidden="false" customHeight="false" outlineLevel="0" collapsed="false">
      <c r="A1288" s="13" t="n">
        <v>44154</v>
      </c>
      <c r="B1288" s="14" t="n">
        <v>1114.93</v>
      </c>
      <c r="C1288" s="14" t="n">
        <v>9.0294</v>
      </c>
      <c r="D1288" s="14" t="n">
        <v>1.3225</v>
      </c>
      <c r="E1288" s="14" t="n">
        <v>1.1843</v>
      </c>
      <c r="F1288" s="14" t="n">
        <v>6.5823</v>
      </c>
      <c r="G1288" s="14" t="n">
        <v>5.3149</v>
      </c>
      <c r="H1288" s="14" t="n">
        <v>103.85</v>
      </c>
      <c r="I1288" s="14" t="n">
        <v>1.1832</v>
      </c>
      <c r="J1288" s="14" t="n">
        <v>10.69</v>
      </c>
      <c r="K1288" s="14" t="n">
        <v>1321.07</v>
      </c>
      <c r="L1288" s="14" t="n">
        <v>0.89378</v>
      </c>
      <c r="M1288" s="14" t="n">
        <v>7.7927</v>
      </c>
      <c r="N1288" s="14" t="n">
        <v>6.3371</v>
      </c>
      <c r="O1288" s="14" t="n">
        <v>123.08</v>
      </c>
      <c r="P1288" s="14" t="n">
        <v>9.0348</v>
      </c>
    </row>
    <row r="1289" customFormat="false" ht="15" hidden="false" customHeight="false" outlineLevel="0" collapsed="false">
      <c r="A1289" s="13" t="n">
        <v>44155</v>
      </c>
      <c r="B1289" s="14" t="n">
        <v>1114.48</v>
      </c>
      <c r="C1289" s="14" t="n">
        <v>9.0056</v>
      </c>
      <c r="D1289" s="14" t="n">
        <v>1.3294</v>
      </c>
      <c r="E1289" s="14" t="n">
        <v>1.1857</v>
      </c>
      <c r="F1289" s="14" t="n">
        <v>6.5608</v>
      </c>
      <c r="G1289" s="14" t="n">
        <v>5.3671</v>
      </c>
      <c r="H1289" s="14" t="n">
        <v>103.81</v>
      </c>
      <c r="I1289" s="14" t="n">
        <v>1.1863</v>
      </c>
      <c r="J1289" s="14" t="n">
        <v>10.6613</v>
      </c>
      <c r="K1289" s="14" t="n">
        <v>1323.26</v>
      </c>
      <c r="L1289" s="14" t="n">
        <v>0.89393</v>
      </c>
      <c r="M1289" s="14" t="n">
        <v>7.7916</v>
      </c>
      <c r="N1289" s="14" t="n">
        <v>6.3347</v>
      </c>
      <c r="O1289" s="14" t="n">
        <v>123.18</v>
      </c>
      <c r="P1289" s="14" t="n">
        <v>8.987</v>
      </c>
    </row>
    <row r="1290" customFormat="false" ht="15" hidden="false" customHeight="false" outlineLevel="0" collapsed="false">
      <c r="A1290" s="13" t="n">
        <v>44158</v>
      </c>
      <c r="B1290" s="14" t="n">
        <v>1115.42</v>
      </c>
      <c r="C1290" s="14" t="n">
        <v>9.0577</v>
      </c>
      <c r="D1290" s="14" t="n">
        <v>1.33</v>
      </c>
      <c r="E1290" s="14" t="n">
        <v>1.1826</v>
      </c>
      <c r="F1290" s="14" t="n">
        <v>6.585</v>
      </c>
      <c r="G1290" s="14" t="n">
        <v>5.436</v>
      </c>
      <c r="H1290" s="14" t="n">
        <v>104.42</v>
      </c>
      <c r="I1290" s="14" t="n">
        <v>1.1901</v>
      </c>
      <c r="J1290" s="14" t="n">
        <v>10.6903</v>
      </c>
      <c r="K1290" s="14" t="n">
        <v>1323.33</v>
      </c>
      <c r="L1290" s="14" t="n">
        <v>0.88888</v>
      </c>
      <c r="M1290" s="14" t="n">
        <v>7.8178</v>
      </c>
      <c r="N1290" s="14" t="n">
        <v>6.3795</v>
      </c>
      <c r="O1290" s="14" t="n">
        <v>123.47</v>
      </c>
      <c r="P1290" s="14" t="n">
        <v>8.9827</v>
      </c>
    </row>
    <row r="1291" customFormat="false" ht="15" hidden="false" customHeight="false" outlineLevel="0" collapsed="false">
      <c r="A1291" s="13" t="n">
        <v>44159</v>
      </c>
      <c r="B1291" s="14" t="n">
        <v>1110.93</v>
      </c>
      <c r="C1291" s="14" t="n">
        <v>8.9184</v>
      </c>
      <c r="D1291" s="14" t="n">
        <v>1.335</v>
      </c>
      <c r="E1291" s="14" t="n">
        <v>1.1874</v>
      </c>
      <c r="F1291" s="14" t="n">
        <v>6.59</v>
      </c>
      <c r="G1291" s="14" t="n">
        <v>5.391</v>
      </c>
      <c r="H1291" s="14" t="n">
        <v>104.61</v>
      </c>
      <c r="I1291" s="14" t="n">
        <v>1.1865</v>
      </c>
      <c r="J1291" s="14" t="n">
        <v>10.6768</v>
      </c>
      <c r="K1291" s="14" t="n">
        <v>1318.77</v>
      </c>
      <c r="L1291" s="14" t="n">
        <v>0.89012</v>
      </c>
      <c r="M1291" s="14" t="n">
        <v>7.8152</v>
      </c>
      <c r="N1291" s="14" t="n">
        <v>6.3943</v>
      </c>
      <c r="O1291" s="14" t="n">
        <v>124.06</v>
      </c>
      <c r="P1291" s="14" t="n">
        <v>8.9986</v>
      </c>
    </row>
    <row r="1292" customFormat="false" ht="15" hidden="false" customHeight="false" outlineLevel="0" collapsed="false">
      <c r="A1292" s="13" t="n">
        <v>44160</v>
      </c>
      <c r="B1292" s="14" t="n">
        <v>1106.84</v>
      </c>
      <c r="C1292" s="14" t="n">
        <v>8.8408</v>
      </c>
      <c r="D1292" s="14" t="n">
        <v>1.3378</v>
      </c>
      <c r="E1292" s="14" t="n">
        <v>1.1908</v>
      </c>
      <c r="F1292" s="14" t="n">
        <v>6.575</v>
      </c>
      <c r="G1292" s="14" t="n">
        <v>5.3224</v>
      </c>
      <c r="H1292" s="14" t="n">
        <v>104.39</v>
      </c>
      <c r="I1292" s="14" t="n">
        <v>1.189</v>
      </c>
      <c r="J1292" s="14" t="n">
        <v>10.5488</v>
      </c>
      <c r="K1292" s="14" t="n">
        <v>1315.62</v>
      </c>
      <c r="L1292" s="14" t="n">
        <v>0.89129</v>
      </c>
      <c r="M1292" s="14" t="n">
        <v>7.8189</v>
      </c>
      <c r="N1292" s="14" t="n">
        <v>6.365</v>
      </c>
      <c r="O1292" s="14" t="n">
        <v>124.19</v>
      </c>
      <c r="P1292" s="14" t="n">
        <v>8.872</v>
      </c>
    </row>
    <row r="1293" customFormat="false" ht="15" hidden="false" customHeight="false" outlineLevel="0" collapsed="false">
      <c r="A1293" s="13" t="n">
        <v>44161</v>
      </c>
      <c r="I1293" s="14" t="n">
        <v>1.19</v>
      </c>
      <c r="J1293" s="14" t="n">
        <v>10.5705</v>
      </c>
      <c r="K1293" s="14" t="n">
        <v>1318.24</v>
      </c>
      <c r="L1293" s="14" t="n">
        <v>0.89129</v>
      </c>
      <c r="M1293" s="14" t="n">
        <v>7.8254</v>
      </c>
      <c r="N1293" s="14" t="n">
        <v>6.3494</v>
      </c>
      <c r="O1293" s="14" t="n">
        <v>124.04</v>
      </c>
      <c r="P1293" s="14" t="n">
        <v>8.8828</v>
      </c>
    </row>
    <row r="1294" customFormat="false" ht="15" hidden="false" customHeight="false" outlineLevel="0" collapsed="false">
      <c r="A1294" s="13" t="n">
        <v>44162</v>
      </c>
      <c r="I1294" s="14" t="n">
        <v>1.1922</v>
      </c>
      <c r="J1294" s="14" t="n">
        <v>10.563</v>
      </c>
      <c r="K1294" s="14" t="n">
        <v>1318.04</v>
      </c>
      <c r="L1294" s="14" t="n">
        <v>0.89442</v>
      </c>
      <c r="M1294" s="14" t="n">
        <v>7.8422</v>
      </c>
      <c r="N1294" s="14" t="n">
        <v>6.4021</v>
      </c>
      <c r="O1294" s="14" t="n">
        <v>124.23</v>
      </c>
      <c r="P1294" s="14" t="n">
        <v>8.8601</v>
      </c>
    </row>
    <row r="1295" customFormat="false" ht="15" hidden="false" customHeight="false" outlineLevel="0" collapsed="false">
      <c r="A1295" s="13" t="n">
        <v>44165</v>
      </c>
      <c r="B1295" s="14" t="n">
        <v>1105.79</v>
      </c>
      <c r="C1295" s="14" t="n">
        <v>8.8781</v>
      </c>
      <c r="D1295" s="14" t="n">
        <v>1.3338</v>
      </c>
      <c r="E1295" s="14" t="n">
        <v>1.1948</v>
      </c>
      <c r="F1295" s="14" t="n">
        <v>6.576</v>
      </c>
      <c r="G1295" s="14" t="n">
        <v>5.3785</v>
      </c>
      <c r="H1295" s="14" t="n">
        <v>104.38</v>
      </c>
      <c r="I1295" s="14" t="n">
        <v>1.198</v>
      </c>
      <c r="J1295" s="14" t="n">
        <v>10.561</v>
      </c>
      <c r="K1295" s="14" t="n">
        <v>1326.08</v>
      </c>
      <c r="L1295" s="14" t="n">
        <v>0.89845</v>
      </c>
      <c r="M1295" s="14" t="n">
        <v>7.8798</v>
      </c>
      <c r="N1295" s="14" t="n">
        <v>6.3519</v>
      </c>
      <c r="O1295" s="14" t="n">
        <v>124.79</v>
      </c>
      <c r="P1295" s="14" t="n">
        <v>8.8155</v>
      </c>
    </row>
    <row r="1296" customFormat="false" ht="15" hidden="false" customHeight="false" outlineLevel="0" collapsed="false">
      <c r="A1296" s="13" t="n">
        <v>44166</v>
      </c>
      <c r="B1296" s="14" t="n">
        <v>1107.33</v>
      </c>
      <c r="C1296" s="14" t="n">
        <v>8.8296</v>
      </c>
      <c r="D1296" s="14" t="n">
        <v>1.3392</v>
      </c>
      <c r="E1296" s="14" t="n">
        <v>1.2039</v>
      </c>
      <c r="F1296" s="14" t="n">
        <v>6.5705</v>
      </c>
      <c r="G1296" s="14" t="n">
        <v>5.263</v>
      </c>
      <c r="H1296" s="14" t="n">
        <v>104.4</v>
      </c>
      <c r="I1296" s="14" t="n">
        <v>1.1968</v>
      </c>
      <c r="J1296" s="14" t="n">
        <v>10.6028</v>
      </c>
      <c r="K1296" s="14" t="n">
        <v>1326.72</v>
      </c>
      <c r="L1296" s="14" t="n">
        <v>0.89798</v>
      </c>
      <c r="M1296" s="14" t="n">
        <v>7.8639</v>
      </c>
      <c r="N1296" s="14" t="n">
        <v>6.3573</v>
      </c>
      <c r="O1296" s="14" t="n">
        <v>124.92</v>
      </c>
      <c r="P1296" s="14" t="n">
        <v>8.8593</v>
      </c>
    </row>
    <row r="1297" customFormat="false" ht="15" hidden="false" customHeight="false" outlineLevel="0" collapsed="false">
      <c r="A1297" s="13" t="n">
        <v>44167</v>
      </c>
      <c r="B1297" s="14" t="n">
        <v>1100.15</v>
      </c>
      <c r="C1297" s="14" t="n">
        <v>8.8197</v>
      </c>
      <c r="D1297" s="14" t="n">
        <v>1.3348</v>
      </c>
      <c r="E1297" s="14" t="n">
        <v>1.2093</v>
      </c>
      <c r="F1297" s="14" t="n">
        <v>6.5622</v>
      </c>
      <c r="G1297" s="14" t="n">
        <v>5.2384</v>
      </c>
      <c r="H1297" s="14" t="n">
        <v>104.52</v>
      </c>
      <c r="I1297" s="14" t="n">
        <v>1.2066</v>
      </c>
      <c r="J1297" s="14" t="n">
        <v>10.7003</v>
      </c>
      <c r="K1297" s="14" t="n">
        <v>1330.2</v>
      </c>
      <c r="L1297" s="14" t="n">
        <v>0.9049</v>
      </c>
      <c r="M1297" s="14" t="n">
        <v>7.9203</v>
      </c>
      <c r="N1297" s="14" t="n">
        <v>6.2962</v>
      </c>
      <c r="O1297" s="14" t="n">
        <v>126.13</v>
      </c>
      <c r="P1297" s="14" t="n">
        <v>8.8681</v>
      </c>
    </row>
    <row r="1298" customFormat="false" ht="15" hidden="false" customHeight="false" outlineLevel="0" collapsed="false">
      <c r="A1298" s="13" t="n">
        <v>44168</v>
      </c>
      <c r="B1298" s="14" t="n">
        <v>1096.28</v>
      </c>
      <c r="C1298" s="14" t="n">
        <v>8.7585</v>
      </c>
      <c r="D1298" s="14" t="n">
        <v>1.3496</v>
      </c>
      <c r="E1298" s="14" t="n">
        <v>1.2152</v>
      </c>
      <c r="F1298" s="14" t="n">
        <v>6.5418</v>
      </c>
      <c r="G1298" s="14" t="n">
        <v>5.1243</v>
      </c>
      <c r="H1298" s="14" t="n">
        <v>103.77</v>
      </c>
      <c r="I1298" s="14" t="n">
        <v>1.2151</v>
      </c>
      <c r="J1298" s="14" t="n">
        <v>10.707</v>
      </c>
      <c r="K1298" s="14" t="n">
        <v>1325.91</v>
      </c>
      <c r="L1298" s="14" t="n">
        <v>0.90358</v>
      </c>
      <c r="M1298" s="14" t="n">
        <v>7.9567</v>
      </c>
      <c r="N1298" s="14" t="n">
        <v>6.3037</v>
      </c>
      <c r="O1298" s="14" t="n">
        <v>126.49</v>
      </c>
      <c r="P1298" s="14" t="n">
        <v>8.8116</v>
      </c>
    </row>
    <row r="1299" customFormat="false" ht="15" hidden="false" customHeight="false" outlineLevel="0" collapsed="false">
      <c r="A1299" s="13" t="n">
        <v>44169</v>
      </c>
      <c r="B1299" s="14" t="n">
        <v>1081.85</v>
      </c>
      <c r="C1299" s="14" t="n">
        <v>8.7883</v>
      </c>
      <c r="D1299" s="14" t="n">
        <v>1.3485</v>
      </c>
      <c r="E1299" s="14" t="n">
        <v>1.2142</v>
      </c>
      <c r="F1299" s="14" t="n">
        <v>6.5301</v>
      </c>
      <c r="G1299" s="14" t="n">
        <v>5.161</v>
      </c>
      <c r="H1299" s="14" t="n">
        <v>104.16</v>
      </c>
      <c r="I1299" s="14" t="n">
        <v>1.2159</v>
      </c>
      <c r="J1299" s="14" t="n">
        <v>10.6598</v>
      </c>
      <c r="K1299" s="14" t="n">
        <v>1320.6</v>
      </c>
      <c r="L1299" s="14" t="n">
        <v>0.90282</v>
      </c>
      <c r="M1299" s="14" t="n">
        <v>7.9421</v>
      </c>
      <c r="N1299" s="14" t="n">
        <v>6.2759</v>
      </c>
      <c r="O1299" s="14" t="n">
        <v>126.44</v>
      </c>
      <c r="P1299" s="14" t="n">
        <v>8.767</v>
      </c>
    </row>
    <row r="1300" customFormat="false" ht="15" hidden="false" customHeight="false" outlineLevel="0" collapsed="false">
      <c r="A1300" s="13" t="n">
        <v>44172</v>
      </c>
      <c r="B1300" s="14" t="n">
        <v>1082.22</v>
      </c>
      <c r="C1300" s="14" t="n">
        <v>8.733</v>
      </c>
      <c r="D1300" s="14" t="n">
        <v>1.3353</v>
      </c>
      <c r="E1300" s="14" t="n">
        <v>1.2138</v>
      </c>
      <c r="F1300" s="14" t="n">
        <v>6.5295</v>
      </c>
      <c r="G1300" s="14" t="n">
        <v>5.0713</v>
      </c>
      <c r="H1300" s="14" t="n">
        <v>104.01</v>
      </c>
      <c r="I1300" s="14" t="n">
        <v>1.2128</v>
      </c>
      <c r="J1300" s="14" t="n">
        <v>10.6328</v>
      </c>
      <c r="K1300" s="14" t="n">
        <v>1316.88</v>
      </c>
      <c r="L1300" s="14" t="n">
        <v>0.91215</v>
      </c>
      <c r="M1300" s="14" t="n">
        <v>7.931</v>
      </c>
      <c r="N1300" s="14" t="n">
        <v>6.2124</v>
      </c>
      <c r="O1300" s="14" t="n">
        <v>126.3</v>
      </c>
      <c r="P1300" s="14" t="n">
        <v>8.7672</v>
      </c>
    </row>
    <row r="1301" customFormat="false" ht="15" hidden="false" customHeight="false" outlineLevel="0" collapsed="false">
      <c r="A1301" s="13" t="n">
        <v>44173</v>
      </c>
      <c r="B1301" s="14" t="n">
        <v>1085.4</v>
      </c>
      <c r="C1301" s="14" t="n">
        <v>8.7644</v>
      </c>
      <c r="D1301" s="14" t="n">
        <v>1.3358</v>
      </c>
      <c r="E1301" s="14" t="n">
        <v>1.2111</v>
      </c>
      <c r="F1301" s="14" t="n">
        <v>6.5307</v>
      </c>
      <c r="G1301" s="14" t="n">
        <v>5.0824</v>
      </c>
      <c r="H1301" s="14" t="n">
        <v>104.14</v>
      </c>
      <c r="I1301" s="14" t="n">
        <v>1.2114</v>
      </c>
      <c r="J1301" s="14" t="n">
        <v>10.6283</v>
      </c>
      <c r="K1301" s="14" t="n">
        <v>1314.53</v>
      </c>
      <c r="L1301" s="14" t="n">
        <v>0.91143</v>
      </c>
      <c r="M1301" s="14" t="n">
        <v>7.9115</v>
      </c>
      <c r="N1301" s="14" t="n">
        <v>6.1906</v>
      </c>
      <c r="O1301" s="14" t="n">
        <v>126.18</v>
      </c>
      <c r="P1301" s="14" t="n">
        <v>8.7736</v>
      </c>
    </row>
    <row r="1302" customFormat="false" ht="15" hidden="false" customHeight="false" outlineLevel="0" collapsed="false">
      <c r="A1302" s="13" t="n">
        <v>44174</v>
      </c>
      <c r="B1302" s="14" t="n">
        <v>1083.78</v>
      </c>
      <c r="C1302" s="14" t="n">
        <v>8.8281</v>
      </c>
      <c r="D1302" s="14" t="n">
        <v>1.3392</v>
      </c>
      <c r="E1302" s="14" t="n">
        <v>1.208</v>
      </c>
      <c r="F1302" s="14" t="n">
        <v>6.541</v>
      </c>
      <c r="G1302" s="14" t="n">
        <v>5.1504</v>
      </c>
      <c r="H1302" s="14" t="n">
        <v>104.28</v>
      </c>
      <c r="I1302" s="14" t="n">
        <v>1.2109</v>
      </c>
      <c r="J1302" s="14" t="n">
        <v>10.5763</v>
      </c>
      <c r="K1302" s="14" t="n">
        <v>1314.27</v>
      </c>
      <c r="L1302" s="14" t="n">
        <v>0.9</v>
      </c>
      <c r="M1302" s="14" t="n">
        <v>7.9167</v>
      </c>
      <c r="N1302" s="14" t="n">
        <v>6.1993</v>
      </c>
      <c r="O1302" s="14" t="n">
        <v>126.05</v>
      </c>
      <c r="P1302" s="14" t="n">
        <v>8.7342</v>
      </c>
    </row>
    <row r="1303" customFormat="false" ht="15" hidden="false" customHeight="false" outlineLevel="0" collapsed="false">
      <c r="A1303" s="13" t="n">
        <v>44175</v>
      </c>
      <c r="B1303" s="14" t="n">
        <v>1086.83</v>
      </c>
      <c r="C1303" s="14" t="n">
        <v>8.7745</v>
      </c>
      <c r="D1303" s="14" t="n">
        <v>1.3293</v>
      </c>
      <c r="E1303" s="14" t="n">
        <v>1.2118</v>
      </c>
      <c r="F1303" s="14" t="n">
        <v>6.5419</v>
      </c>
      <c r="G1303" s="14" t="n">
        <v>5.0699</v>
      </c>
      <c r="H1303" s="14" t="n">
        <v>104.3</v>
      </c>
      <c r="I1303" s="14" t="n">
        <v>1.2115</v>
      </c>
      <c r="J1303" s="14" t="n">
        <v>10.7</v>
      </c>
      <c r="K1303" s="14" t="n">
        <v>1318.52</v>
      </c>
      <c r="L1303" s="14" t="n">
        <v>0.911</v>
      </c>
      <c r="M1303" s="14" t="n">
        <v>7.9254</v>
      </c>
      <c r="N1303" s="14" t="n">
        <v>6.1606</v>
      </c>
      <c r="O1303" s="14" t="n">
        <v>126.53</v>
      </c>
      <c r="P1303" s="14" t="n">
        <v>8.832</v>
      </c>
    </row>
    <row r="1304" customFormat="false" ht="15" hidden="false" customHeight="false" outlineLevel="0" collapsed="false">
      <c r="A1304" s="13" t="n">
        <v>44176</v>
      </c>
      <c r="B1304" s="14" t="n">
        <v>1091.23</v>
      </c>
      <c r="C1304" s="14" t="n">
        <v>8.8235</v>
      </c>
      <c r="D1304" s="14" t="n">
        <v>1.3197</v>
      </c>
      <c r="E1304" s="14" t="n">
        <v>1.2112</v>
      </c>
      <c r="F1304" s="14" t="n">
        <v>6.5445</v>
      </c>
      <c r="G1304" s="14" t="n">
        <v>5.0538</v>
      </c>
      <c r="H1304" s="14" t="n">
        <v>103.88</v>
      </c>
      <c r="I1304" s="14" t="n">
        <v>1.2127</v>
      </c>
      <c r="J1304" s="14" t="n">
        <v>10.6968</v>
      </c>
      <c r="K1304" s="14" t="n">
        <v>1325.32</v>
      </c>
      <c r="L1304" s="14" t="n">
        <v>0.92294</v>
      </c>
      <c r="M1304" s="14" t="n">
        <v>7.9386</v>
      </c>
      <c r="N1304" s="14" t="n">
        <v>6.1448</v>
      </c>
      <c r="O1304" s="14" t="n">
        <v>126.28</v>
      </c>
      <c r="P1304" s="14" t="n">
        <v>8.8206</v>
      </c>
    </row>
    <row r="1305" customFormat="false" ht="15" hidden="false" customHeight="false" outlineLevel="0" collapsed="false">
      <c r="A1305" s="13" t="n">
        <v>44179</v>
      </c>
      <c r="B1305" s="14" t="n">
        <v>1093.19</v>
      </c>
      <c r="C1305" s="14" t="n">
        <v>8.7463</v>
      </c>
      <c r="D1305" s="14" t="n">
        <v>1.3324</v>
      </c>
      <c r="E1305" s="14" t="n">
        <v>1.2145</v>
      </c>
      <c r="F1305" s="14" t="n">
        <v>6.548</v>
      </c>
      <c r="G1305" s="14" t="n">
        <v>5.1103</v>
      </c>
      <c r="H1305" s="14" t="n">
        <v>104.06</v>
      </c>
      <c r="I1305" s="14" t="n">
        <v>1.2162</v>
      </c>
      <c r="J1305" s="14" t="n">
        <v>10.5833</v>
      </c>
      <c r="K1305" s="14" t="n">
        <v>1327.5</v>
      </c>
      <c r="L1305" s="14" t="n">
        <v>0.907</v>
      </c>
      <c r="M1305" s="14" t="n">
        <v>7.9588</v>
      </c>
      <c r="N1305" s="14" t="n">
        <v>6.1237</v>
      </c>
      <c r="O1305" s="14" t="n">
        <v>126.11</v>
      </c>
      <c r="P1305" s="14" t="n">
        <v>8.7019</v>
      </c>
    </row>
    <row r="1306" customFormat="false" ht="15" hidden="false" customHeight="false" outlineLevel="0" collapsed="false">
      <c r="A1306" s="13" t="n">
        <v>44180</v>
      </c>
      <c r="B1306" s="14" t="n">
        <v>1092.22</v>
      </c>
      <c r="C1306" s="14" t="n">
        <v>8.7221</v>
      </c>
      <c r="D1306" s="14" t="n">
        <v>1.3434</v>
      </c>
      <c r="E1306" s="14" t="n">
        <v>1.2158</v>
      </c>
      <c r="F1306" s="14" t="n">
        <v>6.5388</v>
      </c>
      <c r="G1306" s="14" t="n">
        <v>5.1105</v>
      </c>
      <c r="H1306" s="14" t="n">
        <v>103.69</v>
      </c>
      <c r="I1306" s="14" t="n">
        <v>1.214</v>
      </c>
      <c r="J1306" s="14" t="n">
        <v>10.614</v>
      </c>
      <c r="K1306" s="14" t="n">
        <v>1327.69</v>
      </c>
      <c r="L1306" s="14" t="n">
        <v>0.90795</v>
      </c>
      <c r="M1306" s="14" t="n">
        <v>7.9462</v>
      </c>
      <c r="N1306" s="14" t="n">
        <v>6.1783</v>
      </c>
      <c r="O1306" s="14" t="n">
        <v>126.08</v>
      </c>
      <c r="P1306" s="14" t="n">
        <v>8.743</v>
      </c>
    </row>
    <row r="1307" customFormat="false" ht="15" hidden="false" customHeight="false" outlineLevel="0" collapsed="false">
      <c r="A1307" s="13" t="n">
        <v>44181</v>
      </c>
      <c r="B1307" s="14" t="n">
        <v>1093.71</v>
      </c>
      <c r="C1307" s="14" t="n">
        <v>8.6896</v>
      </c>
      <c r="D1307" s="14" t="n">
        <v>1.3503</v>
      </c>
      <c r="E1307" s="14" t="n">
        <v>1.2175</v>
      </c>
      <c r="F1307" s="14" t="n">
        <v>6.5323</v>
      </c>
      <c r="G1307" s="14" t="n">
        <v>5.1282</v>
      </c>
      <c r="H1307" s="14" t="n">
        <v>103.59</v>
      </c>
      <c r="I1307" s="14" t="n">
        <v>1.2189</v>
      </c>
      <c r="J1307" s="14" t="n">
        <v>10.5788</v>
      </c>
      <c r="K1307" s="14" t="n">
        <v>1332.9</v>
      </c>
      <c r="L1307" s="14" t="n">
        <v>0.8995</v>
      </c>
      <c r="M1307" s="14" t="n">
        <v>7.9633</v>
      </c>
      <c r="N1307" s="14" t="n">
        <v>6.2306</v>
      </c>
      <c r="O1307" s="14" t="n">
        <v>125.97</v>
      </c>
      <c r="P1307" s="14" t="n">
        <v>8.679</v>
      </c>
    </row>
    <row r="1308" customFormat="false" ht="15" hidden="false" customHeight="false" outlineLevel="0" collapsed="false">
      <c r="A1308" s="13" t="n">
        <v>44182</v>
      </c>
      <c r="B1308" s="14" t="n">
        <v>1092.96</v>
      </c>
      <c r="C1308" s="14" t="n">
        <v>8.5731</v>
      </c>
      <c r="D1308" s="14" t="n">
        <v>1.3609</v>
      </c>
      <c r="E1308" s="14" t="n">
        <v>1.2258</v>
      </c>
      <c r="F1308" s="14" t="n">
        <v>6.5321</v>
      </c>
      <c r="G1308" s="14" t="n">
        <v>5.0591</v>
      </c>
      <c r="H1308" s="14" t="n">
        <v>103.13</v>
      </c>
      <c r="I1308" s="14" t="n">
        <v>1.2246</v>
      </c>
      <c r="J1308" s="14" t="n">
        <v>10.5015</v>
      </c>
      <c r="K1308" s="14" t="n">
        <v>1338.48</v>
      </c>
      <c r="L1308" s="14" t="n">
        <v>0.9005</v>
      </c>
      <c r="M1308" s="14" t="n">
        <v>8.0006</v>
      </c>
      <c r="N1308" s="14" t="n">
        <v>6.2136</v>
      </c>
      <c r="O1308" s="14" t="n">
        <v>126.19</v>
      </c>
      <c r="P1308" s="14" t="n">
        <v>8.5755</v>
      </c>
    </row>
    <row r="1309" customFormat="false" ht="15" hidden="false" customHeight="false" outlineLevel="0" collapsed="false">
      <c r="A1309" s="13" t="n">
        <v>44183</v>
      </c>
      <c r="B1309" s="14" t="n">
        <v>1099.37</v>
      </c>
      <c r="C1309" s="14" t="n">
        <v>8.5959</v>
      </c>
      <c r="D1309" s="14" t="n">
        <v>1.3497</v>
      </c>
      <c r="E1309" s="14" t="n">
        <v>1.2236</v>
      </c>
      <c r="F1309" s="14" t="n">
        <v>6.5395</v>
      </c>
      <c r="G1309" s="14" t="n">
        <v>5.081</v>
      </c>
      <c r="H1309" s="14" t="n">
        <v>103.35</v>
      </c>
      <c r="I1309" s="14" t="n">
        <v>1.2259</v>
      </c>
      <c r="J1309" s="14" t="n">
        <v>10.5163</v>
      </c>
      <c r="K1309" s="14" t="n">
        <v>1346.95</v>
      </c>
      <c r="L1309" s="14" t="n">
        <v>0.90828</v>
      </c>
      <c r="M1309" s="14" t="n">
        <v>8.0146</v>
      </c>
      <c r="N1309" s="14" t="n">
        <v>6.2668</v>
      </c>
      <c r="O1309" s="14" t="n">
        <v>126.69</v>
      </c>
      <c r="P1309" s="14" t="n">
        <v>8.5784</v>
      </c>
    </row>
    <row r="1310" customFormat="false" ht="15" hidden="false" customHeight="false" outlineLevel="0" collapsed="false">
      <c r="A1310" s="13" t="n">
        <v>44186</v>
      </c>
      <c r="B1310" s="14" t="n">
        <v>1107.03</v>
      </c>
      <c r="C1310" s="14" t="n">
        <v>8.653</v>
      </c>
      <c r="D1310" s="14" t="n">
        <v>1.3354</v>
      </c>
      <c r="E1310" s="14" t="n">
        <v>1.223</v>
      </c>
      <c r="F1310" s="14" t="n">
        <v>6.5493</v>
      </c>
      <c r="G1310" s="14" t="n">
        <v>5.128</v>
      </c>
      <c r="H1310" s="14" t="n">
        <v>103.44</v>
      </c>
      <c r="I1310" s="14" t="n">
        <v>1.2173</v>
      </c>
      <c r="J1310" s="14" t="n">
        <v>10.6518</v>
      </c>
      <c r="K1310" s="14" t="n">
        <v>1350.52</v>
      </c>
      <c r="L1310" s="14" t="n">
        <v>0.9161</v>
      </c>
      <c r="M1310" s="14" t="n">
        <v>7.9784</v>
      </c>
      <c r="N1310" s="14" t="n">
        <v>6.3144</v>
      </c>
      <c r="O1310" s="14" t="n">
        <v>126.04</v>
      </c>
      <c r="P1310" s="14" t="n">
        <v>8.7503</v>
      </c>
    </row>
    <row r="1311" customFormat="false" ht="15" hidden="false" customHeight="false" outlineLevel="0" collapsed="false">
      <c r="A1311" s="13" t="n">
        <v>44187</v>
      </c>
      <c r="B1311" s="14" t="n">
        <v>1107.12</v>
      </c>
      <c r="C1311" s="14" t="n">
        <v>8.7197</v>
      </c>
      <c r="D1311" s="14" t="n">
        <v>1.3349</v>
      </c>
      <c r="E1311" s="14" t="n">
        <v>1.2172</v>
      </c>
      <c r="F1311" s="14" t="n">
        <v>6.5426</v>
      </c>
      <c r="G1311" s="14" t="n">
        <v>5.1593</v>
      </c>
      <c r="H1311" s="14" t="n">
        <v>103.62</v>
      </c>
      <c r="I1311" s="14" t="n">
        <v>1.2239</v>
      </c>
      <c r="J1311" s="14" t="n">
        <v>10.5938</v>
      </c>
      <c r="K1311" s="14" t="n">
        <v>1353.44</v>
      </c>
      <c r="L1311" s="14" t="n">
        <v>0.91148</v>
      </c>
      <c r="M1311" s="14" t="n">
        <v>8.0056</v>
      </c>
      <c r="N1311" s="14" t="n">
        <v>6.2842</v>
      </c>
      <c r="O1311" s="14" t="n">
        <v>126.52</v>
      </c>
      <c r="P1311" s="14" t="n">
        <v>8.6558</v>
      </c>
    </row>
    <row r="1312" customFormat="false" ht="15" hidden="false" customHeight="false" outlineLevel="0" collapsed="false">
      <c r="A1312" s="13" t="n">
        <v>44188</v>
      </c>
      <c r="B1312" s="14" t="n">
        <v>1106.92</v>
      </c>
      <c r="C1312" s="14" t="n">
        <v>8.6307</v>
      </c>
      <c r="D1312" s="14" t="n">
        <v>1.351</v>
      </c>
      <c r="E1312" s="14" t="n">
        <v>1.2194</v>
      </c>
      <c r="F1312" s="14" t="n">
        <v>6.54</v>
      </c>
      <c r="G1312" s="14" t="n">
        <v>5.2087</v>
      </c>
      <c r="H1312" s="14" t="n">
        <v>103.52</v>
      </c>
      <c r="I1312" s="14" t="n">
        <v>1.2166</v>
      </c>
      <c r="J1312" s="14" t="n">
        <v>10.6238</v>
      </c>
      <c r="K1312" s="14" t="n">
        <v>1347.45</v>
      </c>
      <c r="L1312" s="14" t="n">
        <v>0.907</v>
      </c>
      <c r="M1312" s="14" t="n">
        <v>7.9549</v>
      </c>
      <c r="N1312" s="14" t="n">
        <v>6.2867</v>
      </c>
      <c r="O1312" s="14" t="n">
        <v>125.99</v>
      </c>
      <c r="P1312" s="14" t="n">
        <v>8.7324</v>
      </c>
    </row>
    <row r="1313" customFormat="false" ht="15" hidden="false" customHeight="false" outlineLevel="0" collapsed="false">
      <c r="A1313" s="13" t="n">
        <v>44189</v>
      </c>
      <c r="I1313" s="14" t="n">
        <v>1.2193</v>
      </c>
      <c r="J1313" s="14" t="n">
        <v>10.5108</v>
      </c>
      <c r="K1313" s="14" t="n">
        <v>1344.97</v>
      </c>
      <c r="L1313" s="14" t="n">
        <v>0.89795</v>
      </c>
      <c r="M1313" s="14" t="n">
        <v>7.9624</v>
      </c>
      <c r="N1313" s="14" t="n">
        <v>6.3608</v>
      </c>
      <c r="O1313" s="14" t="n">
        <v>126.38</v>
      </c>
    </row>
    <row r="1314" customFormat="false" ht="15" hidden="false" customHeight="false" outlineLevel="0" collapsed="false">
      <c r="A1314" s="13" t="n">
        <v>44190</v>
      </c>
    </row>
    <row r="1315" customFormat="false" ht="15" hidden="false" customHeight="false" outlineLevel="0" collapsed="false">
      <c r="A1315" s="13" t="n">
        <v>44193</v>
      </c>
      <c r="B1315" s="14" t="n">
        <v>1096.67</v>
      </c>
      <c r="C1315" s="14" t="n">
        <v>8.6671</v>
      </c>
      <c r="D1315" s="14" t="n">
        <v>1.3447</v>
      </c>
      <c r="E1315" s="14" t="n">
        <v>1.2213</v>
      </c>
      <c r="F1315" s="14" t="n">
        <v>6.5346</v>
      </c>
      <c r="G1315" s="14" t="n">
        <v>5.3016</v>
      </c>
      <c r="H1315" s="14" t="n">
        <v>103.84</v>
      </c>
      <c r="I1315" s="14" t="n">
        <v>1.2219</v>
      </c>
      <c r="J1315" s="14" t="n">
        <v>10.5713</v>
      </c>
      <c r="K1315" s="14" t="n">
        <v>1340.87</v>
      </c>
      <c r="L1315" s="14" t="n">
        <v>0.90408</v>
      </c>
      <c r="M1315" s="14" t="n">
        <v>7.9906</v>
      </c>
      <c r="N1315" s="14" t="n">
        <v>6.3443</v>
      </c>
      <c r="O1315" s="14" t="n">
        <v>126.54</v>
      </c>
      <c r="P1315" s="14" t="n">
        <v>8.6515</v>
      </c>
    </row>
    <row r="1316" customFormat="false" ht="15" hidden="false" customHeight="false" outlineLevel="0" collapsed="false">
      <c r="A1316" s="13" t="n">
        <v>44194</v>
      </c>
      <c r="B1316" s="14" t="n">
        <v>1092.55</v>
      </c>
      <c r="C1316" s="14" t="n">
        <v>8.6017</v>
      </c>
      <c r="D1316" s="14" t="n">
        <v>1.3512</v>
      </c>
      <c r="E1316" s="14" t="n">
        <v>1.2252</v>
      </c>
      <c r="F1316" s="14" t="n">
        <v>6.53</v>
      </c>
      <c r="G1316" s="14" t="n">
        <v>5.1679</v>
      </c>
      <c r="H1316" s="14" t="n">
        <v>103.5</v>
      </c>
      <c r="I1316" s="14" t="n">
        <v>1.2259</v>
      </c>
      <c r="J1316" s="14" t="n">
        <v>10.55</v>
      </c>
      <c r="K1316" s="14" t="n">
        <v>1340.33</v>
      </c>
      <c r="L1316" s="14" t="n">
        <v>0.90863</v>
      </c>
      <c r="M1316" s="14" t="n">
        <v>8.007</v>
      </c>
      <c r="N1316" s="14" t="n">
        <v>6.3717</v>
      </c>
      <c r="O1316" s="14" t="n">
        <v>127.23</v>
      </c>
      <c r="P1316" s="14" t="n">
        <v>8.6059</v>
      </c>
    </row>
    <row r="1317" customFormat="false" ht="15" hidden="false" customHeight="false" outlineLevel="0" collapsed="false">
      <c r="A1317" s="13" t="n">
        <v>44195</v>
      </c>
      <c r="B1317" s="14" t="n">
        <v>1086.62</v>
      </c>
      <c r="C1317" s="14" t="n">
        <v>8.5536</v>
      </c>
      <c r="D1317" s="14" t="n">
        <v>1.3605</v>
      </c>
      <c r="E1317" s="14" t="n">
        <v>1.228</v>
      </c>
      <c r="F1317" s="14" t="n">
        <v>6.5208</v>
      </c>
      <c r="G1317" s="14" t="n">
        <v>5.176</v>
      </c>
      <c r="H1317" s="14" t="n">
        <v>103.31</v>
      </c>
      <c r="I1317" s="14" t="n">
        <v>1.2281</v>
      </c>
      <c r="J1317" s="14" t="n">
        <v>10.547</v>
      </c>
      <c r="K1317" s="14" t="n">
        <v>1335.83</v>
      </c>
      <c r="L1317" s="14" t="n">
        <v>0.90307</v>
      </c>
      <c r="M1317" s="14" t="n">
        <v>8.0134</v>
      </c>
      <c r="N1317" s="14" t="n">
        <v>6.3574</v>
      </c>
      <c r="O1317" s="14" t="n">
        <v>126.57</v>
      </c>
      <c r="P1317" s="14" t="n">
        <v>8.5881</v>
      </c>
    </row>
    <row r="1318" customFormat="false" ht="15" hidden="false" customHeight="false" outlineLevel="0" collapsed="false">
      <c r="A1318" s="13" t="n">
        <v>44196</v>
      </c>
      <c r="B1318" s="14" t="n">
        <v>1086.11</v>
      </c>
      <c r="C1318" s="14" t="n">
        <v>8.5757</v>
      </c>
      <c r="D1318" s="14" t="n">
        <v>1.3662</v>
      </c>
      <c r="E1318" s="14" t="n">
        <v>1.223</v>
      </c>
      <c r="F1318" s="14" t="n">
        <v>6.525</v>
      </c>
      <c r="G1318" s="14" t="n">
        <v>5.1935</v>
      </c>
      <c r="H1318" s="14" t="n">
        <v>103.19</v>
      </c>
      <c r="I1318" s="14" t="n">
        <v>1.2271</v>
      </c>
      <c r="J1318" s="14" t="n">
        <v>10.4703</v>
      </c>
      <c r="K1318" s="14" t="n">
        <v>1336</v>
      </c>
      <c r="L1318" s="14" t="n">
        <v>0.89903</v>
      </c>
      <c r="M1318" s="14" t="n">
        <v>8.0225</v>
      </c>
      <c r="N1318" s="14" t="n">
        <v>6.3735</v>
      </c>
      <c r="O1318" s="14" t="n">
        <v>126.49</v>
      </c>
      <c r="P1318" s="14" t="n">
        <v>8.5326</v>
      </c>
    </row>
    <row r="1319" customFormat="false" ht="15" hidden="false" customHeight="false" outlineLevel="0" collapsed="false">
      <c r="A1319" s="13" t="n">
        <v>44197</v>
      </c>
    </row>
    <row r="1320" customFormat="false" ht="15" hidden="false" customHeight="false" outlineLevel="0" collapsed="false">
      <c r="A1320" s="13" t="n">
        <v>44200</v>
      </c>
      <c r="B1320" s="14" t="n">
        <v>1081.62</v>
      </c>
      <c r="C1320" s="14" t="n">
        <v>8.566</v>
      </c>
      <c r="D1320" s="14" t="n">
        <v>1.3551</v>
      </c>
      <c r="E1320" s="14" t="n">
        <v>1.2254</v>
      </c>
      <c r="F1320" s="14" t="n">
        <v>6.4601</v>
      </c>
      <c r="G1320" s="14" t="n">
        <v>5.2466</v>
      </c>
      <c r="H1320" s="14" t="n">
        <v>103.19</v>
      </c>
      <c r="I1320" s="14" t="n">
        <v>1.2296</v>
      </c>
      <c r="J1320" s="14" t="n">
        <v>10.444</v>
      </c>
      <c r="K1320" s="14" t="n">
        <v>1332.03</v>
      </c>
      <c r="L1320" s="14" t="n">
        <v>0.9016</v>
      </c>
      <c r="M1320" s="14" t="n">
        <v>7.9484</v>
      </c>
      <c r="N1320" s="14" t="n">
        <v>6.3241</v>
      </c>
      <c r="O1320" s="14" t="n">
        <v>126.62</v>
      </c>
      <c r="P1320" s="14" t="n">
        <v>8.4938</v>
      </c>
    </row>
    <row r="1321" customFormat="false" ht="15" hidden="false" customHeight="false" outlineLevel="0" collapsed="false">
      <c r="A1321" s="13" t="n">
        <v>44201</v>
      </c>
      <c r="B1321" s="14" t="n">
        <v>1087.42</v>
      </c>
      <c r="C1321" s="14" t="n">
        <v>8.4901</v>
      </c>
      <c r="D1321" s="14" t="n">
        <v>1.362</v>
      </c>
      <c r="E1321" s="14" t="n">
        <v>1.2295</v>
      </c>
      <c r="F1321" s="14" t="n">
        <v>6.455</v>
      </c>
      <c r="G1321" s="14" t="n">
        <v>5.3035</v>
      </c>
      <c r="H1321" s="14" t="n">
        <v>102.7</v>
      </c>
      <c r="I1321" s="14" t="n">
        <v>1.2271</v>
      </c>
      <c r="J1321" s="14" t="n">
        <v>10.4713</v>
      </c>
      <c r="K1321" s="14" t="n">
        <v>1335.85</v>
      </c>
      <c r="L1321" s="14" t="n">
        <v>0.90333</v>
      </c>
      <c r="M1321" s="14" t="n">
        <v>7.9315</v>
      </c>
      <c r="N1321" s="14" t="n">
        <v>6.5517</v>
      </c>
      <c r="O1321" s="14" t="n">
        <v>126.25</v>
      </c>
      <c r="P1321" s="14" t="n">
        <v>8.5334</v>
      </c>
    </row>
    <row r="1322" customFormat="false" ht="15" hidden="false" customHeight="false" outlineLevel="0" collapsed="false">
      <c r="A1322" s="13" t="n">
        <v>44202</v>
      </c>
      <c r="B1322" s="14" t="n">
        <v>1085.71</v>
      </c>
      <c r="C1322" s="14" t="n">
        <v>8.4206</v>
      </c>
      <c r="D1322" s="14" t="n">
        <v>1.3593</v>
      </c>
      <c r="E1322" s="14" t="n">
        <v>1.229</v>
      </c>
      <c r="F1322" s="14" t="n">
        <v>6.4617</v>
      </c>
      <c r="G1322" s="14" t="n">
        <v>5.3368</v>
      </c>
      <c r="H1322" s="14" t="n">
        <v>103.25</v>
      </c>
      <c r="I1322" s="14" t="n">
        <v>1.2338</v>
      </c>
      <c r="J1322" s="14" t="n">
        <v>10.381</v>
      </c>
      <c r="K1322" s="14" t="n">
        <v>1339.3</v>
      </c>
      <c r="L1322" s="14" t="n">
        <v>0.90635</v>
      </c>
      <c r="M1322" s="14" t="n">
        <v>7.9653</v>
      </c>
      <c r="N1322" s="14" t="n">
        <v>6.5119</v>
      </c>
      <c r="O1322" s="14" t="n">
        <v>127.03</v>
      </c>
      <c r="P1322" s="14" t="n">
        <v>8.4138</v>
      </c>
    </row>
    <row r="1323" customFormat="false" ht="15" hidden="false" customHeight="false" outlineLevel="0" collapsed="false">
      <c r="A1323" s="13" t="n">
        <v>44203</v>
      </c>
      <c r="B1323" s="14" t="n">
        <v>1086.78</v>
      </c>
      <c r="C1323" s="14" t="n">
        <v>8.4384</v>
      </c>
      <c r="D1323" s="14" t="n">
        <v>1.3551</v>
      </c>
      <c r="E1323" s="14" t="n">
        <v>1.2265</v>
      </c>
      <c r="F1323" s="14" t="n">
        <v>6.476</v>
      </c>
      <c r="G1323" s="14" t="n">
        <v>5.4024</v>
      </c>
      <c r="H1323" s="14" t="n">
        <v>103.84</v>
      </c>
      <c r="I1323" s="14" t="n">
        <v>1.2276</v>
      </c>
      <c r="J1323" s="14" t="n">
        <v>10.3435</v>
      </c>
      <c r="K1323" s="14" t="n">
        <v>1342.29</v>
      </c>
      <c r="L1323" s="14" t="n">
        <v>0.9019</v>
      </c>
      <c r="M1323" s="14" t="n">
        <v>7.9392</v>
      </c>
      <c r="N1323" s="14" t="n">
        <v>6.5172</v>
      </c>
      <c r="O1323" s="14" t="n">
        <v>127.13</v>
      </c>
      <c r="P1323" s="14" t="n">
        <v>8.4258</v>
      </c>
    </row>
    <row r="1324" customFormat="false" ht="15" hidden="false" customHeight="false" outlineLevel="0" collapsed="false">
      <c r="A1324" s="13" t="n">
        <v>44204</v>
      </c>
      <c r="B1324" s="14" t="n">
        <v>1089.48</v>
      </c>
      <c r="C1324" s="14" t="n">
        <v>8.4074</v>
      </c>
      <c r="D1324" s="14" t="n">
        <v>1.3583</v>
      </c>
      <c r="E1324" s="14" t="n">
        <v>1.2252</v>
      </c>
      <c r="F1324" s="14" t="n">
        <v>6.475</v>
      </c>
      <c r="G1324" s="14" t="n">
        <v>5.3855</v>
      </c>
      <c r="H1324" s="14" t="n">
        <v>103.89</v>
      </c>
      <c r="I1324" s="14" t="n">
        <v>1.225</v>
      </c>
      <c r="J1324" s="14" t="n">
        <v>10.2863</v>
      </c>
      <c r="K1324" s="14" t="n">
        <v>1337.9</v>
      </c>
      <c r="L1324" s="14" t="n">
        <v>0.90128</v>
      </c>
      <c r="M1324" s="14" t="n">
        <v>7.9184</v>
      </c>
      <c r="N1324" s="14" t="n">
        <v>6.5748</v>
      </c>
      <c r="O1324" s="14" t="n">
        <v>127.26</v>
      </c>
      <c r="P1324" s="14" t="n">
        <v>8.397</v>
      </c>
    </row>
    <row r="1325" customFormat="false" ht="15" hidden="false" customHeight="false" outlineLevel="0" collapsed="false">
      <c r="A1325" s="13" t="n">
        <v>44207</v>
      </c>
      <c r="B1325" s="14" t="n">
        <v>1097.39</v>
      </c>
      <c r="C1325" s="14" t="n">
        <v>8.5192</v>
      </c>
      <c r="D1325" s="14" t="n">
        <v>1.3522</v>
      </c>
      <c r="E1325" s="14" t="n">
        <v>1.2169</v>
      </c>
      <c r="F1325" s="14" t="n">
        <v>6.4795</v>
      </c>
      <c r="G1325" s="14" t="n">
        <v>5.4809</v>
      </c>
      <c r="H1325" s="14" t="n">
        <v>104.16</v>
      </c>
      <c r="I1325" s="14" t="n">
        <v>1.2163</v>
      </c>
      <c r="J1325" s="14" t="n">
        <v>10.368</v>
      </c>
      <c r="K1325" s="14" t="n">
        <v>1335.76</v>
      </c>
      <c r="L1325" s="14" t="n">
        <v>0.90235</v>
      </c>
      <c r="M1325" s="14" t="n">
        <v>7.8806</v>
      </c>
      <c r="N1325" s="14" t="n">
        <v>6.6562</v>
      </c>
      <c r="O1325" s="14" t="n">
        <v>126.76</v>
      </c>
      <c r="P1325" s="14" t="n">
        <v>8.5242</v>
      </c>
    </row>
    <row r="1326" customFormat="false" ht="15" hidden="false" customHeight="false" outlineLevel="0" collapsed="false">
      <c r="A1326" s="13" t="n">
        <v>44208</v>
      </c>
      <c r="B1326" s="14" t="n">
        <v>1099.57</v>
      </c>
      <c r="C1326" s="14" t="n">
        <v>8.5085</v>
      </c>
      <c r="D1326" s="14" t="n">
        <v>1.3637</v>
      </c>
      <c r="E1326" s="14" t="n">
        <v>1.2168</v>
      </c>
      <c r="F1326" s="14" t="n">
        <v>6.461</v>
      </c>
      <c r="G1326" s="14" t="n">
        <v>5.4166</v>
      </c>
      <c r="H1326" s="14" t="n">
        <v>104.09</v>
      </c>
      <c r="I1326" s="14" t="n">
        <v>1.2161</v>
      </c>
      <c r="J1326" s="14" t="n">
        <v>10.3765</v>
      </c>
      <c r="K1326" s="14" t="n">
        <v>1336.38</v>
      </c>
      <c r="L1326" s="14" t="n">
        <v>0.8944</v>
      </c>
      <c r="M1326" s="14" t="n">
        <v>7.8576</v>
      </c>
      <c r="N1326" s="14" t="n">
        <v>6.6592</v>
      </c>
      <c r="O1326" s="14" t="n">
        <v>126.74</v>
      </c>
      <c r="P1326" s="14" t="n">
        <v>8.5326</v>
      </c>
    </row>
    <row r="1327" customFormat="false" ht="15" hidden="false" customHeight="false" outlineLevel="0" collapsed="false">
      <c r="A1327" s="13" t="n">
        <v>44209</v>
      </c>
      <c r="B1327" s="14" t="n">
        <v>1098.31</v>
      </c>
      <c r="C1327" s="14" t="n">
        <v>8.4851</v>
      </c>
      <c r="D1327" s="14" t="n">
        <v>1.3631</v>
      </c>
      <c r="E1327" s="14" t="n">
        <v>1.2159</v>
      </c>
      <c r="F1327" s="14" t="n">
        <v>6.4677</v>
      </c>
      <c r="G1327" s="14" t="n">
        <v>5.2938</v>
      </c>
      <c r="H1327" s="14" t="n">
        <v>103.91</v>
      </c>
      <c r="I1327" s="14" t="n">
        <v>1.2166</v>
      </c>
      <c r="J1327" s="14" t="n">
        <v>10.339</v>
      </c>
      <c r="K1327" s="14" t="n">
        <v>1335.2</v>
      </c>
      <c r="L1327" s="14" t="n">
        <v>0.88983</v>
      </c>
      <c r="M1327" s="14" t="n">
        <v>7.8716</v>
      </c>
      <c r="N1327" s="14" t="n">
        <v>6.4869</v>
      </c>
      <c r="O1327" s="14" t="n">
        <v>126.44</v>
      </c>
      <c r="P1327" s="14" t="n">
        <v>8.4983</v>
      </c>
    </row>
    <row r="1328" customFormat="false" ht="15" hidden="false" customHeight="false" outlineLevel="0" collapsed="false">
      <c r="A1328" s="13" t="n">
        <v>44210</v>
      </c>
      <c r="B1328" s="14" t="n">
        <v>1098.37</v>
      </c>
      <c r="C1328" s="14" t="n">
        <v>8.4594</v>
      </c>
      <c r="D1328" s="14" t="n">
        <v>1.369</v>
      </c>
      <c r="E1328" s="14" t="n">
        <v>1.2156</v>
      </c>
      <c r="F1328" s="14" t="n">
        <v>6.4736</v>
      </c>
      <c r="G1328" s="14" t="n">
        <v>5.2304</v>
      </c>
      <c r="H1328" s="14" t="n">
        <v>103.66</v>
      </c>
      <c r="I1328" s="14" t="n">
        <v>1.2124</v>
      </c>
      <c r="J1328" s="14" t="n">
        <v>10.3108</v>
      </c>
      <c r="K1328" s="14" t="n">
        <v>1330.37</v>
      </c>
      <c r="L1328" s="14" t="n">
        <v>0.88943</v>
      </c>
      <c r="M1328" s="14" t="n">
        <v>7.8409</v>
      </c>
      <c r="N1328" s="14" t="n">
        <v>6.3888</v>
      </c>
      <c r="O1328" s="14" t="n">
        <v>126.21</v>
      </c>
      <c r="P1328" s="14" t="n">
        <v>8.5045</v>
      </c>
    </row>
    <row r="1329" customFormat="false" ht="15" hidden="false" customHeight="false" outlineLevel="0" collapsed="false">
      <c r="A1329" s="13" t="n">
        <v>44211</v>
      </c>
      <c r="B1329" s="14" t="n">
        <v>1099.39</v>
      </c>
      <c r="C1329" s="14" t="n">
        <v>8.537</v>
      </c>
      <c r="D1329" s="14" t="n">
        <v>1.3599</v>
      </c>
      <c r="E1329" s="14" t="n">
        <v>1.2099</v>
      </c>
      <c r="F1329" s="14" t="n">
        <v>6.48</v>
      </c>
      <c r="G1329" s="14" t="n">
        <v>5.2589</v>
      </c>
      <c r="H1329" s="14" t="n">
        <v>103.8</v>
      </c>
      <c r="I1329" s="14" t="n">
        <v>1.2123</v>
      </c>
      <c r="J1329" s="14" t="n">
        <v>10.3135</v>
      </c>
      <c r="K1329" s="14" t="n">
        <v>1333.6</v>
      </c>
      <c r="L1329" s="14" t="n">
        <v>0.88998</v>
      </c>
      <c r="M1329" s="14" t="n">
        <v>7.8499</v>
      </c>
      <c r="N1329" s="14" t="n">
        <v>6.3697</v>
      </c>
      <c r="O1329" s="14" t="n">
        <v>125.74</v>
      </c>
      <c r="P1329" s="14" t="n">
        <v>8.5074</v>
      </c>
    </row>
    <row r="1330" customFormat="false" ht="15" hidden="false" customHeight="false" outlineLevel="0" collapsed="false">
      <c r="A1330" s="13" t="n">
        <v>44214</v>
      </c>
      <c r="I1330" s="14" t="n">
        <v>1.2064</v>
      </c>
      <c r="J1330" s="14" t="n">
        <v>10.3858</v>
      </c>
      <c r="K1330" s="14" t="n">
        <v>1335.05</v>
      </c>
      <c r="L1330" s="14" t="n">
        <v>0.89073</v>
      </c>
      <c r="M1330" s="14" t="n">
        <v>7.8359</v>
      </c>
      <c r="N1330" s="14" t="n">
        <v>6.391</v>
      </c>
      <c r="O1330" s="14" t="n">
        <v>125.18</v>
      </c>
      <c r="P1330" s="14" t="n">
        <v>8.6089</v>
      </c>
    </row>
    <row r="1331" customFormat="false" ht="15" hidden="false" customHeight="false" outlineLevel="0" collapsed="false">
      <c r="A1331" s="13" t="n">
        <v>44215</v>
      </c>
      <c r="B1331" s="14" t="n">
        <v>1102.14</v>
      </c>
      <c r="C1331" s="14" t="n">
        <v>8.5326</v>
      </c>
      <c r="D1331" s="14" t="n">
        <v>1.3627</v>
      </c>
      <c r="E1331" s="14" t="n">
        <v>1.2126</v>
      </c>
      <c r="F1331" s="14" t="n">
        <v>6.4777</v>
      </c>
      <c r="G1331" s="14" t="n">
        <v>5.333</v>
      </c>
      <c r="H1331" s="14" t="n">
        <v>103.86</v>
      </c>
      <c r="I1331" s="14" t="n">
        <v>1.2132</v>
      </c>
      <c r="J1331" s="14" t="n">
        <v>10.3423</v>
      </c>
      <c r="K1331" s="14" t="n">
        <v>1337.54</v>
      </c>
      <c r="L1331" s="14" t="n">
        <v>0.891</v>
      </c>
      <c r="M1331" s="14" t="n">
        <v>7.861</v>
      </c>
      <c r="N1331" s="14" t="n">
        <v>6.3848</v>
      </c>
      <c r="O1331" s="14" t="n">
        <v>126.16</v>
      </c>
      <c r="P1331" s="14" t="n">
        <v>8.5248</v>
      </c>
    </row>
    <row r="1332" customFormat="false" ht="15" hidden="false" customHeight="false" outlineLevel="0" collapsed="false">
      <c r="A1332" s="13" t="n">
        <v>44216</v>
      </c>
      <c r="I1332" s="14" t="n">
        <v>1.2101</v>
      </c>
      <c r="J1332" s="14" t="n">
        <v>10.323</v>
      </c>
      <c r="K1332" s="14" t="n">
        <v>1333.62</v>
      </c>
      <c r="L1332" s="14" t="n">
        <v>0.88563</v>
      </c>
      <c r="M1332" s="14" t="n">
        <v>7.8292</v>
      </c>
      <c r="N1332" s="14" t="n">
        <v>6.439</v>
      </c>
      <c r="O1332" s="14" t="n">
        <v>125.62</v>
      </c>
      <c r="P1332" s="14" t="n">
        <v>8.5307</v>
      </c>
    </row>
    <row r="1333" customFormat="false" ht="15" hidden="false" customHeight="false" outlineLevel="0" collapsed="false">
      <c r="A1333" s="13" t="n">
        <v>44217</v>
      </c>
      <c r="B1333" s="14" t="n">
        <v>1097.91</v>
      </c>
      <c r="C1333" s="14" t="n">
        <v>8.4321</v>
      </c>
      <c r="D1333" s="14" t="n">
        <v>1.3721</v>
      </c>
      <c r="E1333" s="14" t="n">
        <v>1.2143</v>
      </c>
      <c r="F1333" s="14" t="n">
        <v>6.4595</v>
      </c>
      <c r="G1333" s="14" t="n">
        <v>5.3753</v>
      </c>
      <c r="H1333" s="14" t="n">
        <v>103.57</v>
      </c>
      <c r="I1333" s="14" t="n">
        <v>1.2158</v>
      </c>
      <c r="J1333" s="14" t="n">
        <v>10.2513</v>
      </c>
      <c r="K1333" s="14" t="n">
        <v>1337.11</v>
      </c>
      <c r="L1333" s="14" t="n">
        <v>0.88625</v>
      </c>
      <c r="M1333" s="14" t="n">
        <v>7.8552</v>
      </c>
      <c r="N1333" s="14" t="n">
        <v>6.4073</v>
      </c>
      <c r="O1333" s="14" t="n">
        <v>125.72</v>
      </c>
      <c r="P1333" s="14" t="n">
        <v>8.4317</v>
      </c>
    </row>
    <row r="1334" customFormat="false" ht="15" hidden="false" customHeight="false" outlineLevel="0" collapsed="false">
      <c r="A1334" s="13" t="n">
        <v>44218</v>
      </c>
      <c r="B1334" s="14" t="n">
        <v>1105.5</v>
      </c>
      <c r="C1334" s="14" t="n">
        <v>8.482</v>
      </c>
      <c r="D1334" s="14" t="n">
        <v>1.3685</v>
      </c>
      <c r="E1334" s="14" t="n">
        <v>1.2179</v>
      </c>
      <c r="F1334" s="14" t="n">
        <v>6.481</v>
      </c>
      <c r="G1334" s="14" t="n">
        <v>5.4518</v>
      </c>
      <c r="H1334" s="14" t="n">
        <v>103.76</v>
      </c>
      <c r="I1334" s="14" t="n">
        <v>1.2158</v>
      </c>
      <c r="J1334" s="14" t="n">
        <v>10.3308</v>
      </c>
      <c r="K1334" s="14" t="n">
        <v>1344.48</v>
      </c>
      <c r="L1334" s="14" t="n">
        <v>0.89045</v>
      </c>
      <c r="M1334" s="14" t="n">
        <v>7.8822</v>
      </c>
      <c r="N1334" s="14" t="n">
        <v>6.5765</v>
      </c>
      <c r="O1334" s="14" t="n">
        <v>126.19</v>
      </c>
      <c r="P1334" s="14" t="n">
        <v>8.4971</v>
      </c>
    </row>
    <row r="1335" customFormat="false" ht="15" hidden="false" customHeight="false" outlineLevel="0" collapsed="false">
      <c r="A1335" s="13" t="n">
        <v>44221</v>
      </c>
      <c r="B1335" s="14" t="n">
        <v>1101.02</v>
      </c>
      <c r="C1335" s="14" t="n">
        <v>8.5568</v>
      </c>
      <c r="D1335" s="14" t="n">
        <v>1.3668</v>
      </c>
      <c r="E1335" s="14" t="n">
        <v>1.2138</v>
      </c>
      <c r="F1335" s="14" t="n">
        <v>6.4784</v>
      </c>
      <c r="G1335" s="14" t="n">
        <v>5.4665</v>
      </c>
      <c r="H1335" s="14" t="n">
        <v>103.78</v>
      </c>
      <c r="I1335" s="14" t="n">
        <v>1.2152</v>
      </c>
      <c r="J1335" s="14" t="n">
        <v>10.3478</v>
      </c>
      <c r="K1335" s="14" t="n">
        <v>1340.18</v>
      </c>
      <c r="L1335" s="14" t="n">
        <v>0.888</v>
      </c>
      <c r="M1335" s="14" t="n">
        <v>7.8712</v>
      </c>
      <c r="N1335" s="14" t="n">
        <v>6.6434</v>
      </c>
      <c r="O1335" s="14" t="n">
        <v>126.06</v>
      </c>
      <c r="P1335" s="14" t="n">
        <v>8.5153</v>
      </c>
    </row>
    <row r="1336" customFormat="false" ht="15" hidden="false" customHeight="false" outlineLevel="0" collapsed="false">
      <c r="A1336" s="13" t="n">
        <v>44222</v>
      </c>
      <c r="B1336" s="14" t="n">
        <v>1103.26</v>
      </c>
      <c r="C1336" s="14" t="n">
        <v>8.5518</v>
      </c>
      <c r="D1336" s="14" t="n">
        <v>1.3729</v>
      </c>
      <c r="E1336" s="14" t="n">
        <v>1.2147</v>
      </c>
      <c r="F1336" s="14" t="n">
        <v>6.4635</v>
      </c>
      <c r="G1336" s="14" t="n">
        <v>5.3682</v>
      </c>
      <c r="H1336" s="14" t="n">
        <v>103.69</v>
      </c>
      <c r="I1336" s="14" t="n">
        <v>1.2143</v>
      </c>
      <c r="J1336" s="14" t="n">
        <v>10.3873</v>
      </c>
      <c r="K1336" s="14" t="n">
        <v>1339.51</v>
      </c>
      <c r="L1336" s="14" t="n">
        <v>0.88698</v>
      </c>
      <c r="M1336" s="14" t="n">
        <v>7.8537</v>
      </c>
      <c r="N1336" s="14" t="n">
        <v>6.5816</v>
      </c>
      <c r="O1336" s="14" t="n">
        <v>125.93</v>
      </c>
      <c r="P1336" s="14" t="n">
        <v>8.5541</v>
      </c>
    </row>
    <row r="1337" customFormat="false" ht="15" hidden="false" customHeight="false" outlineLevel="0" collapsed="false">
      <c r="A1337" s="13" t="n">
        <v>44223</v>
      </c>
      <c r="B1337" s="14" t="n">
        <v>1104.09</v>
      </c>
      <c r="C1337" s="14" t="n">
        <v>8.6341</v>
      </c>
      <c r="D1337" s="14" t="n">
        <v>1.3688</v>
      </c>
      <c r="E1337" s="14" t="n">
        <v>1.2101</v>
      </c>
      <c r="F1337" s="14" t="n">
        <v>6.4822</v>
      </c>
      <c r="G1337" s="14" t="n">
        <v>5.4139</v>
      </c>
      <c r="H1337" s="14" t="n">
        <v>104.09</v>
      </c>
      <c r="I1337" s="14" t="n">
        <v>1.2114</v>
      </c>
      <c r="J1337" s="14" t="n">
        <v>10.4555</v>
      </c>
      <c r="K1337" s="14" t="n">
        <v>1340.79</v>
      </c>
      <c r="L1337" s="14" t="n">
        <v>0.88395</v>
      </c>
      <c r="M1337" s="14" t="n">
        <v>7.8411</v>
      </c>
      <c r="N1337" s="14" t="n">
        <v>6.4967</v>
      </c>
      <c r="O1337" s="14" t="n">
        <v>125.87</v>
      </c>
      <c r="P1337" s="14" t="n">
        <v>8.6309</v>
      </c>
    </row>
    <row r="1338" customFormat="false" ht="15" hidden="false" customHeight="false" outlineLevel="0" collapsed="false">
      <c r="A1338" s="13" t="n">
        <v>44224</v>
      </c>
      <c r="B1338" s="14" t="n">
        <v>1111.95</v>
      </c>
      <c r="C1338" s="14" t="n">
        <v>8.606</v>
      </c>
      <c r="D1338" s="14" t="n">
        <v>1.3727</v>
      </c>
      <c r="E1338" s="14" t="n">
        <v>1.2122</v>
      </c>
      <c r="F1338" s="14" t="n">
        <v>6.4491</v>
      </c>
      <c r="G1338" s="14" t="n">
        <v>5.3992</v>
      </c>
      <c r="H1338" s="14" t="n">
        <v>104.31</v>
      </c>
      <c r="I1338" s="14" t="n">
        <v>1.2091</v>
      </c>
      <c r="J1338" s="14" t="n">
        <v>10.5205</v>
      </c>
      <c r="K1338" s="14" t="n">
        <v>1350.76</v>
      </c>
      <c r="L1338" s="14" t="n">
        <v>0.88603</v>
      </c>
      <c r="M1338" s="14" t="n">
        <v>7.8226</v>
      </c>
      <c r="N1338" s="14" t="n">
        <v>6.5857</v>
      </c>
      <c r="O1338" s="14" t="n">
        <v>126.2</v>
      </c>
      <c r="P1338" s="14" t="n">
        <v>8.7011</v>
      </c>
    </row>
    <row r="1339" customFormat="false" ht="15" hidden="false" customHeight="false" outlineLevel="0" collapsed="false">
      <c r="A1339" s="13" t="n">
        <v>44225</v>
      </c>
      <c r="B1339" s="14" t="n">
        <v>1118.35</v>
      </c>
      <c r="C1339" s="14" t="n">
        <v>8.5454</v>
      </c>
      <c r="D1339" s="14" t="n">
        <v>1.3723</v>
      </c>
      <c r="E1339" s="14" t="n">
        <v>1.2135</v>
      </c>
      <c r="F1339" s="14" t="n">
        <v>6.4282</v>
      </c>
      <c r="G1339" s="14" t="n">
        <v>5.4479</v>
      </c>
      <c r="H1339" s="14" t="n">
        <v>104.64</v>
      </c>
      <c r="I1339" s="14" t="n">
        <v>1.2136</v>
      </c>
      <c r="J1339" s="14" t="n">
        <v>10.343</v>
      </c>
      <c r="K1339" s="14" t="n">
        <v>1354.98</v>
      </c>
      <c r="L1339" s="14" t="n">
        <v>0.88383</v>
      </c>
      <c r="M1339" s="14" t="n">
        <v>7.8047</v>
      </c>
      <c r="N1339" s="14" t="n">
        <v>6.6568</v>
      </c>
      <c r="O1339" s="14" t="n">
        <v>127.05</v>
      </c>
      <c r="P1339" s="14" t="n">
        <v>8.5226</v>
      </c>
    </row>
    <row r="1340" customFormat="false" ht="15" hidden="false" customHeight="false" outlineLevel="0" collapsed="false">
      <c r="A1340" s="13" t="n">
        <v>44228</v>
      </c>
      <c r="B1340" s="14" t="n">
        <v>1116.48</v>
      </c>
      <c r="C1340" s="14" t="n">
        <v>8.5903</v>
      </c>
      <c r="D1340" s="14" t="n">
        <v>1.3672</v>
      </c>
      <c r="E1340" s="14" t="n">
        <v>1.207</v>
      </c>
      <c r="F1340" s="14" t="n">
        <v>6.4669</v>
      </c>
      <c r="G1340" s="14" t="n">
        <v>5.4746</v>
      </c>
      <c r="H1340" s="14" t="n">
        <v>104.97</v>
      </c>
      <c r="I1340" s="14" t="n">
        <v>1.2084</v>
      </c>
      <c r="J1340" s="14" t="n">
        <v>10.389</v>
      </c>
      <c r="K1340" s="14" t="n">
        <v>1351.21</v>
      </c>
      <c r="L1340" s="14" t="n">
        <v>0.882</v>
      </c>
      <c r="M1340" s="14" t="n">
        <v>7.8143</v>
      </c>
      <c r="N1340" s="14" t="n">
        <v>6.5765</v>
      </c>
      <c r="O1340" s="14" t="n">
        <v>126.77</v>
      </c>
      <c r="P1340" s="14" t="n">
        <v>8.5973</v>
      </c>
    </row>
    <row r="1341" customFormat="false" ht="15" hidden="false" customHeight="false" outlineLevel="0" collapsed="false">
      <c r="A1341" s="13" t="n">
        <v>44229</v>
      </c>
      <c r="B1341" s="14" t="n">
        <v>1115.88</v>
      </c>
      <c r="C1341" s="14" t="n">
        <v>8.623</v>
      </c>
      <c r="D1341" s="14" t="n">
        <v>1.3644</v>
      </c>
      <c r="E1341" s="14" t="n">
        <v>1.202</v>
      </c>
      <c r="F1341" s="14" t="n">
        <v>6.457</v>
      </c>
      <c r="G1341" s="14" t="n">
        <v>5.3704</v>
      </c>
      <c r="H1341" s="14" t="n">
        <v>105.09</v>
      </c>
      <c r="I1341" s="14" t="n">
        <v>1.2044</v>
      </c>
      <c r="J1341" s="14" t="n">
        <v>10.3463</v>
      </c>
      <c r="K1341" s="14" t="n">
        <v>1344.07</v>
      </c>
      <c r="L1341" s="14" t="n">
        <v>0.88075</v>
      </c>
      <c r="M1341" s="14" t="n">
        <v>7.7756</v>
      </c>
      <c r="N1341" s="14" t="n">
        <v>6.4904</v>
      </c>
      <c r="O1341" s="14" t="n">
        <v>126.46</v>
      </c>
      <c r="P1341" s="14" t="n">
        <v>8.5904</v>
      </c>
    </row>
    <row r="1342" customFormat="false" ht="15" hidden="false" customHeight="false" outlineLevel="0" collapsed="false">
      <c r="A1342" s="13" t="n">
        <v>44230</v>
      </c>
      <c r="B1342" s="14" t="n">
        <v>1114.47</v>
      </c>
      <c r="C1342" s="14" t="n">
        <v>8.5885</v>
      </c>
      <c r="D1342" s="14" t="n">
        <v>1.3652</v>
      </c>
      <c r="E1342" s="14" t="n">
        <v>1.2025</v>
      </c>
      <c r="F1342" s="14" t="n">
        <v>6.4614</v>
      </c>
      <c r="G1342" s="14" t="n">
        <v>5.3624</v>
      </c>
      <c r="H1342" s="14" t="n">
        <v>105.05</v>
      </c>
      <c r="I1342" s="14" t="n">
        <v>1.2017</v>
      </c>
      <c r="J1342" s="14" t="n">
        <v>10.354</v>
      </c>
      <c r="K1342" s="14" t="n">
        <v>1341.03</v>
      </c>
      <c r="L1342" s="14" t="n">
        <v>0.88145</v>
      </c>
      <c r="M1342" s="14" t="n">
        <v>7.7623</v>
      </c>
      <c r="N1342" s="14" t="n">
        <v>6.4256</v>
      </c>
      <c r="O1342" s="14" t="n">
        <v>126.25</v>
      </c>
      <c r="P1342" s="14" t="n">
        <v>8.6161</v>
      </c>
    </row>
    <row r="1343" customFormat="false" ht="15" hidden="false" customHeight="false" outlineLevel="0" collapsed="false">
      <c r="A1343" s="13" t="n">
        <v>44231</v>
      </c>
      <c r="B1343" s="14" t="n">
        <v>1120.02</v>
      </c>
      <c r="C1343" s="14" t="n">
        <v>8.6384</v>
      </c>
      <c r="D1343" s="14" t="n">
        <v>1.3665</v>
      </c>
      <c r="E1343" s="14" t="n">
        <v>1.1974</v>
      </c>
      <c r="F1343" s="14" t="n">
        <v>6.4715</v>
      </c>
      <c r="G1343" s="14" t="n">
        <v>5.4236</v>
      </c>
      <c r="H1343" s="14" t="n">
        <v>105.43</v>
      </c>
      <c r="I1343" s="14" t="n">
        <v>1.1996</v>
      </c>
      <c r="J1343" s="14" t="n">
        <v>10.338</v>
      </c>
      <c r="K1343" s="14" t="n">
        <v>1341.26</v>
      </c>
      <c r="L1343" s="14" t="n">
        <v>0.87693</v>
      </c>
      <c r="M1343" s="14" t="n">
        <v>7.7542</v>
      </c>
      <c r="N1343" s="14" t="n">
        <v>6.4285</v>
      </c>
      <c r="O1343" s="14" t="n">
        <v>126.24</v>
      </c>
      <c r="P1343" s="14" t="n">
        <v>8.6179</v>
      </c>
    </row>
    <row r="1344" customFormat="false" ht="15" hidden="false" customHeight="false" outlineLevel="0" collapsed="false">
      <c r="A1344" s="13" t="n">
        <v>44232</v>
      </c>
      <c r="B1344" s="14" t="n">
        <v>1123.7</v>
      </c>
      <c r="C1344" s="14" t="n">
        <v>8.5428</v>
      </c>
      <c r="D1344" s="14" t="n">
        <v>1.3714</v>
      </c>
      <c r="E1344" s="14" t="n">
        <v>1.2035</v>
      </c>
      <c r="F1344" s="14" t="n">
        <v>6.4664</v>
      </c>
      <c r="G1344" s="14" t="n">
        <v>5.3522</v>
      </c>
      <c r="H1344" s="14" t="n">
        <v>105.44</v>
      </c>
      <c r="I1344" s="14" t="n">
        <v>1.1983</v>
      </c>
      <c r="J1344" s="14" t="n">
        <v>10.3068</v>
      </c>
      <c r="K1344" s="14" t="n">
        <v>1345.45</v>
      </c>
      <c r="L1344" s="14" t="n">
        <v>0.87538</v>
      </c>
      <c r="M1344" s="14" t="n">
        <v>7.7535</v>
      </c>
      <c r="N1344" s="14" t="n">
        <v>6.5248</v>
      </c>
      <c r="O1344" s="14" t="n">
        <v>126.72</v>
      </c>
      <c r="P1344" s="14" t="n">
        <v>8.6012</v>
      </c>
    </row>
    <row r="1345" customFormat="false" ht="15" hidden="false" customHeight="false" outlineLevel="0" collapsed="false">
      <c r="A1345" s="13" t="n">
        <v>44235</v>
      </c>
      <c r="B1345" s="14" t="n">
        <v>1119.22</v>
      </c>
      <c r="C1345" s="14" t="n">
        <v>8.5119</v>
      </c>
      <c r="D1345" s="14" t="n">
        <v>1.3738</v>
      </c>
      <c r="E1345" s="14" t="n">
        <v>1.2045</v>
      </c>
      <c r="F1345" s="14" t="n">
        <v>6.4475</v>
      </c>
      <c r="G1345" s="14" t="n">
        <v>5.3153</v>
      </c>
      <c r="H1345" s="14" t="n">
        <v>105.19</v>
      </c>
      <c r="I1345" s="14" t="n">
        <v>1.2025</v>
      </c>
      <c r="J1345" s="14" t="n">
        <v>10.2725</v>
      </c>
      <c r="K1345" s="14" t="n">
        <v>1347.77</v>
      </c>
      <c r="L1345" s="14" t="n">
        <v>0.87833</v>
      </c>
      <c r="M1345" s="14" t="n">
        <v>7.7618</v>
      </c>
      <c r="N1345" s="14" t="n">
        <v>6.4955</v>
      </c>
      <c r="O1345" s="14" t="n">
        <v>126.97</v>
      </c>
      <c r="P1345" s="14" t="n">
        <v>8.5426</v>
      </c>
    </row>
    <row r="1346" customFormat="false" ht="15" hidden="false" customHeight="false" outlineLevel="0" collapsed="false">
      <c r="A1346" s="13" t="n">
        <v>44236</v>
      </c>
      <c r="B1346" s="14" t="n">
        <v>1116.42</v>
      </c>
      <c r="C1346" s="14" t="n">
        <v>8.4687</v>
      </c>
      <c r="D1346" s="14" t="n">
        <v>1.3796</v>
      </c>
      <c r="E1346" s="14" t="n">
        <v>1.2106</v>
      </c>
      <c r="F1346" s="14" t="n">
        <v>6.4344</v>
      </c>
      <c r="G1346" s="14" t="n">
        <v>5.4261</v>
      </c>
      <c r="H1346" s="14" t="n">
        <v>104.62</v>
      </c>
      <c r="I1346" s="14" t="n">
        <v>1.2104</v>
      </c>
      <c r="J1346" s="14" t="n">
        <v>10.2588</v>
      </c>
      <c r="K1346" s="14" t="n">
        <v>1347.42</v>
      </c>
      <c r="L1346" s="14" t="n">
        <v>0.87828</v>
      </c>
      <c r="M1346" s="14" t="n">
        <v>7.7894</v>
      </c>
      <c r="N1346" s="14" t="n">
        <v>6.553</v>
      </c>
      <c r="O1346" s="14" t="n">
        <v>126.58</v>
      </c>
      <c r="P1346" s="14" t="n">
        <v>8.4755</v>
      </c>
    </row>
    <row r="1347" customFormat="false" ht="15" hidden="false" customHeight="false" outlineLevel="0" collapsed="false">
      <c r="A1347" s="13" t="n">
        <v>44237</v>
      </c>
      <c r="B1347" s="14" t="n">
        <v>1106.9</v>
      </c>
      <c r="C1347" s="14" t="n">
        <v>8.4441</v>
      </c>
      <c r="D1347" s="14" t="n">
        <v>1.385</v>
      </c>
      <c r="E1347" s="14" t="n">
        <v>1.2132</v>
      </c>
      <c r="F1347" s="14" t="n">
        <v>6.4576</v>
      </c>
      <c r="G1347" s="14" t="n">
        <v>5.3601</v>
      </c>
      <c r="H1347" s="14" t="n">
        <v>104.67</v>
      </c>
      <c r="I1347" s="14" t="n">
        <v>1.2127</v>
      </c>
      <c r="J1347" s="14" t="n">
        <v>10.228</v>
      </c>
      <c r="K1347" s="14" t="n">
        <v>1340.67</v>
      </c>
      <c r="L1347" s="14" t="n">
        <v>0.8765</v>
      </c>
      <c r="M1347" s="14" t="n">
        <v>7.8235</v>
      </c>
      <c r="N1347" s="14" t="n">
        <v>6.5641</v>
      </c>
      <c r="O1347" s="14" t="n">
        <v>127.04</v>
      </c>
      <c r="P1347" s="14" t="n">
        <v>8.4341</v>
      </c>
    </row>
    <row r="1348" customFormat="false" ht="15" hidden="false" customHeight="false" outlineLevel="0" collapsed="false">
      <c r="A1348" s="13" t="n">
        <v>44238</v>
      </c>
      <c r="B1348" s="14" t="n">
        <v>1102.7</v>
      </c>
      <c r="C1348" s="14" t="n">
        <v>8.4618</v>
      </c>
      <c r="D1348" s="14" t="n">
        <v>1.3822</v>
      </c>
      <c r="E1348" s="14" t="n">
        <v>1.2127</v>
      </c>
      <c r="F1348" s="14" t="n">
        <v>6.4567</v>
      </c>
      <c r="G1348" s="14" t="n">
        <v>5.3876</v>
      </c>
      <c r="H1348" s="14" t="n">
        <v>104.75</v>
      </c>
      <c r="I1348" s="14" t="n">
        <v>1.2147</v>
      </c>
      <c r="J1348" s="14" t="n">
        <v>10.2595</v>
      </c>
      <c r="K1348" s="14" t="n">
        <v>1339.97</v>
      </c>
      <c r="L1348" s="14" t="n">
        <v>0.87755</v>
      </c>
      <c r="M1348" s="14" t="n">
        <v>7.8448</v>
      </c>
      <c r="N1348" s="14" t="n">
        <v>6.4936</v>
      </c>
      <c r="O1348" s="14" t="n">
        <v>127.12</v>
      </c>
      <c r="P1348" s="14" t="n">
        <v>8.4461</v>
      </c>
    </row>
    <row r="1349" customFormat="false" ht="15" hidden="false" customHeight="false" outlineLevel="0" collapsed="false">
      <c r="A1349" s="13" t="n">
        <v>44239</v>
      </c>
      <c r="B1349" s="14" t="n">
        <v>1102.16</v>
      </c>
      <c r="C1349" s="14" t="n">
        <v>8.4558</v>
      </c>
      <c r="D1349" s="14" t="n">
        <v>1.3855</v>
      </c>
      <c r="E1349" s="14" t="n">
        <v>1.2126</v>
      </c>
      <c r="F1349" s="14" t="n">
        <v>6.4567</v>
      </c>
      <c r="G1349" s="14" t="n">
        <v>5.3699</v>
      </c>
      <c r="H1349" s="14" t="n">
        <v>104.94</v>
      </c>
      <c r="I1349" s="14" t="n">
        <v>1.2108</v>
      </c>
      <c r="J1349" s="14" t="n">
        <v>10.285</v>
      </c>
      <c r="K1349" s="14" t="n">
        <v>1337.98</v>
      </c>
      <c r="L1349" s="14" t="n">
        <v>0.87753</v>
      </c>
      <c r="M1349" s="14" t="n">
        <v>7.8207</v>
      </c>
      <c r="N1349" s="14" t="n">
        <v>6.5302</v>
      </c>
      <c r="O1349" s="14" t="n">
        <v>127.15</v>
      </c>
      <c r="P1349" s="14" t="n">
        <v>8.4944</v>
      </c>
    </row>
    <row r="1350" customFormat="false" ht="15" hidden="false" customHeight="false" outlineLevel="0" collapsed="false">
      <c r="A1350" s="13" t="n">
        <v>44242</v>
      </c>
      <c r="I1350" s="14" t="n">
        <v>1.2129</v>
      </c>
      <c r="J1350" s="14" t="n">
        <v>10.1963</v>
      </c>
      <c r="K1350" s="14" t="n">
        <v>1337.12</v>
      </c>
      <c r="L1350" s="14" t="n">
        <v>0.87225</v>
      </c>
      <c r="M1350" s="14" t="n">
        <v>7.8332</v>
      </c>
      <c r="N1350" s="14" t="n">
        <v>6.5134</v>
      </c>
      <c r="O1350" s="14" t="n">
        <v>127.72</v>
      </c>
      <c r="P1350" s="14" t="n">
        <v>8.4065</v>
      </c>
    </row>
    <row r="1351" customFormat="false" ht="15" hidden="false" customHeight="false" outlineLevel="0" collapsed="false">
      <c r="A1351" s="13" t="n">
        <v>44243</v>
      </c>
      <c r="B1351" s="14" t="n">
        <v>1099.61</v>
      </c>
      <c r="C1351" s="14" t="n">
        <v>8.4428</v>
      </c>
      <c r="D1351" s="14" t="n">
        <v>1.391</v>
      </c>
      <c r="E1351" s="14" t="n">
        <v>1.2107</v>
      </c>
      <c r="F1351" s="14" t="n">
        <v>6.4567</v>
      </c>
      <c r="G1351" s="14" t="n">
        <v>5.3765</v>
      </c>
      <c r="H1351" s="14" t="n">
        <v>105.88</v>
      </c>
      <c r="I1351" s="14" t="n">
        <v>1.2143</v>
      </c>
      <c r="J1351" s="14" t="n">
        <v>10.1938</v>
      </c>
      <c r="K1351" s="14" t="n">
        <v>1341.09</v>
      </c>
      <c r="L1351" s="14" t="n">
        <v>0.87333</v>
      </c>
      <c r="M1351" s="14" t="n">
        <v>7.8422</v>
      </c>
      <c r="N1351" s="14" t="n">
        <v>6.5209</v>
      </c>
      <c r="O1351" s="14" t="n">
        <v>128.16</v>
      </c>
      <c r="P1351" s="14" t="n">
        <v>8.3948</v>
      </c>
    </row>
    <row r="1352" customFormat="false" ht="15" hidden="false" customHeight="false" outlineLevel="0" collapsed="false">
      <c r="A1352" s="13" t="n">
        <v>44244</v>
      </c>
      <c r="B1352" s="14" t="n">
        <v>1107.44</v>
      </c>
      <c r="C1352" s="14" t="n">
        <v>8.5166</v>
      </c>
      <c r="D1352" s="14" t="n">
        <v>1.3848</v>
      </c>
      <c r="E1352" s="14" t="n">
        <v>1.2042</v>
      </c>
      <c r="F1352" s="14" t="n">
        <v>6.4567</v>
      </c>
      <c r="G1352" s="14" t="n">
        <v>5.4059</v>
      </c>
      <c r="H1352" s="14" t="n">
        <v>105.83</v>
      </c>
      <c r="I1352" s="14" t="n">
        <v>1.206</v>
      </c>
      <c r="J1352" s="14" t="n">
        <v>10.2113</v>
      </c>
      <c r="K1352" s="14" t="n">
        <v>1334.77</v>
      </c>
      <c r="L1352" s="14" t="n">
        <v>0.8696</v>
      </c>
      <c r="M1352" s="14" t="n">
        <v>7.7886</v>
      </c>
      <c r="N1352" s="14" t="n">
        <v>6.4771</v>
      </c>
      <c r="O1352" s="14" t="n">
        <v>127.94</v>
      </c>
      <c r="P1352" s="14" t="n">
        <v>8.4671</v>
      </c>
    </row>
    <row r="1353" customFormat="false" ht="15" hidden="false" customHeight="false" outlineLevel="0" collapsed="false">
      <c r="A1353" s="13" t="n">
        <v>44245</v>
      </c>
      <c r="B1353" s="14" t="n">
        <v>1108.56</v>
      </c>
      <c r="C1353" s="14" t="n">
        <v>8.4842</v>
      </c>
      <c r="D1353" s="14" t="n">
        <v>1.3956</v>
      </c>
      <c r="E1353" s="14" t="n">
        <v>1.2078</v>
      </c>
      <c r="F1353" s="14" t="n">
        <v>6.4869</v>
      </c>
      <c r="G1353" s="14" t="n">
        <v>5.4391</v>
      </c>
      <c r="H1353" s="14" t="n">
        <v>105.69</v>
      </c>
      <c r="I1353" s="14" t="n">
        <v>1.2084</v>
      </c>
      <c r="J1353" s="14" t="n">
        <v>10.2178</v>
      </c>
      <c r="K1353" s="14" t="n">
        <v>1336.85</v>
      </c>
      <c r="L1353" s="14" t="n">
        <v>0.8654</v>
      </c>
      <c r="M1353" s="14" t="n">
        <v>7.8172</v>
      </c>
      <c r="N1353" s="14" t="n">
        <v>6.5252</v>
      </c>
      <c r="O1353" s="14" t="n">
        <v>127.69</v>
      </c>
      <c r="P1353" s="14" t="n">
        <v>8.4556</v>
      </c>
    </row>
    <row r="1354" customFormat="false" ht="15" hidden="false" customHeight="false" outlineLevel="0" collapsed="false">
      <c r="A1354" s="13" t="n">
        <v>44246</v>
      </c>
      <c r="B1354" s="14" t="n">
        <v>1105.81</v>
      </c>
      <c r="C1354" s="14" t="n">
        <v>8.4467</v>
      </c>
      <c r="D1354" s="14" t="n">
        <v>1.4025</v>
      </c>
      <c r="E1354" s="14" t="n">
        <v>1.2136</v>
      </c>
      <c r="F1354" s="14" t="n">
        <v>6.4555</v>
      </c>
      <c r="G1354" s="14" t="n">
        <v>5.3938</v>
      </c>
      <c r="H1354" s="14" t="n">
        <v>105.58</v>
      </c>
      <c r="I1354" s="14" t="n">
        <v>1.2139</v>
      </c>
      <c r="J1354" s="14" t="n">
        <v>10.2095</v>
      </c>
      <c r="K1354" s="14" t="n">
        <v>1339.59</v>
      </c>
      <c r="L1354" s="14" t="n">
        <v>0.86508</v>
      </c>
      <c r="M1354" s="14" t="n">
        <v>7.8318</v>
      </c>
      <c r="N1354" s="14" t="n">
        <v>6.5633</v>
      </c>
      <c r="O1354" s="14" t="n">
        <v>127.81</v>
      </c>
      <c r="P1354" s="14" t="n">
        <v>8.4105</v>
      </c>
    </row>
    <row r="1355" customFormat="false" ht="15" hidden="false" customHeight="false" outlineLevel="0" collapsed="false">
      <c r="A1355" s="13" t="n">
        <v>44249</v>
      </c>
      <c r="B1355" s="14" t="n">
        <v>1111.56</v>
      </c>
      <c r="C1355" s="14" t="n">
        <v>8.4775</v>
      </c>
      <c r="D1355" s="14" t="n">
        <v>1.4077</v>
      </c>
      <c r="E1355" s="14" t="n">
        <v>1.2155</v>
      </c>
      <c r="F1355" s="14" t="n">
        <v>6.4625</v>
      </c>
      <c r="G1355" s="14" t="n">
        <v>5.4781</v>
      </c>
      <c r="H1355" s="14" t="n">
        <v>105.06</v>
      </c>
      <c r="I1355" s="14" t="n">
        <v>1.2133</v>
      </c>
      <c r="J1355" s="14" t="n">
        <v>10.3185</v>
      </c>
      <c r="K1355" s="14" t="n">
        <v>1350.83</v>
      </c>
      <c r="L1355" s="14" t="n">
        <v>0.8653</v>
      </c>
      <c r="M1355" s="14" t="n">
        <v>7.8447</v>
      </c>
      <c r="N1355" s="14" t="n">
        <v>6.6843</v>
      </c>
      <c r="O1355" s="14" t="n">
        <v>128</v>
      </c>
      <c r="P1355" s="14" t="n">
        <v>8.5045</v>
      </c>
    </row>
    <row r="1356" customFormat="false" ht="15" hidden="false" customHeight="false" outlineLevel="0" collapsed="false">
      <c r="A1356" s="13" t="n">
        <v>44250</v>
      </c>
      <c r="B1356" s="14" t="n">
        <v>1110.25</v>
      </c>
      <c r="C1356" s="14" t="n">
        <v>8.4901</v>
      </c>
      <c r="D1356" s="14" t="n">
        <v>1.4092</v>
      </c>
      <c r="E1356" s="14" t="n">
        <v>1.2142</v>
      </c>
      <c r="F1356" s="14" t="n">
        <v>6.464</v>
      </c>
      <c r="G1356" s="14" t="n">
        <v>5.4267</v>
      </c>
      <c r="H1356" s="14" t="n">
        <v>105.21</v>
      </c>
      <c r="I1356" s="14" t="n">
        <v>1.2143</v>
      </c>
      <c r="J1356" s="14" t="n">
        <v>10.319</v>
      </c>
      <c r="K1356" s="14" t="n">
        <v>1351.72</v>
      </c>
      <c r="L1356" s="14" t="n">
        <v>0.86308</v>
      </c>
      <c r="M1356" s="14" t="n">
        <v>7.8506</v>
      </c>
      <c r="N1356" s="14" t="n">
        <v>6.6062</v>
      </c>
      <c r="O1356" s="14" t="n">
        <v>127.98</v>
      </c>
      <c r="P1356" s="14" t="n">
        <v>8.4979</v>
      </c>
    </row>
    <row r="1357" customFormat="false" ht="15" hidden="false" customHeight="false" outlineLevel="0" collapsed="false">
      <c r="A1357" s="13" t="n">
        <v>44251</v>
      </c>
      <c r="B1357" s="14" t="n">
        <v>1112.19</v>
      </c>
      <c r="C1357" s="14" t="n">
        <v>8.4172</v>
      </c>
      <c r="D1357" s="14" t="n">
        <v>1.4106</v>
      </c>
      <c r="E1357" s="14" t="n">
        <v>1.2143</v>
      </c>
      <c r="F1357" s="14" t="n">
        <v>6.4556</v>
      </c>
      <c r="G1357" s="14" t="n">
        <v>5.4249</v>
      </c>
      <c r="H1357" s="14" t="n">
        <v>105.91</v>
      </c>
      <c r="I1357" s="14" t="n">
        <v>1.2146</v>
      </c>
      <c r="J1357" s="14" t="n">
        <v>10.2483</v>
      </c>
      <c r="K1357" s="14" t="n">
        <v>1346.15</v>
      </c>
      <c r="L1357" s="14" t="n">
        <v>0.8603</v>
      </c>
      <c r="M1357" s="14" t="n">
        <v>7.8362</v>
      </c>
      <c r="N1357" s="14" t="n">
        <v>6.5642</v>
      </c>
      <c r="O1357" s="14" t="n">
        <v>128.69</v>
      </c>
      <c r="P1357" s="14" t="n">
        <v>8.4376</v>
      </c>
    </row>
    <row r="1358" customFormat="false" ht="15" hidden="false" customHeight="false" outlineLevel="0" collapsed="false">
      <c r="A1358" s="13" t="n">
        <v>44252</v>
      </c>
      <c r="B1358" s="14" t="n">
        <v>1107.73</v>
      </c>
      <c r="C1358" s="14" t="n">
        <v>8.4064</v>
      </c>
      <c r="D1358" s="14" t="n">
        <v>1.4105</v>
      </c>
      <c r="E1358" s="14" t="n">
        <v>1.2229</v>
      </c>
      <c r="F1358" s="14" t="n">
        <v>6.4541</v>
      </c>
      <c r="G1358" s="14" t="n">
        <v>5.4903</v>
      </c>
      <c r="H1358" s="14" t="n">
        <v>106.22</v>
      </c>
      <c r="I1358" s="14" t="n">
        <v>1.2225</v>
      </c>
      <c r="J1358" s="14" t="n">
        <v>10.2275</v>
      </c>
      <c r="K1358" s="14" t="n">
        <v>1359.14</v>
      </c>
      <c r="L1358" s="14" t="n">
        <v>0.86408</v>
      </c>
      <c r="M1358" s="14" t="n">
        <v>7.8898</v>
      </c>
      <c r="N1358" s="14" t="n">
        <v>6.6663</v>
      </c>
      <c r="O1358" s="14" t="n">
        <v>129.73</v>
      </c>
      <c r="P1358" s="14" t="n">
        <v>8.3661</v>
      </c>
    </row>
    <row r="1359" customFormat="false" ht="15" hidden="false" customHeight="false" outlineLevel="0" collapsed="false">
      <c r="A1359" s="13" t="n">
        <v>44253</v>
      </c>
      <c r="B1359" s="14" t="n">
        <v>1123.36</v>
      </c>
      <c r="C1359" s="14" t="n">
        <v>8.6514</v>
      </c>
      <c r="D1359" s="14" t="n">
        <v>1.3947</v>
      </c>
      <c r="E1359" s="14" t="n">
        <v>1.2093</v>
      </c>
      <c r="F1359" s="14" t="n">
        <v>6.473</v>
      </c>
      <c r="G1359" s="14" t="n">
        <v>5.5724</v>
      </c>
      <c r="H1359" s="14" t="n">
        <v>106.64</v>
      </c>
      <c r="I1359" s="14" t="n">
        <v>1.2121</v>
      </c>
      <c r="J1359" s="14" t="n">
        <v>10.4012</v>
      </c>
      <c r="K1359" s="14" t="n">
        <v>1367.1</v>
      </c>
      <c r="L1359" s="14" t="n">
        <v>0.87053</v>
      </c>
      <c r="M1359" s="14" t="n">
        <v>7.8385</v>
      </c>
      <c r="N1359" s="14" t="n">
        <v>6.6644</v>
      </c>
      <c r="O1359" s="14" t="n">
        <v>128.83</v>
      </c>
      <c r="P1359" s="14" t="n">
        <v>8.5811</v>
      </c>
    </row>
    <row r="1360" customFormat="false" ht="15" hidden="false" customHeight="false" outlineLevel="0" collapsed="false">
      <c r="A1360" s="13" t="n">
        <v>44256</v>
      </c>
      <c r="B1360" s="14" t="n">
        <v>1118.59</v>
      </c>
      <c r="C1360" s="14" t="n">
        <v>8.5527</v>
      </c>
      <c r="D1360" s="14" t="n">
        <v>1.3938</v>
      </c>
      <c r="E1360" s="14" t="n">
        <v>1.2054</v>
      </c>
      <c r="F1360" s="14" t="n">
        <v>6.4648</v>
      </c>
      <c r="G1360" s="14" t="n">
        <v>5.5704</v>
      </c>
      <c r="H1360" s="14" t="n">
        <v>106.68</v>
      </c>
      <c r="I1360" s="14" t="n">
        <v>1.2053</v>
      </c>
      <c r="J1360" s="14" t="n">
        <v>10.36</v>
      </c>
      <c r="K1360" s="14" t="n">
        <v>1352.8</v>
      </c>
      <c r="L1360" s="14" t="n">
        <v>0.86558</v>
      </c>
      <c r="M1360" s="14" t="n">
        <v>7.797</v>
      </c>
      <c r="N1360" s="14" t="n">
        <v>6.7244</v>
      </c>
      <c r="O1360" s="14" t="n">
        <v>128.63</v>
      </c>
      <c r="P1360" s="14" t="n">
        <v>8.5954</v>
      </c>
    </row>
    <row r="1361" customFormat="false" ht="15" hidden="false" customHeight="false" outlineLevel="0" collapsed="false">
      <c r="A1361" s="13" t="n">
        <v>44257</v>
      </c>
      <c r="B1361" s="14" t="n">
        <v>1125.61</v>
      </c>
      <c r="C1361" s="14" t="n">
        <v>8.4855</v>
      </c>
      <c r="D1361" s="14" t="n">
        <v>1.3962</v>
      </c>
      <c r="E1361" s="14" t="n">
        <v>1.2079</v>
      </c>
      <c r="F1361" s="14" t="n">
        <v>6.4702</v>
      </c>
      <c r="G1361" s="14" t="n">
        <v>5.711</v>
      </c>
      <c r="H1361" s="14" t="n">
        <v>106.75</v>
      </c>
      <c r="I1361" s="14" t="n">
        <v>1.2028</v>
      </c>
      <c r="J1361" s="14" t="n">
        <v>10.2555</v>
      </c>
      <c r="K1361" s="14" t="n">
        <v>1354.37</v>
      </c>
      <c r="L1361" s="14" t="n">
        <v>0.86433</v>
      </c>
      <c r="M1361" s="14" t="n">
        <v>7.784</v>
      </c>
      <c r="N1361" s="14" t="n">
        <v>6.8387</v>
      </c>
      <c r="O1361" s="14" t="n">
        <v>128.58</v>
      </c>
      <c r="P1361" s="14" t="n">
        <v>8.5264</v>
      </c>
    </row>
    <row r="1362" customFormat="false" ht="15" hidden="false" customHeight="false" outlineLevel="0" collapsed="false">
      <c r="A1362" s="13" t="n">
        <v>44258</v>
      </c>
      <c r="B1362" s="14" t="n">
        <v>1123.96</v>
      </c>
      <c r="C1362" s="14" t="n">
        <v>8.4724</v>
      </c>
      <c r="D1362" s="14" t="n">
        <v>1.3978</v>
      </c>
      <c r="E1362" s="14" t="n">
        <v>1.2073</v>
      </c>
      <c r="F1362" s="14" t="n">
        <v>6.4675</v>
      </c>
      <c r="G1362" s="14" t="n">
        <v>5.7591</v>
      </c>
      <c r="H1362" s="14" t="n">
        <v>106.92</v>
      </c>
      <c r="I1362" s="14" t="n">
        <v>1.2048</v>
      </c>
      <c r="J1362" s="14" t="n">
        <v>10.2451</v>
      </c>
      <c r="K1362" s="14" t="n">
        <v>1347.23</v>
      </c>
      <c r="L1362" s="14" t="n">
        <v>0.86351</v>
      </c>
      <c r="M1362" s="14" t="n">
        <v>7.7897</v>
      </c>
      <c r="N1362" s="14" t="n">
        <v>6.8827</v>
      </c>
      <c r="O1362" s="14" t="n">
        <v>128.81</v>
      </c>
      <c r="P1362" s="14" t="n">
        <v>8.5036</v>
      </c>
    </row>
    <row r="1363" customFormat="false" ht="15" hidden="false" customHeight="false" outlineLevel="0" collapsed="false">
      <c r="A1363" s="13" t="n">
        <v>44259</v>
      </c>
      <c r="B1363" s="14" t="n">
        <v>1124.45</v>
      </c>
      <c r="C1363" s="14" t="n">
        <v>8.4659</v>
      </c>
      <c r="D1363" s="14" t="n">
        <v>1.3999</v>
      </c>
      <c r="E1363" s="14" t="n">
        <v>1.2045</v>
      </c>
      <c r="F1363" s="14" t="n">
        <v>6.4694</v>
      </c>
      <c r="G1363" s="14" t="n">
        <v>5.5666</v>
      </c>
      <c r="H1363" s="14" t="n">
        <v>107.58</v>
      </c>
      <c r="I1363" s="14" t="n">
        <v>1.2034</v>
      </c>
      <c r="J1363" s="14" t="n">
        <v>10.2595</v>
      </c>
      <c r="K1363" s="14" t="n">
        <v>1353.89</v>
      </c>
      <c r="L1363" s="14" t="n">
        <v>0.8627</v>
      </c>
      <c r="M1363" s="14" t="n">
        <v>7.7846</v>
      </c>
      <c r="N1363" s="14" t="n">
        <v>6.7469</v>
      </c>
      <c r="O1363" s="14" t="n">
        <v>129.23</v>
      </c>
      <c r="P1363" s="14" t="n">
        <v>8.5254</v>
      </c>
    </row>
    <row r="1364" customFormat="false" ht="15" hidden="false" customHeight="false" outlineLevel="0" collapsed="false">
      <c r="A1364" s="13" t="n">
        <v>44260</v>
      </c>
      <c r="B1364" s="14" t="n">
        <v>1124.85</v>
      </c>
      <c r="C1364" s="14" t="n">
        <v>8.5634</v>
      </c>
      <c r="D1364" s="14" t="n">
        <v>1.3817</v>
      </c>
      <c r="E1364" s="14" t="n">
        <v>1.1914</v>
      </c>
      <c r="F1364" s="14" t="n">
        <v>6.496</v>
      </c>
      <c r="G1364" s="14" t="n">
        <v>5.6912</v>
      </c>
      <c r="H1364" s="14" t="n">
        <v>108.24</v>
      </c>
      <c r="I1364" s="14" t="n">
        <v>1.1938</v>
      </c>
      <c r="J1364" s="14" t="n">
        <v>10.211</v>
      </c>
      <c r="K1364" s="14" t="n">
        <v>1347.11</v>
      </c>
      <c r="L1364" s="14" t="n">
        <v>0.863</v>
      </c>
      <c r="M1364" s="14" t="n">
        <v>7.7489</v>
      </c>
      <c r="N1364" s="14" t="n">
        <v>6.7979</v>
      </c>
      <c r="O1364" s="14" t="n">
        <v>129.3</v>
      </c>
      <c r="P1364" s="14" t="n">
        <v>8.5534</v>
      </c>
    </row>
    <row r="1365" customFormat="false" ht="15" hidden="false" customHeight="false" outlineLevel="0" collapsed="false">
      <c r="A1365" s="13" t="n">
        <v>44263</v>
      </c>
      <c r="B1365" s="14" t="n">
        <v>1132.64</v>
      </c>
      <c r="C1365" s="14" t="n">
        <v>8.5333</v>
      </c>
      <c r="D1365" s="14" t="n">
        <v>1.381</v>
      </c>
      <c r="E1365" s="14" t="n">
        <v>1.1849</v>
      </c>
      <c r="F1365" s="14" t="n">
        <v>6.525</v>
      </c>
      <c r="G1365" s="14" t="n">
        <v>5.7341</v>
      </c>
      <c r="H1365" s="14" t="n">
        <v>108.92</v>
      </c>
      <c r="I1365" s="14" t="n">
        <v>1.1866</v>
      </c>
      <c r="J1365" s="14" t="n">
        <v>10.1785</v>
      </c>
      <c r="K1365" s="14" t="n">
        <v>1351.68</v>
      </c>
      <c r="L1365" s="14" t="n">
        <v>0.85728</v>
      </c>
      <c r="M1365" s="14" t="n">
        <v>7.7446</v>
      </c>
      <c r="N1365" s="14" t="n">
        <v>6.8228</v>
      </c>
      <c r="O1365" s="14" t="n">
        <v>128.9</v>
      </c>
      <c r="P1365" s="14" t="n">
        <v>8.5779</v>
      </c>
    </row>
    <row r="1366" customFormat="false" ht="15" hidden="false" customHeight="false" outlineLevel="0" collapsed="false">
      <c r="A1366" s="13" t="n">
        <v>44264</v>
      </c>
      <c r="B1366" s="14" t="n">
        <v>1140.63</v>
      </c>
      <c r="C1366" s="14" t="n">
        <v>8.486</v>
      </c>
      <c r="D1366" s="14" t="n">
        <v>1.3884</v>
      </c>
      <c r="E1366" s="14" t="n">
        <v>1.1885</v>
      </c>
      <c r="F1366" s="14" t="n">
        <v>6.505</v>
      </c>
      <c r="G1366" s="14" t="n">
        <v>5.8084</v>
      </c>
      <c r="H1366" s="14" t="n">
        <v>108.64</v>
      </c>
      <c r="I1366" s="14" t="n">
        <v>1.1894</v>
      </c>
      <c r="J1366" s="14" t="n">
        <v>10.0838</v>
      </c>
      <c r="K1366" s="14" t="n">
        <v>1353.91</v>
      </c>
      <c r="L1366" s="14" t="n">
        <v>0.85704</v>
      </c>
      <c r="M1366" s="14" t="n">
        <v>7.7478</v>
      </c>
      <c r="N1366" s="14" t="n">
        <v>6.9553</v>
      </c>
      <c r="O1366" s="14" t="n">
        <v>129.5</v>
      </c>
      <c r="P1366" s="14" t="n">
        <v>8.4781</v>
      </c>
    </row>
    <row r="1367" customFormat="false" ht="15" hidden="false" customHeight="false" outlineLevel="0" collapsed="false">
      <c r="A1367" s="13" t="n">
        <v>44265</v>
      </c>
      <c r="B1367" s="14" t="n">
        <v>1139.85</v>
      </c>
      <c r="C1367" s="14" t="n">
        <v>8.454</v>
      </c>
      <c r="D1367" s="14" t="n">
        <v>1.3899</v>
      </c>
      <c r="E1367" s="14" t="n">
        <v>1.19</v>
      </c>
      <c r="F1367" s="14" t="n">
        <v>6.505</v>
      </c>
      <c r="G1367" s="14" t="n">
        <v>5.672</v>
      </c>
      <c r="H1367" s="14" t="n">
        <v>108.58</v>
      </c>
      <c r="I1367" s="14" t="n">
        <v>1.1892</v>
      </c>
      <c r="J1367" s="14" t="n">
        <v>10.0813</v>
      </c>
      <c r="K1367" s="14" t="n">
        <v>1357.05</v>
      </c>
      <c r="L1367" s="14" t="n">
        <v>0.85655</v>
      </c>
      <c r="M1367" s="14" t="n">
        <v>7.7433</v>
      </c>
      <c r="N1367" s="14" t="n">
        <v>6.8807</v>
      </c>
      <c r="O1367" s="14" t="n">
        <v>129.12</v>
      </c>
      <c r="P1367" s="14" t="n">
        <v>8.4774</v>
      </c>
    </row>
    <row r="1368" customFormat="false" ht="15" hidden="false" customHeight="false" outlineLevel="0" collapsed="false">
      <c r="A1368" s="13" t="n">
        <v>44266</v>
      </c>
      <c r="B1368" s="14" t="n">
        <v>1135.19</v>
      </c>
      <c r="C1368" s="14" t="n">
        <v>8.4236</v>
      </c>
      <c r="D1368" s="14" t="n">
        <v>1.398</v>
      </c>
      <c r="E1368" s="14" t="n">
        <v>1.1978</v>
      </c>
      <c r="F1368" s="14" t="n">
        <v>6.4932</v>
      </c>
      <c r="G1368" s="14" t="n">
        <v>5.553</v>
      </c>
      <c r="H1368" s="14" t="n">
        <v>108.44</v>
      </c>
      <c r="I1368" s="14" t="n">
        <v>1.1969</v>
      </c>
      <c r="J1368" s="14" t="n">
        <v>10.091</v>
      </c>
      <c r="K1368" s="14" t="n">
        <v>1353.09</v>
      </c>
      <c r="L1368" s="14" t="n">
        <v>0.8567</v>
      </c>
      <c r="M1368" s="14" t="n">
        <v>7.7614</v>
      </c>
      <c r="N1368" s="14" t="n">
        <v>6.7039</v>
      </c>
      <c r="O1368" s="14" t="n">
        <v>129.82</v>
      </c>
      <c r="P1368" s="14" t="n">
        <v>8.4309</v>
      </c>
    </row>
    <row r="1369" customFormat="false" ht="15" hidden="false" customHeight="false" outlineLevel="0" collapsed="false">
      <c r="A1369" s="13" t="n">
        <v>44267</v>
      </c>
      <c r="B1369" s="14" t="n">
        <v>1133.09</v>
      </c>
      <c r="C1369" s="14" t="n">
        <v>8.4208</v>
      </c>
      <c r="D1369" s="14" t="n">
        <v>1.3925</v>
      </c>
      <c r="E1369" s="14" t="n">
        <v>1.1952</v>
      </c>
      <c r="F1369" s="14" t="n">
        <v>6.5081</v>
      </c>
      <c r="G1369" s="14" t="n">
        <v>5.553</v>
      </c>
      <c r="H1369" s="14" t="n">
        <v>108.87</v>
      </c>
      <c r="I1369" s="14" t="n">
        <v>1.1933</v>
      </c>
      <c r="J1369" s="14" t="n">
        <v>10.0863</v>
      </c>
      <c r="K1369" s="14" t="n">
        <v>1354.93</v>
      </c>
      <c r="L1369" s="14" t="n">
        <v>0.85835</v>
      </c>
      <c r="M1369" s="14" t="n">
        <v>7.7636</v>
      </c>
      <c r="N1369" s="14" t="n">
        <v>6.6421</v>
      </c>
      <c r="O1369" s="14" t="n">
        <v>130.14</v>
      </c>
      <c r="P1369" s="14" t="n">
        <v>8.4524</v>
      </c>
    </row>
    <row r="1370" customFormat="false" ht="15" hidden="false" customHeight="false" outlineLevel="0" collapsed="false">
      <c r="A1370" s="13" t="n">
        <v>44270</v>
      </c>
      <c r="B1370" s="14" t="n">
        <v>1136.37</v>
      </c>
      <c r="C1370" s="14" t="n">
        <v>8.4907</v>
      </c>
      <c r="D1370" s="14" t="n">
        <v>1.3866</v>
      </c>
      <c r="E1370" s="14" t="n">
        <v>1.1917</v>
      </c>
      <c r="F1370" s="14" t="n">
        <v>6.4996</v>
      </c>
      <c r="G1370" s="14" t="n">
        <v>5.6539</v>
      </c>
      <c r="H1370" s="14" t="n">
        <v>109.11</v>
      </c>
      <c r="I1370" s="14" t="n">
        <v>1.192</v>
      </c>
      <c r="J1370" s="14" t="n">
        <v>10.0988</v>
      </c>
      <c r="K1370" s="14" t="n">
        <v>1351.97</v>
      </c>
      <c r="L1370" s="14" t="n">
        <v>0.8567</v>
      </c>
      <c r="M1370" s="14" t="n">
        <v>7.7508</v>
      </c>
      <c r="N1370" s="14" t="n">
        <v>6.6896</v>
      </c>
      <c r="O1370" s="14" t="n">
        <v>130.17</v>
      </c>
      <c r="P1370" s="14" t="n">
        <v>8.4721</v>
      </c>
    </row>
    <row r="1371" customFormat="false" ht="15" hidden="false" customHeight="false" outlineLevel="0" collapsed="false">
      <c r="A1371" s="13" t="n">
        <v>44271</v>
      </c>
      <c r="B1371" s="14" t="n">
        <v>1129.69</v>
      </c>
      <c r="C1371" s="14" t="n">
        <v>8.4808</v>
      </c>
      <c r="D1371" s="14" t="n">
        <v>1.3892</v>
      </c>
      <c r="E1371" s="14" t="n">
        <v>1.1895</v>
      </c>
      <c r="F1371" s="14" t="n">
        <v>6.5052</v>
      </c>
      <c r="G1371" s="14" t="n">
        <v>5.5756</v>
      </c>
      <c r="H1371" s="14" t="n">
        <v>109.01</v>
      </c>
      <c r="I1371" s="14" t="n">
        <v>1.1926</v>
      </c>
      <c r="J1371" s="14" t="n">
        <v>10.1028</v>
      </c>
      <c r="K1371" s="14" t="n">
        <v>1347.36</v>
      </c>
      <c r="L1371" s="14" t="n">
        <v>0.85945</v>
      </c>
      <c r="M1371" s="14" t="n">
        <v>7.7519</v>
      </c>
      <c r="N1371" s="14" t="n">
        <v>6.6722</v>
      </c>
      <c r="O1371" s="14" t="n">
        <v>129.88</v>
      </c>
      <c r="P1371" s="14" t="n">
        <v>8.4712</v>
      </c>
    </row>
    <row r="1372" customFormat="false" ht="15" hidden="false" customHeight="false" outlineLevel="0" collapsed="false">
      <c r="A1372" s="13" t="n">
        <v>44272</v>
      </c>
      <c r="B1372" s="14" t="n">
        <v>1130.24</v>
      </c>
      <c r="C1372" s="14" t="n">
        <v>8.5089</v>
      </c>
      <c r="D1372" s="14" t="n">
        <v>1.3888</v>
      </c>
      <c r="E1372" s="14" t="n">
        <v>1.1905</v>
      </c>
      <c r="F1372" s="14" t="n">
        <v>6.503</v>
      </c>
      <c r="G1372" s="14" t="n">
        <v>5.655</v>
      </c>
      <c r="H1372" s="14" t="n">
        <v>109.22</v>
      </c>
      <c r="I1372" s="14" t="n">
        <v>1.1907</v>
      </c>
      <c r="J1372" s="14" t="n">
        <v>10.1213</v>
      </c>
      <c r="K1372" s="14" t="n">
        <v>1346.65</v>
      </c>
      <c r="L1372" s="14" t="n">
        <v>0.85668</v>
      </c>
      <c r="M1372" s="14" t="n">
        <v>7.7435</v>
      </c>
      <c r="N1372" s="14" t="n">
        <v>6.7299</v>
      </c>
      <c r="O1372" s="14" t="n">
        <v>130.02</v>
      </c>
      <c r="P1372" s="14" t="n">
        <v>8.5003</v>
      </c>
    </row>
    <row r="1373" customFormat="false" ht="15" hidden="false" customHeight="false" outlineLevel="0" collapsed="false">
      <c r="A1373" s="13" t="n">
        <v>44273</v>
      </c>
      <c r="B1373" s="14" t="n">
        <v>1123.51</v>
      </c>
      <c r="C1373" s="14" t="n">
        <v>8.4572</v>
      </c>
      <c r="D1373" s="14" t="n">
        <v>1.3938</v>
      </c>
      <c r="E1373" s="14" t="n">
        <v>1.1926</v>
      </c>
      <c r="F1373" s="14" t="n">
        <v>6.5054</v>
      </c>
      <c r="G1373" s="14" t="n">
        <v>5.5366</v>
      </c>
      <c r="H1373" s="14" t="n">
        <v>108.97</v>
      </c>
      <c r="I1373" s="14" t="n">
        <v>1.1912</v>
      </c>
      <c r="J1373" s="14" t="n">
        <v>10.1058</v>
      </c>
      <c r="K1373" s="14" t="n">
        <v>1343.25</v>
      </c>
      <c r="L1373" s="14" t="n">
        <v>0.85575</v>
      </c>
      <c r="M1373" s="14" t="n">
        <v>7.7507</v>
      </c>
      <c r="N1373" s="14" t="n">
        <v>6.6225</v>
      </c>
      <c r="O1373" s="14" t="n">
        <v>130.08</v>
      </c>
      <c r="P1373" s="14" t="n">
        <v>8.4837</v>
      </c>
    </row>
    <row r="1374" customFormat="false" ht="15" hidden="false" customHeight="false" outlineLevel="0" collapsed="false">
      <c r="A1374" s="13" t="n">
        <v>44274</v>
      </c>
      <c r="B1374" s="14" t="n">
        <v>1130.38</v>
      </c>
      <c r="C1374" s="14" t="n">
        <v>8.5451</v>
      </c>
      <c r="D1374" s="14" t="n">
        <v>1.3872</v>
      </c>
      <c r="E1374" s="14" t="n">
        <v>1.1909</v>
      </c>
      <c r="F1374" s="14" t="n">
        <v>6.507</v>
      </c>
      <c r="G1374" s="14" t="n">
        <v>5.475</v>
      </c>
      <c r="H1374" s="14" t="n">
        <v>108.85</v>
      </c>
      <c r="I1374" s="14" t="n">
        <v>1.1891</v>
      </c>
      <c r="J1374" s="14" t="n">
        <v>10.2018</v>
      </c>
      <c r="K1374" s="14" t="n">
        <v>1344.69</v>
      </c>
      <c r="L1374" s="14" t="n">
        <v>0.85763</v>
      </c>
      <c r="M1374" s="14" t="n">
        <v>7.7413</v>
      </c>
      <c r="N1374" s="14" t="n">
        <v>6.571</v>
      </c>
      <c r="O1374" s="14" t="n">
        <v>129.54</v>
      </c>
      <c r="P1374" s="14" t="n">
        <v>8.5794</v>
      </c>
    </row>
    <row r="1375" customFormat="false" ht="15" hidden="false" customHeight="false" outlineLevel="0" collapsed="false">
      <c r="A1375" s="13" t="n">
        <v>44277</v>
      </c>
      <c r="B1375" s="14" t="n">
        <v>1128.19</v>
      </c>
      <c r="C1375" s="14" t="n">
        <v>8.4862</v>
      </c>
      <c r="D1375" s="14" t="n">
        <v>1.3856</v>
      </c>
      <c r="E1375" s="14" t="n">
        <v>1.1932</v>
      </c>
      <c r="F1375" s="14" t="n">
        <v>6.507</v>
      </c>
      <c r="G1375" s="14" t="n">
        <v>5.5316</v>
      </c>
      <c r="H1375" s="14" t="n">
        <v>108.67</v>
      </c>
      <c r="I1375" s="14" t="n">
        <v>1.1926</v>
      </c>
      <c r="J1375" s="14" t="n">
        <v>10.1393</v>
      </c>
      <c r="K1375" s="14" t="n">
        <v>1344.78</v>
      </c>
      <c r="L1375" s="14" t="n">
        <v>0.86233</v>
      </c>
      <c r="M1375" s="14" t="n">
        <v>7.7582</v>
      </c>
      <c r="N1375" s="14" t="n">
        <v>6.5917</v>
      </c>
      <c r="O1375" s="14" t="n">
        <v>129.77</v>
      </c>
      <c r="P1375" s="14" t="n">
        <v>8.5018</v>
      </c>
    </row>
    <row r="1376" customFormat="false" ht="15" hidden="false" customHeight="false" outlineLevel="0" collapsed="false">
      <c r="A1376" s="13" t="n">
        <v>44278</v>
      </c>
      <c r="B1376" s="14" t="n">
        <v>1128.96</v>
      </c>
      <c r="C1376" s="14" t="n">
        <v>8.5529</v>
      </c>
      <c r="D1376" s="14" t="n">
        <v>1.3795</v>
      </c>
      <c r="E1376" s="14" t="n">
        <v>1.1872</v>
      </c>
      <c r="F1376" s="14" t="n">
        <v>6.516</v>
      </c>
      <c r="G1376" s="14" t="n">
        <v>5.4771</v>
      </c>
      <c r="H1376" s="14" t="n">
        <v>108.61</v>
      </c>
      <c r="I1376" s="14" t="n">
        <v>1.1883</v>
      </c>
      <c r="J1376" s="14" t="n">
        <v>10.1783</v>
      </c>
      <c r="K1376" s="14" t="n">
        <v>1342.48</v>
      </c>
      <c r="L1376" s="14" t="n">
        <v>0.86198</v>
      </c>
      <c r="M1376" s="14" t="n">
        <v>7.7367</v>
      </c>
      <c r="N1376" s="14" t="n">
        <v>6.5562</v>
      </c>
      <c r="O1376" s="14" t="n">
        <v>128.99</v>
      </c>
      <c r="P1376" s="14" t="n">
        <v>8.5654</v>
      </c>
    </row>
    <row r="1377" customFormat="false" ht="15" hidden="false" customHeight="false" outlineLevel="0" collapsed="false">
      <c r="A1377" s="13" t="n">
        <v>44279</v>
      </c>
      <c r="B1377" s="14" t="n">
        <v>1133.35</v>
      </c>
      <c r="C1377" s="14" t="n">
        <v>8.5632</v>
      </c>
      <c r="D1377" s="14" t="n">
        <v>1.3723</v>
      </c>
      <c r="E1377" s="14" t="n">
        <v>1.1831</v>
      </c>
      <c r="F1377" s="14" t="n">
        <v>6.523</v>
      </c>
      <c r="G1377" s="14" t="n">
        <v>5.555</v>
      </c>
      <c r="H1377" s="14" t="n">
        <v>108.81</v>
      </c>
      <c r="I1377" s="14" t="n">
        <v>1.1825</v>
      </c>
      <c r="J1377" s="14" t="n">
        <v>10.1563</v>
      </c>
      <c r="K1377" s="14" t="n">
        <v>1338.12</v>
      </c>
      <c r="L1377" s="14" t="n">
        <v>0.8625</v>
      </c>
      <c r="M1377" s="14" t="n">
        <v>7.7133</v>
      </c>
      <c r="N1377" s="14" t="n">
        <v>6.5258</v>
      </c>
      <c r="O1377" s="14" t="n">
        <v>128.6</v>
      </c>
      <c r="P1377" s="14" t="n">
        <v>8.5888</v>
      </c>
    </row>
    <row r="1378" customFormat="false" ht="15" hidden="false" customHeight="false" outlineLevel="0" collapsed="false">
      <c r="A1378" s="13" t="n">
        <v>44280</v>
      </c>
      <c r="B1378" s="14" t="n">
        <v>1133.31</v>
      </c>
      <c r="C1378" s="14" t="n">
        <v>8.6621</v>
      </c>
      <c r="D1378" s="14" t="n">
        <v>1.3722</v>
      </c>
      <c r="E1378" s="14" t="n">
        <v>1.1777</v>
      </c>
      <c r="F1378" s="14" t="n">
        <v>6.5452</v>
      </c>
      <c r="G1378" s="14" t="n">
        <v>5.6352</v>
      </c>
      <c r="H1378" s="14" t="n">
        <v>109.13</v>
      </c>
      <c r="I1378" s="14" t="n">
        <v>1.1802</v>
      </c>
      <c r="J1378" s="14" t="n">
        <v>10.1653</v>
      </c>
      <c r="K1378" s="14" t="n">
        <v>1340.88</v>
      </c>
      <c r="L1378" s="14" t="n">
        <v>0.86068</v>
      </c>
      <c r="M1378" s="14" t="n">
        <v>7.722</v>
      </c>
      <c r="N1378" s="14" t="n">
        <v>6.696</v>
      </c>
      <c r="O1378" s="14" t="n">
        <v>128.75</v>
      </c>
      <c r="P1378" s="14" t="n">
        <v>8.6132</v>
      </c>
    </row>
    <row r="1379" customFormat="false" ht="15" hidden="false" customHeight="false" outlineLevel="0" collapsed="false">
      <c r="A1379" s="13" t="n">
        <v>44281</v>
      </c>
      <c r="B1379" s="14" t="n">
        <v>1129.26</v>
      </c>
      <c r="C1379" s="14" t="n">
        <v>8.5802</v>
      </c>
      <c r="D1379" s="14" t="n">
        <v>1.3794</v>
      </c>
      <c r="E1379" s="14" t="n">
        <v>1.1798</v>
      </c>
      <c r="F1379" s="14" t="n">
        <v>6.5412</v>
      </c>
      <c r="G1379" s="14" t="n">
        <v>5.7132</v>
      </c>
      <c r="H1379" s="14" t="n">
        <v>109.55</v>
      </c>
      <c r="I1379" s="14" t="n">
        <v>1.1782</v>
      </c>
      <c r="J1379" s="14" t="n">
        <v>10.1258</v>
      </c>
      <c r="K1379" s="14" t="n">
        <v>1332.17</v>
      </c>
      <c r="L1379" s="14" t="n">
        <v>0.85503</v>
      </c>
      <c r="M1379" s="14" t="n">
        <v>7.7063</v>
      </c>
      <c r="N1379" s="14" t="n">
        <v>6.711</v>
      </c>
      <c r="O1379" s="14" t="n">
        <v>129.34</v>
      </c>
      <c r="P1379" s="14" t="n">
        <v>8.5943</v>
      </c>
    </row>
    <row r="1380" customFormat="false" ht="15" hidden="false" customHeight="false" outlineLevel="0" collapsed="false">
      <c r="A1380" s="13" t="n">
        <v>44284</v>
      </c>
      <c r="B1380" s="14" t="n">
        <v>1133.57</v>
      </c>
      <c r="C1380" s="14" t="n">
        <v>8.528</v>
      </c>
      <c r="D1380" s="14" t="n">
        <v>1.3793</v>
      </c>
      <c r="E1380" s="14" t="n">
        <v>1.1779</v>
      </c>
      <c r="F1380" s="14" t="n">
        <v>6.5696</v>
      </c>
      <c r="G1380" s="14" t="n">
        <v>5.7778</v>
      </c>
      <c r="H1380" s="14" t="n">
        <v>109.73</v>
      </c>
      <c r="I1380" s="14" t="n">
        <v>1.1784</v>
      </c>
      <c r="J1380" s="14" t="n">
        <v>10.0738</v>
      </c>
      <c r="K1380" s="14" t="n">
        <v>1334.49</v>
      </c>
      <c r="L1380" s="14" t="n">
        <v>0.8512</v>
      </c>
      <c r="M1380" s="14" t="n">
        <v>7.7334</v>
      </c>
      <c r="N1380" s="14" t="n">
        <v>6.7964</v>
      </c>
      <c r="O1380" s="14" t="n">
        <v>129.19</v>
      </c>
      <c r="P1380" s="14" t="n">
        <v>8.5487</v>
      </c>
    </row>
    <row r="1381" customFormat="false" ht="15" hidden="false" customHeight="false" outlineLevel="0" collapsed="false">
      <c r="A1381" s="13" t="n">
        <v>44285</v>
      </c>
      <c r="B1381" s="14" t="n">
        <v>1133.44</v>
      </c>
      <c r="C1381" s="14" t="n">
        <v>8.5476</v>
      </c>
      <c r="D1381" s="14" t="n">
        <v>1.3729</v>
      </c>
      <c r="E1381" s="14" t="n">
        <v>1.1724</v>
      </c>
      <c r="F1381" s="14" t="n">
        <v>6.5716</v>
      </c>
      <c r="G1381" s="14" t="n">
        <v>5.7439</v>
      </c>
      <c r="H1381" s="14" t="n">
        <v>110.19</v>
      </c>
      <c r="I1381" s="14" t="n">
        <v>1.1741</v>
      </c>
      <c r="J1381" s="14" t="n">
        <v>10.0613</v>
      </c>
      <c r="K1381" s="14" t="n">
        <v>1331.35</v>
      </c>
      <c r="L1381" s="14" t="n">
        <v>0.85378</v>
      </c>
      <c r="M1381" s="14" t="n">
        <v>7.7154</v>
      </c>
      <c r="N1381" s="14" t="n">
        <v>6.7685</v>
      </c>
      <c r="O1381" s="14" t="n">
        <v>129.48</v>
      </c>
      <c r="P1381" s="14" t="n">
        <v>8.5694</v>
      </c>
    </row>
    <row r="1382" customFormat="false" ht="15" hidden="false" customHeight="false" outlineLevel="0" collapsed="false">
      <c r="A1382" s="13" t="n">
        <v>44286</v>
      </c>
      <c r="B1382" s="14" t="n">
        <v>1126.72</v>
      </c>
      <c r="C1382" s="14" t="n">
        <v>8.5326</v>
      </c>
      <c r="D1382" s="14" t="n">
        <v>1.3795</v>
      </c>
      <c r="E1382" s="14" t="n">
        <v>1.1743</v>
      </c>
      <c r="F1382" s="14" t="n">
        <v>6.5518</v>
      </c>
      <c r="G1382" s="14" t="n">
        <v>5.659</v>
      </c>
      <c r="H1382" s="14" t="n">
        <v>110.61</v>
      </c>
      <c r="I1382" s="14" t="n">
        <v>1.1725</v>
      </c>
      <c r="J1382" s="14" t="n">
        <v>9.9955</v>
      </c>
      <c r="K1382" s="14" t="n">
        <v>1324.19</v>
      </c>
      <c r="L1382" s="14" t="n">
        <v>0.85209</v>
      </c>
      <c r="M1382" s="14" t="n">
        <v>7.6812</v>
      </c>
      <c r="N1382" s="14" t="n">
        <v>6.7409</v>
      </c>
      <c r="O1382" s="14" t="n">
        <v>129.91</v>
      </c>
      <c r="P1382" s="14" t="n">
        <v>8.5249</v>
      </c>
    </row>
    <row r="1383" customFormat="false" ht="15" hidden="false" customHeight="false" outlineLevel="0" collapsed="false">
      <c r="A1383" s="13" t="n">
        <v>44287</v>
      </c>
      <c r="B1383" s="14" t="n">
        <v>1131.63</v>
      </c>
      <c r="C1383" s="14" t="n">
        <v>8.5324</v>
      </c>
      <c r="D1383" s="14" t="n">
        <v>1.3825</v>
      </c>
      <c r="E1383" s="14" t="n">
        <v>1.1772</v>
      </c>
      <c r="F1383" s="14" t="n">
        <v>6.5645</v>
      </c>
      <c r="G1383" s="14" t="n">
        <v>5.6887</v>
      </c>
      <c r="H1383" s="14" t="n">
        <v>110.61</v>
      </c>
      <c r="I1383" s="14" t="n">
        <v>1.1746</v>
      </c>
      <c r="J1383" s="14" t="n">
        <v>10.0408</v>
      </c>
      <c r="K1383" s="14" t="n">
        <v>1328.36</v>
      </c>
      <c r="L1383" s="14" t="n">
        <v>0.85195</v>
      </c>
      <c r="M1383" s="14" t="n">
        <v>7.7195</v>
      </c>
      <c r="N1383" s="14" t="n">
        <v>6.6149</v>
      </c>
      <c r="O1383" s="14" t="n">
        <v>130.03</v>
      </c>
    </row>
    <row r="1384" customFormat="false" ht="15" hidden="false" customHeight="false" outlineLevel="0" collapsed="false">
      <c r="A1384" s="13" t="n">
        <v>44288</v>
      </c>
      <c r="B1384" s="14" t="n">
        <v>1127.3</v>
      </c>
      <c r="C1384" s="14" t="n">
        <v>8.5309</v>
      </c>
      <c r="D1384" s="14" t="n">
        <v>1.3825</v>
      </c>
      <c r="E1384" s="14" t="n">
        <v>1.1763</v>
      </c>
      <c r="F1384" s="14" t="n">
        <v>6.5646</v>
      </c>
      <c r="G1384" s="14" t="n">
        <v>5.7075</v>
      </c>
      <c r="H1384" s="14" t="n">
        <v>110.67</v>
      </c>
    </row>
    <row r="1385" customFormat="false" ht="15" hidden="false" customHeight="false" outlineLevel="0" collapsed="false">
      <c r="A1385" s="13" t="n">
        <v>44291</v>
      </c>
      <c r="B1385" s="14" t="n">
        <v>1127.34</v>
      </c>
      <c r="C1385" s="14" t="n">
        <v>8.5023</v>
      </c>
      <c r="D1385" s="14" t="n">
        <v>1.3907</v>
      </c>
      <c r="E1385" s="14" t="n">
        <v>1.181</v>
      </c>
      <c r="F1385" s="14" t="n">
        <v>6.5649</v>
      </c>
      <c r="G1385" s="14" t="n">
        <v>5.6584</v>
      </c>
      <c r="H1385" s="14" t="n">
        <v>110.08</v>
      </c>
    </row>
    <row r="1386" customFormat="false" ht="15" hidden="false" customHeight="false" outlineLevel="0" collapsed="false">
      <c r="A1386" s="13" t="n">
        <v>44292</v>
      </c>
      <c r="B1386" s="14" t="n">
        <v>1117.12</v>
      </c>
      <c r="C1386" s="14" t="n">
        <v>8.4941</v>
      </c>
      <c r="D1386" s="14" t="n">
        <v>1.3849</v>
      </c>
      <c r="E1386" s="14" t="n">
        <v>1.1852</v>
      </c>
      <c r="F1386" s="14" t="n">
        <v>6.537</v>
      </c>
      <c r="G1386" s="14" t="n">
        <v>5.6143</v>
      </c>
      <c r="H1386" s="14" t="n">
        <v>109.83</v>
      </c>
      <c r="I1386" s="14" t="n">
        <v>1.1812</v>
      </c>
      <c r="J1386" s="14" t="n">
        <v>10.0768</v>
      </c>
      <c r="K1386" s="14" t="n">
        <v>1323.16</v>
      </c>
      <c r="L1386" s="14" t="n">
        <v>0.85358</v>
      </c>
      <c r="M1386" s="14" t="n">
        <v>7.739</v>
      </c>
      <c r="N1386" s="14" t="n">
        <v>6.6644</v>
      </c>
      <c r="O1386" s="14" t="n">
        <v>130.27</v>
      </c>
      <c r="P1386" s="14" t="n">
        <v>8.531</v>
      </c>
    </row>
    <row r="1387" customFormat="false" ht="15" hidden="false" customHeight="false" outlineLevel="0" collapsed="false">
      <c r="A1387" s="13" t="n">
        <v>44293</v>
      </c>
      <c r="B1387" s="14" t="n">
        <v>1116.21</v>
      </c>
      <c r="C1387" s="14" t="n">
        <v>8.4534</v>
      </c>
      <c r="D1387" s="14" t="n">
        <v>1.3757</v>
      </c>
      <c r="E1387" s="14" t="n">
        <v>1.189</v>
      </c>
      <c r="F1387" s="14" t="n">
        <v>6.5415</v>
      </c>
      <c r="G1387" s="14" t="n">
        <v>5.6062</v>
      </c>
      <c r="H1387" s="14" t="n">
        <v>109.67</v>
      </c>
      <c r="I1387" s="14" t="n">
        <v>1.1884</v>
      </c>
      <c r="J1387" s="14" t="n">
        <v>10.0535</v>
      </c>
      <c r="K1387" s="14" t="n">
        <v>1328.05</v>
      </c>
      <c r="L1387" s="14" t="n">
        <v>0.86065</v>
      </c>
      <c r="M1387" s="14" t="n">
        <v>7.7761</v>
      </c>
      <c r="N1387" s="14" t="n">
        <v>6.644</v>
      </c>
      <c r="O1387" s="14" t="n">
        <v>130.56</v>
      </c>
      <c r="P1387" s="14" t="n">
        <v>8.4597</v>
      </c>
    </row>
    <row r="1388" customFormat="false" ht="15" hidden="false" customHeight="false" outlineLevel="0" collapsed="false">
      <c r="A1388" s="13" t="n">
        <v>44294</v>
      </c>
      <c r="B1388" s="14" t="n">
        <v>1116.96</v>
      </c>
      <c r="C1388" s="14" t="n">
        <v>8.4874</v>
      </c>
      <c r="D1388" s="14" t="n">
        <v>1.3739</v>
      </c>
      <c r="E1388" s="14" t="n">
        <v>1.1904</v>
      </c>
      <c r="F1388" s="14" t="n">
        <v>6.5505</v>
      </c>
      <c r="G1388" s="14" t="n">
        <v>5.5743</v>
      </c>
      <c r="H1388" s="14" t="n">
        <v>109.25</v>
      </c>
      <c r="I1388" s="14" t="n">
        <v>1.1873</v>
      </c>
      <c r="J1388" s="14" t="n">
        <v>10.078</v>
      </c>
      <c r="K1388" s="14" t="n">
        <v>1324.91</v>
      </c>
      <c r="L1388" s="14" t="n">
        <v>0.8629</v>
      </c>
      <c r="M1388" s="14" t="n">
        <v>7.7749</v>
      </c>
      <c r="N1388" s="14" t="n">
        <v>6.6545</v>
      </c>
      <c r="O1388" s="14" t="n">
        <v>129.71</v>
      </c>
      <c r="P1388" s="14" t="n">
        <v>8.4882</v>
      </c>
    </row>
    <row r="1389" customFormat="false" ht="15" hidden="false" customHeight="false" outlineLevel="0" collapsed="false">
      <c r="A1389" s="13" t="n">
        <v>44295</v>
      </c>
      <c r="B1389" s="14" t="n">
        <v>1120.84</v>
      </c>
      <c r="C1389" s="14" t="n">
        <v>8.5062</v>
      </c>
      <c r="D1389" s="14" t="n">
        <v>1.3734</v>
      </c>
      <c r="E1389" s="14" t="n">
        <v>1.1897</v>
      </c>
      <c r="F1389" s="14" t="n">
        <v>6.5522</v>
      </c>
      <c r="G1389" s="14" t="n">
        <v>5.6522</v>
      </c>
      <c r="H1389" s="14" t="n">
        <v>109.64</v>
      </c>
      <c r="I1389" s="14" t="n">
        <v>1.1888</v>
      </c>
      <c r="J1389" s="14" t="n">
        <v>10.113</v>
      </c>
      <c r="K1389" s="14" t="n">
        <v>1331.28</v>
      </c>
      <c r="L1389" s="14" t="n">
        <v>0.86658</v>
      </c>
      <c r="M1389" s="14" t="n">
        <v>7.7934</v>
      </c>
      <c r="N1389" s="14" t="n">
        <v>6.6641</v>
      </c>
      <c r="O1389" s="14" t="n">
        <v>130.42</v>
      </c>
      <c r="P1389" s="14" t="n">
        <v>8.5069</v>
      </c>
    </row>
    <row r="1390" customFormat="false" ht="15" hidden="false" customHeight="false" outlineLevel="0" collapsed="false">
      <c r="A1390" s="13" t="n">
        <v>44298</v>
      </c>
      <c r="B1390" s="14" t="n">
        <v>1124.6</v>
      </c>
      <c r="C1390" s="14" t="n">
        <v>8.4923</v>
      </c>
      <c r="D1390" s="14" t="n">
        <v>1.3741</v>
      </c>
      <c r="E1390" s="14" t="n">
        <v>1.1907</v>
      </c>
      <c r="F1390" s="14" t="n">
        <v>6.5475</v>
      </c>
      <c r="G1390" s="14" t="n">
        <v>5.6974</v>
      </c>
      <c r="H1390" s="14" t="n">
        <v>109.43</v>
      </c>
      <c r="I1390" s="14" t="n">
        <v>1.1904</v>
      </c>
      <c r="J1390" s="14" t="n">
        <v>10.094</v>
      </c>
      <c r="K1390" s="14" t="n">
        <v>1338.46</v>
      </c>
      <c r="L1390" s="14" t="n">
        <v>0.86518</v>
      </c>
      <c r="M1390" s="14" t="n">
        <v>7.7907</v>
      </c>
      <c r="N1390" s="14" t="n">
        <v>6.746</v>
      </c>
      <c r="O1390" s="14" t="n">
        <v>130.2</v>
      </c>
      <c r="P1390" s="14" t="n">
        <v>8.4795</v>
      </c>
    </row>
    <row r="1391" customFormat="false" ht="15" hidden="false" customHeight="false" outlineLevel="0" collapsed="false">
      <c r="A1391" s="13" t="n">
        <v>44299</v>
      </c>
      <c r="B1391" s="14" t="n">
        <v>1125.63</v>
      </c>
      <c r="C1391" s="14" t="n">
        <v>8.495</v>
      </c>
      <c r="D1391" s="14" t="n">
        <v>1.3742</v>
      </c>
      <c r="E1391" s="14" t="n">
        <v>1.1939</v>
      </c>
      <c r="F1391" s="14" t="n">
        <v>6.5431</v>
      </c>
      <c r="G1391" s="14" t="n">
        <v>5.6898</v>
      </c>
      <c r="H1391" s="14" t="n">
        <v>109.19</v>
      </c>
      <c r="I1391" s="14" t="n">
        <v>1.1896</v>
      </c>
      <c r="J1391" s="14" t="n">
        <v>10.1675</v>
      </c>
      <c r="K1391" s="14" t="n">
        <v>1337.32</v>
      </c>
      <c r="L1391" s="14" t="n">
        <v>0.86698</v>
      </c>
      <c r="M1391" s="14" t="n">
        <v>7.7905</v>
      </c>
      <c r="N1391" s="14" t="n">
        <v>6.8216</v>
      </c>
      <c r="O1391" s="14" t="n">
        <v>130.23</v>
      </c>
      <c r="P1391" s="14" t="n">
        <v>8.547</v>
      </c>
    </row>
    <row r="1392" customFormat="false" ht="15" hidden="false" customHeight="false" outlineLevel="0" collapsed="false">
      <c r="A1392" s="13" t="n">
        <v>44300</v>
      </c>
      <c r="B1392" s="14" t="n">
        <v>1116.43</v>
      </c>
      <c r="C1392" s="14" t="n">
        <v>8.3911</v>
      </c>
      <c r="D1392" s="14" t="n">
        <v>1.379</v>
      </c>
      <c r="E1392" s="14" t="n">
        <v>1.1974</v>
      </c>
      <c r="F1392" s="14" t="n">
        <v>6.5292</v>
      </c>
      <c r="G1392" s="14" t="n">
        <v>5.6806</v>
      </c>
      <c r="H1392" s="14" t="n">
        <v>108.93</v>
      </c>
      <c r="I1392" s="14" t="n">
        <v>1.1964</v>
      </c>
      <c r="J1392" s="14" t="n">
        <v>10.0745</v>
      </c>
      <c r="K1392" s="14" t="n">
        <v>1333.87</v>
      </c>
      <c r="L1392" s="14" t="n">
        <v>0.86918</v>
      </c>
      <c r="M1392" s="14" t="n">
        <v>7.8146</v>
      </c>
      <c r="N1392" s="14" t="n">
        <v>6.8189</v>
      </c>
      <c r="O1392" s="14" t="n">
        <v>130.33</v>
      </c>
      <c r="P1392" s="14" t="n">
        <v>8.4207</v>
      </c>
    </row>
    <row r="1393" customFormat="false" ht="15" hidden="false" customHeight="false" outlineLevel="0" collapsed="false">
      <c r="A1393" s="13" t="n">
        <v>44301</v>
      </c>
      <c r="B1393" s="14" t="n">
        <v>1115.04</v>
      </c>
      <c r="C1393" s="14" t="n">
        <v>8.3875</v>
      </c>
      <c r="D1393" s="14" t="n">
        <v>1.3781</v>
      </c>
      <c r="E1393" s="14" t="n">
        <v>1.1964</v>
      </c>
      <c r="F1393" s="14" t="n">
        <v>6.522</v>
      </c>
      <c r="G1393" s="14" t="n">
        <v>5.611</v>
      </c>
      <c r="H1393" s="14" t="n">
        <v>108.78</v>
      </c>
      <c r="I1393" s="14" t="n">
        <v>1.197</v>
      </c>
      <c r="J1393" s="14" t="n">
        <v>10.0433</v>
      </c>
      <c r="K1393" s="14" t="n">
        <v>1335.3</v>
      </c>
      <c r="L1393" s="14" t="n">
        <v>0.86753</v>
      </c>
      <c r="M1393" s="14" t="n">
        <v>7.8129</v>
      </c>
      <c r="N1393" s="14" t="n">
        <v>6.7631</v>
      </c>
      <c r="O1393" s="14" t="n">
        <v>130.14</v>
      </c>
      <c r="P1393" s="14" t="n">
        <v>8.3904</v>
      </c>
    </row>
    <row r="1394" customFormat="false" ht="15" hidden="false" customHeight="false" outlineLevel="0" collapsed="false">
      <c r="A1394" s="13" t="n">
        <v>44302</v>
      </c>
      <c r="B1394" s="14" t="n">
        <v>1114.93</v>
      </c>
      <c r="C1394" s="14" t="n">
        <v>8.365</v>
      </c>
      <c r="D1394" s="14" t="n">
        <v>1.3826</v>
      </c>
      <c r="E1394" s="14" t="n">
        <v>1.198</v>
      </c>
      <c r="F1394" s="14" t="n">
        <v>6.5203</v>
      </c>
      <c r="G1394" s="14" t="n">
        <v>5.6107</v>
      </c>
      <c r="H1394" s="14" t="n">
        <v>108.78</v>
      </c>
      <c r="I1394" s="14" t="n">
        <v>1.1986</v>
      </c>
      <c r="J1394" s="14" t="n">
        <v>10.018</v>
      </c>
      <c r="K1394" s="14" t="n">
        <v>1335.7</v>
      </c>
      <c r="L1394" s="14" t="n">
        <v>0.86793</v>
      </c>
      <c r="M1394" s="14" t="n">
        <v>7.8157</v>
      </c>
      <c r="N1394" s="14" t="n">
        <v>6.74</v>
      </c>
      <c r="O1394" s="14" t="n">
        <v>130.37</v>
      </c>
      <c r="P1394" s="14" t="n">
        <v>8.3581</v>
      </c>
    </row>
    <row r="1395" customFormat="false" ht="15" hidden="false" customHeight="false" outlineLevel="0" collapsed="false">
      <c r="A1395" s="13" t="n">
        <v>44305</v>
      </c>
      <c r="B1395" s="14" t="n">
        <v>1115.03</v>
      </c>
      <c r="C1395" s="14" t="n">
        <v>8.3105</v>
      </c>
      <c r="D1395" s="14" t="n">
        <v>1.3977</v>
      </c>
      <c r="E1395" s="14" t="n">
        <v>1.2028</v>
      </c>
      <c r="F1395" s="14" t="n">
        <v>6.5085</v>
      </c>
      <c r="G1395" s="14" t="n">
        <v>5.5687</v>
      </c>
      <c r="H1395" s="14" t="n">
        <v>108.09</v>
      </c>
      <c r="I1395" s="14" t="n">
        <v>1.2035</v>
      </c>
      <c r="J1395" s="14" t="n">
        <v>9.9733</v>
      </c>
      <c r="K1395" s="14" t="n">
        <v>1340.89</v>
      </c>
      <c r="L1395" s="14" t="n">
        <v>0.86355</v>
      </c>
      <c r="M1395" s="14" t="n">
        <v>7.8323</v>
      </c>
      <c r="N1395" s="14" t="n">
        <v>6.7056</v>
      </c>
      <c r="O1395" s="14" t="n">
        <v>130.09</v>
      </c>
      <c r="P1395" s="14" t="n">
        <v>8.2869</v>
      </c>
    </row>
    <row r="1396" customFormat="false" ht="15" hidden="false" customHeight="false" outlineLevel="0" collapsed="false">
      <c r="A1396" s="13" t="n">
        <v>44306</v>
      </c>
      <c r="B1396" s="14" t="n">
        <v>1116.68</v>
      </c>
      <c r="C1396" s="14" t="n">
        <v>8.3365</v>
      </c>
      <c r="D1396" s="14" t="n">
        <v>1.3955</v>
      </c>
      <c r="E1396" s="14" t="n">
        <v>1.2045</v>
      </c>
      <c r="F1396" s="14" t="n">
        <v>6.4981</v>
      </c>
      <c r="G1396" s="14" t="n">
        <v>5.5185</v>
      </c>
      <c r="H1396" s="14" t="n">
        <v>108.07</v>
      </c>
      <c r="I1396" s="14" t="n">
        <v>1.2051</v>
      </c>
      <c r="J1396" s="14" t="n">
        <v>9.9965</v>
      </c>
      <c r="K1396" s="14" t="n">
        <v>1342.91</v>
      </c>
      <c r="L1396" s="14" t="n">
        <v>0.86295</v>
      </c>
      <c r="M1396" s="14" t="n">
        <v>7.8303</v>
      </c>
      <c r="N1396" s="14" t="n">
        <v>6.7117</v>
      </c>
      <c r="O1396" s="14" t="n">
        <v>130.64</v>
      </c>
      <c r="P1396" s="14" t="n">
        <v>8.2952</v>
      </c>
    </row>
    <row r="1397" customFormat="false" ht="15" hidden="false" customHeight="false" outlineLevel="0" collapsed="false">
      <c r="A1397" s="13" t="n">
        <v>44307</v>
      </c>
      <c r="B1397" s="14" t="n">
        <v>1117.8</v>
      </c>
      <c r="C1397" s="14" t="n">
        <v>8.338</v>
      </c>
      <c r="D1397" s="14" t="n">
        <v>1.3936</v>
      </c>
      <c r="E1397" s="14" t="n">
        <v>1.2033</v>
      </c>
      <c r="F1397" s="14" t="n">
        <v>6.4903</v>
      </c>
      <c r="G1397" s="14" t="n">
        <v>5.5687</v>
      </c>
      <c r="H1397" s="14" t="n">
        <v>108.09</v>
      </c>
      <c r="I1397" s="14" t="n">
        <v>1.2007</v>
      </c>
      <c r="J1397" s="14" t="n">
        <v>10.0423</v>
      </c>
      <c r="K1397" s="14" t="n">
        <v>1344.21</v>
      </c>
      <c r="L1397" s="14" t="n">
        <v>0.8625</v>
      </c>
      <c r="M1397" s="14" t="n">
        <v>7.8011</v>
      </c>
      <c r="N1397" s="14" t="n">
        <v>6.6869</v>
      </c>
      <c r="O1397" s="14" t="n">
        <v>129.8</v>
      </c>
      <c r="P1397" s="14" t="n">
        <v>8.3637</v>
      </c>
    </row>
    <row r="1398" customFormat="false" ht="15" hidden="false" customHeight="false" outlineLevel="0" collapsed="false">
      <c r="A1398" s="13" t="n">
        <v>44308</v>
      </c>
      <c r="B1398" s="14" t="n">
        <v>1117.3</v>
      </c>
      <c r="C1398" s="14" t="n">
        <v>8.3538</v>
      </c>
      <c r="D1398" s="14" t="n">
        <v>1.3851</v>
      </c>
      <c r="E1398" s="14" t="n">
        <v>1.2012</v>
      </c>
      <c r="F1398" s="14" t="n">
        <v>6.491</v>
      </c>
      <c r="G1398" s="14" t="n">
        <v>5.4971</v>
      </c>
      <c r="H1398" s="14" t="n">
        <v>108.17</v>
      </c>
      <c r="I1398" s="14" t="n">
        <v>1.2046</v>
      </c>
      <c r="J1398" s="14" t="n">
        <v>10.0475</v>
      </c>
      <c r="K1398" s="14" t="n">
        <v>1346.21</v>
      </c>
      <c r="L1398" s="14" t="n">
        <v>0.86855</v>
      </c>
      <c r="M1398" s="14" t="n">
        <v>7.8181</v>
      </c>
      <c r="N1398" s="14" t="n">
        <v>6.6546</v>
      </c>
      <c r="O1398" s="14" t="n">
        <v>130.3</v>
      </c>
      <c r="P1398" s="14" t="n">
        <v>8.3409</v>
      </c>
    </row>
    <row r="1399" customFormat="false" ht="15" hidden="false" customHeight="false" outlineLevel="0" collapsed="false">
      <c r="A1399" s="13" t="n">
        <v>44309</v>
      </c>
      <c r="B1399" s="14" t="n">
        <v>1115.1</v>
      </c>
      <c r="C1399" s="14" t="n">
        <v>8.3125</v>
      </c>
      <c r="D1399" s="14" t="n">
        <v>1.3845</v>
      </c>
      <c r="E1399" s="14" t="n">
        <v>1.2069</v>
      </c>
      <c r="F1399" s="14" t="n">
        <v>6.4945</v>
      </c>
      <c r="G1399" s="14" t="n">
        <v>5.5011</v>
      </c>
      <c r="H1399" s="14" t="n">
        <v>107.94</v>
      </c>
      <c r="I1399" s="14" t="n">
        <v>1.2066</v>
      </c>
      <c r="J1399" s="14" t="n">
        <v>10.043</v>
      </c>
      <c r="K1399" s="14" t="n">
        <v>1347.03</v>
      </c>
      <c r="L1399" s="14" t="n">
        <v>0.86905</v>
      </c>
      <c r="M1399" s="14" t="n">
        <v>7.832</v>
      </c>
      <c r="N1399" s="14" t="n">
        <v>6.5572</v>
      </c>
      <c r="O1399" s="14" t="n">
        <v>129.98</v>
      </c>
      <c r="P1399" s="14" t="n">
        <v>8.3234</v>
      </c>
    </row>
    <row r="1400" customFormat="false" ht="15" hidden="false" customHeight="false" outlineLevel="0" collapsed="false">
      <c r="A1400" s="13" t="n">
        <v>44312</v>
      </c>
      <c r="B1400" s="14" t="n">
        <v>1110.88</v>
      </c>
      <c r="C1400" s="14" t="n">
        <v>8.283</v>
      </c>
      <c r="D1400" s="14" t="n">
        <v>1.389</v>
      </c>
      <c r="E1400" s="14" t="n">
        <v>1.2083</v>
      </c>
      <c r="F1400" s="14" t="n">
        <v>6.4844</v>
      </c>
      <c r="G1400" s="14" t="n">
        <v>5.4508</v>
      </c>
      <c r="H1400" s="14" t="n">
        <v>108.12</v>
      </c>
      <c r="I1400" s="14" t="n">
        <v>1.2085</v>
      </c>
      <c r="J1400" s="14" t="n">
        <v>10.0358</v>
      </c>
      <c r="K1400" s="14" t="n">
        <v>1343.56</v>
      </c>
      <c r="L1400" s="14" t="n">
        <v>0.86975</v>
      </c>
      <c r="M1400" s="14" t="n">
        <v>7.8379</v>
      </c>
      <c r="N1400" s="14" t="n">
        <v>6.5895</v>
      </c>
      <c r="O1400" s="14" t="n">
        <v>130.54</v>
      </c>
      <c r="P1400" s="14" t="n">
        <v>8.3043</v>
      </c>
    </row>
    <row r="1401" customFormat="false" ht="15" hidden="false" customHeight="false" outlineLevel="0" collapsed="false">
      <c r="A1401" s="13" t="n">
        <v>44313</v>
      </c>
      <c r="B1401" s="14" t="n">
        <v>1109.6</v>
      </c>
      <c r="C1401" s="14" t="n">
        <v>8.2791</v>
      </c>
      <c r="D1401" s="14" t="n">
        <v>1.3908</v>
      </c>
      <c r="E1401" s="14" t="n">
        <v>1.2079</v>
      </c>
      <c r="F1401" s="14" t="n">
        <v>6.483</v>
      </c>
      <c r="G1401" s="14" t="n">
        <v>5.4342</v>
      </c>
      <c r="H1401" s="14" t="n">
        <v>108.56</v>
      </c>
      <c r="I1401" s="14" t="n">
        <v>1.2088</v>
      </c>
      <c r="J1401" s="14" t="n">
        <v>10.0073</v>
      </c>
      <c r="K1401" s="14" t="n">
        <v>1343.47</v>
      </c>
      <c r="L1401" s="14" t="n">
        <v>0.86895</v>
      </c>
      <c r="M1401" s="14" t="n">
        <v>7.8373</v>
      </c>
      <c r="N1401" s="14" t="n">
        <v>6.5723</v>
      </c>
      <c r="O1401" s="14" t="n">
        <v>130.88</v>
      </c>
      <c r="P1401" s="14" t="n">
        <v>8.2787</v>
      </c>
    </row>
    <row r="1402" customFormat="false" ht="15" hidden="false" customHeight="false" outlineLevel="0" collapsed="false">
      <c r="A1402" s="13" t="n">
        <v>44314</v>
      </c>
      <c r="B1402" s="14" t="n">
        <v>1112.28</v>
      </c>
      <c r="C1402" s="14" t="n">
        <v>8.2252</v>
      </c>
      <c r="D1402" s="14" t="n">
        <v>1.3917</v>
      </c>
      <c r="E1402" s="14" t="n">
        <v>1.2098</v>
      </c>
      <c r="F1402" s="14" t="n">
        <v>6.4771</v>
      </c>
      <c r="G1402" s="14" t="n">
        <v>5.3964</v>
      </c>
      <c r="H1402" s="14" t="n">
        <v>108.81</v>
      </c>
      <c r="I1402" s="14" t="n">
        <v>1.207</v>
      </c>
      <c r="J1402" s="14" t="n">
        <v>9.9795</v>
      </c>
      <c r="K1402" s="14" t="n">
        <v>1344.95</v>
      </c>
      <c r="L1402" s="14" t="n">
        <v>0.86988</v>
      </c>
      <c r="M1402" s="14" t="n">
        <v>7.8268</v>
      </c>
      <c r="N1402" s="14" t="n">
        <v>6.562</v>
      </c>
      <c r="O1402" s="14" t="n">
        <v>131.47</v>
      </c>
      <c r="P1402" s="14" t="n">
        <v>8.268</v>
      </c>
    </row>
    <row r="1403" customFormat="false" ht="15" hidden="false" customHeight="false" outlineLevel="0" collapsed="false">
      <c r="A1403" s="13" t="n">
        <v>44315</v>
      </c>
      <c r="B1403" s="14" t="n">
        <v>1108.54</v>
      </c>
      <c r="C1403" s="14" t="n">
        <v>8.2149</v>
      </c>
      <c r="D1403" s="14" t="n">
        <v>1.3956</v>
      </c>
      <c r="E1403" s="14" t="n">
        <v>1.211</v>
      </c>
      <c r="F1403" s="14" t="n">
        <v>6.471</v>
      </c>
      <c r="G1403" s="14" t="n">
        <v>5.3624</v>
      </c>
      <c r="H1403" s="14" t="n">
        <v>108.94</v>
      </c>
      <c r="I1403" s="14" t="n">
        <v>1.2129</v>
      </c>
      <c r="J1403" s="14" t="n">
        <v>9.9145</v>
      </c>
      <c r="K1403" s="14" t="n">
        <v>1343.39</v>
      </c>
      <c r="L1403" s="14" t="n">
        <v>0.8691</v>
      </c>
      <c r="M1403" s="14" t="n">
        <v>7.8463</v>
      </c>
      <c r="N1403" s="14" t="n">
        <v>6.4984</v>
      </c>
      <c r="O1403" s="14" t="n">
        <v>132.2</v>
      </c>
      <c r="P1403" s="14" t="n">
        <v>8.1742</v>
      </c>
    </row>
    <row r="1404" customFormat="false" ht="15" hidden="false" customHeight="false" outlineLevel="0" collapsed="false">
      <c r="A1404" s="13" t="n">
        <v>44316</v>
      </c>
      <c r="B1404" s="14" t="n">
        <v>1115.58</v>
      </c>
      <c r="C1404" s="14" t="n">
        <v>8.3031</v>
      </c>
      <c r="D1404" s="14" t="n">
        <v>1.3838</v>
      </c>
      <c r="E1404" s="14" t="n">
        <v>1.203</v>
      </c>
      <c r="F1404" s="14" t="n">
        <v>6.4749</v>
      </c>
      <c r="G1404" s="14" t="n">
        <v>5.4194</v>
      </c>
      <c r="H1404" s="14" t="n">
        <v>109.33</v>
      </c>
      <c r="I1404" s="14" t="n">
        <v>1.2082</v>
      </c>
      <c r="J1404" s="14" t="n">
        <v>9.9533</v>
      </c>
      <c r="K1404" s="14" t="n">
        <v>1346.24</v>
      </c>
      <c r="L1404" s="14" t="n">
        <v>0.86863</v>
      </c>
      <c r="M1404" s="14" t="n">
        <v>7.8134</v>
      </c>
      <c r="N1404" s="14" t="n">
        <v>6.4597</v>
      </c>
      <c r="O1404" s="14" t="n">
        <v>131.62</v>
      </c>
      <c r="P1404" s="14" t="n">
        <v>8.2381</v>
      </c>
    </row>
    <row r="1405" customFormat="false" ht="15" hidden="false" customHeight="false" outlineLevel="0" collapsed="false">
      <c r="A1405" s="13" t="n">
        <v>44319</v>
      </c>
      <c r="B1405" s="14" t="n">
        <v>1122.88</v>
      </c>
      <c r="C1405" s="14" t="n">
        <v>8.2867</v>
      </c>
      <c r="D1405" s="14" t="n">
        <v>1.3913</v>
      </c>
      <c r="E1405" s="14" t="n">
        <v>1.2059</v>
      </c>
      <c r="F1405" s="14" t="n">
        <v>6.4749</v>
      </c>
      <c r="G1405" s="14" t="n">
        <v>5.3857</v>
      </c>
      <c r="H1405" s="14" t="n">
        <v>109.08</v>
      </c>
      <c r="I1405" s="14" t="n">
        <v>1.2044</v>
      </c>
      <c r="J1405" s="14" t="n">
        <v>10.016</v>
      </c>
      <c r="K1405" s="14" t="n">
        <v>1351.95</v>
      </c>
      <c r="L1405" s="14" t="n">
        <v>0.86838</v>
      </c>
      <c r="M1405" s="14" t="n">
        <v>7.7967</v>
      </c>
      <c r="N1405" s="14" t="n">
        <v>6.5507</v>
      </c>
      <c r="O1405" s="14" t="n">
        <v>131.9</v>
      </c>
      <c r="P1405" s="14" t="n">
        <v>8.3162</v>
      </c>
    </row>
    <row r="1406" customFormat="false" ht="15" hidden="false" customHeight="false" outlineLevel="0" collapsed="false">
      <c r="A1406" s="13" t="n">
        <v>44320</v>
      </c>
      <c r="B1406" s="14" t="n">
        <v>1122.05</v>
      </c>
      <c r="C1406" s="14" t="n">
        <v>8.3577</v>
      </c>
      <c r="D1406" s="14" t="n">
        <v>1.3873</v>
      </c>
      <c r="E1406" s="14" t="n">
        <v>1.2014</v>
      </c>
      <c r="F1406" s="14" t="n">
        <v>6.4749</v>
      </c>
      <c r="G1406" s="14" t="n">
        <v>5.449</v>
      </c>
      <c r="H1406" s="14" t="n">
        <v>109.34</v>
      </c>
      <c r="I1406" s="14" t="n">
        <v>1.2021</v>
      </c>
      <c r="J1406" s="14" t="n">
        <v>10.0123</v>
      </c>
      <c r="K1406" s="14" t="n">
        <v>1353.56</v>
      </c>
      <c r="L1406" s="14" t="n">
        <v>0.8677</v>
      </c>
      <c r="M1406" s="14" t="n">
        <v>7.8136</v>
      </c>
      <c r="N1406" s="14" t="n">
        <v>6.5785</v>
      </c>
      <c r="O1406" s="14" t="n">
        <v>131.26</v>
      </c>
      <c r="P1406" s="14" t="n">
        <v>8.329</v>
      </c>
    </row>
    <row r="1407" customFormat="false" ht="15" hidden="false" customHeight="false" outlineLevel="0" collapsed="false">
      <c r="A1407" s="13" t="n">
        <v>44321</v>
      </c>
      <c r="B1407" s="14" t="n">
        <v>1125.82</v>
      </c>
      <c r="C1407" s="14" t="n">
        <v>8.3519</v>
      </c>
      <c r="D1407" s="14" t="n">
        <v>1.3913</v>
      </c>
      <c r="E1407" s="14" t="n">
        <v>1.2003</v>
      </c>
      <c r="F1407" s="14" t="n">
        <v>6.4749</v>
      </c>
      <c r="G1407" s="14" t="n">
        <v>5.3648</v>
      </c>
      <c r="H1407" s="14" t="n">
        <v>109.27</v>
      </c>
      <c r="I1407" s="14" t="n">
        <v>1.2005</v>
      </c>
      <c r="J1407" s="14" t="n">
        <v>9.9848</v>
      </c>
      <c r="K1407" s="14" t="n">
        <v>1350.98</v>
      </c>
      <c r="L1407" s="14" t="n">
        <v>0.86274</v>
      </c>
      <c r="M1407" s="14" t="n">
        <v>7.7636</v>
      </c>
      <c r="N1407" s="14" t="n">
        <v>6.5174</v>
      </c>
      <c r="O1407" s="14" t="n">
        <v>131.2</v>
      </c>
      <c r="P1407" s="14" t="n">
        <v>8.3172</v>
      </c>
    </row>
    <row r="1408" customFormat="false" ht="15" hidden="false" customHeight="false" outlineLevel="0" collapsed="false">
      <c r="A1408" s="13" t="n">
        <v>44322</v>
      </c>
      <c r="B1408" s="14" t="n">
        <v>1121.94</v>
      </c>
      <c r="C1408" s="14" t="n">
        <v>8.3175</v>
      </c>
      <c r="D1408" s="14" t="n">
        <v>1.388</v>
      </c>
      <c r="E1408" s="14" t="n">
        <v>1.2049</v>
      </c>
      <c r="F1408" s="14" t="n">
        <v>6.4635</v>
      </c>
      <c r="G1408" s="14" t="n">
        <v>5.2804</v>
      </c>
      <c r="H1408" s="14" t="n">
        <v>109.17</v>
      </c>
      <c r="I1408" s="14" t="n">
        <v>1.206</v>
      </c>
      <c r="J1408" s="14" t="n">
        <v>10.0558</v>
      </c>
      <c r="K1408" s="14" t="n">
        <v>1352.78</v>
      </c>
      <c r="L1408" s="14" t="n">
        <v>0.86708</v>
      </c>
      <c r="M1408" s="14" t="n">
        <v>7.8054</v>
      </c>
      <c r="N1408" s="14" t="n">
        <v>6.4707</v>
      </c>
      <c r="O1408" s="14" t="n">
        <v>131.69</v>
      </c>
      <c r="P1408" s="14" t="n">
        <v>8.3381</v>
      </c>
    </row>
    <row r="1409" customFormat="false" ht="15" hidden="false" customHeight="false" outlineLevel="0" collapsed="false">
      <c r="A1409" s="13" t="n">
        <v>44323</v>
      </c>
      <c r="B1409" s="14" t="n">
        <v>1121.06</v>
      </c>
      <c r="C1409" s="14" t="n">
        <v>8.2085</v>
      </c>
      <c r="D1409" s="14" t="n">
        <v>1.4</v>
      </c>
      <c r="E1409" s="14" t="n">
        <v>1.2165</v>
      </c>
      <c r="F1409" s="14" t="n">
        <v>6.431</v>
      </c>
      <c r="G1409" s="14" t="n">
        <v>5.214</v>
      </c>
      <c r="H1409" s="14" t="n">
        <v>108.52</v>
      </c>
      <c r="I1409" s="14" t="n">
        <v>1.2059</v>
      </c>
      <c r="J1409" s="14" t="n">
        <v>10.0125</v>
      </c>
      <c r="K1409" s="14" t="n">
        <v>1350.52</v>
      </c>
      <c r="L1409" s="14" t="n">
        <v>0.8681</v>
      </c>
      <c r="M1409" s="14" t="n">
        <v>7.7809</v>
      </c>
      <c r="N1409" s="14" t="n">
        <v>6.3801</v>
      </c>
      <c r="O1409" s="14" t="n">
        <v>131.76</v>
      </c>
      <c r="P1409" s="14" t="n">
        <v>8.3029</v>
      </c>
    </row>
    <row r="1410" customFormat="false" ht="15" hidden="false" customHeight="false" outlineLevel="0" collapsed="false">
      <c r="A1410" s="13" t="n">
        <v>44326</v>
      </c>
      <c r="B1410" s="14" t="n">
        <v>1112.28</v>
      </c>
      <c r="C1410" s="14" t="n">
        <v>8.2294</v>
      </c>
      <c r="D1410" s="14" t="n">
        <v>1.4153</v>
      </c>
      <c r="E1410" s="14" t="n">
        <v>1.217</v>
      </c>
      <c r="F1410" s="14" t="n">
        <v>6.4156</v>
      </c>
      <c r="G1410" s="14" t="n">
        <v>5.2244</v>
      </c>
      <c r="H1410" s="14" t="n">
        <v>108.7</v>
      </c>
      <c r="I1410" s="14" t="n">
        <v>1.2169</v>
      </c>
      <c r="J1410" s="14" t="n">
        <v>10.0008</v>
      </c>
      <c r="K1410" s="14" t="n">
        <v>1353.14</v>
      </c>
      <c r="L1410" s="14" t="n">
        <v>0.86195</v>
      </c>
      <c r="M1410" s="14" t="n">
        <v>7.8045</v>
      </c>
      <c r="N1410" s="14" t="n">
        <v>6.3848</v>
      </c>
      <c r="O1410" s="14" t="n">
        <v>132.31</v>
      </c>
      <c r="P1410" s="14" t="n">
        <v>8.2183</v>
      </c>
    </row>
    <row r="1411" customFormat="false" ht="15" hidden="false" customHeight="false" outlineLevel="0" collapsed="false">
      <c r="A1411" s="13" t="n">
        <v>44327</v>
      </c>
      <c r="B1411" s="14" t="n">
        <v>1119.38</v>
      </c>
      <c r="C1411" s="14" t="n">
        <v>8.2523</v>
      </c>
      <c r="D1411" s="14" t="n">
        <v>1.4149</v>
      </c>
      <c r="E1411" s="14" t="n">
        <v>1.2169</v>
      </c>
      <c r="F1411" s="14" t="n">
        <v>6.4285</v>
      </c>
      <c r="G1411" s="14" t="n">
        <v>5.2124</v>
      </c>
      <c r="H1411" s="14" t="n">
        <v>108.53</v>
      </c>
      <c r="I1411" s="14" t="n">
        <v>1.217</v>
      </c>
      <c r="J1411" s="14" t="n">
        <v>10.032</v>
      </c>
      <c r="K1411" s="14" t="n">
        <v>1361.23</v>
      </c>
      <c r="L1411" s="14" t="n">
        <v>0.86013</v>
      </c>
      <c r="M1411" s="14" t="n">
        <v>7.8177</v>
      </c>
      <c r="N1411" s="14" t="n">
        <v>6.3576</v>
      </c>
      <c r="O1411" s="14" t="n">
        <v>132.12</v>
      </c>
      <c r="P1411" s="14" t="n">
        <v>8.2432</v>
      </c>
    </row>
    <row r="1412" customFormat="false" ht="15" hidden="false" customHeight="false" outlineLevel="0" collapsed="false">
      <c r="A1412" s="13" t="n">
        <v>44328</v>
      </c>
      <c r="B1412" s="14" t="n">
        <v>1124.33</v>
      </c>
      <c r="C1412" s="14" t="n">
        <v>8.3276</v>
      </c>
      <c r="D1412" s="14" t="n">
        <v>1.4081</v>
      </c>
      <c r="E1412" s="14" t="n">
        <v>1.2074</v>
      </c>
      <c r="F1412" s="14" t="n">
        <v>6.4566</v>
      </c>
      <c r="G1412" s="14" t="n">
        <v>5.2529</v>
      </c>
      <c r="H1412" s="14" t="n">
        <v>109.53</v>
      </c>
      <c r="I1412" s="14" t="n">
        <v>1.2118</v>
      </c>
      <c r="J1412" s="14" t="n">
        <v>10.0263</v>
      </c>
      <c r="K1412" s="14" t="n">
        <v>1362.98</v>
      </c>
      <c r="L1412" s="14" t="n">
        <v>0.85798</v>
      </c>
      <c r="M1412" s="14" t="n">
        <v>7.8051</v>
      </c>
      <c r="N1412" s="14" t="n">
        <v>6.349</v>
      </c>
      <c r="O1412" s="14" t="n">
        <v>131.82</v>
      </c>
      <c r="P1412" s="14" t="n">
        <v>8.2739</v>
      </c>
    </row>
    <row r="1413" customFormat="false" ht="15" hidden="false" customHeight="false" outlineLevel="0" collapsed="false">
      <c r="A1413" s="13" t="n">
        <v>44329</v>
      </c>
      <c r="B1413" s="14" t="n">
        <v>1130.35</v>
      </c>
      <c r="C1413" s="14" t="n">
        <v>8.3788</v>
      </c>
      <c r="D1413" s="14" t="n">
        <v>1.4033</v>
      </c>
      <c r="E1413" s="14" t="n">
        <v>1.207</v>
      </c>
      <c r="F1413" s="14" t="n">
        <v>6.4506</v>
      </c>
      <c r="G1413" s="14" t="n">
        <v>5.2793</v>
      </c>
      <c r="H1413" s="14" t="n">
        <v>109.56</v>
      </c>
      <c r="I1413" s="14" t="n">
        <v>1.2081</v>
      </c>
      <c r="J1413" s="14" t="n">
        <v>10.127</v>
      </c>
      <c r="K1413" s="14" t="n">
        <v>1368.03</v>
      </c>
      <c r="L1413" s="14" t="n">
        <v>0.86063</v>
      </c>
      <c r="M1413" s="14" t="n">
        <v>7.7969</v>
      </c>
      <c r="N1413" s="14" t="n">
        <v>6.4027</v>
      </c>
      <c r="O1413" s="14" t="n">
        <v>132.37</v>
      </c>
    </row>
    <row r="1414" customFormat="false" ht="15" hidden="false" customHeight="false" outlineLevel="0" collapsed="false">
      <c r="A1414" s="13" t="n">
        <v>44330</v>
      </c>
      <c r="B1414" s="14" t="n">
        <v>1126.76</v>
      </c>
      <c r="C1414" s="14" t="n">
        <v>8.2371</v>
      </c>
      <c r="D1414" s="14" t="n">
        <v>1.4096</v>
      </c>
      <c r="E1414" s="14" t="n">
        <v>1.2141</v>
      </c>
      <c r="F1414" s="14" t="n">
        <v>6.4367</v>
      </c>
      <c r="G1414" s="14" t="n">
        <v>5.2574</v>
      </c>
      <c r="H1414" s="14" t="n">
        <v>109.37</v>
      </c>
      <c r="I1414" s="14" t="n">
        <v>1.2123</v>
      </c>
      <c r="J1414" s="14" t="n">
        <v>10.0074</v>
      </c>
      <c r="K1414" s="14" t="n">
        <v>1368.07</v>
      </c>
      <c r="L1414" s="14" t="n">
        <v>0.86083</v>
      </c>
      <c r="M1414" s="14" t="n">
        <v>7.8024</v>
      </c>
      <c r="N1414" s="14" t="n">
        <v>6.3942</v>
      </c>
      <c r="O1414" s="14" t="n">
        <v>132.49</v>
      </c>
      <c r="P1414" s="14" t="n">
        <v>8.2549</v>
      </c>
    </row>
    <row r="1415" customFormat="false" ht="15" hidden="false" customHeight="false" outlineLevel="0" collapsed="false">
      <c r="A1415" s="13" t="n">
        <v>44333</v>
      </c>
      <c r="B1415" s="14" t="n">
        <v>1136.03</v>
      </c>
      <c r="C1415" s="14" t="n">
        <v>8.2655</v>
      </c>
      <c r="D1415" s="14" t="n">
        <v>1.4127</v>
      </c>
      <c r="E1415" s="14" t="n">
        <v>1.2155</v>
      </c>
      <c r="F1415" s="14" t="n">
        <v>6.4388</v>
      </c>
      <c r="G1415" s="14" t="n">
        <v>5.2594</v>
      </c>
      <c r="H1415" s="14" t="n">
        <v>109.17</v>
      </c>
      <c r="I1415" s="14" t="n">
        <v>1.2143</v>
      </c>
      <c r="J1415" s="14" t="n">
        <v>10.0665</v>
      </c>
      <c r="K1415" s="14" t="n">
        <v>1382.18</v>
      </c>
      <c r="L1415" s="14" t="n">
        <v>0.86215</v>
      </c>
      <c r="M1415" s="14" t="n">
        <v>7.8226</v>
      </c>
      <c r="N1415" s="14" t="n">
        <v>6.4365</v>
      </c>
      <c r="O1415" s="14" t="n">
        <v>132.6</v>
      </c>
    </row>
    <row r="1416" customFormat="false" ht="15" hidden="false" customHeight="false" outlineLevel="0" collapsed="false">
      <c r="A1416" s="13" t="n">
        <v>44334</v>
      </c>
      <c r="B1416" s="14" t="n">
        <v>1129.67</v>
      </c>
      <c r="C1416" s="14" t="n">
        <v>8.2179</v>
      </c>
      <c r="D1416" s="14" t="n">
        <v>1.4184</v>
      </c>
      <c r="E1416" s="14" t="n">
        <v>1.2203</v>
      </c>
      <c r="F1416" s="14" t="n">
        <v>6.425</v>
      </c>
      <c r="G1416" s="14" t="n">
        <v>5.2359</v>
      </c>
      <c r="H1416" s="14" t="n">
        <v>109.01</v>
      </c>
      <c r="I1416" s="14" t="n">
        <v>1.2222</v>
      </c>
      <c r="J1416" s="14" t="n">
        <v>10.0125</v>
      </c>
      <c r="K1416" s="14" t="n">
        <v>1378.11</v>
      </c>
      <c r="L1416" s="14" t="n">
        <v>0.85998</v>
      </c>
      <c r="M1416" s="14" t="n">
        <v>7.8501</v>
      </c>
      <c r="N1416" s="14" t="n">
        <v>6.4085</v>
      </c>
      <c r="O1416" s="14" t="n">
        <v>133.09</v>
      </c>
      <c r="P1416" s="14" t="n">
        <v>8.1922</v>
      </c>
    </row>
    <row r="1417" customFormat="false" ht="15" hidden="false" customHeight="false" outlineLevel="0" collapsed="false">
      <c r="A1417" s="13" t="n">
        <v>44335</v>
      </c>
      <c r="B1417" s="14" t="n">
        <v>1128.18</v>
      </c>
      <c r="C1417" s="14" t="n">
        <v>8.2839</v>
      </c>
      <c r="D1417" s="14" t="n">
        <v>1.4169</v>
      </c>
      <c r="E1417" s="14" t="n">
        <v>1.2216</v>
      </c>
      <c r="F1417" s="14" t="n">
        <v>6.4342</v>
      </c>
      <c r="G1417" s="14" t="n">
        <v>5.265</v>
      </c>
      <c r="H1417" s="14" t="n">
        <v>108.76</v>
      </c>
      <c r="I1417" s="14" t="n">
        <v>1.2212</v>
      </c>
      <c r="J1417" s="14" t="n">
        <v>10.1058</v>
      </c>
      <c r="K1417" s="14" t="n">
        <v>1379.9</v>
      </c>
      <c r="L1417" s="14" t="n">
        <v>0.86233</v>
      </c>
      <c r="M1417" s="14" t="n">
        <v>7.8594</v>
      </c>
      <c r="N1417" s="14" t="n">
        <v>6.452</v>
      </c>
      <c r="O1417" s="14" t="n">
        <v>133.3</v>
      </c>
      <c r="P1417" s="14" t="n">
        <v>8.2753</v>
      </c>
    </row>
    <row r="1418" customFormat="false" ht="15" hidden="false" customHeight="false" outlineLevel="0" collapsed="false">
      <c r="A1418" s="13" t="n">
        <v>44336</v>
      </c>
      <c r="B1418" s="14" t="n">
        <v>1127.74</v>
      </c>
      <c r="C1418" s="14" t="n">
        <v>8.2933</v>
      </c>
      <c r="D1418" s="14" t="n">
        <v>1.4182</v>
      </c>
      <c r="E1418" s="14" t="n">
        <v>1.2225</v>
      </c>
      <c r="F1418" s="14" t="n">
        <v>6.4339</v>
      </c>
      <c r="G1418" s="14" t="n">
        <v>5.2831</v>
      </c>
      <c r="H1418" s="14" t="n">
        <v>108.79</v>
      </c>
      <c r="I1418" s="14" t="n">
        <v>1.2203</v>
      </c>
      <c r="J1418" s="14" t="n">
        <v>10.1775</v>
      </c>
      <c r="K1418" s="14" t="n">
        <v>1379.9</v>
      </c>
      <c r="L1418" s="14" t="n">
        <v>0.864</v>
      </c>
      <c r="M1418" s="14" t="n">
        <v>7.8563</v>
      </c>
      <c r="N1418" s="14" t="n">
        <v>6.4567</v>
      </c>
      <c r="O1418" s="14" t="n">
        <v>132.95</v>
      </c>
      <c r="P1418" s="14" t="n">
        <v>8.3402</v>
      </c>
    </row>
    <row r="1419" customFormat="false" ht="15" hidden="false" customHeight="false" outlineLevel="0" collapsed="false">
      <c r="A1419" s="13" t="n">
        <v>44337</v>
      </c>
      <c r="B1419" s="14" t="n">
        <v>1126.59</v>
      </c>
      <c r="C1419" s="14" t="n">
        <v>8.3992</v>
      </c>
      <c r="D1419" s="14" t="n">
        <v>1.4158</v>
      </c>
      <c r="E1419" s="14" t="n">
        <v>1.2178</v>
      </c>
      <c r="F1419" s="14" t="n">
        <v>6.4339</v>
      </c>
      <c r="G1419" s="14" t="n">
        <v>5.3235</v>
      </c>
      <c r="H1419" s="14" t="n">
        <v>108.94</v>
      </c>
      <c r="I1419" s="14" t="n">
        <v>1.2188</v>
      </c>
      <c r="J1419" s="14" t="n">
        <v>10.142</v>
      </c>
      <c r="K1419" s="14" t="n">
        <v>1373.05</v>
      </c>
      <c r="L1419" s="14" t="n">
        <v>0.8587</v>
      </c>
      <c r="M1419" s="14" t="n">
        <v>7.8393</v>
      </c>
      <c r="N1419" s="14" t="n">
        <v>6.4628</v>
      </c>
      <c r="O1419" s="14" t="n">
        <v>132.61</v>
      </c>
      <c r="P1419" s="14" t="n">
        <v>8.3213</v>
      </c>
    </row>
    <row r="1420" customFormat="false" ht="15" hidden="false" customHeight="false" outlineLevel="0" collapsed="false">
      <c r="A1420" s="13" t="n">
        <v>44340</v>
      </c>
      <c r="B1420" s="14" t="n">
        <v>1125.28</v>
      </c>
      <c r="C1420" s="14" t="n">
        <v>8.3577</v>
      </c>
      <c r="D1420" s="14" t="n">
        <v>1.4147</v>
      </c>
      <c r="E1420" s="14" t="n">
        <v>1.221</v>
      </c>
      <c r="F1420" s="14" t="n">
        <v>6.4177</v>
      </c>
      <c r="G1420" s="14" t="n">
        <v>5.3223</v>
      </c>
      <c r="H1420" s="14" t="n">
        <v>108.81</v>
      </c>
      <c r="I1420" s="14" t="n">
        <v>1.2212</v>
      </c>
      <c r="J1420" s="14" t="n">
        <v>10.209</v>
      </c>
      <c r="K1420" s="14" t="n">
        <v>1375.43</v>
      </c>
      <c r="L1420" s="14" t="n">
        <v>0.86408</v>
      </c>
      <c r="M1420" s="14" t="n">
        <v>7.8487</v>
      </c>
      <c r="N1420" s="14" t="n">
        <v>6.5299</v>
      </c>
      <c r="O1420" s="14" t="n">
        <v>132.97</v>
      </c>
    </row>
    <row r="1421" customFormat="false" ht="15" hidden="false" customHeight="false" outlineLevel="0" collapsed="false">
      <c r="A1421" s="13" t="n">
        <v>44341</v>
      </c>
      <c r="B1421" s="14" t="n">
        <v>1123.21</v>
      </c>
      <c r="C1421" s="14" t="n">
        <v>8.3231</v>
      </c>
      <c r="D1421" s="14" t="n">
        <v>1.4123</v>
      </c>
      <c r="E1421" s="14" t="n">
        <v>1.2233</v>
      </c>
      <c r="F1421" s="14" t="n">
        <v>6.41</v>
      </c>
      <c r="G1421" s="14" t="n">
        <v>5.306</v>
      </c>
      <c r="H1421" s="14" t="n">
        <v>108.95</v>
      </c>
      <c r="I1421" s="14" t="n">
        <v>1.2264</v>
      </c>
      <c r="J1421" s="14" t="n">
        <v>10.1965</v>
      </c>
      <c r="K1421" s="14" t="n">
        <v>1375.57</v>
      </c>
      <c r="L1421" s="14" t="n">
        <v>0.86573</v>
      </c>
      <c r="M1421" s="14" t="n">
        <v>7.856</v>
      </c>
      <c r="N1421" s="14" t="n">
        <v>6.497</v>
      </c>
      <c r="O1421" s="14" t="n">
        <v>133.49</v>
      </c>
      <c r="P1421" s="14" t="n">
        <v>8.3142</v>
      </c>
    </row>
    <row r="1422" customFormat="false" ht="15" hidden="false" customHeight="false" outlineLevel="0" collapsed="false">
      <c r="A1422" s="13" t="n">
        <v>44342</v>
      </c>
      <c r="B1422" s="14" t="n">
        <v>1117.63</v>
      </c>
      <c r="C1422" s="14" t="n">
        <v>8.349</v>
      </c>
      <c r="D1422" s="14" t="n">
        <v>1.4129</v>
      </c>
      <c r="E1422" s="14" t="n">
        <v>1.2204</v>
      </c>
      <c r="F1422" s="14" t="n">
        <v>6.3905</v>
      </c>
      <c r="G1422" s="14" t="n">
        <v>5.3062</v>
      </c>
      <c r="H1422" s="14" t="n">
        <v>109.1</v>
      </c>
      <c r="I1422" s="14" t="n">
        <v>1.2229</v>
      </c>
      <c r="J1422" s="14" t="n">
        <v>10.178</v>
      </c>
      <c r="K1422" s="14" t="n">
        <v>1366</v>
      </c>
      <c r="L1422" s="14" t="n">
        <v>0.8633</v>
      </c>
      <c r="M1422" s="14" t="n">
        <v>7.8149</v>
      </c>
      <c r="N1422" s="14" t="n">
        <v>6.5006</v>
      </c>
      <c r="O1422" s="14" t="n">
        <v>133.16</v>
      </c>
      <c r="P1422" s="14" t="n">
        <v>8.3228</v>
      </c>
    </row>
    <row r="1423" customFormat="false" ht="15" hidden="false" customHeight="false" outlineLevel="0" collapsed="false">
      <c r="A1423" s="13" t="n">
        <v>44343</v>
      </c>
      <c r="B1423" s="14" t="n">
        <v>1117.47</v>
      </c>
      <c r="C1423" s="14" t="n">
        <v>8.3615</v>
      </c>
      <c r="D1423" s="14" t="n">
        <v>1.4172</v>
      </c>
      <c r="E1423" s="14" t="n">
        <v>1.2194</v>
      </c>
      <c r="F1423" s="14" t="n">
        <v>6.3824</v>
      </c>
      <c r="G1423" s="14" t="n">
        <v>5.2642</v>
      </c>
      <c r="H1423" s="14" t="n">
        <v>109.81</v>
      </c>
      <c r="I1423" s="14" t="n">
        <v>1.2198</v>
      </c>
      <c r="J1423" s="14" t="n">
        <v>10.1953</v>
      </c>
      <c r="K1423" s="14" t="n">
        <v>1362.64</v>
      </c>
      <c r="L1423" s="14" t="n">
        <v>0.86068</v>
      </c>
      <c r="M1423" s="14" t="n">
        <v>7.7808</v>
      </c>
      <c r="N1423" s="14" t="n">
        <v>6.4683</v>
      </c>
      <c r="O1423" s="14" t="n">
        <v>133.42</v>
      </c>
      <c r="P1423" s="14" t="n">
        <v>8.3582</v>
      </c>
    </row>
    <row r="1424" customFormat="false" ht="15" hidden="false" customHeight="false" outlineLevel="0" collapsed="false">
      <c r="A1424" s="13" t="n">
        <v>44344</v>
      </c>
      <c r="B1424" s="14" t="n">
        <v>1114.48</v>
      </c>
      <c r="C1424" s="14" t="n">
        <v>8.347</v>
      </c>
      <c r="D1424" s="14" t="n">
        <v>1.4188</v>
      </c>
      <c r="E1424" s="14" t="n">
        <v>1.2194</v>
      </c>
      <c r="F1424" s="14" t="n">
        <v>6.3674</v>
      </c>
      <c r="G1424" s="14" t="n">
        <v>5.2187</v>
      </c>
      <c r="H1424" s="14" t="n">
        <v>109.83</v>
      </c>
      <c r="I1424" s="14" t="n">
        <v>1.2142</v>
      </c>
      <c r="J1424" s="14" t="n">
        <v>10.179</v>
      </c>
      <c r="K1424" s="14" t="n">
        <v>1355.86</v>
      </c>
      <c r="L1424" s="14" t="n">
        <v>0.85765</v>
      </c>
      <c r="M1424" s="14" t="n">
        <v>7.7422</v>
      </c>
      <c r="N1424" s="14" t="n">
        <v>6.3844</v>
      </c>
      <c r="O1424" s="14" t="n">
        <v>133.65</v>
      </c>
      <c r="P1424" s="14" t="n">
        <v>8.3833</v>
      </c>
    </row>
    <row r="1425" customFormat="false" ht="15" hidden="false" customHeight="false" outlineLevel="0" collapsed="false">
      <c r="A1425" s="13" t="n">
        <v>44347</v>
      </c>
      <c r="I1425" s="14" t="n">
        <v>1.2201</v>
      </c>
      <c r="J1425" s="14" t="n">
        <v>10.2183</v>
      </c>
      <c r="K1425" s="14" t="n">
        <v>1352.04</v>
      </c>
      <c r="L1425" s="14" t="n">
        <v>0.86013</v>
      </c>
      <c r="M1425" s="14" t="n">
        <v>7.7722</v>
      </c>
      <c r="N1425" s="14" t="n">
        <v>6.3868</v>
      </c>
      <c r="O1425" s="14" t="n">
        <v>133.79</v>
      </c>
      <c r="P1425" s="14" t="n">
        <v>8.375</v>
      </c>
    </row>
    <row r="1426" customFormat="false" ht="15" hidden="false" customHeight="false" outlineLevel="0" collapsed="false">
      <c r="A1426" s="13" t="n">
        <v>44348</v>
      </c>
      <c r="B1426" s="14" t="n">
        <v>1106.43</v>
      </c>
      <c r="C1426" s="14" t="n">
        <v>8.3051</v>
      </c>
      <c r="D1426" s="14" t="n">
        <v>1.4168</v>
      </c>
      <c r="E1426" s="14" t="n">
        <v>1.2241</v>
      </c>
      <c r="F1426" s="14" t="n">
        <v>6.3796</v>
      </c>
      <c r="G1426" s="14" t="n">
        <v>5.1631</v>
      </c>
      <c r="H1426" s="14" t="n">
        <v>109.43</v>
      </c>
      <c r="I1426" s="14" t="n">
        <v>1.2225</v>
      </c>
      <c r="J1426" s="14" t="n">
        <v>10.1113</v>
      </c>
      <c r="K1426" s="14" t="n">
        <v>1355.39</v>
      </c>
      <c r="L1426" s="14" t="n">
        <v>0.86285</v>
      </c>
      <c r="M1426" s="14" t="n">
        <v>7.8043</v>
      </c>
      <c r="N1426" s="14" t="n">
        <v>6.3596</v>
      </c>
      <c r="O1426" s="14" t="n">
        <v>134.05</v>
      </c>
      <c r="P1426" s="14" t="n">
        <v>8.271</v>
      </c>
    </row>
    <row r="1427" customFormat="false" ht="15" hidden="false" customHeight="false" outlineLevel="0" collapsed="false">
      <c r="A1427" s="13" t="n">
        <v>44349</v>
      </c>
      <c r="B1427" s="14" t="n">
        <v>1110.37</v>
      </c>
      <c r="C1427" s="14" t="n">
        <v>8.2982</v>
      </c>
      <c r="D1427" s="14" t="n">
        <v>1.4177</v>
      </c>
      <c r="E1427" s="14" t="n">
        <v>1.2213</v>
      </c>
      <c r="F1427" s="14" t="n">
        <v>6.3805</v>
      </c>
      <c r="G1427" s="14" t="n">
        <v>5.0743</v>
      </c>
      <c r="H1427" s="14" t="n">
        <v>109.59</v>
      </c>
      <c r="I1427" s="14" t="n">
        <v>1.2186</v>
      </c>
      <c r="J1427" s="14" t="n">
        <v>10.1393</v>
      </c>
      <c r="K1427" s="14" t="n">
        <v>1356.11</v>
      </c>
      <c r="L1427" s="14" t="n">
        <v>0.86125</v>
      </c>
      <c r="M1427" s="14" t="n">
        <v>7.7812</v>
      </c>
      <c r="N1427" s="14" t="n">
        <v>6.2891</v>
      </c>
      <c r="O1427" s="14" t="n">
        <v>133.72</v>
      </c>
      <c r="P1427" s="14" t="n">
        <v>8.3204</v>
      </c>
    </row>
    <row r="1428" customFormat="false" ht="15" hidden="false" customHeight="false" outlineLevel="0" collapsed="false">
      <c r="A1428" s="13" t="n">
        <v>44350</v>
      </c>
      <c r="B1428" s="14" t="n">
        <v>1117.63</v>
      </c>
      <c r="C1428" s="14" t="n">
        <v>8.3899</v>
      </c>
      <c r="D1428" s="14" t="n">
        <v>1.4099</v>
      </c>
      <c r="E1428" s="14" t="n">
        <v>1.2122</v>
      </c>
      <c r="F1428" s="14" t="n">
        <v>6.4036</v>
      </c>
      <c r="G1428" s="14" t="n">
        <v>5.0777</v>
      </c>
      <c r="H1428" s="14" t="n">
        <v>110.28</v>
      </c>
      <c r="I1428" s="14" t="n">
        <v>1.2187</v>
      </c>
      <c r="J1428" s="14" t="n">
        <v>10.1501</v>
      </c>
      <c r="K1428" s="14" t="n">
        <v>1357.75</v>
      </c>
      <c r="L1428" s="14" t="n">
        <v>0.85955</v>
      </c>
      <c r="M1428" s="14" t="n">
        <v>7.791</v>
      </c>
      <c r="N1428" s="14" t="n">
        <v>6.1894</v>
      </c>
      <c r="O1428" s="14" t="n">
        <v>133.81</v>
      </c>
      <c r="P1428" s="14" t="n">
        <v>8.3286</v>
      </c>
    </row>
    <row r="1429" customFormat="false" ht="15" hidden="false" customHeight="false" outlineLevel="0" collapsed="false">
      <c r="A1429" s="13" t="n">
        <v>44351</v>
      </c>
      <c r="B1429" s="14" t="n">
        <v>1112.03</v>
      </c>
      <c r="C1429" s="14" t="n">
        <v>8.3063</v>
      </c>
      <c r="D1429" s="14" t="n">
        <v>1.4175</v>
      </c>
      <c r="E1429" s="14" t="n">
        <v>1.2173</v>
      </c>
      <c r="F1429" s="14" t="n">
        <v>6.3945</v>
      </c>
      <c r="G1429" s="14" t="n">
        <v>5.067</v>
      </c>
      <c r="H1429" s="14" t="n">
        <v>109.42</v>
      </c>
      <c r="I1429" s="14" t="n">
        <v>1.2117</v>
      </c>
      <c r="J1429" s="14" t="n">
        <v>10.156</v>
      </c>
      <c r="K1429" s="14" t="n">
        <v>1352.93</v>
      </c>
      <c r="L1429" s="14" t="n">
        <v>0.8569</v>
      </c>
      <c r="M1429" s="14" t="n">
        <v>7.7667</v>
      </c>
      <c r="N1429" s="14" t="n">
        <v>6.1874</v>
      </c>
      <c r="O1429" s="14" t="n">
        <v>133.39</v>
      </c>
      <c r="P1429" s="14" t="n">
        <v>8.3816</v>
      </c>
    </row>
    <row r="1430" customFormat="false" ht="15" hidden="false" customHeight="false" outlineLevel="0" collapsed="false">
      <c r="A1430" s="13" t="n">
        <v>44354</v>
      </c>
      <c r="B1430" s="14" t="n">
        <v>1111.01</v>
      </c>
      <c r="C1430" s="14" t="n">
        <v>8.2609</v>
      </c>
      <c r="D1430" s="14" t="n">
        <v>1.4179</v>
      </c>
      <c r="E1430" s="14" t="n">
        <v>1.22</v>
      </c>
      <c r="F1430" s="14" t="n">
        <v>6.3963</v>
      </c>
      <c r="G1430" s="14" t="n">
        <v>5.019</v>
      </c>
      <c r="H1430" s="14" t="n">
        <v>109.25</v>
      </c>
      <c r="I1430" s="14" t="n">
        <v>1.2162</v>
      </c>
      <c r="J1430" s="14" t="n">
        <v>10.0483</v>
      </c>
      <c r="K1430" s="14" t="n">
        <v>1351.23</v>
      </c>
      <c r="L1430" s="14" t="n">
        <v>0.85825</v>
      </c>
      <c r="M1430" s="14" t="n">
        <v>7.7795</v>
      </c>
      <c r="N1430" s="14" t="n">
        <v>6.1389</v>
      </c>
      <c r="O1430" s="14" t="n">
        <v>132.98</v>
      </c>
      <c r="P1430" s="14" t="n">
        <v>8.262</v>
      </c>
    </row>
    <row r="1431" customFormat="false" ht="15" hidden="false" customHeight="false" outlineLevel="0" collapsed="false">
      <c r="A1431" s="13" t="n">
        <v>44355</v>
      </c>
      <c r="B1431" s="14" t="n">
        <v>1116.43</v>
      </c>
      <c r="C1431" s="14" t="n">
        <v>8.2596</v>
      </c>
      <c r="D1431" s="14" t="n">
        <v>1.4146</v>
      </c>
      <c r="E1431" s="14" t="n">
        <v>1.218</v>
      </c>
      <c r="F1431" s="14" t="n">
        <v>6.4</v>
      </c>
      <c r="G1431" s="14" t="n">
        <v>5.0383</v>
      </c>
      <c r="H1431" s="14" t="n">
        <v>109.47</v>
      </c>
      <c r="I1431" s="14" t="n">
        <v>1.2182</v>
      </c>
      <c r="J1431" s="14" t="n">
        <v>10.048</v>
      </c>
      <c r="K1431" s="14" t="n">
        <v>1358.73</v>
      </c>
      <c r="L1431" s="14" t="n">
        <v>0.861</v>
      </c>
      <c r="M1431" s="14" t="n">
        <v>7.7938</v>
      </c>
      <c r="N1431" s="14" t="n">
        <v>6.13</v>
      </c>
      <c r="O1431" s="14" t="n">
        <v>133.28</v>
      </c>
      <c r="P1431" s="14" t="n">
        <v>8.2482</v>
      </c>
    </row>
    <row r="1432" customFormat="false" ht="15" hidden="false" customHeight="false" outlineLevel="0" collapsed="false">
      <c r="A1432" s="13" t="n">
        <v>44356</v>
      </c>
      <c r="B1432" s="14" t="n">
        <v>1116.58</v>
      </c>
      <c r="C1432" s="14" t="n">
        <v>8.2733</v>
      </c>
      <c r="D1432" s="14" t="n">
        <v>1.4124</v>
      </c>
      <c r="E1432" s="14" t="n">
        <v>1.2184</v>
      </c>
      <c r="F1432" s="14" t="n">
        <v>6.3865</v>
      </c>
      <c r="G1432" s="14" t="n">
        <v>5.0651</v>
      </c>
      <c r="H1432" s="14" t="n">
        <v>109.61</v>
      </c>
      <c r="I1432" s="14" t="n">
        <v>1.2195</v>
      </c>
      <c r="J1432" s="14" t="n">
        <v>10.0518</v>
      </c>
      <c r="K1432" s="14" t="n">
        <v>1359.9</v>
      </c>
      <c r="L1432" s="14" t="n">
        <v>0.86053</v>
      </c>
      <c r="M1432" s="14" t="n">
        <v>7.7879</v>
      </c>
      <c r="N1432" s="14" t="n">
        <v>6.1345</v>
      </c>
      <c r="O1432" s="14" t="n">
        <v>133.38</v>
      </c>
      <c r="P1432" s="14" t="n">
        <v>8.2426</v>
      </c>
    </row>
    <row r="1433" customFormat="false" ht="15" hidden="false" customHeight="false" outlineLevel="0" collapsed="false">
      <c r="A1433" s="13" t="n">
        <v>44357</v>
      </c>
      <c r="B1433" s="14" t="n">
        <v>1114.17</v>
      </c>
      <c r="C1433" s="14" t="n">
        <v>8.2732</v>
      </c>
      <c r="D1433" s="14" t="n">
        <v>1.4165</v>
      </c>
      <c r="E1433" s="14" t="n">
        <v>1.2173</v>
      </c>
      <c r="F1433" s="14" t="n">
        <v>6.3929</v>
      </c>
      <c r="G1433" s="14" t="n">
        <v>5.0672</v>
      </c>
      <c r="H1433" s="14" t="n">
        <v>109.49</v>
      </c>
      <c r="I1433" s="14" t="n">
        <v>1.2174</v>
      </c>
      <c r="J1433" s="14" t="n">
        <v>10.1118</v>
      </c>
      <c r="K1433" s="14" t="n">
        <v>1358.76</v>
      </c>
      <c r="L1433" s="14" t="n">
        <v>0.86293</v>
      </c>
      <c r="M1433" s="14" t="n">
        <v>7.7828</v>
      </c>
      <c r="N1433" s="14" t="n">
        <v>6.1432</v>
      </c>
      <c r="O1433" s="14" t="n">
        <v>133.35</v>
      </c>
      <c r="P1433" s="14" t="n">
        <v>8.3061</v>
      </c>
    </row>
    <row r="1434" customFormat="false" ht="15" hidden="false" customHeight="false" outlineLevel="0" collapsed="false">
      <c r="A1434" s="13" t="n">
        <v>44358</v>
      </c>
      <c r="B1434" s="14" t="n">
        <v>1116.57</v>
      </c>
      <c r="C1434" s="14" t="n">
        <v>8.3486</v>
      </c>
      <c r="D1434" s="14" t="n">
        <v>1.4114</v>
      </c>
      <c r="E1434" s="14" t="n">
        <v>1.2101</v>
      </c>
      <c r="F1434" s="14" t="n">
        <v>6.3967</v>
      </c>
      <c r="G1434" s="14" t="n">
        <v>5.1299</v>
      </c>
      <c r="H1434" s="14" t="n">
        <v>109.75</v>
      </c>
      <c r="I1434" s="14" t="n">
        <v>1.2125</v>
      </c>
      <c r="J1434" s="14" t="n">
        <v>10.0828</v>
      </c>
      <c r="K1434" s="14" t="n">
        <v>1351.09</v>
      </c>
      <c r="L1434" s="14" t="n">
        <v>0.8571</v>
      </c>
      <c r="M1434" s="14" t="n">
        <v>7.7519</v>
      </c>
      <c r="N1434" s="14" t="n">
        <v>6.158</v>
      </c>
      <c r="O1434" s="14" t="n">
        <v>132.88</v>
      </c>
      <c r="P1434" s="14" t="n">
        <v>8.3157</v>
      </c>
    </row>
    <row r="1435" customFormat="false" ht="15" hidden="false" customHeight="false" outlineLevel="0" collapsed="false">
      <c r="A1435" s="13" t="n">
        <v>44361</v>
      </c>
      <c r="B1435" s="14" t="n">
        <v>1117.57</v>
      </c>
      <c r="C1435" s="14" t="n">
        <v>8.3096</v>
      </c>
      <c r="D1435" s="14" t="n">
        <v>1.4116</v>
      </c>
      <c r="E1435" s="14" t="n">
        <v>1.2126</v>
      </c>
      <c r="F1435" s="14" t="n">
        <v>6.3979</v>
      </c>
      <c r="G1435" s="14" t="n">
        <v>5.0567</v>
      </c>
      <c r="H1435" s="14" t="n">
        <v>109.98</v>
      </c>
      <c r="I1435" s="14" t="n">
        <v>1.2112</v>
      </c>
      <c r="J1435" s="14" t="n">
        <v>10.0828</v>
      </c>
      <c r="K1435" s="14" t="n">
        <v>1355.07</v>
      </c>
      <c r="L1435" s="14" t="n">
        <v>0.85898</v>
      </c>
      <c r="M1435" s="14" t="n">
        <v>7.7501</v>
      </c>
      <c r="N1435" s="14" t="n">
        <v>6.1846</v>
      </c>
      <c r="O1435" s="14" t="n">
        <v>132.95</v>
      </c>
      <c r="P1435" s="14" t="n">
        <v>8.3246</v>
      </c>
    </row>
    <row r="1436" customFormat="false" ht="15" hidden="false" customHeight="false" outlineLevel="0" collapsed="false">
      <c r="A1436" s="13" t="n">
        <v>44362</v>
      </c>
      <c r="B1436" s="14" t="n">
        <v>1118.33</v>
      </c>
      <c r="C1436" s="14" t="n">
        <v>8.3454</v>
      </c>
      <c r="D1436" s="14" t="n">
        <v>1.4073</v>
      </c>
      <c r="E1436" s="14" t="n">
        <v>1.212</v>
      </c>
      <c r="F1436" s="14" t="n">
        <v>6.4052</v>
      </c>
      <c r="G1436" s="14" t="n">
        <v>5.0911</v>
      </c>
      <c r="H1436" s="14" t="n">
        <v>110.12</v>
      </c>
      <c r="I1436" s="14" t="n">
        <v>1.2108</v>
      </c>
      <c r="J1436" s="14" t="n">
        <v>10.0823</v>
      </c>
      <c r="K1436" s="14" t="n">
        <v>1354.1</v>
      </c>
      <c r="L1436" s="14" t="n">
        <v>0.8615</v>
      </c>
      <c r="M1436" s="14" t="n">
        <v>7.7502</v>
      </c>
      <c r="N1436" s="14" t="n">
        <v>6.1394</v>
      </c>
      <c r="O1436" s="14" t="n">
        <v>133.28</v>
      </c>
      <c r="P1436" s="14" t="n">
        <v>8.327</v>
      </c>
    </row>
    <row r="1437" customFormat="false" ht="15" hidden="false" customHeight="false" outlineLevel="0" collapsed="false">
      <c r="A1437" s="13" t="n">
        <v>44363</v>
      </c>
      <c r="B1437" s="14" t="n">
        <v>1118.42</v>
      </c>
      <c r="C1437" s="14" t="n">
        <v>8.3698</v>
      </c>
      <c r="D1437" s="14" t="n">
        <v>1.411</v>
      </c>
      <c r="E1437" s="14" t="n">
        <v>1.2119</v>
      </c>
      <c r="F1437" s="14" t="n">
        <v>6.3969</v>
      </c>
      <c r="G1437" s="14" t="n">
        <v>4.9991</v>
      </c>
      <c r="H1437" s="14" t="n">
        <v>109.88</v>
      </c>
      <c r="I1437" s="14" t="n">
        <v>1.2124</v>
      </c>
      <c r="J1437" s="14" t="n">
        <v>10.1208</v>
      </c>
      <c r="K1437" s="14" t="n">
        <v>1356.23</v>
      </c>
      <c r="L1437" s="14" t="n">
        <v>0.8583</v>
      </c>
      <c r="M1437" s="14" t="n">
        <v>7.7582</v>
      </c>
      <c r="N1437" s="14" t="n">
        <v>6.1063</v>
      </c>
      <c r="O1437" s="14" t="n">
        <v>133.19</v>
      </c>
      <c r="P1437" s="14" t="n">
        <v>8.3477</v>
      </c>
    </row>
    <row r="1438" customFormat="false" ht="15" hidden="false" customHeight="false" outlineLevel="0" collapsed="false">
      <c r="A1438" s="13" t="n">
        <v>44364</v>
      </c>
      <c r="B1438" s="14" t="n">
        <v>1130.14</v>
      </c>
      <c r="C1438" s="14" t="n">
        <v>8.5428</v>
      </c>
      <c r="D1438" s="14" t="n">
        <v>1.3916</v>
      </c>
      <c r="E1438" s="14" t="n">
        <v>1.1911</v>
      </c>
      <c r="F1438" s="14" t="n">
        <v>6.4477</v>
      </c>
      <c r="G1438" s="14" t="n">
        <v>5.0244</v>
      </c>
      <c r="H1438" s="14" t="n">
        <v>110.28</v>
      </c>
      <c r="I1438" s="14" t="n">
        <v>1.1937</v>
      </c>
      <c r="J1438" s="14" t="n">
        <v>10.1973</v>
      </c>
      <c r="K1438" s="14" t="n">
        <v>1354.06</v>
      </c>
      <c r="L1438" s="14" t="n">
        <v>0.85525</v>
      </c>
      <c r="M1438" s="14" t="n">
        <v>7.6877</v>
      </c>
      <c r="N1438" s="14" t="n">
        <v>6.0286</v>
      </c>
      <c r="O1438" s="14" t="n">
        <v>132.09</v>
      </c>
      <c r="P1438" s="14" t="n">
        <v>8.5426</v>
      </c>
    </row>
    <row r="1439" customFormat="false" ht="15" hidden="false" customHeight="false" outlineLevel="0" collapsed="false">
      <c r="A1439" s="13" t="n">
        <v>44365</v>
      </c>
      <c r="B1439" s="14" t="n">
        <v>1135.28</v>
      </c>
      <c r="C1439" s="14" t="n">
        <v>8.6769</v>
      </c>
      <c r="D1439" s="14" t="n">
        <v>1.3817</v>
      </c>
      <c r="E1439" s="14" t="n">
        <v>1.1872</v>
      </c>
      <c r="F1439" s="14" t="n">
        <v>6.4525</v>
      </c>
      <c r="G1439" s="14" t="n">
        <v>5.0405</v>
      </c>
      <c r="H1439" s="14" t="n">
        <v>110.21</v>
      </c>
      <c r="I1439" s="14" t="n">
        <v>1.1898</v>
      </c>
      <c r="J1439" s="14" t="n">
        <v>10.2868</v>
      </c>
      <c r="K1439" s="14" t="n">
        <v>1347.13</v>
      </c>
      <c r="L1439" s="14" t="n">
        <v>0.85785</v>
      </c>
      <c r="M1439" s="14" t="n">
        <v>7.6619</v>
      </c>
      <c r="N1439" s="14" t="n">
        <v>5.9575</v>
      </c>
      <c r="O1439" s="14" t="n">
        <v>131.12</v>
      </c>
      <c r="P1439" s="14" t="n">
        <v>8.6458</v>
      </c>
    </row>
    <row r="1440" customFormat="false" ht="15" hidden="false" customHeight="false" outlineLevel="0" collapsed="false">
      <c r="A1440" s="13" t="n">
        <v>44368</v>
      </c>
      <c r="B1440" s="14" t="n">
        <v>1134.19</v>
      </c>
      <c r="C1440" s="14" t="n">
        <v>8.5804</v>
      </c>
      <c r="D1440" s="14" t="n">
        <v>1.3915</v>
      </c>
      <c r="E1440" s="14" t="n">
        <v>1.1909</v>
      </c>
      <c r="F1440" s="14" t="n">
        <v>6.4659</v>
      </c>
      <c r="G1440" s="14" t="n">
        <v>5.0306</v>
      </c>
      <c r="H1440" s="14" t="n">
        <v>110.22</v>
      </c>
      <c r="I1440" s="14" t="n">
        <v>1.1891</v>
      </c>
      <c r="J1440" s="14" t="n">
        <v>10.2673</v>
      </c>
      <c r="K1440" s="14" t="n">
        <v>1349.19</v>
      </c>
      <c r="L1440" s="14" t="n">
        <v>0.8567</v>
      </c>
      <c r="M1440" s="14" t="n">
        <v>7.6916</v>
      </c>
      <c r="N1440" s="14" t="n">
        <v>6.0192</v>
      </c>
      <c r="O1440" s="14" t="n">
        <v>130.91</v>
      </c>
      <c r="P1440" s="14" t="n">
        <v>8.6345</v>
      </c>
    </row>
    <row r="1441" customFormat="false" ht="15" hidden="false" customHeight="false" outlineLevel="0" collapsed="false">
      <c r="A1441" s="13" t="n">
        <v>44369</v>
      </c>
      <c r="B1441" s="14" t="n">
        <v>1137.07</v>
      </c>
      <c r="C1441" s="14" t="n">
        <v>8.5729</v>
      </c>
      <c r="D1441" s="14" t="n">
        <v>1.3921</v>
      </c>
      <c r="E1441" s="14" t="n">
        <v>1.191</v>
      </c>
      <c r="F1441" s="14" t="n">
        <v>6.4811</v>
      </c>
      <c r="G1441" s="14" t="n">
        <v>4.9994</v>
      </c>
      <c r="H1441" s="14" t="n">
        <v>110.75</v>
      </c>
      <c r="I1441" s="14" t="n">
        <v>1.1894</v>
      </c>
      <c r="J1441" s="14" t="n">
        <v>10.2198</v>
      </c>
      <c r="K1441" s="14" t="n">
        <v>1350.72</v>
      </c>
      <c r="L1441" s="14" t="n">
        <v>0.8556</v>
      </c>
      <c r="M1441" s="14" t="n">
        <v>7.7014</v>
      </c>
      <c r="N1441" s="14" t="n">
        <v>5.9682</v>
      </c>
      <c r="O1441" s="14" t="n">
        <v>131.5</v>
      </c>
      <c r="P1441" s="14" t="n">
        <v>8.5924</v>
      </c>
    </row>
    <row r="1442" customFormat="false" ht="15" hidden="false" customHeight="false" outlineLevel="0" collapsed="false">
      <c r="A1442" s="13" t="n">
        <v>44370</v>
      </c>
      <c r="B1442" s="14" t="n">
        <v>1133.89</v>
      </c>
      <c r="C1442" s="14" t="n">
        <v>8.5058</v>
      </c>
      <c r="D1442" s="14" t="n">
        <v>1.3977</v>
      </c>
      <c r="E1442" s="14" t="n">
        <v>1.195</v>
      </c>
      <c r="F1442" s="14" t="n">
        <v>6.4727</v>
      </c>
      <c r="G1442" s="14" t="n">
        <v>4.9518</v>
      </c>
      <c r="H1442" s="14" t="n">
        <v>110.86</v>
      </c>
      <c r="I1442" s="14" t="n">
        <v>1.1951</v>
      </c>
      <c r="J1442" s="14" t="n">
        <v>10.1725</v>
      </c>
      <c r="K1442" s="14" t="n">
        <v>1357.96</v>
      </c>
      <c r="L1442" s="14" t="n">
        <v>0.85435</v>
      </c>
      <c r="M1442" s="14" t="n">
        <v>7.7393</v>
      </c>
      <c r="N1442" s="14" t="n">
        <v>5.9203</v>
      </c>
      <c r="O1442" s="14" t="n">
        <v>132.44</v>
      </c>
      <c r="P1442" s="14" t="n">
        <v>8.5118</v>
      </c>
    </row>
    <row r="1443" customFormat="false" ht="15" hidden="false" customHeight="false" outlineLevel="0" collapsed="false">
      <c r="A1443" s="13" t="n">
        <v>44371</v>
      </c>
      <c r="B1443" s="14" t="n">
        <v>1131.5</v>
      </c>
      <c r="C1443" s="14" t="n">
        <v>8.5145</v>
      </c>
      <c r="D1443" s="14" t="n">
        <v>1.3907</v>
      </c>
      <c r="E1443" s="14" t="n">
        <v>1.1927</v>
      </c>
      <c r="F1443" s="14" t="n">
        <v>6.4701</v>
      </c>
      <c r="G1443" s="14" t="n">
        <v>4.9169</v>
      </c>
      <c r="H1443" s="14" t="n">
        <v>110.91</v>
      </c>
      <c r="I1443" s="14" t="n">
        <v>1.1936</v>
      </c>
      <c r="J1443" s="14" t="n">
        <v>10.174</v>
      </c>
      <c r="K1443" s="14" t="n">
        <v>1351.07</v>
      </c>
      <c r="L1443" s="14" t="n">
        <v>0.85883</v>
      </c>
      <c r="M1443" s="14" t="n">
        <v>7.7193</v>
      </c>
      <c r="N1443" s="14" t="n">
        <v>5.9041</v>
      </c>
      <c r="O1443" s="14" t="n">
        <v>132.2</v>
      </c>
      <c r="P1443" s="14" t="n">
        <v>8.5238</v>
      </c>
    </row>
    <row r="1444" customFormat="false" ht="15" hidden="false" customHeight="false" outlineLevel="0" collapsed="false">
      <c r="A1444" s="13" t="n">
        <v>44372</v>
      </c>
      <c r="B1444" s="14" t="n">
        <v>1127.36</v>
      </c>
      <c r="C1444" s="14" t="n">
        <v>8.4935</v>
      </c>
      <c r="D1444" s="14" t="n">
        <v>1.3899</v>
      </c>
      <c r="E1444" s="14" t="n">
        <v>1.194</v>
      </c>
      <c r="F1444" s="14" t="n">
        <v>6.4545</v>
      </c>
      <c r="G1444" s="14" t="n">
        <v>4.9245</v>
      </c>
      <c r="H1444" s="14" t="n">
        <v>110.78</v>
      </c>
      <c r="I1444" s="14" t="n">
        <v>1.195</v>
      </c>
      <c r="J1444" s="14" t="n">
        <v>10.136</v>
      </c>
      <c r="K1444" s="14" t="n">
        <v>1346.35</v>
      </c>
      <c r="L1444" s="14" t="n">
        <v>0.8595</v>
      </c>
      <c r="M1444" s="14" t="n">
        <v>7.7139</v>
      </c>
      <c r="N1444" s="14" t="n">
        <v>5.8635</v>
      </c>
      <c r="O1444" s="14" t="n">
        <v>132.27</v>
      </c>
      <c r="P1444" s="14" t="n">
        <v>8.482</v>
      </c>
    </row>
    <row r="1445" customFormat="false" ht="15" hidden="false" customHeight="false" outlineLevel="0" collapsed="false">
      <c r="A1445" s="13" t="n">
        <v>44375</v>
      </c>
      <c r="B1445" s="14" t="n">
        <v>1130.29</v>
      </c>
      <c r="C1445" s="14" t="n">
        <v>8.5185</v>
      </c>
      <c r="D1445" s="14" t="n">
        <v>1.3895</v>
      </c>
      <c r="E1445" s="14" t="n">
        <v>1.1938</v>
      </c>
      <c r="F1445" s="14" t="n">
        <v>6.4555</v>
      </c>
      <c r="G1445" s="14" t="n">
        <v>4.9451</v>
      </c>
      <c r="H1445" s="14" t="n">
        <v>110.5</v>
      </c>
      <c r="I1445" s="14" t="n">
        <v>1.191</v>
      </c>
      <c r="J1445" s="14" t="n">
        <v>10.1763</v>
      </c>
      <c r="K1445" s="14" t="n">
        <v>1347.92</v>
      </c>
      <c r="L1445" s="14" t="n">
        <v>0.8571</v>
      </c>
      <c r="M1445" s="14" t="n">
        <v>7.6922</v>
      </c>
      <c r="N1445" s="14" t="n">
        <v>5.9159</v>
      </c>
      <c r="O1445" s="14" t="n">
        <v>132.13</v>
      </c>
      <c r="P1445" s="14" t="n">
        <v>8.5443</v>
      </c>
    </row>
    <row r="1446" customFormat="false" ht="15" hidden="false" customHeight="false" outlineLevel="0" collapsed="false">
      <c r="A1446" s="13" t="n">
        <v>44376</v>
      </c>
      <c r="B1446" s="14" t="n">
        <v>1131.68</v>
      </c>
      <c r="C1446" s="14" t="n">
        <v>8.5477</v>
      </c>
      <c r="D1446" s="14" t="n">
        <v>1.3845</v>
      </c>
      <c r="E1446" s="14" t="n">
        <v>1.1905</v>
      </c>
      <c r="F1446" s="14" t="n">
        <v>6.4635</v>
      </c>
      <c r="G1446" s="14" t="n">
        <v>4.9378</v>
      </c>
      <c r="H1446" s="14" t="n">
        <v>110.53</v>
      </c>
      <c r="I1446" s="14" t="n">
        <v>1.1888</v>
      </c>
      <c r="J1446" s="14" t="n">
        <v>10.1893</v>
      </c>
      <c r="K1446" s="14" t="n">
        <v>1341.25</v>
      </c>
      <c r="L1446" s="14" t="n">
        <v>0.85948</v>
      </c>
      <c r="M1446" s="14" t="n">
        <v>7.6814</v>
      </c>
      <c r="N1446" s="14" t="n">
        <v>5.8826</v>
      </c>
      <c r="O1446" s="14" t="n">
        <v>131.54</v>
      </c>
      <c r="P1446" s="14" t="n">
        <v>8.5711</v>
      </c>
    </row>
    <row r="1447" customFormat="false" ht="15" hidden="false" customHeight="false" outlineLevel="0" collapsed="false">
      <c r="A1447" s="13" t="n">
        <v>44377</v>
      </c>
      <c r="B1447" s="14" t="n">
        <v>1130.42</v>
      </c>
      <c r="C1447" s="14" t="n">
        <v>8.6154</v>
      </c>
      <c r="D1447" s="14" t="n">
        <v>1.3806</v>
      </c>
      <c r="E1447" s="14" t="n">
        <v>1.1848</v>
      </c>
      <c r="F1447" s="14" t="n">
        <v>6.4566</v>
      </c>
      <c r="G1447" s="14" t="n">
        <v>5.0083</v>
      </c>
      <c r="H1447" s="14" t="n">
        <v>111.05</v>
      </c>
      <c r="I1447" s="14" t="n">
        <v>1.1884</v>
      </c>
      <c r="J1447" s="14" t="n">
        <v>10.1717</v>
      </c>
      <c r="K1447" s="14" t="n">
        <v>1341.41</v>
      </c>
      <c r="L1447" s="14" t="n">
        <v>0.85805</v>
      </c>
      <c r="M1447" s="14" t="n">
        <v>7.6742</v>
      </c>
      <c r="N1447" s="14" t="n">
        <v>5.905</v>
      </c>
      <c r="O1447" s="14" t="n">
        <v>131.43</v>
      </c>
      <c r="P1447" s="14" t="n">
        <v>8.5592</v>
      </c>
    </row>
    <row r="1448" customFormat="false" ht="15" hidden="false" customHeight="false" outlineLevel="0" collapsed="false">
      <c r="A1448" s="13" t="n">
        <v>44378</v>
      </c>
      <c r="B1448" s="14" t="n">
        <v>1134.37</v>
      </c>
      <c r="C1448" s="14" t="n">
        <v>8.6172</v>
      </c>
      <c r="D1448" s="14" t="n">
        <v>1.378</v>
      </c>
      <c r="E1448" s="14" t="n">
        <v>1.1857</v>
      </c>
      <c r="F1448" s="14" t="n">
        <v>6.4679</v>
      </c>
      <c r="G1448" s="14" t="n">
        <v>5.0339</v>
      </c>
      <c r="H1448" s="14" t="n">
        <v>111.56</v>
      </c>
      <c r="I1448" s="14" t="n">
        <v>1.1884</v>
      </c>
      <c r="J1448" s="14" t="n">
        <v>10.2105</v>
      </c>
      <c r="K1448" s="14" t="n">
        <v>1345.86</v>
      </c>
      <c r="L1448" s="14" t="n">
        <v>0.86033</v>
      </c>
      <c r="M1448" s="14" t="n">
        <v>7.6842</v>
      </c>
      <c r="N1448" s="14" t="n">
        <v>5.8955</v>
      </c>
      <c r="O1448" s="14" t="n">
        <v>132.42</v>
      </c>
      <c r="P1448" s="14" t="n">
        <v>8.5918</v>
      </c>
    </row>
    <row r="1449" customFormat="false" ht="15" hidden="false" customHeight="false" outlineLevel="0" collapsed="false">
      <c r="A1449" s="13" t="n">
        <v>44379</v>
      </c>
      <c r="B1449" s="14" t="n">
        <v>1132.42</v>
      </c>
      <c r="C1449" s="14" t="n">
        <v>8.6123</v>
      </c>
      <c r="D1449" s="14" t="n">
        <v>1.3795</v>
      </c>
      <c r="E1449" s="14" t="n">
        <v>1.1848</v>
      </c>
      <c r="F1449" s="14" t="n">
        <v>6.4721</v>
      </c>
      <c r="G1449" s="14" t="n">
        <v>5.0431</v>
      </c>
      <c r="H1449" s="14" t="n">
        <v>111.28</v>
      </c>
      <c r="I1449" s="14" t="n">
        <v>1.1823</v>
      </c>
      <c r="J1449" s="14" t="n">
        <v>10.2375</v>
      </c>
      <c r="K1449" s="14" t="n">
        <v>1343.49</v>
      </c>
      <c r="L1449" s="14" t="n">
        <v>0.86003</v>
      </c>
      <c r="M1449" s="14" t="n">
        <v>7.6594</v>
      </c>
      <c r="N1449" s="14" t="n">
        <v>5.9421</v>
      </c>
      <c r="O1449" s="14" t="n">
        <v>131.74</v>
      </c>
      <c r="P1449" s="14" t="n">
        <v>8.659</v>
      </c>
    </row>
    <row r="1450" customFormat="false" ht="15" hidden="false" customHeight="false" outlineLevel="0" collapsed="false">
      <c r="A1450" s="13" t="n">
        <v>44382</v>
      </c>
      <c r="I1450" s="14" t="n">
        <v>1.1866</v>
      </c>
      <c r="J1450" s="14" t="n">
        <v>10.1778</v>
      </c>
      <c r="K1450" s="14" t="n">
        <v>1341.22</v>
      </c>
      <c r="L1450" s="14" t="n">
        <v>0.85665</v>
      </c>
      <c r="M1450" s="14" t="n">
        <v>7.6677</v>
      </c>
      <c r="N1450" s="14" t="n">
        <v>6.0069</v>
      </c>
      <c r="O1450" s="14" t="n">
        <v>131.58</v>
      </c>
      <c r="P1450" s="14" t="n">
        <v>8.5773</v>
      </c>
    </row>
    <row r="1451" customFormat="false" ht="15" hidden="false" customHeight="false" outlineLevel="0" collapsed="false">
      <c r="A1451" s="13" t="n">
        <v>44383</v>
      </c>
      <c r="B1451" s="14" t="n">
        <v>1137.17</v>
      </c>
      <c r="C1451" s="14" t="n">
        <v>8.7028</v>
      </c>
      <c r="D1451" s="14" t="n">
        <v>1.3792</v>
      </c>
      <c r="E1451" s="14" t="n">
        <v>1.1816</v>
      </c>
      <c r="F1451" s="14" t="n">
        <v>6.4786</v>
      </c>
      <c r="G1451" s="14" t="n">
        <v>5.1803</v>
      </c>
      <c r="H1451" s="14" t="n">
        <v>110.66</v>
      </c>
      <c r="I1451" s="14" t="n">
        <v>1.1838</v>
      </c>
      <c r="J1451" s="14" t="n">
        <v>10.215</v>
      </c>
      <c r="K1451" s="14" t="n">
        <v>1341.67</v>
      </c>
      <c r="L1451" s="14" t="n">
        <v>0.8545</v>
      </c>
      <c r="M1451" s="14" t="n">
        <v>7.6545</v>
      </c>
      <c r="N1451" s="14" t="n">
        <v>6.0292</v>
      </c>
      <c r="O1451" s="14" t="n">
        <v>130.99</v>
      </c>
      <c r="P1451" s="14" t="n">
        <v>8.629</v>
      </c>
    </row>
    <row r="1452" customFormat="false" ht="15" hidden="false" customHeight="false" outlineLevel="0" collapsed="false">
      <c r="A1452" s="13" t="n">
        <v>44384</v>
      </c>
      <c r="B1452" s="14" t="n">
        <v>1141.26</v>
      </c>
      <c r="C1452" s="14" t="n">
        <v>8.7354</v>
      </c>
      <c r="D1452" s="14" t="n">
        <v>1.3792</v>
      </c>
      <c r="E1452" s="14" t="n">
        <v>1.1803</v>
      </c>
      <c r="F1452" s="14" t="n">
        <v>6.4718</v>
      </c>
      <c r="G1452" s="14" t="n">
        <v>5.2678</v>
      </c>
      <c r="H1452" s="14" t="n">
        <v>110.62</v>
      </c>
      <c r="I1452" s="14" t="n">
        <v>1.1831</v>
      </c>
      <c r="J1452" s="14" t="n">
        <v>10.2475</v>
      </c>
      <c r="K1452" s="14" t="n">
        <v>1344.89</v>
      </c>
      <c r="L1452" s="14" t="n">
        <v>0.855</v>
      </c>
      <c r="M1452" s="14" t="n">
        <v>7.6478</v>
      </c>
      <c r="N1452" s="14" t="n">
        <v>6.1224</v>
      </c>
      <c r="O1452" s="14" t="n">
        <v>130.86</v>
      </c>
      <c r="P1452" s="14" t="n">
        <v>8.6616</v>
      </c>
    </row>
    <row r="1453" customFormat="false" ht="15" hidden="false" customHeight="false" outlineLevel="0" collapsed="false">
      <c r="A1453" s="13" t="n">
        <v>44385</v>
      </c>
      <c r="B1453" s="14" t="n">
        <v>1147.96</v>
      </c>
      <c r="C1453" s="14" t="n">
        <v>8.777</v>
      </c>
      <c r="D1453" s="14" t="n">
        <v>1.3767</v>
      </c>
      <c r="E1453" s="14" t="n">
        <v>1.184</v>
      </c>
      <c r="F1453" s="14" t="n">
        <v>6.4898</v>
      </c>
      <c r="G1453" s="14" t="n">
        <v>5.2336</v>
      </c>
      <c r="H1453" s="14" t="n">
        <v>109.82</v>
      </c>
      <c r="I1453" s="14" t="n">
        <v>1.1838</v>
      </c>
      <c r="J1453" s="14" t="n">
        <v>10.4138</v>
      </c>
      <c r="K1453" s="14" t="n">
        <v>1361.34</v>
      </c>
      <c r="L1453" s="14" t="n">
        <v>0.86133</v>
      </c>
      <c r="M1453" s="14" t="n">
        <v>7.6832</v>
      </c>
      <c r="N1453" s="14" t="n">
        <v>6.2463</v>
      </c>
      <c r="O1453" s="14" t="n">
        <v>129.91</v>
      </c>
      <c r="P1453" s="14" t="n">
        <v>8.7969</v>
      </c>
    </row>
    <row r="1454" customFormat="false" ht="15" hidden="false" customHeight="false" outlineLevel="0" collapsed="false">
      <c r="A1454" s="13" t="n">
        <v>44386</v>
      </c>
      <c r="B1454" s="14" t="n">
        <v>1145.08</v>
      </c>
      <c r="C1454" s="14" t="n">
        <v>8.6986</v>
      </c>
      <c r="D1454" s="14" t="n">
        <v>1.3842</v>
      </c>
      <c r="E1454" s="14" t="n">
        <v>1.1861</v>
      </c>
      <c r="F1454" s="14" t="n">
        <v>6.4788</v>
      </c>
      <c r="G1454" s="14" t="n">
        <v>5.2579</v>
      </c>
      <c r="H1454" s="14" t="n">
        <v>110.18</v>
      </c>
      <c r="I1454" s="14" t="n">
        <v>1.1858</v>
      </c>
      <c r="J1454" s="14" t="n">
        <v>10.3355</v>
      </c>
      <c r="K1454" s="14" t="n">
        <v>1358.2</v>
      </c>
      <c r="L1454" s="14" t="n">
        <v>0.85758</v>
      </c>
      <c r="M1454" s="14" t="n">
        <v>7.6834</v>
      </c>
      <c r="N1454" s="14" t="n">
        <v>6.2369</v>
      </c>
      <c r="O1454" s="14" t="n">
        <v>130.46</v>
      </c>
      <c r="P1454" s="14" t="n">
        <v>8.7161</v>
      </c>
    </row>
    <row r="1455" customFormat="false" ht="15" hidden="false" customHeight="false" outlineLevel="0" collapsed="false">
      <c r="A1455" s="13" t="n">
        <v>44389</v>
      </c>
      <c r="B1455" s="14" t="n">
        <v>1146.29</v>
      </c>
      <c r="C1455" s="14" t="n">
        <v>8.6939</v>
      </c>
      <c r="D1455" s="14" t="n">
        <v>1.3886</v>
      </c>
      <c r="E1455" s="14" t="n">
        <v>1.1858</v>
      </c>
      <c r="F1455" s="14" t="n">
        <v>6.4751</v>
      </c>
      <c r="G1455" s="14" t="n">
        <v>5.1939</v>
      </c>
      <c r="H1455" s="14" t="n">
        <v>110.36</v>
      </c>
      <c r="I1455" s="14" t="n">
        <v>1.1852</v>
      </c>
      <c r="J1455" s="14" t="n">
        <v>10.328</v>
      </c>
      <c r="K1455" s="14" t="n">
        <v>1361.95</v>
      </c>
      <c r="L1455" s="14" t="n">
        <v>0.8557</v>
      </c>
      <c r="M1455" s="14" t="n">
        <v>7.6751</v>
      </c>
      <c r="N1455" s="14" t="n">
        <v>6.2426</v>
      </c>
      <c r="O1455" s="14" t="n">
        <v>130.55</v>
      </c>
      <c r="P1455" s="14" t="n">
        <v>8.7141</v>
      </c>
    </row>
    <row r="1456" customFormat="false" ht="15" hidden="false" customHeight="false" outlineLevel="0" collapsed="false">
      <c r="A1456" s="13" t="n">
        <v>44390</v>
      </c>
      <c r="B1456" s="14" t="n">
        <v>1146.29</v>
      </c>
      <c r="C1456" s="14" t="n">
        <v>8.7392</v>
      </c>
      <c r="D1456" s="14" t="n">
        <v>1.3847</v>
      </c>
      <c r="E1456" s="14" t="n">
        <v>1.1813</v>
      </c>
      <c r="F1456" s="14" t="n">
        <v>6.4685</v>
      </c>
      <c r="G1456" s="14" t="n">
        <v>5.1544</v>
      </c>
      <c r="H1456" s="14" t="n">
        <v>110.36</v>
      </c>
      <c r="I1456" s="14" t="n">
        <v>1.1844</v>
      </c>
      <c r="J1456" s="14" t="n">
        <v>10.3085</v>
      </c>
      <c r="K1456" s="14" t="n">
        <v>1356.76</v>
      </c>
      <c r="L1456" s="14" t="n">
        <v>0.85518</v>
      </c>
      <c r="M1456" s="14" t="n">
        <v>7.6598</v>
      </c>
      <c r="N1456" s="14" t="n">
        <v>6.1316</v>
      </c>
      <c r="O1456" s="14" t="n">
        <v>130.55</v>
      </c>
      <c r="P1456" s="14" t="n">
        <v>8.7036</v>
      </c>
    </row>
    <row r="1457" customFormat="false" ht="15" hidden="false" customHeight="false" outlineLevel="0" collapsed="false">
      <c r="A1457" s="13" t="n">
        <v>44391</v>
      </c>
      <c r="B1457" s="14" t="n">
        <v>1147.43</v>
      </c>
      <c r="C1457" s="14" t="n">
        <v>8.7479</v>
      </c>
      <c r="D1457" s="14" t="n">
        <v>1.3854</v>
      </c>
      <c r="E1457" s="14" t="n">
        <v>1.1826</v>
      </c>
      <c r="F1457" s="14" t="n">
        <v>6.4688</v>
      </c>
      <c r="G1457" s="14" t="n">
        <v>5.0861</v>
      </c>
      <c r="H1457" s="14" t="n">
        <v>110.03</v>
      </c>
      <c r="I1457" s="14" t="n">
        <v>1.1812</v>
      </c>
      <c r="J1457" s="14" t="n">
        <v>10.332</v>
      </c>
      <c r="K1457" s="14" t="n">
        <v>1355.24</v>
      </c>
      <c r="L1457" s="14" t="n">
        <v>0.85158</v>
      </c>
      <c r="M1457" s="14" t="n">
        <v>7.6268</v>
      </c>
      <c r="N1457" s="14" t="n">
        <v>6.0591</v>
      </c>
      <c r="O1457" s="14" t="n">
        <v>130.3</v>
      </c>
      <c r="P1457" s="14" t="n">
        <v>8.747</v>
      </c>
    </row>
    <row r="1458" customFormat="false" ht="15" hidden="false" customHeight="false" outlineLevel="0" collapsed="false">
      <c r="A1458" s="13" t="n">
        <v>44392</v>
      </c>
      <c r="B1458" s="14" t="n">
        <v>1141.21</v>
      </c>
      <c r="C1458" s="14" t="n">
        <v>8.8145</v>
      </c>
      <c r="D1458" s="14" t="n">
        <v>1.3849</v>
      </c>
      <c r="E1458" s="14" t="n">
        <v>1.1806</v>
      </c>
      <c r="F1458" s="14" t="n">
        <v>6.46</v>
      </c>
      <c r="G1458" s="14" t="n">
        <v>5.118</v>
      </c>
      <c r="H1458" s="14" t="n">
        <v>110.05</v>
      </c>
      <c r="I1458" s="14" t="n">
        <v>1.1809</v>
      </c>
      <c r="J1458" s="14" t="n">
        <v>10.3803</v>
      </c>
      <c r="K1458" s="14" t="n">
        <v>1350.13</v>
      </c>
      <c r="L1458" s="14" t="n">
        <v>0.85188</v>
      </c>
      <c r="M1458" s="14" t="n">
        <v>7.6304</v>
      </c>
      <c r="N1458" s="14" t="n">
        <v>6.0075</v>
      </c>
      <c r="O1458" s="14" t="n">
        <v>129.93</v>
      </c>
      <c r="P1458" s="14" t="n">
        <v>8.7902</v>
      </c>
    </row>
    <row r="1459" customFormat="false" ht="15" hidden="false" customHeight="false" outlineLevel="0" collapsed="false">
      <c r="A1459" s="13" t="n">
        <v>44393</v>
      </c>
      <c r="B1459" s="14" t="n">
        <v>1139.35</v>
      </c>
      <c r="C1459" s="14" t="n">
        <v>8.8346</v>
      </c>
      <c r="D1459" s="14" t="n">
        <v>1.3785</v>
      </c>
      <c r="E1459" s="14" t="n">
        <v>1.181</v>
      </c>
      <c r="F1459" s="14" t="n">
        <v>6.4785</v>
      </c>
      <c r="G1459" s="14" t="n">
        <v>5.0922</v>
      </c>
      <c r="H1459" s="14" t="n">
        <v>110.13</v>
      </c>
      <c r="I1459" s="14" t="n">
        <v>1.1802</v>
      </c>
      <c r="J1459" s="14" t="n">
        <v>10.3878</v>
      </c>
      <c r="K1459" s="14" t="n">
        <v>1347.94</v>
      </c>
      <c r="L1459" s="14" t="n">
        <v>0.85298</v>
      </c>
      <c r="M1459" s="14" t="n">
        <v>7.6373</v>
      </c>
      <c r="N1459" s="14" t="n">
        <v>6.0146</v>
      </c>
      <c r="O1459" s="14" t="n">
        <v>130.03</v>
      </c>
      <c r="P1459" s="14" t="n">
        <v>8.8017</v>
      </c>
    </row>
    <row r="1460" customFormat="false" ht="15" hidden="false" customHeight="false" outlineLevel="0" collapsed="false">
      <c r="A1460" s="13" t="n">
        <v>44396</v>
      </c>
      <c r="B1460" s="14" t="n">
        <v>1147.17</v>
      </c>
      <c r="C1460" s="14" t="n">
        <v>8.9323</v>
      </c>
      <c r="D1460" s="14" t="n">
        <v>1.369</v>
      </c>
      <c r="E1460" s="14" t="n">
        <v>1.1804</v>
      </c>
      <c r="F1460" s="14" t="n">
        <v>6.4893</v>
      </c>
      <c r="G1460" s="14" t="n">
        <v>5.21</v>
      </c>
      <c r="H1460" s="14" t="n">
        <v>109.45</v>
      </c>
      <c r="I1460" s="14" t="n">
        <v>1.1766</v>
      </c>
      <c r="J1460" s="14" t="n">
        <v>10.538</v>
      </c>
      <c r="K1460" s="14" t="n">
        <v>1357.53</v>
      </c>
      <c r="L1460" s="14" t="n">
        <v>0.85913</v>
      </c>
      <c r="M1460" s="14" t="n">
        <v>7.6344</v>
      </c>
      <c r="N1460" s="14" t="n">
        <v>6.0813</v>
      </c>
      <c r="O1460" s="14" t="n">
        <v>128.96</v>
      </c>
      <c r="P1460" s="14" t="n">
        <v>8.9563</v>
      </c>
    </row>
    <row r="1461" customFormat="false" ht="15" hidden="false" customHeight="false" outlineLevel="0" collapsed="false">
      <c r="A1461" s="13" t="n">
        <v>44397</v>
      </c>
      <c r="B1461" s="14" t="n">
        <v>1150.45</v>
      </c>
      <c r="C1461" s="14" t="n">
        <v>9.0168</v>
      </c>
      <c r="D1461" s="14" t="n">
        <v>1.3615</v>
      </c>
      <c r="E1461" s="14" t="n">
        <v>1.1776</v>
      </c>
      <c r="F1461" s="14" t="n">
        <v>6.4845</v>
      </c>
      <c r="G1461" s="14" t="n">
        <v>5.219</v>
      </c>
      <c r="H1461" s="14" t="n">
        <v>109.92</v>
      </c>
      <c r="I1461" s="14" t="n">
        <v>1.1775</v>
      </c>
      <c r="J1461" s="14" t="n">
        <v>10.617</v>
      </c>
      <c r="K1461" s="14" t="n">
        <v>1352.39</v>
      </c>
      <c r="L1461" s="14" t="n">
        <v>0.86545</v>
      </c>
      <c r="M1461" s="14" t="n">
        <v>7.6305</v>
      </c>
      <c r="N1461" s="14" t="n">
        <v>6.1633</v>
      </c>
      <c r="O1461" s="14" t="n">
        <v>129.03</v>
      </c>
      <c r="P1461" s="14" t="n">
        <v>9.0166</v>
      </c>
    </row>
    <row r="1462" customFormat="false" ht="15" hidden="false" customHeight="false" outlineLevel="0" collapsed="false">
      <c r="A1462" s="13" t="n">
        <v>44398</v>
      </c>
      <c r="B1462" s="14" t="n">
        <v>1153.03</v>
      </c>
      <c r="C1462" s="14" t="n">
        <v>8.888</v>
      </c>
      <c r="D1462" s="14" t="n">
        <v>1.3695</v>
      </c>
      <c r="E1462" s="14" t="n">
        <v>1.1799</v>
      </c>
      <c r="F1462" s="14" t="n">
        <v>6.4664</v>
      </c>
      <c r="G1462" s="14" t="n">
        <v>5.2313</v>
      </c>
      <c r="H1462" s="14" t="n">
        <v>110.22</v>
      </c>
      <c r="I1462" s="14" t="n">
        <v>1.1772</v>
      </c>
      <c r="J1462" s="14" t="n">
        <v>10.5808</v>
      </c>
      <c r="K1462" s="14" t="n">
        <v>1359.56</v>
      </c>
      <c r="L1462" s="14" t="n">
        <v>0.86363</v>
      </c>
      <c r="M1462" s="14" t="n">
        <v>7.6201</v>
      </c>
      <c r="N1462" s="14" t="n">
        <v>6.1732</v>
      </c>
      <c r="O1462" s="14" t="n">
        <v>129.63</v>
      </c>
      <c r="P1462" s="14" t="n">
        <v>8.9881</v>
      </c>
    </row>
    <row r="1463" customFormat="false" ht="15" hidden="false" customHeight="false" outlineLevel="0" collapsed="false">
      <c r="A1463" s="13" t="n">
        <v>44399</v>
      </c>
      <c r="B1463" s="14" t="n">
        <v>1149.99</v>
      </c>
      <c r="C1463" s="14" t="n">
        <v>8.8691</v>
      </c>
      <c r="D1463" s="14" t="n">
        <v>1.375</v>
      </c>
      <c r="E1463" s="14" t="n">
        <v>1.1771</v>
      </c>
      <c r="F1463" s="14" t="n">
        <v>6.47</v>
      </c>
      <c r="G1463" s="14" t="n">
        <v>5.2071</v>
      </c>
      <c r="H1463" s="14" t="n">
        <v>110.1</v>
      </c>
      <c r="I1463" s="14" t="n">
        <v>1.1775</v>
      </c>
      <c r="J1463" s="14" t="n">
        <v>10.3795</v>
      </c>
      <c r="K1463" s="14" t="n">
        <v>1352.59</v>
      </c>
      <c r="L1463" s="14" t="n">
        <v>0.85563</v>
      </c>
      <c r="M1463" s="14" t="n">
        <v>7.6153</v>
      </c>
      <c r="N1463" s="14" t="n">
        <v>6.1029</v>
      </c>
      <c r="O1463" s="14" t="n">
        <v>129.83</v>
      </c>
      <c r="P1463" s="14" t="n">
        <v>8.8149</v>
      </c>
    </row>
    <row r="1464" customFormat="false" ht="15" hidden="false" customHeight="false" outlineLevel="0" collapsed="false">
      <c r="A1464" s="13" t="n">
        <v>44400</v>
      </c>
      <c r="B1464" s="14" t="n">
        <v>1153.53</v>
      </c>
      <c r="C1464" s="14" t="n">
        <v>8.8788</v>
      </c>
      <c r="D1464" s="14" t="n">
        <v>1.3749</v>
      </c>
      <c r="E1464" s="14" t="n">
        <v>1.1761</v>
      </c>
      <c r="F1464" s="14" t="n">
        <v>6.4808</v>
      </c>
      <c r="G1464" s="14" t="n">
        <v>5.1766</v>
      </c>
      <c r="H1464" s="14" t="n">
        <v>110.52</v>
      </c>
      <c r="I1464" s="14" t="n">
        <v>1.1767</v>
      </c>
      <c r="J1464" s="14" t="n">
        <v>10.4065</v>
      </c>
      <c r="K1464" s="14" t="n">
        <v>1354.19</v>
      </c>
      <c r="L1464" s="14" t="n">
        <v>0.85543</v>
      </c>
      <c r="M1464" s="14" t="n">
        <v>7.6224</v>
      </c>
      <c r="N1464" s="14" t="n">
        <v>6.1009</v>
      </c>
      <c r="O1464" s="14" t="n">
        <v>130.11</v>
      </c>
      <c r="P1464" s="14" t="n">
        <v>8.8438</v>
      </c>
    </row>
    <row r="1465" customFormat="false" ht="15" hidden="false" customHeight="false" outlineLevel="0" collapsed="false">
      <c r="A1465" s="13" t="n">
        <v>44403</v>
      </c>
      <c r="B1465" s="14" t="n">
        <v>1154.75</v>
      </c>
      <c r="C1465" s="14" t="n">
        <v>8.8293</v>
      </c>
      <c r="D1465" s="14" t="n">
        <v>1.3829</v>
      </c>
      <c r="E1465" s="14" t="n">
        <v>1.181</v>
      </c>
      <c r="F1465" s="14" t="n">
        <v>6.4825</v>
      </c>
      <c r="G1465" s="14" t="n">
        <v>5.172</v>
      </c>
      <c r="H1465" s="14" t="n">
        <v>110.31</v>
      </c>
      <c r="I1465" s="14" t="n">
        <v>1.1787</v>
      </c>
      <c r="J1465" s="14" t="n">
        <v>10.427</v>
      </c>
      <c r="K1465" s="14" t="n">
        <v>1360.69</v>
      </c>
      <c r="L1465" s="14" t="n">
        <v>0.85468</v>
      </c>
      <c r="M1465" s="14" t="n">
        <v>7.6426</v>
      </c>
      <c r="N1465" s="14" t="n">
        <v>6.1546</v>
      </c>
      <c r="O1465" s="14" t="n">
        <v>130.05</v>
      </c>
      <c r="P1465" s="14" t="n">
        <v>8.8462</v>
      </c>
    </row>
    <row r="1466" customFormat="false" ht="15" hidden="false" customHeight="false" outlineLevel="0" collapsed="false">
      <c r="A1466" s="13" t="n">
        <v>44404</v>
      </c>
      <c r="B1466" s="14" t="n">
        <v>1156.32</v>
      </c>
      <c r="C1466" s="14" t="n">
        <v>8.8676</v>
      </c>
      <c r="D1466" s="14" t="n">
        <v>1.3884</v>
      </c>
      <c r="E1466" s="14" t="n">
        <v>1.1831</v>
      </c>
      <c r="F1466" s="14" t="n">
        <v>6.5104</v>
      </c>
      <c r="G1466" s="14" t="n">
        <v>5.1603</v>
      </c>
      <c r="H1466" s="14" t="n">
        <v>109.64</v>
      </c>
      <c r="I1466" s="14" t="n">
        <v>1.181</v>
      </c>
      <c r="J1466" s="14" t="n">
        <v>10.4423</v>
      </c>
      <c r="K1466" s="14" t="n">
        <v>1360.75</v>
      </c>
      <c r="L1466" s="14" t="n">
        <v>0.85503</v>
      </c>
      <c r="M1466" s="14" t="n">
        <v>7.6799</v>
      </c>
      <c r="N1466" s="14" t="n">
        <v>6.1288</v>
      </c>
      <c r="O1466" s="14" t="n">
        <v>129.98</v>
      </c>
      <c r="P1466" s="14" t="n">
        <v>8.8419</v>
      </c>
    </row>
    <row r="1467" customFormat="false" ht="15" hidden="false" customHeight="false" outlineLevel="0" collapsed="false">
      <c r="A1467" s="13" t="n">
        <v>44405</v>
      </c>
      <c r="B1467" s="14" t="n">
        <v>1156.27</v>
      </c>
      <c r="C1467" s="14" t="n">
        <v>8.8399</v>
      </c>
      <c r="D1467" s="14" t="n">
        <v>1.3884</v>
      </c>
      <c r="E1467" s="14" t="n">
        <v>1.1809</v>
      </c>
      <c r="F1467" s="14" t="n">
        <v>6.4905</v>
      </c>
      <c r="G1467" s="14" t="n">
        <v>5.1547</v>
      </c>
      <c r="H1467" s="14" t="n">
        <v>110.06</v>
      </c>
      <c r="I1467" s="14" t="n">
        <v>1.1807</v>
      </c>
      <c r="J1467" s="14" t="n">
        <v>10.4828</v>
      </c>
      <c r="K1467" s="14" t="n">
        <v>1362.99</v>
      </c>
      <c r="L1467" s="14" t="n">
        <v>0.85095</v>
      </c>
      <c r="M1467" s="14" t="n">
        <v>7.6722</v>
      </c>
      <c r="N1467" s="14" t="n">
        <v>6.0931</v>
      </c>
      <c r="O1467" s="14" t="n">
        <v>129.97</v>
      </c>
      <c r="P1467" s="14" t="n">
        <v>8.8785</v>
      </c>
    </row>
    <row r="1468" customFormat="false" ht="15" hidden="false" customHeight="false" outlineLevel="0" collapsed="false">
      <c r="A1468" s="13" t="n">
        <v>44406</v>
      </c>
      <c r="B1468" s="14" t="n">
        <v>1142.09</v>
      </c>
      <c r="C1468" s="14" t="n">
        <v>8.7401</v>
      </c>
      <c r="D1468" s="14" t="n">
        <v>1.3966</v>
      </c>
      <c r="E1468" s="14" t="n">
        <v>1.1886</v>
      </c>
      <c r="F1468" s="14" t="n">
        <v>6.4562</v>
      </c>
      <c r="G1468" s="14" t="n">
        <v>5.0497</v>
      </c>
      <c r="H1468" s="14" t="n">
        <v>109.53</v>
      </c>
      <c r="I1468" s="14" t="n">
        <v>1.1873</v>
      </c>
      <c r="J1468" s="14" t="n">
        <v>10.3993</v>
      </c>
      <c r="K1468" s="14" t="n">
        <v>1360.07</v>
      </c>
      <c r="L1468" s="14" t="n">
        <v>0.8508</v>
      </c>
      <c r="M1468" s="14" t="n">
        <v>7.6691</v>
      </c>
      <c r="N1468" s="14" t="n">
        <v>6.0419</v>
      </c>
      <c r="O1468" s="14" t="n">
        <v>130.41</v>
      </c>
      <c r="P1468" s="14" t="n">
        <v>8.7588</v>
      </c>
    </row>
    <row r="1469" customFormat="false" ht="15" hidden="false" customHeight="false" outlineLevel="0" collapsed="false">
      <c r="A1469" s="13" t="n">
        <v>44407</v>
      </c>
      <c r="B1469" s="14" t="n">
        <v>1151.86</v>
      </c>
      <c r="C1469" s="14" t="n">
        <v>8.8254</v>
      </c>
      <c r="D1469" s="14" t="n">
        <v>1.3913</v>
      </c>
      <c r="E1469" s="14" t="n">
        <v>1.1864</v>
      </c>
      <c r="F1469" s="14" t="n">
        <v>6.4609</v>
      </c>
      <c r="G1469" s="14" t="n">
        <v>5.1411</v>
      </c>
      <c r="H1469" s="14" t="n">
        <v>109.7</v>
      </c>
      <c r="I1469" s="14" t="n">
        <v>1.1891</v>
      </c>
      <c r="J1469" s="14" t="n">
        <v>10.4405</v>
      </c>
      <c r="K1469" s="14" t="n">
        <v>1368.74</v>
      </c>
      <c r="L1469" s="14" t="n">
        <v>0.8514</v>
      </c>
      <c r="M1469" s="14" t="n">
        <v>7.6838</v>
      </c>
      <c r="N1469" s="14" t="n">
        <v>6.0716</v>
      </c>
      <c r="O1469" s="14" t="n">
        <v>130.39</v>
      </c>
      <c r="P1469" s="14" t="n">
        <v>8.7802</v>
      </c>
    </row>
    <row r="1470" customFormat="false" ht="15" hidden="false" customHeight="false" outlineLevel="0" collapsed="false">
      <c r="A1470" s="13" t="n">
        <v>44410</v>
      </c>
      <c r="B1470" s="14" t="n">
        <v>1150.72</v>
      </c>
      <c r="C1470" s="14" t="n">
        <v>8.8135</v>
      </c>
      <c r="D1470" s="14" t="n">
        <v>1.3886</v>
      </c>
      <c r="E1470" s="14" t="n">
        <v>1.1873</v>
      </c>
      <c r="F1470" s="14" t="n">
        <v>6.462</v>
      </c>
      <c r="G1470" s="14" t="n">
        <v>5.1251</v>
      </c>
      <c r="H1470" s="14" t="n">
        <v>109.22</v>
      </c>
      <c r="I1470" s="14" t="n">
        <v>1.1886</v>
      </c>
      <c r="J1470" s="14" t="n">
        <v>10.4515</v>
      </c>
      <c r="K1470" s="14" t="n">
        <v>1367.67</v>
      </c>
      <c r="L1470" s="14" t="n">
        <v>0.85568</v>
      </c>
      <c r="M1470" s="14" t="n">
        <v>7.6807</v>
      </c>
      <c r="N1470" s="14" t="n">
        <v>6.1459</v>
      </c>
      <c r="O1470" s="14" t="n">
        <v>130.17</v>
      </c>
      <c r="P1470" s="14" t="n">
        <v>8.7931</v>
      </c>
    </row>
    <row r="1471" customFormat="false" ht="15" hidden="false" customHeight="false" outlineLevel="0" collapsed="false">
      <c r="A1471" s="13" t="n">
        <v>44411</v>
      </c>
      <c r="B1471" s="14" t="n">
        <v>1149.45</v>
      </c>
      <c r="C1471" s="14" t="n">
        <v>8.8128</v>
      </c>
      <c r="D1471" s="14" t="n">
        <v>1.3905</v>
      </c>
      <c r="E1471" s="14" t="n">
        <v>1.1859</v>
      </c>
      <c r="F1471" s="14" t="n">
        <v>6.47</v>
      </c>
      <c r="G1471" s="14" t="n">
        <v>5.2362</v>
      </c>
      <c r="H1471" s="14" t="n">
        <v>109.09</v>
      </c>
      <c r="I1471" s="14" t="n">
        <v>1.1885</v>
      </c>
      <c r="J1471" s="14" t="n">
        <v>10.4343</v>
      </c>
      <c r="K1471" s="14" t="n">
        <v>1364.59</v>
      </c>
      <c r="L1471" s="14" t="n">
        <v>0.85355</v>
      </c>
      <c r="M1471" s="14" t="n">
        <v>7.6818</v>
      </c>
      <c r="N1471" s="14" t="n">
        <v>6.1791</v>
      </c>
      <c r="O1471" s="14" t="n">
        <v>129.7</v>
      </c>
      <c r="P1471" s="14" t="n">
        <v>8.7794</v>
      </c>
    </row>
    <row r="1472" customFormat="false" ht="15" hidden="false" customHeight="false" outlineLevel="0" collapsed="false">
      <c r="A1472" s="13" t="n">
        <v>44412</v>
      </c>
      <c r="B1472" s="14" t="n">
        <v>1142.99</v>
      </c>
      <c r="C1472" s="14" t="n">
        <v>8.8353</v>
      </c>
      <c r="D1472" s="14" t="n">
        <v>1.3912</v>
      </c>
      <c r="E1472" s="14" t="n">
        <v>1.1841</v>
      </c>
      <c r="F1472" s="14" t="n">
        <v>6.4655</v>
      </c>
      <c r="G1472" s="14" t="n">
        <v>5.2362</v>
      </c>
      <c r="H1472" s="14" t="n">
        <v>109.44</v>
      </c>
      <c r="I1472" s="14" t="n">
        <v>1.1861</v>
      </c>
      <c r="J1472" s="14" t="n">
        <v>10.455</v>
      </c>
      <c r="K1472" s="14" t="n">
        <v>1355.44</v>
      </c>
      <c r="L1472" s="14" t="n">
        <v>0.85153</v>
      </c>
      <c r="M1472" s="14" t="n">
        <v>7.6638</v>
      </c>
      <c r="N1472" s="14" t="n">
        <v>6.161</v>
      </c>
      <c r="O1472" s="14" t="n">
        <v>129.31</v>
      </c>
      <c r="P1472" s="14" t="n">
        <v>8.8146</v>
      </c>
    </row>
    <row r="1473" customFormat="false" ht="15" hidden="false" customHeight="false" outlineLevel="0" collapsed="false">
      <c r="A1473" s="13" t="n">
        <v>44413</v>
      </c>
      <c r="B1473" s="14" t="n">
        <v>1142.53</v>
      </c>
      <c r="C1473" s="14" t="n">
        <v>8.8112</v>
      </c>
      <c r="D1473" s="14" t="n">
        <v>1.3929</v>
      </c>
      <c r="E1473" s="14" t="n">
        <v>1.1838</v>
      </c>
      <c r="F1473" s="14" t="n">
        <v>6.4608</v>
      </c>
      <c r="G1473" s="14" t="n">
        <v>5.175</v>
      </c>
      <c r="H1473" s="14" t="n">
        <v>109.75</v>
      </c>
      <c r="I1473" s="14" t="n">
        <v>1.185</v>
      </c>
      <c r="J1473" s="14" t="n">
        <v>10.441</v>
      </c>
      <c r="K1473" s="14" t="n">
        <v>1353.34</v>
      </c>
      <c r="L1473" s="14" t="n">
        <v>0.8506</v>
      </c>
      <c r="M1473" s="14" t="n">
        <v>7.6555</v>
      </c>
      <c r="N1473" s="14" t="n">
        <v>6.1064</v>
      </c>
      <c r="O1473" s="14" t="n">
        <v>129.79</v>
      </c>
      <c r="P1473" s="14" t="n">
        <v>8.811</v>
      </c>
    </row>
    <row r="1474" customFormat="false" ht="15" hidden="false" customHeight="false" outlineLevel="0" collapsed="false">
      <c r="A1474" s="13" t="n">
        <v>44414</v>
      </c>
      <c r="B1474" s="14" t="n">
        <v>1145.87</v>
      </c>
      <c r="C1474" s="14" t="n">
        <v>8.8801</v>
      </c>
      <c r="D1474" s="14" t="n">
        <v>1.3873</v>
      </c>
      <c r="E1474" s="14" t="n">
        <v>1.1761</v>
      </c>
      <c r="F1474" s="14" t="n">
        <v>6.4825</v>
      </c>
      <c r="G1474" s="14" t="n">
        <v>5.2236</v>
      </c>
      <c r="H1474" s="14" t="n">
        <v>110.22</v>
      </c>
      <c r="I1474" s="14" t="n">
        <v>1.1807</v>
      </c>
      <c r="J1474" s="14" t="n">
        <v>10.423</v>
      </c>
      <c r="K1474" s="14" t="n">
        <v>1349.15</v>
      </c>
      <c r="L1474" s="14" t="n">
        <v>0.8484</v>
      </c>
      <c r="M1474" s="14" t="n">
        <v>7.6379</v>
      </c>
      <c r="N1474" s="14" t="n">
        <v>6.1594</v>
      </c>
      <c r="O1474" s="14" t="n">
        <v>129.64</v>
      </c>
      <c r="P1474" s="14" t="n">
        <v>8.8278</v>
      </c>
    </row>
    <row r="1475" customFormat="false" ht="15" hidden="false" customHeight="false" outlineLevel="0" collapsed="false">
      <c r="A1475" s="13" t="n">
        <v>44417</v>
      </c>
      <c r="B1475" s="14" t="n">
        <v>1145.83</v>
      </c>
      <c r="C1475" s="14" t="n">
        <v>8.9366</v>
      </c>
      <c r="D1475" s="14" t="n">
        <v>1.3852</v>
      </c>
      <c r="E1475" s="14" t="n">
        <v>1.1749</v>
      </c>
      <c r="F1475" s="14" t="n">
        <v>6.4857</v>
      </c>
      <c r="G1475" s="14" t="n">
        <v>5.2861</v>
      </c>
      <c r="H1475" s="14" t="n">
        <v>110.25</v>
      </c>
      <c r="I1475" s="14" t="n">
        <v>1.1761</v>
      </c>
      <c r="J1475" s="14" t="n">
        <v>10.4885</v>
      </c>
      <c r="K1475" s="14" t="n">
        <v>1345.82</v>
      </c>
      <c r="L1475" s="14" t="n">
        <v>0.84745</v>
      </c>
      <c r="M1475" s="14" t="n">
        <v>7.619</v>
      </c>
      <c r="N1475" s="14" t="n">
        <v>6.1735</v>
      </c>
      <c r="O1475" s="14" t="n">
        <v>129.5</v>
      </c>
      <c r="P1475" s="14" t="n">
        <v>8.918</v>
      </c>
    </row>
    <row r="1476" customFormat="false" ht="15" hidden="false" customHeight="false" outlineLevel="0" collapsed="false">
      <c r="A1476" s="13" t="n">
        <v>44418</v>
      </c>
      <c r="B1476" s="14" t="n">
        <v>1152.5</v>
      </c>
      <c r="C1476" s="14" t="n">
        <v>8.9243</v>
      </c>
      <c r="D1476" s="14" t="n">
        <v>1.384</v>
      </c>
      <c r="E1476" s="14" t="n">
        <v>1.1722</v>
      </c>
      <c r="F1476" s="14" t="n">
        <v>6.4852</v>
      </c>
      <c r="G1476" s="14" t="n">
        <v>5.1931</v>
      </c>
      <c r="H1476" s="14" t="n">
        <v>110.54</v>
      </c>
      <c r="I1476" s="14" t="n">
        <v>1.1722</v>
      </c>
      <c r="J1476" s="14" t="n">
        <v>10.468</v>
      </c>
      <c r="K1476" s="14" t="n">
        <v>1349.76</v>
      </c>
      <c r="L1476" s="14" t="n">
        <v>0.84568</v>
      </c>
      <c r="M1476" s="14" t="n">
        <v>7.5975</v>
      </c>
      <c r="N1476" s="14" t="n">
        <v>6.1471</v>
      </c>
      <c r="O1476" s="14" t="n">
        <v>129.48</v>
      </c>
      <c r="P1476" s="14" t="n">
        <v>8.9302</v>
      </c>
    </row>
    <row r="1477" customFormat="false" ht="15" hidden="false" customHeight="false" outlineLevel="0" collapsed="false">
      <c r="A1477" s="13" t="n">
        <v>44419</v>
      </c>
      <c r="B1477" s="14" t="n">
        <v>1156.09</v>
      </c>
      <c r="C1477" s="14" t="n">
        <v>8.871</v>
      </c>
      <c r="D1477" s="14" t="n">
        <v>1.3866</v>
      </c>
      <c r="E1477" s="14" t="n">
        <v>1.1737</v>
      </c>
      <c r="F1477" s="14" t="n">
        <v>6.4783</v>
      </c>
      <c r="G1477" s="14" t="n">
        <v>5.203</v>
      </c>
      <c r="H1477" s="14" t="n">
        <v>110.47</v>
      </c>
      <c r="I1477" s="14" t="n">
        <v>1.1718</v>
      </c>
      <c r="J1477" s="14" t="n">
        <v>10.4548</v>
      </c>
      <c r="K1477" s="14" t="n">
        <v>1357.41</v>
      </c>
      <c r="L1477" s="14" t="n">
        <v>0.84698</v>
      </c>
      <c r="M1477" s="14" t="n">
        <v>7.5996</v>
      </c>
      <c r="N1477" s="14" t="n">
        <v>6.1113</v>
      </c>
      <c r="O1477" s="14" t="n">
        <v>129.68</v>
      </c>
      <c r="P1477" s="14" t="n">
        <v>8.922</v>
      </c>
    </row>
    <row r="1478" customFormat="false" ht="15" hidden="false" customHeight="false" outlineLevel="0" collapsed="false">
      <c r="A1478" s="13" t="n">
        <v>44420</v>
      </c>
      <c r="B1478" s="14" t="n">
        <v>1162.78</v>
      </c>
      <c r="C1478" s="14" t="n">
        <v>8.8433</v>
      </c>
      <c r="D1478" s="14" t="n">
        <v>1.3833</v>
      </c>
      <c r="E1478" s="14" t="n">
        <v>1.1736</v>
      </c>
      <c r="F1478" s="14" t="n">
        <v>6.4782</v>
      </c>
      <c r="G1478" s="14" t="n">
        <v>5.2352</v>
      </c>
      <c r="H1478" s="14" t="n">
        <v>110.36</v>
      </c>
      <c r="I1478" s="14" t="n">
        <v>1.1739</v>
      </c>
      <c r="J1478" s="14" t="n">
        <v>10.3755</v>
      </c>
      <c r="K1478" s="14" t="n">
        <v>1365.19</v>
      </c>
      <c r="L1478" s="14" t="n">
        <v>0.84743</v>
      </c>
      <c r="M1478" s="14" t="n">
        <v>7.6036</v>
      </c>
      <c r="N1478" s="14" t="n">
        <v>6.1263</v>
      </c>
      <c r="O1478" s="14" t="n">
        <v>129.61</v>
      </c>
      <c r="P1478" s="14" t="n">
        <v>8.8385</v>
      </c>
    </row>
    <row r="1479" customFormat="false" ht="15" hidden="false" customHeight="false" outlineLevel="0" collapsed="false">
      <c r="A1479" s="13" t="n">
        <v>44421</v>
      </c>
      <c r="B1479" s="14" t="n">
        <v>1168.36</v>
      </c>
      <c r="C1479" s="14" t="n">
        <v>8.787</v>
      </c>
      <c r="D1479" s="14" t="n">
        <v>1.3857</v>
      </c>
      <c r="E1479" s="14" t="n">
        <v>1.1796</v>
      </c>
      <c r="F1479" s="14" t="n">
        <v>6.4768</v>
      </c>
      <c r="G1479" s="14" t="n">
        <v>5.2345</v>
      </c>
      <c r="H1479" s="14" t="n">
        <v>109.75</v>
      </c>
      <c r="I1479" s="14" t="n">
        <v>1.1765</v>
      </c>
      <c r="J1479" s="14" t="n">
        <v>10.3753</v>
      </c>
      <c r="K1479" s="14" t="n">
        <v>1369.96</v>
      </c>
      <c r="L1479" s="14" t="n">
        <v>0.85093</v>
      </c>
      <c r="M1479" s="14" t="n">
        <v>7.6237</v>
      </c>
      <c r="N1479" s="14" t="n">
        <v>6.1611</v>
      </c>
      <c r="O1479" s="14" t="n">
        <v>129.64</v>
      </c>
      <c r="P1479" s="14" t="n">
        <v>8.8188</v>
      </c>
    </row>
    <row r="1480" customFormat="false" ht="15" hidden="false" customHeight="false" outlineLevel="0" collapsed="false">
      <c r="A1480" s="13" t="n">
        <v>44424</v>
      </c>
      <c r="B1480" s="14" t="n">
        <v>1166.78</v>
      </c>
      <c r="C1480" s="14" t="n">
        <v>8.8284</v>
      </c>
      <c r="D1480" s="14" t="n">
        <v>1.3849</v>
      </c>
      <c r="E1480" s="14" t="n">
        <v>1.1776</v>
      </c>
      <c r="F1480" s="14" t="n">
        <v>6.4742</v>
      </c>
      <c r="G1480" s="14" t="n">
        <v>5.2466</v>
      </c>
      <c r="H1480" s="14" t="n">
        <v>109.26</v>
      </c>
      <c r="I1480" s="14" t="n">
        <v>1.1772</v>
      </c>
      <c r="J1480" s="14" t="n">
        <v>10.4048</v>
      </c>
      <c r="K1480" s="14" t="n">
        <v>1374.09</v>
      </c>
      <c r="L1480" s="14" t="n">
        <v>0.84873</v>
      </c>
      <c r="M1480" s="14" t="n">
        <v>7.6243</v>
      </c>
      <c r="N1480" s="14" t="n">
        <v>6.2143</v>
      </c>
      <c r="O1480" s="14" t="n">
        <v>128.75</v>
      </c>
      <c r="P1480" s="14" t="n">
        <v>8.8386</v>
      </c>
    </row>
    <row r="1481" customFormat="false" ht="15" hidden="false" customHeight="false" outlineLevel="0" collapsed="false">
      <c r="A1481" s="13" t="n">
        <v>44425</v>
      </c>
      <c r="B1481" s="14" t="n">
        <v>1177.08</v>
      </c>
      <c r="C1481" s="14" t="n">
        <v>8.9031</v>
      </c>
      <c r="D1481" s="14" t="n">
        <v>1.3739</v>
      </c>
      <c r="E1481" s="14" t="n">
        <v>1.1714</v>
      </c>
      <c r="F1481" s="14" t="n">
        <v>6.4854</v>
      </c>
      <c r="G1481" s="14" t="n">
        <v>5.2538</v>
      </c>
      <c r="H1481" s="14" t="n">
        <v>109.59</v>
      </c>
      <c r="I1481" s="14" t="n">
        <v>1.1767</v>
      </c>
      <c r="J1481" s="14" t="n">
        <v>10.3983</v>
      </c>
      <c r="K1481" s="14" t="n">
        <v>1381.91</v>
      </c>
      <c r="L1481" s="14" t="n">
        <v>0.85323</v>
      </c>
      <c r="M1481" s="14" t="n">
        <v>7.6244</v>
      </c>
      <c r="N1481" s="14" t="n">
        <v>6.2065</v>
      </c>
      <c r="O1481" s="14" t="n">
        <v>128.57</v>
      </c>
      <c r="P1481" s="14" t="n">
        <v>8.8368</v>
      </c>
    </row>
    <row r="1482" customFormat="false" ht="15" hidden="false" customHeight="false" outlineLevel="0" collapsed="false">
      <c r="A1482" s="13" t="n">
        <v>44426</v>
      </c>
      <c r="B1482" s="14" t="n">
        <v>1170.18</v>
      </c>
      <c r="C1482" s="14" t="n">
        <v>8.9033</v>
      </c>
      <c r="D1482" s="14" t="n">
        <v>1.3749</v>
      </c>
      <c r="E1482" s="14" t="n">
        <v>1.1702</v>
      </c>
      <c r="F1482" s="14" t="n">
        <v>6.4841</v>
      </c>
      <c r="G1482" s="14" t="n">
        <v>5.3421</v>
      </c>
      <c r="H1482" s="14" t="n">
        <v>109.92</v>
      </c>
      <c r="I1482" s="14" t="n">
        <v>1.1723</v>
      </c>
      <c r="J1482" s="14" t="n">
        <v>10.422</v>
      </c>
      <c r="K1482" s="14" t="n">
        <v>1371.95</v>
      </c>
      <c r="L1482" s="14" t="n">
        <v>0.85183</v>
      </c>
      <c r="M1482" s="14" t="n">
        <v>7.5976</v>
      </c>
      <c r="N1482" s="14" t="n">
        <v>6.1913</v>
      </c>
      <c r="O1482" s="14" t="n">
        <v>128.67</v>
      </c>
      <c r="P1482" s="14" t="n">
        <v>8.8902</v>
      </c>
    </row>
    <row r="1483" customFormat="false" ht="15" hidden="false" customHeight="false" outlineLevel="0" collapsed="false">
      <c r="A1483" s="13" t="n">
        <v>44427</v>
      </c>
      <c r="B1483" s="14" t="n">
        <v>1173.89</v>
      </c>
      <c r="C1483" s="14" t="n">
        <v>9.0039</v>
      </c>
      <c r="D1483" s="14" t="n">
        <v>1.3673</v>
      </c>
      <c r="E1483" s="14" t="n">
        <v>1.1693</v>
      </c>
      <c r="F1483" s="14" t="n">
        <v>6.4942</v>
      </c>
      <c r="G1483" s="14" t="n">
        <v>5.4027</v>
      </c>
      <c r="H1483" s="14" t="n">
        <v>109.75</v>
      </c>
      <c r="I1483" s="14" t="n">
        <v>1.1696</v>
      </c>
      <c r="J1483" s="14" t="n">
        <v>10.545</v>
      </c>
      <c r="K1483" s="14" t="n">
        <v>1375.34</v>
      </c>
      <c r="L1483" s="14" t="n">
        <v>0.85523</v>
      </c>
      <c r="M1483" s="14" t="n">
        <v>7.5901</v>
      </c>
      <c r="N1483" s="14" t="n">
        <v>6.3662</v>
      </c>
      <c r="O1483" s="14" t="n">
        <v>128.21</v>
      </c>
      <c r="P1483" s="14" t="n">
        <v>9.0159</v>
      </c>
    </row>
    <row r="1484" customFormat="false" ht="15" hidden="false" customHeight="false" outlineLevel="0" collapsed="false">
      <c r="A1484" s="13" t="n">
        <v>44428</v>
      </c>
      <c r="B1484" s="14" t="n">
        <v>1180.4</v>
      </c>
      <c r="C1484" s="14" t="n">
        <v>9.0386</v>
      </c>
      <c r="D1484" s="14" t="n">
        <v>1.3625</v>
      </c>
      <c r="E1484" s="14" t="n">
        <v>1.169</v>
      </c>
      <c r="F1484" s="14" t="n">
        <v>6.5012</v>
      </c>
      <c r="G1484" s="14" t="n">
        <v>5.399</v>
      </c>
      <c r="H1484" s="14" t="n">
        <v>109.77</v>
      </c>
      <c r="I1484" s="14" t="n">
        <v>1.1671</v>
      </c>
      <c r="J1484" s="14" t="n">
        <v>10.6</v>
      </c>
      <c r="K1484" s="14" t="n">
        <v>1380.66</v>
      </c>
      <c r="L1484" s="14" t="n">
        <v>0.8575</v>
      </c>
      <c r="M1484" s="14" t="n">
        <v>7.5854</v>
      </c>
      <c r="N1484" s="14" t="n">
        <v>6.3622</v>
      </c>
      <c r="O1484" s="14" t="n">
        <v>127.97</v>
      </c>
      <c r="P1484" s="14" t="n">
        <v>9.0823</v>
      </c>
    </row>
    <row r="1485" customFormat="false" ht="15" hidden="false" customHeight="false" outlineLevel="0" collapsed="false">
      <c r="A1485" s="13" t="n">
        <v>44431</v>
      </c>
      <c r="B1485" s="14" t="n">
        <v>1169.73</v>
      </c>
      <c r="C1485" s="14" t="n">
        <v>8.9102</v>
      </c>
      <c r="D1485" s="14" t="n">
        <v>1.3717</v>
      </c>
      <c r="E1485" s="14" t="n">
        <v>1.1732</v>
      </c>
      <c r="F1485" s="14" t="n">
        <v>6.4805</v>
      </c>
      <c r="G1485" s="14" t="n">
        <v>5.384</v>
      </c>
      <c r="H1485" s="14" t="n">
        <v>109.78</v>
      </c>
      <c r="I1485" s="14" t="n">
        <v>1.1718</v>
      </c>
      <c r="J1485" s="14" t="n">
        <v>10.487</v>
      </c>
      <c r="K1485" s="14" t="n">
        <v>1372.54</v>
      </c>
      <c r="L1485" s="14" t="n">
        <v>0.85635</v>
      </c>
      <c r="M1485" s="14" t="n">
        <v>7.599</v>
      </c>
      <c r="N1485" s="14" t="n">
        <v>6.2826</v>
      </c>
      <c r="O1485" s="14" t="n">
        <v>129.02</v>
      </c>
      <c r="P1485" s="14" t="n">
        <v>8.9495</v>
      </c>
    </row>
    <row r="1486" customFormat="false" ht="15" hidden="false" customHeight="false" outlineLevel="0" collapsed="false">
      <c r="A1486" s="13" t="n">
        <v>44432</v>
      </c>
      <c r="B1486" s="14" t="n">
        <v>1165.43</v>
      </c>
      <c r="C1486" s="14" t="n">
        <v>8.8419</v>
      </c>
      <c r="D1486" s="14" t="n">
        <v>1.3716</v>
      </c>
      <c r="E1486" s="14" t="n">
        <v>1.1746</v>
      </c>
      <c r="F1486" s="14" t="n">
        <v>6.471</v>
      </c>
      <c r="G1486" s="14" t="n">
        <v>5.2771</v>
      </c>
      <c r="H1486" s="14" t="n">
        <v>109.68</v>
      </c>
      <c r="I1486" s="14" t="n">
        <v>1.174</v>
      </c>
      <c r="J1486" s="14" t="n">
        <v>10.4003</v>
      </c>
      <c r="K1486" s="14" t="n">
        <v>1369</v>
      </c>
      <c r="L1486" s="14" t="n">
        <v>0.85578</v>
      </c>
      <c r="M1486" s="14" t="n">
        <v>7.6042</v>
      </c>
      <c r="N1486" s="14" t="n">
        <v>6.2681</v>
      </c>
      <c r="O1486" s="14" t="n">
        <v>128.74</v>
      </c>
      <c r="P1486" s="14" t="n">
        <v>8.8589</v>
      </c>
    </row>
    <row r="1487" customFormat="false" ht="15" hidden="false" customHeight="false" outlineLevel="0" collapsed="false">
      <c r="A1487" s="13" t="n">
        <v>44433</v>
      </c>
      <c r="B1487" s="14" t="n">
        <v>1164.24</v>
      </c>
      <c r="C1487" s="14" t="n">
        <v>8.8219</v>
      </c>
      <c r="D1487" s="14" t="n">
        <v>1.3723</v>
      </c>
      <c r="E1487" s="14" t="n">
        <v>1.1758</v>
      </c>
      <c r="F1487" s="14" t="n">
        <v>6.4756</v>
      </c>
      <c r="G1487" s="14" t="n">
        <v>5.247</v>
      </c>
      <c r="H1487" s="14" t="n">
        <v>110.03</v>
      </c>
      <c r="I1487" s="14" t="n">
        <v>1.1736</v>
      </c>
      <c r="J1487" s="14" t="n">
        <v>10.3863</v>
      </c>
      <c r="K1487" s="14" t="n">
        <v>1370.17</v>
      </c>
      <c r="L1487" s="14" t="n">
        <v>0.8559</v>
      </c>
      <c r="M1487" s="14" t="n">
        <v>7.6031</v>
      </c>
      <c r="N1487" s="14" t="n">
        <v>6.1707</v>
      </c>
      <c r="O1487" s="14" t="n">
        <v>129</v>
      </c>
      <c r="P1487" s="14" t="n">
        <v>8.8499</v>
      </c>
    </row>
    <row r="1488" customFormat="false" ht="15" hidden="false" customHeight="false" outlineLevel="0" collapsed="false">
      <c r="A1488" s="13" t="n">
        <v>44434</v>
      </c>
      <c r="B1488" s="14" t="n">
        <v>1169.88</v>
      </c>
      <c r="C1488" s="14" t="n">
        <v>8.8202</v>
      </c>
      <c r="D1488" s="14" t="n">
        <v>1.3712</v>
      </c>
      <c r="E1488" s="14" t="n">
        <v>1.1761</v>
      </c>
      <c r="F1488" s="14" t="n">
        <v>6.4809</v>
      </c>
      <c r="G1488" s="14" t="n">
        <v>5.2428</v>
      </c>
      <c r="H1488" s="14" t="n">
        <v>110.09</v>
      </c>
      <c r="I1488" s="14" t="n">
        <v>1.1767</v>
      </c>
      <c r="J1488" s="14" t="n">
        <v>10.3615</v>
      </c>
      <c r="K1488" s="14" t="n">
        <v>1373.36</v>
      </c>
      <c r="L1488" s="14" t="n">
        <v>0.85718</v>
      </c>
      <c r="M1488" s="14" t="n">
        <v>7.6285</v>
      </c>
      <c r="N1488" s="14" t="n">
        <v>6.1506</v>
      </c>
      <c r="O1488" s="14" t="n">
        <v>129.6</v>
      </c>
      <c r="P1488" s="14" t="n">
        <v>8.8056</v>
      </c>
    </row>
    <row r="1489" customFormat="false" ht="15" hidden="false" customHeight="false" outlineLevel="0" collapsed="false">
      <c r="A1489" s="13" t="n">
        <v>44435</v>
      </c>
      <c r="B1489" s="14" t="n">
        <v>1162.5</v>
      </c>
      <c r="C1489" s="14" t="n">
        <v>8.721</v>
      </c>
      <c r="D1489" s="14" t="n">
        <v>1.3769</v>
      </c>
      <c r="E1489" s="14" t="n">
        <v>1.1794</v>
      </c>
      <c r="F1489" s="14" t="n">
        <v>6.4711</v>
      </c>
      <c r="G1489" s="14" t="n">
        <v>5.1956</v>
      </c>
      <c r="H1489" s="14" t="n">
        <v>109.84</v>
      </c>
      <c r="I1489" s="14" t="n">
        <v>1.1761</v>
      </c>
      <c r="J1489" s="14" t="n">
        <v>10.3575</v>
      </c>
      <c r="K1489" s="14" t="n">
        <v>1375.78</v>
      </c>
      <c r="L1489" s="14" t="n">
        <v>0.85703</v>
      </c>
      <c r="M1489" s="14" t="n">
        <v>7.6195</v>
      </c>
      <c r="N1489" s="14" t="n">
        <v>6.1692</v>
      </c>
      <c r="O1489" s="14" t="n">
        <v>129.59</v>
      </c>
      <c r="P1489" s="14" t="n">
        <v>8.8066</v>
      </c>
    </row>
    <row r="1490" customFormat="false" ht="15" hidden="false" customHeight="false" outlineLevel="0" collapsed="false">
      <c r="A1490" s="13" t="n">
        <v>44438</v>
      </c>
      <c r="B1490" s="14" t="n">
        <v>1166.33</v>
      </c>
      <c r="C1490" s="14" t="n">
        <v>8.658</v>
      </c>
      <c r="D1490" s="14" t="n">
        <v>1.3758</v>
      </c>
      <c r="E1490" s="14" t="n">
        <v>1.1795</v>
      </c>
      <c r="F1490" s="14" t="n">
        <v>6.4658</v>
      </c>
      <c r="G1490" s="14" t="n">
        <v>5.1921</v>
      </c>
      <c r="H1490" s="14" t="n">
        <v>109.91</v>
      </c>
      <c r="I1490" s="14" t="n">
        <v>1.1801</v>
      </c>
      <c r="J1490" s="14" t="n">
        <v>10.2395</v>
      </c>
      <c r="K1490" s="14" t="n">
        <v>1375.03</v>
      </c>
      <c r="L1490" s="14" t="n">
        <v>0.85748</v>
      </c>
      <c r="M1490" s="14" t="n">
        <v>7.6347</v>
      </c>
      <c r="N1490" s="14" t="n">
        <v>6.1529</v>
      </c>
      <c r="O1490" s="14" t="n">
        <v>129.66</v>
      </c>
      <c r="P1490" s="14" t="n">
        <v>8.6768</v>
      </c>
    </row>
    <row r="1491" customFormat="false" ht="15" hidden="false" customHeight="false" outlineLevel="0" collapsed="false">
      <c r="A1491" s="13" t="n">
        <v>44439</v>
      </c>
      <c r="B1491" s="14" t="n">
        <v>1158.32</v>
      </c>
      <c r="C1491" s="14" t="n">
        <v>8.6953</v>
      </c>
      <c r="D1491" s="14" t="n">
        <v>1.3747</v>
      </c>
      <c r="E1491" s="14" t="n">
        <v>1.18</v>
      </c>
      <c r="F1491" s="14" t="n">
        <v>6.4604</v>
      </c>
      <c r="G1491" s="14" t="n">
        <v>5.1405</v>
      </c>
      <c r="H1491" s="14" t="n">
        <v>110.05</v>
      </c>
      <c r="I1491" s="14" t="n">
        <v>1.1834</v>
      </c>
      <c r="J1491" s="14" t="n">
        <v>10.26</v>
      </c>
      <c r="K1491" s="14" t="n">
        <v>1370.03</v>
      </c>
      <c r="L1491" s="14" t="n">
        <v>0.85875</v>
      </c>
      <c r="M1491" s="14" t="n">
        <v>7.6465</v>
      </c>
      <c r="N1491" s="14" t="n">
        <v>6.1386</v>
      </c>
      <c r="O1491" s="14" t="n">
        <v>129.95</v>
      </c>
      <c r="P1491" s="14" t="n">
        <v>8.6699</v>
      </c>
    </row>
    <row r="1492" customFormat="false" ht="15" hidden="false" customHeight="false" outlineLevel="0" collapsed="false">
      <c r="A1492" s="13" t="n">
        <v>44440</v>
      </c>
      <c r="B1492" s="14" t="n">
        <v>1156.03</v>
      </c>
      <c r="C1492" s="14" t="n">
        <v>8.6828</v>
      </c>
      <c r="D1492" s="14" t="n">
        <v>1.379</v>
      </c>
      <c r="E1492" s="14" t="n">
        <v>1.185</v>
      </c>
      <c r="F1492" s="14" t="n">
        <v>6.4586</v>
      </c>
      <c r="G1492" s="14" t="n">
        <v>5.1809</v>
      </c>
      <c r="H1492" s="14" t="n">
        <v>110.03</v>
      </c>
      <c r="I1492" s="14" t="n">
        <v>1.1817</v>
      </c>
      <c r="J1492" s="14" t="n">
        <v>10.2633</v>
      </c>
      <c r="K1492" s="14" t="n">
        <v>1369.25</v>
      </c>
      <c r="L1492" s="14" t="n">
        <v>0.85863</v>
      </c>
      <c r="M1492" s="14" t="n">
        <v>7.6421</v>
      </c>
      <c r="N1492" s="14" t="n">
        <v>6.0886</v>
      </c>
      <c r="O1492" s="14" t="n">
        <v>130.35</v>
      </c>
      <c r="P1492" s="14" t="n">
        <v>8.6852</v>
      </c>
    </row>
    <row r="1493" customFormat="false" ht="15" hidden="false" customHeight="false" outlineLevel="0" collapsed="false">
      <c r="A1493" s="13" t="n">
        <v>44441</v>
      </c>
      <c r="B1493" s="14" t="n">
        <v>1160.95</v>
      </c>
      <c r="C1493" s="14" t="n">
        <v>8.648</v>
      </c>
      <c r="D1493" s="14" t="n">
        <v>1.3825</v>
      </c>
      <c r="E1493" s="14" t="n">
        <v>1.1858</v>
      </c>
      <c r="F1493" s="14" t="n">
        <v>6.456</v>
      </c>
      <c r="G1493" s="14" t="n">
        <v>5.164</v>
      </c>
      <c r="H1493" s="14" t="n">
        <v>110.01</v>
      </c>
      <c r="I1493" s="14" t="n">
        <v>1.1846</v>
      </c>
      <c r="J1493" s="14" t="n">
        <v>10.2938</v>
      </c>
      <c r="K1493" s="14" t="n">
        <v>1372.66</v>
      </c>
      <c r="L1493" s="14" t="n">
        <v>0.85915</v>
      </c>
      <c r="M1493" s="14" t="n">
        <v>7.6503</v>
      </c>
      <c r="N1493" s="14" t="n">
        <v>6.1429</v>
      </c>
      <c r="O1493" s="14" t="n">
        <v>130.31</v>
      </c>
      <c r="P1493" s="14" t="n">
        <v>8.6897</v>
      </c>
    </row>
    <row r="1494" customFormat="false" ht="15" hidden="false" customHeight="false" outlineLevel="0" collapsed="false">
      <c r="A1494" s="13" t="n">
        <v>44442</v>
      </c>
      <c r="B1494" s="14" t="n">
        <v>1155.44</v>
      </c>
      <c r="C1494" s="14" t="n">
        <v>8.6629</v>
      </c>
      <c r="D1494" s="14" t="n">
        <v>1.3862</v>
      </c>
      <c r="E1494" s="14" t="n">
        <v>1.1884</v>
      </c>
      <c r="F1494" s="14" t="n">
        <v>6.4528</v>
      </c>
      <c r="G1494" s="14" t="n">
        <v>5.1692</v>
      </c>
      <c r="H1494" s="14" t="n">
        <v>109.64</v>
      </c>
      <c r="I1494" s="14" t="n">
        <v>1.1872</v>
      </c>
      <c r="J1494" s="14" t="n">
        <v>10.2738</v>
      </c>
      <c r="K1494" s="14" t="n">
        <v>1374.06</v>
      </c>
      <c r="L1494" s="14" t="n">
        <v>0.8584</v>
      </c>
      <c r="M1494" s="14" t="n">
        <v>7.6555</v>
      </c>
      <c r="N1494" s="14" t="n">
        <v>6.1279</v>
      </c>
      <c r="O1494" s="14" t="n">
        <v>130.54</v>
      </c>
      <c r="P1494" s="14" t="n">
        <v>8.6538</v>
      </c>
    </row>
    <row r="1495" customFormat="false" ht="15" hidden="false" customHeight="false" outlineLevel="0" collapsed="false">
      <c r="A1495" s="13" t="n">
        <v>44445</v>
      </c>
      <c r="I1495" s="14" t="n">
        <v>1.1864</v>
      </c>
      <c r="J1495" s="14" t="n">
        <v>10.2728</v>
      </c>
      <c r="K1495" s="14" t="n">
        <v>1372.45</v>
      </c>
      <c r="L1495" s="14" t="n">
        <v>0.8571</v>
      </c>
      <c r="M1495" s="14" t="n">
        <v>7.6611</v>
      </c>
      <c r="N1495" s="14" t="n">
        <v>6.1638</v>
      </c>
      <c r="O1495" s="14" t="n">
        <v>130.34</v>
      </c>
      <c r="P1495" s="14" t="n">
        <v>8.6588</v>
      </c>
    </row>
    <row r="1496" customFormat="false" ht="15" hidden="false" customHeight="false" outlineLevel="0" collapsed="false">
      <c r="A1496" s="13" t="n">
        <v>44446</v>
      </c>
      <c r="B1496" s="14" t="n">
        <v>1162.88</v>
      </c>
      <c r="C1496" s="14" t="n">
        <v>8.6757</v>
      </c>
      <c r="D1496" s="14" t="n">
        <v>1.3792</v>
      </c>
      <c r="E1496" s="14" t="n">
        <v>1.1849</v>
      </c>
      <c r="F1496" s="14" t="n">
        <v>6.4662</v>
      </c>
      <c r="G1496" s="14" t="n">
        <v>5.1692</v>
      </c>
      <c r="H1496" s="14" t="n">
        <v>110.17</v>
      </c>
      <c r="I1496" s="14" t="n">
        <v>1.186</v>
      </c>
      <c r="J1496" s="14" t="n">
        <v>10.299</v>
      </c>
      <c r="K1496" s="14" t="n">
        <v>1380.15</v>
      </c>
      <c r="L1496" s="14" t="n">
        <v>0.86115</v>
      </c>
      <c r="M1496" s="14" t="n">
        <v>7.667</v>
      </c>
      <c r="N1496" s="14" t="n">
        <v>6.1323</v>
      </c>
      <c r="O1496" s="14" t="n">
        <v>130.51</v>
      </c>
      <c r="P1496" s="14" t="n">
        <v>8.6838</v>
      </c>
    </row>
    <row r="1497" customFormat="false" ht="15" hidden="false" customHeight="false" outlineLevel="0" collapsed="false">
      <c r="A1497" s="13" t="n">
        <v>44447</v>
      </c>
      <c r="B1497" s="14" t="n">
        <v>1166.21</v>
      </c>
      <c r="C1497" s="14" t="n">
        <v>8.7172</v>
      </c>
      <c r="D1497" s="14" t="n">
        <v>1.3761</v>
      </c>
      <c r="E1497" s="14" t="n">
        <v>1.1818</v>
      </c>
      <c r="F1497" s="14" t="n">
        <v>6.4612</v>
      </c>
      <c r="G1497" s="14" t="n">
        <v>5.2843</v>
      </c>
      <c r="H1497" s="14" t="n">
        <v>110.32</v>
      </c>
      <c r="I1497" s="14" t="n">
        <v>1.1827</v>
      </c>
      <c r="J1497" s="14" t="n">
        <v>10.265</v>
      </c>
      <c r="K1497" s="14" t="n">
        <v>1377.95</v>
      </c>
      <c r="L1497" s="14" t="n">
        <v>0.85873</v>
      </c>
      <c r="M1497" s="14" t="n">
        <v>7.6376</v>
      </c>
      <c r="N1497" s="14" t="n">
        <v>6.1718</v>
      </c>
      <c r="O1497" s="14" t="n">
        <v>130.31</v>
      </c>
      <c r="P1497" s="14" t="n">
        <v>8.6793</v>
      </c>
    </row>
    <row r="1498" customFormat="false" ht="15" hidden="false" customHeight="false" outlineLevel="0" collapsed="false">
      <c r="A1498" s="13" t="n">
        <v>44448</v>
      </c>
      <c r="B1498" s="14" t="n">
        <v>1169.61</v>
      </c>
      <c r="C1498" s="14" t="n">
        <v>8.6583</v>
      </c>
      <c r="D1498" s="14" t="n">
        <v>1.3855</v>
      </c>
      <c r="E1498" s="14" t="n">
        <v>1.1827</v>
      </c>
      <c r="F1498" s="14" t="n">
        <v>6.4547</v>
      </c>
      <c r="G1498" s="14" t="n">
        <v>5.2764</v>
      </c>
      <c r="H1498" s="14" t="n">
        <v>109.76</v>
      </c>
      <c r="I1498" s="14" t="n">
        <v>1.1838</v>
      </c>
      <c r="J1498" s="14" t="n">
        <v>10.2648</v>
      </c>
      <c r="K1498" s="14" t="n">
        <v>1382.73</v>
      </c>
      <c r="L1498" s="14" t="n">
        <v>0.85555</v>
      </c>
      <c r="M1498" s="14" t="n">
        <v>7.6402</v>
      </c>
      <c r="N1498" s="14" t="n">
        <v>6.267</v>
      </c>
      <c r="O1498" s="14" t="n">
        <v>130.1</v>
      </c>
      <c r="P1498" s="14" t="n">
        <v>8.6711</v>
      </c>
    </row>
    <row r="1499" customFormat="false" ht="15" hidden="false" customHeight="false" outlineLevel="0" collapsed="false">
      <c r="A1499" s="13" t="n">
        <v>44449</v>
      </c>
      <c r="B1499" s="14" t="n">
        <v>1169.63</v>
      </c>
      <c r="C1499" s="14" t="n">
        <v>8.6511</v>
      </c>
      <c r="D1499" s="14" t="n">
        <v>1.3847</v>
      </c>
      <c r="E1499" s="14" t="n">
        <v>1.1821</v>
      </c>
      <c r="F1499" s="14" t="n">
        <v>6.444</v>
      </c>
      <c r="G1499" s="14" t="n">
        <v>5.2169</v>
      </c>
      <c r="H1499" s="14" t="n">
        <v>109.93</v>
      </c>
      <c r="I1499" s="14" t="n">
        <v>1.1841</v>
      </c>
      <c r="J1499" s="14" t="n">
        <v>10.2028</v>
      </c>
      <c r="K1499" s="14" t="n">
        <v>1380.55</v>
      </c>
      <c r="L1499" s="14" t="n">
        <v>0.8526</v>
      </c>
      <c r="M1499" s="14" t="n">
        <v>7.6228</v>
      </c>
      <c r="N1499" s="14" t="n">
        <v>6.1436</v>
      </c>
      <c r="O1499" s="14" t="n">
        <v>130.03</v>
      </c>
      <c r="P1499" s="14" t="n">
        <v>8.6165</v>
      </c>
    </row>
    <row r="1500" customFormat="false" ht="15" hidden="false" customHeight="false" outlineLevel="0" collapsed="false">
      <c r="A1500" s="13" t="n">
        <v>44452</v>
      </c>
      <c r="B1500" s="14" t="n">
        <v>1173.33</v>
      </c>
      <c r="C1500" s="14" t="n">
        <v>8.6416</v>
      </c>
      <c r="D1500" s="14" t="n">
        <v>1.3844</v>
      </c>
      <c r="E1500" s="14" t="n">
        <v>1.1809</v>
      </c>
      <c r="F1500" s="14" t="n">
        <v>6.4511</v>
      </c>
      <c r="G1500" s="14" t="n">
        <v>5.2073</v>
      </c>
      <c r="H1500" s="14" t="n">
        <v>109.94</v>
      </c>
      <c r="I1500" s="14" t="n">
        <v>1.178</v>
      </c>
      <c r="J1500" s="14" t="n">
        <v>10.1885</v>
      </c>
      <c r="K1500" s="14" t="n">
        <v>1383.74</v>
      </c>
      <c r="L1500" s="14" t="n">
        <v>0.8512</v>
      </c>
      <c r="M1500" s="14" t="n">
        <v>7.6059</v>
      </c>
      <c r="N1500" s="14" t="n">
        <v>6.1563</v>
      </c>
      <c r="O1500" s="14" t="n">
        <v>129.62</v>
      </c>
      <c r="P1500" s="14" t="n">
        <v>8.649</v>
      </c>
    </row>
    <row r="1501" customFormat="false" ht="15" hidden="false" customHeight="false" outlineLevel="0" collapsed="false">
      <c r="A1501" s="13" t="n">
        <v>44453</v>
      </c>
      <c r="B1501" s="14" t="n">
        <v>1170.71</v>
      </c>
      <c r="C1501" s="14" t="n">
        <v>8.6168</v>
      </c>
      <c r="D1501" s="14" t="n">
        <v>1.3848</v>
      </c>
      <c r="E1501" s="14" t="n">
        <v>1.1824</v>
      </c>
      <c r="F1501" s="14" t="n">
        <v>6.4382</v>
      </c>
      <c r="G1501" s="14" t="n">
        <v>5.2235</v>
      </c>
      <c r="H1501" s="14" t="n">
        <v>109.66</v>
      </c>
      <c r="I1501" s="14" t="n">
        <v>1.1814</v>
      </c>
      <c r="J1501" s="14" t="n">
        <v>10.1745</v>
      </c>
      <c r="K1501" s="14" t="n">
        <v>1382.66</v>
      </c>
      <c r="L1501" s="14" t="n">
        <v>0.8526</v>
      </c>
      <c r="M1501" s="14" t="n">
        <v>7.6168</v>
      </c>
      <c r="N1501" s="14" t="n">
        <v>6.1788</v>
      </c>
      <c r="O1501" s="14" t="n">
        <v>130.08</v>
      </c>
      <c r="P1501" s="14" t="n">
        <v>8.6122</v>
      </c>
    </row>
    <row r="1502" customFormat="false" ht="15" hidden="false" customHeight="false" outlineLevel="0" collapsed="false">
      <c r="A1502" s="13" t="n">
        <v>44454</v>
      </c>
      <c r="B1502" s="14" t="n">
        <v>1168.58</v>
      </c>
      <c r="C1502" s="14" t="n">
        <v>8.5877</v>
      </c>
      <c r="D1502" s="14" t="n">
        <v>1.3837</v>
      </c>
      <c r="E1502" s="14" t="n">
        <v>1.1811</v>
      </c>
      <c r="F1502" s="14" t="n">
        <v>6.432</v>
      </c>
      <c r="G1502" s="14" t="n">
        <v>5.255</v>
      </c>
      <c r="H1502" s="14" t="n">
        <v>109.4</v>
      </c>
      <c r="I1502" s="14" t="n">
        <v>1.1824</v>
      </c>
      <c r="J1502" s="14" t="n">
        <v>10.1418</v>
      </c>
      <c r="K1502" s="14" t="n">
        <v>1380.77</v>
      </c>
      <c r="L1502" s="14" t="n">
        <v>0.8551</v>
      </c>
      <c r="M1502" s="14" t="n">
        <v>7.6069</v>
      </c>
      <c r="N1502" s="14" t="n">
        <v>6.1979</v>
      </c>
      <c r="O1502" s="14" t="n">
        <v>129.11</v>
      </c>
      <c r="P1502" s="14" t="n">
        <v>8.5773</v>
      </c>
    </row>
    <row r="1503" customFormat="false" ht="15" hidden="false" customHeight="false" outlineLevel="0" collapsed="false">
      <c r="A1503" s="13" t="n">
        <v>44455</v>
      </c>
      <c r="B1503" s="14" t="n">
        <v>1171.23</v>
      </c>
      <c r="C1503" s="14" t="n">
        <v>8.6391</v>
      </c>
      <c r="D1503" s="14" t="n">
        <v>1.3785</v>
      </c>
      <c r="E1503" s="14" t="n">
        <v>1.1764</v>
      </c>
      <c r="F1503" s="14" t="n">
        <v>6.4566</v>
      </c>
      <c r="G1503" s="14" t="n">
        <v>5.2535</v>
      </c>
      <c r="H1503" s="14" t="n">
        <v>109.67</v>
      </c>
      <c r="I1503" s="14" t="n">
        <v>1.1763</v>
      </c>
      <c r="J1503" s="14" t="n">
        <v>10.1293</v>
      </c>
      <c r="K1503" s="14" t="n">
        <v>1380.44</v>
      </c>
      <c r="L1503" s="14" t="n">
        <v>0.85025</v>
      </c>
      <c r="M1503" s="14" t="n">
        <v>7.5849</v>
      </c>
      <c r="N1503" s="14" t="n">
        <v>6.1611</v>
      </c>
      <c r="O1503" s="14" t="n">
        <v>128.67</v>
      </c>
      <c r="P1503" s="14" t="n">
        <v>8.6112</v>
      </c>
    </row>
    <row r="1504" customFormat="false" ht="15" hidden="false" customHeight="false" outlineLevel="0" collapsed="false">
      <c r="A1504" s="13" t="n">
        <v>44456</v>
      </c>
      <c r="B1504" s="14" t="n">
        <v>1175.34</v>
      </c>
      <c r="C1504" s="14" t="n">
        <v>8.6891</v>
      </c>
      <c r="D1504" s="14" t="n">
        <v>1.3755</v>
      </c>
      <c r="E1504" s="14" t="n">
        <v>1.1734</v>
      </c>
      <c r="F1504" s="14" t="n">
        <v>6.4655</v>
      </c>
      <c r="G1504" s="14" t="n">
        <v>5.295</v>
      </c>
      <c r="H1504" s="14" t="n">
        <v>109.94</v>
      </c>
      <c r="I1504" s="14" t="n">
        <v>1.178</v>
      </c>
      <c r="J1504" s="14" t="n">
        <v>10.1208</v>
      </c>
      <c r="K1504" s="14" t="n">
        <v>1386.26</v>
      </c>
      <c r="L1504" s="14" t="n">
        <v>0.85363</v>
      </c>
      <c r="M1504" s="14" t="n">
        <v>7.6044</v>
      </c>
      <c r="N1504" s="14" t="n">
        <v>6.2039</v>
      </c>
      <c r="O1504" s="14" t="n">
        <v>129.61</v>
      </c>
      <c r="P1504" s="14" t="n">
        <v>8.5915</v>
      </c>
    </row>
    <row r="1505" customFormat="false" ht="15" hidden="false" customHeight="false" outlineLevel="0" collapsed="false">
      <c r="A1505" s="13" t="n">
        <v>44459</v>
      </c>
      <c r="B1505" s="14" t="n">
        <v>1186.73</v>
      </c>
      <c r="C1505" s="14" t="n">
        <v>8.7241</v>
      </c>
      <c r="D1505" s="14" t="n">
        <v>1.3656</v>
      </c>
      <c r="E1505" s="14" t="n">
        <v>1.1729</v>
      </c>
      <c r="F1505" s="14" t="n">
        <v>6.4651</v>
      </c>
      <c r="G1505" s="14" t="n">
        <v>5.3266</v>
      </c>
      <c r="H1505" s="14" t="n">
        <v>109.47</v>
      </c>
      <c r="I1505" s="14" t="n">
        <v>1.1711</v>
      </c>
      <c r="J1505" s="14" t="n">
        <v>10.243</v>
      </c>
      <c r="K1505" s="14" t="n">
        <v>1393.32</v>
      </c>
      <c r="L1505" s="14" t="n">
        <v>0.85705</v>
      </c>
      <c r="M1505" s="14" t="n">
        <v>7.5726</v>
      </c>
      <c r="N1505" s="14" t="n">
        <v>6.2495</v>
      </c>
      <c r="O1505" s="14" t="n">
        <v>128.18</v>
      </c>
      <c r="P1505" s="14" t="n">
        <v>8.7465</v>
      </c>
    </row>
    <row r="1506" customFormat="false" ht="15" hidden="false" customHeight="false" outlineLevel="0" collapsed="false">
      <c r="A1506" s="13" t="n">
        <v>44460</v>
      </c>
      <c r="B1506" s="14" t="n">
        <v>1185.15</v>
      </c>
      <c r="C1506" s="14" t="n">
        <v>8.6807</v>
      </c>
      <c r="D1506" s="14" t="n">
        <v>1.3663</v>
      </c>
      <c r="E1506" s="14" t="n">
        <v>1.1724</v>
      </c>
      <c r="F1506" s="14" t="n">
        <v>6.4651</v>
      </c>
      <c r="G1506" s="14" t="n">
        <v>5.2895</v>
      </c>
      <c r="H1506" s="14" t="n">
        <v>109.33</v>
      </c>
      <c r="I1506" s="14" t="n">
        <v>1.1738</v>
      </c>
      <c r="J1506" s="14" t="n">
        <v>10.1828</v>
      </c>
      <c r="K1506" s="14" t="n">
        <v>1388.85</v>
      </c>
      <c r="L1506" s="14" t="n">
        <v>0.85855</v>
      </c>
      <c r="M1506" s="14" t="n">
        <v>7.5945</v>
      </c>
      <c r="N1506" s="14" t="n">
        <v>6.2483</v>
      </c>
      <c r="O1506" s="14" t="n">
        <v>128.34</v>
      </c>
      <c r="P1506" s="14" t="n">
        <v>8.6751</v>
      </c>
    </row>
    <row r="1507" customFormat="false" ht="15" hidden="false" customHeight="false" outlineLevel="0" collapsed="false">
      <c r="A1507" s="13" t="n">
        <v>44461</v>
      </c>
      <c r="B1507" s="14" t="n">
        <v>1182.41</v>
      </c>
      <c r="C1507" s="14" t="n">
        <v>8.6188</v>
      </c>
      <c r="D1507" s="14" t="n">
        <v>1.3669</v>
      </c>
      <c r="E1507" s="14" t="n">
        <v>1.1739</v>
      </c>
      <c r="F1507" s="14" t="n">
        <v>6.4611</v>
      </c>
      <c r="G1507" s="14" t="n">
        <v>5.2715</v>
      </c>
      <c r="H1507" s="14" t="n">
        <v>109.59</v>
      </c>
      <c r="I1507" s="14" t="n">
        <v>1.1729</v>
      </c>
      <c r="J1507" s="14" t="n">
        <v>10.1268</v>
      </c>
      <c r="K1507" s="14" t="n">
        <v>1387.87</v>
      </c>
      <c r="L1507" s="14" t="n">
        <v>0.86</v>
      </c>
      <c r="M1507" s="14" t="n">
        <v>7.585</v>
      </c>
      <c r="N1507" s="14" t="n">
        <v>6.1636</v>
      </c>
      <c r="O1507" s="14" t="n">
        <v>128.5</v>
      </c>
      <c r="P1507" s="14" t="n">
        <v>8.634</v>
      </c>
    </row>
    <row r="1508" customFormat="false" ht="15" hidden="false" customHeight="false" outlineLevel="0" collapsed="false">
      <c r="A1508" s="13" t="n">
        <v>44462</v>
      </c>
      <c r="B1508" s="14" t="n">
        <v>1173.48</v>
      </c>
      <c r="C1508" s="14" t="n">
        <v>8.5711</v>
      </c>
      <c r="D1508" s="14" t="n">
        <v>1.3745</v>
      </c>
      <c r="E1508" s="14" t="n">
        <v>1.1735</v>
      </c>
      <c r="F1508" s="14" t="n">
        <v>6.459</v>
      </c>
      <c r="G1508" s="14" t="n">
        <v>5.2917</v>
      </c>
      <c r="H1508" s="14" t="n">
        <v>110.17</v>
      </c>
      <c r="I1508" s="14" t="n">
        <v>1.1715</v>
      </c>
      <c r="J1508" s="14" t="n">
        <v>10.086</v>
      </c>
      <c r="K1508" s="14" t="n">
        <v>1374.73</v>
      </c>
      <c r="L1508" s="14" t="n">
        <v>0.85495</v>
      </c>
      <c r="M1508" s="14" t="n">
        <v>7.5643</v>
      </c>
      <c r="N1508" s="14" t="n">
        <v>6.1788</v>
      </c>
      <c r="O1508" s="14" t="n">
        <v>128.88</v>
      </c>
      <c r="P1508" s="14" t="n">
        <v>8.6095</v>
      </c>
    </row>
    <row r="1509" customFormat="false" ht="15" hidden="false" customHeight="false" outlineLevel="0" collapsed="false">
      <c r="A1509" s="13" t="n">
        <v>44463</v>
      </c>
      <c r="B1509" s="14" t="n">
        <v>1176.53</v>
      </c>
      <c r="C1509" s="14" t="n">
        <v>8.5986</v>
      </c>
      <c r="D1509" s="14" t="n">
        <v>1.3681</v>
      </c>
      <c r="E1509" s="14" t="n">
        <v>1.1715</v>
      </c>
      <c r="F1509" s="14" t="n">
        <v>6.466</v>
      </c>
      <c r="G1509" s="14" t="n">
        <v>5.3404</v>
      </c>
      <c r="H1509" s="14" t="n">
        <v>110.72</v>
      </c>
      <c r="I1509" s="14" t="n">
        <v>1.1719</v>
      </c>
      <c r="J1509" s="14" t="n">
        <v>10.089</v>
      </c>
      <c r="K1509" s="14" t="n">
        <v>1382.54</v>
      </c>
      <c r="L1509" s="14" t="n">
        <v>0.85703</v>
      </c>
      <c r="M1509" s="14" t="n">
        <v>7.5803</v>
      </c>
      <c r="N1509" s="14" t="n">
        <v>6.2332</v>
      </c>
      <c r="O1509" s="14" t="n">
        <v>129.49</v>
      </c>
      <c r="P1509" s="14" t="n">
        <v>8.6091</v>
      </c>
    </row>
    <row r="1510" customFormat="false" ht="15" hidden="false" customHeight="false" outlineLevel="0" collapsed="false">
      <c r="A1510" s="13" t="n">
        <v>44466</v>
      </c>
      <c r="B1510" s="14" t="n">
        <v>1175.9</v>
      </c>
      <c r="C1510" s="14" t="n">
        <v>8.6031</v>
      </c>
      <c r="D1510" s="14" t="n">
        <v>1.3712</v>
      </c>
      <c r="E1510" s="14" t="n">
        <v>1.1702</v>
      </c>
      <c r="F1510" s="14" t="n">
        <v>6.456</v>
      </c>
      <c r="G1510" s="14" t="n">
        <v>5.3571</v>
      </c>
      <c r="H1510" s="14" t="n">
        <v>110.97</v>
      </c>
      <c r="I1510" s="14" t="n">
        <v>1.1698</v>
      </c>
      <c r="J1510" s="14" t="n">
        <v>10.0655</v>
      </c>
      <c r="K1510" s="14" t="n">
        <v>1382.04</v>
      </c>
      <c r="L1510" s="14" t="n">
        <v>0.8542</v>
      </c>
      <c r="M1510" s="14" t="n">
        <v>7.5609</v>
      </c>
      <c r="N1510" s="14" t="n">
        <v>6.2187</v>
      </c>
      <c r="O1510" s="14" t="n">
        <v>129.74</v>
      </c>
      <c r="P1510" s="14" t="n">
        <v>8.6045</v>
      </c>
    </row>
    <row r="1511" customFormat="false" ht="15" hidden="false" customHeight="false" outlineLevel="0" collapsed="false">
      <c r="A1511" s="13" t="n">
        <v>44467</v>
      </c>
      <c r="B1511" s="14" t="n">
        <v>1183.61</v>
      </c>
      <c r="C1511" s="14" t="n">
        <v>8.6726</v>
      </c>
      <c r="D1511" s="14" t="n">
        <v>1.3537</v>
      </c>
      <c r="E1511" s="14" t="n">
        <v>1.1681</v>
      </c>
      <c r="F1511" s="14" t="n">
        <v>6.4595</v>
      </c>
      <c r="G1511" s="14" t="n">
        <v>5.4279</v>
      </c>
      <c r="H1511" s="14" t="n">
        <v>111.33</v>
      </c>
      <c r="I1511" s="14" t="n">
        <v>1.1678</v>
      </c>
      <c r="J1511" s="14" t="n">
        <v>10.102</v>
      </c>
      <c r="K1511" s="14" t="n">
        <v>1385.41</v>
      </c>
      <c r="L1511" s="14" t="n">
        <v>0.8595</v>
      </c>
      <c r="M1511" s="14" t="n">
        <v>7.5433</v>
      </c>
      <c r="N1511" s="14" t="n">
        <v>6.3122</v>
      </c>
      <c r="O1511" s="14" t="n">
        <v>130.17</v>
      </c>
      <c r="P1511" s="14" t="n">
        <v>8.6505</v>
      </c>
    </row>
    <row r="1512" customFormat="false" ht="15" hidden="false" customHeight="false" outlineLevel="0" collapsed="false">
      <c r="A1512" s="13" t="n">
        <v>44468</v>
      </c>
      <c r="B1512" s="14" t="n">
        <v>1181.75</v>
      </c>
      <c r="C1512" s="14" t="n">
        <v>8.7451</v>
      </c>
      <c r="D1512" s="14" t="n">
        <v>1.3439</v>
      </c>
      <c r="E1512" s="14" t="n">
        <v>1.1612</v>
      </c>
      <c r="F1512" s="14" t="n">
        <v>6.4702</v>
      </c>
      <c r="G1512" s="14" t="n">
        <v>5.4062</v>
      </c>
      <c r="H1512" s="14" t="n">
        <v>111.83</v>
      </c>
      <c r="I1512" s="14" t="n">
        <v>1.1654</v>
      </c>
      <c r="J1512" s="14" t="n">
        <v>10.143</v>
      </c>
      <c r="K1512" s="14" t="n">
        <v>1381.2</v>
      </c>
      <c r="L1512" s="14" t="n">
        <v>0.86443</v>
      </c>
      <c r="M1512" s="14" t="n">
        <v>7.5347</v>
      </c>
      <c r="N1512" s="14" t="n">
        <v>6.3218</v>
      </c>
      <c r="O1512" s="14" t="n">
        <v>129.89</v>
      </c>
      <c r="P1512" s="14" t="n">
        <v>8.7034</v>
      </c>
    </row>
    <row r="1513" customFormat="false" ht="15" hidden="false" customHeight="false" outlineLevel="0" collapsed="false">
      <c r="A1513" s="13" t="n">
        <v>44469</v>
      </c>
      <c r="B1513" s="14" t="n">
        <v>1183.7</v>
      </c>
      <c r="C1513" s="14" t="n">
        <v>8.7402</v>
      </c>
      <c r="D1513" s="14" t="n">
        <v>1.347</v>
      </c>
      <c r="E1513" s="14" t="n">
        <v>1.1577</v>
      </c>
      <c r="F1513" s="14" t="n">
        <v>6.4434</v>
      </c>
      <c r="G1513" s="14" t="n">
        <v>5.4528</v>
      </c>
      <c r="H1513" s="14" t="n">
        <v>111.5</v>
      </c>
      <c r="I1513" s="14" t="n">
        <v>1.1579</v>
      </c>
      <c r="J1513" s="14" t="n">
        <v>10.165</v>
      </c>
      <c r="K1513" s="14" t="n">
        <v>1371.58</v>
      </c>
      <c r="L1513" s="14" t="n">
        <v>0.86053</v>
      </c>
      <c r="M1513" s="14" t="n">
        <v>7.4847</v>
      </c>
      <c r="N1513" s="14" t="n">
        <v>6.2631</v>
      </c>
      <c r="O1513" s="14" t="n">
        <v>129.67</v>
      </c>
      <c r="P1513" s="14" t="n">
        <v>8.7788</v>
      </c>
    </row>
    <row r="1514" customFormat="false" ht="15" hidden="false" customHeight="false" outlineLevel="0" collapsed="false">
      <c r="A1514" s="13" t="n">
        <v>44470</v>
      </c>
      <c r="B1514" s="14" t="n">
        <v>1187.24</v>
      </c>
      <c r="C1514" s="14" t="n">
        <v>8.6241</v>
      </c>
      <c r="D1514" s="14" t="n">
        <v>1.3572</v>
      </c>
      <c r="E1514" s="14" t="n">
        <v>1.1598</v>
      </c>
      <c r="F1514" s="14" t="n">
        <v>6.4434</v>
      </c>
      <c r="G1514" s="14" t="n">
        <v>5.3674</v>
      </c>
      <c r="H1514" s="14" t="n">
        <v>110.97</v>
      </c>
      <c r="I1514" s="14" t="n">
        <v>1.16</v>
      </c>
      <c r="J1514" s="14" t="n">
        <v>10.0204</v>
      </c>
      <c r="K1514" s="14" t="n">
        <v>1371.32</v>
      </c>
      <c r="L1514" s="14" t="n">
        <v>0.85653</v>
      </c>
      <c r="M1514" s="14" t="n">
        <v>7.4781</v>
      </c>
      <c r="N1514" s="14" t="n">
        <v>6.2816</v>
      </c>
      <c r="O1514" s="14" t="n">
        <v>128.97</v>
      </c>
      <c r="P1514" s="14" t="n">
        <v>8.6383</v>
      </c>
    </row>
    <row r="1515" customFormat="false" ht="15" hidden="false" customHeight="false" outlineLevel="0" collapsed="false">
      <c r="A1515" s="13" t="n">
        <v>44473</v>
      </c>
      <c r="B1515" s="14" t="n">
        <v>1182.4</v>
      </c>
      <c r="C1515" s="14" t="n">
        <v>8.5741</v>
      </c>
      <c r="D1515" s="14" t="n">
        <v>1.3602</v>
      </c>
      <c r="E1515" s="14" t="n">
        <v>1.1622</v>
      </c>
      <c r="F1515" s="14" t="n">
        <v>6.4434</v>
      </c>
      <c r="G1515" s="14" t="n">
        <v>5.4333</v>
      </c>
      <c r="H1515" s="14" t="n">
        <v>110.94</v>
      </c>
      <c r="I1515" s="14" t="n">
        <v>1.1636</v>
      </c>
      <c r="J1515" s="14" t="n">
        <v>9.977</v>
      </c>
      <c r="K1515" s="14" t="n">
        <v>1372.5</v>
      </c>
      <c r="L1515" s="14" t="n">
        <v>0.8553</v>
      </c>
      <c r="M1515" s="14" t="n">
        <v>7.5013</v>
      </c>
      <c r="N1515" s="14" t="n">
        <v>6.2579</v>
      </c>
      <c r="O1515" s="14" t="n">
        <v>129.21</v>
      </c>
      <c r="P1515" s="14" t="n">
        <v>8.5743</v>
      </c>
    </row>
    <row r="1516" customFormat="false" ht="15" hidden="false" customHeight="false" outlineLevel="0" collapsed="false">
      <c r="A1516" s="13" t="n">
        <v>44474</v>
      </c>
      <c r="B1516" s="14" t="n">
        <v>1188.31</v>
      </c>
      <c r="C1516" s="14" t="n">
        <v>8.5219</v>
      </c>
      <c r="D1516" s="14" t="n">
        <v>1.364</v>
      </c>
      <c r="E1516" s="14" t="n">
        <v>1.1609</v>
      </c>
      <c r="F1516" s="14" t="n">
        <v>6.4434</v>
      </c>
      <c r="G1516" s="14" t="n">
        <v>5.4633</v>
      </c>
      <c r="H1516" s="14" t="n">
        <v>111.39</v>
      </c>
      <c r="I1516" s="14" t="n">
        <v>1.1602</v>
      </c>
      <c r="J1516" s="14" t="n">
        <v>9.9155</v>
      </c>
      <c r="K1516" s="14" t="n">
        <v>1376.12</v>
      </c>
      <c r="L1516" s="14" t="n">
        <v>0.85173</v>
      </c>
      <c r="M1516" s="14" t="n">
        <v>7.4805</v>
      </c>
      <c r="N1516" s="14" t="n">
        <v>6.3106</v>
      </c>
      <c r="O1516" s="14" t="n">
        <v>128.99</v>
      </c>
      <c r="P1516" s="14" t="n">
        <v>8.5464</v>
      </c>
    </row>
    <row r="1517" customFormat="false" ht="15" hidden="false" customHeight="false" outlineLevel="0" collapsed="false">
      <c r="A1517" s="13" t="n">
        <v>44475</v>
      </c>
      <c r="B1517" s="14" t="n">
        <v>1192.6</v>
      </c>
      <c r="C1517" s="14" t="n">
        <v>8.595</v>
      </c>
      <c r="D1517" s="14" t="n">
        <v>1.3569</v>
      </c>
      <c r="E1517" s="14" t="n">
        <v>1.1546</v>
      </c>
      <c r="F1517" s="14" t="n">
        <v>6.4434</v>
      </c>
      <c r="G1517" s="14" t="n">
        <v>5.513</v>
      </c>
      <c r="H1517" s="14" t="n">
        <v>111.33</v>
      </c>
      <c r="I1517" s="14" t="n">
        <v>1.1542</v>
      </c>
      <c r="J1517" s="14" t="n">
        <v>9.923</v>
      </c>
      <c r="K1517" s="14" t="n">
        <v>1379.91</v>
      </c>
      <c r="L1517" s="14" t="n">
        <v>0.8497</v>
      </c>
      <c r="M1517" s="14" t="n">
        <v>7.4407</v>
      </c>
      <c r="N1517" s="14" t="n">
        <v>6.3584</v>
      </c>
      <c r="O1517" s="14" t="n">
        <v>128.52</v>
      </c>
      <c r="P1517" s="14" t="n">
        <v>8.5973</v>
      </c>
    </row>
    <row r="1518" customFormat="false" ht="15" hidden="false" customHeight="false" outlineLevel="0" collapsed="false">
      <c r="A1518" s="13" t="n">
        <v>44476</v>
      </c>
      <c r="B1518" s="14" t="n">
        <v>1190.76</v>
      </c>
      <c r="C1518" s="14" t="n">
        <v>8.562</v>
      </c>
      <c r="D1518" s="14" t="n">
        <v>1.3634</v>
      </c>
      <c r="E1518" s="14" t="n">
        <v>1.1561</v>
      </c>
      <c r="F1518" s="14" t="n">
        <v>6.4434</v>
      </c>
      <c r="G1518" s="14" t="n">
        <v>5.5073</v>
      </c>
      <c r="H1518" s="14" t="n">
        <v>111.5</v>
      </c>
      <c r="I1518" s="14" t="n">
        <v>1.1562</v>
      </c>
      <c r="J1518" s="14" t="n">
        <v>9.9388</v>
      </c>
      <c r="K1518" s="14" t="n">
        <v>1375.87</v>
      </c>
      <c r="L1518" s="14" t="n">
        <v>0.85023</v>
      </c>
      <c r="M1518" s="14" t="n">
        <v>7.4536</v>
      </c>
      <c r="N1518" s="14" t="n">
        <v>6.338</v>
      </c>
      <c r="O1518" s="14" t="n">
        <v>128.78</v>
      </c>
      <c r="P1518" s="14" t="n">
        <v>8.5961</v>
      </c>
    </row>
    <row r="1519" customFormat="false" ht="15" hidden="false" customHeight="false" outlineLevel="0" collapsed="false">
      <c r="A1519" s="13" t="n">
        <v>44477</v>
      </c>
      <c r="B1519" s="14" t="n">
        <v>1194.58</v>
      </c>
      <c r="C1519" s="14" t="n">
        <v>8.5414</v>
      </c>
      <c r="D1519" s="14" t="n">
        <v>1.363</v>
      </c>
      <c r="E1519" s="14" t="n">
        <v>1.1572</v>
      </c>
      <c r="F1519" s="14" t="n">
        <v>6.4435</v>
      </c>
      <c r="G1519" s="14" t="n">
        <v>5.5178</v>
      </c>
      <c r="H1519" s="14" t="n">
        <v>112.15</v>
      </c>
      <c r="I1519" s="14" t="n">
        <v>1.1569</v>
      </c>
      <c r="J1519" s="14" t="n">
        <v>9.8855</v>
      </c>
      <c r="K1519" s="14" t="n">
        <v>1381.8</v>
      </c>
      <c r="L1519" s="14" t="n">
        <v>0.8489</v>
      </c>
      <c r="M1519" s="14" t="n">
        <v>7.4591</v>
      </c>
      <c r="N1519" s="14" t="n">
        <v>6.3638</v>
      </c>
      <c r="O1519" s="14" t="n">
        <v>129.32</v>
      </c>
      <c r="P1519" s="14" t="n">
        <v>8.5448</v>
      </c>
    </row>
    <row r="1520" customFormat="false" ht="15" hidden="false" customHeight="false" outlineLevel="0" collapsed="false">
      <c r="A1520" s="13" t="n">
        <v>44480</v>
      </c>
      <c r="I1520" s="14" t="n">
        <v>1.1574</v>
      </c>
      <c r="J1520" s="14" t="n">
        <v>9.888</v>
      </c>
      <c r="K1520" s="14" t="n">
        <v>1383.43</v>
      </c>
      <c r="L1520" s="14" t="n">
        <v>0.84878</v>
      </c>
      <c r="M1520" s="14" t="n">
        <v>7.4644</v>
      </c>
      <c r="N1520" s="14" t="n">
        <v>6.3719</v>
      </c>
      <c r="O1520" s="14" t="n">
        <v>130.7</v>
      </c>
      <c r="P1520" s="14" t="n">
        <v>8.5433</v>
      </c>
    </row>
    <row r="1521" customFormat="false" ht="15" hidden="false" customHeight="false" outlineLevel="0" collapsed="false">
      <c r="A1521" s="13" t="n">
        <v>44481</v>
      </c>
      <c r="B1521" s="14" t="n">
        <v>1198.72</v>
      </c>
      <c r="C1521" s="14" t="n">
        <v>8.5476</v>
      </c>
      <c r="D1521" s="14" t="n">
        <v>1.3605</v>
      </c>
      <c r="E1521" s="14" t="n">
        <v>1.1541</v>
      </c>
      <c r="F1521" s="14" t="n">
        <v>6.4485</v>
      </c>
      <c r="G1521" s="14" t="n">
        <v>5.532</v>
      </c>
      <c r="H1521" s="14" t="n">
        <v>113.69</v>
      </c>
      <c r="I1521" s="14" t="n">
        <v>1.1555</v>
      </c>
      <c r="J1521" s="14" t="n">
        <v>9.8608</v>
      </c>
      <c r="K1521" s="14" t="n">
        <v>1383.4</v>
      </c>
      <c r="L1521" s="14" t="n">
        <v>0.84755</v>
      </c>
      <c r="M1521" s="14" t="n">
        <v>7.4522</v>
      </c>
      <c r="N1521" s="14" t="n">
        <v>6.3977</v>
      </c>
      <c r="O1521" s="14" t="n">
        <v>131.06</v>
      </c>
      <c r="P1521" s="14" t="n">
        <v>8.5338</v>
      </c>
    </row>
    <row r="1522" customFormat="false" ht="15" hidden="false" customHeight="false" outlineLevel="0" collapsed="false">
      <c r="A1522" s="13" t="n">
        <v>44482</v>
      </c>
      <c r="B1522" s="14" t="n">
        <v>1193.89</v>
      </c>
      <c r="C1522" s="14" t="n">
        <v>8.5201</v>
      </c>
      <c r="D1522" s="14" t="n">
        <v>1.3645</v>
      </c>
      <c r="E1522" s="14" t="n">
        <v>1.1568</v>
      </c>
      <c r="F1522" s="14" t="n">
        <v>6.4262</v>
      </c>
      <c r="G1522" s="14" t="n">
        <v>5.5525</v>
      </c>
      <c r="H1522" s="14" t="n">
        <v>113.49</v>
      </c>
      <c r="I1522" s="14" t="n">
        <v>1.1562</v>
      </c>
      <c r="J1522" s="14" t="n">
        <v>9.8555</v>
      </c>
      <c r="K1522" s="14" t="n">
        <v>1378.13</v>
      </c>
      <c r="L1522" s="14" t="n">
        <v>0.84898</v>
      </c>
      <c r="M1522" s="14" t="n">
        <v>7.4482</v>
      </c>
      <c r="N1522" s="14" t="n">
        <v>6.3814</v>
      </c>
      <c r="O1522" s="14" t="n">
        <v>131.3</v>
      </c>
      <c r="P1522" s="14" t="n">
        <v>8.524</v>
      </c>
    </row>
    <row r="1523" customFormat="false" ht="15" hidden="false" customHeight="false" outlineLevel="0" collapsed="false">
      <c r="A1523" s="13" t="n">
        <v>44483</v>
      </c>
      <c r="B1523" s="14" t="n">
        <v>1186.3</v>
      </c>
      <c r="C1523" s="14" t="n">
        <v>8.4525</v>
      </c>
      <c r="D1523" s="14" t="n">
        <v>1.3684</v>
      </c>
      <c r="E1523" s="14" t="n">
        <v>1.1591</v>
      </c>
      <c r="F1523" s="14" t="n">
        <v>6.438</v>
      </c>
      <c r="G1523" s="14" t="n">
        <v>5.5048</v>
      </c>
      <c r="H1523" s="14" t="n">
        <v>113.59</v>
      </c>
      <c r="I1523" s="14" t="n">
        <v>1.1602</v>
      </c>
      <c r="J1523" s="14" t="n">
        <v>9.7928</v>
      </c>
      <c r="K1523" s="14" t="n">
        <v>1375.51</v>
      </c>
      <c r="L1523" s="14" t="n">
        <v>0.84618</v>
      </c>
      <c r="M1523" s="14" t="n">
        <v>7.4683</v>
      </c>
      <c r="N1523" s="14" t="n">
        <v>6.3528</v>
      </c>
      <c r="O1523" s="14" t="n">
        <v>131.65</v>
      </c>
      <c r="P1523" s="14" t="n">
        <v>8.4406</v>
      </c>
    </row>
    <row r="1524" customFormat="false" ht="15" hidden="false" customHeight="false" outlineLevel="0" collapsed="false">
      <c r="A1524" s="13" t="n">
        <v>44484</v>
      </c>
      <c r="B1524" s="14" t="n">
        <v>1182.34</v>
      </c>
      <c r="C1524" s="14" t="n">
        <v>8.4231</v>
      </c>
      <c r="D1524" s="14" t="n">
        <v>1.3756</v>
      </c>
      <c r="E1524" s="14" t="n">
        <v>1.1594</v>
      </c>
      <c r="F1524" s="14" t="n">
        <v>6.434</v>
      </c>
      <c r="G1524" s="14" t="n">
        <v>5.4457</v>
      </c>
      <c r="H1524" s="14" t="n">
        <v>114.31</v>
      </c>
      <c r="I1524" s="14" t="n">
        <v>1.1602</v>
      </c>
      <c r="J1524" s="14" t="n">
        <v>9.7625</v>
      </c>
      <c r="K1524" s="14" t="n">
        <v>1371.21</v>
      </c>
      <c r="L1524" s="14" t="n">
        <v>0.84368</v>
      </c>
      <c r="M1524" s="14" t="n">
        <v>7.4663</v>
      </c>
      <c r="N1524" s="14" t="n">
        <v>6.3635</v>
      </c>
      <c r="O1524" s="14" t="n">
        <v>132.65</v>
      </c>
      <c r="P1524" s="14" t="n">
        <v>8.4145</v>
      </c>
    </row>
    <row r="1525" customFormat="false" ht="15" hidden="false" customHeight="false" outlineLevel="0" collapsed="false">
      <c r="A1525" s="13" t="n">
        <v>44487</v>
      </c>
      <c r="B1525" s="14" t="n">
        <v>1187.55</v>
      </c>
      <c r="C1525" s="14" t="n">
        <v>8.4242</v>
      </c>
      <c r="D1525" s="14" t="n">
        <v>1.3726</v>
      </c>
      <c r="E1525" s="14" t="n">
        <v>1.1609</v>
      </c>
      <c r="F1525" s="14" t="n">
        <v>6.429</v>
      </c>
      <c r="G1525" s="14" t="n">
        <v>5.5211</v>
      </c>
      <c r="H1525" s="14" t="n">
        <v>114.22</v>
      </c>
      <c r="I1525" s="14" t="n">
        <v>1.1604</v>
      </c>
      <c r="J1525" s="14" t="n">
        <v>9.7643</v>
      </c>
      <c r="K1525" s="14" t="n">
        <v>1377.9</v>
      </c>
      <c r="L1525" s="14" t="n">
        <v>0.84438</v>
      </c>
      <c r="M1525" s="14" t="n">
        <v>7.4617</v>
      </c>
      <c r="N1525" s="14" t="n">
        <v>6.3651</v>
      </c>
      <c r="O1525" s="14" t="n">
        <v>132.46</v>
      </c>
      <c r="P1525" s="14" t="n">
        <v>8.4146</v>
      </c>
    </row>
    <row r="1526" customFormat="false" ht="15" hidden="false" customHeight="false" outlineLevel="0" collapsed="false">
      <c r="A1526" s="13" t="n">
        <v>44488</v>
      </c>
      <c r="B1526" s="14" t="n">
        <v>1175.32</v>
      </c>
      <c r="C1526" s="14" t="n">
        <v>8.355</v>
      </c>
      <c r="D1526" s="14" t="n">
        <v>1.3807</v>
      </c>
      <c r="E1526" s="14" t="n">
        <v>1.1632</v>
      </c>
      <c r="F1526" s="14" t="n">
        <v>6.3822</v>
      </c>
      <c r="G1526" s="14" t="n">
        <v>5.5525</v>
      </c>
      <c r="H1526" s="14" t="n">
        <v>114.27</v>
      </c>
      <c r="I1526" s="14" t="n">
        <v>1.1655</v>
      </c>
      <c r="J1526" s="14" t="n">
        <v>9.734</v>
      </c>
      <c r="K1526" s="14" t="n">
        <v>1372.96</v>
      </c>
      <c r="L1526" s="14" t="n">
        <v>0.84275</v>
      </c>
      <c r="M1526" s="14" t="n">
        <v>7.4464</v>
      </c>
      <c r="N1526" s="14" t="n">
        <v>6.4806</v>
      </c>
      <c r="O1526" s="14" t="n">
        <v>133.12</v>
      </c>
      <c r="P1526" s="14" t="n">
        <v>8.3518</v>
      </c>
    </row>
    <row r="1527" customFormat="false" ht="15" hidden="false" customHeight="false" outlineLevel="0" collapsed="false">
      <c r="A1527" s="13" t="n">
        <v>44489</v>
      </c>
      <c r="B1527" s="14" t="n">
        <v>1175.05</v>
      </c>
      <c r="C1527" s="14" t="n">
        <v>8.3492</v>
      </c>
      <c r="D1527" s="14" t="n">
        <v>1.3821</v>
      </c>
      <c r="E1527" s="14" t="n">
        <v>1.1643</v>
      </c>
      <c r="F1527" s="14" t="n">
        <v>6.3936</v>
      </c>
      <c r="G1527" s="14" t="n">
        <v>5.5476</v>
      </c>
      <c r="H1527" s="14" t="n">
        <v>114.24</v>
      </c>
      <c r="I1527" s="14" t="n">
        <v>1.1623</v>
      </c>
      <c r="J1527" s="14" t="n">
        <v>9.7435</v>
      </c>
      <c r="K1527" s="14" t="n">
        <v>1364.31</v>
      </c>
      <c r="L1527" s="14" t="n">
        <v>0.84503</v>
      </c>
      <c r="M1527" s="14" t="n">
        <v>7.4302</v>
      </c>
      <c r="N1527" s="14" t="n">
        <v>6.483</v>
      </c>
      <c r="O1527" s="14" t="n">
        <v>132.78</v>
      </c>
      <c r="P1527" s="14" t="n">
        <v>8.3829</v>
      </c>
    </row>
    <row r="1528" customFormat="false" ht="15" hidden="false" customHeight="false" outlineLevel="0" collapsed="false">
      <c r="A1528" s="13" t="n">
        <v>44490</v>
      </c>
      <c r="B1528" s="14" t="n">
        <v>1177.25</v>
      </c>
      <c r="C1528" s="14" t="n">
        <v>8.3484</v>
      </c>
      <c r="D1528" s="14" t="n">
        <v>1.3812</v>
      </c>
      <c r="E1528" s="14" t="n">
        <v>1.1643</v>
      </c>
      <c r="F1528" s="14" t="n">
        <v>6.3925</v>
      </c>
      <c r="G1528" s="14" t="n">
        <v>5.6455</v>
      </c>
      <c r="H1528" s="14" t="n">
        <v>113.75</v>
      </c>
      <c r="I1528" s="14" t="n">
        <v>1.1637</v>
      </c>
      <c r="J1528" s="14" t="n">
        <v>9.7065</v>
      </c>
      <c r="K1528" s="14" t="n">
        <v>1370.6</v>
      </c>
      <c r="L1528" s="14" t="n">
        <v>0.8429</v>
      </c>
      <c r="M1528" s="14" t="n">
        <v>7.4463</v>
      </c>
      <c r="N1528" s="14" t="n">
        <v>6.5892</v>
      </c>
      <c r="O1528" s="14" t="n">
        <v>132.85</v>
      </c>
      <c r="P1528" s="14" t="n">
        <v>8.3411</v>
      </c>
    </row>
    <row r="1529" customFormat="false" ht="15" hidden="false" customHeight="false" outlineLevel="0" collapsed="false">
      <c r="A1529" s="13" t="n">
        <v>44491</v>
      </c>
      <c r="B1529" s="14" t="n">
        <v>1176.85</v>
      </c>
      <c r="C1529" s="14" t="n">
        <v>8.3701</v>
      </c>
      <c r="D1529" s="14" t="n">
        <v>1.3741</v>
      </c>
      <c r="E1529" s="14" t="n">
        <v>1.1632</v>
      </c>
      <c r="F1529" s="14" t="n">
        <v>6.3839</v>
      </c>
      <c r="G1529" s="14" t="n">
        <v>5.7223</v>
      </c>
      <c r="H1529" s="14" t="n">
        <v>113.54</v>
      </c>
      <c r="I1529" s="14" t="n">
        <v>1.163</v>
      </c>
      <c r="J1529" s="14" t="n">
        <v>9.7075</v>
      </c>
      <c r="K1529" s="14" t="n">
        <v>1368.39</v>
      </c>
      <c r="L1529" s="14" t="n">
        <v>0.8437</v>
      </c>
      <c r="M1529" s="14" t="n">
        <v>7.4337</v>
      </c>
      <c r="N1529" s="14" t="n">
        <v>6.6304</v>
      </c>
      <c r="O1529" s="14" t="n">
        <v>132.43</v>
      </c>
      <c r="P1529" s="14" t="n">
        <v>8.3469</v>
      </c>
    </row>
    <row r="1530" customFormat="false" ht="15" hidden="false" customHeight="false" outlineLevel="0" collapsed="false">
      <c r="A1530" s="13" t="n">
        <v>44494</v>
      </c>
      <c r="B1530" s="14" t="n">
        <v>1167.59</v>
      </c>
      <c r="C1530" s="14" t="n">
        <v>8.3491</v>
      </c>
      <c r="D1530" s="14" t="n">
        <v>1.3773</v>
      </c>
      <c r="E1530" s="14" t="n">
        <v>1.1609</v>
      </c>
      <c r="F1530" s="14" t="n">
        <v>6.3856</v>
      </c>
      <c r="G1530" s="14" t="n">
        <v>5.6009</v>
      </c>
      <c r="H1530" s="14" t="n">
        <v>113.7</v>
      </c>
      <c r="I1530" s="14" t="n">
        <v>1.1603</v>
      </c>
      <c r="J1530" s="14" t="n">
        <v>9.7098</v>
      </c>
      <c r="K1530" s="14" t="n">
        <v>1357.3</v>
      </c>
      <c r="L1530" s="14" t="n">
        <v>0.8438</v>
      </c>
      <c r="M1530" s="14" t="n">
        <v>7.4142</v>
      </c>
      <c r="N1530" s="14" t="n">
        <v>6.5405</v>
      </c>
      <c r="O1530" s="14" t="n">
        <v>131.88</v>
      </c>
      <c r="P1530" s="14" t="n">
        <v>8.3684</v>
      </c>
    </row>
    <row r="1531" customFormat="false" ht="15" hidden="false" customHeight="false" outlineLevel="0" collapsed="false">
      <c r="A1531" s="13" t="n">
        <v>44495</v>
      </c>
      <c r="B1531" s="14" t="n">
        <v>1167.58</v>
      </c>
      <c r="C1531" s="14" t="n">
        <v>8.3608</v>
      </c>
      <c r="D1531" s="14" t="n">
        <v>1.3772</v>
      </c>
      <c r="E1531" s="14" t="n">
        <v>1.159</v>
      </c>
      <c r="F1531" s="14" t="n">
        <v>6.382</v>
      </c>
      <c r="G1531" s="14" t="n">
        <v>5.5833</v>
      </c>
      <c r="H1531" s="14" t="n">
        <v>114.19</v>
      </c>
      <c r="I1531" s="14" t="n">
        <v>1.1618</v>
      </c>
      <c r="J1531" s="14" t="n">
        <v>9.6828</v>
      </c>
      <c r="K1531" s="14" t="n">
        <v>1354.11</v>
      </c>
      <c r="L1531" s="14" t="n">
        <v>0.84178</v>
      </c>
      <c r="M1531" s="14" t="n">
        <v>7.4124</v>
      </c>
      <c r="N1531" s="14" t="n">
        <v>6.462</v>
      </c>
      <c r="O1531" s="14" t="n">
        <v>132.47</v>
      </c>
      <c r="P1531" s="14" t="n">
        <v>8.3343</v>
      </c>
    </row>
    <row r="1532" customFormat="false" ht="15" hidden="false" customHeight="false" outlineLevel="0" collapsed="false">
      <c r="A1532" s="13" t="n">
        <v>44496</v>
      </c>
      <c r="B1532" s="14" t="n">
        <v>1171.19</v>
      </c>
      <c r="C1532" s="14" t="n">
        <v>8.4064</v>
      </c>
      <c r="D1532" s="14" t="n">
        <v>1.3739</v>
      </c>
      <c r="E1532" s="14" t="n">
        <v>1.16</v>
      </c>
      <c r="F1532" s="14" t="n">
        <v>6.3915</v>
      </c>
      <c r="G1532" s="14" t="n">
        <v>5.5812</v>
      </c>
      <c r="H1532" s="14" t="n">
        <v>113.75</v>
      </c>
      <c r="I1532" s="14" t="n">
        <v>1.1617</v>
      </c>
      <c r="J1532" s="14" t="n">
        <v>9.7368</v>
      </c>
      <c r="K1532" s="14" t="n">
        <v>1360.44</v>
      </c>
      <c r="L1532" s="14" t="n">
        <v>0.8453</v>
      </c>
      <c r="M1532" s="14" t="n">
        <v>7.426</v>
      </c>
      <c r="N1532" s="14" t="n">
        <v>6.451</v>
      </c>
      <c r="O1532" s="14" t="n">
        <v>132</v>
      </c>
      <c r="P1532" s="14" t="n">
        <v>8.3815</v>
      </c>
    </row>
    <row r="1533" customFormat="false" ht="15" hidden="false" customHeight="false" outlineLevel="0" collapsed="false">
      <c r="A1533" s="13" t="n">
        <v>44497</v>
      </c>
      <c r="B1533" s="14" t="n">
        <v>1167.34</v>
      </c>
      <c r="C1533" s="14" t="n">
        <v>8.3286</v>
      </c>
      <c r="D1533" s="14" t="n">
        <v>1.3804</v>
      </c>
      <c r="E1533" s="14" t="n">
        <v>1.1685</v>
      </c>
      <c r="F1533" s="14" t="n">
        <v>6.3917</v>
      </c>
      <c r="G1533" s="14" t="n">
        <v>5.612</v>
      </c>
      <c r="H1533" s="14" t="n">
        <v>113.38</v>
      </c>
      <c r="I1533" s="14" t="n">
        <v>1.1593</v>
      </c>
      <c r="J1533" s="14" t="n">
        <v>9.7468</v>
      </c>
      <c r="K1533" s="14" t="n">
        <v>1357.69</v>
      </c>
      <c r="L1533" s="14" t="n">
        <v>0.84373</v>
      </c>
      <c r="M1533" s="14" t="n">
        <v>7.4169</v>
      </c>
      <c r="N1533" s="14" t="n">
        <v>6.4798</v>
      </c>
      <c r="O1533" s="14" t="n">
        <v>131.7</v>
      </c>
      <c r="P1533" s="14" t="n">
        <v>8.4075</v>
      </c>
    </row>
    <row r="1534" customFormat="false" ht="15" hidden="false" customHeight="false" outlineLevel="0" collapsed="false">
      <c r="A1534" s="13" t="n">
        <v>44498</v>
      </c>
      <c r="B1534" s="14" t="n">
        <v>1174.94</v>
      </c>
      <c r="C1534" s="14" t="n">
        <v>8.4545</v>
      </c>
      <c r="D1534" s="14" t="n">
        <v>1.3686</v>
      </c>
      <c r="E1534" s="14" t="n">
        <v>1.1552</v>
      </c>
      <c r="F1534" s="14" t="n">
        <v>6.405</v>
      </c>
      <c r="G1534" s="14" t="n">
        <v>5.6291</v>
      </c>
      <c r="H1534" s="14" t="n">
        <v>114.03</v>
      </c>
      <c r="I1534" s="14" t="n">
        <v>1.1645</v>
      </c>
      <c r="J1534" s="14" t="n">
        <v>9.7495</v>
      </c>
      <c r="K1534" s="14" t="n">
        <v>1362.92</v>
      </c>
      <c r="L1534" s="14" t="n">
        <v>0.8449</v>
      </c>
      <c r="M1534" s="14" t="n">
        <v>7.4488</v>
      </c>
      <c r="N1534" s="14" t="n">
        <v>6.5698</v>
      </c>
      <c r="O1534" s="14" t="n">
        <v>132.62</v>
      </c>
      <c r="P1534" s="14" t="n">
        <v>8.3723</v>
      </c>
    </row>
    <row r="1535" customFormat="false" ht="15" hidden="false" customHeight="false" outlineLevel="0" collapsed="false">
      <c r="A1535" s="13" t="n">
        <v>44501</v>
      </c>
      <c r="B1535" s="14" t="n">
        <v>1177.73</v>
      </c>
      <c r="C1535" s="14" t="n">
        <v>8.3931</v>
      </c>
      <c r="D1535" s="14" t="n">
        <v>1.3679</v>
      </c>
      <c r="E1535" s="14" t="n">
        <v>1.1591</v>
      </c>
      <c r="F1535" s="14" t="n">
        <v>6.3972</v>
      </c>
      <c r="G1535" s="14" t="n">
        <v>5.6795</v>
      </c>
      <c r="H1535" s="14" t="n">
        <v>114.19</v>
      </c>
      <c r="I1535" s="14" t="n">
        <v>1.1578</v>
      </c>
      <c r="J1535" s="14" t="n">
        <v>9.7368</v>
      </c>
      <c r="K1535" s="14" t="n">
        <v>1363.88</v>
      </c>
      <c r="L1535" s="14" t="n">
        <v>0.84575</v>
      </c>
      <c r="M1535" s="14" t="n">
        <v>7.4077</v>
      </c>
      <c r="N1535" s="14" t="n">
        <v>6.5426</v>
      </c>
      <c r="O1535" s="14" t="n">
        <v>132.19</v>
      </c>
      <c r="P1535" s="14" t="n">
        <v>8.4097</v>
      </c>
    </row>
    <row r="1536" customFormat="false" ht="15" hidden="false" customHeight="false" outlineLevel="0" collapsed="false">
      <c r="A1536" s="13" t="n">
        <v>44502</v>
      </c>
      <c r="B1536" s="14" t="n">
        <v>1177.04</v>
      </c>
      <c r="C1536" s="14" t="n">
        <v>8.5055</v>
      </c>
      <c r="D1536" s="14" t="n">
        <v>1.3612</v>
      </c>
      <c r="E1536" s="14" t="n">
        <v>1.1581</v>
      </c>
      <c r="F1536" s="14" t="n">
        <v>6.3995</v>
      </c>
      <c r="G1536" s="14" t="n">
        <v>5.6795</v>
      </c>
      <c r="H1536" s="14" t="n">
        <v>113.78</v>
      </c>
      <c r="I1536" s="14" t="n">
        <v>1.1603</v>
      </c>
      <c r="J1536" s="14" t="n">
        <v>9.792</v>
      </c>
      <c r="K1536" s="14" t="n">
        <v>1363.97</v>
      </c>
      <c r="L1536" s="14" t="n">
        <v>0.84955</v>
      </c>
      <c r="M1536" s="14" t="n">
        <v>7.4239</v>
      </c>
      <c r="N1536" s="14" t="n">
        <v>6.5907</v>
      </c>
      <c r="O1536" s="14" t="n">
        <v>132.03</v>
      </c>
      <c r="P1536" s="14" t="n">
        <v>8.4392</v>
      </c>
    </row>
    <row r="1537" customFormat="false" ht="15" hidden="false" customHeight="false" outlineLevel="0" collapsed="false">
      <c r="A1537" s="13" t="n">
        <v>44503</v>
      </c>
      <c r="B1537" s="14" t="n">
        <v>1184.56</v>
      </c>
      <c r="C1537" s="14" t="n">
        <v>8.5333</v>
      </c>
      <c r="D1537" s="14" t="n">
        <v>1.3659</v>
      </c>
      <c r="E1537" s="14" t="n">
        <v>1.1584</v>
      </c>
      <c r="F1537" s="14" t="n">
        <v>6.4061</v>
      </c>
      <c r="G1537" s="14" t="n">
        <v>5.6188</v>
      </c>
      <c r="H1537" s="14" t="n">
        <v>114.06</v>
      </c>
      <c r="I1537" s="14" t="n">
        <v>1.1578</v>
      </c>
      <c r="J1537" s="14" t="n">
        <v>9.861</v>
      </c>
      <c r="K1537" s="14" t="n">
        <v>1369.05</v>
      </c>
      <c r="L1537" s="14" t="n">
        <v>0.84823</v>
      </c>
      <c r="M1537" s="14" t="n">
        <v>7.4082</v>
      </c>
      <c r="N1537" s="14" t="n">
        <v>6.5663</v>
      </c>
      <c r="O1537" s="14" t="n">
        <v>131.9</v>
      </c>
      <c r="P1537" s="14" t="n">
        <v>8.517</v>
      </c>
    </row>
    <row r="1538" customFormat="false" ht="15" hidden="false" customHeight="false" outlineLevel="0" collapsed="false">
      <c r="A1538" s="13" t="n">
        <v>44504</v>
      </c>
      <c r="B1538" s="14" t="n">
        <v>1186.77</v>
      </c>
      <c r="C1538" s="14" t="n">
        <v>8.5596</v>
      </c>
      <c r="D1538" s="14" t="n">
        <v>1.3494</v>
      </c>
      <c r="E1538" s="14" t="n">
        <v>1.1546</v>
      </c>
      <c r="F1538" s="14" t="n">
        <v>6.397</v>
      </c>
      <c r="G1538" s="14" t="n">
        <v>5.5877</v>
      </c>
      <c r="H1538" s="14" t="n">
        <v>113.63</v>
      </c>
      <c r="I1538" s="14" t="n">
        <v>1.1569</v>
      </c>
      <c r="J1538" s="14" t="n">
        <v>9.859</v>
      </c>
      <c r="K1538" s="14" t="n">
        <v>1369.33</v>
      </c>
      <c r="L1538" s="14" t="n">
        <v>0.8535</v>
      </c>
      <c r="M1538" s="14" t="n">
        <v>7.3983</v>
      </c>
      <c r="N1538" s="14" t="n">
        <v>6.4833</v>
      </c>
      <c r="O1538" s="14" t="n">
        <v>131.77</v>
      </c>
      <c r="P1538" s="14" t="n">
        <v>8.5219</v>
      </c>
    </row>
    <row r="1539" customFormat="false" ht="15" hidden="false" customHeight="false" outlineLevel="0" collapsed="false">
      <c r="A1539" s="13" t="n">
        <v>44505</v>
      </c>
      <c r="B1539" s="14" t="n">
        <v>1183.28</v>
      </c>
      <c r="C1539" s="14" t="n">
        <v>8.5605</v>
      </c>
      <c r="D1539" s="14" t="n">
        <v>1.3491</v>
      </c>
      <c r="E1539" s="14" t="n">
        <v>1.1554</v>
      </c>
      <c r="F1539" s="14" t="n">
        <v>6.3961</v>
      </c>
      <c r="G1539" s="14" t="n">
        <v>5.5335</v>
      </c>
      <c r="H1539" s="14" t="n">
        <v>113.45</v>
      </c>
      <c r="I1539" s="14" t="n">
        <v>1.1519</v>
      </c>
      <c r="J1539" s="14" t="n">
        <v>9.8878</v>
      </c>
      <c r="K1539" s="14" t="n">
        <v>1366.75</v>
      </c>
      <c r="L1539" s="14" t="n">
        <v>0.85545</v>
      </c>
      <c r="M1539" s="14" t="n">
        <v>7.3756</v>
      </c>
      <c r="N1539" s="14" t="n">
        <v>6.4193</v>
      </c>
      <c r="O1539" s="14" t="n">
        <v>130.98</v>
      </c>
      <c r="P1539" s="14" t="n">
        <v>8.5839</v>
      </c>
    </row>
    <row r="1540" customFormat="false" ht="15" hidden="false" customHeight="false" outlineLevel="0" collapsed="false">
      <c r="A1540" s="13" t="n">
        <v>44508</v>
      </c>
      <c r="B1540" s="14" t="n">
        <v>1180.64</v>
      </c>
      <c r="C1540" s="14" t="n">
        <v>8.5073</v>
      </c>
      <c r="D1540" s="14" t="n">
        <v>1.3563</v>
      </c>
      <c r="E1540" s="14" t="n">
        <v>1.159</v>
      </c>
      <c r="F1540" s="14" t="n">
        <v>6.3902</v>
      </c>
      <c r="G1540" s="14" t="n">
        <v>5.5455</v>
      </c>
      <c r="H1540" s="14" t="n">
        <v>113.15</v>
      </c>
      <c r="I1540" s="14" t="n">
        <v>1.1579</v>
      </c>
      <c r="J1540" s="14" t="n">
        <v>9.8745</v>
      </c>
      <c r="K1540" s="14" t="n">
        <v>1368.52</v>
      </c>
      <c r="L1540" s="14" t="n">
        <v>0.85478</v>
      </c>
      <c r="M1540" s="14" t="n">
        <v>7.4048</v>
      </c>
      <c r="N1540" s="14" t="n">
        <v>6.4669</v>
      </c>
      <c r="O1540" s="14" t="n">
        <v>131.29</v>
      </c>
      <c r="P1540" s="14" t="n">
        <v>8.5279</v>
      </c>
    </row>
    <row r="1541" customFormat="false" ht="15" hidden="false" customHeight="false" outlineLevel="0" collapsed="false">
      <c r="A1541" s="13" t="n">
        <v>44509</v>
      </c>
      <c r="B1541" s="14" t="n">
        <v>1178.64</v>
      </c>
      <c r="C1541" s="14" t="n">
        <v>8.5238</v>
      </c>
      <c r="D1541" s="14" t="n">
        <v>1.3551</v>
      </c>
      <c r="E1541" s="14" t="n">
        <v>1.1589</v>
      </c>
      <c r="F1541" s="14" t="n">
        <v>6.3916</v>
      </c>
      <c r="G1541" s="14" t="n">
        <v>5.502</v>
      </c>
      <c r="H1541" s="14" t="n">
        <v>112.87</v>
      </c>
      <c r="I1541" s="14" t="n">
        <v>1.1577</v>
      </c>
      <c r="J1541" s="14" t="n">
        <v>9.8555</v>
      </c>
      <c r="K1541" s="14" t="n">
        <v>1362.47</v>
      </c>
      <c r="L1541" s="14" t="n">
        <v>0.8538</v>
      </c>
      <c r="M1541" s="14" t="n">
        <v>7.3989</v>
      </c>
      <c r="N1541" s="14" t="n">
        <v>6.3847</v>
      </c>
      <c r="O1541" s="14" t="n">
        <v>130.9</v>
      </c>
      <c r="P1541" s="14" t="n">
        <v>8.513</v>
      </c>
    </row>
    <row r="1542" customFormat="false" ht="15" hidden="false" customHeight="false" outlineLevel="0" collapsed="false">
      <c r="A1542" s="13" t="n">
        <v>44510</v>
      </c>
      <c r="B1542" s="14" t="n">
        <v>1181.16</v>
      </c>
      <c r="C1542" s="14" t="n">
        <v>8.5984</v>
      </c>
      <c r="D1542" s="14" t="n">
        <v>1.347</v>
      </c>
      <c r="E1542" s="14" t="n">
        <v>1.1517</v>
      </c>
      <c r="F1542" s="14" t="n">
        <v>6.3882</v>
      </c>
      <c r="G1542" s="14" t="n">
        <v>5.4709</v>
      </c>
      <c r="H1542" s="14" t="n">
        <v>113.89</v>
      </c>
      <c r="I1542" s="14" t="n">
        <v>1.1558</v>
      </c>
      <c r="J1542" s="14" t="n">
        <v>9.8848</v>
      </c>
      <c r="K1542" s="14" t="n">
        <v>1362.58</v>
      </c>
      <c r="L1542" s="14" t="n">
        <v>0.85548</v>
      </c>
      <c r="M1542" s="14" t="n">
        <v>7.3866</v>
      </c>
      <c r="N1542" s="14" t="n">
        <v>6.2965</v>
      </c>
      <c r="O1542" s="14" t="n">
        <v>130.9</v>
      </c>
      <c r="P1542" s="14" t="n">
        <v>8.5523</v>
      </c>
    </row>
    <row r="1543" customFormat="false" ht="15" hidden="false" customHeight="false" outlineLevel="0" collapsed="false">
      <c r="A1543" s="13" t="n">
        <v>44511</v>
      </c>
      <c r="I1543" s="14" t="n">
        <v>1.146</v>
      </c>
      <c r="J1543" s="14" t="n">
        <v>9.9695</v>
      </c>
      <c r="K1543" s="14" t="n">
        <v>1353.13</v>
      </c>
      <c r="L1543" s="14" t="n">
        <v>0.85538</v>
      </c>
      <c r="M1543" s="14" t="n">
        <v>7.3292</v>
      </c>
      <c r="N1543" s="14" t="n">
        <v>6.2383</v>
      </c>
      <c r="O1543" s="14" t="n">
        <v>130.59</v>
      </c>
      <c r="P1543" s="14" t="n">
        <v>8.6994</v>
      </c>
    </row>
    <row r="1544" customFormat="false" ht="15" hidden="false" customHeight="false" outlineLevel="0" collapsed="false">
      <c r="A1544" s="13" t="n">
        <v>44512</v>
      </c>
      <c r="B1544" s="14" t="n">
        <v>1179.23</v>
      </c>
      <c r="C1544" s="14" t="n">
        <v>8.6867</v>
      </c>
      <c r="D1544" s="14" t="n">
        <v>1.3412</v>
      </c>
      <c r="E1544" s="14" t="n">
        <v>1.1443</v>
      </c>
      <c r="F1544" s="14" t="n">
        <v>6.3787</v>
      </c>
      <c r="G1544" s="14" t="n">
        <v>5.4341</v>
      </c>
      <c r="H1544" s="14" t="n">
        <v>113.9</v>
      </c>
      <c r="I1544" s="14" t="n">
        <v>1.1448</v>
      </c>
      <c r="J1544" s="14" t="n">
        <v>9.9508</v>
      </c>
      <c r="K1544" s="14" t="n">
        <v>1349.1</v>
      </c>
      <c r="L1544" s="14" t="n">
        <v>0.85505</v>
      </c>
      <c r="M1544" s="14" t="n">
        <v>7.3047</v>
      </c>
      <c r="N1544" s="14" t="n">
        <v>6.1902</v>
      </c>
      <c r="O1544" s="14" t="n">
        <v>130.5</v>
      </c>
      <c r="P1544" s="14" t="n">
        <v>8.6922</v>
      </c>
    </row>
    <row r="1545" customFormat="false" ht="15" hidden="false" customHeight="false" outlineLevel="0" collapsed="false">
      <c r="A1545" s="13" t="n">
        <v>44515</v>
      </c>
      <c r="B1545" s="14" t="n">
        <v>1181.61</v>
      </c>
      <c r="C1545" s="14" t="n">
        <v>8.6947</v>
      </c>
      <c r="D1545" s="14" t="n">
        <v>1.3444</v>
      </c>
      <c r="E1545" s="14" t="n">
        <v>1.1421</v>
      </c>
      <c r="F1545" s="14" t="n">
        <v>6.3824</v>
      </c>
      <c r="G1545" s="14" t="n">
        <v>5.4575</v>
      </c>
      <c r="H1545" s="14" t="n">
        <v>113.96</v>
      </c>
      <c r="I1545" s="14" t="n">
        <v>1.1444</v>
      </c>
      <c r="J1545" s="14" t="n">
        <v>9.9173</v>
      </c>
      <c r="K1545" s="14" t="n">
        <v>1350.36</v>
      </c>
      <c r="L1545" s="14" t="n">
        <v>0.85165</v>
      </c>
      <c r="M1545" s="14" t="n">
        <v>7.3034</v>
      </c>
      <c r="N1545" s="14" t="n">
        <v>6.2458</v>
      </c>
      <c r="O1545" s="14" t="n">
        <v>130.32</v>
      </c>
      <c r="P1545" s="14" t="n">
        <v>8.6659</v>
      </c>
    </row>
    <row r="1546" customFormat="false" ht="15" hidden="false" customHeight="false" outlineLevel="0" collapsed="false">
      <c r="A1546" s="13" t="n">
        <v>44516</v>
      </c>
      <c r="B1546" s="14" t="n">
        <v>1183.3</v>
      </c>
      <c r="C1546" s="14" t="n">
        <v>8.7223</v>
      </c>
      <c r="D1546" s="14" t="n">
        <v>1.3429</v>
      </c>
      <c r="E1546" s="14" t="n">
        <v>1.1333</v>
      </c>
      <c r="F1546" s="14" t="n">
        <v>6.3919</v>
      </c>
      <c r="G1546" s="14" t="n">
        <v>5.498</v>
      </c>
      <c r="H1546" s="14" t="n">
        <v>114.62</v>
      </c>
      <c r="I1546" s="14" t="n">
        <v>1.1368</v>
      </c>
      <c r="J1546" s="14" t="n">
        <v>9.8863</v>
      </c>
      <c r="K1546" s="14" t="n">
        <v>1343</v>
      </c>
      <c r="L1546" s="14" t="n">
        <v>0.84533</v>
      </c>
      <c r="M1546" s="14" t="n">
        <v>7.2627</v>
      </c>
      <c r="N1546" s="14" t="n">
        <v>6.1838</v>
      </c>
      <c r="O1546" s="14" t="n">
        <v>129.89</v>
      </c>
      <c r="P1546" s="14" t="n">
        <v>8.6966</v>
      </c>
    </row>
    <row r="1547" customFormat="false" ht="15" hidden="false" customHeight="false" outlineLevel="0" collapsed="false">
      <c r="A1547" s="13" t="n">
        <v>44517</v>
      </c>
      <c r="B1547" s="14" t="n">
        <v>1182.4</v>
      </c>
      <c r="C1547" s="14" t="n">
        <v>8.7439</v>
      </c>
      <c r="D1547" s="14" t="n">
        <v>1.3488</v>
      </c>
      <c r="E1547" s="14" t="n">
        <v>1.1322</v>
      </c>
      <c r="F1547" s="14" t="n">
        <v>6.3775</v>
      </c>
      <c r="G1547" s="14" t="n">
        <v>5.5082</v>
      </c>
      <c r="H1547" s="14" t="n">
        <v>114.33</v>
      </c>
      <c r="I1547" s="14" t="n">
        <v>1.1316</v>
      </c>
      <c r="J1547" s="14" t="n">
        <v>9.8895</v>
      </c>
      <c r="K1547" s="14" t="n">
        <v>1337.42</v>
      </c>
      <c r="L1547" s="14" t="n">
        <v>0.8409</v>
      </c>
      <c r="M1547" s="14" t="n">
        <v>7.217</v>
      </c>
      <c r="N1547" s="14" t="n">
        <v>6.2028</v>
      </c>
      <c r="O1547" s="14" t="n">
        <v>129.78</v>
      </c>
      <c r="P1547" s="14" t="n">
        <v>8.7394</v>
      </c>
    </row>
    <row r="1548" customFormat="false" ht="15" hidden="false" customHeight="false" outlineLevel="0" collapsed="false">
      <c r="A1548" s="13" t="n">
        <v>44518</v>
      </c>
      <c r="B1548" s="14" t="n">
        <v>1183.42</v>
      </c>
      <c r="C1548" s="14" t="n">
        <v>8.8231</v>
      </c>
      <c r="D1548" s="14" t="n">
        <v>1.3489</v>
      </c>
      <c r="E1548" s="14" t="n">
        <v>1.1358</v>
      </c>
      <c r="F1548" s="14" t="n">
        <v>6.3851</v>
      </c>
      <c r="G1548" s="14" t="n">
        <v>5.5485</v>
      </c>
      <c r="H1548" s="14" t="n">
        <v>114.22</v>
      </c>
      <c r="I1548" s="14" t="n">
        <v>1.1345</v>
      </c>
      <c r="J1548" s="14" t="n">
        <v>9.9523</v>
      </c>
      <c r="K1548" s="14" t="n">
        <v>1342.26</v>
      </c>
      <c r="L1548" s="14" t="n">
        <v>0.84173</v>
      </c>
      <c r="M1548" s="14" t="n">
        <v>7.2419</v>
      </c>
      <c r="N1548" s="14" t="n">
        <v>6.2839</v>
      </c>
      <c r="O1548" s="14" t="n">
        <v>129.58</v>
      </c>
      <c r="P1548" s="14" t="n">
        <v>8.7724</v>
      </c>
    </row>
    <row r="1549" customFormat="false" ht="15" hidden="false" customHeight="false" outlineLevel="0" collapsed="false">
      <c r="A1549" s="13" t="n">
        <v>44519</v>
      </c>
      <c r="B1549" s="14" t="n">
        <v>1184.93</v>
      </c>
      <c r="C1549" s="14" t="n">
        <v>8.8702</v>
      </c>
      <c r="D1549" s="14" t="n">
        <v>1.3474</v>
      </c>
      <c r="E1549" s="14" t="n">
        <v>1.1318</v>
      </c>
      <c r="F1549" s="14" t="n">
        <v>6.3863</v>
      </c>
      <c r="G1549" s="14" t="n">
        <v>5.5728</v>
      </c>
      <c r="H1549" s="14" t="n">
        <v>113.81</v>
      </c>
      <c r="I1549" s="14" t="n">
        <v>1.1271</v>
      </c>
      <c r="J1549" s="14" t="n">
        <v>10.0483</v>
      </c>
      <c r="K1549" s="14" t="n">
        <v>1344.64</v>
      </c>
      <c r="L1549" s="14" t="n">
        <v>0.83928</v>
      </c>
      <c r="M1549" s="14" t="n">
        <v>7.2027</v>
      </c>
      <c r="N1549" s="14" t="n">
        <v>6.268</v>
      </c>
      <c r="O1549" s="14" t="n">
        <v>128.22</v>
      </c>
      <c r="P1549" s="14" t="n">
        <v>8.9152</v>
      </c>
    </row>
    <row r="1550" customFormat="false" ht="15" hidden="false" customHeight="false" outlineLevel="0" collapsed="false">
      <c r="A1550" s="13" t="n">
        <v>44522</v>
      </c>
      <c r="B1550" s="14" t="n">
        <v>1185.33</v>
      </c>
      <c r="C1550" s="14" t="n">
        <v>8.9068</v>
      </c>
      <c r="D1550" s="14" t="n">
        <v>1.3412</v>
      </c>
      <c r="E1550" s="14" t="n">
        <v>1.126</v>
      </c>
      <c r="F1550" s="14" t="n">
        <v>6.3842</v>
      </c>
      <c r="G1550" s="14" t="n">
        <v>5.586</v>
      </c>
      <c r="H1550" s="14" t="n">
        <v>114.69</v>
      </c>
      <c r="I1550" s="14" t="n">
        <v>1.1278</v>
      </c>
      <c r="J1550" s="14" t="n">
        <v>10.0715</v>
      </c>
      <c r="K1550" s="14" t="n">
        <v>1338.72</v>
      </c>
      <c r="L1550" s="14" t="n">
        <v>0.83923</v>
      </c>
      <c r="M1550" s="14" t="n">
        <v>7.1975</v>
      </c>
      <c r="N1550" s="14" t="n">
        <v>6.3043</v>
      </c>
      <c r="O1550" s="14" t="n">
        <v>128.69</v>
      </c>
      <c r="P1550" s="14" t="n">
        <v>8.9302</v>
      </c>
    </row>
    <row r="1551" customFormat="false" ht="15" hidden="false" customHeight="false" outlineLevel="0" collapsed="false">
      <c r="A1551" s="13" t="n">
        <v>44523</v>
      </c>
      <c r="B1551" s="14" t="n">
        <v>1190.31</v>
      </c>
      <c r="C1551" s="14" t="n">
        <v>8.9082</v>
      </c>
      <c r="D1551" s="14" t="n">
        <v>1.3388</v>
      </c>
      <c r="E1551" s="14" t="n">
        <v>1.1265</v>
      </c>
      <c r="F1551" s="14" t="n">
        <v>6.391</v>
      </c>
      <c r="G1551" s="14" t="n">
        <v>5.6485</v>
      </c>
      <c r="H1551" s="14" t="n">
        <v>114.98</v>
      </c>
      <c r="I1551" s="14" t="n">
        <v>1.1259</v>
      </c>
      <c r="J1551" s="14" t="n">
        <v>10.071</v>
      </c>
      <c r="K1551" s="14" t="n">
        <v>1340.6</v>
      </c>
      <c r="L1551" s="14" t="n">
        <v>0.84185</v>
      </c>
      <c r="M1551" s="14" t="n">
        <v>7.1943</v>
      </c>
      <c r="N1551" s="14" t="n">
        <v>6.3298</v>
      </c>
      <c r="O1551" s="14" t="n">
        <v>129.36</v>
      </c>
      <c r="P1551" s="14" t="n">
        <v>8.9448</v>
      </c>
    </row>
    <row r="1552" customFormat="false" ht="15" hidden="false" customHeight="false" outlineLevel="0" collapsed="false">
      <c r="A1552" s="13" t="n">
        <v>44524</v>
      </c>
      <c r="B1552" s="14" t="n">
        <v>1186.01</v>
      </c>
      <c r="C1552" s="14" t="n">
        <v>8.9658</v>
      </c>
      <c r="D1552" s="14" t="n">
        <v>1.3332</v>
      </c>
      <c r="E1552" s="14" t="n">
        <v>1.1196</v>
      </c>
      <c r="F1552" s="14" t="n">
        <v>6.3917</v>
      </c>
      <c r="G1552" s="14" t="n">
        <v>5.5937</v>
      </c>
      <c r="H1552" s="14" t="n">
        <v>115.34</v>
      </c>
      <c r="I1552" s="14" t="n">
        <v>1.1206</v>
      </c>
      <c r="J1552" s="14" t="n">
        <v>10.026</v>
      </c>
      <c r="K1552" s="14" t="n">
        <v>1331.51</v>
      </c>
      <c r="L1552" s="14" t="n">
        <v>0.83935</v>
      </c>
      <c r="M1552" s="14" t="n">
        <v>7.16</v>
      </c>
      <c r="N1552" s="14" t="n">
        <v>6.2705</v>
      </c>
      <c r="O1552" s="14" t="n">
        <v>129.06</v>
      </c>
      <c r="P1552" s="14" t="n">
        <v>8.947</v>
      </c>
    </row>
    <row r="1553" customFormat="false" ht="15" hidden="false" customHeight="false" outlineLevel="0" collapsed="false">
      <c r="A1553" s="13" t="n">
        <v>44525</v>
      </c>
      <c r="I1553" s="14" t="n">
        <v>1.1223</v>
      </c>
      <c r="J1553" s="14" t="n">
        <v>10.0655</v>
      </c>
      <c r="K1553" s="14" t="n">
        <v>1337.04</v>
      </c>
      <c r="L1553" s="14" t="n">
        <v>0.84295</v>
      </c>
      <c r="M1553" s="14" t="n">
        <v>7.1676</v>
      </c>
      <c r="N1553" s="14" t="n">
        <v>6.2643</v>
      </c>
      <c r="O1553" s="14" t="n">
        <v>129.41</v>
      </c>
      <c r="P1553" s="14" t="n">
        <v>8.9686</v>
      </c>
    </row>
    <row r="1554" customFormat="false" ht="15" hidden="false" customHeight="false" outlineLevel="0" collapsed="false">
      <c r="A1554" s="13" t="n">
        <v>44526</v>
      </c>
      <c r="B1554" s="14" t="n">
        <v>1194.43</v>
      </c>
      <c r="C1554" s="14" t="n">
        <v>9.0849</v>
      </c>
      <c r="D1554" s="14" t="n">
        <v>1.3322</v>
      </c>
      <c r="E1554" s="14" t="n">
        <v>1.1302</v>
      </c>
      <c r="F1554" s="14" t="n">
        <v>6.3924</v>
      </c>
      <c r="G1554" s="14" t="n">
        <v>5.5903</v>
      </c>
      <c r="H1554" s="14" t="n">
        <v>113.46</v>
      </c>
      <c r="I1554" s="14" t="n">
        <v>1.1291</v>
      </c>
      <c r="J1554" s="14" t="n">
        <v>10.1613</v>
      </c>
      <c r="K1554" s="14" t="n">
        <v>1348.9</v>
      </c>
      <c r="L1554" s="14" t="n">
        <v>0.8462</v>
      </c>
      <c r="M1554" s="14" t="n">
        <v>7.2149</v>
      </c>
      <c r="N1554" s="14" t="n">
        <v>6.3286</v>
      </c>
      <c r="O1554" s="14" t="n">
        <v>128.82</v>
      </c>
      <c r="P1554" s="14" t="n">
        <v>8.9995</v>
      </c>
    </row>
    <row r="1555" customFormat="false" ht="15" hidden="false" customHeight="false" outlineLevel="0" collapsed="false">
      <c r="A1555" s="13" t="n">
        <v>44529</v>
      </c>
      <c r="B1555" s="14" t="n">
        <v>1192.96</v>
      </c>
      <c r="C1555" s="14" t="n">
        <v>9.0579</v>
      </c>
      <c r="D1555" s="14" t="n">
        <v>1.3291</v>
      </c>
      <c r="E1555" s="14" t="n">
        <v>1.1261</v>
      </c>
      <c r="F1555" s="14" t="n">
        <v>6.3875</v>
      </c>
      <c r="G1555" s="14" t="n">
        <v>5.6233</v>
      </c>
      <c r="H1555" s="14" t="n">
        <v>113.75</v>
      </c>
      <c r="I1555" s="14" t="n">
        <v>1.1276</v>
      </c>
      <c r="J1555" s="14" t="n">
        <v>10.214</v>
      </c>
      <c r="K1555" s="14" t="n">
        <v>1344.73</v>
      </c>
      <c r="L1555" s="14" t="n">
        <v>0.84583</v>
      </c>
      <c r="M1555" s="14" t="n">
        <v>7.2002</v>
      </c>
      <c r="N1555" s="14" t="n">
        <v>6.3184</v>
      </c>
      <c r="O1555" s="14" t="n">
        <v>128.21</v>
      </c>
      <c r="P1555" s="14" t="n">
        <v>9.0582</v>
      </c>
    </row>
    <row r="1556" customFormat="false" ht="15" hidden="false" customHeight="false" outlineLevel="0" collapsed="false">
      <c r="A1556" s="13" t="n">
        <v>44530</v>
      </c>
      <c r="B1556" s="14" t="n">
        <v>1187.45</v>
      </c>
      <c r="C1556" s="14" t="n">
        <v>9.1119</v>
      </c>
      <c r="D1556" s="14" t="n">
        <v>1.3252</v>
      </c>
      <c r="E1556" s="14" t="n">
        <v>1.1287</v>
      </c>
      <c r="F1556" s="14" t="n">
        <v>6.364</v>
      </c>
      <c r="G1556" s="14" t="n">
        <v>5.6569</v>
      </c>
      <c r="H1556" s="14" t="n">
        <v>113.22</v>
      </c>
      <c r="I1556" s="14" t="n">
        <v>1.1363</v>
      </c>
      <c r="J1556" s="14" t="n">
        <v>10.2795</v>
      </c>
      <c r="K1556" s="14" t="n">
        <v>1350.29</v>
      </c>
      <c r="L1556" s="14" t="n">
        <v>0.85173</v>
      </c>
      <c r="M1556" s="14" t="n">
        <v>7.2395</v>
      </c>
      <c r="N1556" s="14" t="n">
        <v>6.3762</v>
      </c>
      <c r="O1556" s="14" t="n">
        <v>128.2</v>
      </c>
      <c r="P1556" s="14" t="n">
        <v>9.0465</v>
      </c>
    </row>
    <row r="1557" customFormat="false" ht="15" hidden="false" customHeight="false" outlineLevel="0" collapsed="false">
      <c r="A1557" s="13" t="n">
        <v>44531</v>
      </c>
      <c r="B1557" s="14" t="n">
        <v>1187.45</v>
      </c>
      <c r="C1557" s="14" t="n">
        <v>9.1119</v>
      </c>
      <c r="D1557" s="14" t="n">
        <v>1.3308</v>
      </c>
      <c r="E1557" s="14" t="n">
        <v>1.1323</v>
      </c>
      <c r="F1557" s="14" t="n">
        <v>6.3641</v>
      </c>
      <c r="G1557" s="14" t="n">
        <v>5.6355</v>
      </c>
      <c r="H1557" s="14" t="n">
        <v>112.82</v>
      </c>
      <c r="I1557" s="14" t="n">
        <v>1.1314</v>
      </c>
      <c r="J1557" s="14" t="n">
        <v>10.2195</v>
      </c>
      <c r="K1557" s="14" t="n">
        <v>1330.53</v>
      </c>
      <c r="L1557" s="14" t="n">
        <v>0.85</v>
      </c>
      <c r="M1557" s="14" t="n">
        <v>7.2065</v>
      </c>
      <c r="N1557" s="14" t="n">
        <v>6.3498</v>
      </c>
      <c r="O1557" s="14" t="n">
        <v>128.27</v>
      </c>
      <c r="P1557" s="14" t="n">
        <v>9.0326</v>
      </c>
    </row>
    <row r="1558" customFormat="false" ht="15" hidden="false" customHeight="false" outlineLevel="0" collapsed="false">
      <c r="A1558" s="13" t="n">
        <v>44532</v>
      </c>
      <c r="B1558" s="14" t="n">
        <v>1175.18</v>
      </c>
      <c r="C1558" s="14" t="n">
        <v>9.0937</v>
      </c>
      <c r="D1558" s="14" t="n">
        <v>1.3305</v>
      </c>
      <c r="E1558" s="14" t="n">
        <v>1.1306</v>
      </c>
      <c r="F1558" s="14" t="n">
        <v>6.3763</v>
      </c>
      <c r="G1558" s="14" t="n">
        <v>5.6272</v>
      </c>
      <c r="H1558" s="14" t="n">
        <v>113.1</v>
      </c>
      <c r="I1558" s="14" t="n">
        <v>1.1339</v>
      </c>
      <c r="J1558" s="14" t="n">
        <v>10.2962</v>
      </c>
      <c r="K1558" s="14" t="n">
        <v>1333.57</v>
      </c>
      <c r="L1558" s="14" t="n">
        <v>0.85135</v>
      </c>
      <c r="M1558" s="14" t="n">
        <v>7.2297</v>
      </c>
      <c r="N1558" s="14" t="n">
        <v>6.3935</v>
      </c>
      <c r="O1558" s="14" t="n">
        <v>127.94</v>
      </c>
      <c r="P1558" s="14" t="n">
        <v>9.0803</v>
      </c>
    </row>
    <row r="1559" customFormat="false" ht="15" hidden="false" customHeight="false" outlineLevel="0" collapsed="false">
      <c r="A1559" s="13" t="n">
        <v>44533</v>
      </c>
      <c r="B1559" s="14" t="n">
        <v>1179.84</v>
      </c>
      <c r="C1559" s="14" t="n">
        <v>9.1854</v>
      </c>
      <c r="D1559" s="14" t="n">
        <v>1.3234</v>
      </c>
      <c r="E1559" s="14" t="n">
        <v>1.1308</v>
      </c>
      <c r="F1559" s="14" t="n">
        <v>6.3758</v>
      </c>
      <c r="G1559" s="14" t="n">
        <v>5.6773</v>
      </c>
      <c r="H1559" s="14" t="n">
        <v>112.88</v>
      </c>
      <c r="I1559" s="14" t="n">
        <v>1.1291</v>
      </c>
      <c r="J1559" s="14" t="n">
        <v>10.2875</v>
      </c>
      <c r="K1559" s="14" t="n">
        <v>1334.04</v>
      </c>
      <c r="L1559" s="14" t="n">
        <v>0.85048</v>
      </c>
      <c r="M1559" s="14" t="n">
        <v>7.1935</v>
      </c>
      <c r="N1559" s="14" t="n">
        <v>6.3687</v>
      </c>
      <c r="O1559" s="14" t="n">
        <v>127.97</v>
      </c>
      <c r="P1559" s="14" t="n">
        <v>9.1112</v>
      </c>
    </row>
    <row r="1560" customFormat="false" ht="15" hidden="false" customHeight="false" outlineLevel="0" collapsed="false">
      <c r="A1560" s="13" t="n">
        <v>44536</v>
      </c>
      <c r="B1560" s="14" t="n">
        <v>1182.29</v>
      </c>
      <c r="C1560" s="14" t="n">
        <v>9.1191</v>
      </c>
      <c r="D1560" s="14" t="n">
        <v>1.3252</v>
      </c>
      <c r="E1560" s="14" t="n">
        <v>1.1282</v>
      </c>
      <c r="F1560" s="14" t="n">
        <v>6.3756</v>
      </c>
      <c r="G1560" s="14" t="n">
        <v>5.682</v>
      </c>
      <c r="H1560" s="14" t="n">
        <v>113.31</v>
      </c>
      <c r="I1560" s="14" t="n">
        <v>1.1287</v>
      </c>
      <c r="J1560" s="14" t="n">
        <v>10.2943</v>
      </c>
      <c r="K1560" s="14" t="n">
        <v>1333.81</v>
      </c>
      <c r="L1560" s="14" t="n">
        <v>0.85128</v>
      </c>
      <c r="M1560" s="14" t="n">
        <v>7.1986</v>
      </c>
      <c r="N1560" s="14" t="n">
        <v>6.416</v>
      </c>
      <c r="O1560" s="14" t="n">
        <v>127.78</v>
      </c>
      <c r="P1560" s="14" t="n">
        <v>9.1205</v>
      </c>
    </row>
    <row r="1561" customFormat="false" ht="15" hidden="false" customHeight="false" outlineLevel="0" collapsed="false">
      <c r="A1561" s="13" t="n">
        <v>44537</v>
      </c>
      <c r="B1561" s="14" t="n">
        <v>1179.24</v>
      </c>
      <c r="C1561" s="14" t="n">
        <v>9.0344</v>
      </c>
      <c r="D1561" s="14" t="n">
        <v>1.3236</v>
      </c>
      <c r="E1561" s="14" t="n">
        <v>1.1247</v>
      </c>
      <c r="F1561" s="14" t="n">
        <v>6.3657</v>
      </c>
      <c r="G1561" s="14" t="n">
        <v>5.6294</v>
      </c>
      <c r="H1561" s="14" t="n">
        <v>113.61</v>
      </c>
      <c r="I1561" s="14" t="n">
        <v>1.1256</v>
      </c>
      <c r="J1561" s="14" t="n">
        <v>10.19</v>
      </c>
      <c r="K1561" s="14" t="n">
        <v>1325.5</v>
      </c>
      <c r="L1561" s="14" t="n">
        <v>0.84933</v>
      </c>
      <c r="M1561" s="14" t="n">
        <v>7.1671</v>
      </c>
      <c r="N1561" s="14" t="n">
        <v>6.3327</v>
      </c>
      <c r="O1561" s="14" t="n">
        <v>127.83</v>
      </c>
      <c r="P1561" s="14" t="n">
        <v>9.0529</v>
      </c>
    </row>
    <row r="1562" customFormat="false" ht="15" hidden="false" customHeight="false" outlineLevel="0" collapsed="false">
      <c r="A1562" s="13" t="n">
        <v>44538</v>
      </c>
      <c r="B1562" s="14" t="n">
        <v>1175.19</v>
      </c>
      <c r="C1562" s="14" t="n">
        <v>8.8878</v>
      </c>
      <c r="D1562" s="14" t="n">
        <v>1.3236</v>
      </c>
      <c r="E1562" s="14" t="n">
        <v>1.133</v>
      </c>
      <c r="F1562" s="14" t="n">
        <v>6.3435</v>
      </c>
      <c r="G1562" s="14" t="n">
        <v>5.5395</v>
      </c>
      <c r="H1562" s="14" t="n">
        <v>113.83</v>
      </c>
      <c r="I1562" s="14" t="n">
        <v>1.1299</v>
      </c>
      <c r="J1562" s="14" t="n">
        <v>10.096</v>
      </c>
      <c r="K1562" s="14" t="n">
        <v>1328.25</v>
      </c>
      <c r="L1562" s="14" t="n">
        <v>0.85603</v>
      </c>
      <c r="M1562" s="14" t="n">
        <v>7.1726</v>
      </c>
      <c r="N1562" s="14" t="n">
        <v>6.335</v>
      </c>
      <c r="O1562" s="14" t="n">
        <v>128.57</v>
      </c>
      <c r="P1562" s="14" t="n">
        <v>8.9353</v>
      </c>
    </row>
    <row r="1563" customFormat="false" ht="15" hidden="false" customHeight="false" outlineLevel="0" collapsed="false">
      <c r="A1563" s="13" t="n">
        <v>44539</v>
      </c>
      <c r="B1563" s="14" t="n">
        <v>1173.59</v>
      </c>
      <c r="C1563" s="14" t="n">
        <v>9.0008</v>
      </c>
      <c r="D1563" s="14" t="n">
        <v>1.3188</v>
      </c>
      <c r="E1563" s="14" t="n">
        <v>1.1285</v>
      </c>
      <c r="F1563" s="14" t="n">
        <v>6.3772</v>
      </c>
      <c r="G1563" s="14" t="n">
        <v>5.5838</v>
      </c>
      <c r="H1563" s="14" t="n">
        <v>113.53</v>
      </c>
      <c r="I1563" s="14" t="n">
        <v>1.1311</v>
      </c>
      <c r="J1563" s="14" t="n">
        <v>10.155</v>
      </c>
      <c r="K1563" s="14" t="n">
        <v>1331.42</v>
      </c>
      <c r="L1563" s="14" t="n">
        <v>0.8574</v>
      </c>
      <c r="M1563" s="14" t="n">
        <v>7.2114</v>
      </c>
      <c r="N1563" s="14" t="n">
        <v>6.2718</v>
      </c>
      <c r="O1563" s="14" t="n">
        <v>128.21</v>
      </c>
      <c r="P1563" s="14" t="n">
        <v>8.978</v>
      </c>
    </row>
    <row r="1564" customFormat="false" ht="15" hidden="false" customHeight="false" outlineLevel="0" collapsed="false">
      <c r="A1564" s="13" t="n">
        <v>44540</v>
      </c>
      <c r="B1564" s="14" t="n">
        <v>1180.99</v>
      </c>
      <c r="C1564" s="14" t="n">
        <v>8.9529</v>
      </c>
      <c r="D1564" s="14" t="n">
        <v>1.3262</v>
      </c>
      <c r="E1564" s="14" t="n">
        <v>1.1312</v>
      </c>
      <c r="F1564" s="14" t="n">
        <v>6.3685</v>
      </c>
      <c r="G1564" s="14" t="n">
        <v>5.5991</v>
      </c>
      <c r="H1564" s="14" t="n">
        <v>113.36</v>
      </c>
      <c r="I1564" s="14" t="n">
        <v>1.1273</v>
      </c>
      <c r="J1564" s="14" t="n">
        <v>10.1335</v>
      </c>
      <c r="K1564" s="14" t="n">
        <v>1331.35</v>
      </c>
      <c r="L1564" s="14" t="n">
        <v>0.85355</v>
      </c>
      <c r="M1564" s="14" t="n">
        <v>7.1814</v>
      </c>
      <c r="N1564" s="14" t="n">
        <v>6.2923</v>
      </c>
      <c r="O1564" s="14" t="n">
        <v>128.2</v>
      </c>
      <c r="P1564" s="14" t="n">
        <v>8.9892</v>
      </c>
    </row>
    <row r="1565" customFormat="false" ht="15" hidden="false" customHeight="false" outlineLevel="0" collapsed="false">
      <c r="A1565" s="13" t="n">
        <v>44543</v>
      </c>
      <c r="B1565" s="14" t="n">
        <v>1184.19</v>
      </c>
      <c r="C1565" s="14" t="n">
        <v>9.052</v>
      </c>
      <c r="D1565" s="14" t="n">
        <v>1.3233</v>
      </c>
      <c r="E1565" s="14" t="n">
        <v>1.1298</v>
      </c>
      <c r="F1565" s="14" t="n">
        <v>6.3659</v>
      </c>
      <c r="G1565" s="14" t="n">
        <v>5.6598</v>
      </c>
      <c r="H1565" s="14" t="n">
        <v>113.42</v>
      </c>
      <c r="I1565" s="14" t="n">
        <v>1.1278</v>
      </c>
      <c r="J1565" s="14" t="n">
        <v>10.1598</v>
      </c>
      <c r="K1565" s="14" t="n">
        <v>1333.6</v>
      </c>
      <c r="L1565" s="14" t="n">
        <v>0.85158</v>
      </c>
      <c r="M1565" s="14" t="n">
        <v>7.1777</v>
      </c>
      <c r="N1565" s="14" t="n">
        <v>6.319</v>
      </c>
      <c r="O1565" s="14" t="n">
        <v>128.19</v>
      </c>
      <c r="P1565" s="14" t="n">
        <v>9.0085</v>
      </c>
    </row>
    <row r="1566" customFormat="false" ht="15" hidden="false" customHeight="false" outlineLevel="0" collapsed="false">
      <c r="A1566" s="13" t="n">
        <v>44544</v>
      </c>
      <c r="B1566" s="14" t="n">
        <v>1182.7</v>
      </c>
      <c r="C1566" s="14" t="n">
        <v>9.1138</v>
      </c>
      <c r="D1566" s="14" t="n">
        <v>1.3225</v>
      </c>
      <c r="E1566" s="14" t="n">
        <v>1.1267</v>
      </c>
      <c r="F1566" s="14" t="n">
        <v>6.3671</v>
      </c>
      <c r="G1566" s="14" t="n">
        <v>5.6713</v>
      </c>
      <c r="H1566" s="14" t="n">
        <v>113.63</v>
      </c>
      <c r="I1566" s="14" t="n">
        <v>1.1309</v>
      </c>
      <c r="J1566" s="14" t="n">
        <v>10.2475</v>
      </c>
      <c r="K1566" s="14" t="n">
        <v>1338.31</v>
      </c>
      <c r="L1566" s="14" t="n">
        <v>0.85345</v>
      </c>
      <c r="M1566" s="14" t="n">
        <v>7.1956</v>
      </c>
      <c r="N1566" s="14" t="n">
        <v>6.3723</v>
      </c>
      <c r="O1566" s="14" t="n">
        <v>128.45</v>
      </c>
      <c r="P1566" s="14" t="n">
        <v>9.0614</v>
      </c>
    </row>
    <row r="1567" customFormat="false" ht="15" hidden="false" customHeight="false" outlineLevel="0" collapsed="false">
      <c r="A1567" s="13" t="n">
        <v>44545</v>
      </c>
      <c r="B1567" s="14" t="n">
        <v>1186.06</v>
      </c>
      <c r="C1567" s="14" t="n">
        <v>9.0847</v>
      </c>
      <c r="D1567" s="14" t="n">
        <v>1.3214</v>
      </c>
      <c r="E1567" s="14" t="n">
        <v>1.1261</v>
      </c>
      <c r="F1567" s="14" t="n">
        <v>6.3673</v>
      </c>
      <c r="G1567" s="14" t="n">
        <v>5.7099</v>
      </c>
      <c r="H1567" s="14" t="n">
        <v>113.83</v>
      </c>
      <c r="I1567" s="14" t="n">
        <v>1.1262</v>
      </c>
      <c r="J1567" s="14" t="n">
        <v>10.2278</v>
      </c>
      <c r="K1567" s="14" t="n">
        <v>1335.4</v>
      </c>
      <c r="L1567" s="14" t="n">
        <v>0.8498</v>
      </c>
      <c r="M1567" s="14" t="n">
        <v>7.1691</v>
      </c>
      <c r="N1567" s="14" t="n">
        <v>6.4354</v>
      </c>
      <c r="O1567" s="14" t="n">
        <v>128.25</v>
      </c>
      <c r="P1567" s="14" t="n">
        <v>9.0817</v>
      </c>
    </row>
    <row r="1568" customFormat="false" ht="15" hidden="false" customHeight="false" outlineLevel="0" collapsed="false">
      <c r="A1568" s="13" t="n">
        <v>44546</v>
      </c>
      <c r="B1568" s="14" t="n">
        <v>1183.59</v>
      </c>
      <c r="C1568" s="14" t="n">
        <v>8.9925</v>
      </c>
      <c r="D1568" s="14" t="n">
        <v>1.3325</v>
      </c>
      <c r="E1568" s="14" t="n">
        <v>1.1309</v>
      </c>
      <c r="F1568" s="14" t="n">
        <v>6.3674</v>
      </c>
      <c r="G1568" s="14" t="n">
        <v>5.6652</v>
      </c>
      <c r="H1568" s="14" t="n">
        <v>113.67</v>
      </c>
      <c r="I1568" s="14" t="n">
        <v>1.1336</v>
      </c>
      <c r="J1568" s="14" t="n">
        <v>10.1458</v>
      </c>
      <c r="K1568" s="14" t="n">
        <v>1341.38</v>
      </c>
      <c r="L1568" s="14" t="n">
        <v>0.84835</v>
      </c>
      <c r="M1568" s="14" t="n">
        <v>7.2183</v>
      </c>
      <c r="N1568" s="14" t="n">
        <v>6.4378</v>
      </c>
      <c r="O1568" s="14" t="n">
        <v>129.37</v>
      </c>
      <c r="P1568" s="14" t="n">
        <v>8.9501</v>
      </c>
    </row>
    <row r="1569" customFormat="false" ht="15" hidden="false" customHeight="false" outlineLevel="0" collapsed="false">
      <c r="A1569" s="13" t="n">
        <v>44547</v>
      </c>
      <c r="B1569" s="14" t="n">
        <v>1181.03</v>
      </c>
      <c r="C1569" s="14" t="n">
        <v>9.0072</v>
      </c>
      <c r="D1569" s="14" t="n">
        <v>1.3269</v>
      </c>
      <c r="E1569" s="14" t="n">
        <v>1.1277</v>
      </c>
      <c r="F1569" s="14" t="n">
        <v>6.3748</v>
      </c>
      <c r="G1569" s="14" t="n">
        <v>5.6754</v>
      </c>
      <c r="H1569" s="14" t="n">
        <v>113.56</v>
      </c>
      <c r="I1569" s="14" t="n">
        <v>1.133</v>
      </c>
      <c r="J1569" s="14" t="n">
        <v>10.1783</v>
      </c>
      <c r="K1569" s="14" t="n">
        <v>1342.76</v>
      </c>
      <c r="L1569" s="14" t="n">
        <v>0.85208</v>
      </c>
      <c r="M1569" s="14" t="n">
        <v>7.2234</v>
      </c>
      <c r="N1569" s="14" t="n">
        <v>6.4648</v>
      </c>
      <c r="O1569" s="14" t="n">
        <v>128.28</v>
      </c>
      <c r="P1569" s="14" t="n">
        <v>8.9835</v>
      </c>
    </row>
    <row r="1570" customFormat="false" ht="15" hidden="false" customHeight="false" outlineLevel="0" collapsed="false">
      <c r="A1570" s="13" t="n">
        <v>44550</v>
      </c>
      <c r="B1570" s="14" t="n">
        <v>1191.07</v>
      </c>
      <c r="C1570" s="14" t="n">
        <v>9.0488</v>
      </c>
      <c r="D1570" s="14" t="n">
        <v>1.3222</v>
      </c>
      <c r="E1570" s="14" t="n">
        <v>1.1298</v>
      </c>
      <c r="F1570" s="14" t="n">
        <v>6.3756</v>
      </c>
      <c r="G1570" s="14" t="n">
        <v>5.722</v>
      </c>
      <c r="H1570" s="14" t="n">
        <v>113.45</v>
      </c>
      <c r="I1570" s="14" t="n">
        <v>1.1273</v>
      </c>
      <c r="J1570" s="14" t="n">
        <v>10.1915</v>
      </c>
      <c r="K1570" s="14" t="n">
        <v>1343.4</v>
      </c>
      <c r="L1570" s="14" t="n">
        <v>0.85205</v>
      </c>
      <c r="M1570" s="14" t="n">
        <v>7.1882</v>
      </c>
      <c r="N1570" s="14" t="n">
        <v>6.4219</v>
      </c>
      <c r="O1570" s="14" t="n">
        <v>127.98</v>
      </c>
      <c r="P1570" s="14" t="n">
        <v>9.0406</v>
      </c>
    </row>
    <row r="1571" customFormat="false" ht="15" hidden="false" customHeight="false" outlineLevel="0" collapsed="false">
      <c r="A1571" s="13" t="n">
        <v>44551</v>
      </c>
      <c r="B1571" s="14" t="n">
        <v>1192.35</v>
      </c>
      <c r="C1571" s="14" t="n">
        <v>8.96</v>
      </c>
      <c r="D1571" s="14" t="n">
        <v>1.3253</v>
      </c>
      <c r="E1571" s="14" t="n">
        <v>1.1272</v>
      </c>
      <c r="F1571" s="14" t="n">
        <v>6.3716</v>
      </c>
      <c r="G1571" s="14" t="n">
        <v>5.7475</v>
      </c>
      <c r="H1571" s="14" t="n">
        <v>114.11</v>
      </c>
      <c r="I1571" s="14" t="n">
        <v>1.1295</v>
      </c>
      <c r="J1571" s="14" t="n">
        <v>10.1488</v>
      </c>
      <c r="K1571" s="14" t="n">
        <v>1345.39</v>
      </c>
      <c r="L1571" s="14" t="n">
        <v>0.8528</v>
      </c>
      <c r="M1571" s="14" t="n">
        <v>7.1965</v>
      </c>
      <c r="N1571" s="14" t="n">
        <v>6.4573</v>
      </c>
      <c r="O1571" s="14" t="n">
        <v>128.44</v>
      </c>
      <c r="P1571" s="14" t="n">
        <v>8.9852</v>
      </c>
    </row>
    <row r="1572" customFormat="false" ht="15" hidden="false" customHeight="false" outlineLevel="0" collapsed="false">
      <c r="A1572" s="13" t="n">
        <v>44552</v>
      </c>
      <c r="B1572" s="14" t="n">
        <v>1190.21</v>
      </c>
      <c r="C1572" s="14" t="n">
        <v>8.8812</v>
      </c>
      <c r="D1572" s="14" t="n">
        <v>1.3345</v>
      </c>
      <c r="E1572" s="14" t="n">
        <v>1.1324</v>
      </c>
      <c r="F1572" s="14" t="n">
        <v>6.3695</v>
      </c>
      <c r="G1572" s="14" t="n">
        <v>5.7017</v>
      </c>
      <c r="H1572" s="14" t="n">
        <v>114.22</v>
      </c>
      <c r="I1572" s="14" t="n">
        <v>1.1301</v>
      </c>
      <c r="J1572" s="14" t="n">
        <v>10.0613</v>
      </c>
      <c r="K1572" s="14" t="n">
        <v>1346.25</v>
      </c>
      <c r="L1572" s="14" t="n">
        <v>0.849</v>
      </c>
      <c r="M1572" s="14" t="n">
        <v>7.1999</v>
      </c>
      <c r="N1572" s="14" t="n">
        <v>6.4616</v>
      </c>
      <c r="O1572" s="14" t="n">
        <v>129.08</v>
      </c>
      <c r="P1572" s="14" t="n">
        <v>8.903</v>
      </c>
    </row>
    <row r="1573" customFormat="false" ht="15" hidden="false" customHeight="false" outlineLevel="0" collapsed="false">
      <c r="A1573" s="13" t="n">
        <v>44553</v>
      </c>
      <c r="B1573" s="14" t="n">
        <v>1187.59</v>
      </c>
      <c r="C1573" s="14" t="n">
        <v>8.8343</v>
      </c>
      <c r="D1573" s="14" t="n">
        <v>1.341</v>
      </c>
      <c r="E1573" s="14" t="n">
        <v>1.132</v>
      </c>
      <c r="F1573" s="14" t="n">
        <v>6.3696</v>
      </c>
      <c r="G1573" s="14" t="n">
        <v>5.6821</v>
      </c>
      <c r="H1573" s="14" t="n">
        <v>114.42</v>
      </c>
      <c r="I1573" s="14" t="n">
        <v>1.131</v>
      </c>
      <c r="J1573" s="14" t="n">
        <v>10.0113</v>
      </c>
      <c r="K1573" s="14" t="n">
        <v>1343.29</v>
      </c>
      <c r="L1573" s="14" t="n">
        <v>0.84228</v>
      </c>
      <c r="M1573" s="14" t="n">
        <v>7.2056</v>
      </c>
      <c r="N1573" s="14" t="n">
        <v>6.4015</v>
      </c>
      <c r="O1573" s="14" t="n">
        <v>129.39</v>
      </c>
      <c r="P1573" s="14" t="n">
        <v>8.8517</v>
      </c>
    </row>
    <row r="1574" customFormat="false" ht="15" hidden="false" customHeight="false" outlineLevel="0" collapsed="false">
      <c r="A1574" s="13" t="n">
        <v>44554</v>
      </c>
      <c r="I1574" s="14" t="n">
        <v>1.1317</v>
      </c>
      <c r="J1574" s="14" t="n">
        <v>10.0043</v>
      </c>
      <c r="K1574" s="14" t="n">
        <v>1343.18</v>
      </c>
      <c r="L1574" s="14" t="n">
        <v>0.84389</v>
      </c>
      <c r="M1574" s="14" t="n">
        <v>7.2064</v>
      </c>
      <c r="N1574" s="14" t="n">
        <v>6.4229</v>
      </c>
      <c r="O1574" s="14" t="n">
        <v>129.45</v>
      </c>
    </row>
    <row r="1575" customFormat="false" ht="15" hidden="false" customHeight="false" outlineLevel="0" collapsed="false">
      <c r="A1575" s="13" t="n">
        <v>44557</v>
      </c>
      <c r="B1575" s="14" t="n">
        <v>1186.82</v>
      </c>
      <c r="C1575" s="14" t="n">
        <v>8.8391</v>
      </c>
      <c r="D1575" s="14" t="n">
        <v>1.3438</v>
      </c>
      <c r="E1575" s="14" t="n">
        <v>1.1329</v>
      </c>
      <c r="F1575" s="14" t="n">
        <v>6.3705</v>
      </c>
      <c r="G1575" s="14" t="n">
        <v>5.6401</v>
      </c>
      <c r="H1575" s="14" t="n">
        <v>114.85</v>
      </c>
      <c r="I1575" s="14" t="n">
        <v>1.1312</v>
      </c>
      <c r="J1575" s="14" t="n">
        <v>10.0405</v>
      </c>
      <c r="K1575" s="14" t="n">
        <v>1343.6</v>
      </c>
      <c r="L1575" s="14" t="n">
        <v>0.8433</v>
      </c>
      <c r="M1575" s="14" t="n">
        <v>7.2087</v>
      </c>
      <c r="N1575" s="14" t="n">
        <v>6.4157</v>
      </c>
      <c r="O1575" s="14" t="n">
        <v>129.79</v>
      </c>
      <c r="P1575" s="14" t="n">
        <v>8.876</v>
      </c>
    </row>
    <row r="1576" customFormat="false" ht="15" hidden="false" customHeight="false" outlineLevel="0" collapsed="false">
      <c r="A1576" s="13" t="n">
        <v>44558</v>
      </c>
      <c r="B1576" s="14" t="n">
        <v>1188.15</v>
      </c>
      <c r="C1576" s="14" t="n">
        <v>8.8008</v>
      </c>
      <c r="D1576" s="14" t="n">
        <v>1.3432</v>
      </c>
      <c r="E1576" s="14" t="n">
        <v>1.1314</v>
      </c>
      <c r="F1576" s="14" t="n">
        <v>6.3684</v>
      </c>
      <c r="G1576" s="14" t="n">
        <v>5.6372</v>
      </c>
      <c r="H1576" s="14" t="n">
        <v>114.75</v>
      </c>
      <c r="I1576" s="14" t="n">
        <v>1.1331</v>
      </c>
      <c r="J1576" s="14" t="n">
        <v>9.9728</v>
      </c>
      <c r="K1576" s="14" t="n">
        <v>1345.14</v>
      </c>
      <c r="L1576" s="14" t="n">
        <v>0.84248</v>
      </c>
      <c r="M1576" s="14" t="n">
        <v>7.2159</v>
      </c>
      <c r="N1576" s="14" t="n">
        <v>6.3981</v>
      </c>
      <c r="O1576" s="14" t="n">
        <v>130.16</v>
      </c>
      <c r="P1576" s="14" t="n">
        <v>8.8013</v>
      </c>
    </row>
    <row r="1577" customFormat="false" ht="15" hidden="false" customHeight="false" outlineLevel="0" collapsed="false">
      <c r="A1577" s="13" t="n">
        <v>44559</v>
      </c>
      <c r="B1577" s="14" t="n">
        <v>1185.51</v>
      </c>
      <c r="C1577" s="14" t="n">
        <v>8.795</v>
      </c>
      <c r="D1577" s="14" t="n">
        <v>1.3475</v>
      </c>
      <c r="E1577" s="14" t="n">
        <v>1.1337</v>
      </c>
      <c r="F1577" s="14" t="n">
        <v>6.368</v>
      </c>
      <c r="G1577" s="14" t="n">
        <v>5.6915</v>
      </c>
      <c r="H1577" s="14" t="n">
        <v>114.97</v>
      </c>
      <c r="I1577" s="14" t="n">
        <v>1.1303</v>
      </c>
      <c r="J1577" s="14" t="n">
        <v>9.9883</v>
      </c>
      <c r="K1577" s="14" t="n">
        <v>1341.06</v>
      </c>
      <c r="L1577" s="14" t="n">
        <v>0.84115</v>
      </c>
      <c r="M1577" s="14" t="n">
        <v>7.1994</v>
      </c>
      <c r="N1577" s="14" t="n">
        <v>6.3824</v>
      </c>
      <c r="O1577" s="14" t="n">
        <v>129.97</v>
      </c>
      <c r="P1577" s="14" t="n">
        <v>8.8369</v>
      </c>
    </row>
    <row r="1578" customFormat="false" ht="15" hidden="false" customHeight="false" outlineLevel="0" collapsed="false">
      <c r="A1578" s="13" t="n">
        <v>44560</v>
      </c>
      <c r="B1578" s="14" t="n">
        <v>1188.59</v>
      </c>
      <c r="C1578" s="14" t="n">
        <v>8.8076</v>
      </c>
      <c r="D1578" s="14" t="n">
        <v>1.35</v>
      </c>
      <c r="E1578" s="14" t="n">
        <v>1.1318</v>
      </c>
      <c r="F1578" s="14" t="n">
        <v>6.3726</v>
      </c>
      <c r="G1578" s="14" t="n">
        <v>5.5749</v>
      </c>
      <c r="H1578" s="14" t="n">
        <v>115.17</v>
      </c>
      <c r="I1578" s="14" t="n">
        <v>1.1334</v>
      </c>
      <c r="J1578" s="14" t="n">
        <v>9.9703</v>
      </c>
      <c r="K1578" s="14" t="n">
        <v>1347.56</v>
      </c>
      <c r="L1578" s="14" t="n">
        <v>0.8393</v>
      </c>
      <c r="M1578" s="14" t="n">
        <v>7.223</v>
      </c>
      <c r="N1578" s="14" t="n">
        <v>6.3734</v>
      </c>
      <c r="O1578" s="14" t="n">
        <v>130.44</v>
      </c>
      <c r="P1578" s="14" t="n">
        <v>8.7968</v>
      </c>
    </row>
    <row r="1579" customFormat="false" ht="15" hidden="false" customHeight="false" outlineLevel="0" collapsed="false">
      <c r="A1579" s="13" t="n">
        <v>44561</v>
      </c>
      <c r="I1579" s="14" t="n">
        <v>1.1326</v>
      </c>
      <c r="J1579" s="14" t="n">
        <v>9.9888</v>
      </c>
      <c r="K1579" s="14" t="n">
        <v>1346.38</v>
      </c>
      <c r="L1579" s="14" t="n">
        <v>0.84028</v>
      </c>
      <c r="M1579" s="14" t="n">
        <v>7.1947</v>
      </c>
      <c r="N1579" s="14" t="n">
        <v>6.3101</v>
      </c>
      <c r="O1579" s="14" t="n">
        <v>130.38</v>
      </c>
      <c r="P1579" s="14" t="n">
        <v>8.8194</v>
      </c>
    </row>
    <row r="1580" customFormat="false" ht="15" hidden="false" customHeight="false" outlineLevel="0" collapsed="false">
      <c r="A1580" s="13" t="n">
        <v>44564</v>
      </c>
      <c r="B1580" s="14" t="n">
        <v>1191.39</v>
      </c>
      <c r="C1580" s="14" t="n">
        <v>8.8747</v>
      </c>
      <c r="D1580" s="14" t="n">
        <v>1.3469</v>
      </c>
      <c r="E1580" s="14" t="n">
        <v>1.129</v>
      </c>
      <c r="F1580" s="14" t="n">
        <v>6.355</v>
      </c>
      <c r="G1580" s="14" t="n">
        <v>5.6597</v>
      </c>
      <c r="H1580" s="14" t="n">
        <v>115.27</v>
      </c>
      <c r="I1580" s="14" t="n">
        <v>1.1355</v>
      </c>
      <c r="J1580" s="14" t="n">
        <v>10.0013</v>
      </c>
      <c r="K1580" s="14" t="n">
        <v>1354.4</v>
      </c>
      <c r="L1580" s="14" t="n">
        <v>0.84135</v>
      </c>
      <c r="M1580" s="14" t="n">
        <v>7.2174</v>
      </c>
      <c r="N1580" s="14" t="n">
        <v>6.3539</v>
      </c>
      <c r="O1580" s="14" t="n">
        <v>130.56</v>
      </c>
      <c r="P1580" s="14" t="n">
        <v>8.8078</v>
      </c>
    </row>
    <row r="1581" customFormat="false" ht="15" hidden="false" customHeight="false" outlineLevel="0" collapsed="false">
      <c r="A1581" s="13" t="n">
        <v>44565</v>
      </c>
      <c r="B1581" s="14" t="n">
        <v>1193.77</v>
      </c>
      <c r="C1581" s="14" t="n">
        <v>8.8417</v>
      </c>
      <c r="D1581" s="14" t="n">
        <v>1.3544</v>
      </c>
      <c r="E1581" s="14" t="n">
        <v>1.1296</v>
      </c>
      <c r="F1581" s="14" t="n">
        <v>6.3721</v>
      </c>
      <c r="G1581" s="14" t="n">
        <v>5.677</v>
      </c>
      <c r="H1581" s="14" t="n">
        <v>116.12</v>
      </c>
      <c r="I1581" s="14" t="n">
        <v>1.1279</v>
      </c>
      <c r="J1581" s="14" t="n">
        <v>10.0138</v>
      </c>
      <c r="K1581" s="14" t="n">
        <v>1352.91</v>
      </c>
      <c r="L1581" s="14" t="n">
        <v>0.83618</v>
      </c>
      <c r="M1581" s="14" t="n">
        <v>7.1924</v>
      </c>
      <c r="N1581" s="14" t="n">
        <v>6.4174</v>
      </c>
      <c r="O1581" s="14" t="n">
        <v>131.17</v>
      </c>
      <c r="P1581" s="14" t="n">
        <v>8.8783</v>
      </c>
    </row>
    <row r="1582" customFormat="false" ht="15" hidden="false" customHeight="false" outlineLevel="0" collapsed="false">
      <c r="A1582" s="13" t="n">
        <v>44566</v>
      </c>
      <c r="B1582" s="14" t="n">
        <v>1196.38</v>
      </c>
      <c r="C1582" s="14" t="n">
        <v>8.8014</v>
      </c>
      <c r="D1582" s="14" t="n">
        <v>1.3573</v>
      </c>
      <c r="E1582" s="14" t="n">
        <v>1.1335</v>
      </c>
      <c r="F1582" s="14" t="n">
        <v>6.364</v>
      </c>
      <c r="G1582" s="14" t="n">
        <v>5.6876</v>
      </c>
      <c r="H1582" s="14" t="n">
        <v>115.91</v>
      </c>
      <c r="I1582" s="14" t="n">
        <v>1.1319</v>
      </c>
      <c r="J1582" s="14" t="n">
        <v>9.9672</v>
      </c>
      <c r="K1582" s="14" t="n">
        <v>1354.61</v>
      </c>
      <c r="L1582" s="14" t="n">
        <v>0.83546</v>
      </c>
      <c r="M1582" s="14" t="n">
        <v>7.2087</v>
      </c>
      <c r="N1582" s="14" t="n">
        <v>6.4146</v>
      </c>
      <c r="O1582" s="14" t="n">
        <v>131.03</v>
      </c>
      <c r="P1582" s="14" t="n">
        <v>8.8057</v>
      </c>
    </row>
    <row r="1583" customFormat="false" ht="15" hidden="false" customHeight="false" outlineLevel="0" collapsed="false">
      <c r="A1583" s="13" t="n">
        <v>44567</v>
      </c>
      <c r="B1583" s="14" t="n">
        <v>1205.02</v>
      </c>
      <c r="C1583" s="14" t="n">
        <v>8.8842</v>
      </c>
      <c r="D1583" s="14" t="n">
        <v>1.3539</v>
      </c>
      <c r="E1583" s="14" t="n">
        <v>1.1307</v>
      </c>
      <c r="F1583" s="14" t="n">
        <v>6.3822</v>
      </c>
      <c r="G1583" s="14" t="n">
        <v>5.7027</v>
      </c>
      <c r="H1583" s="14" t="n">
        <v>115.78</v>
      </c>
      <c r="I1583" s="14" t="n">
        <v>1.1315</v>
      </c>
      <c r="J1583" s="14" t="n">
        <v>10.035</v>
      </c>
      <c r="K1583" s="14" t="n">
        <v>1362.06</v>
      </c>
      <c r="L1583" s="14" t="n">
        <v>0.83593</v>
      </c>
      <c r="M1583" s="14" t="n">
        <v>7.2187</v>
      </c>
      <c r="N1583" s="14" t="n">
        <v>6.442</v>
      </c>
      <c r="O1583" s="14" t="n">
        <v>131.05</v>
      </c>
      <c r="P1583" s="14" t="n">
        <v>8.8688</v>
      </c>
    </row>
    <row r="1584" customFormat="false" ht="15" hidden="false" customHeight="false" outlineLevel="0" collapsed="false">
      <c r="A1584" s="13" t="n">
        <v>44568</v>
      </c>
      <c r="B1584" s="14" t="n">
        <v>1200.78</v>
      </c>
      <c r="C1584" s="14" t="n">
        <v>8.8403</v>
      </c>
      <c r="D1584" s="14" t="n">
        <v>1.3583</v>
      </c>
      <c r="E1584" s="14" t="n">
        <v>1.1358</v>
      </c>
      <c r="F1584" s="14" t="n">
        <v>6.3769</v>
      </c>
      <c r="G1584" s="14" t="n">
        <v>5.6253</v>
      </c>
      <c r="H1584" s="14" t="n">
        <v>115.61</v>
      </c>
      <c r="I1584" s="14" t="n">
        <v>1.1298</v>
      </c>
      <c r="J1584" s="14" t="n">
        <v>10.0288</v>
      </c>
      <c r="K1584" s="14" t="n">
        <v>1359.96</v>
      </c>
      <c r="L1584" s="14" t="n">
        <v>0.8343</v>
      </c>
      <c r="M1584" s="14" t="n">
        <v>7.206</v>
      </c>
      <c r="N1584" s="14" t="n">
        <v>6.4343</v>
      </c>
      <c r="O1584" s="14" t="n">
        <v>130.9</v>
      </c>
      <c r="P1584" s="14" t="n">
        <v>8.8766</v>
      </c>
    </row>
    <row r="1585" customFormat="false" ht="15" hidden="false" customHeight="false" outlineLevel="0" collapsed="false">
      <c r="A1585" s="13" t="n">
        <v>44571</v>
      </c>
      <c r="B1585" s="14" t="n">
        <v>1199.13</v>
      </c>
      <c r="C1585" s="14" t="n">
        <v>8.8697</v>
      </c>
      <c r="D1585" s="14" t="n">
        <v>1.3567</v>
      </c>
      <c r="E1585" s="14" t="n">
        <v>1.1328</v>
      </c>
      <c r="F1585" s="14" t="n">
        <v>6.3756</v>
      </c>
      <c r="G1585" s="14" t="n">
        <v>5.6788</v>
      </c>
      <c r="H1585" s="14" t="n">
        <v>115.14</v>
      </c>
      <c r="I1585" s="14" t="n">
        <v>1.1318</v>
      </c>
      <c r="J1585" s="14" t="n">
        <v>10.0253</v>
      </c>
      <c r="K1585" s="14" t="n">
        <v>1355.68</v>
      </c>
      <c r="L1585" s="14" t="n">
        <v>0.83398</v>
      </c>
      <c r="M1585" s="14" t="n">
        <v>7.2128</v>
      </c>
      <c r="N1585" s="14" t="n">
        <v>6.3969</v>
      </c>
      <c r="O1585" s="14" t="n">
        <v>130.45</v>
      </c>
      <c r="P1585" s="14" t="n">
        <v>8.8578</v>
      </c>
    </row>
    <row r="1586" customFormat="false" ht="15" hidden="false" customHeight="false" outlineLevel="0" collapsed="false">
      <c r="A1586" s="13" t="n">
        <v>44572</v>
      </c>
      <c r="B1586" s="14" t="n">
        <v>1194.62</v>
      </c>
      <c r="C1586" s="14" t="n">
        <v>8.7913</v>
      </c>
      <c r="D1586" s="14" t="n">
        <v>1.3622</v>
      </c>
      <c r="E1586" s="14" t="n">
        <v>1.1363</v>
      </c>
      <c r="F1586" s="14" t="n">
        <v>6.3735</v>
      </c>
      <c r="G1586" s="14" t="n">
        <v>5.598</v>
      </c>
      <c r="H1586" s="14" t="n">
        <v>115.38</v>
      </c>
      <c r="I1586" s="14" t="n">
        <v>1.1336</v>
      </c>
      <c r="J1586" s="14" t="n">
        <v>10.0165</v>
      </c>
      <c r="K1586" s="14" t="n">
        <v>1352.85</v>
      </c>
      <c r="L1586" s="14" t="n">
        <v>0.83475</v>
      </c>
      <c r="M1586" s="14" t="n">
        <v>7.2255</v>
      </c>
      <c r="N1586" s="14" t="n">
        <v>6.389</v>
      </c>
      <c r="O1586" s="14" t="n">
        <v>130.95</v>
      </c>
      <c r="P1586" s="14" t="n">
        <v>8.836</v>
      </c>
    </row>
    <row r="1587" customFormat="false" ht="15" hidden="false" customHeight="false" outlineLevel="0" collapsed="false">
      <c r="A1587" s="13" t="n">
        <v>44573</v>
      </c>
      <c r="B1587" s="14" t="n">
        <v>1187.34</v>
      </c>
      <c r="C1587" s="14" t="n">
        <v>8.6828</v>
      </c>
      <c r="D1587" s="14" t="n">
        <v>1.3698</v>
      </c>
      <c r="E1587" s="14" t="n">
        <v>1.1431</v>
      </c>
      <c r="F1587" s="14" t="n">
        <v>6.358</v>
      </c>
      <c r="G1587" s="14" t="n">
        <v>5.5541</v>
      </c>
      <c r="H1587" s="14" t="n">
        <v>114.74</v>
      </c>
      <c r="I1587" s="14" t="n">
        <v>1.137</v>
      </c>
      <c r="J1587" s="14" t="n">
        <v>9.927</v>
      </c>
      <c r="K1587" s="14" t="n">
        <v>1353.27</v>
      </c>
      <c r="L1587" s="14" t="n">
        <v>0.83338</v>
      </c>
      <c r="M1587" s="14" t="n">
        <v>7.2379</v>
      </c>
      <c r="N1587" s="14" t="n">
        <v>6.3458</v>
      </c>
      <c r="O1587" s="14" t="n">
        <v>131.19</v>
      </c>
      <c r="P1587" s="14" t="n">
        <v>8.7309</v>
      </c>
    </row>
    <row r="1588" customFormat="false" ht="15" hidden="false" customHeight="false" outlineLevel="0" collapsed="false">
      <c r="A1588" s="13" t="n">
        <v>44574</v>
      </c>
      <c r="B1588" s="14" t="n">
        <v>1187.95</v>
      </c>
      <c r="C1588" s="14" t="n">
        <v>8.6782</v>
      </c>
      <c r="D1588" s="14" t="n">
        <v>1.3724</v>
      </c>
      <c r="E1588" s="14" t="n">
        <v>1.1464</v>
      </c>
      <c r="F1588" s="14" t="n">
        <v>6.3595</v>
      </c>
      <c r="G1588" s="14" t="n">
        <v>5.5122</v>
      </c>
      <c r="H1588" s="14" t="n">
        <v>114.06</v>
      </c>
      <c r="I1588" s="14" t="n">
        <v>1.1463</v>
      </c>
      <c r="J1588" s="14" t="n">
        <v>9.9333</v>
      </c>
      <c r="K1588" s="14" t="n">
        <v>1359.24</v>
      </c>
      <c r="L1588" s="14" t="n">
        <v>0.83545</v>
      </c>
      <c r="M1588" s="14" t="n">
        <v>7.2913</v>
      </c>
      <c r="N1588" s="14" t="n">
        <v>6.3518</v>
      </c>
      <c r="O1588" s="14" t="n">
        <v>130.98</v>
      </c>
      <c r="P1588" s="14" t="n">
        <v>8.6655</v>
      </c>
    </row>
    <row r="1589" customFormat="false" ht="15" hidden="false" customHeight="false" outlineLevel="0" collapsed="false">
      <c r="A1589" s="13" t="n">
        <v>44575</v>
      </c>
      <c r="B1589" s="14" t="n">
        <v>1186.96</v>
      </c>
      <c r="C1589" s="14" t="n">
        <v>8.7529</v>
      </c>
      <c r="D1589" s="14" t="n">
        <v>1.367</v>
      </c>
      <c r="E1589" s="14" t="n">
        <v>1.1414</v>
      </c>
      <c r="F1589" s="14" t="n">
        <v>6.3524</v>
      </c>
      <c r="G1589" s="14" t="n">
        <v>5.5393</v>
      </c>
      <c r="H1589" s="14" t="n">
        <v>113.89</v>
      </c>
      <c r="I1589" s="14" t="n">
        <v>1.1447</v>
      </c>
      <c r="J1589" s="14" t="n">
        <v>9.9863</v>
      </c>
      <c r="K1589" s="14" t="n">
        <v>1361.27</v>
      </c>
      <c r="L1589" s="14" t="n">
        <v>0.83508</v>
      </c>
      <c r="M1589" s="14" t="n">
        <v>7.2728</v>
      </c>
      <c r="N1589" s="14" t="n">
        <v>6.3361</v>
      </c>
      <c r="O1589" s="14" t="n">
        <v>130.17</v>
      </c>
      <c r="P1589" s="14" t="n">
        <v>8.7239</v>
      </c>
    </row>
    <row r="1590" customFormat="false" ht="15" hidden="false" customHeight="false" outlineLevel="0" collapsed="false">
      <c r="A1590" s="13" t="n">
        <v>44578</v>
      </c>
      <c r="I1590" s="14" t="n">
        <v>1.1403</v>
      </c>
      <c r="J1590" s="14" t="n">
        <v>9.9623</v>
      </c>
      <c r="K1590" s="14" t="n">
        <v>1359.89</v>
      </c>
      <c r="L1590" s="14" t="n">
        <v>0.83573</v>
      </c>
      <c r="M1590" s="14" t="n">
        <v>7.2402</v>
      </c>
      <c r="N1590" s="14" t="n">
        <v>6.2808</v>
      </c>
      <c r="O1590" s="14" t="n">
        <v>130.64</v>
      </c>
      <c r="P1590" s="14" t="n">
        <v>8.7366</v>
      </c>
    </row>
    <row r="1591" customFormat="false" ht="15" hidden="false" customHeight="false" outlineLevel="0" collapsed="false">
      <c r="A1591" s="13" t="n">
        <v>44579</v>
      </c>
      <c r="B1591" s="14" t="n">
        <v>1192.74</v>
      </c>
      <c r="C1591" s="14" t="n">
        <v>8.7982</v>
      </c>
      <c r="D1591" s="14" t="n">
        <v>1.3588</v>
      </c>
      <c r="E1591" s="14" t="n">
        <v>1.1336</v>
      </c>
      <c r="F1591" s="14" t="n">
        <v>6.3525</v>
      </c>
      <c r="G1591" s="14" t="n">
        <v>5.5329</v>
      </c>
      <c r="H1591" s="14" t="n">
        <v>114.6</v>
      </c>
      <c r="I1591" s="14" t="n">
        <v>1.1367</v>
      </c>
      <c r="J1591" s="14" t="n">
        <v>9.9638</v>
      </c>
      <c r="K1591" s="14" t="n">
        <v>1355.33</v>
      </c>
      <c r="L1591" s="14" t="n">
        <v>0.83673</v>
      </c>
      <c r="M1591" s="14" t="n">
        <v>7.2212</v>
      </c>
      <c r="N1591" s="14" t="n">
        <v>6.2797</v>
      </c>
      <c r="O1591" s="14" t="n">
        <v>130.39</v>
      </c>
      <c r="P1591" s="14" t="n">
        <v>8.7655</v>
      </c>
    </row>
    <row r="1592" customFormat="false" ht="15" hidden="false" customHeight="false" outlineLevel="0" collapsed="false">
      <c r="A1592" s="13" t="n">
        <v>44580</v>
      </c>
      <c r="B1592" s="14" t="n">
        <v>1188.51</v>
      </c>
      <c r="C1592" s="14" t="n">
        <v>8.7655</v>
      </c>
      <c r="D1592" s="14" t="n">
        <v>1.3625</v>
      </c>
      <c r="E1592" s="14" t="n">
        <v>1.1346</v>
      </c>
      <c r="F1592" s="14" t="n">
        <v>6.3447</v>
      </c>
      <c r="G1592" s="14" t="n">
        <v>5.4668</v>
      </c>
      <c r="H1592" s="14" t="n">
        <v>114.28</v>
      </c>
      <c r="I1592" s="14" t="n">
        <v>1.1345</v>
      </c>
      <c r="J1592" s="14" t="n">
        <v>9.9368</v>
      </c>
      <c r="K1592" s="14" t="n">
        <v>1347.1</v>
      </c>
      <c r="L1592" s="14" t="n">
        <v>0.83168</v>
      </c>
      <c r="M1592" s="14" t="n">
        <v>7.2003</v>
      </c>
      <c r="N1592" s="14" t="n">
        <v>6.2657</v>
      </c>
      <c r="O1592" s="14" t="n">
        <v>129.86</v>
      </c>
      <c r="P1592" s="14" t="n">
        <v>8.7587</v>
      </c>
    </row>
    <row r="1593" customFormat="false" ht="15" hidden="false" customHeight="false" outlineLevel="0" collapsed="false">
      <c r="A1593" s="13" t="n">
        <v>44581</v>
      </c>
      <c r="B1593" s="14" t="n">
        <v>1191.96</v>
      </c>
      <c r="C1593" s="14" t="n">
        <v>8.757</v>
      </c>
      <c r="D1593" s="14" t="n">
        <v>1.3642</v>
      </c>
      <c r="E1593" s="14" t="n">
        <v>1.1336</v>
      </c>
      <c r="F1593" s="14" t="n">
        <v>6.3406</v>
      </c>
      <c r="G1593" s="14" t="n">
        <v>5.4052</v>
      </c>
      <c r="H1593" s="14" t="n">
        <v>114.08</v>
      </c>
      <c r="I1593" s="14" t="n">
        <v>1.1338</v>
      </c>
      <c r="J1593" s="14" t="n">
        <v>9.9578</v>
      </c>
      <c r="K1593" s="14" t="n">
        <v>1349.16</v>
      </c>
      <c r="L1593" s="14" t="n">
        <v>0.83265</v>
      </c>
      <c r="M1593" s="14" t="n">
        <v>7.1936</v>
      </c>
      <c r="N1593" s="14" t="n">
        <v>6.1621</v>
      </c>
      <c r="O1593" s="14" t="n">
        <v>129.53</v>
      </c>
      <c r="P1593" s="14" t="n">
        <v>8.7827</v>
      </c>
    </row>
    <row r="1594" customFormat="false" ht="15" hidden="false" customHeight="false" outlineLevel="0" collapsed="false">
      <c r="A1594" s="13" t="n">
        <v>44582</v>
      </c>
      <c r="B1594" s="14" t="n">
        <v>1193.87</v>
      </c>
      <c r="C1594" s="14" t="n">
        <v>8.8856</v>
      </c>
      <c r="D1594" s="14" t="n">
        <v>1.3562</v>
      </c>
      <c r="E1594" s="14" t="n">
        <v>1.1346</v>
      </c>
      <c r="F1594" s="14" t="n">
        <v>6.3385</v>
      </c>
      <c r="G1594" s="14" t="n">
        <v>5.4225</v>
      </c>
      <c r="H1594" s="14" t="n">
        <v>113.72</v>
      </c>
      <c r="I1594" s="14" t="n">
        <v>1.1348</v>
      </c>
      <c r="J1594" s="14" t="n">
        <v>10.0523</v>
      </c>
      <c r="K1594" s="14" t="n">
        <v>1351.89</v>
      </c>
      <c r="L1594" s="14" t="n">
        <v>0.83633</v>
      </c>
      <c r="M1594" s="14" t="n">
        <v>7.1946</v>
      </c>
      <c r="N1594" s="14" t="n">
        <v>6.2063</v>
      </c>
      <c r="O1594" s="14" t="n">
        <v>129.14</v>
      </c>
      <c r="P1594" s="14" t="n">
        <v>8.8582</v>
      </c>
    </row>
    <row r="1595" customFormat="false" ht="15" hidden="false" customHeight="false" outlineLevel="0" collapsed="false">
      <c r="A1595" s="13" t="n">
        <v>44585</v>
      </c>
      <c r="B1595" s="14" t="n">
        <v>1195.68</v>
      </c>
      <c r="C1595" s="14" t="n">
        <v>9.0348</v>
      </c>
      <c r="D1595" s="14" t="n">
        <v>1.3447</v>
      </c>
      <c r="E1595" s="14" t="n">
        <v>1.131</v>
      </c>
      <c r="F1595" s="14" t="n">
        <v>6.3304</v>
      </c>
      <c r="G1595" s="14" t="n">
        <v>5.5116</v>
      </c>
      <c r="H1595" s="14" t="n">
        <v>113.82</v>
      </c>
      <c r="I1595" s="14" t="n">
        <v>1.1304</v>
      </c>
      <c r="J1595" s="14" t="n">
        <v>10.1638</v>
      </c>
      <c r="K1595" s="14" t="n">
        <v>1352.41</v>
      </c>
      <c r="L1595" s="14" t="n">
        <v>0.83803</v>
      </c>
      <c r="M1595" s="14" t="n">
        <v>7.1533</v>
      </c>
      <c r="N1595" s="14" t="n">
        <v>6.1901</v>
      </c>
      <c r="O1595" s="14" t="n">
        <v>128.62</v>
      </c>
      <c r="P1595" s="14" t="n">
        <v>8.9913</v>
      </c>
    </row>
    <row r="1596" customFormat="false" ht="15" hidden="false" customHeight="false" outlineLevel="0" collapsed="false">
      <c r="A1596" s="13" t="n">
        <v>44586</v>
      </c>
      <c r="B1596" s="14" t="n">
        <v>1198.66</v>
      </c>
      <c r="C1596" s="14" t="n">
        <v>8.9646</v>
      </c>
      <c r="D1596" s="14" t="n">
        <v>1.3495</v>
      </c>
      <c r="E1596" s="14" t="n">
        <v>1.1283</v>
      </c>
      <c r="F1596" s="14" t="n">
        <v>6.3257</v>
      </c>
      <c r="G1596" s="14" t="n">
        <v>5.4818</v>
      </c>
      <c r="H1596" s="14" t="n">
        <v>113.88</v>
      </c>
      <c r="I1596" s="14" t="n">
        <v>1.1268</v>
      </c>
      <c r="J1596" s="14" t="n">
        <v>10.1385</v>
      </c>
      <c r="K1596" s="14" t="n">
        <v>1350.71</v>
      </c>
      <c r="L1596" s="14" t="n">
        <v>0.83713</v>
      </c>
      <c r="M1596" s="14" t="n">
        <v>7.1325</v>
      </c>
      <c r="N1596" s="14" t="n">
        <v>6.2049</v>
      </c>
      <c r="O1596" s="14" t="n">
        <v>128.49</v>
      </c>
      <c r="P1596" s="14" t="n">
        <v>8.9976</v>
      </c>
    </row>
    <row r="1597" customFormat="false" ht="15" hidden="false" customHeight="false" outlineLevel="0" collapsed="false">
      <c r="A1597" s="13" t="n">
        <v>44587</v>
      </c>
      <c r="B1597" s="14" t="n">
        <v>1197.46</v>
      </c>
      <c r="C1597" s="14" t="n">
        <v>8.8822</v>
      </c>
      <c r="D1597" s="14" t="n">
        <v>1.3516</v>
      </c>
      <c r="E1597" s="14" t="n">
        <v>1.1279</v>
      </c>
      <c r="F1597" s="14" t="n">
        <v>6.3206</v>
      </c>
      <c r="G1597" s="14" t="n">
        <v>5.4366</v>
      </c>
      <c r="H1597" s="14" t="n">
        <v>114.33</v>
      </c>
      <c r="I1597" s="14" t="n">
        <v>1.1277</v>
      </c>
      <c r="J1597" s="14" t="n">
        <v>10.0115</v>
      </c>
      <c r="K1597" s="14" t="n">
        <v>1350.03</v>
      </c>
      <c r="L1597" s="14" t="n">
        <v>0.83458</v>
      </c>
      <c r="M1597" s="14" t="n">
        <v>7.1293</v>
      </c>
      <c r="N1597" s="14" t="n">
        <v>6.1084</v>
      </c>
      <c r="O1597" s="14" t="n">
        <v>128.86</v>
      </c>
      <c r="P1597" s="14" t="n">
        <v>8.8778</v>
      </c>
    </row>
    <row r="1598" customFormat="false" ht="15" hidden="false" customHeight="false" outlineLevel="0" collapsed="false">
      <c r="A1598" s="13" t="n">
        <v>44588</v>
      </c>
      <c r="B1598" s="14" t="n">
        <v>1202.65</v>
      </c>
      <c r="C1598" s="14" t="n">
        <v>8.9573</v>
      </c>
      <c r="D1598" s="14" t="n">
        <v>1.3385</v>
      </c>
      <c r="E1598" s="14" t="n">
        <v>1.1141</v>
      </c>
      <c r="F1598" s="14" t="n">
        <v>6.3677</v>
      </c>
      <c r="G1598" s="14" t="n">
        <v>5.4252</v>
      </c>
      <c r="H1598" s="14" t="n">
        <v>115.47</v>
      </c>
      <c r="I1598" s="14" t="n">
        <v>1.116</v>
      </c>
      <c r="J1598" s="14" t="n">
        <v>9.9903</v>
      </c>
      <c r="K1598" s="14" t="n">
        <v>1344.5</v>
      </c>
      <c r="L1598" s="14" t="n">
        <v>0.83368</v>
      </c>
      <c r="M1598" s="14" t="n">
        <v>7.1061</v>
      </c>
      <c r="N1598" s="14" t="n">
        <v>6.0159</v>
      </c>
      <c r="O1598" s="14" t="n">
        <v>128.74</v>
      </c>
      <c r="P1598" s="14" t="n">
        <v>8.9519</v>
      </c>
    </row>
    <row r="1599" customFormat="false" ht="15" hidden="false" customHeight="false" outlineLevel="0" collapsed="false">
      <c r="A1599" s="13" t="n">
        <v>44589</v>
      </c>
      <c r="B1599" s="14" t="n">
        <v>1209.04</v>
      </c>
      <c r="C1599" s="14" t="n">
        <v>8.9795</v>
      </c>
      <c r="D1599" s="14" t="n">
        <v>1.3417</v>
      </c>
      <c r="E1599" s="14" t="n">
        <v>1.116</v>
      </c>
      <c r="F1599" s="14" t="n">
        <v>6.3605</v>
      </c>
      <c r="G1599" s="14" t="n">
        <v>5.3943</v>
      </c>
      <c r="H1599" s="14" t="n">
        <v>115.21</v>
      </c>
      <c r="I1599" s="14" t="n">
        <v>1.1138</v>
      </c>
      <c r="J1599" s="14" t="n">
        <v>10.026</v>
      </c>
      <c r="K1599" s="14" t="n">
        <v>1349.47</v>
      </c>
      <c r="L1599" s="14" t="n">
        <v>0.83178</v>
      </c>
      <c r="M1599" s="14" t="n">
        <v>7.0857</v>
      </c>
      <c r="N1599" s="14" t="n">
        <v>6.0147</v>
      </c>
      <c r="O1599" s="14" t="n">
        <v>128.68</v>
      </c>
      <c r="P1599" s="14" t="n">
        <v>9.0016</v>
      </c>
    </row>
    <row r="1600" customFormat="false" ht="15" hidden="false" customHeight="false" outlineLevel="0" collapsed="false">
      <c r="A1600" s="13" t="n">
        <v>44592</v>
      </c>
      <c r="B1600" s="14" t="n">
        <v>1206.78</v>
      </c>
      <c r="C1600" s="14" t="n">
        <v>8.9067</v>
      </c>
      <c r="D1600" s="14" t="n">
        <v>1.3439</v>
      </c>
      <c r="E1600" s="14" t="n">
        <v>1.1212</v>
      </c>
      <c r="F1600" s="14" t="n">
        <v>6.361</v>
      </c>
      <c r="G1600" s="14" t="n">
        <v>5.2893</v>
      </c>
      <c r="H1600" s="14" t="n">
        <v>115.22</v>
      </c>
      <c r="I1600" s="14" t="n">
        <v>1.1156</v>
      </c>
      <c r="J1600" s="14" t="n">
        <v>10.0085</v>
      </c>
      <c r="K1600" s="14" t="n">
        <v>1349.08</v>
      </c>
      <c r="L1600" s="14" t="n">
        <v>0.83153</v>
      </c>
      <c r="M1600" s="14" t="n">
        <v>7.0963</v>
      </c>
      <c r="N1600" s="14" t="n">
        <v>6.003</v>
      </c>
      <c r="O1600" s="14" t="n">
        <v>128.79</v>
      </c>
      <c r="P1600" s="14" t="n">
        <v>8.9714</v>
      </c>
    </row>
    <row r="1601" customFormat="false" ht="15" hidden="false" customHeight="false" outlineLevel="0" collapsed="false">
      <c r="A1601" s="13" t="n">
        <v>44593</v>
      </c>
      <c r="B1601" s="14" t="n">
        <v>1209.44</v>
      </c>
      <c r="C1601" s="14" t="n">
        <v>8.9075</v>
      </c>
      <c r="D1601" s="14" t="n">
        <v>1.3505</v>
      </c>
      <c r="E1601" s="14" t="n">
        <v>1.1239</v>
      </c>
      <c r="F1601" s="14" t="n">
        <v>6.361</v>
      </c>
      <c r="G1601" s="14" t="n">
        <v>5.2812</v>
      </c>
      <c r="H1601" s="14" t="n">
        <v>114.77</v>
      </c>
      <c r="I1601" s="14" t="n">
        <v>1.126</v>
      </c>
      <c r="J1601" s="14" t="n">
        <v>9.9638</v>
      </c>
      <c r="K1601" s="14" t="n">
        <v>1353.61</v>
      </c>
      <c r="L1601" s="14" t="n">
        <v>0.83498</v>
      </c>
      <c r="M1601" s="14" t="n">
        <v>7.1625</v>
      </c>
      <c r="N1601" s="14" t="n">
        <v>5.9572</v>
      </c>
      <c r="O1601" s="14" t="n">
        <v>129.12</v>
      </c>
      <c r="P1601" s="14" t="n">
        <v>8.8488</v>
      </c>
    </row>
    <row r="1602" customFormat="false" ht="15" hidden="false" customHeight="false" outlineLevel="0" collapsed="false">
      <c r="A1602" s="13" t="n">
        <v>44594</v>
      </c>
      <c r="B1602" s="14" t="n">
        <v>1201.7</v>
      </c>
      <c r="C1602" s="14" t="n">
        <v>8.8579</v>
      </c>
      <c r="D1602" s="14" t="n">
        <v>1.3565</v>
      </c>
      <c r="E1602" s="14" t="n">
        <v>1.1299</v>
      </c>
      <c r="F1602" s="14" t="n">
        <v>6.361</v>
      </c>
      <c r="G1602" s="14" t="n">
        <v>5.2787</v>
      </c>
      <c r="H1602" s="14" t="n">
        <v>114.36</v>
      </c>
      <c r="I1602" s="14" t="n">
        <v>1.1323</v>
      </c>
      <c r="J1602" s="14" t="n">
        <v>9.9228</v>
      </c>
      <c r="K1602" s="14" t="n">
        <v>1359.23</v>
      </c>
      <c r="L1602" s="14" t="n">
        <v>0.83395</v>
      </c>
      <c r="M1602" s="14" t="n">
        <v>7.2026</v>
      </c>
      <c r="N1602" s="14" t="n">
        <v>5.9677</v>
      </c>
      <c r="O1602" s="14" t="n">
        <v>129.37</v>
      </c>
      <c r="P1602" s="14" t="n">
        <v>8.7634</v>
      </c>
    </row>
    <row r="1603" customFormat="false" ht="15" hidden="false" customHeight="false" outlineLevel="0" collapsed="false">
      <c r="A1603" s="13" t="n">
        <v>44595</v>
      </c>
      <c r="B1603" s="14" t="n">
        <v>1206.35</v>
      </c>
      <c r="C1603" s="14" t="n">
        <v>8.7388</v>
      </c>
      <c r="D1603" s="14" t="n">
        <v>1.3602</v>
      </c>
      <c r="E1603" s="14" t="n">
        <v>1.1425</v>
      </c>
      <c r="F1603" s="14" t="n">
        <v>6.361</v>
      </c>
      <c r="G1603" s="14" t="n">
        <v>5.3047</v>
      </c>
      <c r="H1603" s="14" t="n">
        <v>114.88</v>
      </c>
      <c r="I1603" s="14" t="n">
        <v>1.1286</v>
      </c>
      <c r="J1603" s="14" t="n">
        <v>9.9545</v>
      </c>
      <c r="K1603" s="14" t="n">
        <v>1358.42</v>
      </c>
      <c r="L1603" s="14" t="n">
        <v>0.83208</v>
      </c>
      <c r="M1603" s="14" t="n">
        <v>7.1795</v>
      </c>
      <c r="N1603" s="14" t="n">
        <v>5.9843</v>
      </c>
      <c r="O1603" s="14" t="n">
        <v>129.63</v>
      </c>
      <c r="P1603" s="14" t="n">
        <v>8.8202</v>
      </c>
    </row>
    <row r="1604" customFormat="false" ht="15" hidden="false" customHeight="false" outlineLevel="0" collapsed="false">
      <c r="A1604" s="13" t="n">
        <v>44596</v>
      </c>
      <c r="B1604" s="14" t="n">
        <v>1199.43</v>
      </c>
      <c r="C1604" s="14" t="n">
        <v>8.7766</v>
      </c>
      <c r="D1604" s="14" t="n">
        <v>1.3543</v>
      </c>
      <c r="E1604" s="14" t="n">
        <v>1.1455</v>
      </c>
      <c r="F1604" s="14" t="n">
        <v>6.361</v>
      </c>
      <c r="G1604" s="14" t="n">
        <v>5.3266</v>
      </c>
      <c r="H1604" s="14" t="n">
        <v>115.22</v>
      </c>
      <c r="I1604" s="14" t="n">
        <v>1.1464</v>
      </c>
      <c r="J1604" s="14" t="n">
        <v>10.0483</v>
      </c>
      <c r="K1604" s="14" t="n">
        <v>1374.04</v>
      </c>
      <c r="L1604" s="14" t="n">
        <v>0.84593</v>
      </c>
      <c r="M1604" s="14" t="n">
        <v>7.2923</v>
      </c>
      <c r="N1604" s="14" t="n">
        <v>6.083</v>
      </c>
      <c r="O1604" s="14" t="n">
        <v>131.72</v>
      </c>
      <c r="P1604" s="14" t="n">
        <v>8.7651</v>
      </c>
    </row>
    <row r="1605" customFormat="false" ht="15" hidden="false" customHeight="false" outlineLevel="0" collapsed="false">
      <c r="A1605" s="13" t="n">
        <v>44599</v>
      </c>
      <c r="B1605" s="14" t="n">
        <v>1198.64</v>
      </c>
      <c r="C1605" s="14" t="n">
        <v>8.7971</v>
      </c>
      <c r="D1605" s="14" t="n">
        <v>1.3533</v>
      </c>
      <c r="E1605" s="14" t="n">
        <v>1.1434</v>
      </c>
      <c r="F1605" s="14" t="n">
        <v>6.361</v>
      </c>
      <c r="G1605" s="14" t="n">
        <v>5.2922</v>
      </c>
      <c r="H1605" s="14" t="n">
        <v>115.09</v>
      </c>
      <c r="I1605" s="14" t="n">
        <v>1.1447</v>
      </c>
      <c r="J1605" s="14" t="n">
        <v>10.0658</v>
      </c>
      <c r="K1605" s="14" t="n">
        <v>1371.76</v>
      </c>
      <c r="L1605" s="14" t="n">
        <v>0.84685</v>
      </c>
      <c r="M1605" s="14" t="n">
        <v>7.2807</v>
      </c>
      <c r="N1605" s="14" t="n">
        <v>6.0541</v>
      </c>
      <c r="O1605" s="14" t="n">
        <v>131.59</v>
      </c>
      <c r="P1605" s="14" t="n">
        <v>8.7934</v>
      </c>
    </row>
    <row r="1606" customFormat="false" ht="15" hidden="false" customHeight="false" outlineLevel="0" collapsed="false">
      <c r="A1606" s="13" t="n">
        <v>44600</v>
      </c>
      <c r="B1606" s="14" t="n">
        <v>1198.05</v>
      </c>
      <c r="C1606" s="14" t="n">
        <v>8.8224</v>
      </c>
      <c r="D1606" s="14" t="n">
        <v>1.3552</v>
      </c>
      <c r="E1606" s="14" t="n">
        <v>1.1416</v>
      </c>
      <c r="F1606" s="14" t="n">
        <v>6.366</v>
      </c>
      <c r="G1606" s="14" t="n">
        <v>5.2712</v>
      </c>
      <c r="H1606" s="14" t="n">
        <v>115.62</v>
      </c>
      <c r="I1606" s="14" t="n">
        <v>1.1408</v>
      </c>
      <c r="J1606" s="14" t="n">
        <v>10.0758</v>
      </c>
      <c r="K1606" s="14" t="n">
        <v>1367.88</v>
      </c>
      <c r="L1606" s="14" t="n">
        <v>0.84363</v>
      </c>
      <c r="M1606" s="14" t="n">
        <v>7.2636</v>
      </c>
      <c r="N1606" s="14" t="n">
        <v>6.0209</v>
      </c>
      <c r="O1606" s="14" t="n">
        <v>131.68</v>
      </c>
      <c r="P1606" s="14" t="n">
        <v>8.8322</v>
      </c>
    </row>
    <row r="1607" customFormat="false" ht="15" hidden="false" customHeight="false" outlineLevel="0" collapsed="false">
      <c r="A1607" s="13" t="n">
        <v>44601</v>
      </c>
      <c r="B1607" s="14" t="n">
        <v>1196.36</v>
      </c>
      <c r="C1607" s="14" t="n">
        <v>8.807</v>
      </c>
      <c r="D1607" s="14" t="n">
        <v>1.354</v>
      </c>
      <c r="E1607" s="14" t="n">
        <v>1.1435</v>
      </c>
      <c r="F1607" s="14" t="n">
        <v>6.3619</v>
      </c>
      <c r="G1607" s="14" t="n">
        <v>5.2641</v>
      </c>
      <c r="H1607" s="14" t="n">
        <v>115.44</v>
      </c>
      <c r="I1607" s="14" t="n">
        <v>1.1435</v>
      </c>
      <c r="J1607" s="14" t="n">
        <v>10.0585</v>
      </c>
      <c r="K1607" s="14" t="n">
        <v>1365.72</v>
      </c>
      <c r="L1607" s="14" t="n">
        <v>0.84255</v>
      </c>
      <c r="M1607" s="14" t="n">
        <v>7.2759</v>
      </c>
      <c r="N1607" s="14" t="n">
        <v>6.0198</v>
      </c>
      <c r="O1607" s="14" t="n">
        <v>132.04</v>
      </c>
      <c r="P1607" s="14" t="n">
        <v>8.7962</v>
      </c>
    </row>
    <row r="1608" customFormat="false" ht="15" hidden="false" customHeight="false" outlineLevel="0" collapsed="false">
      <c r="A1608" s="13" t="n">
        <v>44602</v>
      </c>
      <c r="B1608" s="14" t="n">
        <v>1196.31</v>
      </c>
      <c r="C1608" s="14" t="n">
        <v>8.7407</v>
      </c>
      <c r="D1608" s="14" t="n">
        <v>1.3636</v>
      </c>
      <c r="E1608" s="14" t="n">
        <v>1.1487</v>
      </c>
      <c r="F1608" s="14" t="n">
        <v>6.3526</v>
      </c>
      <c r="G1608" s="14" t="n">
        <v>5.1978</v>
      </c>
      <c r="H1608" s="14" t="n">
        <v>115.84</v>
      </c>
      <c r="I1608" s="14" t="n">
        <v>1.1439</v>
      </c>
      <c r="J1608" s="14" t="n">
        <v>10.0693</v>
      </c>
      <c r="K1608" s="14" t="n">
        <v>1367.52</v>
      </c>
      <c r="L1608" s="14" t="n">
        <v>0.84248</v>
      </c>
      <c r="M1608" s="14" t="n">
        <v>7.2722</v>
      </c>
      <c r="N1608" s="14" t="n">
        <v>5.9668</v>
      </c>
      <c r="O1608" s="14" t="n">
        <v>132.42</v>
      </c>
      <c r="P1608" s="14" t="n">
        <v>8.8026</v>
      </c>
    </row>
    <row r="1609" customFormat="false" ht="15" hidden="false" customHeight="false" outlineLevel="0" collapsed="false">
      <c r="A1609" s="13" t="n">
        <v>44603</v>
      </c>
      <c r="B1609" s="14" t="n">
        <v>1198.72</v>
      </c>
      <c r="C1609" s="14" t="n">
        <v>8.8043</v>
      </c>
      <c r="D1609" s="14" t="n">
        <v>1.3601</v>
      </c>
      <c r="E1609" s="14" t="n">
        <v>1.1404</v>
      </c>
      <c r="F1609" s="14" t="n">
        <v>6.354</v>
      </c>
      <c r="G1609" s="14" t="n">
        <v>5.2015</v>
      </c>
      <c r="H1609" s="14" t="n">
        <v>115.91</v>
      </c>
      <c r="I1609" s="14" t="n">
        <v>1.1417</v>
      </c>
      <c r="J1609" s="14" t="n">
        <v>10.0732</v>
      </c>
      <c r="K1609" s="14" t="n">
        <v>1363.68</v>
      </c>
      <c r="L1609" s="14" t="n">
        <v>0.83958</v>
      </c>
      <c r="M1609" s="14" t="n">
        <v>7.2564</v>
      </c>
      <c r="N1609" s="14" t="n">
        <v>5.9263</v>
      </c>
      <c r="O1609" s="14" t="n">
        <v>132.24</v>
      </c>
      <c r="P1609" s="14" t="n">
        <v>8.823</v>
      </c>
    </row>
    <row r="1610" customFormat="false" ht="15" hidden="false" customHeight="false" outlineLevel="0" collapsed="false">
      <c r="A1610" s="13" t="n">
        <v>44606</v>
      </c>
      <c r="B1610" s="14" t="n">
        <v>1196.21</v>
      </c>
      <c r="C1610" s="14" t="n">
        <v>8.8883</v>
      </c>
      <c r="D1610" s="14" t="n">
        <v>1.3516</v>
      </c>
      <c r="E1610" s="14" t="n">
        <v>1.1306</v>
      </c>
      <c r="F1610" s="14" t="n">
        <v>6.3567</v>
      </c>
      <c r="G1610" s="14" t="n">
        <v>5.2153</v>
      </c>
      <c r="H1610" s="14" t="n">
        <v>115.72</v>
      </c>
      <c r="I1610" s="14" t="n">
        <v>1.1316</v>
      </c>
      <c r="J1610" s="14" t="n">
        <v>10.0693</v>
      </c>
      <c r="K1610" s="14" t="n">
        <v>1354.5</v>
      </c>
      <c r="L1610" s="14" t="n">
        <v>0.8372</v>
      </c>
      <c r="M1610" s="14" t="n">
        <v>7.1937</v>
      </c>
      <c r="N1610" s="14" t="n">
        <v>5.8965</v>
      </c>
      <c r="O1610" s="14" t="n">
        <v>130.6</v>
      </c>
      <c r="P1610" s="14" t="n">
        <v>8.8983</v>
      </c>
    </row>
    <row r="1611" customFormat="false" ht="15" hidden="false" customHeight="false" outlineLevel="0" collapsed="false">
      <c r="A1611" s="13" t="n">
        <v>44607</v>
      </c>
      <c r="B1611" s="14" t="n">
        <v>1199.78</v>
      </c>
      <c r="C1611" s="14" t="n">
        <v>8.8919</v>
      </c>
      <c r="D1611" s="14" t="n">
        <v>1.3539</v>
      </c>
      <c r="E1611" s="14" t="n">
        <v>1.1363</v>
      </c>
      <c r="F1611" s="14" t="n">
        <v>6.3385</v>
      </c>
      <c r="G1611" s="14" t="n">
        <v>5.1807</v>
      </c>
      <c r="H1611" s="14" t="n">
        <v>115.64</v>
      </c>
      <c r="I1611" s="14" t="n">
        <v>1.1345</v>
      </c>
      <c r="J1611" s="14" t="n">
        <v>10.0893</v>
      </c>
      <c r="K1611" s="14" t="n">
        <v>1357.5</v>
      </c>
      <c r="L1611" s="14" t="n">
        <v>0.83765</v>
      </c>
      <c r="M1611" s="14" t="n">
        <v>7.1969</v>
      </c>
      <c r="N1611" s="14" t="n">
        <v>5.8977</v>
      </c>
      <c r="O1611" s="14" t="n">
        <v>131.18</v>
      </c>
      <c r="P1611" s="14" t="n">
        <v>8.8932</v>
      </c>
    </row>
    <row r="1612" customFormat="false" ht="15" hidden="false" customHeight="false" outlineLevel="0" collapsed="false">
      <c r="A1612" s="13" t="n">
        <v>44608</v>
      </c>
      <c r="B1612" s="14" t="n">
        <v>1197.51</v>
      </c>
      <c r="C1612" s="14" t="n">
        <v>8.8719</v>
      </c>
      <c r="D1612" s="14" t="n">
        <v>1.3585</v>
      </c>
      <c r="E1612" s="14" t="n">
        <v>1.1381</v>
      </c>
      <c r="F1612" s="14" t="n">
        <v>6.3366</v>
      </c>
      <c r="G1612" s="14" t="n">
        <v>5.1584</v>
      </c>
      <c r="H1612" s="14" t="n">
        <v>115.41</v>
      </c>
      <c r="I1612" s="14" t="n">
        <v>1.1372</v>
      </c>
      <c r="J1612" s="14" t="n">
        <v>10.1095</v>
      </c>
      <c r="K1612" s="14" t="n">
        <v>1361.31</v>
      </c>
      <c r="L1612" s="14" t="n">
        <v>0.8394</v>
      </c>
      <c r="M1612" s="14" t="n">
        <v>7.2101</v>
      </c>
      <c r="N1612" s="14" t="n">
        <v>5.8765</v>
      </c>
      <c r="O1612" s="14" t="n">
        <v>131.56</v>
      </c>
      <c r="P1612" s="14" t="n">
        <v>8.8898</v>
      </c>
    </row>
    <row r="1613" customFormat="false" ht="15" hidden="false" customHeight="false" outlineLevel="0" collapsed="false">
      <c r="A1613" s="13" t="n">
        <v>44609</v>
      </c>
      <c r="B1613" s="14" t="n">
        <v>1197.39</v>
      </c>
      <c r="C1613" s="14" t="n">
        <v>8.9161</v>
      </c>
      <c r="D1613" s="14" t="n">
        <v>1.3624</v>
      </c>
      <c r="E1613" s="14" t="n">
        <v>1.1364</v>
      </c>
      <c r="F1613" s="14" t="n">
        <v>6.3381</v>
      </c>
      <c r="G1613" s="14" t="n">
        <v>5.1599</v>
      </c>
      <c r="H1613" s="14" t="n">
        <v>115.03</v>
      </c>
      <c r="I1613" s="14" t="n">
        <v>1.137</v>
      </c>
      <c r="J1613" s="14" t="n">
        <v>10.1225</v>
      </c>
      <c r="K1613" s="14" t="n">
        <v>1360.7</v>
      </c>
      <c r="L1613" s="14" t="n">
        <v>0.83493</v>
      </c>
      <c r="M1613" s="14" t="n">
        <v>7.206</v>
      </c>
      <c r="N1613" s="14" t="n">
        <v>5.8495</v>
      </c>
      <c r="O1613" s="14" t="n">
        <v>130.84</v>
      </c>
      <c r="P1613" s="14" t="n">
        <v>8.9028</v>
      </c>
    </row>
    <row r="1614" customFormat="false" ht="15" hidden="false" customHeight="false" outlineLevel="0" collapsed="false">
      <c r="A1614" s="13" t="n">
        <v>44610</v>
      </c>
      <c r="B1614" s="14" t="n">
        <v>1195.4</v>
      </c>
      <c r="C1614" s="14" t="n">
        <v>8.9953</v>
      </c>
      <c r="D1614" s="14" t="n">
        <v>1.3585</v>
      </c>
      <c r="E1614" s="14" t="n">
        <v>1.1327</v>
      </c>
      <c r="F1614" s="14" t="n">
        <v>6.3251</v>
      </c>
      <c r="G1614" s="14" t="n">
        <v>5.1219</v>
      </c>
      <c r="H1614" s="14" t="n">
        <v>115.08</v>
      </c>
      <c r="I1614" s="14" t="n">
        <v>1.1354</v>
      </c>
      <c r="J1614" s="14" t="n">
        <v>10.1465</v>
      </c>
      <c r="K1614" s="14" t="n">
        <v>1356.45</v>
      </c>
      <c r="L1614" s="14" t="n">
        <v>0.83425</v>
      </c>
      <c r="M1614" s="14" t="n">
        <v>7.184</v>
      </c>
      <c r="N1614" s="14" t="n">
        <v>5.8435</v>
      </c>
      <c r="O1614" s="14" t="n">
        <v>130.59</v>
      </c>
      <c r="P1614" s="14" t="n">
        <v>8.9365</v>
      </c>
    </row>
    <row r="1615" customFormat="false" ht="15" hidden="false" customHeight="false" outlineLevel="0" collapsed="false">
      <c r="A1615" s="13" t="n">
        <v>44613</v>
      </c>
      <c r="I1615" s="14" t="n">
        <v>1.1338</v>
      </c>
      <c r="J1615" s="14" t="n">
        <v>10.1738</v>
      </c>
      <c r="K1615" s="14" t="n">
        <v>1353.02</v>
      </c>
      <c r="L1615" s="14" t="n">
        <v>0.83298</v>
      </c>
      <c r="M1615" s="14" t="n">
        <v>7.1831</v>
      </c>
      <c r="N1615" s="14" t="n">
        <v>5.8045</v>
      </c>
      <c r="O1615" s="14" t="n">
        <v>130.2</v>
      </c>
      <c r="P1615" s="14" t="n">
        <v>8.9732</v>
      </c>
    </row>
    <row r="1616" customFormat="false" ht="15" hidden="false" customHeight="false" outlineLevel="0" collapsed="false">
      <c r="A1616" s="13" t="n">
        <v>44614</v>
      </c>
      <c r="B1616" s="14" t="n">
        <v>1192.07</v>
      </c>
      <c r="C1616" s="14" t="n">
        <v>8.882</v>
      </c>
      <c r="D1616" s="14" t="n">
        <v>1.3597</v>
      </c>
      <c r="E1616" s="14" t="n">
        <v>1.1342</v>
      </c>
      <c r="F1616" s="14" t="n">
        <v>6.326</v>
      </c>
      <c r="G1616" s="14" t="n">
        <v>5.0611</v>
      </c>
      <c r="H1616" s="14" t="n">
        <v>114.94</v>
      </c>
      <c r="I1616" s="14" t="n">
        <v>1.1342</v>
      </c>
      <c r="J1616" s="14" t="n">
        <v>10.1018</v>
      </c>
      <c r="K1616" s="14" t="n">
        <v>1353.34</v>
      </c>
      <c r="L1616" s="14" t="n">
        <v>0.83685</v>
      </c>
      <c r="M1616" s="14" t="n">
        <v>7.1771</v>
      </c>
      <c r="N1616" s="14" t="n">
        <v>5.7677</v>
      </c>
      <c r="O1616" s="14" t="n">
        <v>130.54</v>
      </c>
      <c r="P1616" s="14" t="n">
        <v>8.9065</v>
      </c>
    </row>
    <row r="1617" customFormat="false" ht="15" hidden="false" customHeight="false" outlineLevel="0" collapsed="false">
      <c r="A1617" s="13" t="n">
        <v>44615</v>
      </c>
      <c r="B1617" s="14" t="n">
        <v>1193.42</v>
      </c>
      <c r="C1617" s="14" t="n">
        <v>8.8769</v>
      </c>
      <c r="D1617" s="14" t="n">
        <v>1.3555</v>
      </c>
      <c r="E1617" s="14" t="n">
        <v>1.1316</v>
      </c>
      <c r="F1617" s="14" t="n">
        <v>6.3134</v>
      </c>
      <c r="G1617" s="14" t="n">
        <v>5.0181</v>
      </c>
      <c r="H1617" s="14" t="n">
        <v>115.12</v>
      </c>
      <c r="I1617" s="14" t="n">
        <v>1.1344</v>
      </c>
      <c r="J1617" s="14" t="n">
        <v>10.0335</v>
      </c>
      <c r="K1617" s="14" t="n">
        <v>1350.23</v>
      </c>
      <c r="L1617" s="14" t="n">
        <v>0.83463</v>
      </c>
      <c r="M1617" s="14" t="n">
        <v>7.1669</v>
      </c>
      <c r="N1617" s="14" t="n">
        <v>5.6808</v>
      </c>
      <c r="O1617" s="14" t="n">
        <v>130.58</v>
      </c>
      <c r="P1617" s="14" t="n">
        <v>8.8448</v>
      </c>
    </row>
    <row r="1618" customFormat="false" ht="15" hidden="false" customHeight="false" outlineLevel="0" collapsed="false">
      <c r="A1618" s="13" t="n">
        <v>44616</v>
      </c>
      <c r="B1618" s="14" t="n">
        <v>1202.34</v>
      </c>
      <c r="C1618" s="14" t="n">
        <v>9.0275</v>
      </c>
      <c r="D1618" s="14" t="n">
        <v>1.336</v>
      </c>
      <c r="E1618" s="14" t="n">
        <v>1.1154</v>
      </c>
      <c r="F1618" s="14" t="n">
        <v>6.3283</v>
      </c>
      <c r="G1618" s="14" t="n">
        <v>5.1248</v>
      </c>
      <c r="H1618" s="14" t="n">
        <v>115.45</v>
      </c>
      <c r="I1618" s="14" t="n">
        <v>1.1163</v>
      </c>
      <c r="J1618" s="14" t="n">
        <v>10.0878</v>
      </c>
      <c r="K1618" s="14" t="n">
        <v>1347.7</v>
      </c>
      <c r="L1618" s="14" t="n">
        <v>0.83463</v>
      </c>
      <c r="M1618" s="14" t="n">
        <v>7.0601</v>
      </c>
      <c r="N1618" s="14" t="n">
        <v>5.6874</v>
      </c>
      <c r="O1618" s="14" t="n">
        <v>128.28</v>
      </c>
      <c r="P1618" s="14" t="n">
        <v>9.0368</v>
      </c>
    </row>
    <row r="1619" customFormat="false" ht="15" hidden="false" customHeight="false" outlineLevel="0" collapsed="false">
      <c r="A1619" s="13" t="n">
        <v>44617</v>
      </c>
      <c r="B1619" s="14" t="n">
        <v>1201.93</v>
      </c>
      <c r="C1619" s="14" t="n">
        <v>8.8556</v>
      </c>
      <c r="D1619" s="14" t="n">
        <v>1.3407</v>
      </c>
      <c r="E1619" s="14" t="n">
        <v>1.1261</v>
      </c>
      <c r="F1619" s="14" t="n">
        <v>6.3169</v>
      </c>
      <c r="G1619" s="14" t="n">
        <v>5.1515</v>
      </c>
      <c r="H1619" s="14" t="n">
        <v>115.62</v>
      </c>
      <c r="I1619" s="14" t="n">
        <v>1.1216</v>
      </c>
      <c r="J1619" s="14" t="n">
        <v>9.9756</v>
      </c>
      <c r="K1619" s="14" t="n">
        <v>1346.44</v>
      </c>
      <c r="L1619" s="14" t="n">
        <v>0.8374</v>
      </c>
      <c r="M1619" s="14" t="n">
        <v>7.0828</v>
      </c>
      <c r="N1619" s="14" t="n">
        <v>5.738</v>
      </c>
      <c r="O1619" s="14" t="n">
        <v>129.64</v>
      </c>
      <c r="P1619" s="14" t="n">
        <v>8.8941</v>
      </c>
    </row>
    <row r="1620" customFormat="false" ht="15" hidden="false" customHeight="false" outlineLevel="0" collapsed="false">
      <c r="A1620" s="13" t="n">
        <v>44620</v>
      </c>
      <c r="B1620" s="14" t="n">
        <v>1202.28</v>
      </c>
      <c r="C1620" s="14" t="n">
        <v>8.8141</v>
      </c>
      <c r="D1620" s="14" t="n">
        <v>1.3419</v>
      </c>
      <c r="E1620" s="14" t="n">
        <v>1.1224</v>
      </c>
      <c r="F1620" s="14" t="n">
        <v>6.3084</v>
      </c>
      <c r="G1620" s="14" t="n">
        <v>5.1599</v>
      </c>
      <c r="H1620" s="14" t="n">
        <v>115.11</v>
      </c>
      <c r="I1620" s="14" t="n">
        <v>1.1199</v>
      </c>
      <c r="J1620" s="14" t="n">
        <v>9.9465</v>
      </c>
      <c r="K1620" s="14" t="n">
        <v>1347.62</v>
      </c>
      <c r="L1620" s="14" t="n">
        <v>0.8355</v>
      </c>
      <c r="M1620" s="14" t="n">
        <v>7.067</v>
      </c>
      <c r="N1620" s="14" t="n">
        <v>5.7828</v>
      </c>
      <c r="O1620" s="14" t="n">
        <v>129.31</v>
      </c>
      <c r="P1620" s="14" t="n">
        <v>8.8816</v>
      </c>
    </row>
    <row r="1621" customFormat="false" ht="15" hidden="false" customHeight="false" outlineLevel="0" collapsed="false">
      <c r="A1621" s="13" t="n">
        <v>44621</v>
      </c>
      <c r="B1621" s="14" t="n">
        <v>1204.34</v>
      </c>
      <c r="C1621" s="14" t="n">
        <v>8.8827</v>
      </c>
      <c r="D1621" s="14" t="n">
        <v>1.3318</v>
      </c>
      <c r="E1621" s="14" t="n">
        <v>1.1103</v>
      </c>
      <c r="F1621" s="14" t="n">
        <v>6.3116</v>
      </c>
      <c r="G1621" s="14" t="n">
        <v>5.1595</v>
      </c>
      <c r="H1621" s="14" t="n">
        <v>114.87</v>
      </c>
      <c r="I1621" s="14" t="n">
        <v>1.1162</v>
      </c>
      <c r="J1621" s="14" t="n">
        <v>9.8598</v>
      </c>
      <c r="K1621" s="14" t="n">
        <v>1342.6</v>
      </c>
      <c r="L1621" s="14" t="n">
        <v>0.8329</v>
      </c>
      <c r="M1621" s="14" t="n">
        <v>7.0462</v>
      </c>
      <c r="N1621" s="14" t="n">
        <v>5.7598</v>
      </c>
      <c r="O1621" s="14" t="n">
        <v>128.15</v>
      </c>
      <c r="P1621" s="14" t="n">
        <v>8.8334</v>
      </c>
    </row>
    <row r="1622" customFormat="false" ht="15" hidden="false" customHeight="false" outlineLevel="0" collapsed="false">
      <c r="A1622" s="13" t="n">
        <v>44622</v>
      </c>
      <c r="B1622" s="14" t="n">
        <v>1205.58</v>
      </c>
      <c r="C1622" s="14" t="n">
        <v>8.8748</v>
      </c>
      <c r="D1622" s="14" t="n">
        <v>1.3365</v>
      </c>
      <c r="E1622" s="14" t="n">
        <v>1.1102</v>
      </c>
      <c r="F1622" s="14" t="n">
        <v>6.321</v>
      </c>
      <c r="G1622" s="14" t="n">
        <v>5.1511</v>
      </c>
      <c r="H1622" s="14" t="n">
        <v>115.59</v>
      </c>
      <c r="I1622" s="14" t="n">
        <v>1.1106</v>
      </c>
      <c r="J1622" s="14" t="n">
        <v>9.8826</v>
      </c>
      <c r="K1622" s="14" t="n">
        <v>1338.99</v>
      </c>
      <c r="L1622" s="14" t="n">
        <v>0.83316</v>
      </c>
      <c r="M1622" s="14" t="n">
        <v>7.0153</v>
      </c>
      <c r="N1622" s="14" t="n">
        <v>5.7313</v>
      </c>
      <c r="O1622" s="14" t="n">
        <v>128.08</v>
      </c>
      <c r="P1622" s="14" t="n">
        <v>8.8984</v>
      </c>
    </row>
    <row r="1623" customFormat="false" ht="15" hidden="false" customHeight="false" outlineLevel="0" collapsed="false">
      <c r="A1623" s="13" t="n">
        <v>44623</v>
      </c>
      <c r="B1623" s="14" t="n">
        <v>1204.35</v>
      </c>
      <c r="C1623" s="14" t="n">
        <v>8.9216</v>
      </c>
      <c r="D1623" s="14" t="n">
        <v>1.3326</v>
      </c>
      <c r="E1623" s="14" t="n">
        <v>1.1053</v>
      </c>
      <c r="F1623" s="14" t="n">
        <v>6.3195</v>
      </c>
      <c r="G1623" s="14" t="n">
        <v>5.0551</v>
      </c>
      <c r="H1623" s="14" t="n">
        <v>115.67</v>
      </c>
      <c r="I1623" s="14" t="n">
        <v>1.1076</v>
      </c>
      <c r="J1623" s="14" t="n">
        <v>9.8418</v>
      </c>
      <c r="K1623" s="14" t="n">
        <v>1334.2</v>
      </c>
      <c r="L1623" s="14" t="n">
        <v>0.82773</v>
      </c>
      <c r="M1623" s="14" t="n">
        <v>6.9996</v>
      </c>
      <c r="N1623" s="14" t="n">
        <v>5.6041</v>
      </c>
      <c r="O1623" s="14" t="n">
        <v>128.18</v>
      </c>
      <c r="P1623" s="14" t="n">
        <v>8.8857</v>
      </c>
    </row>
    <row r="1624" customFormat="false" ht="15" hidden="false" customHeight="false" outlineLevel="0" collapsed="false">
      <c r="A1624" s="13" t="n">
        <v>44624</v>
      </c>
      <c r="B1624" s="14" t="n">
        <v>1213.71</v>
      </c>
      <c r="C1624" s="14" t="n">
        <v>8.9744</v>
      </c>
      <c r="D1624" s="14" t="n">
        <v>1.3214</v>
      </c>
      <c r="E1624" s="14" t="n">
        <v>1.0912</v>
      </c>
      <c r="F1624" s="14" t="n">
        <v>6.3188</v>
      </c>
      <c r="G1624" s="14" t="n">
        <v>5.0867</v>
      </c>
      <c r="H1624" s="14" t="n">
        <v>114.65</v>
      </c>
      <c r="I1624" s="14" t="n">
        <v>1.0929</v>
      </c>
      <c r="J1624" s="14" t="n">
        <v>9.8358</v>
      </c>
      <c r="K1624" s="14" t="n">
        <v>1332.23</v>
      </c>
      <c r="L1624" s="14" t="n">
        <v>0.82388</v>
      </c>
      <c r="M1624" s="14" t="n">
        <v>6.9065</v>
      </c>
      <c r="N1624" s="14" t="n">
        <v>5.5313</v>
      </c>
      <c r="O1624" s="14" t="n">
        <v>126.17</v>
      </c>
      <c r="P1624" s="14" t="n">
        <v>8.9997</v>
      </c>
    </row>
    <row r="1625" customFormat="false" ht="15" hidden="false" customHeight="false" outlineLevel="0" collapsed="false">
      <c r="A1625" s="13" t="n">
        <v>44627</v>
      </c>
      <c r="B1625" s="14" t="n">
        <v>1226.78</v>
      </c>
      <c r="C1625" s="14" t="n">
        <v>9.0569</v>
      </c>
      <c r="D1625" s="14" t="n">
        <v>1.3115</v>
      </c>
      <c r="E1625" s="14" t="n">
        <v>1.086</v>
      </c>
      <c r="F1625" s="14" t="n">
        <v>6.3194</v>
      </c>
      <c r="G1625" s="14" t="n">
        <v>5.0841</v>
      </c>
      <c r="H1625" s="14" t="n">
        <v>115.41</v>
      </c>
      <c r="I1625" s="14" t="n">
        <v>1.0895</v>
      </c>
      <c r="J1625" s="14" t="n">
        <v>9.8325</v>
      </c>
      <c r="K1625" s="14" t="n">
        <v>1338.45</v>
      </c>
      <c r="L1625" s="14" t="n">
        <v>0.82625</v>
      </c>
      <c r="M1625" s="14" t="n">
        <v>6.8846</v>
      </c>
      <c r="N1625" s="14" t="n">
        <v>5.5065</v>
      </c>
      <c r="O1625" s="14" t="n">
        <v>125.55</v>
      </c>
      <c r="P1625" s="14" t="n">
        <v>9.0248</v>
      </c>
    </row>
    <row r="1626" customFormat="false" ht="15" hidden="false" customHeight="false" outlineLevel="0" collapsed="false">
      <c r="A1626" s="13" t="n">
        <v>44628</v>
      </c>
      <c r="B1626" s="14" t="n">
        <v>1237.18</v>
      </c>
      <c r="C1626" s="14" t="n">
        <v>8.9813</v>
      </c>
      <c r="D1626" s="14" t="n">
        <v>1.3101</v>
      </c>
      <c r="E1626" s="14" t="n">
        <v>1.0881</v>
      </c>
      <c r="F1626" s="14" t="n">
        <v>6.3178</v>
      </c>
      <c r="G1626" s="14" t="n">
        <v>5.0874</v>
      </c>
      <c r="H1626" s="14" t="n">
        <v>115.64</v>
      </c>
      <c r="I1626" s="14" t="n">
        <v>1.0892</v>
      </c>
      <c r="J1626" s="14" t="n">
        <v>9.7925</v>
      </c>
      <c r="K1626" s="14" t="n">
        <v>1344.71</v>
      </c>
      <c r="L1626" s="14" t="n">
        <v>0.83185</v>
      </c>
      <c r="M1626" s="14" t="n">
        <v>6.8805</v>
      </c>
      <c r="N1626" s="14" t="n">
        <v>5.5346</v>
      </c>
      <c r="O1626" s="14" t="n">
        <v>126.03</v>
      </c>
      <c r="P1626" s="14" t="n">
        <v>8.9905</v>
      </c>
    </row>
    <row r="1627" customFormat="false" ht="15" hidden="false" customHeight="false" outlineLevel="0" collapsed="false">
      <c r="A1627" s="13" t="n">
        <v>44629</v>
      </c>
      <c r="B1627" s="14" t="n">
        <v>1234.01</v>
      </c>
      <c r="C1627" s="14" t="n">
        <v>8.905</v>
      </c>
      <c r="D1627" s="14" t="n">
        <v>1.316</v>
      </c>
      <c r="E1627" s="14" t="n">
        <v>1.1069</v>
      </c>
      <c r="F1627" s="14" t="n">
        <v>6.3174</v>
      </c>
      <c r="G1627" s="14" t="n">
        <v>4.9932</v>
      </c>
      <c r="H1627" s="14" t="n">
        <v>115.87</v>
      </c>
      <c r="I1627" s="14" t="n">
        <v>1.0993</v>
      </c>
      <c r="J1627" s="14" t="n">
        <v>9.798</v>
      </c>
      <c r="K1627" s="14" t="n">
        <v>1357.08</v>
      </c>
      <c r="L1627" s="14" t="n">
        <v>0.8357</v>
      </c>
      <c r="M1627" s="14" t="n">
        <v>6.9454</v>
      </c>
      <c r="N1627" s="14" t="n">
        <v>5.5201</v>
      </c>
      <c r="O1627" s="14" t="n">
        <v>127.31</v>
      </c>
      <c r="P1627" s="14" t="n">
        <v>8.9129</v>
      </c>
    </row>
    <row r="1628" customFormat="false" ht="15" hidden="false" customHeight="false" outlineLevel="0" collapsed="false">
      <c r="A1628" s="13" t="n">
        <v>44630</v>
      </c>
      <c r="B1628" s="14" t="n">
        <v>1228.21</v>
      </c>
      <c r="C1628" s="14" t="n">
        <v>8.9462</v>
      </c>
      <c r="D1628" s="14" t="n">
        <v>1.3108</v>
      </c>
      <c r="E1628" s="14" t="n">
        <v>1.1007</v>
      </c>
      <c r="F1628" s="14" t="n">
        <v>6.3212</v>
      </c>
      <c r="G1628" s="14" t="n">
        <v>5.0424</v>
      </c>
      <c r="H1628" s="14" t="n">
        <v>116.05</v>
      </c>
      <c r="I1628" s="14" t="n">
        <v>1.1084</v>
      </c>
      <c r="J1628" s="14" t="n">
        <v>9.919</v>
      </c>
      <c r="K1628" s="14" t="n">
        <v>1360.48</v>
      </c>
      <c r="L1628" s="14" t="n">
        <v>0.84175</v>
      </c>
      <c r="M1628" s="14" t="n">
        <v>7.0063</v>
      </c>
      <c r="N1628" s="14" t="n">
        <v>5.5958</v>
      </c>
      <c r="O1628" s="14" t="n">
        <v>128.54</v>
      </c>
      <c r="P1628" s="14" t="n">
        <v>8.9489</v>
      </c>
    </row>
    <row r="1629" customFormat="false" ht="15" hidden="false" customHeight="false" outlineLevel="0" collapsed="false">
      <c r="A1629" s="13" t="n">
        <v>44631</v>
      </c>
      <c r="B1629" s="14" t="n">
        <v>1231.47</v>
      </c>
      <c r="C1629" s="14" t="n">
        <v>8.9761</v>
      </c>
      <c r="D1629" s="14" t="n">
        <v>1.3063</v>
      </c>
      <c r="E1629" s="14" t="n">
        <v>1.0937</v>
      </c>
      <c r="F1629" s="14" t="n">
        <v>6.3389</v>
      </c>
      <c r="G1629" s="14" t="n">
        <v>5.0513</v>
      </c>
      <c r="H1629" s="14" t="n">
        <v>117.08</v>
      </c>
      <c r="I1629" s="14" t="n">
        <v>1.099</v>
      </c>
      <c r="J1629" s="14" t="n">
        <v>9.8033</v>
      </c>
      <c r="K1629" s="14" t="n">
        <v>1354.04</v>
      </c>
      <c r="L1629" s="14" t="n">
        <v>0.8397</v>
      </c>
      <c r="M1629" s="14" t="n">
        <v>6.9633</v>
      </c>
      <c r="N1629" s="14" t="n">
        <v>5.5077</v>
      </c>
      <c r="O1629" s="14" t="n">
        <v>128.46</v>
      </c>
      <c r="P1629" s="14" t="n">
        <v>8.9202</v>
      </c>
    </row>
    <row r="1630" customFormat="false" ht="15" hidden="false" customHeight="false" outlineLevel="0" collapsed="false">
      <c r="A1630" s="13" t="n">
        <v>44634</v>
      </c>
      <c r="B1630" s="14" t="n">
        <v>1241.46</v>
      </c>
      <c r="C1630" s="14" t="n">
        <v>9.0047</v>
      </c>
      <c r="D1630" s="14" t="n">
        <v>1.3044</v>
      </c>
      <c r="E1630" s="14" t="n">
        <v>1.0979</v>
      </c>
      <c r="F1630" s="14" t="n">
        <v>6.3645</v>
      </c>
      <c r="G1630" s="14" t="n">
        <v>5.0834</v>
      </c>
      <c r="H1630" s="14" t="n">
        <v>118</v>
      </c>
      <c r="I1630" s="14" t="n">
        <v>1.096</v>
      </c>
      <c r="J1630" s="14" t="n">
        <v>9.8588</v>
      </c>
      <c r="K1630" s="14" t="n">
        <v>1357.77</v>
      </c>
      <c r="L1630" s="14" t="n">
        <v>0.83915</v>
      </c>
      <c r="M1630" s="14" t="n">
        <v>6.9738</v>
      </c>
      <c r="N1630" s="14" t="n">
        <v>5.5286</v>
      </c>
      <c r="O1630" s="14" t="n">
        <v>129.3</v>
      </c>
      <c r="P1630" s="14" t="n">
        <v>8.9953</v>
      </c>
    </row>
    <row r="1631" customFormat="false" ht="15" hidden="false" customHeight="false" outlineLevel="0" collapsed="false">
      <c r="A1631" s="13" t="n">
        <v>44635</v>
      </c>
      <c r="B1631" s="14" t="n">
        <v>1242.65</v>
      </c>
      <c r="C1631" s="14" t="n">
        <v>9.011</v>
      </c>
      <c r="D1631" s="14" t="n">
        <v>1.3065</v>
      </c>
      <c r="E1631" s="14" t="n">
        <v>1.0974</v>
      </c>
      <c r="F1631" s="14" t="n">
        <v>6.3696</v>
      </c>
      <c r="G1631" s="14" t="n">
        <v>5.1424</v>
      </c>
      <c r="H1631" s="14" t="n">
        <v>118.19</v>
      </c>
      <c r="I1631" s="14" t="n">
        <v>1.0991</v>
      </c>
      <c r="J1631" s="14" t="n">
        <v>9.849</v>
      </c>
      <c r="K1631" s="14" t="n">
        <v>1366.05</v>
      </c>
      <c r="L1631" s="14" t="n">
        <v>0.84053</v>
      </c>
      <c r="M1631" s="14" t="n">
        <v>7.0117</v>
      </c>
      <c r="N1631" s="14" t="n">
        <v>5.6385</v>
      </c>
      <c r="O1631" s="14" t="n">
        <v>129.67</v>
      </c>
      <c r="P1631" s="14" t="n">
        <v>8.961</v>
      </c>
    </row>
    <row r="1632" customFormat="false" ht="15" hidden="false" customHeight="false" outlineLevel="0" collapsed="false">
      <c r="A1632" s="13" t="n">
        <v>44636</v>
      </c>
      <c r="B1632" s="14" t="n">
        <v>1228.04</v>
      </c>
      <c r="C1632" s="14" t="n">
        <v>8.9222</v>
      </c>
      <c r="D1632" s="14" t="n">
        <v>1.3096</v>
      </c>
      <c r="E1632" s="14" t="n">
        <v>1.0996</v>
      </c>
      <c r="F1632" s="14" t="n">
        <v>6.351</v>
      </c>
      <c r="G1632" s="14" t="n">
        <v>5.1083</v>
      </c>
      <c r="H1632" s="14" t="n">
        <v>118.48</v>
      </c>
      <c r="I1632" s="14" t="n">
        <v>1.0994</v>
      </c>
      <c r="J1632" s="14" t="n">
        <v>9.7988</v>
      </c>
      <c r="K1632" s="14" t="n">
        <v>1353.77</v>
      </c>
      <c r="L1632" s="14" t="n">
        <v>0.83988</v>
      </c>
      <c r="M1632" s="14" t="n">
        <v>6.9817</v>
      </c>
      <c r="N1632" s="14" t="n">
        <v>5.6523</v>
      </c>
      <c r="O1632" s="14" t="n">
        <v>130.05</v>
      </c>
      <c r="P1632" s="14" t="n">
        <v>8.9129</v>
      </c>
    </row>
    <row r="1633" customFormat="false" ht="15" hidden="false" customHeight="false" outlineLevel="0" collapsed="false">
      <c r="A1633" s="13" t="n">
        <v>44637</v>
      </c>
      <c r="B1633" s="14" t="n">
        <v>1214.33</v>
      </c>
      <c r="C1633" s="14" t="n">
        <v>8.7818</v>
      </c>
      <c r="D1633" s="14" t="n">
        <v>1.3159</v>
      </c>
      <c r="E1633" s="14" t="n">
        <v>1.111</v>
      </c>
      <c r="F1633" s="14" t="n">
        <v>6.3459</v>
      </c>
      <c r="G1633" s="14" t="n">
        <v>5.0427</v>
      </c>
      <c r="H1633" s="14" t="n">
        <v>118.45</v>
      </c>
      <c r="I1633" s="14" t="n">
        <v>1.1051</v>
      </c>
      <c r="J1633" s="14" t="n">
        <v>9.78</v>
      </c>
      <c r="K1633" s="14" t="n">
        <v>1340.02</v>
      </c>
      <c r="L1633" s="14" t="n">
        <v>0.84315</v>
      </c>
      <c r="M1633" s="14" t="n">
        <v>7.0176</v>
      </c>
      <c r="N1633" s="14" t="n">
        <v>5.6339</v>
      </c>
      <c r="O1633" s="14" t="n">
        <v>131.27</v>
      </c>
      <c r="P1633" s="14" t="n">
        <v>8.8499</v>
      </c>
    </row>
    <row r="1634" customFormat="false" ht="15" hidden="false" customHeight="false" outlineLevel="0" collapsed="false">
      <c r="A1634" s="13" t="n">
        <v>44638</v>
      </c>
      <c r="B1634" s="14" t="n">
        <v>1212.2</v>
      </c>
      <c r="C1634" s="14" t="n">
        <v>8.7541</v>
      </c>
      <c r="D1634" s="14" t="n">
        <v>1.3169</v>
      </c>
      <c r="E1634" s="14" t="n">
        <v>1.1044</v>
      </c>
      <c r="F1634" s="14" t="n">
        <v>6.3609</v>
      </c>
      <c r="G1634" s="14" t="n">
        <v>5.0165</v>
      </c>
      <c r="H1634" s="14" t="n">
        <v>119.17</v>
      </c>
      <c r="I1634" s="14" t="n">
        <v>1.1008</v>
      </c>
      <c r="J1634" s="14" t="n">
        <v>9.694</v>
      </c>
      <c r="K1634" s="14" t="n">
        <v>1337.31</v>
      </c>
      <c r="L1634" s="14" t="n">
        <v>0.83925</v>
      </c>
      <c r="M1634" s="14" t="n">
        <v>7.0031</v>
      </c>
      <c r="N1634" s="14" t="n">
        <v>5.5784</v>
      </c>
      <c r="O1634" s="14" t="n">
        <v>131.4</v>
      </c>
      <c r="P1634" s="14" t="n">
        <v>8.8063</v>
      </c>
    </row>
    <row r="1635" customFormat="false" ht="15" hidden="false" customHeight="false" outlineLevel="0" collapsed="false">
      <c r="A1635" s="13" t="n">
        <v>44641</v>
      </c>
      <c r="B1635" s="14" t="n">
        <v>1216.12</v>
      </c>
      <c r="C1635" s="14" t="n">
        <v>8.7232</v>
      </c>
      <c r="D1635" s="14" t="n">
        <v>1.3201</v>
      </c>
      <c r="E1635" s="14" t="n">
        <v>1.1048</v>
      </c>
      <c r="F1635" s="14" t="n">
        <v>6.3552</v>
      </c>
      <c r="G1635" s="14" t="n">
        <v>4.9477</v>
      </c>
      <c r="H1635" s="14" t="n">
        <v>119.15</v>
      </c>
      <c r="I1635" s="14" t="n">
        <v>1.1038</v>
      </c>
      <c r="J1635" s="14" t="n">
        <v>9.6575</v>
      </c>
      <c r="K1635" s="14" t="n">
        <v>1342.62</v>
      </c>
      <c r="L1635" s="14" t="n">
        <v>0.83775</v>
      </c>
      <c r="M1635" s="14" t="n">
        <v>7.0152</v>
      </c>
      <c r="N1635" s="14" t="n">
        <v>5.502</v>
      </c>
      <c r="O1635" s="14" t="n">
        <v>131.57</v>
      </c>
      <c r="P1635" s="14" t="n">
        <v>8.7493</v>
      </c>
    </row>
    <row r="1636" customFormat="false" ht="15" hidden="false" customHeight="false" outlineLevel="0" collapsed="false">
      <c r="A1636" s="13" t="n">
        <v>44642</v>
      </c>
      <c r="B1636" s="14" t="n">
        <v>1217.09</v>
      </c>
      <c r="C1636" s="14" t="n">
        <v>8.7541</v>
      </c>
      <c r="D1636" s="14" t="n">
        <v>1.3258</v>
      </c>
      <c r="E1636" s="14" t="n">
        <v>1.1022</v>
      </c>
      <c r="F1636" s="14" t="n">
        <v>6.366</v>
      </c>
      <c r="G1636" s="14" t="n">
        <v>4.9365</v>
      </c>
      <c r="H1636" s="14" t="n">
        <v>120.66</v>
      </c>
      <c r="I1636" s="14" t="n">
        <v>1.1024</v>
      </c>
      <c r="J1636" s="14" t="n">
        <v>9.6233</v>
      </c>
      <c r="K1636" s="14" t="n">
        <v>1343.81</v>
      </c>
      <c r="L1636" s="14" t="n">
        <v>0.83228</v>
      </c>
      <c r="M1636" s="14" t="n">
        <v>7.0137</v>
      </c>
      <c r="N1636" s="14" t="n">
        <v>5.4105</v>
      </c>
      <c r="O1636" s="14" t="n">
        <v>132.96</v>
      </c>
      <c r="P1636" s="14" t="n">
        <v>8.7294</v>
      </c>
    </row>
    <row r="1637" customFormat="false" ht="15" hidden="false" customHeight="false" outlineLevel="0" collapsed="false">
      <c r="A1637" s="13" t="n">
        <v>44643</v>
      </c>
      <c r="B1637" s="14" t="n">
        <v>1217.92</v>
      </c>
      <c r="C1637" s="14" t="n">
        <v>8.7087</v>
      </c>
      <c r="D1637" s="14" t="n">
        <v>1.3212</v>
      </c>
      <c r="E1637" s="14" t="n">
        <v>1.1001</v>
      </c>
      <c r="F1637" s="14" t="n">
        <v>6.372</v>
      </c>
      <c r="G1637" s="14" t="n">
        <v>4.8479</v>
      </c>
      <c r="H1637" s="14" t="n">
        <v>121.02</v>
      </c>
      <c r="I1637" s="14" t="n">
        <v>1.0985</v>
      </c>
      <c r="J1637" s="14" t="n">
        <v>9.6425</v>
      </c>
      <c r="K1637" s="14" t="n">
        <v>1337.76</v>
      </c>
      <c r="L1637" s="14" t="n">
        <v>0.8328</v>
      </c>
      <c r="M1637" s="14" t="n">
        <v>7.0003</v>
      </c>
      <c r="N1637" s="14" t="n">
        <v>5.3903</v>
      </c>
      <c r="O1637" s="14" t="n">
        <v>132.65</v>
      </c>
      <c r="P1637" s="14" t="n">
        <v>8.7779</v>
      </c>
    </row>
    <row r="1638" customFormat="false" ht="15" hidden="false" customHeight="false" outlineLevel="0" collapsed="false">
      <c r="A1638" s="13" t="n">
        <v>44644</v>
      </c>
      <c r="B1638" s="14" t="n">
        <v>1220.45</v>
      </c>
      <c r="C1638" s="14" t="n">
        <v>8.6557</v>
      </c>
      <c r="D1638" s="14" t="n">
        <v>1.3183</v>
      </c>
      <c r="E1638" s="14" t="n">
        <v>1.1006</v>
      </c>
      <c r="F1638" s="14" t="n">
        <v>6.367</v>
      </c>
      <c r="G1638" s="14" t="n">
        <v>4.8202</v>
      </c>
      <c r="H1638" s="14" t="n">
        <v>122.08</v>
      </c>
      <c r="I1638" s="14" t="n">
        <v>1.0978</v>
      </c>
      <c r="J1638" s="14" t="n">
        <v>9.4923</v>
      </c>
      <c r="K1638" s="14" t="n">
        <v>1342.53</v>
      </c>
      <c r="L1638" s="14" t="n">
        <v>0.83288</v>
      </c>
      <c r="M1638" s="14" t="n">
        <v>6.9933</v>
      </c>
      <c r="N1638" s="14" t="n">
        <v>5.3057</v>
      </c>
      <c r="O1638" s="14" t="n">
        <v>133.71</v>
      </c>
      <c r="P1638" s="14" t="n">
        <v>8.6467</v>
      </c>
    </row>
    <row r="1639" customFormat="false" ht="15" hidden="false" customHeight="false" outlineLevel="0" collapsed="false">
      <c r="A1639" s="13" t="n">
        <v>44645</v>
      </c>
      <c r="B1639" s="14" t="n">
        <v>1218.77</v>
      </c>
      <c r="C1639" s="14" t="n">
        <v>8.633</v>
      </c>
      <c r="D1639" s="14" t="n">
        <v>1.3193</v>
      </c>
      <c r="E1639" s="14" t="n">
        <v>1.0985</v>
      </c>
      <c r="F1639" s="14" t="n">
        <v>6.3658</v>
      </c>
      <c r="G1639" s="14" t="n">
        <v>4.7577</v>
      </c>
      <c r="H1639" s="14" t="n">
        <v>121.98</v>
      </c>
      <c r="I1639" s="14" t="n">
        <v>1.1002</v>
      </c>
      <c r="J1639" s="14" t="n">
        <v>9.5205</v>
      </c>
      <c r="K1639" s="14" t="n">
        <v>1343.32</v>
      </c>
      <c r="L1639" s="14" t="n">
        <v>0.8338</v>
      </c>
      <c r="M1639" s="14" t="n">
        <v>7.0007</v>
      </c>
      <c r="N1639" s="14" t="n">
        <v>5.2634</v>
      </c>
      <c r="O1639" s="14" t="n">
        <v>134.07</v>
      </c>
      <c r="P1639" s="14" t="n">
        <v>8.6534</v>
      </c>
    </row>
    <row r="1640" customFormat="false" ht="15" hidden="false" customHeight="false" outlineLevel="0" collapsed="false">
      <c r="A1640" s="13" t="n">
        <v>44648</v>
      </c>
      <c r="B1640" s="14" t="n">
        <v>1225.46</v>
      </c>
      <c r="C1640" s="14" t="n">
        <v>8.7247</v>
      </c>
      <c r="D1640" s="14" t="n">
        <v>1.3091</v>
      </c>
      <c r="E1640" s="14" t="n">
        <v>1.0977</v>
      </c>
      <c r="F1640" s="14" t="n">
        <v>6.3714</v>
      </c>
      <c r="G1640" s="14" t="n">
        <v>4.7917</v>
      </c>
      <c r="H1640" s="14" t="n">
        <v>123.25</v>
      </c>
      <c r="I1640" s="14" t="n">
        <v>1.0966</v>
      </c>
      <c r="J1640" s="14" t="n">
        <v>9.5123</v>
      </c>
      <c r="K1640" s="14" t="n">
        <v>1342.49</v>
      </c>
      <c r="L1640" s="14" t="n">
        <v>0.83643</v>
      </c>
      <c r="M1640" s="14" t="n">
        <v>6.9862</v>
      </c>
      <c r="N1640" s="14" t="n">
        <v>5.2133</v>
      </c>
      <c r="O1640" s="14" t="n">
        <v>135.93</v>
      </c>
      <c r="P1640" s="14" t="n">
        <v>8.6744</v>
      </c>
    </row>
    <row r="1641" customFormat="false" ht="15" hidden="false" customHeight="false" outlineLevel="0" collapsed="false">
      <c r="A1641" s="13" t="n">
        <v>44649</v>
      </c>
      <c r="B1641" s="14" t="n">
        <v>1219.21</v>
      </c>
      <c r="C1641" s="14" t="n">
        <v>8.6547</v>
      </c>
      <c r="D1641" s="14" t="n">
        <v>1.3125</v>
      </c>
      <c r="E1641" s="14" t="n">
        <v>1.1104</v>
      </c>
      <c r="F1641" s="14" t="n">
        <v>6.3635</v>
      </c>
      <c r="G1641" s="14" t="n">
        <v>4.7554</v>
      </c>
      <c r="H1641" s="14" t="n">
        <v>122.61</v>
      </c>
      <c r="I1641" s="14" t="n">
        <v>1.1085</v>
      </c>
      <c r="J1641" s="14" t="n">
        <v>9.5995</v>
      </c>
      <c r="K1641" s="14" t="n">
        <v>1345.62</v>
      </c>
      <c r="L1641" s="14" t="n">
        <v>0.8444</v>
      </c>
      <c r="M1641" s="14" t="n">
        <v>7.055</v>
      </c>
      <c r="N1641" s="14" t="n">
        <v>5.2434</v>
      </c>
      <c r="O1641" s="14" t="n">
        <v>136.66</v>
      </c>
      <c r="P1641" s="14" t="n">
        <v>8.6599</v>
      </c>
    </row>
    <row r="1642" customFormat="false" ht="15" hidden="false" customHeight="false" outlineLevel="0" collapsed="false">
      <c r="A1642" s="13" t="n">
        <v>44650</v>
      </c>
      <c r="B1642" s="14" t="n">
        <v>1208.46</v>
      </c>
      <c r="C1642" s="14" t="n">
        <v>8.5756</v>
      </c>
      <c r="D1642" s="14" t="n">
        <v>1.3149</v>
      </c>
      <c r="E1642" s="14" t="n">
        <v>1.1163</v>
      </c>
      <c r="F1642" s="14" t="n">
        <v>6.347</v>
      </c>
      <c r="G1642" s="14" t="n">
        <v>4.7695</v>
      </c>
      <c r="H1642" s="14" t="n">
        <v>121.97</v>
      </c>
      <c r="I1642" s="14" t="n">
        <v>1.1126</v>
      </c>
      <c r="J1642" s="14" t="n">
        <v>9.6398</v>
      </c>
      <c r="K1642" s="14" t="n">
        <v>1346.97</v>
      </c>
      <c r="L1642" s="14" t="n">
        <v>0.84563</v>
      </c>
      <c r="M1642" s="14" t="n">
        <v>7.0666</v>
      </c>
      <c r="N1642" s="14" t="n">
        <v>5.2808</v>
      </c>
      <c r="O1642" s="14" t="n">
        <v>135.47</v>
      </c>
      <c r="P1642" s="14" t="n">
        <v>8.6642</v>
      </c>
    </row>
    <row r="1643" customFormat="false" ht="15" hidden="false" customHeight="false" outlineLevel="0" collapsed="false">
      <c r="A1643" s="13" t="n">
        <v>44651</v>
      </c>
      <c r="B1643" s="14" t="n">
        <v>1211.55</v>
      </c>
      <c r="C1643" s="14" t="n">
        <v>8.7587</v>
      </c>
      <c r="D1643" s="14" t="n">
        <v>1.3152</v>
      </c>
      <c r="E1643" s="14" t="n">
        <v>1.1093</v>
      </c>
      <c r="F1643" s="14" t="n">
        <v>6.3393</v>
      </c>
      <c r="G1643" s="14" t="n">
        <v>4.7264</v>
      </c>
      <c r="H1643" s="14" t="n">
        <v>121.44</v>
      </c>
      <c r="I1643" s="14" t="n">
        <v>1.1101</v>
      </c>
      <c r="J1643" s="14" t="n">
        <v>9.711</v>
      </c>
      <c r="K1643" s="14" t="n">
        <v>1347.37</v>
      </c>
      <c r="L1643" s="14" t="n">
        <v>0.84595</v>
      </c>
      <c r="M1643" s="14" t="n">
        <v>7.0403</v>
      </c>
      <c r="N1643" s="14" t="n">
        <v>5.3009</v>
      </c>
      <c r="O1643" s="14" t="n">
        <v>135.17</v>
      </c>
      <c r="P1643" s="14" t="n">
        <v>8.7479</v>
      </c>
    </row>
    <row r="1644" customFormat="false" ht="15" hidden="false" customHeight="false" outlineLevel="0" collapsed="false">
      <c r="A1644" s="13" t="n">
        <v>44652</v>
      </c>
      <c r="B1644" s="14" t="n">
        <v>1215.29</v>
      </c>
      <c r="C1644" s="14" t="n">
        <v>8.742</v>
      </c>
      <c r="D1644" s="14" t="n">
        <v>1.3114</v>
      </c>
      <c r="E1644" s="14" t="n">
        <v>1.1043</v>
      </c>
      <c r="F1644" s="14" t="n">
        <v>6.3625</v>
      </c>
      <c r="G1644" s="14" t="n">
        <v>4.6944</v>
      </c>
      <c r="H1644" s="14" t="n">
        <v>122.6</v>
      </c>
      <c r="I1644" s="14" t="n">
        <v>1.1052</v>
      </c>
      <c r="J1644" s="14" t="n">
        <v>9.6628</v>
      </c>
      <c r="K1644" s="14" t="n">
        <v>1345.61</v>
      </c>
      <c r="L1644" s="14" t="n">
        <v>0.84145</v>
      </c>
      <c r="M1644" s="14" t="n">
        <v>7.0311</v>
      </c>
      <c r="N1644" s="14" t="n">
        <v>5.2188</v>
      </c>
      <c r="O1644" s="14" t="n">
        <v>135.35</v>
      </c>
      <c r="P1644" s="14" t="n">
        <v>8.743</v>
      </c>
    </row>
    <row r="1645" customFormat="false" ht="15" hidden="false" customHeight="false" outlineLevel="0" collapsed="false">
      <c r="A1645" s="13" t="n">
        <v>44655</v>
      </c>
      <c r="B1645" s="14" t="n">
        <v>1214.72</v>
      </c>
      <c r="C1645" s="14" t="n">
        <v>8.7101</v>
      </c>
      <c r="D1645" s="14" t="n">
        <v>1.3116</v>
      </c>
      <c r="E1645" s="14" t="n">
        <v>1.0992</v>
      </c>
      <c r="F1645" s="14" t="n">
        <v>6.3619</v>
      </c>
      <c r="G1645" s="14" t="n">
        <v>4.6195</v>
      </c>
      <c r="H1645" s="14" t="n">
        <v>122.7</v>
      </c>
      <c r="I1645" s="14" t="n">
        <v>1.1005</v>
      </c>
      <c r="J1645" s="14" t="n">
        <v>9.5489</v>
      </c>
      <c r="K1645" s="14" t="n">
        <v>1338.41</v>
      </c>
      <c r="L1645" s="14" t="n">
        <v>0.8389</v>
      </c>
      <c r="M1645" s="14" t="n">
        <v>7.0026</v>
      </c>
      <c r="N1645" s="14" t="n">
        <v>5.1162</v>
      </c>
      <c r="O1645" s="14" t="n">
        <v>135.08</v>
      </c>
      <c r="P1645" s="14" t="n">
        <v>8.6769</v>
      </c>
    </row>
    <row r="1646" customFormat="false" ht="15" hidden="false" customHeight="false" outlineLevel="0" collapsed="false">
      <c r="A1646" s="13" t="n">
        <v>44656</v>
      </c>
      <c r="B1646" s="14" t="n">
        <v>1212.55</v>
      </c>
      <c r="C1646" s="14" t="n">
        <v>8.7343</v>
      </c>
      <c r="D1646" s="14" t="n">
        <v>1.3101</v>
      </c>
      <c r="E1646" s="14" t="n">
        <v>1.0921</v>
      </c>
      <c r="F1646" s="14" t="n">
        <v>6.3619</v>
      </c>
      <c r="G1646" s="14" t="n">
        <v>4.6592</v>
      </c>
      <c r="H1646" s="14" t="n">
        <v>123.48</v>
      </c>
      <c r="I1646" s="14" t="n">
        <v>1.0969</v>
      </c>
      <c r="J1646" s="14" t="n">
        <v>9.5398</v>
      </c>
      <c r="K1646" s="14" t="n">
        <v>1330.81</v>
      </c>
      <c r="L1646" s="14" t="n">
        <v>0.8349</v>
      </c>
      <c r="M1646" s="14" t="n">
        <v>6.9783</v>
      </c>
      <c r="N1646" s="14" t="n">
        <v>5.0384</v>
      </c>
      <c r="O1646" s="14" t="n">
        <v>134.76</v>
      </c>
      <c r="P1646" s="14" t="n">
        <v>8.6971</v>
      </c>
    </row>
    <row r="1647" customFormat="false" ht="15" hidden="false" customHeight="false" outlineLevel="0" collapsed="false">
      <c r="A1647" s="13" t="n">
        <v>44657</v>
      </c>
      <c r="B1647" s="14" t="n">
        <v>1212.55</v>
      </c>
      <c r="C1647" s="14" t="n">
        <v>8.7337</v>
      </c>
      <c r="D1647" s="14" t="n">
        <v>1.3082</v>
      </c>
      <c r="E1647" s="14" t="n">
        <v>1.0913</v>
      </c>
      <c r="F1647" s="14" t="n">
        <v>6.359</v>
      </c>
      <c r="G1647" s="14" t="n">
        <v>4.6892</v>
      </c>
      <c r="H1647" s="14" t="n">
        <v>123.7</v>
      </c>
      <c r="I1647" s="14" t="n">
        <v>1.0923</v>
      </c>
      <c r="J1647" s="14" t="n">
        <v>9.5523</v>
      </c>
      <c r="K1647" s="14" t="n">
        <v>1330.44</v>
      </c>
      <c r="L1647" s="14" t="n">
        <v>0.83473</v>
      </c>
      <c r="M1647" s="14" t="n">
        <v>6.9498</v>
      </c>
      <c r="N1647" s="14" t="n">
        <v>5.0996</v>
      </c>
      <c r="O1647" s="14" t="n">
        <v>135.3</v>
      </c>
      <c r="P1647" s="14" t="n">
        <v>8.7451</v>
      </c>
    </row>
    <row r="1648" customFormat="false" ht="15" hidden="false" customHeight="false" outlineLevel="0" collapsed="false">
      <c r="A1648" s="13" t="n">
        <v>44658</v>
      </c>
      <c r="B1648" s="14" t="n">
        <v>1218.96</v>
      </c>
      <c r="C1648" s="14" t="n">
        <v>8.8132</v>
      </c>
      <c r="D1648" s="14" t="n">
        <v>1.306</v>
      </c>
      <c r="E1648" s="14" t="n">
        <v>1.09</v>
      </c>
      <c r="F1648" s="14" t="n">
        <v>6.36</v>
      </c>
      <c r="G1648" s="14" t="n">
        <v>4.7619</v>
      </c>
      <c r="H1648" s="14" t="n">
        <v>123.8</v>
      </c>
      <c r="I1648" s="14" t="n">
        <v>1.0916</v>
      </c>
      <c r="J1648" s="14" t="n">
        <v>9.5595</v>
      </c>
      <c r="K1648" s="14" t="n">
        <v>1330.92</v>
      </c>
      <c r="L1648" s="14" t="n">
        <v>0.8345</v>
      </c>
      <c r="M1648" s="14" t="n">
        <v>6.9448</v>
      </c>
      <c r="N1648" s="14" t="n">
        <v>5.146</v>
      </c>
      <c r="O1648" s="14" t="n">
        <v>135.32</v>
      </c>
      <c r="P1648" s="14" t="n">
        <v>8.7573</v>
      </c>
    </row>
    <row r="1649" customFormat="false" ht="15" hidden="false" customHeight="false" outlineLevel="0" collapsed="false">
      <c r="A1649" s="13" t="n">
        <v>44659</v>
      </c>
      <c r="B1649" s="14" t="n">
        <v>1225.13</v>
      </c>
      <c r="C1649" s="14" t="n">
        <v>8.6926</v>
      </c>
      <c r="D1649" s="14" t="n">
        <v>1.3032</v>
      </c>
      <c r="E1649" s="14" t="n">
        <v>1.0874</v>
      </c>
      <c r="F1649" s="14" t="n">
        <v>6.3643</v>
      </c>
      <c r="G1649" s="14" t="n">
        <v>4.7495</v>
      </c>
      <c r="H1649" s="14" t="n">
        <v>124.31</v>
      </c>
      <c r="I1649" s="14" t="n">
        <v>1.0861</v>
      </c>
      <c r="J1649" s="14" t="n">
        <v>9.508</v>
      </c>
      <c r="K1649" s="14" t="n">
        <v>1333.12</v>
      </c>
      <c r="L1649" s="14" t="n">
        <v>0.83355</v>
      </c>
      <c r="M1649" s="14" t="n">
        <v>6.9115</v>
      </c>
      <c r="N1649" s="14" t="n">
        <v>5.1583</v>
      </c>
      <c r="O1649" s="14" t="n">
        <v>134.87</v>
      </c>
      <c r="P1649" s="14" t="n">
        <v>8.7543</v>
      </c>
    </row>
    <row r="1650" customFormat="false" ht="15" hidden="false" customHeight="false" outlineLevel="0" collapsed="false">
      <c r="A1650" s="13" t="n">
        <v>44662</v>
      </c>
      <c r="B1650" s="14" t="n">
        <v>1233.38</v>
      </c>
      <c r="C1650" s="14" t="n">
        <v>8.8082</v>
      </c>
      <c r="D1650" s="14" t="n">
        <v>1.3033</v>
      </c>
      <c r="E1650" s="14" t="n">
        <v>1.0875</v>
      </c>
      <c r="F1650" s="14" t="n">
        <v>6.3692</v>
      </c>
      <c r="G1650" s="14" t="n">
        <v>4.7031</v>
      </c>
      <c r="H1650" s="14" t="n">
        <v>125.55</v>
      </c>
      <c r="I1650" s="14" t="n">
        <v>1.09</v>
      </c>
      <c r="J1650" s="14" t="n">
        <v>9.5478</v>
      </c>
      <c r="K1650" s="14" t="n">
        <v>1345.23</v>
      </c>
      <c r="L1650" s="14" t="n">
        <v>0.83693</v>
      </c>
      <c r="M1650" s="14" t="n">
        <v>6.9405</v>
      </c>
      <c r="N1650" s="14" t="n">
        <v>5.155</v>
      </c>
      <c r="O1650" s="14" t="n">
        <v>137.01</v>
      </c>
      <c r="P1650" s="14" t="n">
        <v>8.7594</v>
      </c>
    </row>
    <row r="1651" customFormat="false" ht="15" hidden="false" customHeight="false" outlineLevel="0" collapsed="false">
      <c r="A1651" s="13" t="n">
        <v>44663</v>
      </c>
      <c r="B1651" s="14" t="n">
        <v>1236.03</v>
      </c>
      <c r="C1651" s="14" t="n">
        <v>8.7439</v>
      </c>
      <c r="D1651" s="14" t="n">
        <v>1.3031</v>
      </c>
      <c r="E1651" s="14" t="n">
        <v>1.0852</v>
      </c>
      <c r="F1651" s="14" t="n">
        <v>6.3651</v>
      </c>
      <c r="G1651" s="14" t="n">
        <v>4.6705</v>
      </c>
      <c r="H1651" s="14" t="n">
        <v>125.25</v>
      </c>
      <c r="I1651" s="14" t="n">
        <v>1.0861</v>
      </c>
      <c r="J1651" s="14" t="n">
        <v>9.5395</v>
      </c>
      <c r="K1651" s="14" t="n">
        <v>1335.49</v>
      </c>
      <c r="L1651" s="14" t="n">
        <v>0.83455</v>
      </c>
      <c r="M1651" s="14" t="n">
        <v>6.9199</v>
      </c>
      <c r="N1651" s="14" t="n">
        <v>5.0944</v>
      </c>
      <c r="O1651" s="14" t="n">
        <v>136.29</v>
      </c>
      <c r="P1651" s="14" t="n">
        <v>8.7833</v>
      </c>
    </row>
    <row r="1652" customFormat="false" ht="15" hidden="false" customHeight="false" outlineLevel="0" collapsed="false">
      <c r="A1652" s="13" t="n">
        <v>44664</v>
      </c>
      <c r="B1652" s="14" t="n">
        <v>1227.17</v>
      </c>
      <c r="C1652" s="14" t="n">
        <v>8.7729</v>
      </c>
      <c r="D1652" s="14" t="n">
        <v>1.3072</v>
      </c>
      <c r="E1652" s="14" t="n">
        <v>1.0874</v>
      </c>
      <c r="F1652" s="14" t="n">
        <v>6.3678</v>
      </c>
      <c r="G1652" s="14" t="n">
        <v>4.684</v>
      </c>
      <c r="H1652" s="14" t="n">
        <v>125.51</v>
      </c>
      <c r="I1652" s="14" t="n">
        <v>1.0826</v>
      </c>
      <c r="J1652" s="14" t="n">
        <v>9.5693</v>
      </c>
      <c r="K1652" s="14" t="n">
        <v>1328.47</v>
      </c>
      <c r="L1652" s="14" t="n">
        <v>0.8328</v>
      </c>
      <c r="M1652" s="14" t="n">
        <v>6.8939</v>
      </c>
      <c r="N1652" s="14" t="n">
        <v>5.0449</v>
      </c>
      <c r="O1652" s="14" t="n">
        <v>136.26</v>
      </c>
      <c r="P1652" s="14" t="n">
        <v>8.8392</v>
      </c>
    </row>
    <row r="1653" customFormat="false" ht="15" hidden="false" customHeight="false" outlineLevel="0" collapsed="false">
      <c r="A1653" s="13" t="n">
        <v>44665</v>
      </c>
      <c r="B1653" s="14" t="n">
        <v>1224.18</v>
      </c>
      <c r="C1653" s="14" t="n">
        <v>8.8149</v>
      </c>
      <c r="D1653" s="14" t="n">
        <v>1.3052</v>
      </c>
      <c r="E1653" s="14" t="n">
        <v>1.0796</v>
      </c>
      <c r="F1653" s="14" t="n">
        <v>6.3775</v>
      </c>
      <c r="G1653" s="14" t="n">
        <v>4.707</v>
      </c>
      <c r="H1653" s="14" t="n">
        <v>125.92</v>
      </c>
      <c r="I1653" s="14" t="n">
        <v>1.0878</v>
      </c>
      <c r="J1653" s="14" t="n">
        <v>9.5313</v>
      </c>
      <c r="K1653" s="14" t="n">
        <v>1334.71</v>
      </c>
      <c r="L1653" s="14" t="n">
        <v>0.82908</v>
      </c>
      <c r="M1653" s="14" t="n">
        <v>6.932</v>
      </c>
      <c r="N1653" s="14" t="n">
        <v>5.1226</v>
      </c>
      <c r="O1653" s="14" t="n">
        <v>136.32</v>
      </c>
    </row>
    <row r="1654" customFormat="false" ht="15" hidden="false" customHeight="false" outlineLevel="0" collapsed="false">
      <c r="A1654" s="13" t="n">
        <v>44666</v>
      </c>
      <c r="B1654" s="14" t="n">
        <v>1227.97</v>
      </c>
      <c r="C1654" s="14" t="n">
        <v>8.8032</v>
      </c>
      <c r="D1654" s="14" t="n">
        <v>1.3066</v>
      </c>
      <c r="E1654" s="14" t="n">
        <v>1.0812</v>
      </c>
      <c r="F1654" s="14" t="n">
        <v>6.3705</v>
      </c>
      <c r="G1654" s="14" t="n">
        <v>4.6965</v>
      </c>
      <c r="H1654" s="14" t="n">
        <v>126.31</v>
      </c>
    </row>
    <row r="1655" customFormat="false" ht="15" hidden="false" customHeight="false" outlineLevel="0" collapsed="false">
      <c r="A1655" s="13" t="n">
        <v>44669</v>
      </c>
      <c r="B1655" s="14" t="n">
        <v>1233.73</v>
      </c>
      <c r="C1655" s="14" t="n">
        <v>8.8544</v>
      </c>
      <c r="D1655" s="14" t="n">
        <v>1.3019</v>
      </c>
      <c r="E1655" s="14" t="n">
        <v>1.0785</v>
      </c>
      <c r="F1655" s="14" t="n">
        <v>6.363</v>
      </c>
      <c r="G1655" s="14" t="n">
        <v>4.6772</v>
      </c>
      <c r="H1655" s="14" t="n">
        <v>126.77</v>
      </c>
    </row>
    <row r="1656" customFormat="false" ht="15" hidden="false" customHeight="false" outlineLevel="0" collapsed="false">
      <c r="A1656" s="13" t="n">
        <v>44670</v>
      </c>
      <c r="B1656" s="14" t="n">
        <v>1236.53</v>
      </c>
      <c r="C1656" s="14" t="n">
        <v>8.8195</v>
      </c>
      <c r="D1656" s="14" t="n">
        <v>1.3009</v>
      </c>
      <c r="E1656" s="14" t="n">
        <v>1.0789</v>
      </c>
      <c r="F1656" s="14" t="n">
        <v>6.393</v>
      </c>
      <c r="G1656" s="14" t="n">
        <v>4.6689</v>
      </c>
      <c r="H1656" s="14" t="n">
        <v>128.55</v>
      </c>
      <c r="I1656" s="14" t="n">
        <v>1.0803</v>
      </c>
      <c r="J1656" s="14" t="n">
        <v>9.5228</v>
      </c>
      <c r="K1656" s="14" t="n">
        <v>1339.46</v>
      </c>
      <c r="L1656" s="14" t="n">
        <v>0.82955</v>
      </c>
      <c r="M1656" s="14" t="n">
        <v>6.9008</v>
      </c>
      <c r="N1656" s="14" t="n">
        <v>5.0261</v>
      </c>
      <c r="O1656" s="14" t="n">
        <v>138.4</v>
      </c>
      <c r="P1656" s="14" t="n">
        <v>8.815</v>
      </c>
    </row>
    <row r="1657" customFormat="false" ht="15" hidden="false" customHeight="false" outlineLevel="0" collapsed="false">
      <c r="A1657" s="13" t="n">
        <v>44671</v>
      </c>
      <c r="B1657" s="14" t="n">
        <v>1235.28</v>
      </c>
      <c r="C1657" s="14" t="n">
        <v>8.8038</v>
      </c>
      <c r="D1657" s="14" t="n">
        <v>1.3055</v>
      </c>
      <c r="E1657" s="14" t="n">
        <v>1.0857</v>
      </c>
      <c r="F1657" s="14" t="n">
        <v>6.4188</v>
      </c>
      <c r="G1657" s="14" t="n">
        <v>4.6171</v>
      </c>
      <c r="H1657" s="14" t="n">
        <v>127.76</v>
      </c>
      <c r="I1657" s="14" t="n">
        <v>1.083</v>
      </c>
      <c r="J1657" s="14" t="n">
        <v>9.5443</v>
      </c>
      <c r="K1657" s="14" t="n">
        <v>1337.89</v>
      </c>
      <c r="L1657" s="14" t="n">
        <v>0.82965</v>
      </c>
      <c r="M1657" s="14" t="n">
        <v>6.9448</v>
      </c>
      <c r="N1657" s="14" t="n">
        <v>5.0481</v>
      </c>
      <c r="O1657" s="14" t="n">
        <v>138.53</v>
      </c>
      <c r="P1657" s="14" t="n">
        <v>8.8128</v>
      </c>
    </row>
    <row r="1658" customFormat="false" ht="15" hidden="false" customHeight="false" outlineLevel="0" collapsed="false">
      <c r="A1658" s="13" t="n">
        <v>44672</v>
      </c>
      <c r="B1658" s="14" t="n">
        <v>1238.13</v>
      </c>
      <c r="C1658" s="14" t="n">
        <v>8.8589</v>
      </c>
      <c r="D1658" s="14" t="n">
        <v>1.3042</v>
      </c>
      <c r="E1658" s="14" t="n">
        <v>1.0839</v>
      </c>
      <c r="F1658" s="14" t="n">
        <v>6.45</v>
      </c>
      <c r="G1658" s="14" t="n">
        <v>4.622</v>
      </c>
      <c r="H1658" s="14" t="n">
        <v>128.62</v>
      </c>
      <c r="I1658" s="14" t="n">
        <v>1.0887</v>
      </c>
      <c r="J1658" s="14" t="n">
        <v>9.5788</v>
      </c>
      <c r="K1658" s="14" t="n">
        <v>1348.33</v>
      </c>
      <c r="L1658" s="14" t="n">
        <v>0.83523</v>
      </c>
      <c r="M1658" s="14" t="n">
        <v>7.0228</v>
      </c>
      <c r="N1658" s="14" t="n">
        <v>5.0324</v>
      </c>
      <c r="O1658" s="14" t="n">
        <v>139.61</v>
      </c>
      <c r="P1658" s="14" t="n">
        <v>8.7984</v>
      </c>
    </row>
    <row r="1659" customFormat="false" ht="15" hidden="false" customHeight="false" outlineLevel="0" collapsed="false">
      <c r="A1659" s="13" t="n">
        <v>44673</v>
      </c>
      <c r="B1659" s="14" t="n">
        <v>1239.66</v>
      </c>
      <c r="C1659" s="14" t="n">
        <v>8.94</v>
      </c>
      <c r="D1659" s="14" t="n">
        <v>1.2848</v>
      </c>
      <c r="E1659" s="14" t="n">
        <v>1.079</v>
      </c>
      <c r="F1659" s="14" t="n">
        <v>6.501</v>
      </c>
      <c r="G1659" s="14" t="n">
        <v>4.7675</v>
      </c>
      <c r="H1659" s="14" t="n">
        <v>128.78</v>
      </c>
      <c r="I1659" s="14" t="n">
        <v>1.0817</v>
      </c>
      <c r="J1659" s="14" t="n">
        <v>9.6255</v>
      </c>
      <c r="K1659" s="14" t="n">
        <v>1344.04</v>
      </c>
      <c r="L1659" s="14" t="n">
        <v>0.83925</v>
      </c>
      <c r="M1659" s="14" t="n">
        <v>7.0332</v>
      </c>
      <c r="N1659" s="14" t="n">
        <v>5.0926</v>
      </c>
      <c r="O1659" s="14" t="n">
        <v>138.83</v>
      </c>
      <c r="P1659" s="14" t="n">
        <v>8.8985</v>
      </c>
    </row>
    <row r="1660" customFormat="false" ht="15" hidden="false" customHeight="false" outlineLevel="0" collapsed="false">
      <c r="A1660" s="13" t="n">
        <v>44676</v>
      </c>
      <c r="B1660" s="14" t="n">
        <v>1249.87</v>
      </c>
      <c r="C1660" s="14" t="n">
        <v>9.161</v>
      </c>
      <c r="D1660" s="14" t="n">
        <v>1.2698</v>
      </c>
      <c r="E1660" s="14" t="n">
        <v>1.0703</v>
      </c>
      <c r="F1660" s="14" t="n">
        <v>6.5585</v>
      </c>
      <c r="G1660" s="14" t="n">
        <v>4.941</v>
      </c>
      <c r="H1660" s="14" t="n">
        <v>127.66</v>
      </c>
      <c r="I1660" s="14" t="n">
        <v>1.0746</v>
      </c>
      <c r="J1660" s="14" t="n">
        <v>9.7018</v>
      </c>
      <c r="K1660" s="14" t="n">
        <v>1344.49</v>
      </c>
      <c r="L1660" s="14" t="n">
        <v>0.8433</v>
      </c>
      <c r="M1660" s="14" t="n">
        <v>7.0398</v>
      </c>
      <c r="N1660" s="14" t="n">
        <v>5.1953</v>
      </c>
      <c r="O1660" s="14" t="n">
        <v>137.73</v>
      </c>
      <c r="P1660" s="14" t="n">
        <v>9.0283</v>
      </c>
    </row>
    <row r="1661" customFormat="false" ht="15" hidden="false" customHeight="false" outlineLevel="0" collapsed="false">
      <c r="A1661" s="13" t="n">
        <v>44677</v>
      </c>
      <c r="B1661" s="14" t="n">
        <v>1260.37</v>
      </c>
      <c r="C1661" s="14" t="n">
        <v>9.2237</v>
      </c>
      <c r="D1661" s="14" t="n">
        <v>1.2617</v>
      </c>
      <c r="E1661" s="14" t="n">
        <v>1.0661</v>
      </c>
      <c r="F1661" s="14" t="n">
        <v>6.5552</v>
      </c>
      <c r="G1661" s="14" t="n">
        <v>4.985</v>
      </c>
      <c r="H1661" s="14" t="n">
        <v>127.37</v>
      </c>
      <c r="I1661" s="14" t="n">
        <v>1.0674</v>
      </c>
      <c r="J1661" s="14" t="n">
        <v>9.7943</v>
      </c>
      <c r="K1661" s="14" t="n">
        <v>1340.02</v>
      </c>
      <c r="L1661" s="14" t="n">
        <v>0.84135</v>
      </c>
      <c r="M1661" s="14" t="n">
        <v>6.9837</v>
      </c>
      <c r="N1661" s="14" t="n">
        <v>5.249</v>
      </c>
      <c r="O1661" s="14" t="n">
        <v>136.15</v>
      </c>
      <c r="P1661" s="14" t="n">
        <v>9.1758</v>
      </c>
    </row>
    <row r="1662" customFormat="false" ht="15" hidden="false" customHeight="false" outlineLevel="0" collapsed="false">
      <c r="A1662" s="13" t="n">
        <v>44678</v>
      </c>
      <c r="B1662" s="14" t="n">
        <v>1269.35</v>
      </c>
      <c r="C1662" s="14" t="n">
        <v>9.3489</v>
      </c>
      <c r="D1662" s="14" t="n">
        <v>1.2547</v>
      </c>
      <c r="E1662" s="14" t="n">
        <v>1.0549</v>
      </c>
      <c r="F1662" s="14" t="n">
        <v>6.5595</v>
      </c>
      <c r="G1662" s="14" t="n">
        <v>5.0058</v>
      </c>
      <c r="H1662" s="14" t="n">
        <v>128.44</v>
      </c>
      <c r="I1662" s="14" t="n">
        <v>1.0583</v>
      </c>
      <c r="J1662" s="14" t="n">
        <v>9.7838</v>
      </c>
      <c r="K1662" s="14" t="n">
        <v>1341.98</v>
      </c>
      <c r="L1662" s="14" t="n">
        <v>0.84215</v>
      </c>
      <c r="M1662" s="14" t="n">
        <v>6.9377</v>
      </c>
      <c r="N1662" s="14" t="n">
        <v>5.3045</v>
      </c>
      <c r="O1662" s="14" t="n">
        <v>135.57</v>
      </c>
      <c r="P1662" s="14" t="n">
        <v>9.2448</v>
      </c>
    </row>
    <row r="1663" customFormat="false" ht="15" hidden="false" customHeight="false" outlineLevel="0" collapsed="false">
      <c r="A1663" s="13" t="n">
        <v>44679</v>
      </c>
      <c r="B1663" s="14" t="n">
        <v>1271.5</v>
      </c>
      <c r="C1663" s="14" t="n">
        <v>9.4133</v>
      </c>
      <c r="D1663" s="14" t="n">
        <v>1.2443</v>
      </c>
      <c r="E1663" s="14" t="n">
        <v>1.05</v>
      </c>
      <c r="F1663" s="14" t="n">
        <v>6.6243</v>
      </c>
      <c r="G1663" s="14" t="n">
        <v>4.9973</v>
      </c>
      <c r="H1663" s="14" t="n">
        <v>130.94</v>
      </c>
      <c r="I1663" s="14" t="n">
        <v>1.0485</v>
      </c>
      <c r="J1663" s="14" t="n">
        <v>9.899</v>
      </c>
      <c r="K1663" s="14" t="n">
        <v>1337.82</v>
      </c>
      <c r="L1663" s="14" t="n">
        <v>0.8435</v>
      </c>
      <c r="M1663" s="14" t="n">
        <v>6.9381</v>
      </c>
      <c r="N1663" s="14" t="n">
        <v>5.2465</v>
      </c>
      <c r="O1663" s="14" t="n">
        <v>137.13</v>
      </c>
      <c r="P1663" s="14" t="n">
        <v>9.4411</v>
      </c>
    </row>
    <row r="1664" customFormat="false" ht="15" hidden="false" customHeight="false" outlineLevel="0" collapsed="false">
      <c r="A1664" s="13" t="n">
        <v>44680</v>
      </c>
      <c r="B1664" s="14" t="n">
        <v>1255.87</v>
      </c>
      <c r="C1664" s="14" t="n">
        <v>9.33</v>
      </c>
      <c r="D1664" s="14" t="n">
        <v>1.2565</v>
      </c>
      <c r="E1664" s="14" t="n">
        <v>1.0537</v>
      </c>
      <c r="F1664" s="14" t="n">
        <v>6.608</v>
      </c>
      <c r="G1664" s="14" t="n">
        <v>4.9325</v>
      </c>
      <c r="H1664" s="14" t="n">
        <v>129.84</v>
      </c>
      <c r="I1664" s="14" t="n">
        <v>1.054</v>
      </c>
      <c r="J1664" s="14" t="n">
        <v>9.7525</v>
      </c>
      <c r="K1664" s="14" t="n">
        <v>1326.71</v>
      </c>
      <c r="L1664" s="14" t="n">
        <v>0.83908</v>
      </c>
      <c r="M1664" s="14" t="n">
        <v>6.9441</v>
      </c>
      <c r="N1664" s="14" t="n">
        <v>5.1608</v>
      </c>
      <c r="O1664" s="14" t="n">
        <v>137.01</v>
      </c>
      <c r="P1664" s="14" t="n">
        <v>9.2528</v>
      </c>
    </row>
    <row r="1665" customFormat="false" ht="15" hidden="false" customHeight="false" outlineLevel="0" collapsed="false">
      <c r="A1665" s="13" t="n">
        <v>44683</v>
      </c>
      <c r="B1665" s="14" t="n">
        <v>1265.24</v>
      </c>
      <c r="C1665" s="14" t="n">
        <v>9.439</v>
      </c>
      <c r="D1665" s="14" t="n">
        <v>1.2523</v>
      </c>
      <c r="E1665" s="14" t="n">
        <v>1.0521</v>
      </c>
      <c r="F1665" s="14" t="n">
        <v>6.6079</v>
      </c>
      <c r="G1665" s="14" t="n">
        <v>5.0275</v>
      </c>
      <c r="H1665" s="14" t="n">
        <v>130.18</v>
      </c>
      <c r="I1665" s="14" t="n">
        <v>1.0524</v>
      </c>
      <c r="J1665" s="14" t="n">
        <v>9.9248</v>
      </c>
      <c r="K1665" s="14" t="n">
        <v>1333.71</v>
      </c>
      <c r="L1665" s="14" t="n">
        <v>0.8381</v>
      </c>
      <c r="M1665" s="14" t="n">
        <v>6.9548</v>
      </c>
      <c r="N1665" s="14" t="n">
        <v>5.248</v>
      </c>
      <c r="O1665" s="14" t="n">
        <v>136.63</v>
      </c>
      <c r="P1665" s="14" t="n">
        <v>9.4306</v>
      </c>
    </row>
    <row r="1666" customFormat="false" ht="15" hidden="false" customHeight="false" outlineLevel="0" collapsed="false">
      <c r="A1666" s="13" t="n">
        <v>44684</v>
      </c>
      <c r="B1666" s="14" t="n">
        <v>1267.82</v>
      </c>
      <c r="C1666" s="14" t="n">
        <v>9.3895</v>
      </c>
      <c r="D1666" s="14" t="n">
        <v>1.251</v>
      </c>
      <c r="E1666" s="14" t="n">
        <v>1.0532</v>
      </c>
      <c r="F1666" s="14" t="n">
        <v>6.6079</v>
      </c>
      <c r="G1666" s="14" t="n">
        <v>4.9999</v>
      </c>
      <c r="H1666" s="14" t="n">
        <v>130.09</v>
      </c>
      <c r="I1666" s="14" t="n">
        <v>1.0556</v>
      </c>
      <c r="J1666" s="14" t="n">
        <v>9.909</v>
      </c>
      <c r="K1666" s="14" t="n">
        <v>1335.64</v>
      </c>
      <c r="L1666" s="14" t="n">
        <v>0.8413</v>
      </c>
      <c r="M1666" s="14" t="n">
        <v>6.9759</v>
      </c>
      <c r="N1666" s="14" t="n">
        <v>5.3143</v>
      </c>
      <c r="O1666" s="14" t="n">
        <v>137.06</v>
      </c>
      <c r="P1666" s="14" t="n">
        <v>9.3871</v>
      </c>
    </row>
    <row r="1667" customFormat="false" ht="15" hidden="false" customHeight="false" outlineLevel="0" collapsed="false">
      <c r="A1667" s="13" t="n">
        <v>44685</v>
      </c>
      <c r="B1667" s="14" t="n">
        <v>1265.22</v>
      </c>
      <c r="C1667" s="14" t="n">
        <v>9.406</v>
      </c>
      <c r="D1667" s="14" t="n">
        <v>1.2487</v>
      </c>
      <c r="E1667" s="14" t="n">
        <v>1.0539</v>
      </c>
      <c r="F1667" s="14" t="n">
        <v>6.6079</v>
      </c>
      <c r="G1667" s="14" t="n">
        <v>4.9962</v>
      </c>
      <c r="H1667" s="14" t="n">
        <v>129.97</v>
      </c>
      <c r="I1667" s="14" t="n">
        <v>1.0531</v>
      </c>
      <c r="J1667" s="14" t="n">
        <v>9.9042</v>
      </c>
      <c r="K1667" s="14" t="n">
        <v>1331.45</v>
      </c>
      <c r="L1667" s="14" t="n">
        <v>0.84194</v>
      </c>
      <c r="M1667" s="14" t="n">
        <v>6.9594</v>
      </c>
      <c r="N1667" s="14" t="n">
        <v>5.24</v>
      </c>
      <c r="O1667" s="14" t="n">
        <v>136.84</v>
      </c>
      <c r="P1667" s="14" t="n">
        <v>9.4048</v>
      </c>
    </row>
    <row r="1668" customFormat="false" ht="15" hidden="false" customHeight="false" outlineLevel="0" collapsed="false">
      <c r="A1668" s="13" t="n">
        <v>44686</v>
      </c>
      <c r="B1668" s="14" t="n">
        <v>1256.05</v>
      </c>
      <c r="C1668" s="14" t="n">
        <v>9.5126</v>
      </c>
      <c r="D1668" s="14" t="n">
        <v>1.2334</v>
      </c>
      <c r="E1668" s="14" t="n">
        <v>1.0507</v>
      </c>
      <c r="F1668" s="14" t="n">
        <v>6.6535</v>
      </c>
      <c r="G1668" s="14" t="n">
        <v>5.0481</v>
      </c>
      <c r="H1668" s="14" t="n">
        <v>130.41</v>
      </c>
      <c r="I1668" s="14" t="n">
        <v>1.0568</v>
      </c>
      <c r="J1668" s="14" t="n">
        <v>9.8463</v>
      </c>
      <c r="K1668" s="14" t="n">
        <v>1330.89</v>
      </c>
      <c r="L1668" s="14" t="n">
        <v>0.8519</v>
      </c>
      <c r="M1668" s="14" t="n">
        <v>6.9944</v>
      </c>
      <c r="N1668" s="14" t="n">
        <v>5.2192</v>
      </c>
      <c r="O1668" s="14" t="n">
        <v>137.18</v>
      </c>
      <c r="P1668" s="14" t="n">
        <v>9.3171</v>
      </c>
    </row>
    <row r="1669" customFormat="false" ht="15" hidden="false" customHeight="false" outlineLevel="0" collapsed="false">
      <c r="A1669" s="13" t="n">
        <v>44687</v>
      </c>
      <c r="B1669" s="14" t="n">
        <v>1272.58</v>
      </c>
      <c r="C1669" s="14" t="n">
        <v>9.4562</v>
      </c>
      <c r="D1669" s="14" t="n">
        <v>1.2344</v>
      </c>
      <c r="E1669" s="14" t="n">
        <v>1.0572</v>
      </c>
      <c r="F1669" s="14" t="n">
        <v>6.6651</v>
      </c>
      <c r="G1669" s="14" t="n">
        <v>5.0626</v>
      </c>
      <c r="H1669" s="14" t="n">
        <v>130.35</v>
      </c>
      <c r="I1669" s="14" t="n">
        <v>1.057</v>
      </c>
      <c r="J1669" s="14" t="n">
        <v>9.9808</v>
      </c>
      <c r="K1669" s="14" t="n">
        <v>1343.9</v>
      </c>
      <c r="L1669" s="14" t="n">
        <v>0.85625</v>
      </c>
      <c r="M1669" s="14" t="n">
        <v>7.0506</v>
      </c>
      <c r="N1669" s="14" t="n">
        <v>5.3183</v>
      </c>
      <c r="O1669" s="14" t="n">
        <v>137.9</v>
      </c>
      <c r="P1669" s="14" t="n">
        <v>9.4426</v>
      </c>
    </row>
    <row r="1670" customFormat="false" ht="15" hidden="false" customHeight="false" outlineLevel="0" collapsed="false">
      <c r="A1670" s="13" t="n">
        <v>44690</v>
      </c>
      <c r="B1670" s="14" t="n">
        <v>1276.29</v>
      </c>
      <c r="C1670" s="14" t="n">
        <v>9.6495</v>
      </c>
      <c r="D1670" s="14" t="n">
        <v>1.2335</v>
      </c>
      <c r="E1670" s="14" t="n">
        <v>1.0559</v>
      </c>
      <c r="F1670" s="14" t="n">
        <v>6.7295</v>
      </c>
      <c r="G1670" s="14" t="n">
        <v>5.1235</v>
      </c>
      <c r="H1670" s="14" t="n">
        <v>130.37</v>
      </c>
      <c r="I1670" s="14" t="n">
        <v>1.0559</v>
      </c>
      <c r="J1670" s="14" t="n">
        <v>10.0583</v>
      </c>
      <c r="K1670" s="14" t="n">
        <v>1345.48</v>
      </c>
      <c r="L1670" s="14" t="n">
        <v>0.85235</v>
      </c>
      <c r="M1670" s="14" t="n">
        <v>7.0886</v>
      </c>
      <c r="N1670" s="14" t="n">
        <v>5.4321</v>
      </c>
      <c r="O1670" s="14" t="n">
        <v>138.1</v>
      </c>
      <c r="P1670" s="14" t="n">
        <v>9.5258</v>
      </c>
    </row>
    <row r="1671" customFormat="false" ht="15" hidden="false" customHeight="false" outlineLevel="0" collapsed="false">
      <c r="A1671" s="13" t="n">
        <v>44691</v>
      </c>
      <c r="B1671" s="14" t="n">
        <v>1275.02</v>
      </c>
      <c r="C1671" s="14" t="n">
        <v>9.7277</v>
      </c>
      <c r="D1671" s="14" t="n">
        <v>1.2313</v>
      </c>
      <c r="E1671" s="14" t="n">
        <v>1.0531</v>
      </c>
      <c r="F1671" s="14" t="n">
        <v>6.7343</v>
      </c>
      <c r="G1671" s="14" t="n">
        <v>5.151</v>
      </c>
      <c r="H1671" s="14" t="n">
        <v>130.21</v>
      </c>
      <c r="I1671" s="14" t="n">
        <v>1.0554</v>
      </c>
      <c r="J1671" s="14" t="n">
        <v>10.2315</v>
      </c>
      <c r="K1671" s="14" t="n">
        <v>1346.56</v>
      </c>
      <c r="L1671" s="14" t="n">
        <v>0.85595</v>
      </c>
      <c r="M1671" s="14" t="n">
        <v>7.0967</v>
      </c>
      <c r="N1671" s="14" t="n">
        <v>5.4232</v>
      </c>
      <c r="O1671" s="14" t="n">
        <v>137.38</v>
      </c>
      <c r="P1671" s="14" t="n">
        <v>9.6944</v>
      </c>
    </row>
    <row r="1672" customFormat="false" ht="15" hidden="false" customHeight="false" outlineLevel="0" collapsed="false">
      <c r="A1672" s="13" t="n">
        <v>44692</v>
      </c>
      <c r="B1672" s="14" t="n">
        <v>1275.04</v>
      </c>
      <c r="C1672" s="14" t="n">
        <v>9.6884</v>
      </c>
      <c r="D1672" s="14" t="n">
        <v>1.2317</v>
      </c>
      <c r="E1672" s="14" t="n">
        <v>1.0537</v>
      </c>
      <c r="F1672" s="14" t="n">
        <v>6.7186</v>
      </c>
      <c r="G1672" s="14" t="n">
        <v>5.1042</v>
      </c>
      <c r="H1672" s="14" t="n">
        <v>130.2</v>
      </c>
      <c r="I1672" s="14" t="n">
        <v>1.0553</v>
      </c>
      <c r="J1672" s="14" t="n">
        <v>10.1793</v>
      </c>
      <c r="K1672" s="14" t="n">
        <v>1343.99</v>
      </c>
      <c r="L1672" s="14" t="n">
        <v>0.85393</v>
      </c>
      <c r="M1672" s="14" t="n">
        <v>7.0893</v>
      </c>
      <c r="N1672" s="14" t="n">
        <v>5.3859</v>
      </c>
      <c r="O1672" s="14" t="n">
        <v>137.07</v>
      </c>
      <c r="P1672" s="14" t="n">
        <v>9.6459</v>
      </c>
    </row>
    <row r="1673" customFormat="false" ht="15" hidden="false" customHeight="false" outlineLevel="0" collapsed="false">
      <c r="A1673" s="13" t="n">
        <v>44693</v>
      </c>
      <c r="B1673" s="14" t="n">
        <v>1288.65</v>
      </c>
      <c r="C1673" s="14" t="n">
        <v>9.8885</v>
      </c>
      <c r="D1673" s="14" t="n">
        <v>1.2198</v>
      </c>
      <c r="E1673" s="14" t="n">
        <v>1.0376</v>
      </c>
      <c r="F1673" s="14" t="n">
        <v>6.786</v>
      </c>
      <c r="G1673" s="14" t="n">
        <v>5.1368</v>
      </c>
      <c r="H1673" s="14" t="n">
        <v>128.1</v>
      </c>
      <c r="I1673" s="14" t="n">
        <v>1.0408</v>
      </c>
      <c r="J1673" s="14" t="n">
        <v>10.2898</v>
      </c>
      <c r="K1673" s="14" t="n">
        <v>1341.98</v>
      </c>
      <c r="L1673" s="14" t="n">
        <v>0.85293</v>
      </c>
      <c r="M1673" s="14" t="n">
        <v>7.0691</v>
      </c>
      <c r="N1673" s="14" t="n">
        <v>5.4161</v>
      </c>
      <c r="O1673" s="14" t="n">
        <v>133.85</v>
      </c>
      <c r="P1673" s="14" t="n">
        <v>9.8864</v>
      </c>
    </row>
    <row r="1674" customFormat="false" ht="15" hidden="false" customHeight="false" outlineLevel="0" collapsed="false">
      <c r="A1674" s="13" t="n">
        <v>44694</v>
      </c>
      <c r="B1674" s="14" t="n">
        <v>1283.51</v>
      </c>
      <c r="C1674" s="14" t="n">
        <v>9.7819</v>
      </c>
      <c r="D1674" s="14" t="n">
        <v>1.2242</v>
      </c>
      <c r="E1674" s="14" t="n">
        <v>1.041</v>
      </c>
      <c r="F1674" s="14" t="n">
        <v>6.788</v>
      </c>
      <c r="G1674" s="14" t="n">
        <v>5.0801</v>
      </c>
      <c r="H1674" s="14" t="n">
        <v>129.23</v>
      </c>
      <c r="I1674" s="14" t="n">
        <v>1.0385</v>
      </c>
      <c r="J1674" s="14" t="n">
        <v>10.2043</v>
      </c>
      <c r="K1674" s="14" t="n">
        <v>1330.83</v>
      </c>
      <c r="L1674" s="14" t="n">
        <v>0.85115</v>
      </c>
      <c r="M1674" s="14" t="n">
        <v>7.0513</v>
      </c>
      <c r="N1674" s="14" t="n">
        <v>5.3204</v>
      </c>
      <c r="O1674" s="14" t="n">
        <v>133.91</v>
      </c>
      <c r="P1674" s="14" t="n">
        <v>9.826</v>
      </c>
    </row>
    <row r="1675" customFormat="false" ht="15" hidden="false" customHeight="false" outlineLevel="0" collapsed="false">
      <c r="A1675" s="13" t="n">
        <v>44697</v>
      </c>
      <c r="B1675" s="14" t="n">
        <v>1284.79</v>
      </c>
      <c r="C1675" s="14" t="n">
        <v>9.8086</v>
      </c>
      <c r="D1675" s="14" t="n">
        <v>1.227</v>
      </c>
      <c r="E1675" s="14" t="n">
        <v>1.042</v>
      </c>
      <c r="F1675" s="14" t="n">
        <v>6.7852</v>
      </c>
      <c r="G1675" s="14" t="n">
        <v>5.0645</v>
      </c>
      <c r="H1675" s="14" t="n">
        <v>129.15</v>
      </c>
      <c r="I1675" s="14" t="n">
        <v>1.0422</v>
      </c>
      <c r="J1675" s="14" t="n">
        <v>10.2188</v>
      </c>
      <c r="K1675" s="14" t="n">
        <v>1337.9</v>
      </c>
      <c r="L1675" s="14" t="n">
        <v>0.85045</v>
      </c>
      <c r="M1675" s="14" t="n">
        <v>7.0786</v>
      </c>
      <c r="N1675" s="14" t="n">
        <v>5.2819</v>
      </c>
      <c r="O1675" s="14" t="n">
        <v>135.01</v>
      </c>
      <c r="P1675" s="14" t="n">
        <v>9.805</v>
      </c>
    </row>
    <row r="1676" customFormat="false" ht="15" hidden="false" customHeight="false" outlineLevel="0" collapsed="false">
      <c r="A1676" s="13" t="n">
        <v>44698</v>
      </c>
      <c r="B1676" s="14" t="n">
        <v>1274.33</v>
      </c>
      <c r="C1676" s="14" t="n">
        <v>9.6738</v>
      </c>
      <c r="D1676" s="14" t="n">
        <v>1.2468</v>
      </c>
      <c r="E1676" s="14" t="n">
        <v>1.0532</v>
      </c>
      <c r="F1676" s="14" t="n">
        <v>6.7361</v>
      </c>
      <c r="G1676" s="14" t="n">
        <v>4.9546</v>
      </c>
      <c r="H1676" s="14" t="n">
        <v>129.31</v>
      </c>
      <c r="I1676" s="14" t="n">
        <v>1.0541</v>
      </c>
      <c r="J1676" s="14" t="n">
        <v>10.178</v>
      </c>
      <c r="K1676" s="14" t="n">
        <v>1333.66</v>
      </c>
      <c r="L1676" s="14" t="n">
        <v>0.844</v>
      </c>
      <c r="M1676" s="14" t="n">
        <v>7.0899</v>
      </c>
      <c r="N1676" s="14" t="n">
        <v>5.2621</v>
      </c>
      <c r="O1676" s="14" t="n">
        <v>136.32</v>
      </c>
    </row>
    <row r="1677" customFormat="false" ht="15" hidden="false" customHeight="false" outlineLevel="0" collapsed="false">
      <c r="A1677" s="13" t="n">
        <v>44699</v>
      </c>
      <c r="B1677" s="14" t="n">
        <v>1266.36</v>
      </c>
      <c r="C1677" s="14" t="n">
        <v>9.7965</v>
      </c>
      <c r="D1677" s="14" t="n">
        <v>1.2396</v>
      </c>
      <c r="E1677" s="14" t="n">
        <v>1.0494</v>
      </c>
      <c r="F1677" s="14" t="n">
        <v>6.754</v>
      </c>
      <c r="G1677" s="14" t="n">
        <v>4.972</v>
      </c>
      <c r="H1677" s="14" t="n">
        <v>128.22</v>
      </c>
      <c r="I1677" s="14" t="n">
        <v>1.0523</v>
      </c>
      <c r="J1677" s="14" t="n">
        <v>10.2125</v>
      </c>
      <c r="K1677" s="14" t="n">
        <v>1332.76</v>
      </c>
      <c r="L1677" s="14" t="n">
        <v>0.8467</v>
      </c>
      <c r="M1677" s="14" t="n">
        <v>7.0972</v>
      </c>
      <c r="N1677" s="14" t="n">
        <v>5.1974</v>
      </c>
      <c r="O1677" s="14" t="n">
        <v>135.76</v>
      </c>
      <c r="P1677" s="14" t="n">
        <v>9.7049</v>
      </c>
    </row>
    <row r="1678" customFormat="false" ht="15" hidden="false" customHeight="false" outlineLevel="0" collapsed="false">
      <c r="A1678" s="13" t="n">
        <v>44700</v>
      </c>
      <c r="B1678" s="14" t="n">
        <v>1276.91</v>
      </c>
      <c r="C1678" s="14" t="n">
        <v>9.7008</v>
      </c>
      <c r="D1678" s="14" t="n">
        <v>1.2504</v>
      </c>
      <c r="E1678" s="14" t="n">
        <v>1.0587</v>
      </c>
      <c r="F1678" s="14" t="n">
        <v>6.7109</v>
      </c>
      <c r="G1678" s="14" t="n">
        <v>4.9035</v>
      </c>
      <c r="H1678" s="14" t="n">
        <v>127.62</v>
      </c>
      <c r="I1678" s="14" t="n">
        <v>1.0525</v>
      </c>
      <c r="J1678" s="14" t="n">
        <v>10.3102</v>
      </c>
      <c r="K1678" s="14" t="n">
        <v>1343.21</v>
      </c>
      <c r="L1678" s="14" t="n">
        <v>0.84728</v>
      </c>
      <c r="M1678" s="14" t="n">
        <v>7.1028</v>
      </c>
      <c r="N1678" s="14" t="n">
        <v>5.2094</v>
      </c>
      <c r="O1678" s="14" t="n">
        <v>134.46</v>
      </c>
      <c r="P1678" s="14" t="n">
        <v>9.7959</v>
      </c>
    </row>
    <row r="1679" customFormat="false" ht="15" hidden="false" customHeight="false" outlineLevel="0" collapsed="false">
      <c r="A1679" s="13" t="n">
        <v>44701</v>
      </c>
      <c r="B1679" s="14" t="n">
        <v>1267.87</v>
      </c>
      <c r="C1679" s="14" t="n">
        <v>9.7548</v>
      </c>
      <c r="D1679" s="14" t="n">
        <v>1.2492</v>
      </c>
      <c r="E1679" s="14" t="n">
        <v>1.0559</v>
      </c>
      <c r="F1679" s="14" t="n">
        <v>6.6921</v>
      </c>
      <c r="G1679" s="14" t="n">
        <v>4.8618</v>
      </c>
      <c r="H1679" s="14" t="n">
        <v>127.86</v>
      </c>
      <c r="I1679" s="14" t="n">
        <v>1.0577</v>
      </c>
      <c r="J1679" s="14" t="n">
        <v>10.262</v>
      </c>
      <c r="K1679" s="14" t="n">
        <v>1340.58</v>
      </c>
      <c r="L1679" s="14" t="n">
        <v>0.8482</v>
      </c>
      <c r="M1679" s="14" t="n">
        <v>7.0638</v>
      </c>
      <c r="N1679" s="14" t="n">
        <v>5.1989</v>
      </c>
      <c r="O1679" s="14" t="n">
        <v>135.34</v>
      </c>
      <c r="P1679" s="14" t="n">
        <v>9.7022</v>
      </c>
    </row>
    <row r="1680" customFormat="false" ht="15" hidden="false" customHeight="false" outlineLevel="0" collapsed="false">
      <c r="A1680" s="13" t="n">
        <v>44704</v>
      </c>
      <c r="B1680" s="14" t="n">
        <v>1263.85</v>
      </c>
      <c r="C1680" s="14" t="n">
        <v>9.6085</v>
      </c>
      <c r="D1680" s="14" t="n">
        <v>1.2571</v>
      </c>
      <c r="E1680" s="14" t="n">
        <v>1.0668</v>
      </c>
      <c r="F1680" s="14" t="n">
        <v>6.649</v>
      </c>
      <c r="G1680" s="14" t="n">
        <v>4.7934</v>
      </c>
      <c r="H1680" s="14" t="n">
        <v>127.78</v>
      </c>
      <c r="I1680" s="14" t="n">
        <v>1.0659</v>
      </c>
      <c r="J1680" s="14" t="n">
        <v>10.252</v>
      </c>
      <c r="K1680" s="14" t="n">
        <v>1344.19</v>
      </c>
      <c r="L1680" s="14" t="n">
        <v>0.84783</v>
      </c>
      <c r="M1680" s="14" t="n">
        <v>7.085</v>
      </c>
      <c r="N1680" s="14" t="n">
        <v>5.1623</v>
      </c>
      <c r="O1680" s="14" t="n">
        <v>136.05</v>
      </c>
      <c r="P1680" s="14" t="n">
        <v>9.6182</v>
      </c>
    </row>
    <row r="1681" customFormat="false" ht="15" hidden="false" customHeight="false" outlineLevel="0" collapsed="false">
      <c r="A1681" s="13" t="n">
        <v>44705</v>
      </c>
      <c r="B1681" s="14" t="n">
        <v>1265.97</v>
      </c>
      <c r="C1681" s="14" t="n">
        <v>9.569</v>
      </c>
      <c r="D1681" s="14" t="n">
        <v>1.2544</v>
      </c>
      <c r="E1681" s="14" t="n">
        <v>1.0744</v>
      </c>
      <c r="F1681" s="14" t="n">
        <v>6.653</v>
      </c>
      <c r="G1681" s="14" t="n">
        <v>4.8275</v>
      </c>
      <c r="H1681" s="14" t="n">
        <v>126.56</v>
      </c>
      <c r="I1681" s="14" t="n">
        <v>1.072</v>
      </c>
      <c r="J1681" s="14" t="n">
        <v>10.289</v>
      </c>
      <c r="K1681" s="14" t="n">
        <v>1353.65</v>
      </c>
      <c r="L1681" s="14" t="n">
        <v>0.8575</v>
      </c>
      <c r="M1681" s="14" t="n">
        <v>7.1449</v>
      </c>
      <c r="N1681" s="14" t="n">
        <v>5.1793</v>
      </c>
      <c r="O1681" s="14" t="n">
        <v>136.49</v>
      </c>
      <c r="P1681" s="14" t="n">
        <v>9.5979</v>
      </c>
    </row>
    <row r="1682" customFormat="false" ht="15" hidden="false" customHeight="false" outlineLevel="0" collapsed="false">
      <c r="A1682" s="13" t="n">
        <v>44706</v>
      </c>
      <c r="B1682" s="14" t="n">
        <v>1264.58</v>
      </c>
      <c r="C1682" s="14" t="n">
        <v>9.6234</v>
      </c>
      <c r="D1682" s="14" t="n">
        <v>1.2539</v>
      </c>
      <c r="E1682" s="14" t="n">
        <v>1.0658</v>
      </c>
      <c r="F1682" s="14" t="n">
        <v>6.6916</v>
      </c>
      <c r="G1682" s="14" t="n">
        <v>4.8498</v>
      </c>
      <c r="H1682" s="14" t="n">
        <v>127.31</v>
      </c>
      <c r="I1682" s="14" t="n">
        <v>1.0656</v>
      </c>
      <c r="J1682" s="14" t="n">
        <v>10.2704</v>
      </c>
      <c r="K1682" s="14" t="n">
        <v>1354.61</v>
      </c>
      <c r="L1682" s="14" t="n">
        <v>0.85295</v>
      </c>
      <c r="M1682" s="14" t="n">
        <v>7.1334</v>
      </c>
      <c r="N1682" s="14" t="n">
        <v>5.1736</v>
      </c>
      <c r="O1682" s="14" t="n">
        <v>135.34</v>
      </c>
      <c r="P1682" s="14" t="n">
        <v>9.6381</v>
      </c>
    </row>
    <row r="1683" customFormat="false" ht="15" hidden="false" customHeight="false" outlineLevel="0" collapsed="false">
      <c r="A1683" s="13" t="n">
        <v>44707</v>
      </c>
      <c r="B1683" s="14" t="n">
        <v>1267.83</v>
      </c>
      <c r="C1683" s="14" t="n">
        <v>9.5635</v>
      </c>
      <c r="D1683" s="14" t="n">
        <v>1.2582</v>
      </c>
      <c r="E1683" s="14" t="n">
        <v>1.0725</v>
      </c>
      <c r="F1683" s="14" t="n">
        <v>6.738</v>
      </c>
      <c r="G1683" s="14" t="n">
        <v>4.7824</v>
      </c>
      <c r="H1683" s="14" t="n">
        <v>127.23</v>
      </c>
      <c r="I1683" s="14" t="n">
        <v>1.0697</v>
      </c>
      <c r="J1683" s="14" t="n">
        <v>10.2715</v>
      </c>
      <c r="K1683" s="14" t="n">
        <v>1352.69</v>
      </c>
      <c r="L1683" s="14" t="n">
        <v>0.85073</v>
      </c>
      <c r="M1683" s="14" t="n">
        <v>7.2024</v>
      </c>
      <c r="N1683" s="14" t="n">
        <v>5.1741</v>
      </c>
      <c r="O1683" s="14" t="n">
        <v>135.95</v>
      </c>
    </row>
    <row r="1684" customFormat="false" ht="15" hidden="false" customHeight="false" outlineLevel="0" collapsed="false">
      <c r="A1684" s="13" t="n">
        <v>44708</v>
      </c>
      <c r="B1684" s="14" t="n">
        <v>1250.13</v>
      </c>
      <c r="C1684" s="14" t="n">
        <v>9.4887</v>
      </c>
      <c r="D1684" s="14" t="n">
        <v>1.2613</v>
      </c>
      <c r="E1684" s="14" t="n">
        <v>1.0709</v>
      </c>
      <c r="F1684" s="14" t="n">
        <v>6.698</v>
      </c>
      <c r="G1684" s="14" t="n">
        <v>4.7255</v>
      </c>
      <c r="H1684" s="14" t="n">
        <v>127.14</v>
      </c>
      <c r="I1684" s="14" t="n">
        <v>1.0722</v>
      </c>
      <c r="J1684" s="14" t="n">
        <v>10.179</v>
      </c>
      <c r="K1684" s="14" t="n">
        <v>1343.63</v>
      </c>
      <c r="L1684" s="14" t="n">
        <v>0.84875</v>
      </c>
      <c r="M1684" s="14" t="n">
        <v>7.1831</v>
      </c>
      <c r="N1684" s="14" t="n">
        <v>5.0959</v>
      </c>
      <c r="O1684" s="14" t="n">
        <v>136.05</v>
      </c>
      <c r="P1684" s="14" t="n">
        <v>9.4936</v>
      </c>
    </row>
    <row r="1685" customFormat="false" ht="15" hidden="false" customHeight="false" outlineLevel="0" collapsed="false">
      <c r="A1685" s="13" t="n">
        <v>44711</v>
      </c>
      <c r="I1685" s="14" t="n">
        <v>1.0764</v>
      </c>
      <c r="J1685" s="14" t="n">
        <v>10.1256</v>
      </c>
      <c r="K1685" s="14" t="n">
        <v>1331.66</v>
      </c>
      <c r="L1685" s="14" t="n">
        <v>0.8515</v>
      </c>
      <c r="M1685" s="14" t="n">
        <v>7.1735</v>
      </c>
      <c r="N1685" s="14" t="n">
        <v>5.0629</v>
      </c>
      <c r="O1685" s="14" t="n">
        <v>137.25</v>
      </c>
      <c r="P1685" s="14" t="n">
        <v>9.4069</v>
      </c>
    </row>
    <row r="1686" customFormat="false" ht="15" hidden="false" customHeight="false" outlineLevel="0" collapsed="false">
      <c r="A1686" s="13" t="n">
        <v>44712</v>
      </c>
      <c r="B1686" s="14" t="n">
        <v>1236.93</v>
      </c>
      <c r="C1686" s="14" t="n">
        <v>9.3607</v>
      </c>
      <c r="D1686" s="14" t="n">
        <v>1.2624</v>
      </c>
      <c r="E1686" s="14" t="n">
        <v>1.0731</v>
      </c>
      <c r="F1686" s="14" t="n">
        <v>6.6715</v>
      </c>
      <c r="G1686" s="14" t="n">
        <v>4.7264</v>
      </c>
      <c r="H1686" s="14" t="n">
        <v>128.53</v>
      </c>
      <c r="I1686" s="14" t="n">
        <v>1.0713</v>
      </c>
      <c r="J1686" s="14" t="n">
        <v>10.0983</v>
      </c>
      <c r="K1686" s="14" t="n">
        <v>1329.32</v>
      </c>
      <c r="L1686" s="14" t="n">
        <v>0.85138</v>
      </c>
      <c r="M1686" s="14" t="n">
        <v>7.1402</v>
      </c>
      <c r="N1686" s="14" t="n">
        <v>5.0965</v>
      </c>
      <c r="O1686" s="14" t="n">
        <v>137.36</v>
      </c>
      <c r="P1686" s="14" t="n">
        <v>9.4262</v>
      </c>
    </row>
    <row r="1687" customFormat="false" ht="15" hidden="false" customHeight="false" outlineLevel="0" collapsed="false">
      <c r="A1687" s="13" t="n">
        <v>44713</v>
      </c>
      <c r="B1687" s="14" t="n">
        <v>1246.52</v>
      </c>
      <c r="C1687" s="14" t="n">
        <v>9.4859</v>
      </c>
      <c r="D1687" s="14" t="n">
        <v>1.2472</v>
      </c>
      <c r="E1687" s="14" t="n">
        <v>1.0646</v>
      </c>
      <c r="F1687" s="14" t="n">
        <v>6.6858</v>
      </c>
      <c r="G1687" s="14" t="n">
        <v>4.8003</v>
      </c>
      <c r="H1687" s="14" t="n">
        <v>130.09</v>
      </c>
      <c r="I1687" s="14" t="n">
        <v>1.0712</v>
      </c>
      <c r="J1687" s="14" t="n">
        <v>10.0438</v>
      </c>
      <c r="K1687" s="14" t="n">
        <v>1331.44</v>
      </c>
      <c r="L1687" s="14" t="n">
        <v>0.85158</v>
      </c>
      <c r="M1687" s="14" t="n">
        <v>7.1586</v>
      </c>
      <c r="N1687" s="14" t="n">
        <v>5.0646</v>
      </c>
      <c r="O1687" s="14" t="n">
        <v>138.68</v>
      </c>
      <c r="P1687" s="14" t="n">
        <v>9.3762</v>
      </c>
    </row>
    <row r="1688" customFormat="false" ht="15" hidden="false" customHeight="false" outlineLevel="0" collapsed="false">
      <c r="A1688" s="13" t="n">
        <v>44714</v>
      </c>
      <c r="B1688" s="14" t="n">
        <v>1252.03</v>
      </c>
      <c r="C1688" s="14" t="n">
        <v>9.3911</v>
      </c>
      <c r="D1688" s="14" t="n">
        <v>1.2557</v>
      </c>
      <c r="E1688" s="14" t="n">
        <v>1.0733</v>
      </c>
      <c r="F1688" s="14" t="n">
        <v>6.6596</v>
      </c>
      <c r="G1688" s="14" t="n">
        <v>4.779</v>
      </c>
      <c r="H1688" s="14" t="n">
        <v>129.83</v>
      </c>
      <c r="I1688" s="14" t="n">
        <v>1.0692</v>
      </c>
      <c r="J1688" s="14" t="n">
        <v>10.0845</v>
      </c>
      <c r="K1688" s="14" t="n">
        <v>1334.06</v>
      </c>
      <c r="L1688" s="14" t="n">
        <v>0.85195</v>
      </c>
      <c r="M1688" s="14" t="n">
        <v>7.135</v>
      </c>
      <c r="N1688" s="14" t="n">
        <v>5.1335</v>
      </c>
      <c r="O1688" s="14" t="n">
        <v>138.72</v>
      </c>
      <c r="P1688" s="14" t="n">
        <v>9.4318</v>
      </c>
    </row>
    <row r="1689" customFormat="false" ht="15" hidden="false" customHeight="false" outlineLevel="0" collapsed="false">
      <c r="A1689" s="13" t="n">
        <v>44715</v>
      </c>
      <c r="B1689" s="14" t="n">
        <v>1242.23</v>
      </c>
      <c r="C1689" s="14" t="n">
        <v>9.4488</v>
      </c>
      <c r="D1689" s="14" t="n">
        <v>1.2496</v>
      </c>
      <c r="E1689" s="14" t="n">
        <v>1.0721</v>
      </c>
      <c r="F1689" s="14" t="n">
        <v>6.6595</v>
      </c>
      <c r="G1689" s="14" t="n">
        <v>4.7973</v>
      </c>
      <c r="H1689" s="14" t="n">
        <v>130.71</v>
      </c>
      <c r="I1689" s="14" t="n">
        <v>1.073</v>
      </c>
      <c r="J1689" s="14" t="n">
        <v>10.103</v>
      </c>
      <c r="K1689" s="14" t="n">
        <v>1337.4</v>
      </c>
      <c r="L1689" s="14" t="n">
        <v>0.8542</v>
      </c>
      <c r="M1689" s="14" t="n">
        <v>7.1465</v>
      </c>
      <c r="N1689" s="14" t="n">
        <v>5.1643</v>
      </c>
      <c r="O1689" s="14" t="n">
        <v>139.59</v>
      </c>
      <c r="P1689" s="14" t="n">
        <v>9.4157</v>
      </c>
    </row>
    <row r="1690" customFormat="false" ht="15" hidden="false" customHeight="false" outlineLevel="0" collapsed="false">
      <c r="A1690" s="13" t="n">
        <v>44718</v>
      </c>
      <c r="B1690" s="14" t="n">
        <v>1253.52</v>
      </c>
      <c r="C1690" s="14" t="n">
        <v>9.4109</v>
      </c>
      <c r="D1690" s="14" t="n">
        <v>1.2544</v>
      </c>
      <c r="E1690" s="14" t="n">
        <v>1.0699</v>
      </c>
      <c r="F1690" s="14" t="n">
        <v>6.6534</v>
      </c>
      <c r="G1690" s="14" t="n">
        <v>4.7974</v>
      </c>
      <c r="H1690" s="14" t="n">
        <v>131.55</v>
      </c>
      <c r="I1690" s="14" t="n">
        <v>1.0726</v>
      </c>
      <c r="J1690" s="14" t="n">
        <v>10.0853</v>
      </c>
      <c r="K1690" s="14" t="n">
        <v>1341.13</v>
      </c>
      <c r="L1690" s="14" t="n">
        <v>0.85415</v>
      </c>
      <c r="M1690" s="14" t="n">
        <v>7.1223</v>
      </c>
      <c r="N1690" s="14" t="n">
        <v>5.0986</v>
      </c>
      <c r="O1690" s="14" t="n">
        <v>140.16</v>
      </c>
    </row>
    <row r="1691" customFormat="false" ht="15" hidden="false" customHeight="false" outlineLevel="0" collapsed="false">
      <c r="A1691" s="13" t="n">
        <v>44719</v>
      </c>
      <c r="B1691" s="14" t="n">
        <v>1255.32</v>
      </c>
      <c r="C1691" s="14" t="n">
        <v>9.476</v>
      </c>
      <c r="D1691" s="14" t="n">
        <v>1.2594</v>
      </c>
      <c r="E1691" s="14" t="n">
        <v>1.0697</v>
      </c>
      <c r="F1691" s="14" t="n">
        <v>6.6675</v>
      </c>
      <c r="G1691" s="14" t="n">
        <v>4.8848</v>
      </c>
      <c r="H1691" s="14" t="n">
        <v>132.53</v>
      </c>
      <c r="I1691" s="14" t="n">
        <v>1.0662</v>
      </c>
      <c r="J1691" s="14" t="n">
        <v>10.1843</v>
      </c>
      <c r="K1691" s="14" t="n">
        <v>1340.75</v>
      </c>
      <c r="L1691" s="14" t="n">
        <v>0.85365</v>
      </c>
      <c r="M1691" s="14" t="n">
        <v>7.1146</v>
      </c>
      <c r="N1691" s="14" t="n">
        <v>5.1256</v>
      </c>
      <c r="O1691" s="14" t="n">
        <v>141.66</v>
      </c>
      <c r="P1691" s="14" t="n">
        <v>9.552</v>
      </c>
    </row>
    <row r="1692" customFormat="false" ht="15" hidden="false" customHeight="false" outlineLevel="0" collapsed="false">
      <c r="A1692" s="13" t="n">
        <v>44720</v>
      </c>
      <c r="B1692" s="14" t="n">
        <v>1253.5</v>
      </c>
      <c r="C1692" s="14" t="n">
        <v>9.4312</v>
      </c>
      <c r="D1692" s="14" t="n">
        <v>1.2557</v>
      </c>
      <c r="E1692" s="14" t="n">
        <v>1.074</v>
      </c>
      <c r="F1692" s="14" t="n">
        <v>6.6825</v>
      </c>
      <c r="G1692" s="14" t="n">
        <v>4.8714</v>
      </c>
      <c r="H1692" s="14" t="n">
        <v>134.06</v>
      </c>
      <c r="I1692" s="14" t="n">
        <v>1.0739</v>
      </c>
      <c r="J1692" s="14" t="n">
        <v>10.1395</v>
      </c>
      <c r="K1692" s="14" t="n">
        <v>1349.34</v>
      </c>
      <c r="L1692" s="14" t="n">
        <v>0.85575</v>
      </c>
      <c r="M1692" s="14" t="n">
        <v>7.1785</v>
      </c>
      <c r="N1692" s="14" t="n">
        <v>5.2447</v>
      </c>
      <c r="O1692" s="14" t="n">
        <v>143.92</v>
      </c>
      <c r="P1692" s="14" t="n">
        <v>9.4418</v>
      </c>
    </row>
    <row r="1693" customFormat="false" ht="15" hidden="false" customHeight="false" outlineLevel="0" collapsed="false">
      <c r="A1693" s="13" t="n">
        <v>44721</v>
      </c>
      <c r="B1693" s="14" t="n">
        <v>1256.91</v>
      </c>
      <c r="C1693" s="14" t="n">
        <v>9.5537</v>
      </c>
      <c r="D1693" s="14" t="n">
        <v>1.2511</v>
      </c>
      <c r="E1693" s="14" t="n">
        <v>1.0656</v>
      </c>
      <c r="F1693" s="14" t="n">
        <v>6.6915</v>
      </c>
      <c r="G1693" s="14" t="n">
        <v>4.888</v>
      </c>
      <c r="H1693" s="14" t="n">
        <v>134.06</v>
      </c>
      <c r="I1693" s="14" t="n">
        <v>1.0743</v>
      </c>
      <c r="J1693" s="14" t="n">
        <v>10.1818</v>
      </c>
      <c r="K1693" s="14" t="n">
        <v>1348.99</v>
      </c>
      <c r="L1693" s="14" t="n">
        <v>0.85653</v>
      </c>
      <c r="M1693" s="14" t="n">
        <v>7.1722</v>
      </c>
      <c r="N1693" s="14" t="n">
        <v>5.2506</v>
      </c>
      <c r="O1693" s="14" t="n">
        <v>143.93</v>
      </c>
      <c r="P1693" s="14" t="n">
        <v>9.4776</v>
      </c>
    </row>
    <row r="1694" customFormat="false" ht="15" hidden="false" customHeight="false" outlineLevel="0" collapsed="false">
      <c r="A1694" s="13" t="n">
        <v>44722</v>
      </c>
      <c r="B1694" s="14" t="n">
        <v>1268.01</v>
      </c>
      <c r="C1694" s="14" t="n">
        <v>9.678</v>
      </c>
      <c r="D1694" s="14" t="n">
        <v>1.233</v>
      </c>
      <c r="E1694" s="14" t="n">
        <v>1.0521</v>
      </c>
      <c r="F1694" s="14" t="n">
        <v>6.7081</v>
      </c>
      <c r="G1694" s="14" t="n">
        <v>4.9947</v>
      </c>
      <c r="H1694" s="14" t="n">
        <v>134.19</v>
      </c>
      <c r="I1694" s="14" t="n">
        <v>1.0578</v>
      </c>
      <c r="J1694" s="14" t="n">
        <v>10.1495</v>
      </c>
      <c r="K1694" s="14" t="n">
        <v>1344.25</v>
      </c>
      <c r="L1694" s="14" t="n">
        <v>0.85048</v>
      </c>
      <c r="M1694" s="14" t="n">
        <v>7.0868</v>
      </c>
      <c r="N1694" s="14" t="n">
        <v>5.1718</v>
      </c>
      <c r="O1694" s="14" t="n">
        <v>141.69</v>
      </c>
      <c r="P1694" s="14" t="n">
        <v>9.5949</v>
      </c>
    </row>
    <row r="1695" customFormat="false" ht="15" hidden="false" customHeight="false" outlineLevel="0" collapsed="false">
      <c r="A1695" s="13" t="n">
        <v>44725</v>
      </c>
      <c r="B1695" s="14" t="n">
        <v>1283.69</v>
      </c>
      <c r="C1695" s="14" t="n">
        <v>9.8897</v>
      </c>
      <c r="D1695" s="14" t="n">
        <v>1.217</v>
      </c>
      <c r="E1695" s="14" t="n">
        <v>1.0436</v>
      </c>
      <c r="F1695" s="14" t="n">
        <v>6.753</v>
      </c>
      <c r="G1695" s="14" t="n">
        <v>5.0988</v>
      </c>
      <c r="H1695" s="14" t="n">
        <v>134.12</v>
      </c>
      <c r="I1695" s="14" t="n">
        <v>1.0455</v>
      </c>
      <c r="J1695" s="14" t="n">
        <v>10.3222</v>
      </c>
      <c r="K1695" s="14" t="n">
        <v>1349.93</v>
      </c>
      <c r="L1695" s="14" t="n">
        <v>0.8585</v>
      </c>
      <c r="M1695" s="14" t="n">
        <v>7.0434</v>
      </c>
      <c r="N1695" s="14" t="n">
        <v>5.2785</v>
      </c>
      <c r="O1695" s="14" t="n">
        <v>140.51</v>
      </c>
      <c r="P1695" s="14" t="n">
        <v>9.873</v>
      </c>
    </row>
    <row r="1696" customFormat="false" ht="15" hidden="false" customHeight="false" outlineLevel="0" collapsed="false">
      <c r="A1696" s="13" t="n">
        <v>44726</v>
      </c>
      <c r="B1696" s="14" t="n">
        <v>1285.87</v>
      </c>
      <c r="C1696" s="14" t="n">
        <v>9.9975</v>
      </c>
      <c r="D1696" s="14" t="n">
        <v>1.2011</v>
      </c>
      <c r="E1696" s="14" t="n">
        <v>1.0416</v>
      </c>
      <c r="F1696" s="14" t="n">
        <v>6.7395</v>
      </c>
      <c r="G1696" s="14" t="n">
        <v>5.1353</v>
      </c>
      <c r="H1696" s="14" t="n">
        <v>134.89</v>
      </c>
      <c r="I1696" s="14" t="n">
        <v>1.0452</v>
      </c>
      <c r="J1696" s="14" t="n">
        <v>10.3945</v>
      </c>
      <c r="K1696" s="14" t="n">
        <v>1346.72</v>
      </c>
      <c r="L1696" s="14" t="n">
        <v>0.86578</v>
      </c>
      <c r="M1696" s="14" t="n">
        <v>7.0417</v>
      </c>
      <c r="N1696" s="14" t="n">
        <v>5.3329</v>
      </c>
      <c r="O1696" s="14" t="n">
        <v>140.62</v>
      </c>
      <c r="P1696" s="14" t="n">
        <v>9.945</v>
      </c>
    </row>
    <row r="1697" customFormat="false" ht="15" hidden="false" customHeight="false" outlineLevel="0" collapsed="false">
      <c r="A1697" s="13" t="n">
        <v>44727</v>
      </c>
      <c r="B1697" s="14" t="n">
        <v>1290.05</v>
      </c>
      <c r="C1697" s="14" t="n">
        <v>10.0258</v>
      </c>
      <c r="D1697" s="14" t="n">
        <v>1.2057</v>
      </c>
      <c r="E1697" s="14" t="n">
        <v>1.0388</v>
      </c>
      <c r="F1697" s="14" t="n">
        <v>6.7128</v>
      </c>
      <c r="G1697" s="14" t="n">
        <v>5.1117</v>
      </c>
      <c r="H1697" s="14" t="n">
        <v>134.5</v>
      </c>
      <c r="I1697" s="14" t="n">
        <v>1.0431</v>
      </c>
      <c r="J1697" s="14" t="n">
        <v>10.3868</v>
      </c>
      <c r="K1697" s="14" t="n">
        <v>1346.86</v>
      </c>
      <c r="L1697" s="14" t="n">
        <v>0.86328</v>
      </c>
      <c r="M1697" s="14" t="n">
        <v>7.0013</v>
      </c>
      <c r="N1697" s="14" t="n">
        <v>5.3164</v>
      </c>
      <c r="O1697" s="14" t="n">
        <v>140.49</v>
      </c>
      <c r="P1697" s="14" t="n">
        <v>9.9576</v>
      </c>
    </row>
    <row r="1698" customFormat="false" ht="15" hidden="false" customHeight="false" outlineLevel="0" collapsed="false">
      <c r="A1698" s="13" t="n">
        <v>44728</v>
      </c>
      <c r="B1698" s="14" t="n">
        <v>1286.76</v>
      </c>
      <c r="C1698" s="14" t="n">
        <v>9.9908</v>
      </c>
      <c r="D1698" s="14" t="n">
        <v>1.2341</v>
      </c>
      <c r="E1698" s="14" t="n">
        <v>1.0531</v>
      </c>
      <c r="F1698" s="14" t="n">
        <v>6.703</v>
      </c>
      <c r="G1698" s="14" t="n">
        <v>5.0535</v>
      </c>
      <c r="H1698" s="14" t="n">
        <v>131.65</v>
      </c>
      <c r="I1698" s="14" t="n">
        <v>1.04</v>
      </c>
      <c r="J1698" s="14" t="n">
        <v>10.4588</v>
      </c>
      <c r="K1698" s="14" t="n">
        <v>1346.88</v>
      </c>
      <c r="L1698" s="14" t="n">
        <v>0.8555</v>
      </c>
      <c r="M1698" s="14" t="n">
        <v>6.9844</v>
      </c>
      <c r="N1698" s="14" t="n">
        <v>5.2559</v>
      </c>
      <c r="O1698" s="14" t="n">
        <v>138.24</v>
      </c>
      <c r="P1698" s="14" t="n">
        <v>10.0565</v>
      </c>
    </row>
    <row r="1699" customFormat="false" ht="15" hidden="false" customHeight="false" outlineLevel="0" collapsed="false">
      <c r="A1699" s="13" t="n">
        <v>44729</v>
      </c>
      <c r="B1699" s="14" t="n">
        <v>1287.36</v>
      </c>
      <c r="C1699" s="14" t="n">
        <v>10.0243</v>
      </c>
      <c r="D1699" s="14" t="n">
        <v>1.2201</v>
      </c>
      <c r="E1699" s="14" t="n">
        <v>1.0473</v>
      </c>
      <c r="F1699" s="14" t="n">
        <v>6.716</v>
      </c>
      <c r="G1699" s="14" t="n">
        <v>5.142</v>
      </c>
      <c r="H1699" s="14" t="n">
        <v>135.14</v>
      </c>
      <c r="I1699" s="14" t="n">
        <v>1.0486</v>
      </c>
      <c r="J1699" s="14" t="n">
        <v>10.4525</v>
      </c>
      <c r="K1699" s="14" t="n">
        <v>1356.27</v>
      </c>
      <c r="L1699" s="14" t="n">
        <v>0.855</v>
      </c>
      <c r="M1699" s="14" t="n">
        <v>7.0308</v>
      </c>
      <c r="N1699" s="14" t="n">
        <v>5.3824</v>
      </c>
      <c r="O1699" s="14" t="n">
        <v>141.21</v>
      </c>
      <c r="P1699" s="14" t="n">
        <v>9.9681</v>
      </c>
    </row>
    <row r="1700" customFormat="false" ht="15" hidden="false" customHeight="false" outlineLevel="0" collapsed="false">
      <c r="A1700" s="13" t="n">
        <v>44732</v>
      </c>
      <c r="I1700" s="14" t="n">
        <v>1.0517</v>
      </c>
      <c r="J1700" s="14" t="n">
        <v>10.4085</v>
      </c>
      <c r="K1700" s="14" t="n">
        <v>1357.54</v>
      </c>
      <c r="L1700" s="14" t="n">
        <v>0.85748</v>
      </c>
      <c r="M1700" s="14" t="n">
        <v>7.0346</v>
      </c>
      <c r="N1700" s="14" t="n">
        <v>5.4117</v>
      </c>
      <c r="O1700" s="14" t="n">
        <v>141.94</v>
      </c>
      <c r="P1700" s="14" t="n">
        <v>9.8968</v>
      </c>
    </row>
    <row r="1701" customFormat="false" ht="15" hidden="false" customHeight="false" outlineLevel="0" collapsed="false">
      <c r="A1701" s="13" t="n">
        <v>44733</v>
      </c>
      <c r="B1701" s="14" t="n">
        <v>1293.25</v>
      </c>
      <c r="C1701" s="14" t="n">
        <v>9.8313</v>
      </c>
      <c r="D1701" s="14" t="n">
        <v>1.2277</v>
      </c>
      <c r="E1701" s="14" t="n">
        <v>1.0548</v>
      </c>
      <c r="F1701" s="14" t="n">
        <v>6.688</v>
      </c>
      <c r="G1701" s="14" t="n">
        <v>5.1333</v>
      </c>
      <c r="H1701" s="14" t="n">
        <v>136.25</v>
      </c>
      <c r="I1701" s="14" t="n">
        <v>1.055</v>
      </c>
      <c r="J1701" s="14" t="n">
        <v>10.3283</v>
      </c>
      <c r="K1701" s="14" t="n">
        <v>1365.09</v>
      </c>
      <c r="L1701" s="14" t="n">
        <v>0.8601</v>
      </c>
      <c r="M1701" s="14" t="n">
        <v>7.068</v>
      </c>
      <c r="N1701" s="14" t="n">
        <v>5.442</v>
      </c>
      <c r="O1701" s="14" t="n">
        <v>143.75</v>
      </c>
      <c r="P1701" s="14" t="n">
        <v>9.7899</v>
      </c>
    </row>
    <row r="1702" customFormat="false" ht="15" hidden="false" customHeight="false" outlineLevel="0" collapsed="false">
      <c r="A1702" s="13" t="n">
        <v>44734</v>
      </c>
      <c r="B1702" s="14" t="n">
        <v>1297.21</v>
      </c>
      <c r="C1702" s="14" t="n">
        <v>9.8871</v>
      </c>
      <c r="D1702" s="14" t="n">
        <v>1.228</v>
      </c>
      <c r="E1702" s="14" t="n">
        <v>1.0583</v>
      </c>
      <c r="F1702" s="14" t="n">
        <v>6.6983</v>
      </c>
      <c r="G1702" s="14" t="n">
        <v>5.1563</v>
      </c>
      <c r="H1702" s="14" t="n">
        <v>136.05</v>
      </c>
      <c r="I1702" s="14" t="n">
        <v>1.0521</v>
      </c>
      <c r="J1702" s="14" t="n">
        <v>10.5045</v>
      </c>
      <c r="K1702" s="14" t="n">
        <v>1369.29</v>
      </c>
      <c r="L1702" s="14" t="n">
        <v>0.85885</v>
      </c>
      <c r="M1702" s="14" t="n">
        <v>7.0604</v>
      </c>
      <c r="N1702" s="14" t="n">
        <v>5.4349</v>
      </c>
      <c r="O1702" s="14" t="n">
        <v>143.11</v>
      </c>
      <c r="P1702" s="14" t="n">
        <v>9.9843</v>
      </c>
    </row>
    <row r="1703" customFormat="false" ht="15" hidden="false" customHeight="false" outlineLevel="0" collapsed="false">
      <c r="A1703" s="13" t="n">
        <v>44735</v>
      </c>
      <c r="B1703" s="14" t="n">
        <v>1300.86</v>
      </c>
      <c r="C1703" s="14" t="n">
        <v>9.9821</v>
      </c>
      <c r="D1703" s="14" t="n">
        <v>1.224</v>
      </c>
      <c r="E1703" s="14" t="n">
        <v>1.0503</v>
      </c>
      <c r="F1703" s="14" t="n">
        <v>6.698</v>
      </c>
      <c r="G1703" s="14" t="n">
        <v>5.2021</v>
      </c>
      <c r="H1703" s="14" t="n">
        <v>134.72</v>
      </c>
      <c r="I1703" s="14" t="n">
        <v>1.0493</v>
      </c>
      <c r="J1703" s="14" t="n">
        <v>10.475</v>
      </c>
      <c r="K1703" s="14" t="n">
        <v>1367.21</v>
      </c>
      <c r="L1703" s="14" t="n">
        <v>0.85818</v>
      </c>
      <c r="M1703" s="14" t="n">
        <v>7.0367</v>
      </c>
      <c r="N1703" s="14" t="n">
        <v>5.4515</v>
      </c>
      <c r="O1703" s="14" t="n">
        <v>142.11</v>
      </c>
      <c r="P1703" s="14" t="n">
        <v>9.9828</v>
      </c>
    </row>
    <row r="1704" customFormat="false" ht="15" hidden="false" customHeight="false" outlineLevel="0" collapsed="false">
      <c r="A1704" s="13" t="n">
        <v>44736</v>
      </c>
      <c r="B1704" s="14" t="n">
        <v>1298.71</v>
      </c>
      <c r="C1704" s="14" t="n">
        <v>9.8656</v>
      </c>
      <c r="D1704" s="14" t="n">
        <v>1.2273</v>
      </c>
      <c r="E1704" s="14" t="n">
        <v>1.0539</v>
      </c>
      <c r="F1704" s="14" t="n">
        <v>6.6878</v>
      </c>
      <c r="G1704" s="14" t="n">
        <v>5.2363</v>
      </c>
      <c r="H1704" s="14" t="n">
        <v>135.22</v>
      </c>
      <c r="I1704" s="14" t="n">
        <v>1.0524</v>
      </c>
      <c r="J1704" s="14" t="n">
        <v>10.4345</v>
      </c>
      <c r="K1704" s="14" t="n">
        <v>1364.09</v>
      </c>
      <c r="L1704" s="14" t="n">
        <v>0.85773</v>
      </c>
      <c r="M1704" s="14" t="n">
        <v>7.0478</v>
      </c>
      <c r="N1704" s="14" t="n">
        <v>5.4851</v>
      </c>
      <c r="O1704" s="14" t="n">
        <v>142.19</v>
      </c>
      <c r="P1704" s="14" t="n">
        <v>9.915</v>
      </c>
    </row>
    <row r="1705" customFormat="false" ht="15" hidden="false" customHeight="false" outlineLevel="0" collapsed="false">
      <c r="A1705" s="13" t="n">
        <v>44739</v>
      </c>
      <c r="B1705" s="14" t="n">
        <v>1286.2</v>
      </c>
      <c r="C1705" s="14" t="n">
        <v>9.7824</v>
      </c>
      <c r="D1705" s="14" t="n">
        <v>1.2305</v>
      </c>
      <c r="E1705" s="14" t="n">
        <v>1.0601</v>
      </c>
      <c r="F1705" s="14" t="n">
        <v>6.6899</v>
      </c>
      <c r="G1705" s="14" t="n">
        <v>5.2078</v>
      </c>
      <c r="H1705" s="14" t="n">
        <v>135.26</v>
      </c>
      <c r="I1705" s="14" t="n">
        <v>1.0572</v>
      </c>
      <c r="J1705" s="14" t="n">
        <v>10.408</v>
      </c>
      <c r="K1705" s="14" t="n">
        <v>1357.68</v>
      </c>
      <c r="L1705" s="14" t="n">
        <v>0.862</v>
      </c>
      <c r="M1705" s="14" t="n">
        <v>7.0737</v>
      </c>
      <c r="N1705" s="14" t="n">
        <v>5.5446</v>
      </c>
      <c r="O1705" s="14" t="n">
        <v>143.25</v>
      </c>
      <c r="P1705" s="14" t="n">
        <v>9.8449</v>
      </c>
    </row>
    <row r="1706" customFormat="false" ht="15" hidden="false" customHeight="false" outlineLevel="0" collapsed="false">
      <c r="A1706" s="13" t="n">
        <v>44740</v>
      </c>
      <c r="B1706" s="14" t="n">
        <v>1290.18</v>
      </c>
      <c r="C1706" s="14" t="n">
        <v>9.8266</v>
      </c>
      <c r="D1706" s="14" t="n">
        <v>1.22</v>
      </c>
      <c r="E1706" s="14" t="n">
        <v>1.0534</v>
      </c>
      <c r="F1706" s="14" t="n">
        <v>6.707</v>
      </c>
      <c r="G1706" s="14" t="n">
        <v>5.2531</v>
      </c>
      <c r="H1706" s="14" t="n">
        <v>136.19</v>
      </c>
      <c r="I1706" s="14" t="n">
        <v>1.0561</v>
      </c>
      <c r="J1706" s="14" t="n">
        <v>10.337</v>
      </c>
      <c r="K1706" s="14" t="n">
        <v>1361.75</v>
      </c>
      <c r="L1706" s="14" t="n">
        <v>0.8635</v>
      </c>
      <c r="M1706" s="14" t="n">
        <v>7.0775</v>
      </c>
      <c r="N1706" s="14" t="n">
        <v>5.5308</v>
      </c>
      <c r="O1706" s="14" t="n">
        <v>143.67</v>
      </c>
      <c r="P1706" s="14" t="n">
        <v>9.7879</v>
      </c>
    </row>
    <row r="1707" customFormat="false" ht="15" hidden="false" customHeight="false" outlineLevel="0" collapsed="false">
      <c r="A1707" s="13" t="n">
        <v>44741</v>
      </c>
      <c r="B1707" s="14" t="n">
        <v>1298.39</v>
      </c>
      <c r="C1707" s="14" t="n">
        <v>9.8629</v>
      </c>
      <c r="D1707" s="14" t="n">
        <v>1.2151</v>
      </c>
      <c r="E1707" s="14" t="n">
        <v>1.0477</v>
      </c>
      <c r="F1707" s="14" t="n">
        <v>6.6997</v>
      </c>
      <c r="G1707" s="14" t="n">
        <v>5.2386</v>
      </c>
      <c r="H1707" s="14" t="n">
        <v>136.5</v>
      </c>
      <c r="I1707" s="14" t="n">
        <v>1.0517</v>
      </c>
      <c r="J1707" s="14" t="n">
        <v>10.3065</v>
      </c>
      <c r="K1707" s="14" t="n">
        <v>1364.02</v>
      </c>
      <c r="L1707" s="14" t="n">
        <v>0.86461</v>
      </c>
      <c r="M1707" s="14" t="n">
        <v>7.0382</v>
      </c>
      <c r="N1707" s="14" t="n">
        <v>5.5163</v>
      </c>
      <c r="O1707" s="14" t="n">
        <v>143.53</v>
      </c>
      <c r="P1707" s="14" t="n">
        <v>9.7998</v>
      </c>
    </row>
    <row r="1708" customFormat="false" ht="15" hidden="false" customHeight="false" outlineLevel="0" collapsed="false">
      <c r="A1708" s="13" t="n">
        <v>44742</v>
      </c>
      <c r="B1708" s="14" t="n">
        <v>1298.95</v>
      </c>
      <c r="C1708" s="14" t="n">
        <v>9.8621</v>
      </c>
      <c r="D1708" s="14" t="n">
        <v>1.2162</v>
      </c>
      <c r="E1708" s="14" t="n">
        <v>1.0469</v>
      </c>
      <c r="F1708" s="14" t="n">
        <v>6.6981</v>
      </c>
      <c r="G1708" s="14" t="n">
        <v>5.2196</v>
      </c>
      <c r="H1708" s="14" t="n">
        <v>135.69</v>
      </c>
      <c r="I1708" s="14" t="n">
        <v>1.0387</v>
      </c>
      <c r="J1708" s="14" t="n">
        <v>10.3485</v>
      </c>
      <c r="K1708" s="14" t="n">
        <v>1351.6</v>
      </c>
      <c r="L1708" s="14" t="n">
        <v>0.8582</v>
      </c>
      <c r="M1708" s="14" t="n">
        <v>6.9624</v>
      </c>
      <c r="N1708" s="14" t="n">
        <v>5.4229</v>
      </c>
      <c r="O1708" s="14" t="n">
        <v>141.54</v>
      </c>
      <c r="P1708" s="14" t="n">
        <v>9.9629</v>
      </c>
    </row>
    <row r="1709" customFormat="false" ht="15" hidden="false" customHeight="false" outlineLevel="0" collapsed="false">
      <c r="A1709" s="13" t="n">
        <v>44743</v>
      </c>
      <c r="B1709" s="14" t="n">
        <v>1297.18</v>
      </c>
      <c r="C1709" s="14" t="n">
        <v>9.9568</v>
      </c>
      <c r="D1709" s="14" t="n">
        <v>1.2048</v>
      </c>
      <c r="E1709" s="14" t="n">
        <v>1.0409</v>
      </c>
      <c r="F1709" s="14" t="n">
        <v>6.7</v>
      </c>
      <c r="G1709" s="14" t="n">
        <v>5.3083</v>
      </c>
      <c r="H1709" s="14" t="n">
        <v>135.09</v>
      </c>
      <c r="I1709" s="14" t="n">
        <v>1.0425</v>
      </c>
      <c r="J1709" s="14" t="n">
        <v>10.3651</v>
      </c>
      <c r="K1709" s="14" t="n">
        <v>1352.58</v>
      </c>
      <c r="L1709" s="14" t="n">
        <v>0.86648</v>
      </c>
      <c r="M1709" s="14" t="n">
        <v>6.987</v>
      </c>
      <c r="N1709" s="14" t="n">
        <v>5.5117</v>
      </c>
      <c r="O1709" s="14" t="n">
        <v>141.05</v>
      </c>
      <c r="P1709" s="14" t="n">
        <v>9.9425</v>
      </c>
    </row>
    <row r="1710" customFormat="false" ht="15" hidden="false" customHeight="false" outlineLevel="0" collapsed="false">
      <c r="A1710" s="13" t="n">
        <v>44746</v>
      </c>
      <c r="I1710" s="14" t="n">
        <v>1.0455</v>
      </c>
      <c r="J1710" s="14" t="n">
        <v>10.2958</v>
      </c>
      <c r="K1710" s="14" t="n">
        <v>1353.4</v>
      </c>
      <c r="L1710" s="14" t="n">
        <v>0.8596</v>
      </c>
      <c r="M1710" s="14" t="n">
        <v>6.9977</v>
      </c>
      <c r="N1710" s="14" t="n">
        <v>5.5663</v>
      </c>
      <c r="O1710" s="14" t="n">
        <v>141.51</v>
      </c>
      <c r="P1710" s="14" t="n">
        <v>9.8477</v>
      </c>
    </row>
    <row r="1711" customFormat="false" ht="15" hidden="false" customHeight="false" outlineLevel="0" collapsed="false">
      <c r="A1711" s="13" t="n">
        <v>44747</v>
      </c>
      <c r="B1711" s="14" t="n">
        <v>1299.69</v>
      </c>
      <c r="C1711" s="14" t="n">
        <v>10.0896</v>
      </c>
      <c r="D1711" s="14" t="n">
        <v>1.1932</v>
      </c>
      <c r="E1711" s="14" t="n">
        <v>1.0254</v>
      </c>
      <c r="F1711" s="14" t="n">
        <v>6.7192</v>
      </c>
      <c r="G1711" s="14" t="n">
        <v>5.3903</v>
      </c>
      <c r="H1711" s="14" t="n">
        <v>135.72</v>
      </c>
      <c r="I1711" s="14" t="n">
        <v>1.029</v>
      </c>
      <c r="J1711" s="14" t="n">
        <v>10.285</v>
      </c>
      <c r="K1711" s="14" t="n">
        <v>1348.97</v>
      </c>
      <c r="L1711" s="14" t="n">
        <v>0.85845</v>
      </c>
      <c r="M1711" s="14" t="n">
        <v>6.9029</v>
      </c>
      <c r="N1711" s="14" t="n">
        <v>5.5141</v>
      </c>
      <c r="O1711" s="14" t="n">
        <v>139.77</v>
      </c>
      <c r="P1711" s="14" t="n">
        <v>9.9951</v>
      </c>
    </row>
    <row r="1712" customFormat="false" ht="15" hidden="false" customHeight="false" outlineLevel="0" collapsed="false">
      <c r="A1712" s="13" t="n">
        <v>44748</v>
      </c>
      <c r="B1712" s="14" t="n">
        <v>1307.1</v>
      </c>
      <c r="C1712" s="14" t="n">
        <v>10.1534</v>
      </c>
      <c r="D1712" s="14" t="n">
        <v>1.1907</v>
      </c>
      <c r="E1712" s="14" t="n">
        <v>1.0173</v>
      </c>
      <c r="F1712" s="14" t="n">
        <v>6.707</v>
      </c>
      <c r="G1712" s="14" t="n">
        <v>5.4558</v>
      </c>
      <c r="H1712" s="14" t="n">
        <v>135.66</v>
      </c>
      <c r="I1712" s="14" t="n">
        <v>1.0177</v>
      </c>
      <c r="J1712" s="14" t="n">
        <v>10.2803</v>
      </c>
      <c r="K1712" s="14" t="n">
        <v>1331.69</v>
      </c>
      <c r="L1712" s="14" t="n">
        <v>0.85676</v>
      </c>
      <c r="M1712" s="14" t="n">
        <v>6.8289</v>
      </c>
      <c r="N1712" s="14" t="n">
        <v>5.5116</v>
      </c>
      <c r="O1712" s="14" t="n">
        <v>137.71</v>
      </c>
      <c r="P1712" s="14" t="n">
        <v>10.1015</v>
      </c>
    </row>
    <row r="1713" customFormat="false" ht="15" hidden="false" customHeight="false" outlineLevel="0" collapsed="false">
      <c r="A1713" s="13" t="n">
        <v>44749</v>
      </c>
      <c r="B1713" s="14" t="n">
        <v>1299.51</v>
      </c>
      <c r="C1713" s="14" t="n">
        <v>10.088</v>
      </c>
      <c r="D1713" s="14" t="n">
        <v>1.1994</v>
      </c>
      <c r="E1713" s="14" t="n">
        <v>1.0159</v>
      </c>
      <c r="F1713" s="14" t="n">
        <v>6.7005</v>
      </c>
      <c r="G1713" s="14" t="n">
        <v>5.352</v>
      </c>
      <c r="H1713" s="14" t="n">
        <v>135.99</v>
      </c>
      <c r="I1713" s="14" t="n">
        <v>1.018</v>
      </c>
      <c r="J1713" s="14" t="n">
        <v>10.291</v>
      </c>
      <c r="K1713" s="14" t="n">
        <v>1324.66</v>
      </c>
      <c r="L1713" s="14" t="n">
        <v>0.85105</v>
      </c>
      <c r="M1713" s="14" t="n">
        <v>6.823</v>
      </c>
      <c r="N1713" s="14" t="n">
        <v>5.4983</v>
      </c>
      <c r="O1713" s="14" t="n">
        <v>138.11</v>
      </c>
      <c r="P1713" s="14" t="n">
        <v>10.109</v>
      </c>
    </row>
    <row r="1714" customFormat="false" ht="15" hidden="false" customHeight="false" outlineLevel="0" collapsed="false">
      <c r="A1714" s="13" t="n">
        <v>44750</v>
      </c>
      <c r="B1714" s="14" t="n">
        <v>1299.51</v>
      </c>
      <c r="C1714" s="14" t="n">
        <v>10.0902</v>
      </c>
      <c r="D1714" s="14" t="n">
        <v>1.2036</v>
      </c>
      <c r="E1714" s="14" t="n">
        <v>1.0178</v>
      </c>
      <c r="F1714" s="14" t="n">
        <v>6.6945</v>
      </c>
      <c r="G1714" s="14" t="n">
        <v>5.2961</v>
      </c>
      <c r="H1714" s="14" t="n">
        <v>136.16</v>
      </c>
      <c r="I1714" s="14" t="n">
        <v>1.0163</v>
      </c>
      <c r="J1714" s="14" t="n">
        <v>10.263</v>
      </c>
      <c r="K1714" s="14" t="n">
        <v>1321.61</v>
      </c>
      <c r="L1714" s="14" t="n">
        <v>0.84585</v>
      </c>
      <c r="M1714" s="14" t="n">
        <v>6.8095</v>
      </c>
      <c r="N1714" s="14" t="n">
        <v>5.4345</v>
      </c>
      <c r="O1714" s="14" t="n">
        <v>138.05</v>
      </c>
      <c r="P1714" s="14" t="n">
        <v>10.0984</v>
      </c>
    </row>
    <row r="1715" customFormat="false" ht="15" hidden="false" customHeight="false" outlineLevel="0" collapsed="false">
      <c r="A1715" s="13" t="n">
        <v>44753</v>
      </c>
      <c r="B1715" s="14" t="n">
        <v>1308.9</v>
      </c>
      <c r="C1715" s="14" t="n">
        <v>10.1621</v>
      </c>
      <c r="D1715" s="14" t="n">
        <v>1.1907</v>
      </c>
      <c r="E1715" s="14" t="n">
        <v>1.0088</v>
      </c>
      <c r="F1715" s="14" t="n">
        <v>6.7175</v>
      </c>
      <c r="G1715" s="14" t="n">
        <v>5.3432</v>
      </c>
      <c r="H1715" s="14" t="n">
        <v>137.29</v>
      </c>
      <c r="I1715" s="14" t="n">
        <v>1.0098</v>
      </c>
      <c r="J1715" s="14" t="n">
        <v>10.299</v>
      </c>
      <c r="K1715" s="14" t="n">
        <v>1320.36</v>
      </c>
      <c r="L1715" s="14" t="n">
        <v>0.8454</v>
      </c>
      <c r="M1715" s="14" t="n">
        <v>6.7793</v>
      </c>
      <c r="N1715" s="14" t="n">
        <v>5.3673</v>
      </c>
      <c r="O1715" s="14" t="n">
        <v>138.77</v>
      </c>
      <c r="P1715" s="14" t="n">
        <v>10.199</v>
      </c>
    </row>
    <row r="1716" customFormat="false" ht="15" hidden="false" customHeight="false" outlineLevel="0" collapsed="false">
      <c r="A1716" s="13" t="n">
        <v>44754</v>
      </c>
      <c r="B1716" s="14" t="n">
        <v>1311.91</v>
      </c>
      <c r="C1716" s="14" t="n">
        <v>10.2064</v>
      </c>
      <c r="D1716" s="14" t="n">
        <v>1.1905</v>
      </c>
      <c r="E1716" s="14" t="n">
        <v>1.0069</v>
      </c>
      <c r="F1716" s="14" t="n">
        <v>6.7234</v>
      </c>
      <c r="G1716" s="14" t="n">
        <v>5.4192</v>
      </c>
      <c r="H1716" s="14" t="n">
        <v>136.68</v>
      </c>
      <c r="I1716" s="14" t="n">
        <v>1.0042</v>
      </c>
      <c r="J1716" s="14" t="n">
        <v>10.2754</v>
      </c>
      <c r="K1716" s="14" t="n">
        <v>1315.1</v>
      </c>
      <c r="L1716" s="14" t="n">
        <v>0.84823</v>
      </c>
      <c r="M1716" s="14" t="n">
        <v>6.7518</v>
      </c>
      <c r="N1716" s="14" t="n">
        <v>5.4009</v>
      </c>
      <c r="O1716" s="14" t="n">
        <v>137.31</v>
      </c>
      <c r="P1716" s="14" t="n">
        <v>10.2324</v>
      </c>
    </row>
    <row r="1717" customFormat="false" ht="15" hidden="false" customHeight="false" outlineLevel="0" collapsed="false">
      <c r="A1717" s="13" t="n">
        <v>44755</v>
      </c>
      <c r="B1717" s="14" t="n">
        <v>1306.65</v>
      </c>
      <c r="C1717" s="14" t="n">
        <v>10.1726</v>
      </c>
      <c r="D1717" s="14" t="n">
        <v>1.1919</v>
      </c>
      <c r="E1717" s="14" t="n">
        <v>1.0081</v>
      </c>
      <c r="F1717" s="14" t="n">
        <v>6.7175</v>
      </c>
      <c r="G1717" s="14" t="n">
        <v>5.3764</v>
      </c>
      <c r="H1717" s="14" t="n">
        <v>137.34</v>
      </c>
      <c r="I1717" s="14" t="n">
        <v>1.0067</v>
      </c>
      <c r="J1717" s="14" t="n">
        <v>10.2428</v>
      </c>
      <c r="K1717" s="14" t="n">
        <v>1311.4</v>
      </c>
      <c r="L1717" s="14" t="n">
        <v>0.84371</v>
      </c>
      <c r="M1717" s="14" t="n">
        <v>6.7722</v>
      </c>
      <c r="N1717" s="14" t="n">
        <v>5.4533</v>
      </c>
      <c r="O1717" s="14" t="n">
        <v>138.02</v>
      </c>
      <c r="P1717" s="14" t="n">
        <v>10.1746</v>
      </c>
    </row>
    <row r="1718" customFormat="false" ht="15" hidden="false" customHeight="false" outlineLevel="0" collapsed="false">
      <c r="A1718" s="13" t="n">
        <v>44756</v>
      </c>
      <c r="B1718" s="14" t="n">
        <v>1311.76</v>
      </c>
      <c r="C1718" s="14" t="n">
        <v>10.2442</v>
      </c>
      <c r="D1718" s="14" t="n">
        <v>1.1827</v>
      </c>
      <c r="E1718" s="14" t="n">
        <v>1.0028</v>
      </c>
      <c r="F1718" s="14" t="n">
        <v>6.7542</v>
      </c>
      <c r="G1718" s="14" t="n">
        <v>5.4237</v>
      </c>
      <c r="H1718" s="14" t="n">
        <v>138.94</v>
      </c>
      <c r="I1718" s="14" t="n">
        <v>1.0005</v>
      </c>
      <c r="J1718" s="14" t="n">
        <v>10.2536</v>
      </c>
      <c r="K1718" s="14" t="n">
        <v>1322.29</v>
      </c>
      <c r="L1718" s="14" t="n">
        <v>0.8456</v>
      </c>
      <c r="M1718" s="14" t="n">
        <v>6.7618</v>
      </c>
      <c r="N1718" s="14" t="n">
        <v>5.4586</v>
      </c>
      <c r="O1718" s="14" t="n">
        <v>139.04</v>
      </c>
      <c r="P1718" s="14" t="n">
        <v>10.2485</v>
      </c>
    </row>
    <row r="1719" customFormat="false" ht="15" hidden="false" customHeight="false" outlineLevel="0" collapsed="false">
      <c r="A1719" s="13" t="n">
        <v>44757</v>
      </c>
      <c r="B1719" s="14" t="n">
        <v>1321.15</v>
      </c>
      <c r="C1719" s="14" t="n">
        <v>10.1556</v>
      </c>
      <c r="D1719" s="14" t="n">
        <v>1.1857</v>
      </c>
      <c r="E1719" s="14" t="n">
        <v>1.0089</v>
      </c>
      <c r="F1719" s="14" t="n">
        <v>6.7565</v>
      </c>
      <c r="G1719" s="14" t="n">
        <v>5.384</v>
      </c>
      <c r="H1719" s="14" t="n">
        <v>138.57</v>
      </c>
      <c r="I1719" s="14" t="n">
        <v>1.0059</v>
      </c>
      <c r="J1719" s="14" t="n">
        <v>10.2763</v>
      </c>
      <c r="K1719" s="14" t="n">
        <v>1333.79</v>
      </c>
      <c r="L1719" s="14" t="n">
        <v>0.84988</v>
      </c>
      <c r="M1719" s="14" t="n">
        <v>6.7943</v>
      </c>
      <c r="N1719" s="14" t="n">
        <v>5.4434</v>
      </c>
      <c r="O1719" s="14" t="n">
        <v>139.49</v>
      </c>
      <c r="P1719" s="14" t="n">
        <v>10.216</v>
      </c>
    </row>
    <row r="1720" customFormat="false" ht="15" hidden="false" customHeight="false" outlineLevel="0" collapsed="false">
      <c r="A1720" s="13" t="n">
        <v>44760</v>
      </c>
      <c r="B1720" s="14" t="n">
        <v>1316.7</v>
      </c>
      <c r="C1720" s="14" t="n">
        <v>10.0582</v>
      </c>
      <c r="D1720" s="14" t="n">
        <v>1.1989</v>
      </c>
      <c r="E1720" s="14" t="n">
        <v>1.016</v>
      </c>
      <c r="F1720" s="14" t="n">
        <v>6.742</v>
      </c>
      <c r="G1720" s="14" t="n">
        <v>5.373</v>
      </c>
      <c r="H1720" s="14" t="n">
        <v>138.23</v>
      </c>
      <c r="I1720" s="14" t="n">
        <v>1.0131</v>
      </c>
      <c r="J1720" s="14" t="n">
        <v>10.2553</v>
      </c>
      <c r="K1720" s="14" t="n">
        <v>1333.33</v>
      </c>
      <c r="L1720" s="14" t="n">
        <v>0.84708</v>
      </c>
      <c r="M1720" s="14" t="n">
        <v>6.8266</v>
      </c>
      <c r="N1720" s="14" t="n">
        <v>5.4505</v>
      </c>
      <c r="O1720" s="14" t="n">
        <v>140.16</v>
      </c>
      <c r="P1720" s="14" t="n">
        <v>10.1227</v>
      </c>
    </row>
    <row r="1721" customFormat="false" ht="15" hidden="false" customHeight="false" outlineLevel="0" collapsed="false">
      <c r="A1721" s="13" t="n">
        <v>44761</v>
      </c>
      <c r="B1721" s="14" t="n">
        <v>1313.52</v>
      </c>
      <c r="C1721" s="14" t="n">
        <v>9.9082</v>
      </c>
      <c r="D1721" s="14" t="n">
        <v>1.2022</v>
      </c>
      <c r="E1721" s="14" t="n">
        <v>1.0238</v>
      </c>
      <c r="F1721" s="14" t="n">
        <v>6.743</v>
      </c>
      <c r="G1721" s="14" t="n">
        <v>5.394</v>
      </c>
      <c r="H1721" s="14" t="n">
        <v>137.94</v>
      </c>
      <c r="I1721" s="14" t="n">
        <v>1.0245</v>
      </c>
      <c r="J1721" s="14" t="n">
        <v>10.176</v>
      </c>
      <c r="K1721" s="14" t="n">
        <v>1340.33</v>
      </c>
      <c r="L1721" s="14" t="n">
        <v>0.85303</v>
      </c>
      <c r="M1721" s="14" t="n">
        <v>6.9064</v>
      </c>
      <c r="N1721" s="14" t="n">
        <v>5.5454</v>
      </c>
      <c r="O1721" s="14" t="n">
        <v>141.01</v>
      </c>
      <c r="P1721" s="14" t="n">
        <v>9.9327</v>
      </c>
    </row>
    <row r="1722" customFormat="false" ht="15" hidden="false" customHeight="false" outlineLevel="0" collapsed="false">
      <c r="A1722" s="13" t="n">
        <v>44762</v>
      </c>
      <c r="B1722" s="14" t="n">
        <v>1313.1</v>
      </c>
      <c r="C1722" s="14" t="n">
        <v>9.9425</v>
      </c>
      <c r="D1722" s="14" t="n">
        <v>1.1989</v>
      </c>
      <c r="E1722" s="14" t="n">
        <v>1.0217</v>
      </c>
      <c r="F1722" s="14" t="n">
        <v>6.754</v>
      </c>
      <c r="G1722" s="14" t="n">
        <v>5.4325</v>
      </c>
      <c r="H1722" s="14" t="n">
        <v>138.16</v>
      </c>
      <c r="I1722" s="14" t="n">
        <v>1.0199</v>
      </c>
      <c r="J1722" s="14" t="n">
        <v>10.1323</v>
      </c>
      <c r="K1722" s="14" t="n">
        <v>1337.61</v>
      </c>
      <c r="L1722" s="14" t="n">
        <v>0.85178</v>
      </c>
      <c r="M1722" s="14" t="n">
        <v>6.8892</v>
      </c>
      <c r="N1722" s="14" t="n">
        <v>5.5427</v>
      </c>
      <c r="O1722" s="14" t="n">
        <v>140.92</v>
      </c>
      <c r="P1722" s="14" t="n">
        <v>9.9346</v>
      </c>
    </row>
    <row r="1723" customFormat="false" ht="15" hidden="false" customHeight="false" outlineLevel="0" collapsed="false">
      <c r="A1723" s="13" t="n">
        <v>44763</v>
      </c>
      <c r="B1723" s="14" t="n">
        <v>1307.58</v>
      </c>
      <c r="C1723" s="14" t="n">
        <v>9.974</v>
      </c>
      <c r="D1723" s="14" t="n">
        <v>1.1968</v>
      </c>
      <c r="E1723" s="14" t="n">
        <v>1.0197</v>
      </c>
      <c r="F1723" s="14" t="n">
        <v>6.7655</v>
      </c>
      <c r="G1723" s="14" t="n">
        <v>5.497</v>
      </c>
      <c r="H1723" s="14" t="n">
        <v>137.94</v>
      </c>
      <c r="I1723" s="14" t="n">
        <v>1.0199</v>
      </c>
      <c r="J1723" s="14" t="n">
        <v>10.175</v>
      </c>
      <c r="K1723" s="14" t="n">
        <v>1337.47</v>
      </c>
      <c r="L1723" s="14" t="n">
        <v>0.85545</v>
      </c>
      <c r="M1723" s="14" t="n">
        <v>6.904</v>
      </c>
      <c r="N1723" s="14" t="n">
        <v>5.5777</v>
      </c>
      <c r="O1723" s="14" t="n">
        <v>141.46</v>
      </c>
      <c r="P1723" s="14" t="n">
        <v>9.9765</v>
      </c>
    </row>
    <row r="1724" customFormat="false" ht="15" hidden="false" customHeight="false" outlineLevel="0" collapsed="false">
      <c r="A1724" s="13" t="n">
        <v>44764</v>
      </c>
      <c r="B1724" s="14" t="n">
        <v>1312.82</v>
      </c>
      <c r="C1724" s="14" t="n">
        <v>9.913</v>
      </c>
      <c r="D1724" s="14" t="n">
        <v>1.2019</v>
      </c>
      <c r="E1724" s="14" t="n">
        <v>1.0225</v>
      </c>
      <c r="F1724" s="14" t="n">
        <v>6.75</v>
      </c>
      <c r="G1724" s="14" t="n">
        <v>5.4558</v>
      </c>
      <c r="H1724" s="14" t="n">
        <v>136.12</v>
      </c>
      <c r="I1724" s="14" t="n">
        <v>1.019</v>
      </c>
      <c r="J1724" s="14" t="n">
        <v>10.1498</v>
      </c>
      <c r="K1724" s="14" t="n">
        <v>1335.66</v>
      </c>
      <c r="L1724" s="14" t="n">
        <v>0.85141</v>
      </c>
      <c r="M1724" s="14" t="n">
        <v>6.8852</v>
      </c>
      <c r="N1724" s="14" t="n">
        <v>5.5821</v>
      </c>
      <c r="O1724" s="14" t="n">
        <v>139.51</v>
      </c>
      <c r="P1724" s="14" t="n">
        <v>9.9605</v>
      </c>
    </row>
    <row r="1725" customFormat="false" ht="15" hidden="false" customHeight="false" outlineLevel="0" collapsed="false">
      <c r="A1725" s="13" t="n">
        <v>44767</v>
      </c>
      <c r="B1725" s="14" t="n">
        <v>1313.27</v>
      </c>
      <c r="C1725" s="14" t="n">
        <v>9.8442</v>
      </c>
      <c r="D1725" s="14" t="n">
        <v>1.2042</v>
      </c>
      <c r="E1725" s="14" t="n">
        <v>1.0211</v>
      </c>
      <c r="F1725" s="14" t="n">
        <v>6.7499</v>
      </c>
      <c r="G1725" s="14" t="n">
        <v>5.4015</v>
      </c>
      <c r="H1725" s="14" t="n">
        <v>136.72</v>
      </c>
      <c r="I1725" s="14" t="n">
        <v>1.0236</v>
      </c>
      <c r="J1725" s="14" t="n">
        <v>10.0704</v>
      </c>
      <c r="K1725" s="14" t="n">
        <v>1341.25</v>
      </c>
      <c r="L1725" s="14" t="n">
        <v>0.84813</v>
      </c>
      <c r="M1725" s="14" t="n">
        <v>6.9094</v>
      </c>
      <c r="N1725" s="14" t="n">
        <v>5.5976</v>
      </c>
      <c r="O1725" s="14" t="n">
        <v>139.84</v>
      </c>
      <c r="P1725" s="14" t="n">
        <v>9.8382</v>
      </c>
    </row>
    <row r="1726" customFormat="false" ht="15" hidden="false" customHeight="false" outlineLevel="0" collapsed="false">
      <c r="A1726" s="13" t="n">
        <v>44768</v>
      </c>
      <c r="B1726" s="14" t="n">
        <v>1308.33</v>
      </c>
      <c r="C1726" s="14" t="n">
        <v>9.9028</v>
      </c>
      <c r="D1726" s="14" t="n">
        <v>1.2036</v>
      </c>
      <c r="E1726" s="14" t="n">
        <v>1.0116</v>
      </c>
      <c r="F1726" s="14" t="n">
        <v>6.7616</v>
      </c>
      <c r="G1726" s="14" t="n">
        <v>5.3699</v>
      </c>
      <c r="H1726" s="14" t="n">
        <v>136.62</v>
      </c>
      <c r="I1726" s="14" t="n">
        <v>1.0124</v>
      </c>
      <c r="J1726" s="14" t="n">
        <v>10.0105</v>
      </c>
      <c r="K1726" s="14" t="n">
        <v>1326.65</v>
      </c>
      <c r="L1726" s="14" t="n">
        <v>0.84558</v>
      </c>
      <c r="M1726" s="14" t="n">
        <v>6.8451</v>
      </c>
      <c r="N1726" s="14" t="n">
        <v>5.4437</v>
      </c>
      <c r="O1726" s="14" t="n">
        <v>138.35</v>
      </c>
      <c r="P1726" s="14" t="n">
        <v>9.8879</v>
      </c>
    </row>
    <row r="1727" customFormat="false" ht="15" hidden="false" customHeight="false" outlineLevel="0" collapsed="false">
      <c r="A1727" s="13" t="n">
        <v>44769</v>
      </c>
      <c r="B1727" s="14" t="n">
        <v>1313.14</v>
      </c>
      <c r="C1727" s="14" t="n">
        <v>9.8502</v>
      </c>
      <c r="D1727" s="14" t="n">
        <v>1.2027</v>
      </c>
      <c r="E1727" s="14" t="n">
        <v>1.0108</v>
      </c>
      <c r="F1727" s="14" t="n">
        <v>6.757</v>
      </c>
      <c r="G1727" s="14" t="n">
        <v>5.2962</v>
      </c>
      <c r="H1727" s="14" t="n">
        <v>137.31</v>
      </c>
      <c r="I1727" s="14" t="n">
        <v>1.0152</v>
      </c>
      <c r="J1727" s="14" t="n">
        <v>9.9558</v>
      </c>
      <c r="K1727" s="14" t="n">
        <v>1333.99</v>
      </c>
      <c r="L1727" s="14" t="n">
        <v>0.84138</v>
      </c>
      <c r="M1727" s="14" t="n">
        <v>6.8534</v>
      </c>
      <c r="N1727" s="14" t="n">
        <v>5.4039</v>
      </c>
      <c r="O1727" s="14" t="n">
        <v>138.89</v>
      </c>
      <c r="P1727" s="14" t="n">
        <v>9.8067</v>
      </c>
    </row>
    <row r="1728" customFormat="false" ht="15" hidden="false" customHeight="false" outlineLevel="0" collapsed="false">
      <c r="A1728" s="13" t="n">
        <v>44770</v>
      </c>
      <c r="B1728" s="14" t="n">
        <v>1299.69</v>
      </c>
      <c r="C1728" s="14" t="n">
        <v>9.7695</v>
      </c>
      <c r="D1728" s="14" t="n">
        <v>1.2126</v>
      </c>
      <c r="E1728" s="14" t="n">
        <v>1.0163</v>
      </c>
      <c r="F1728" s="14" t="n">
        <v>6.7465</v>
      </c>
      <c r="G1728" s="14" t="n">
        <v>5.215</v>
      </c>
      <c r="H1728" s="14" t="n">
        <v>134.45</v>
      </c>
      <c r="I1728" s="14" t="n">
        <v>1.0122</v>
      </c>
      <c r="J1728" s="14" t="n">
        <v>9.8983</v>
      </c>
      <c r="K1728" s="14" t="n">
        <v>1320.45</v>
      </c>
      <c r="L1728" s="14" t="n">
        <v>0.83586</v>
      </c>
      <c r="M1728" s="14" t="n">
        <v>6.8325</v>
      </c>
      <c r="N1728" s="14" t="n">
        <v>5.33</v>
      </c>
      <c r="O1728" s="14" t="n">
        <v>137.26</v>
      </c>
      <c r="P1728" s="14" t="n">
        <v>9.779</v>
      </c>
    </row>
    <row r="1729" customFormat="false" ht="15" hidden="false" customHeight="false" outlineLevel="0" collapsed="false">
      <c r="A1729" s="13" t="n">
        <v>44771</v>
      </c>
      <c r="B1729" s="14" t="n">
        <v>1299.08</v>
      </c>
      <c r="C1729" s="14" t="n">
        <v>9.6728</v>
      </c>
      <c r="D1729" s="14" t="n">
        <v>1.2183</v>
      </c>
      <c r="E1729" s="14" t="n">
        <v>1.0202</v>
      </c>
      <c r="F1729" s="14" t="n">
        <v>6.7433</v>
      </c>
      <c r="G1729" s="14" t="n">
        <v>5.181</v>
      </c>
      <c r="H1729" s="14" t="n">
        <v>133.25</v>
      </c>
      <c r="I1729" s="14" t="n">
        <v>1.0198</v>
      </c>
      <c r="J1729" s="14" t="n">
        <v>9.8773</v>
      </c>
      <c r="K1729" s="14" t="n">
        <v>1329.4</v>
      </c>
      <c r="L1729" s="14" t="n">
        <v>0.8399</v>
      </c>
      <c r="M1729" s="14" t="n">
        <v>6.8705</v>
      </c>
      <c r="N1729" s="14" t="n">
        <v>5.2739</v>
      </c>
      <c r="O1729" s="14" t="n">
        <v>136.42</v>
      </c>
      <c r="P1729" s="14" t="n">
        <v>9.6855</v>
      </c>
    </row>
    <row r="1730" customFormat="false" ht="15" hidden="false" customHeight="false" outlineLevel="0" collapsed="false">
      <c r="A1730" s="13" t="n">
        <v>44774</v>
      </c>
      <c r="B1730" s="14" t="n">
        <v>1304.18</v>
      </c>
      <c r="C1730" s="14" t="n">
        <v>9.6119</v>
      </c>
      <c r="D1730" s="14" t="n">
        <v>1.2278</v>
      </c>
      <c r="E1730" s="14" t="n">
        <v>1.027</v>
      </c>
      <c r="F1730" s="14" t="n">
        <v>6.7674</v>
      </c>
      <c r="G1730" s="14" t="n">
        <v>5.1508</v>
      </c>
      <c r="H1730" s="14" t="n">
        <v>131.8</v>
      </c>
      <c r="I1730" s="14" t="n">
        <v>1.0233</v>
      </c>
      <c r="J1730" s="14" t="n">
        <v>9.8638</v>
      </c>
      <c r="K1730" s="14" t="n">
        <v>1333.3</v>
      </c>
      <c r="L1730" s="14" t="n">
        <v>0.837</v>
      </c>
      <c r="M1730" s="14" t="n">
        <v>6.9105</v>
      </c>
      <c r="N1730" s="14" t="n">
        <v>5.2723</v>
      </c>
      <c r="O1730" s="14" t="n">
        <v>135.38</v>
      </c>
      <c r="P1730" s="14" t="n">
        <v>9.6392</v>
      </c>
    </row>
    <row r="1731" customFormat="false" ht="15" hidden="false" customHeight="false" outlineLevel="0" collapsed="false">
      <c r="A1731" s="13" t="n">
        <v>44775</v>
      </c>
      <c r="B1731" s="14" t="n">
        <v>1304.89</v>
      </c>
      <c r="C1731" s="14" t="n">
        <v>9.7326</v>
      </c>
      <c r="D1731" s="14" t="n">
        <v>1.2218</v>
      </c>
      <c r="E1731" s="14" t="n">
        <v>1.0194</v>
      </c>
      <c r="F1731" s="14" t="n">
        <v>6.7499</v>
      </c>
      <c r="G1731" s="14" t="n">
        <v>5.242</v>
      </c>
      <c r="H1731" s="14" t="n">
        <v>132.32</v>
      </c>
      <c r="I1731" s="14" t="n">
        <v>1.0224</v>
      </c>
      <c r="J1731" s="14" t="n">
        <v>9.9305</v>
      </c>
      <c r="K1731" s="14" t="n">
        <v>1339.16</v>
      </c>
      <c r="L1731" s="14" t="n">
        <v>0.83665</v>
      </c>
      <c r="M1731" s="14" t="n">
        <v>6.9117</v>
      </c>
      <c r="N1731" s="14" t="n">
        <v>5.3175</v>
      </c>
      <c r="O1731" s="14" t="n">
        <v>133.9</v>
      </c>
      <c r="P1731" s="14" t="n">
        <v>9.7129</v>
      </c>
    </row>
    <row r="1732" customFormat="false" ht="15" hidden="false" customHeight="false" outlineLevel="0" collapsed="false">
      <c r="A1732" s="13" t="n">
        <v>44776</v>
      </c>
      <c r="B1732" s="14" t="n">
        <v>1310.69</v>
      </c>
      <c r="C1732" s="14" t="n">
        <v>9.7273</v>
      </c>
      <c r="D1732" s="14" t="n">
        <v>1.2132</v>
      </c>
      <c r="E1732" s="14" t="n">
        <v>1.0146</v>
      </c>
      <c r="F1732" s="14" t="n">
        <v>6.7565</v>
      </c>
      <c r="G1732" s="14" t="n">
        <v>5.2693</v>
      </c>
      <c r="H1732" s="14" t="n">
        <v>134.18</v>
      </c>
      <c r="I1732" s="14" t="n">
        <v>1.0194</v>
      </c>
      <c r="J1732" s="14" t="n">
        <v>9.8743</v>
      </c>
      <c r="K1732" s="14" t="n">
        <v>1336.03</v>
      </c>
      <c r="L1732" s="14" t="n">
        <v>0.83629</v>
      </c>
      <c r="M1732" s="14" t="n">
        <v>6.883</v>
      </c>
      <c r="N1732" s="14" t="n">
        <v>5.3547</v>
      </c>
      <c r="O1732" s="14" t="n">
        <v>136.18</v>
      </c>
      <c r="P1732" s="14" t="n">
        <v>9.6864</v>
      </c>
    </row>
    <row r="1733" customFormat="false" ht="15" hidden="false" customHeight="false" outlineLevel="0" collapsed="false">
      <c r="A1733" s="13" t="n">
        <v>44777</v>
      </c>
      <c r="B1733" s="14" t="n">
        <v>1310.2</v>
      </c>
      <c r="C1733" s="14" t="n">
        <v>9.7433</v>
      </c>
      <c r="D1733" s="14" t="n">
        <v>1.2141</v>
      </c>
      <c r="E1733" s="14" t="n">
        <v>1.0221</v>
      </c>
      <c r="F1733" s="14" t="n">
        <v>6.7485</v>
      </c>
      <c r="G1733" s="14" t="n">
        <v>5.2165</v>
      </c>
      <c r="H1733" s="14" t="n">
        <v>133.28</v>
      </c>
      <c r="I1733" s="14" t="n">
        <v>1.0181</v>
      </c>
      <c r="J1733" s="14" t="n">
        <v>9.9065</v>
      </c>
      <c r="K1733" s="14" t="n">
        <v>1333.7</v>
      </c>
      <c r="L1733" s="14" t="n">
        <v>0.84231</v>
      </c>
      <c r="M1733" s="14" t="n">
        <v>6.8769</v>
      </c>
      <c r="N1733" s="14" t="n">
        <v>5.3614</v>
      </c>
      <c r="O1733" s="14" t="n">
        <v>135.81</v>
      </c>
      <c r="P1733" s="14" t="n">
        <v>9.7304</v>
      </c>
    </row>
    <row r="1734" customFormat="false" ht="15" hidden="false" customHeight="false" outlineLevel="0" collapsed="false">
      <c r="A1734" s="13" t="n">
        <v>44778</v>
      </c>
      <c r="B1734" s="14" t="n">
        <v>1298.22</v>
      </c>
      <c r="C1734" s="14" t="n">
        <v>9.811</v>
      </c>
      <c r="D1734" s="14" t="n">
        <v>1.2061</v>
      </c>
      <c r="E1734" s="14" t="n">
        <v>1.017</v>
      </c>
      <c r="F1734" s="14" t="n">
        <v>6.7607</v>
      </c>
      <c r="G1734" s="14" t="n">
        <v>5.1987</v>
      </c>
      <c r="H1734" s="14" t="n">
        <v>135.33</v>
      </c>
      <c r="I1734" s="14" t="n">
        <v>1.0233</v>
      </c>
      <c r="J1734" s="14" t="n">
        <v>9.982</v>
      </c>
      <c r="K1734" s="14" t="n">
        <v>1324.53</v>
      </c>
      <c r="L1734" s="14" t="n">
        <v>0.84268</v>
      </c>
      <c r="M1734" s="14" t="n">
        <v>6.9068</v>
      </c>
      <c r="N1734" s="14" t="n">
        <v>5.3348</v>
      </c>
      <c r="O1734" s="14" t="n">
        <v>136.22</v>
      </c>
      <c r="P1734" s="14" t="n">
        <v>9.7547</v>
      </c>
    </row>
    <row r="1735" customFormat="false" ht="15" hidden="false" customHeight="false" outlineLevel="0" collapsed="false">
      <c r="A1735" s="13" t="n">
        <v>44781</v>
      </c>
      <c r="B1735" s="14" t="n">
        <v>1306.11</v>
      </c>
      <c r="C1735" s="14" t="n">
        <v>9.7255</v>
      </c>
      <c r="D1735" s="14" t="n">
        <v>1.2098</v>
      </c>
      <c r="E1735" s="14" t="n">
        <v>1.0207</v>
      </c>
      <c r="F1735" s="14" t="n">
        <v>6.7505</v>
      </c>
      <c r="G1735" s="14" t="n">
        <v>5.1331</v>
      </c>
      <c r="H1735" s="14" t="n">
        <v>134.73</v>
      </c>
      <c r="I1735" s="14" t="n">
        <v>1.0199</v>
      </c>
      <c r="J1735" s="14" t="n">
        <v>9.9405</v>
      </c>
      <c r="K1735" s="14" t="n">
        <v>1329.93</v>
      </c>
      <c r="L1735" s="14" t="n">
        <v>0.84165</v>
      </c>
      <c r="M1735" s="14" t="n">
        <v>6.8931</v>
      </c>
      <c r="N1735" s="14" t="n">
        <v>5.238</v>
      </c>
      <c r="O1735" s="14" t="n">
        <v>137.62</v>
      </c>
      <c r="P1735" s="14" t="n">
        <v>9.7465</v>
      </c>
    </row>
    <row r="1736" customFormat="false" ht="15" hidden="false" customHeight="false" outlineLevel="0" collapsed="false">
      <c r="A1736" s="13" t="n">
        <v>44782</v>
      </c>
      <c r="B1736" s="14" t="n">
        <v>1304.5</v>
      </c>
      <c r="C1736" s="14" t="n">
        <v>9.712</v>
      </c>
      <c r="D1736" s="14" t="n">
        <v>1.2089</v>
      </c>
      <c r="E1736" s="14" t="n">
        <v>1.0226</v>
      </c>
      <c r="F1736" s="14" t="n">
        <v>6.7525</v>
      </c>
      <c r="G1736" s="14" t="n">
        <v>5.1302</v>
      </c>
      <c r="H1736" s="14" t="n">
        <v>134.95</v>
      </c>
      <c r="I1736" s="14" t="n">
        <v>1.0234</v>
      </c>
      <c r="J1736" s="14" t="n">
        <v>9.9365</v>
      </c>
      <c r="K1736" s="14" t="n">
        <v>1336.74</v>
      </c>
      <c r="L1736" s="14" t="n">
        <v>0.8452</v>
      </c>
      <c r="M1736" s="14" t="n">
        <v>6.9106</v>
      </c>
      <c r="N1736" s="14" t="n">
        <v>5.2478</v>
      </c>
      <c r="O1736" s="14" t="n">
        <v>138.26</v>
      </c>
      <c r="P1736" s="14" t="n">
        <v>9.7093</v>
      </c>
    </row>
    <row r="1737" customFormat="false" ht="15" hidden="false" customHeight="false" outlineLevel="0" collapsed="false">
      <c r="A1737" s="13" t="n">
        <v>44783</v>
      </c>
      <c r="B1737" s="14" t="n">
        <v>1310.54</v>
      </c>
      <c r="C1737" s="14" t="n">
        <v>9.5061</v>
      </c>
      <c r="D1737" s="14" t="n">
        <v>1.2245</v>
      </c>
      <c r="E1737" s="14" t="n">
        <v>1.0337</v>
      </c>
      <c r="F1737" s="14" t="n">
        <v>6.723</v>
      </c>
      <c r="G1737" s="14" t="n">
        <v>5.053</v>
      </c>
      <c r="H1737" s="14" t="n">
        <v>132.58</v>
      </c>
      <c r="I1737" s="14" t="n">
        <v>1.0252</v>
      </c>
      <c r="J1737" s="14" t="n">
        <v>9.9118</v>
      </c>
      <c r="K1737" s="14" t="n">
        <v>1344.16</v>
      </c>
      <c r="L1737" s="14" t="n">
        <v>0.84608</v>
      </c>
      <c r="M1737" s="14" t="n">
        <v>6.9222</v>
      </c>
      <c r="N1737" s="14" t="n">
        <v>5.251</v>
      </c>
      <c r="O1737" s="14" t="n">
        <v>138.16</v>
      </c>
      <c r="P1737" s="14" t="n">
        <v>9.6682</v>
      </c>
    </row>
    <row r="1738" customFormat="false" ht="15" hidden="false" customHeight="false" outlineLevel="0" collapsed="false">
      <c r="A1738" s="13" t="n">
        <v>44784</v>
      </c>
      <c r="B1738" s="14" t="n">
        <v>1302.72</v>
      </c>
      <c r="C1738" s="14" t="n">
        <v>9.4932</v>
      </c>
      <c r="D1738" s="14" t="n">
        <v>1.223</v>
      </c>
      <c r="E1738" s="14" t="n">
        <v>1.0338</v>
      </c>
      <c r="F1738" s="14" t="n">
        <v>6.7445</v>
      </c>
      <c r="G1738" s="14" t="n">
        <v>5.1396</v>
      </c>
      <c r="H1738" s="14" t="n">
        <v>132.66</v>
      </c>
      <c r="I1738" s="14" t="n">
        <v>1.0338</v>
      </c>
      <c r="J1738" s="14" t="n">
        <v>9.804</v>
      </c>
      <c r="K1738" s="14" t="n">
        <v>1344.62</v>
      </c>
      <c r="L1738" s="14" t="n">
        <v>0.84575</v>
      </c>
      <c r="M1738" s="14" t="n">
        <v>6.9668</v>
      </c>
      <c r="N1738" s="14" t="n">
        <v>5.2447</v>
      </c>
      <c r="O1738" s="14" t="n">
        <v>136.57</v>
      </c>
      <c r="P1738" s="14" t="n">
        <v>9.4835</v>
      </c>
    </row>
    <row r="1739" customFormat="false" ht="15" hidden="false" customHeight="false" outlineLevel="0" collapsed="false">
      <c r="A1739" s="13" t="n">
        <v>44785</v>
      </c>
      <c r="B1739" s="14" t="n">
        <v>1302.13</v>
      </c>
      <c r="C1739" s="14" t="n">
        <v>9.574</v>
      </c>
      <c r="D1739" s="14" t="n">
        <v>1.2132</v>
      </c>
      <c r="E1739" s="14" t="n">
        <v>1.0257</v>
      </c>
      <c r="F1739" s="14" t="n">
        <v>6.7425</v>
      </c>
      <c r="G1739" s="14" t="n">
        <v>5.086</v>
      </c>
      <c r="H1739" s="14" t="n">
        <v>133.57</v>
      </c>
      <c r="I1739" s="14" t="n">
        <v>1.0285</v>
      </c>
      <c r="J1739" s="14" t="n">
        <v>9.813</v>
      </c>
      <c r="K1739" s="14" t="n">
        <v>1342.59</v>
      </c>
      <c r="L1739" s="14" t="n">
        <v>0.84715</v>
      </c>
      <c r="M1739" s="14" t="n">
        <v>6.9352</v>
      </c>
      <c r="N1739" s="14" t="n">
        <v>5.3007</v>
      </c>
      <c r="O1739" s="14" t="n">
        <v>137.47</v>
      </c>
      <c r="P1739" s="14" t="n">
        <v>9.5411</v>
      </c>
    </row>
    <row r="1740" customFormat="false" ht="15" hidden="false" customHeight="false" outlineLevel="0" collapsed="false">
      <c r="A1740" s="13" t="n">
        <v>44788</v>
      </c>
      <c r="B1740" s="14" t="n">
        <v>1305.85</v>
      </c>
      <c r="C1740" s="14" t="n">
        <v>9.6819</v>
      </c>
      <c r="D1740" s="14" t="n">
        <v>1.209</v>
      </c>
      <c r="E1740" s="14" t="n">
        <v>1.0186</v>
      </c>
      <c r="F1740" s="14" t="n">
        <v>6.7715</v>
      </c>
      <c r="G1740" s="14" t="n">
        <v>5.0818</v>
      </c>
      <c r="H1740" s="14" t="n">
        <v>133.13</v>
      </c>
      <c r="I1740" s="14" t="n">
        <v>1.0195</v>
      </c>
      <c r="J1740" s="14" t="n">
        <v>9.871</v>
      </c>
      <c r="K1740" s="14" t="n">
        <v>1336.35</v>
      </c>
      <c r="L1740" s="14" t="n">
        <v>0.84375</v>
      </c>
      <c r="M1740" s="14" t="n">
        <v>6.905</v>
      </c>
      <c r="N1740" s="14" t="n">
        <v>5.2268</v>
      </c>
      <c r="O1740" s="14" t="n">
        <v>135.61</v>
      </c>
      <c r="P1740" s="14" t="n">
        <v>9.6822</v>
      </c>
    </row>
    <row r="1741" customFormat="false" ht="15" hidden="false" customHeight="false" outlineLevel="0" collapsed="false">
      <c r="A1741" s="13" t="n">
        <v>44789</v>
      </c>
      <c r="B1741" s="14" t="n">
        <v>1308.54</v>
      </c>
      <c r="C1741" s="14" t="n">
        <v>9.6806</v>
      </c>
      <c r="D1741" s="14" t="n">
        <v>1.209</v>
      </c>
      <c r="E1741" s="14" t="n">
        <v>1.0174</v>
      </c>
      <c r="F1741" s="14" t="n">
        <v>6.7875</v>
      </c>
      <c r="G1741" s="14" t="n">
        <v>5.1443</v>
      </c>
      <c r="H1741" s="14" t="n">
        <v>134.38</v>
      </c>
      <c r="I1741" s="14" t="n">
        <v>1.0131</v>
      </c>
      <c r="J1741" s="14" t="n">
        <v>9.8428</v>
      </c>
      <c r="K1741" s="14" t="n">
        <v>1329.66</v>
      </c>
      <c r="L1741" s="14" t="n">
        <v>0.84218</v>
      </c>
      <c r="M1741" s="14" t="n">
        <v>6.8767</v>
      </c>
      <c r="N1741" s="14" t="n">
        <v>5.1835</v>
      </c>
      <c r="O1741" s="14" t="n">
        <v>136.11</v>
      </c>
      <c r="P1741" s="14" t="n">
        <v>9.7155</v>
      </c>
    </row>
    <row r="1742" customFormat="false" ht="15" hidden="false" customHeight="false" outlineLevel="0" collapsed="false">
      <c r="A1742" s="13" t="n">
        <v>44790</v>
      </c>
      <c r="B1742" s="14" t="n">
        <v>1310.16</v>
      </c>
      <c r="C1742" s="14" t="n">
        <v>9.7292</v>
      </c>
      <c r="D1742" s="14" t="n">
        <v>1.203</v>
      </c>
      <c r="E1742" s="14" t="n">
        <v>1.0164</v>
      </c>
      <c r="F1742" s="14" t="n">
        <v>6.7805</v>
      </c>
      <c r="G1742" s="14" t="n">
        <v>5.1705</v>
      </c>
      <c r="H1742" s="14" t="n">
        <v>135.4</v>
      </c>
      <c r="I1742" s="14" t="n">
        <v>1.0164</v>
      </c>
      <c r="J1742" s="14" t="n">
        <v>9.8428</v>
      </c>
      <c r="K1742" s="14" t="n">
        <v>1337.02</v>
      </c>
      <c r="L1742" s="14" t="n">
        <v>0.84208</v>
      </c>
      <c r="M1742" s="14" t="n">
        <v>6.8917</v>
      </c>
      <c r="N1742" s="14" t="n">
        <v>5.2838</v>
      </c>
      <c r="O1742" s="14" t="n">
        <v>137.36</v>
      </c>
      <c r="P1742" s="14" t="n">
        <v>9.684</v>
      </c>
    </row>
    <row r="1743" customFormat="false" ht="15" hidden="false" customHeight="false" outlineLevel="0" collapsed="false">
      <c r="A1743" s="13" t="n">
        <v>44791</v>
      </c>
      <c r="B1743" s="14" t="n">
        <v>1319.94</v>
      </c>
      <c r="C1743" s="14" t="n">
        <v>9.7092</v>
      </c>
      <c r="D1743" s="14" t="n">
        <v>1.197</v>
      </c>
      <c r="E1743" s="14" t="n">
        <v>1.0114</v>
      </c>
      <c r="F1743" s="14" t="n">
        <v>6.7855</v>
      </c>
      <c r="G1743" s="14" t="n">
        <v>5.1873</v>
      </c>
      <c r="H1743" s="14" t="n">
        <v>135.29</v>
      </c>
      <c r="I1743" s="14" t="n">
        <v>1.0178</v>
      </c>
      <c r="J1743" s="14" t="n">
        <v>9.8283</v>
      </c>
      <c r="K1743" s="14" t="n">
        <v>1344.81</v>
      </c>
      <c r="L1743" s="14" t="n">
        <v>0.84391</v>
      </c>
      <c r="M1743" s="14" t="n">
        <v>6.906</v>
      </c>
      <c r="N1743" s="14" t="n">
        <v>5.2326</v>
      </c>
      <c r="O1743" s="14" t="n">
        <v>137.17</v>
      </c>
      <c r="P1743" s="14" t="n">
        <v>9.6564</v>
      </c>
    </row>
    <row r="1744" customFormat="false" ht="15" hidden="false" customHeight="false" outlineLevel="0" collapsed="false">
      <c r="A1744" s="13" t="n">
        <v>44792</v>
      </c>
      <c r="B1744" s="14" t="n">
        <v>1325.5</v>
      </c>
      <c r="C1744" s="14" t="n">
        <v>9.8069</v>
      </c>
      <c r="D1744" s="14" t="n">
        <v>1.181</v>
      </c>
      <c r="E1744" s="14" t="n">
        <v>1.0039</v>
      </c>
      <c r="F1744" s="14" t="n">
        <v>6.8164</v>
      </c>
      <c r="G1744" s="14" t="n">
        <v>5.1947</v>
      </c>
      <c r="H1744" s="14" t="n">
        <v>137.01</v>
      </c>
      <c r="I1744" s="14" t="n">
        <v>1.0054</v>
      </c>
      <c r="J1744" s="14" t="n">
        <v>9.8418</v>
      </c>
      <c r="K1744" s="14" t="n">
        <v>1343.39</v>
      </c>
      <c r="L1744" s="14" t="n">
        <v>0.84938</v>
      </c>
      <c r="M1744" s="14" t="n">
        <v>6.8531</v>
      </c>
      <c r="N1744" s="14" t="n">
        <v>5.2334</v>
      </c>
      <c r="O1744" s="14" t="n">
        <v>137.67</v>
      </c>
      <c r="P1744" s="14" t="n">
        <v>9.7889</v>
      </c>
    </row>
    <row r="1745" customFormat="false" ht="15" hidden="false" customHeight="false" outlineLevel="0" collapsed="false">
      <c r="A1745" s="13" t="n">
        <v>44795</v>
      </c>
      <c r="B1745" s="14" t="n">
        <v>1339.4</v>
      </c>
      <c r="C1745" s="14" t="n">
        <v>9.8443</v>
      </c>
      <c r="D1745" s="14" t="n">
        <v>1.1752</v>
      </c>
      <c r="E1745" s="14" t="n">
        <v>0.9936</v>
      </c>
      <c r="F1745" s="14" t="n">
        <v>6.8476</v>
      </c>
      <c r="G1745" s="14" t="n">
        <v>5.1669</v>
      </c>
      <c r="H1745" s="14" t="n">
        <v>137.57</v>
      </c>
      <c r="I1745" s="14" t="n">
        <v>1.0001</v>
      </c>
      <c r="J1745" s="14" t="n">
        <v>9.7719</v>
      </c>
      <c r="K1745" s="14" t="n">
        <v>1344.21</v>
      </c>
      <c r="L1745" s="14" t="n">
        <v>0.84658</v>
      </c>
      <c r="M1745" s="14" t="n">
        <v>6.8457</v>
      </c>
      <c r="N1745" s="14" t="n">
        <v>5.1752</v>
      </c>
      <c r="O1745" s="14" t="n">
        <v>137.08</v>
      </c>
      <c r="P1745" s="14" t="n">
        <v>9.7709</v>
      </c>
    </row>
    <row r="1746" customFormat="false" ht="15" hidden="false" customHeight="false" outlineLevel="0" collapsed="false">
      <c r="A1746" s="13" t="n">
        <v>44796</v>
      </c>
      <c r="B1746" s="14" t="n">
        <v>1339.4</v>
      </c>
      <c r="C1746" s="14" t="n">
        <v>9.7077</v>
      </c>
      <c r="D1746" s="14" t="n">
        <v>1.1844</v>
      </c>
      <c r="E1746" s="14" t="n">
        <v>0.9976</v>
      </c>
      <c r="F1746" s="14" t="n">
        <v>6.8476</v>
      </c>
      <c r="G1746" s="14" t="n">
        <v>5.081</v>
      </c>
      <c r="H1746" s="14" t="n">
        <v>136.36</v>
      </c>
      <c r="I1746" s="14" t="n">
        <v>0.9927</v>
      </c>
      <c r="J1746" s="14" t="n">
        <v>9.7438</v>
      </c>
      <c r="K1746" s="14" t="n">
        <v>1332.1</v>
      </c>
      <c r="L1746" s="14" t="n">
        <v>0.84343</v>
      </c>
      <c r="M1746" s="14" t="n">
        <v>6.7952</v>
      </c>
      <c r="N1746" s="14" t="n">
        <v>5.0984</v>
      </c>
      <c r="O1746" s="14" t="n">
        <v>136.34</v>
      </c>
      <c r="P1746" s="14" t="n">
        <v>9.8155</v>
      </c>
    </row>
    <row r="1747" customFormat="false" ht="15" hidden="false" customHeight="false" outlineLevel="0" collapsed="false">
      <c r="A1747" s="13" t="n">
        <v>44797</v>
      </c>
      <c r="B1747" s="14" t="n">
        <v>1342.05</v>
      </c>
      <c r="C1747" s="14" t="n">
        <v>9.6815</v>
      </c>
      <c r="D1747" s="14" t="n">
        <v>1.1802</v>
      </c>
      <c r="E1747" s="14" t="n">
        <v>0.9967</v>
      </c>
      <c r="F1747" s="14" t="n">
        <v>6.8581</v>
      </c>
      <c r="G1747" s="14" t="n">
        <v>5.0939</v>
      </c>
      <c r="H1747" s="14" t="n">
        <v>136.92</v>
      </c>
      <c r="I1747" s="14" t="n">
        <v>0.9934</v>
      </c>
      <c r="J1747" s="14" t="n">
        <v>9.636</v>
      </c>
      <c r="K1747" s="14" t="n">
        <v>1332.84</v>
      </c>
      <c r="L1747" s="14" t="n">
        <v>0.84283</v>
      </c>
      <c r="M1747" s="14" t="n">
        <v>6.822</v>
      </c>
      <c r="N1747" s="14" t="n">
        <v>5.0606</v>
      </c>
      <c r="O1747" s="14" t="n">
        <v>135.74</v>
      </c>
      <c r="P1747" s="14" t="n">
        <v>9.7</v>
      </c>
    </row>
    <row r="1748" customFormat="false" ht="15" hidden="false" customHeight="false" outlineLevel="0" collapsed="false">
      <c r="A1748" s="13" t="n">
        <v>44798</v>
      </c>
      <c r="B1748" s="14" t="n">
        <v>1335.46</v>
      </c>
      <c r="C1748" s="14" t="n">
        <v>9.695</v>
      </c>
      <c r="D1748" s="14" t="n">
        <v>1.1803</v>
      </c>
      <c r="E1748" s="14" t="n">
        <v>0.9959</v>
      </c>
      <c r="F1748" s="14" t="n">
        <v>6.8477</v>
      </c>
      <c r="G1748" s="14" t="n">
        <v>5.116</v>
      </c>
      <c r="H1748" s="14" t="n">
        <v>136.83</v>
      </c>
      <c r="I1748" s="14" t="n">
        <v>0.997</v>
      </c>
      <c r="J1748" s="14" t="n">
        <v>9.64</v>
      </c>
      <c r="K1748" s="14" t="n">
        <v>1331.98</v>
      </c>
      <c r="L1748" s="14" t="n">
        <v>0.84293</v>
      </c>
      <c r="M1748" s="14" t="n">
        <v>6.8317</v>
      </c>
      <c r="N1748" s="14" t="n">
        <v>5.0879</v>
      </c>
      <c r="O1748" s="14" t="n">
        <v>136.07</v>
      </c>
      <c r="P1748" s="14" t="n">
        <v>9.669</v>
      </c>
    </row>
    <row r="1749" customFormat="false" ht="15" hidden="false" customHeight="false" outlineLevel="0" collapsed="false">
      <c r="A1749" s="13" t="n">
        <v>44799</v>
      </c>
      <c r="B1749" s="14" t="n">
        <v>1331.17</v>
      </c>
      <c r="C1749" s="14" t="n">
        <v>9.7103</v>
      </c>
      <c r="D1749" s="14" t="n">
        <v>1.1778</v>
      </c>
      <c r="E1749" s="14" t="n">
        <v>0.9998</v>
      </c>
      <c r="F1749" s="14" t="n">
        <v>6.8715</v>
      </c>
      <c r="G1749" s="14" t="n">
        <v>5.0826</v>
      </c>
      <c r="H1749" s="14" t="n">
        <v>137.07</v>
      </c>
      <c r="I1749" s="14" t="n">
        <v>1.0007</v>
      </c>
      <c r="J1749" s="14" t="n">
        <v>9.667</v>
      </c>
      <c r="K1749" s="14" t="n">
        <v>1333.46</v>
      </c>
      <c r="L1749" s="14" t="n">
        <v>0.8459</v>
      </c>
      <c r="M1749" s="14" t="n">
        <v>6.8671</v>
      </c>
      <c r="N1749" s="14" t="n">
        <v>5.1069</v>
      </c>
      <c r="O1749" s="14" t="n">
        <v>137.02</v>
      </c>
      <c r="P1749" s="14" t="n">
        <v>9.6602</v>
      </c>
    </row>
    <row r="1750" customFormat="false" ht="15" hidden="false" customHeight="false" outlineLevel="0" collapsed="false">
      <c r="A1750" s="13" t="n">
        <v>44802</v>
      </c>
      <c r="B1750" s="14" t="n">
        <v>1349.8</v>
      </c>
      <c r="C1750" s="14" t="n">
        <v>9.7474</v>
      </c>
      <c r="D1750" s="14" t="n">
        <v>1.1718</v>
      </c>
      <c r="E1750" s="14" t="n">
        <v>1</v>
      </c>
      <c r="F1750" s="14" t="n">
        <v>6.9067</v>
      </c>
      <c r="G1750" s="14" t="n">
        <v>5.0273</v>
      </c>
      <c r="H1750" s="14" t="n">
        <v>138.74</v>
      </c>
      <c r="I1750" s="14" t="n">
        <v>0.9986</v>
      </c>
      <c r="J1750" s="14" t="n">
        <v>9.7675</v>
      </c>
      <c r="K1750" s="14" t="n">
        <v>1347.47</v>
      </c>
      <c r="L1750" s="14" t="n">
        <v>0.8542</v>
      </c>
      <c r="M1750" s="14" t="n">
        <v>6.9044</v>
      </c>
      <c r="N1750" s="14" t="n">
        <v>5.0663</v>
      </c>
      <c r="O1750" s="14" t="n">
        <v>138.49</v>
      </c>
      <c r="P1750" s="14" t="n">
        <v>9.7812</v>
      </c>
    </row>
    <row r="1751" customFormat="false" ht="15" hidden="false" customHeight="false" outlineLevel="0" collapsed="false">
      <c r="A1751" s="13" t="n">
        <v>44803</v>
      </c>
      <c r="B1751" s="14" t="n">
        <v>1346.37</v>
      </c>
      <c r="C1751" s="14" t="n">
        <v>9.8002</v>
      </c>
      <c r="D1751" s="14" t="n">
        <v>1.1651</v>
      </c>
      <c r="E1751" s="14" t="n">
        <v>1.0018</v>
      </c>
      <c r="F1751" s="14" t="n">
        <v>6.91</v>
      </c>
      <c r="G1751" s="14" t="n">
        <v>5.077</v>
      </c>
      <c r="H1751" s="14" t="n">
        <v>138.73</v>
      </c>
      <c r="I1751" s="14" t="n">
        <v>1.0034</v>
      </c>
      <c r="J1751" s="14" t="n">
        <v>9.7553</v>
      </c>
      <c r="K1751" s="14" t="n">
        <v>1350.92</v>
      </c>
      <c r="L1751" s="14" t="n">
        <v>0.85645</v>
      </c>
      <c r="M1751" s="14" t="n">
        <v>6.9233</v>
      </c>
      <c r="N1751" s="14" t="n">
        <v>5.0286</v>
      </c>
      <c r="O1751" s="14" t="n">
        <v>138.71</v>
      </c>
      <c r="P1751" s="14" t="n">
        <v>9.7222</v>
      </c>
    </row>
    <row r="1752" customFormat="false" ht="15" hidden="false" customHeight="false" outlineLevel="0" collapsed="false">
      <c r="A1752" s="13" t="n">
        <v>44804</v>
      </c>
      <c r="B1752" s="14" t="n">
        <v>1338.66</v>
      </c>
      <c r="C1752" s="14" t="n">
        <v>9.9031</v>
      </c>
      <c r="D1752" s="14" t="n">
        <v>1.1647</v>
      </c>
      <c r="E1752" s="14" t="n">
        <v>1.0065</v>
      </c>
      <c r="F1752" s="14" t="n">
        <v>6.889</v>
      </c>
      <c r="G1752" s="14" t="n">
        <v>5.187</v>
      </c>
      <c r="H1752" s="14" t="n">
        <v>138.69</v>
      </c>
      <c r="I1752" s="14" t="n">
        <v>1</v>
      </c>
      <c r="J1752" s="14" t="n">
        <v>9.9388</v>
      </c>
      <c r="K1752" s="14" t="n">
        <v>1342.79</v>
      </c>
      <c r="L1752" s="14" t="n">
        <v>0.86035</v>
      </c>
      <c r="M1752" s="14" t="n">
        <v>6.8947</v>
      </c>
      <c r="N1752" s="14" t="n">
        <v>5.1482</v>
      </c>
      <c r="O1752" s="14" t="n">
        <v>138.72</v>
      </c>
      <c r="P1752" s="14" t="n">
        <v>9.9388</v>
      </c>
    </row>
    <row r="1753" customFormat="false" ht="15" hidden="false" customHeight="false" outlineLevel="0" collapsed="false">
      <c r="A1753" s="13" t="n">
        <v>44805</v>
      </c>
      <c r="B1753" s="14" t="n">
        <v>1354.34</v>
      </c>
      <c r="C1753" s="14" t="n">
        <v>10.0534</v>
      </c>
      <c r="D1753" s="14" t="n">
        <v>1.1541</v>
      </c>
      <c r="E1753" s="14" t="n">
        <v>0.995</v>
      </c>
      <c r="F1753" s="14" t="n">
        <v>6.9066</v>
      </c>
      <c r="G1753" s="14" t="n">
        <v>5.2238</v>
      </c>
      <c r="H1753" s="14" t="n">
        <v>139.93</v>
      </c>
      <c r="I1753" s="14" t="n">
        <v>1.0004</v>
      </c>
      <c r="J1753" s="14" t="n">
        <v>10.013</v>
      </c>
      <c r="K1753" s="14" t="n">
        <v>1353.69</v>
      </c>
      <c r="L1753" s="14" t="n">
        <v>0.86473</v>
      </c>
      <c r="M1753" s="14" t="n">
        <v>6.9017</v>
      </c>
      <c r="N1753" s="14" t="n">
        <v>5.2239</v>
      </c>
      <c r="O1753" s="14" t="n">
        <v>139.34</v>
      </c>
      <c r="P1753" s="14" t="n">
        <v>10.009</v>
      </c>
    </row>
    <row r="1754" customFormat="false" ht="15" hidden="false" customHeight="false" outlineLevel="0" collapsed="false">
      <c r="A1754" s="13" t="n">
        <v>44806</v>
      </c>
      <c r="B1754" s="14" t="n">
        <v>1362.2</v>
      </c>
      <c r="C1754" s="14" t="n">
        <v>9.9497</v>
      </c>
      <c r="D1754" s="14" t="n">
        <v>1.1582</v>
      </c>
      <c r="E1754" s="14" t="n">
        <v>1.003</v>
      </c>
      <c r="F1754" s="14" t="n">
        <v>6.8985</v>
      </c>
      <c r="G1754" s="14" t="n">
        <v>5.172</v>
      </c>
      <c r="H1754" s="14" t="n">
        <v>140.03</v>
      </c>
      <c r="I1754" s="14" t="n">
        <v>0.9993</v>
      </c>
      <c r="J1754" s="14" t="n">
        <v>10.0035</v>
      </c>
      <c r="K1754" s="14" t="n">
        <v>1360.84</v>
      </c>
      <c r="L1754" s="14" t="n">
        <v>0.86478</v>
      </c>
      <c r="M1754" s="14" t="n">
        <v>6.9031</v>
      </c>
      <c r="N1754" s="14" t="n">
        <v>5.2153</v>
      </c>
      <c r="O1754" s="14" t="n">
        <v>140.36</v>
      </c>
      <c r="P1754" s="14" t="n">
        <v>10.0105</v>
      </c>
    </row>
    <row r="1755" customFormat="false" ht="15" hidden="false" customHeight="false" outlineLevel="0" collapsed="false">
      <c r="A1755" s="13" t="n">
        <v>44809</v>
      </c>
      <c r="I1755" s="14" t="n">
        <v>0.992</v>
      </c>
      <c r="J1755" s="14" t="n">
        <v>9.9188</v>
      </c>
      <c r="K1755" s="14" t="n">
        <v>1359.98</v>
      </c>
      <c r="L1755" s="14" t="n">
        <v>0.86358</v>
      </c>
      <c r="M1755" s="14" t="n">
        <v>6.8768</v>
      </c>
      <c r="N1755" s="14" t="n">
        <v>5.1407</v>
      </c>
      <c r="O1755" s="14" t="n">
        <v>139.47</v>
      </c>
      <c r="P1755" s="14" t="n">
        <v>9.9988</v>
      </c>
    </row>
    <row r="1756" customFormat="false" ht="15" hidden="false" customHeight="false" outlineLevel="0" collapsed="false">
      <c r="A1756" s="13" t="n">
        <v>44810</v>
      </c>
      <c r="B1756" s="14" t="n">
        <v>1378.95</v>
      </c>
      <c r="C1756" s="14" t="n">
        <v>9.9971</v>
      </c>
      <c r="D1756" s="14" t="n">
        <v>1.1549</v>
      </c>
      <c r="E1756" s="14" t="n">
        <v>0.9914</v>
      </c>
      <c r="F1756" s="14" t="n">
        <v>6.9532</v>
      </c>
      <c r="G1756" s="14" t="n">
        <v>5.2305</v>
      </c>
      <c r="H1756" s="14" t="n">
        <v>142.95</v>
      </c>
      <c r="I1756" s="14" t="n">
        <v>0.9928</v>
      </c>
      <c r="J1756" s="14" t="n">
        <v>9.8945</v>
      </c>
      <c r="K1756" s="14" t="n">
        <v>1366.65</v>
      </c>
      <c r="L1756" s="14" t="n">
        <v>0.85743</v>
      </c>
      <c r="M1756" s="14" t="n">
        <v>6.9091</v>
      </c>
      <c r="N1756" s="14" t="n">
        <v>5.13</v>
      </c>
      <c r="O1756" s="14" t="n">
        <v>140.91</v>
      </c>
      <c r="P1756" s="14" t="n">
        <v>9.9663</v>
      </c>
    </row>
    <row r="1757" customFormat="false" ht="15" hidden="false" customHeight="false" outlineLevel="0" collapsed="false">
      <c r="A1757" s="13" t="n">
        <v>44811</v>
      </c>
      <c r="B1757" s="14" t="n">
        <v>1383.72</v>
      </c>
      <c r="C1757" s="14" t="n">
        <v>10.046</v>
      </c>
      <c r="D1757" s="14" t="n">
        <v>1.1473</v>
      </c>
      <c r="E1757" s="14" t="n">
        <v>0.9942</v>
      </c>
      <c r="F1757" s="14" t="n">
        <v>6.965</v>
      </c>
      <c r="G1757" s="14" t="n">
        <v>5.248</v>
      </c>
      <c r="H1757" s="14" t="n">
        <v>144.39</v>
      </c>
      <c r="I1757" s="14" t="n">
        <v>0.9885</v>
      </c>
      <c r="J1757" s="14" t="n">
        <v>9.9483</v>
      </c>
      <c r="K1757" s="14" t="n">
        <v>1374.44</v>
      </c>
      <c r="L1757" s="14" t="n">
        <v>0.8651</v>
      </c>
      <c r="M1757" s="14" t="n">
        <v>6.8968</v>
      </c>
      <c r="N1757" s="14" t="n">
        <v>5.1881</v>
      </c>
      <c r="O1757" s="14" t="n">
        <v>143.2</v>
      </c>
      <c r="P1757" s="14" t="n">
        <v>10.064</v>
      </c>
    </row>
    <row r="1758" customFormat="false" ht="15" hidden="false" customHeight="false" outlineLevel="0" collapsed="false">
      <c r="A1758" s="13" t="n">
        <v>44812</v>
      </c>
      <c r="B1758" s="14" t="n">
        <v>1380.51</v>
      </c>
      <c r="C1758" s="14" t="n">
        <v>10.0765</v>
      </c>
      <c r="D1758" s="14" t="n">
        <v>1.1489</v>
      </c>
      <c r="E1758" s="14" t="n">
        <v>0.9956</v>
      </c>
      <c r="F1758" s="14" t="n">
        <v>6.9562</v>
      </c>
      <c r="G1758" s="14" t="n">
        <v>5.2196</v>
      </c>
      <c r="H1758" s="14" t="n">
        <v>144.05</v>
      </c>
      <c r="I1758" s="14" t="n">
        <v>1.0009</v>
      </c>
      <c r="J1758" s="14" t="n">
        <v>10.0615</v>
      </c>
      <c r="K1758" s="14" t="n">
        <v>1381.7</v>
      </c>
      <c r="L1758" s="14" t="n">
        <v>0.86656</v>
      </c>
      <c r="M1758" s="14" t="n">
        <v>6.9564</v>
      </c>
      <c r="N1758" s="14" t="n">
        <v>5.2042</v>
      </c>
      <c r="O1758" s="14" t="n">
        <v>143.65</v>
      </c>
      <c r="P1758" s="14" t="n">
        <v>10.0525</v>
      </c>
    </row>
    <row r="1759" customFormat="false" ht="15" hidden="false" customHeight="false" outlineLevel="0" collapsed="false">
      <c r="A1759" s="13" t="n">
        <v>44813</v>
      </c>
      <c r="B1759" s="14" t="n">
        <v>1376.74</v>
      </c>
      <c r="C1759" s="14" t="n">
        <v>9.9101</v>
      </c>
      <c r="D1759" s="14" t="n">
        <v>1.16</v>
      </c>
      <c r="E1759" s="14" t="n">
        <v>1.0046</v>
      </c>
      <c r="F1759" s="14" t="n">
        <v>6.924</v>
      </c>
      <c r="G1759" s="14" t="n">
        <v>5.1541</v>
      </c>
      <c r="H1759" s="14" t="n">
        <v>142.44</v>
      </c>
      <c r="I1759" s="14" t="n">
        <v>1.0049</v>
      </c>
      <c r="J1759" s="14" t="n">
        <v>9.9836</v>
      </c>
      <c r="K1759" s="14" t="n">
        <v>1384.64</v>
      </c>
      <c r="L1759" s="14" t="n">
        <v>0.8686</v>
      </c>
      <c r="M1759" s="14" t="n">
        <v>6.9543</v>
      </c>
      <c r="N1759" s="14" t="n">
        <v>5.2087</v>
      </c>
      <c r="O1759" s="14" t="n">
        <v>143.3</v>
      </c>
      <c r="P1759" s="14" t="n">
        <v>9.9349</v>
      </c>
    </row>
    <row r="1760" customFormat="false" ht="15" hidden="false" customHeight="false" outlineLevel="0" collapsed="false">
      <c r="A1760" s="13" t="n">
        <v>44816</v>
      </c>
      <c r="B1760" s="14" t="n">
        <v>1377.38</v>
      </c>
      <c r="C1760" s="14" t="n">
        <v>9.9154</v>
      </c>
      <c r="D1760" s="14" t="n">
        <v>1.1701</v>
      </c>
      <c r="E1760" s="14" t="n">
        <v>1.0129</v>
      </c>
      <c r="F1760" s="14" t="n">
        <v>6.9265</v>
      </c>
      <c r="G1760" s="14" t="n">
        <v>5.1562</v>
      </c>
      <c r="H1760" s="14" t="n">
        <v>142.41</v>
      </c>
      <c r="I1760" s="14" t="n">
        <v>1.0155</v>
      </c>
      <c r="J1760" s="14" t="n">
        <v>9.9718</v>
      </c>
      <c r="K1760" s="14" t="n">
        <v>1397.58</v>
      </c>
      <c r="L1760" s="14" t="n">
        <v>0.86778</v>
      </c>
      <c r="M1760" s="14" t="n">
        <v>7.0348</v>
      </c>
      <c r="N1760" s="14" t="n">
        <v>5.1933</v>
      </c>
      <c r="O1760" s="14" t="n">
        <v>144.49</v>
      </c>
      <c r="P1760" s="14" t="n">
        <v>9.8196</v>
      </c>
    </row>
    <row r="1761" customFormat="false" ht="15" hidden="false" customHeight="false" outlineLevel="0" collapsed="false">
      <c r="A1761" s="13" t="n">
        <v>44817</v>
      </c>
      <c r="B1761" s="14" t="n">
        <v>1373.76</v>
      </c>
      <c r="C1761" s="14" t="n">
        <v>10.0682</v>
      </c>
      <c r="D1761" s="14" t="n">
        <v>1.1526</v>
      </c>
      <c r="E1761" s="14" t="n">
        <v>0.9997</v>
      </c>
      <c r="F1761" s="14" t="n">
        <v>6.9245</v>
      </c>
      <c r="G1761" s="14" t="n">
        <v>5.186</v>
      </c>
      <c r="H1761" s="14" t="n">
        <v>144.3</v>
      </c>
      <c r="I1761" s="14" t="n">
        <v>1.0175</v>
      </c>
      <c r="J1761" s="14" t="n">
        <v>9.9988</v>
      </c>
      <c r="K1761" s="14" t="n">
        <v>1397.3</v>
      </c>
      <c r="L1761" s="14" t="n">
        <v>0.86793</v>
      </c>
      <c r="M1761" s="14" t="n">
        <v>7.0467</v>
      </c>
      <c r="N1761" s="14" t="n">
        <v>5.1764</v>
      </c>
      <c r="O1761" s="14" t="n">
        <v>144.5</v>
      </c>
      <c r="P1761" s="14" t="n">
        <v>9.8268</v>
      </c>
    </row>
    <row r="1762" customFormat="false" ht="15" hidden="false" customHeight="false" outlineLevel="0" collapsed="false">
      <c r="A1762" s="13" t="n">
        <v>44818</v>
      </c>
      <c r="B1762" s="14" t="n">
        <v>1391.1</v>
      </c>
      <c r="C1762" s="14" t="n">
        <v>10.0884</v>
      </c>
      <c r="D1762" s="14" t="n">
        <v>1.1564</v>
      </c>
      <c r="E1762" s="14" t="n">
        <v>0.9993</v>
      </c>
      <c r="F1762" s="14" t="n">
        <v>6.9612</v>
      </c>
      <c r="G1762" s="14" t="n">
        <v>5.1755</v>
      </c>
      <c r="H1762" s="14" t="n">
        <v>142.93</v>
      </c>
      <c r="I1762" s="14" t="n">
        <v>0.999</v>
      </c>
      <c r="J1762" s="14" t="n">
        <v>10.1125</v>
      </c>
      <c r="K1762" s="14" t="n">
        <v>1391.97</v>
      </c>
      <c r="L1762" s="14" t="n">
        <v>0.86498</v>
      </c>
      <c r="M1762" s="14" t="n">
        <v>6.955</v>
      </c>
      <c r="N1762" s="14" t="n">
        <v>5.1827</v>
      </c>
      <c r="O1762" s="14" t="n">
        <v>143.08</v>
      </c>
      <c r="P1762" s="14" t="n">
        <v>10.1226</v>
      </c>
    </row>
    <row r="1763" customFormat="false" ht="15" hidden="false" customHeight="false" outlineLevel="0" collapsed="false">
      <c r="A1763" s="13" t="n">
        <v>44819</v>
      </c>
      <c r="B1763" s="14" t="n">
        <v>1393.93</v>
      </c>
      <c r="C1763" s="14" t="n">
        <v>10.1573</v>
      </c>
      <c r="D1763" s="14" t="n">
        <v>1.1472</v>
      </c>
      <c r="E1763" s="14" t="n">
        <v>0.9991</v>
      </c>
      <c r="F1763" s="14" t="n">
        <v>6.9934</v>
      </c>
      <c r="G1763" s="14" t="n">
        <v>5.233</v>
      </c>
      <c r="H1763" s="14" t="n">
        <v>143.57</v>
      </c>
      <c r="I1763" s="14" t="n">
        <v>0.9992</v>
      </c>
      <c r="J1763" s="14" t="n">
        <v>10.1203</v>
      </c>
      <c r="K1763" s="14" t="n">
        <v>1397.18</v>
      </c>
      <c r="L1763" s="14" t="n">
        <v>0.86934</v>
      </c>
      <c r="M1763" s="14" t="n">
        <v>6.9852</v>
      </c>
      <c r="N1763" s="14" t="n">
        <v>5.1837</v>
      </c>
      <c r="O1763" s="14" t="n">
        <v>143.43</v>
      </c>
      <c r="P1763" s="14" t="n">
        <v>10.1284</v>
      </c>
    </row>
    <row r="1764" customFormat="false" ht="15" hidden="false" customHeight="false" outlineLevel="0" collapsed="false">
      <c r="A1764" s="13" t="n">
        <v>44820</v>
      </c>
      <c r="B1764" s="14" t="n">
        <v>1384.48</v>
      </c>
      <c r="C1764" s="14" t="n">
        <v>10.2143</v>
      </c>
      <c r="D1764" s="14" t="n">
        <v>1.1419</v>
      </c>
      <c r="E1764" s="14" t="n">
        <v>1.0013</v>
      </c>
      <c r="F1764" s="14" t="n">
        <v>6.9799</v>
      </c>
      <c r="G1764" s="14" t="n">
        <v>5.287</v>
      </c>
      <c r="H1764" s="14" t="n">
        <v>143.04</v>
      </c>
      <c r="I1764" s="14" t="n">
        <v>0.9954</v>
      </c>
      <c r="J1764" s="14" t="n">
        <v>10.1985</v>
      </c>
      <c r="K1764" s="14" t="n">
        <v>1383.58</v>
      </c>
      <c r="L1764" s="14" t="n">
        <v>0.874</v>
      </c>
      <c r="M1764" s="14" t="n">
        <v>6.9787</v>
      </c>
      <c r="N1764" s="14" t="n">
        <v>5.2279</v>
      </c>
      <c r="O1764" s="14" t="n">
        <v>142.53</v>
      </c>
      <c r="P1764" s="14" t="n">
        <v>10.2456</v>
      </c>
    </row>
    <row r="1765" customFormat="false" ht="15" hidden="false" customHeight="false" outlineLevel="0" collapsed="false">
      <c r="A1765" s="13" t="n">
        <v>44823</v>
      </c>
      <c r="B1765" s="14" t="n">
        <v>1393.05</v>
      </c>
      <c r="C1765" s="14" t="n">
        <v>10.2649</v>
      </c>
      <c r="D1765" s="14" t="n">
        <v>1.1403</v>
      </c>
      <c r="E1765" s="14" t="n">
        <v>1.0003</v>
      </c>
      <c r="F1765" s="14" t="n">
        <v>7.005</v>
      </c>
      <c r="G1765" s="14" t="n">
        <v>5.1762</v>
      </c>
      <c r="H1765" s="14" t="n">
        <v>143.34</v>
      </c>
      <c r="I1765" s="14" t="n">
        <v>0.999</v>
      </c>
      <c r="J1765" s="14" t="n">
        <v>10.2826</v>
      </c>
      <c r="K1765" s="14" t="n">
        <v>1391.82</v>
      </c>
      <c r="L1765" s="14" t="n">
        <v>0.87785</v>
      </c>
      <c r="M1765" s="14" t="n">
        <v>7.0066</v>
      </c>
      <c r="N1765" s="14" t="n">
        <v>5.2886</v>
      </c>
      <c r="O1765" s="14" t="n">
        <v>143.42</v>
      </c>
      <c r="P1765" s="14" t="n">
        <v>10.2929</v>
      </c>
    </row>
    <row r="1766" customFormat="false" ht="15" hidden="false" customHeight="false" outlineLevel="0" collapsed="false">
      <c r="A1766" s="13" t="n">
        <v>44824</v>
      </c>
      <c r="B1766" s="14" t="n">
        <v>1389.86</v>
      </c>
      <c r="C1766" s="14" t="n">
        <v>10.3107</v>
      </c>
      <c r="D1766" s="14" t="n">
        <v>1.1405</v>
      </c>
      <c r="E1766" s="14" t="n">
        <v>0.9994</v>
      </c>
      <c r="F1766" s="14" t="n">
        <v>7.0176</v>
      </c>
      <c r="G1766" s="14" t="n">
        <v>5.1516</v>
      </c>
      <c r="H1766" s="14" t="n">
        <v>143.64</v>
      </c>
      <c r="I1766" s="14" t="n">
        <v>0.9986</v>
      </c>
      <c r="J1766" s="14" t="n">
        <v>10.273</v>
      </c>
      <c r="K1766" s="14" t="n">
        <v>1390.71</v>
      </c>
      <c r="L1766" s="14" t="n">
        <v>0.87395</v>
      </c>
      <c r="M1766" s="14" t="n">
        <v>7.003</v>
      </c>
      <c r="N1766" s="14" t="n">
        <v>5.2139</v>
      </c>
      <c r="O1766" s="14" t="n">
        <v>143.34</v>
      </c>
      <c r="P1766" s="14" t="n">
        <v>10.2874</v>
      </c>
    </row>
    <row r="1767" customFormat="false" ht="15" hidden="false" customHeight="false" outlineLevel="0" collapsed="false">
      <c r="A1767" s="13" t="n">
        <v>44825</v>
      </c>
      <c r="B1767" s="14" t="n">
        <v>1395.92</v>
      </c>
      <c r="C1767" s="14" t="n">
        <v>10.3149</v>
      </c>
      <c r="D1767" s="14" t="n">
        <v>1.133</v>
      </c>
      <c r="E1767" s="14" t="n">
        <v>0.988</v>
      </c>
      <c r="F1767" s="14" t="n">
        <v>7.0479</v>
      </c>
      <c r="G1767" s="14" t="n">
        <v>5.1806</v>
      </c>
      <c r="H1767" s="14" t="n">
        <v>144.14</v>
      </c>
      <c r="I1767" s="14" t="n">
        <v>0.9906</v>
      </c>
      <c r="J1767" s="14" t="n">
        <v>10.2858</v>
      </c>
      <c r="K1767" s="14" t="n">
        <v>1381.38</v>
      </c>
      <c r="L1767" s="14" t="n">
        <v>0.87335</v>
      </c>
      <c r="M1767" s="14" t="n">
        <v>6.9821</v>
      </c>
      <c r="N1767" s="14" t="n">
        <v>5.0924</v>
      </c>
      <c r="O1767" s="14" t="n">
        <v>142.66</v>
      </c>
      <c r="P1767" s="14" t="n">
        <v>10.3834</v>
      </c>
    </row>
    <row r="1768" customFormat="false" ht="15" hidden="false" customHeight="false" outlineLevel="0" collapsed="false">
      <c r="A1768" s="13" t="n">
        <v>44826</v>
      </c>
      <c r="B1768" s="14" t="n">
        <v>1412.29</v>
      </c>
      <c r="C1768" s="14" t="n">
        <v>10.4058</v>
      </c>
      <c r="D1768" s="14" t="n">
        <v>1.1269</v>
      </c>
      <c r="E1768" s="14" t="n">
        <v>0.9841</v>
      </c>
      <c r="F1768" s="14" t="n">
        <v>7.0772</v>
      </c>
      <c r="G1768" s="14" t="n">
        <v>5.1742</v>
      </c>
      <c r="H1768" s="14" t="n">
        <v>142.16</v>
      </c>
      <c r="I1768" s="14" t="n">
        <v>0.9884</v>
      </c>
      <c r="J1768" s="14" t="n">
        <v>10.235</v>
      </c>
      <c r="K1768" s="14" t="n">
        <v>1384.79</v>
      </c>
      <c r="L1768" s="14" t="n">
        <v>0.87256</v>
      </c>
      <c r="M1768" s="14" t="n">
        <v>6.9804</v>
      </c>
      <c r="N1768" s="14" t="n">
        <v>5.0677</v>
      </c>
      <c r="O1768" s="14" t="n">
        <v>139.18</v>
      </c>
      <c r="P1768" s="14" t="n">
        <v>10.3551</v>
      </c>
    </row>
    <row r="1769" customFormat="false" ht="15" hidden="false" customHeight="false" outlineLevel="0" collapsed="false">
      <c r="A1769" s="13" t="n">
        <v>44827</v>
      </c>
      <c r="B1769" s="14" t="n">
        <v>1409.42</v>
      </c>
      <c r="C1769" s="14" t="n">
        <v>10.5963</v>
      </c>
      <c r="D1769" s="14" t="n">
        <v>1.0921</v>
      </c>
      <c r="E1769" s="14" t="n">
        <v>0.9719</v>
      </c>
      <c r="F1769" s="14" t="n">
        <v>7.1266</v>
      </c>
      <c r="G1769" s="14" t="n">
        <v>5.237</v>
      </c>
      <c r="H1769" s="14" t="n">
        <v>143.18</v>
      </c>
      <c r="I1769" s="14" t="n">
        <v>0.9754</v>
      </c>
      <c r="J1769" s="14" t="n">
        <v>10.2335</v>
      </c>
      <c r="K1769" s="14" t="n">
        <v>1381.97</v>
      </c>
      <c r="L1769" s="14" t="n">
        <v>0.88201</v>
      </c>
      <c r="M1769" s="14" t="n">
        <v>6.9442</v>
      </c>
      <c r="N1769" s="14" t="n">
        <v>5.0456</v>
      </c>
      <c r="O1769" s="14" t="n">
        <v>139.43</v>
      </c>
      <c r="P1769" s="14" t="n">
        <v>10.4916</v>
      </c>
    </row>
    <row r="1770" customFormat="false" ht="15" hidden="false" customHeight="false" outlineLevel="0" collapsed="false">
      <c r="A1770" s="13" t="n">
        <v>44830</v>
      </c>
      <c r="B1770" s="14" t="n">
        <v>1432.47</v>
      </c>
      <c r="C1770" s="14" t="n">
        <v>10.7863</v>
      </c>
      <c r="D1770" s="14" t="n">
        <v>1.0703</v>
      </c>
      <c r="E1770" s="14" t="n">
        <v>0.9623</v>
      </c>
      <c r="F1770" s="14" t="n">
        <v>7.1384</v>
      </c>
      <c r="G1770" s="14" t="n">
        <v>5.3914</v>
      </c>
      <c r="H1770" s="14" t="n">
        <v>144.45</v>
      </c>
      <c r="I1770" s="14" t="n">
        <v>0.9646</v>
      </c>
      <c r="J1770" s="14" t="n">
        <v>10.3585</v>
      </c>
      <c r="K1770" s="14" t="n">
        <v>1379.4</v>
      </c>
      <c r="L1770" s="14" t="n">
        <v>0.89404</v>
      </c>
      <c r="M1770" s="14" t="n">
        <v>6.9075</v>
      </c>
      <c r="N1770" s="14" t="n">
        <v>5.1504</v>
      </c>
      <c r="O1770" s="14" t="n">
        <v>139.07</v>
      </c>
      <c r="P1770" s="14" t="n">
        <v>10.7386</v>
      </c>
    </row>
    <row r="1771" customFormat="false" ht="15" hidden="false" customHeight="false" outlineLevel="0" collapsed="false">
      <c r="A1771" s="13" t="n">
        <v>44831</v>
      </c>
      <c r="B1771" s="14" t="n">
        <v>1422.39</v>
      </c>
      <c r="C1771" s="14" t="n">
        <v>10.7801</v>
      </c>
      <c r="D1771" s="14" t="n">
        <v>1.0753</v>
      </c>
      <c r="E1771" s="14" t="n">
        <v>0.9616</v>
      </c>
      <c r="F1771" s="14" t="n">
        <v>7.176</v>
      </c>
      <c r="G1771" s="14" t="n">
        <v>5.3595</v>
      </c>
      <c r="H1771" s="14" t="n">
        <v>144.71</v>
      </c>
      <c r="I1771" s="14" t="n">
        <v>0.9644</v>
      </c>
      <c r="J1771" s="14" t="n">
        <v>10.3473</v>
      </c>
      <c r="K1771" s="14" t="n">
        <v>1370.06</v>
      </c>
      <c r="L1771" s="14" t="n">
        <v>0.89275</v>
      </c>
      <c r="M1771" s="14" t="n">
        <v>6.9156</v>
      </c>
      <c r="N1771" s="14" t="n">
        <v>5.1235</v>
      </c>
      <c r="O1771" s="14" t="n">
        <v>139.28</v>
      </c>
      <c r="P1771" s="14" t="n">
        <v>10.7293</v>
      </c>
    </row>
    <row r="1772" customFormat="false" ht="15" hidden="false" customHeight="false" outlineLevel="0" collapsed="false">
      <c r="A1772" s="13" t="n">
        <v>44832</v>
      </c>
      <c r="B1772" s="14" t="n">
        <v>1440.5</v>
      </c>
      <c r="C1772" s="14" t="n">
        <v>10.7339</v>
      </c>
      <c r="D1772" s="14" t="n">
        <v>1.0832</v>
      </c>
      <c r="E1772" s="14" t="n">
        <v>0.9681</v>
      </c>
      <c r="F1772" s="14" t="n">
        <v>7.199</v>
      </c>
      <c r="G1772" s="14" t="n">
        <v>5.3636</v>
      </c>
      <c r="H1772" s="14" t="n">
        <v>144.15</v>
      </c>
      <c r="I1772" s="14" t="n">
        <v>0.9565</v>
      </c>
      <c r="J1772" s="14" t="n">
        <v>10.4576</v>
      </c>
      <c r="K1772" s="14" t="n">
        <v>1378.84</v>
      </c>
      <c r="L1772" s="14" t="n">
        <v>0.90268</v>
      </c>
      <c r="M1772" s="14" t="n">
        <v>6.9199</v>
      </c>
      <c r="N1772" s="14" t="n">
        <v>5.1728</v>
      </c>
      <c r="O1772" s="14" t="n">
        <v>138.39</v>
      </c>
      <c r="P1772" s="14" t="n">
        <v>10.9332</v>
      </c>
    </row>
    <row r="1773" customFormat="false" ht="15" hidden="false" customHeight="false" outlineLevel="0" collapsed="false">
      <c r="A1773" s="13" t="n">
        <v>44833</v>
      </c>
      <c r="B1773" s="14" t="n">
        <v>1439.15</v>
      </c>
      <c r="C1773" s="14" t="n">
        <v>10.7241</v>
      </c>
      <c r="D1773" s="14" t="n">
        <v>1.1048</v>
      </c>
      <c r="E1773" s="14" t="n">
        <v>0.9774</v>
      </c>
      <c r="F1773" s="14" t="n">
        <v>7.1196</v>
      </c>
      <c r="G1773" s="14" t="n">
        <v>5.3943</v>
      </c>
      <c r="H1773" s="14" t="n">
        <v>144.45</v>
      </c>
      <c r="I1773" s="14" t="n">
        <v>0.9706</v>
      </c>
      <c r="J1773" s="14" t="n">
        <v>10.4518</v>
      </c>
      <c r="K1773" s="14" t="n">
        <v>1388.34</v>
      </c>
      <c r="L1773" s="14" t="n">
        <v>0.89485</v>
      </c>
      <c r="M1773" s="14" t="n">
        <v>6.9223</v>
      </c>
      <c r="N1773" s="14" t="n">
        <v>5.2521</v>
      </c>
      <c r="O1773" s="14" t="n">
        <v>140.46</v>
      </c>
      <c r="P1773" s="14" t="n">
        <v>10.7684</v>
      </c>
    </row>
    <row r="1774" customFormat="false" ht="15" hidden="false" customHeight="false" outlineLevel="0" collapsed="false">
      <c r="A1774" s="13" t="n">
        <v>44834</v>
      </c>
      <c r="B1774" s="14" t="n">
        <v>1431.67</v>
      </c>
      <c r="C1774" s="14" t="n">
        <v>10.8719</v>
      </c>
      <c r="D1774" s="14" t="n">
        <v>1.1134</v>
      </c>
      <c r="E1774" s="14" t="n">
        <v>0.9783</v>
      </c>
      <c r="F1774" s="14" t="n">
        <v>7.1135</v>
      </c>
      <c r="G1774" s="14" t="n">
        <v>5.4008</v>
      </c>
      <c r="H1774" s="14" t="n">
        <v>144.71</v>
      </c>
      <c r="I1774" s="14" t="n">
        <v>0.9748</v>
      </c>
      <c r="J1774" s="14" t="n">
        <v>10.5838</v>
      </c>
      <c r="K1774" s="14" t="n">
        <v>1400.69</v>
      </c>
      <c r="L1774" s="14" t="n">
        <v>0.883</v>
      </c>
      <c r="M1774" s="14" t="n">
        <v>6.9368</v>
      </c>
      <c r="N1774" s="14" t="n">
        <v>5.2584</v>
      </c>
      <c r="O1774" s="14" t="n">
        <v>141.01</v>
      </c>
      <c r="P1774" s="14" t="n">
        <v>10.8574</v>
      </c>
    </row>
    <row r="1775" customFormat="false" ht="15" hidden="false" customHeight="false" outlineLevel="0" collapsed="false">
      <c r="A1775" s="13" t="n">
        <v>44837</v>
      </c>
      <c r="B1775" s="14" t="n">
        <v>1434.83</v>
      </c>
      <c r="C1775" s="14" t="n">
        <v>10.7097</v>
      </c>
      <c r="D1775" s="14" t="n">
        <v>1.1272</v>
      </c>
      <c r="E1775" s="14" t="n">
        <v>0.9809</v>
      </c>
      <c r="F1775" s="14" t="n">
        <v>7.1103</v>
      </c>
      <c r="G1775" s="14" t="n">
        <v>5.1823</v>
      </c>
      <c r="H1775" s="14" t="n">
        <v>144.5</v>
      </c>
      <c r="I1775" s="14" t="n">
        <v>0.9764</v>
      </c>
      <c r="J1775" s="14" t="n">
        <v>10.5655</v>
      </c>
      <c r="K1775" s="14" t="n">
        <v>1408.25</v>
      </c>
      <c r="L1775" s="14" t="n">
        <v>0.8707</v>
      </c>
      <c r="M1775" s="14" t="n">
        <v>6.9481</v>
      </c>
      <c r="N1775" s="14" t="n">
        <v>5.178</v>
      </c>
      <c r="O1775" s="14" t="n">
        <v>141.49</v>
      </c>
      <c r="P1775" s="14" t="n">
        <v>10.8209</v>
      </c>
    </row>
    <row r="1776" customFormat="false" ht="15" hidden="false" customHeight="false" outlineLevel="0" collapsed="false">
      <c r="A1776" s="13" t="n">
        <v>44838</v>
      </c>
      <c r="B1776" s="14" t="n">
        <v>1425.75</v>
      </c>
      <c r="C1776" s="14" t="n">
        <v>10.4798</v>
      </c>
      <c r="D1776" s="14" t="n">
        <v>1.1446</v>
      </c>
      <c r="E1776" s="14" t="n">
        <v>0.9977</v>
      </c>
      <c r="F1776" s="14" t="n">
        <v>7.1103</v>
      </c>
      <c r="G1776" s="14" t="n">
        <v>5.1523</v>
      </c>
      <c r="H1776" s="14" t="n">
        <v>144.32</v>
      </c>
      <c r="I1776" s="14" t="n">
        <v>0.9891</v>
      </c>
      <c r="J1776" s="14" t="n">
        <v>10.4915</v>
      </c>
      <c r="K1776" s="14" t="n">
        <v>1412.2</v>
      </c>
      <c r="L1776" s="14" t="n">
        <v>0.87273</v>
      </c>
      <c r="M1776" s="14" t="n">
        <v>7.0384</v>
      </c>
      <c r="N1776" s="14" t="n">
        <v>5.0589</v>
      </c>
      <c r="O1776" s="14" t="n">
        <v>143.3</v>
      </c>
      <c r="P1776" s="14" t="n">
        <v>10.6071</v>
      </c>
    </row>
    <row r="1777" customFormat="false" ht="15" hidden="false" customHeight="false" outlineLevel="0" collapsed="false">
      <c r="A1777" s="13" t="n">
        <v>44839</v>
      </c>
      <c r="B1777" s="14" t="n">
        <v>1410.74</v>
      </c>
      <c r="C1777" s="14" t="n">
        <v>10.5955</v>
      </c>
      <c r="D1777" s="14" t="n">
        <v>1.1275</v>
      </c>
      <c r="E1777" s="14" t="n">
        <v>0.9866</v>
      </c>
      <c r="F1777" s="14" t="n">
        <v>7.1103</v>
      </c>
      <c r="G1777" s="14" t="n">
        <v>5.2205</v>
      </c>
      <c r="H1777" s="14" t="n">
        <v>144.73</v>
      </c>
      <c r="I1777" s="14" t="n">
        <v>0.9915</v>
      </c>
      <c r="J1777" s="14" t="n">
        <v>10.4858</v>
      </c>
      <c r="K1777" s="14" t="n">
        <v>1406.71</v>
      </c>
      <c r="L1777" s="14" t="n">
        <v>0.8734</v>
      </c>
      <c r="M1777" s="14" t="n">
        <v>7.0555</v>
      </c>
      <c r="N1777" s="14" t="n">
        <v>5.1575</v>
      </c>
      <c r="O1777" s="14" t="n">
        <v>143.18</v>
      </c>
      <c r="P1777" s="14" t="n">
        <v>10.5757</v>
      </c>
    </row>
    <row r="1778" customFormat="false" ht="15" hidden="false" customHeight="false" outlineLevel="0" collapsed="false">
      <c r="A1778" s="13" t="n">
        <v>44840</v>
      </c>
      <c r="B1778" s="14" t="n">
        <v>1402.33</v>
      </c>
      <c r="C1778" s="14" t="n">
        <v>10.6927</v>
      </c>
      <c r="D1778" s="14" t="n">
        <v>1.1133</v>
      </c>
      <c r="E1778" s="14" t="n">
        <v>0.9806</v>
      </c>
      <c r="F1778" s="14" t="n">
        <v>7.1103</v>
      </c>
      <c r="G1778" s="14" t="n">
        <v>5.2052</v>
      </c>
      <c r="H1778" s="14" t="n">
        <v>144.94</v>
      </c>
      <c r="I1778" s="14" t="n">
        <v>0.986</v>
      </c>
      <c r="J1778" s="14" t="n">
        <v>10.4278</v>
      </c>
      <c r="K1778" s="14" t="n">
        <v>1388.39</v>
      </c>
      <c r="L1778" s="14" t="n">
        <v>0.87583</v>
      </c>
      <c r="M1778" s="14" t="n">
        <v>7.0164</v>
      </c>
      <c r="N1778" s="14" t="n">
        <v>5.1185</v>
      </c>
      <c r="O1778" s="14" t="n">
        <v>142.68</v>
      </c>
      <c r="P1778" s="14" t="n">
        <v>10.5759</v>
      </c>
    </row>
    <row r="1779" customFormat="false" ht="15" hidden="false" customHeight="false" outlineLevel="0" collapsed="false">
      <c r="A1779" s="13" t="n">
        <v>44841</v>
      </c>
      <c r="B1779" s="14" t="n">
        <v>1412.54</v>
      </c>
      <c r="C1779" s="14" t="n">
        <v>10.6709</v>
      </c>
      <c r="D1779" s="14" t="n">
        <v>1.1116</v>
      </c>
      <c r="E1779" s="14" t="n">
        <v>0.9785</v>
      </c>
      <c r="F1779" s="14" t="n">
        <v>7.1103</v>
      </c>
      <c r="G1779" s="14" t="n">
        <v>5.2151</v>
      </c>
      <c r="H1779" s="14" t="n">
        <v>145.19</v>
      </c>
      <c r="I1779" s="14" t="n">
        <v>0.9797</v>
      </c>
      <c r="J1779" s="14" t="n">
        <v>10.4498</v>
      </c>
      <c r="K1779" s="14" t="n">
        <v>1381.42</v>
      </c>
      <c r="L1779" s="14" t="n">
        <v>0.87383</v>
      </c>
      <c r="M1779" s="14" t="n">
        <v>6.9715</v>
      </c>
      <c r="N1779" s="14" t="n">
        <v>5.1075</v>
      </c>
      <c r="O1779" s="14" t="n">
        <v>141.92</v>
      </c>
      <c r="P1779" s="14" t="n">
        <v>10.6663</v>
      </c>
    </row>
    <row r="1780" customFormat="false" ht="15" hidden="false" customHeight="false" outlineLevel="0" collapsed="false">
      <c r="A1780" s="13" t="n">
        <v>44844</v>
      </c>
      <c r="I1780" s="14" t="n">
        <v>0.9697</v>
      </c>
      <c r="J1780" s="14" t="n">
        <v>10.3378</v>
      </c>
      <c r="K1780" s="14" t="n">
        <v>1384.26</v>
      </c>
      <c r="L1780" s="14" t="n">
        <v>0.8773</v>
      </c>
      <c r="M1780" s="14" t="n">
        <v>6.9344</v>
      </c>
      <c r="N1780" s="14" t="n">
        <v>5.0328</v>
      </c>
      <c r="O1780" s="14" t="n">
        <v>141.16</v>
      </c>
      <c r="P1780" s="14" t="n">
        <v>10.6608</v>
      </c>
    </row>
    <row r="1781" customFormat="false" ht="15" hidden="false" customHeight="false" outlineLevel="0" collapsed="false">
      <c r="A1781" s="13" t="n">
        <v>44845</v>
      </c>
      <c r="B1781" s="14" t="n">
        <v>1435.36</v>
      </c>
      <c r="C1781" s="14" t="n">
        <v>10.6559</v>
      </c>
      <c r="D1781" s="14" t="n">
        <v>1.1168</v>
      </c>
      <c r="E1781" s="14" t="n">
        <v>0.9757</v>
      </c>
      <c r="F1781" s="14" t="n">
        <v>7.1639</v>
      </c>
      <c r="G1781" s="14" t="n">
        <v>5.2105</v>
      </c>
      <c r="H1781" s="14" t="n">
        <v>145.55</v>
      </c>
      <c r="I1781" s="14" t="n">
        <v>0.9723</v>
      </c>
      <c r="J1781" s="14" t="n">
        <v>10.4235</v>
      </c>
      <c r="K1781" s="14" t="n">
        <v>1392.84</v>
      </c>
      <c r="L1781" s="14" t="n">
        <v>0.87703</v>
      </c>
      <c r="M1781" s="14" t="n">
        <v>6.9669</v>
      </c>
      <c r="N1781" s="14" t="n">
        <v>5.0456</v>
      </c>
      <c r="O1781" s="14" t="n">
        <v>141.54</v>
      </c>
      <c r="P1781" s="14" t="n">
        <v>10.7205</v>
      </c>
    </row>
    <row r="1782" customFormat="false" ht="15" hidden="false" customHeight="false" outlineLevel="0" collapsed="false">
      <c r="A1782" s="13" t="n">
        <v>44846</v>
      </c>
      <c r="B1782" s="14" t="n">
        <v>1423.81</v>
      </c>
      <c r="C1782" s="14" t="n">
        <v>10.7769</v>
      </c>
      <c r="D1782" s="14" t="n">
        <v>1.1096</v>
      </c>
      <c r="E1782" s="14" t="n">
        <v>0.9692</v>
      </c>
      <c r="F1782" s="14" t="n">
        <v>7.172</v>
      </c>
      <c r="G1782" s="14" t="n">
        <v>5.2929</v>
      </c>
      <c r="H1782" s="14" t="n">
        <v>146.87</v>
      </c>
      <c r="I1782" s="14" t="n">
        <v>0.9706</v>
      </c>
      <c r="J1782" s="14" t="n">
        <v>10.4145</v>
      </c>
      <c r="K1782" s="14" t="n">
        <v>1384.66</v>
      </c>
      <c r="L1782" s="14" t="n">
        <v>0.8784</v>
      </c>
      <c r="M1782" s="14" t="n">
        <v>6.9603</v>
      </c>
      <c r="N1782" s="14" t="n">
        <v>5.1378</v>
      </c>
      <c r="O1782" s="14" t="n">
        <v>142.34</v>
      </c>
      <c r="P1782" s="14" t="n">
        <v>10.73</v>
      </c>
    </row>
    <row r="1783" customFormat="false" ht="15" hidden="false" customHeight="false" outlineLevel="0" collapsed="false">
      <c r="A1783" s="13" t="n">
        <v>44847</v>
      </c>
      <c r="B1783" s="14" t="n">
        <v>1430.4</v>
      </c>
      <c r="C1783" s="14" t="n">
        <v>10.587</v>
      </c>
      <c r="D1783" s="14" t="n">
        <v>1.1344</v>
      </c>
      <c r="E1783" s="14" t="n">
        <v>0.978</v>
      </c>
      <c r="F1783" s="14" t="n">
        <v>7.17</v>
      </c>
      <c r="G1783" s="14" t="n">
        <v>5.2779</v>
      </c>
      <c r="H1783" s="14" t="n">
        <v>147.15</v>
      </c>
      <c r="I1783" s="14" t="n">
        <v>0.9739</v>
      </c>
      <c r="J1783" s="14" t="n">
        <v>10.3525</v>
      </c>
      <c r="K1783" s="14" t="n">
        <v>1392.71</v>
      </c>
      <c r="L1783" s="14" t="n">
        <v>0.86513</v>
      </c>
      <c r="M1783" s="14" t="n">
        <v>6.9945</v>
      </c>
      <c r="N1783" s="14" t="n">
        <v>5.1214</v>
      </c>
      <c r="O1783" s="14" t="n">
        <v>142.94</v>
      </c>
      <c r="P1783" s="14" t="n">
        <v>10.6299</v>
      </c>
    </row>
    <row r="1784" customFormat="false" ht="15" hidden="false" customHeight="false" outlineLevel="0" collapsed="false">
      <c r="A1784" s="13" t="n">
        <v>44848</v>
      </c>
      <c r="B1784" s="14" t="n">
        <v>1428.06</v>
      </c>
      <c r="C1784" s="14" t="n">
        <v>10.6639</v>
      </c>
      <c r="D1784" s="14" t="n">
        <v>1.1208</v>
      </c>
      <c r="E1784" s="14" t="n">
        <v>0.9739</v>
      </c>
      <c r="F1784" s="14" t="n">
        <v>7.1895</v>
      </c>
      <c r="G1784" s="14" t="n">
        <v>5.298</v>
      </c>
      <c r="H1784" s="14" t="n">
        <v>148.46</v>
      </c>
      <c r="I1784" s="14" t="n">
        <v>0.9717</v>
      </c>
      <c r="J1784" s="14" t="n">
        <v>10.3323</v>
      </c>
      <c r="K1784" s="14" t="n">
        <v>1398.5</v>
      </c>
      <c r="L1784" s="14" t="n">
        <v>0.86823</v>
      </c>
      <c r="M1784" s="14" t="n">
        <v>6.9952</v>
      </c>
      <c r="N1784" s="14" t="n">
        <v>5.1177</v>
      </c>
      <c r="O1784" s="14" t="n">
        <v>143.63</v>
      </c>
      <c r="P1784" s="14" t="n">
        <v>10.6332</v>
      </c>
    </row>
    <row r="1785" customFormat="false" ht="15" hidden="false" customHeight="false" outlineLevel="0" collapsed="false">
      <c r="A1785" s="13" t="n">
        <v>44851</v>
      </c>
      <c r="B1785" s="14" t="n">
        <v>1434.73</v>
      </c>
      <c r="C1785" s="14" t="n">
        <v>10.5137</v>
      </c>
      <c r="D1785" s="14" t="n">
        <v>1.1427</v>
      </c>
      <c r="E1785" s="14" t="n">
        <v>0.9843</v>
      </c>
      <c r="F1785" s="14" t="n">
        <v>7.1946</v>
      </c>
      <c r="G1785" s="14" t="n">
        <v>5.2606</v>
      </c>
      <c r="H1785" s="14" t="n">
        <v>148.71</v>
      </c>
      <c r="I1785" s="14" t="n">
        <v>0.9739</v>
      </c>
      <c r="J1785" s="14" t="n">
        <v>10.342</v>
      </c>
      <c r="K1785" s="14" t="n">
        <v>1399.41</v>
      </c>
      <c r="L1785" s="14" t="n">
        <v>0.8625</v>
      </c>
      <c r="M1785" s="14" t="n">
        <v>7.013</v>
      </c>
      <c r="N1785" s="14" t="n">
        <v>5.1497</v>
      </c>
      <c r="O1785" s="14" t="n">
        <v>145</v>
      </c>
      <c r="P1785" s="14" t="n">
        <v>10.6192</v>
      </c>
    </row>
    <row r="1786" customFormat="false" ht="15" hidden="false" customHeight="false" outlineLevel="0" collapsed="false">
      <c r="A1786" s="13" t="n">
        <v>44852</v>
      </c>
      <c r="B1786" s="14" t="n">
        <v>1422.19</v>
      </c>
      <c r="C1786" s="14" t="n">
        <v>10.5869</v>
      </c>
      <c r="D1786" s="14" t="n">
        <v>1.1307</v>
      </c>
      <c r="E1786" s="14" t="n">
        <v>0.9842</v>
      </c>
      <c r="F1786" s="14" t="n">
        <v>7.2001</v>
      </c>
      <c r="G1786" s="14" t="n">
        <v>5.2905</v>
      </c>
      <c r="H1786" s="14" t="n">
        <v>149.23</v>
      </c>
      <c r="I1786" s="14" t="n">
        <v>0.9835</v>
      </c>
      <c r="J1786" s="14" t="n">
        <v>10.3528</v>
      </c>
      <c r="K1786" s="14" t="n">
        <v>1400.92</v>
      </c>
      <c r="L1786" s="14" t="n">
        <v>0.86928</v>
      </c>
      <c r="M1786" s="14" t="n">
        <v>7.0805</v>
      </c>
      <c r="N1786" s="14" t="n">
        <v>5.1795</v>
      </c>
      <c r="O1786" s="14" t="n">
        <v>146.65</v>
      </c>
      <c r="P1786" s="14" t="n">
        <v>10.5265</v>
      </c>
    </row>
    <row r="1787" customFormat="false" ht="15" hidden="false" customHeight="false" outlineLevel="0" collapsed="false">
      <c r="A1787" s="13" t="n">
        <v>44853</v>
      </c>
      <c r="B1787" s="14" t="n">
        <v>1426.07</v>
      </c>
      <c r="C1787" s="14" t="n">
        <v>10.6174</v>
      </c>
      <c r="D1787" s="14" t="n">
        <v>1.1232</v>
      </c>
      <c r="E1787" s="14" t="n">
        <v>0.978</v>
      </c>
      <c r="F1787" s="14" t="n">
        <v>7.228</v>
      </c>
      <c r="G1787" s="14" t="n">
        <v>5.2816</v>
      </c>
      <c r="H1787" s="14" t="n">
        <v>149.77</v>
      </c>
      <c r="I1787" s="14" t="n">
        <v>0.9778</v>
      </c>
      <c r="J1787" s="14" t="n">
        <v>10.3823</v>
      </c>
      <c r="K1787" s="14" t="n">
        <v>1398.35</v>
      </c>
      <c r="L1787" s="14" t="n">
        <v>0.86993</v>
      </c>
      <c r="M1787" s="14" t="n">
        <v>7.0672</v>
      </c>
      <c r="N1787" s="14" t="n">
        <v>5.1755</v>
      </c>
      <c r="O1787" s="14" t="n">
        <v>146.34</v>
      </c>
      <c r="P1787" s="14" t="n">
        <v>10.618</v>
      </c>
    </row>
    <row r="1788" customFormat="false" ht="15" hidden="false" customHeight="false" outlineLevel="0" collapsed="false">
      <c r="A1788" s="13" t="n">
        <v>44854</v>
      </c>
      <c r="B1788" s="14" t="n">
        <v>1431.63</v>
      </c>
      <c r="C1788" s="14" t="n">
        <v>10.5816</v>
      </c>
      <c r="D1788" s="14" t="n">
        <v>1.1288</v>
      </c>
      <c r="E1788" s="14" t="n">
        <v>0.9823</v>
      </c>
      <c r="F1788" s="14" t="n">
        <v>7.2129</v>
      </c>
      <c r="G1788" s="14" t="n">
        <v>5.2053</v>
      </c>
      <c r="H1788" s="14" t="n">
        <v>149.82</v>
      </c>
      <c r="I1788" s="14" t="n">
        <v>0.9811</v>
      </c>
      <c r="J1788" s="14" t="n">
        <v>10.402</v>
      </c>
      <c r="K1788" s="14" t="n">
        <v>1400.3</v>
      </c>
      <c r="L1788" s="14" t="n">
        <v>0.87258</v>
      </c>
      <c r="M1788" s="14" t="n">
        <v>7.0858</v>
      </c>
      <c r="N1788" s="14" t="n">
        <v>5.1387</v>
      </c>
      <c r="O1788" s="14" t="n">
        <v>146.99</v>
      </c>
      <c r="P1788" s="14" t="n">
        <v>10.6024</v>
      </c>
    </row>
    <row r="1789" customFormat="false" ht="15" hidden="false" customHeight="false" outlineLevel="0" collapsed="false">
      <c r="A1789" s="13" t="n">
        <v>44855</v>
      </c>
      <c r="B1789" s="14" t="n">
        <v>1440.31</v>
      </c>
      <c r="C1789" s="14" t="n">
        <v>10.5309</v>
      </c>
      <c r="D1789" s="14" t="n">
        <v>1.1292</v>
      </c>
      <c r="E1789" s="14" t="n">
        <v>0.9855</v>
      </c>
      <c r="F1789" s="14" t="n">
        <v>7.2399</v>
      </c>
      <c r="G1789" s="14" t="n">
        <v>5.175</v>
      </c>
      <c r="H1789" s="14" t="n">
        <v>146.35</v>
      </c>
      <c r="I1789" s="14" t="n">
        <v>0.973</v>
      </c>
      <c r="J1789" s="14" t="n">
        <v>10.4315</v>
      </c>
      <c r="K1789" s="14" t="n">
        <v>1404.32</v>
      </c>
      <c r="L1789" s="14" t="n">
        <v>0.87728</v>
      </c>
      <c r="M1789" s="14" t="n">
        <v>7.0504</v>
      </c>
      <c r="N1789" s="14" t="n">
        <v>5.1117</v>
      </c>
      <c r="O1789" s="14" t="n">
        <v>147.59</v>
      </c>
      <c r="P1789" s="14" t="n">
        <v>10.721</v>
      </c>
    </row>
    <row r="1790" customFormat="false" ht="15" hidden="false" customHeight="false" outlineLevel="0" collapsed="false">
      <c r="A1790" s="13" t="n">
        <v>44858</v>
      </c>
      <c r="B1790" s="14" t="n">
        <v>1439.14</v>
      </c>
      <c r="C1790" s="14" t="n">
        <v>10.5174</v>
      </c>
      <c r="D1790" s="14" t="n">
        <v>1.1295</v>
      </c>
      <c r="E1790" s="14" t="n">
        <v>0.9874</v>
      </c>
      <c r="F1790" s="14" t="n">
        <v>7.2629</v>
      </c>
      <c r="G1790" s="14" t="n">
        <v>5.2768</v>
      </c>
      <c r="H1790" s="14" t="n">
        <v>148.76</v>
      </c>
      <c r="I1790" s="14" t="n">
        <v>0.9851</v>
      </c>
      <c r="J1790" s="14" t="n">
        <v>10.392</v>
      </c>
      <c r="K1790" s="14" t="n">
        <v>1418.4</v>
      </c>
      <c r="L1790" s="14" t="n">
        <v>0.8707</v>
      </c>
      <c r="M1790" s="14" t="n">
        <v>7.1544</v>
      </c>
      <c r="N1790" s="14" t="n">
        <v>5.1461</v>
      </c>
      <c r="O1790" s="14" t="n">
        <v>146.76</v>
      </c>
      <c r="P1790" s="14" t="n">
        <v>10.5492</v>
      </c>
    </row>
    <row r="1791" customFormat="false" ht="15" hidden="false" customHeight="false" outlineLevel="0" collapsed="false">
      <c r="A1791" s="13" t="n">
        <v>44859</v>
      </c>
      <c r="B1791" s="14" t="n">
        <v>1432.46</v>
      </c>
      <c r="C1791" s="14" t="n">
        <v>10.3861</v>
      </c>
      <c r="D1791" s="14" t="n">
        <v>1.1469</v>
      </c>
      <c r="E1791" s="14" t="n">
        <v>0.9959</v>
      </c>
      <c r="F1791" s="14" t="n">
        <v>7.2688</v>
      </c>
      <c r="G1791" s="14" t="n">
        <v>5.2898</v>
      </c>
      <c r="H1791" s="14" t="n">
        <v>147.85</v>
      </c>
      <c r="I1791" s="14" t="n">
        <v>0.9861</v>
      </c>
      <c r="J1791" s="14" t="n">
        <v>10.391</v>
      </c>
      <c r="K1791" s="14" t="n">
        <v>1417.5</v>
      </c>
      <c r="L1791" s="14" t="n">
        <v>0.87143</v>
      </c>
      <c r="M1791" s="14" t="n">
        <v>7.2072</v>
      </c>
      <c r="N1791" s="14" t="n">
        <v>5.2254</v>
      </c>
      <c r="O1791" s="14" t="n">
        <v>146.84</v>
      </c>
      <c r="P1791" s="14" t="n">
        <v>10.5375</v>
      </c>
    </row>
    <row r="1792" customFormat="false" ht="15" hidden="false" customHeight="false" outlineLevel="0" collapsed="false">
      <c r="A1792" s="13" t="n">
        <v>44860</v>
      </c>
      <c r="B1792" s="14" t="n">
        <v>1425.68</v>
      </c>
      <c r="C1792" s="14" t="n">
        <v>10.2547</v>
      </c>
      <c r="D1792" s="14" t="n">
        <v>1.1615</v>
      </c>
      <c r="E1792" s="14" t="n">
        <v>1.0068</v>
      </c>
      <c r="F1792" s="14" t="n">
        <v>7.171</v>
      </c>
      <c r="G1792" s="14" t="n">
        <v>5.3228</v>
      </c>
      <c r="H1792" s="14" t="n">
        <v>146.5</v>
      </c>
      <c r="I1792" s="14" t="n">
        <v>1.0023</v>
      </c>
      <c r="J1792" s="14" t="n">
        <v>10.3408</v>
      </c>
      <c r="K1792" s="14" t="n">
        <v>1422.11</v>
      </c>
      <c r="L1792" s="14" t="n">
        <v>0.86603</v>
      </c>
      <c r="M1792" s="14" t="n">
        <v>7.1948</v>
      </c>
      <c r="N1792" s="14" t="n">
        <v>5.2944</v>
      </c>
      <c r="O1792" s="14" t="n">
        <v>147.32</v>
      </c>
      <c r="P1792" s="14" t="n">
        <v>10.3171</v>
      </c>
    </row>
    <row r="1793" customFormat="false" ht="15" hidden="false" customHeight="false" outlineLevel="0" collapsed="false">
      <c r="A1793" s="13" t="n">
        <v>44861</v>
      </c>
      <c r="B1793" s="14" t="n">
        <v>1419</v>
      </c>
      <c r="C1793" s="14" t="n">
        <v>10.2455</v>
      </c>
      <c r="D1793" s="14" t="n">
        <v>1.1574</v>
      </c>
      <c r="E1793" s="14" t="n">
        <v>0.9985</v>
      </c>
      <c r="F1793" s="14" t="n">
        <v>7.2239</v>
      </c>
      <c r="G1793" s="14" t="n">
        <v>5.2839</v>
      </c>
      <c r="H1793" s="14" t="n">
        <v>146.02</v>
      </c>
      <c r="I1793" s="14" t="n">
        <v>1.0037</v>
      </c>
      <c r="J1793" s="14" t="n">
        <v>10.342</v>
      </c>
      <c r="K1793" s="14" t="n">
        <v>1428.57</v>
      </c>
      <c r="L1793" s="14" t="n">
        <v>0.86745</v>
      </c>
      <c r="M1793" s="14" t="n">
        <v>7.2552</v>
      </c>
      <c r="N1793" s="14" t="n">
        <v>5.3889</v>
      </c>
      <c r="O1793" s="14" t="n">
        <v>147.37</v>
      </c>
      <c r="P1793" s="14" t="n">
        <v>10.3039</v>
      </c>
    </row>
    <row r="1794" customFormat="false" ht="15" hidden="false" customHeight="false" outlineLevel="0" collapsed="false">
      <c r="A1794" s="13" t="n">
        <v>44862</v>
      </c>
      <c r="B1794" s="14" t="n">
        <v>1421.67</v>
      </c>
      <c r="C1794" s="14" t="n">
        <v>10.3638</v>
      </c>
      <c r="D1794" s="14" t="n">
        <v>1.1573</v>
      </c>
      <c r="E1794" s="14" t="n">
        <v>0.9934</v>
      </c>
      <c r="F1794" s="14" t="n">
        <v>7.2499</v>
      </c>
      <c r="G1794" s="14" t="n">
        <v>5.3547</v>
      </c>
      <c r="H1794" s="14" t="n">
        <v>147.68</v>
      </c>
      <c r="I1794" s="14" t="n">
        <v>0.9951</v>
      </c>
      <c r="J1794" s="14" t="n">
        <v>10.2695</v>
      </c>
      <c r="K1794" s="14" t="n">
        <v>1417.7</v>
      </c>
      <c r="L1794" s="14" t="n">
        <v>0.8612</v>
      </c>
      <c r="M1794" s="14" t="n">
        <v>7.2159</v>
      </c>
      <c r="N1794" s="14" t="n">
        <v>5.327</v>
      </c>
      <c r="O1794" s="14" t="n">
        <v>146.79</v>
      </c>
      <c r="P1794" s="14" t="n">
        <v>10.3201</v>
      </c>
    </row>
    <row r="1795" customFormat="false" ht="15" hidden="false" customHeight="false" outlineLevel="0" collapsed="false">
      <c r="A1795" s="13" t="n">
        <v>44865</v>
      </c>
      <c r="B1795" s="14" t="n">
        <v>1424.6</v>
      </c>
      <c r="C1795" s="14" t="n">
        <v>10.3954</v>
      </c>
      <c r="D1795" s="14" t="n">
        <v>1.1515</v>
      </c>
      <c r="E1795" s="14" t="n">
        <v>0.9885</v>
      </c>
      <c r="F1795" s="14" t="n">
        <v>7.3048</v>
      </c>
      <c r="G1795" s="14" t="n">
        <v>5.2464</v>
      </c>
      <c r="H1795" s="14" t="n">
        <v>148.63</v>
      </c>
      <c r="I1795" s="14" t="n">
        <v>0.9914</v>
      </c>
      <c r="J1795" s="14" t="n">
        <v>10.3028</v>
      </c>
      <c r="K1795" s="14" t="n">
        <v>1416.12</v>
      </c>
      <c r="L1795" s="14" t="n">
        <v>0.86115</v>
      </c>
      <c r="M1795" s="14" t="n">
        <v>7.238</v>
      </c>
      <c r="N1795" s="14" t="n">
        <v>5.2694</v>
      </c>
      <c r="O1795" s="14" t="n">
        <v>147.4</v>
      </c>
      <c r="P1795" s="14" t="n">
        <v>10.3922</v>
      </c>
    </row>
    <row r="1796" customFormat="false" ht="15" hidden="false" customHeight="false" outlineLevel="0" collapsed="false">
      <c r="A1796" s="13" t="n">
        <v>44866</v>
      </c>
      <c r="B1796" s="14" t="n">
        <v>1416.2</v>
      </c>
      <c r="C1796" s="14" t="n">
        <v>10.352</v>
      </c>
      <c r="D1796" s="14" t="n">
        <v>1.146</v>
      </c>
      <c r="E1796" s="14" t="n">
        <v>0.9871</v>
      </c>
      <c r="F1796" s="14" t="n">
        <v>7.273</v>
      </c>
      <c r="G1796" s="14" t="n">
        <v>5.1073</v>
      </c>
      <c r="H1796" s="14" t="n">
        <v>148.11</v>
      </c>
      <c r="I1796" s="14" t="n">
        <v>0.9947</v>
      </c>
      <c r="J1796" s="14" t="n">
        <v>10.1835</v>
      </c>
      <c r="K1796" s="14" t="n">
        <v>1404.63</v>
      </c>
      <c r="L1796" s="14" t="n">
        <v>0.86058</v>
      </c>
      <c r="M1796" s="14" t="n">
        <v>7.2165</v>
      </c>
      <c r="N1796" s="14" t="n">
        <v>5.1337</v>
      </c>
      <c r="O1796" s="14" t="n">
        <v>146.35</v>
      </c>
      <c r="P1796" s="14" t="n">
        <v>10.2378</v>
      </c>
    </row>
    <row r="1797" customFormat="false" ht="15" hidden="false" customHeight="false" outlineLevel="0" collapsed="false">
      <c r="A1797" s="13" t="n">
        <v>44867</v>
      </c>
      <c r="B1797" s="14" t="n">
        <v>1418.31</v>
      </c>
      <c r="C1797" s="14" t="n">
        <v>10.3689</v>
      </c>
      <c r="D1797" s="14" t="n">
        <v>1.1467</v>
      </c>
      <c r="E1797" s="14" t="n">
        <v>0.9875</v>
      </c>
      <c r="F1797" s="14" t="n">
        <v>7.289</v>
      </c>
      <c r="G1797" s="14" t="n">
        <v>5.1432</v>
      </c>
      <c r="H1797" s="14" t="n">
        <v>147.11</v>
      </c>
      <c r="I1797" s="14" t="n">
        <v>0.9908</v>
      </c>
      <c r="J1797" s="14" t="n">
        <v>10.2388</v>
      </c>
      <c r="K1797" s="14" t="n">
        <v>1402.01</v>
      </c>
      <c r="L1797" s="14" t="n">
        <v>0.861</v>
      </c>
      <c r="M1797" s="14" t="n">
        <v>7.2156</v>
      </c>
      <c r="N1797" s="14" t="n">
        <v>5.0964</v>
      </c>
      <c r="O1797" s="14" t="n">
        <v>145.75</v>
      </c>
      <c r="P1797" s="14" t="n">
        <v>10.3339</v>
      </c>
    </row>
    <row r="1798" customFormat="false" ht="15" hidden="false" customHeight="false" outlineLevel="0" collapsed="false">
      <c r="A1798" s="13" t="n">
        <v>44868</v>
      </c>
      <c r="B1798" s="14" t="n">
        <v>1423.99</v>
      </c>
      <c r="C1798" s="14" t="n">
        <v>10.5676</v>
      </c>
      <c r="D1798" s="14" t="n">
        <v>1.1183</v>
      </c>
      <c r="E1798" s="14" t="n">
        <v>0.9759</v>
      </c>
      <c r="F1798" s="14" t="n">
        <v>7.3</v>
      </c>
      <c r="G1798" s="14" t="n">
        <v>5.1005</v>
      </c>
      <c r="H1798" s="14" t="n">
        <v>148.18</v>
      </c>
      <c r="I1798" s="14" t="n">
        <v>0.9753</v>
      </c>
      <c r="J1798" s="14" t="n">
        <v>10.3543</v>
      </c>
      <c r="K1798" s="14" t="n">
        <v>1391.75</v>
      </c>
      <c r="L1798" s="14" t="n">
        <v>0.87228</v>
      </c>
      <c r="M1798" s="14" t="n">
        <v>7.1367</v>
      </c>
      <c r="N1798" s="14" t="n">
        <v>5.0262</v>
      </c>
      <c r="O1798" s="14" t="n">
        <v>144.58</v>
      </c>
      <c r="P1798" s="14" t="n">
        <v>10.6165</v>
      </c>
    </row>
    <row r="1799" customFormat="false" ht="15" hidden="false" customHeight="false" outlineLevel="0" collapsed="false">
      <c r="A1799" s="13" t="n">
        <v>44869</v>
      </c>
      <c r="B1799" s="14" t="n">
        <v>1423.99</v>
      </c>
      <c r="C1799" s="14" t="n">
        <v>10.569</v>
      </c>
      <c r="D1799" s="14" t="n">
        <v>1.1279</v>
      </c>
      <c r="E1799" s="14" t="n">
        <v>0.9895</v>
      </c>
      <c r="F1799" s="14" t="n">
        <v>7.2996</v>
      </c>
      <c r="G1799" s="14" t="n">
        <v>5.0443</v>
      </c>
      <c r="H1799" s="14" t="n">
        <v>147.22</v>
      </c>
      <c r="I1799" s="14" t="n">
        <v>0.9872</v>
      </c>
      <c r="J1799" s="14" t="n">
        <v>10.2019</v>
      </c>
      <c r="K1799" s="14" t="n">
        <v>1397.7</v>
      </c>
      <c r="L1799" s="14" t="n">
        <v>0.87478</v>
      </c>
      <c r="M1799" s="14" t="n">
        <v>7.0894</v>
      </c>
      <c r="N1799" s="14" t="n">
        <v>4.9682</v>
      </c>
      <c r="O1799" s="14" t="n">
        <v>145.19</v>
      </c>
      <c r="P1799" s="14" t="n">
        <v>10.3342</v>
      </c>
    </row>
    <row r="1800" customFormat="false" ht="15" hidden="false" customHeight="false" outlineLevel="0" collapsed="false">
      <c r="A1800" s="13" t="n">
        <v>44872</v>
      </c>
      <c r="B1800" s="14" t="n">
        <v>1402.05</v>
      </c>
      <c r="C1800" s="14" t="n">
        <v>10.2514</v>
      </c>
      <c r="D1800" s="14" t="n">
        <v>1.1463</v>
      </c>
      <c r="E1800" s="14" t="n">
        <v>0.9997</v>
      </c>
      <c r="F1800" s="14" t="n">
        <v>7.2266</v>
      </c>
      <c r="G1800" s="14" t="n">
        <v>5.1222</v>
      </c>
      <c r="H1800" s="14" t="n">
        <v>146.64</v>
      </c>
      <c r="I1800" s="14" t="n">
        <v>0.9993</v>
      </c>
      <c r="J1800" s="14" t="n">
        <v>10.2555</v>
      </c>
      <c r="K1800" s="14" t="n">
        <v>1391.25</v>
      </c>
      <c r="L1800" s="14" t="n">
        <v>0.87135</v>
      </c>
      <c r="M1800" s="14" t="n">
        <v>7.2189</v>
      </c>
      <c r="N1800" s="14" t="n">
        <v>5.07</v>
      </c>
      <c r="O1800" s="14" t="n">
        <v>146.18</v>
      </c>
      <c r="P1800" s="14" t="n">
        <v>10.2627</v>
      </c>
    </row>
    <row r="1801" customFormat="false" ht="15" hidden="false" customHeight="false" outlineLevel="0" collapsed="false">
      <c r="A1801" s="13" t="n">
        <v>44873</v>
      </c>
      <c r="B1801" s="14" t="n">
        <v>1384.61</v>
      </c>
      <c r="C1801" s="14" t="n">
        <v>10.1836</v>
      </c>
      <c r="D1801" s="14" t="n">
        <v>1.1595</v>
      </c>
      <c r="E1801" s="14" t="n">
        <v>1.0089</v>
      </c>
      <c r="F1801" s="14" t="n">
        <v>7.2485</v>
      </c>
      <c r="G1801" s="14" t="n">
        <v>5.1422</v>
      </c>
      <c r="H1801" s="14" t="n">
        <v>145.38</v>
      </c>
      <c r="I1801" s="14" t="n">
        <v>0.9996</v>
      </c>
      <c r="J1801" s="14" t="n">
        <v>10.2795</v>
      </c>
      <c r="K1801" s="14" t="n">
        <v>1377.94</v>
      </c>
      <c r="L1801" s="14" t="n">
        <v>0.87378</v>
      </c>
      <c r="M1801" s="14" t="n">
        <v>7.2495</v>
      </c>
      <c r="N1801" s="14" t="n">
        <v>5.203</v>
      </c>
      <c r="O1801" s="14" t="n">
        <v>146.25</v>
      </c>
      <c r="P1801" s="14" t="n">
        <v>10.2836</v>
      </c>
    </row>
    <row r="1802" customFormat="false" ht="15" hidden="false" customHeight="false" outlineLevel="0" collapsed="false">
      <c r="A1802" s="13" t="n">
        <v>44874</v>
      </c>
      <c r="B1802" s="14" t="n">
        <v>1364.85</v>
      </c>
      <c r="C1802" s="14" t="n">
        <v>10.3337</v>
      </c>
      <c r="D1802" s="14" t="n">
        <v>1.1396</v>
      </c>
      <c r="E1802" s="14" t="n">
        <v>1.0037</v>
      </c>
      <c r="F1802" s="14" t="n">
        <v>7.2401</v>
      </c>
      <c r="G1802" s="14" t="n">
        <v>5.1499</v>
      </c>
      <c r="H1802" s="14" t="n">
        <v>146.15</v>
      </c>
      <c r="I1802" s="14" t="n">
        <v>1.0039</v>
      </c>
      <c r="J1802" s="14" t="n">
        <v>10.322</v>
      </c>
      <c r="K1802" s="14" t="n">
        <v>1369.73</v>
      </c>
      <c r="L1802" s="14" t="n">
        <v>0.87774</v>
      </c>
      <c r="M1802" s="14" t="n">
        <v>7.2813</v>
      </c>
      <c r="N1802" s="14" t="n">
        <v>5.1947</v>
      </c>
      <c r="O1802" s="14" t="n">
        <v>146.82</v>
      </c>
      <c r="P1802" s="14" t="n">
        <v>10.2819</v>
      </c>
    </row>
    <row r="1803" customFormat="false" ht="15" hidden="false" customHeight="false" outlineLevel="0" collapsed="false">
      <c r="A1803" s="13" t="n">
        <v>44875</v>
      </c>
      <c r="B1803" s="14" t="n">
        <v>1377.52</v>
      </c>
      <c r="C1803" s="14" t="n">
        <v>10.1068</v>
      </c>
      <c r="D1803" s="14" t="n">
        <v>1.1677</v>
      </c>
      <c r="E1803" s="14" t="n">
        <v>1.0176</v>
      </c>
      <c r="F1803" s="14" t="n">
        <v>7.184</v>
      </c>
      <c r="G1803" s="14" t="n">
        <v>5.3287</v>
      </c>
      <c r="H1803" s="14" t="n">
        <v>141.78</v>
      </c>
      <c r="I1803" s="14" t="n">
        <v>0.9954</v>
      </c>
      <c r="J1803" s="14" t="n">
        <v>10.3615</v>
      </c>
      <c r="K1803" s="14" t="n">
        <v>1373.96</v>
      </c>
      <c r="L1803" s="14" t="n">
        <v>0.87298</v>
      </c>
      <c r="M1803" s="14" t="n">
        <v>7.2184</v>
      </c>
      <c r="N1803" s="14" t="n">
        <v>5.286</v>
      </c>
      <c r="O1803" s="14" t="n">
        <v>145.47</v>
      </c>
      <c r="P1803" s="14" t="n">
        <v>10.4094</v>
      </c>
    </row>
    <row r="1804" customFormat="false" ht="15" hidden="false" customHeight="false" outlineLevel="0" collapsed="false">
      <c r="A1804" s="13" t="n">
        <v>44876</v>
      </c>
      <c r="I1804" s="14" t="n">
        <v>1.0308</v>
      </c>
      <c r="J1804" s="14" t="n">
        <v>10.2635</v>
      </c>
      <c r="K1804" s="14" t="n">
        <v>1359.2</v>
      </c>
      <c r="L1804" s="14" t="n">
        <v>0.87538</v>
      </c>
      <c r="M1804" s="14" t="n">
        <v>7.3267</v>
      </c>
      <c r="N1804" s="14" t="n">
        <v>5.5147</v>
      </c>
      <c r="O1804" s="14" t="n">
        <v>143.89</v>
      </c>
      <c r="P1804" s="14" t="n">
        <v>9.9568</v>
      </c>
    </row>
    <row r="1805" customFormat="false" ht="15" hidden="false" customHeight="false" outlineLevel="0" collapsed="false">
      <c r="A1805" s="13" t="n">
        <v>44879</v>
      </c>
      <c r="B1805" s="14" t="n">
        <v>1327.38</v>
      </c>
      <c r="C1805" s="14" t="n">
        <v>10.0236</v>
      </c>
      <c r="D1805" s="14" t="n">
        <v>1.1728</v>
      </c>
      <c r="E1805" s="14" t="n">
        <v>1.0337</v>
      </c>
      <c r="F1805" s="14" t="n">
        <v>7.071</v>
      </c>
      <c r="G1805" s="14" t="n">
        <v>5.3173</v>
      </c>
      <c r="H1805" s="14" t="n">
        <v>140.43</v>
      </c>
      <c r="I1805" s="14" t="n">
        <v>1.0319</v>
      </c>
      <c r="J1805" s="14" t="n">
        <v>10.3143</v>
      </c>
      <c r="K1805" s="14" t="n">
        <v>1369.32</v>
      </c>
      <c r="L1805" s="14" t="n">
        <v>0.87513</v>
      </c>
      <c r="M1805" s="14" t="n">
        <v>7.2906</v>
      </c>
      <c r="N1805" s="14" t="n">
        <v>5.4605</v>
      </c>
      <c r="O1805" s="14" t="n">
        <v>144.86</v>
      </c>
      <c r="P1805" s="14" t="n">
        <v>9.9954</v>
      </c>
    </row>
    <row r="1806" customFormat="false" ht="15" hidden="false" customHeight="false" outlineLevel="0" collapsed="false">
      <c r="A1806" s="13" t="n">
        <v>44880</v>
      </c>
      <c r="B1806" s="14" t="n">
        <v>1317.88</v>
      </c>
      <c r="C1806" s="14" t="n">
        <v>9.961</v>
      </c>
      <c r="D1806" s="14" t="n">
        <v>1.189</v>
      </c>
      <c r="E1806" s="14" t="n">
        <v>1.0372</v>
      </c>
      <c r="F1806" s="14" t="n">
        <v>7.044</v>
      </c>
      <c r="G1806" s="14" t="n">
        <v>5.333</v>
      </c>
      <c r="H1806" s="14" t="n">
        <v>139.36</v>
      </c>
      <c r="I1806" s="14" t="n">
        <v>1.0404</v>
      </c>
      <c r="J1806" s="14" t="n">
        <v>10.357</v>
      </c>
      <c r="K1806" s="14" t="n">
        <v>1365.61</v>
      </c>
      <c r="L1806" s="14" t="n">
        <v>0.87455</v>
      </c>
      <c r="M1806" s="14" t="n">
        <v>7.3299</v>
      </c>
      <c r="N1806" s="14" t="n">
        <v>5.548</v>
      </c>
      <c r="O1806" s="14" t="n">
        <v>144.84</v>
      </c>
      <c r="P1806" s="14" t="n">
        <v>9.9548</v>
      </c>
    </row>
    <row r="1807" customFormat="false" ht="15" hidden="false" customHeight="false" outlineLevel="0" collapsed="false">
      <c r="A1807" s="13" t="n">
        <v>44881</v>
      </c>
      <c r="B1807" s="14" t="n">
        <v>1326.46</v>
      </c>
      <c r="C1807" s="14" t="n">
        <v>10.0128</v>
      </c>
      <c r="D1807" s="14" t="n">
        <v>1.1889</v>
      </c>
      <c r="E1807" s="14" t="n">
        <v>1.0395</v>
      </c>
      <c r="F1807" s="14" t="n">
        <v>7.0964</v>
      </c>
      <c r="G1807" s="14" t="n">
        <v>5.3542</v>
      </c>
      <c r="H1807" s="14" t="n">
        <v>139.59</v>
      </c>
      <c r="I1807" s="14" t="n">
        <v>1.0412</v>
      </c>
      <c r="J1807" s="14" t="n">
        <v>10.3675</v>
      </c>
      <c r="K1807" s="14" t="n">
        <v>1378.1</v>
      </c>
      <c r="L1807" s="14" t="n">
        <v>0.87483</v>
      </c>
      <c r="M1807" s="14" t="n">
        <v>7.372</v>
      </c>
      <c r="N1807" s="14" t="n">
        <v>5.5438</v>
      </c>
      <c r="O1807" s="14" t="n">
        <v>145.29</v>
      </c>
      <c r="P1807" s="14" t="n">
        <v>9.9573</v>
      </c>
    </row>
    <row r="1808" customFormat="false" ht="15" hidden="false" customHeight="false" outlineLevel="0" collapsed="false">
      <c r="A1808" s="13" t="n">
        <v>44882</v>
      </c>
      <c r="B1808" s="14" t="n">
        <v>1338.97</v>
      </c>
      <c r="C1808" s="14" t="n">
        <v>10.1545</v>
      </c>
      <c r="D1808" s="14" t="n">
        <v>1.1812</v>
      </c>
      <c r="E1808" s="14" t="n">
        <v>1.0341</v>
      </c>
      <c r="F1808" s="14" t="n">
        <v>7.1551</v>
      </c>
      <c r="G1808" s="14" t="n">
        <v>5.4584</v>
      </c>
      <c r="H1808" s="14" t="n">
        <v>140.45</v>
      </c>
      <c r="I1808" s="14" t="n">
        <v>1.0319</v>
      </c>
      <c r="J1808" s="14" t="n">
        <v>10.498</v>
      </c>
      <c r="K1808" s="14" t="n">
        <v>1394.06</v>
      </c>
      <c r="L1808" s="14" t="n">
        <v>0.87475</v>
      </c>
      <c r="M1808" s="14" t="n">
        <v>7.3859</v>
      </c>
      <c r="N1808" s="14" t="n">
        <v>5.6535</v>
      </c>
      <c r="O1808" s="14" t="n">
        <v>144.8</v>
      </c>
      <c r="P1808" s="14" t="n">
        <v>10.1735</v>
      </c>
    </row>
    <row r="1809" customFormat="false" ht="15" hidden="false" customHeight="false" outlineLevel="0" collapsed="false">
      <c r="A1809" s="13" t="n">
        <v>44883</v>
      </c>
      <c r="B1809" s="14" t="n">
        <v>1339.61</v>
      </c>
      <c r="C1809" s="14" t="n">
        <v>10.1819</v>
      </c>
      <c r="D1809" s="14" t="n">
        <v>1.1902</v>
      </c>
      <c r="E1809" s="14" t="n">
        <v>1.0349</v>
      </c>
      <c r="F1809" s="14" t="n">
        <v>7.1192</v>
      </c>
      <c r="G1809" s="14" t="n">
        <v>5.3757</v>
      </c>
      <c r="H1809" s="14" t="n">
        <v>140.03</v>
      </c>
      <c r="I1809" s="14" t="n">
        <v>1.0366</v>
      </c>
      <c r="J1809" s="14" t="n">
        <v>10.486</v>
      </c>
      <c r="K1809" s="14" t="n">
        <v>1389.02</v>
      </c>
      <c r="L1809" s="14" t="n">
        <v>0.87063</v>
      </c>
      <c r="M1809" s="14" t="n">
        <v>7.379</v>
      </c>
      <c r="N1809" s="14" t="n">
        <v>5.547</v>
      </c>
      <c r="O1809" s="14" t="n">
        <v>145.12</v>
      </c>
      <c r="P1809" s="14" t="n">
        <v>10.1158</v>
      </c>
    </row>
    <row r="1810" customFormat="false" ht="15" hidden="false" customHeight="false" outlineLevel="0" collapsed="false">
      <c r="A1810" s="13" t="n">
        <v>44886</v>
      </c>
      <c r="B1810" s="14" t="n">
        <v>1354.87</v>
      </c>
      <c r="C1810" s="14" t="n">
        <v>10.2953</v>
      </c>
      <c r="D1810" s="14" t="n">
        <v>1.1785</v>
      </c>
      <c r="E1810" s="14" t="n">
        <v>1.0238</v>
      </c>
      <c r="F1810" s="14" t="n">
        <v>7.164</v>
      </c>
      <c r="G1810" s="14" t="n">
        <v>5.3335</v>
      </c>
      <c r="H1810" s="14" t="n">
        <v>141.95</v>
      </c>
      <c r="I1810" s="14" t="n">
        <v>1.0246</v>
      </c>
      <c r="J1810" s="14" t="n">
        <v>10.4898</v>
      </c>
      <c r="K1810" s="14" t="n">
        <v>1395</v>
      </c>
      <c r="L1810" s="14" t="n">
        <v>0.86793</v>
      </c>
      <c r="M1810" s="14" t="n">
        <v>7.3419</v>
      </c>
      <c r="N1810" s="14" t="n">
        <v>5.4401</v>
      </c>
      <c r="O1810" s="14" t="n">
        <v>145.33</v>
      </c>
      <c r="P1810" s="14" t="n">
        <v>10.2379</v>
      </c>
    </row>
    <row r="1811" customFormat="false" ht="15" hidden="false" customHeight="false" outlineLevel="0" collapsed="false">
      <c r="A1811" s="13" t="n">
        <v>44887</v>
      </c>
      <c r="B1811" s="14" t="n">
        <v>1356.66</v>
      </c>
      <c r="C1811" s="14" t="n">
        <v>10.1456</v>
      </c>
      <c r="D1811" s="14" t="n">
        <v>1.188</v>
      </c>
      <c r="E1811" s="14" t="n">
        <v>1.0276</v>
      </c>
      <c r="F1811" s="14" t="n">
        <v>7.1388</v>
      </c>
      <c r="G1811" s="14" t="n">
        <v>5.3571</v>
      </c>
      <c r="H1811" s="14" t="n">
        <v>141.29</v>
      </c>
      <c r="I1811" s="14" t="n">
        <v>1.0274</v>
      </c>
      <c r="J1811" s="14" t="n">
        <v>10.4445</v>
      </c>
      <c r="K1811" s="14" t="n">
        <v>1392.68</v>
      </c>
      <c r="L1811" s="14" t="n">
        <v>0.86358</v>
      </c>
      <c r="M1811" s="14" t="n">
        <v>7.3344</v>
      </c>
      <c r="N1811" s="14" t="n">
        <v>5.4578</v>
      </c>
      <c r="O1811" s="14" t="n">
        <v>145.2</v>
      </c>
      <c r="P1811" s="14" t="n">
        <v>10.166</v>
      </c>
    </row>
    <row r="1812" customFormat="false" ht="15" hidden="false" customHeight="false" outlineLevel="0" collapsed="false">
      <c r="A1812" s="13" t="n">
        <v>44888</v>
      </c>
      <c r="B1812" s="14" t="n">
        <v>1352.49</v>
      </c>
      <c r="C1812" s="14" t="n">
        <v>9.9869</v>
      </c>
      <c r="D1812" s="14" t="n">
        <v>1.204</v>
      </c>
      <c r="E1812" s="14" t="n">
        <v>1.0364</v>
      </c>
      <c r="F1812" s="14" t="n">
        <v>7.158</v>
      </c>
      <c r="G1812" s="14" t="n">
        <v>5.3905</v>
      </c>
      <c r="H1812" s="14" t="n">
        <v>139.76</v>
      </c>
      <c r="I1812" s="14" t="n">
        <v>1.0325</v>
      </c>
      <c r="J1812" s="14" t="n">
        <v>10.3659</v>
      </c>
      <c r="K1812" s="14" t="n">
        <v>1397.42</v>
      </c>
      <c r="L1812" s="14" t="n">
        <v>0.86369</v>
      </c>
      <c r="M1812" s="14" t="n">
        <v>7.3982</v>
      </c>
      <c r="N1812" s="14" t="n">
        <v>5.565</v>
      </c>
      <c r="O1812" s="14" t="n">
        <v>145.75</v>
      </c>
      <c r="P1812" s="14" t="n">
        <v>10.0396</v>
      </c>
    </row>
    <row r="1813" customFormat="false" ht="15" hidden="false" customHeight="false" outlineLevel="0" collapsed="false">
      <c r="A1813" s="13" t="n">
        <v>44889</v>
      </c>
      <c r="I1813" s="14" t="n">
        <v>1.0413</v>
      </c>
      <c r="J1813" s="14" t="n">
        <v>10.3435</v>
      </c>
      <c r="K1813" s="14" t="n">
        <v>1382.28</v>
      </c>
      <c r="L1813" s="14" t="n">
        <v>0.85933</v>
      </c>
      <c r="M1813" s="14" t="n">
        <v>7.4442</v>
      </c>
      <c r="N1813" s="14" t="n">
        <v>5.5504</v>
      </c>
      <c r="O1813" s="14" t="n">
        <v>143.9</v>
      </c>
      <c r="P1813" s="14" t="n">
        <v>9.9333</v>
      </c>
    </row>
    <row r="1814" customFormat="false" ht="15" hidden="false" customHeight="false" outlineLevel="0" collapsed="false">
      <c r="A1814" s="13" t="n">
        <v>44890</v>
      </c>
      <c r="B1814" s="14" t="n">
        <v>1325.22</v>
      </c>
      <c r="C1814" s="14" t="n">
        <v>9.8763</v>
      </c>
      <c r="D1814" s="14" t="n">
        <v>1.2102</v>
      </c>
      <c r="E1814" s="14" t="n">
        <v>1.0402</v>
      </c>
      <c r="F1814" s="14" t="n">
        <v>7.1642</v>
      </c>
      <c r="G1814" s="14" t="n">
        <v>5.3838</v>
      </c>
      <c r="H1814" s="14" t="n">
        <v>139.21</v>
      </c>
      <c r="I1814" s="14" t="n">
        <v>1.0375</v>
      </c>
      <c r="J1814" s="14" t="n">
        <v>10.2985</v>
      </c>
      <c r="K1814" s="14" t="n">
        <v>1383.2</v>
      </c>
      <c r="L1814" s="14" t="n">
        <v>0.85885</v>
      </c>
      <c r="M1814" s="14" t="n">
        <v>7.4425</v>
      </c>
      <c r="N1814" s="14" t="n">
        <v>5.5476</v>
      </c>
      <c r="O1814" s="14" t="n">
        <v>144.62</v>
      </c>
      <c r="P1814" s="14" t="n">
        <v>9.9263</v>
      </c>
    </row>
    <row r="1815" customFormat="false" ht="15" hidden="false" customHeight="false" outlineLevel="0" collapsed="false">
      <c r="A1815" s="13" t="n">
        <v>44893</v>
      </c>
      <c r="B1815" s="14" t="n">
        <v>1340.66</v>
      </c>
      <c r="C1815" s="14" t="n">
        <v>9.9726</v>
      </c>
      <c r="D1815" s="14" t="n">
        <v>1.2041</v>
      </c>
      <c r="E1815" s="14" t="n">
        <v>1.0386</v>
      </c>
      <c r="F1815" s="14" t="n">
        <v>7.2074</v>
      </c>
      <c r="G1815" s="14" t="n">
        <v>5.368</v>
      </c>
      <c r="H1815" s="14" t="n">
        <v>138.67</v>
      </c>
      <c r="I1815" s="14" t="n">
        <v>1.0463</v>
      </c>
      <c r="J1815" s="14" t="n">
        <v>10.364</v>
      </c>
      <c r="K1815" s="14" t="n">
        <v>1396.56</v>
      </c>
      <c r="L1815" s="14" t="n">
        <v>0.86606</v>
      </c>
      <c r="M1815" s="14" t="n">
        <v>7.5326</v>
      </c>
      <c r="N1815" s="14" t="n">
        <v>5.6354</v>
      </c>
      <c r="O1815" s="14" t="n">
        <v>144.9</v>
      </c>
      <c r="P1815" s="14" t="n">
        <v>9.9054</v>
      </c>
    </row>
    <row r="1816" customFormat="false" ht="15" hidden="false" customHeight="false" outlineLevel="0" collapsed="false">
      <c r="A1816" s="13" t="n">
        <v>44894</v>
      </c>
      <c r="B1816" s="14" t="n">
        <v>1327.24</v>
      </c>
      <c r="C1816" s="14" t="n">
        <v>9.9946</v>
      </c>
      <c r="D1816" s="14" t="n">
        <v>1.1996</v>
      </c>
      <c r="E1816" s="14" t="n">
        <v>1.0356</v>
      </c>
      <c r="F1816" s="14" t="n">
        <v>7.1568</v>
      </c>
      <c r="G1816" s="14" t="n">
        <v>5.2945</v>
      </c>
      <c r="H1816" s="14" t="n">
        <v>138.28</v>
      </c>
      <c r="I1816" s="14" t="n">
        <v>1.0366</v>
      </c>
      <c r="J1816" s="14" t="n">
        <v>10.3313</v>
      </c>
      <c r="K1816" s="14" t="n">
        <v>1375.7</v>
      </c>
      <c r="L1816" s="14" t="n">
        <v>0.86218</v>
      </c>
      <c r="M1816" s="14" t="n">
        <v>7.4289</v>
      </c>
      <c r="N1816" s="14" t="n">
        <v>5.5126</v>
      </c>
      <c r="O1816" s="14" t="n">
        <v>143.36</v>
      </c>
      <c r="P1816" s="14" t="n">
        <v>9.9665</v>
      </c>
    </row>
    <row r="1817" customFormat="false" ht="15" hidden="false" customHeight="false" outlineLevel="0" collapsed="false">
      <c r="A1817" s="13" t="n">
        <v>44895</v>
      </c>
      <c r="B1817" s="14" t="n">
        <v>1316.84</v>
      </c>
      <c r="C1817" s="14" t="n">
        <v>9.94</v>
      </c>
      <c r="D1817" s="14" t="n">
        <v>1.1962</v>
      </c>
      <c r="E1817" s="14" t="n">
        <v>1.0323</v>
      </c>
      <c r="F1817" s="14" t="n">
        <v>7.0879</v>
      </c>
      <c r="G1817" s="14" t="n">
        <v>5.2563</v>
      </c>
      <c r="H1817" s="14" t="n">
        <v>139.31</v>
      </c>
      <c r="I1817" s="14" t="n">
        <v>1.0376</v>
      </c>
      <c r="J1817" s="14" t="n">
        <v>10.2648</v>
      </c>
      <c r="K1817" s="14" t="n">
        <v>1365.14</v>
      </c>
      <c r="L1817" s="14" t="n">
        <v>0.86488</v>
      </c>
      <c r="M1817" s="14" t="n">
        <v>7.3437</v>
      </c>
      <c r="N1817" s="14" t="n">
        <v>5.5063</v>
      </c>
      <c r="O1817" s="14" t="n">
        <v>144.28</v>
      </c>
      <c r="P1817" s="14" t="n">
        <v>9.8928</v>
      </c>
    </row>
    <row r="1818" customFormat="false" ht="15" hidden="false" customHeight="false" outlineLevel="0" collapsed="false">
      <c r="A1818" s="13" t="n">
        <v>44896</v>
      </c>
      <c r="B1818" s="14" t="n">
        <v>1299.11</v>
      </c>
      <c r="C1818" s="14" t="n">
        <v>9.7514</v>
      </c>
      <c r="D1818" s="14" t="n">
        <v>1.2252</v>
      </c>
      <c r="E1818" s="14" t="n">
        <v>1.0498</v>
      </c>
      <c r="F1818" s="14" t="n">
        <v>7.0424</v>
      </c>
      <c r="G1818" s="14" t="n">
        <v>5.1868</v>
      </c>
      <c r="H1818" s="14" t="n">
        <v>135.55</v>
      </c>
      <c r="I1818" s="14" t="n">
        <v>1.0454</v>
      </c>
      <c r="J1818" s="14" t="n">
        <v>10.2495</v>
      </c>
      <c r="K1818" s="14" t="n">
        <v>1363.81</v>
      </c>
      <c r="L1818" s="14" t="n">
        <v>0.85715</v>
      </c>
      <c r="M1818" s="14" t="n">
        <v>7.3965</v>
      </c>
      <c r="N1818" s="14" t="n">
        <v>5.4508</v>
      </c>
      <c r="O1818" s="14" t="n">
        <v>142.48</v>
      </c>
      <c r="P1818" s="14" t="n">
        <v>9.8044</v>
      </c>
    </row>
    <row r="1819" customFormat="false" ht="15" hidden="false" customHeight="false" outlineLevel="0" collapsed="false">
      <c r="A1819" s="13" t="n">
        <v>44897</v>
      </c>
      <c r="B1819" s="14" t="n">
        <v>1300.5</v>
      </c>
      <c r="C1819" s="14" t="n">
        <v>9.7779</v>
      </c>
      <c r="D1819" s="14" t="n">
        <v>1.2292</v>
      </c>
      <c r="E1819" s="14" t="n">
        <v>1.0521</v>
      </c>
      <c r="F1819" s="14" t="n">
        <v>7.019</v>
      </c>
      <c r="G1819" s="14" t="n">
        <v>5.21</v>
      </c>
      <c r="H1819" s="14" t="n">
        <v>134.89</v>
      </c>
      <c r="I1819" s="14" t="n">
        <v>1.0538</v>
      </c>
      <c r="J1819" s="14" t="n">
        <v>10.2615</v>
      </c>
      <c r="K1819" s="14" t="n">
        <v>1366.67</v>
      </c>
      <c r="L1819" s="14" t="n">
        <v>0.85855</v>
      </c>
      <c r="M1819" s="14" t="n">
        <v>7.3971</v>
      </c>
      <c r="N1819" s="14" t="n">
        <v>5.4657</v>
      </c>
      <c r="O1819" s="14" t="n">
        <v>141.32</v>
      </c>
      <c r="P1819" s="14" t="n">
        <v>9.7376</v>
      </c>
    </row>
    <row r="1820" customFormat="false" ht="15" hidden="false" customHeight="false" outlineLevel="0" collapsed="false">
      <c r="A1820" s="13" t="n">
        <v>44900</v>
      </c>
      <c r="B1820" s="14" t="n">
        <v>1292.58</v>
      </c>
      <c r="C1820" s="14" t="n">
        <v>9.9423</v>
      </c>
      <c r="D1820" s="14" t="n">
        <v>1.2169</v>
      </c>
      <c r="E1820" s="14" t="n">
        <v>1.0494</v>
      </c>
      <c r="F1820" s="14" t="n">
        <v>6.961</v>
      </c>
      <c r="G1820" s="14" t="n">
        <v>5.2611</v>
      </c>
      <c r="H1820" s="14" t="n">
        <v>136.55</v>
      </c>
      <c r="I1820" s="14" t="n">
        <v>1.0587</v>
      </c>
      <c r="J1820" s="14" t="n">
        <v>10.3366</v>
      </c>
      <c r="K1820" s="14" t="n">
        <v>1370.87</v>
      </c>
      <c r="L1820" s="14" t="n">
        <v>0.86085</v>
      </c>
      <c r="M1820" s="14" t="n">
        <v>7.3573</v>
      </c>
      <c r="N1820" s="14" t="n">
        <v>5.5491</v>
      </c>
      <c r="O1820" s="14" t="n">
        <v>143.07</v>
      </c>
      <c r="P1820" s="14" t="n">
        <v>9.7635</v>
      </c>
    </row>
    <row r="1821" customFormat="false" ht="15" hidden="false" customHeight="false" outlineLevel="0" collapsed="false">
      <c r="A1821" s="13" t="n">
        <v>44901</v>
      </c>
      <c r="B1821" s="14" t="n">
        <v>1319.31</v>
      </c>
      <c r="C1821" s="14" t="n">
        <v>10.0062</v>
      </c>
      <c r="D1821" s="14" t="n">
        <v>1.2202</v>
      </c>
      <c r="E1821" s="14" t="n">
        <v>1.0497</v>
      </c>
      <c r="F1821" s="14" t="n">
        <v>6.9935</v>
      </c>
      <c r="G1821" s="14" t="n">
        <v>5.2415</v>
      </c>
      <c r="H1821" s="14" t="n">
        <v>136.67</v>
      </c>
      <c r="I1821" s="14" t="n">
        <v>1.0516</v>
      </c>
      <c r="J1821" s="14" t="n">
        <v>10.4408</v>
      </c>
      <c r="K1821" s="14" t="n">
        <v>1386.39</v>
      </c>
      <c r="L1821" s="14" t="n">
        <v>0.8617</v>
      </c>
      <c r="M1821" s="14" t="n">
        <v>7.3494</v>
      </c>
      <c r="N1821" s="14" t="n">
        <v>5.5113</v>
      </c>
      <c r="O1821" s="14" t="n">
        <v>143.33</v>
      </c>
      <c r="P1821" s="14" t="n">
        <v>9.9285</v>
      </c>
    </row>
    <row r="1822" customFormat="false" ht="15" hidden="false" customHeight="false" outlineLevel="0" collapsed="false">
      <c r="A1822" s="13" t="n">
        <v>44902</v>
      </c>
      <c r="B1822" s="14" t="n">
        <v>1322.23</v>
      </c>
      <c r="C1822" s="14" t="n">
        <v>10.0186</v>
      </c>
      <c r="D1822" s="14" t="n">
        <v>1.2194</v>
      </c>
      <c r="E1822" s="14" t="n">
        <v>1.0505</v>
      </c>
      <c r="F1822" s="14" t="n">
        <v>6.9702</v>
      </c>
      <c r="G1822" s="14" t="n">
        <v>5.2187</v>
      </c>
      <c r="H1822" s="14" t="n">
        <v>136.57</v>
      </c>
      <c r="I1822" s="14" t="n">
        <v>1.0529</v>
      </c>
      <c r="J1822" s="14" t="n">
        <v>10.5255</v>
      </c>
      <c r="K1822" s="14" t="n">
        <v>1390.87</v>
      </c>
      <c r="L1822" s="14" t="n">
        <v>0.86408</v>
      </c>
      <c r="M1822" s="14" t="n">
        <v>7.3476</v>
      </c>
      <c r="N1822" s="14" t="n">
        <v>5.5023</v>
      </c>
      <c r="O1822" s="14" t="n">
        <v>144.44</v>
      </c>
      <c r="P1822" s="14" t="n">
        <v>9.9967</v>
      </c>
    </row>
    <row r="1823" customFormat="false" ht="15" hidden="false" customHeight="false" outlineLevel="0" collapsed="false">
      <c r="A1823" s="13" t="n">
        <v>44903</v>
      </c>
      <c r="B1823" s="14" t="n">
        <v>1317.56</v>
      </c>
      <c r="C1823" s="14" t="n">
        <v>9.964</v>
      </c>
      <c r="D1823" s="14" t="n">
        <v>1.2235</v>
      </c>
      <c r="E1823" s="14" t="n">
        <v>1.0552</v>
      </c>
      <c r="F1823" s="14" t="n">
        <v>6.9649</v>
      </c>
      <c r="G1823" s="14" t="n">
        <v>5.2003</v>
      </c>
      <c r="H1823" s="14" t="n">
        <v>136.45</v>
      </c>
      <c r="I1823" s="14" t="n">
        <v>1.0519</v>
      </c>
      <c r="J1823" s="14" t="n">
        <v>10.488</v>
      </c>
      <c r="K1823" s="14" t="n">
        <v>1387.06</v>
      </c>
      <c r="L1823" s="14" t="n">
        <v>0.86258</v>
      </c>
      <c r="M1823" s="14" t="n">
        <v>7.3324</v>
      </c>
      <c r="N1823" s="14" t="n">
        <v>5.488</v>
      </c>
      <c r="O1823" s="14" t="n">
        <v>143.75</v>
      </c>
      <c r="P1823" s="14" t="n">
        <v>9.9705</v>
      </c>
    </row>
    <row r="1824" customFormat="false" ht="15" hidden="false" customHeight="false" outlineLevel="0" collapsed="false">
      <c r="A1824" s="13" t="n">
        <v>44904</v>
      </c>
      <c r="B1824" s="14" t="n">
        <v>1301.61</v>
      </c>
      <c r="C1824" s="14" t="n">
        <v>9.9582</v>
      </c>
      <c r="D1824" s="14" t="n">
        <v>1.2311</v>
      </c>
      <c r="E1824" s="14" t="n">
        <v>1.055</v>
      </c>
      <c r="F1824" s="14" t="n">
        <v>6.9559</v>
      </c>
      <c r="G1824" s="14" t="n">
        <v>5.2365</v>
      </c>
      <c r="H1824" s="14" t="n">
        <v>136.4</v>
      </c>
      <c r="I1824" s="14" t="n">
        <v>1.0559</v>
      </c>
      <c r="J1824" s="14" t="n">
        <v>10.5345</v>
      </c>
      <c r="K1824" s="14" t="n">
        <v>1373.94</v>
      </c>
      <c r="L1824" s="14" t="n">
        <v>0.8595</v>
      </c>
      <c r="M1824" s="14" t="n">
        <v>7.3475</v>
      </c>
      <c r="N1824" s="14" t="n">
        <v>5.5457</v>
      </c>
      <c r="O1824" s="14" t="n">
        <v>143.3</v>
      </c>
      <c r="P1824" s="14" t="n">
        <v>9.9768</v>
      </c>
    </row>
    <row r="1825" customFormat="false" ht="15" hidden="false" customHeight="false" outlineLevel="0" collapsed="false">
      <c r="A1825" s="13" t="n">
        <v>44907</v>
      </c>
      <c r="B1825" s="14" t="n">
        <v>1307.62</v>
      </c>
      <c r="C1825" s="14" t="n">
        <v>9.9872</v>
      </c>
      <c r="D1825" s="14" t="n">
        <v>1.2285</v>
      </c>
      <c r="E1825" s="14" t="n">
        <v>1.0545</v>
      </c>
      <c r="F1825" s="14" t="n">
        <v>6.9773</v>
      </c>
      <c r="G1825" s="14" t="n">
        <v>5.3344</v>
      </c>
      <c r="H1825" s="14" t="n">
        <v>137.47</v>
      </c>
      <c r="I1825" s="14" t="n">
        <v>1.0562</v>
      </c>
      <c r="J1825" s="14" t="n">
        <v>10.5548</v>
      </c>
      <c r="K1825" s="14" t="n">
        <v>1377.93</v>
      </c>
      <c r="L1825" s="14" t="n">
        <v>0.86006</v>
      </c>
      <c r="M1825" s="14" t="n">
        <v>7.367</v>
      </c>
      <c r="N1825" s="14" t="n">
        <v>5.556</v>
      </c>
      <c r="O1825" s="14" t="n">
        <v>144.86</v>
      </c>
      <c r="P1825" s="14" t="n">
        <v>9.9932</v>
      </c>
    </row>
    <row r="1826" customFormat="false" ht="15" hidden="false" customHeight="false" outlineLevel="0" collapsed="false">
      <c r="A1826" s="13" t="n">
        <v>44908</v>
      </c>
      <c r="B1826" s="14" t="n">
        <v>1301.47</v>
      </c>
      <c r="C1826" s="14" t="n">
        <v>9.7838</v>
      </c>
      <c r="D1826" s="14" t="n">
        <v>1.2375</v>
      </c>
      <c r="E1826" s="14" t="n">
        <v>1.063</v>
      </c>
      <c r="F1826" s="14" t="n">
        <v>6.943</v>
      </c>
      <c r="G1826" s="14" t="n">
        <v>5.269</v>
      </c>
      <c r="H1826" s="14" t="n">
        <v>135.14</v>
      </c>
      <c r="I1826" s="14" t="n">
        <v>1.0545</v>
      </c>
      <c r="J1826" s="14" t="n">
        <v>10.4679</v>
      </c>
      <c r="K1826" s="14" t="n">
        <v>1378.75</v>
      </c>
      <c r="L1826" s="14" t="n">
        <v>0.85753</v>
      </c>
      <c r="M1826" s="14" t="n">
        <v>7.3637</v>
      </c>
      <c r="N1826" s="14" t="n">
        <v>5.5784</v>
      </c>
      <c r="O1826" s="14" t="n">
        <v>144.85</v>
      </c>
      <c r="P1826" s="14" t="n">
        <v>9.9269</v>
      </c>
    </row>
    <row r="1827" customFormat="false" ht="15" hidden="false" customHeight="false" outlineLevel="0" collapsed="false">
      <c r="A1827" s="13" t="n">
        <v>44909</v>
      </c>
      <c r="B1827" s="14" t="n">
        <v>1294.79</v>
      </c>
      <c r="C1827" s="14" t="n">
        <v>9.7505</v>
      </c>
      <c r="D1827" s="14" t="n">
        <v>1.2408</v>
      </c>
      <c r="E1827" s="14" t="n">
        <v>1.0655</v>
      </c>
      <c r="F1827" s="14" t="n">
        <v>6.9498</v>
      </c>
      <c r="G1827" s="14" t="n">
        <v>5.2997</v>
      </c>
      <c r="H1827" s="14" t="n">
        <v>134.95</v>
      </c>
      <c r="I1827" s="14" t="n">
        <v>1.0649</v>
      </c>
      <c r="J1827" s="14" t="n">
        <v>10.362</v>
      </c>
      <c r="K1827" s="14" t="n">
        <v>1379.99</v>
      </c>
      <c r="L1827" s="14" t="n">
        <v>0.86118</v>
      </c>
      <c r="M1827" s="14" t="n">
        <v>7.4009</v>
      </c>
      <c r="N1827" s="14" t="n">
        <v>5.6842</v>
      </c>
      <c r="O1827" s="14" t="n">
        <v>143.68</v>
      </c>
      <c r="P1827" s="14" t="n">
        <v>9.7305</v>
      </c>
    </row>
    <row r="1828" customFormat="false" ht="15" hidden="false" customHeight="false" outlineLevel="0" collapsed="false">
      <c r="A1828" s="13" t="n">
        <v>44910</v>
      </c>
      <c r="B1828" s="14" t="n">
        <v>1302.91</v>
      </c>
      <c r="C1828" s="14" t="n">
        <v>9.8512</v>
      </c>
      <c r="D1828" s="14" t="n">
        <v>1.2206</v>
      </c>
      <c r="E1828" s="14" t="n">
        <v>1.0638</v>
      </c>
      <c r="F1828" s="14" t="n">
        <v>6.9716</v>
      </c>
      <c r="G1828" s="14" t="n">
        <v>5.3285</v>
      </c>
      <c r="H1828" s="14" t="n">
        <v>137.92</v>
      </c>
      <c r="I1828" s="14" t="n">
        <v>1.0621</v>
      </c>
      <c r="J1828" s="14" t="n">
        <v>10.4013</v>
      </c>
      <c r="K1828" s="14" t="n">
        <v>1393.97</v>
      </c>
      <c r="L1828" s="14" t="n">
        <v>0.86194</v>
      </c>
      <c r="M1828" s="14" t="n">
        <v>7.4007</v>
      </c>
      <c r="N1828" s="14" t="n">
        <v>5.6247</v>
      </c>
      <c r="O1828" s="14" t="n">
        <v>145.07</v>
      </c>
      <c r="P1828" s="14" t="n">
        <v>9.7931</v>
      </c>
    </row>
    <row r="1829" customFormat="false" ht="15" hidden="false" customHeight="false" outlineLevel="0" collapsed="false">
      <c r="A1829" s="13" t="n">
        <v>44911</v>
      </c>
      <c r="B1829" s="14" t="n">
        <v>1307.73</v>
      </c>
      <c r="C1829" s="14" t="n">
        <v>9.9024</v>
      </c>
      <c r="D1829" s="14" t="n">
        <v>1.2168</v>
      </c>
      <c r="E1829" s="14" t="n">
        <v>1.061</v>
      </c>
      <c r="F1829" s="14" t="n">
        <v>6.9708</v>
      </c>
      <c r="G1829" s="14" t="n">
        <v>5.2725</v>
      </c>
      <c r="H1829" s="14" t="n">
        <v>136.55</v>
      </c>
      <c r="I1829" s="14" t="n">
        <v>1.0619</v>
      </c>
      <c r="J1829" s="14" t="n">
        <v>10.4833</v>
      </c>
      <c r="K1829" s="14" t="n">
        <v>1389.7</v>
      </c>
      <c r="L1829" s="14" t="n">
        <v>0.87233</v>
      </c>
      <c r="M1829" s="14" t="n">
        <v>7.4037</v>
      </c>
      <c r="N1829" s="14" t="n">
        <v>5.6233</v>
      </c>
      <c r="O1829" s="14" t="n">
        <v>145.53</v>
      </c>
      <c r="P1829" s="14" t="n">
        <v>9.8722</v>
      </c>
    </row>
    <row r="1830" customFormat="false" ht="15" hidden="false" customHeight="false" outlineLevel="0" collapsed="false">
      <c r="A1830" s="13" t="n">
        <v>44914</v>
      </c>
      <c r="B1830" s="14" t="n">
        <v>1302.29</v>
      </c>
      <c r="C1830" s="14" t="n">
        <v>9.8886</v>
      </c>
      <c r="D1830" s="14" t="n">
        <v>1.218</v>
      </c>
      <c r="E1830" s="14" t="n">
        <v>1.0624</v>
      </c>
      <c r="F1830" s="14" t="n">
        <v>6.9772</v>
      </c>
      <c r="G1830" s="14" t="n">
        <v>5.3097</v>
      </c>
      <c r="H1830" s="14" t="n">
        <v>136.87</v>
      </c>
      <c r="I1830" s="14" t="n">
        <v>1.0598</v>
      </c>
      <c r="J1830" s="14" t="n">
        <v>10.5025</v>
      </c>
      <c r="K1830" s="14" t="n">
        <v>1377.17</v>
      </c>
      <c r="L1830" s="14" t="n">
        <v>0.87118</v>
      </c>
      <c r="M1830" s="14" t="n">
        <v>7.3901</v>
      </c>
      <c r="N1830" s="14" t="n">
        <v>5.6327</v>
      </c>
      <c r="O1830" s="14" t="n">
        <v>144.65</v>
      </c>
      <c r="P1830" s="14" t="n">
        <v>9.9099</v>
      </c>
    </row>
    <row r="1831" customFormat="false" ht="15" hidden="false" customHeight="false" outlineLevel="0" collapsed="false">
      <c r="A1831" s="13" t="n">
        <v>44915</v>
      </c>
      <c r="B1831" s="14" t="n">
        <v>1290.41</v>
      </c>
      <c r="C1831" s="14" t="n">
        <v>9.8938</v>
      </c>
      <c r="D1831" s="14" t="n">
        <v>1.2146</v>
      </c>
      <c r="E1831" s="14" t="n">
        <v>1.0635</v>
      </c>
      <c r="F1831" s="14" t="n">
        <v>6.96</v>
      </c>
      <c r="G1831" s="14" t="n">
        <v>5.2006</v>
      </c>
      <c r="H1831" s="14" t="n">
        <v>131.08</v>
      </c>
      <c r="I1831" s="14" t="n">
        <v>1.0599</v>
      </c>
      <c r="J1831" s="14" t="n">
        <v>10.5098</v>
      </c>
      <c r="K1831" s="14" t="n">
        <v>1363.73</v>
      </c>
      <c r="L1831" s="14" t="n">
        <v>0.8753</v>
      </c>
      <c r="M1831" s="14" t="n">
        <v>7.39</v>
      </c>
      <c r="N1831" s="14" t="n">
        <v>5.6234</v>
      </c>
      <c r="O1831" s="14" t="n">
        <v>140.58</v>
      </c>
      <c r="P1831" s="14" t="n">
        <v>9.9158</v>
      </c>
    </row>
    <row r="1832" customFormat="false" ht="15" hidden="false" customHeight="false" outlineLevel="0" collapsed="false">
      <c r="A1832" s="13" t="n">
        <v>44916</v>
      </c>
      <c r="B1832" s="14" t="n">
        <v>1284.7</v>
      </c>
      <c r="C1832" s="14" t="n">
        <v>9.8586</v>
      </c>
      <c r="D1832" s="14" t="n">
        <v>1.2072</v>
      </c>
      <c r="E1832" s="14" t="n">
        <v>1.0599</v>
      </c>
      <c r="F1832" s="14" t="n">
        <v>6.981</v>
      </c>
      <c r="G1832" s="14" t="n">
        <v>5.1955</v>
      </c>
      <c r="H1832" s="14" t="n">
        <v>132.36</v>
      </c>
      <c r="I1832" s="14" t="n">
        <v>1.0636</v>
      </c>
      <c r="J1832" s="14" t="n">
        <v>10.4309</v>
      </c>
      <c r="K1832" s="14" t="n">
        <v>1367.63</v>
      </c>
      <c r="L1832" s="14" t="n">
        <v>0.87651</v>
      </c>
      <c r="M1832" s="14" t="n">
        <v>7.4219</v>
      </c>
      <c r="N1832" s="14" t="n">
        <v>5.4913</v>
      </c>
      <c r="O1832" s="14" t="n">
        <v>140.29</v>
      </c>
      <c r="P1832" s="14" t="n">
        <v>9.8072</v>
      </c>
    </row>
    <row r="1833" customFormat="false" ht="15" hidden="false" customHeight="false" outlineLevel="0" collapsed="false">
      <c r="A1833" s="13" t="n">
        <v>44917</v>
      </c>
      <c r="B1833" s="14" t="n">
        <v>1275.68</v>
      </c>
      <c r="C1833" s="14" t="n">
        <v>9.8761</v>
      </c>
      <c r="D1833" s="14" t="n">
        <v>1.2032</v>
      </c>
      <c r="E1833" s="14" t="n">
        <v>1.0588</v>
      </c>
      <c r="F1833" s="14" t="n">
        <v>6.9829</v>
      </c>
      <c r="G1833" s="14" t="n">
        <v>5.1655</v>
      </c>
      <c r="H1833" s="14" t="n">
        <v>132.34</v>
      </c>
      <c r="I1833" s="14" t="n">
        <v>1.0633</v>
      </c>
      <c r="J1833" s="14" t="n">
        <v>10.4123</v>
      </c>
      <c r="K1833" s="14" t="n">
        <v>1361.75</v>
      </c>
      <c r="L1833" s="14" t="n">
        <v>0.88243</v>
      </c>
      <c r="M1833" s="14" t="n">
        <v>7.4229</v>
      </c>
      <c r="N1833" s="14" t="n">
        <v>5.5386</v>
      </c>
      <c r="O1833" s="14" t="n">
        <v>140.42</v>
      </c>
      <c r="P1833" s="14" t="n">
        <v>9.7924</v>
      </c>
    </row>
    <row r="1834" customFormat="false" ht="15" hidden="false" customHeight="false" outlineLevel="0" collapsed="false">
      <c r="A1834" s="13" t="n">
        <v>44918</v>
      </c>
      <c r="B1834" s="14" t="n">
        <v>1280.02</v>
      </c>
      <c r="C1834" s="14" t="n">
        <v>9.868</v>
      </c>
      <c r="D1834" s="14" t="n">
        <v>1.2054</v>
      </c>
      <c r="E1834" s="14" t="n">
        <v>1.0621</v>
      </c>
      <c r="F1834" s="14" t="n">
        <v>6.988</v>
      </c>
      <c r="G1834" s="14" t="n">
        <v>5.1368</v>
      </c>
      <c r="H1834" s="14" t="n">
        <v>132.78</v>
      </c>
      <c r="I1834" s="14" t="n">
        <v>1.0622</v>
      </c>
      <c r="J1834" s="14" t="n">
        <v>10.4448</v>
      </c>
      <c r="K1834" s="14" t="n">
        <v>1359.5</v>
      </c>
      <c r="L1834" s="14" t="n">
        <v>0.8803</v>
      </c>
      <c r="M1834" s="14" t="n">
        <v>7.4198</v>
      </c>
      <c r="N1834" s="14" t="n">
        <v>5.4834</v>
      </c>
      <c r="O1834" s="14" t="n">
        <v>140.86</v>
      </c>
      <c r="P1834" s="14" t="n">
        <v>9.8332</v>
      </c>
    </row>
    <row r="1835" customFormat="false" ht="15" hidden="false" customHeight="false" outlineLevel="0" collapsed="false">
      <c r="A1835" s="13" t="n">
        <v>44921</v>
      </c>
    </row>
    <row r="1836" customFormat="false" ht="15" hidden="false" customHeight="false" outlineLevel="0" collapsed="false">
      <c r="A1836" s="13" t="n">
        <v>44922</v>
      </c>
      <c r="B1836" s="14" t="n">
        <v>1271</v>
      </c>
      <c r="C1836" s="14" t="n">
        <v>9.8122</v>
      </c>
      <c r="D1836" s="14" t="n">
        <v>1.2032</v>
      </c>
      <c r="E1836" s="14" t="n">
        <v>1.0654</v>
      </c>
      <c r="F1836" s="14" t="n">
        <v>6.96</v>
      </c>
      <c r="G1836" s="14" t="n">
        <v>5.279</v>
      </c>
      <c r="H1836" s="14" t="n">
        <v>133.43</v>
      </c>
      <c r="I1836" s="14" t="n">
        <v>1.0624</v>
      </c>
      <c r="J1836" s="14" t="n">
        <v>10.4895</v>
      </c>
      <c r="K1836" s="14" t="n">
        <v>1349.85</v>
      </c>
      <c r="L1836" s="14" t="n">
        <v>0.88333</v>
      </c>
      <c r="M1836" s="14" t="n">
        <v>7.3994</v>
      </c>
      <c r="N1836" s="14" t="n">
        <v>5.6035</v>
      </c>
      <c r="O1836" s="14" t="n">
        <v>141.68</v>
      </c>
      <c r="P1836" s="14" t="n">
        <v>9.8734</v>
      </c>
    </row>
    <row r="1837" customFormat="false" ht="15" hidden="false" customHeight="false" outlineLevel="0" collapsed="false">
      <c r="A1837" s="13" t="n">
        <v>44923</v>
      </c>
      <c r="B1837" s="14" t="n">
        <v>1267.54</v>
      </c>
      <c r="C1837" s="14" t="n">
        <v>9.8807</v>
      </c>
      <c r="D1837" s="14" t="n">
        <v>1.2034</v>
      </c>
      <c r="E1837" s="14" t="n">
        <v>1.0622</v>
      </c>
      <c r="F1837" s="14" t="n">
        <v>6.9774</v>
      </c>
      <c r="G1837" s="14" t="n">
        <v>5.2675</v>
      </c>
      <c r="H1837" s="14" t="n">
        <v>134.27</v>
      </c>
      <c r="I1837" s="14" t="n">
        <v>1.064</v>
      </c>
      <c r="J1837" s="14" t="n">
        <v>10.4495</v>
      </c>
      <c r="K1837" s="14" t="n">
        <v>1348.59</v>
      </c>
      <c r="L1837" s="14" t="n">
        <v>0.88058</v>
      </c>
      <c r="M1837" s="14" t="n">
        <v>7.4224</v>
      </c>
      <c r="N1837" s="14" t="n">
        <v>5.6109</v>
      </c>
      <c r="O1837" s="14" t="n">
        <v>142.21</v>
      </c>
      <c r="P1837" s="14" t="n">
        <v>9.821</v>
      </c>
    </row>
    <row r="1838" customFormat="false" ht="15" hidden="false" customHeight="false" outlineLevel="0" collapsed="false">
      <c r="A1838" s="13" t="n">
        <v>44924</v>
      </c>
      <c r="B1838" s="14" t="n">
        <v>1265.58</v>
      </c>
      <c r="C1838" s="14" t="n">
        <v>9.8712</v>
      </c>
      <c r="D1838" s="14" t="n">
        <v>1.206</v>
      </c>
      <c r="E1838" s="14" t="n">
        <v>1.0668</v>
      </c>
      <c r="F1838" s="14" t="n">
        <v>6.9625</v>
      </c>
      <c r="G1838" s="14" t="n">
        <v>5.2547</v>
      </c>
      <c r="H1838" s="14" t="n">
        <v>133.16</v>
      </c>
      <c r="I1838" s="14" t="n">
        <v>1.0649</v>
      </c>
      <c r="J1838" s="14" t="n">
        <v>10.55</v>
      </c>
      <c r="K1838" s="14" t="n">
        <v>1350.18</v>
      </c>
      <c r="L1838" s="14" t="n">
        <v>0.88549</v>
      </c>
      <c r="M1838" s="14" t="n">
        <v>7.4151</v>
      </c>
      <c r="N1838" s="14" t="n">
        <v>5.5351</v>
      </c>
      <c r="O1838" s="14" t="n">
        <v>142.24</v>
      </c>
      <c r="P1838" s="14" t="n">
        <v>9.907</v>
      </c>
    </row>
    <row r="1839" customFormat="false" ht="15" hidden="false" customHeight="false" outlineLevel="0" collapsed="false">
      <c r="A1839" s="13" t="n">
        <v>44925</v>
      </c>
      <c r="B1839" s="14" t="n">
        <v>1260.18</v>
      </c>
      <c r="C1839" s="14" t="n">
        <v>9.839</v>
      </c>
      <c r="D1839" s="14" t="n">
        <v>1.2077</v>
      </c>
      <c r="E1839" s="14" t="n">
        <v>1.0698</v>
      </c>
      <c r="F1839" s="14" t="n">
        <v>6.8972</v>
      </c>
      <c r="G1839" s="14" t="n">
        <v>5.286</v>
      </c>
      <c r="H1839" s="14" t="n">
        <v>131.81</v>
      </c>
      <c r="I1839" s="14" t="n">
        <v>1.0666</v>
      </c>
      <c r="J1839" s="14" t="n">
        <v>10.5138</v>
      </c>
      <c r="K1839" s="14" t="n">
        <v>1344.09</v>
      </c>
      <c r="L1839" s="14" t="n">
        <v>0.88693</v>
      </c>
      <c r="M1839" s="14" t="n">
        <v>7.3582</v>
      </c>
      <c r="N1839" s="14" t="n">
        <v>5.6386</v>
      </c>
      <c r="O1839" s="14" t="n">
        <v>140.66</v>
      </c>
      <c r="P1839" s="14" t="n">
        <v>9.8573</v>
      </c>
    </row>
    <row r="1840" customFormat="false" ht="15" hidden="false" customHeight="false" outlineLevel="0" collapsed="false">
      <c r="A1840" s="13" t="n">
        <v>44928</v>
      </c>
      <c r="I1840" s="14" t="n">
        <v>1.0683</v>
      </c>
      <c r="J1840" s="14" t="n">
        <v>10.5135</v>
      </c>
      <c r="K1840" s="14" t="n">
        <v>1357.8</v>
      </c>
      <c r="L1840" s="14" t="n">
        <v>0.8863</v>
      </c>
      <c r="M1840" s="14" t="n">
        <v>7.3698</v>
      </c>
      <c r="N1840" s="14" t="n">
        <v>5.7048</v>
      </c>
      <c r="O1840" s="14" t="n">
        <v>139.62</v>
      </c>
      <c r="P1840" s="14" t="n">
        <v>9.8413</v>
      </c>
    </row>
    <row r="1841" customFormat="false" ht="15" hidden="false" customHeight="false" outlineLevel="0" collapsed="false">
      <c r="A1841" s="13" t="n">
        <v>44929</v>
      </c>
      <c r="B1841" s="14" t="n">
        <v>1271.1</v>
      </c>
      <c r="C1841" s="14" t="n">
        <v>10.0668</v>
      </c>
      <c r="D1841" s="14" t="n">
        <v>1.197</v>
      </c>
      <c r="E1841" s="14" t="n">
        <v>1.0559</v>
      </c>
      <c r="F1841" s="14" t="n">
        <v>6.9135</v>
      </c>
      <c r="G1841" s="14" t="n">
        <v>5.4257</v>
      </c>
      <c r="H1841" s="14" t="n">
        <v>130.83</v>
      </c>
      <c r="I1841" s="14" t="n">
        <v>1.0545</v>
      </c>
      <c r="J1841" s="14" t="n">
        <v>10.528</v>
      </c>
      <c r="K1841" s="14" t="n">
        <v>1346.51</v>
      </c>
      <c r="L1841" s="14" t="n">
        <v>0.88048</v>
      </c>
      <c r="M1841" s="14" t="n">
        <v>7.2863</v>
      </c>
      <c r="N1841" s="14" t="n">
        <v>5.6656</v>
      </c>
      <c r="O1841" s="14" t="n">
        <v>137.93</v>
      </c>
      <c r="P1841" s="14" t="n">
        <v>9.9839</v>
      </c>
    </row>
    <row r="1842" customFormat="false" ht="15" hidden="false" customHeight="false" outlineLevel="0" collapsed="false">
      <c r="A1842" s="13" t="n">
        <v>44930</v>
      </c>
      <c r="B1842" s="14" t="n">
        <v>1272.15</v>
      </c>
      <c r="C1842" s="14" t="n">
        <v>10.0659</v>
      </c>
      <c r="D1842" s="14" t="n">
        <v>1.2063</v>
      </c>
      <c r="E1842" s="14" t="n">
        <v>1.062</v>
      </c>
      <c r="F1842" s="14" t="n">
        <v>6.8875</v>
      </c>
      <c r="G1842" s="14" t="n">
        <v>5.443</v>
      </c>
      <c r="H1842" s="14" t="n">
        <v>132</v>
      </c>
      <c r="I1842" s="14" t="n">
        <v>1.0599</v>
      </c>
      <c r="J1842" s="14" t="n">
        <v>10.738</v>
      </c>
      <c r="K1842" s="14" t="n">
        <v>1348.95</v>
      </c>
      <c r="L1842" s="14" t="n">
        <v>0.88076</v>
      </c>
      <c r="M1842" s="14" t="n">
        <v>7.2985</v>
      </c>
      <c r="N1842" s="14" t="n">
        <v>5.7758</v>
      </c>
      <c r="O1842" s="14" t="n">
        <v>138.74</v>
      </c>
      <c r="P1842" s="14" t="n">
        <v>10.1311</v>
      </c>
    </row>
    <row r="1843" customFormat="false" ht="15" hidden="false" customHeight="false" outlineLevel="0" collapsed="false">
      <c r="A1843" s="13" t="n">
        <v>44931</v>
      </c>
      <c r="B1843" s="14" t="n">
        <v>1268.91</v>
      </c>
      <c r="C1843" s="14" t="n">
        <v>10.2574</v>
      </c>
      <c r="D1843" s="14" t="n">
        <v>1.1902</v>
      </c>
      <c r="E1843" s="14" t="n">
        <v>1.0522</v>
      </c>
      <c r="F1843" s="14" t="n">
        <v>6.88</v>
      </c>
      <c r="G1843" s="14" t="n">
        <v>5.384</v>
      </c>
      <c r="H1843" s="14" t="n">
        <v>133.57</v>
      </c>
      <c r="I1843" s="14" t="n">
        <v>1.0601</v>
      </c>
      <c r="J1843" s="14" t="n">
        <v>10.7248</v>
      </c>
      <c r="K1843" s="14" t="n">
        <v>1345.9</v>
      </c>
      <c r="L1843" s="14" t="n">
        <v>0.88303</v>
      </c>
      <c r="M1843" s="14" t="n">
        <v>7.2863</v>
      </c>
      <c r="N1843" s="14" t="n">
        <v>5.706</v>
      </c>
      <c r="O1843" s="14" t="n">
        <v>140.95</v>
      </c>
      <c r="P1843" s="14" t="n">
        <v>10.1168</v>
      </c>
    </row>
    <row r="1844" customFormat="false" ht="15" hidden="false" customHeight="false" outlineLevel="0" collapsed="false">
      <c r="A1844" s="13" t="n">
        <v>44932</v>
      </c>
      <c r="B1844" s="14" t="n">
        <v>1268.13</v>
      </c>
      <c r="C1844" s="14" t="n">
        <v>10.0217</v>
      </c>
      <c r="D1844" s="14" t="n">
        <v>1.2064</v>
      </c>
      <c r="E1844" s="14" t="n">
        <v>1.0619</v>
      </c>
      <c r="F1844" s="14" t="n">
        <v>6.837</v>
      </c>
      <c r="G1844" s="14" t="n">
        <v>5.2533</v>
      </c>
      <c r="H1844" s="14" t="n">
        <v>132.21</v>
      </c>
      <c r="I1844" s="14" t="n">
        <v>1.05</v>
      </c>
      <c r="J1844" s="14" t="n">
        <v>10.807</v>
      </c>
      <c r="K1844" s="14" t="n">
        <v>1337.18</v>
      </c>
      <c r="L1844" s="14" t="n">
        <v>0.88475</v>
      </c>
      <c r="M1844" s="14" t="n">
        <v>7.2045</v>
      </c>
      <c r="N1844" s="14" t="n">
        <v>5.6034</v>
      </c>
      <c r="O1844" s="14" t="n">
        <v>141.3</v>
      </c>
      <c r="P1844" s="14" t="n">
        <v>10.2924</v>
      </c>
    </row>
    <row r="1845" customFormat="false" ht="15" hidden="false" customHeight="false" outlineLevel="0" collapsed="false">
      <c r="A1845" s="13" t="n">
        <v>44935</v>
      </c>
      <c r="B1845" s="14" t="n">
        <v>1243.62</v>
      </c>
      <c r="C1845" s="14" t="n">
        <v>9.8601</v>
      </c>
      <c r="D1845" s="14" t="n">
        <v>1.2206</v>
      </c>
      <c r="E1845" s="14" t="n">
        <v>1.0759</v>
      </c>
      <c r="F1845" s="14" t="n">
        <v>6.77</v>
      </c>
      <c r="G1845" s="14" t="n">
        <v>5.2648</v>
      </c>
      <c r="H1845" s="14" t="n">
        <v>131.58</v>
      </c>
      <c r="I1845" s="14" t="n">
        <v>1.0696</v>
      </c>
      <c r="J1845" s="14" t="n">
        <v>10.6108</v>
      </c>
      <c r="K1845" s="14" t="n">
        <v>1330.37</v>
      </c>
      <c r="L1845" s="14" t="n">
        <v>0.88048</v>
      </c>
      <c r="M1845" s="14" t="n">
        <v>7.2546</v>
      </c>
      <c r="N1845" s="14" t="n">
        <v>5.6475</v>
      </c>
      <c r="O1845" s="14" t="n">
        <v>141.35</v>
      </c>
      <c r="P1845" s="14" t="n">
        <v>9.9203</v>
      </c>
    </row>
    <row r="1846" customFormat="false" ht="15" hidden="false" customHeight="false" outlineLevel="0" collapsed="false">
      <c r="A1846" s="13" t="n">
        <v>44936</v>
      </c>
      <c r="B1846" s="14" t="n">
        <v>1243.83</v>
      </c>
      <c r="C1846" s="14" t="n">
        <v>9.9894</v>
      </c>
      <c r="D1846" s="14" t="n">
        <v>1.2155</v>
      </c>
      <c r="E1846" s="14" t="n">
        <v>1.0737</v>
      </c>
      <c r="F1846" s="14" t="n">
        <v>6.777</v>
      </c>
      <c r="G1846" s="14" t="n">
        <v>5.2159</v>
      </c>
      <c r="H1846" s="14" t="n">
        <v>132.25</v>
      </c>
      <c r="I1846" s="14" t="n">
        <v>1.0723</v>
      </c>
      <c r="J1846" s="14" t="n">
        <v>10.6785</v>
      </c>
      <c r="K1846" s="14" t="n">
        <v>1338.38</v>
      </c>
      <c r="L1846" s="14" t="n">
        <v>0.8833</v>
      </c>
      <c r="M1846" s="14" t="n">
        <v>7.2732</v>
      </c>
      <c r="N1846" s="14" t="n">
        <v>5.6471</v>
      </c>
      <c r="O1846" s="14" t="n">
        <v>141.92</v>
      </c>
      <c r="P1846" s="14" t="n">
        <v>9.9585</v>
      </c>
    </row>
    <row r="1847" customFormat="false" ht="15" hidden="false" customHeight="false" outlineLevel="0" collapsed="false">
      <c r="A1847" s="13" t="n">
        <v>44937</v>
      </c>
      <c r="B1847" s="14" t="n">
        <v>1245.39</v>
      </c>
      <c r="C1847" s="14" t="n">
        <v>9.9994</v>
      </c>
      <c r="D1847" s="14" t="n">
        <v>1.2125</v>
      </c>
      <c r="E1847" s="14" t="n">
        <v>1.074</v>
      </c>
      <c r="F1847" s="14" t="n">
        <v>6.77</v>
      </c>
      <c r="G1847" s="14" t="n">
        <v>5.195</v>
      </c>
      <c r="H1847" s="14" t="n">
        <v>132.58</v>
      </c>
      <c r="I1847" s="14" t="n">
        <v>1.0747</v>
      </c>
      <c r="J1847" s="14" t="n">
        <v>10.738</v>
      </c>
      <c r="K1847" s="14" t="n">
        <v>1341.01</v>
      </c>
      <c r="L1847" s="14" t="n">
        <v>0.88673</v>
      </c>
      <c r="M1847" s="14" t="n">
        <v>7.2807</v>
      </c>
      <c r="N1847" s="14" t="n">
        <v>5.584</v>
      </c>
      <c r="O1847" s="14" t="n">
        <v>142.61</v>
      </c>
      <c r="P1847" s="14" t="n">
        <v>9.9916</v>
      </c>
    </row>
    <row r="1848" customFormat="false" ht="15" hidden="false" customHeight="false" outlineLevel="0" collapsed="false">
      <c r="A1848" s="13" t="n">
        <v>44938</v>
      </c>
      <c r="B1848" s="14" t="n">
        <v>1246.26</v>
      </c>
      <c r="C1848" s="14" t="n">
        <v>9.9245</v>
      </c>
      <c r="D1848" s="14" t="n">
        <v>1.2182</v>
      </c>
      <c r="E1848" s="14" t="n">
        <v>1.0823</v>
      </c>
      <c r="F1848" s="14" t="n">
        <v>6.7365</v>
      </c>
      <c r="G1848" s="14" t="n">
        <v>5.112</v>
      </c>
      <c r="H1848" s="14" t="n">
        <v>129.75</v>
      </c>
      <c r="I1848" s="14" t="n">
        <v>1.0772</v>
      </c>
      <c r="J1848" s="14" t="n">
        <v>10.7228</v>
      </c>
      <c r="K1848" s="14" t="n">
        <v>1340.17</v>
      </c>
      <c r="L1848" s="14" t="n">
        <v>0.8869</v>
      </c>
      <c r="M1848" s="14" t="n">
        <v>7.27</v>
      </c>
      <c r="N1848" s="14" t="n">
        <v>5.5556</v>
      </c>
      <c r="O1848" s="14" t="n">
        <v>140.61</v>
      </c>
      <c r="P1848" s="14" t="n">
        <v>9.9543</v>
      </c>
    </row>
    <row r="1849" customFormat="false" ht="15" hidden="false" customHeight="false" outlineLevel="0" collapsed="false">
      <c r="A1849" s="13" t="n">
        <v>44939</v>
      </c>
      <c r="B1849" s="14" t="n">
        <v>1241.59</v>
      </c>
      <c r="C1849" s="14" t="n">
        <v>9.888</v>
      </c>
      <c r="D1849" s="14" t="n">
        <v>1.2194</v>
      </c>
      <c r="E1849" s="14" t="n">
        <v>1.0811</v>
      </c>
      <c r="F1849" s="14" t="n">
        <v>6.701</v>
      </c>
      <c r="G1849" s="14" t="n">
        <v>5.0968</v>
      </c>
      <c r="H1849" s="14" t="n">
        <v>127.85</v>
      </c>
      <c r="I1849" s="14" t="n">
        <v>1.0814</v>
      </c>
      <c r="J1849" s="14" t="n">
        <v>10.6945</v>
      </c>
      <c r="K1849" s="14" t="n">
        <v>1343.41</v>
      </c>
      <c r="L1849" s="14" t="n">
        <v>0.888</v>
      </c>
      <c r="M1849" s="14" t="n">
        <v>7.2729</v>
      </c>
      <c r="N1849" s="14" t="n">
        <v>5.5512</v>
      </c>
      <c r="O1849" s="14" t="n">
        <v>139.02</v>
      </c>
      <c r="P1849" s="14" t="n">
        <v>9.8895</v>
      </c>
    </row>
    <row r="1850" customFormat="false" ht="15" hidden="false" customHeight="false" outlineLevel="0" collapsed="false">
      <c r="A1850" s="13" t="n">
        <v>44942</v>
      </c>
      <c r="I1850" s="14" t="n">
        <v>1.0812</v>
      </c>
      <c r="J1850" s="14" t="n">
        <v>10.6945</v>
      </c>
      <c r="K1850" s="14" t="n">
        <v>1340.22</v>
      </c>
      <c r="L1850" s="14" t="n">
        <v>0.88758</v>
      </c>
      <c r="M1850" s="14" t="n">
        <v>7.2791</v>
      </c>
      <c r="N1850" s="14" t="n">
        <v>5.524</v>
      </c>
      <c r="O1850" s="14" t="n">
        <v>138.92</v>
      </c>
      <c r="P1850" s="14" t="n">
        <v>9.8913</v>
      </c>
    </row>
    <row r="1851" customFormat="false" ht="15" hidden="false" customHeight="false" outlineLevel="0" collapsed="false">
      <c r="A1851" s="13" t="n">
        <v>44943</v>
      </c>
      <c r="B1851" s="14" t="n">
        <v>1238.7</v>
      </c>
      <c r="C1851" s="14" t="n">
        <v>9.8694</v>
      </c>
      <c r="D1851" s="14" t="n">
        <v>1.2264</v>
      </c>
      <c r="E1851" s="14" t="n">
        <v>1.0793</v>
      </c>
      <c r="F1851" s="14" t="n">
        <v>6.7723</v>
      </c>
      <c r="G1851" s="14" t="n">
        <v>5.0974</v>
      </c>
      <c r="H1851" s="14" t="n">
        <v>128.18</v>
      </c>
      <c r="I1851" s="14" t="n">
        <v>1.0843</v>
      </c>
      <c r="J1851" s="14" t="n">
        <v>10.7463</v>
      </c>
      <c r="K1851" s="14" t="n">
        <v>1343.5</v>
      </c>
      <c r="L1851" s="14" t="n">
        <v>0.88595</v>
      </c>
      <c r="M1851" s="14" t="n">
        <v>7.3473</v>
      </c>
      <c r="N1851" s="14" t="n">
        <v>5.5607</v>
      </c>
      <c r="O1851" s="14" t="n">
        <v>139.5</v>
      </c>
      <c r="P1851" s="14" t="n">
        <v>9.9108</v>
      </c>
    </row>
    <row r="1852" customFormat="false" ht="15" hidden="false" customHeight="false" outlineLevel="0" collapsed="false">
      <c r="A1852" s="13" t="n">
        <v>44944</v>
      </c>
      <c r="B1852" s="14" t="n">
        <v>1237.32</v>
      </c>
      <c r="C1852" s="14" t="n">
        <v>9.8742</v>
      </c>
      <c r="D1852" s="14" t="n">
        <v>1.2369</v>
      </c>
      <c r="E1852" s="14" t="n">
        <v>1.0827</v>
      </c>
      <c r="F1852" s="14" t="n">
        <v>6.7534</v>
      </c>
      <c r="G1852" s="14" t="n">
        <v>5.1288</v>
      </c>
      <c r="H1852" s="14" t="n">
        <v>128.45</v>
      </c>
      <c r="I1852" s="14" t="n">
        <v>1.0839</v>
      </c>
      <c r="J1852" s="14" t="n">
        <v>10.6553</v>
      </c>
      <c r="K1852" s="14" t="n">
        <v>1337.16</v>
      </c>
      <c r="L1852" s="14" t="n">
        <v>0.8753</v>
      </c>
      <c r="M1852" s="14" t="n">
        <v>7.3193</v>
      </c>
      <c r="N1852" s="14" t="n">
        <v>5.5252</v>
      </c>
      <c r="O1852" s="14" t="n">
        <v>139.79</v>
      </c>
      <c r="P1852" s="14" t="n">
        <v>9.8305</v>
      </c>
    </row>
    <row r="1853" customFormat="false" ht="15" hidden="false" customHeight="false" outlineLevel="0" collapsed="false">
      <c r="A1853" s="13" t="n">
        <v>44945</v>
      </c>
      <c r="B1853" s="14" t="n">
        <v>1232.05</v>
      </c>
      <c r="C1853" s="14" t="n">
        <v>9.9258</v>
      </c>
      <c r="D1853" s="14" t="n">
        <v>1.2366</v>
      </c>
      <c r="E1853" s="14" t="n">
        <v>1.081</v>
      </c>
      <c r="F1853" s="14" t="n">
        <v>6.7738</v>
      </c>
      <c r="G1853" s="14" t="n">
        <v>5.2233</v>
      </c>
      <c r="H1853" s="14" t="n">
        <v>128.48</v>
      </c>
      <c r="I1853" s="14" t="n">
        <v>1.0815</v>
      </c>
      <c r="J1853" s="14" t="n">
        <v>10.746</v>
      </c>
      <c r="K1853" s="14" t="n">
        <v>1340.52</v>
      </c>
      <c r="L1853" s="14" t="n">
        <v>0.87648</v>
      </c>
      <c r="M1853" s="14" t="n">
        <v>7.3424</v>
      </c>
      <c r="N1853" s="14" t="n">
        <v>5.6326</v>
      </c>
      <c r="O1853" s="14" t="n">
        <v>139.02</v>
      </c>
      <c r="P1853" s="14" t="n">
        <v>9.9362</v>
      </c>
    </row>
    <row r="1854" customFormat="false" ht="15" hidden="false" customHeight="false" outlineLevel="0" collapsed="false">
      <c r="A1854" s="13" t="n">
        <v>44946</v>
      </c>
      <c r="B1854" s="14" t="n">
        <v>1235.57</v>
      </c>
      <c r="C1854" s="14" t="n">
        <v>9.8917</v>
      </c>
      <c r="D1854" s="14" t="n">
        <v>1.2374</v>
      </c>
      <c r="E1854" s="14" t="n">
        <v>1.0831</v>
      </c>
      <c r="F1854" s="14" t="n">
        <v>6.7825</v>
      </c>
      <c r="G1854" s="14" t="n">
        <v>5.2109</v>
      </c>
      <c r="H1854" s="14" t="n">
        <v>129.97</v>
      </c>
      <c r="I1854" s="14" t="n">
        <v>1.0826</v>
      </c>
      <c r="J1854" s="14" t="n">
        <v>10.7135</v>
      </c>
      <c r="K1854" s="14" t="n">
        <v>1336.47</v>
      </c>
      <c r="L1854" s="14" t="n">
        <v>0.876</v>
      </c>
      <c r="M1854" s="14" t="n">
        <v>7.3425</v>
      </c>
      <c r="N1854" s="14" t="n">
        <v>5.6271</v>
      </c>
      <c r="O1854" s="14" t="n">
        <v>140.86</v>
      </c>
      <c r="P1854" s="14" t="n">
        <v>9.8961</v>
      </c>
    </row>
    <row r="1855" customFormat="false" ht="15" hidden="false" customHeight="false" outlineLevel="0" collapsed="false">
      <c r="A1855" s="13" t="n">
        <v>44949</v>
      </c>
      <c r="B1855" s="14" t="n">
        <v>1228.59</v>
      </c>
      <c r="C1855" s="14" t="n">
        <v>9.8168</v>
      </c>
      <c r="D1855" s="14" t="n">
        <v>1.237</v>
      </c>
      <c r="E1855" s="14" t="n">
        <v>1.0865</v>
      </c>
      <c r="F1855" s="14" t="n">
        <v>6.7899</v>
      </c>
      <c r="G1855" s="14" t="n">
        <v>5.1884</v>
      </c>
      <c r="H1855" s="14" t="n">
        <v>130.69</v>
      </c>
      <c r="I1855" s="14" t="n">
        <v>1.0871</v>
      </c>
      <c r="J1855" s="14" t="n">
        <v>10.6835</v>
      </c>
      <c r="K1855" s="14" t="n">
        <v>1335.67</v>
      </c>
      <c r="L1855" s="14" t="n">
        <v>0.8797</v>
      </c>
      <c r="M1855" s="14" t="n">
        <v>7.373</v>
      </c>
      <c r="N1855" s="14" t="n">
        <v>5.6372</v>
      </c>
      <c r="O1855" s="14" t="n">
        <v>141.65</v>
      </c>
      <c r="P1855" s="14" t="n">
        <v>9.8275</v>
      </c>
    </row>
    <row r="1856" customFormat="false" ht="15" hidden="false" customHeight="false" outlineLevel="0" collapsed="false">
      <c r="A1856" s="13" t="n">
        <v>44950</v>
      </c>
      <c r="B1856" s="14" t="n">
        <v>1234.79</v>
      </c>
      <c r="C1856" s="14" t="n">
        <v>9.8681</v>
      </c>
      <c r="D1856" s="14" t="n">
        <v>1.2323</v>
      </c>
      <c r="E1856" s="14" t="n">
        <v>1.0873</v>
      </c>
      <c r="F1856" s="14" t="n">
        <v>6.7899</v>
      </c>
      <c r="G1856" s="14" t="n">
        <v>5.1405</v>
      </c>
      <c r="H1856" s="14" t="n">
        <v>130.07</v>
      </c>
      <c r="I1856" s="14" t="n">
        <v>1.0858</v>
      </c>
      <c r="J1856" s="14" t="n">
        <v>10.7193</v>
      </c>
      <c r="K1856" s="14" t="n">
        <v>1341.6</v>
      </c>
      <c r="L1856" s="14" t="n">
        <v>0.88368</v>
      </c>
      <c r="M1856" s="14" t="n">
        <v>7.3642</v>
      </c>
      <c r="N1856" s="14" t="n">
        <v>5.6164</v>
      </c>
      <c r="O1856" s="14" t="n">
        <v>141.47</v>
      </c>
      <c r="P1856" s="14" t="n">
        <v>9.8723</v>
      </c>
    </row>
    <row r="1857" customFormat="false" ht="15" hidden="false" customHeight="false" outlineLevel="0" collapsed="false">
      <c r="A1857" s="13" t="n">
        <v>44951</v>
      </c>
      <c r="B1857" s="14" t="n">
        <v>1231.67</v>
      </c>
      <c r="C1857" s="14" t="n">
        <v>9.9217</v>
      </c>
      <c r="D1857" s="14" t="n">
        <v>1.2374</v>
      </c>
      <c r="E1857" s="14" t="n">
        <v>1.0901</v>
      </c>
      <c r="F1857" s="14" t="n">
        <v>6.7899</v>
      </c>
      <c r="G1857" s="14" t="n">
        <v>5.0902</v>
      </c>
      <c r="H1857" s="14" t="n">
        <v>129.64</v>
      </c>
      <c r="I1857" s="14" t="n">
        <v>1.0878</v>
      </c>
      <c r="J1857" s="14" t="n">
        <v>10.7896</v>
      </c>
      <c r="K1857" s="14" t="n">
        <v>1343.93</v>
      </c>
      <c r="L1857" s="14" t="n">
        <v>0.88248</v>
      </c>
      <c r="M1857" s="14" t="n">
        <v>7.3778</v>
      </c>
      <c r="N1857" s="14" t="n">
        <v>5.569</v>
      </c>
      <c r="O1857" s="14" t="n">
        <v>141.17</v>
      </c>
      <c r="P1857" s="14" t="n">
        <v>9.9187</v>
      </c>
    </row>
    <row r="1858" customFormat="false" ht="15" hidden="false" customHeight="false" outlineLevel="0" collapsed="false">
      <c r="A1858" s="13" t="n">
        <v>44952</v>
      </c>
      <c r="B1858" s="14" t="n">
        <v>1230.95</v>
      </c>
      <c r="C1858" s="14" t="n">
        <v>9.9005</v>
      </c>
      <c r="D1858" s="14" t="n">
        <v>1.237</v>
      </c>
      <c r="E1858" s="14" t="n">
        <v>1.0866</v>
      </c>
      <c r="F1858" s="14" t="n">
        <v>6.7899</v>
      </c>
      <c r="G1858" s="14" t="n">
        <v>5.0875</v>
      </c>
      <c r="H1858" s="14" t="n">
        <v>130.4</v>
      </c>
      <c r="I1858" s="14" t="n">
        <v>1.0895</v>
      </c>
      <c r="J1858" s="14" t="n">
        <v>10.762</v>
      </c>
      <c r="K1858" s="14" t="n">
        <v>1342.51</v>
      </c>
      <c r="L1858" s="14" t="n">
        <v>0.87945</v>
      </c>
      <c r="M1858" s="14" t="n">
        <v>7.3893</v>
      </c>
      <c r="N1858" s="14" t="n">
        <v>5.5572</v>
      </c>
      <c r="O1858" s="14" t="n">
        <v>141.38</v>
      </c>
      <c r="P1858" s="14" t="n">
        <v>9.8779</v>
      </c>
    </row>
    <row r="1859" customFormat="false" ht="15" hidden="false" customHeight="false" outlineLevel="0" collapsed="false">
      <c r="A1859" s="13" t="n">
        <v>44953</v>
      </c>
      <c r="B1859" s="14" t="n">
        <v>1231.53</v>
      </c>
      <c r="C1859" s="14" t="n">
        <v>9.8923</v>
      </c>
      <c r="D1859" s="14" t="n">
        <v>1.2379</v>
      </c>
      <c r="E1859" s="14" t="n">
        <v>1.0857</v>
      </c>
      <c r="F1859" s="14" t="n">
        <v>6.7899</v>
      </c>
      <c r="G1859" s="14" t="n">
        <v>5.0902</v>
      </c>
      <c r="H1859" s="14" t="n">
        <v>129.94</v>
      </c>
      <c r="I1859" s="14" t="n">
        <v>1.0865</v>
      </c>
      <c r="J1859" s="14" t="n">
        <v>10.76</v>
      </c>
      <c r="K1859" s="14" t="n">
        <v>1341.37</v>
      </c>
      <c r="L1859" s="14" t="n">
        <v>0.87885</v>
      </c>
      <c r="M1859" s="14" t="n">
        <v>7.369</v>
      </c>
      <c r="N1859" s="14" t="n">
        <v>5.5104</v>
      </c>
      <c r="O1859" s="14" t="n">
        <v>141.1</v>
      </c>
      <c r="P1859" s="14" t="n">
        <v>9.9034</v>
      </c>
    </row>
    <row r="1860" customFormat="false" ht="15" hidden="false" customHeight="false" outlineLevel="0" collapsed="false">
      <c r="A1860" s="13" t="n">
        <v>44956</v>
      </c>
      <c r="B1860" s="14" t="n">
        <v>1227.31</v>
      </c>
      <c r="C1860" s="14" t="n">
        <v>9.9522</v>
      </c>
      <c r="D1860" s="14" t="n">
        <v>1.2373</v>
      </c>
      <c r="E1860" s="14" t="n">
        <v>1.0867</v>
      </c>
      <c r="F1860" s="14" t="n">
        <v>6.7501</v>
      </c>
      <c r="G1860" s="14" t="n">
        <v>5.1024</v>
      </c>
      <c r="H1860" s="14" t="n">
        <v>130.34</v>
      </c>
      <c r="I1860" s="14" t="n">
        <v>1.0903</v>
      </c>
      <c r="J1860" s="14" t="n">
        <v>10.7925</v>
      </c>
      <c r="K1860" s="14" t="n">
        <v>1338.87</v>
      </c>
      <c r="L1860" s="14" t="n">
        <v>0.87978</v>
      </c>
      <c r="M1860" s="14" t="n">
        <v>7.3601</v>
      </c>
      <c r="N1860" s="14" t="n">
        <v>5.5654</v>
      </c>
      <c r="O1860" s="14" t="n">
        <v>141.79</v>
      </c>
      <c r="P1860" s="14" t="n">
        <v>9.8987</v>
      </c>
    </row>
    <row r="1861" customFormat="false" ht="15" hidden="false" customHeight="false" outlineLevel="0" collapsed="false">
      <c r="A1861" s="13" t="n">
        <v>44957</v>
      </c>
      <c r="B1861" s="14" t="n">
        <v>1231.95</v>
      </c>
      <c r="C1861" s="14" t="n">
        <v>10.0039</v>
      </c>
      <c r="D1861" s="14" t="n">
        <v>1.2324</v>
      </c>
      <c r="E1861" s="14" t="n">
        <v>1.0858</v>
      </c>
      <c r="F1861" s="14" t="n">
        <v>6.754</v>
      </c>
      <c r="G1861" s="14" t="n">
        <v>5.0934</v>
      </c>
      <c r="H1861" s="14" t="n">
        <v>130.17</v>
      </c>
      <c r="I1861" s="14" t="n">
        <v>1.0833</v>
      </c>
      <c r="J1861" s="14" t="n">
        <v>10.9083</v>
      </c>
      <c r="K1861" s="14" t="n">
        <v>1338.9</v>
      </c>
      <c r="L1861" s="14" t="n">
        <v>0.88073</v>
      </c>
      <c r="M1861" s="14" t="n">
        <v>7.3198</v>
      </c>
      <c r="N1861" s="14" t="n">
        <v>5.5373</v>
      </c>
      <c r="O1861" s="14" t="n">
        <v>141.27</v>
      </c>
      <c r="P1861" s="14" t="n">
        <v>10.0695</v>
      </c>
    </row>
    <row r="1862" customFormat="false" ht="15" hidden="false" customHeight="false" outlineLevel="0" collapsed="false">
      <c r="A1862" s="13" t="n">
        <v>44958</v>
      </c>
      <c r="B1862" s="14" t="n">
        <v>1231.77</v>
      </c>
      <c r="C1862" s="14" t="n">
        <v>9.9956</v>
      </c>
      <c r="D1862" s="14" t="n">
        <v>1.2308</v>
      </c>
      <c r="E1862" s="14" t="n">
        <v>1.0917</v>
      </c>
      <c r="F1862" s="14" t="n">
        <v>6.7406</v>
      </c>
      <c r="G1862" s="14" t="n">
        <v>5.0746</v>
      </c>
      <c r="H1862" s="14" t="n">
        <v>129.27</v>
      </c>
      <c r="I1862" s="14" t="n">
        <v>1.0894</v>
      </c>
      <c r="J1862" s="14" t="n">
        <v>10.8569</v>
      </c>
      <c r="K1862" s="14" t="n">
        <v>1339.22</v>
      </c>
      <c r="L1862" s="14" t="n">
        <v>0.88413</v>
      </c>
      <c r="M1862" s="14" t="n">
        <v>7.3452</v>
      </c>
      <c r="N1862" s="14" t="n">
        <v>5.5174</v>
      </c>
      <c r="O1862" s="14" t="n">
        <v>141.37</v>
      </c>
      <c r="P1862" s="14" t="n">
        <v>9.9659</v>
      </c>
    </row>
    <row r="1863" customFormat="false" ht="15" hidden="false" customHeight="false" outlineLevel="0" collapsed="false">
      <c r="A1863" s="13" t="n">
        <v>44959</v>
      </c>
      <c r="B1863" s="14" t="n">
        <v>1220.34</v>
      </c>
      <c r="C1863" s="14" t="n">
        <v>10.0231</v>
      </c>
      <c r="D1863" s="14" t="n">
        <v>1.226</v>
      </c>
      <c r="E1863" s="14" t="n">
        <v>1.0918</v>
      </c>
      <c r="F1863" s="14" t="n">
        <v>6.7266</v>
      </c>
      <c r="G1863" s="14" t="n">
        <v>5.0138</v>
      </c>
      <c r="H1863" s="14" t="n">
        <v>128.45</v>
      </c>
      <c r="I1863" s="14" t="n">
        <v>1.0988</v>
      </c>
      <c r="J1863" s="14" t="n">
        <v>10.9535</v>
      </c>
      <c r="K1863" s="14" t="n">
        <v>1345.9</v>
      </c>
      <c r="L1863" s="14" t="n">
        <v>0.89289</v>
      </c>
      <c r="M1863" s="14" t="n">
        <v>7.3878</v>
      </c>
      <c r="N1863" s="14" t="n">
        <v>5.4859</v>
      </c>
      <c r="O1863" s="14" t="n">
        <v>141.12</v>
      </c>
      <c r="P1863" s="14" t="n">
        <v>9.9686</v>
      </c>
    </row>
    <row r="1864" customFormat="false" ht="15" hidden="false" customHeight="false" outlineLevel="0" collapsed="false">
      <c r="A1864" s="13" t="n">
        <v>44960</v>
      </c>
      <c r="B1864" s="14" t="n">
        <v>1229.22</v>
      </c>
      <c r="C1864" s="14" t="n">
        <v>10.1818</v>
      </c>
      <c r="D1864" s="14" t="n">
        <v>1.2073</v>
      </c>
      <c r="E1864" s="14" t="n">
        <v>1.0825</v>
      </c>
      <c r="F1864" s="14" t="n">
        <v>6.7733</v>
      </c>
      <c r="G1864" s="14" t="n">
        <v>5.1339</v>
      </c>
      <c r="H1864" s="14" t="n">
        <v>131.07</v>
      </c>
      <c r="I1864" s="14" t="n">
        <v>1.0937</v>
      </c>
      <c r="J1864" s="14" t="n">
        <v>10.9783</v>
      </c>
      <c r="K1864" s="14" t="n">
        <v>1346.17</v>
      </c>
      <c r="L1864" s="14" t="n">
        <v>0.8925</v>
      </c>
      <c r="M1864" s="14" t="n">
        <v>7.3689</v>
      </c>
      <c r="N1864" s="14" t="n">
        <v>5.5414</v>
      </c>
      <c r="O1864" s="14" t="n">
        <v>140.45</v>
      </c>
      <c r="P1864" s="14" t="n">
        <v>10.0378</v>
      </c>
    </row>
    <row r="1865" customFormat="false" ht="15" hidden="false" customHeight="false" outlineLevel="0" collapsed="false">
      <c r="A1865" s="13" t="n">
        <v>44963</v>
      </c>
      <c r="B1865" s="14" t="n">
        <v>1252.61</v>
      </c>
      <c r="C1865" s="14" t="n">
        <v>10.3508</v>
      </c>
      <c r="D1865" s="14" t="n">
        <v>1.2009</v>
      </c>
      <c r="E1865" s="14" t="n">
        <v>1.0722</v>
      </c>
      <c r="F1865" s="14" t="n">
        <v>6.7918</v>
      </c>
      <c r="G1865" s="14" t="n">
        <v>5.2025</v>
      </c>
      <c r="H1865" s="14" t="n">
        <v>132.76</v>
      </c>
      <c r="I1865" s="14" t="n">
        <v>1.0776</v>
      </c>
      <c r="J1865" s="14" t="n">
        <v>11.0428</v>
      </c>
      <c r="K1865" s="14" t="n">
        <v>1353.65</v>
      </c>
      <c r="L1865" s="14" t="n">
        <v>0.89278</v>
      </c>
      <c r="M1865" s="14" t="n">
        <v>7.309</v>
      </c>
      <c r="N1865" s="14" t="n">
        <v>5.5625</v>
      </c>
      <c r="O1865" s="14" t="n">
        <v>142.41</v>
      </c>
      <c r="P1865" s="14" t="n">
        <v>10.2476</v>
      </c>
    </row>
    <row r="1866" customFormat="false" ht="15" hidden="false" customHeight="false" outlineLevel="0" collapsed="false">
      <c r="A1866" s="13" t="n">
        <v>44964</v>
      </c>
      <c r="B1866" s="14" t="n">
        <v>1255.53</v>
      </c>
      <c r="C1866" s="14" t="n">
        <v>10.3744</v>
      </c>
      <c r="D1866" s="14" t="n">
        <v>1.2013</v>
      </c>
      <c r="E1866" s="14" t="n">
        <v>1.0705</v>
      </c>
      <c r="F1866" s="14" t="n">
        <v>6.791</v>
      </c>
      <c r="G1866" s="14" t="n">
        <v>5.1868</v>
      </c>
      <c r="H1866" s="14" t="n">
        <v>131.37</v>
      </c>
      <c r="I1866" s="14" t="n">
        <v>1.07</v>
      </c>
      <c r="J1866" s="14" t="n">
        <v>11.1253</v>
      </c>
      <c r="K1866" s="14" t="n">
        <v>1348.81</v>
      </c>
      <c r="L1866" s="14" t="n">
        <v>0.89338</v>
      </c>
      <c r="M1866" s="14" t="n">
        <v>7.2608</v>
      </c>
      <c r="N1866" s="14" t="n">
        <v>5.5216</v>
      </c>
      <c r="O1866" s="14" t="n">
        <v>141.3</v>
      </c>
      <c r="P1866" s="14" t="n">
        <v>10.3975</v>
      </c>
    </row>
    <row r="1867" customFormat="false" ht="15" hidden="false" customHeight="false" outlineLevel="0" collapsed="false">
      <c r="A1867" s="13" t="n">
        <v>44965</v>
      </c>
      <c r="B1867" s="14" t="n">
        <v>1260.03</v>
      </c>
      <c r="C1867" s="14" t="n">
        <v>10.3014</v>
      </c>
      <c r="D1867" s="14" t="n">
        <v>1.2093</v>
      </c>
      <c r="E1867" s="14" t="n">
        <v>1.0734</v>
      </c>
      <c r="F1867" s="14" t="n">
        <v>6.789</v>
      </c>
      <c r="G1867" s="14" t="n">
        <v>5.2183</v>
      </c>
      <c r="H1867" s="14" t="n">
        <v>131.27</v>
      </c>
      <c r="I1867" s="14" t="n">
        <v>1.0735</v>
      </c>
      <c r="J1867" s="14" t="n">
        <v>11.026</v>
      </c>
      <c r="K1867" s="14" t="n">
        <v>1351.4</v>
      </c>
      <c r="L1867" s="14" t="n">
        <v>0.888</v>
      </c>
      <c r="M1867" s="14" t="n">
        <v>7.2841</v>
      </c>
      <c r="N1867" s="14" t="n">
        <v>5.5644</v>
      </c>
      <c r="O1867" s="14" t="n">
        <v>140.81</v>
      </c>
      <c r="P1867" s="14" t="n">
        <v>10.2711</v>
      </c>
    </row>
    <row r="1868" customFormat="false" ht="15" hidden="false" customHeight="false" outlineLevel="0" collapsed="false">
      <c r="A1868" s="13" t="n">
        <v>44966</v>
      </c>
      <c r="B1868" s="14" t="n">
        <v>1259.67</v>
      </c>
      <c r="C1868" s="14" t="n">
        <v>10.1455</v>
      </c>
      <c r="D1868" s="14" t="n">
        <v>1.2157</v>
      </c>
      <c r="E1868" s="14" t="n">
        <v>1.0761</v>
      </c>
      <c r="F1868" s="14" t="n">
        <v>6.7782</v>
      </c>
      <c r="G1868" s="14" t="n">
        <v>5.2528</v>
      </c>
      <c r="H1868" s="14" t="n">
        <v>130.98</v>
      </c>
      <c r="I1868" s="14" t="n">
        <v>1.0771</v>
      </c>
      <c r="J1868" s="14" t="n">
        <v>10.9123</v>
      </c>
      <c r="K1868" s="14" t="n">
        <v>1355.38</v>
      </c>
      <c r="L1868" s="14" t="n">
        <v>0.88515</v>
      </c>
      <c r="M1868" s="14" t="n">
        <v>7.2992</v>
      </c>
      <c r="N1868" s="14" t="n">
        <v>5.6165</v>
      </c>
      <c r="O1868" s="14" t="n">
        <v>140.8</v>
      </c>
      <c r="P1868" s="14" t="n">
        <v>10.1312</v>
      </c>
    </row>
    <row r="1869" customFormat="false" ht="15" hidden="false" customHeight="false" outlineLevel="0" collapsed="false">
      <c r="A1869" s="13" t="n">
        <v>44967</v>
      </c>
      <c r="B1869" s="14" t="n">
        <v>1264.15</v>
      </c>
      <c r="C1869" s="14" t="n">
        <v>10.1617</v>
      </c>
      <c r="D1869" s="14" t="n">
        <v>1.2061</v>
      </c>
      <c r="E1869" s="14" t="n">
        <v>1.067</v>
      </c>
      <c r="F1869" s="14" t="n">
        <v>6.8106</v>
      </c>
      <c r="G1869" s="14" t="n">
        <v>5.2528</v>
      </c>
      <c r="H1869" s="14" t="n">
        <v>131.5</v>
      </c>
      <c r="I1869" s="14" t="n">
        <v>1.069</v>
      </c>
      <c r="J1869" s="14" t="n">
        <v>10.871</v>
      </c>
      <c r="K1869" s="14" t="n">
        <v>1354.1</v>
      </c>
      <c r="L1869" s="14" t="n">
        <v>0.88348</v>
      </c>
      <c r="M1869" s="14" t="n">
        <v>7.2837</v>
      </c>
      <c r="N1869" s="14" t="n">
        <v>5.6245</v>
      </c>
      <c r="O1869" s="14" t="n">
        <v>139.88</v>
      </c>
      <c r="P1869" s="14" t="n">
        <v>10.1693</v>
      </c>
    </row>
    <row r="1870" customFormat="false" ht="15" hidden="false" customHeight="false" outlineLevel="0" collapsed="false">
      <c r="A1870" s="13" t="n">
        <v>44970</v>
      </c>
      <c r="B1870" s="14" t="n">
        <v>1277.05</v>
      </c>
      <c r="C1870" s="14" t="n">
        <v>10.1128</v>
      </c>
      <c r="D1870" s="14" t="n">
        <v>1.2136</v>
      </c>
      <c r="E1870" s="14" t="n">
        <v>1.0718</v>
      </c>
      <c r="F1870" s="14" t="n">
        <v>6.8198</v>
      </c>
      <c r="G1870" s="14" t="n">
        <v>5.1822</v>
      </c>
      <c r="H1870" s="14" t="n">
        <v>132.71</v>
      </c>
      <c r="I1870" s="14" t="n">
        <v>1.0686</v>
      </c>
      <c r="J1870" s="14" t="n">
        <v>10.8213</v>
      </c>
      <c r="K1870" s="14" t="n">
        <v>1364.06</v>
      </c>
      <c r="L1870" s="14" t="n">
        <v>0.88281</v>
      </c>
      <c r="M1870" s="14" t="n">
        <v>7.293</v>
      </c>
      <c r="N1870" s="14" t="n">
        <v>5.5576</v>
      </c>
      <c r="O1870" s="14" t="n">
        <v>141.65</v>
      </c>
      <c r="P1870" s="14" t="n">
        <v>10.1266</v>
      </c>
    </row>
    <row r="1871" customFormat="false" ht="15" hidden="false" customHeight="false" outlineLevel="0" collapsed="false">
      <c r="A1871" s="13" t="n">
        <v>44971</v>
      </c>
      <c r="B1871" s="14" t="n">
        <v>1268.93</v>
      </c>
      <c r="C1871" s="14" t="n">
        <v>10.1604</v>
      </c>
      <c r="D1871" s="14" t="n">
        <v>1.2157</v>
      </c>
      <c r="E1871" s="14" t="n">
        <v>1.0722</v>
      </c>
      <c r="F1871" s="14" t="n">
        <v>6.8255</v>
      </c>
      <c r="G1871" s="14" t="n">
        <v>5.1738</v>
      </c>
      <c r="H1871" s="14" t="n">
        <v>133.05</v>
      </c>
      <c r="I1871" s="14" t="n">
        <v>1.0759</v>
      </c>
      <c r="J1871" s="14" t="n">
        <v>10.8778</v>
      </c>
      <c r="K1871" s="14" t="n">
        <v>1362.59</v>
      </c>
      <c r="L1871" s="14" t="n">
        <v>0.88125</v>
      </c>
      <c r="M1871" s="14" t="n">
        <v>7.3314</v>
      </c>
      <c r="N1871" s="14" t="n">
        <v>5.5552</v>
      </c>
      <c r="O1871" s="14" t="n">
        <v>142.14</v>
      </c>
      <c r="P1871" s="14" t="n">
        <v>10.1104</v>
      </c>
    </row>
    <row r="1872" customFormat="false" ht="15" hidden="false" customHeight="false" outlineLevel="0" collapsed="false">
      <c r="A1872" s="13" t="n">
        <v>44972</v>
      </c>
      <c r="B1872" s="14" t="n">
        <v>1282.16</v>
      </c>
      <c r="C1872" s="14" t="n">
        <v>10.2173</v>
      </c>
      <c r="D1872" s="14" t="n">
        <v>1.2031</v>
      </c>
      <c r="E1872" s="14" t="n">
        <v>1.0683</v>
      </c>
      <c r="F1872" s="14" t="n">
        <v>6.851</v>
      </c>
      <c r="G1872" s="14" t="n">
        <v>5.2172</v>
      </c>
      <c r="H1872" s="14" t="n">
        <v>134.22</v>
      </c>
      <c r="I1872" s="14" t="n">
        <v>1.07</v>
      </c>
      <c r="J1872" s="14" t="n">
        <v>10.9193</v>
      </c>
      <c r="K1872" s="14" t="n">
        <v>1374.34</v>
      </c>
      <c r="L1872" s="14" t="n">
        <v>0.88825</v>
      </c>
      <c r="M1872" s="14" t="n">
        <v>7.3229</v>
      </c>
      <c r="N1872" s="14" t="n">
        <v>5.586</v>
      </c>
      <c r="O1872" s="14" t="n">
        <v>143.05</v>
      </c>
      <c r="P1872" s="14" t="n">
        <v>10.205</v>
      </c>
    </row>
    <row r="1873" customFormat="false" ht="15" hidden="false" customHeight="false" outlineLevel="0" collapsed="false">
      <c r="A1873" s="13" t="n">
        <v>44973</v>
      </c>
      <c r="B1873" s="14" t="n">
        <v>1284.33</v>
      </c>
      <c r="C1873" s="14" t="n">
        <v>10.237</v>
      </c>
      <c r="D1873" s="14" t="n">
        <v>1.2018</v>
      </c>
      <c r="E1873" s="14" t="n">
        <v>1.0684</v>
      </c>
      <c r="F1873" s="14" t="n">
        <v>6.859</v>
      </c>
      <c r="G1873" s="14" t="n">
        <v>5.2313</v>
      </c>
      <c r="H1873" s="14" t="n">
        <v>133.95</v>
      </c>
      <c r="I1873" s="14" t="n">
        <v>1.07</v>
      </c>
      <c r="J1873" s="14" t="n">
        <v>10.9513</v>
      </c>
      <c r="K1873" s="14" t="n">
        <v>1376.52</v>
      </c>
      <c r="L1873" s="14" t="n">
        <v>0.88883</v>
      </c>
      <c r="M1873" s="14" t="n">
        <v>7.3351</v>
      </c>
      <c r="N1873" s="14" t="n">
        <v>5.609</v>
      </c>
      <c r="O1873" s="14" t="n">
        <v>143.31</v>
      </c>
      <c r="P1873" s="14" t="n">
        <v>10.2349</v>
      </c>
    </row>
    <row r="1874" customFormat="false" ht="15" hidden="false" customHeight="false" outlineLevel="0" collapsed="false">
      <c r="A1874" s="13" t="n">
        <v>44974</v>
      </c>
      <c r="B1874" s="14" t="n">
        <v>1299.62</v>
      </c>
      <c r="C1874" s="14" t="n">
        <v>10.3026</v>
      </c>
      <c r="D1874" s="14" t="n">
        <v>1.2012</v>
      </c>
      <c r="E1874" s="14" t="n">
        <v>1.0678</v>
      </c>
      <c r="F1874" s="14" t="n">
        <v>6.8661</v>
      </c>
      <c r="G1874" s="14" t="n">
        <v>5.1776</v>
      </c>
      <c r="H1874" s="14" t="n">
        <v>134.21</v>
      </c>
      <c r="I1874" s="14" t="n">
        <v>1.0625</v>
      </c>
      <c r="J1874" s="14" t="n">
        <v>11.015</v>
      </c>
      <c r="K1874" s="14" t="n">
        <v>1383.32</v>
      </c>
      <c r="L1874" s="14" t="n">
        <v>0.88888</v>
      </c>
      <c r="M1874" s="14" t="n">
        <v>7.3081</v>
      </c>
      <c r="N1874" s="14" t="n">
        <v>5.5487</v>
      </c>
      <c r="O1874" s="14" t="n">
        <v>143.18</v>
      </c>
      <c r="P1874" s="14" t="n">
        <v>10.3671</v>
      </c>
    </row>
    <row r="1875" customFormat="false" ht="15" hidden="false" customHeight="false" outlineLevel="0" collapsed="false">
      <c r="A1875" s="13" t="n">
        <v>44977</v>
      </c>
      <c r="I1875" s="14" t="n">
        <v>1.0674</v>
      </c>
      <c r="J1875" s="14" t="n">
        <v>10.9683</v>
      </c>
      <c r="K1875" s="14" t="n">
        <v>1384.38</v>
      </c>
      <c r="L1875" s="14" t="n">
        <v>0.88738</v>
      </c>
      <c r="M1875" s="14" t="n">
        <v>7.3191</v>
      </c>
      <c r="N1875" s="14" t="n">
        <v>5.5162</v>
      </c>
      <c r="O1875" s="14" t="n">
        <v>143.09</v>
      </c>
      <c r="P1875" s="14" t="n">
        <v>10.2757</v>
      </c>
    </row>
    <row r="1876" customFormat="false" ht="15" hidden="false" customHeight="false" outlineLevel="0" collapsed="false">
      <c r="A1876" s="13" t="n">
        <v>44978</v>
      </c>
      <c r="B1876" s="14" t="n">
        <v>1295.99</v>
      </c>
      <c r="C1876" s="14" t="n">
        <v>10.2848</v>
      </c>
      <c r="D1876" s="14" t="n">
        <v>1.2111</v>
      </c>
      <c r="E1876" s="14" t="n">
        <v>1.0657</v>
      </c>
      <c r="F1876" s="14" t="n">
        <v>6.87</v>
      </c>
      <c r="G1876" s="14" t="n">
        <v>5.1674</v>
      </c>
      <c r="H1876" s="14" t="n">
        <v>134.87</v>
      </c>
      <c r="I1876" s="14" t="n">
        <v>1.0664</v>
      </c>
      <c r="J1876" s="14" t="n">
        <v>10.9468</v>
      </c>
      <c r="K1876" s="14" t="n">
        <v>1387.03</v>
      </c>
      <c r="L1876" s="14" t="n">
        <v>0.87925</v>
      </c>
      <c r="M1876" s="14" t="n">
        <v>7.3372</v>
      </c>
      <c r="N1876" s="14" t="n">
        <v>5.511</v>
      </c>
      <c r="O1876" s="14" t="n">
        <v>143.76</v>
      </c>
      <c r="P1876" s="14" t="n">
        <v>10.2652</v>
      </c>
    </row>
    <row r="1877" customFormat="false" ht="15" hidden="false" customHeight="false" outlineLevel="0" collapsed="false">
      <c r="A1877" s="13" t="n">
        <v>44979</v>
      </c>
      <c r="B1877" s="14" t="n">
        <v>1304.31</v>
      </c>
      <c r="C1877" s="14" t="n">
        <v>10.3284</v>
      </c>
      <c r="D1877" s="14" t="n">
        <v>1.2064</v>
      </c>
      <c r="E1877" s="14" t="n">
        <v>1.0623</v>
      </c>
      <c r="F1877" s="14" t="n">
        <v>6.8908</v>
      </c>
      <c r="G1877" s="14" t="n">
        <v>5.194</v>
      </c>
      <c r="H1877" s="14" t="n">
        <v>134.77</v>
      </c>
      <c r="I1877" s="14" t="n">
        <v>1.0644</v>
      </c>
      <c r="J1877" s="14" t="n">
        <v>10.9665</v>
      </c>
      <c r="K1877" s="14" t="n">
        <v>1386.99</v>
      </c>
      <c r="L1877" s="14" t="n">
        <v>0.87945</v>
      </c>
      <c r="M1877" s="14" t="n">
        <v>7.3367</v>
      </c>
      <c r="N1877" s="14" t="n">
        <v>5.5008</v>
      </c>
      <c r="O1877" s="14" t="n">
        <v>143.24</v>
      </c>
      <c r="P1877" s="14" t="n">
        <v>10.303</v>
      </c>
    </row>
    <row r="1878" customFormat="false" ht="15" hidden="false" customHeight="false" outlineLevel="0" collapsed="false">
      <c r="A1878" s="13" t="n">
        <v>44980</v>
      </c>
      <c r="B1878" s="14" t="n">
        <v>1296.79</v>
      </c>
      <c r="C1878" s="14" t="n">
        <v>10.3364</v>
      </c>
      <c r="D1878" s="14" t="n">
        <v>1.2016</v>
      </c>
      <c r="E1878" s="14" t="n">
        <v>1.0583</v>
      </c>
      <c r="F1878" s="14" t="n">
        <v>6.9075</v>
      </c>
      <c r="G1878" s="14" t="n">
        <v>5.1386</v>
      </c>
      <c r="H1878" s="14" t="n">
        <v>134.8</v>
      </c>
      <c r="I1878" s="14" t="n">
        <v>1.0616</v>
      </c>
      <c r="J1878" s="14" t="n">
        <v>10.9545</v>
      </c>
      <c r="K1878" s="14" t="n">
        <v>1376.59</v>
      </c>
      <c r="L1878" s="14" t="n">
        <v>0.8814</v>
      </c>
      <c r="M1878" s="14" t="n">
        <v>7.3227</v>
      </c>
      <c r="N1878" s="14" t="n">
        <v>5.4765</v>
      </c>
      <c r="O1878" s="14" t="n">
        <v>143.32</v>
      </c>
      <c r="P1878" s="14" t="n">
        <v>10.3189</v>
      </c>
    </row>
    <row r="1879" customFormat="false" ht="15" hidden="false" customHeight="false" outlineLevel="0" collapsed="false">
      <c r="A1879" s="13" t="n">
        <v>44981</v>
      </c>
      <c r="B1879" s="14" t="n">
        <v>1304.59</v>
      </c>
      <c r="C1879" s="14" t="n">
        <v>10.3858</v>
      </c>
      <c r="D1879" s="14" t="n">
        <v>1.1948</v>
      </c>
      <c r="E1879" s="14" t="n">
        <v>1.0545</v>
      </c>
      <c r="F1879" s="14" t="n">
        <v>6.9545</v>
      </c>
      <c r="G1879" s="14" t="n">
        <v>5.1865</v>
      </c>
      <c r="H1879" s="14" t="n">
        <v>136.36</v>
      </c>
      <c r="I1879" s="14" t="n">
        <v>1.057</v>
      </c>
      <c r="J1879" s="14" t="n">
        <v>10.937</v>
      </c>
      <c r="K1879" s="14" t="n">
        <v>1387.18</v>
      </c>
      <c r="L1879" s="14" t="n">
        <v>0.88245</v>
      </c>
      <c r="M1879" s="14" t="n">
        <v>7.3398</v>
      </c>
      <c r="N1879" s="14" t="n">
        <v>5.4633</v>
      </c>
      <c r="O1879" s="14" t="n">
        <v>143.55</v>
      </c>
      <c r="P1879" s="14" t="n">
        <v>10.3472</v>
      </c>
    </row>
    <row r="1880" customFormat="false" ht="15" hidden="false" customHeight="false" outlineLevel="0" collapsed="false">
      <c r="A1880" s="13" t="n">
        <v>44984</v>
      </c>
      <c r="B1880" s="14" t="n">
        <v>1322.45</v>
      </c>
      <c r="C1880" s="14" t="n">
        <v>10.3538</v>
      </c>
      <c r="D1880" s="14" t="n">
        <v>1.2036</v>
      </c>
      <c r="E1880" s="14" t="n">
        <v>1.0596</v>
      </c>
      <c r="F1880" s="14" t="n">
        <v>6.945</v>
      </c>
      <c r="G1880" s="14" t="n">
        <v>5.2031</v>
      </c>
      <c r="H1880" s="14" t="n">
        <v>136.18</v>
      </c>
      <c r="I1880" s="14" t="n">
        <v>1.0554</v>
      </c>
      <c r="J1880" s="14" t="n">
        <v>10.9635</v>
      </c>
      <c r="K1880" s="14" t="n">
        <v>1396</v>
      </c>
      <c r="L1880" s="14" t="n">
        <v>0.88073</v>
      </c>
      <c r="M1880" s="14" t="n">
        <v>7.3378</v>
      </c>
      <c r="N1880" s="14" t="n">
        <v>5.4848</v>
      </c>
      <c r="O1880" s="14" t="n">
        <v>143.88</v>
      </c>
      <c r="P1880" s="14" t="n">
        <v>10.388</v>
      </c>
    </row>
    <row r="1881" customFormat="false" ht="15" hidden="false" customHeight="false" outlineLevel="0" collapsed="false">
      <c r="A1881" s="13" t="n">
        <v>44985</v>
      </c>
      <c r="B1881" s="14" t="n">
        <v>1323.45</v>
      </c>
      <c r="C1881" s="14" t="n">
        <v>10.3419</v>
      </c>
      <c r="D1881" s="14" t="n">
        <v>1.2093</v>
      </c>
      <c r="E1881" s="14" t="n">
        <v>1.0602</v>
      </c>
      <c r="F1881" s="14" t="n">
        <v>6.9325</v>
      </c>
      <c r="G1881" s="14" t="n">
        <v>5.2283</v>
      </c>
      <c r="H1881" s="14" t="n">
        <v>136.09</v>
      </c>
      <c r="I1881" s="14" t="n">
        <v>1.0619</v>
      </c>
      <c r="J1881" s="14" t="n">
        <v>10.9713</v>
      </c>
      <c r="K1881" s="14" t="n">
        <v>1401.84</v>
      </c>
      <c r="L1881" s="14" t="n">
        <v>0.87701</v>
      </c>
      <c r="M1881" s="14" t="n">
        <v>7.3663</v>
      </c>
      <c r="N1881" s="14" t="n">
        <v>5.528</v>
      </c>
      <c r="O1881" s="14" t="n">
        <v>145.23</v>
      </c>
      <c r="P1881" s="14" t="n">
        <v>10.3318</v>
      </c>
    </row>
    <row r="1882" customFormat="false" ht="15" hidden="false" customHeight="false" outlineLevel="0" collapsed="false">
      <c r="A1882" s="13" t="n">
        <v>44986</v>
      </c>
      <c r="B1882" s="14" t="n">
        <v>1315.15</v>
      </c>
      <c r="C1882" s="14" t="n">
        <v>10.3818</v>
      </c>
      <c r="D1882" s="14" t="n">
        <v>1.2034</v>
      </c>
      <c r="E1882" s="14" t="n">
        <v>1.0674</v>
      </c>
      <c r="F1882" s="14" t="n">
        <v>6.8656</v>
      </c>
      <c r="G1882" s="14" t="n">
        <v>5.1965</v>
      </c>
      <c r="H1882" s="14" t="n">
        <v>135.82</v>
      </c>
      <c r="I1882" s="14" t="n">
        <v>1.0684</v>
      </c>
      <c r="J1882" s="14" t="n">
        <v>11.0365</v>
      </c>
      <c r="K1882" s="14" t="n">
        <v>1389.03</v>
      </c>
      <c r="L1882" s="14" t="n">
        <v>0.88574</v>
      </c>
      <c r="M1882" s="14" t="n">
        <v>7.3349</v>
      </c>
      <c r="N1882" s="14" t="n">
        <v>5.5535</v>
      </c>
      <c r="O1882" s="14" t="n">
        <v>144.82</v>
      </c>
      <c r="P1882" s="14" t="n">
        <v>10.3299</v>
      </c>
    </row>
    <row r="1883" customFormat="false" ht="15" hidden="false" customHeight="false" outlineLevel="0" collapsed="false">
      <c r="A1883" s="13" t="n">
        <v>44987</v>
      </c>
      <c r="B1883" s="14" t="n">
        <v>1313.96</v>
      </c>
      <c r="C1883" s="14" t="n">
        <v>10.4507</v>
      </c>
      <c r="D1883" s="14" t="n">
        <v>1.1942</v>
      </c>
      <c r="E1883" s="14" t="n">
        <v>1.0595</v>
      </c>
      <c r="F1883" s="14" t="n">
        <v>6.9122</v>
      </c>
      <c r="G1883" s="14" t="n">
        <v>5.2033</v>
      </c>
      <c r="H1883" s="14" t="n">
        <v>136.84</v>
      </c>
      <c r="I1883" s="14" t="n">
        <v>1.0605</v>
      </c>
      <c r="J1883" s="14" t="n">
        <v>11.085</v>
      </c>
      <c r="K1883" s="14" t="n">
        <v>1392.26</v>
      </c>
      <c r="L1883" s="14" t="n">
        <v>0.88785</v>
      </c>
      <c r="M1883" s="14" t="n">
        <v>7.3285</v>
      </c>
      <c r="N1883" s="14" t="n">
        <v>5.5242</v>
      </c>
      <c r="O1883" s="14" t="n">
        <v>145.07</v>
      </c>
      <c r="P1883" s="14" t="n">
        <v>10.4526</v>
      </c>
    </row>
    <row r="1884" customFormat="false" ht="15" hidden="false" customHeight="false" outlineLevel="0" collapsed="false">
      <c r="A1884" s="13" t="n">
        <v>44988</v>
      </c>
      <c r="B1884" s="14" t="n">
        <v>1300.59</v>
      </c>
      <c r="C1884" s="14" t="n">
        <v>10.4191</v>
      </c>
      <c r="D1884" s="14" t="n">
        <v>1.1996</v>
      </c>
      <c r="E1884" s="14" t="n">
        <v>1.0616</v>
      </c>
      <c r="F1884" s="14" t="n">
        <v>6.9048</v>
      </c>
      <c r="G1884" s="14" t="n">
        <v>5.2067</v>
      </c>
      <c r="H1884" s="14" t="n">
        <v>136.09</v>
      </c>
      <c r="I1884" s="14" t="n">
        <v>1.0615</v>
      </c>
      <c r="J1884" s="14" t="n">
        <v>11.061</v>
      </c>
      <c r="K1884" s="14" t="n">
        <v>1383.24</v>
      </c>
      <c r="L1884" s="14" t="n">
        <v>0.8853</v>
      </c>
      <c r="M1884" s="14" t="n">
        <v>7.3326</v>
      </c>
      <c r="N1884" s="14" t="n">
        <v>5.5248</v>
      </c>
      <c r="O1884" s="14" t="n">
        <v>144.55</v>
      </c>
      <c r="P1884" s="14" t="n">
        <v>10.4202</v>
      </c>
    </row>
    <row r="1885" customFormat="false" ht="15" hidden="false" customHeight="false" outlineLevel="0" collapsed="false">
      <c r="A1885" s="13" t="n">
        <v>44991</v>
      </c>
      <c r="B1885" s="14" t="n">
        <v>1296.14</v>
      </c>
      <c r="C1885" s="14" t="n">
        <v>10.4113</v>
      </c>
      <c r="D1885" s="14" t="n">
        <v>1.2048</v>
      </c>
      <c r="E1885" s="14" t="n">
        <v>1.0694</v>
      </c>
      <c r="F1885" s="14" t="n">
        <v>6.9295</v>
      </c>
      <c r="G1885" s="14" t="n">
        <v>5.168</v>
      </c>
      <c r="H1885" s="14" t="n">
        <v>135.93</v>
      </c>
      <c r="I1885" s="14" t="n">
        <v>1.0646</v>
      </c>
      <c r="J1885" s="14" t="n">
        <v>11.1109</v>
      </c>
      <c r="K1885" s="14" t="n">
        <v>1381.49</v>
      </c>
      <c r="L1885" s="14" t="n">
        <v>0.8863</v>
      </c>
      <c r="M1885" s="14" t="n">
        <v>7.3802</v>
      </c>
      <c r="N1885" s="14" t="n">
        <v>5.5356</v>
      </c>
      <c r="O1885" s="14" t="n">
        <v>144.64</v>
      </c>
      <c r="P1885" s="14" t="n">
        <v>10.4367</v>
      </c>
    </row>
    <row r="1886" customFormat="false" ht="15" hidden="false" customHeight="false" outlineLevel="0" collapsed="false">
      <c r="A1886" s="13" t="n">
        <v>44992</v>
      </c>
      <c r="B1886" s="14" t="n">
        <v>1299.7</v>
      </c>
      <c r="C1886" s="14" t="n">
        <v>10.6695</v>
      </c>
      <c r="D1886" s="14" t="n">
        <v>1.1857</v>
      </c>
      <c r="E1886" s="14" t="n">
        <v>1.0573</v>
      </c>
      <c r="F1886" s="14" t="n">
        <v>6.9605</v>
      </c>
      <c r="G1886" s="14" t="n">
        <v>5.1933</v>
      </c>
      <c r="H1886" s="14" t="n">
        <v>136.9</v>
      </c>
      <c r="I1886" s="14" t="n">
        <v>1.0665</v>
      </c>
      <c r="J1886" s="14" t="n">
        <v>11.1935</v>
      </c>
      <c r="K1886" s="14" t="n">
        <v>1392.09</v>
      </c>
      <c r="L1886" s="14" t="n">
        <v>0.88968</v>
      </c>
      <c r="M1886" s="14" t="n">
        <v>7.3975</v>
      </c>
      <c r="N1886" s="14" t="n">
        <v>5.5224</v>
      </c>
      <c r="O1886" s="14" t="n">
        <v>145.21</v>
      </c>
      <c r="P1886" s="14" t="n">
        <v>10.4955</v>
      </c>
    </row>
    <row r="1887" customFormat="false" ht="15" hidden="false" customHeight="false" outlineLevel="0" collapsed="false">
      <c r="A1887" s="13" t="n">
        <v>44993</v>
      </c>
      <c r="B1887" s="14" t="n">
        <v>1320.81</v>
      </c>
      <c r="C1887" s="14" t="n">
        <v>10.6576</v>
      </c>
      <c r="D1887" s="14" t="n">
        <v>1.1837</v>
      </c>
      <c r="E1887" s="14" t="n">
        <v>1.0549</v>
      </c>
      <c r="F1887" s="14" t="n">
        <v>6.9496</v>
      </c>
      <c r="G1887" s="14" t="n">
        <v>5.1251</v>
      </c>
      <c r="H1887" s="14" t="n">
        <v>137.18</v>
      </c>
      <c r="I1887" s="14" t="n">
        <v>1.0545</v>
      </c>
      <c r="J1887" s="14" t="n">
        <v>11.2205</v>
      </c>
      <c r="K1887" s="14" t="n">
        <v>1389.6</v>
      </c>
      <c r="L1887" s="14" t="n">
        <v>0.89074</v>
      </c>
      <c r="M1887" s="14" t="n">
        <v>7.3315</v>
      </c>
      <c r="N1887" s="14" t="n">
        <v>5.451</v>
      </c>
      <c r="O1887" s="14" t="n">
        <v>144.7</v>
      </c>
      <c r="P1887" s="14" t="n">
        <v>10.6406</v>
      </c>
    </row>
    <row r="1888" customFormat="false" ht="15" hidden="false" customHeight="false" outlineLevel="0" collapsed="false">
      <c r="A1888" s="13" t="n">
        <v>44994</v>
      </c>
      <c r="B1888" s="14" t="n">
        <v>1321.58</v>
      </c>
      <c r="C1888" s="14" t="n">
        <v>10.6338</v>
      </c>
      <c r="D1888" s="14" t="n">
        <v>1.1922</v>
      </c>
      <c r="E1888" s="14" t="n">
        <v>1.0577</v>
      </c>
      <c r="F1888" s="14" t="n">
        <v>6.963</v>
      </c>
      <c r="G1888" s="14" t="n">
        <v>5.1542</v>
      </c>
      <c r="H1888" s="14" t="n">
        <v>136.41</v>
      </c>
      <c r="I1888" s="14" t="n">
        <v>1.0554</v>
      </c>
      <c r="J1888" s="14" t="n">
        <v>11.2715</v>
      </c>
      <c r="K1888" s="14" t="n">
        <v>1395</v>
      </c>
      <c r="L1888" s="14" t="n">
        <v>0.88814</v>
      </c>
      <c r="M1888" s="14" t="n">
        <v>7.3515</v>
      </c>
      <c r="N1888" s="14" t="n">
        <v>5.4202</v>
      </c>
      <c r="O1888" s="14" t="n">
        <v>143.82</v>
      </c>
      <c r="P1888" s="14" t="n">
        <v>10.6798</v>
      </c>
    </row>
    <row r="1889" customFormat="false" ht="15" hidden="false" customHeight="false" outlineLevel="0" collapsed="false">
      <c r="A1889" s="13" t="n">
        <v>44995</v>
      </c>
      <c r="B1889" s="14" t="n">
        <v>1324.51</v>
      </c>
      <c r="C1889" s="14" t="n">
        <v>10.6051</v>
      </c>
      <c r="D1889" s="14" t="n">
        <v>1.2043</v>
      </c>
      <c r="E1889" s="14" t="n">
        <v>1.0659</v>
      </c>
      <c r="F1889" s="14" t="n">
        <v>6.9025</v>
      </c>
      <c r="G1889" s="14" t="n">
        <v>5.1838</v>
      </c>
      <c r="H1889" s="14" t="n">
        <v>135.05</v>
      </c>
      <c r="I1889" s="14" t="n">
        <v>1.0586</v>
      </c>
      <c r="J1889" s="14" t="n">
        <v>11.29</v>
      </c>
      <c r="K1889" s="14" t="n">
        <v>1398.24</v>
      </c>
      <c r="L1889" s="14" t="n">
        <v>0.88258</v>
      </c>
      <c r="M1889" s="14" t="n">
        <v>7.3594</v>
      </c>
      <c r="N1889" s="14" t="n">
        <v>5.5037</v>
      </c>
      <c r="O1889" s="14" t="n">
        <v>144.7</v>
      </c>
      <c r="P1889" s="14" t="n">
        <v>10.665</v>
      </c>
    </row>
    <row r="1890" customFormat="false" ht="15" hidden="false" customHeight="false" outlineLevel="0" collapsed="false">
      <c r="A1890" s="13" t="n">
        <v>44998</v>
      </c>
      <c r="B1890" s="14" t="n">
        <v>1300.46</v>
      </c>
      <c r="C1890" s="14" t="n">
        <v>10.5307</v>
      </c>
      <c r="D1890" s="14" t="n">
        <v>1.216</v>
      </c>
      <c r="E1890" s="14" t="n">
        <v>1.0733</v>
      </c>
      <c r="F1890" s="14" t="n">
        <v>6.8455</v>
      </c>
      <c r="G1890" s="14" t="n">
        <v>5.2382</v>
      </c>
      <c r="H1890" s="14" t="n">
        <v>133.13</v>
      </c>
      <c r="I1890" s="14" t="n">
        <v>1.0706</v>
      </c>
      <c r="J1890" s="14" t="n">
        <v>11.3893</v>
      </c>
      <c r="K1890" s="14" t="n">
        <v>1399.19</v>
      </c>
      <c r="L1890" s="14" t="n">
        <v>0.8837</v>
      </c>
      <c r="M1890" s="14" t="n">
        <v>7.3413</v>
      </c>
      <c r="N1890" s="14" t="n">
        <v>5.6256</v>
      </c>
      <c r="O1890" s="14" t="n">
        <v>141.96</v>
      </c>
      <c r="P1890" s="14" t="n">
        <v>10.6382</v>
      </c>
    </row>
    <row r="1891" customFormat="false" ht="15" hidden="false" customHeight="false" outlineLevel="0" collapsed="false">
      <c r="A1891" s="13" t="n">
        <v>44999</v>
      </c>
      <c r="B1891" s="14" t="n">
        <v>1306.13</v>
      </c>
      <c r="C1891" s="14" t="n">
        <v>10.547</v>
      </c>
      <c r="D1891" s="14" t="n">
        <v>1.2146</v>
      </c>
      <c r="E1891" s="14" t="n">
        <v>1.0722</v>
      </c>
      <c r="F1891" s="14" t="n">
        <v>6.868</v>
      </c>
      <c r="G1891" s="14" t="n">
        <v>5.2565</v>
      </c>
      <c r="H1891" s="14" t="n">
        <v>134.33</v>
      </c>
      <c r="I1891" s="14" t="n">
        <v>1.0737</v>
      </c>
      <c r="J1891" s="14" t="n">
        <v>11.335</v>
      </c>
      <c r="K1891" s="14" t="n">
        <v>1402.36</v>
      </c>
      <c r="L1891" s="14" t="n">
        <v>0.88054</v>
      </c>
      <c r="M1891" s="14" t="n">
        <v>7.3758</v>
      </c>
      <c r="N1891" s="14" t="n">
        <v>5.6136</v>
      </c>
      <c r="O1891" s="14" t="n">
        <v>144.09</v>
      </c>
      <c r="P1891" s="14" t="n">
        <v>10.557</v>
      </c>
    </row>
    <row r="1892" customFormat="false" ht="15" hidden="false" customHeight="false" outlineLevel="0" collapsed="false">
      <c r="A1892" s="13" t="n">
        <v>45000</v>
      </c>
      <c r="B1892" s="14" t="n">
        <v>1317.78</v>
      </c>
      <c r="C1892" s="14" t="n">
        <v>10.8182</v>
      </c>
      <c r="D1892" s="14" t="n">
        <v>1.2032</v>
      </c>
      <c r="E1892" s="14" t="n">
        <v>1.0535</v>
      </c>
      <c r="F1892" s="14" t="n">
        <v>6.9005</v>
      </c>
      <c r="G1892" s="14" t="n">
        <v>5.3062</v>
      </c>
      <c r="H1892" s="14" t="n">
        <v>132.81</v>
      </c>
      <c r="I1892" s="14" t="n">
        <v>1.0549</v>
      </c>
      <c r="J1892" s="14" t="n">
        <v>11.34</v>
      </c>
      <c r="K1892" s="14" t="n">
        <v>1393.75</v>
      </c>
      <c r="L1892" s="14" t="n">
        <v>0.87243</v>
      </c>
      <c r="M1892" s="14" t="n">
        <v>7.2865</v>
      </c>
      <c r="N1892" s="14" t="n">
        <v>5.5672</v>
      </c>
      <c r="O1892" s="14" t="n">
        <v>139.51</v>
      </c>
      <c r="P1892" s="14" t="n">
        <v>10.7498</v>
      </c>
    </row>
    <row r="1893" customFormat="false" ht="15" hidden="false" customHeight="false" outlineLevel="0" collapsed="false">
      <c r="A1893" s="13" t="n">
        <v>45001</v>
      </c>
      <c r="B1893" s="14" t="n">
        <v>1312.13</v>
      </c>
      <c r="C1893" s="14" t="n">
        <v>10.7916</v>
      </c>
      <c r="D1893" s="14" t="n">
        <v>1.2111</v>
      </c>
      <c r="E1893" s="14" t="n">
        <v>1.0622</v>
      </c>
      <c r="F1893" s="14" t="n">
        <v>6.8965</v>
      </c>
      <c r="G1893" s="14" t="n">
        <v>5.28</v>
      </c>
      <c r="H1893" s="14" t="n">
        <v>133.01</v>
      </c>
      <c r="I1893" s="14" t="n">
        <v>1.0595</v>
      </c>
      <c r="J1893" s="14" t="n">
        <v>11.4487</v>
      </c>
      <c r="K1893" s="14" t="n">
        <v>1388.4</v>
      </c>
      <c r="L1893" s="14" t="n">
        <v>0.8782</v>
      </c>
      <c r="M1893" s="14" t="n">
        <v>7.3045</v>
      </c>
      <c r="N1893" s="14" t="n">
        <v>5.6005</v>
      </c>
      <c r="O1893" s="14" t="n">
        <v>140.18</v>
      </c>
      <c r="P1893" s="14" t="n">
        <v>10.8058</v>
      </c>
    </row>
    <row r="1894" customFormat="false" ht="15" hidden="false" customHeight="false" outlineLevel="0" collapsed="false">
      <c r="A1894" s="13" t="n">
        <v>45002</v>
      </c>
      <c r="B1894" s="14" t="n">
        <v>1303.75</v>
      </c>
      <c r="C1894" s="14" t="n">
        <v>10.7036</v>
      </c>
      <c r="D1894" s="14" t="n">
        <v>1.2141</v>
      </c>
      <c r="E1894" s="14" t="n">
        <v>1.0647</v>
      </c>
      <c r="F1894" s="14" t="n">
        <v>6.887</v>
      </c>
      <c r="G1894" s="14" t="n">
        <v>5.2813</v>
      </c>
      <c r="H1894" s="14" t="n">
        <v>132.01</v>
      </c>
      <c r="I1894" s="14" t="n">
        <v>1.0623</v>
      </c>
      <c r="J1894" s="14" t="n">
        <v>11.4218</v>
      </c>
      <c r="K1894" s="14" t="n">
        <v>1389.84</v>
      </c>
      <c r="L1894" s="14" t="n">
        <v>0.87488</v>
      </c>
      <c r="M1894" s="14" t="n">
        <v>7.3117</v>
      </c>
      <c r="N1894" s="14" t="n">
        <v>5.5872</v>
      </c>
      <c r="O1894" s="14" t="n">
        <v>140.57</v>
      </c>
      <c r="P1894" s="14" t="n">
        <v>10.752</v>
      </c>
    </row>
    <row r="1895" customFormat="false" ht="15" hidden="false" customHeight="false" outlineLevel="0" collapsed="false">
      <c r="A1895" s="13" t="n">
        <v>45005</v>
      </c>
      <c r="B1895" s="14" t="n">
        <v>1310.69</v>
      </c>
      <c r="C1895" s="14" t="n">
        <v>10.6669</v>
      </c>
      <c r="D1895" s="14" t="n">
        <v>1.2257</v>
      </c>
      <c r="E1895" s="14" t="n">
        <v>1.0722</v>
      </c>
      <c r="F1895" s="14" t="n">
        <v>6.877</v>
      </c>
      <c r="G1895" s="14" t="n">
        <v>5.2475</v>
      </c>
      <c r="H1895" s="14" t="n">
        <v>131.59</v>
      </c>
      <c r="I1895" s="14" t="n">
        <v>1.0717</v>
      </c>
      <c r="J1895" s="14" t="n">
        <v>11.421</v>
      </c>
      <c r="K1895" s="14" t="n">
        <v>1401.82</v>
      </c>
      <c r="L1895" s="14" t="n">
        <v>0.8756</v>
      </c>
      <c r="M1895" s="14" t="n">
        <v>7.3739</v>
      </c>
      <c r="N1895" s="14" t="n">
        <v>5.6183</v>
      </c>
      <c r="O1895" s="14" t="n">
        <v>140.77</v>
      </c>
      <c r="P1895" s="14" t="n">
        <v>10.6569</v>
      </c>
    </row>
    <row r="1896" customFormat="false" ht="15" hidden="false" customHeight="false" outlineLevel="0" collapsed="false">
      <c r="A1896" s="13" t="n">
        <v>45006</v>
      </c>
      <c r="B1896" s="14" t="n">
        <v>1310.65</v>
      </c>
      <c r="C1896" s="14" t="n">
        <v>10.5567</v>
      </c>
      <c r="D1896" s="14" t="n">
        <v>1.2195</v>
      </c>
      <c r="E1896" s="14" t="n">
        <v>1.0769</v>
      </c>
      <c r="F1896" s="14" t="n">
        <v>6.883</v>
      </c>
      <c r="G1896" s="14" t="n">
        <v>5.2458</v>
      </c>
      <c r="H1896" s="14" t="n">
        <v>132.27</v>
      </c>
      <c r="I1896" s="14" t="n">
        <v>1.0776</v>
      </c>
      <c r="J1896" s="14" t="n">
        <v>11.3125</v>
      </c>
      <c r="K1896" s="14" t="n">
        <v>1406.34</v>
      </c>
      <c r="L1896" s="14" t="n">
        <v>0.88033</v>
      </c>
      <c r="M1896" s="14" t="n">
        <v>7.4058</v>
      </c>
      <c r="N1896" s="14" t="n">
        <v>5.6491</v>
      </c>
      <c r="O1896" s="14" t="n">
        <v>142.63</v>
      </c>
      <c r="P1896" s="14" t="n">
        <v>10.4979</v>
      </c>
    </row>
    <row r="1897" customFormat="false" ht="15" hidden="false" customHeight="false" outlineLevel="0" collapsed="false">
      <c r="A1897" s="13" t="n">
        <v>45007</v>
      </c>
      <c r="B1897" s="14" t="n">
        <v>1307.5</v>
      </c>
      <c r="C1897" s="14" t="n">
        <v>10.4847</v>
      </c>
      <c r="D1897" s="14" t="n">
        <v>1.2232</v>
      </c>
      <c r="E1897" s="14" t="n">
        <v>1.0792</v>
      </c>
      <c r="F1897" s="14" t="n">
        <v>6.8802</v>
      </c>
      <c r="G1897" s="14" t="n">
        <v>5.2594</v>
      </c>
      <c r="H1897" s="14" t="n">
        <v>132.67</v>
      </c>
      <c r="I1897" s="14" t="n">
        <v>1.0785</v>
      </c>
      <c r="J1897" s="14" t="n">
        <v>11.332</v>
      </c>
      <c r="K1897" s="14" t="n">
        <v>1406.43</v>
      </c>
      <c r="L1897" s="14" t="n">
        <v>0.87925</v>
      </c>
      <c r="M1897" s="14" t="n">
        <v>7.4238</v>
      </c>
      <c r="N1897" s="14" t="n">
        <v>5.6683</v>
      </c>
      <c r="O1897" s="14" t="n">
        <v>143.13</v>
      </c>
      <c r="P1897" s="14" t="n">
        <v>10.5072</v>
      </c>
    </row>
    <row r="1898" customFormat="false" ht="15" hidden="false" customHeight="false" outlineLevel="0" collapsed="false">
      <c r="A1898" s="13" t="n">
        <v>45008</v>
      </c>
      <c r="B1898" s="14" t="n">
        <v>1278.93</v>
      </c>
      <c r="C1898" s="14" t="n">
        <v>10.288</v>
      </c>
      <c r="D1898" s="14" t="n">
        <v>1.2322</v>
      </c>
      <c r="E1898" s="14" t="n">
        <v>1.089</v>
      </c>
      <c r="F1898" s="14" t="n">
        <v>6.8188</v>
      </c>
      <c r="G1898" s="14" t="n">
        <v>5.2692</v>
      </c>
      <c r="H1898" s="14" t="n">
        <v>130.99</v>
      </c>
      <c r="I1898" s="14" t="n">
        <v>1.0879</v>
      </c>
      <c r="J1898" s="14" t="n">
        <v>11.284</v>
      </c>
      <c r="K1898" s="14" t="n">
        <v>1396.18</v>
      </c>
      <c r="L1898" s="14" t="n">
        <v>0.88523</v>
      </c>
      <c r="M1898" s="14" t="n">
        <v>7.4312</v>
      </c>
      <c r="N1898" s="14" t="n">
        <v>5.6995</v>
      </c>
      <c r="O1898" s="14" t="n">
        <v>142.87</v>
      </c>
      <c r="P1898" s="14" t="n">
        <v>10.3723</v>
      </c>
    </row>
    <row r="1899" customFormat="false" ht="15" hidden="false" customHeight="false" outlineLevel="0" collapsed="false">
      <c r="A1899" s="13" t="n">
        <v>45009</v>
      </c>
      <c r="B1899" s="14" t="n">
        <v>1292.57</v>
      </c>
      <c r="C1899" s="14" t="n">
        <v>10.4917</v>
      </c>
      <c r="D1899" s="14" t="n">
        <v>1.2225</v>
      </c>
      <c r="E1899" s="14" t="n">
        <v>1.0762</v>
      </c>
      <c r="F1899" s="14" t="n">
        <v>6.8675</v>
      </c>
      <c r="G1899" s="14" t="n">
        <v>5.2506</v>
      </c>
      <c r="H1899" s="14" t="n">
        <v>130.64</v>
      </c>
      <c r="I1899" s="14" t="n">
        <v>1.0745</v>
      </c>
      <c r="J1899" s="14" t="n">
        <v>11.3065</v>
      </c>
      <c r="K1899" s="14" t="n">
        <v>1401.12</v>
      </c>
      <c r="L1899" s="14" t="n">
        <v>0.8794</v>
      </c>
      <c r="M1899" s="14" t="n">
        <v>7.3826</v>
      </c>
      <c r="N1899" s="14" t="n">
        <v>5.7298</v>
      </c>
      <c r="O1899" s="14" t="n">
        <v>139.85</v>
      </c>
      <c r="P1899" s="14" t="n">
        <v>10.5226</v>
      </c>
    </row>
    <row r="1900" customFormat="false" ht="15" hidden="false" customHeight="false" outlineLevel="0" collapsed="false">
      <c r="A1900" s="13" t="n">
        <v>45012</v>
      </c>
      <c r="B1900" s="14" t="n">
        <v>1301.01</v>
      </c>
      <c r="C1900" s="14" t="n">
        <v>10.4944</v>
      </c>
      <c r="D1900" s="14" t="n">
        <v>1.2278</v>
      </c>
      <c r="E1900" s="14" t="n">
        <v>1.0789</v>
      </c>
      <c r="F1900" s="14" t="n">
        <v>6.8834</v>
      </c>
      <c r="G1900" s="14" t="n">
        <v>5.234</v>
      </c>
      <c r="H1900" s="14" t="n">
        <v>131.49</v>
      </c>
      <c r="I1900" s="14" t="n">
        <v>1.0773</v>
      </c>
      <c r="J1900" s="14" t="n">
        <v>11.338</v>
      </c>
      <c r="K1900" s="14" t="n">
        <v>1400.23</v>
      </c>
      <c r="L1900" s="14" t="n">
        <v>0.87818</v>
      </c>
      <c r="M1900" s="14" t="n">
        <v>7.4131</v>
      </c>
      <c r="N1900" s="14" t="n">
        <v>5.6362</v>
      </c>
      <c r="O1900" s="14" t="n">
        <v>141.64</v>
      </c>
      <c r="P1900" s="14" t="n">
        <v>10.5245</v>
      </c>
    </row>
    <row r="1901" customFormat="false" ht="15" hidden="false" customHeight="false" outlineLevel="0" collapsed="false">
      <c r="A1901" s="13" t="n">
        <v>45013</v>
      </c>
      <c r="B1901" s="14" t="n">
        <v>1298.26</v>
      </c>
      <c r="C1901" s="14" t="n">
        <v>10.3539</v>
      </c>
      <c r="D1901" s="14" t="n">
        <v>1.2341</v>
      </c>
      <c r="E1901" s="14" t="n">
        <v>1.0844</v>
      </c>
      <c r="F1901" s="14" t="n">
        <v>6.8725</v>
      </c>
      <c r="G1901" s="14" t="n">
        <v>5.1678</v>
      </c>
      <c r="H1901" s="14" t="n">
        <v>130.97</v>
      </c>
      <c r="I1901" s="14" t="n">
        <v>1.0841</v>
      </c>
      <c r="J1901" s="14" t="n">
        <v>11.324</v>
      </c>
      <c r="K1901" s="14" t="n">
        <v>1407.94</v>
      </c>
      <c r="L1901" s="14" t="n">
        <v>0.87938</v>
      </c>
      <c r="M1901" s="14" t="n">
        <v>7.4554</v>
      </c>
      <c r="N1901" s="14" t="n">
        <v>5.608</v>
      </c>
      <c r="O1901" s="14" t="n">
        <v>141.69</v>
      </c>
      <c r="P1901" s="14" t="n">
        <v>10.4455</v>
      </c>
    </row>
    <row r="1902" customFormat="false" ht="15" hidden="false" customHeight="false" outlineLevel="0" collapsed="false">
      <c r="A1902" s="13" t="n">
        <v>45014</v>
      </c>
      <c r="B1902" s="14" t="n">
        <v>1303.38</v>
      </c>
      <c r="C1902" s="14" t="n">
        <v>10.4332</v>
      </c>
      <c r="D1902" s="14" t="n">
        <v>1.2313</v>
      </c>
      <c r="E1902" s="14" t="n">
        <v>1.0826</v>
      </c>
      <c r="F1902" s="14" t="n">
        <v>6.8862</v>
      </c>
      <c r="G1902" s="14" t="n">
        <v>5.1405</v>
      </c>
      <c r="H1902" s="14" t="n">
        <v>132.69</v>
      </c>
      <c r="I1902" s="14" t="n">
        <v>1.0847</v>
      </c>
      <c r="J1902" s="14" t="n">
        <v>11.3005</v>
      </c>
      <c r="K1902" s="14" t="n">
        <v>1411.29</v>
      </c>
      <c r="L1902" s="14" t="n">
        <v>0.87988</v>
      </c>
      <c r="M1902" s="14" t="n">
        <v>7.4679</v>
      </c>
      <c r="N1902" s="14" t="n">
        <v>5.5958</v>
      </c>
      <c r="O1902" s="14" t="n">
        <v>143.58</v>
      </c>
      <c r="P1902" s="14" t="n">
        <v>10.4181</v>
      </c>
    </row>
    <row r="1903" customFormat="false" ht="15" hidden="false" customHeight="false" outlineLevel="0" collapsed="false">
      <c r="A1903" s="13" t="n">
        <v>45015</v>
      </c>
      <c r="B1903" s="14" t="n">
        <v>1298.89</v>
      </c>
      <c r="C1903" s="14" t="n">
        <v>10.4087</v>
      </c>
      <c r="D1903" s="14" t="n">
        <v>1.2368</v>
      </c>
      <c r="E1903" s="14" t="n">
        <v>1.0899</v>
      </c>
      <c r="F1903" s="14" t="n">
        <v>6.87</v>
      </c>
      <c r="G1903" s="14" t="n">
        <v>5.1203</v>
      </c>
      <c r="H1903" s="14" t="n">
        <v>132.71</v>
      </c>
      <c r="I1903" s="14" t="n">
        <v>1.0886</v>
      </c>
      <c r="J1903" s="14" t="n">
        <v>11.357</v>
      </c>
      <c r="K1903" s="14" t="n">
        <v>1413.65</v>
      </c>
      <c r="L1903" s="14" t="n">
        <v>0.88164</v>
      </c>
      <c r="M1903" s="14" t="n">
        <v>7.4898</v>
      </c>
      <c r="N1903" s="14" t="n">
        <v>5.5531</v>
      </c>
      <c r="O1903" s="14" t="n">
        <v>144.42</v>
      </c>
      <c r="P1903" s="14" t="n">
        <v>10.4327</v>
      </c>
    </row>
    <row r="1904" customFormat="false" ht="15" hidden="false" customHeight="false" outlineLevel="0" collapsed="false">
      <c r="A1904" s="13" t="n">
        <v>45016</v>
      </c>
      <c r="B1904" s="14" t="n">
        <v>1303.8</v>
      </c>
      <c r="C1904" s="14" t="n">
        <v>10.4445</v>
      </c>
      <c r="D1904" s="14" t="n">
        <v>1.2369</v>
      </c>
      <c r="E1904" s="14" t="n">
        <v>1.0872</v>
      </c>
      <c r="F1904" s="14" t="n">
        <v>6.8676</v>
      </c>
      <c r="G1904" s="14" t="n">
        <v>5.0702</v>
      </c>
      <c r="H1904" s="14" t="n">
        <v>132.75</v>
      </c>
      <c r="I1904" s="14" t="n">
        <v>1.0875</v>
      </c>
      <c r="J1904" s="14" t="n">
        <v>11.394</v>
      </c>
      <c r="K1904" s="14" t="n">
        <v>1420.26</v>
      </c>
      <c r="L1904" s="14" t="n">
        <v>0.8792</v>
      </c>
      <c r="M1904" s="14" t="n">
        <v>7.4763</v>
      </c>
      <c r="N1904" s="14" t="n">
        <v>5.5158</v>
      </c>
      <c r="O1904" s="14" t="n">
        <v>144.83</v>
      </c>
      <c r="P1904" s="14" t="n">
        <v>10.4772</v>
      </c>
    </row>
    <row r="1905" customFormat="false" ht="15" hidden="false" customHeight="false" outlineLevel="0" collapsed="false">
      <c r="A1905" s="13" t="n">
        <v>45019</v>
      </c>
      <c r="B1905" s="14" t="n">
        <v>1316.38</v>
      </c>
      <c r="C1905" s="14" t="n">
        <v>10.3012</v>
      </c>
      <c r="D1905" s="14" t="n">
        <v>1.2403</v>
      </c>
      <c r="E1905" s="14" t="n">
        <v>1.0891</v>
      </c>
      <c r="F1905" s="14" t="n">
        <v>6.8776</v>
      </c>
      <c r="G1905" s="14" t="n">
        <v>5.0683</v>
      </c>
      <c r="H1905" s="14" t="n">
        <v>132.35</v>
      </c>
      <c r="I1905" s="14" t="n">
        <v>1.087</v>
      </c>
      <c r="J1905" s="14" t="n">
        <v>11.2515</v>
      </c>
      <c r="K1905" s="14" t="n">
        <v>1429.43</v>
      </c>
      <c r="L1905" s="14" t="n">
        <v>0.8779</v>
      </c>
      <c r="M1905" s="14" t="n">
        <v>7.4832</v>
      </c>
      <c r="N1905" s="14" t="n">
        <v>5.4786</v>
      </c>
      <c r="O1905" s="14" t="n">
        <v>144.51</v>
      </c>
      <c r="P1905" s="14" t="n">
        <v>10.351</v>
      </c>
    </row>
    <row r="1906" customFormat="false" ht="15" hidden="false" customHeight="false" outlineLevel="0" collapsed="false">
      <c r="A1906" s="13" t="n">
        <v>45020</v>
      </c>
      <c r="B1906" s="14" t="n">
        <v>1315.1</v>
      </c>
      <c r="C1906" s="14" t="n">
        <v>10.3104</v>
      </c>
      <c r="D1906" s="14" t="n">
        <v>1.2498</v>
      </c>
      <c r="E1906" s="14" t="n">
        <v>1.0951</v>
      </c>
      <c r="F1906" s="14" t="n">
        <v>6.878</v>
      </c>
      <c r="G1906" s="14" t="n">
        <v>5.0919</v>
      </c>
      <c r="H1906" s="14" t="n">
        <v>131.6</v>
      </c>
      <c r="I1906" s="14" t="n">
        <v>1.0901</v>
      </c>
      <c r="J1906" s="14" t="n">
        <v>11.2345</v>
      </c>
      <c r="K1906" s="14" t="n">
        <v>1434.69</v>
      </c>
      <c r="L1906" s="14" t="n">
        <v>0.87333</v>
      </c>
      <c r="M1906" s="14" t="n">
        <v>7.5034</v>
      </c>
      <c r="N1906" s="14" t="n">
        <v>5.5121</v>
      </c>
      <c r="O1906" s="14" t="n">
        <v>144.94</v>
      </c>
      <c r="P1906" s="14" t="n">
        <v>10.3059</v>
      </c>
    </row>
    <row r="1907" customFormat="false" ht="15" hidden="false" customHeight="false" outlineLevel="0" collapsed="false">
      <c r="A1907" s="13" t="n">
        <v>45021</v>
      </c>
      <c r="B1907" s="14" t="n">
        <v>1310.05</v>
      </c>
      <c r="C1907" s="14" t="n">
        <v>10.4222</v>
      </c>
      <c r="D1907" s="14" t="n">
        <v>1.2469</v>
      </c>
      <c r="E1907" s="14" t="n">
        <v>1.0918</v>
      </c>
      <c r="F1907" s="14" t="n">
        <v>6.8781</v>
      </c>
      <c r="G1907" s="14" t="n">
        <v>5.038</v>
      </c>
      <c r="H1907" s="14" t="n">
        <v>131.11</v>
      </c>
      <c r="I1907" s="14" t="n">
        <v>1.094</v>
      </c>
      <c r="J1907" s="14" t="n">
        <v>11.399</v>
      </c>
      <c r="K1907" s="14" t="n">
        <v>1434.8</v>
      </c>
      <c r="L1907" s="14" t="n">
        <v>0.87685</v>
      </c>
      <c r="M1907" s="14" t="n">
        <v>7.5265</v>
      </c>
      <c r="N1907" s="14" t="n">
        <v>5.5497</v>
      </c>
      <c r="O1907" s="14" t="n">
        <v>143.74</v>
      </c>
      <c r="P1907" s="14" t="n">
        <v>10.4196</v>
      </c>
    </row>
    <row r="1908" customFormat="false" ht="15" hidden="false" customHeight="false" outlineLevel="0" collapsed="false">
      <c r="A1908" s="13" t="n">
        <v>45022</v>
      </c>
      <c r="B1908" s="14" t="n">
        <v>1319.1</v>
      </c>
      <c r="C1908" s="14" t="n">
        <v>10.4344</v>
      </c>
      <c r="D1908" s="14" t="n">
        <v>1.2456</v>
      </c>
      <c r="E1908" s="14" t="n">
        <v>1.0927</v>
      </c>
      <c r="F1908" s="14" t="n">
        <v>6.875</v>
      </c>
      <c r="G1908" s="14" t="n">
        <v>5.0644</v>
      </c>
      <c r="H1908" s="14" t="n">
        <v>131.67</v>
      </c>
      <c r="I1908" s="14" t="n">
        <v>1.0915</v>
      </c>
      <c r="J1908" s="14" t="n">
        <v>11.3855</v>
      </c>
      <c r="K1908" s="14" t="n">
        <v>1438.81</v>
      </c>
      <c r="L1908" s="14" t="n">
        <v>0.87495</v>
      </c>
      <c r="M1908" s="14" t="n">
        <v>7.5014</v>
      </c>
      <c r="N1908" s="14" t="n">
        <v>5.5096</v>
      </c>
      <c r="O1908" s="14" t="n">
        <v>143.49</v>
      </c>
    </row>
    <row r="1909" customFormat="false" ht="15" hidden="false" customHeight="false" outlineLevel="0" collapsed="false">
      <c r="A1909" s="13" t="n">
        <v>45023</v>
      </c>
      <c r="B1909" s="14" t="n">
        <v>1319.1</v>
      </c>
      <c r="C1909" s="14" t="n">
        <v>10.4344</v>
      </c>
      <c r="D1909" s="14" t="n">
        <v>1.2422</v>
      </c>
      <c r="E1909" s="14" t="n">
        <v>1.0913</v>
      </c>
      <c r="F1909" s="14" t="n">
        <v>6.875</v>
      </c>
      <c r="G1909" s="14" t="n">
        <v>5.0565</v>
      </c>
      <c r="H1909" s="14" t="n">
        <v>132.11</v>
      </c>
    </row>
    <row r="1910" customFormat="false" ht="15" hidden="false" customHeight="false" outlineLevel="0" collapsed="false">
      <c r="A1910" s="13" t="n">
        <v>45026</v>
      </c>
      <c r="B1910" s="14" t="n">
        <v>1319.09</v>
      </c>
      <c r="C1910" s="14" t="n">
        <v>10.5491</v>
      </c>
      <c r="D1910" s="14" t="n">
        <v>1.2358</v>
      </c>
      <c r="E1910" s="14" t="n">
        <v>1.084</v>
      </c>
      <c r="F1910" s="14" t="n">
        <v>6.8807</v>
      </c>
      <c r="G1910" s="14" t="n">
        <v>5.0832</v>
      </c>
      <c r="H1910" s="14" t="n">
        <v>133.75</v>
      </c>
    </row>
    <row r="1911" customFormat="false" ht="15" hidden="false" customHeight="false" outlineLevel="0" collapsed="false">
      <c r="A1911" s="13" t="n">
        <v>45027</v>
      </c>
      <c r="B1911" s="14" t="n">
        <v>1322.04</v>
      </c>
      <c r="C1911" s="14" t="n">
        <v>10.579</v>
      </c>
      <c r="D1911" s="14" t="n">
        <v>1.2409</v>
      </c>
      <c r="E1911" s="14" t="n">
        <v>1.0906</v>
      </c>
      <c r="F1911" s="14" t="n">
        <v>6.8866</v>
      </c>
      <c r="G1911" s="14" t="n">
        <v>5.0078</v>
      </c>
      <c r="H1911" s="14" t="n">
        <v>133.63</v>
      </c>
      <c r="I1911" s="14" t="n">
        <v>1.0905</v>
      </c>
      <c r="J1911" s="14" t="n">
        <v>11.5435</v>
      </c>
      <c r="K1911" s="14" t="n">
        <v>1441.82</v>
      </c>
      <c r="L1911" s="14" t="n">
        <v>0.87738</v>
      </c>
      <c r="M1911" s="14" t="n">
        <v>7.508</v>
      </c>
      <c r="N1911" s="14" t="n">
        <v>5.5072</v>
      </c>
      <c r="O1911" s="14" t="n">
        <v>145.28</v>
      </c>
      <c r="P1911" s="14" t="n">
        <v>10.5855</v>
      </c>
    </row>
    <row r="1912" customFormat="false" ht="15" hidden="false" customHeight="false" outlineLevel="0" collapsed="false">
      <c r="A1912" s="13" t="n">
        <v>45028</v>
      </c>
      <c r="B1912" s="14" t="n">
        <v>1325.34</v>
      </c>
      <c r="C1912" s="14" t="n">
        <v>10.4484</v>
      </c>
      <c r="D1912" s="14" t="n">
        <v>1.2471</v>
      </c>
      <c r="E1912" s="14" t="n">
        <v>1.0987</v>
      </c>
      <c r="F1912" s="14" t="n">
        <v>6.873</v>
      </c>
      <c r="G1912" s="14" t="n">
        <v>4.937</v>
      </c>
      <c r="H1912" s="14" t="n">
        <v>133.25</v>
      </c>
      <c r="I1912" s="14" t="n">
        <v>1.0922</v>
      </c>
      <c r="J1912" s="14" t="n">
        <v>11.4745</v>
      </c>
      <c r="K1912" s="14" t="n">
        <v>1448.1</v>
      </c>
      <c r="L1912" s="14" t="n">
        <v>0.88038</v>
      </c>
      <c r="M1912" s="14" t="n">
        <v>7.5183</v>
      </c>
      <c r="N1912" s="14" t="n">
        <v>5.4635</v>
      </c>
      <c r="O1912" s="14" t="n">
        <v>146.09</v>
      </c>
      <c r="P1912" s="14" t="n">
        <v>10.5059</v>
      </c>
    </row>
    <row r="1913" customFormat="false" ht="15" hidden="false" customHeight="false" outlineLevel="0" collapsed="false">
      <c r="A1913" s="13" t="n">
        <v>45029</v>
      </c>
      <c r="B1913" s="14" t="n">
        <v>1310.68</v>
      </c>
      <c r="C1913" s="14" t="n">
        <v>10.3057</v>
      </c>
      <c r="D1913" s="14" t="n">
        <v>1.2531</v>
      </c>
      <c r="E1913" s="14" t="n">
        <v>1.1054</v>
      </c>
      <c r="F1913" s="14" t="n">
        <v>6.8677</v>
      </c>
      <c r="G1913" s="14" t="n">
        <v>4.902</v>
      </c>
      <c r="H1913" s="14" t="n">
        <v>132.37</v>
      </c>
      <c r="I1913" s="14" t="n">
        <v>1.1015</v>
      </c>
      <c r="J1913" s="14" t="n">
        <v>11.457</v>
      </c>
      <c r="K1913" s="14" t="n">
        <v>1441.15</v>
      </c>
      <c r="L1913" s="14" t="n">
        <v>0.88058</v>
      </c>
      <c r="M1913" s="14" t="n">
        <v>7.5758</v>
      </c>
      <c r="N1913" s="14" t="n">
        <v>5.4117</v>
      </c>
      <c r="O1913" s="14" t="n">
        <v>146.81</v>
      </c>
      <c r="P1913" s="14" t="n">
        <v>10.4013</v>
      </c>
    </row>
    <row r="1914" customFormat="false" ht="15" hidden="false" customHeight="false" outlineLevel="0" collapsed="false">
      <c r="A1914" s="13" t="n">
        <v>45030</v>
      </c>
      <c r="B1914" s="14" t="n">
        <v>1299.12</v>
      </c>
      <c r="C1914" s="14" t="n">
        <v>10.3961</v>
      </c>
      <c r="D1914" s="14" t="n">
        <v>1.2417</v>
      </c>
      <c r="E1914" s="14" t="n">
        <v>1.098</v>
      </c>
      <c r="F1914" s="14" t="n">
        <v>6.869</v>
      </c>
      <c r="G1914" s="14" t="n">
        <v>4.9385</v>
      </c>
      <c r="H1914" s="14" t="n">
        <v>133.74</v>
      </c>
      <c r="I1914" s="14" t="n">
        <v>1.1057</v>
      </c>
      <c r="J1914" s="14" t="n">
        <v>11.402</v>
      </c>
      <c r="K1914" s="14" t="n">
        <v>1438.43</v>
      </c>
      <c r="L1914" s="14" t="n">
        <v>0.8844</v>
      </c>
      <c r="M1914" s="14" t="n">
        <v>7.5761</v>
      </c>
      <c r="N1914" s="14" t="n">
        <v>5.441</v>
      </c>
      <c r="O1914" s="14" t="n">
        <v>146.6</v>
      </c>
      <c r="P1914" s="14" t="n">
        <v>10.312</v>
      </c>
    </row>
    <row r="1915" customFormat="false" ht="15" hidden="false" customHeight="false" outlineLevel="0" collapsed="false">
      <c r="A1915" s="13" t="n">
        <v>45033</v>
      </c>
      <c r="B1915" s="14" t="n">
        <v>1311.36</v>
      </c>
      <c r="C1915" s="14" t="n">
        <v>10.4878</v>
      </c>
      <c r="D1915" s="14" t="n">
        <v>1.2359</v>
      </c>
      <c r="E1915" s="14" t="n">
        <v>1.0915</v>
      </c>
      <c r="F1915" s="14" t="n">
        <v>6.8786</v>
      </c>
      <c r="G1915" s="14" t="n">
        <v>4.945</v>
      </c>
      <c r="H1915" s="14" t="n">
        <v>134.51</v>
      </c>
      <c r="I1915" s="14" t="n">
        <v>1.0981</v>
      </c>
      <c r="J1915" s="14" t="n">
        <v>11.364</v>
      </c>
      <c r="K1915" s="14" t="n">
        <v>1444.13</v>
      </c>
      <c r="L1915" s="14" t="n">
        <v>0.88373</v>
      </c>
      <c r="M1915" s="14" t="n">
        <v>7.5433</v>
      </c>
      <c r="N1915" s="14" t="n">
        <v>5.3861</v>
      </c>
      <c r="O1915" s="14" t="n">
        <v>146.97</v>
      </c>
      <c r="P1915" s="14" t="n">
        <v>10.3488</v>
      </c>
    </row>
    <row r="1916" customFormat="false" ht="15" hidden="false" customHeight="false" outlineLevel="0" collapsed="false">
      <c r="A1916" s="13" t="n">
        <v>45034</v>
      </c>
      <c r="B1916" s="14" t="n">
        <v>1318.43</v>
      </c>
      <c r="C1916" s="14" t="n">
        <v>10.48</v>
      </c>
      <c r="D1916" s="14" t="n">
        <v>1.2419</v>
      </c>
      <c r="E1916" s="14" t="n">
        <v>1.0958</v>
      </c>
      <c r="F1916" s="14" t="n">
        <v>6.8755</v>
      </c>
      <c r="G1916" s="14" t="n">
        <v>4.9735</v>
      </c>
      <c r="H1916" s="14" t="n">
        <v>134.11</v>
      </c>
      <c r="I1916" s="14" t="n">
        <v>1.0972</v>
      </c>
      <c r="J1916" s="14" t="n">
        <v>11.4675</v>
      </c>
      <c r="K1916" s="14" t="n">
        <v>1445.35</v>
      </c>
      <c r="L1916" s="14" t="n">
        <v>0.88143</v>
      </c>
      <c r="M1916" s="14" t="n">
        <v>7.5436</v>
      </c>
      <c r="N1916" s="14" t="n">
        <v>5.3899</v>
      </c>
      <c r="O1916" s="14" t="n">
        <v>146.89</v>
      </c>
      <c r="P1916" s="14" t="n">
        <v>10.4516</v>
      </c>
    </row>
    <row r="1917" customFormat="false" ht="15" hidden="false" customHeight="false" outlineLevel="0" collapsed="false">
      <c r="A1917" s="13" t="n">
        <v>45035</v>
      </c>
      <c r="B1917" s="14" t="n">
        <v>1325.28</v>
      </c>
      <c r="C1917" s="14" t="n">
        <v>10.5786</v>
      </c>
      <c r="D1917" s="14" t="n">
        <v>1.2442</v>
      </c>
      <c r="E1917" s="14" t="n">
        <v>1.0953</v>
      </c>
      <c r="F1917" s="14" t="n">
        <v>6.8851</v>
      </c>
      <c r="G1917" s="14" t="n">
        <v>5.0511</v>
      </c>
      <c r="H1917" s="14" t="n">
        <v>134.79</v>
      </c>
      <c r="I1917" s="14" t="n">
        <v>1.0933</v>
      </c>
      <c r="J1917" s="14" t="n">
        <v>11.5335</v>
      </c>
      <c r="K1917" s="14" t="n">
        <v>1458.87</v>
      </c>
      <c r="L1917" s="14" t="n">
        <v>0.88108</v>
      </c>
      <c r="M1917" s="14" t="n">
        <v>7.5406</v>
      </c>
      <c r="N1917" s="14" t="n">
        <v>5.4843</v>
      </c>
      <c r="O1917" s="14" t="n">
        <v>147.24</v>
      </c>
      <c r="P1917" s="14" t="n">
        <v>10.5493</v>
      </c>
    </row>
    <row r="1918" customFormat="false" ht="15" hidden="false" customHeight="false" outlineLevel="0" collapsed="false">
      <c r="A1918" s="13" t="n">
        <v>45036</v>
      </c>
      <c r="B1918" s="14" t="n">
        <v>1323.28</v>
      </c>
      <c r="C1918" s="14" t="n">
        <v>10.5899</v>
      </c>
      <c r="D1918" s="14" t="n">
        <v>1.2448</v>
      </c>
      <c r="E1918" s="14" t="n">
        <v>1.097</v>
      </c>
      <c r="F1918" s="14" t="n">
        <v>6.8725</v>
      </c>
      <c r="G1918" s="14" t="n">
        <v>5.0422</v>
      </c>
      <c r="H1918" s="14" t="n">
        <v>134.1</v>
      </c>
      <c r="I1918" s="14" t="n">
        <v>1.0944</v>
      </c>
      <c r="J1918" s="14" t="n">
        <v>11.604</v>
      </c>
      <c r="K1918" s="14" t="n">
        <v>1450.34</v>
      </c>
      <c r="L1918" s="14" t="n">
        <v>0.88153</v>
      </c>
      <c r="M1918" s="14" t="n">
        <v>7.5298</v>
      </c>
      <c r="N1918" s="14" t="n">
        <v>5.5484</v>
      </c>
      <c r="O1918" s="14" t="n">
        <v>147.46</v>
      </c>
      <c r="P1918" s="14" t="n">
        <v>10.6031</v>
      </c>
    </row>
    <row r="1919" customFormat="false" ht="15" hidden="false" customHeight="false" outlineLevel="0" collapsed="false">
      <c r="A1919" s="13" t="n">
        <v>45037</v>
      </c>
      <c r="B1919" s="14" t="n">
        <v>1327.53</v>
      </c>
      <c r="C1919" s="14" t="n">
        <v>10.5971</v>
      </c>
      <c r="D1919" s="14" t="n">
        <v>1.2419</v>
      </c>
      <c r="E1919" s="14" t="n">
        <v>1.0973</v>
      </c>
      <c r="F1919" s="14" t="n">
        <v>6.892</v>
      </c>
      <c r="G1919" s="14" t="n">
        <v>5.0486</v>
      </c>
      <c r="H1919" s="14" t="n">
        <v>134.28</v>
      </c>
      <c r="I1919" s="14" t="n">
        <v>1.0978</v>
      </c>
      <c r="J1919" s="14" t="n">
        <v>11.6505</v>
      </c>
      <c r="K1919" s="14" t="n">
        <v>1458.64</v>
      </c>
      <c r="L1919" s="14" t="n">
        <v>0.8857</v>
      </c>
      <c r="M1919" s="14" t="n">
        <v>7.5619</v>
      </c>
      <c r="N1919" s="14" t="n">
        <v>5.5432</v>
      </c>
      <c r="O1919" s="14" t="n">
        <v>146.92</v>
      </c>
      <c r="P1919" s="14" t="n">
        <v>10.6126</v>
      </c>
    </row>
    <row r="1920" customFormat="false" ht="15" hidden="false" customHeight="false" outlineLevel="0" collapsed="false">
      <c r="A1920" s="13" t="n">
        <v>45040</v>
      </c>
      <c r="B1920" s="14" t="n">
        <v>1334.94</v>
      </c>
      <c r="C1920" s="14" t="n">
        <v>10.567</v>
      </c>
      <c r="D1920" s="14" t="n">
        <v>1.2457</v>
      </c>
      <c r="E1920" s="14" t="n">
        <v>1.1027</v>
      </c>
      <c r="F1920" s="14" t="n">
        <v>6.8958</v>
      </c>
      <c r="G1920" s="14" t="n">
        <v>5.0554</v>
      </c>
      <c r="H1920" s="14" t="n">
        <v>134.41</v>
      </c>
      <c r="I1920" s="14" t="n">
        <v>1.1002</v>
      </c>
      <c r="J1920" s="14" t="n">
        <v>11.647</v>
      </c>
      <c r="K1920" s="14" t="n">
        <v>1468.59</v>
      </c>
      <c r="L1920" s="14" t="n">
        <v>0.88463</v>
      </c>
      <c r="M1920" s="14" t="n">
        <v>7.5837</v>
      </c>
      <c r="N1920" s="14" t="n">
        <v>5.5788</v>
      </c>
      <c r="O1920" s="14" t="n">
        <v>148.17</v>
      </c>
      <c r="P1920" s="14" t="n">
        <v>10.5863</v>
      </c>
    </row>
    <row r="1921" customFormat="false" ht="15" hidden="false" customHeight="false" outlineLevel="0" collapsed="false">
      <c r="A1921" s="13" t="n">
        <v>45041</v>
      </c>
      <c r="B1921" s="14" t="n">
        <v>1331.93</v>
      </c>
      <c r="C1921" s="14" t="n">
        <v>10.6872</v>
      </c>
      <c r="D1921" s="14" t="n">
        <v>1.2398</v>
      </c>
      <c r="E1921" s="14" t="n">
        <v>1.0968</v>
      </c>
      <c r="F1921" s="14" t="n">
        <v>6.932</v>
      </c>
      <c r="G1921" s="14" t="n">
        <v>5.0618</v>
      </c>
      <c r="H1921" s="14" t="n">
        <v>133.96</v>
      </c>
      <c r="I1921" s="14" t="n">
        <v>1.1022</v>
      </c>
      <c r="J1921" s="14" t="n">
        <v>11.695</v>
      </c>
      <c r="K1921" s="14" t="n">
        <v>1475.7</v>
      </c>
      <c r="L1921" s="14" t="n">
        <v>0.88645</v>
      </c>
      <c r="M1921" s="14" t="n">
        <v>7.6289</v>
      </c>
      <c r="N1921" s="14" t="n">
        <v>5.5729</v>
      </c>
      <c r="O1921" s="14" t="n">
        <v>147.91</v>
      </c>
      <c r="P1921" s="14" t="n">
        <v>10.6106</v>
      </c>
    </row>
    <row r="1922" customFormat="false" ht="15" hidden="false" customHeight="false" outlineLevel="0" collapsed="false">
      <c r="A1922" s="13" t="n">
        <v>45042</v>
      </c>
      <c r="B1922" s="14" t="n">
        <v>1336.23</v>
      </c>
      <c r="C1922" s="14" t="n">
        <v>10.6203</v>
      </c>
      <c r="D1922" s="14" t="n">
        <v>1.2486</v>
      </c>
      <c r="E1922" s="14" t="n">
        <v>1.1052</v>
      </c>
      <c r="F1922" s="14" t="n">
        <v>6.9261</v>
      </c>
      <c r="G1922" s="14" t="n">
        <v>5.0487</v>
      </c>
      <c r="H1922" s="14" t="n">
        <v>133.72</v>
      </c>
      <c r="I1922" s="14" t="n">
        <v>1.1039</v>
      </c>
      <c r="J1922" s="14" t="n">
        <v>11.722</v>
      </c>
      <c r="K1922" s="14" t="n">
        <v>1476.66</v>
      </c>
      <c r="L1922" s="14" t="n">
        <v>0.8856</v>
      </c>
      <c r="M1922" s="14" t="n">
        <v>7.6424</v>
      </c>
      <c r="N1922" s="14" t="n">
        <v>5.5739</v>
      </c>
      <c r="O1922" s="14" t="n">
        <v>147.67</v>
      </c>
      <c r="P1922" s="14" t="n">
        <v>10.6187</v>
      </c>
    </row>
    <row r="1923" customFormat="false" ht="15" hidden="false" customHeight="false" outlineLevel="0" collapsed="false">
      <c r="A1923" s="13" t="n">
        <v>45043</v>
      </c>
      <c r="B1923" s="14" t="n">
        <v>1337.75</v>
      </c>
      <c r="C1923" s="14" t="n">
        <v>10.6486</v>
      </c>
      <c r="D1923" s="14" t="n">
        <v>1.2471</v>
      </c>
      <c r="E1923" s="14" t="n">
        <v>1.1017</v>
      </c>
      <c r="F1923" s="14" t="n">
        <v>6.922</v>
      </c>
      <c r="G1923" s="14" t="n">
        <v>5.0116</v>
      </c>
      <c r="H1923" s="14" t="n">
        <v>134.04</v>
      </c>
      <c r="I1923" s="14" t="n">
        <v>1.1042</v>
      </c>
      <c r="J1923" s="14" t="n">
        <v>11.714</v>
      </c>
      <c r="K1923" s="14" t="n">
        <v>1480.87</v>
      </c>
      <c r="L1923" s="14" t="n">
        <v>0.88428</v>
      </c>
      <c r="M1923" s="14" t="n">
        <v>7.6454</v>
      </c>
      <c r="N1923" s="14" t="n">
        <v>5.5532</v>
      </c>
      <c r="O1923" s="14" t="n">
        <v>147.16</v>
      </c>
      <c r="P1923" s="14" t="n">
        <v>10.6086</v>
      </c>
    </row>
    <row r="1924" customFormat="false" ht="15" hidden="false" customHeight="false" outlineLevel="0" collapsed="false">
      <c r="A1924" s="13" t="n">
        <v>45044</v>
      </c>
      <c r="B1924" s="14" t="n">
        <v>1338.41</v>
      </c>
      <c r="C1924" s="14" t="n">
        <v>10.644</v>
      </c>
      <c r="D1924" s="14" t="n">
        <v>1.2582</v>
      </c>
      <c r="E1924" s="14" t="n">
        <v>1.104</v>
      </c>
      <c r="F1924" s="14" t="n">
        <v>6.911</v>
      </c>
      <c r="G1924" s="14" t="n">
        <v>5.0049</v>
      </c>
      <c r="H1924" s="14" t="n">
        <v>135.99</v>
      </c>
      <c r="I1924" s="14" t="n">
        <v>1.0981</v>
      </c>
      <c r="J1924" s="14" t="n">
        <v>11.791</v>
      </c>
      <c r="K1924" s="14" t="n">
        <v>1470.89</v>
      </c>
      <c r="L1924" s="14" t="n">
        <v>0.8805</v>
      </c>
      <c r="M1924" s="14" t="n">
        <v>7.5979</v>
      </c>
      <c r="N1924" s="14" t="n">
        <v>5.4872</v>
      </c>
      <c r="O1924" s="14" t="n">
        <v>149.35</v>
      </c>
      <c r="P1924" s="14" t="n">
        <v>10.7376</v>
      </c>
    </row>
    <row r="1925" customFormat="false" ht="15" hidden="false" customHeight="false" outlineLevel="0" collapsed="false">
      <c r="A1925" s="13" t="n">
        <v>45047</v>
      </c>
      <c r="B1925" s="14" t="n">
        <v>1339.65</v>
      </c>
      <c r="C1925" s="14" t="n">
        <v>10.7417</v>
      </c>
      <c r="D1925" s="14" t="n">
        <v>1.2495</v>
      </c>
      <c r="E1925" s="14" t="n">
        <v>1.097</v>
      </c>
      <c r="F1925" s="14" t="n">
        <v>6.9164</v>
      </c>
      <c r="G1925" s="14" t="n">
        <v>4.9889</v>
      </c>
      <c r="H1925" s="14" t="n">
        <v>137.35</v>
      </c>
    </row>
    <row r="1926" customFormat="false" ht="15" hidden="false" customHeight="false" outlineLevel="0" collapsed="false">
      <c r="A1926" s="13" t="n">
        <v>45048</v>
      </c>
      <c r="B1926" s="14" t="n">
        <v>1341</v>
      </c>
      <c r="C1926" s="14" t="n">
        <v>10.8043</v>
      </c>
      <c r="D1926" s="14" t="n">
        <v>1.2475</v>
      </c>
      <c r="E1926" s="14" t="n">
        <v>1.0997</v>
      </c>
      <c r="F1926" s="14" t="n">
        <v>6.9164</v>
      </c>
      <c r="G1926" s="14" t="n">
        <v>5.041</v>
      </c>
      <c r="H1926" s="14" t="n">
        <v>136.46</v>
      </c>
      <c r="I1926" s="14" t="n">
        <v>1.0965</v>
      </c>
      <c r="J1926" s="14" t="n">
        <v>11.762</v>
      </c>
      <c r="K1926" s="14" t="n">
        <v>1470.32</v>
      </c>
      <c r="L1926" s="14" t="n">
        <v>0.87868</v>
      </c>
      <c r="M1926" s="14" t="n">
        <v>7.5791</v>
      </c>
      <c r="N1926" s="14" t="n">
        <v>5.4853</v>
      </c>
      <c r="O1926" s="14" t="n">
        <v>150.7</v>
      </c>
      <c r="P1926" s="14" t="n">
        <v>10.7269</v>
      </c>
    </row>
    <row r="1927" customFormat="false" ht="15" hidden="false" customHeight="false" outlineLevel="0" collapsed="false">
      <c r="A1927" s="13" t="n">
        <v>45049</v>
      </c>
      <c r="B1927" s="14" t="n">
        <v>1337.94</v>
      </c>
      <c r="C1927" s="14" t="n">
        <v>10.7685</v>
      </c>
      <c r="D1927" s="14" t="n">
        <v>1.2547</v>
      </c>
      <c r="E1927" s="14" t="n">
        <v>1.1049</v>
      </c>
      <c r="F1927" s="14" t="n">
        <v>6.9164</v>
      </c>
      <c r="G1927" s="14" t="n">
        <v>5.0133</v>
      </c>
      <c r="H1927" s="14" t="n">
        <v>135.31</v>
      </c>
      <c r="I1927" s="14" t="n">
        <v>1.1043</v>
      </c>
      <c r="J1927" s="14" t="n">
        <v>11.886</v>
      </c>
      <c r="K1927" s="14" t="n">
        <v>1472.7</v>
      </c>
      <c r="L1927" s="14" t="n">
        <v>0.88265</v>
      </c>
      <c r="M1927" s="14" t="n">
        <v>7.633</v>
      </c>
      <c r="N1927" s="14" t="n">
        <v>5.5521</v>
      </c>
      <c r="O1927" s="14" t="n">
        <v>149.66</v>
      </c>
      <c r="P1927" s="14" t="n">
        <v>10.7634</v>
      </c>
    </row>
    <row r="1928" customFormat="false" ht="15" hidden="false" customHeight="false" outlineLevel="0" collapsed="false">
      <c r="A1928" s="13" t="n">
        <v>45050</v>
      </c>
      <c r="B1928" s="14" t="n">
        <v>1322.21</v>
      </c>
      <c r="C1928" s="14" t="n">
        <v>10.7243</v>
      </c>
      <c r="D1928" s="14" t="n">
        <v>1.258</v>
      </c>
      <c r="E1928" s="14" t="n">
        <v>1.1009</v>
      </c>
      <c r="F1928" s="14" t="n">
        <v>6.9094</v>
      </c>
      <c r="G1928" s="14" t="n">
        <v>5.0196</v>
      </c>
      <c r="H1928" s="14" t="n">
        <v>133.76</v>
      </c>
      <c r="I1928" s="14" t="n">
        <v>1.1074</v>
      </c>
      <c r="J1928" s="14" t="n">
        <v>11.8282</v>
      </c>
      <c r="K1928" s="14" t="n">
        <v>1465.69</v>
      </c>
      <c r="L1928" s="14" t="n">
        <v>0.88015</v>
      </c>
      <c r="M1928" s="14" t="n">
        <v>7.6538</v>
      </c>
      <c r="N1928" s="14" t="n">
        <v>5.5194</v>
      </c>
      <c r="O1928" s="14" t="n">
        <v>148.92</v>
      </c>
      <c r="P1928" s="14" t="n">
        <v>10.6811</v>
      </c>
    </row>
    <row r="1929" customFormat="false" ht="15" hidden="false" customHeight="false" outlineLevel="0" collapsed="false">
      <c r="A1929" s="13" t="n">
        <v>45051</v>
      </c>
      <c r="B1929" s="14" t="n">
        <v>1318.38</v>
      </c>
      <c r="C1929" s="14" t="n">
        <v>10.5724</v>
      </c>
      <c r="D1929" s="14" t="n">
        <v>1.265</v>
      </c>
      <c r="E1929" s="14" t="n">
        <v>1.1026</v>
      </c>
      <c r="F1929" s="14" t="n">
        <v>6.9101</v>
      </c>
      <c r="G1929" s="14" t="n">
        <v>4.9534</v>
      </c>
      <c r="H1929" s="14" t="n">
        <v>134.85</v>
      </c>
      <c r="I1929" s="14" t="n">
        <v>1.1014</v>
      </c>
      <c r="J1929" s="14" t="n">
        <v>11.6895</v>
      </c>
      <c r="K1929" s="14" t="n">
        <v>1451.9</v>
      </c>
      <c r="L1929" s="14" t="n">
        <v>0.87378</v>
      </c>
      <c r="M1929" s="14" t="n">
        <v>7.6112</v>
      </c>
      <c r="N1929" s="14" t="n">
        <v>5.496</v>
      </c>
      <c r="O1929" s="14" t="n">
        <v>147.8</v>
      </c>
      <c r="P1929" s="14" t="n">
        <v>10.6133</v>
      </c>
    </row>
    <row r="1930" customFormat="false" ht="15" hidden="false" customHeight="false" outlineLevel="0" collapsed="false">
      <c r="A1930" s="13" t="n">
        <v>45054</v>
      </c>
      <c r="B1930" s="14" t="n">
        <v>1320.49</v>
      </c>
      <c r="C1930" s="14" t="n">
        <v>10.4843</v>
      </c>
      <c r="D1930" s="14" t="n">
        <v>1.2633</v>
      </c>
      <c r="E1930" s="14" t="n">
        <v>1.102</v>
      </c>
      <c r="F1930" s="14" t="n">
        <v>6.9125</v>
      </c>
      <c r="G1930" s="14" t="n">
        <v>4.9925</v>
      </c>
      <c r="H1930" s="14" t="n">
        <v>134.83</v>
      </c>
      <c r="I1930" s="14" t="n">
        <v>1.1037</v>
      </c>
      <c r="J1930" s="14" t="n">
        <v>11.5505</v>
      </c>
      <c r="K1930" s="14" t="n">
        <v>1458.26</v>
      </c>
      <c r="L1930" s="14" t="n">
        <v>0.87228</v>
      </c>
      <c r="M1930" s="14" t="n">
        <v>7.6347</v>
      </c>
      <c r="N1930" s="14" t="n">
        <v>5.4613</v>
      </c>
      <c r="O1930" s="14" t="n">
        <v>149.15</v>
      </c>
      <c r="P1930" s="14" t="n">
        <v>10.4653</v>
      </c>
    </row>
    <row r="1931" customFormat="false" ht="15" hidden="false" customHeight="false" outlineLevel="0" collapsed="false">
      <c r="A1931" s="13" t="n">
        <v>45055</v>
      </c>
      <c r="B1931" s="14" t="n">
        <v>1323.59</v>
      </c>
      <c r="C1931" s="14" t="n">
        <v>10.5854</v>
      </c>
      <c r="D1931" s="14" t="n">
        <v>1.2618</v>
      </c>
      <c r="E1931" s="14" t="n">
        <v>1.0953</v>
      </c>
      <c r="F1931" s="14" t="n">
        <v>6.9201</v>
      </c>
      <c r="G1931" s="14" t="n">
        <v>4.9838</v>
      </c>
      <c r="H1931" s="14" t="n">
        <v>135.15</v>
      </c>
      <c r="I1931" s="14" t="n">
        <v>1.0959</v>
      </c>
      <c r="J1931" s="14" t="n">
        <v>11.575</v>
      </c>
      <c r="K1931" s="14" t="n">
        <v>1451.9</v>
      </c>
      <c r="L1931" s="14" t="n">
        <v>0.8699</v>
      </c>
      <c r="M1931" s="14" t="n">
        <v>7.5853</v>
      </c>
      <c r="N1931" s="14" t="n">
        <v>5.4863</v>
      </c>
      <c r="O1931" s="14" t="n">
        <v>147.97</v>
      </c>
      <c r="P1931" s="14" t="n">
        <v>10.5621</v>
      </c>
    </row>
    <row r="1932" customFormat="false" ht="15" hidden="false" customHeight="false" outlineLevel="0" collapsed="false">
      <c r="A1932" s="13" t="n">
        <v>45056</v>
      </c>
      <c r="B1932" s="14" t="n">
        <v>1324.48</v>
      </c>
      <c r="C1932" s="14" t="n">
        <v>10.5075</v>
      </c>
      <c r="D1932" s="14" t="n">
        <v>1.2614</v>
      </c>
      <c r="E1932" s="14" t="n">
        <v>1.0966</v>
      </c>
      <c r="F1932" s="14" t="n">
        <v>6.9321</v>
      </c>
      <c r="G1932" s="14" t="n">
        <v>4.9559</v>
      </c>
      <c r="H1932" s="14" t="n">
        <v>134.52</v>
      </c>
      <c r="I1932" s="14" t="n">
        <v>1.095</v>
      </c>
      <c r="J1932" s="14" t="n">
        <v>11.5485</v>
      </c>
      <c r="K1932" s="14" t="n">
        <v>1449.79</v>
      </c>
      <c r="L1932" s="14" t="n">
        <v>0.86813</v>
      </c>
      <c r="M1932" s="14" t="n">
        <v>7.5818</v>
      </c>
      <c r="N1932" s="14" t="n">
        <v>5.4497</v>
      </c>
      <c r="O1932" s="14" t="n">
        <v>148.18</v>
      </c>
      <c r="P1932" s="14" t="n">
        <v>10.5466</v>
      </c>
    </row>
    <row r="1933" customFormat="false" ht="15" hidden="false" customHeight="false" outlineLevel="0" collapsed="false">
      <c r="A1933" s="13" t="n">
        <v>45057</v>
      </c>
      <c r="B1933" s="14" t="n">
        <v>1325.09</v>
      </c>
      <c r="C1933" s="14" t="n">
        <v>10.6612</v>
      </c>
      <c r="D1933" s="14" t="n">
        <v>1.2501</v>
      </c>
      <c r="E1933" s="14" t="n">
        <v>1.0916</v>
      </c>
      <c r="F1933" s="14" t="n">
        <v>6.948</v>
      </c>
      <c r="G1933" s="14" t="n">
        <v>4.958</v>
      </c>
      <c r="H1933" s="14" t="n">
        <v>134.46</v>
      </c>
      <c r="I1933" s="14" t="n">
        <v>1.093</v>
      </c>
      <c r="J1933" s="14" t="n">
        <v>11.518</v>
      </c>
      <c r="K1933" s="14" t="n">
        <v>1451.78</v>
      </c>
      <c r="L1933" s="14" t="n">
        <v>0.86795</v>
      </c>
      <c r="M1933" s="14" t="n">
        <v>7.5817</v>
      </c>
      <c r="N1933" s="14" t="n">
        <v>5.4218</v>
      </c>
      <c r="O1933" s="14" t="n">
        <v>146.54</v>
      </c>
      <c r="P1933" s="14" t="n">
        <v>10.538</v>
      </c>
    </row>
    <row r="1934" customFormat="false" ht="15" hidden="false" customHeight="false" outlineLevel="0" collapsed="false">
      <c r="A1934" s="13" t="n">
        <v>45058</v>
      </c>
      <c r="B1934" s="14" t="n">
        <v>1333.74</v>
      </c>
      <c r="C1934" s="14" t="n">
        <v>10.6915</v>
      </c>
      <c r="D1934" s="14" t="n">
        <v>1.2464</v>
      </c>
      <c r="E1934" s="14" t="n">
        <v>1.0856</v>
      </c>
      <c r="F1934" s="14" t="n">
        <v>6.9575</v>
      </c>
      <c r="G1934" s="14" t="n">
        <v>4.925</v>
      </c>
      <c r="H1934" s="14" t="n">
        <v>135.63</v>
      </c>
      <c r="I1934" s="14" t="n">
        <v>1.0892</v>
      </c>
      <c r="J1934" s="14" t="n">
        <v>11.631</v>
      </c>
      <c r="K1934" s="14" t="n">
        <v>1455.02</v>
      </c>
      <c r="L1934" s="14" t="n">
        <v>0.8702</v>
      </c>
      <c r="M1934" s="14" t="n">
        <v>7.5722</v>
      </c>
      <c r="N1934" s="14" t="n">
        <v>5.3844</v>
      </c>
      <c r="O1934" s="14" t="n">
        <v>147.02</v>
      </c>
      <c r="P1934" s="14" t="n">
        <v>10.6785</v>
      </c>
    </row>
    <row r="1935" customFormat="false" ht="15" hidden="false" customHeight="false" outlineLevel="0" collapsed="false">
      <c r="A1935" s="13" t="n">
        <v>45061</v>
      </c>
      <c r="B1935" s="14" t="n">
        <v>1336.13</v>
      </c>
      <c r="C1935" s="14" t="n">
        <v>10.6089</v>
      </c>
      <c r="D1935" s="14" t="n">
        <v>1.2526</v>
      </c>
      <c r="E1935" s="14" t="n">
        <v>1.0874</v>
      </c>
      <c r="F1935" s="14" t="n">
        <v>6.952</v>
      </c>
      <c r="G1935" s="14" t="n">
        <v>4.9056</v>
      </c>
      <c r="H1935" s="14" t="n">
        <v>136.07</v>
      </c>
      <c r="I1935" s="14" t="n">
        <v>1.0876</v>
      </c>
      <c r="J1935" s="14" t="n">
        <v>11.583</v>
      </c>
      <c r="K1935" s="14" t="n">
        <v>1453.79</v>
      </c>
      <c r="L1935" s="14" t="n">
        <v>0.86943</v>
      </c>
      <c r="M1935" s="14" t="n">
        <v>7.5621</v>
      </c>
      <c r="N1935" s="14" t="n">
        <v>5.3431</v>
      </c>
      <c r="O1935" s="14" t="n">
        <v>148.15</v>
      </c>
      <c r="P1935" s="14" t="n">
        <v>10.6501</v>
      </c>
    </row>
    <row r="1936" customFormat="false" ht="15" hidden="false" customHeight="false" outlineLevel="0" collapsed="false">
      <c r="A1936" s="13" t="n">
        <v>45062</v>
      </c>
      <c r="B1936" s="14" t="n">
        <v>1338.64</v>
      </c>
      <c r="C1936" s="14" t="n">
        <v>10.7171</v>
      </c>
      <c r="D1936" s="14" t="n">
        <v>1.2494</v>
      </c>
      <c r="E1936" s="14" t="n">
        <v>1.0866</v>
      </c>
      <c r="F1936" s="14" t="n">
        <v>6.9751</v>
      </c>
      <c r="G1936" s="14" t="n">
        <v>4.9139</v>
      </c>
      <c r="H1936" s="14" t="n">
        <v>136.62</v>
      </c>
      <c r="I1936" s="14" t="n">
        <v>1.0881</v>
      </c>
      <c r="J1936" s="14" t="n">
        <v>11.613</v>
      </c>
      <c r="K1936" s="14" t="n">
        <v>1458.78</v>
      </c>
      <c r="L1936" s="14" t="n">
        <v>0.86938</v>
      </c>
      <c r="M1936" s="14" t="n">
        <v>7.5793</v>
      </c>
      <c r="N1936" s="14" t="n">
        <v>5.334</v>
      </c>
      <c r="O1936" s="14" t="n">
        <v>147.89</v>
      </c>
      <c r="P1936" s="14" t="n">
        <v>10.6727</v>
      </c>
    </row>
    <row r="1937" customFormat="false" ht="15" hidden="false" customHeight="false" outlineLevel="0" collapsed="false">
      <c r="A1937" s="13" t="n">
        <v>45063</v>
      </c>
      <c r="B1937" s="14" t="n">
        <v>1337.29</v>
      </c>
      <c r="C1937" s="14" t="n">
        <v>10.8018</v>
      </c>
      <c r="D1937" s="14" t="n">
        <v>1.2475</v>
      </c>
      <c r="E1937" s="14" t="n">
        <v>1.083</v>
      </c>
      <c r="F1937" s="14" t="n">
        <v>6.9981</v>
      </c>
      <c r="G1937" s="14" t="n">
        <v>4.9416</v>
      </c>
      <c r="H1937" s="14" t="n">
        <v>137.51</v>
      </c>
      <c r="I1937" s="14" t="n">
        <v>1.0829</v>
      </c>
      <c r="J1937" s="14" t="n">
        <v>11.7295</v>
      </c>
      <c r="K1937" s="14" t="n">
        <v>1448.48</v>
      </c>
      <c r="L1937" s="14" t="n">
        <v>0.86895</v>
      </c>
      <c r="M1937" s="14" t="n">
        <v>7.5762</v>
      </c>
      <c r="N1937" s="14" t="n">
        <v>5.3728</v>
      </c>
      <c r="O1937" s="14" t="n">
        <v>148.31</v>
      </c>
    </row>
    <row r="1938" customFormat="false" ht="15" hidden="false" customHeight="false" outlineLevel="0" collapsed="false">
      <c r="A1938" s="13" t="n">
        <v>45064</v>
      </c>
      <c r="B1938" s="14" t="n">
        <v>1333.88</v>
      </c>
      <c r="C1938" s="14" t="n">
        <v>10.919</v>
      </c>
      <c r="D1938" s="14" t="n">
        <v>1.2424</v>
      </c>
      <c r="E1938" s="14" t="n">
        <v>1.0776</v>
      </c>
      <c r="F1938" s="14" t="n">
        <v>7.0355</v>
      </c>
      <c r="G1938" s="14" t="n">
        <v>4.9641</v>
      </c>
      <c r="H1938" s="14" t="n">
        <v>138.5</v>
      </c>
      <c r="I1938" s="14" t="n">
        <v>1.0813</v>
      </c>
      <c r="J1938" s="14" t="n">
        <v>11.737</v>
      </c>
      <c r="K1938" s="14" t="n">
        <v>1442.07</v>
      </c>
      <c r="L1938" s="14" t="n">
        <v>0.8689</v>
      </c>
      <c r="M1938" s="14" t="n">
        <v>7.5983</v>
      </c>
      <c r="N1938" s="14" t="n">
        <v>5.3612</v>
      </c>
      <c r="O1938" s="14" t="n">
        <v>149.08</v>
      </c>
    </row>
    <row r="1939" customFormat="false" ht="15" hidden="false" customHeight="false" outlineLevel="0" collapsed="false">
      <c r="A1939" s="13" t="n">
        <v>45065</v>
      </c>
      <c r="B1939" s="14" t="n">
        <v>1326.12</v>
      </c>
      <c r="C1939" s="14" t="n">
        <v>10.8464</v>
      </c>
      <c r="D1939" s="14" t="n">
        <v>1.2464</v>
      </c>
      <c r="E1939" s="14" t="n">
        <v>1.0819</v>
      </c>
      <c r="F1939" s="14" t="n">
        <v>7.006</v>
      </c>
      <c r="G1939" s="14" t="n">
        <v>4.9842</v>
      </c>
      <c r="H1939" s="14" t="n">
        <v>137.67</v>
      </c>
      <c r="I1939" s="14" t="n">
        <v>1.0808</v>
      </c>
      <c r="J1939" s="14" t="n">
        <v>11.701</v>
      </c>
      <c r="K1939" s="14" t="n">
        <v>1432.76</v>
      </c>
      <c r="L1939" s="14" t="n">
        <v>0.8684</v>
      </c>
      <c r="M1939" s="14" t="n">
        <v>7.5766</v>
      </c>
      <c r="N1939" s="14" t="n">
        <v>5.3554</v>
      </c>
      <c r="O1939" s="14" t="n">
        <v>149.55</v>
      </c>
      <c r="P1939" s="14" t="n">
        <v>10.8262</v>
      </c>
    </row>
    <row r="1940" customFormat="false" ht="15" hidden="false" customHeight="false" outlineLevel="0" collapsed="false">
      <c r="A1940" s="13" t="n">
        <v>45068</v>
      </c>
      <c r="B1940" s="14" t="n">
        <v>1317.77</v>
      </c>
      <c r="C1940" s="14" t="n">
        <v>10.9064</v>
      </c>
      <c r="D1940" s="14" t="n">
        <v>1.2425</v>
      </c>
      <c r="E1940" s="14" t="n">
        <v>1.0806</v>
      </c>
      <c r="F1940" s="14" t="n">
        <v>7.0351</v>
      </c>
      <c r="G1940" s="14" t="n">
        <v>4.9627</v>
      </c>
      <c r="H1940" s="14" t="n">
        <v>138.65</v>
      </c>
      <c r="I1940" s="14" t="n">
        <v>1.0822</v>
      </c>
      <c r="J1940" s="14" t="n">
        <v>11.7765</v>
      </c>
      <c r="K1940" s="14" t="n">
        <v>1423.76</v>
      </c>
      <c r="L1940" s="14" t="n">
        <v>0.86846</v>
      </c>
      <c r="M1940" s="14" t="n">
        <v>7.6067</v>
      </c>
      <c r="N1940" s="14" t="n">
        <v>5.4056</v>
      </c>
      <c r="O1940" s="14" t="n">
        <v>149.64</v>
      </c>
      <c r="P1940" s="14" t="n">
        <v>10.882</v>
      </c>
    </row>
    <row r="1941" customFormat="false" ht="15" hidden="false" customHeight="false" outlineLevel="0" collapsed="false">
      <c r="A1941" s="13" t="n">
        <v>45069</v>
      </c>
      <c r="B1941" s="14" t="n">
        <v>1312.01</v>
      </c>
      <c r="C1941" s="14" t="n">
        <v>10.9384</v>
      </c>
      <c r="D1941" s="14" t="n">
        <v>1.2423</v>
      </c>
      <c r="E1941" s="14" t="n">
        <v>1.0771</v>
      </c>
      <c r="F1941" s="14" t="n">
        <v>7.049</v>
      </c>
      <c r="G1941" s="14" t="n">
        <v>4.9535</v>
      </c>
      <c r="H1941" s="14" t="n">
        <v>138.74</v>
      </c>
      <c r="I1941" s="14" t="n">
        <v>1.0779</v>
      </c>
      <c r="J1941" s="14" t="n">
        <v>11.792</v>
      </c>
      <c r="K1941" s="14" t="n">
        <v>1422.75</v>
      </c>
      <c r="L1941" s="14" t="n">
        <v>0.86993</v>
      </c>
      <c r="M1941" s="14" t="n">
        <v>7.6039</v>
      </c>
      <c r="N1941" s="14" t="n">
        <v>5.3649</v>
      </c>
      <c r="O1941" s="14" t="n">
        <v>149.2</v>
      </c>
      <c r="P1941" s="14" t="n">
        <v>10.9398</v>
      </c>
    </row>
    <row r="1942" customFormat="false" ht="15" hidden="false" customHeight="false" outlineLevel="0" collapsed="false">
      <c r="A1942" s="13" t="n">
        <v>45070</v>
      </c>
      <c r="B1942" s="14" t="n">
        <v>1316.71</v>
      </c>
      <c r="C1942" s="14" t="n">
        <v>10.9635</v>
      </c>
      <c r="D1942" s="14" t="n">
        <v>1.2368</v>
      </c>
      <c r="E1942" s="14" t="n">
        <v>1.0758</v>
      </c>
      <c r="F1942" s="14" t="n">
        <v>7.0585</v>
      </c>
      <c r="G1942" s="14" t="n">
        <v>4.9427</v>
      </c>
      <c r="H1942" s="14" t="n">
        <v>139.14</v>
      </c>
      <c r="I1942" s="14" t="n">
        <v>1.0785</v>
      </c>
      <c r="J1942" s="14" t="n">
        <v>11.8175</v>
      </c>
      <c r="K1942" s="14" t="n">
        <v>1421.92</v>
      </c>
      <c r="L1942" s="14" t="n">
        <v>0.86993</v>
      </c>
      <c r="M1942" s="14" t="n">
        <v>7.6005</v>
      </c>
      <c r="N1942" s="14" t="n">
        <v>5.3397</v>
      </c>
      <c r="O1942" s="14" t="n">
        <v>149.3</v>
      </c>
      <c r="P1942" s="14" t="n">
        <v>10.9573</v>
      </c>
    </row>
    <row r="1943" customFormat="false" ht="15" hidden="false" customHeight="false" outlineLevel="0" collapsed="false">
      <c r="A1943" s="13" t="n">
        <v>45071</v>
      </c>
      <c r="B1943" s="14" t="n">
        <v>1325.9</v>
      </c>
      <c r="C1943" s="14" t="n">
        <v>11.0608</v>
      </c>
      <c r="D1943" s="14" t="n">
        <v>1.2325</v>
      </c>
      <c r="E1943" s="14" t="n">
        <v>1.0725</v>
      </c>
      <c r="F1943" s="14" t="n">
        <v>7.0775</v>
      </c>
      <c r="G1943" s="14" t="n">
        <v>5.0147</v>
      </c>
      <c r="H1943" s="14" t="n">
        <v>139.81</v>
      </c>
      <c r="I1943" s="14" t="n">
        <v>1.0735</v>
      </c>
      <c r="J1943" s="14" t="n">
        <v>11.7695</v>
      </c>
      <c r="K1943" s="14" t="n">
        <v>1424.3</v>
      </c>
      <c r="L1943" s="14" t="n">
        <v>0.86793</v>
      </c>
      <c r="M1943" s="14" t="n">
        <v>7.5891</v>
      </c>
      <c r="N1943" s="14" t="n">
        <v>5.332</v>
      </c>
      <c r="O1943" s="14" t="n">
        <v>149.63</v>
      </c>
      <c r="P1943" s="14" t="n">
        <v>10.9637</v>
      </c>
    </row>
    <row r="1944" customFormat="false" ht="15" hidden="false" customHeight="false" outlineLevel="0" collapsed="false">
      <c r="A1944" s="13" t="n">
        <v>45072</v>
      </c>
      <c r="B1944" s="14" t="n">
        <v>1324.4</v>
      </c>
      <c r="C1944" s="14" t="n">
        <v>11.0959</v>
      </c>
      <c r="D1944" s="14" t="n">
        <v>1.2342</v>
      </c>
      <c r="E1944" s="14" t="n">
        <v>1.0713</v>
      </c>
      <c r="F1944" s="14" t="n">
        <v>7.063</v>
      </c>
      <c r="G1944" s="14" t="n">
        <v>5.0035</v>
      </c>
      <c r="H1944" s="14" t="n">
        <v>140.53</v>
      </c>
      <c r="I1944" s="14" t="n">
        <v>1.0751</v>
      </c>
      <c r="J1944" s="14" t="n">
        <v>11.8218</v>
      </c>
      <c r="K1944" s="14" t="n">
        <v>1425.46</v>
      </c>
      <c r="L1944" s="14" t="n">
        <v>0.86813</v>
      </c>
      <c r="M1944" s="14" t="n">
        <v>7.5874</v>
      </c>
      <c r="N1944" s="14" t="n">
        <v>5.3878</v>
      </c>
      <c r="O1944" s="14" t="n">
        <v>150.24</v>
      </c>
      <c r="P1944" s="14" t="n">
        <v>10.996</v>
      </c>
    </row>
    <row r="1945" customFormat="false" ht="15" hidden="false" customHeight="false" outlineLevel="0" collapsed="false">
      <c r="A1945" s="13" t="n">
        <v>45075</v>
      </c>
      <c r="I1945" s="14" t="n">
        <v>1.0715</v>
      </c>
      <c r="J1945" s="14" t="n">
        <v>11.9175</v>
      </c>
      <c r="K1945" s="14" t="n">
        <v>1417.96</v>
      </c>
      <c r="L1945" s="14" t="n">
        <v>0.86805</v>
      </c>
      <c r="M1945" s="14" t="n">
        <v>7.582</v>
      </c>
      <c r="N1945" s="14" t="n">
        <v>5.346</v>
      </c>
      <c r="O1945" s="14" t="n">
        <v>150.29</v>
      </c>
    </row>
    <row r="1946" customFormat="false" ht="15" hidden="false" customHeight="false" outlineLevel="0" collapsed="false">
      <c r="A1946" s="13" t="n">
        <v>45076</v>
      </c>
      <c r="B1946" s="14" t="n">
        <v>1324.59</v>
      </c>
      <c r="C1946" s="14" t="n">
        <v>11.1973</v>
      </c>
      <c r="D1946" s="14" t="n">
        <v>1.2403</v>
      </c>
      <c r="E1946" s="14" t="n">
        <v>1.0722</v>
      </c>
      <c r="F1946" s="14" t="n">
        <v>7.0792</v>
      </c>
      <c r="G1946" s="14" t="n">
        <v>5.0614</v>
      </c>
      <c r="H1946" s="14" t="n">
        <v>139.83</v>
      </c>
      <c r="I1946" s="14" t="n">
        <v>1.0744</v>
      </c>
      <c r="J1946" s="14" t="n">
        <v>11.8745</v>
      </c>
      <c r="K1946" s="14" t="n">
        <v>1415.24</v>
      </c>
      <c r="L1946" s="14" t="n">
        <v>0.86365</v>
      </c>
      <c r="M1946" s="14" t="n">
        <v>7.599</v>
      </c>
      <c r="N1946" s="14" t="n">
        <v>5.3756</v>
      </c>
      <c r="O1946" s="14" t="n">
        <v>150.01</v>
      </c>
      <c r="P1946" s="14" t="n">
        <v>11.0522</v>
      </c>
    </row>
    <row r="1947" customFormat="false" ht="15" hidden="false" customHeight="false" outlineLevel="0" collapsed="false">
      <c r="A1947" s="13" t="n">
        <v>45077</v>
      </c>
      <c r="B1947" s="14" t="n">
        <v>1324.55</v>
      </c>
      <c r="C1947" s="14" t="n">
        <v>11.1685</v>
      </c>
      <c r="D1947" s="14" t="n">
        <v>1.2396</v>
      </c>
      <c r="E1947" s="14" t="n">
        <v>1.0654</v>
      </c>
      <c r="F1947" s="14" t="n">
        <v>7.11</v>
      </c>
      <c r="G1947" s="14" t="n">
        <v>5.1087</v>
      </c>
      <c r="H1947" s="14" t="n">
        <v>139.78</v>
      </c>
      <c r="I1947" s="14" t="n">
        <v>1.0683</v>
      </c>
      <c r="J1947" s="14" t="n">
        <v>12.0045</v>
      </c>
      <c r="K1947" s="14" t="n">
        <v>1416.29</v>
      </c>
      <c r="L1947" s="14" t="n">
        <v>0.86405</v>
      </c>
      <c r="M1947" s="14" t="n">
        <v>7.5926</v>
      </c>
      <c r="N1947" s="14" t="n">
        <v>5.4288</v>
      </c>
      <c r="O1947" s="14" t="n">
        <v>149.13</v>
      </c>
      <c r="P1947" s="14" t="n">
        <v>11.237</v>
      </c>
    </row>
    <row r="1948" customFormat="false" ht="15" hidden="false" customHeight="false" outlineLevel="0" collapsed="false">
      <c r="A1948" s="13" t="n">
        <v>45078</v>
      </c>
      <c r="B1948" s="14" t="n">
        <v>1321.35</v>
      </c>
      <c r="C1948" s="14" t="n">
        <v>11.0618</v>
      </c>
      <c r="D1948" s="14" t="n">
        <v>1.2536</v>
      </c>
      <c r="E1948" s="14" t="n">
        <v>1.0752</v>
      </c>
      <c r="F1948" s="14" t="n">
        <v>7.0934</v>
      </c>
      <c r="G1948" s="14" t="n">
        <v>5.0201</v>
      </c>
      <c r="H1948" s="14" t="n">
        <v>138.74</v>
      </c>
      <c r="I1948" s="14" t="n">
        <v>1.0697</v>
      </c>
      <c r="J1948" s="14" t="n">
        <v>11.967</v>
      </c>
      <c r="K1948" s="14" t="n">
        <v>1413.23</v>
      </c>
      <c r="L1948" s="14" t="n">
        <v>0.85823</v>
      </c>
      <c r="M1948" s="14" t="n">
        <v>7.6066</v>
      </c>
      <c r="N1948" s="14" t="n">
        <v>5.4032</v>
      </c>
      <c r="O1948" s="14" t="n">
        <v>149.25</v>
      </c>
      <c r="P1948" s="14" t="n">
        <v>11.1872</v>
      </c>
    </row>
    <row r="1949" customFormat="false" ht="15" hidden="false" customHeight="false" outlineLevel="0" collapsed="false">
      <c r="A1949" s="13" t="n">
        <v>45079</v>
      </c>
      <c r="B1949" s="14" t="n">
        <v>1305.21</v>
      </c>
      <c r="C1949" s="14" t="n">
        <v>11.0275</v>
      </c>
      <c r="D1949" s="14" t="n">
        <v>1.2468</v>
      </c>
      <c r="E1949" s="14" t="n">
        <v>1.0724</v>
      </c>
      <c r="F1949" s="14" t="n">
        <v>7.0827</v>
      </c>
      <c r="G1949" s="14" t="n">
        <v>4.9592</v>
      </c>
      <c r="H1949" s="14" t="n">
        <v>139.76</v>
      </c>
      <c r="I1949" s="14" t="n">
        <v>1.0763</v>
      </c>
      <c r="J1949" s="14" t="n">
        <v>11.845</v>
      </c>
      <c r="K1949" s="14" t="n">
        <v>1401.66</v>
      </c>
      <c r="L1949" s="14" t="n">
        <v>0.8593</v>
      </c>
      <c r="M1949" s="14" t="n">
        <v>7.6065</v>
      </c>
      <c r="N1949" s="14" t="n">
        <v>5.3752</v>
      </c>
      <c r="O1949" s="14" t="n">
        <v>149.46</v>
      </c>
      <c r="P1949" s="14" t="n">
        <v>11.0053</v>
      </c>
    </row>
    <row r="1950" customFormat="false" ht="15" hidden="false" customHeight="false" outlineLevel="0" collapsed="false">
      <c r="A1950" s="13" t="n">
        <v>45082</v>
      </c>
      <c r="B1950" s="14" t="n">
        <v>1308.16</v>
      </c>
      <c r="C1950" s="14" t="n">
        <v>11.0243</v>
      </c>
      <c r="D1950" s="14" t="n">
        <v>1.244</v>
      </c>
      <c r="E1950" s="14" t="n">
        <v>1.0721</v>
      </c>
      <c r="F1950" s="14" t="n">
        <v>7.105</v>
      </c>
      <c r="G1950" s="14" t="n">
        <v>4.9171</v>
      </c>
      <c r="H1950" s="14" t="n">
        <v>139.64</v>
      </c>
      <c r="I1950" s="14" t="n">
        <v>1.069</v>
      </c>
      <c r="J1950" s="14" t="n">
        <v>11.8275</v>
      </c>
      <c r="K1950" s="14" t="n">
        <v>1396.49</v>
      </c>
      <c r="L1950" s="14" t="n">
        <v>0.86323</v>
      </c>
      <c r="M1950" s="14" t="n">
        <v>7.6062</v>
      </c>
      <c r="N1950" s="14" t="n">
        <v>5.2959</v>
      </c>
      <c r="O1950" s="14" t="n">
        <v>149.96</v>
      </c>
      <c r="P1950" s="14" t="n">
        <v>11.0641</v>
      </c>
    </row>
    <row r="1951" customFormat="false" ht="15" hidden="false" customHeight="false" outlineLevel="0" collapsed="false">
      <c r="A1951" s="13" t="n">
        <v>45083</v>
      </c>
      <c r="B1951" s="14" t="n">
        <v>1297.93</v>
      </c>
      <c r="C1951" s="14" t="n">
        <v>11.0775</v>
      </c>
      <c r="D1951" s="14" t="n">
        <v>1.2418</v>
      </c>
      <c r="E1951" s="14" t="n">
        <v>1.0695</v>
      </c>
      <c r="F1951" s="14" t="n">
        <v>7.119</v>
      </c>
      <c r="G1951" s="14" t="n">
        <v>4.9108</v>
      </c>
      <c r="H1951" s="14" t="n">
        <v>139.67</v>
      </c>
      <c r="I1951" s="14" t="n">
        <v>1.0683</v>
      </c>
      <c r="J1951" s="14" t="n">
        <v>11.8775</v>
      </c>
      <c r="K1951" s="14" t="n">
        <v>1388.93</v>
      </c>
      <c r="L1951" s="14" t="n">
        <v>0.86103</v>
      </c>
      <c r="M1951" s="14" t="n">
        <v>7.604</v>
      </c>
      <c r="N1951" s="14" t="n">
        <v>5.2538</v>
      </c>
      <c r="O1951" s="14" t="n">
        <v>149.09</v>
      </c>
      <c r="P1951" s="14" t="n">
        <v>11.1181</v>
      </c>
    </row>
    <row r="1952" customFormat="false" ht="15" hidden="false" customHeight="false" outlineLevel="0" collapsed="false">
      <c r="A1952" s="13" t="n">
        <v>45084</v>
      </c>
      <c r="B1952" s="14" t="n">
        <v>1303.62</v>
      </c>
      <c r="C1952" s="14" t="n">
        <v>11.0376</v>
      </c>
      <c r="D1952" s="14" t="n">
        <v>1.2451</v>
      </c>
      <c r="E1952" s="14" t="n">
        <v>1.0702</v>
      </c>
      <c r="F1952" s="14" t="n">
        <v>7.1287</v>
      </c>
      <c r="G1952" s="14" t="n">
        <v>4.9082</v>
      </c>
      <c r="H1952" s="14" t="n">
        <v>139.98</v>
      </c>
      <c r="I1952" s="14" t="n">
        <v>1.0717</v>
      </c>
      <c r="J1952" s="14" t="n">
        <v>11.7975</v>
      </c>
      <c r="K1952" s="14" t="n">
        <v>1394.04</v>
      </c>
      <c r="L1952" s="14" t="n">
        <v>0.8597</v>
      </c>
      <c r="M1952" s="14" t="n">
        <v>7.6235</v>
      </c>
      <c r="N1952" s="14" t="n">
        <v>5.2607</v>
      </c>
      <c r="O1952" s="14" t="n">
        <v>149.42</v>
      </c>
      <c r="P1952" s="14" t="n">
        <v>11.0082</v>
      </c>
    </row>
    <row r="1953" customFormat="false" ht="15" hidden="false" customHeight="false" outlineLevel="0" collapsed="false">
      <c r="A1953" s="13" t="n">
        <v>45085</v>
      </c>
      <c r="B1953" s="14" t="n">
        <v>1304.26</v>
      </c>
      <c r="C1953" s="14" t="n">
        <v>10.9167</v>
      </c>
      <c r="D1953" s="14" t="n">
        <v>1.2547</v>
      </c>
      <c r="E1953" s="14" t="n">
        <v>1.078</v>
      </c>
      <c r="F1953" s="14" t="n">
        <v>7.1109</v>
      </c>
      <c r="G1953" s="14" t="n">
        <v>4.9235</v>
      </c>
      <c r="H1953" s="14" t="n">
        <v>138.83</v>
      </c>
      <c r="I1953" s="14" t="n">
        <v>1.0737</v>
      </c>
      <c r="J1953" s="14" t="n">
        <v>11.758</v>
      </c>
      <c r="K1953" s="14" t="n">
        <v>1399.86</v>
      </c>
      <c r="L1953" s="14" t="n">
        <v>0.86113</v>
      </c>
      <c r="M1953" s="14" t="n">
        <v>7.6541</v>
      </c>
      <c r="N1953" s="14" t="n">
        <v>5.2866</v>
      </c>
      <c r="O1953" s="14" t="n">
        <v>149.98</v>
      </c>
      <c r="P1953" s="14" t="n">
        <v>10.9509</v>
      </c>
    </row>
    <row r="1954" customFormat="false" ht="15" hidden="false" customHeight="false" outlineLevel="0" collapsed="false">
      <c r="A1954" s="13" t="n">
        <v>45086</v>
      </c>
      <c r="B1954" s="14" t="n">
        <v>1291.46</v>
      </c>
      <c r="C1954" s="14" t="n">
        <v>10.7597</v>
      </c>
      <c r="D1954" s="14" t="n">
        <v>1.2579</v>
      </c>
      <c r="E1954" s="14" t="n">
        <v>1.0749</v>
      </c>
      <c r="F1954" s="14" t="n">
        <v>7.1273</v>
      </c>
      <c r="G1954" s="14" t="n">
        <v>4.8846</v>
      </c>
      <c r="H1954" s="14" t="n">
        <v>139.35</v>
      </c>
      <c r="I1954" s="14" t="n">
        <v>1.078</v>
      </c>
      <c r="J1954" s="14" t="n">
        <v>11.612</v>
      </c>
      <c r="K1954" s="14" t="n">
        <v>1391.11</v>
      </c>
      <c r="L1954" s="14" t="n">
        <v>0.85795</v>
      </c>
      <c r="M1954" s="14" t="n">
        <v>7.6839</v>
      </c>
      <c r="N1954" s="14" t="n">
        <v>5.2965</v>
      </c>
      <c r="O1954" s="14" t="n">
        <v>150.24</v>
      </c>
      <c r="P1954" s="14" t="n">
        <v>10.7718</v>
      </c>
    </row>
    <row r="1955" customFormat="false" ht="15" hidden="false" customHeight="false" outlineLevel="0" collapsed="false">
      <c r="A1955" s="13" t="n">
        <v>45089</v>
      </c>
      <c r="B1955" s="14" t="n">
        <v>1288.61</v>
      </c>
      <c r="C1955" s="14" t="n">
        <v>10.8118</v>
      </c>
      <c r="D1955" s="14" t="n">
        <v>1.2489</v>
      </c>
      <c r="E1955" s="14" t="n">
        <v>1.0747</v>
      </c>
      <c r="F1955" s="14" t="n">
        <v>7.1437</v>
      </c>
      <c r="G1955" s="14" t="n">
        <v>4.8773</v>
      </c>
      <c r="H1955" s="14" t="n">
        <v>139.72</v>
      </c>
      <c r="I1955" s="14" t="n">
        <v>1.0765</v>
      </c>
      <c r="J1955" s="14" t="n">
        <v>11.634</v>
      </c>
      <c r="K1955" s="14" t="n">
        <v>1385.76</v>
      </c>
      <c r="L1955" s="14" t="n">
        <v>0.85678</v>
      </c>
      <c r="M1955" s="14" t="n">
        <v>7.6888</v>
      </c>
      <c r="N1955" s="14" t="n">
        <v>5.2549</v>
      </c>
      <c r="O1955" s="14" t="n">
        <v>150.03</v>
      </c>
      <c r="P1955" s="14" t="n">
        <v>10.8072</v>
      </c>
    </row>
    <row r="1956" customFormat="false" ht="15" hidden="false" customHeight="false" outlineLevel="0" collapsed="false">
      <c r="A1956" s="13" t="n">
        <v>45090</v>
      </c>
      <c r="B1956" s="14" t="n">
        <v>1271.48</v>
      </c>
      <c r="C1956" s="14" t="n">
        <v>10.6509</v>
      </c>
      <c r="D1956" s="14" t="n">
        <v>1.2611</v>
      </c>
      <c r="E1956" s="14" t="n">
        <v>1.0792</v>
      </c>
      <c r="F1956" s="14" t="n">
        <v>7.1585</v>
      </c>
      <c r="G1956" s="14" t="n">
        <v>4.8567</v>
      </c>
      <c r="H1956" s="14" t="n">
        <v>140</v>
      </c>
      <c r="I1956" s="14" t="n">
        <v>1.0793</v>
      </c>
      <c r="J1956" s="14" t="n">
        <v>11.6235</v>
      </c>
      <c r="K1956" s="14" t="n">
        <v>1373.73</v>
      </c>
      <c r="L1956" s="14" t="n">
        <v>0.8585</v>
      </c>
      <c r="M1956" s="14" t="n">
        <v>7.7167</v>
      </c>
      <c r="N1956" s="14" t="n">
        <v>5.2469</v>
      </c>
      <c r="O1956" s="14" t="n">
        <v>150.62</v>
      </c>
      <c r="P1956" s="14" t="n">
        <v>10.7695</v>
      </c>
    </row>
    <row r="1957" customFormat="false" ht="15" hidden="false" customHeight="false" outlineLevel="0" collapsed="false">
      <c r="A1957" s="13" t="n">
        <v>45091</v>
      </c>
      <c r="B1957" s="14" t="n">
        <v>1278.44</v>
      </c>
      <c r="C1957" s="14" t="n">
        <v>10.5558</v>
      </c>
      <c r="D1957" s="14" t="n">
        <v>1.2696</v>
      </c>
      <c r="E1957" s="14" t="n">
        <v>1.0859</v>
      </c>
      <c r="F1957" s="14" t="n">
        <v>7.148</v>
      </c>
      <c r="G1957" s="14" t="n">
        <v>4.8424</v>
      </c>
      <c r="H1957" s="14" t="n">
        <v>139.33</v>
      </c>
      <c r="I1957" s="14" t="n">
        <v>1.0809</v>
      </c>
      <c r="J1957" s="14" t="n">
        <v>11.476</v>
      </c>
      <c r="K1957" s="14" t="n">
        <v>1380.92</v>
      </c>
      <c r="L1957" s="14" t="n">
        <v>0.85455</v>
      </c>
      <c r="M1957" s="14" t="n">
        <v>7.7363</v>
      </c>
      <c r="N1957" s="14" t="n">
        <v>5.2489</v>
      </c>
      <c r="O1957" s="14" t="n">
        <v>151.21</v>
      </c>
      <c r="P1957" s="14" t="n">
        <v>10.6171</v>
      </c>
    </row>
    <row r="1958" customFormat="false" ht="15" hidden="false" customHeight="false" outlineLevel="0" collapsed="false">
      <c r="A1958" s="13" t="n">
        <v>45092</v>
      </c>
      <c r="B1958" s="14" t="n">
        <v>1279.99</v>
      </c>
      <c r="C1958" s="14" t="n">
        <v>10.5061</v>
      </c>
      <c r="D1958" s="14" t="n">
        <v>1.2762</v>
      </c>
      <c r="E1958" s="14" t="n">
        <v>1.0933</v>
      </c>
      <c r="F1958" s="14" t="n">
        <v>7.13</v>
      </c>
      <c r="G1958" s="14" t="n">
        <v>4.8111</v>
      </c>
      <c r="H1958" s="14" t="n">
        <v>140.49</v>
      </c>
      <c r="I1958" s="14" t="n">
        <v>1.0819</v>
      </c>
      <c r="J1958" s="14" t="n">
        <v>11.5025</v>
      </c>
      <c r="K1958" s="14" t="n">
        <v>1387.6</v>
      </c>
      <c r="L1958" s="14" t="n">
        <v>0.85555</v>
      </c>
      <c r="M1958" s="14" t="n">
        <v>7.7491</v>
      </c>
      <c r="N1958" s="14" t="n">
        <v>5.2244</v>
      </c>
      <c r="O1958" s="14" t="n">
        <v>152.86</v>
      </c>
      <c r="P1958" s="14" t="n">
        <v>10.6318</v>
      </c>
    </row>
    <row r="1959" customFormat="false" ht="15" hidden="false" customHeight="false" outlineLevel="0" collapsed="false">
      <c r="A1959" s="13" t="n">
        <v>45093</v>
      </c>
      <c r="B1959" s="14" t="n">
        <v>1272.68</v>
      </c>
      <c r="C1959" s="14" t="n">
        <v>10.5722</v>
      </c>
      <c r="D1959" s="14" t="n">
        <v>1.2815</v>
      </c>
      <c r="E1959" s="14" t="n">
        <v>1.0925</v>
      </c>
      <c r="F1959" s="14" t="n">
        <v>7.125</v>
      </c>
      <c r="G1959" s="14" t="n">
        <v>4.8309</v>
      </c>
      <c r="H1959" s="14" t="n">
        <v>141.82</v>
      </c>
      <c r="I1959" s="14" t="n">
        <v>1.0966</v>
      </c>
      <c r="J1959" s="14" t="n">
        <v>11.517</v>
      </c>
      <c r="K1959" s="14" t="n">
        <v>1397.67</v>
      </c>
      <c r="L1959" s="14" t="n">
        <v>0.85428</v>
      </c>
      <c r="M1959" s="14" t="n">
        <v>7.81</v>
      </c>
      <c r="N1959" s="14" t="n">
        <v>5.279</v>
      </c>
      <c r="O1959" s="14" t="n">
        <v>154.65</v>
      </c>
      <c r="P1959" s="14" t="n">
        <v>10.5025</v>
      </c>
    </row>
    <row r="1960" customFormat="false" ht="15" hidden="false" customHeight="false" outlineLevel="0" collapsed="false">
      <c r="A1960" s="13" t="n">
        <v>45096</v>
      </c>
      <c r="I1960" s="14" t="n">
        <v>1.0922</v>
      </c>
      <c r="J1960" s="14" t="n">
        <v>11.6335</v>
      </c>
      <c r="K1960" s="14" t="n">
        <v>1400.93</v>
      </c>
      <c r="L1960" s="14" t="n">
        <v>0.85268</v>
      </c>
      <c r="M1960" s="14" t="n">
        <v>7.8182</v>
      </c>
      <c r="N1960" s="14" t="n">
        <v>5.2588</v>
      </c>
      <c r="O1960" s="14" t="n">
        <v>154.94</v>
      </c>
      <c r="P1960" s="14" t="n">
        <v>10.6514</v>
      </c>
    </row>
    <row r="1961" customFormat="false" ht="15" hidden="false" customHeight="false" outlineLevel="0" collapsed="false">
      <c r="A1961" s="13" t="n">
        <v>45097</v>
      </c>
      <c r="B1961" s="14" t="n">
        <v>1280.21</v>
      </c>
      <c r="C1961" s="14" t="n">
        <v>10.7727</v>
      </c>
      <c r="D1961" s="14" t="n">
        <v>1.2732</v>
      </c>
      <c r="E1961" s="14" t="n">
        <v>1.09</v>
      </c>
      <c r="F1961" s="14" t="n">
        <v>7.1811</v>
      </c>
      <c r="G1961" s="14" t="n">
        <v>4.7959</v>
      </c>
      <c r="H1961" s="14" t="n">
        <v>141.46</v>
      </c>
      <c r="I1961" s="14" t="n">
        <v>1.0933</v>
      </c>
      <c r="J1961" s="14" t="n">
        <v>11.7155</v>
      </c>
      <c r="K1961" s="14" t="n">
        <v>1406.33</v>
      </c>
      <c r="L1961" s="14" t="n">
        <v>0.85705</v>
      </c>
      <c r="M1961" s="14" t="n">
        <v>7.8462</v>
      </c>
      <c r="N1961" s="14" t="n">
        <v>5.2376</v>
      </c>
      <c r="O1961" s="14" t="n">
        <v>154.51</v>
      </c>
      <c r="P1961" s="14" t="n">
        <v>10.7157</v>
      </c>
    </row>
    <row r="1962" customFormat="false" ht="15" hidden="false" customHeight="false" outlineLevel="0" collapsed="false">
      <c r="A1962" s="13" t="n">
        <v>45098</v>
      </c>
      <c r="B1962" s="14" t="n">
        <v>1291.78</v>
      </c>
      <c r="C1962" s="14" t="n">
        <v>10.6964</v>
      </c>
      <c r="D1962" s="14" t="n">
        <v>1.2737</v>
      </c>
      <c r="E1962" s="14" t="n">
        <v>1.0951</v>
      </c>
      <c r="F1962" s="14" t="n">
        <v>7.1779</v>
      </c>
      <c r="G1962" s="14" t="n">
        <v>4.764</v>
      </c>
      <c r="H1962" s="14" t="n">
        <v>142.09</v>
      </c>
      <c r="I1962" s="14" t="n">
        <v>1.0923</v>
      </c>
      <c r="J1962" s="14" t="n">
        <v>11.747</v>
      </c>
      <c r="K1962" s="14" t="n">
        <v>1413.88</v>
      </c>
      <c r="L1962" s="14" t="n">
        <v>0.85828</v>
      </c>
      <c r="M1962" s="14" t="n">
        <v>7.8519</v>
      </c>
      <c r="N1962" s="14" t="n">
        <v>5.2273</v>
      </c>
      <c r="O1962" s="14" t="n">
        <v>154.89</v>
      </c>
      <c r="P1962" s="14" t="n">
        <v>10.7544</v>
      </c>
    </row>
    <row r="1963" customFormat="false" ht="15" hidden="false" customHeight="false" outlineLevel="0" collapsed="false">
      <c r="A1963" s="13" t="n">
        <v>45099</v>
      </c>
      <c r="B1963" s="14" t="n">
        <v>1294.75</v>
      </c>
      <c r="C1963" s="14" t="n">
        <v>10.6341</v>
      </c>
      <c r="D1963" s="14" t="n">
        <v>1.275</v>
      </c>
      <c r="E1963" s="14" t="n">
        <v>1.0953</v>
      </c>
      <c r="F1963" s="14" t="n">
        <v>7.1777</v>
      </c>
      <c r="G1963" s="14" t="n">
        <v>4.7764</v>
      </c>
      <c r="H1963" s="14" t="n">
        <v>142.89</v>
      </c>
      <c r="I1963" s="14" t="n">
        <v>1.0985</v>
      </c>
      <c r="J1963" s="14" t="n">
        <v>11.599</v>
      </c>
      <c r="K1963" s="14" t="n">
        <v>1424.62</v>
      </c>
      <c r="L1963" s="14" t="n">
        <v>0.86115</v>
      </c>
      <c r="M1963" s="14" t="n">
        <v>7.8866</v>
      </c>
      <c r="N1963" s="14" t="n">
        <v>5.2331</v>
      </c>
      <c r="O1963" s="14" t="n">
        <v>156.05</v>
      </c>
      <c r="P1963" s="14" t="n">
        <v>10.5589</v>
      </c>
    </row>
    <row r="1964" customFormat="false" ht="15" hidden="false" customHeight="false" outlineLevel="0" collapsed="false">
      <c r="A1964" s="13" t="n">
        <v>45100</v>
      </c>
      <c r="B1964" s="14" t="n">
        <v>1304.19</v>
      </c>
      <c r="C1964" s="14" t="n">
        <v>10.8652</v>
      </c>
      <c r="D1964" s="14" t="n">
        <v>1.2701</v>
      </c>
      <c r="E1964" s="14" t="n">
        <v>1.0887</v>
      </c>
      <c r="F1964" s="14" t="n">
        <v>7.1777</v>
      </c>
      <c r="G1964" s="14" t="n">
        <v>4.7734</v>
      </c>
      <c r="H1964" s="14" t="n">
        <v>143.78</v>
      </c>
      <c r="I1964" s="14" t="n">
        <v>1.0884</v>
      </c>
      <c r="J1964" s="14" t="n">
        <v>11.8565</v>
      </c>
      <c r="K1964" s="14" t="n">
        <v>1425.92</v>
      </c>
      <c r="L1964" s="14" t="n">
        <v>0.85479</v>
      </c>
      <c r="M1964" s="14" t="n">
        <v>7.8141</v>
      </c>
      <c r="N1964" s="14" t="n">
        <v>5.2235</v>
      </c>
      <c r="O1964" s="14" t="n">
        <v>155.84</v>
      </c>
      <c r="P1964" s="14" t="n">
        <v>10.8935</v>
      </c>
    </row>
    <row r="1965" customFormat="false" ht="15" hidden="false" customHeight="false" outlineLevel="0" collapsed="false">
      <c r="A1965" s="13" t="n">
        <v>45103</v>
      </c>
      <c r="B1965" s="14" t="n">
        <v>1304.88</v>
      </c>
      <c r="C1965" s="14" t="n">
        <v>10.7118</v>
      </c>
      <c r="D1965" s="14" t="n">
        <v>1.2724</v>
      </c>
      <c r="E1965" s="14" t="n">
        <v>1.091</v>
      </c>
      <c r="F1965" s="14" t="n">
        <v>7.2364</v>
      </c>
      <c r="G1965" s="14" t="n">
        <v>4.77</v>
      </c>
      <c r="H1965" s="14" t="n">
        <v>143.55</v>
      </c>
      <c r="I1965" s="14" t="n">
        <v>1.0918</v>
      </c>
      <c r="J1965" s="14" t="n">
        <v>11.708</v>
      </c>
      <c r="K1965" s="14" t="n">
        <v>1425.57</v>
      </c>
      <c r="L1965" s="14" t="n">
        <v>0.85878</v>
      </c>
      <c r="M1965" s="14" t="n">
        <v>7.8972</v>
      </c>
      <c r="N1965" s="14" t="n">
        <v>5.2177</v>
      </c>
      <c r="O1965" s="14" t="n">
        <v>156.41</v>
      </c>
      <c r="P1965" s="14" t="n">
        <v>10.7236</v>
      </c>
    </row>
    <row r="1966" customFormat="false" ht="15" hidden="false" customHeight="false" outlineLevel="0" collapsed="false">
      <c r="A1966" s="13" t="n">
        <v>45104</v>
      </c>
      <c r="B1966" s="14" t="n">
        <v>1299.99</v>
      </c>
      <c r="C1966" s="14" t="n">
        <v>10.7558</v>
      </c>
      <c r="D1966" s="14" t="n">
        <v>1.2752</v>
      </c>
      <c r="E1966" s="14" t="n">
        <v>1.0961</v>
      </c>
      <c r="F1966" s="14" t="n">
        <v>7.2193</v>
      </c>
      <c r="G1966" s="14" t="n">
        <v>4.8042</v>
      </c>
      <c r="H1966" s="14" t="n">
        <v>144</v>
      </c>
      <c r="I1966" s="14" t="n">
        <v>1.0951</v>
      </c>
      <c r="J1966" s="14" t="n">
        <v>11.7563</v>
      </c>
      <c r="K1966" s="14" t="n">
        <v>1424.2</v>
      </c>
      <c r="L1966" s="14" t="n">
        <v>0.8599</v>
      </c>
      <c r="M1966" s="14" t="n">
        <v>7.8976</v>
      </c>
      <c r="N1966" s="14" t="n">
        <v>5.2311</v>
      </c>
      <c r="O1966" s="14" t="n">
        <v>157.14</v>
      </c>
      <c r="P1966" s="14" t="n">
        <v>10.7354</v>
      </c>
    </row>
    <row r="1967" customFormat="false" ht="15" hidden="false" customHeight="false" outlineLevel="0" collapsed="false">
      <c r="A1967" s="13" t="n">
        <v>45105</v>
      </c>
      <c r="B1967" s="14" t="n">
        <v>1307.76</v>
      </c>
      <c r="C1967" s="14" t="n">
        <v>10.7822</v>
      </c>
      <c r="D1967" s="14" t="n">
        <v>1.2637</v>
      </c>
      <c r="E1967" s="14" t="n">
        <v>1.0904</v>
      </c>
      <c r="F1967" s="14" t="n">
        <v>7.2436</v>
      </c>
      <c r="G1967" s="14" t="n">
        <v>4.8433</v>
      </c>
      <c r="H1967" s="14" t="n">
        <v>144.23</v>
      </c>
      <c r="I1967" s="14" t="n">
        <v>1.0938</v>
      </c>
      <c r="J1967" s="14" t="n">
        <v>11.8395</v>
      </c>
      <c r="K1967" s="14" t="n">
        <v>1434.33</v>
      </c>
      <c r="L1967" s="14" t="n">
        <v>0.8642</v>
      </c>
      <c r="M1967" s="14" t="n">
        <v>7.9262</v>
      </c>
      <c r="N1967" s="14" t="n">
        <v>5.294</v>
      </c>
      <c r="O1967" s="14" t="n">
        <v>157.82</v>
      </c>
      <c r="P1967" s="14" t="n">
        <v>10.8242</v>
      </c>
    </row>
    <row r="1968" customFormat="false" ht="15" hidden="false" customHeight="false" outlineLevel="0" collapsed="false">
      <c r="A1968" s="13" t="n">
        <v>45106</v>
      </c>
      <c r="B1968" s="14" t="n">
        <v>1317.73</v>
      </c>
      <c r="C1968" s="14" t="n">
        <v>10.7935</v>
      </c>
      <c r="D1968" s="14" t="n">
        <v>1.2617</v>
      </c>
      <c r="E1968" s="14" t="n">
        <v>1.0881</v>
      </c>
      <c r="F1968" s="14" t="n">
        <v>7.2515</v>
      </c>
      <c r="G1968" s="14" t="n">
        <v>4.8491</v>
      </c>
      <c r="H1968" s="14" t="n">
        <v>144.72</v>
      </c>
      <c r="I1968" s="14" t="n">
        <v>1.0938</v>
      </c>
      <c r="J1968" s="14" t="n">
        <v>11.7645</v>
      </c>
      <c r="K1968" s="14" t="n">
        <v>1438.77</v>
      </c>
      <c r="L1968" s="14" t="n">
        <v>0.864</v>
      </c>
      <c r="M1968" s="14" t="n">
        <v>7.914</v>
      </c>
      <c r="N1968" s="14" t="n">
        <v>5.3006</v>
      </c>
      <c r="O1968" s="14" t="n">
        <v>157.74</v>
      </c>
      <c r="P1968" s="14" t="n">
        <v>10.7556</v>
      </c>
    </row>
    <row r="1969" customFormat="false" ht="15" hidden="false" customHeight="false" outlineLevel="0" collapsed="false">
      <c r="A1969" s="13" t="n">
        <v>45107</v>
      </c>
      <c r="B1969" s="14" t="n">
        <v>1317.8</v>
      </c>
      <c r="C1969" s="14" t="n">
        <v>10.7108</v>
      </c>
      <c r="D1969" s="14" t="n">
        <v>1.2709</v>
      </c>
      <c r="E1969" s="14" t="n">
        <v>1.092</v>
      </c>
      <c r="F1969" s="14" t="n">
        <v>7.2513</v>
      </c>
      <c r="G1969" s="14" t="n">
        <v>4.8102</v>
      </c>
      <c r="H1969" s="14" t="n">
        <v>144.47</v>
      </c>
      <c r="I1969" s="14" t="n">
        <v>1.0866</v>
      </c>
      <c r="J1969" s="14" t="n">
        <v>11.704</v>
      </c>
      <c r="K1969" s="14" t="n">
        <v>1435.88</v>
      </c>
      <c r="L1969" s="14" t="n">
        <v>0.85828</v>
      </c>
      <c r="M1969" s="14" t="n">
        <v>7.8983</v>
      </c>
      <c r="N1969" s="14" t="n">
        <v>5.2788</v>
      </c>
      <c r="O1969" s="14" t="n">
        <v>157.16</v>
      </c>
      <c r="P1969" s="14" t="n">
        <v>10.7712</v>
      </c>
    </row>
    <row r="1970" customFormat="false" ht="15" hidden="false" customHeight="false" outlineLevel="0" collapsed="false">
      <c r="A1970" s="13" t="n">
        <v>45110</v>
      </c>
      <c r="B1970" s="14" t="n">
        <v>1308.37</v>
      </c>
      <c r="C1970" s="14" t="n">
        <v>10.6827</v>
      </c>
      <c r="D1970" s="14" t="n">
        <v>1.2695</v>
      </c>
      <c r="E1970" s="14" t="n">
        <v>1.0919</v>
      </c>
      <c r="F1970" s="14" t="n">
        <v>7.24</v>
      </c>
      <c r="G1970" s="14" t="n">
        <v>4.79</v>
      </c>
      <c r="H1970" s="14" t="n">
        <v>144.5</v>
      </c>
      <c r="I1970" s="14" t="n">
        <v>1.0899</v>
      </c>
      <c r="J1970" s="14" t="n">
        <v>11.6945</v>
      </c>
      <c r="K1970" s="14" t="n">
        <v>1425.74</v>
      </c>
      <c r="L1970" s="14" t="n">
        <v>0.8598</v>
      </c>
      <c r="M1970" s="14" t="n">
        <v>7.9007</v>
      </c>
      <c r="N1970" s="14" t="n">
        <v>5.2083</v>
      </c>
      <c r="O1970" s="14" t="n">
        <v>157.81</v>
      </c>
      <c r="P1970" s="14" t="n">
        <v>10.7299</v>
      </c>
    </row>
    <row r="1971" customFormat="false" ht="15" hidden="false" customHeight="false" outlineLevel="0" collapsed="false">
      <c r="A1971" s="13" t="n">
        <v>45111</v>
      </c>
      <c r="I1971" s="14" t="n">
        <v>1.0895</v>
      </c>
      <c r="J1971" s="14" t="n">
        <v>11.5958</v>
      </c>
      <c r="K1971" s="14" t="n">
        <v>1414.61</v>
      </c>
      <c r="L1971" s="14" t="n">
        <v>0.85673</v>
      </c>
      <c r="M1971" s="14" t="n">
        <v>7.8646</v>
      </c>
      <c r="N1971" s="14" t="n">
        <v>5.2293</v>
      </c>
      <c r="O1971" s="14" t="n">
        <v>157.34</v>
      </c>
      <c r="P1971" s="14" t="n">
        <v>10.6432</v>
      </c>
    </row>
    <row r="1972" customFormat="false" ht="15" hidden="false" customHeight="false" outlineLevel="0" collapsed="false">
      <c r="A1972" s="13" t="n">
        <v>45112</v>
      </c>
      <c r="B1972" s="14" t="n">
        <v>1298.74</v>
      </c>
      <c r="C1972" s="14" t="n">
        <v>10.6615</v>
      </c>
      <c r="D1972" s="14" t="n">
        <v>1.271</v>
      </c>
      <c r="E1972" s="14" t="n">
        <v>1.0868</v>
      </c>
      <c r="F1972" s="14" t="n">
        <v>7.2465</v>
      </c>
      <c r="G1972" s="14" t="n">
        <v>4.8574</v>
      </c>
      <c r="H1972" s="14" t="n">
        <v>144.56</v>
      </c>
      <c r="I1972" s="14" t="n">
        <v>1.0879</v>
      </c>
      <c r="J1972" s="14" t="n">
        <v>11.6455</v>
      </c>
      <c r="K1972" s="14" t="n">
        <v>1415.29</v>
      </c>
      <c r="L1972" s="14" t="n">
        <v>0.85685</v>
      </c>
      <c r="M1972" s="14" t="n">
        <v>7.8798</v>
      </c>
      <c r="N1972" s="14" t="n">
        <v>5.2933</v>
      </c>
      <c r="O1972" s="14" t="n">
        <v>157.26</v>
      </c>
      <c r="P1972" s="14" t="n">
        <v>10.7046</v>
      </c>
    </row>
    <row r="1973" customFormat="false" ht="15" hidden="false" customHeight="false" outlineLevel="0" collapsed="false">
      <c r="A1973" s="13" t="n">
        <v>45113</v>
      </c>
      <c r="B1973" s="14" t="n">
        <v>1300.85</v>
      </c>
      <c r="C1973" s="14" t="n">
        <v>10.7681</v>
      </c>
      <c r="D1973" s="14" t="n">
        <v>1.2721</v>
      </c>
      <c r="E1973" s="14" t="n">
        <v>1.0873</v>
      </c>
      <c r="F1973" s="14" t="n">
        <v>7.25</v>
      </c>
      <c r="G1973" s="14" t="n">
        <v>4.925</v>
      </c>
      <c r="H1973" s="14" t="n">
        <v>144.09</v>
      </c>
      <c r="I1973" s="14" t="n">
        <v>1.0899</v>
      </c>
      <c r="J1973" s="14" t="n">
        <v>11.637</v>
      </c>
      <c r="K1973" s="14" t="n">
        <v>1419.79</v>
      </c>
      <c r="L1973" s="14" t="n">
        <v>0.8531</v>
      </c>
      <c r="M1973" s="14" t="n">
        <v>7.882</v>
      </c>
      <c r="N1973" s="14" t="n">
        <v>5.2926</v>
      </c>
      <c r="O1973" s="14" t="n">
        <v>156.57</v>
      </c>
      <c r="P1973" s="14" t="n">
        <v>10.6771</v>
      </c>
    </row>
    <row r="1974" customFormat="false" ht="15" hidden="false" customHeight="false" outlineLevel="0" collapsed="false">
      <c r="A1974" s="13" t="n">
        <v>45114</v>
      </c>
      <c r="B1974" s="14" t="n">
        <v>1304.89</v>
      </c>
      <c r="C1974" s="14" t="n">
        <v>10.6093</v>
      </c>
      <c r="D1974" s="14" t="n">
        <v>1.2838</v>
      </c>
      <c r="E1974" s="14" t="n">
        <v>1.0964</v>
      </c>
      <c r="F1974" s="14" t="n">
        <v>7.2205</v>
      </c>
      <c r="G1974" s="14" t="n">
        <v>4.8622</v>
      </c>
      <c r="H1974" s="14" t="n">
        <v>142.21</v>
      </c>
      <c r="I1974" s="14" t="n">
        <v>1.0888</v>
      </c>
      <c r="J1974" s="14" t="n">
        <v>11.7085</v>
      </c>
      <c r="K1974" s="14" t="n">
        <v>1421.91</v>
      </c>
      <c r="L1974" s="14" t="n">
        <v>0.85298</v>
      </c>
      <c r="M1974" s="14" t="n">
        <v>7.8773</v>
      </c>
      <c r="N1974" s="14" t="n">
        <v>5.3527</v>
      </c>
      <c r="O1974" s="14" t="n">
        <v>156.01</v>
      </c>
      <c r="P1974" s="14" t="n">
        <v>10.7536</v>
      </c>
    </row>
    <row r="1975" customFormat="false" ht="15" hidden="false" customHeight="false" outlineLevel="0" collapsed="false">
      <c r="A1975" s="13" t="n">
        <v>45117</v>
      </c>
      <c r="B1975" s="14" t="n">
        <v>1306.45</v>
      </c>
      <c r="C1975" s="14" t="n">
        <v>10.511</v>
      </c>
      <c r="D1975" s="14" t="n">
        <v>1.2837</v>
      </c>
      <c r="E1975" s="14" t="n">
        <v>1.0991</v>
      </c>
      <c r="F1975" s="14" t="n">
        <v>7.2315</v>
      </c>
      <c r="G1975" s="14" t="n">
        <v>4.8652</v>
      </c>
      <c r="H1975" s="14" t="n">
        <v>141.56</v>
      </c>
      <c r="I1975" s="14" t="n">
        <v>1.0956</v>
      </c>
      <c r="J1975" s="14" t="n">
        <v>11.5635</v>
      </c>
      <c r="K1975" s="14" t="n">
        <v>1429.51</v>
      </c>
      <c r="L1975" s="14" t="n">
        <v>0.85733</v>
      </c>
      <c r="M1975" s="14" t="n">
        <v>7.9291</v>
      </c>
      <c r="N1975" s="14" t="n">
        <v>5.3246</v>
      </c>
      <c r="O1975" s="14" t="n">
        <v>155.73</v>
      </c>
      <c r="P1975" s="14" t="n">
        <v>10.5545</v>
      </c>
    </row>
    <row r="1976" customFormat="false" ht="15" hidden="false" customHeight="false" outlineLevel="0" collapsed="false">
      <c r="A1976" s="13" t="n">
        <v>45118</v>
      </c>
      <c r="B1976" s="14" t="n">
        <v>1293.64</v>
      </c>
      <c r="C1976" s="14" t="n">
        <v>10.3717</v>
      </c>
      <c r="D1976" s="14" t="n">
        <v>1.2901</v>
      </c>
      <c r="E1976" s="14" t="n">
        <v>1.0992</v>
      </c>
      <c r="F1976" s="14" t="n">
        <v>7.209</v>
      </c>
      <c r="G1976" s="14" t="n">
        <v>4.8823</v>
      </c>
      <c r="H1976" s="14" t="n">
        <v>140.51</v>
      </c>
      <c r="I1976" s="14" t="n">
        <v>1.0989</v>
      </c>
      <c r="J1976" s="14" t="n">
        <v>11.452</v>
      </c>
      <c r="K1976" s="14" t="n">
        <v>1422.26</v>
      </c>
      <c r="L1976" s="14" t="n">
        <v>0.8511</v>
      </c>
      <c r="M1976" s="14" t="n">
        <v>7.9143</v>
      </c>
      <c r="N1976" s="14" t="n">
        <v>5.3679</v>
      </c>
      <c r="O1976" s="14" t="n">
        <v>154.27</v>
      </c>
      <c r="P1976" s="14" t="n">
        <v>10.4213</v>
      </c>
    </row>
    <row r="1977" customFormat="false" ht="15" hidden="false" customHeight="false" outlineLevel="0" collapsed="false">
      <c r="A1977" s="13" t="n">
        <v>45119</v>
      </c>
      <c r="B1977" s="14" t="n">
        <v>1288.17</v>
      </c>
      <c r="C1977" s="14" t="n">
        <v>10.1108</v>
      </c>
      <c r="D1977" s="14" t="n">
        <v>1.2993</v>
      </c>
      <c r="E1977" s="14" t="n">
        <v>1.1123</v>
      </c>
      <c r="F1977" s="14" t="n">
        <v>7.1656</v>
      </c>
      <c r="G1977" s="14" t="n">
        <v>4.8148</v>
      </c>
      <c r="H1977" s="14" t="n">
        <v>138.21</v>
      </c>
      <c r="I1977" s="14" t="n">
        <v>1.1022</v>
      </c>
      <c r="J1977" s="14" t="n">
        <v>11.331</v>
      </c>
      <c r="K1977" s="14" t="n">
        <v>1420.8</v>
      </c>
      <c r="L1977" s="14" t="n">
        <v>0.85378</v>
      </c>
      <c r="M1977" s="14" t="n">
        <v>7.9274</v>
      </c>
      <c r="N1977" s="14" t="n">
        <v>5.3477</v>
      </c>
      <c r="O1977" s="14" t="n">
        <v>153.84</v>
      </c>
      <c r="P1977" s="14" t="n">
        <v>10.2803</v>
      </c>
    </row>
    <row r="1978" customFormat="false" ht="15" hidden="false" customHeight="false" outlineLevel="0" collapsed="false">
      <c r="A1978" s="13" t="n">
        <v>45120</v>
      </c>
      <c r="B1978" s="14" t="n">
        <v>1273.99</v>
      </c>
      <c r="C1978" s="14" t="n">
        <v>9.9999</v>
      </c>
      <c r="D1978" s="14" t="n">
        <v>1.3097</v>
      </c>
      <c r="E1978" s="14" t="n">
        <v>1.1194</v>
      </c>
      <c r="F1978" s="14" t="n">
        <v>7.15</v>
      </c>
      <c r="G1978" s="14" t="n">
        <v>4.8131</v>
      </c>
      <c r="H1978" s="14" t="n">
        <v>138.14</v>
      </c>
      <c r="I1978" s="14" t="n">
        <v>1.1182</v>
      </c>
      <c r="J1978" s="14" t="n">
        <v>11.248</v>
      </c>
      <c r="K1978" s="14" t="n">
        <v>1418.67</v>
      </c>
      <c r="L1978" s="14" t="n">
        <v>0.85553</v>
      </c>
      <c r="M1978" s="14" t="n">
        <v>8.0098</v>
      </c>
      <c r="N1978" s="14" t="n">
        <v>5.3747</v>
      </c>
      <c r="O1978" s="14" t="n">
        <v>154.84</v>
      </c>
      <c r="P1978" s="14" t="n">
        <v>10.059</v>
      </c>
    </row>
    <row r="1979" customFormat="false" ht="15" hidden="false" customHeight="false" outlineLevel="0" collapsed="false">
      <c r="A1979" s="13" t="n">
        <v>45121</v>
      </c>
      <c r="B1979" s="14" t="n">
        <v>1266.28</v>
      </c>
      <c r="C1979" s="14" t="n">
        <v>10.0119</v>
      </c>
      <c r="D1979" s="14" t="n">
        <v>1.3113</v>
      </c>
      <c r="E1979" s="14" t="n">
        <v>1.1237</v>
      </c>
      <c r="F1979" s="14" t="n">
        <v>7.1403</v>
      </c>
      <c r="G1979" s="14" t="n">
        <v>4.7988</v>
      </c>
      <c r="H1979" s="14" t="n">
        <v>138.74</v>
      </c>
      <c r="I1979" s="14" t="n">
        <v>1.1221</v>
      </c>
      <c r="J1979" s="14" t="n">
        <v>11.2105</v>
      </c>
      <c r="K1979" s="14" t="n">
        <v>1423.03</v>
      </c>
      <c r="L1979" s="14" t="n">
        <v>0.8559</v>
      </c>
      <c r="M1979" s="14" t="n">
        <v>8.0076</v>
      </c>
      <c r="N1979" s="14" t="n">
        <v>5.3847</v>
      </c>
      <c r="O1979" s="14" t="n">
        <v>155.51</v>
      </c>
      <c r="P1979" s="14" t="n">
        <v>9.9906</v>
      </c>
    </row>
    <row r="1980" customFormat="false" ht="15" hidden="false" customHeight="false" outlineLevel="0" collapsed="false">
      <c r="A1980" s="13" t="n">
        <v>45124</v>
      </c>
      <c r="B1980" s="14" t="n">
        <v>1267.02</v>
      </c>
      <c r="C1980" s="14" t="n">
        <v>10.0259</v>
      </c>
      <c r="D1980" s="14" t="n">
        <v>1.3078</v>
      </c>
      <c r="E1980" s="14" t="n">
        <v>1.1236</v>
      </c>
      <c r="F1980" s="14" t="n">
        <v>7.1711</v>
      </c>
      <c r="G1980" s="14" t="n">
        <v>4.8249</v>
      </c>
      <c r="H1980" s="14" t="n">
        <v>138.92</v>
      </c>
      <c r="I1980" s="14" t="n">
        <v>1.123</v>
      </c>
      <c r="J1980" s="14" t="n">
        <v>11.242</v>
      </c>
      <c r="K1980" s="14" t="n">
        <v>1421.92</v>
      </c>
      <c r="L1980" s="14" t="n">
        <v>0.85873</v>
      </c>
      <c r="M1980" s="14" t="n">
        <v>8.0457</v>
      </c>
      <c r="N1980" s="14" t="n">
        <v>5.396</v>
      </c>
      <c r="O1980" s="14" t="n">
        <v>155.38</v>
      </c>
      <c r="P1980" s="14" t="n">
        <v>10.0107</v>
      </c>
    </row>
    <row r="1981" customFormat="false" ht="15" hidden="false" customHeight="false" outlineLevel="0" collapsed="false">
      <c r="A1981" s="13" t="n">
        <v>45125</v>
      </c>
      <c r="B1981" s="14" t="n">
        <v>1260.87</v>
      </c>
      <c r="C1981" s="14" t="n">
        <v>10.0563</v>
      </c>
      <c r="D1981" s="14" t="n">
        <v>1.3054</v>
      </c>
      <c r="E1981" s="14" t="n">
        <v>1.1223</v>
      </c>
      <c r="F1981" s="14" t="n">
        <v>7.1786</v>
      </c>
      <c r="G1981" s="14" t="n">
        <v>4.7985</v>
      </c>
      <c r="H1981" s="14" t="n">
        <v>138.94</v>
      </c>
      <c r="I1981" s="14" t="n">
        <v>1.1255</v>
      </c>
      <c r="J1981" s="14" t="n">
        <v>11.3395</v>
      </c>
      <c r="K1981" s="14" t="n">
        <v>1419.52</v>
      </c>
      <c r="L1981" s="14" t="n">
        <v>0.85838</v>
      </c>
      <c r="M1981" s="14" t="n">
        <v>8.0745</v>
      </c>
      <c r="N1981" s="14" t="n">
        <v>5.4001</v>
      </c>
      <c r="O1981" s="14" t="n">
        <v>155.4</v>
      </c>
      <c r="P1981" s="14" t="n">
        <v>10.0751</v>
      </c>
    </row>
    <row r="1982" customFormat="false" ht="15" hidden="false" customHeight="false" outlineLevel="0" collapsed="false">
      <c r="A1982" s="13" t="n">
        <v>45126</v>
      </c>
      <c r="B1982" s="14" t="n">
        <v>1265.76</v>
      </c>
      <c r="C1982" s="14" t="n">
        <v>10.0533</v>
      </c>
      <c r="D1982" s="14" t="n">
        <v>1.2898</v>
      </c>
      <c r="E1982" s="14" t="n">
        <v>1.1195</v>
      </c>
      <c r="F1982" s="14" t="n">
        <v>7.226</v>
      </c>
      <c r="G1982" s="14" t="n">
        <v>4.8022</v>
      </c>
      <c r="H1982" s="14" t="n">
        <v>139.76</v>
      </c>
      <c r="I1982" s="14" t="n">
        <v>1.1222</v>
      </c>
      <c r="J1982" s="14" t="n">
        <v>11.266</v>
      </c>
      <c r="K1982" s="14" t="n">
        <v>1420.32</v>
      </c>
      <c r="L1982" s="14" t="n">
        <v>0.86918</v>
      </c>
      <c r="M1982" s="14" t="n">
        <v>8.1014</v>
      </c>
      <c r="N1982" s="14" t="n">
        <v>5.3996</v>
      </c>
      <c r="O1982" s="14" t="n">
        <v>156.76</v>
      </c>
      <c r="P1982" s="14" t="n">
        <v>10.0392</v>
      </c>
    </row>
    <row r="1983" customFormat="false" ht="15" hidden="false" customHeight="false" outlineLevel="0" collapsed="false">
      <c r="A1983" s="13" t="n">
        <v>45127</v>
      </c>
      <c r="B1983" s="14" t="n">
        <v>1269.26</v>
      </c>
      <c r="C1983" s="14" t="n">
        <v>10.0898</v>
      </c>
      <c r="D1983" s="14" t="n">
        <v>1.2849</v>
      </c>
      <c r="E1983" s="14" t="n">
        <v>1.1135</v>
      </c>
      <c r="F1983" s="14" t="n">
        <v>7.1761</v>
      </c>
      <c r="G1983" s="14" t="n">
        <v>4.8074</v>
      </c>
      <c r="H1983" s="14" t="n">
        <v>140.39</v>
      </c>
      <c r="I1983" s="14" t="n">
        <v>1.1197</v>
      </c>
      <c r="J1983" s="14" t="n">
        <v>11.1555</v>
      </c>
      <c r="K1983" s="14" t="n">
        <v>1423.23</v>
      </c>
      <c r="L1983" s="14" t="n">
        <v>0.8692</v>
      </c>
      <c r="M1983" s="14" t="n">
        <v>8.024</v>
      </c>
      <c r="N1983" s="14" t="n">
        <v>5.3665</v>
      </c>
      <c r="O1983" s="14" t="n">
        <v>156.35</v>
      </c>
      <c r="P1983" s="14" t="n">
        <v>9.9629</v>
      </c>
    </row>
    <row r="1984" customFormat="false" ht="15" hidden="false" customHeight="false" outlineLevel="0" collapsed="false">
      <c r="A1984" s="13" t="n">
        <v>45128</v>
      </c>
      <c r="B1984" s="14" t="n">
        <v>1283.71</v>
      </c>
      <c r="C1984" s="14" t="n">
        <v>10.0851</v>
      </c>
      <c r="D1984" s="14" t="n">
        <v>1.2854</v>
      </c>
      <c r="E1984" s="14" t="n">
        <v>1.112</v>
      </c>
      <c r="F1984" s="14" t="n">
        <v>7.1861</v>
      </c>
      <c r="G1984" s="14" t="n">
        <v>4.768</v>
      </c>
      <c r="H1984" s="14" t="n">
        <v>141.75</v>
      </c>
      <c r="I1984" s="14" t="n">
        <v>1.1123</v>
      </c>
      <c r="J1984" s="14" t="n">
        <v>11.1775</v>
      </c>
      <c r="K1984" s="14" t="n">
        <v>1429.52</v>
      </c>
      <c r="L1984" s="14" t="n">
        <v>0.86706</v>
      </c>
      <c r="M1984" s="14" t="n">
        <v>7.986</v>
      </c>
      <c r="N1984" s="14" t="n">
        <v>5.3437</v>
      </c>
      <c r="O1984" s="14" t="n">
        <v>157.63</v>
      </c>
      <c r="P1984" s="14" t="n">
        <v>10.049</v>
      </c>
    </row>
    <row r="1985" customFormat="false" ht="15" hidden="false" customHeight="false" outlineLevel="0" collapsed="false">
      <c r="A1985" s="13" t="n">
        <v>45131</v>
      </c>
      <c r="B1985" s="14" t="n">
        <v>1280.54</v>
      </c>
      <c r="C1985" s="14" t="n">
        <v>10.0565</v>
      </c>
      <c r="D1985" s="14" t="n">
        <v>1.2828</v>
      </c>
      <c r="E1985" s="14" t="n">
        <v>1.1083</v>
      </c>
      <c r="F1985" s="14" t="n">
        <v>7.1855</v>
      </c>
      <c r="G1985" s="14" t="n">
        <v>4.7309</v>
      </c>
      <c r="H1985" s="14" t="n">
        <v>141.19</v>
      </c>
      <c r="I1985" s="14" t="n">
        <v>1.1096</v>
      </c>
      <c r="J1985" s="14" t="n">
        <v>11.1925</v>
      </c>
      <c r="K1985" s="14" t="n">
        <v>1420.86</v>
      </c>
      <c r="L1985" s="14" t="n">
        <v>0.8635</v>
      </c>
      <c r="M1985" s="14" t="n">
        <v>7.9749</v>
      </c>
      <c r="N1985" s="14" t="n">
        <v>5.2981</v>
      </c>
      <c r="O1985" s="14" t="n">
        <v>156.47</v>
      </c>
      <c r="P1985" s="14" t="n">
        <v>10.087</v>
      </c>
    </row>
    <row r="1986" customFormat="false" ht="15" hidden="false" customHeight="false" outlineLevel="0" collapsed="false">
      <c r="A1986" s="13" t="n">
        <v>45132</v>
      </c>
      <c r="B1986" s="14" t="n">
        <v>1275.32</v>
      </c>
      <c r="C1986" s="14" t="n">
        <v>10.0693</v>
      </c>
      <c r="D1986" s="14" t="n">
        <v>1.2876</v>
      </c>
      <c r="E1986" s="14" t="n">
        <v>1.105</v>
      </c>
      <c r="F1986" s="14" t="n">
        <v>7.134</v>
      </c>
      <c r="G1986" s="14" t="n">
        <v>4.7442</v>
      </c>
      <c r="H1986" s="14" t="n">
        <v>140.91</v>
      </c>
      <c r="I1986" s="14" t="n">
        <v>1.1051</v>
      </c>
      <c r="J1986" s="14" t="n">
        <v>11.1605</v>
      </c>
      <c r="K1986" s="14" t="n">
        <v>1409.63</v>
      </c>
      <c r="L1986" s="14" t="n">
        <v>0.86148</v>
      </c>
      <c r="M1986" s="14" t="n">
        <v>7.8915</v>
      </c>
      <c r="N1986" s="14" t="n">
        <v>5.2178</v>
      </c>
      <c r="O1986" s="14" t="n">
        <v>156.18</v>
      </c>
      <c r="P1986" s="14" t="n">
        <v>10.0991</v>
      </c>
    </row>
    <row r="1987" customFormat="false" ht="15" hidden="false" customHeight="false" outlineLevel="0" collapsed="false">
      <c r="A1987" s="13" t="n">
        <v>45133</v>
      </c>
      <c r="B1987" s="14" t="n">
        <v>1274.04</v>
      </c>
      <c r="C1987" s="14" t="n">
        <v>10.1221</v>
      </c>
      <c r="D1987" s="14" t="n">
        <v>1.293</v>
      </c>
      <c r="E1987" s="14" t="n">
        <v>1.1078</v>
      </c>
      <c r="F1987" s="14" t="n">
        <v>7.1503</v>
      </c>
      <c r="G1987" s="14" t="n">
        <v>4.7355</v>
      </c>
      <c r="H1987" s="14" t="n">
        <v>140.41</v>
      </c>
      <c r="I1987" s="14" t="n">
        <v>1.1059</v>
      </c>
      <c r="J1987" s="14" t="n">
        <v>11.2</v>
      </c>
      <c r="K1987" s="14" t="n">
        <v>1410.55</v>
      </c>
      <c r="L1987" s="14" t="n">
        <v>0.85695</v>
      </c>
      <c r="M1987" s="14" t="n">
        <v>7.9109</v>
      </c>
      <c r="N1987" s="14" t="n">
        <v>5.2401</v>
      </c>
      <c r="O1987" s="14" t="n">
        <v>155.3</v>
      </c>
      <c r="P1987" s="14" t="n">
        <v>10.1275</v>
      </c>
    </row>
    <row r="1988" customFormat="false" ht="15" hidden="false" customHeight="false" outlineLevel="0" collapsed="false">
      <c r="A1988" s="13" t="n">
        <v>45134</v>
      </c>
      <c r="B1988" s="14" t="n">
        <v>1277.23</v>
      </c>
      <c r="C1988" s="14" t="n">
        <v>10.1242</v>
      </c>
      <c r="D1988" s="14" t="n">
        <v>1.287</v>
      </c>
      <c r="E1988" s="14" t="n">
        <v>1.0998</v>
      </c>
      <c r="F1988" s="14" t="n">
        <v>7.173</v>
      </c>
      <c r="G1988" s="14" t="n">
        <v>4.7179</v>
      </c>
      <c r="H1988" s="14" t="n">
        <v>141.03</v>
      </c>
      <c r="I1988" s="14" t="n">
        <v>1.1125</v>
      </c>
      <c r="J1988" s="14" t="n">
        <v>11.1275</v>
      </c>
      <c r="K1988" s="14" t="n">
        <v>1422.98</v>
      </c>
      <c r="L1988" s="14" t="n">
        <v>0.85885</v>
      </c>
      <c r="M1988" s="14" t="n">
        <v>7.951</v>
      </c>
      <c r="N1988" s="14" t="n">
        <v>5.2667</v>
      </c>
      <c r="O1988" s="14" t="n">
        <v>155.95</v>
      </c>
      <c r="P1988" s="14" t="n">
        <v>10.0022</v>
      </c>
    </row>
    <row r="1989" customFormat="false" ht="15" hidden="false" customHeight="false" outlineLevel="0" collapsed="false">
      <c r="A1989" s="13" t="n">
        <v>45135</v>
      </c>
      <c r="B1989" s="14" t="n">
        <v>1276.69</v>
      </c>
      <c r="C1989" s="14" t="n">
        <v>10.1558</v>
      </c>
      <c r="D1989" s="14" t="n">
        <v>1.287</v>
      </c>
      <c r="E1989" s="14" t="n">
        <v>1.1039</v>
      </c>
      <c r="F1989" s="14" t="n">
        <v>7.1488</v>
      </c>
      <c r="G1989" s="14" t="n">
        <v>4.7306</v>
      </c>
      <c r="H1989" s="14" t="n">
        <v>140.72</v>
      </c>
      <c r="I1989" s="14" t="n">
        <v>1.101</v>
      </c>
      <c r="J1989" s="14" t="n">
        <v>11.168</v>
      </c>
      <c r="K1989" s="14" t="n">
        <v>1406.73</v>
      </c>
      <c r="L1989" s="14" t="n">
        <v>0.8556</v>
      </c>
      <c r="M1989" s="14" t="n">
        <v>7.8799</v>
      </c>
      <c r="N1989" s="14" t="n">
        <v>5.1996</v>
      </c>
      <c r="O1989" s="14" t="n">
        <v>153.35</v>
      </c>
      <c r="P1989" s="14" t="n">
        <v>10.1435</v>
      </c>
    </row>
    <row r="1990" customFormat="false" ht="15" hidden="false" customHeight="false" outlineLevel="0" collapsed="false">
      <c r="A1990" s="13" t="n">
        <v>45138</v>
      </c>
      <c r="B1990" s="14" t="n">
        <v>1273.85</v>
      </c>
      <c r="C1990" s="14" t="n">
        <v>10.1113</v>
      </c>
      <c r="D1990" s="14" t="n">
        <v>1.2857</v>
      </c>
      <c r="E1990" s="14" t="n">
        <v>1.102</v>
      </c>
      <c r="F1990" s="14" t="n">
        <v>7.1426</v>
      </c>
      <c r="G1990" s="14" t="n">
        <v>4.7407</v>
      </c>
      <c r="H1990" s="14" t="n">
        <v>142.18</v>
      </c>
      <c r="I1990" s="14" t="n">
        <v>1.1023</v>
      </c>
      <c r="J1990" s="14" t="n">
        <v>11.1805</v>
      </c>
      <c r="K1990" s="14" t="n">
        <v>1405.49</v>
      </c>
      <c r="L1990" s="14" t="n">
        <v>0.85765</v>
      </c>
      <c r="M1990" s="14" t="n">
        <v>7.8808</v>
      </c>
      <c r="N1990" s="14" t="n">
        <v>5.2031</v>
      </c>
      <c r="O1990" s="14" t="n">
        <v>156.73</v>
      </c>
      <c r="P1990" s="14" t="n">
        <v>10.1429</v>
      </c>
    </row>
    <row r="1991" customFormat="false" ht="15" hidden="false" customHeight="false" outlineLevel="0" collapsed="false">
      <c r="A1991" s="13" t="n">
        <v>45139</v>
      </c>
      <c r="B1991" s="14" t="n">
        <v>1283.84</v>
      </c>
      <c r="C1991" s="14" t="n">
        <v>10.2211</v>
      </c>
      <c r="D1991" s="14" t="n">
        <v>1.275</v>
      </c>
      <c r="E1991" s="14" t="n">
        <v>1.0971</v>
      </c>
      <c r="F1991" s="14" t="n">
        <v>7.1775</v>
      </c>
      <c r="G1991" s="14" t="n">
        <v>4.7824</v>
      </c>
      <c r="H1991" s="14" t="n">
        <v>143.34</v>
      </c>
      <c r="I1991" s="14" t="n">
        <v>1.097</v>
      </c>
      <c r="J1991" s="14" t="n">
        <v>11.211</v>
      </c>
      <c r="K1991" s="14" t="n">
        <v>1413.56</v>
      </c>
      <c r="L1991" s="14" t="n">
        <v>0.85865</v>
      </c>
      <c r="M1991" s="14" t="n">
        <v>7.862</v>
      </c>
      <c r="N1991" s="14" t="n">
        <v>5.2148</v>
      </c>
      <c r="O1991" s="14" t="n">
        <v>156.85</v>
      </c>
      <c r="P1991" s="14" t="n">
        <v>10.2197</v>
      </c>
    </row>
    <row r="1992" customFormat="false" ht="15" hidden="false" customHeight="false" outlineLevel="0" collapsed="false">
      <c r="A1992" s="13" t="n">
        <v>45140</v>
      </c>
      <c r="B1992" s="14" t="n">
        <v>1297.66</v>
      </c>
      <c r="C1992" s="14" t="n">
        <v>10.2818</v>
      </c>
      <c r="D1992" s="14" t="n">
        <v>1.2712</v>
      </c>
      <c r="E1992" s="14" t="n">
        <v>1.0939</v>
      </c>
      <c r="F1992" s="14" t="n">
        <v>7.192</v>
      </c>
      <c r="G1992" s="14" t="n">
        <v>4.814</v>
      </c>
      <c r="H1992" s="14" t="n">
        <v>143.21</v>
      </c>
      <c r="I1992" s="14" t="n">
        <v>1.0985</v>
      </c>
      <c r="J1992" s="14" t="n">
        <v>11.1615</v>
      </c>
      <c r="K1992" s="14" t="n">
        <v>1422.77</v>
      </c>
      <c r="L1992" s="14" t="n">
        <v>0.86038</v>
      </c>
      <c r="M1992" s="14" t="n">
        <v>7.8829</v>
      </c>
      <c r="N1992" s="14" t="n">
        <v>5.2561</v>
      </c>
      <c r="O1992" s="14" t="n">
        <v>156.88</v>
      </c>
      <c r="P1992" s="14" t="n">
        <v>10.1607</v>
      </c>
    </row>
    <row r="1993" customFormat="false" ht="15" hidden="false" customHeight="false" outlineLevel="0" collapsed="false">
      <c r="A1993" s="13" t="n">
        <v>45141</v>
      </c>
      <c r="B1993" s="14" t="n">
        <v>1298.54</v>
      </c>
      <c r="C1993" s="14" t="n">
        <v>10.2361</v>
      </c>
      <c r="D1993" s="14" t="n">
        <v>1.2709</v>
      </c>
      <c r="E1993" s="14" t="n">
        <v>1.0947</v>
      </c>
      <c r="F1993" s="14" t="n">
        <v>7.1651</v>
      </c>
      <c r="G1993" s="14" t="n">
        <v>4.882</v>
      </c>
      <c r="H1993" s="14" t="n">
        <v>142.42</v>
      </c>
      <c r="I1993" s="14" t="n">
        <v>1.0932</v>
      </c>
      <c r="J1993" s="14" t="n">
        <v>11.2765</v>
      </c>
      <c r="K1993" s="14" t="n">
        <v>1422.79</v>
      </c>
      <c r="L1993" s="14" t="n">
        <v>0.86468</v>
      </c>
      <c r="M1993" s="14" t="n">
        <v>7.8397</v>
      </c>
      <c r="N1993" s="14" t="n">
        <v>5.2996</v>
      </c>
      <c r="O1993" s="14" t="n">
        <v>156.24</v>
      </c>
      <c r="P1993" s="14" t="n">
        <v>10.3151</v>
      </c>
    </row>
    <row r="1994" customFormat="false" ht="15" hidden="false" customHeight="false" outlineLevel="0" collapsed="false">
      <c r="A1994" s="13" t="n">
        <v>45142</v>
      </c>
      <c r="B1994" s="14" t="n">
        <v>1309.49</v>
      </c>
      <c r="C1994" s="14" t="n">
        <v>10.1015</v>
      </c>
      <c r="D1994" s="14" t="n">
        <v>1.2775</v>
      </c>
      <c r="E1994" s="14" t="n">
        <v>1.1036</v>
      </c>
      <c r="F1994" s="14" t="n">
        <v>7.1709</v>
      </c>
      <c r="G1994" s="14" t="n">
        <v>4.8548</v>
      </c>
      <c r="H1994" s="14" t="n">
        <v>141.79</v>
      </c>
      <c r="I1994" s="14" t="n">
        <v>1.0946</v>
      </c>
      <c r="J1994" s="14" t="n">
        <v>11.1858</v>
      </c>
      <c r="K1994" s="14" t="n">
        <v>1435.4</v>
      </c>
      <c r="L1994" s="14" t="n">
        <v>0.86193</v>
      </c>
      <c r="M1994" s="14" t="n">
        <v>7.8661</v>
      </c>
      <c r="N1994" s="14" t="n">
        <v>5.3729</v>
      </c>
      <c r="O1994" s="14" t="n">
        <v>156.11</v>
      </c>
      <c r="P1994" s="14" t="n">
        <v>10.2191</v>
      </c>
    </row>
    <row r="1995" customFormat="false" ht="15" hidden="false" customHeight="false" outlineLevel="0" collapsed="false">
      <c r="A1995" s="13" t="n">
        <v>45145</v>
      </c>
      <c r="B1995" s="14" t="n">
        <v>1305.94</v>
      </c>
      <c r="C1995" s="14" t="n">
        <v>10.1629</v>
      </c>
      <c r="D1995" s="14" t="n">
        <v>1.2769</v>
      </c>
      <c r="E1995" s="14" t="n">
        <v>1.1</v>
      </c>
      <c r="F1995" s="14" t="n">
        <v>7.1895</v>
      </c>
      <c r="G1995" s="14" t="n">
        <v>4.8971</v>
      </c>
      <c r="H1995" s="14" t="n">
        <v>142.45</v>
      </c>
      <c r="I1995" s="14" t="n">
        <v>1.0984</v>
      </c>
      <c r="J1995" s="14" t="n">
        <v>11.1485</v>
      </c>
      <c r="K1995" s="14" t="n">
        <v>1436.38</v>
      </c>
      <c r="L1995" s="14" t="n">
        <v>0.86163</v>
      </c>
      <c r="M1995" s="14" t="n">
        <v>7.8976</v>
      </c>
      <c r="N1995" s="14" t="n">
        <v>5.3609</v>
      </c>
      <c r="O1995" s="14" t="n">
        <v>156.21</v>
      </c>
      <c r="P1995" s="14" t="n">
        <v>10.1498</v>
      </c>
    </row>
    <row r="1996" customFormat="false" ht="15" hidden="false" customHeight="false" outlineLevel="0" collapsed="false">
      <c r="A1996" s="13" t="n">
        <v>45146</v>
      </c>
      <c r="B1996" s="14" t="n">
        <v>1316.02</v>
      </c>
      <c r="C1996" s="14" t="n">
        <v>10.296</v>
      </c>
      <c r="D1996" s="14" t="n">
        <v>1.2729</v>
      </c>
      <c r="E1996" s="14" t="n">
        <v>1.0951</v>
      </c>
      <c r="F1996" s="14" t="n">
        <v>7.216</v>
      </c>
      <c r="G1996" s="14" t="n">
        <v>4.9083</v>
      </c>
      <c r="H1996" s="14" t="n">
        <v>143.17</v>
      </c>
      <c r="I1996" s="14" t="n">
        <v>1.0944</v>
      </c>
      <c r="J1996" s="14" t="n">
        <v>11.295</v>
      </c>
      <c r="K1996" s="14" t="n">
        <v>1444.82</v>
      </c>
      <c r="L1996" s="14" t="n">
        <v>0.86158</v>
      </c>
      <c r="M1996" s="14" t="n">
        <v>7.895</v>
      </c>
      <c r="N1996" s="14" t="n">
        <v>5.397</v>
      </c>
      <c r="O1996" s="14" t="n">
        <v>156.55</v>
      </c>
      <c r="P1996" s="14" t="n">
        <v>10.3207</v>
      </c>
    </row>
    <row r="1997" customFormat="false" ht="15" hidden="false" customHeight="false" outlineLevel="0" collapsed="false">
      <c r="A1997" s="13" t="n">
        <v>45147</v>
      </c>
      <c r="B1997" s="14" t="n">
        <v>1315.45</v>
      </c>
      <c r="C1997" s="14" t="n">
        <v>10.2226</v>
      </c>
      <c r="D1997" s="14" t="n">
        <v>1.2715</v>
      </c>
      <c r="E1997" s="14" t="n">
        <v>1.0975</v>
      </c>
      <c r="F1997" s="14" t="n">
        <v>7.2085</v>
      </c>
      <c r="G1997" s="14" t="n">
        <v>4.902</v>
      </c>
      <c r="H1997" s="14" t="n">
        <v>143.58</v>
      </c>
      <c r="I1997" s="14" t="n">
        <v>1.0968</v>
      </c>
      <c r="J1997" s="14" t="n">
        <v>11.2063</v>
      </c>
      <c r="K1997" s="14" t="n">
        <v>1441.47</v>
      </c>
      <c r="L1997" s="14" t="n">
        <v>0.8618</v>
      </c>
      <c r="M1997" s="14" t="n">
        <v>7.903</v>
      </c>
      <c r="N1997" s="14" t="n">
        <v>5.3664</v>
      </c>
      <c r="O1997" s="14" t="n">
        <v>157.35</v>
      </c>
      <c r="P1997" s="14" t="n">
        <v>10.2173</v>
      </c>
    </row>
    <row r="1998" customFormat="false" ht="15" hidden="false" customHeight="false" outlineLevel="0" collapsed="false">
      <c r="A1998" s="13" t="n">
        <v>45148</v>
      </c>
      <c r="B1998" s="14" t="n">
        <v>1315.54</v>
      </c>
      <c r="C1998" s="14" t="n">
        <v>10.2289</v>
      </c>
      <c r="D1998" s="14" t="n">
        <v>1.2726</v>
      </c>
      <c r="E1998" s="14" t="n">
        <v>1.1016</v>
      </c>
      <c r="F1998" s="14" t="n">
        <v>7.2165</v>
      </c>
      <c r="G1998" s="14" t="n">
        <v>4.8453</v>
      </c>
      <c r="H1998" s="14" t="n">
        <v>144.4</v>
      </c>
      <c r="I1998" s="14" t="n">
        <v>1.1019</v>
      </c>
      <c r="J1998" s="14" t="n">
        <v>11.1785</v>
      </c>
      <c r="K1998" s="14" t="n">
        <v>1446.32</v>
      </c>
      <c r="L1998" s="14" t="n">
        <v>0.86313</v>
      </c>
      <c r="M1998" s="14" t="n">
        <v>7.9434</v>
      </c>
      <c r="N1998" s="14" t="n">
        <v>5.3872</v>
      </c>
      <c r="O1998" s="14" t="n">
        <v>158.43</v>
      </c>
      <c r="P1998" s="14" t="n">
        <v>10.1447</v>
      </c>
    </row>
    <row r="1999" customFormat="false" ht="15" hidden="false" customHeight="false" outlineLevel="0" collapsed="false">
      <c r="A1999" s="13" t="n">
        <v>45149</v>
      </c>
      <c r="B1999" s="14" t="n">
        <v>1324.17</v>
      </c>
      <c r="C1999" s="14" t="n">
        <v>10.4298</v>
      </c>
      <c r="D1999" s="14" t="n">
        <v>1.2694</v>
      </c>
      <c r="E1999" s="14" t="n">
        <v>1.0957</v>
      </c>
      <c r="F1999" s="14" t="n">
        <v>7.2367</v>
      </c>
      <c r="G1999" s="14" t="n">
        <v>4.8944</v>
      </c>
      <c r="H1999" s="14" t="n">
        <v>144.94</v>
      </c>
      <c r="I1999" s="14" t="n">
        <v>1.1004</v>
      </c>
      <c r="J1999" s="14" t="n">
        <v>11.4225</v>
      </c>
      <c r="K1999" s="14" t="n">
        <v>1459.31</v>
      </c>
      <c r="L1999" s="14" t="n">
        <v>0.86415</v>
      </c>
      <c r="M1999" s="14" t="n">
        <v>7.9584</v>
      </c>
      <c r="N1999" s="14" t="n">
        <v>5.3656</v>
      </c>
      <c r="O1999" s="14" t="n">
        <v>158.97</v>
      </c>
      <c r="P1999" s="14" t="n">
        <v>10.3803</v>
      </c>
    </row>
    <row r="2000" customFormat="false" ht="15" hidden="false" customHeight="false" outlineLevel="0" collapsed="false">
      <c r="A2000" s="13" t="n">
        <v>45152</v>
      </c>
      <c r="B2000" s="14" t="n">
        <v>1330.05</v>
      </c>
      <c r="C2000" s="14" t="n">
        <v>10.457</v>
      </c>
      <c r="D2000" s="14" t="n">
        <v>1.2691</v>
      </c>
      <c r="E2000" s="14" t="n">
        <v>1.0922</v>
      </c>
      <c r="F2000" s="14" t="n">
        <v>7.2585</v>
      </c>
      <c r="G2000" s="14" t="n">
        <v>4.9555</v>
      </c>
      <c r="H2000" s="14" t="n">
        <v>145.3</v>
      </c>
      <c r="I2000" s="14" t="n">
        <v>1.093</v>
      </c>
      <c r="J2000" s="14" t="n">
        <v>11.434</v>
      </c>
      <c r="K2000" s="14" t="n">
        <v>1459.4</v>
      </c>
      <c r="L2000" s="14" t="n">
        <v>0.86215</v>
      </c>
      <c r="M2000" s="14" t="n">
        <v>7.9356</v>
      </c>
      <c r="N2000" s="14" t="n">
        <v>5.3764</v>
      </c>
      <c r="O2000" s="14" t="n">
        <v>158.68</v>
      </c>
      <c r="P2000" s="14" t="n">
        <v>10.4611</v>
      </c>
    </row>
    <row r="2001" customFormat="false" ht="15" hidden="false" customHeight="false" outlineLevel="0" collapsed="false">
      <c r="A2001" s="13" t="n">
        <v>45153</v>
      </c>
      <c r="B2001" s="14" t="n">
        <v>1335</v>
      </c>
      <c r="C2001" s="14" t="n">
        <v>10.4955</v>
      </c>
      <c r="D2001" s="14" t="n">
        <v>1.2745</v>
      </c>
      <c r="E2001" s="14" t="n">
        <v>1.0928</v>
      </c>
      <c r="F2001" s="14" t="n">
        <v>7.2817</v>
      </c>
      <c r="G2001" s="14" t="n">
        <v>4.9753</v>
      </c>
      <c r="H2001" s="14" t="n">
        <v>145.4</v>
      </c>
      <c r="I2001" s="14" t="n">
        <v>1.0926</v>
      </c>
      <c r="J2001" s="14" t="n">
        <v>11.4705</v>
      </c>
      <c r="K2001" s="14" t="n">
        <v>1460.7</v>
      </c>
      <c r="L2001" s="14" t="n">
        <v>0.85955</v>
      </c>
      <c r="M2001" s="14" t="n">
        <v>7.9605</v>
      </c>
      <c r="N2001" s="14" t="n">
        <v>5.4295</v>
      </c>
      <c r="O2001" s="14" t="n">
        <v>159.04</v>
      </c>
      <c r="P2001" s="14" t="n">
        <v>10.4984</v>
      </c>
    </row>
    <row r="2002" customFormat="false" ht="15" hidden="false" customHeight="false" outlineLevel="0" collapsed="false">
      <c r="A2002" s="13" t="n">
        <v>45154</v>
      </c>
      <c r="B2002" s="14" t="n">
        <v>1336.84</v>
      </c>
      <c r="C2002" s="14" t="n">
        <v>10.5607</v>
      </c>
      <c r="D2002" s="14" t="n">
        <v>1.2749</v>
      </c>
      <c r="E2002" s="14" t="n">
        <v>1.0904</v>
      </c>
      <c r="F2002" s="14" t="n">
        <v>7.2985</v>
      </c>
      <c r="G2002" s="14" t="n">
        <v>4.966</v>
      </c>
      <c r="H2002" s="14" t="n">
        <v>145.81</v>
      </c>
      <c r="I2002" s="14" t="n">
        <v>1.0916</v>
      </c>
      <c r="J2002" s="14" t="n">
        <v>11.453</v>
      </c>
      <c r="K2002" s="14" t="n">
        <v>1461.11</v>
      </c>
      <c r="L2002" s="14" t="n">
        <v>0.85645</v>
      </c>
      <c r="M2002" s="14" t="n">
        <v>7.9657</v>
      </c>
      <c r="N2002" s="14" t="n">
        <v>5.4276</v>
      </c>
      <c r="O2002" s="14" t="n">
        <v>159.07</v>
      </c>
      <c r="P2002" s="14" t="n">
        <v>10.4919</v>
      </c>
    </row>
    <row r="2003" customFormat="false" ht="15" hidden="false" customHeight="false" outlineLevel="0" collapsed="false">
      <c r="A2003" s="13" t="n">
        <v>45155</v>
      </c>
      <c r="B2003" s="14" t="n">
        <v>1341.13</v>
      </c>
      <c r="C2003" s="14" t="n">
        <v>10.5694</v>
      </c>
      <c r="D2003" s="14" t="n">
        <v>1.2753</v>
      </c>
      <c r="E2003" s="14" t="n">
        <v>1.0874</v>
      </c>
      <c r="F2003" s="14" t="n">
        <v>7.291</v>
      </c>
      <c r="G2003" s="14" t="n">
        <v>4.9836</v>
      </c>
      <c r="H2003" s="14" t="n">
        <v>146.16</v>
      </c>
      <c r="I2003" s="14" t="n">
        <v>1.09</v>
      </c>
      <c r="J2003" s="14" t="n">
        <v>11.4985</v>
      </c>
      <c r="K2003" s="14" t="n">
        <v>1458.28</v>
      </c>
      <c r="L2003" s="14" t="n">
        <v>0.85395</v>
      </c>
      <c r="M2003" s="14" t="n">
        <v>7.9387</v>
      </c>
      <c r="N2003" s="14" t="n">
        <v>5.4127</v>
      </c>
      <c r="O2003" s="14" t="n">
        <v>158.88</v>
      </c>
      <c r="P2003" s="14" t="n">
        <v>10.5491</v>
      </c>
    </row>
    <row r="2004" customFormat="false" ht="15" hidden="false" customHeight="false" outlineLevel="0" collapsed="false">
      <c r="A2004" s="13" t="n">
        <v>45156</v>
      </c>
      <c r="B2004" s="14" t="n">
        <v>1337.99</v>
      </c>
      <c r="C2004" s="14" t="n">
        <v>10.6326</v>
      </c>
      <c r="D2004" s="14" t="n">
        <v>1.2738</v>
      </c>
      <c r="E2004" s="14" t="n">
        <v>1.0875</v>
      </c>
      <c r="F2004" s="14" t="n">
        <v>7.28</v>
      </c>
      <c r="G2004" s="14" t="n">
        <v>4.9649</v>
      </c>
      <c r="H2004" s="14" t="n">
        <v>145.15</v>
      </c>
      <c r="I2004" s="14" t="n">
        <v>1.0867</v>
      </c>
      <c r="J2004" s="14" t="n">
        <v>11.58</v>
      </c>
      <c r="K2004" s="14" t="n">
        <v>1457.04</v>
      </c>
      <c r="L2004" s="14" t="n">
        <v>0.85493</v>
      </c>
      <c r="M2004" s="14" t="n">
        <v>7.9197</v>
      </c>
      <c r="N2004" s="14" t="n">
        <v>5.4076</v>
      </c>
      <c r="O2004" s="14" t="n">
        <v>158.11</v>
      </c>
      <c r="P2004" s="14" t="n">
        <v>10.6561</v>
      </c>
    </row>
    <row r="2005" customFormat="false" ht="15" hidden="false" customHeight="false" outlineLevel="0" collapsed="false">
      <c r="A2005" s="13" t="n">
        <v>45159</v>
      </c>
      <c r="B2005" s="14" t="n">
        <v>1342.45</v>
      </c>
      <c r="C2005" s="14" t="n">
        <v>10.6276</v>
      </c>
      <c r="D2005" s="14" t="n">
        <v>1.2737</v>
      </c>
      <c r="E2005" s="14" t="n">
        <v>1.0888</v>
      </c>
      <c r="F2005" s="14" t="n">
        <v>7.2865</v>
      </c>
      <c r="G2005" s="14" t="n">
        <v>4.9864</v>
      </c>
      <c r="H2005" s="14" t="n">
        <v>146.26</v>
      </c>
      <c r="I2005" s="14" t="n">
        <v>1.0908</v>
      </c>
      <c r="J2005" s="14" t="n">
        <v>11.5205</v>
      </c>
      <c r="K2005" s="14" t="n">
        <v>1460.32</v>
      </c>
      <c r="L2005" s="14" t="n">
        <v>0.85475</v>
      </c>
      <c r="M2005" s="14" t="n">
        <v>7.9456</v>
      </c>
      <c r="N2005" s="14" t="n">
        <v>5.414</v>
      </c>
      <c r="O2005" s="14" t="n">
        <v>159.15</v>
      </c>
      <c r="P2005" s="14" t="n">
        <v>10.5615</v>
      </c>
    </row>
    <row r="2006" customFormat="false" ht="15" hidden="false" customHeight="false" outlineLevel="0" collapsed="false">
      <c r="A2006" s="13" t="n">
        <v>45160</v>
      </c>
      <c r="B2006" s="14" t="n">
        <v>1335.06</v>
      </c>
      <c r="C2006" s="14" t="n">
        <v>10.6328</v>
      </c>
      <c r="D2006" s="14" t="n">
        <v>1.2733</v>
      </c>
      <c r="E2006" s="14" t="n">
        <v>1.0846</v>
      </c>
      <c r="F2006" s="14" t="n">
        <v>7.293</v>
      </c>
      <c r="G2006" s="14" t="n">
        <v>4.937</v>
      </c>
      <c r="H2006" s="14" t="n">
        <v>145.79</v>
      </c>
      <c r="I2006" s="14" t="n">
        <v>1.0887</v>
      </c>
      <c r="J2006" s="14" t="n">
        <v>11.5195</v>
      </c>
      <c r="K2006" s="14" t="n">
        <v>1454.59</v>
      </c>
      <c r="L2006" s="14" t="n">
        <v>0.85288</v>
      </c>
      <c r="M2006" s="14" t="n">
        <v>7.9387</v>
      </c>
      <c r="N2006" s="14" t="n">
        <v>5.3891</v>
      </c>
      <c r="O2006" s="14" t="n">
        <v>158.7</v>
      </c>
      <c r="P2006" s="14" t="n">
        <v>10.581</v>
      </c>
    </row>
    <row r="2007" customFormat="false" ht="15" hidden="false" customHeight="false" outlineLevel="0" collapsed="false">
      <c r="A2007" s="13" t="n">
        <v>45161</v>
      </c>
      <c r="B2007" s="14" t="n">
        <v>1339.12</v>
      </c>
      <c r="C2007" s="14" t="n">
        <v>10.6071</v>
      </c>
      <c r="D2007" s="14" t="n">
        <v>1.2715</v>
      </c>
      <c r="E2007" s="14" t="n">
        <v>1.0862</v>
      </c>
      <c r="F2007" s="14" t="n">
        <v>7.2771</v>
      </c>
      <c r="G2007" s="14" t="n">
        <v>4.8789</v>
      </c>
      <c r="H2007" s="14" t="n">
        <v>144.62</v>
      </c>
      <c r="I2007" s="14" t="n">
        <v>1.0805</v>
      </c>
      <c r="J2007" s="14" t="n">
        <v>11.573</v>
      </c>
      <c r="K2007" s="14" t="n">
        <v>1448.26</v>
      </c>
      <c r="L2007" s="14" t="n">
        <v>0.85653</v>
      </c>
      <c r="M2007" s="14" t="n">
        <v>7.8796</v>
      </c>
      <c r="N2007" s="14" t="n">
        <v>5.3306</v>
      </c>
      <c r="O2007" s="14" t="n">
        <v>157.28</v>
      </c>
      <c r="P2007" s="14" t="n">
        <v>10.7108</v>
      </c>
    </row>
    <row r="2008" customFormat="false" ht="15" hidden="false" customHeight="false" outlineLevel="0" collapsed="false">
      <c r="A2008" s="13" t="n">
        <v>45162</v>
      </c>
      <c r="B2008" s="14" t="n">
        <v>1321.07</v>
      </c>
      <c r="C2008" s="14" t="n">
        <v>10.6876</v>
      </c>
      <c r="D2008" s="14" t="n">
        <v>1.2634</v>
      </c>
      <c r="E2008" s="14" t="n">
        <v>1.0826</v>
      </c>
      <c r="F2008" s="14" t="n">
        <v>7.2786</v>
      </c>
      <c r="G2008" s="14" t="n">
        <v>4.8825</v>
      </c>
      <c r="H2008" s="14" t="n">
        <v>145.75</v>
      </c>
      <c r="I2008" s="14" t="n">
        <v>1.084</v>
      </c>
      <c r="J2008" s="14" t="n">
        <v>11.5775</v>
      </c>
      <c r="K2008" s="14" t="n">
        <v>1433.05</v>
      </c>
      <c r="L2008" s="14" t="n">
        <v>0.8565</v>
      </c>
      <c r="M2008" s="14" t="n">
        <v>7.8934</v>
      </c>
      <c r="N2008" s="14" t="n">
        <v>5.2865</v>
      </c>
      <c r="O2008" s="14" t="n">
        <v>157.96</v>
      </c>
      <c r="P2008" s="14" t="n">
        <v>10.6804</v>
      </c>
    </row>
    <row r="2009" customFormat="false" ht="15" hidden="false" customHeight="false" outlineLevel="0" collapsed="false">
      <c r="A2009" s="13" t="n">
        <v>45163</v>
      </c>
      <c r="B2009" s="14" t="n">
        <v>1324.11</v>
      </c>
      <c r="C2009" s="14" t="n">
        <v>10.719</v>
      </c>
      <c r="D2009" s="14" t="n">
        <v>1.257</v>
      </c>
      <c r="E2009" s="14" t="n">
        <v>1.0787</v>
      </c>
      <c r="F2009" s="14" t="n">
        <v>7.289</v>
      </c>
      <c r="G2009" s="14" t="n">
        <v>4.8765</v>
      </c>
      <c r="H2009" s="14" t="n">
        <v>146.38</v>
      </c>
      <c r="I2009" s="14" t="n">
        <v>1.0808</v>
      </c>
      <c r="J2009" s="14" t="n">
        <v>11.518</v>
      </c>
      <c r="K2009" s="14" t="n">
        <v>1430.58</v>
      </c>
      <c r="L2009" s="14" t="n">
        <v>0.85643</v>
      </c>
      <c r="M2009" s="14" t="n">
        <v>7.8783</v>
      </c>
      <c r="N2009" s="14" t="n">
        <v>5.2524</v>
      </c>
      <c r="O2009" s="14" t="n">
        <v>157.75</v>
      </c>
      <c r="P2009" s="14" t="n">
        <v>10.6569</v>
      </c>
    </row>
    <row r="2010" customFormat="false" ht="15" hidden="false" customHeight="false" outlineLevel="0" collapsed="false">
      <c r="A2010" s="13" t="n">
        <v>45166</v>
      </c>
      <c r="B2010" s="14" t="n">
        <v>1323.2</v>
      </c>
      <c r="C2010" s="14" t="n">
        <v>10.7201</v>
      </c>
      <c r="D2010" s="14" t="n">
        <v>1.2592</v>
      </c>
      <c r="E2010" s="14" t="n">
        <v>1.081</v>
      </c>
      <c r="F2010" s="14" t="n">
        <v>7.29</v>
      </c>
      <c r="G2010" s="14" t="n">
        <v>4.8931</v>
      </c>
      <c r="H2010" s="14" t="n">
        <v>146.4</v>
      </c>
      <c r="I2010" s="14" t="n">
        <v>1.0808</v>
      </c>
      <c r="J2010" s="14" t="n">
        <v>11.5705</v>
      </c>
      <c r="K2010" s="14" t="n">
        <v>1433.73</v>
      </c>
      <c r="L2010" s="14" t="n">
        <v>0.85815</v>
      </c>
      <c r="M2010" s="14" t="n">
        <v>7.8822</v>
      </c>
      <c r="N2010" s="14" t="n">
        <v>5.2633</v>
      </c>
      <c r="O2010" s="14" t="n">
        <v>158.35</v>
      </c>
      <c r="P2010" s="14" t="n">
        <v>10.7055</v>
      </c>
    </row>
    <row r="2011" customFormat="false" ht="15" hidden="false" customHeight="false" outlineLevel="0" collapsed="false">
      <c r="A2011" s="13" t="n">
        <v>45167</v>
      </c>
      <c r="B2011" s="14" t="n">
        <v>1321.87</v>
      </c>
      <c r="C2011" s="14" t="n">
        <v>10.6469</v>
      </c>
      <c r="D2011" s="14" t="n">
        <v>1.2614</v>
      </c>
      <c r="E2011" s="14" t="n">
        <v>1.0851</v>
      </c>
      <c r="F2011" s="14" t="n">
        <v>7.2796</v>
      </c>
      <c r="G2011" s="14" t="n">
        <v>4.8566</v>
      </c>
      <c r="H2011" s="14" t="n">
        <v>146.01</v>
      </c>
      <c r="I2011" s="14" t="n">
        <v>1.0803</v>
      </c>
      <c r="J2011" s="14" t="n">
        <v>11.5645</v>
      </c>
      <c r="K2011" s="14" t="n">
        <v>1432.91</v>
      </c>
      <c r="L2011" s="14" t="n">
        <v>0.8586</v>
      </c>
      <c r="M2011" s="14" t="n">
        <v>7.88</v>
      </c>
      <c r="N2011" s="14" t="n">
        <v>5.2762</v>
      </c>
      <c r="O2011" s="14" t="n">
        <v>158.93</v>
      </c>
      <c r="P2011" s="14" t="n">
        <v>10.7049</v>
      </c>
    </row>
    <row r="2012" customFormat="false" ht="15" hidden="false" customHeight="false" outlineLevel="0" collapsed="false">
      <c r="A2012" s="13" t="n">
        <v>45168</v>
      </c>
      <c r="B2012" s="14" t="n">
        <v>1323.42</v>
      </c>
      <c r="C2012" s="14" t="n">
        <v>10.5662</v>
      </c>
      <c r="D2012" s="14" t="n">
        <v>1.2726</v>
      </c>
      <c r="E2012" s="14" t="n">
        <v>1.0926</v>
      </c>
      <c r="F2012" s="14" t="n">
        <v>7.2839</v>
      </c>
      <c r="G2012" s="14" t="n">
        <v>4.8592</v>
      </c>
      <c r="H2012" s="14" t="n">
        <v>145.94</v>
      </c>
      <c r="I2012" s="14" t="n">
        <v>1.0886</v>
      </c>
      <c r="J2012" s="14" t="n">
        <v>11.546</v>
      </c>
      <c r="K2012" s="14" t="n">
        <v>1442.07</v>
      </c>
      <c r="L2012" s="14" t="n">
        <v>0.8592</v>
      </c>
      <c r="M2012" s="14" t="n">
        <v>7.9347</v>
      </c>
      <c r="N2012" s="14" t="n">
        <v>5.2877</v>
      </c>
      <c r="O2012" s="14" t="n">
        <v>159.15</v>
      </c>
      <c r="P2012" s="14" t="n">
        <v>10.6063</v>
      </c>
    </row>
    <row r="2013" customFormat="false" ht="15" hidden="false" customHeight="false" outlineLevel="0" collapsed="false">
      <c r="A2013" s="13" t="n">
        <v>45169</v>
      </c>
      <c r="B2013" s="14" t="n">
        <v>1322.43</v>
      </c>
      <c r="C2013" s="14" t="n">
        <v>10.666</v>
      </c>
      <c r="D2013" s="14" t="n">
        <v>1.2667</v>
      </c>
      <c r="E2013" s="14" t="n">
        <v>1.0839</v>
      </c>
      <c r="F2013" s="14" t="n">
        <v>7.2582</v>
      </c>
      <c r="G2013" s="14" t="n">
        <v>4.9324</v>
      </c>
      <c r="H2013" s="14" t="n">
        <v>145.68</v>
      </c>
      <c r="I2013" s="14" t="n">
        <v>1.0868</v>
      </c>
      <c r="J2013" s="14" t="n">
        <v>11.58</v>
      </c>
      <c r="K2013" s="14" t="n">
        <v>1439.56</v>
      </c>
      <c r="L2013" s="14" t="n">
        <v>0.85718</v>
      </c>
      <c r="M2013" s="14" t="n">
        <v>7.9196</v>
      </c>
      <c r="N2013" s="14" t="n">
        <v>5.3082</v>
      </c>
      <c r="O2013" s="14" t="n">
        <v>158.49</v>
      </c>
      <c r="P2013" s="14" t="n">
        <v>10.6551</v>
      </c>
    </row>
    <row r="2014" customFormat="false" ht="15" hidden="false" customHeight="false" outlineLevel="0" collapsed="false">
      <c r="A2014" s="13" t="n">
        <v>45170</v>
      </c>
      <c r="B2014" s="14" t="n">
        <v>1318.34</v>
      </c>
      <c r="C2014" s="14" t="n">
        <v>10.6784</v>
      </c>
      <c r="D2014" s="14" t="n">
        <v>1.2594</v>
      </c>
      <c r="E2014" s="14" t="n">
        <v>1.0787</v>
      </c>
      <c r="F2014" s="14" t="n">
        <v>7.2606</v>
      </c>
      <c r="G2014" s="14" t="n">
        <v>4.9425</v>
      </c>
      <c r="H2014" s="14" t="n">
        <v>146.2</v>
      </c>
      <c r="I2014" s="14" t="n">
        <v>1.0844</v>
      </c>
      <c r="J2014" s="14" t="n">
        <v>11.486</v>
      </c>
      <c r="K2014" s="14" t="n">
        <v>1428.3</v>
      </c>
      <c r="L2014" s="14" t="n">
        <v>0.85538</v>
      </c>
      <c r="M2014" s="14" t="n">
        <v>7.8679</v>
      </c>
      <c r="N2014" s="14" t="n">
        <v>5.3495</v>
      </c>
      <c r="O2014" s="14" t="n">
        <v>157.47</v>
      </c>
      <c r="P2014" s="14" t="n">
        <v>10.592</v>
      </c>
    </row>
    <row r="2015" customFormat="false" ht="15" hidden="false" customHeight="false" outlineLevel="0" collapsed="false">
      <c r="A2015" s="13" t="n">
        <v>45173</v>
      </c>
      <c r="I2015" s="14" t="n">
        <v>1.0801</v>
      </c>
      <c r="J2015" s="14" t="n">
        <v>11.5005</v>
      </c>
      <c r="K2015" s="14" t="n">
        <v>1423.17</v>
      </c>
      <c r="L2015" s="14" t="n">
        <v>0.8555</v>
      </c>
      <c r="M2015" s="14" t="n">
        <v>7.8528</v>
      </c>
      <c r="N2015" s="14" t="n">
        <v>5.3328</v>
      </c>
      <c r="O2015" s="14" t="n">
        <v>158.11</v>
      </c>
      <c r="P2015" s="14" t="n">
        <v>10.6476</v>
      </c>
    </row>
    <row r="2016" customFormat="false" ht="15" hidden="false" customHeight="false" outlineLevel="0" collapsed="false">
      <c r="A2016" s="13" t="n">
        <v>45174</v>
      </c>
      <c r="B2016" s="14" t="n">
        <v>1330.16</v>
      </c>
      <c r="C2016" s="14" t="n">
        <v>10.7061</v>
      </c>
      <c r="D2016" s="14" t="n">
        <v>1.2583</v>
      </c>
      <c r="E2016" s="14" t="n">
        <v>1.0727</v>
      </c>
      <c r="F2016" s="14" t="n">
        <v>7.3018</v>
      </c>
      <c r="G2016" s="14" t="n">
        <v>4.9643</v>
      </c>
      <c r="H2016" s="14" t="n">
        <v>147.63</v>
      </c>
      <c r="I2016" s="14" t="n">
        <v>1.0731</v>
      </c>
      <c r="J2016" s="14" t="n">
        <v>11.5435</v>
      </c>
      <c r="K2016" s="14" t="n">
        <v>1431.25</v>
      </c>
      <c r="L2016" s="14" t="n">
        <v>0.85535</v>
      </c>
      <c r="M2016" s="14" t="n">
        <v>7.838</v>
      </c>
      <c r="N2016" s="14" t="n">
        <v>5.3184</v>
      </c>
      <c r="O2016" s="14" t="n">
        <v>158.2</v>
      </c>
      <c r="P2016" s="14" t="n">
        <v>10.7572</v>
      </c>
    </row>
    <row r="2017" customFormat="false" ht="15" hidden="false" customHeight="false" outlineLevel="0" collapsed="false">
      <c r="A2017" s="13" t="n">
        <v>45175</v>
      </c>
      <c r="B2017" s="14" t="n">
        <v>1330.87</v>
      </c>
      <c r="C2017" s="14" t="n">
        <v>10.7354</v>
      </c>
      <c r="D2017" s="14" t="n">
        <v>1.2498</v>
      </c>
      <c r="E2017" s="14" t="n">
        <v>1.0714</v>
      </c>
      <c r="F2017" s="14" t="n">
        <v>7.316</v>
      </c>
      <c r="G2017" s="14" t="n">
        <v>4.969</v>
      </c>
      <c r="H2017" s="14" t="n">
        <v>147.65</v>
      </c>
      <c r="I2017" s="14" t="n">
        <v>1.0745</v>
      </c>
      <c r="J2017" s="14" t="n">
        <v>11.492</v>
      </c>
      <c r="K2017" s="14" t="n">
        <v>1430.83</v>
      </c>
      <c r="L2017" s="14" t="n">
        <v>0.85503</v>
      </c>
      <c r="M2017" s="14" t="n">
        <v>7.8476</v>
      </c>
      <c r="N2017" s="14" t="n">
        <v>5.3502</v>
      </c>
      <c r="O2017" s="14" t="n">
        <v>158.18</v>
      </c>
      <c r="P2017" s="14" t="n">
        <v>10.6952</v>
      </c>
    </row>
    <row r="2018" customFormat="false" ht="15" hidden="false" customHeight="false" outlineLevel="0" collapsed="false">
      <c r="A2018" s="13" t="n">
        <v>45176</v>
      </c>
      <c r="B2018" s="14" t="n">
        <v>1335.03</v>
      </c>
      <c r="C2018" s="14" t="n">
        <v>10.7123</v>
      </c>
      <c r="D2018" s="14" t="n">
        <v>1.2485</v>
      </c>
      <c r="E2018" s="14" t="n">
        <v>1.0704</v>
      </c>
      <c r="F2018" s="14" t="n">
        <v>7.3287</v>
      </c>
      <c r="G2018" s="14" t="n">
        <v>4.9767</v>
      </c>
      <c r="H2018" s="14" t="n">
        <v>147.13</v>
      </c>
      <c r="I2018" s="14" t="n">
        <v>1.071</v>
      </c>
      <c r="J2018" s="14" t="n">
        <v>11.4805</v>
      </c>
      <c r="K2018" s="14" t="n">
        <v>1431.7</v>
      </c>
      <c r="L2018" s="14" t="n">
        <v>0.859</v>
      </c>
      <c r="M2018" s="14" t="n">
        <v>7.8488</v>
      </c>
      <c r="N2018" s="14" t="n">
        <v>5.333</v>
      </c>
      <c r="O2018" s="14" t="n">
        <v>157.7</v>
      </c>
      <c r="P2018" s="14" t="n">
        <v>10.7194</v>
      </c>
    </row>
    <row r="2019" customFormat="false" ht="15" hidden="false" customHeight="false" outlineLevel="0" collapsed="false">
      <c r="A2019" s="13" t="n">
        <v>45177</v>
      </c>
      <c r="B2019" s="14" t="n">
        <v>1332.83</v>
      </c>
      <c r="C2019" s="14" t="n">
        <v>10.6729</v>
      </c>
      <c r="D2019" s="14" t="n">
        <v>1.2476</v>
      </c>
      <c r="E2019" s="14" t="n">
        <v>1.0709</v>
      </c>
      <c r="F2019" s="14" t="n">
        <v>7.343</v>
      </c>
      <c r="G2019" s="14" t="n">
        <v>4.9762</v>
      </c>
      <c r="H2019" s="14" t="n">
        <v>147.7</v>
      </c>
      <c r="I2019" s="14" t="n">
        <v>1.0704</v>
      </c>
      <c r="J2019" s="14" t="n">
        <v>11.422</v>
      </c>
      <c r="K2019" s="14" t="n">
        <v>1428.51</v>
      </c>
      <c r="L2019" s="14" t="n">
        <v>0.85735</v>
      </c>
      <c r="M2019" s="14" t="n">
        <v>7.8565</v>
      </c>
      <c r="N2019" s="14" t="n">
        <v>5.3238</v>
      </c>
      <c r="O2019" s="14" t="n">
        <v>157.84</v>
      </c>
      <c r="P2019" s="14" t="n">
        <v>10.6708</v>
      </c>
    </row>
    <row r="2020" customFormat="false" ht="15" hidden="false" customHeight="false" outlineLevel="0" collapsed="false">
      <c r="A2020" s="13" t="n">
        <v>45180</v>
      </c>
      <c r="B2020" s="14" t="n">
        <v>1331.59</v>
      </c>
      <c r="C2020" s="14" t="n">
        <v>10.6516</v>
      </c>
      <c r="D2020" s="14" t="n">
        <v>1.2529</v>
      </c>
      <c r="E2020" s="14" t="n">
        <v>1.0744</v>
      </c>
      <c r="F2020" s="14" t="n">
        <v>7.2882</v>
      </c>
      <c r="G2020" s="14" t="n">
        <v>4.9346</v>
      </c>
      <c r="H2020" s="14" t="n">
        <v>146.46</v>
      </c>
      <c r="I2020" s="14" t="n">
        <v>1.0724</v>
      </c>
      <c r="J2020" s="14" t="n">
        <v>11.424</v>
      </c>
      <c r="K2020" s="14" t="n">
        <v>1425.94</v>
      </c>
      <c r="L2020" s="14" t="n">
        <v>0.8565</v>
      </c>
      <c r="M2020" s="14" t="n">
        <v>7.823</v>
      </c>
      <c r="N2020" s="14" t="n">
        <v>5.3205</v>
      </c>
      <c r="O2020" s="14" t="n">
        <v>157.16</v>
      </c>
      <c r="P2020" s="14" t="n">
        <v>10.6527</v>
      </c>
    </row>
    <row r="2021" customFormat="false" ht="15" hidden="false" customHeight="false" outlineLevel="0" collapsed="false">
      <c r="A2021" s="13" t="n">
        <v>45181</v>
      </c>
      <c r="B2021" s="14" t="n">
        <v>1327.29</v>
      </c>
      <c r="C2021" s="14" t="n">
        <v>10.6874</v>
      </c>
      <c r="D2021" s="14" t="n">
        <v>1.2477</v>
      </c>
      <c r="E2021" s="14" t="n">
        <v>1.0726</v>
      </c>
      <c r="F2021" s="14" t="n">
        <v>7.2911</v>
      </c>
      <c r="G2021" s="14" t="n">
        <v>4.9423</v>
      </c>
      <c r="H2021" s="14" t="n">
        <v>147.12</v>
      </c>
      <c r="I2021" s="14" t="n">
        <v>1.0713</v>
      </c>
      <c r="J2021" s="14" t="n">
        <v>11.454</v>
      </c>
      <c r="K2021" s="14" t="n">
        <v>1422.62</v>
      </c>
      <c r="L2021" s="14" t="n">
        <v>0.85925</v>
      </c>
      <c r="M2021" s="14" t="n">
        <v>7.8115</v>
      </c>
      <c r="N2021" s="14" t="n">
        <v>5.292</v>
      </c>
      <c r="O2021" s="14" t="n">
        <v>157.42</v>
      </c>
      <c r="P2021" s="14" t="n">
        <v>10.6917</v>
      </c>
    </row>
    <row r="2022" customFormat="false" ht="15" hidden="false" customHeight="false" outlineLevel="0" collapsed="false">
      <c r="A2022" s="13" t="n">
        <v>45182</v>
      </c>
      <c r="B2022" s="14" t="n">
        <v>1329.7</v>
      </c>
      <c r="C2022" s="14" t="n">
        <v>10.7017</v>
      </c>
      <c r="D2022" s="14" t="n">
        <v>1.2488</v>
      </c>
      <c r="E2022" s="14" t="n">
        <v>1.0737</v>
      </c>
      <c r="F2022" s="14" t="n">
        <v>7.27</v>
      </c>
      <c r="G2022" s="14" t="n">
        <v>4.9053</v>
      </c>
      <c r="H2022" s="14" t="n">
        <v>147.45</v>
      </c>
      <c r="I2022" s="14" t="n">
        <v>1.0733</v>
      </c>
      <c r="J2022" s="14" t="n">
        <v>11.4783</v>
      </c>
      <c r="K2022" s="14" t="n">
        <v>1426.24</v>
      </c>
      <c r="L2022" s="14" t="n">
        <v>0.8609</v>
      </c>
      <c r="M2022" s="14" t="n">
        <v>7.8144</v>
      </c>
      <c r="N2022" s="14" t="n">
        <v>5.313</v>
      </c>
      <c r="O2022" s="14" t="n">
        <v>158.28</v>
      </c>
      <c r="P2022" s="14" t="n">
        <v>10.6941</v>
      </c>
    </row>
    <row r="2023" customFormat="false" ht="15" hidden="false" customHeight="false" outlineLevel="0" collapsed="false">
      <c r="A2023" s="13" t="n">
        <v>45183</v>
      </c>
      <c r="B2023" s="14" t="n">
        <v>1325.88</v>
      </c>
      <c r="C2023" s="14" t="n">
        <v>10.7305</v>
      </c>
      <c r="D2023" s="14" t="n">
        <v>1.241</v>
      </c>
      <c r="E2023" s="14" t="n">
        <v>1.066</v>
      </c>
      <c r="F2023" s="14" t="n">
        <v>7.277</v>
      </c>
      <c r="G2023" s="14" t="n">
        <v>4.8669</v>
      </c>
      <c r="H2023" s="14" t="n">
        <v>147.17</v>
      </c>
      <c r="I2023" s="14" t="n">
        <v>1.073</v>
      </c>
      <c r="J2023" s="14" t="n">
        <v>11.5038</v>
      </c>
      <c r="K2023" s="14" t="n">
        <v>1422.44</v>
      </c>
      <c r="L2023" s="14" t="n">
        <v>0.85995</v>
      </c>
      <c r="M2023" s="14" t="n">
        <v>7.8093</v>
      </c>
      <c r="N2023" s="14" t="n">
        <v>5.2652</v>
      </c>
      <c r="O2023" s="14" t="n">
        <v>158.13</v>
      </c>
      <c r="P2023" s="14" t="n">
        <v>10.7212</v>
      </c>
    </row>
    <row r="2024" customFormat="false" ht="15" hidden="false" customHeight="false" outlineLevel="0" collapsed="false">
      <c r="A2024" s="13" t="n">
        <v>45184</v>
      </c>
      <c r="B2024" s="14" t="n">
        <v>1325.89</v>
      </c>
      <c r="C2024" s="14" t="n">
        <v>10.756</v>
      </c>
      <c r="D2024" s="14" t="n">
        <v>1.2392</v>
      </c>
      <c r="E2024" s="14" t="n">
        <v>1.0673</v>
      </c>
      <c r="F2024" s="14" t="n">
        <v>7.2744</v>
      </c>
      <c r="G2024" s="14" t="n">
        <v>4.8674</v>
      </c>
      <c r="H2024" s="14" t="n">
        <v>147.83</v>
      </c>
      <c r="I2024" s="14" t="n">
        <v>1.0658</v>
      </c>
      <c r="J2024" s="14" t="n">
        <v>11.422</v>
      </c>
      <c r="K2024" s="14" t="n">
        <v>1415.78</v>
      </c>
      <c r="L2024" s="14" t="n">
        <v>0.85878</v>
      </c>
      <c r="M2024" s="14" t="n">
        <v>7.7561</v>
      </c>
      <c r="N2024" s="14" t="n">
        <v>5.186</v>
      </c>
      <c r="O2024" s="14" t="n">
        <v>157.5</v>
      </c>
      <c r="P2024" s="14" t="n">
        <v>10.7168</v>
      </c>
    </row>
    <row r="2025" customFormat="false" ht="15" hidden="false" customHeight="false" outlineLevel="0" collapsed="false">
      <c r="A2025" s="13" t="n">
        <v>45187</v>
      </c>
      <c r="B2025" s="14" t="n">
        <v>1323.99</v>
      </c>
      <c r="C2025" s="14" t="n">
        <v>10.7833</v>
      </c>
      <c r="D2025" s="14" t="n">
        <v>1.2403</v>
      </c>
      <c r="E2025" s="14" t="n">
        <v>1.0695</v>
      </c>
      <c r="F2025" s="14" t="n">
        <v>7.2915</v>
      </c>
      <c r="G2025" s="14" t="n">
        <v>4.8469</v>
      </c>
      <c r="H2025" s="14" t="n">
        <v>147.63</v>
      </c>
      <c r="I2025" s="14" t="n">
        <v>1.0663</v>
      </c>
      <c r="J2025" s="14" t="n">
        <v>11.5688</v>
      </c>
      <c r="K2025" s="14" t="n">
        <v>1413.49</v>
      </c>
      <c r="L2025" s="14" t="n">
        <v>0.86141</v>
      </c>
      <c r="M2025" s="14" t="n">
        <v>7.7796</v>
      </c>
      <c r="N2025" s="14" t="n">
        <v>5.1905</v>
      </c>
      <c r="O2025" s="14" t="n">
        <v>157.44</v>
      </c>
      <c r="P2025" s="14" t="n">
        <v>10.8495</v>
      </c>
    </row>
    <row r="2026" customFormat="false" ht="15" hidden="false" customHeight="false" outlineLevel="0" collapsed="false">
      <c r="A2026" s="13" t="n">
        <v>45188</v>
      </c>
      <c r="B2026" s="14" t="n">
        <v>1328.13</v>
      </c>
      <c r="C2026" s="14" t="n">
        <v>10.7549</v>
      </c>
      <c r="D2026" s="14" t="n">
        <v>1.2393</v>
      </c>
      <c r="E2026" s="14" t="n">
        <v>1.0684</v>
      </c>
      <c r="F2026" s="14" t="n">
        <v>7.2964</v>
      </c>
      <c r="G2026" s="14" t="n">
        <v>4.8586</v>
      </c>
      <c r="H2026" s="14" t="n">
        <v>147.8</v>
      </c>
      <c r="I2026" s="14" t="n">
        <v>1.0713</v>
      </c>
      <c r="J2026" s="14" t="n">
        <v>11.4905</v>
      </c>
      <c r="K2026" s="14" t="n">
        <v>1418.98</v>
      </c>
      <c r="L2026" s="14" t="n">
        <v>0.86263</v>
      </c>
      <c r="M2026" s="14" t="n">
        <v>7.8111</v>
      </c>
      <c r="N2026" s="14" t="n">
        <v>5.1914</v>
      </c>
      <c r="O2026" s="14" t="n">
        <v>158.2</v>
      </c>
      <c r="P2026" s="14" t="n">
        <v>10.7258</v>
      </c>
    </row>
    <row r="2027" customFormat="false" ht="15" hidden="false" customHeight="false" outlineLevel="0" collapsed="false">
      <c r="A2027" s="13" t="n">
        <v>45189</v>
      </c>
      <c r="B2027" s="14" t="n">
        <v>1330.34</v>
      </c>
      <c r="C2027" s="14" t="n">
        <v>10.7093</v>
      </c>
      <c r="D2027" s="14" t="n">
        <v>1.2389</v>
      </c>
      <c r="E2027" s="14" t="n">
        <v>1.0715</v>
      </c>
      <c r="F2027" s="14" t="n">
        <v>7.287</v>
      </c>
      <c r="G2027" s="14" t="n">
        <v>4.8471</v>
      </c>
      <c r="H2027" s="14" t="n">
        <v>147.74</v>
      </c>
      <c r="I2027" s="14" t="n">
        <v>1.0702</v>
      </c>
      <c r="J2027" s="14" t="n">
        <v>11.482</v>
      </c>
      <c r="K2027" s="14" t="n">
        <v>1420.39</v>
      </c>
      <c r="L2027" s="14" t="n">
        <v>0.8653</v>
      </c>
      <c r="M2027" s="14" t="n">
        <v>7.8059</v>
      </c>
      <c r="N2027" s="14" t="n">
        <v>5.1982</v>
      </c>
      <c r="O2027" s="14" t="n">
        <v>158.28</v>
      </c>
      <c r="P2027" s="14" t="n">
        <v>10.7288</v>
      </c>
    </row>
    <row r="2028" customFormat="false" ht="15" hidden="false" customHeight="false" outlineLevel="0" collapsed="false">
      <c r="A2028" s="13" t="n">
        <v>45190</v>
      </c>
      <c r="B2028" s="14" t="n">
        <v>1340.08</v>
      </c>
      <c r="C2028" s="14" t="n">
        <v>10.7736</v>
      </c>
      <c r="D2028" s="14" t="n">
        <v>1.2299</v>
      </c>
      <c r="E2028" s="14" t="n">
        <v>1.0664</v>
      </c>
      <c r="F2028" s="14" t="n">
        <v>7.3066</v>
      </c>
      <c r="G2028" s="14" t="n">
        <v>4.9212</v>
      </c>
      <c r="H2028" s="14" t="n">
        <v>147.42</v>
      </c>
      <c r="I2028" s="14" t="n">
        <v>1.0635</v>
      </c>
      <c r="J2028" s="14" t="n">
        <v>11.527</v>
      </c>
      <c r="K2028" s="14" t="n">
        <v>1426.05</v>
      </c>
      <c r="L2028" s="14" t="n">
        <v>0.86713</v>
      </c>
      <c r="M2028" s="14" t="n">
        <v>7.7695</v>
      </c>
      <c r="N2028" s="14" t="n">
        <v>5.2092</v>
      </c>
      <c r="O2028" s="14" t="n">
        <v>157.34</v>
      </c>
      <c r="P2028" s="14" t="n">
        <v>10.8387</v>
      </c>
    </row>
    <row r="2029" customFormat="false" ht="15" hidden="false" customHeight="false" outlineLevel="0" collapsed="false">
      <c r="A2029" s="13" t="n">
        <v>45191</v>
      </c>
      <c r="B2029" s="14" t="n">
        <v>1336.58</v>
      </c>
      <c r="C2029" s="14" t="n">
        <v>10.7284</v>
      </c>
      <c r="D2029" s="14" t="n">
        <v>1.2257</v>
      </c>
      <c r="E2029" s="14" t="n">
        <v>1.066</v>
      </c>
      <c r="F2029" s="14" t="n">
        <v>7.298</v>
      </c>
      <c r="G2029" s="14" t="n">
        <v>4.9128</v>
      </c>
      <c r="H2029" s="14" t="n">
        <v>148.24</v>
      </c>
      <c r="I2029" s="14" t="n">
        <v>1.0647</v>
      </c>
      <c r="J2029" s="14" t="n">
        <v>11.427</v>
      </c>
      <c r="K2029" s="14" t="n">
        <v>1419.23</v>
      </c>
      <c r="L2029" s="14" t="n">
        <v>0.86795</v>
      </c>
      <c r="M2029" s="14" t="n">
        <v>7.7766</v>
      </c>
      <c r="N2029" s="14" t="n">
        <v>5.2295</v>
      </c>
      <c r="O2029" s="14" t="n">
        <v>157.87</v>
      </c>
      <c r="P2029" s="14" t="n">
        <v>10.7326</v>
      </c>
    </row>
    <row r="2030" customFormat="false" ht="15" hidden="false" customHeight="false" outlineLevel="0" collapsed="false">
      <c r="A2030" s="13" t="n">
        <v>45194</v>
      </c>
      <c r="B2030" s="14" t="n">
        <v>1336.03</v>
      </c>
      <c r="C2030" s="14" t="n">
        <v>10.7926</v>
      </c>
      <c r="D2030" s="14" t="n">
        <v>1.2218</v>
      </c>
      <c r="E2030" s="14" t="n">
        <v>1.0591</v>
      </c>
      <c r="F2030" s="14" t="n">
        <v>7.311</v>
      </c>
      <c r="G2030" s="14" t="n">
        <v>4.9637</v>
      </c>
      <c r="H2030" s="14" t="n">
        <v>148.74</v>
      </c>
      <c r="I2030" s="14" t="n">
        <v>1.0633</v>
      </c>
      <c r="J2030" s="14" t="n">
        <v>11.43</v>
      </c>
      <c r="K2030" s="14" t="n">
        <v>1422.96</v>
      </c>
      <c r="L2030" s="14" t="n">
        <v>0.86965</v>
      </c>
      <c r="M2030" s="14" t="n">
        <v>7.7728</v>
      </c>
      <c r="N2030" s="14" t="n">
        <v>5.2516</v>
      </c>
      <c r="O2030" s="14" t="n">
        <v>158.08</v>
      </c>
      <c r="P2030" s="14" t="n">
        <v>10.7496</v>
      </c>
    </row>
    <row r="2031" customFormat="false" ht="15" hidden="false" customHeight="false" outlineLevel="0" collapsed="false">
      <c r="A2031" s="13" t="n">
        <v>45195</v>
      </c>
      <c r="B2031" s="14" t="n">
        <v>1348.69</v>
      </c>
      <c r="C2031" s="14" t="n">
        <v>10.814</v>
      </c>
      <c r="D2031" s="14" t="n">
        <v>1.2168</v>
      </c>
      <c r="E2031" s="14" t="n">
        <v>1.0573</v>
      </c>
      <c r="F2031" s="14" t="n">
        <v>7.31</v>
      </c>
      <c r="G2031" s="14" t="n">
        <v>4.9835</v>
      </c>
      <c r="H2031" s="14" t="n">
        <v>148.9</v>
      </c>
      <c r="I2031" s="14" t="n">
        <v>1.0605</v>
      </c>
      <c r="J2031" s="14" t="n">
        <v>11.44</v>
      </c>
      <c r="K2031" s="14" t="n">
        <v>1430.12</v>
      </c>
      <c r="L2031" s="14" t="n">
        <v>0.8702</v>
      </c>
      <c r="M2031" s="14" t="n">
        <v>7.7517</v>
      </c>
      <c r="N2031" s="14" t="n">
        <v>5.2721</v>
      </c>
      <c r="O2031" s="14" t="n">
        <v>157.87</v>
      </c>
      <c r="P2031" s="14" t="n">
        <v>10.7874</v>
      </c>
    </row>
    <row r="2032" customFormat="false" ht="15" hidden="false" customHeight="false" outlineLevel="0" collapsed="false">
      <c r="A2032" s="13" t="n">
        <v>45196</v>
      </c>
      <c r="B2032" s="14" t="n">
        <v>1349.05</v>
      </c>
      <c r="C2032" s="14" t="n">
        <v>10.7406</v>
      </c>
      <c r="D2032" s="14" t="n">
        <v>1.2133</v>
      </c>
      <c r="E2032" s="14" t="n">
        <v>1.051</v>
      </c>
      <c r="F2032" s="14" t="n">
        <v>7.3105</v>
      </c>
      <c r="G2032" s="14" t="n">
        <v>5.0565</v>
      </c>
      <c r="H2032" s="14" t="n">
        <v>149.48</v>
      </c>
      <c r="I2032" s="14" t="n">
        <v>1.0536</v>
      </c>
      <c r="J2032" s="14" t="n">
        <v>11.361</v>
      </c>
      <c r="K2032" s="14" t="n">
        <v>1425.19</v>
      </c>
      <c r="L2032" s="14" t="n">
        <v>0.8681</v>
      </c>
      <c r="M2032" s="14" t="n">
        <v>7.7031</v>
      </c>
      <c r="N2032" s="14" t="n">
        <v>5.2716</v>
      </c>
      <c r="O2032" s="14" t="n">
        <v>157.2</v>
      </c>
      <c r="P2032" s="14" t="n">
        <v>10.783</v>
      </c>
    </row>
    <row r="2033" customFormat="false" ht="15" hidden="false" customHeight="false" outlineLevel="0" collapsed="false">
      <c r="A2033" s="13" t="n">
        <v>45197</v>
      </c>
      <c r="B2033" s="14" t="n">
        <v>1356.41</v>
      </c>
      <c r="C2033" s="14" t="n">
        <v>10.706</v>
      </c>
      <c r="D2033" s="14" t="n">
        <v>1.2223</v>
      </c>
      <c r="E2033" s="14" t="n">
        <v>1.0578</v>
      </c>
      <c r="F2033" s="14" t="n">
        <v>7.301</v>
      </c>
      <c r="G2033" s="14" t="n">
        <v>5.0357</v>
      </c>
      <c r="H2033" s="14" t="n">
        <v>149.18</v>
      </c>
      <c r="I2033" s="14" t="n">
        <v>1.0539</v>
      </c>
      <c r="J2033" s="14" t="n">
        <v>11.316</v>
      </c>
      <c r="K2033" s="14" t="n">
        <v>1426.71</v>
      </c>
      <c r="L2033" s="14" t="n">
        <v>0.86333</v>
      </c>
      <c r="M2033" s="14" t="n">
        <v>7.6986</v>
      </c>
      <c r="N2033" s="14" t="n">
        <v>5.3115</v>
      </c>
      <c r="O2033" s="14" t="n">
        <v>157.33</v>
      </c>
      <c r="P2033" s="14" t="n">
        <v>10.7373</v>
      </c>
    </row>
    <row r="2034" customFormat="false" ht="15" hidden="false" customHeight="false" outlineLevel="0" collapsed="false">
      <c r="A2034" s="13" t="n">
        <v>45198</v>
      </c>
      <c r="B2034" s="14" t="n">
        <v>1347.86</v>
      </c>
      <c r="C2034" s="14" t="n">
        <v>10.6589</v>
      </c>
      <c r="D2034" s="14" t="n">
        <v>1.2214</v>
      </c>
      <c r="E2034" s="14" t="n">
        <v>1.0584</v>
      </c>
      <c r="F2034" s="14" t="n">
        <v>7.296</v>
      </c>
      <c r="G2034" s="14" t="n">
        <v>5.0021</v>
      </c>
      <c r="H2034" s="14" t="n">
        <v>149.43</v>
      </c>
      <c r="I2034" s="14" t="n">
        <v>1.0594</v>
      </c>
      <c r="J2034" s="14" t="n">
        <v>11.2535</v>
      </c>
      <c r="K2034" s="14" t="n">
        <v>1425.26</v>
      </c>
      <c r="L2034" s="14" t="n">
        <v>0.86458</v>
      </c>
      <c r="M2034" s="14" t="n">
        <v>7.7352</v>
      </c>
      <c r="N2034" s="14" t="n">
        <v>5.3065</v>
      </c>
      <c r="O2034" s="14" t="n">
        <v>158.1</v>
      </c>
      <c r="P2034" s="14" t="n">
        <v>10.6225</v>
      </c>
    </row>
    <row r="2035" customFormat="false" ht="15" hidden="false" customHeight="false" outlineLevel="0" collapsed="false">
      <c r="A2035" s="13" t="n">
        <v>45201</v>
      </c>
      <c r="B2035" s="14" t="n">
        <v>1351.67</v>
      </c>
      <c r="C2035" s="14" t="n">
        <v>10.8247</v>
      </c>
      <c r="D2035" s="14" t="n">
        <v>1.213</v>
      </c>
      <c r="E2035" s="14" t="n">
        <v>1.05</v>
      </c>
      <c r="F2035" s="14" t="n">
        <v>7.296</v>
      </c>
      <c r="G2035" s="14" t="n">
        <v>5.077</v>
      </c>
      <c r="H2035" s="14" t="n">
        <v>149.8</v>
      </c>
      <c r="I2035" s="14" t="n">
        <v>1.053</v>
      </c>
      <c r="J2035" s="14" t="n">
        <v>11.3225</v>
      </c>
      <c r="K2035" s="14" t="n">
        <v>1427.62</v>
      </c>
      <c r="L2035" s="14" t="n">
        <v>0.86628</v>
      </c>
      <c r="M2035" s="14" t="n">
        <v>7.6885</v>
      </c>
      <c r="N2035" s="14" t="n">
        <v>5.325</v>
      </c>
      <c r="O2035" s="14" t="n">
        <v>157.67</v>
      </c>
      <c r="P2035" s="14" t="n">
        <v>10.7526</v>
      </c>
    </row>
    <row r="2036" customFormat="false" ht="15" hidden="false" customHeight="false" outlineLevel="0" collapsed="false">
      <c r="A2036" s="13" t="n">
        <v>45202</v>
      </c>
      <c r="B2036" s="14" t="n">
        <v>1360.62</v>
      </c>
      <c r="C2036" s="14" t="n">
        <v>11.013</v>
      </c>
      <c r="D2036" s="14" t="n">
        <v>1.2069</v>
      </c>
      <c r="E2036" s="14" t="n">
        <v>1.0453</v>
      </c>
      <c r="F2036" s="14" t="n">
        <v>7.296</v>
      </c>
      <c r="G2036" s="14" t="n">
        <v>5.1348</v>
      </c>
      <c r="H2036" s="14" t="n">
        <v>149.16</v>
      </c>
      <c r="I2036" s="14" t="n">
        <v>1.0469</v>
      </c>
      <c r="J2036" s="14" t="n">
        <v>11.4258</v>
      </c>
      <c r="K2036" s="14" t="n">
        <v>1425.31</v>
      </c>
      <c r="L2036" s="14" t="n">
        <v>0.86775</v>
      </c>
      <c r="M2036" s="14" t="n">
        <v>7.6439</v>
      </c>
      <c r="N2036" s="14" t="n">
        <v>5.337</v>
      </c>
      <c r="O2036" s="14" t="n">
        <v>157.01</v>
      </c>
      <c r="P2036" s="14" t="n">
        <v>10.9139</v>
      </c>
    </row>
    <row r="2037" customFormat="false" ht="15" hidden="false" customHeight="false" outlineLevel="0" collapsed="false">
      <c r="A2037" s="13" t="n">
        <v>45203</v>
      </c>
      <c r="B2037" s="14" t="n">
        <v>1362.94</v>
      </c>
      <c r="C2037" s="14" t="n">
        <v>10.9887</v>
      </c>
      <c r="D2037" s="14" t="n">
        <v>1.2157</v>
      </c>
      <c r="E2037" s="14" t="n">
        <v>1.0518</v>
      </c>
      <c r="F2037" s="14" t="n">
        <v>7.296</v>
      </c>
      <c r="G2037" s="14" t="n">
        <v>5.1362</v>
      </c>
      <c r="H2037" s="14" t="n">
        <v>148.83</v>
      </c>
      <c r="I2037" s="14" t="n">
        <v>1.0497</v>
      </c>
      <c r="J2037" s="14" t="n">
        <v>11.5135</v>
      </c>
      <c r="K2037" s="14" t="n">
        <v>1422.11</v>
      </c>
      <c r="L2037" s="14" t="n">
        <v>0.86588</v>
      </c>
      <c r="M2037" s="14" t="n">
        <v>7.6644</v>
      </c>
      <c r="N2037" s="14" t="n">
        <v>5.3955</v>
      </c>
      <c r="O2037" s="14" t="n">
        <v>156.48</v>
      </c>
      <c r="P2037" s="14" t="n">
        <v>10.9684</v>
      </c>
    </row>
    <row r="2038" customFormat="false" ht="15" hidden="false" customHeight="false" outlineLevel="0" collapsed="false">
      <c r="A2038" s="13" t="n">
        <v>45204</v>
      </c>
      <c r="B2038" s="14" t="n">
        <v>1350.22</v>
      </c>
      <c r="C2038" s="14" t="n">
        <v>11.0008</v>
      </c>
      <c r="D2038" s="14" t="n">
        <v>1.2171</v>
      </c>
      <c r="E2038" s="14" t="n">
        <v>1.0527</v>
      </c>
      <c r="F2038" s="14" t="n">
        <v>7.296</v>
      </c>
      <c r="G2038" s="14" t="n">
        <v>5.1809</v>
      </c>
      <c r="H2038" s="14" t="n">
        <v>148.49</v>
      </c>
      <c r="I2038" s="14" t="n">
        <v>1.0526</v>
      </c>
      <c r="J2038" s="14" t="n">
        <v>11.5703</v>
      </c>
      <c r="K2038" s="14" t="n">
        <v>1420.44</v>
      </c>
      <c r="L2038" s="14" t="n">
        <v>0.86605</v>
      </c>
      <c r="M2038" s="14" t="n">
        <v>7.6856</v>
      </c>
      <c r="N2038" s="14" t="n">
        <v>5.4372</v>
      </c>
      <c r="O2038" s="14" t="n">
        <v>156.71</v>
      </c>
      <c r="P2038" s="14" t="n">
        <v>10.9921</v>
      </c>
    </row>
    <row r="2039" customFormat="false" ht="15" hidden="false" customHeight="false" outlineLevel="0" collapsed="false">
      <c r="A2039" s="13" t="n">
        <v>45205</v>
      </c>
      <c r="B2039" s="14" t="n">
        <v>1350.17</v>
      </c>
      <c r="C2039" s="14" t="n">
        <v>10.9135</v>
      </c>
      <c r="D2039" s="14" t="n">
        <v>1.2255</v>
      </c>
      <c r="E2039" s="14" t="n">
        <v>1.0596</v>
      </c>
      <c r="F2039" s="14" t="n">
        <v>7.296</v>
      </c>
      <c r="G2039" s="14" t="n">
        <v>5.153</v>
      </c>
      <c r="H2039" s="14" t="n">
        <v>149.08</v>
      </c>
      <c r="I2039" s="14" t="n">
        <v>1.0563</v>
      </c>
      <c r="J2039" s="14" t="n">
        <v>11.609</v>
      </c>
      <c r="K2039" s="14" t="n">
        <v>1423.03</v>
      </c>
      <c r="L2039" s="14" t="n">
        <v>0.8651</v>
      </c>
      <c r="M2039" s="14" t="n">
        <v>7.7162</v>
      </c>
      <c r="N2039" s="14" t="n">
        <v>5.4634</v>
      </c>
      <c r="O2039" s="14" t="n">
        <v>157.47</v>
      </c>
      <c r="P2039" s="14" t="n">
        <v>10.9902</v>
      </c>
    </row>
    <row r="2040" customFormat="false" ht="15" hidden="false" customHeight="false" outlineLevel="0" collapsed="false">
      <c r="A2040" s="13" t="n">
        <v>45208</v>
      </c>
      <c r="I2040" s="14" t="n">
        <v>1.0531</v>
      </c>
      <c r="J2040" s="14" t="n">
        <v>11.4828</v>
      </c>
      <c r="K2040" s="14" t="n">
        <v>1424.41</v>
      </c>
      <c r="L2040" s="14" t="n">
        <v>0.8652</v>
      </c>
      <c r="M2040" s="14" t="n">
        <v>7.6784</v>
      </c>
      <c r="N2040" s="14" t="n">
        <v>5.4385</v>
      </c>
      <c r="O2040" s="14" t="n">
        <v>157.06</v>
      </c>
      <c r="P2040" s="14" t="n">
        <v>10.9038</v>
      </c>
    </row>
    <row r="2041" customFormat="false" ht="15" hidden="false" customHeight="false" outlineLevel="0" collapsed="false">
      <c r="A2041" s="13" t="n">
        <v>45209</v>
      </c>
      <c r="B2041" s="14" t="n">
        <v>1349.79</v>
      </c>
      <c r="C2041" s="14" t="n">
        <v>10.7965</v>
      </c>
      <c r="D2041" s="14" t="n">
        <v>1.2288</v>
      </c>
      <c r="E2041" s="14" t="n">
        <v>1.0618</v>
      </c>
      <c r="F2041" s="14" t="n">
        <v>7.2948</v>
      </c>
      <c r="G2041" s="14" t="n">
        <v>5.0668</v>
      </c>
      <c r="H2041" s="14" t="n">
        <v>148.62</v>
      </c>
      <c r="I2041" s="14" t="n">
        <v>1.0582</v>
      </c>
      <c r="J2041" s="14" t="n">
        <v>11.4965</v>
      </c>
      <c r="K2041" s="14" t="n">
        <v>1427.6</v>
      </c>
      <c r="L2041" s="14" t="n">
        <v>0.8639</v>
      </c>
      <c r="M2041" s="14" t="n">
        <v>7.7238</v>
      </c>
      <c r="N2041" s="14" t="n">
        <v>5.4212</v>
      </c>
      <c r="O2041" s="14" t="n">
        <v>157.71</v>
      </c>
      <c r="P2041" s="14" t="n">
        <v>10.8642</v>
      </c>
    </row>
    <row r="2042" customFormat="false" ht="15" hidden="false" customHeight="false" outlineLevel="0" collapsed="false">
      <c r="A2042" s="13" t="n">
        <v>45210</v>
      </c>
      <c r="B2042" s="14" t="n">
        <v>1339.31</v>
      </c>
      <c r="C2042" s="14" t="n">
        <v>10.8563</v>
      </c>
      <c r="D2042" s="14" t="n">
        <v>1.2304</v>
      </c>
      <c r="E2042" s="14" t="n">
        <v>1.062</v>
      </c>
      <c r="F2042" s="14" t="n">
        <v>7.2992</v>
      </c>
      <c r="G2042" s="14" t="n">
        <v>5.0501</v>
      </c>
      <c r="H2042" s="14" t="n">
        <v>149.17</v>
      </c>
      <c r="I2042" s="14" t="n">
        <v>1.0604</v>
      </c>
      <c r="J2042" s="14" t="n">
        <v>11.4953</v>
      </c>
      <c r="K2042" s="14" t="n">
        <v>1421.27</v>
      </c>
      <c r="L2042" s="14" t="n">
        <v>0.86265</v>
      </c>
      <c r="M2042" s="14" t="n">
        <v>7.7433</v>
      </c>
      <c r="N2042" s="14" t="n">
        <v>5.3461</v>
      </c>
      <c r="O2042" s="14" t="n">
        <v>157.87</v>
      </c>
      <c r="P2042" s="14" t="n">
        <v>10.8405</v>
      </c>
    </row>
    <row r="2043" customFormat="false" ht="15" hidden="false" customHeight="false" outlineLevel="0" collapsed="false">
      <c r="A2043" s="13" t="n">
        <v>45211</v>
      </c>
      <c r="B2043" s="14" t="n">
        <v>1338.21</v>
      </c>
      <c r="C2043" s="14" t="n">
        <v>10.9499</v>
      </c>
      <c r="D2043" s="14" t="n">
        <v>1.2214</v>
      </c>
      <c r="E2043" s="14" t="n">
        <v>1.0553</v>
      </c>
      <c r="F2043" s="14" t="n">
        <v>7.3019</v>
      </c>
      <c r="G2043" s="14" t="n">
        <v>5.0472</v>
      </c>
      <c r="H2043" s="14" t="n">
        <v>149.71</v>
      </c>
      <c r="I2043" s="14" t="n">
        <v>1.0619</v>
      </c>
      <c r="J2043" s="14" t="n">
        <v>11.5165</v>
      </c>
      <c r="K2043" s="14" t="n">
        <v>1420.07</v>
      </c>
      <c r="L2043" s="14" t="n">
        <v>0.8626</v>
      </c>
      <c r="M2043" s="14" t="n">
        <v>7.7514</v>
      </c>
      <c r="N2043" s="14" t="n">
        <v>5.3604</v>
      </c>
      <c r="O2043" s="14" t="n">
        <v>158.35</v>
      </c>
      <c r="P2043" s="14" t="n">
        <v>10.8452</v>
      </c>
    </row>
    <row r="2044" customFormat="false" ht="15" hidden="false" customHeight="false" outlineLevel="0" collapsed="false">
      <c r="A2044" s="13" t="n">
        <v>45212</v>
      </c>
      <c r="B2044" s="14" t="n">
        <v>1349.65</v>
      </c>
      <c r="C2044" s="14" t="n">
        <v>10.9556</v>
      </c>
      <c r="D2044" s="14" t="n">
        <v>1.2139</v>
      </c>
      <c r="E2044" s="14" t="n">
        <v>1.0502</v>
      </c>
      <c r="F2044" s="14" t="n">
        <v>7.3049</v>
      </c>
      <c r="G2044" s="14" t="n">
        <v>5.074</v>
      </c>
      <c r="H2044" s="14" t="n">
        <v>149.62</v>
      </c>
      <c r="I2044" s="14" t="n">
        <v>1.0524</v>
      </c>
      <c r="J2044" s="14" t="n">
        <v>11.516</v>
      </c>
      <c r="K2044" s="14" t="n">
        <v>1423.08</v>
      </c>
      <c r="L2044" s="14" t="n">
        <v>0.86415</v>
      </c>
      <c r="M2044" s="14" t="n">
        <v>7.6902</v>
      </c>
      <c r="N2044" s="14" t="n">
        <v>5.3352</v>
      </c>
      <c r="O2044" s="14" t="n">
        <v>157.44</v>
      </c>
      <c r="P2044" s="14" t="n">
        <v>10.9426</v>
      </c>
    </row>
    <row r="2045" customFormat="false" ht="15" hidden="false" customHeight="false" outlineLevel="0" collapsed="false">
      <c r="A2045" s="13" t="n">
        <v>45215</v>
      </c>
      <c r="B2045" s="14" t="n">
        <v>1353.67</v>
      </c>
      <c r="C2045" s="14" t="n">
        <v>10.9527</v>
      </c>
      <c r="D2045" s="14" t="n">
        <v>1.2198</v>
      </c>
      <c r="E2045" s="14" t="n">
        <v>1.0546</v>
      </c>
      <c r="F2045" s="14" t="n">
        <v>7.3105</v>
      </c>
      <c r="G2045" s="14" t="n">
        <v>5.0571</v>
      </c>
      <c r="H2045" s="14" t="n">
        <v>149.57</v>
      </c>
      <c r="I2045" s="14" t="n">
        <v>1.0538</v>
      </c>
      <c r="J2045" s="14" t="n">
        <v>11.517</v>
      </c>
      <c r="K2045" s="14" t="n">
        <v>1427.29</v>
      </c>
      <c r="L2045" s="14" t="n">
        <v>0.86545</v>
      </c>
      <c r="M2045" s="14" t="n">
        <v>7.7058</v>
      </c>
      <c r="N2045" s="14" t="n">
        <v>5.333</v>
      </c>
      <c r="O2045" s="14" t="n">
        <v>157.54</v>
      </c>
      <c r="P2045" s="14" t="n">
        <v>10.929</v>
      </c>
    </row>
    <row r="2046" customFormat="false" ht="15" hidden="false" customHeight="false" outlineLevel="0" collapsed="false">
      <c r="A2046" s="13" t="n">
        <v>45216</v>
      </c>
      <c r="B2046" s="14" t="n">
        <v>1353.6</v>
      </c>
      <c r="C2046" s="14" t="n">
        <v>10.943</v>
      </c>
      <c r="D2046" s="14" t="n">
        <v>1.2206</v>
      </c>
      <c r="E2046" s="14" t="n">
        <v>1.0593</v>
      </c>
      <c r="F2046" s="14" t="n">
        <v>7.3105</v>
      </c>
      <c r="G2046" s="14" t="n">
        <v>5.0157</v>
      </c>
      <c r="H2046" s="14" t="n">
        <v>149.71</v>
      </c>
      <c r="I2046" s="14" t="n">
        <v>1.0569</v>
      </c>
      <c r="J2046" s="14" t="n">
        <v>11.576</v>
      </c>
      <c r="K2046" s="14" t="n">
        <v>1429.58</v>
      </c>
      <c r="L2046" s="14" t="n">
        <v>0.8682</v>
      </c>
      <c r="M2046" s="14" t="n">
        <v>7.7288</v>
      </c>
      <c r="N2046" s="14" t="n">
        <v>5.3305</v>
      </c>
      <c r="O2046" s="14" t="n">
        <v>158.03</v>
      </c>
      <c r="P2046" s="14" t="n">
        <v>10.9528</v>
      </c>
    </row>
    <row r="2047" customFormat="false" ht="15" hidden="false" customHeight="false" outlineLevel="0" collapsed="false">
      <c r="A2047" s="13" t="n">
        <v>45217</v>
      </c>
      <c r="B2047" s="14" t="n">
        <v>1349.45</v>
      </c>
      <c r="C2047" s="14" t="n">
        <v>11.0617</v>
      </c>
      <c r="D2047" s="14" t="n">
        <v>1.215</v>
      </c>
      <c r="E2047" s="14" t="n">
        <v>1.0532</v>
      </c>
      <c r="F2047" s="14" t="n">
        <v>7.3161</v>
      </c>
      <c r="G2047" s="14" t="n">
        <v>5.0635</v>
      </c>
      <c r="H2047" s="14" t="n">
        <v>149.86</v>
      </c>
      <c r="I2047" s="14" t="n">
        <v>1.0565</v>
      </c>
      <c r="J2047" s="14" t="n">
        <v>11.595</v>
      </c>
      <c r="K2047" s="14" t="n">
        <v>1428.23</v>
      </c>
      <c r="L2047" s="14" t="n">
        <v>0.8661</v>
      </c>
      <c r="M2047" s="14" t="n">
        <v>7.7278</v>
      </c>
      <c r="N2047" s="14" t="n">
        <v>5.3295</v>
      </c>
      <c r="O2047" s="14" t="n">
        <v>158.1</v>
      </c>
      <c r="P2047" s="14" t="n">
        <v>10.9749</v>
      </c>
    </row>
    <row r="2048" customFormat="false" ht="15" hidden="false" customHeight="false" outlineLevel="0" collapsed="false">
      <c r="A2048" s="13" t="n">
        <v>45218</v>
      </c>
      <c r="B2048" s="14" t="n">
        <v>1357.5</v>
      </c>
      <c r="C2048" s="14" t="n">
        <v>11.0333</v>
      </c>
      <c r="D2048" s="14" t="n">
        <v>1.2145</v>
      </c>
      <c r="E2048" s="14" t="n">
        <v>1.057</v>
      </c>
      <c r="F2048" s="14" t="n">
        <v>7.3126</v>
      </c>
      <c r="G2048" s="14" t="n">
        <v>5.0435</v>
      </c>
      <c r="H2048" s="14" t="n">
        <v>149.92</v>
      </c>
      <c r="I2048" s="14" t="n">
        <v>1.0558</v>
      </c>
      <c r="J2048" s="14" t="n">
        <v>11.6973</v>
      </c>
      <c r="K2048" s="14" t="n">
        <v>1434.8</v>
      </c>
      <c r="L2048" s="14" t="n">
        <v>0.87098</v>
      </c>
      <c r="M2048" s="14" t="n">
        <v>7.7233</v>
      </c>
      <c r="N2048" s="14" t="n">
        <v>5.352</v>
      </c>
      <c r="O2048" s="14" t="n">
        <v>158.21</v>
      </c>
      <c r="P2048" s="14" t="n">
        <v>11.0791</v>
      </c>
    </row>
    <row r="2049" customFormat="false" ht="15" hidden="false" customHeight="false" outlineLevel="0" collapsed="false">
      <c r="A2049" s="13" t="n">
        <v>45219</v>
      </c>
      <c r="B2049" s="14" t="n">
        <v>1352.92</v>
      </c>
      <c r="C2049" s="14" t="n">
        <v>11.0433</v>
      </c>
      <c r="D2049" s="14" t="n">
        <v>1.2153</v>
      </c>
      <c r="E2049" s="14" t="n">
        <v>1.0592</v>
      </c>
      <c r="F2049" s="14" t="n">
        <v>7.3155</v>
      </c>
      <c r="G2049" s="14" t="n">
        <v>5.0346</v>
      </c>
      <c r="H2049" s="14" t="n">
        <v>149.85</v>
      </c>
      <c r="I2049" s="14" t="n">
        <v>1.0591</v>
      </c>
      <c r="J2049" s="14" t="n">
        <v>11.6808</v>
      </c>
      <c r="K2049" s="14" t="n">
        <v>1431.6</v>
      </c>
      <c r="L2049" s="14" t="n">
        <v>0.87213</v>
      </c>
      <c r="M2049" s="14" t="n">
        <v>7.7489</v>
      </c>
      <c r="N2049" s="14" t="n">
        <v>5.355</v>
      </c>
      <c r="O2049" s="14" t="n">
        <v>158.8</v>
      </c>
      <c r="P2049" s="14" t="n">
        <v>11.029</v>
      </c>
    </row>
    <row r="2050" customFormat="false" ht="15" hidden="false" customHeight="false" outlineLevel="0" collapsed="false">
      <c r="A2050" s="13" t="n">
        <v>45222</v>
      </c>
      <c r="B2050" s="14" t="n">
        <v>1353.7</v>
      </c>
      <c r="C2050" s="14" t="n">
        <v>11.0782</v>
      </c>
      <c r="D2050" s="14" t="n">
        <v>1.2235</v>
      </c>
      <c r="E2050" s="14" t="n">
        <v>1.0646</v>
      </c>
      <c r="F2050" s="14" t="n">
        <v>7.3158</v>
      </c>
      <c r="G2050" s="14" t="n">
        <v>5.0066</v>
      </c>
      <c r="H2050" s="14" t="n">
        <v>149.78</v>
      </c>
      <c r="I2050" s="14" t="n">
        <v>1.0597</v>
      </c>
      <c r="J2050" s="14" t="n">
        <v>11.7985</v>
      </c>
      <c r="K2050" s="14" t="n">
        <v>1432.8</v>
      </c>
      <c r="L2050" s="14" t="n">
        <v>0.87153</v>
      </c>
      <c r="M2050" s="14" t="n">
        <v>7.7529</v>
      </c>
      <c r="N2050" s="14" t="n">
        <v>5.3524</v>
      </c>
      <c r="O2050" s="14" t="n">
        <v>158.91</v>
      </c>
      <c r="P2050" s="14" t="n">
        <v>11.1338</v>
      </c>
    </row>
    <row r="2051" customFormat="false" ht="15" hidden="false" customHeight="false" outlineLevel="0" collapsed="false">
      <c r="A2051" s="13" t="n">
        <v>45223</v>
      </c>
      <c r="B2051" s="14" t="n">
        <v>1342.68</v>
      </c>
      <c r="C2051" s="14" t="n">
        <v>11.1759</v>
      </c>
      <c r="D2051" s="14" t="n">
        <v>1.217</v>
      </c>
      <c r="E2051" s="14" t="n">
        <v>1.0595</v>
      </c>
      <c r="F2051" s="14" t="n">
        <v>7.309</v>
      </c>
      <c r="G2051" s="14" t="n">
        <v>4.9998</v>
      </c>
      <c r="H2051" s="14" t="n">
        <v>149.84</v>
      </c>
      <c r="I2051" s="14" t="n">
        <v>1.0632</v>
      </c>
      <c r="J2051" s="14" t="n">
        <v>11.8255</v>
      </c>
      <c r="K2051" s="14" t="n">
        <v>1428.75</v>
      </c>
      <c r="L2051" s="14" t="n">
        <v>0.87025</v>
      </c>
      <c r="M2051" s="14" t="n">
        <v>7.772</v>
      </c>
      <c r="N2051" s="14" t="n">
        <v>5.3373</v>
      </c>
      <c r="O2051" s="14" t="n">
        <v>159.26</v>
      </c>
      <c r="P2051" s="14" t="n">
        <v>11.1226</v>
      </c>
    </row>
    <row r="2052" customFormat="false" ht="15" hidden="false" customHeight="false" outlineLevel="0" collapsed="false">
      <c r="A2052" s="13" t="n">
        <v>45224</v>
      </c>
      <c r="B2052" s="14" t="n">
        <v>1349.07</v>
      </c>
      <c r="C2052" s="14" t="n">
        <v>11.1728</v>
      </c>
      <c r="D2052" s="14" t="n">
        <v>1.214</v>
      </c>
      <c r="E2052" s="14" t="n">
        <v>1.0583</v>
      </c>
      <c r="F2052" s="14" t="n">
        <v>7.3165</v>
      </c>
      <c r="G2052" s="14" t="n">
        <v>4.9987</v>
      </c>
      <c r="H2052" s="14" t="n">
        <v>149.94</v>
      </c>
      <c r="I2052" s="14" t="n">
        <v>1.0576</v>
      </c>
      <c r="J2052" s="14" t="n">
        <v>11.838</v>
      </c>
      <c r="K2052" s="14" t="n">
        <v>1427.17</v>
      </c>
      <c r="L2052" s="14" t="n">
        <v>0.8724</v>
      </c>
      <c r="M2052" s="14" t="n">
        <v>7.7381</v>
      </c>
      <c r="N2052" s="14" t="n">
        <v>5.2863</v>
      </c>
      <c r="O2052" s="14" t="n">
        <v>158.55</v>
      </c>
      <c r="P2052" s="14" t="n">
        <v>11.1933</v>
      </c>
    </row>
    <row r="2053" customFormat="false" ht="15" hidden="false" customHeight="false" outlineLevel="0" collapsed="false">
      <c r="A2053" s="13" t="n">
        <v>45225</v>
      </c>
      <c r="B2053" s="14" t="n">
        <v>1359.32</v>
      </c>
      <c r="C2053" s="14" t="n">
        <v>11.2309</v>
      </c>
      <c r="D2053" s="14" t="n">
        <v>1.2113</v>
      </c>
      <c r="E2053" s="14" t="n">
        <v>1.0532</v>
      </c>
      <c r="F2053" s="14" t="n">
        <v>7.315</v>
      </c>
      <c r="G2053" s="14" t="n">
        <v>5.0051</v>
      </c>
      <c r="H2053" s="14" t="n">
        <v>150.44</v>
      </c>
      <c r="I2053" s="14" t="n">
        <v>1.054</v>
      </c>
      <c r="J2053" s="14" t="n">
        <v>11.855</v>
      </c>
      <c r="K2053" s="14" t="n">
        <v>1430.67</v>
      </c>
      <c r="L2053" s="14" t="n">
        <v>0.8717</v>
      </c>
      <c r="M2053" s="14" t="n">
        <v>7.7142</v>
      </c>
      <c r="N2053" s="14" t="n">
        <v>5.2694</v>
      </c>
      <c r="O2053" s="14" t="n">
        <v>158.48</v>
      </c>
      <c r="P2053" s="14" t="n">
        <v>11.2476</v>
      </c>
    </row>
    <row r="2054" customFormat="false" ht="15" hidden="false" customHeight="false" outlineLevel="0" collapsed="false">
      <c r="A2054" s="13" t="n">
        <v>45226</v>
      </c>
      <c r="B2054" s="14" t="n">
        <v>1355.15</v>
      </c>
      <c r="C2054" s="14" t="n">
        <v>11.1627</v>
      </c>
      <c r="D2054" s="14" t="n">
        <v>1.2151</v>
      </c>
      <c r="E2054" s="14" t="n">
        <v>1.0592</v>
      </c>
      <c r="F2054" s="14" t="n">
        <v>7.3171</v>
      </c>
      <c r="G2054" s="14" t="n">
        <v>4.9464</v>
      </c>
      <c r="H2054" s="14" t="n">
        <v>149.6</v>
      </c>
      <c r="I2054" s="14" t="n">
        <v>1.0541</v>
      </c>
      <c r="J2054" s="14" t="n">
        <v>11.8285</v>
      </c>
      <c r="K2054" s="14" t="n">
        <v>1430.38</v>
      </c>
      <c r="L2054" s="14" t="n">
        <v>0.87023</v>
      </c>
      <c r="M2054" s="14" t="n">
        <v>7.7143</v>
      </c>
      <c r="N2054" s="14" t="n">
        <v>5.2451</v>
      </c>
      <c r="O2054" s="14" t="n">
        <v>158.08</v>
      </c>
      <c r="P2054" s="14" t="n">
        <v>11.2214</v>
      </c>
    </row>
    <row r="2055" customFormat="false" ht="15" hidden="false" customHeight="false" outlineLevel="0" collapsed="false">
      <c r="A2055" s="13" t="n">
        <v>45229</v>
      </c>
      <c r="B2055" s="14" t="n">
        <v>1350.98</v>
      </c>
      <c r="C2055" s="14" t="n">
        <v>11.145</v>
      </c>
      <c r="D2055" s="14" t="n">
        <v>1.2157</v>
      </c>
      <c r="E2055" s="14" t="n">
        <v>1.062</v>
      </c>
      <c r="F2055" s="14" t="n">
        <v>7.3133</v>
      </c>
      <c r="G2055" s="14" t="n">
        <v>5.039</v>
      </c>
      <c r="H2055" s="14" t="n">
        <v>149.01</v>
      </c>
      <c r="I2055" s="14" t="n">
        <v>1.0605</v>
      </c>
      <c r="J2055" s="14" t="n">
        <v>11.7905</v>
      </c>
      <c r="K2055" s="14" t="n">
        <v>1430.37</v>
      </c>
      <c r="L2055" s="14" t="n">
        <v>0.87345</v>
      </c>
      <c r="M2055" s="14" t="n">
        <v>7.7595</v>
      </c>
      <c r="N2055" s="14" t="n">
        <v>5.2952</v>
      </c>
      <c r="O2055" s="14" t="n">
        <v>158.8</v>
      </c>
      <c r="P2055" s="14" t="n">
        <v>11.1179</v>
      </c>
    </row>
    <row r="2056" customFormat="false" ht="15" hidden="false" customHeight="false" outlineLevel="0" collapsed="false">
      <c r="A2056" s="13" t="n">
        <v>45230</v>
      </c>
      <c r="B2056" s="14" t="n">
        <v>1351.03</v>
      </c>
      <c r="C2056" s="14" t="n">
        <v>11.1726</v>
      </c>
      <c r="D2056" s="14" t="n">
        <v>1.2135</v>
      </c>
      <c r="E2056" s="14" t="n">
        <v>1.0568</v>
      </c>
      <c r="F2056" s="14" t="n">
        <v>7.3166</v>
      </c>
      <c r="G2056" s="14" t="n">
        <v>5.0433</v>
      </c>
      <c r="H2056" s="14" t="n">
        <v>151.46</v>
      </c>
      <c r="I2056" s="14" t="n">
        <v>1.0619</v>
      </c>
      <c r="J2056" s="14" t="n">
        <v>11.8735</v>
      </c>
      <c r="K2056" s="14" t="n">
        <v>1434.66</v>
      </c>
      <c r="L2056" s="14" t="n">
        <v>0.87366</v>
      </c>
      <c r="M2056" s="14" t="n">
        <v>7.7686</v>
      </c>
      <c r="N2056" s="14" t="n">
        <v>5.3743</v>
      </c>
      <c r="O2056" s="14" t="n">
        <v>160.3</v>
      </c>
      <c r="P2056" s="14" t="n">
        <v>11.1814</v>
      </c>
    </row>
    <row r="2057" customFormat="false" ht="15" hidden="false" customHeight="false" outlineLevel="0" collapsed="false">
      <c r="A2057" s="13" t="n">
        <v>45231</v>
      </c>
      <c r="B2057" s="14" t="n">
        <v>1356.94</v>
      </c>
      <c r="C2057" s="14" t="n">
        <v>11.2275</v>
      </c>
      <c r="D2057" s="14" t="n">
        <v>1.2127</v>
      </c>
      <c r="E2057" s="14" t="n">
        <v>1.0538</v>
      </c>
      <c r="F2057" s="14" t="n">
        <v>7.3175</v>
      </c>
      <c r="G2057" s="14" t="n">
        <v>5.0154</v>
      </c>
      <c r="H2057" s="14" t="n">
        <v>150.96</v>
      </c>
      <c r="I2057" s="14" t="n">
        <v>1.0537</v>
      </c>
      <c r="J2057" s="14" t="n">
        <v>11.796</v>
      </c>
      <c r="K2057" s="14" t="n">
        <v>1429.16</v>
      </c>
      <c r="L2057" s="14" t="n">
        <v>0.86945</v>
      </c>
      <c r="M2057" s="14" t="n">
        <v>7.712</v>
      </c>
      <c r="N2057" s="14" t="n">
        <v>5.2963</v>
      </c>
      <c r="O2057" s="14" t="n">
        <v>159.33</v>
      </c>
      <c r="P2057" s="14" t="n">
        <v>11.1948</v>
      </c>
    </row>
    <row r="2058" customFormat="false" ht="15" hidden="false" customHeight="false" outlineLevel="0" collapsed="false">
      <c r="A2058" s="13" t="n">
        <v>45232</v>
      </c>
      <c r="B2058" s="14" t="n">
        <v>1342.91</v>
      </c>
      <c r="C2058" s="14" t="n">
        <v>11.176</v>
      </c>
      <c r="D2058" s="14" t="n">
        <v>1.2175</v>
      </c>
      <c r="E2058" s="14" t="n">
        <v>1.0618</v>
      </c>
      <c r="F2058" s="14" t="n">
        <v>7.316</v>
      </c>
      <c r="G2058" s="14" t="n">
        <v>4.9539</v>
      </c>
      <c r="H2058" s="14" t="n">
        <v>150.48</v>
      </c>
      <c r="I2058" s="14" t="n">
        <v>1.0661</v>
      </c>
      <c r="J2058" s="14" t="n">
        <v>11.8743</v>
      </c>
      <c r="K2058" s="14" t="n">
        <v>1417.13</v>
      </c>
      <c r="L2058" s="14" t="n">
        <v>0.87305</v>
      </c>
      <c r="M2058" s="14" t="n">
        <v>7.8009</v>
      </c>
      <c r="N2058" s="14" t="n">
        <v>5.2818</v>
      </c>
      <c r="O2058" s="14" t="n">
        <v>159.89</v>
      </c>
      <c r="P2058" s="14" t="n">
        <v>11.1381</v>
      </c>
    </row>
    <row r="2059" customFormat="false" ht="15" hidden="false" customHeight="false" outlineLevel="0" collapsed="false">
      <c r="A2059" s="13" t="n">
        <v>45233</v>
      </c>
      <c r="B2059" s="14" t="n">
        <v>1322.04</v>
      </c>
      <c r="C2059" s="14" t="n">
        <v>11.0499</v>
      </c>
      <c r="D2059" s="14" t="n">
        <v>1.2374</v>
      </c>
      <c r="E2059" s="14" t="n">
        <v>1.0733</v>
      </c>
      <c r="F2059" s="14" t="n">
        <v>7.3005</v>
      </c>
      <c r="G2059" s="14" t="n">
        <v>4.8879</v>
      </c>
      <c r="H2059" s="14" t="n">
        <v>149.36</v>
      </c>
      <c r="I2059" s="14" t="n">
        <v>1.0702</v>
      </c>
      <c r="J2059" s="14" t="n">
        <v>11.8535</v>
      </c>
      <c r="K2059" s="14" t="n">
        <v>1402.42</v>
      </c>
      <c r="L2059" s="14" t="n">
        <v>0.86983</v>
      </c>
      <c r="M2059" s="14" t="n">
        <v>7.8193</v>
      </c>
      <c r="N2059" s="14" t="n">
        <v>5.2423</v>
      </c>
      <c r="O2059" s="14" t="n">
        <v>159.87</v>
      </c>
      <c r="P2059" s="14" t="n">
        <v>11.076</v>
      </c>
    </row>
    <row r="2060" customFormat="false" ht="15" hidden="false" customHeight="false" outlineLevel="0" collapsed="false">
      <c r="A2060" s="13" t="n">
        <v>45236</v>
      </c>
      <c r="B2060" s="14" t="n">
        <v>1297.94</v>
      </c>
      <c r="C2060" s="14" t="n">
        <v>11.0212</v>
      </c>
      <c r="D2060" s="14" t="n">
        <v>1.2391</v>
      </c>
      <c r="E2060" s="14" t="n">
        <v>1.0747</v>
      </c>
      <c r="F2060" s="14" t="n">
        <v>7.2695</v>
      </c>
      <c r="G2060" s="14" t="n">
        <v>4.8921</v>
      </c>
      <c r="H2060" s="14" t="n">
        <v>149.77</v>
      </c>
      <c r="I2060" s="14" t="n">
        <v>1.0741</v>
      </c>
      <c r="J2060" s="14" t="n">
        <v>11.8235</v>
      </c>
      <c r="K2060" s="14" t="n">
        <v>1394.34</v>
      </c>
      <c r="L2060" s="14" t="n">
        <v>0.8664</v>
      </c>
      <c r="M2060" s="14" t="n">
        <v>7.8094</v>
      </c>
      <c r="N2060" s="14" t="n">
        <v>5.2595</v>
      </c>
      <c r="O2060" s="14" t="n">
        <v>160.87</v>
      </c>
      <c r="P2060" s="14" t="n">
        <v>11.0078</v>
      </c>
    </row>
    <row r="2061" customFormat="false" ht="15" hidden="false" customHeight="false" outlineLevel="0" collapsed="false">
      <c r="A2061" s="13" t="n">
        <v>45237</v>
      </c>
      <c r="B2061" s="14" t="n">
        <v>1308.33</v>
      </c>
      <c r="C2061" s="14" t="n">
        <v>11.2065</v>
      </c>
      <c r="D2061" s="14" t="n">
        <v>1.2296</v>
      </c>
      <c r="E2061" s="14" t="n">
        <v>1.0687</v>
      </c>
      <c r="F2061" s="14" t="n">
        <v>7.2788</v>
      </c>
      <c r="G2061" s="14" t="n">
        <v>4.8677</v>
      </c>
      <c r="H2061" s="14" t="n">
        <v>150.47</v>
      </c>
      <c r="I2061" s="14" t="n">
        <v>1.0686</v>
      </c>
      <c r="J2061" s="14" t="n">
        <v>11.922</v>
      </c>
      <c r="K2061" s="14" t="n">
        <v>1398.07</v>
      </c>
      <c r="L2061" s="14" t="n">
        <v>0.86855</v>
      </c>
      <c r="M2061" s="14" t="n">
        <v>7.7839</v>
      </c>
      <c r="N2061" s="14" t="n">
        <v>5.1967</v>
      </c>
      <c r="O2061" s="14" t="n">
        <v>160.77</v>
      </c>
      <c r="P2061" s="14" t="n">
        <v>11.1567</v>
      </c>
    </row>
    <row r="2062" customFormat="false" ht="15" hidden="false" customHeight="false" outlineLevel="0" collapsed="false">
      <c r="A2062" s="13" t="n">
        <v>45238</v>
      </c>
      <c r="B2062" s="14" t="n">
        <v>1309.98</v>
      </c>
      <c r="C2062" s="14" t="n">
        <v>11.1761</v>
      </c>
      <c r="D2062" s="14" t="n">
        <v>1.2301</v>
      </c>
      <c r="E2062" s="14" t="n">
        <v>1.0715</v>
      </c>
      <c r="F2062" s="14" t="n">
        <v>7.28</v>
      </c>
      <c r="G2062" s="14" t="n">
        <v>4.8905</v>
      </c>
      <c r="H2062" s="14" t="n">
        <v>150.77</v>
      </c>
      <c r="I2062" s="14" t="n">
        <v>1.0671</v>
      </c>
      <c r="J2062" s="14" t="n">
        <v>11.9305</v>
      </c>
      <c r="K2062" s="14" t="n">
        <v>1402.03</v>
      </c>
      <c r="L2062" s="14" t="n">
        <v>0.87015</v>
      </c>
      <c r="M2062" s="14" t="n">
        <v>7.7699</v>
      </c>
      <c r="N2062" s="14" t="n">
        <v>5.2132</v>
      </c>
      <c r="O2062" s="14" t="n">
        <v>160.97</v>
      </c>
      <c r="P2062" s="14" t="n">
        <v>11.1803</v>
      </c>
    </row>
    <row r="2063" customFormat="false" ht="15" hidden="false" customHeight="false" outlineLevel="0" collapsed="false">
      <c r="A2063" s="13" t="n">
        <v>45239</v>
      </c>
      <c r="B2063" s="14" t="n">
        <v>1309.89</v>
      </c>
      <c r="C2063" s="14" t="n">
        <v>11.1403</v>
      </c>
      <c r="D2063" s="14" t="n">
        <v>1.2279</v>
      </c>
      <c r="E2063" s="14" t="n">
        <v>1.071</v>
      </c>
      <c r="F2063" s="14" t="n">
        <v>7.2835</v>
      </c>
      <c r="G2063" s="14" t="n">
        <v>4.9037</v>
      </c>
      <c r="H2063" s="14" t="n">
        <v>151.04</v>
      </c>
      <c r="I2063" s="14" t="n">
        <v>1.0691</v>
      </c>
      <c r="J2063" s="14" t="n">
        <v>11.9335</v>
      </c>
      <c r="K2063" s="14" t="n">
        <v>1401.9</v>
      </c>
      <c r="L2063" s="14" t="n">
        <v>0.87205</v>
      </c>
      <c r="M2063" s="14" t="n">
        <v>7.7886</v>
      </c>
      <c r="N2063" s="14" t="n">
        <v>5.2378</v>
      </c>
      <c r="O2063" s="14" t="n">
        <v>161.57</v>
      </c>
      <c r="P2063" s="14" t="n">
        <v>11.1622</v>
      </c>
    </row>
    <row r="2064" customFormat="false" ht="15" hidden="false" customHeight="false" outlineLevel="0" collapsed="false">
      <c r="A2064" s="13" t="n">
        <v>45240</v>
      </c>
      <c r="I2064" s="14" t="n">
        <v>1.0683</v>
      </c>
      <c r="J2064" s="14" t="n">
        <v>11.8725</v>
      </c>
      <c r="K2064" s="14" t="n">
        <v>1408.82</v>
      </c>
      <c r="L2064" s="14" t="n">
        <v>0.87435</v>
      </c>
      <c r="M2064" s="14" t="n">
        <v>7.7874</v>
      </c>
      <c r="N2064" s="14" t="n">
        <v>5.2579</v>
      </c>
      <c r="O2064" s="14" t="n">
        <v>161.77</v>
      </c>
      <c r="P2064" s="14" t="n">
        <v>11.1135</v>
      </c>
    </row>
    <row r="2065" customFormat="false" ht="15" hidden="false" customHeight="false" outlineLevel="0" collapsed="false">
      <c r="A2065" s="13" t="n">
        <v>45243</v>
      </c>
      <c r="B2065" s="14" t="n">
        <v>1324.97</v>
      </c>
      <c r="C2065" s="14" t="n">
        <v>11.0746</v>
      </c>
      <c r="D2065" s="14" t="n">
        <v>1.2268</v>
      </c>
      <c r="E2065" s="14" t="n">
        <v>1.07</v>
      </c>
      <c r="F2065" s="14" t="n">
        <v>7.289</v>
      </c>
      <c r="G2065" s="14" t="n">
        <v>4.909</v>
      </c>
      <c r="H2065" s="14" t="n">
        <v>151.56</v>
      </c>
      <c r="I2065" s="14" t="n">
        <v>1.067</v>
      </c>
      <c r="J2065" s="14" t="n">
        <v>11.877</v>
      </c>
      <c r="K2065" s="14" t="n">
        <v>1413.72</v>
      </c>
      <c r="L2065" s="14" t="n">
        <v>0.87155</v>
      </c>
      <c r="M2065" s="14" t="n">
        <v>7.7794</v>
      </c>
      <c r="N2065" s="14" t="n">
        <v>5.2599</v>
      </c>
      <c r="O2065" s="14" t="n">
        <v>161.96</v>
      </c>
      <c r="P2065" s="14" t="n">
        <v>11.1312</v>
      </c>
    </row>
    <row r="2066" customFormat="false" ht="15" hidden="false" customHeight="false" outlineLevel="0" collapsed="false">
      <c r="A2066" s="13" t="n">
        <v>45244</v>
      </c>
      <c r="B2066" s="14" t="n">
        <v>1328.74</v>
      </c>
      <c r="C2066" s="14" t="n">
        <v>10.8949</v>
      </c>
      <c r="D2066" s="14" t="n">
        <v>1.2483</v>
      </c>
      <c r="E2066" s="14" t="n">
        <v>1.0861</v>
      </c>
      <c r="F2066" s="14" t="n">
        <v>7.253</v>
      </c>
      <c r="G2066" s="14" t="n">
        <v>4.8658</v>
      </c>
      <c r="H2066" s="14" t="n">
        <v>150.75</v>
      </c>
      <c r="I2066" s="14" t="n">
        <v>1.0724</v>
      </c>
      <c r="J2066" s="14" t="n">
        <v>11.945</v>
      </c>
      <c r="K2066" s="14" t="n">
        <v>1421.73</v>
      </c>
      <c r="L2066" s="14" t="n">
        <v>0.8723</v>
      </c>
      <c r="M2066" s="14" t="n">
        <v>7.8171</v>
      </c>
      <c r="N2066" s="14" t="n">
        <v>5.2449</v>
      </c>
      <c r="O2066" s="14" t="n">
        <v>162.67</v>
      </c>
      <c r="P2066" s="14" t="n">
        <v>11.1386</v>
      </c>
    </row>
    <row r="2067" customFormat="false" ht="15" hidden="false" customHeight="false" outlineLevel="0" collapsed="false">
      <c r="A2067" s="13" t="n">
        <v>45245</v>
      </c>
      <c r="B2067" s="14" t="n">
        <v>1300.34</v>
      </c>
      <c r="C2067" s="14" t="n">
        <v>10.7899</v>
      </c>
      <c r="D2067" s="14" t="n">
        <v>1.2431</v>
      </c>
      <c r="E2067" s="14" t="n">
        <v>1.0853</v>
      </c>
      <c r="F2067" s="14" t="n">
        <v>7.2466</v>
      </c>
      <c r="G2067" s="14" t="n">
        <v>4.86</v>
      </c>
      <c r="H2067" s="14" t="n">
        <v>151.07</v>
      </c>
      <c r="I2067" s="14" t="n">
        <v>1.0868</v>
      </c>
      <c r="J2067" s="14" t="n">
        <v>11.746</v>
      </c>
      <c r="K2067" s="14" t="n">
        <v>1410.5</v>
      </c>
      <c r="L2067" s="14" t="n">
        <v>0.87188</v>
      </c>
      <c r="M2067" s="14" t="n">
        <v>7.8702</v>
      </c>
      <c r="N2067" s="14" t="n">
        <v>5.2829</v>
      </c>
      <c r="O2067" s="14" t="n">
        <v>163.39</v>
      </c>
      <c r="P2067" s="14" t="n">
        <v>10.8079</v>
      </c>
    </row>
    <row r="2068" customFormat="false" ht="15" hidden="false" customHeight="false" outlineLevel="0" collapsed="false">
      <c r="A2068" s="13" t="n">
        <v>45246</v>
      </c>
      <c r="B2068" s="14" t="n">
        <v>1297.1</v>
      </c>
      <c r="C2068" s="14" t="n">
        <v>10.933</v>
      </c>
      <c r="D2068" s="14" t="n">
        <v>1.2423</v>
      </c>
      <c r="E2068" s="14" t="n">
        <v>1.0851</v>
      </c>
      <c r="F2068" s="14" t="n">
        <v>7.2416</v>
      </c>
      <c r="G2068" s="14" t="n">
        <v>4.879</v>
      </c>
      <c r="H2068" s="14" t="n">
        <v>150.59</v>
      </c>
      <c r="I2068" s="14" t="n">
        <v>1.0849</v>
      </c>
      <c r="J2068" s="14" t="n">
        <v>11.7675</v>
      </c>
      <c r="K2068" s="14" t="n">
        <v>1403.37</v>
      </c>
      <c r="L2068" s="14" t="n">
        <v>0.8752</v>
      </c>
      <c r="M2068" s="14" t="n">
        <v>7.8655</v>
      </c>
      <c r="N2068" s="14" t="n">
        <v>5.2703</v>
      </c>
      <c r="O2068" s="14" t="n">
        <v>164.05</v>
      </c>
      <c r="P2068" s="14" t="n">
        <v>10.8466</v>
      </c>
    </row>
    <row r="2069" customFormat="false" ht="15" hidden="false" customHeight="false" outlineLevel="0" collapsed="false">
      <c r="A2069" s="13" t="n">
        <v>45247</v>
      </c>
      <c r="B2069" s="14" t="n">
        <v>1296.21</v>
      </c>
      <c r="C2069" s="14" t="n">
        <v>10.8463</v>
      </c>
      <c r="D2069" s="14" t="n">
        <v>1.243</v>
      </c>
      <c r="E2069" s="14" t="n">
        <v>1.0879</v>
      </c>
      <c r="F2069" s="14" t="n">
        <v>7.212</v>
      </c>
      <c r="G2069" s="14" t="n">
        <v>4.8964</v>
      </c>
      <c r="H2069" s="14" t="n">
        <v>149.82</v>
      </c>
      <c r="I2069" s="14" t="n">
        <v>1.0872</v>
      </c>
      <c r="J2069" s="14" t="n">
        <v>11.811</v>
      </c>
      <c r="K2069" s="14" t="n">
        <v>1405</v>
      </c>
      <c r="L2069" s="14" t="n">
        <v>0.87395</v>
      </c>
      <c r="M2069" s="14" t="n">
        <v>7.8414</v>
      </c>
      <c r="N2069" s="14" t="n">
        <v>5.2947</v>
      </c>
      <c r="O2069" s="14" t="n">
        <v>162.29</v>
      </c>
      <c r="P2069" s="14" t="n">
        <v>10.8637</v>
      </c>
    </row>
    <row r="2070" customFormat="false" ht="15" hidden="false" customHeight="false" outlineLevel="0" collapsed="false">
      <c r="A2070" s="13" t="n">
        <v>45250</v>
      </c>
      <c r="B2070" s="14" t="n">
        <v>1291.48</v>
      </c>
      <c r="C2070" s="14" t="n">
        <v>10.6969</v>
      </c>
      <c r="D2070" s="14" t="n">
        <v>1.2505</v>
      </c>
      <c r="E2070" s="14" t="n">
        <v>1.0945</v>
      </c>
      <c r="F2070" s="14" t="n">
        <v>7.168</v>
      </c>
      <c r="G2070" s="14" t="n">
        <v>4.8652</v>
      </c>
      <c r="H2070" s="14" t="n">
        <v>148.26</v>
      </c>
      <c r="I2070" s="14" t="n">
        <v>1.0928</v>
      </c>
      <c r="J2070" s="14" t="n">
        <v>11.72</v>
      </c>
      <c r="K2070" s="14" t="n">
        <v>1412.56</v>
      </c>
      <c r="L2070" s="14" t="n">
        <v>0.8763</v>
      </c>
      <c r="M2070" s="14" t="n">
        <v>7.8378</v>
      </c>
      <c r="N2070" s="14" t="n">
        <v>5.3364</v>
      </c>
      <c r="O2070" s="14" t="n">
        <v>162.12</v>
      </c>
      <c r="P2070" s="14" t="n">
        <v>10.7247</v>
      </c>
    </row>
    <row r="2071" customFormat="false" ht="15" hidden="false" customHeight="false" outlineLevel="0" collapsed="false">
      <c r="A2071" s="13" t="n">
        <v>45251</v>
      </c>
      <c r="B2071" s="14" t="n">
        <v>1289.34</v>
      </c>
      <c r="C2071" s="14" t="n">
        <v>10.6475</v>
      </c>
      <c r="D2071" s="14" t="n">
        <v>1.254</v>
      </c>
      <c r="E2071" s="14" t="n">
        <v>1.0923</v>
      </c>
      <c r="F2071" s="14" t="n">
        <v>7.1352</v>
      </c>
      <c r="G2071" s="14" t="n">
        <v>4.8933</v>
      </c>
      <c r="H2071" s="14" t="n">
        <v>147.88</v>
      </c>
      <c r="I2071" s="14" t="n">
        <v>1.0955</v>
      </c>
      <c r="J2071" s="14" t="n">
        <v>11.67</v>
      </c>
      <c r="K2071" s="14" t="n">
        <v>1413.92</v>
      </c>
      <c r="L2071" s="14" t="n">
        <v>0.87326</v>
      </c>
      <c r="M2071" s="14" t="n">
        <v>7.8178</v>
      </c>
      <c r="N2071" s="14" t="n">
        <v>5.3454</v>
      </c>
      <c r="O2071" s="14" t="n">
        <v>161.61</v>
      </c>
      <c r="P2071" s="14" t="n">
        <v>10.6527</v>
      </c>
    </row>
    <row r="2072" customFormat="false" ht="15" hidden="false" customHeight="false" outlineLevel="0" collapsed="false">
      <c r="A2072" s="13" t="n">
        <v>45252</v>
      </c>
      <c r="B2072" s="14" t="n">
        <v>1300.06</v>
      </c>
      <c r="C2072" s="14" t="n">
        <v>10.8006</v>
      </c>
      <c r="D2072" s="14" t="n">
        <v>1.2468</v>
      </c>
      <c r="E2072" s="14" t="n">
        <v>1.0871</v>
      </c>
      <c r="F2072" s="14" t="n">
        <v>7.155</v>
      </c>
      <c r="G2072" s="14" t="n">
        <v>4.8885</v>
      </c>
      <c r="H2072" s="14" t="n">
        <v>149.67</v>
      </c>
      <c r="I2072" s="14" t="n">
        <v>1.0911</v>
      </c>
      <c r="J2072" s="14" t="n">
        <v>11.702</v>
      </c>
      <c r="K2072" s="14" t="n">
        <v>1418.1</v>
      </c>
      <c r="L2072" s="14" t="n">
        <v>0.8703</v>
      </c>
      <c r="M2072" s="14" t="n">
        <v>7.8015</v>
      </c>
      <c r="N2072" s="14" t="n">
        <v>5.3402</v>
      </c>
      <c r="O2072" s="14" t="n">
        <v>162.25</v>
      </c>
      <c r="P2072" s="14" t="n">
        <v>10.725</v>
      </c>
    </row>
    <row r="2073" customFormat="false" ht="15" hidden="false" customHeight="false" outlineLevel="0" collapsed="false">
      <c r="A2073" s="13" t="n">
        <v>45253</v>
      </c>
      <c r="I2073" s="14" t="n">
        <v>1.09</v>
      </c>
      <c r="J2073" s="14" t="n">
        <v>11.711</v>
      </c>
      <c r="K2073" s="14" t="n">
        <v>1418.85</v>
      </c>
      <c r="L2073" s="14" t="n">
        <v>0.8694</v>
      </c>
      <c r="M2073" s="14" t="n">
        <v>7.7852</v>
      </c>
      <c r="N2073" s="14" t="n">
        <v>5.3367</v>
      </c>
      <c r="O2073" s="14" t="n">
        <v>162.98</v>
      </c>
      <c r="P2073" s="14" t="n">
        <v>10.744</v>
      </c>
    </row>
    <row r="2074" customFormat="false" ht="15" hidden="false" customHeight="false" outlineLevel="0" collapsed="false">
      <c r="A2074" s="13" t="n">
        <v>45254</v>
      </c>
      <c r="B2074" s="14" t="n">
        <v>1306.08</v>
      </c>
      <c r="C2074" s="14" t="n">
        <v>10.7008</v>
      </c>
      <c r="D2074" s="14" t="n">
        <v>1.2601</v>
      </c>
      <c r="E2074" s="14" t="n">
        <v>1.0934</v>
      </c>
      <c r="F2074" s="14" t="n">
        <v>7.1488</v>
      </c>
      <c r="G2074" s="14" t="n">
        <v>4.899</v>
      </c>
      <c r="H2074" s="14" t="n">
        <v>149.57</v>
      </c>
      <c r="I2074" s="14" t="n">
        <v>1.0916</v>
      </c>
      <c r="J2074" s="14" t="n">
        <v>11.7345</v>
      </c>
      <c r="K2074" s="14" t="n">
        <v>1425.61</v>
      </c>
      <c r="L2074" s="14" t="n">
        <v>0.86818</v>
      </c>
      <c r="M2074" s="14" t="n">
        <v>7.809</v>
      </c>
      <c r="N2074" s="14" t="n">
        <v>5.3325</v>
      </c>
      <c r="O2074" s="14" t="n">
        <v>163.3</v>
      </c>
      <c r="P2074" s="14" t="n">
        <v>10.7498</v>
      </c>
    </row>
    <row r="2075" customFormat="false" ht="15" hidden="false" customHeight="false" outlineLevel="0" collapsed="false">
      <c r="A2075" s="13" t="n">
        <v>45257</v>
      </c>
      <c r="B2075" s="14" t="n">
        <v>1304.33</v>
      </c>
      <c r="C2075" s="14" t="n">
        <v>10.6734</v>
      </c>
      <c r="D2075" s="14" t="n">
        <v>1.2613</v>
      </c>
      <c r="E2075" s="14" t="n">
        <v>1.0937</v>
      </c>
      <c r="F2075" s="14" t="n">
        <v>7.1528</v>
      </c>
      <c r="G2075" s="14" t="n">
        <v>4.9058</v>
      </c>
      <c r="H2075" s="14" t="n">
        <v>148.89</v>
      </c>
      <c r="I2075" s="14" t="n">
        <v>1.0951</v>
      </c>
      <c r="J2075" s="14" t="n">
        <v>11.684</v>
      </c>
      <c r="K2075" s="14" t="n">
        <v>1422.61</v>
      </c>
      <c r="L2075" s="14" t="n">
        <v>0.86671</v>
      </c>
      <c r="M2075" s="14" t="n">
        <v>7.8331</v>
      </c>
      <c r="N2075" s="14" t="n">
        <v>5.3522</v>
      </c>
      <c r="O2075" s="14" t="n">
        <v>162.86</v>
      </c>
      <c r="P2075" s="14" t="n">
        <v>10.6693</v>
      </c>
    </row>
    <row r="2076" customFormat="false" ht="15" hidden="false" customHeight="false" outlineLevel="0" collapsed="false">
      <c r="A2076" s="13" t="n">
        <v>45258</v>
      </c>
      <c r="B2076" s="14" t="n">
        <v>1293.71</v>
      </c>
      <c r="C2076" s="14" t="n">
        <v>10.6156</v>
      </c>
      <c r="D2076" s="14" t="n">
        <v>1.2713</v>
      </c>
      <c r="E2076" s="14" t="n">
        <v>1.1007</v>
      </c>
      <c r="F2076" s="14" t="n">
        <v>7.138</v>
      </c>
      <c r="G2076" s="14" t="n">
        <v>4.8614</v>
      </c>
      <c r="H2076" s="14" t="n">
        <v>147.41</v>
      </c>
      <c r="I2076" s="14" t="n">
        <v>1.0949</v>
      </c>
      <c r="J2076" s="14" t="n">
        <v>11.7165</v>
      </c>
      <c r="K2076" s="14" t="n">
        <v>1419.89</v>
      </c>
      <c r="L2076" s="14" t="n">
        <v>0.8682</v>
      </c>
      <c r="M2076" s="14" t="n">
        <v>7.8323</v>
      </c>
      <c r="N2076" s="14" t="n">
        <v>5.3593</v>
      </c>
      <c r="O2076" s="14" t="n">
        <v>162.74</v>
      </c>
      <c r="P2076" s="14" t="n">
        <v>10.701</v>
      </c>
    </row>
    <row r="2077" customFormat="false" ht="15" hidden="false" customHeight="false" outlineLevel="0" collapsed="false">
      <c r="A2077" s="13" t="n">
        <v>45259</v>
      </c>
      <c r="B2077" s="14" t="n">
        <v>1292.74</v>
      </c>
      <c r="C2077" s="14" t="n">
        <v>10.6595</v>
      </c>
      <c r="D2077" s="14" t="n">
        <v>1.269</v>
      </c>
      <c r="E2077" s="14" t="n">
        <v>1.0969</v>
      </c>
      <c r="F2077" s="14" t="n">
        <v>7.13</v>
      </c>
      <c r="G2077" s="14" t="n">
        <v>4.8962</v>
      </c>
      <c r="H2077" s="14" t="n">
        <v>147.39</v>
      </c>
      <c r="I2077" s="14" t="n">
        <v>1.0985</v>
      </c>
      <c r="J2077" s="14" t="n">
        <v>11.6965</v>
      </c>
      <c r="K2077" s="14" t="n">
        <v>1418.07</v>
      </c>
      <c r="L2077" s="14" t="n">
        <v>0.86525</v>
      </c>
      <c r="M2077" s="14" t="n">
        <v>7.8296</v>
      </c>
      <c r="N2077" s="14" t="n">
        <v>5.3785</v>
      </c>
      <c r="O2077" s="14" t="n">
        <v>162.12</v>
      </c>
      <c r="P2077" s="14" t="n">
        <v>10.6477</v>
      </c>
    </row>
    <row r="2078" customFormat="false" ht="15" hidden="false" customHeight="false" outlineLevel="0" collapsed="false">
      <c r="A2078" s="13" t="n">
        <v>45260</v>
      </c>
      <c r="B2078" s="14" t="n">
        <v>1289.95</v>
      </c>
      <c r="C2078" s="14" t="n">
        <v>10.7717</v>
      </c>
      <c r="D2078" s="14" t="n">
        <v>1.264</v>
      </c>
      <c r="E2078" s="14" t="n">
        <v>1.0908</v>
      </c>
      <c r="F2078" s="14" t="n">
        <v>7.136</v>
      </c>
      <c r="G2078" s="14" t="n">
        <v>4.9297</v>
      </c>
      <c r="H2078" s="14" t="n">
        <v>147.87</v>
      </c>
      <c r="I2078" s="14" t="n">
        <v>1.0931</v>
      </c>
      <c r="J2078" s="14" t="n">
        <v>11.72</v>
      </c>
      <c r="K2078" s="14" t="n">
        <v>1418.78</v>
      </c>
      <c r="L2078" s="14" t="n">
        <v>0.86368</v>
      </c>
      <c r="M2078" s="14" t="n">
        <v>7.8008</v>
      </c>
      <c r="N2078" s="14" t="n">
        <v>5.3984</v>
      </c>
      <c r="O2078" s="14" t="n">
        <v>161.19</v>
      </c>
      <c r="P2078" s="14" t="n">
        <v>10.7218</v>
      </c>
    </row>
    <row r="2079" customFormat="false" ht="15" hidden="false" customHeight="false" outlineLevel="0" collapsed="false">
      <c r="A2079" s="13" t="n">
        <v>45261</v>
      </c>
      <c r="B2079" s="14" t="n">
        <v>1305.45</v>
      </c>
      <c r="C2079" s="14" t="n">
        <v>10.6668</v>
      </c>
      <c r="D2079" s="14" t="n">
        <v>1.2682</v>
      </c>
      <c r="E2079" s="14" t="n">
        <v>1.0878</v>
      </c>
      <c r="F2079" s="14" t="n">
        <v>7.1386</v>
      </c>
      <c r="G2079" s="14" t="n">
        <v>4.886</v>
      </c>
      <c r="H2079" s="14" t="n">
        <v>147</v>
      </c>
      <c r="I2079" s="14" t="n">
        <v>1.0875</v>
      </c>
      <c r="J2079" s="14" t="n">
        <v>11.698</v>
      </c>
      <c r="K2079" s="14" t="n">
        <v>1420.73</v>
      </c>
      <c r="L2079" s="14" t="n">
        <v>0.86045</v>
      </c>
      <c r="M2079" s="14" t="n">
        <v>7.7685</v>
      </c>
      <c r="N2079" s="14" t="n">
        <v>5.3538</v>
      </c>
      <c r="O2079" s="14" t="n">
        <v>161.14</v>
      </c>
      <c r="P2079" s="14" t="n">
        <v>10.7568</v>
      </c>
    </row>
    <row r="2080" customFormat="false" ht="15" hidden="false" customHeight="false" outlineLevel="0" collapsed="false">
      <c r="A2080" s="13" t="n">
        <v>45264</v>
      </c>
      <c r="B2080" s="14" t="n">
        <v>1304.43</v>
      </c>
      <c r="C2080" s="14" t="n">
        <v>10.8411</v>
      </c>
      <c r="D2080" s="14" t="n">
        <v>1.2633</v>
      </c>
      <c r="E2080" s="14" t="n">
        <v>1.0824</v>
      </c>
      <c r="F2080" s="14" t="n">
        <v>7.1424</v>
      </c>
      <c r="G2080" s="14" t="n">
        <v>4.9293</v>
      </c>
      <c r="H2080" s="14" t="n">
        <v>147.15</v>
      </c>
      <c r="I2080" s="14" t="n">
        <v>1.0868</v>
      </c>
      <c r="J2080" s="14" t="n">
        <v>11.678</v>
      </c>
      <c r="K2080" s="14" t="n">
        <v>1417.9</v>
      </c>
      <c r="L2080" s="14" t="n">
        <v>0.8579</v>
      </c>
      <c r="M2080" s="14" t="n">
        <v>7.758</v>
      </c>
      <c r="N2080" s="14" t="n">
        <v>5.3175</v>
      </c>
      <c r="O2080" s="14" t="n">
        <v>159.47</v>
      </c>
      <c r="P2080" s="14" t="n">
        <v>10.7453</v>
      </c>
    </row>
    <row r="2081" customFormat="false" ht="15" hidden="false" customHeight="false" outlineLevel="0" collapsed="false">
      <c r="A2081" s="13" t="n">
        <v>45265</v>
      </c>
      <c r="B2081" s="14" t="n">
        <v>1311.47</v>
      </c>
      <c r="C2081" s="14" t="n">
        <v>10.925</v>
      </c>
      <c r="D2081" s="14" t="n">
        <v>1.259</v>
      </c>
      <c r="E2081" s="14" t="n">
        <v>1.0787</v>
      </c>
      <c r="F2081" s="14" t="n">
        <v>7.1444</v>
      </c>
      <c r="G2081" s="14" t="n">
        <v>4.9483</v>
      </c>
      <c r="H2081" s="14" t="n">
        <v>147.26</v>
      </c>
      <c r="I2081" s="14" t="n">
        <v>1.0817</v>
      </c>
      <c r="J2081" s="14" t="n">
        <v>11.7865</v>
      </c>
      <c r="K2081" s="14" t="n">
        <v>1422.18</v>
      </c>
      <c r="L2081" s="14" t="n">
        <v>0.85723</v>
      </c>
      <c r="M2081" s="14" t="n">
        <v>7.7269</v>
      </c>
      <c r="N2081" s="14" t="n">
        <v>5.3636</v>
      </c>
      <c r="O2081" s="14" t="n">
        <v>159.13</v>
      </c>
      <c r="P2081" s="14" t="n">
        <v>10.8963</v>
      </c>
    </row>
    <row r="2082" customFormat="false" ht="15" hidden="false" customHeight="false" outlineLevel="0" collapsed="false">
      <c r="A2082" s="13" t="n">
        <v>45266</v>
      </c>
      <c r="B2082" s="14" t="n">
        <v>1313.03</v>
      </c>
      <c r="C2082" s="14" t="n">
        <v>10.9438</v>
      </c>
      <c r="D2082" s="14" t="n">
        <v>1.2589</v>
      </c>
      <c r="E2082" s="14" t="n">
        <v>1.079</v>
      </c>
      <c r="F2082" s="14" t="n">
        <v>7.158</v>
      </c>
      <c r="G2082" s="14" t="n">
        <v>4.8987</v>
      </c>
      <c r="H2082" s="14" t="n">
        <v>147.16</v>
      </c>
      <c r="I2082" s="14" t="n">
        <v>1.0778</v>
      </c>
      <c r="J2082" s="14" t="n">
        <v>11.796</v>
      </c>
      <c r="K2082" s="14" t="n">
        <v>1417.89</v>
      </c>
      <c r="L2082" s="14" t="n">
        <v>0.8561</v>
      </c>
      <c r="M2082" s="14" t="n">
        <v>7.7148</v>
      </c>
      <c r="N2082" s="14" t="n">
        <v>5.2994</v>
      </c>
      <c r="O2082" s="14" t="n">
        <v>158.7</v>
      </c>
      <c r="P2082" s="14" t="n">
        <v>10.9445</v>
      </c>
    </row>
    <row r="2083" customFormat="false" ht="15" hidden="false" customHeight="false" outlineLevel="0" collapsed="false">
      <c r="A2083" s="13" t="n">
        <v>45267</v>
      </c>
      <c r="B2083" s="14" t="n">
        <v>1325.27</v>
      </c>
      <c r="C2083" s="14" t="n">
        <v>10.8769</v>
      </c>
      <c r="D2083" s="14" t="n">
        <v>1.2582</v>
      </c>
      <c r="E2083" s="14" t="n">
        <v>1.0794</v>
      </c>
      <c r="F2083" s="14" t="n">
        <v>7.1515</v>
      </c>
      <c r="G2083" s="14" t="n">
        <v>4.9042</v>
      </c>
      <c r="H2083" s="14" t="n">
        <v>144.1</v>
      </c>
      <c r="I2083" s="14" t="n">
        <v>1.0771</v>
      </c>
      <c r="J2083" s="14" t="n">
        <v>11.7535</v>
      </c>
      <c r="K2083" s="14" t="n">
        <v>1421.02</v>
      </c>
      <c r="L2083" s="14" t="n">
        <v>0.8575</v>
      </c>
      <c r="M2083" s="14" t="n">
        <v>7.7058</v>
      </c>
      <c r="N2083" s="14" t="n">
        <v>5.2614</v>
      </c>
      <c r="O2083" s="14" t="n">
        <v>156.18</v>
      </c>
      <c r="P2083" s="14" t="n">
        <v>10.9122</v>
      </c>
    </row>
    <row r="2084" customFormat="false" ht="15" hidden="false" customHeight="false" outlineLevel="0" collapsed="false">
      <c r="A2084" s="13" t="n">
        <v>45268</v>
      </c>
      <c r="B2084" s="14" t="n">
        <v>1307.11</v>
      </c>
      <c r="C2084" s="14" t="n">
        <v>10.9127</v>
      </c>
      <c r="D2084" s="14" t="n">
        <v>1.2539</v>
      </c>
      <c r="E2084" s="14" t="n">
        <v>1.0746</v>
      </c>
      <c r="F2084" s="14" t="n">
        <v>7.1645</v>
      </c>
      <c r="G2084" s="14" t="n">
        <v>4.9324</v>
      </c>
      <c r="H2084" s="14" t="n">
        <v>144.88</v>
      </c>
      <c r="I2084" s="14" t="n">
        <v>1.0777</v>
      </c>
      <c r="J2084" s="14" t="n">
        <v>11.727</v>
      </c>
      <c r="K2084" s="14" t="n">
        <v>1412.83</v>
      </c>
      <c r="L2084" s="14" t="n">
        <v>0.8569</v>
      </c>
      <c r="M2084" s="14" t="n">
        <v>7.7179</v>
      </c>
      <c r="N2084" s="14" t="n">
        <v>5.2933</v>
      </c>
      <c r="O2084" s="14" t="n">
        <v>155.53</v>
      </c>
      <c r="P2084" s="14" t="n">
        <v>10.8815</v>
      </c>
    </row>
    <row r="2085" customFormat="false" ht="15" hidden="false" customHeight="false" outlineLevel="0" collapsed="false">
      <c r="A2085" s="13" t="n">
        <v>45271</v>
      </c>
      <c r="B2085" s="14" t="n">
        <v>1316.38</v>
      </c>
      <c r="C2085" s="14" t="n">
        <v>10.9698</v>
      </c>
      <c r="D2085" s="14" t="n">
        <v>1.255</v>
      </c>
      <c r="E2085" s="14" t="n">
        <v>1.0747</v>
      </c>
      <c r="F2085" s="14" t="n">
        <v>7.1765</v>
      </c>
      <c r="G2085" s="14" t="n">
        <v>4.9404</v>
      </c>
      <c r="H2085" s="14" t="n">
        <v>146.41</v>
      </c>
      <c r="I2085" s="14" t="n">
        <v>1.0757</v>
      </c>
      <c r="J2085" s="14" t="n">
        <v>11.795</v>
      </c>
      <c r="K2085" s="14" t="n">
        <v>1420.71</v>
      </c>
      <c r="L2085" s="14" t="n">
        <v>0.8558</v>
      </c>
      <c r="M2085" s="14" t="n">
        <v>7.7206</v>
      </c>
      <c r="N2085" s="14" t="n">
        <v>5.3169</v>
      </c>
      <c r="O2085" s="14" t="n">
        <v>157.54</v>
      </c>
      <c r="P2085" s="14" t="n">
        <v>10.965</v>
      </c>
    </row>
    <row r="2086" customFormat="false" ht="15" hidden="false" customHeight="false" outlineLevel="0" collapsed="false">
      <c r="A2086" s="13" t="n">
        <v>45272</v>
      </c>
      <c r="B2086" s="14" t="n">
        <v>1313.75</v>
      </c>
      <c r="C2086" s="14" t="n">
        <v>10.9791</v>
      </c>
      <c r="D2086" s="14" t="n">
        <v>1.2549</v>
      </c>
      <c r="E2086" s="14" t="n">
        <v>1.079</v>
      </c>
      <c r="F2086" s="14" t="n">
        <v>7.1755</v>
      </c>
      <c r="G2086" s="14" t="n">
        <v>4.9635</v>
      </c>
      <c r="H2086" s="14" t="n">
        <v>145.45</v>
      </c>
      <c r="I2086" s="14" t="n">
        <v>1.0804</v>
      </c>
      <c r="J2086" s="14" t="n">
        <v>11.778</v>
      </c>
      <c r="K2086" s="14" t="n">
        <v>1415.21</v>
      </c>
      <c r="L2086" s="14" t="n">
        <v>0.85928</v>
      </c>
      <c r="M2086" s="14" t="n">
        <v>7.7447</v>
      </c>
      <c r="N2086" s="14" t="n">
        <v>5.3327</v>
      </c>
      <c r="O2086" s="14" t="n">
        <v>156.84</v>
      </c>
      <c r="P2086" s="14" t="n">
        <v>10.9015</v>
      </c>
    </row>
    <row r="2087" customFormat="false" ht="15" hidden="false" customHeight="false" outlineLevel="0" collapsed="false">
      <c r="A2087" s="13" t="n">
        <v>45273</v>
      </c>
      <c r="B2087" s="14" t="n">
        <v>1319.76</v>
      </c>
      <c r="C2087" s="14" t="n">
        <v>10.9236</v>
      </c>
      <c r="D2087" s="14" t="n">
        <v>1.2527</v>
      </c>
      <c r="E2087" s="14" t="n">
        <v>1.0793</v>
      </c>
      <c r="F2087" s="14" t="n">
        <v>7.1725</v>
      </c>
      <c r="G2087" s="14" t="n">
        <v>4.9721</v>
      </c>
      <c r="H2087" s="14" t="n">
        <v>145.17</v>
      </c>
      <c r="I2087" s="14" t="n">
        <v>1.0787</v>
      </c>
      <c r="J2087" s="14" t="n">
        <v>11.825</v>
      </c>
      <c r="K2087" s="14" t="n">
        <v>1422.86</v>
      </c>
      <c r="L2087" s="14" t="n">
        <v>0.8612</v>
      </c>
      <c r="M2087" s="14" t="n">
        <v>7.7426</v>
      </c>
      <c r="N2087" s="14" t="n">
        <v>5.3609</v>
      </c>
      <c r="O2087" s="14" t="n">
        <v>157.13</v>
      </c>
      <c r="P2087" s="14" t="n">
        <v>10.9623</v>
      </c>
    </row>
    <row r="2088" customFormat="false" ht="15" hidden="false" customHeight="false" outlineLevel="0" collapsed="false">
      <c r="A2088" s="13" t="n">
        <v>45274</v>
      </c>
      <c r="B2088" s="14" t="n">
        <v>1296.11</v>
      </c>
      <c r="C2088" s="14" t="n">
        <v>10.4659</v>
      </c>
      <c r="D2088" s="14" t="n">
        <v>1.2767</v>
      </c>
      <c r="E2088" s="14" t="n">
        <v>1.0997</v>
      </c>
      <c r="F2088" s="14" t="n">
        <v>7.1088</v>
      </c>
      <c r="G2088" s="14" t="n">
        <v>4.8976</v>
      </c>
      <c r="H2088" s="14" t="n">
        <v>141.53</v>
      </c>
      <c r="I2088" s="14" t="n">
        <v>1.0919</v>
      </c>
      <c r="J2088" s="14" t="n">
        <v>11.518</v>
      </c>
      <c r="K2088" s="14" t="n">
        <v>1412.66</v>
      </c>
      <c r="L2088" s="14" t="n">
        <v>0.85955</v>
      </c>
      <c r="M2088" s="14" t="n">
        <v>7.7866</v>
      </c>
      <c r="N2088" s="14" t="n">
        <v>5.3349</v>
      </c>
      <c r="O2088" s="14" t="n">
        <v>154.8</v>
      </c>
      <c r="P2088" s="14" t="n">
        <v>10.5486</v>
      </c>
    </row>
    <row r="2089" customFormat="false" ht="15" hidden="false" customHeight="false" outlineLevel="0" collapsed="false">
      <c r="A2089" s="13" t="n">
        <v>45275</v>
      </c>
      <c r="B2089" s="14" t="n">
        <v>1295.92</v>
      </c>
      <c r="C2089" s="14" t="n">
        <v>10.4461</v>
      </c>
      <c r="D2089" s="14" t="n">
        <v>1.2709</v>
      </c>
      <c r="E2089" s="14" t="n">
        <v>1.0906</v>
      </c>
      <c r="F2089" s="14" t="n">
        <v>7.1179</v>
      </c>
      <c r="G2089" s="14" t="n">
        <v>4.9391</v>
      </c>
      <c r="H2089" s="14" t="n">
        <v>141.8</v>
      </c>
      <c r="I2089" s="14" t="n">
        <v>1.0946</v>
      </c>
      <c r="J2089" s="14" t="n">
        <v>11.4495</v>
      </c>
      <c r="K2089" s="14" t="n">
        <v>1423.27</v>
      </c>
      <c r="L2089" s="14" t="n">
        <v>0.85833</v>
      </c>
      <c r="M2089" s="14" t="n">
        <v>7.7812</v>
      </c>
      <c r="N2089" s="14" t="n">
        <v>5.4085</v>
      </c>
      <c r="O2089" s="14" t="n">
        <v>155.15</v>
      </c>
      <c r="P2089" s="14" t="n">
        <v>10.46</v>
      </c>
    </row>
    <row r="2090" customFormat="false" ht="15" hidden="false" customHeight="false" outlineLevel="0" collapsed="false">
      <c r="A2090" s="13" t="n">
        <v>45278</v>
      </c>
      <c r="B2090" s="14" t="n">
        <v>1297.63</v>
      </c>
      <c r="C2090" s="14" t="n">
        <v>10.4021</v>
      </c>
      <c r="D2090" s="14" t="n">
        <v>1.2632</v>
      </c>
      <c r="E2090" s="14" t="n">
        <v>1.092</v>
      </c>
      <c r="F2090" s="14" t="n">
        <v>7.1297</v>
      </c>
      <c r="G2090" s="14" t="n">
        <v>4.9363</v>
      </c>
      <c r="H2090" s="14" t="n">
        <v>143.04</v>
      </c>
      <c r="I2090" s="14" t="n">
        <v>1.0918</v>
      </c>
      <c r="J2090" s="14" t="n">
        <v>11.3485</v>
      </c>
      <c r="K2090" s="14" t="n">
        <v>1419.8</v>
      </c>
      <c r="L2090" s="14" t="n">
        <v>0.86263</v>
      </c>
      <c r="M2090" s="14" t="n">
        <v>7.7893</v>
      </c>
      <c r="N2090" s="14" t="n">
        <v>5.3935</v>
      </c>
      <c r="O2090" s="14" t="n">
        <v>155.95</v>
      </c>
      <c r="P2090" s="14" t="n">
        <v>10.3943</v>
      </c>
    </row>
    <row r="2091" customFormat="false" ht="15" hidden="false" customHeight="false" outlineLevel="0" collapsed="false">
      <c r="A2091" s="13" t="n">
        <v>45279</v>
      </c>
      <c r="B2091" s="14" t="n">
        <v>1307.95</v>
      </c>
      <c r="C2091" s="14" t="n">
        <v>10.2713</v>
      </c>
      <c r="D2091" s="14" t="n">
        <v>1.2751</v>
      </c>
      <c r="E2091" s="14" t="n">
        <v>1.0977</v>
      </c>
      <c r="F2091" s="14" t="n">
        <v>7.1287</v>
      </c>
      <c r="G2091" s="14" t="n">
        <v>4.8638</v>
      </c>
      <c r="H2091" s="14" t="n">
        <v>143.62</v>
      </c>
      <c r="I2091" s="14" t="n">
        <v>1.0962</v>
      </c>
      <c r="J2091" s="14" t="n">
        <v>11.3655</v>
      </c>
      <c r="K2091" s="14" t="n">
        <v>1430.22</v>
      </c>
      <c r="L2091" s="14" t="n">
        <v>0.86095</v>
      </c>
      <c r="M2091" s="14" t="n">
        <v>7.8231</v>
      </c>
      <c r="N2091" s="14" t="n">
        <v>5.3375</v>
      </c>
      <c r="O2091" s="14" t="n">
        <v>158.2</v>
      </c>
      <c r="P2091" s="14" t="n">
        <v>10.3681</v>
      </c>
    </row>
    <row r="2092" customFormat="false" ht="15" hidden="false" customHeight="false" outlineLevel="0" collapsed="false">
      <c r="A2092" s="13" t="n">
        <v>45280</v>
      </c>
      <c r="B2092" s="14" t="n">
        <v>1299.22</v>
      </c>
      <c r="C2092" s="14" t="n">
        <v>10.3055</v>
      </c>
      <c r="D2092" s="14" t="n">
        <v>1.266</v>
      </c>
      <c r="E2092" s="14" t="n">
        <v>1.0957</v>
      </c>
      <c r="F2092" s="14" t="n">
        <v>7.1355</v>
      </c>
      <c r="G2092" s="14" t="n">
        <v>4.8906</v>
      </c>
      <c r="H2092" s="14" t="n">
        <v>143.77</v>
      </c>
      <c r="I2092" s="14" t="n">
        <v>1.0944</v>
      </c>
      <c r="J2092" s="14" t="n">
        <v>11.2895</v>
      </c>
      <c r="K2092" s="14" t="n">
        <v>1425.62</v>
      </c>
      <c r="L2092" s="14" t="n">
        <v>0.86555</v>
      </c>
      <c r="M2092" s="14" t="n">
        <v>7.8121</v>
      </c>
      <c r="N2092" s="14" t="n">
        <v>5.3287</v>
      </c>
      <c r="O2092" s="14" t="n">
        <v>157.12</v>
      </c>
      <c r="P2092" s="14" t="n">
        <v>10.3157</v>
      </c>
    </row>
    <row r="2093" customFormat="false" ht="15" hidden="false" customHeight="false" outlineLevel="0" collapsed="false">
      <c r="A2093" s="13" t="n">
        <v>45281</v>
      </c>
      <c r="B2093" s="14" t="n">
        <v>1304.82</v>
      </c>
      <c r="C2093" s="14" t="n">
        <v>10.2894</v>
      </c>
      <c r="D2093" s="14" t="n">
        <v>1.2668</v>
      </c>
      <c r="E2093" s="14" t="n">
        <v>1.099</v>
      </c>
      <c r="F2093" s="14" t="n">
        <v>7.1381</v>
      </c>
      <c r="G2093" s="14" t="n">
        <v>4.8742</v>
      </c>
      <c r="H2093" s="14" t="n">
        <v>142.16</v>
      </c>
      <c r="I2093" s="14" t="n">
        <v>1.0983</v>
      </c>
      <c r="J2093" s="14" t="n">
        <v>11.315</v>
      </c>
      <c r="K2093" s="14" t="n">
        <v>1431.04</v>
      </c>
      <c r="L2093" s="14" t="n">
        <v>0.86805</v>
      </c>
      <c r="M2093" s="14" t="n">
        <v>7.8426</v>
      </c>
      <c r="N2093" s="14" t="n">
        <v>5.3688</v>
      </c>
      <c r="O2093" s="14" t="n">
        <v>156.79</v>
      </c>
      <c r="P2093" s="14" t="n">
        <v>10.3023</v>
      </c>
    </row>
    <row r="2094" customFormat="false" ht="15" hidden="false" customHeight="false" outlineLevel="0" collapsed="false">
      <c r="A2094" s="13" t="n">
        <v>45282</v>
      </c>
      <c r="B2094" s="14" t="n">
        <v>1302.54</v>
      </c>
      <c r="C2094" s="14" t="n">
        <v>10.2164</v>
      </c>
      <c r="D2094" s="14" t="n">
        <v>1.272</v>
      </c>
      <c r="E2094" s="14" t="n">
        <v>1.1008</v>
      </c>
      <c r="F2094" s="14" t="n">
        <v>7.1315</v>
      </c>
      <c r="G2094" s="14" t="n">
        <v>4.8579</v>
      </c>
      <c r="H2094" s="14" t="n">
        <v>142.6</v>
      </c>
      <c r="I2094" s="14" t="n">
        <v>1.1023</v>
      </c>
      <c r="J2094" s="14" t="n">
        <v>11.2705</v>
      </c>
      <c r="K2094" s="14" t="n">
        <v>1430.05</v>
      </c>
      <c r="L2094" s="14" t="n">
        <v>0.8666</v>
      </c>
      <c r="M2094" s="14" t="n">
        <v>7.864</v>
      </c>
      <c r="N2094" s="14" t="n">
        <v>5.3624</v>
      </c>
      <c r="O2094" s="14" t="n">
        <v>156.66</v>
      </c>
      <c r="P2094" s="14" t="n">
        <v>10.2245</v>
      </c>
    </row>
    <row r="2095" customFormat="false" ht="15" hidden="false" customHeight="false" outlineLevel="0" collapsed="false">
      <c r="A2095" s="13" t="n">
        <v>45285</v>
      </c>
    </row>
    <row r="2096" customFormat="false" ht="15" hidden="false" customHeight="false" outlineLevel="0" collapsed="false">
      <c r="A2096" s="13" t="n">
        <v>45286</v>
      </c>
      <c r="B2096" s="14" t="n">
        <v>1294.25</v>
      </c>
      <c r="C2096" s="14" t="n">
        <v>10.1864</v>
      </c>
      <c r="D2096" s="14" t="n">
        <v>1.2709</v>
      </c>
      <c r="E2096" s="14" t="n">
        <v>1.1035</v>
      </c>
      <c r="F2096" s="14" t="n">
        <v>7.1432</v>
      </c>
      <c r="G2096" s="14" t="n">
        <v>4.826</v>
      </c>
      <c r="H2096" s="14" t="n">
        <v>142.48</v>
      </c>
    </row>
    <row r="2097" customFormat="false" ht="15" hidden="false" customHeight="false" outlineLevel="0" collapsed="false">
      <c r="A2097" s="13" t="n">
        <v>45287</v>
      </c>
      <c r="B2097" s="14" t="n">
        <v>1293.38</v>
      </c>
      <c r="C2097" s="14" t="n">
        <v>10.0729</v>
      </c>
      <c r="D2097" s="14" t="n">
        <v>1.2797</v>
      </c>
      <c r="E2097" s="14" t="n">
        <v>1.1114</v>
      </c>
      <c r="F2097" s="14" t="n">
        <v>7.1405</v>
      </c>
      <c r="G2097" s="14" t="n">
        <v>4.8321</v>
      </c>
      <c r="H2097" s="14" t="n">
        <v>142.05</v>
      </c>
      <c r="I2097" s="14" t="n">
        <v>1.1065</v>
      </c>
      <c r="J2097" s="14" t="n">
        <v>11.2355</v>
      </c>
      <c r="K2097" s="14" t="n">
        <v>1432.67</v>
      </c>
      <c r="L2097" s="14" t="n">
        <v>0.8683</v>
      </c>
      <c r="M2097" s="14" t="n">
        <v>7.9086</v>
      </c>
      <c r="N2097" s="14" t="n">
        <v>5.3434</v>
      </c>
      <c r="O2097" s="14" t="n">
        <v>157.81</v>
      </c>
      <c r="P2097" s="14" t="n">
        <v>10.1541</v>
      </c>
    </row>
    <row r="2098" customFormat="false" ht="15" hidden="false" customHeight="false" outlineLevel="0" collapsed="false">
      <c r="A2098" s="13" t="n">
        <v>45288</v>
      </c>
      <c r="B2098" s="14" t="n">
        <v>1288.45</v>
      </c>
      <c r="C2098" s="14" t="n">
        <v>10.1706</v>
      </c>
      <c r="D2098" s="14" t="n">
        <v>1.2743</v>
      </c>
      <c r="E2098" s="14" t="n">
        <v>1.1073</v>
      </c>
      <c r="F2098" s="14" t="n">
        <v>7.1065</v>
      </c>
      <c r="G2098" s="14" t="n">
        <v>4.8514</v>
      </c>
      <c r="H2098" s="14" t="n">
        <v>141.08</v>
      </c>
      <c r="I2098" s="14" t="n">
        <v>1.1114</v>
      </c>
      <c r="J2098" s="14" t="n">
        <v>11.2625</v>
      </c>
      <c r="K2098" s="14" t="n">
        <v>1429.08</v>
      </c>
      <c r="L2098" s="14" t="n">
        <v>0.8706</v>
      </c>
      <c r="M2098" s="14" t="n">
        <v>7.8941</v>
      </c>
      <c r="N2098" s="14" t="n">
        <v>5.3739</v>
      </c>
      <c r="O2098" s="14" t="n">
        <v>156.57</v>
      </c>
      <c r="P2098" s="14" t="n">
        <v>10.1336</v>
      </c>
    </row>
    <row r="2099" customFormat="false" ht="15" hidden="false" customHeight="false" outlineLevel="0" collapsed="false">
      <c r="A2099" s="13" t="n">
        <v>45289</v>
      </c>
      <c r="B2099" s="14" t="n">
        <v>1290.97</v>
      </c>
      <c r="C2099" s="14" t="n">
        <v>10.122</v>
      </c>
      <c r="D2099" s="14" t="n">
        <v>1.2743</v>
      </c>
      <c r="E2099" s="14" t="n">
        <v>1.1062</v>
      </c>
      <c r="F2099" s="14" t="n">
        <v>7.0999</v>
      </c>
      <c r="G2099" s="14" t="n">
        <v>4.8521</v>
      </c>
      <c r="H2099" s="14" t="n">
        <v>140.92</v>
      </c>
      <c r="I2099" s="14" t="n">
        <v>1.105</v>
      </c>
      <c r="J2099" s="14" t="n">
        <v>11.2405</v>
      </c>
      <c r="K2099" s="14" t="n">
        <v>1433.66</v>
      </c>
      <c r="L2099" s="14" t="n">
        <v>0.86905</v>
      </c>
      <c r="M2099" s="14" t="n">
        <v>7.8509</v>
      </c>
      <c r="N2099" s="14" t="n">
        <v>5.3618</v>
      </c>
      <c r="O2099" s="14" t="n">
        <v>156.33</v>
      </c>
      <c r="P2099" s="14" t="n">
        <v>10.1724</v>
      </c>
    </row>
    <row r="2100" customFormat="false" ht="15" hidden="false" customHeight="false" outlineLevel="0" collapsed="false">
      <c r="A2100" s="13" t="n">
        <v>45292</v>
      </c>
    </row>
    <row r="2101" customFormat="false" ht="15" hidden="false" customHeight="false" outlineLevel="0" collapsed="false">
      <c r="A2101" s="13" t="n">
        <v>45293</v>
      </c>
      <c r="B2101" s="14" t="n">
        <v>1300.52</v>
      </c>
      <c r="C2101" s="14" t="n">
        <v>10.3202</v>
      </c>
      <c r="D2101" s="14" t="n">
        <v>1.2632</v>
      </c>
      <c r="E2101" s="14" t="n">
        <v>1.0957</v>
      </c>
      <c r="F2101" s="14" t="n">
        <v>7.1426</v>
      </c>
      <c r="G2101" s="14" t="n">
        <v>4.8943</v>
      </c>
      <c r="H2101" s="14" t="n">
        <v>141.89</v>
      </c>
      <c r="I2101" s="14" t="n">
        <v>1.0956</v>
      </c>
      <c r="J2101" s="14" t="n">
        <v>11.2815</v>
      </c>
      <c r="K2101" s="14" t="n">
        <v>1438.78</v>
      </c>
      <c r="L2101" s="14" t="n">
        <v>0.86645</v>
      </c>
      <c r="M2101" s="14" t="n">
        <v>7.8264</v>
      </c>
      <c r="N2101" s="14" t="n">
        <v>5.3562</v>
      </c>
      <c r="O2101" s="14" t="n">
        <v>155.68</v>
      </c>
      <c r="P2101" s="14" t="n">
        <v>10.2971</v>
      </c>
    </row>
    <row r="2102" customFormat="false" ht="15" hidden="false" customHeight="false" outlineLevel="0" collapsed="false">
      <c r="A2102" s="13" t="n">
        <v>45294</v>
      </c>
      <c r="B2102" s="14" t="n">
        <v>1305.1</v>
      </c>
      <c r="C2102" s="14" t="n">
        <v>10.3649</v>
      </c>
      <c r="D2102" s="14" t="n">
        <v>1.2641</v>
      </c>
      <c r="E2102" s="14" t="n">
        <v>1.0909</v>
      </c>
      <c r="F2102" s="14" t="n">
        <v>7.1497</v>
      </c>
      <c r="G2102" s="14" t="n">
        <v>4.9239</v>
      </c>
      <c r="H2102" s="14" t="n">
        <v>143.55</v>
      </c>
      <c r="I2102" s="14" t="n">
        <v>1.0919</v>
      </c>
      <c r="J2102" s="14" t="n">
        <v>11.32</v>
      </c>
      <c r="K2102" s="14" t="n">
        <v>1432.28</v>
      </c>
      <c r="L2102" s="14" t="n">
        <v>0.8647</v>
      </c>
      <c r="M2102" s="14" t="n">
        <v>7.8057</v>
      </c>
      <c r="N2102" s="14" t="n">
        <v>5.3859</v>
      </c>
      <c r="O2102" s="14" t="n">
        <v>156.16</v>
      </c>
      <c r="P2102" s="14" t="n">
        <v>10.3672</v>
      </c>
    </row>
    <row r="2103" customFormat="false" ht="15" hidden="false" customHeight="false" outlineLevel="0" collapsed="false">
      <c r="A2103" s="13" t="n">
        <v>45295</v>
      </c>
      <c r="B2103" s="14" t="n">
        <v>1310.39</v>
      </c>
      <c r="C2103" s="14" t="n">
        <v>10.2978</v>
      </c>
      <c r="D2103" s="14" t="n">
        <v>1.2692</v>
      </c>
      <c r="E2103" s="14" t="n">
        <v>1.0957</v>
      </c>
      <c r="F2103" s="14" t="n">
        <v>7.1589</v>
      </c>
      <c r="G2103" s="14" t="n">
        <v>4.9143</v>
      </c>
      <c r="H2103" s="14" t="n">
        <v>144.59</v>
      </c>
      <c r="I2103" s="14" t="n">
        <v>1.0953</v>
      </c>
      <c r="J2103" s="14" t="n">
        <v>11.2845</v>
      </c>
      <c r="K2103" s="14" t="n">
        <v>1434.25</v>
      </c>
      <c r="L2103" s="14" t="n">
        <v>0.86278</v>
      </c>
      <c r="M2103" s="14" t="n">
        <v>7.833</v>
      </c>
      <c r="N2103" s="14" t="n">
        <v>5.3761</v>
      </c>
      <c r="O2103" s="14" t="n">
        <v>157.91</v>
      </c>
      <c r="P2103" s="14" t="n">
        <v>10.3027</v>
      </c>
    </row>
    <row r="2104" customFormat="false" ht="15" hidden="false" customHeight="false" outlineLevel="0" collapsed="false">
      <c r="A2104" s="13" t="n">
        <v>45296</v>
      </c>
      <c r="B2104" s="14" t="n">
        <v>1315.62</v>
      </c>
      <c r="C2104" s="14" t="n">
        <v>10.2803</v>
      </c>
      <c r="D2104" s="14" t="n">
        <v>1.274</v>
      </c>
      <c r="E2104" s="14" t="n">
        <v>1.0957</v>
      </c>
      <c r="F2104" s="14" t="n">
        <v>7.145</v>
      </c>
      <c r="G2104" s="14" t="n">
        <v>4.8744</v>
      </c>
      <c r="H2104" s="14" t="n">
        <v>144.52</v>
      </c>
      <c r="I2104" s="14" t="n">
        <v>1.0921</v>
      </c>
      <c r="J2104" s="14" t="n">
        <v>11.309</v>
      </c>
      <c r="K2104" s="14" t="n">
        <v>1439.64</v>
      </c>
      <c r="L2104" s="14" t="n">
        <v>0.8621</v>
      </c>
      <c r="M2104" s="14" t="n">
        <v>7.813</v>
      </c>
      <c r="N2104" s="14" t="n">
        <v>5.3724</v>
      </c>
      <c r="O2104" s="14" t="n">
        <v>158.57</v>
      </c>
      <c r="P2104" s="14" t="n">
        <v>10.3553</v>
      </c>
    </row>
    <row r="2105" customFormat="false" ht="15" hidden="false" customHeight="false" outlineLevel="0" collapsed="false">
      <c r="A2105" s="13" t="n">
        <v>45299</v>
      </c>
      <c r="B2105" s="14" t="n">
        <v>1315.58</v>
      </c>
      <c r="C2105" s="14" t="n">
        <v>10.3563</v>
      </c>
      <c r="D2105" s="14" t="n">
        <v>1.2766</v>
      </c>
      <c r="E2105" s="14" t="n">
        <v>1.0976</v>
      </c>
      <c r="F2105" s="14" t="n">
        <v>7.154</v>
      </c>
      <c r="G2105" s="14" t="n">
        <v>4.8745</v>
      </c>
      <c r="H2105" s="14" t="n">
        <v>143.89</v>
      </c>
      <c r="I2105" s="14" t="n">
        <v>1.0946</v>
      </c>
      <c r="J2105" s="14" t="n">
        <v>11.362</v>
      </c>
      <c r="K2105" s="14" t="n">
        <v>1444.94</v>
      </c>
      <c r="L2105" s="14" t="n">
        <v>0.8615</v>
      </c>
      <c r="M2105" s="14" t="n">
        <v>7.8397</v>
      </c>
      <c r="N2105" s="14" t="n">
        <v>5.3607</v>
      </c>
      <c r="O2105" s="14" t="n">
        <v>158.19</v>
      </c>
      <c r="P2105" s="14" t="n">
        <v>10.38</v>
      </c>
    </row>
    <row r="2106" customFormat="false" ht="15" hidden="false" customHeight="false" outlineLevel="0" collapsed="false">
      <c r="A2106" s="13" t="n">
        <v>45300</v>
      </c>
      <c r="B2106" s="14" t="n">
        <v>1315.92</v>
      </c>
      <c r="C2106" s="14" t="n">
        <v>10.3454</v>
      </c>
      <c r="D2106" s="14" t="n">
        <v>1.272</v>
      </c>
      <c r="E2106" s="14" t="n">
        <v>1.0935</v>
      </c>
      <c r="F2106" s="14" t="n">
        <v>7.1675</v>
      </c>
      <c r="G2106" s="14" t="n">
        <v>4.8956</v>
      </c>
      <c r="H2106" s="14" t="n">
        <v>144.35</v>
      </c>
      <c r="I2106" s="14" t="n">
        <v>1.094</v>
      </c>
      <c r="J2106" s="14" t="n">
        <v>11.308</v>
      </c>
      <c r="K2106" s="14" t="n">
        <v>1442.62</v>
      </c>
      <c r="L2106" s="14" t="n">
        <v>0.85938</v>
      </c>
      <c r="M2106" s="14" t="n">
        <v>7.8381</v>
      </c>
      <c r="N2106" s="14" t="n">
        <v>5.3475</v>
      </c>
      <c r="O2106" s="14" t="n">
        <v>157.63</v>
      </c>
      <c r="P2106" s="14" t="n">
        <v>10.3364</v>
      </c>
    </row>
    <row r="2107" customFormat="false" ht="15" hidden="false" customHeight="false" outlineLevel="0" collapsed="false">
      <c r="A2107" s="13" t="n">
        <v>45301</v>
      </c>
      <c r="B2107" s="14" t="n">
        <v>1320.42</v>
      </c>
      <c r="C2107" s="14" t="n">
        <v>10.3518</v>
      </c>
      <c r="D2107" s="14" t="n">
        <v>1.273</v>
      </c>
      <c r="E2107" s="14" t="n">
        <v>1.096</v>
      </c>
      <c r="F2107" s="14" t="n">
        <v>7.1711</v>
      </c>
      <c r="G2107" s="14" t="n">
        <v>4.8929</v>
      </c>
      <c r="H2107" s="14" t="n">
        <v>145.68</v>
      </c>
      <c r="I2107" s="14" t="n">
        <v>1.0946</v>
      </c>
      <c r="J2107" s="14" t="n">
        <v>11.2915</v>
      </c>
      <c r="K2107" s="14" t="n">
        <v>1443.77</v>
      </c>
      <c r="L2107" s="14" t="n">
        <v>0.86023</v>
      </c>
      <c r="M2107" s="14" t="n">
        <v>7.8476</v>
      </c>
      <c r="N2107" s="14" t="n">
        <v>5.3508</v>
      </c>
      <c r="O2107" s="14" t="n">
        <v>159.03</v>
      </c>
      <c r="P2107" s="14" t="n">
        <v>10.3156</v>
      </c>
    </row>
    <row r="2108" customFormat="false" ht="15" hidden="false" customHeight="false" outlineLevel="0" collapsed="false">
      <c r="A2108" s="13" t="n">
        <v>45302</v>
      </c>
      <c r="B2108" s="14" t="n">
        <v>1313.04</v>
      </c>
      <c r="C2108" s="14" t="n">
        <v>10.3553</v>
      </c>
      <c r="D2108" s="14" t="n">
        <v>1.2712</v>
      </c>
      <c r="E2108" s="14" t="n">
        <v>1.0943</v>
      </c>
      <c r="F2108" s="14" t="n">
        <v>7.167</v>
      </c>
      <c r="G2108" s="14" t="n">
        <v>4.8838</v>
      </c>
      <c r="H2108" s="14" t="n">
        <v>146.03</v>
      </c>
      <c r="I2108" s="14" t="n">
        <v>1.0987</v>
      </c>
      <c r="J2108" s="14" t="n">
        <v>11.3283</v>
      </c>
      <c r="K2108" s="14" t="n">
        <v>1444.39</v>
      </c>
      <c r="L2108" s="14" t="n">
        <v>0.86145</v>
      </c>
      <c r="M2108" s="14" t="n">
        <v>7.8649</v>
      </c>
      <c r="N2108" s="14" t="n">
        <v>5.3606</v>
      </c>
      <c r="O2108" s="14" t="n">
        <v>159.71</v>
      </c>
      <c r="P2108" s="14" t="n">
        <v>10.3106</v>
      </c>
    </row>
    <row r="2109" customFormat="false" ht="15" hidden="false" customHeight="false" outlineLevel="0" collapsed="false">
      <c r="A2109" s="13" t="n">
        <v>45303</v>
      </c>
      <c r="B2109" s="14" t="n">
        <v>1313.41</v>
      </c>
      <c r="C2109" s="14" t="n">
        <v>10.2856</v>
      </c>
      <c r="D2109" s="14" t="n">
        <v>1.2746</v>
      </c>
      <c r="E2109" s="14" t="n">
        <v>1.0959</v>
      </c>
      <c r="F2109" s="14" t="n">
        <v>7.1665</v>
      </c>
      <c r="G2109" s="14" t="n">
        <v>4.8536</v>
      </c>
      <c r="H2109" s="14" t="n">
        <v>144.86</v>
      </c>
      <c r="I2109" s="14" t="n">
        <v>1.0942</v>
      </c>
      <c r="J2109" s="14" t="n">
        <v>11.2765</v>
      </c>
      <c r="K2109" s="14" t="n">
        <v>1438.73</v>
      </c>
      <c r="L2109" s="14" t="n">
        <v>0.8595</v>
      </c>
      <c r="M2109" s="14" t="n">
        <v>7.8451</v>
      </c>
      <c r="N2109" s="14" t="n">
        <v>5.3309</v>
      </c>
      <c r="O2109" s="14" t="n">
        <v>159.17</v>
      </c>
      <c r="P2109" s="14" t="n">
        <v>10.3057</v>
      </c>
    </row>
    <row r="2110" customFormat="false" ht="15" hidden="false" customHeight="false" outlineLevel="0" collapsed="false">
      <c r="A2110" s="13" t="n">
        <v>45306</v>
      </c>
      <c r="I2110" s="14" t="n">
        <v>1.0945</v>
      </c>
      <c r="J2110" s="14" t="n">
        <v>11.314</v>
      </c>
      <c r="K2110" s="14" t="n">
        <v>1446.95</v>
      </c>
      <c r="L2110" s="14" t="n">
        <v>0.86075</v>
      </c>
      <c r="M2110" s="14" t="n">
        <v>7.8529</v>
      </c>
      <c r="N2110" s="14" t="n">
        <v>5.3333</v>
      </c>
      <c r="O2110" s="14" t="n">
        <v>159.67</v>
      </c>
      <c r="P2110" s="14" t="n">
        <v>10.3371</v>
      </c>
    </row>
    <row r="2111" customFormat="false" ht="15" hidden="false" customHeight="false" outlineLevel="0" collapsed="false">
      <c r="A2111" s="13" t="n">
        <v>45307</v>
      </c>
      <c r="B2111" s="14" t="n">
        <v>1331.5</v>
      </c>
      <c r="C2111" s="14" t="n">
        <v>10.452</v>
      </c>
      <c r="D2111" s="14" t="n">
        <v>1.2657</v>
      </c>
      <c r="E2111" s="14" t="n">
        <v>1.0882</v>
      </c>
      <c r="F2111" s="14" t="n">
        <v>7.1874</v>
      </c>
      <c r="G2111" s="14" t="n">
        <v>4.9163</v>
      </c>
      <c r="H2111" s="14" t="n">
        <v>147.01</v>
      </c>
      <c r="I2111" s="14" t="n">
        <v>1.0882</v>
      </c>
      <c r="J2111" s="14" t="n">
        <v>11.3335</v>
      </c>
      <c r="K2111" s="14" t="n">
        <v>1454.92</v>
      </c>
      <c r="L2111" s="14" t="n">
        <v>0.86078</v>
      </c>
      <c r="M2111" s="14" t="n">
        <v>7.8237</v>
      </c>
      <c r="N2111" s="14" t="n">
        <v>5.3184</v>
      </c>
      <c r="O2111" s="14" t="n">
        <v>159.64</v>
      </c>
      <c r="P2111" s="14" t="n">
        <v>10.4149</v>
      </c>
    </row>
    <row r="2112" customFormat="false" ht="15" hidden="false" customHeight="false" outlineLevel="0" collapsed="false">
      <c r="A2112" s="13" t="n">
        <v>45308</v>
      </c>
      <c r="B2112" s="14" t="n">
        <v>1344.23</v>
      </c>
      <c r="C2112" s="14" t="n">
        <v>10.53</v>
      </c>
      <c r="D2112" s="14" t="n">
        <v>1.2666</v>
      </c>
      <c r="E2112" s="14" t="n">
        <v>1.0858</v>
      </c>
      <c r="F2112" s="14" t="n">
        <v>7.196</v>
      </c>
      <c r="G2112" s="14" t="n">
        <v>4.928</v>
      </c>
      <c r="H2112" s="14" t="n">
        <v>148.39</v>
      </c>
      <c r="I2112" s="14" t="n">
        <v>1.0877</v>
      </c>
      <c r="J2112" s="14" t="n">
        <v>11.4335</v>
      </c>
      <c r="K2112" s="14" t="n">
        <v>1463.11</v>
      </c>
      <c r="L2112" s="14" t="n">
        <v>0.85818</v>
      </c>
      <c r="M2112" s="14" t="n">
        <v>7.8262</v>
      </c>
      <c r="N2112" s="14" t="n">
        <v>5.3673</v>
      </c>
      <c r="O2112" s="14" t="n">
        <v>160.65</v>
      </c>
      <c r="P2112" s="14" t="n">
        <v>10.5116</v>
      </c>
    </row>
    <row r="2113" customFormat="false" ht="15" hidden="false" customHeight="false" outlineLevel="0" collapsed="false">
      <c r="A2113" s="13" t="n">
        <v>45309</v>
      </c>
      <c r="B2113" s="14" t="n">
        <v>1338.73</v>
      </c>
      <c r="C2113" s="14" t="n">
        <v>10.528</v>
      </c>
      <c r="D2113" s="14" t="n">
        <v>1.2687</v>
      </c>
      <c r="E2113" s="14" t="n">
        <v>1.0863</v>
      </c>
      <c r="F2113" s="14" t="n">
        <v>7.1961</v>
      </c>
      <c r="G2113" s="14" t="n">
        <v>4.944</v>
      </c>
      <c r="H2113" s="14" t="n">
        <v>148.15</v>
      </c>
      <c r="I2113" s="14" t="n">
        <v>1.0875</v>
      </c>
      <c r="J2113" s="14" t="n">
        <v>11.446</v>
      </c>
      <c r="K2113" s="14" t="n">
        <v>1455.8</v>
      </c>
      <c r="L2113" s="14" t="n">
        <v>0.85773</v>
      </c>
      <c r="M2113" s="14" t="n">
        <v>7.8231</v>
      </c>
      <c r="N2113" s="14" t="n">
        <v>5.3551</v>
      </c>
      <c r="O2113" s="14" t="n">
        <v>160.89</v>
      </c>
      <c r="P2113" s="14" t="n">
        <v>10.5251</v>
      </c>
    </row>
    <row r="2114" customFormat="false" ht="15" hidden="false" customHeight="false" outlineLevel="0" collapsed="false">
      <c r="A2114" s="13" t="n">
        <v>45310</v>
      </c>
      <c r="B2114" s="14" t="n">
        <v>1338.53</v>
      </c>
      <c r="C2114" s="14" t="n">
        <v>10.514</v>
      </c>
      <c r="D2114" s="14" t="n">
        <v>1.2677</v>
      </c>
      <c r="E2114" s="14" t="n">
        <v>1.0887</v>
      </c>
      <c r="F2114" s="14" t="n">
        <v>7.1931</v>
      </c>
      <c r="G2114" s="14" t="n">
        <v>4.928</v>
      </c>
      <c r="H2114" s="14" t="n">
        <v>148.21</v>
      </c>
      <c r="I2114" s="14" t="n">
        <v>1.0887</v>
      </c>
      <c r="J2114" s="14" t="n">
        <v>11.41</v>
      </c>
      <c r="K2114" s="14" t="n">
        <v>1451.99</v>
      </c>
      <c r="L2114" s="14" t="n">
        <v>0.85825</v>
      </c>
      <c r="M2114" s="14" t="n">
        <v>7.8291</v>
      </c>
      <c r="N2114" s="14" t="n">
        <v>5.3444</v>
      </c>
      <c r="O2114" s="14" t="n">
        <v>161.17</v>
      </c>
      <c r="P2114" s="14" t="n">
        <v>10.4804</v>
      </c>
    </row>
    <row r="2115" customFormat="false" ht="15" hidden="false" customHeight="false" outlineLevel="0" collapsed="false">
      <c r="A2115" s="13" t="n">
        <v>45313</v>
      </c>
      <c r="B2115" s="14" t="n">
        <v>1338.25</v>
      </c>
      <c r="C2115" s="14" t="n">
        <v>10.4934</v>
      </c>
      <c r="D2115" s="14" t="n">
        <v>1.2728</v>
      </c>
      <c r="E2115" s="14" t="n">
        <v>1.0895</v>
      </c>
      <c r="F2115" s="14" t="n">
        <v>7.192</v>
      </c>
      <c r="G2115" s="14" t="n">
        <v>4.9815</v>
      </c>
      <c r="H2115" s="14" t="n">
        <v>147.95</v>
      </c>
      <c r="I2115" s="14" t="n">
        <v>1.089</v>
      </c>
      <c r="J2115" s="14" t="n">
        <v>11.441</v>
      </c>
      <c r="K2115" s="14" t="n">
        <v>1458.19</v>
      </c>
      <c r="L2115" s="14" t="n">
        <v>0.85575</v>
      </c>
      <c r="M2115" s="14" t="n">
        <v>7.8349</v>
      </c>
      <c r="N2115" s="14" t="n">
        <v>5.3738</v>
      </c>
      <c r="O2115" s="14" t="n">
        <v>160.95</v>
      </c>
      <c r="P2115" s="14" t="n">
        <v>10.506</v>
      </c>
    </row>
    <row r="2116" customFormat="false" ht="15" hidden="false" customHeight="false" outlineLevel="0" collapsed="false">
      <c r="A2116" s="13" t="n">
        <v>45314</v>
      </c>
      <c r="B2116" s="14" t="n">
        <v>1333.76</v>
      </c>
      <c r="C2116" s="14" t="n">
        <v>10.5354</v>
      </c>
      <c r="D2116" s="14" t="n">
        <v>1.2661</v>
      </c>
      <c r="E2116" s="14" t="n">
        <v>1.0829</v>
      </c>
      <c r="F2116" s="14" t="n">
        <v>7.172</v>
      </c>
      <c r="G2116" s="14" t="n">
        <v>4.9744</v>
      </c>
      <c r="H2116" s="14" t="n">
        <v>148.55</v>
      </c>
      <c r="I2116" s="14" t="n">
        <v>1.0872</v>
      </c>
      <c r="J2116" s="14" t="n">
        <v>11.4298</v>
      </c>
      <c r="K2116" s="14" t="n">
        <v>1454.29</v>
      </c>
      <c r="L2116" s="14" t="n">
        <v>0.85493</v>
      </c>
      <c r="M2116" s="14" t="n">
        <v>7.7953</v>
      </c>
      <c r="N2116" s="14" t="n">
        <v>5.3981</v>
      </c>
      <c r="O2116" s="14" t="n">
        <v>160.88</v>
      </c>
      <c r="P2116" s="14" t="n">
        <v>10.5131</v>
      </c>
    </row>
    <row r="2117" customFormat="false" ht="15" hidden="false" customHeight="false" outlineLevel="0" collapsed="false">
      <c r="A2117" s="13" t="n">
        <v>45315</v>
      </c>
      <c r="B2117" s="14" t="n">
        <v>1337.74</v>
      </c>
      <c r="C2117" s="14" t="n">
        <v>10.4411</v>
      </c>
      <c r="D2117" s="14" t="n">
        <v>1.2754</v>
      </c>
      <c r="E2117" s="14" t="n">
        <v>1.0901</v>
      </c>
      <c r="F2117" s="14" t="n">
        <v>7.158</v>
      </c>
      <c r="G2117" s="14" t="n">
        <v>4.919</v>
      </c>
      <c r="H2117" s="14" t="n">
        <v>147.31</v>
      </c>
      <c r="I2117" s="14" t="n">
        <v>1.0905</v>
      </c>
      <c r="J2117" s="14" t="n">
        <v>11.4155</v>
      </c>
      <c r="K2117" s="14" t="n">
        <v>1453.17</v>
      </c>
      <c r="L2117" s="14" t="n">
        <v>0.85543</v>
      </c>
      <c r="M2117" s="14" t="n">
        <v>7.7996</v>
      </c>
      <c r="N2117" s="14" t="n">
        <v>5.3587</v>
      </c>
      <c r="O2117" s="14" t="n">
        <v>160.46</v>
      </c>
      <c r="P2117" s="14" t="n">
        <v>10.4681</v>
      </c>
    </row>
    <row r="2118" customFormat="false" ht="15" hidden="false" customHeight="false" outlineLevel="0" collapsed="false">
      <c r="A2118" s="13" t="n">
        <v>45316</v>
      </c>
      <c r="B2118" s="14" t="n">
        <v>1336</v>
      </c>
      <c r="C2118" s="14" t="n">
        <v>10.4651</v>
      </c>
      <c r="D2118" s="14" t="n">
        <v>1.27</v>
      </c>
      <c r="E2118" s="14" t="n">
        <v>1.0837</v>
      </c>
      <c r="F2118" s="14" t="n">
        <v>7.169</v>
      </c>
      <c r="G2118" s="14" t="n">
        <v>4.9272</v>
      </c>
      <c r="H2118" s="14" t="n">
        <v>147.69</v>
      </c>
      <c r="I2118" s="14" t="n">
        <v>1.0893</v>
      </c>
      <c r="J2118" s="14" t="n">
        <v>11.3905</v>
      </c>
      <c r="K2118" s="14" t="n">
        <v>1456.25</v>
      </c>
      <c r="L2118" s="14" t="n">
        <v>0.85538</v>
      </c>
      <c r="M2118" s="14" t="n">
        <v>7.8093</v>
      </c>
      <c r="N2118" s="14" t="n">
        <v>5.3664</v>
      </c>
      <c r="O2118" s="14" t="n">
        <v>160.81</v>
      </c>
      <c r="P2118" s="14" t="n">
        <v>10.4567</v>
      </c>
    </row>
    <row r="2119" customFormat="false" ht="15" hidden="false" customHeight="false" outlineLevel="0" collapsed="false">
      <c r="A2119" s="13" t="n">
        <v>45317</v>
      </c>
      <c r="B2119" s="14" t="n">
        <v>1336.08</v>
      </c>
      <c r="C2119" s="14" t="n">
        <v>10.4078</v>
      </c>
      <c r="D2119" s="14" t="n">
        <v>1.272</v>
      </c>
      <c r="E2119" s="14" t="n">
        <v>1.0866</v>
      </c>
      <c r="F2119" s="14" t="n">
        <v>7.1763</v>
      </c>
      <c r="G2119" s="14" t="n">
        <v>4.9135</v>
      </c>
      <c r="H2119" s="14" t="n">
        <v>147.94</v>
      </c>
      <c r="I2119" s="14" t="n">
        <v>1.0871</v>
      </c>
      <c r="J2119" s="14" t="n">
        <v>11.3325</v>
      </c>
      <c r="K2119" s="14" t="n">
        <v>1451.08</v>
      </c>
      <c r="L2119" s="14" t="n">
        <v>0.85368</v>
      </c>
      <c r="M2119" s="14" t="n">
        <v>7.7994</v>
      </c>
      <c r="N2119" s="14" t="n">
        <v>5.3366</v>
      </c>
      <c r="O2119" s="14" t="n">
        <v>160.62</v>
      </c>
      <c r="P2119" s="14" t="n">
        <v>10.4245</v>
      </c>
    </row>
    <row r="2120" customFormat="false" ht="15" hidden="false" customHeight="false" outlineLevel="0" collapsed="false">
      <c r="A2120" s="13" t="n">
        <v>45320</v>
      </c>
      <c r="B2120" s="14" t="n">
        <v>1335.5</v>
      </c>
      <c r="C2120" s="14" t="n">
        <v>10.4575</v>
      </c>
      <c r="D2120" s="14" t="n">
        <v>1.2681</v>
      </c>
      <c r="E2120" s="14" t="n">
        <v>1.0807</v>
      </c>
      <c r="F2120" s="14" t="n">
        <v>7.1798</v>
      </c>
      <c r="G2120" s="14" t="n">
        <v>4.9422</v>
      </c>
      <c r="H2120" s="14" t="n">
        <v>147.65</v>
      </c>
      <c r="I2120" s="14" t="n">
        <v>1.0823</v>
      </c>
      <c r="J2120" s="14" t="n">
        <v>11.305</v>
      </c>
      <c r="K2120" s="14" t="n">
        <v>1445.6</v>
      </c>
      <c r="L2120" s="14" t="n">
        <v>0.8525</v>
      </c>
      <c r="M2120" s="14" t="n">
        <v>7.7702</v>
      </c>
      <c r="N2120" s="14" t="n">
        <v>5.3134</v>
      </c>
      <c r="O2120" s="14" t="n">
        <v>160.13</v>
      </c>
      <c r="P2120" s="14" t="n">
        <v>10.4453</v>
      </c>
    </row>
    <row r="2121" customFormat="false" ht="15" hidden="false" customHeight="false" outlineLevel="0" collapsed="false">
      <c r="A2121" s="13" t="n">
        <v>45321</v>
      </c>
      <c r="B2121" s="14" t="n">
        <v>1328.93</v>
      </c>
      <c r="C2121" s="14" t="n">
        <v>10.4481</v>
      </c>
      <c r="D2121" s="14" t="n">
        <v>1.2683</v>
      </c>
      <c r="E2121" s="14" t="n">
        <v>1.0844</v>
      </c>
      <c r="F2121" s="14" t="n">
        <v>7.1755</v>
      </c>
      <c r="G2121" s="14" t="n">
        <v>4.9627</v>
      </c>
      <c r="H2121" s="14" t="n">
        <v>147.71</v>
      </c>
      <c r="I2121" s="14" t="n">
        <v>1.0846</v>
      </c>
      <c r="J2121" s="14" t="n">
        <v>11.3383</v>
      </c>
      <c r="K2121" s="14" t="n">
        <v>1442.67</v>
      </c>
      <c r="L2121" s="14" t="n">
        <v>0.85628</v>
      </c>
      <c r="M2121" s="14" t="n">
        <v>7.7866</v>
      </c>
      <c r="N2121" s="14" t="n">
        <v>5.3697</v>
      </c>
      <c r="O2121" s="14" t="n">
        <v>159.97</v>
      </c>
      <c r="P2121" s="14" t="n">
        <v>10.4539</v>
      </c>
    </row>
    <row r="2122" customFormat="false" ht="15" hidden="false" customHeight="false" outlineLevel="0" collapsed="false">
      <c r="A2122" s="13" t="n">
        <v>45322</v>
      </c>
      <c r="B2122" s="14" t="n">
        <v>1334.9</v>
      </c>
      <c r="C2122" s="14" t="n">
        <v>10.4566</v>
      </c>
      <c r="D2122" s="14" t="n">
        <v>1.2733</v>
      </c>
      <c r="E2122" s="14" t="n">
        <v>1.0855</v>
      </c>
      <c r="F2122" s="14" t="n">
        <v>7.1673</v>
      </c>
      <c r="G2122" s="14" t="n">
        <v>4.939</v>
      </c>
      <c r="H2122" s="14" t="n">
        <v>146.26</v>
      </c>
      <c r="I2122" s="14" t="n">
        <v>1.0837</v>
      </c>
      <c r="J2122" s="14" t="n">
        <v>11.351</v>
      </c>
      <c r="K2122" s="14" t="n">
        <v>1444.63</v>
      </c>
      <c r="L2122" s="14" t="n">
        <v>0.85435</v>
      </c>
      <c r="M2122" s="14" t="n">
        <v>7.7789</v>
      </c>
      <c r="N2122" s="14" t="n">
        <v>5.3749</v>
      </c>
      <c r="O2122" s="14" t="n">
        <v>160.19</v>
      </c>
      <c r="P2122" s="14" t="n">
        <v>10.4743</v>
      </c>
    </row>
    <row r="2123" customFormat="false" ht="15" hidden="false" customHeight="false" outlineLevel="0" collapsed="false">
      <c r="A2123" s="13" t="n">
        <v>45323</v>
      </c>
      <c r="B2123" s="14" t="n">
        <v>1331.78</v>
      </c>
      <c r="C2123" s="14" t="n">
        <v>10.4235</v>
      </c>
      <c r="D2123" s="14" t="n">
        <v>1.2727</v>
      </c>
      <c r="E2123" s="14" t="n">
        <v>1.0865</v>
      </c>
      <c r="F2123" s="14" t="n">
        <v>7.1799</v>
      </c>
      <c r="G2123" s="14" t="n">
        <v>4.9195</v>
      </c>
      <c r="H2123" s="14" t="n">
        <v>146.18</v>
      </c>
      <c r="I2123" s="14" t="n">
        <v>1.0814</v>
      </c>
      <c r="J2123" s="14" t="n">
        <v>11.3665</v>
      </c>
      <c r="K2123" s="14" t="n">
        <v>1442.43</v>
      </c>
      <c r="L2123" s="14" t="n">
        <v>0.85353</v>
      </c>
      <c r="M2123" s="14" t="n">
        <v>7.7668</v>
      </c>
      <c r="N2123" s="14" t="n">
        <v>5.3578</v>
      </c>
      <c r="O2123" s="14" t="n">
        <v>158.96</v>
      </c>
      <c r="P2123" s="14" t="n">
        <v>10.5109</v>
      </c>
    </row>
    <row r="2124" customFormat="false" ht="15" hidden="false" customHeight="false" outlineLevel="0" collapsed="false">
      <c r="A2124" s="13" t="n">
        <v>45324</v>
      </c>
      <c r="B2124" s="14" t="n">
        <v>1321.9</v>
      </c>
      <c r="C2124" s="14" t="n">
        <v>10.6235</v>
      </c>
      <c r="D2124" s="14" t="n">
        <v>1.2627</v>
      </c>
      <c r="E2124" s="14" t="n">
        <v>1.0787</v>
      </c>
      <c r="F2124" s="14" t="n">
        <v>7.192</v>
      </c>
      <c r="G2124" s="14" t="n">
        <v>4.97</v>
      </c>
      <c r="H2124" s="14" t="n">
        <v>148.54</v>
      </c>
      <c r="I2124" s="14" t="n">
        <v>1.0883</v>
      </c>
      <c r="J2124" s="14" t="n">
        <v>11.387</v>
      </c>
      <c r="K2124" s="14" t="n">
        <v>1440.7</v>
      </c>
      <c r="L2124" s="14" t="n">
        <v>0.85263</v>
      </c>
      <c r="M2124" s="14" t="n">
        <v>7.8111</v>
      </c>
      <c r="N2124" s="14" t="n">
        <v>5.3471</v>
      </c>
      <c r="O2124" s="14" t="n">
        <v>159.58</v>
      </c>
      <c r="P2124" s="14" t="n">
        <v>10.4631</v>
      </c>
    </row>
    <row r="2125" customFormat="false" ht="15" hidden="false" customHeight="false" outlineLevel="0" collapsed="false">
      <c r="A2125" s="13" t="n">
        <v>45327</v>
      </c>
      <c r="B2125" s="14" t="n">
        <v>1330.98</v>
      </c>
      <c r="C2125" s="14" t="n">
        <v>10.7004</v>
      </c>
      <c r="D2125" s="14" t="n">
        <v>1.2532</v>
      </c>
      <c r="E2125" s="14" t="n">
        <v>1.0736</v>
      </c>
      <c r="F2125" s="14" t="n">
        <v>7.1982</v>
      </c>
      <c r="G2125" s="14" t="n">
        <v>5.0018</v>
      </c>
      <c r="H2125" s="14" t="n">
        <v>148.79</v>
      </c>
      <c r="I2125" s="14" t="n">
        <v>1.0746</v>
      </c>
      <c r="J2125" s="14" t="n">
        <v>11.465</v>
      </c>
      <c r="K2125" s="14" t="n">
        <v>1434.09</v>
      </c>
      <c r="L2125" s="14" t="n">
        <v>0.85595</v>
      </c>
      <c r="M2125" s="14" t="n">
        <v>7.735</v>
      </c>
      <c r="N2125" s="14" t="n">
        <v>5.3694</v>
      </c>
      <c r="O2125" s="14" t="n">
        <v>159.72</v>
      </c>
      <c r="P2125" s="14" t="n">
        <v>10.6691</v>
      </c>
    </row>
    <row r="2126" customFormat="false" ht="15" hidden="false" customHeight="false" outlineLevel="0" collapsed="false">
      <c r="A2126" s="13" t="n">
        <v>45328</v>
      </c>
      <c r="B2126" s="14" t="n">
        <v>1326.83</v>
      </c>
      <c r="C2126" s="14" t="n">
        <v>10.6165</v>
      </c>
      <c r="D2126" s="14" t="n">
        <v>1.2589</v>
      </c>
      <c r="E2126" s="14" t="n">
        <v>1.0751</v>
      </c>
      <c r="F2126" s="14" t="n">
        <v>7.1908</v>
      </c>
      <c r="G2126" s="14" t="n">
        <v>4.9539</v>
      </c>
      <c r="H2126" s="14" t="n">
        <v>148.03</v>
      </c>
      <c r="I2126" s="14" t="n">
        <v>1.0743</v>
      </c>
      <c r="J2126" s="14" t="n">
        <v>11.458</v>
      </c>
      <c r="K2126" s="14" t="n">
        <v>1426.76</v>
      </c>
      <c r="L2126" s="14" t="n">
        <v>0.8546</v>
      </c>
      <c r="M2126" s="14" t="n">
        <v>7.7231</v>
      </c>
      <c r="N2126" s="14" t="n">
        <v>5.338</v>
      </c>
      <c r="O2126" s="14" t="n">
        <v>159.56</v>
      </c>
      <c r="P2126" s="14" t="n">
        <v>10.6655</v>
      </c>
    </row>
    <row r="2127" customFormat="false" ht="15" hidden="false" customHeight="false" outlineLevel="0" collapsed="false">
      <c r="A2127" s="13" t="n">
        <v>45329</v>
      </c>
      <c r="B2127" s="14" t="n">
        <v>1327.37</v>
      </c>
      <c r="C2127" s="14" t="n">
        <v>10.5675</v>
      </c>
      <c r="D2127" s="14" t="n">
        <v>1.2629</v>
      </c>
      <c r="E2127" s="14" t="n">
        <v>1.0769</v>
      </c>
      <c r="F2127" s="14" t="n">
        <v>7.1943</v>
      </c>
      <c r="G2127" s="14" t="n">
        <v>4.9628</v>
      </c>
      <c r="H2127" s="14" t="n">
        <v>148.04</v>
      </c>
      <c r="I2127" s="14" t="n">
        <v>1.0776</v>
      </c>
      <c r="J2127" s="14" t="n">
        <v>11.376</v>
      </c>
      <c r="K2127" s="14" t="n">
        <v>1429.92</v>
      </c>
      <c r="L2127" s="14" t="n">
        <v>0.85305</v>
      </c>
      <c r="M2127" s="14" t="n">
        <v>7.7529</v>
      </c>
      <c r="N2127" s="14" t="n">
        <v>5.344</v>
      </c>
      <c r="O2127" s="14" t="n">
        <v>159.71</v>
      </c>
      <c r="P2127" s="14" t="n">
        <v>10.5568</v>
      </c>
    </row>
    <row r="2128" customFormat="false" ht="15" hidden="false" customHeight="false" outlineLevel="0" collapsed="false">
      <c r="A2128" s="13" t="n">
        <v>45330</v>
      </c>
      <c r="B2128" s="14" t="n">
        <v>1328.07</v>
      </c>
      <c r="C2128" s="14" t="n">
        <v>10.6099</v>
      </c>
      <c r="D2128" s="14" t="n">
        <v>1.262</v>
      </c>
      <c r="E2128" s="14" t="n">
        <v>1.0774</v>
      </c>
      <c r="F2128" s="14" t="n">
        <v>7.1965</v>
      </c>
      <c r="G2128" s="14" t="n">
        <v>4.994</v>
      </c>
      <c r="H2128" s="14" t="n">
        <v>149.25</v>
      </c>
      <c r="I2128" s="14" t="n">
        <v>1.0758</v>
      </c>
      <c r="J2128" s="14" t="n">
        <v>11.412</v>
      </c>
      <c r="K2128" s="14" t="n">
        <v>1433.01</v>
      </c>
      <c r="L2128" s="14" t="n">
        <v>0.85378</v>
      </c>
      <c r="M2128" s="14" t="n">
        <v>7.742</v>
      </c>
      <c r="N2128" s="14" t="n">
        <v>5.3546</v>
      </c>
      <c r="O2128" s="14" t="n">
        <v>160.55</v>
      </c>
      <c r="P2128" s="14" t="n">
        <v>10.6079</v>
      </c>
    </row>
    <row r="2129" customFormat="false" ht="15" hidden="false" customHeight="false" outlineLevel="0" collapsed="false">
      <c r="A2129" s="13" t="n">
        <v>45331</v>
      </c>
      <c r="B2129" s="14" t="n">
        <v>1333.1</v>
      </c>
      <c r="C2129" s="14" t="n">
        <v>10.5655</v>
      </c>
      <c r="D2129" s="14" t="n">
        <v>1.2628</v>
      </c>
      <c r="E2129" s="14" t="n">
        <v>1.0782</v>
      </c>
      <c r="F2129" s="14" t="n">
        <v>7.1929</v>
      </c>
      <c r="G2129" s="14" t="n">
        <v>4.9678</v>
      </c>
      <c r="H2129" s="14" t="n">
        <v>149.38</v>
      </c>
      <c r="I2129" s="14" t="n">
        <v>1.0772</v>
      </c>
      <c r="J2129" s="14" t="n">
        <v>11.399</v>
      </c>
      <c r="K2129" s="14" t="n">
        <v>1435.25</v>
      </c>
      <c r="L2129" s="14" t="n">
        <v>0.8544</v>
      </c>
      <c r="M2129" s="14" t="n">
        <v>7.7489</v>
      </c>
      <c r="N2129" s="14" t="n">
        <v>5.3637</v>
      </c>
      <c r="O2129" s="14" t="n">
        <v>161</v>
      </c>
      <c r="P2129" s="14" t="n">
        <v>10.5821</v>
      </c>
    </row>
    <row r="2130" customFormat="false" ht="15" hidden="false" customHeight="false" outlineLevel="0" collapsed="false">
      <c r="A2130" s="13" t="n">
        <v>45334</v>
      </c>
      <c r="B2130" s="14" t="n">
        <v>1331.37</v>
      </c>
      <c r="C2130" s="14" t="n">
        <v>10.5016</v>
      </c>
      <c r="D2130" s="14" t="n">
        <v>1.2631</v>
      </c>
      <c r="E2130" s="14" t="n">
        <v>1.0774</v>
      </c>
      <c r="F2130" s="14" t="n">
        <v>7.1928</v>
      </c>
      <c r="G2130" s="14" t="n">
        <v>4.9536</v>
      </c>
      <c r="H2130" s="14" t="n">
        <v>149.37</v>
      </c>
      <c r="I2130" s="14" t="n">
        <v>1.0773</v>
      </c>
      <c r="J2130" s="14" t="n">
        <v>11.32</v>
      </c>
      <c r="K2130" s="14" t="n">
        <v>1431.54</v>
      </c>
      <c r="L2130" s="14" t="n">
        <v>0.85391</v>
      </c>
      <c r="M2130" s="14" t="n">
        <v>7.7497</v>
      </c>
      <c r="N2130" s="14" t="n">
        <v>5.3366</v>
      </c>
      <c r="O2130" s="14" t="n">
        <v>160.51</v>
      </c>
      <c r="P2130" s="14" t="n">
        <v>10.5078</v>
      </c>
    </row>
    <row r="2131" customFormat="false" ht="15" hidden="false" customHeight="false" outlineLevel="0" collapsed="false">
      <c r="A2131" s="13" t="n">
        <v>45335</v>
      </c>
      <c r="B2131" s="14" t="n">
        <v>1327.88</v>
      </c>
      <c r="C2131" s="14" t="n">
        <v>10.6584</v>
      </c>
      <c r="D2131" s="14" t="n">
        <v>1.2606</v>
      </c>
      <c r="E2131" s="14" t="n">
        <v>1.072</v>
      </c>
      <c r="F2131" s="14" t="n">
        <v>7.1928</v>
      </c>
      <c r="G2131" s="14" t="n">
        <v>4.9536</v>
      </c>
      <c r="H2131" s="14" t="n">
        <v>150.72</v>
      </c>
      <c r="I2131" s="14" t="n">
        <v>1.0793</v>
      </c>
      <c r="J2131" s="14" t="n">
        <v>11.302</v>
      </c>
      <c r="K2131" s="14" t="n">
        <v>1434.64</v>
      </c>
      <c r="L2131" s="14" t="n">
        <v>0.85098</v>
      </c>
      <c r="M2131" s="14" t="n">
        <v>7.7641</v>
      </c>
      <c r="N2131" s="14" t="n">
        <v>5.3465</v>
      </c>
      <c r="O2131" s="14" t="n">
        <v>161.17</v>
      </c>
      <c r="P2131" s="14" t="n">
        <v>10.4716</v>
      </c>
    </row>
    <row r="2132" customFormat="false" ht="15" hidden="false" customHeight="false" outlineLevel="0" collapsed="false">
      <c r="A2132" s="13" t="n">
        <v>45336</v>
      </c>
      <c r="B2132" s="14" t="n">
        <v>1335.06</v>
      </c>
      <c r="C2132" s="14" t="n">
        <v>10.5822</v>
      </c>
      <c r="D2132" s="14" t="n">
        <v>1.2562</v>
      </c>
      <c r="E2132" s="14" t="n">
        <v>1.0735</v>
      </c>
      <c r="F2132" s="14" t="n">
        <v>7.1928</v>
      </c>
      <c r="G2132" s="14" t="n">
        <v>4.9653</v>
      </c>
      <c r="H2132" s="14" t="n">
        <v>150.5</v>
      </c>
      <c r="I2132" s="14" t="n">
        <v>1.0713</v>
      </c>
      <c r="J2132" s="14" t="n">
        <v>11.3375</v>
      </c>
      <c r="K2132" s="14" t="n">
        <v>1428.41</v>
      </c>
      <c r="L2132" s="14" t="n">
        <v>0.85258</v>
      </c>
      <c r="M2132" s="14" t="n">
        <v>7.7065</v>
      </c>
      <c r="N2132" s="14" t="n">
        <v>5.3069</v>
      </c>
      <c r="O2132" s="14" t="n">
        <v>161.28</v>
      </c>
      <c r="P2132" s="14" t="n">
        <v>10.5829</v>
      </c>
    </row>
    <row r="2133" customFormat="false" ht="15" hidden="false" customHeight="false" outlineLevel="0" collapsed="false">
      <c r="A2133" s="13" t="n">
        <v>45337</v>
      </c>
      <c r="B2133" s="14" t="n">
        <v>1333.84</v>
      </c>
      <c r="C2133" s="14" t="n">
        <v>10.5456</v>
      </c>
      <c r="D2133" s="14" t="n">
        <v>1.258</v>
      </c>
      <c r="E2133" s="14" t="n">
        <v>1.0761</v>
      </c>
      <c r="F2133" s="14" t="n">
        <v>7.1928</v>
      </c>
      <c r="G2133" s="14" t="n">
        <v>4.9739</v>
      </c>
      <c r="H2133" s="14" t="n">
        <v>150.19</v>
      </c>
      <c r="I2133" s="14" t="n">
        <v>1.0743</v>
      </c>
      <c r="J2133" s="14" t="n">
        <v>11.361</v>
      </c>
      <c r="K2133" s="14" t="n">
        <v>1429.35</v>
      </c>
      <c r="L2133" s="14" t="n">
        <v>0.85635</v>
      </c>
      <c r="M2133" s="14" t="n">
        <v>7.7288</v>
      </c>
      <c r="N2133" s="14" t="n">
        <v>5.3401</v>
      </c>
      <c r="O2133" s="14" t="n">
        <v>161.26</v>
      </c>
      <c r="P2133" s="14" t="n">
        <v>10.5753</v>
      </c>
    </row>
    <row r="2134" customFormat="false" ht="15" hidden="false" customHeight="false" outlineLevel="0" collapsed="false">
      <c r="A2134" s="13" t="n">
        <v>45338</v>
      </c>
      <c r="B2134" s="14" t="n">
        <v>1334.96</v>
      </c>
      <c r="C2134" s="14" t="n">
        <v>10.5154</v>
      </c>
      <c r="D2134" s="14" t="n">
        <v>1.259</v>
      </c>
      <c r="E2134" s="14" t="n">
        <v>1.0769</v>
      </c>
      <c r="F2134" s="14" t="n">
        <v>7.1928</v>
      </c>
      <c r="G2134" s="14" t="n">
        <v>4.9702</v>
      </c>
      <c r="H2134" s="14" t="n">
        <v>150.34</v>
      </c>
      <c r="I2134" s="14" t="n">
        <v>1.0768</v>
      </c>
      <c r="J2134" s="14" t="n">
        <v>11.3555</v>
      </c>
      <c r="K2134" s="14" t="n">
        <v>1435.09</v>
      </c>
      <c r="L2134" s="14" t="n">
        <v>0.85605</v>
      </c>
      <c r="M2134" s="14" t="n">
        <v>7.7461</v>
      </c>
      <c r="N2134" s="14" t="n">
        <v>5.3551</v>
      </c>
      <c r="O2134" s="14" t="n">
        <v>161.88</v>
      </c>
      <c r="P2134" s="14" t="n">
        <v>10.5456</v>
      </c>
    </row>
    <row r="2135" customFormat="false" ht="15" hidden="false" customHeight="false" outlineLevel="0" collapsed="false">
      <c r="A2135" s="13" t="n">
        <v>45341</v>
      </c>
      <c r="I2135" s="14" t="n">
        <v>1.0776</v>
      </c>
      <c r="J2135" s="14" t="n">
        <v>11.3045</v>
      </c>
      <c r="K2135" s="14" t="n">
        <v>1438.87</v>
      </c>
      <c r="L2135" s="14" t="n">
        <v>0.85448</v>
      </c>
      <c r="M2135" s="14" t="n">
        <v>7.757</v>
      </c>
      <c r="N2135" s="14" t="n">
        <v>5.3433</v>
      </c>
      <c r="O2135" s="14" t="n">
        <v>161.59</v>
      </c>
      <c r="P2135" s="14" t="n">
        <v>10.4904</v>
      </c>
    </row>
    <row r="2136" customFormat="false" ht="15" hidden="false" customHeight="false" outlineLevel="0" collapsed="false">
      <c r="A2136" s="13" t="n">
        <v>45342</v>
      </c>
      <c r="B2136" s="14" t="n">
        <v>1337.25</v>
      </c>
      <c r="C2136" s="14" t="n">
        <v>10.4805</v>
      </c>
      <c r="D2136" s="14" t="n">
        <v>1.2645</v>
      </c>
      <c r="E2136" s="14" t="n">
        <v>1.0814</v>
      </c>
      <c r="F2136" s="14" t="n">
        <v>7.1905</v>
      </c>
      <c r="G2136" s="14" t="n">
        <v>4.9324</v>
      </c>
      <c r="H2136" s="14" t="n">
        <v>149.87</v>
      </c>
      <c r="I2136" s="14" t="n">
        <v>1.0802</v>
      </c>
      <c r="J2136" s="14" t="n">
        <v>11.3275</v>
      </c>
      <c r="K2136" s="14" t="n">
        <v>1440.76</v>
      </c>
      <c r="L2136" s="14" t="n">
        <v>0.8566</v>
      </c>
      <c r="M2136" s="14" t="n">
        <v>7.7718</v>
      </c>
      <c r="N2136" s="14" t="n">
        <v>5.3521</v>
      </c>
      <c r="O2136" s="14" t="n">
        <v>162.18</v>
      </c>
      <c r="P2136" s="14" t="n">
        <v>10.4865</v>
      </c>
    </row>
    <row r="2137" customFormat="false" ht="15" hidden="false" customHeight="false" outlineLevel="0" collapsed="false">
      <c r="A2137" s="13" t="n">
        <v>45343</v>
      </c>
      <c r="B2137" s="14" t="n">
        <v>1334.95</v>
      </c>
      <c r="C2137" s="14" t="n">
        <v>10.4779</v>
      </c>
      <c r="D2137" s="14" t="n">
        <v>1.2624</v>
      </c>
      <c r="E2137" s="14" t="n">
        <v>1.0818</v>
      </c>
      <c r="F2137" s="14" t="n">
        <v>7.1891</v>
      </c>
      <c r="G2137" s="14" t="n">
        <v>4.9276</v>
      </c>
      <c r="H2137" s="14" t="n">
        <v>150.29</v>
      </c>
      <c r="I2137" s="14" t="n">
        <v>1.0809</v>
      </c>
      <c r="J2137" s="14" t="n">
        <v>11.3345</v>
      </c>
      <c r="K2137" s="14" t="n">
        <v>1441.77</v>
      </c>
      <c r="L2137" s="14" t="n">
        <v>0.85619</v>
      </c>
      <c r="M2137" s="14" t="n">
        <v>7.773</v>
      </c>
      <c r="N2137" s="14" t="n">
        <v>5.3253</v>
      </c>
      <c r="O2137" s="14" t="n">
        <v>162.12</v>
      </c>
      <c r="P2137" s="14" t="n">
        <v>10.4862</v>
      </c>
    </row>
    <row r="2138" customFormat="false" ht="15" hidden="false" customHeight="false" outlineLevel="0" collapsed="false">
      <c r="A2138" s="13" t="n">
        <v>45344</v>
      </c>
      <c r="B2138" s="14" t="n">
        <v>1328.71</v>
      </c>
      <c r="C2138" s="14" t="n">
        <v>10.5111</v>
      </c>
      <c r="D2138" s="14" t="n">
        <v>1.2649</v>
      </c>
      <c r="E2138" s="14" t="n">
        <v>1.0815</v>
      </c>
      <c r="F2138" s="14" t="n">
        <v>7.1944</v>
      </c>
      <c r="G2138" s="14" t="n">
        <v>4.9408</v>
      </c>
      <c r="H2138" s="14" t="n">
        <v>150.62</v>
      </c>
      <c r="I2138" s="14" t="n">
        <v>1.0844</v>
      </c>
      <c r="J2138" s="14" t="n">
        <v>11.356</v>
      </c>
      <c r="K2138" s="14" t="n">
        <v>1438.77</v>
      </c>
      <c r="L2138" s="14" t="n">
        <v>0.85625</v>
      </c>
      <c r="M2138" s="14" t="n">
        <v>7.7988</v>
      </c>
      <c r="N2138" s="14" t="n">
        <v>5.3499</v>
      </c>
      <c r="O2138" s="14" t="n">
        <v>163.12</v>
      </c>
      <c r="P2138" s="14" t="n">
        <v>10.4722</v>
      </c>
    </row>
    <row r="2139" customFormat="false" ht="15" hidden="false" customHeight="false" outlineLevel="0" collapsed="false">
      <c r="A2139" s="13" t="n">
        <v>45345</v>
      </c>
      <c r="B2139" s="14" t="n">
        <v>1328.71</v>
      </c>
      <c r="C2139" s="14" t="n">
        <v>10.5281</v>
      </c>
      <c r="D2139" s="14" t="n">
        <v>1.2678</v>
      </c>
      <c r="E2139" s="14" t="n">
        <v>1.0828</v>
      </c>
      <c r="F2139" s="14" t="n">
        <v>7.197</v>
      </c>
      <c r="G2139" s="14" t="n">
        <v>4.976</v>
      </c>
      <c r="H2139" s="14" t="n">
        <v>150.36</v>
      </c>
      <c r="I2139" s="14" t="n">
        <v>1.0834</v>
      </c>
      <c r="J2139" s="14" t="n">
        <v>11.389</v>
      </c>
      <c r="K2139" s="14" t="n">
        <v>1440.95</v>
      </c>
      <c r="L2139" s="14" t="n">
        <v>0.8534</v>
      </c>
      <c r="M2139" s="14" t="n">
        <v>7.7972</v>
      </c>
      <c r="N2139" s="14" t="n">
        <v>5.3831</v>
      </c>
      <c r="O2139" s="14" t="n">
        <v>162.91</v>
      </c>
      <c r="P2139" s="14" t="n">
        <v>10.5123</v>
      </c>
    </row>
    <row r="2140" customFormat="false" ht="15" hidden="false" customHeight="false" outlineLevel="0" collapsed="false">
      <c r="A2140" s="13" t="n">
        <v>45348</v>
      </c>
      <c r="B2140" s="14" t="n">
        <v>1330.86</v>
      </c>
      <c r="C2140" s="14" t="n">
        <v>10.5099</v>
      </c>
      <c r="D2140" s="14" t="n">
        <v>1.2681</v>
      </c>
      <c r="E2140" s="14" t="n">
        <v>1.0855</v>
      </c>
      <c r="F2140" s="14" t="n">
        <v>7.1972</v>
      </c>
      <c r="G2140" s="14" t="n">
        <v>4.989</v>
      </c>
      <c r="H2140" s="14" t="n">
        <v>150.79</v>
      </c>
      <c r="I2140" s="14" t="n">
        <v>1.0852</v>
      </c>
      <c r="J2140" s="14" t="n">
        <v>11.4285</v>
      </c>
      <c r="K2140" s="14" t="n">
        <v>1444.46</v>
      </c>
      <c r="L2140" s="14" t="n">
        <v>0.85495</v>
      </c>
      <c r="M2140" s="14" t="n">
        <v>7.81</v>
      </c>
      <c r="N2140" s="14" t="n">
        <v>5.4111</v>
      </c>
      <c r="O2140" s="14" t="n">
        <v>163.38</v>
      </c>
      <c r="P2140" s="14" t="n">
        <v>10.5312</v>
      </c>
    </row>
    <row r="2141" customFormat="false" ht="15" hidden="false" customHeight="false" outlineLevel="0" collapsed="false">
      <c r="A2141" s="13" t="n">
        <v>45349</v>
      </c>
      <c r="B2141" s="14" t="n">
        <v>1330.86</v>
      </c>
      <c r="C2141" s="14" t="n">
        <v>10.524</v>
      </c>
      <c r="D2141" s="14" t="n">
        <v>1.2693</v>
      </c>
      <c r="E2141" s="14" t="n">
        <v>1.0857</v>
      </c>
      <c r="F2141" s="14" t="n">
        <v>7.1977</v>
      </c>
      <c r="G2141" s="14" t="n">
        <v>4.9423</v>
      </c>
      <c r="H2141" s="14" t="n">
        <v>150.46</v>
      </c>
      <c r="I2141" s="14" t="n">
        <v>1.0856</v>
      </c>
      <c r="J2141" s="14" t="n">
        <v>11.431</v>
      </c>
      <c r="K2141" s="14" t="n">
        <v>1445.31</v>
      </c>
      <c r="L2141" s="14" t="n">
        <v>0.8562</v>
      </c>
      <c r="M2141" s="14" t="n">
        <v>7.814</v>
      </c>
      <c r="N2141" s="14" t="n">
        <v>5.3945</v>
      </c>
      <c r="O2141" s="14" t="n">
        <v>163.04</v>
      </c>
      <c r="P2141" s="14" t="n">
        <v>10.5297</v>
      </c>
    </row>
    <row r="2142" customFormat="false" ht="15" hidden="false" customHeight="false" outlineLevel="0" collapsed="false">
      <c r="A2142" s="13" t="n">
        <v>45350</v>
      </c>
      <c r="B2142" s="14" t="n">
        <v>1336.02</v>
      </c>
      <c r="C2142" s="14" t="n">
        <v>10.575</v>
      </c>
      <c r="D2142" s="14" t="n">
        <v>1.267</v>
      </c>
      <c r="E2142" s="14" t="n">
        <v>1.0843</v>
      </c>
      <c r="F2142" s="14" t="n">
        <v>7.1976</v>
      </c>
      <c r="G2142" s="14" t="n">
        <v>4.952</v>
      </c>
      <c r="H2142" s="14" t="n">
        <v>150.68</v>
      </c>
      <c r="I2142" s="14" t="n">
        <v>1.0808</v>
      </c>
      <c r="J2142" s="14" t="n">
        <v>11.4675</v>
      </c>
      <c r="K2142" s="14" t="n">
        <v>1445.35</v>
      </c>
      <c r="L2142" s="14" t="n">
        <v>0.85548</v>
      </c>
      <c r="M2142" s="14" t="n">
        <v>7.7807</v>
      </c>
      <c r="N2142" s="14" t="n">
        <v>5.3497</v>
      </c>
      <c r="O2142" s="14" t="n">
        <v>162.87</v>
      </c>
      <c r="P2142" s="14" t="n">
        <v>10.6102</v>
      </c>
    </row>
    <row r="2143" customFormat="false" ht="15" hidden="false" customHeight="false" outlineLevel="0" collapsed="false">
      <c r="A2143" s="13" t="n">
        <v>45351</v>
      </c>
      <c r="B2143" s="14" t="n">
        <v>1336.19</v>
      </c>
      <c r="C2143" s="14" t="n">
        <v>10.6081</v>
      </c>
      <c r="D2143" s="14" t="n">
        <v>1.2632</v>
      </c>
      <c r="E2143" s="14" t="n">
        <v>1.0807</v>
      </c>
      <c r="F2143" s="14" t="n">
        <v>7.1977</v>
      </c>
      <c r="G2143" s="14" t="n">
        <v>4.971</v>
      </c>
      <c r="H2143" s="14" t="n">
        <v>149.9</v>
      </c>
      <c r="I2143" s="14" t="n">
        <v>1.0826</v>
      </c>
      <c r="J2143" s="14" t="n">
        <v>11.492</v>
      </c>
      <c r="K2143" s="14" t="n">
        <v>1447.43</v>
      </c>
      <c r="L2143" s="14" t="n">
        <v>0.85655</v>
      </c>
      <c r="M2143" s="14" t="n">
        <v>7.7888</v>
      </c>
      <c r="N2143" s="14" t="n">
        <v>5.4054</v>
      </c>
      <c r="O2143" s="14" t="n">
        <v>162.53</v>
      </c>
      <c r="P2143" s="14" t="n">
        <v>10.6152</v>
      </c>
    </row>
    <row r="2144" customFormat="false" ht="15" hidden="false" customHeight="false" outlineLevel="0" collapsed="false">
      <c r="A2144" s="13" t="n">
        <v>45352</v>
      </c>
      <c r="B2144" s="14" t="n">
        <v>1334.8</v>
      </c>
      <c r="C2144" s="14" t="n">
        <v>10.5231</v>
      </c>
      <c r="D2144" s="14" t="n">
        <v>1.2652</v>
      </c>
      <c r="E2144" s="14" t="n">
        <v>1.0832</v>
      </c>
      <c r="F2144" s="14" t="n">
        <v>7.196</v>
      </c>
      <c r="G2144" s="14" t="n">
        <v>4.9483</v>
      </c>
      <c r="H2144" s="14" t="n">
        <v>150.2</v>
      </c>
      <c r="I2144" s="14" t="n">
        <v>1.0813</v>
      </c>
      <c r="J2144" s="14" t="n">
        <v>11.443</v>
      </c>
      <c r="K2144" s="14" t="n">
        <v>1444.21</v>
      </c>
      <c r="L2144" s="14" t="n">
        <v>0.85588</v>
      </c>
      <c r="M2144" s="14" t="n">
        <v>7.7837</v>
      </c>
      <c r="N2144" s="14" t="n">
        <v>5.3656</v>
      </c>
      <c r="O2144" s="14" t="n">
        <v>162.82</v>
      </c>
      <c r="P2144" s="14" t="n">
        <v>10.5826</v>
      </c>
    </row>
    <row r="2145" customFormat="false" ht="15" hidden="false" customHeight="false" outlineLevel="0" collapsed="false">
      <c r="A2145" s="13" t="n">
        <v>45355</v>
      </c>
      <c r="B2145" s="14" t="n">
        <v>1331.29</v>
      </c>
      <c r="C2145" s="14" t="n">
        <v>10.5508</v>
      </c>
      <c r="D2145" s="14" t="n">
        <v>1.2701</v>
      </c>
      <c r="E2145" s="14" t="n">
        <v>1.0862</v>
      </c>
      <c r="F2145" s="14" t="n">
        <v>7.1987</v>
      </c>
      <c r="G2145" s="14" t="n">
        <v>4.9428</v>
      </c>
      <c r="H2145" s="14" t="n">
        <v>150.44</v>
      </c>
      <c r="I2145" s="14" t="n">
        <v>1.0846</v>
      </c>
      <c r="J2145" s="14" t="n">
        <v>11.4325</v>
      </c>
      <c r="K2145" s="14" t="n">
        <v>1444.94</v>
      </c>
      <c r="L2145" s="14" t="n">
        <v>0.85583</v>
      </c>
      <c r="M2145" s="14" t="n">
        <v>7.8084</v>
      </c>
      <c r="N2145" s="14" t="n">
        <v>5.3718</v>
      </c>
      <c r="O2145" s="14" t="n">
        <v>163.22</v>
      </c>
      <c r="P2145" s="14" t="n">
        <v>10.5408</v>
      </c>
    </row>
    <row r="2146" customFormat="false" ht="15" hidden="false" customHeight="false" outlineLevel="0" collapsed="false">
      <c r="A2146" s="13" t="n">
        <v>45356</v>
      </c>
      <c r="B2146" s="14" t="n">
        <v>1336.51</v>
      </c>
      <c r="C2146" s="14" t="n">
        <v>10.5538</v>
      </c>
      <c r="D2146" s="14" t="n">
        <v>1.2712</v>
      </c>
      <c r="E2146" s="14" t="n">
        <v>1.0861</v>
      </c>
      <c r="F2146" s="14" t="n">
        <v>7.1965</v>
      </c>
      <c r="G2146" s="14" t="n">
        <v>4.9565</v>
      </c>
      <c r="H2146" s="14" t="n">
        <v>150.14</v>
      </c>
      <c r="I2146" s="14" t="n">
        <v>1.0849</v>
      </c>
      <c r="J2146" s="14" t="n">
        <v>11.475</v>
      </c>
      <c r="K2146" s="14" t="n">
        <v>1447.98</v>
      </c>
      <c r="L2146" s="14" t="n">
        <v>0.85543</v>
      </c>
      <c r="M2146" s="14" t="n">
        <v>7.8104</v>
      </c>
      <c r="N2146" s="14" t="n">
        <v>5.3713</v>
      </c>
      <c r="O2146" s="14" t="n">
        <v>163.01</v>
      </c>
      <c r="P2146" s="14" t="n">
        <v>10.577</v>
      </c>
    </row>
    <row r="2147" customFormat="false" ht="15" hidden="false" customHeight="false" outlineLevel="0" collapsed="false">
      <c r="A2147" s="13" t="n">
        <v>45357</v>
      </c>
      <c r="B2147" s="14" t="n">
        <v>1333.99</v>
      </c>
      <c r="C2147" s="14" t="n">
        <v>10.4798</v>
      </c>
      <c r="D2147" s="14" t="n">
        <v>1.2757</v>
      </c>
      <c r="E2147" s="14" t="n">
        <v>1.0913</v>
      </c>
      <c r="F2147" s="14" t="n">
        <v>7.1977</v>
      </c>
      <c r="G2147" s="14" t="n">
        <v>4.9351</v>
      </c>
      <c r="H2147" s="14" t="n">
        <v>149.17</v>
      </c>
      <c r="I2147" s="14" t="n">
        <v>1.0874</v>
      </c>
      <c r="J2147" s="14" t="n">
        <v>11.468</v>
      </c>
      <c r="K2147" s="14" t="n">
        <v>1450.41</v>
      </c>
      <c r="L2147" s="14" t="n">
        <v>0.85498</v>
      </c>
      <c r="M2147" s="14" t="n">
        <v>7.8281</v>
      </c>
      <c r="N2147" s="14" t="n">
        <v>5.375</v>
      </c>
      <c r="O2147" s="14" t="n">
        <v>162.67</v>
      </c>
      <c r="P2147" s="14" t="n">
        <v>10.5463</v>
      </c>
    </row>
    <row r="2148" customFormat="false" ht="15" hidden="false" customHeight="false" outlineLevel="0" collapsed="false">
      <c r="A2148" s="13" t="n">
        <v>45358</v>
      </c>
      <c r="B2148" s="14" t="n">
        <v>1324.3</v>
      </c>
      <c r="C2148" s="14" t="n">
        <v>10.4143</v>
      </c>
      <c r="D2148" s="14" t="n">
        <v>1.2796</v>
      </c>
      <c r="E2148" s="14" t="n">
        <v>1.0941</v>
      </c>
      <c r="F2148" s="14" t="n">
        <v>7.1925</v>
      </c>
      <c r="G2148" s="14" t="n">
        <v>4.9319</v>
      </c>
      <c r="H2148" s="14" t="n">
        <v>148.08</v>
      </c>
      <c r="I2148" s="14" t="n">
        <v>1.0895</v>
      </c>
      <c r="J2148" s="14" t="n">
        <v>11.394</v>
      </c>
      <c r="K2148" s="14" t="n">
        <v>1446.67</v>
      </c>
      <c r="L2148" s="14" t="n">
        <v>0.85445</v>
      </c>
      <c r="M2148" s="14" t="n">
        <v>7.8412</v>
      </c>
      <c r="N2148" s="14" t="n">
        <v>5.3835</v>
      </c>
      <c r="O2148" s="14" t="n">
        <v>161.09</v>
      </c>
      <c r="P2148" s="14" t="n">
        <v>10.458</v>
      </c>
    </row>
    <row r="2149" customFormat="false" ht="15" hidden="false" customHeight="false" outlineLevel="0" collapsed="false">
      <c r="A2149" s="13" t="n">
        <v>45359</v>
      </c>
      <c r="B2149" s="14" t="n">
        <v>1319.28</v>
      </c>
      <c r="C2149" s="14" t="n">
        <v>10.4118</v>
      </c>
      <c r="D2149" s="14" t="n">
        <v>1.2852</v>
      </c>
      <c r="E2149" s="14" t="n">
        <v>1.0941</v>
      </c>
      <c r="F2149" s="14" t="n">
        <v>7.1855</v>
      </c>
      <c r="G2149" s="14" t="n">
        <v>4.9766</v>
      </c>
      <c r="H2149" s="14" t="n">
        <v>147.17</v>
      </c>
      <c r="I2149" s="14" t="n">
        <v>1.0932</v>
      </c>
      <c r="J2149" s="14" t="n">
        <v>11.3395</v>
      </c>
      <c r="K2149" s="14" t="n">
        <v>1441.91</v>
      </c>
      <c r="L2149" s="14" t="n">
        <v>0.85168</v>
      </c>
      <c r="M2149" s="14" t="n">
        <v>7.8594</v>
      </c>
      <c r="N2149" s="14" t="n">
        <v>5.4281</v>
      </c>
      <c r="O2149" s="14" t="n">
        <v>160.99</v>
      </c>
      <c r="P2149" s="14" t="n">
        <v>10.3728</v>
      </c>
    </row>
    <row r="2150" customFormat="false" ht="15" hidden="false" customHeight="false" outlineLevel="0" collapsed="false">
      <c r="A2150" s="13" t="n">
        <v>45362</v>
      </c>
      <c r="B2150" s="14" t="n">
        <v>1312.55</v>
      </c>
      <c r="C2150" s="14" t="n">
        <v>10.4658</v>
      </c>
      <c r="D2150" s="14" t="n">
        <v>1.2807</v>
      </c>
      <c r="E2150" s="14" t="n">
        <v>1.0928</v>
      </c>
      <c r="F2150" s="14" t="n">
        <v>7.182</v>
      </c>
      <c r="G2150" s="14" t="n">
        <v>4.9678</v>
      </c>
      <c r="H2150" s="14" t="n">
        <v>146.86</v>
      </c>
      <c r="I2150" s="14" t="n">
        <v>1.0926</v>
      </c>
      <c r="J2150" s="14" t="n">
        <v>11.4405</v>
      </c>
      <c r="K2150" s="14" t="n">
        <v>1432.46</v>
      </c>
      <c r="L2150" s="14" t="n">
        <v>0.85208</v>
      </c>
      <c r="M2150" s="14" t="n">
        <v>7.8471</v>
      </c>
      <c r="N2150" s="14" t="n">
        <v>5.4549</v>
      </c>
      <c r="O2150" s="14" t="n">
        <v>160.43</v>
      </c>
      <c r="P2150" s="14" t="n">
        <v>10.4709</v>
      </c>
    </row>
    <row r="2151" customFormat="false" ht="15" hidden="false" customHeight="false" outlineLevel="0" collapsed="false">
      <c r="A2151" s="13" t="n">
        <v>45363</v>
      </c>
      <c r="B2151" s="14" t="n">
        <v>1310.82</v>
      </c>
      <c r="C2151" s="14" t="n">
        <v>10.5265</v>
      </c>
      <c r="D2151" s="14" t="n">
        <v>1.2786</v>
      </c>
      <c r="E2151" s="14" t="n">
        <v>1.0918</v>
      </c>
      <c r="F2151" s="14" t="n">
        <v>7.1804</v>
      </c>
      <c r="G2151" s="14" t="n">
        <v>4.982</v>
      </c>
      <c r="H2151" s="14" t="n">
        <v>147.69</v>
      </c>
      <c r="I2151" s="14" t="n">
        <v>1.0916</v>
      </c>
      <c r="J2151" s="14" t="n">
        <v>11.4673</v>
      </c>
      <c r="K2151" s="14" t="n">
        <v>1433.16</v>
      </c>
      <c r="L2151" s="14" t="n">
        <v>0.85458</v>
      </c>
      <c r="M2151" s="14" t="n">
        <v>7.835</v>
      </c>
      <c r="N2151" s="14" t="n">
        <v>5.4425</v>
      </c>
      <c r="O2151" s="14" t="n">
        <v>161.39</v>
      </c>
      <c r="P2151" s="14" t="n">
        <v>10.505</v>
      </c>
    </row>
    <row r="2152" customFormat="false" ht="15" hidden="false" customHeight="false" outlineLevel="0" collapsed="false">
      <c r="A2152" s="13" t="n">
        <v>45364</v>
      </c>
      <c r="B2152" s="14" t="n">
        <v>1314.67</v>
      </c>
      <c r="C2152" s="14" t="n">
        <v>10.4771</v>
      </c>
      <c r="D2152" s="14" t="n">
        <v>1.2799</v>
      </c>
      <c r="E2152" s="14" t="n">
        <v>1.0944</v>
      </c>
      <c r="F2152" s="14" t="n">
        <v>7.1875</v>
      </c>
      <c r="G2152" s="14" t="n">
        <v>4.9763</v>
      </c>
      <c r="H2152" s="14" t="n">
        <v>147.73</v>
      </c>
      <c r="I2152" s="14" t="n">
        <v>1.0939</v>
      </c>
      <c r="J2152" s="14" t="n">
        <v>11.4805</v>
      </c>
      <c r="K2152" s="14" t="n">
        <v>1439.01</v>
      </c>
      <c r="L2152" s="14" t="n">
        <v>0.85451</v>
      </c>
      <c r="M2152" s="14" t="n">
        <v>7.8678</v>
      </c>
      <c r="N2152" s="14" t="n">
        <v>5.4506</v>
      </c>
      <c r="O2152" s="14" t="n">
        <v>161.83</v>
      </c>
      <c r="P2152" s="14" t="n">
        <v>10.495</v>
      </c>
    </row>
    <row r="2153" customFormat="false" ht="15" hidden="false" customHeight="false" outlineLevel="0" collapsed="false">
      <c r="A2153" s="13" t="n">
        <v>45365</v>
      </c>
      <c r="B2153" s="14" t="n">
        <v>1318.2</v>
      </c>
      <c r="C2153" s="14" t="n">
        <v>10.5561</v>
      </c>
      <c r="D2153" s="14" t="n">
        <v>1.2749</v>
      </c>
      <c r="E2153" s="14" t="n">
        <v>1.0888</v>
      </c>
      <c r="F2153" s="14" t="n">
        <v>7.1932</v>
      </c>
      <c r="G2153" s="14" t="n">
        <v>4.9812</v>
      </c>
      <c r="H2153" s="14" t="n">
        <v>148.19</v>
      </c>
      <c r="I2153" s="14" t="n">
        <v>1.0925</v>
      </c>
      <c r="J2153" s="14" t="n">
        <v>11.467</v>
      </c>
      <c r="K2153" s="14" t="n">
        <v>1441.24</v>
      </c>
      <c r="L2153" s="14" t="n">
        <v>0.8542</v>
      </c>
      <c r="M2153" s="14" t="n">
        <v>7.8564</v>
      </c>
      <c r="N2153" s="14" t="n">
        <v>5.4237</v>
      </c>
      <c r="O2153" s="14" t="n">
        <v>161.7</v>
      </c>
      <c r="P2153" s="14" t="n">
        <v>10.4961</v>
      </c>
    </row>
    <row r="2154" customFormat="false" ht="15" hidden="false" customHeight="false" outlineLevel="0" collapsed="false">
      <c r="A2154" s="13" t="n">
        <v>45366</v>
      </c>
      <c r="B2154" s="14" t="n">
        <v>1329.35</v>
      </c>
      <c r="C2154" s="14" t="n">
        <v>10.6019</v>
      </c>
      <c r="D2154" s="14" t="n">
        <v>1.2742</v>
      </c>
      <c r="E2154" s="14" t="n">
        <v>1.0888</v>
      </c>
      <c r="F2154" s="14" t="n">
        <v>7.1953</v>
      </c>
      <c r="G2154" s="14" t="n">
        <v>4.9948</v>
      </c>
      <c r="H2154" s="14" t="n">
        <v>149.14</v>
      </c>
      <c r="I2154" s="14" t="n">
        <v>1.0892</v>
      </c>
      <c r="J2154" s="14" t="n">
        <v>11.5205</v>
      </c>
      <c r="K2154" s="14" t="n">
        <v>1448.71</v>
      </c>
      <c r="L2154" s="14" t="n">
        <v>0.8541</v>
      </c>
      <c r="M2154" s="14" t="n">
        <v>7.838</v>
      </c>
      <c r="N2154" s="14" t="n">
        <v>5.4461</v>
      </c>
      <c r="O2154" s="14" t="n">
        <v>162.03</v>
      </c>
      <c r="P2154" s="14" t="n">
        <v>10.577</v>
      </c>
    </row>
    <row r="2155" customFormat="false" ht="15" hidden="false" customHeight="false" outlineLevel="0" collapsed="false">
      <c r="A2155" s="13" t="n">
        <v>45369</v>
      </c>
      <c r="B2155" s="14" t="n">
        <v>1333.59</v>
      </c>
      <c r="C2155" s="14" t="n">
        <v>10.6425</v>
      </c>
      <c r="D2155" s="14" t="n">
        <v>1.2736</v>
      </c>
      <c r="E2155" s="14" t="n">
        <v>1.0886</v>
      </c>
      <c r="F2155" s="14" t="n">
        <v>7.1981</v>
      </c>
      <c r="G2155" s="14" t="n">
        <v>5.0194</v>
      </c>
      <c r="H2155" s="14" t="n">
        <v>149.13</v>
      </c>
      <c r="I2155" s="14" t="n">
        <v>1.0892</v>
      </c>
      <c r="J2155" s="14" t="n">
        <v>11.5565</v>
      </c>
      <c r="K2155" s="14" t="n">
        <v>1452.75</v>
      </c>
      <c r="L2155" s="14" t="n">
        <v>0.85525</v>
      </c>
      <c r="M2155" s="14" t="n">
        <v>7.8402</v>
      </c>
      <c r="N2155" s="14" t="n">
        <v>5.4382</v>
      </c>
      <c r="O2155" s="14" t="n">
        <v>162.51</v>
      </c>
      <c r="P2155" s="14" t="n">
        <v>10.6101</v>
      </c>
    </row>
    <row r="2156" customFormat="false" ht="15" hidden="false" customHeight="false" outlineLevel="0" collapsed="false">
      <c r="A2156" s="13" t="n">
        <v>45370</v>
      </c>
      <c r="B2156" s="14" t="n">
        <v>1338.28</v>
      </c>
      <c r="C2156" s="14" t="n">
        <v>10.6549</v>
      </c>
      <c r="D2156" s="14" t="n">
        <v>1.2713</v>
      </c>
      <c r="E2156" s="14" t="n">
        <v>1.0859</v>
      </c>
      <c r="F2156" s="14" t="n">
        <v>7.1991</v>
      </c>
      <c r="G2156" s="14" t="n">
        <v>5.0214</v>
      </c>
      <c r="H2156" s="14" t="n">
        <v>150.73</v>
      </c>
      <c r="I2156" s="14" t="n">
        <v>1.0854</v>
      </c>
      <c r="J2156" s="14" t="n">
        <v>11.5985</v>
      </c>
      <c r="K2156" s="14" t="n">
        <v>1453.28</v>
      </c>
      <c r="L2156" s="14" t="n">
        <v>0.85445</v>
      </c>
      <c r="M2156" s="14" t="n">
        <v>7.814</v>
      </c>
      <c r="N2156" s="14" t="n">
        <v>5.4766</v>
      </c>
      <c r="O2156" s="14" t="n">
        <v>163.37</v>
      </c>
      <c r="P2156" s="14" t="n">
        <v>10.6859</v>
      </c>
    </row>
    <row r="2157" customFormat="false" ht="15" hidden="false" customHeight="false" outlineLevel="0" collapsed="false">
      <c r="A2157" s="13" t="n">
        <v>45371</v>
      </c>
      <c r="B2157" s="14" t="n">
        <v>1339.02</v>
      </c>
      <c r="C2157" s="14" t="n">
        <v>10.6598</v>
      </c>
      <c r="D2157" s="14" t="n">
        <v>1.2713</v>
      </c>
      <c r="E2157" s="14" t="n">
        <v>1.0856</v>
      </c>
      <c r="F2157" s="14" t="n">
        <v>7.1992</v>
      </c>
      <c r="G2157" s="14" t="n">
        <v>5.0041</v>
      </c>
      <c r="H2157" s="14" t="n">
        <v>151.66</v>
      </c>
      <c r="I2157" s="14" t="n">
        <v>1.0844</v>
      </c>
      <c r="J2157" s="14" t="n">
        <v>11.5725</v>
      </c>
      <c r="K2157" s="14" t="n">
        <v>1453.86</v>
      </c>
      <c r="L2157" s="14" t="n">
        <v>0.85438</v>
      </c>
      <c r="M2157" s="14" t="n">
        <v>7.8058</v>
      </c>
      <c r="N2157" s="14" t="n">
        <v>5.4414</v>
      </c>
      <c r="O2157" s="14" t="n">
        <v>164.54</v>
      </c>
      <c r="P2157" s="14" t="n">
        <v>10.6718</v>
      </c>
    </row>
    <row r="2158" customFormat="false" ht="15" hidden="false" customHeight="false" outlineLevel="0" collapsed="false">
      <c r="A2158" s="13" t="n">
        <v>45372</v>
      </c>
      <c r="B2158" s="14" t="n">
        <v>1322.11</v>
      </c>
      <c r="C2158" s="14" t="n">
        <v>10.6814</v>
      </c>
      <c r="D2158" s="14" t="n">
        <v>1.267</v>
      </c>
      <c r="E2158" s="14" t="n">
        <v>1.0861</v>
      </c>
      <c r="F2158" s="14" t="n">
        <v>7.1993</v>
      </c>
      <c r="G2158" s="14" t="n">
        <v>4.9785</v>
      </c>
      <c r="H2158" s="14" t="n">
        <v>151.59</v>
      </c>
      <c r="I2158" s="14" t="n">
        <v>1.0907</v>
      </c>
      <c r="J2158" s="14" t="n">
        <v>11.543</v>
      </c>
      <c r="K2158" s="14" t="n">
        <v>1449.01</v>
      </c>
      <c r="L2158" s="14" t="n">
        <v>0.85678</v>
      </c>
      <c r="M2158" s="14" t="n">
        <v>7.852</v>
      </c>
      <c r="N2158" s="14" t="n">
        <v>5.421</v>
      </c>
      <c r="O2158" s="14" t="n">
        <v>164.96</v>
      </c>
      <c r="P2158" s="14" t="n">
        <v>10.5831</v>
      </c>
    </row>
    <row r="2159" customFormat="false" ht="15" hidden="false" customHeight="false" outlineLevel="0" collapsed="false">
      <c r="A2159" s="13" t="n">
        <v>45373</v>
      </c>
      <c r="B2159" s="14" t="n">
        <v>1338.14</v>
      </c>
      <c r="C2159" s="14" t="n">
        <v>10.7442</v>
      </c>
      <c r="D2159" s="14" t="n">
        <v>1.2603</v>
      </c>
      <c r="E2159" s="14" t="n">
        <v>1.0817</v>
      </c>
      <c r="F2159" s="14" t="n">
        <v>7.2289</v>
      </c>
      <c r="G2159" s="14" t="n">
        <v>4.9872</v>
      </c>
      <c r="H2159" s="14" t="n">
        <v>151.35</v>
      </c>
      <c r="I2159" s="14" t="n">
        <v>1.0823</v>
      </c>
      <c r="J2159" s="14" t="n">
        <v>11.617</v>
      </c>
      <c r="K2159" s="14" t="n">
        <v>1453.62</v>
      </c>
      <c r="L2159" s="14" t="n">
        <v>0.85795</v>
      </c>
      <c r="M2159" s="14" t="n">
        <v>7.8245</v>
      </c>
      <c r="N2159" s="14" t="n">
        <v>5.4099</v>
      </c>
      <c r="O2159" s="14" t="n">
        <v>163.74</v>
      </c>
      <c r="P2159" s="14" t="n">
        <v>10.7336</v>
      </c>
    </row>
    <row r="2160" customFormat="false" ht="15" hidden="false" customHeight="false" outlineLevel="0" collapsed="false">
      <c r="A2160" s="13" t="n">
        <v>45376</v>
      </c>
      <c r="B2160" s="14" t="n">
        <v>1342.61</v>
      </c>
      <c r="C2160" s="14" t="n">
        <v>10.7086</v>
      </c>
      <c r="D2160" s="14" t="n">
        <v>1.2648</v>
      </c>
      <c r="E2160" s="14" t="n">
        <v>1.0837</v>
      </c>
      <c r="F2160" s="14" t="n">
        <v>7.2102</v>
      </c>
      <c r="G2160" s="14" t="n">
        <v>4.9859</v>
      </c>
      <c r="H2160" s="14" t="n">
        <v>151.42</v>
      </c>
      <c r="I2160" s="14" t="n">
        <v>1.0835</v>
      </c>
      <c r="J2160" s="14" t="n">
        <v>11.605</v>
      </c>
      <c r="K2160" s="14" t="n">
        <v>1453.39</v>
      </c>
      <c r="L2160" s="14" t="n">
        <v>0.85698</v>
      </c>
      <c r="M2160" s="14" t="n">
        <v>7.8134</v>
      </c>
      <c r="N2160" s="14" t="n">
        <v>5.4069</v>
      </c>
      <c r="O2160" s="14" t="n">
        <v>163.78</v>
      </c>
      <c r="P2160" s="14" t="n">
        <v>10.7107</v>
      </c>
    </row>
    <row r="2161" customFormat="false" ht="15" hidden="false" customHeight="false" outlineLevel="0" collapsed="false">
      <c r="A2161" s="13" t="n">
        <v>45377</v>
      </c>
      <c r="B2161" s="14" t="n">
        <v>1344</v>
      </c>
      <c r="C2161" s="14" t="n">
        <v>10.7429</v>
      </c>
      <c r="D2161" s="14" t="n">
        <v>1.263</v>
      </c>
      <c r="E2161" s="14" t="n">
        <v>1.0829</v>
      </c>
      <c r="F2161" s="14" t="n">
        <v>7.2176</v>
      </c>
      <c r="G2161" s="14" t="n">
        <v>4.991</v>
      </c>
      <c r="H2161" s="14" t="n">
        <v>151.58</v>
      </c>
      <c r="I2161" s="14" t="n">
        <v>1.0855</v>
      </c>
      <c r="J2161" s="14" t="n">
        <v>11.626</v>
      </c>
      <c r="K2161" s="14" t="n">
        <v>1455.75</v>
      </c>
      <c r="L2161" s="14" t="n">
        <v>0.85846</v>
      </c>
      <c r="M2161" s="14" t="n">
        <v>7.8358</v>
      </c>
      <c r="N2161" s="14" t="n">
        <v>5.4067</v>
      </c>
      <c r="O2161" s="14" t="n">
        <v>164.4</v>
      </c>
      <c r="P2161" s="14" t="n">
        <v>10.7103</v>
      </c>
    </row>
    <row r="2162" customFormat="false" ht="15" hidden="false" customHeight="false" outlineLevel="0" collapsed="false">
      <c r="A2162" s="13" t="n">
        <v>45378</v>
      </c>
      <c r="B2162" s="14" t="n">
        <v>1348.58</v>
      </c>
      <c r="C2162" s="14" t="n">
        <v>10.7867</v>
      </c>
      <c r="D2162" s="14" t="n">
        <v>1.2631</v>
      </c>
      <c r="E2162" s="14" t="n">
        <v>1.0821</v>
      </c>
      <c r="F2162" s="14" t="n">
        <v>7.227</v>
      </c>
      <c r="G2162" s="14" t="n">
        <v>4.9756</v>
      </c>
      <c r="H2162" s="14" t="n">
        <v>151.35</v>
      </c>
      <c r="I2162" s="14" t="n">
        <v>1.0816</v>
      </c>
      <c r="J2162" s="14" t="n">
        <v>11.6825</v>
      </c>
      <c r="K2162" s="14" t="n">
        <v>1461.31</v>
      </c>
      <c r="L2162" s="14" t="n">
        <v>0.85768</v>
      </c>
      <c r="M2162" s="14" t="n">
        <v>7.8182</v>
      </c>
      <c r="N2162" s="14" t="n">
        <v>5.3969</v>
      </c>
      <c r="O2162" s="14" t="n">
        <v>163.52</v>
      </c>
      <c r="P2162" s="14" t="n">
        <v>10.8011</v>
      </c>
    </row>
    <row r="2163" customFormat="false" ht="15" hidden="false" customHeight="false" outlineLevel="0" collapsed="false">
      <c r="A2163" s="13" t="n">
        <v>45379</v>
      </c>
      <c r="B2163" s="14" t="n">
        <v>1346.01</v>
      </c>
      <c r="C2163" s="14" t="n">
        <v>10.8418</v>
      </c>
      <c r="D2163" s="14" t="n">
        <v>1.2634</v>
      </c>
      <c r="E2163" s="14" t="n">
        <v>1.0801</v>
      </c>
      <c r="F2163" s="14" t="n">
        <v>7.2262</v>
      </c>
      <c r="G2163" s="14" t="n">
        <v>5.0042</v>
      </c>
      <c r="H2163" s="14" t="n">
        <v>151.35</v>
      </c>
      <c r="I2163" s="14" t="n">
        <v>1.0811</v>
      </c>
      <c r="J2163" s="14" t="n">
        <v>11.699</v>
      </c>
      <c r="K2163" s="14" t="n">
        <v>1458.67</v>
      </c>
      <c r="L2163" s="14" t="n">
        <v>0.8551</v>
      </c>
      <c r="M2163" s="14" t="n">
        <v>7.8144</v>
      </c>
      <c r="N2163" s="14" t="n">
        <v>5.4032</v>
      </c>
      <c r="O2163" s="14" t="n">
        <v>163.45</v>
      </c>
    </row>
    <row r="2164" customFormat="false" ht="15" hidden="false" customHeight="false" outlineLevel="0" collapsed="false">
      <c r="A2164" s="13" t="n">
        <v>45380</v>
      </c>
      <c r="B2164" s="14" t="n">
        <v>1347.08</v>
      </c>
      <c r="C2164" s="14" t="n">
        <v>10.8299</v>
      </c>
      <c r="D2164" s="14" t="n">
        <v>1.2637</v>
      </c>
      <c r="E2164" s="14" t="n">
        <v>1.0791</v>
      </c>
      <c r="F2164" s="14" t="n">
        <v>7.2203</v>
      </c>
      <c r="G2164" s="14" t="n">
        <v>5.0153</v>
      </c>
      <c r="H2164" s="14" t="n">
        <v>151.22</v>
      </c>
    </row>
    <row r="2165" customFormat="false" ht="15" hidden="false" customHeight="false" outlineLevel="0" collapsed="false">
      <c r="A2165" s="13" t="n">
        <v>45383</v>
      </c>
      <c r="B2165" s="14" t="n">
        <v>1348.75</v>
      </c>
      <c r="C2165" s="14" t="n">
        <v>10.967</v>
      </c>
      <c r="D2165" s="14" t="n">
        <v>1.2545</v>
      </c>
      <c r="E2165" s="14" t="n">
        <v>1.0733</v>
      </c>
      <c r="F2165" s="14" t="n">
        <v>7.2308</v>
      </c>
      <c r="G2165" s="14" t="n">
        <v>5.067</v>
      </c>
      <c r="H2165" s="14" t="n">
        <v>151.72</v>
      </c>
    </row>
    <row r="2166" customFormat="false" ht="15" hidden="false" customHeight="false" outlineLevel="0" collapsed="false">
      <c r="A2166" s="13" t="n">
        <v>45384</v>
      </c>
      <c r="B2166" s="14" t="n">
        <v>1351.37</v>
      </c>
      <c r="C2166" s="14" t="n">
        <v>10.8376</v>
      </c>
      <c r="D2166" s="14" t="n">
        <v>1.2576</v>
      </c>
      <c r="E2166" s="14" t="n">
        <v>1.0769</v>
      </c>
      <c r="F2166" s="14" t="n">
        <v>7.232</v>
      </c>
      <c r="G2166" s="14" t="n">
        <v>5.0528</v>
      </c>
      <c r="H2166" s="14" t="n">
        <v>151.55</v>
      </c>
      <c r="I2166" s="14" t="n">
        <v>1.0749</v>
      </c>
      <c r="J2166" s="14" t="n">
        <v>11.708</v>
      </c>
      <c r="K2166" s="14" t="n">
        <v>1453.23</v>
      </c>
      <c r="L2166" s="14" t="n">
        <v>0.8551</v>
      </c>
      <c r="M2166" s="14" t="n">
        <v>7.7779</v>
      </c>
      <c r="N2166" s="14" t="n">
        <v>5.4114</v>
      </c>
      <c r="O2166" s="14" t="n">
        <v>163.01</v>
      </c>
      <c r="P2166" s="14" t="n">
        <v>10.8922</v>
      </c>
    </row>
    <row r="2167" customFormat="false" ht="15" hidden="false" customHeight="false" outlineLevel="0" collapsed="false">
      <c r="A2167" s="13" t="n">
        <v>45385</v>
      </c>
      <c r="B2167" s="14" t="n">
        <v>1348.5</v>
      </c>
      <c r="C2167" s="14" t="n">
        <v>10.718</v>
      </c>
      <c r="D2167" s="14" t="n">
        <v>1.2635</v>
      </c>
      <c r="E2167" s="14" t="n">
        <v>1.0827</v>
      </c>
      <c r="F2167" s="14" t="n">
        <v>7.233</v>
      </c>
      <c r="G2167" s="14" t="n">
        <v>5.0621</v>
      </c>
      <c r="H2167" s="14" t="n">
        <v>151.67</v>
      </c>
      <c r="I2167" s="14" t="n">
        <v>1.0783</v>
      </c>
      <c r="J2167" s="14" t="n">
        <v>11.658</v>
      </c>
      <c r="K2167" s="14" t="n">
        <v>1456.04</v>
      </c>
      <c r="L2167" s="14" t="n">
        <v>0.85713</v>
      </c>
      <c r="M2167" s="14" t="n">
        <v>7.8023</v>
      </c>
      <c r="N2167" s="14" t="n">
        <v>5.4681</v>
      </c>
      <c r="O2167" s="14" t="n">
        <v>163.66</v>
      </c>
      <c r="P2167" s="14" t="n">
        <v>10.8115</v>
      </c>
    </row>
    <row r="2168" customFormat="false" ht="15" hidden="false" customHeight="false" outlineLevel="0" collapsed="false">
      <c r="A2168" s="13" t="n">
        <v>45386</v>
      </c>
      <c r="B2168" s="14" t="n">
        <v>1346.87</v>
      </c>
      <c r="C2168" s="14" t="n">
        <v>10.6909</v>
      </c>
      <c r="D2168" s="14" t="n">
        <v>1.2669</v>
      </c>
      <c r="E2168" s="14" t="n">
        <v>1.0865</v>
      </c>
      <c r="F2168" s="14" t="n">
        <v>7.2339</v>
      </c>
      <c r="G2168" s="14" t="n">
        <v>5.0086</v>
      </c>
      <c r="H2168" s="14" t="n">
        <v>151.66</v>
      </c>
      <c r="I2168" s="14" t="n">
        <v>1.0852</v>
      </c>
      <c r="J2168" s="14" t="n">
        <v>11.6125</v>
      </c>
      <c r="K2168" s="14" t="n">
        <v>1462.46</v>
      </c>
      <c r="L2168" s="14" t="n">
        <v>0.85788</v>
      </c>
      <c r="M2168" s="14" t="n">
        <v>7.8501</v>
      </c>
      <c r="N2168" s="14" t="n">
        <v>5.4751</v>
      </c>
      <c r="O2168" s="14" t="n">
        <v>164.69</v>
      </c>
      <c r="P2168" s="14" t="n">
        <v>10.7008</v>
      </c>
    </row>
    <row r="2169" customFormat="false" ht="15" hidden="false" customHeight="false" outlineLevel="0" collapsed="false">
      <c r="A2169" s="13" t="n">
        <v>45387</v>
      </c>
      <c r="B2169" s="14" t="n">
        <v>1352.58</v>
      </c>
      <c r="C2169" s="14" t="n">
        <v>10.715</v>
      </c>
      <c r="D2169" s="14" t="n">
        <v>1.2633</v>
      </c>
      <c r="E2169" s="14" t="n">
        <v>1.0841</v>
      </c>
      <c r="F2169" s="14" t="n">
        <v>7.2339</v>
      </c>
      <c r="G2169" s="14" t="n">
        <v>5.0638</v>
      </c>
      <c r="H2169" s="14" t="n">
        <v>151.59</v>
      </c>
      <c r="I2169" s="14" t="n">
        <v>1.0841</v>
      </c>
      <c r="J2169" s="14" t="n">
        <v>11.6118</v>
      </c>
      <c r="K2169" s="14" t="n">
        <v>1464.09</v>
      </c>
      <c r="L2169" s="14" t="n">
        <v>0.85773</v>
      </c>
      <c r="M2169" s="14" t="n">
        <v>7.8421</v>
      </c>
      <c r="N2169" s="14" t="n">
        <v>5.4633</v>
      </c>
      <c r="O2169" s="14" t="n">
        <v>164.1</v>
      </c>
      <c r="P2169" s="14" t="n">
        <v>10.711</v>
      </c>
    </row>
    <row r="2170" customFormat="false" ht="15" hidden="false" customHeight="false" outlineLevel="0" collapsed="false">
      <c r="A2170" s="13" t="n">
        <v>45390</v>
      </c>
      <c r="B2170" s="14" t="n">
        <v>1353.2</v>
      </c>
      <c r="C2170" s="14" t="n">
        <v>10.7019</v>
      </c>
      <c r="D2170" s="14" t="n">
        <v>1.2655</v>
      </c>
      <c r="E2170" s="14" t="n">
        <v>1.0853</v>
      </c>
      <c r="F2170" s="14" t="n">
        <v>7.2305</v>
      </c>
      <c r="G2170" s="14" t="n">
        <v>5.0292</v>
      </c>
      <c r="H2170" s="14" t="n">
        <v>151.78</v>
      </c>
      <c r="I2170" s="14" t="n">
        <v>1.0823</v>
      </c>
      <c r="J2170" s="14" t="n">
        <v>11.5905</v>
      </c>
      <c r="K2170" s="14" t="n">
        <v>1468.37</v>
      </c>
      <c r="L2170" s="14" t="n">
        <v>0.85795</v>
      </c>
      <c r="M2170" s="14" t="n">
        <v>7.8282</v>
      </c>
      <c r="N2170" s="14" t="n">
        <v>5.4806</v>
      </c>
      <c r="O2170" s="14" t="n">
        <v>164.43</v>
      </c>
      <c r="P2170" s="14" t="n">
        <v>10.7091</v>
      </c>
    </row>
    <row r="2171" customFormat="false" ht="15" hidden="false" customHeight="false" outlineLevel="0" collapsed="false">
      <c r="A2171" s="13" t="n">
        <v>45391</v>
      </c>
      <c r="B2171" s="14" t="n">
        <v>1354.8</v>
      </c>
      <c r="C2171" s="14" t="n">
        <v>10.6785</v>
      </c>
      <c r="D2171" s="14" t="n">
        <v>1.2676</v>
      </c>
      <c r="E2171" s="14" t="n">
        <v>1.0856</v>
      </c>
      <c r="F2171" s="14" t="n">
        <v>7.2316</v>
      </c>
      <c r="G2171" s="14" t="n">
        <v>5.0049</v>
      </c>
      <c r="H2171" s="14" t="n">
        <v>151.73</v>
      </c>
      <c r="I2171" s="14" t="n">
        <v>1.0867</v>
      </c>
      <c r="J2171" s="14" t="n">
        <v>11.593</v>
      </c>
      <c r="K2171" s="14" t="n">
        <v>1470.98</v>
      </c>
      <c r="L2171" s="14" t="n">
        <v>0.85663</v>
      </c>
      <c r="M2171" s="14" t="n">
        <v>7.8603</v>
      </c>
      <c r="N2171" s="14" t="n">
        <v>5.4489</v>
      </c>
      <c r="O2171" s="14" t="n">
        <v>164.97</v>
      </c>
      <c r="P2171" s="14" t="n">
        <v>10.6681</v>
      </c>
    </row>
    <row r="2172" customFormat="false" ht="15" hidden="false" customHeight="false" outlineLevel="0" collapsed="false">
      <c r="A2172" s="13" t="n">
        <v>45392</v>
      </c>
      <c r="B2172" s="14" t="n">
        <v>1349.05</v>
      </c>
      <c r="C2172" s="14" t="n">
        <v>10.8396</v>
      </c>
      <c r="D2172" s="14" t="n">
        <v>1.2544</v>
      </c>
      <c r="E2172" s="14" t="n">
        <v>1.0737</v>
      </c>
      <c r="F2172" s="14" t="n">
        <v>7.2341</v>
      </c>
      <c r="G2172" s="14" t="n">
        <v>5.0736</v>
      </c>
      <c r="H2172" s="14" t="n">
        <v>152.9</v>
      </c>
      <c r="I2172" s="14" t="n">
        <v>1.086</v>
      </c>
      <c r="J2172" s="14" t="n">
        <v>11.5665</v>
      </c>
      <c r="K2172" s="14" t="n">
        <v>1467.33</v>
      </c>
      <c r="L2172" s="14" t="n">
        <v>0.85515</v>
      </c>
      <c r="M2172" s="14" t="n">
        <v>7.8548</v>
      </c>
      <c r="N2172" s="14" t="n">
        <v>5.433</v>
      </c>
      <c r="O2172" s="14" t="n">
        <v>164.89</v>
      </c>
      <c r="P2172" s="14" t="n">
        <v>10.6506</v>
      </c>
    </row>
    <row r="2173" customFormat="false" ht="15" hidden="false" customHeight="false" outlineLevel="0" collapsed="false">
      <c r="A2173" s="13" t="n">
        <v>45393</v>
      </c>
      <c r="B2173" s="14" t="n">
        <v>1364.19</v>
      </c>
      <c r="C2173" s="14" t="n">
        <v>10.8545</v>
      </c>
      <c r="D2173" s="14" t="n">
        <v>1.2535</v>
      </c>
      <c r="E2173" s="14" t="n">
        <v>1.0722</v>
      </c>
      <c r="F2173" s="14" t="n">
        <v>7.2373</v>
      </c>
      <c r="G2173" s="14" t="n">
        <v>5.0763</v>
      </c>
      <c r="H2173" s="14" t="n">
        <v>153.19</v>
      </c>
      <c r="I2173" s="14" t="n">
        <v>1.0729</v>
      </c>
      <c r="J2173" s="14" t="n">
        <v>11.618</v>
      </c>
      <c r="K2173" s="14" t="n">
        <v>1469.32</v>
      </c>
      <c r="L2173" s="14" t="n">
        <v>0.85525</v>
      </c>
      <c r="M2173" s="14" t="n">
        <v>7.7646</v>
      </c>
      <c r="N2173" s="14" t="n">
        <v>5.4468</v>
      </c>
      <c r="O2173" s="14" t="n">
        <v>164.18</v>
      </c>
      <c r="P2173" s="14" t="n">
        <v>10.8286</v>
      </c>
    </row>
    <row r="2174" customFormat="false" ht="15" hidden="false" customHeight="false" outlineLevel="0" collapsed="false">
      <c r="A2174" s="13" t="n">
        <v>45394</v>
      </c>
      <c r="B2174" s="14" t="n">
        <v>1374.74</v>
      </c>
      <c r="C2174" s="14" t="n">
        <v>10.8883</v>
      </c>
      <c r="D2174" s="14" t="n">
        <v>1.2457</v>
      </c>
      <c r="E2174" s="14" t="n">
        <v>1.0647</v>
      </c>
      <c r="F2174" s="14" t="n">
        <v>7.2374</v>
      </c>
      <c r="G2174" s="14" t="n">
        <v>5.1374</v>
      </c>
      <c r="H2174" s="14" t="n">
        <v>153.12</v>
      </c>
      <c r="I2174" s="14" t="n">
        <v>1.0652</v>
      </c>
      <c r="J2174" s="14" t="n">
        <v>11.587</v>
      </c>
      <c r="K2174" s="14" t="n">
        <v>1469.79</v>
      </c>
      <c r="L2174" s="14" t="n">
        <v>0.85424</v>
      </c>
      <c r="M2174" s="14" t="n">
        <v>7.7094</v>
      </c>
      <c r="N2174" s="14" t="n">
        <v>5.4442</v>
      </c>
      <c r="O2174" s="14" t="n">
        <v>163.16</v>
      </c>
      <c r="P2174" s="14" t="n">
        <v>10.8778</v>
      </c>
    </row>
    <row r="2175" customFormat="false" ht="15" hidden="false" customHeight="false" outlineLevel="0" collapsed="false">
      <c r="A2175" s="13" t="n">
        <v>45397</v>
      </c>
      <c r="B2175" s="14" t="n">
        <v>1383.63</v>
      </c>
      <c r="C2175" s="14" t="n">
        <v>10.9362</v>
      </c>
      <c r="D2175" s="14" t="n">
        <v>1.2466</v>
      </c>
      <c r="E2175" s="14" t="n">
        <v>1.0644</v>
      </c>
      <c r="F2175" s="14" t="n">
        <v>7.2382</v>
      </c>
      <c r="G2175" s="14" t="n">
        <v>5.1791</v>
      </c>
      <c r="H2175" s="14" t="n">
        <v>154.25</v>
      </c>
      <c r="I2175" s="14" t="n">
        <v>1.0656</v>
      </c>
      <c r="J2175" s="14" t="n">
        <v>11.626</v>
      </c>
      <c r="K2175" s="14" t="n">
        <v>1473.79</v>
      </c>
      <c r="L2175" s="14" t="n">
        <v>0.85405</v>
      </c>
      <c r="M2175" s="14" t="n">
        <v>7.7134</v>
      </c>
      <c r="N2175" s="14" t="n">
        <v>5.4553</v>
      </c>
      <c r="O2175" s="14" t="n">
        <v>164.05</v>
      </c>
      <c r="P2175" s="14" t="n">
        <v>10.9103</v>
      </c>
    </row>
    <row r="2176" customFormat="false" ht="15" hidden="false" customHeight="false" outlineLevel="0" collapsed="false">
      <c r="A2176" s="13" t="n">
        <v>45398</v>
      </c>
      <c r="B2176" s="14" t="n">
        <v>1393.92</v>
      </c>
      <c r="C2176" s="14" t="n">
        <v>10.9705</v>
      </c>
      <c r="D2176" s="14" t="n">
        <v>1.2437</v>
      </c>
      <c r="E2176" s="14" t="n">
        <v>1.0628</v>
      </c>
      <c r="F2176" s="14" t="n">
        <v>7.2383</v>
      </c>
      <c r="G2176" s="14" t="n">
        <v>5.2679</v>
      </c>
      <c r="H2176" s="14" t="n">
        <v>154.57</v>
      </c>
      <c r="I2176" s="14" t="n">
        <v>1.0637</v>
      </c>
      <c r="J2176" s="14" t="n">
        <v>11.6745</v>
      </c>
      <c r="K2176" s="14" t="n">
        <v>1481.62</v>
      </c>
      <c r="L2176" s="14" t="n">
        <v>0.8544</v>
      </c>
      <c r="M2176" s="14" t="n">
        <v>7.6995</v>
      </c>
      <c r="N2176" s="14" t="n">
        <v>5.5607</v>
      </c>
      <c r="O2176" s="14" t="n">
        <v>164.54</v>
      </c>
      <c r="P2176" s="14" t="n">
        <v>10.9754</v>
      </c>
    </row>
    <row r="2177" customFormat="false" ht="15" hidden="false" customHeight="false" outlineLevel="0" collapsed="false">
      <c r="A2177" s="13" t="n">
        <v>45399</v>
      </c>
      <c r="B2177" s="14" t="n">
        <v>1385.88</v>
      </c>
      <c r="C2177" s="14" t="n">
        <v>11.0356</v>
      </c>
      <c r="D2177" s="14" t="n">
        <v>1.2443</v>
      </c>
      <c r="E2177" s="14" t="n">
        <v>1.0644</v>
      </c>
      <c r="F2177" s="14" t="n">
        <v>7.2389</v>
      </c>
      <c r="G2177" s="14" t="n">
        <v>5.2401</v>
      </c>
      <c r="H2177" s="14" t="n">
        <v>154.61</v>
      </c>
      <c r="I2177" s="14" t="n">
        <v>1.0638</v>
      </c>
      <c r="J2177" s="14" t="n">
        <v>11.696</v>
      </c>
      <c r="K2177" s="14" t="n">
        <v>1471.92</v>
      </c>
      <c r="L2177" s="14" t="n">
        <v>0.854</v>
      </c>
      <c r="M2177" s="14" t="n">
        <v>7.7006</v>
      </c>
      <c r="N2177" s="14" t="n">
        <v>5.6044</v>
      </c>
      <c r="O2177" s="14" t="n">
        <v>164.54</v>
      </c>
      <c r="P2177" s="14" t="n">
        <v>10.9945</v>
      </c>
    </row>
    <row r="2178" customFormat="false" ht="15" hidden="false" customHeight="false" outlineLevel="0" collapsed="false">
      <c r="A2178" s="13" t="n">
        <v>45400</v>
      </c>
      <c r="B2178" s="14" t="n">
        <v>1373.42</v>
      </c>
      <c r="C2178" s="14" t="n">
        <v>11.0271</v>
      </c>
      <c r="D2178" s="14" t="n">
        <v>1.2465</v>
      </c>
      <c r="E2178" s="14" t="n">
        <v>1.066</v>
      </c>
      <c r="F2178" s="14" t="n">
        <v>7.2382</v>
      </c>
      <c r="G2178" s="14" t="n">
        <v>5.2567</v>
      </c>
      <c r="H2178" s="14" t="n">
        <v>154.61</v>
      </c>
      <c r="I2178" s="14" t="n">
        <v>1.0679</v>
      </c>
      <c r="J2178" s="14" t="n">
        <v>11.7375</v>
      </c>
      <c r="K2178" s="14" t="n">
        <v>1467.41</v>
      </c>
      <c r="L2178" s="14" t="n">
        <v>0.85628</v>
      </c>
      <c r="M2178" s="14" t="n">
        <v>7.7294</v>
      </c>
      <c r="N2178" s="14" t="n">
        <v>5.5973</v>
      </c>
      <c r="O2178" s="14" t="n">
        <v>164.82</v>
      </c>
      <c r="P2178" s="14" t="n">
        <v>10.9912</v>
      </c>
    </row>
    <row r="2179" customFormat="false" ht="15" hidden="false" customHeight="false" outlineLevel="0" collapsed="false">
      <c r="A2179" s="13" t="n">
        <v>45401</v>
      </c>
      <c r="B2179" s="14" t="n">
        <v>1376.72</v>
      </c>
      <c r="C2179" s="14" t="n">
        <v>11.0208</v>
      </c>
      <c r="D2179" s="14" t="n">
        <v>1.2397</v>
      </c>
      <c r="E2179" s="14" t="n">
        <v>1.0655</v>
      </c>
      <c r="F2179" s="14" t="n">
        <v>7.2403</v>
      </c>
      <c r="G2179" s="14" t="n">
        <v>5.2103</v>
      </c>
      <c r="H2179" s="14" t="n">
        <v>154.55</v>
      </c>
      <c r="I2179" s="14" t="n">
        <v>1.0653</v>
      </c>
      <c r="J2179" s="14" t="n">
        <v>11.765</v>
      </c>
      <c r="K2179" s="14" t="n">
        <v>1469.09</v>
      </c>
      <c r="L2179" s="14" t="n">
        <v>0.8562</v>
      </c>
      <c r="M2179" s="14" t="n">
        <v>7.7139</v>
      </c>
      <c r="N2179" s="14" t="n">
        <v>5.6165</v>
      </c>
      <c r="O2179" s="14" t="n">
        <v>164.68</v>
      </c>
      <c r="P2179" s="14" t="n">
        <v>11.0438</v>
      </c>
    </row>
    <row r="2180" customFormat="false" ht="15" hidden="false" customHeight="false" outlineLevel="0" collapsed="false">
      <c r="A2180" s="13" t="n">
        <v>45404</v>
      </c>
      <c r="B2180" s="14" t="n">
        <v>1381.84</v>
      </c>
      <c r="C2180" s="14" t="n">
        <v>11.0217</v>
      </c>
      <c r="D2180" s="14" t="n">
        <v>1.2341</v>
      </c>
      <c r="E2180" s="14" t="n">
        <v>1.0655</v>
      </c>
      <c r="F2180" s="14" t="n">
        <v>7.2403</v>
      </c>
      <c r="G2180" s="14" t="n">
        <v>5.209</v>
      </c>
      <c r="H2180" s="14" t="n">
        <v>154.77</v>
      </c>
      <c r="I2180" s="14" t="n">
        <v>1.0632</v>
      </c>
      <c r="J2180" s="14" t="n">
        <v>11.7185</v>
      </c>
      <c r="K2180" s="14" t="n">
        <v>1467.64</v>
      </c>
      <c r="L2180" s="14" t="n">
        <v>0.86328</v>
      </c>
      <c r="M2180" s="14" t="n">
        <v>7.7012</v>
      </c>
      <c r="N2180" s="14" t="n">
        <v>5.5427</v>
      </c>
      <c r="O2180" s="14" t="n">
        <v>164.51</v>
      </c>
      <c r="P2180" s="14" t="n">
        <v>11.0219</v>
      </c>
    </row>
    <row r="2181" customFormat="false" ht="15" hidden="false" customHeight="false" outlineLevel="0" collapsed="false">
      <c r="A2181" s="13" t="n">
        <v>45405</v>
      </c>
      <c r="B2181" s="14" t="n">
        <v>1379.27</v>
      </c>
      <c r="C2181" s="14" t="n">
        <v>10.9372</v>
      </c>
      <c r="D2181" s="14" t="n">
        <v>1.2434</v>
      </c>
      <c r="E2181" s="14" t="n">
        <v>1.0695</v>
      </c>
      <c r="F2181" s="14" t="n">
        <v>7.2445</v>
      </c>
      <c r="G2181" s="14" t="n">
        <v>5.1919</v>
      </c>
      <c r="H2181" s="14" t="n">
        <v>154.81</v>
      </c>
      <c r="I2181" s="14" t="n">
        <v>1.0674</v>
      </c>
      <c r="J2181" s="14" t="n">
        <v>11.731</v>
      </c>
      <c r="K2181" s="14" t="n">
        <v>1471.21</v>
      </c>
      <c r="L2181" s="14" t="n">
        <v>0.8605</v>
      </c>
      <c r="M2181" s="14" t="n">
        <v>7.7353</v>
      </c>
      <c r="N2181" s="14" t="n">
        <v>5.5246</v>
      </c>
      <c r="O2181" s="14" t="n">
        <v>165.23</v>
      </c>
      <c r="P2181" s="14" t="n">
        <v>10.9903</v>
      </c>
    </row>
    <row r="2182" customFormat="false" ht="15" hidden="false" customHeight="false" outlineLevel="0" collapsed="false">
      <c r="A2182" s="13" t="n">
        <v>45406</v>
      </c>
      <c r="B2182" s="14" t="n">
        <v>1369.86</v>
      </c>
      <c r="C2182" s="14" t="n">
        <v>10.9977</v>
      </c>
      <c r="D2182" s="14" t="n">
        <v>1.2434</v>
      </c>
      <c r="E2182" s="14" t="n">
        <v>1.0687</v>
      </c>
      <c r="F2182" s="14" t="n">
        <v>7.246</v>
      </c>
      <c r="G2182" s="14" t="n">
        <v>5.157</v>
      </c>
      <c r="H2182" s="14" t="n">
        <v>155.11</v>
      </c>
      <c r="I2182" s="14" t="n">
        <v>1.0686</v>
      </c>
      <c r="J2182" s="14" t="n">
        <v>11.733</v>
      </c>
      <c r="K2182" s="14" t="n">
        <v>1469.91</v>
      </c>
      <c r="L2182" s="14" t="n">
        <v>0.85945</v>
      </c>
      <c r="M2182" s="14" t="n">
        <v>7.7431</v>
      </c>
      <c r="N2182" s="14" t="n">
        <v>5.4856</v>
      </c>
      <c r="O2182" s="14" t="n">
        <v>165.57</v>
      </c>
      <c r="P2182" s="14" t="n">
        <v>10.9798</v>
      </c>
    </row>
    <row r="2183" customFormat="false" ht="15" hidden="false" customHeight="false" outlineLevel="0" collapsed="false">
      <c r="A2183" s="13" t="n">
        <v>45407</v>
      </c>
      <c r="B2183" s="14" t="n">
        <v>1369.86</v>
      </c>
      <c r="C2183" s="14" t="n">
        <v>10.9825</v>
      </c>
      <c r="D2183" s="14" t="n">
        <v>1.2494</v>
      </c>
      <c r="E2183" s="14" t="n">
        <v>1.0721</v>
      </c>
      <c r="F2183" s="14" t="n">
        <v>7.246</v>
      </c>
      <c r="G2183" s="14" t="n">
        <v>5.1643</v>
      </c>
      <c r="H2183" s="14" t="n">
        <v>155.52</v>
      </c>
      <c r="I2183" s="14" t="n">
        <v>1.072</v>
      </c>
      <c r="J2183" s="14" t="n">
        <v>11.714</v>
      </c>
      <c r="K2183" s="14" t="n">
        <v>1473.23</v>
      </c>
      <c r="L2183" s="14" t="n">
        <v>0.85675</v>
      </c>
      <c r="M2183" s="14" t="n">
        <v>7.7682</v>
      </c>
      <c r="N2183" s="14" t="n">
        <v>5.505</v>
      </c>
      <c r="O2183" s="14" t="n">
        <v>166.76</v>
      </c>
      <c r="P2183" s="14" t="n">
        <v>10.9272</v>
      </c>
    </row>
    <row r="2184" customFormat="false" ht="15" hidden="false" customHeight="false" outlineLevel="0" collapsed="false">
      <c r="A2184" s="13" t="n">
        <v>45408</v>
      </c>
      <c r="B2184" s="14" t="n">
        <v>1375.1</v>
      </c>
      <c r="C2184" s="14" t="n">
        <v>11.031</v>
      </c>
      <c r="D2184" s="14" t="n">
        <v>1.2474</v>
      </c>
      <c r="E2184" s="14" t="n">
        <v>1.0686</v>
      </c>
      <c r="F2184" s="14" t="n">
        <v>7.2464</v>
      </c>
      <c r="G2184" s="14" t="n">
        <v>5.1143</v>
      </c>
      <c r="H2184" s="14" t="n">
        <v>157.62</v>
      </c>
      <c r="I2184" s="14" t="n">
        <v>1.0714</v>
      </c>
      <c r="J2184" s="14" t="n">
        <v>11.7995</v>
      </c>
      <c r="K2184" s="14" t="n">
        <v>1474.65</v>
      </c>
      <c r="L2184" s="14" t="n">
        <v>0.85643</v>
      </c>
      <c r="M2184" s="14" t="n">
        <v>7.7638</v>
      </c>
      <c r="N2184" s="14" t="n">
        <v>5.5208</v>
      </c>
      <c r="O2184" s="14" t="n">
        <v>168.03</v>
      </c>
      <c r="P2184" s="14" t="n">
        <v>11.0132</v>
      </c>
    </row>
    <row r="2185" customFormat="false" ht="15" hidden="false" customHeight="false" outlineLevel="0" collapsed="false">
      <c r="A2185" s="13" t="n">
        <v>45411</v>
      </c>
      <c r="B2185" s="14" t="n">
        <v>1377.35</v>
      </c>
      <c r="C2185" s="14" t="n">
        <v>10.9929</v>
      </c>
      <c r="D2185" s="14" t="n">
        <v>1.2553</v>
      </c>
      <c r="E2185" s="14" t="n">
        <v>1.0717</v>
      </c>
      <c r="F2185" s="14" t="n">
        <v>7.2318</v>
      </c>
      <c r="G2185" s="14" t="n">
        <v>5.1169</v>
      </c>
      <c r="H2185" s="14" t="n">
        <v>156.71</v>
      </c>
      <c r="I2185" s="14" t="n">
        <v>1.072</v>
      </c>
      <c r="J2185" s="14" t="n">
        <v>11.7835</v>
      </c>
      <c r="K2185" s="14" t="n">
        <v>1476.15</v>
      </c>
      <c r="L2185" s="14" t="n">
        <v>0.85493</v>
      </c>
      <c r="M2185" s="14" t="n">
        <v>7.7627</v>
      </c>
      <c r="N2185" s="14" t="n">
        <v>5.4706</v>
      </c>
      <c r="O2185" s="14" t="n">
        <v>167.53</v>
      </c>
      <c r="P2185" s="14" t="n">
        <v>10.9921</v>
      </c>
    </row>
    <row r="2186" customFormat="false" ht="15" hidden="false" customHeight="false" outlineLevel="0" collapsed="false">
      <c r="A2186" s="13" t="n">
        <v>45412</v>
      </c>
      <c r="B2186" s="14" t="n">
        <v>1381.92</v>
      </c>
      <c r="C2186" s="14" t="n">
        <v>11.0823</v>
      </c>
      <c r="D2186" s="14" t="n">
        <v>1.2514</v>
      </c>
      <c r="E2186" s="14" t="n">
        <v>1.0684</v>
      </c>
      <c r="F2186" s="14" t="n">
        <v>7.2401</v>
      </c>
      <c r="G2186" s="14" t="n">
        <v>5.1764</v>
      </c>
      <c r="H2186" s="14" t="n">
        <v>157.54</v>
      </c>
      <c r="I2186" s="14" t="n">
        <v>1.0718</v>
      </c>
      <c r="J2186" s="14" t="n">
        <v>11.815</v>
      </c>
      <c r="K2186" s="14" t="n">
        <v>1479.67</v>
      </c>
      <c r="L2186" s="14" t="n">
        <v>0.85478</v>
      </c>
      <c r="M2186" s="14" t="n">
        <v>7.7609</v>
      </c>
      <c r="N2186" s="14" t="n">
        <v>5.4928</v>
      </c>
      <c r="O2186" s="14" t="n">
        <v>168.27</v>
      </c>
      <c r="P2186" s="14" t="n">
        <v>11.0235</v>
      </c>
    </row>
    <row r="2187" customFormat="false" ht="15" hidden="false" customHeight="false" outlineLevel="0" collapsed="false">
      <c r="A2187" s="13" t="n">
        <v>45413</v>
      </c>
      <c r="B2187" s="14" t="n">
        <v>1386.95</v>
      </c>
      <c r="C2187" s="14" t="n">
        <v>11.0801</v>
      </c>
      <c r="D2187" s="14" t="n">
        <v>1.2488</v>
      </c>
      <c r="E2187" s="14" t="n">
        <v>1.068</v>
      </c>
      <c r="F2187" s="14" t="n">
        <v>7.2405</v>
      </c>
      <c r="G2187" s="14" t="n">
        <v>5.1936</v>
      </c>
      <c r="H2187" s="14" t="n">
        <v>157.65</v>
      </c>
    </row>
    <row r="2188" customFormat="false" ht="15" hidden="false" customHeight="false" outlineLevel="0" collapsed="false">
      <c r="A2188" s="13" t="n">
        <v>45414</v>
      </c>
      <c r="B2188" s="14" t="n">
        <v>1375.39</v>
      </c>
      <c r="C2188" s="14" t="n">
        <v>11.0355</v>
      </c>
      <c r="D2188" s="14" t="n">
        <v>1.2507</v>
      </c>
      <c r="E2188" s="14" t="n">
        <v>1.0706</v>
      </c>
      <c r="F2188" s="14" t="n">
        <v>7.2405</v>
      </c>
      <c r="G2188" s="14" t="n">
        <v>5.1131</v>
      </c>
      <c r="H2188" s="14" t="n">
        <v>153.77</v>
      </c>
      <c r="I2188" s="14" t="n">
        <v>1.0698</v>
      </c>
      <c r="J2188" s="14" t="n">
        <v>11.843</v>
      </c>
      <c r="K2188" s="14" t="n">
        <v>1470.41</v>
      </c>
      <c r="L2188" s="14" t="n">
        <v>0.85538</v>
      </c>
      <c r="M2188" s="14" t="n">
        <v>7.7465</v>
      </c>
      <c r="N2188" s="14" t="n">
        <v>5.5025</v>
      </c>
      <c r="O2188" s="14" t="n">
        <v>165.63</v>
      </c>
      <c r="P2188" s="14" t="n">
        <v>11.0703</v>
      </c>
    </row>
    <row r="2189" customFormat="false" ht="15" hidden="false" customHeight="false" outlineLevel="0" collapsed="false">
      <c r="A2189" s="13" t="n">
        <v>45415</v>
      </c>
      <c r="B2189" s="14" t="n">
        <v>1363.04</v>
      </c>
      <c r="C2189" s="14" t="n">
        <v>10.8475</v>
      </c>
      <c r="D2189" s="14" t="n">
        <v>1.255</v>
      </c>
      <c r="E2189" s="14" t="n">
        <v>1.077</v>
      </c>
      <c r="F2189" s="14" t="n">
        <v>7.2405</v>
      </c>
      <c r="G2189" s="14" t="n">
        <v>5.072</v>
      </c>
      <c r="H2189" s="14" t="n">
        <v>152.85</v>
      </c>
      <c r="I2189" s="14" t="n">
        <v>1.0744</v>
      </c>
      <c r="J2189" s="14" t="n">
        <v>11.708</v>
      </c>
      <c r="K2189" s="14" t="n">
        <v>1460.24</v>
      </c>
      <c r="L2189" s="14" t="n">
        <v>0.85573</v>
      </c>
      <c r="M2189" s="14" t="n">
        <v>7.7798</v>
      </c>
      <c r="N2189" s="14" t="n">
        <v>5.4916</v>
      </c>
      <c r="O2189" s="14" t="n">
        <v>164.62</v>
      </c>
      <c r="P2189" s="14" t="n">
        <v>10.8972</v>
      </c>
    </row>
    <row r="2190" customFormat="false" ht="15" hidden="false" customHeight="false" outlineLevel="0" collapsed="false">
      <c r="A2190" s="13" t="n">
        <v>45418</v>
      </c>
      <c r="B2190" s="14" t="n">
        <v>1358.81</v>
      </c>
      <c r="C2190" s="14" t="n">
        <v>10.8272</v>
      </c>
      <c r="D2190" s="14" t="n">
        <v>1.2575</v>
      </c>
      <c r="E2190" s="14" t="n">
        <v>1.0779</v>
      </c>
      <c r="F2190" s="14" t="n">
        <v>7.2071</v>
      </c>
      <c r="G2190" s="14" t="n">
        <v>5.0648</v>
      </c>
      <c r="H2190" s="14" t="n">
        <v>153.85</v>
      </c>
      <c r="I2190" s="14" t="n">
        <v>1.0776</v>
      </c>
      <c r="J2190" s="14" t="n">
        <v>11.6663</v>
      </c>
      <c r="K2190" s="14" t="n">
        <v>1460</v>
      </c>
      <c r="L2190" s="14" t="n">
        <v>0.8566</v>
      </c>
      <c r="M2190" s="14" t="n">
        <v>7.7662</v>
      </c>
      <c r="N2190" s="14" t="n">
        <v>5.4683</v>
      </c>
      <c r="O2190" s="14" t="n">
        <v>165.7</v>
      </c>
      <c r="P2190" s="14" t="n">
        <v>10.8262</v>
      </c>
    </row>
    <row r="2191" customFormat="false" ht="15" hidden="false" customHeight="false" outlineLevel="0" collapsed="false">
      <c r="A2191" s="13" t="n">
        <v>45419</v>
      </c>
      <c r="B2191" s="14" t="n">
        <v>1359.45</v>
      </c>
      <c r="C2191" s="14" t="n">
        <v>10.8821</v>
      </c>
      <c r="D2191" s="14" t="n">
        <v>1.2535</v>
      </c>
      <c r="E2191" s="14" t="n">
        <v>1.0767</v>
      </c>
      <c r="F2191" s="14" t="n">
        <v>7.2185</v>
      </c>
      <c r="G2191" s="14" t="n">
        <v>5.0656</v>
      </c>
      <c r="H2191" s="14" t="n">
        <v>154.59</v>
      </c>
      <c r="I2191" s="14" t="n">
        <v>1.0766</v>
      </c>
      <c r="J2191" s="14" t="n">
        <v>11.698</v>
      </c>
      <c r="K2191" s="14" t="n">
        <v>1462.45</v>
      </c>
      <c r="L2191" s="14" t="n">
        <v>0.85805</v>
      </c>
      <c r="M2191" s="14" t="n">
        <v>7.7707</v>
      </c>
      <c r="N2191" s="14" t="n">
        <v>5.4629</v>
      </c>
      <c r="O2191" s="14" t="n">
        <v>166.45</v>
      </c>
      <c r="P2191" s="14" t="n">
        <v>10.8657</v>
      </c>
    </row>
    <row r="2192" customFormat="false" ht="15" hidden="false" customHeight="false" outlineLevel="0" collapsed="false">
      <c r="A2192" s="13" t="n">
        <v>45420</v>
      </c>
      <c r="B2192" s="14" t="n">
        <v>1359.45</v>
      </c>
      <c r="C2192" s="14" t="n">
        <v>10.8916</v>
      </c>
      <c r="D2192" s="14" t="n">
        <v>1.2503</v>
      </c>
      <c r="E2192" s="14" t="n">
        <v>1.0755</v>
      </c>
      <c r="F2192" s="14" t="n">
        <v>7.2185</v>
      </c>
      <c r="G2192" s="14" t="n">
        <v>5.0645</v>
      </c>
      <c r="H2192" s="14" t="n">
        <v>155.42</v>
      </c>
      <c r="I2192" s="14" t="n">
        <v>1.0743</v>
      </c>
      <c r="J2192" s="14" t="n">
        <v>11.757</v>
      </c>
      <c r="K2192" s="14" t="n">
        <v>1466.47</v>
      </c>
      <c r="L2192" s="14" t="n">
        <v>0.86083</v>
      </c>
      <c r="M2192" s="14" t="n">
        <v>7.7651</v>
      </c>
      <c r="N2192" s="14" t="n">
        <v>5.4682</v>
      </c>
      <c r="O2192" s="14" t="n">
        <v>167.15</v>
      </c>
      <c r="P2192" s="14" t="n">
        <v>10.9439</v>
      </c>
    </row>
    <row r="2193" customFormat="false" ht="15" hidden="false" customHeight="false" outlineLevel="0" collapsed="false">
      <c r="A2193" s="13" t="n">
        <v>45421</v>
      </c>
      <c r="B2193" s="14" t="n">
        <v>1369.74</v>
      </c>
      <c r="C2193" s="14" t="n">
        <v>10.8768</v>
      </c>
      <c r="D2193" s="14" t="n">
        <v>1.2505</v>
      </c>
      <c r="E2193" s="14" t="n">
        <v>1.0771</v>
      </c>
      <c r="F2193" s="14" t="n">
        <v>7.2198</v>
      </c>
      <c r="G2193" s="14" t="n">
        <v>5.1568</v>
      </c>
      <c r="H2193" s="14" t="n">
        <v>155.68</v>
      </c>
      <c r="I2193" s="14" t="n">
        <v>1.0732</v>
      </c>
      <c r="J2193" s="14" t="n">
        <v>11.7215</v>
      </c>
      <c r="K2193" s="14" t="n">
        <v>1471.57</v>
      </c>
      <c r="L2193" s="14" t="n">
        <v>0.85995</v>
      </c>
      <c r="M2193" s="14" t="n">
        <v>7.7554</v>
      </c>
      <c r="N2193" s="14" t="n">
        <v>5.5189</v>
      </c>
      <c r="O2193" s="14" t="n">
        <v>167.32</v>
      </c>
    </row>
    <row r="2194" customFormat="false" ht="15" hidden="false" customHeight="false" outlineLevel="0" collapsed="false">
      <c r="A2194" s="13" t="n">
        <v>45422</v>
      </c>
      <c r="B2194" s="14" t="n">
        <v>1367.77</v>
      </c>
      <c r="C2194" s="14" t="n">
        <v>10.8389</v>
      </c>
      <c r="D2194" s="14" t="n">
        <v>1.2528</v>
      </c>
      <c r="E2194" s="14" t="n">
        <v>1.0773</v>
      </c>
      <c r="F2194" s="14" t="n">
        <v>7.226</v>
      </c>
      <c r="G2194" s="14" t="n">
        <v>5.1545</v>
      </c>
      <c r="H2194" s="14" t="n">
        <v>155.85</v>
      </c>
      <c r="I2194" s="14" t="n">
        <v>1.0779</v>
      </c>
      <c r="J2194" s="14" t="n">
        <v>11.6735</v>
      </c>
      <c r="K2194" s="14" t="n">
        <v>1472.72</v>
      </c>
      <c r="L2194" s="14" t="n">
        <v>0.86055</v>
      </c>
      <c r="M2194" s="14" t="n">
        <v>7.7877</v>
      </c>
      <c r="N2194" s="14" t="n">
        <v>5.5332</v>
      </c>
      <c r="O2194" s="14" t="n">
        <v>167.87</v>
      </c>
      <c r="P2194" s="14" t="n">
        <v>10.8299</v>
      </c>
    </row>
    <row r="2195" customFormat="false" ht="15" hidden="false" customHeight="false" outlineLevel="0" collapsed="false">
      <c r="A2195" s="13" t="n">
        <v>45425</v>
      </c>
      <c r="B2195" s="14" t="n">
        <v>1367.91</v>
      </c>
      <c r="C2195" s="14" t="n">
        <v>10.8147</v>
      </c>
      <c r="D2195" s="14" t="n">
        <v>1.2563</v>
      </c>
      <c r="E2195" s="14" t="n">
        <v>1.0796</v>
      </c>
      <c r="F2195" s="14" t="n">
        <v>7.2325</v>
      </c>
      <c r="G2195" s="14" t="n">
        <v>5.1605</v>
      </c>
      <c r="H2195" s="14" t="n">
        <v>156.17</v>
      </c>
      <c r="I2195" s="14" t="n">
        <v>1.0795</v>
      </c>
      <c r="J2195" s="14" t="n">
        <v>11.68</v>
      </c>
      <c r="K2195" s="14" t="n">
        <v>1476.01</v>
      </c>
      <c r="L2195" s="14" t="n">
        <v>0.86023</v>
      </c>
      <c r="M2195" s="14" t="n">
        <v>7.8095</v>
      </c>
      <c r="N2195" s="14" t="n">
        <v>5.5486</v>
      </c>
      <c r="O2195" s="14" t="n">
        <v>168.25</v>
      </c>
      <c r="P2195" s="14" t="n">
        <v>10.8198</v>
      </c>
    </row>
    <row r="2196" customFormat="false" ht="15" hidden="false" customHeight="false" outlineLevel="0" collapsed="false">
      <c r="A2196" s="13" t="n">
        <v>45426</v>
      </c>
      <c r="B2196" s="14" t="n">
        <v>1368.77</v>
      </c>
      <c r="C2196" s="14" t="n">
        <v>10.8193</v>
      </c>
      <c r="D2196" s="14" t="n">
        <v>1.2588</v>
      </c>
      <c r="E2196" s="14" t="n">
        <v>1.0818</v>
      </c>
      <c r="F2196" s="14" t="n">
        <v>7.2335</v>
      </c>
      <c r="G2196" s="14" t="n">
        <v>5.1348</v>
      </c>
      <c r="H2196" s="14" t="n">
        <v>156.5</v>
      </c>
      <c r="I2196" s="14" t="n">
        <v>1.0796</v>
      </c>
      <c r="J2196" s="14" t="n">
        <v>11.6815</v>
      </c>
      <c r="K2196" s="14" t="n">
        <v>1476.56</v>
      </c>
      <c r="L2196" s="14" t="n">
        <v>0.85983</v>
      </c>
      <c r="M2196" s="14" t="n">
        <v>7.8103</v>
      </c>
      <c r="N2196" s="14" t="n">
        <v>5.5419</v>
      </c>
      <c r="O2196" s="14" t="n">
        <v>168.89</v>
      </c>
      <c r="P2196" s="14" t="n">
        <v>10.8202</v>
      </c>
    </row>
    <row r="2197" customFormat="false" ht="15" hidden="false" customHeight="false" outlineLevel="0" collapsed="false">
      <c r="A2197" s="13" t="n">
        <v>45427</v>
      </c>
      <c r="B2197" s="14" t="n">
        <v>1360.15</v>
      </c>
      <c r="C2197" s="14" t="n">
        <v>10.7174</v>
      </c>
      <c r="D2197" s="14" t="n">
        <v>1.2658</v>
      </c>
      <c r="E2197" s="14" t="n">
        <v>1.086</v>
      </c>
      <c r="F2197" s="14" t="n">
        <v>7.219</v>
      </c>
      <c r="G2197" s="14" t="n">
        <v>5.1298</v>
      </c>
      <c r="H2197" s="14" t="n">
        <v>155.02</v>
      </c>
      <c r="I2197" s="14" t="n">
        <v>1.0832</v>
      </c>
      <c r="J2197" s="14" t="n">
        <v>11.649</v>
      </c>
      <c r="K2197" s="14" t="n">
        <v>1471.93</v>
      </c>
      <c r="L2197" s="14" t="n">
        <v>0.8584</v>
      </c>
      <c r="M2197" s="14" t="n">
        <v>7.8212</v>
      </c>
      <c r="N2197" s="14" t="n">
        <v>5.5827</v>
      </c>
      <c r="O2197" s="14" t="n">
        <v>168.43</v>
      </c>
      <c r="P2197" s="14" t="n">
        <v>10.7542</v>
      </c>
    </row>
    <row r="2198" customFormat="false" ht="15" hidden="false" customHeight="false" outlineLevel="0" collapsed="false">
      <c r="A2198" s="13" t="n">
        <v>45428</v>
      </c>
      <c r="B2198" s="14" t="n">
        <v>1345.15</v>
      </c>
      <c r="C2198" s="14" t="n">
        <v>10.688</v>
      </c>
      <c r="D2198" s="14" t="n">
        <v>1.2682</v>
      </c>
      <c r="E2198" s="14" t="n">
        <v>1.0875</v>
      </c>
      <c r="F2198" s="14" t="n">
        <v>7.2181</v>
      </c>
      <c r="G2198" s="14" t="n">
        <v>5.1277</v>
      </c>
      <c r="H2198" s="14" t="n">
        <v>155.25</v>
      </c>
      <c r="I2198" s="14" t="n">
        <v>1.0866</v>
      </c>
      <c r="J2198" s="14" t="n">
        <v>11.642</v>
      </c>
      <c r="K2198" s="14" t="n">
        <v>1463.04</v>
      </c>
      <c r="L2198" s="14" t="n">
        <v>0.8585</v>
      </c>
      <c r="M2198" s="14" t="n">
        <v>7.843</v>
      </c>
      <c r="N2198" s="14" t="n">
        <v>5.5696</v>
      </c>
      <c r="O2198" s="14" t="n">
        <v>168.33</v>
      </c>
      <c r="P2198" s="14" t="n">
        <v>10.7142</v>
      </c>
    </row>
    <row r="2199" customFormat="false" ht="15" hidden="false" customHeight="false" outlineLevel="0" collapsed="false">
      <c r="A2199" s="13" t="n">
        <v>45429</v>
      </c>
      <c r="B2199" s="14" t="n">
        <v>1354.83</v>
      </c>
      <c r="C2199" s="14" t="n">
        <v>10.683</v>
      </c>
      <c r="D2199" s="14" t="n">
        <v>1.2703</v>
      </c>
      <c r="E2199" s="14" t="n">
        <v>1.0869</v>
      </c>
      <c r="F2199" s="14" t="n">
        <v>7.2233</v>
      </c>
      <c r="G2199" s="14" t="n">
        <v>5.1155</v>
      </c>
      <c r="H2199" s="14" t="n">
        <v>155.57</v>
      </c>
      <c r="I2199" s="14" t="n">
        <v>1.0844</v>
      </c>
      <c r="J2199" s="14" t="n">
        <v>11.633</v>
      </c>
      <c r="K2199" s="14" t="n">
        <v>1471.55</v>
      </c>
      <c r="L2199" s="14" t="n">
        <v>0.85685</v>
      </c>
      <c r="M2199" s="14" t="n">
        <v>7.837</v>
      </c>
      <c r="N2199" s="14" t="n">
        <v>5.5645</v>
      </c>
      <c r="O2199" s="14" t="n">
        <v>168.96</v>
      </c>
    </row>
    <row r="2200" customFormat="false" ht="15" hidden="false" customHeight="false" outlineLevel="0" collapsed="false">
      <c r="A2200" s="13" t="n">
        <v>45432</v>
      </c>
      <c r="B2200" s="14" t="n">
        <v>1356</v>
      </c>
      <c r="C2200" s="14" t="n">
        <v>10.6899</v>
      </c>
      <c r="D2200" s="14" t="n">
        <v>1.2708</v>
      </c>
      <c r="E2200" s="14" t="n">
        <v>1.0861</v>
      </c>
      <c r="F2200" s="14" t="n">
        <v>7.2344</v>
      </c>
      <c r="G2200" s="14" t="n">
        <v>5.097</v>
      </c>
      <c r="H2200" s="14" t="n">
        <v>156.09</v>
      </c>
      <c r="I2200" s="14" t="n">
        <v>1.0861</v>
      </c>
      <c r="J2200" s="14" t="n">
        <v>11.6115</v>
      </c>
      <c r="K2200" s="14" t="n">
        <v>1477.31</v>
      </c>
      <c r="L2200" s="14" t="n">
        <v>0.85548</v>
      </c>
      <c r="M2200" s="14" t="n">
        <v>7.856</v>
      </c>
      <c r="N2200" s="14" t="n">
        <v>5.559</v>
      </c>
      <c r="O2200" s="14" t="n">
        <v>169.25</v>
      </c>
    </row>
    <row r="2201" customFormat="false" ht="15" hidden="false" customHeight="false" outlineLevel="0" collapsed="false">
      <c r="A2201" s="13" t="n">
        <v>45433</v>
      </c>
      <c r="B2201" s="14" t="n">
        <v>1363.54</v>
      </c>
      <c r="C2201" s="14" t="n">
        <v>10.6735</v>
      </c>
      <c r="D2201" s="14" t="n">
        <v>1.271</v>
      </c>
      <c r="E2201" s="14" t="n">
        <v>1.0855</v>
      </c>
      <c r="F2201" s="14" t="n">
        <v>7.2376</v>
      </c>
      <c r="G2201" s="14" t="n">
        <v>5.1123</v>
      </c>
      <c r="H2201" s="14" t="n">
        <v>156.08</v>
      </c>
      <c r="I2201" s="14" t="n">
        <v>1.0864</v>
      </c>
      <c r="J2201" s="14" t="n">
        <v>11.583</v>
      </c>
      <c r="K2201" s="14" t="n">
        <v>1480.56</v>
      </c>
      <c r="L2201" s="14" t="n">
        <v>0.8544</v>
      </c>
      <c r="M2201" s="14" t="n">
        <v>7.861</v>
      </c>
      <c r="N2201" s="14" t="n">
        <v>5.5371</v>
      </c>
      <c r="O2201" s="14" t="n">
        <v>169.86</v>
      </c>
      <c r="P2201" s="14" t="n">
        <v>10.6618</v>
      </c>
    </row>
    <row r="2202" customFormat="false" ht="15" hidden="false" customHeight="false" outlineLevel="0" collapsed="false">
      <c r="A2202" s="13" t="n">
        <v>45434</v>
      </c>
      <c r="B2202" s="14" t="n">
        <v>1362.36</v>
      </c>
      <c r="C2202" s="14" t="n">
        <v>10.6873</v>
      </c>
      <c r="D2202" s="14" t="n">
        <v>1.2739</v>
      </c>
      <c r="E2202" s="14" t="n">
        <v>1.0836</v>
      </c>
      <c r="F2202" s="14" t="n">
        <v>7.2405</v>
      </c>
      <c r="G2202" s="14" t="n">
        <v>5.146</v>
      </c>
      <c r="H2202" s="14" t="n">
        <v>156.49</v>
      </c>
      <c r="I2202" s="14" t="n">
        <v>1.083</v>
      </c>
      <c r="J2202" s="14" t="n">
        <v>11.585</v>
      </c>
      <c r="K2202" s="14" t="n">
        <v>1480.95</v>
      </c>
      <c r="L2202" s="14" t="n">
        <v>0.85165</v>
      </c>
      <c r="M2202" s="14" t="n">
        <v>7.8414</v>
      </c>
      <c r="N2202" s="14" t="n">
        <v>5.5647</v>
      </c>
      <c r="O2202" s="14" t="n">
        <v>169.54</v>
      </c>
      <c r="P2202" s="14" t="n">
        <v>10.6971</v>
      </c>
    </row>
    <row r="2203" customFormat="false" ht="15" hidden="false" customHeight="false" outlineLevel="0" collapsed="false">
      <c r="A2203" s="13" t="n">
        <v>45435</v>
      </c>
      <c r="B2203" s="14" t="n">
        <v>1362.38</v>
      </c>
      <c r="C2203" s="14" t="n">
        <v>10.6571</v>
      </c>
      <c r="D2203" s="14" t="n">
        <v>1.2717</v>
      </c>
      <c r="E2203" s="14" t="n">
        <v>1.0827</v>
      </c>
      <c r="F2203" s="14" t="n">
        <v>7.2421</v>
      </c>
      <c r="G2203" s="14" t="n">
        <v>5.15</v>
      </c>
      <c r="H2203" s="14" t="n">
        <v>157.05</v>
      </c>
      <c r="I2203" s="14" t="n">
        <v>1.0854</v>
      </c>
      <c r="J2203" s="14" t="n">
        <v>11.5165</v>
      </c>
      <c r="K2203" s="14" t="n">
        <v>1476.66</v>
      </c>
      <c r="L2203" s="14" t="n">
        <v>0.85175</v>
      </c>
      <c r="M2203" s="14" t="n">
        <v>7.8578</v>
      </c>
      <c r="N2203" s="14" t="n">
        <v>5.5745</v>
      </c>
      <c r="O2203" s="14" t="n">
        <v>169.9</v>
      </c>
      <c r="P2203" s="14" t="n">
        <v>10.6104</v>
      </c>
    </row>
    <row r="2204" customFormat="false" ht="15" hidden="false" customHeight="false" outlineLevel="0" collapsed="false">
      <c r="A2204" s="13" t="n">
        <v>45436</v>
      </c>
      <c r="B2204" s="14" t="n">
        <v>1369.02</v>
      </c>
      <c r="C2204" s="14" t="n">
        <v>10.5697</v>
      </c>
      <c r="D2204" s="14" t="n">
        <v>1.2746</v>
      </c>
      <c r="E2204" s="14" t="n">
        <v>1.0852</v>
      </c>
      <c r="F2204" s="14" t="n">
        <v>7.2425</v>
      </c>
      <c r="G2204" s="14" t="n">
        <v>5.1491</v>
      </c>
      <c r="H2204" s="14" t="n">
        <v>156.9</v>
      </c>
      <c r="I2204" s="14" t="n">
        <v>1.084</v>
      </c>
      <c r="J2204" s="14" t="n">
        <v>11.4953</v>
      </c>
      <c r="K2204" s="14" t="n">
        <v>1480.44</v>
      </c>
      <c r="L2204" s="14" t="n">
        <v>0.85241</v>
      </c>
      <c r="M2204" s="14" t="n">
        <v>7.8522</v>
      </c>
      <c r="N2204" s="14" t="n">
        <v>5.5722</v>
      </c>
      <c r="O2204" s="14" t="n">
        <v>170.28</v>
      </c>
      <c r="P2204" s="14" t="n">
        <v>10.6045</v>
      </c>
    </row>
    <row r="2205" customFormat="false" ht="15" hidden="false" customHeight="false" outlineLevel="0" collapsed="false">
      <c r="A2205" s="13" t="n">
        <v>45439</v>
      </c>
      <c r="I2205" s="14" t="n">
        <v>1.0843</v>
      </c>
      <c r="J2205" s="14" t="n">
        <v>11.415</v>
      </c>
      <c r="K2205" s="14" t="n">
        <v>1478.03</v>
      </c>
      <c r="L2205" s="14" t="n">
        <v>0.8507</v>
      </c>
      <c r="M2205" s="14" t="n">
        <v>7.8545</v>
      </c>
      <c r="N2205" s="14" t="n">
        <v>5.6038</v>
      </c>
      <c r="O2205" s="14" t="n">
        <v>170.07</v>
      </c>
      <c r="P2205" s="14" t="n">
        <v>10.5275</v>
      </c>
    </row>
    <row r="2206" customFormat="false" ht="15" hidden="false" customHeight="false" outlineLevel="0" collapsed="false">
      <c r="A2206" s="13" t="n">
        <v>45440</v>
      </c>
      <c r="B2206" s="14" t="n">
        <v>1357.65</v>
      </c>
      <c r="C2206" s="14" t="n">
        <v>10.4705</v>
      </c>
      <c r="D2206" s="14" t="n">
        <v>1.2786</v>
      </c>
      <c r="E2206" s="14" t="n">
        <v>1.0879</v>
      </c>
      <c r="F2206" s="14" t="n">
        <v>7.2451</v>
      </c>
      <c r="G2206" s="14" t="n">
        <v>5.1541</v>
      </c>
      <c r="H2206" s="14" t="n">
        <v>156.9</v>
      </c>
      <c r="I2206" s="14" t="n">
        <v>1.0882</v>
      </c>
      <c r="J2206" s="14" t="n">
        <v>11.407</v>
      </c>
      <c r="K2206" s="14" t="n">
        <v>1477.78</v>
      </c>
      <c r="L2206" s="14" t="n">
        <v>0.8508</v>
      </c>
      <c r="M2206" s="14" t="n">
        <v>7.8842</v>
      </c>
      <c r="N2206" s="14" t="n">
        <v>5.6141</v>
      </c>
      <c r="O2206" s="14" t="n">
        <v>170.54</v>
      </c>
      <c r="P2206" s="14" t="n">
        <v>10.4824</v>
      </c>
    </row>
    <row r="2207" customFormat="false" ht="15" hidden="false" customHeight="false" outlineLevel="0" collapsed="false">
      <c r="A2207" s="13" t="n">
        <v>45441</v>
      </c>
      <c r="B2207" s="14" t="n">
        <v>1365.07</v>
      </c>
      <c r="C2207" s="14" t="n">
        <v>10.5831</v>
      </c>
      <c r="D2207" s="14" t="n">
        <v>1.2714</v>
      </c>
      <c r="E2207" s="14" t="n">
        <v>1.0811</v>
      </c>
      <c r="F2207" s="14" t="n">
        <v>7.2494</v>
      </c>
      <c r="G2207" s="14" t="n">
        <v>5.203</v>
      </c>
      <c r="H2207" s="14" t="n">
        <v>157.62</v>
      </c>
      <c r="I2207" s="14" t="n">
        <v>1.0857</v>
      </c>
      <c r="J2207" s="14" t="n">
        <v>11.417</v>
      </c>
      <c r="K2207" s="14" t="n">
        <v>1484.62</v>
      </c>
      <c r="L2207" s="14" t="n">
        <v>0.8513</v>
      </c>
      <c r="M2207" s="14" t="n">
        <v>7.8706</v>
      </c>
      <c r="N2207" s="14" t="n">
        <v>5.6149</v>
      </c>
      <c r="O2207" s="14" t="n">
        <v>170.74</v>
      </c>
      <c r="P2207" s="14" t="n">
        <v>10.5158</v>
      </c>
    </row>
    <row r="2208" customFormat="false" ht="15" hidden="false" customHeight="false" outlineLevel="0" collapsed="false">
      <c r="A2208" s="13" t="n">
        <v>45442</v>
      </c>
      <c r="B2208" s="14" t="n">
        <v>1365.07</v>
      </c>
      <c r="C2208" s="14" t="n">
        <v>10.5246</v>
      </c>
      <c r="D2208" s="14" t="n">
        <v>1.2739</v>
      </c>
      <c r="E2208" s="14" t="n">
        <v>1.0837</v>
      </c>
      <c r="F2208" s="14" t="n">
        <v>7.2493</v>
      </c>
      <c r="G2208" s="14" t="n">
        <v>5.2034</v>
      </c>
      <c r="H2208" s="14" t="n">
        <v>156.63</v>
      </c>
      <c r="I2208" s="14" t="n">
        <v>1.0815</v>
      </c>
      <c r="J2208" s="14" t="n">
        <v>11.4065</v>
      </c>
      <c r="K2208" s="14" t="n">
        <v>1488.66</v>
      </c>
      <c r="L2208" s="14" t="n">
        <v>0.85105</v>
      </c>
      <c r="M2208" s="14" t="n">
        <v>7.8261</v>
      </c>
      <c r="N2208" s="14" t="n">
        <v>5.6279</v>
      </c>
      <c r="O2208" s="14" t="n">
        <v>169.5</v>
      </c>
      <c r="P2208" s="14" t="n">
        <v>10.5469</v>
      </c>
    </row>
    <row r="2209" customFormat="false" ht="15" hidden="false" customHeight="false" outlineLevel="0" collapsed="false">
      <c r="A2209" s="13" t="n">
        <v>45443</v>
      </c>
      <c r="B2209" s="14" t="n">
        <v>1385.43</v>
      </c>
      <c r="C2209" s="14" t="n">
        <v>10.5175</v>
      </c>
      <c r="D2209" s="14" t="n">
        <v>1.2738</v>
      </c>
      <c r="E2209" s="14" t="n">
        <v>1.0846</v>
      </c>
      <c r="F2209" s="14" t="n">
        <v>7.241</v>
      </c>
      <c r="G2209" s="14" t="n">
        <v>5.2413</v>
      </c>
      <c r="H2209" s="14" t="n">
        <v>157.19</v>
      </c>
      <c r="I2209" s="14" t="n">
        <v>1.0852</v>
      </c>
      <c r="J2209" s="14" t="n">
        <v>11.383</v>
      </c>
      <c r="K2209" s="14" t="n">
        <v>1501.11</v>
      </c>
      <c r="L2209" s="14" t="n">
        <v>0.85365</v>
      </c>
      <c r="M2209" s="14" t="n">
        <v>7.8577</v>
      </c>
      <c r="N2209" s="14" t="n">
        <v>5.6418</v>
      </c>
      <c r="O2209" s="14" t="n">
        <v>170.52</v>
      </c>
      <c r="P2209" s="14" t="n">
        <v>10.4893</v>
      </c>
    </row>
    <row r="2210" customFormat="false" ht="15" hidden="false" customHeight="false" outlineLevel="0" collapsed="false">
      <c r="A2210" s="13" t="n">
        <v>45446</v>
      </c>
      <c r="B2210" s="14" t="n">
        <v>1375.91</v>
      </c>
      <c r="C2210" s="14" t="n">
        <v>10.4606</v>
      </c>
      <c r="D2210" s="14" t="n">
        <v>1.2795</v>
      </c>
      <c r="E2210" s="14" t="n">
        <v>1.089</v>
      </c>
      <c r="F2210" s="14" t="n">
        <v>7.242</v>
      </c>
      <c r="G2210" s="14" t="n">
        <v>5.2345</v>
      </c>
      <c r="H2210" s="14" t="n">
        <v>156.04</v>
      </c>
      <c r="I2210" s="14" t="n">
        <v>1.0842</v>
      </c>
      <c r="J2210" s="14" t="n">
        <v>11.3885</v>
      </c>
      <c r="K2210" s="14" t="n">
        <v>1493.24</v>
      </c>
      <c r="L2210" s="14" t="n">
        <v>0.85175</v>
      </c>
      <c r="M2210" s="14" t="n">
        <v>7.8562</v>
      </c>
      <c r="N2210" s="14" t="n">
        <v>5.6957</v>
      </c>
      <c r="O2210" s="14" t="n">
        <v>170.09</v>
      </c>
      <c r="P2210" s="14" t="n">
        <v>10.5041</v>
      </c>
    </row>
    <row r="2211" customFormat="false" ht="15" hidden="false" customHeight="false" outlineLevel="0" collapsed="false">
      <c r="A2211" s="13" t="n">
        <v>45447</v>
      </c>
      <c r="B2211" s="14" t="n">
        <v>1375.96</v>
      </c>
      <c r="C2211" s="14" t="n">
        <v>10.5867</v>
      </c>
      <c r="D2211" s="14" t="n">
        <v>1.2785</v>
      </c>
      <c r="E2211" s="14" t="n">
        <v>1.0878</v>
      </c>
      <c r="F2211" s="14" t="n">
        <v>7.2393</v>
      </c>
      <c r="G2211" s="14" t="n">
        <v>5.2887</v>
      </c>
      <c r="H2211" s="14" t="n">
        <v>154.87</v>
      </c>
      <c r="I2211" s="14" t="n">
        <v>1.0865</v>
      </c>
      <c r="J2211" s="14" t="n">
        <v>11.489</v>
      </c>
      <c r="K2211" s="14" t="n">
        <v>1495.71</v>
      </c>
      <c r="L2211" s="14" t="n">
        <v>0.85143</v>
      </c>
      <c r="M2211" s="14" t="n">
        <v>7.863</v>
      </c>
      <c r="N2211" s="14" t="n">
        <v>5.7284</v>
      </c>
      <c r="O2211" s="14" t="n">
        <v>168.29</v>
      </c>
      <c r="P2211" s="14" t="n">
        <v>10.5743</v>
      </c>
    </row>
    <row r="2212" customFormat="false" ht="15" hidden="false" customHeight="false" outlineLevel="0" collapsed="false">
      <c r="A2212" s="13" t="n">
        <v>45448</v>
      </c>
      <c r="B2212" s="14" t="n">
        <v>1372.58</v>
      </c>
      <c r="C2212" s="14" t="n">
        <v>10.5908</v>
      </c>
      <c r="D2212" s="14" t="n">
        <v>1.2771</v>
      </c>
      <c r="E2212" s="14" t="n">
        <v>1.0865</v>
      </c>
      <c r="F2212" s="14" t="n">
        <v>7.2475</v>
      </c>
      <c r="G2212" s="14" t="n">
        <v>5.2824</v>
      </c>
      <c r="H2212" s="14" t="n">
        <v>156.21</v>
      </c>
      <c r="I2212" s="14" t="n">
        <v>1.0872</v>
      </c>
      <c r="J2212" s="14" t="n">
        <v>11.475</v>
      </c>
      <c r="K2212" s="14" t="n">
        <v>1491.34</v>
      </c>
      <c r="L2212" s="14" t="n">
        <v>0.85048</v>
      </c>
      <c r="M2212" s="14" t="n">
        <v>7.8795</v>
      </c>
      <c r="N2212" s="14" t="n">
        <v>5.7259</v>
      </c>
      <c r="O2212" s="14" t="n">
        <v>169.72</v>
      </c>
      <c r="P2212" s="14" t="n">
        <v>10.5546</v>
      </c>
    </row>
    <row r="2213" customFormat="false" ht="15" hidden="false" customHeight="false" outlineLevel="0" collapsed="false">
      <c r="A2213" s="13" t="n">
        <v>45449</v>
      </c>
      <c r="B2213" s="14" t="n">
        <v>1365.45</v>
      </c>
      <c r="C2213" s="14" t="n">
        <v>10.5651</v>
      </c>
      <c r="D2213" s="14" t="n">
        <v>1.2786</v>
      </c>
      <c r="E2213" s="14" t="n">
        <v>1.0883</v>
      </c>
      <c r="F2213" s="14" t="n">
        <v>7.2451</v>
      </c>
      <c r="G2213" s="14" t="n">
        <v>5.2549</v>
      </c>
      <c r="H2213" s="14" t="n">
        <v>155.98</v>
      </c>
      <c r="I2213" s="14" t="n">
        <v>1.0865</v>
      </c>
      <c r="J2213" s="14" t="n">
        <v>11.5</v>
      </c>
      <c r="K2213" s="14" t="n">
        <v>1486.44</v>
      </c>
      <c r="L2213" s="14" t="n">
        <v>0.85088</v>
      </c>
      <c r="M2213" s="14" t="n">
        <v>7.8715</v>
      </c>
      <c r="N2213" s="14" t="n">
        <v>5.7623</v>
      </c>
      <c r="O2213" s="14" t="n">
        <v>169.74</v>
      </c>
      <c r="P2213" s="14" t="n">
        <v>10.5844</v>
      </c>
    </row>
    <row r="2214" customFormat="false" ht="15" hidden="false" customHeight="false" outlineLevel="0" collapsed="false">
      <c r="A2214" s="13" t="n">
        <v>45450</v>
      </c>
      <c r="B2214" s="14" t="n">
        <v>1366.38</v>
      </c>
      <c r="C2214" s="14" t="n">
        <v>10.7045</v>
      </c>
      <c r="D2214" s="14" t="n">
        <v>1.2727</v>
      </c>
      <c r="E2214" s="14" t="n">
        <v>1.0807</v>
      </c>
      <c r="F2214" s="14" t="n">
        <v>7.2466</v>
      </c>
      <c r="G2214" s="14" t="n">
        <v>5.2731</v>
      </c>
      <c r="H2214" s="14" t="n">
        <v>156.58</v>
      </c>
      <c r="I2214" s="14" t="n">
        <v>1.0898</v>
      </c>
      <c r="J2214" s="14" t="n">
        <v>11.4865</v>
      </c>
      <c r="K2214" s="14" t="n">
        <v>1489.97</v>
      </c>
      <c r="L2214" s="14" t="n">
        <v>0.8512</v>
      </c>
      <c r="M2214" s="14" t="n">
        <v>7.8916</v>
      </c>
      <c r="N2214" s="14" t="n">
        <v>5.7158</v>
      </c>
      <c r="O2214" s="14" t="n">
        <v>169.52</v>
      </c>
      <c r="P2214" s="14" t="n">
        <v>10.54</v>
      </c>
    </row>
    <row r="2215" customFormat="false" ht="15" hidden="false" customHeight="false" outlineLevel="0" collapsed="false">
      <c r="A2215" s="13" t="n">
        <v>45453</v>
      </c>
      <c r="B2215" s="14" t="n">
        <v>1375.71</v>
      </c>
      <c r="C2215" s="14" t="n">
        <v>10.6594</v>
      </c>
      <c r="D2215" s="14" t="n">
        <v>1.2733</v>
      </c>
      <c r="E2215" s="14" t="n">
        <v>1.0751</v>
      </c>
      <c r="F2215" s="14" t="n">
        <v>7.2475</v>
      </c>
      <c r="G2215" s="14" t="n">
        <v>5.3645</v>
      </c>
      <c r="H2215" s="14" t="n">
        <v>156.93</v>
      </c>
      <c r="I2215" s="14" t="n">
        <v>1.0756</v>
      </c>
      <c r="J2215" s="14" t="n">
        <v>11.512</v>
      </c>
      <c r="K2215" s="14" t="n">
        <v>1479.33</v>
      </c>
      <c r="L2215" s="14" t="n">
        <v>0.84565</v>
      </c>
      <c r="M2215" s="14" t="n">
        <v>7.7957</v>
      </c>
      <c r="N2215" s="14" t="n">
        <v>5.72</v>
      </c>
      <c r="O2215" s="14" t="n">
        <v>168.74</v>
      </c>
      <c r="P2215" s="14" t="n">
        <v>10.7029</v>
      </c>
    </row>
    <row r="2216" customFormat="false" ht="15" hidden="false" customHeight="false" outlineLevel="0" collapsed="false">
      <c r="A2216" s="13" t="n">
        <v>45454</v>
      </c>
      <c r="B2216" s="14" t="n">
        <v>1375.71</v>
      </c>
      <c r="C2216" s="14" t="n">
        <v>10.727</v>
      </c>
      <c r="D2216" s="14" t="n">
        <v>1.2725</v>
      </c>
      <c r="E2216" s="14" t="n">
        <v>1.0733</v>
      </c>
      <c r="F2216" s="14" t="n">
        <v>7.2544</v>
      </c>
      <c r="G2216" s="14" t="n">
        <v>5.3529</v>
      </c>
      <c r="H2216" s="14" t="n">
        <v>157.32</v>
      </c>
      <c r="I2216" s="14" t="n">
        <v>1.073</v>
      </c>
      <c r="J2216" s="14" t="n">
        <v>11.491</v>
      </c>
      <c r="K2216" s="14" t="n">
        <v>1479.23</v>
      </c>
      <c r="L2216" s="14" t="n">
        <v>0.84198</v>
      </c>
      <c r="M2216" s="14" t="n">
        <v>7.7839</v>
      </c>
      <c r="N2216" s="14" t="n">
        <v>5.7464</v>
      </c>
      <c r="O2216" s="14" t="n">
        <v>168.46</v>
      </c>
      <c r="P2216" s="14" t="n">
        <v>10.7092</v>
      </c>
    </row>
    <row r="2217" customFormat="false" ht="15" hidden="false" customHeight="false" outlineLevel="0" collapsed="false">
      <c r="A2217" s="13" t="n">
        <v>45455</v>
      </c>
      <c r="B2217" s="14" t="n">
        <v>1378.01</v>
      </c>
      <c r="C2217" s="14" t="n">
        <v>10.5076</v>
      </c>
      <c r="D2217" s="14" t="n">
        <v>1.2843</v>
      </c>
      <c r="E2217" s="14" t="n">
        <v>1.0843</v>
      </c>
      <c r="F2217" s="14" t="n">
        <v>7.2544</v>
      </c>
      <c r="G2217" s="14" t="n">
        <v>5.392</v>
      </c>
      <c r="H2217" s="14" t="n">
        <v>155.88</v>
      </c>
      <c r="I2217" s="14" t="n">
        <v>1.0765</v>
      </c>
      <c r="J2217" s="14" t="n">
        <v>11.4675</v>
      </c>
      <c r="K2217" s="14" t="n">
        <v>1481.35</v>
      </c>
      <c r="L2217" s="14" t="n">
        <v>0.84365</v>
      </c>
      <c r="M2217" s="14" t="n">
        <v>7.8086</v>
      </c>
      <c r="N2217" s="14" t="n">
        <v>5.7912</v>
      </c>
      <c r="O2217" s="14" t="n">
        <v>169.35</v>
      </c>
      <c r="P2217" s="14" t="n">
        <v>10.6526</v>
      </c>
    </row>
    <row r="2218" customFormat="false" ht="15" hidden="false" customHeight="false" outlineLevel="0" collapsed="false">
      <c r="A2218" s="13" t="n">
        <v>45456</v>
      </c>
      <c r="B2218" s="14" t="n">
        <v>1376.11</v>
      </c>
      <c r="C2218" s="14" t="n">
        <v>10.6559</v>
      </c>
      <c r="D2218" s="14" t="n">
        <v>1.2764</v>
      </c>
      <c r="E2218" s="14" t="n">
        <v>1.0756</v>
      </c>
      <c r="F2218" s="14" t="n">
        <v>7.2519</v>
      </c>
      <c r="G2218" s="14" t="n">
        <v>5.3777</v>
      </c>
      <c r="H2218" s="14" t="n">
        <v>156.77</v>
      </c>
      <c r="I2218" s="14" t="n">
        <v>1.0784</v>
      </c>
      <c r="J2218" s="14" t="n">
        <v>11.4315</v>
      </c>
      <c r="K2218" s="14" t="n">
        <v>1482.31</v>
      </c>
      <c r="L2218" s="14" t="n">
        <v>0.84468</v>
      </c>
      <c r="M2218" s="14" t="n">
        <v>7.8211</v>
      </c>
      <c r="N2218" s="14" t="n">
        <v>5.8261</v>
      </c>
      <c r="O2218" s="14" t="n">
        <v>169.58</v>
      </c>
      <c r="P2218" s="14" t="n">
        <v>10.6004</v>
      </c>
    </row>
    <row r="2219" customFormat="false" ht="15" hidden="false" customHeight="false" outlineLevel="0" collapsed="false">
      <c r="A2219" s="13" t="n">
        <v>45457</v>
      </c>
      <c r="B2219" s="14" t="n">
        <v>1378.96</v>
      </c>
      <c r="C2219" s="14" t="n">
        <v>10.6802</v>
      </c>
      <c r="D2219" s="14" t="n">
        <v>1.2685</v>
      </c>
      <c r="E2219" s="14" t="n">
        <v>1.0699</v>
      </c>
      <c r="F2219" s="14" t="n">
        <v>7.2557</v>
      </c>
      <c r="G2219" s="14" t="n">
        <v>5.3559</v>
      </c>
      <c r="H2219" s="14" t="n">
        <v>157.28</v>
      </c>
      <c r="I2219" s="14" t="n">
        <v>1.0686</v>
      </c>
      <c r="J2219" s="14" t="n">
        <v>11.4025</v>
      </c>
      <c r="K2219" s="14" t="n">
        <v>1480.8</v>
      </c>
      <c r="L2219" s="14" t="n">
        <v>0.84205</v>
      </c>
      <c r="M2219" s="14" t="n">
        <v>7.7529</v>
      </c>
      <c r="N2219" s="14" t="n">
        <v>5.7321</v>
      </c>
      <c r="O2219" s="14" t="n">
        <v>167.8</v>
      </c>
      <c r="P2219" s="14" t="n">
        <v>10.6705</v>
      </c>
    </row>
    <row r="2220" customFormat="false" ht="15" hidden="false" customHeight="false" outlineLevel="0" collapsed="false">
      <c r="A2220" s="13" t="n">
        <v>45460</v>
      </c>
      <c r="B2220" s="14" t="n">
        <v>1380.5</v>
      </c>
      <c r="C2220" s="14" t="n">
        <v>10.7011</v>
      </c>
      <c r="D2220" s="14" t="n">
        <v>1.2689</v>
      </c>
      <c r="E2220" s="14" t="n">
        <v>1.0723</v>
      </c>
      <c r="F2220" s="14" t="n">
        <v>7.2561</v>
      </c>
      <c r="G2220" s="14" t="n">
        <v>5.4173</v>
      </c>
      <c r="H2220" s="14" t="n">
        <v>157.8</v>
      </c>
      <c r="I2220" s="14" t="n">
        <v>1.0712</v>
      </c>
      <c r="J2220" s="14" t="n">
        <v>11.486</v>
      </c>
      <c r="K2220" s="14" t="n">
        <v>1480.65</v>
      </c>
      <c r="L2220" s="14" t="n">
        <v>0.84573</v>
      </c>
      <c r="M2220" s="14" t="n">
        <v>7.7728</v>
      </c>
      <c r="N2220" s="14" t="n">
        <v>5.7841</v>
      </c>
      <c r="O2220" s="14" t="n">
        <v>169.11</v>
      </c>
      <c r="P2220" s="14" t="n">
        <v>10.7226</v>
      </c>
    </row>
    <row r="2221" customFormat="false" ht="15" hidden="false" customHeight="false" outlineLevel="0" collapsed="false">
      <c r="A2221" s="13" t="n">
        <v>45461</v>
      </c>
      <c r="B2221" s="14" t="n">
        <v>1380.88</v>
      </c>
      <c r="C2221" s="14" t="n">
        <v>10.5923</v>
      </c>
      <c r="D2221" s="14" t="n">
        <v>1.2699</v>
      </c>
      <c r="E2221" s="14" t="n">
        <v>1.0739</v>
      </c>
      <c r="F2221" s="14" t="n">
        <v>7.2543</v>
      </c>
      <c r="G2221" s="14" t="n">
        <v>5.4054</v>
      </c>
      <c r="H2221" s="14" t="n">
        <v>157.81</v>
      </c>
      <c r="I2221" s="14" t="n">
        <v>1.0715</v>
      </c>
      <c r="J2221" s="14" t="n">
        <v>11.448</v>
      </c>
      <c r="K2221" s="14" t="n">
        <v>1484.07</v>
      </c>
      <c r="L2221" s="14" t="n">
        <v>0.8454</v>
      </c>
      <c r="M2221" s="14" t="n">
        <v>7.7748</v>
      </c>
      <c r="N2221" s="14" t="n">
        <v>5.8275</v>
      </c>
      <c r="O2221" s="14" t="n">
        <v>169.41</v>
      </c>
      <c r="P2221" s="14" t="n">
        <v>10.6841</v>
      </c>
    </row>
    <row r="2222" customFormat="false" ht="15" hidden="false" customHeight="false" outlineLevel="0" collapsed="false">
      <c r="A2222" s="13" t="n">
        <v>45462</v>
      </c>
      <c r="I2222" s="14" t="n">
        <v>1.0749</v>
      </c>
      <c r="J2222" s="14" t="n">
        <v>11.354</v>
      </c>
      <c r="K2222" s="14" t="n">
        <v>1484.25</v>
      </c>
      <c r="L2222" s="14" t="n">
        <v>0.84455</v>
      </c>
      <c r="M2222" s="14" t="n">
        <v>7.8005</v>
      </c>
      <c r="N2222" s="14" t="n">
        <v>5.8479</v>
      </c>
      <c r="O2222" s="14" t="n">
        <v>169.78</v>
      </c>
      <c r="P2222" s="14" t="n">
        <v>10.5628</v>
      </c>
    </row>
    <row r="2223" customFormat="false" ht="15" hidden="false" customHeight="false" outlineLevel="0" collapsed="false">
      <c r="A2223" s="13" t="n">
        <v>45463</v>
      </c>
      <c r="B2223" s="14" t="n">
        <v>1384.38</v>
      </c>
      <c r="C2223" s="14" t="n">
        <v>10.5432</v>
      </c>
      <c r="D2223" s="14" t="n">
        <v>1.2671</v>
      </c>
      <c r="E2223" s="14" t="n">
        <v>1.0708</v>
      </c>
      <c r="F2223" s="14" t="n">
        <v>7.2604</v>
      </c>
      <c r="G2223" s="14" t="n">
        <v>5.4471</v>
      </c>
      <c r="H2223" s="14" t="n">
        <v>158.77</v>
      </c>
      <c r="I2223" s="14" t="n">
        <v>1.0719</v>
      </c>
      <c r="J2223" s="14" t="n">
        <v>11.2915</v>
      </c>
      <c r="K2223" s="14" t="n">
        <v>1488.01</v>
      </c>
      <c r="L2223" s="14" t="n">
        <v>0.84513</v>
      </c>
      <c r="M2223" s="14" t="n">
        <v>7.7825</v>
      </c>
      <c r="N2223" s="14" t="n">
        <v>5.7921</v>
      </c>
      <c r="O2223" s="14" t="n">
        <v>169.82</v>
      </c>
      <c r="P2223" s="14" t="n">
        <v>10.5341</v>
      </c>
    </row>
    <row r="2224" customFormat="false" ht="15" hidden="false" customHeight="false" outlineLevel="0" collapsed="false">
      <c r="A2224" s="13" t="n">
        <v>45464</v>
      </c>
      <c r="B2224" s="14" t="n">
        <v>1388.17</v>
      </c>
      <c r="C2224" s="14" t="n">
        <v>10.5695</v>
      </c>
      <c r="D2224" s="14" t="n">
        <v>1.2645</v>
      </c>
      <c r="E2224" s="14" t="n">
        <v>1.0694</v>
      </c>
      <c r="F2224" s="14" t="n">
        <v>7.2609</v>
      </c>
      <c r="G2224" s="14" t="n">
        <v>5.4539</v>
      </c>
      <c r="H2224" s="14" t="n">
        <v>159.45</v>
      </c>
      <c r="I2224" s="14" t="n">
        <v>1.0688</v>
      </c>
      <c r="J2224" s="14" t="n">
        <v>11.2685</v>
      </c>
      <c r="K2224" s="14" t="n">
        <v>1484.58</v>
      </c>
      <c r="L2224" s="14" t="n">
        <v>0.84531</v>
      </c>
      <c r="M2224" s="14" t="n">
        <v>7.7602</v>
      </c>
      <c r="N2224" s="14" t="n">
        <v>5.8107</v>
      </c>
      <c r="O2224" s="14" t="n">
        <v>169.82</v>
      </c>
      <c r="P2224" s="14" t="n">
        <v>10.5431</v>
      </c>
    </row>
    <row r="2225" customFormat="false" ht="15" hidden="false" customHeight="false" outlineLevel="0" collapsed="false">
      <c r="A2225" s="13" t="n">
        <v>45467</v>
      </c>
      <c r="B2225" s="14" t="n">
        <v>1389.17</v>
      </c>
      <c r="C2225" s="14" t="n">
        <v>10.5411</v>
      </c>
      <c r="D2225" s="14" t="n">
        <v>1.2684</v>
      </c>
      <c r="E2225" s="14" t="n">
        <v>1.0727</v>
      </c>
      <c r="F2225" s="14" t="n">
        <v>7.2586</v>
      </c>
      <c r="G2225" s="14" t="n">
        <v>5.4025</v>
      </c>
      <c r="H2225" s="14" t="n">
        <v>159.71</v>
      </c>
      <c r="I2225" s="14" t="n">
        <v>1.073</v>
      </c>
      <c r="J2225" s="14" t="n">
        <v>11.349</v>
      </c>
      <c r="K2225" s="14" t="n">
        <v>1489.57</v>
      </c>
      <c r="L2225" s="14" t="n">
        <v>0.8473</v>
      </c>
      <c r="M2225" s="14" t="n">
        <v>7.7891</v>
      </c>
      <c r="N2225" s="14" t="n">
        <v>5.8278</v>
      </c>
      <c r="O2225" s="14" t="n">
        <v>171.17</v>
      </c>
      <c r="P2225" s="14" t="n">
        <v>10.5769</v>
      </c>
    </row>
    <row r="2226" customFormat="false" ht="15" hidden="false" customHeight="false" outlineLevel="0" collapsed="false">
      <c r="A2226" s="13" t="n">
        <v>45468</v>
      </c>
      <c r="B2226" s="14" t="n">
        <v>1387.16</v>
      </c>
      <c r="C2226" s="14" t="n">
        <v>10.6061</v>
      </c>
      <c r="D2226" s="14" t="n">
        <v>1.2677</v>
      </c>
      <c r="E2226" s="14" t="n">
        <v>1.0705</v>
      </c>
      <c r="F2226" s="14" t="n">
        <v>7.2629</v>
      </c>
      <c r="G2226" s="14" t="n">
        <v>5.4358</v>
      </c>
      <c r="H2226" s="14" t="n">
        <v>159.68</v>
      </c>
      <c r="I2226" s="14" t="n">
        <v>1.0714</v>
      </c>
      <c r="J2226" s="14" t="n">
        <v>11.3265</v>
      </c>
      <c r="K2226" s="14" t="n">
        <v>1491.03</v>
      </c>
      <c r="L2226" s="14" t="n">
        <v>0.84465</v>
      </c>
      <c r="M2226" s="14" t="n">
        <v>7.7811</v>
      </c>
      <c r="N2226" s="14" t="n">
        <v>5.8015</v>
      </c>
      <c r="O2226" s="14" t="n">
        <v>170.84</v>
      </c>
      <c r="P2226" s="14" t="n">
        <v>10.5717</v>
      </c>
    </row>
    <row r="2227" customFormat="false" ht="15" hidden="false" customHeight="false" outlineLevel="0" collapsed="false">
      <c r="A2227" s="13" t="n">
        <v>45469</v>
      </c>
      <c r="B2227" s="14" t="n">
        <v>1388.65</v>
      </c>
      <c r="C2227" s="14" t="n">
        <v>10.6795</v>
      </c>
      <c r="D2227" s="14" t="n">
        <v>1.2625</v>
      </c>
      <c r="E2227" s="14" t="n">
        <v>1.0682</v>
      </c>
      <c r="F2227" s="14" t="n">
        <v>7.2666</v>
      </c>
      <c r="G2227" s="14" t="n">
        <v>5.5081</v>
      </c>
      <c r="H2227" s="14" t="n">
        <v>160.68</v>
      </c>
      <c r="I2227" s="14" t="n">
        <v>1.0689</v>
      </c>
      <c r="J2227" s="14" t="n">
        <v>11.3945</v>
      </c>
      <c r="K2227" s="14" t="n">
        <v>1488.06</v>
      </c>
      <c r="L2227" s="14" t="n">
        <v>0.84453</v>
      </c>
      <c r="M2227" s="14" t="n">
        <v>7.7673</v>
      </c>
      <c r="N2227" s="14" t="n">
        <v>5.8524</v>
      </c>
      <c r="O2227" s="14" t="n">
        <v>171.42</v>
      </c>
      <c r="P2227" s="14" t="n">
        <v>10.66</v>
      </c>
    </row>
    <row r="2228" customFormat="false" ht="15" hidden="false" customHeight="false" outlineLevel="0" collapsed="false">
      <c r="A2228" s="13" t="n">
        <v>45470</v>
      </c>
      <c r="B2228" s="14" t="n">
        <v>1385.76</v>
      </c>
      <c r="C2228" s="14" t="n">
        <v>10.662</v>
      </c>
      <c r="D2228" s="14" t="n">
        <v>1.2653</v>
      </c>
      <c r="E2228" s="14" t="n">
        <v>1.0708</v>
      </c>
      <c r="F2228" s="14" t="n">
        <v>7.2688</v>
      </c>
      <c r="G2228" s="14" t="n">
        <v>5.5295</v>
      </c>
      <c r="H2228" s="14" t="n">
        <v>160.7</v>
      </c>
      <c r="I2228" s="14" t="n">
        <v>1.0696</v>
      </c>
      <c r="J2228" s="14" t="n">
        <v>11.398</v>
      </c>
      <c r="K2228" s="14" t="n">
        <v>1482.71</v>
      </c>
      <c r="L2228" s="14" t="n">
        <v>0.8459</v>
      </c>
      <c r="M2228" s="14" t="n">
        <v>7.7745</v>
      </c>
      <c r="N2228" s="14" t="n">
        <v>5.8887</v>
      </c>
      <c r="O2228" s="14" t="n">
        <v>171.66</v>
      </c>
      <c r="P2228" s="14" t="n">
        <v>10.6563</v>
      </c>
    </row>
    <row r="2229" customFormat="false" ht="15" hidden="false" customHeight="false" outlineLevel="0" collapsed="false">
      <c r="A2229" s="13" t="n">
        <v>45471</v>
      </c>
      <c r="B2229" s="14" t="n">
        <v>1376.55</v>
      </c>
      <c r="C2229" s="14" t="n">
        <v>10.6607</v>
      </c>
      <c r="D2229" s="14" t="n">
        <v>1.264</v>
      </c>
      <c r="E2229" s="14" t="n">
        <v>1.0711</v>
      </c>
      <c r="F2229" s="14" t="n">
        <v>7.2672</v>
      </c>
      <c r="G2229" s="14" t="n">
        <v>5.5596</v>
      </c>
      <c r="H2229" s="14" t="n">
        <v>160.88</v>
      </c>
      <c r="I2229" s="14" t="n">
        <v>1.0705</v>
      </c>
      <c r="J2229" s="14" t="n">
        <v>11.3965</v>
      </c>
      <c r="K2229" s="14" t="n">
        <v>1474.86</v>
      </c>
      <c r="L2229" s="14" t="n">
        <v>0.84638</v>
      </c>
      <c r="M2229" s="14" t="n">
        <v>7.7748</v>
      </c>
      <c r="N2229" s="14" t="n">
        <v>5.8915</v>
      </c>
      <c r="O2229" s="14" t="n">
        <v>171.94</v>
      </c>
      <c r="P2229" s="14" t="n">
        <v>10.646</v>
      </c>
    </row>
    <row r="2230" customFormat="false" ht="15" hidden="false" customHeight="false" outlineLevel="0" collapsed="false">
      <c r="A2230" s="13" t="n">
        <v>45474</v>
      </c>
      <c r="B2230" s="14" t="n">
        <v>1383</v>
      </c>
      <c r="C2230" s="14" t="n">
        <v>10.6676</v>
      </c>
      <c r="D2230" s="14" t="n">
        <v>1.265</v>
      </c>
      <c r="E2230" s="14" t="n">
        <v>1.0728</v>
      </c>
      <c r="F2230" s="14" t="n">
        <v>7.2683</v>
      </c>
      <c r="G2230" s="14" t="n">
        <v>5.5887</v>
      </c>
      <c r="H2230" s="14" t="n">
        <v>161.55</v>
      </c>
      <c r="I2230" s="14" t="n">
        <v>1.0745</v>
      </c>
      <c r="J2230" s="14" t="n">
        <v>11.4315</v>
      </c>
      <c r="K2230" s="14" t="n">
        <v>1485.41</v>
      </c>
      <c r="L2230" s="14" t="n">
        <v>0.8479</v>
      </c>
      <c r="M2230" s="14" t="n">
        <v>7.8097</v>
      </c>
      <c r="N2230" s="14" t="n">
        <v>6.0016</v>
      </c>
      <c r="O2230" s="14" t="n">
        <v>173.15</v>
      </c>
      <c r="P2230" s="14" t="n">
        <v>10.6389</v>
      </c>
    </row>
    <row r="2231" customFormat="false" ht="15" hidden="false" customHeight="false" outlineLevel="0" collapsed="false">
      <c r="A2231" s="13" t="n">
        <v>45475</v>
      </c>
      <c r="B2231" s="14" t="n">
        <v>1386.55</v>
      </c>
      <c r="C2231" s="14" t="n">
        <v>10.6908</v>
      </c>
      <c r="D2231" s="14" t="n">
        <v>1.2679</v>
      </c>
      <c r="E2231" s="14" t="n">
        <v>1.0737</v>
      </c>
      <c r="F2231" s="14" t="n">
        <v>7.2712</v>
      </c>
      <c r="G2231" s="14" t="n">
        <v>5.6768</v>
      </c>
      <c r="H2231" s="14" t="n">
        <v>161.53</v>
      </c>
      <c r="I2231" s="14" t="n">
        <v>1.0729</v>
      </c>
      <c r="J2231" s="14" t="n">
        <v>11.4795</v>
      </c>
      <c r="K2231" s="14" t="n">
        <v>1488.26</v>
      </c>
      <c r="L2231" s="14" t="n">
        <v>0.84755</v>
      </c>
      <c r="M2231" s="14" t="n">
        <v>7.8014</v>
      </c>
      <c r="N2231" s="14" t="n">
        <v>6.0479</v>
      </c>
      <c r="O2231" s="14" t="n">
        <v>173.31</v>
      </c>
      <c r="P2231" s="14" t="n">
        <v>10.6995</v>
      </c>
    </row>
    <row r="2232" customFormat="false" ht="15" hidden="false" customHeight="false" outlineLevel="0" collapsed="false">
      <c r="A2232" s="13" t="n">
        <v>45476</v>
      </c>
      <c r="B2232" s="14" t="n">
        <v>1384.85</v>
      </c>
      <c r="C2232" s="14" t="n">
        <v>10.5394</v>
      </c>
      <c r="D2232" s="14" t="n">
        <v>1.2766</v>
      </c>
      <c r="E2232" s="14" t="n">
        <v>1.0799</v>
      </c>
      <c r="F2232" s="14" t="n">
        <v>7.2699</v>
      </c>
      <c r="G2232" s="14" t="n">
        <v>5.5724</v>
      </c>
      <c r="H2232" s="14" t="n">
        <v>161.48</v>
      </c>
      <c r="I2232" s="14" t="n">
        <v>1.0758</v>
      </c>
      <c r="J2232" s="14" t="n">
        <v>11.4583</v>
      </c>
      <c r="K2232" s="14" t="n">
        <v>1495.26</v>
      </c>
      <c r="L2232" s="14" t="n">
        <v>0.8468</v>
      </c>
      <c r="M2232" s="14" t="n">
        <v>7.8247</v>
      </c>
      <c r="N2232" s="14" t="n">
        <v>6.0813</v>
      </c>
      <c r="O2232" s="14" t="n">
        <v>174.18</v>
      </c>
      <c r="P2232" s="14" t="n">
        <v>10.651</v>
      </c>
    </row>
    <row r="2233" customFormat="false" ht="15" hidden="false" customHeight="false" outlineLevel="0" collapsed="false">
      <c r="A2233" s="13" t="n">
        <v>45477</v>
      </c>
      <c r="I2233" s="14" t="n">
        <v>1.08</v>
      </c>
      <c r="J2233" s="14" t="n">
        <v>11.4015</v>
      </c>
      <c r="K2233" s="14" t="n">
        <v>1491.06</v>
      </c>
      <c r="L2233" s="14" t="n">
        <v>0.84663</v>
      </c>
      <c r="M2233" s="14" t="n">
        <v>7.8515</v>
      </c>
      <c r="N2233" s="14" t="n">
        <v>5.9345</v>
      </c>
      <c r="O2233" s="14" t="n">
        <v>173.84</v>
      </c>
      <c r="P2233" s="14" t="n">
        <v>10.5569</v>
      </c>
    </row>
    <row r="2234" customFormat="false" ht="15" hidden="false" customHeight="false" outlineLevel="0" collapsed="false">
      <c r="A2234" s="13" t="n">
        <v>45478</v>
      </c>
      <c r="B2234" s="14" t="n">
        <v>1379.87</v>
      </c>
      <c r="C2234" s="14" t="n">
        <v>10.5502</v>
      </c>
      <c r="D2234" s="14" t="n">
        <v>1.2807</v>
      </c>
      <c r="E2234" s="14" t="n">
        <v>1.0828</v>
      </c>
      <c r="F2234" s="14" t="n">
        <v>7.268</v>
      </c>
      <c r="G2234" s="14" t="n">
        <v>5.4802</v>
      </c>
      <c r="H2234" s="14" t="n">
        <v>160.73</v>
      </c>
      <c r="I2234" s="14" t="n">
        <v>1.0824</v>
      </c>
      <c r="J2234" s="14" t="n">
        <v>11.448</v>
      </c>
      <c r="K2234" s="14" t="n">
        <v>1494.76</v>
      </c>
      <c r="L2234" s="14" t="n">
        <v>0.84613</v>
      </c>
      <c r="M2234" s="14" t="n">
        <v>7.8655</v>
      </c>
      <c r="N2234" s="14" t="n">
        <v>5.9419</v>
      </c>
      <c r="O2234" s="14" t="n">
        <v>174.06</v>
      </c>
      <c r="P2234" s="14" t="n">
        <v>10.5765</v>
      </c>
    </row>
    <row r="2235" customFormat="false" ht="15" hidden="false" customHeight="false" outlineLevel="0" collapsed="false">
      <c r="A2235" s="13" t="n">
        <v>45481</v>
      </c>
      <c r="B2235" s="14" t="n">
        <v>1382.73</v>
      </c>
      <c r="C2235" s="14" t="n">
        <v>10.5899</v>
      </c>
      <c r="D2235" s="14" t="n">
        <v>1.2829</v>
      </c>
      <c r="E2235" s="14" t="n">
        <v>1.0835</v>
      </c>
      <c r="F2235" s="14" t="n">
        <v>7.2683</v>
      </c>
      <c r="G2235" s="14" t="n">
        <v>5.4587</v>
      </c>
      <c r="H2235" s="14" t="n">
        <v>160.77</v>
      </c>
      <c r="I2235" s="14" t="n">
        <v>1.0835</v>
      </c>
      <c r="J2235" s="14" t="n">
        <v>11.4575</v>
      </c>
      <c r="K2235" s="14" t="n">
        <v>1499.05</v>
      </c>
      <c r="L2235" s="14" t="n">
        <v>0.8441</v>
      </c>
      <c r="M2235" s="14" t="n">
        <v>7.8766</v>
      </c>
      <c r="N2235" s="14" t="n">
        <v>5.9265</v>
      </c>
      <c r="O2235" s="14" t="n">
        <v>174.37</v>
      </c>
      <c r="P2235" s="14" t="n">
        <v>10.5745</v>
      </c>
    </row>
    <row r="2236" customFormat="false" ht="15" hidden="false" customHeight="false" outlineLevel="0" collapsed="false">
      <c r="A2236" s="13" t="n">
        <v>45482</v>
      </c>
      <c r="B2236" s="14" t="n">
        <v>1383.39</v>
      </c>
      <c r="C2236" s="14" t="n">
        <v>10.616</v>
      </c>
      <c r="D2236" s="14" t="n">
        <v>1.2787</v>
      </c>
      <c r="E2236" s="14" t="n">
        <v>1.0813</v>
      </c>
      <c r="F2236" s="14" t="n">
        <v>7.2725</v>
      </c>
      <c r="G2236" s="14" t="n">
        <v>5.4316</v>
      </c>
      <c r="H2236" s="14" t="n">
        <v>161.4</v>
      </c>
      <c r="I2236" s="14" t="n">
        <v>1.0814</v>
      </c>
      <c r="J2236" s="14" t="n">
        <v>11.489</v>
      </c>
      <c r="K2236" s="14" t="n">
        <v>1496.01</v>
      </c>
      <c r="L2236" s="14" t="n">
        <v>0.84491</v>
      </c>
      <c r="M2236" s="14" t="n">
        <v>7.8639</v>
      </c>
      <c r="N2236" s="14" t="n">
        <v>5.9075</v>
      </c>
      <c r="O2236" s="14" t="n">
        <v>174.2</v>
      </c>
      <c r="P2236" s="14" t="n">
        <v>10.6242</v>
      </c>
    </row>
    <row r="2237" customFormat="false" ht="15" hidden="false" customHeight="false" outlineLevel="0" collapsed="false">
      <c r="A2237" s="13" t="n">
        <v>45483</v>
      </c>
      <c r="B2237" s="14" t="n">
        <v>1383.42</v>
      </c>
      <c r="C2237" s="14" t="n">
        <v>10.7095</v>
      </c>
      <c r="D2237" s="14" t="n">
        <v>1.2842</v>
      </c>
      <c r="E2237" s="14" t="n">
        <v>1.0823</v>
      </c>
      <c r="F2237" s="14" t="n">
        <v>7.2758</v>
      </c>
      <c r="G2237" s="14" t="n">
        <v>5.403</v>
      </c>
      <c r="H2237" s="14" t="n">
        <v>161.73</v>
      </c>
      <c r="I2237" s="14" t="n">
        <v>1.0825</v>
      </c>
      <c r="J2237" s="14" t="n">
        <v>11.607</v>
      </c>
      <c r="K2237" s="14" t="n">
        <v>1498.46</v>
      </c>
      <c r="L2237" s="14" t="n">
        <v>0.84518</v>
      </c>
      <c r="M2237" s="14" t="n">
        <v>7.8763</v>
      </c>
      <c r="N2237" s="14" t="n">
        <v>5.8435</v>
      </c>
      <c r="O2237" s="14" t="n">
        <v>174.79</v>
      </c>
      <c r="P2237" s="14" t="n">
        <v>10.7224</v>
      </c>
    </row>
    <row r="2238" customFormat="false" ht="15" hidden="false" customHeight="false" outlineLevel="0" collapsed="false">
      <c r="A2238" s="13" t="n">
        <v>45484</v>
      </c>
      <c r="B2238" s="14" t="n">
        <v>1370.85</v>
      </c>
      <c r="C2238" s="14" t="n">
        <v>10.7068</v>
      </c>
      <c r="D2238" s="14" t="n">
        <v>1.292</v>
      </c>
      <c r="E2238" s="14" t="n">
        <v>1.087</v>
      </c>
      <c r="F2238" s="14" t="n">
        <v>7.2573</v>
      </c>
      <c r="G2238" s="14" t="n">
        <v>5.4265</v>
      </c>
      <c r="H2238" s="14" t="n">
        <v>158.58</v>
      </c>
      <c r="I2238" s="14" t="n">
        <v>1.0855</v>
      </c>
      <c r="J2238" s="14" t="n">
        <v>11.6725</v>
      </c>
      <c r="K2238" s="14" t="n">
        <v>1498.04</v>
      </c>
      <c r="L2238" s="14" t="n">
        <v>0.84305</v>
      </c>
      <c r="M2238" s="14" t="n">
        <v>7.8862</v>
      </c>
      <c r="N2238" s="14" t="n">
        <v>5.8792</v>
      </c>
      <c r="O2238" s="14" t="n">
        <v>175.39</v>
      </c>
      <c r="P2238" s="14" t="n">
        <v>10.7531</v>
      </c>
    </row>
    <row r="2239" customFormat="false" ht="15" hidden="false" customHeight="false" outlineLevel="0" collapsed="false">
      <c r="A2239" s="13" t="n">
        <v>45485</v>
      </c>
      <c r="B2239" s="14" t="n">
        <v>1374.9</v>
      </c>
      <c r="C2239" s="14" t="n">
        <v>10.723</v>
      </c>
      <c r="D2239" s="14" t="n">
        <v>1.2986</v>
      </c>
      <c r="E2239" s="14" t="n">
        <v>1.0902</v>
      </c>
      <c r="F2239" s="14" t="n">
        <v>7.2495</v>
      </c>
      <c r="G2239" s="14" t="n">
        <v>5.4559</v>
      </c>
      <c r="H2239" s="14" t="n">
        <v>157.88</v>
      </c>
      <c r="I2239" s="14" t="n">
        <v>1.089</v>
      </c>
      <c r="J2239" s="14" t="n">
        <v>11.7025</v>
      </c>
      <c r="K2239" s="14" t="n">
        <v>1497.89</v>
      </c>
      <c r="L2239" s="14" t="n">
        <v>0.84029</v>
      </c>
      <c r="M2239" s="14" t="n">
        <v>7.8984</v>
      </c>
      <c r="N2239" s="14" t="n">
        <v>5.9104</v>
      </c>
      <c r="O2239" s="14" t="n">
        <v>172.87</v>
      </c>
      <c r="P2239" s="14" t="n">
        <v>10.7461</v>
      </c>
    </row>
    <row r="2240" customFormat="false" ht="15" hidden="false" customHeight="false" outlineLevel="0" collapsed="false">
      <c r="A2240" s="13" t="n">
        <v>45488</v>
      </c>
      <c r="B2240" s="14" t="n">
        <v>1382.97</v>
      </c>
      <c r="C2240" s="14" t="n">
        <v>10.7879</v>
      </c>
      <c r="D2240" s="14" t="n">
        <v>1.2986</v>
      </c>
      <c r="E2240" s="14" t="n">
        <v>1.0912</v>
      </c>
      <c r="F2240" s="14" t="n">
        <v>7.2592</v>
      </c>
      <c r="G2240" s="14" t="n">
        <v>5.4383</v>
      </c>
      <c r="H2240" s="14" t="n">
        <v>157.89</v>
      </c>
      <c r="I2240" s="14" t="n">
        <v>1.0907</v>
      </c>
      <c r="J2240" s="14" t="n">
        <v>11.746</v>
      </c>
      <c r="K2240" s="14" t="n">
        <v>1508.27</v>
      </c>
      <c r="L2240" s="14" t="n">
        <v>0.84045</v>
      </c>
      <c r="M2240" s="14" t="n">
        <v>7.9206</v>
      </c>
      <c r="N2240" s="14" t="n">
        <v>5.9335</v>
      </c>
      <c r="O2240" s="14" t="n">
        <v>172.34</v>
      </c>
      <c r="P2240" s="14" t="n">
        <v>10.7692</v>
      </c>
    </row>
    <row r="2241" customFormat="false" ht="15" hidden="false" customHeight="false" outlineLevel="0" collapsed="false">
      <c r="A2241" s="13" t="n">
        <v>45489</v>
      </c>
      <c r="B2241" s="14" t="n">
        <v>1384.99</v>
      </c>
      <c r="C2241" s="14" t="n">
        <v>10.828</v>
      </c>
      <c r="D2241" s="14" t="n">
        <v>1.2958</v>
      </c>
      <c r="E2241" s="14" t="n">
        <v>1.0885</v>
      </c>
      <c r="F2241" s="14" t="n">
        <v>7.2685</v>
      </c>
      <c r="G2241" s="14" t="n">
        <v>5.4566</v>
      </c>
      <c r="H2241" s="14" t="n">
        <v>158.57</v>
      </c>
      <c r="I2241" s="14" t="n">
        <v>1.0902</v>
      </c>
      <c r="J2241" s="14" t="n">
        <v>11.7815</v>
      </c>
      <c r="K2241" s="14" t="n">
        <v>1507.53</v>
      </c>
      <c r="L2241" s="14" t="n">
        <v>0.84058</v>
      </c>
      <c r="M2241" s="14" t="n">
        <v>7.9223</v>
      </c>
      <c r="N2241" s="14" t="n">
        <v>5.9227</v>
      </c>
      <c r="O2241" s="14" t="n">
        <v>172.65</v>
      </c>
      <c r="P2241" s="14" t="n">
        <v>10.8067</v>
      </c>
    </row>
    <row r="2242" customFormat="false" ht="15" hidden="false" customHeight="false" outlineLevel="0" collapsed="false">
      <c r="A2242" s="13" t="n">
        <v>45490</v>
      </c>
      <c r="B2242" s="14" t="n">
        <v>1380.61</v>
      </c>
      <c r="C2242" s="14" t="n">
        <v>10.7238</v>
      </c>
      <c r="D2242" s="14" t="n">
        <v>1.3008</v>
      </c>
      <c r="E2242" s="14" t="n">
        <v>1.0933</v>
      </c>
      <c r="F2242" s="14" t="n">
        <v>7.2607</v>
      </c>
      <c r="G2242" s="14" t="n">
        <v>5.4769</v>
      </c>
      <c r="H2242" s="14" t="n">
        <v>156.56</v>
      </c>
      <c r="I2242" s="14" t="n">
        <v>1.0934</v>
      </c>
      <c r="J2242" s="14" t="n">
        <v>11.7575</v>
      </c>
      <c r="K2242" s="14" t="n">
        <v>1508.08</v>
      </c>
      <c r="L2242" s="14" t="n">
        <v>0.83915</v>
      </c>
      <c r="M2242" s="14" t="n">
        <v>7.9372</v>
      </c>
      <c r="N2242" s="14" t="n">
        <v>5.9485</v>
      </c>
      <c r="O2242" s="14" t="n">
        <v>171.21</v>
      </c>
      <c r="P2242" s="14" t="n">
        <v>10.7532</v>
      </c>
    </row>
    <row r="2243" customFormat="false" ht="15" hidden="false" customHeight="false" outlineLevel="0" collapsed="false">
      <c r="A2243" s="13" t="n">
        <v>45491</v>
      </c>
      <c r="B2243" s="14" t="n">
        <v>1383.85</v>
      </c>
      <c r="C2243" s="14" t="n">
        <v>10.7739</v>
      </c>
      <c r="D2243" s="14" t="n">
        <v>1.2973</v>
      </c>
      <c r="E2243" s="14" t="n">
        <v>1.0913</v>
      </c>
      <c r="F2243" s="14" t="n">
        <v>7.26</v>
      </c>
      <c r="G2243" s="14" t="n">
        <v>5.5395</v>
      </c>
      <c r="H2243" s="14" t="n">
        <v>156.97</v>
      </c>
      <c r="I2243" s="14" t="n">
        <v>1.093</v>
      </c>
      <c r="J2243" s="14" t="n">
        <v>11.748</v>
      </c>
      <c r="K2243" s="14" t="n">
        <v>1511.38</v>
      </c>
      <c r="L2243" s="14" t="n">
        <v>0.84175</v>
      </c>
      <c r="M2243" s="14" t="n">
        <v>7.9327</v>
      </c>
      <c r="N2243" s="14" t="n">
        <v>6.0101</v>
      </c>
      <c r="O2243" s="14" t="n">
        <v>171.02</v>
      </c>
      <c r="P2243" s="14" t="n">
        <v>10.7484</v>
      </c>
    </row>
    <row r="2244" customFormat="false" ht="15" hidden="false" customHeight="false" outlineLevel="0" collapsed="false">
      <c r="A2244" s="13" t="n">
        <v>45492</v>
      </c>
      <c r="B2244" s="14" t="n">
        <v>1389.29</v>
      </c>
      <c r="C2244" s="14" t="n">
        <v>10.8995</v>
      </c>
      <c r="D2244" s="14" t="n">
        <v>1.2922</v>
      </c>
      <c r="E2244" s="14" t="n">
        <v>1.0888</v>
      </c>
      <c r="F2244" s="14" t="n">
        <v>7.2695</v>
      </c>
      <c r="G2244" s="14" t="n">
        <v>5.5569</v>
      </c>
      <c r="H2244" s="14" t="n">
        <v>157.38</v>
      </c>
      <c r="I2244" s="14" t="n">
        <v>1.089</v>
      </c>
      <c r="J2244" s="14" t="n">
        <v>11.8255</v>
      </c>
      <c r="K2244" s="14" t="n">
        <v>1511.37</v>
      </c>
      <c r="L2244" s="14" t="n">
        <v>0.8428</v>
      </c>
      <c r="M2244" s="14" t="n">
        <v>7.9165</v>
      </c>
      <c r="N2244" s="14" t="n">
        <v>6.0303</v>
      </c>
      <c r="O2244" s="14" t="n">
        <v>171.61</v>
      </c>
      <c r="P2244" s="14" t="n">
        <v>10.859</v>
      </c>
    </row>
    <row r="2245" customFormat="false" ht="15" hidden="false" customHeight="false" outlineLevel="0" collapsed="false">
      <c r="A2245" s="13" t="n">
        <v>45495</v>
      </c>
      <c r="B2245" s="14" t="n">
        <v>1388.71</v>
      </c>
      <c r="C2245" s="14" t="n">
        <v>10.9786</v>
      </c>
      <c r="D2245" s="14" t="n">
        <v>1.2911</v>
      </c>
      <c r="E2245" s="14" t="n">
        <v>1.088</v>
      </c>
      <c r="F2245" s="14" t="n">
        <v>7.2736</v>
      </c>
      <c r="G2245" s="14" t="n">
        <v>5.5485</v>
      </c>
      <c r="H2245" s="14" t="n">
        <v>157.08</v>
      </c>
      <c r="I2245" s="14" t="n">
        <v>1.0888</v>
      </c>
      <c r="J2245" s="14" t="n">
        <v>11.9165</v>
      </c>
      <c r="K2245" s="14" t="n">
        <v>1511.28</v>
      </c>
      <c r="L2245" s="14" t="n">
        <v>0.84215</v>
      </c>
      <c r="M2245" s="14" t="n">
        <v>7.9191</v>
      </c>
      <c r="N2245" s="14" t="n">
        <v>6.0986</v>
      </c>
      <c r="O2245" s="14" t="n">
        <v>170.8</v>
      </c>
      <c r="P2245" s="14" t="n">
        <v>10.9446</v>
      </c>
    </row>
    <row r="2246" customFormat="false" ht="15" hidden="false" customHeight="false" outlineLevel="0" collapsed="false">
      <c r="A2246" s="13" t="n">
        <v>45496</v>
      </c>
      <c r="B2246" s="14" t="n">
        <v>1385.78</v>
      </c>
      <c r="C2246" s="14" t="n">
        <v>11.0317</v>
      </c>
      <c r="D2246" s="14" t="n">
        <v>1.2916</v>
      </c>
      <c r="E2246" s="14" t="n">
        <v>1.0855</v>
      </c>
      <c r="F2246" s="14" t="n">
        <v>7.2748</v>
      </c>
      <c r="G2246" s="14" t="n">
        <v>5.5685</v>
      </c>
      <c r="H2246" s="14" t="n">
        <v>156.02</v>
      </c>
      <c r="I2246" s="14" t="n">
        <v>1.086</v>
      </c>
      <c r="J2246" s="14" t="n">
        <v>11.9635</v>
      </c>
      <c r="K2246" s="14" t="n">
        <v>1505.59</v>
      </c>
      <c r="L2246" s="14" t="n">
        <v>0.84073</v>
      </c>
      <c r="M2246" s="14" t="n">
        <v>7.9003</v>
      </c>
      <c r="N2246" s="14" t="n">
        <v>6.0594</v>
      </c>
      <c r="O2246" s="14" t="n">
        <v>169.64</v>
      </c>
      <c r="P2246" s="14" t="n">
        <v>11.0161</v>
      </c>
    </row>
    <row r="2247" customFormat="false" ht="15" hidden="false" customHeight="false" outlineLevel="0" collapsed="false">
      <c r="A2247" s="13" t="n">
        <v>45497</v>
      </c>
      <c r="B2247" s="14" t="n">
        <v>1379.4</v>
      </c>
      <c r="C2247" s="14" t="n">
        <v>11.0116</v>
      </c>
      <c r="D2247" s="14" t="n">
        <v>1.2925</v>
      </c>
      <c r="E2247" s="14" t="n">
        <v>1.0853</v>
      </c>
      <c r="F2247" s="14" t="n">
        <v>7.2622</v>
      </c>
      <c r="G2247" s="14" t="n">
        <v>5.6352</v>
      </c>
      <c r="H2247" s="14" t="n">
        <v>153.39</v>
      </c>
      <c r="I2247" s="14" t="n">
        <v>1.0848</v>
      </c>
      <c r="J2247" s="14" t="n">
        <v>11.942</v>
      </c>
      <c r="K2247" s="14" t="n">
        <v>1500.01</v>
      </c>
      <c r="L2247" s="14" t="n">
        <v>0.83973</v>
      </c>
      <c r="M2247" s="14" t="n">
        <v>7.8934</v>
      </c>
      <c r="N2247" s="14" t="n">
        <v>6.0759</v>
      </c>
      <c r="O2247" s="14" t="n">
        <v>167.23</v>
      </c>
      <c r="P2247" s="14" t="n">
        <v>11.0085</v>
      </c>
    </row>
    <row r="2248" customFormat="false" ht="15" hidden="false" customHeight="false" outlineLevel="0" collapsed="false">
      <c r="A2248" s="13" t="n">
        <v>45498</v>
      </c>
      <c r="B2248" s="14" t="n">
        <v>1380.57</v>
      </c>
      <c r="C2248" s="14" t="n">
        <v>11.0203</v>
      </c>
      <c r="D2248" s="14" t="n">
        <v>1.2884</v>
      </c>
      <c r="E2248" s="14" t="n">
        <v>1.0861</v>
      </c>
      <c r="F2248" s="14" t="n">
        <v>7.231</v>
      </c>
      <c r="G2248" s="14" t="n">
        <v>5.6254</v>
      </c>
      <c r="H2248" s="14" t="n">
        <v>153.97</v>
      </c>
      <c r="I2248" s="14" t="n">
        <v>1.0851</v>
      </c>
      <c r="J2248" s="14" t="n">
        <v>12.0825</v>
      </c>
      <c r="K2248" s="14" t="n">
        <v>1497.33</v>
      </c>
      <c r="L2248" s="14" t="n">
        <v>0.8428</v>
      </c>
      <c r="M2248" s="14" t="n">
        <v>7.8331</v>
      </c>
      <c r="N2248" s="14" t="n">
        <v>6.1638</v>
      </c>
      <c r="O2248" s="14" t="n">
        <v>165.62</v>
      </c>
      <c r="P2248" s="14" t="n">
        <v>11.1349</v>
      </c>
    </row>
    <row r="2249" customFormat="false" ht="15" hidden="false" customHeight="false" outlineLevel="0" collapsed="false">
      <c r="A2249" s="13" t="n">
        <v>45499</v>
      </c>
      <c r="B2249" s="14" t="n">
        <v>1383.11</v>
      </c>
      <c r="C2249" s="14" t="n">
        <v>11.0122</v>
      </c>
      <c r="D2249" s="14" t="n">
        <v>1.2864</v>
      </c>
      <c r="E2249" s="14" t="n">
        <v>1.0859</v>
      </c>
      <c r="F2249" s="14" t="n">
        <v>7.2502</v>
      </c>
      <c r="G2249" s="14" t="n">
        <v>5.6551</v>
      </c>
      <c r="H2249" s="14" t="n">
        <v>153.86</v>
      </c>
      <c r="I2249" s="14" t="n">
        <v>1.086</v>
      </c>
      <c r="J2249" s="14" t="n">
        <v>11.937</v>
      </c>
      <c r="K2249" s="14" t="n">
        <v>1505.15</v>
      </c>
      <c r="L2249" s="14" t="n">
        <v>0.84378</v>
      </c>
      <c r="M2249" s="14" t="n">
        <v>7.875</v>
      </c>
      <c r="N2249" s="14" t="n">
        <v>6.117</v>
      </c>
      <c r="O2249" s="14" t="n">
        <v>167.84</v>
      </c>
      <c r="P2249" s="14" t="n">
        <v>10.9917</v>
      </c>
    </row>
    <row r="2250" customFormat="false" ht="15" hidden="false" customHeight="false" outlineLevel="0" collapsed="false">
      <c r="A2250" s="13" t="n">
        <v>45502</v>
      </c>
      <c r="B2250" s="14" t="n">
        <v>1381.93</v>
      </c>
      <c r="C2250" s="14" t="n">
        <v>11.0035</v>
      </c>
      <c r="D2250" s="14" t="n">
        <v>1.2853</v>
      </c>
      <c r="E2250" s="14" t="n">
        <v>1.0819</v>
      </c>
      <c r="F2250" s="14" t="n">
        <v>7.2597</v>
      </c>
      <c r="G2250" s="14" t="n">
        <v>5.6514</v>
      </c>
      <c r="H2250" s="14" t="n">
        <v>153.96</v>
      </c>
      <c r="I2250" s="14" t="n">
        <v>1.0817</v>
      </c>
      <c r="J2250" s="14" t="n">
        <v>11.9155</v>
      </c>
      <c r="K2250" s="14" t="n">
        <v>1496.41</v>
      </c>
      <c r="L2250" s="14" t="n">
        <v>0.84345</v>
      </c>
      <c r="M2250" s="14" t="n">
        <v>7.8518</v>
      </c>
      <c r="N2250" s="14" t="n">
        <v>6.1165</v>
      </c>
      <c r="O2250" s="14" t="n">
        <v>166.44</v>
      </c>
      <c r="P2250" s="14" t="n">
        <v>11.0155</v>
      </c>
    </row>
    <row r="2251" customFormat="false" ht="15" hidden="false" customHeight="false" outlineLevel="0" collapsed="false">
      <c r="A2251" s="13" t="n">
        <v>45503</v>
      </c>
      <c r="B2251" s="14" t="n">
        <v>1384.98</v>
      </c>
      <c r="C2251" s="14" t="n">
        <v>10.9718</v>
      </c>
      <c r="D2251" s="14" t="n">
        <v>1.2828</v>
      </c>
      <c r="E2251" s="14" t="n">
        <v>1.0809</v>
      </c>
      <c r="F2251" s="14" t="n">
        <v>7.2511</v>
      </c>
      <c r="G2251" s="14" t="n">
        <v>5.6543</v>
      </c>
      <c r="H2251" s="14" t="n">
        <v>153.72</v>
      </c>
      <c r="I2251" s="14" t="n">
        <v>1.0824</v>
      </c>
      <c r="J2251" s="14" t="n">
        <v>11.8885</v>
      </c>
      <c r="K2251" s="14" t="n">
        <v>1498.59</v>
      </c>
      <c r="L2251" s="14" t="n">
        <v>0.8426</v>
      </c>
      <c r="M2251" s="14" t="n">
        <v>7.8489</v>
      </c>
      <c r="N2251" s="14" t="n">
        <v>6.0843</v>
      </c>
      <c r="O2251" s="14" t="n">
        <v>167.61</v>
      </c>
      <c r="P2251" s="14" t="n">
        <v>10.9835</v>
      </c>
    </row>
    <row r="2252" customFormat="false" ht="15" hidden="false" customHeight="false" outlineLevel="0" collapsed="false">
      <c r="A2252" s="13" t="n">
        <v>45504</v>
      </c>
      <c r="B2252" s="14" t="n">
        <v>1369.29</v>
      </c>
      <c r="C2252" s="14" t="n">
        <v>10.9194</v>
      </c>
      <c r="D2252" s="14" t="n">
        <v>1.284</v>
      </c>
      <c r="E2252" s="14" t="n">
        <v>1.0823</v>
      </c>
      <c r="F2252" s="14" t="n">
        <v>7.2193</v>
      </c>
      <c r="G2252" s="14" t="n">
        <v>5.6628</v>
      </c>
      <c r="H2252" s="14" t="n">
        <v>150.38</v>
      </c>
      <c r="I2252" s="14" t="n">
        <v>1.0828</v>
      </c>
      <c r="J2252" s="14" t="n">
        <v>11.8175</v>
      </c>
      <c r="K2252" s="14" t="n">
        <v>1485.96</v>
      </c>
      <c r="L2252" s="14" t="n">
        <v>0.8438</v>
      </c>
      <c r="M2252" s="14" t="n">
        <v>7.8194</v>
      </c>
      <c r="N2252" s="14" t="n">
        <v>6.0874</v>
      </c>
      <c r="O2252" s="14" t="n">
        <v>162.76</v>
      </c>
      <c r="P2252" s="14" t="n">
        <v>10.9138</v>
      </c>
    </row>
    <row r="2253" customFormat="false" ht="15" hidden="false" customHeight="false" outlineLevel="0" collapsed="false">
      <c r="A2253" s="13" t="n">
        <v>45505</v>
      </c>
      <c r="B2253" s="14" t="n">
        <v>1368.5</v>
      </c>
      <c r="C2253" s="14" t="n">
        <v>10.9136</v>
      </c>
      <c r="D2253" s="14" t="n">
        <v>1.2772</v>
      </c>
      <c r="E2253" s="14" t="n">
        <v>1.0789</v>
      </c>
      <c r="F2253" s="14" t="n">
        <v>7.2441</v>
      </c>
      <c r="G2253" s="14" t="n">
        <v>5.6935</v>
      </c>
      <c r="H2253" s="14" t="n">
        <v>150.06</v>
      </c>
      <c r="I2253" s="14" t="n">
        <v>1.0789</v>
      </c>
      <c r="J2253" s="14" t="n">
        <v>11.7465</v>
      </c>
      <c r="K2253" s="14" t="n">
        <v>1474.13</v>
      </c>
      <c r="L2253" s="14" t="n">
        <v>0.84328</v>
      </c>
      <c r="M2253" s="14" t="n">
        <v>7.8203</v>
      </c>
      <c r="N2253" s="14" t="n">
        <v>6.112</v>
      </c>
      <c r="O2253" s="14" t="n">
        <v>162.66</v>
      </c>
      <c r="P2253" s="14" t="n">
        <v>10.8875</v>
      </c>
    </row>
    <row r="2254" customFormat="false" ht="15" hidden="false" customHeight="false" outlineLevel="0" collapsed="false">
      <c r="A2254" s="13" t="n">
        <v>45506</v>
      </c>
      <c r="B2254" s="14" t="n">
        <v>1359.38</v>
      </c>
      <c r="C2254" s="14" t="n">
        <v>10.9435</v>
      </c>
      <c r="D2254" s="14" t="n">
        <v>1.2798</v>
      </c>
      <c r="E2254" s="14" t="n">
        <v>1.0914</v>
      </c>
      <c r="F2254" s="14" t="n">
        <v>7.16</v>
      </c>
      <c r="G2254" s="14" t="n">
        <v>5.7359</v>
      </c>
      <c r="H2254" s="14" t="n">
        <v>146.98</v>
      </c>
      <c r="I2254" s="14" t="n">
        <v>1.0835</v>
      </c>
      <c r="J2254" s="14" t="n">
        <v>11.929</v>
      </c>
      <c r="K2254" s="14" t="n">
        <v>1479.77</v>
      </c>
      <c r="L2254" s="14" t="n">
        <v>0.85</v>
      </c>
      <c r="M2254" s="14" t="n">
        <v>7.8075</v>
      </c>
      <c r="N2254" s="14" t="n">
        <v>6.257</v>
      </c>
      <c r="O2254" s="14" t="n">
        <v>161.37</v>
      </c>
      <c r="P2254" s="14" t="n">
        <v>11.0097</v>
      </c>
    </row>
    <row r="2255" customFormat="false" ht="15" hidden="false" customHeight="false" outlineLevel="0" collapsed="false">
      <c r="A2255" s="13" t="n">
        <v>45509</v>
      </c>
      <c r="B2255" s="14" t="n">
        <v>1367.68</v>
      </c>
      <c r="C2255" s="14" t="n">
        <v>11.0417</v>
      </c>
      <c r="D2255" s="14" t="n">
        <v>1.2765</v>
      </c>
      <c r="E2255" s="14" t="n">
        <v>1.0957</v>
      </c>
      <c r="F2255" s="14" t="n">
        <v>7.13</v>
      </c>
      <c r="G2255" s="14" t="n">
        <v>5.7496</v>
      </c>
      <c r="H2255" s="14" t="n">
        <v>143.95</v>
      </c>
      <c r="I2255" s="14" t="n">
        <v>1.0966</v>
      </c>
      <c r="J2255" s="14" t="n">
        <v>12.1108</v>
      </c>
      <c r="K2255" s="14" t="n">
        <v>1495.97</v>
      </c>
      <c r="L2255" s="14" t="n">
        <v>0.85878</v>
      </c>
      <c r="M2255" s="14" t="n">
        <v>7.8046</v>
      </c>
      <c r="N2255" s="14" t="n">
        <v>6.3759</v>
      </c>
      <c r="O2255" s="14" t="n">
        <v>155.98</v>
      </c>
      <c r="P2255" s="14" t="n">
        <v>11.044</v>
      </c>
    </row>
    <row r="2256" customFormat="false" ht="15" hidden="false" customHeight="false" outlineLevel="0" collapsed="false">
      <c r="A2256" s="13" t="n">
        <v>45510</v>
      </c>
      <c r="B2256" s="14" t="n">
        <v>1377.4</v>
      </c>
      <c r="C2256" s="14" t="n">
        <v>10.891</v>
      </c>
      <c r="D2256" s="14" t="n">
        <v>1.2695</v>
      </c>
      <c r="E2256" s="14" t="n">
        <v>1.0926</v>
      </c>
      <c r="F2256" s="14" t="n">
        <v>7.1563</v>
      </c>
      <c r="G2256" s="14" t="n">
        <v>5.6409</v>
      </c>
      <c r="H2256" s="14" t="n">
        <v>145.11</v>
      </c>
      <c r="I2256" s="14" t="n">
        <v>1.0915</v>
      </c>
      <c r="J2256" s="14" t="n">
        <v>12.0005</v>
      </c>
      <c r="K2256" s="14" t="n">
        <v>1504.09</v>
      </c>
      <c r="L2256" s="14" t="n">
        <v>0.85998</v>
      </c>
      <c r="M2256" s="14" t="n">
        <v>7.8071</v>
      </c>
      <c r="N2256" s="14" t="n">
        <v>6.2028</v>
      </c>
      <c r="O2256" s="14" t="n">
        <v>158.29</v>
      </c>
      <c r="P2256" s="14" t="n">
        <v>10.9945</v>
      </c>
    </row>
    <row r="2257" customFormat="false" ht="15" hidden="false" customHeight="false" outlineLevel="0" collapsed="false">
      <c r="A2257" s="13" t="n">
        <v>45511</v>
      </c>
      <c r="B2257" s="14" t="n">
        <v>1374.98</v>
      </c>
      <c r="C2257" s="14" t="n">
        <v>10.7708</v>
      </c>
      <c r="D2257" s="14" t="n">
        <v>1.2718</v>
      </c>
      <c r="E2257" s="14" t="n">
        <v>1.0925</v>
      </c>
      <c r="F2257" s="14" t="n">
        <v>7.176</v>
      </c>
      <c r="G2257" s="14" t="n">
        <v>5.6</v>
      </c>
      <c r="H2257" s="14" t="n">
        <v>147.42</v>
      </c>
      <c r="I2257" s="14" t="n">
        <v>1.0922</v>
      </c>
      <c r="J2257" s="14" t="n">
        <v>11.781</v>
      </c>
      <c r="K2257" s="14" t="n">
        <v>1501.94</v>
      </c>
      <c r="L2257" s="14" t="n">
        <v>0.85808</v>
      </c>
      <c r="M2257" s="14" t="n">
        <v>7.8425</v>
      </c>
      <c r="N2257" s="14" t="n">
        <v>6.136</v>
      </c>
      <c r="O2257" s="14" t="n">
        <v>160.62</v>
      </c>
      <c r="P2257" s="14" t="n">
        <v>10.7865</v>
      </c>
    </row>
    <row r="2258" customFormat="false" ht="15" hidden="false" customHeight="false" outlineLevel="0" collapsed="false">
      <c r="A2258" s="13" t="n">
        <v>45512</v>
      </c>
      <c r="B2258" s="14" t="n">
        <v>1376.94</v>
      </c>
      <c r="C2258" s="14" t="n">
        <v>10.8515</v>
      </c>
      <c r="D2258" s="14" t="n">
        <v>1.2741</v>
      </c>
      <c r="E2258" s="14" t="n">
        <v>1.0914</v>
      </c>
      <c r="F2258" s="14" t="n">
        <v>7.1747</v>
      </c>
      <c r="G2258" s="14" t="n">
        <v>5.6012</v>
      </c>
      <c r="H2258" s="14" t="n">
        <v>147.08</v>
      </c>
      <c r="I2258" s="14" t="n">
        <v>1.093</v>
      </c>
      <c r="J2258" s="14" t="n">
        <v>11.8825</v>
      </c>
      <c r="K2258" s="14" t="n">
        <v>1503.86</v>
      </c>
      <c r="L2258" s="14" t="n">
        <v>0.86093</v>
      </c>
      <c r="M2258" s="14" t="n">
        <v>7.8393</v>
      </c>
      <c r="N2258" s="14" t="n">
        <v>6.1544</v>
      </c>
      <c r="O2258" s="14" t="n">
        <v>159.74</v>
      </c>
      <c r="P2258" s="14" t="n">
        <v>10.8715</v>
      </c>
    </row>
    <row r="2259" customFormat="false" ht="15" hidden="false" customHeight="false" outlineLevel="0" collapsed="false">
      <c r="A2259" s="13" t="n">
        <v>45513</v>
      </c>
      <c r="B2259" s="14" t="n">
        <v>1363.71</v>
      </c>
      <c r="C2259" s="14" t="n">
        <v>10.8055</v>
      </c>
      <c r="D2259" s="14" t="n">
        <v>1.2766</v>
      </c>
      <c r="E2259" s="14" t="n">
        <v>1.0925</v>
      </c>
      <c r="F2259" s="14" t="n">
        <v>7.166</v>
      </c>
      <c r="G2259" s="14" t="n">
        <v>5.5099</v>
      </c>
      <c r="H2259" s="14" t="n">
        <v>146.49</v>
      </c>
      <c r="I2259" s="14" t="n">
        <v>1.0917</v>
      </c>
      <c r="J2259" s="14" t="n">
        <v>11.8295</v>
      </c>
      <c r="K2259" s="14" t="n">
        <v>1491.07</v>
      </c>
      <c r="L2259" s="14" t="n">
        <v>0.85708</v>
      </c>
      <c r="M2259" s="14" t="n">
        <v>7.828</v>
      </c>
      <c r="N2259" s="14" t="n">
        <v>6.0477</v>
      </c>
      <c r="O2259" s="14" t="n">
        <v>160.33</v>
      </c>
      <c r="P2259" s="14" t="n">
        <v>10.8359</v>
      </c>
    </row>
    <row r="2260" customFormat="false" ht="15" hidden="false" customHeight="false" outlineLevel="0" collapsed="false">
      <c r="A2260" s="13" t="n">
        <v>45516</v>
      </c>
      <c r="B2260" s="14" t="n">
        <v>1369.87</v>
      </c>
      <c r="C2260" s="14" t="n">
        <v>10.7883</v>
      </c>
      <c r="D2260" s="14" t="n">
        <v>1.2776</v>
      </c>
      <c r="E2260" s="14" t="n">
        <v>1.0928</v>
      </c>
      <c r="F2260" s="14" t="n">
        <v>7.1744</v>
      </c>
      <c r="G2260" s="14" t="n">
        <v>5.5058</v>
      </c>
      <c r="H2260" s="14" t="n">
        <v>147.54</v>
      </c>
      <c r="I2260" s="14" t="n">
        <v>1.0925</v>
      </c>
      <c r="J2260" s="14" t="n">
        <v>11.7745</v>
      </c>
      <c r="K2260" s="14" t="n">
        <v>1497.58</v>
      </c>
      <c r="L2260" s="14" t="n">
        <v>0.85554</v>
      </c>
      <c r="M2260" s="14" t="n">
        <v>7.8439</v>
      </c>
      <c r="N2260" s="14" t="n">
        <v>5.9998</v>
      </c>
      <c r="O2260" s="14" t="n">
        <v>161.25</v>
      </c>
      <c r="P2260" s="14" t="n">
        <v>10.7776</v>
      </c>
    </row>
    <row r="2261" customFormat="false" ht="15" hidden="false" customHeight="false" outlineLevel="0" collapsed="false">
      <c r="A2261" s="13" t="n">
        <v>45517</v>
      </c>
      <c r="B2261" s="14" t="n">
        <v>1367.28</v>
      </c>
      <c r="C2261" s="14" t="n">
        <v>10.7724</v>
      </c>
      <c r="D2261" s="14" t="n">
        <v>1.2828</v>
      </c>
      <c r="E2261" s="14" t="n">
        <v>1.0954</v>
      </c>
      <c r="F2261" s="14" t="n">
        <v>7.1558</v>
      </c>
      <c r="G2261" s="14" t="n">
        <v>5.4867</v>
      </c>
      <c r="H2261" s="14" t="n">
        <v>146.97</v>
      </c>
      <c r="I2261" s="14" t="n">
        <v>1.0931</v>
      </c>
      <c r="J2261" s="14" t="n">
        <v>11.797</v>
      </c>
      <c r="K2261" s="14" t="n">
        <v>1498.93</v>
      </c>
      <c r="L2261" s="14" t="n">
        <v>0.85458</v>
      </c>
      <c r="M2261" s="14" t="n">
        <v>7.8301</v>
      </c>
      <c r="N2261" s="14" t="n">
        <v>6.0061</v>
      </c>
      <c r="O2261" s="14" t="n">
        <v>161.17</v>
      </c>
      <c r="P2261" s="14" t="n">
        <v>10.7922</v>
      </c>
    </row>
    <row r="2262" customFormat="false" ht="15" hidden="false" customHeight="false" outlineLevel="0" collapsed="false">
      <c r="A2262" s="13" t="n">
        <v>45518</v>
      </c>
      <c r="B2262" s="14" t="n">
        <v>1355.35</v>
      </c>
      <c r="C2262" s="14" t="n">
        <v>10.6865</v>
      </c>
      <c r="D2262" s="14" t="n">
        <v>1.2849</v>
      </c>
      <c r="E2262" s="14" t="n">
        <v>1.1024</v>
      </c>
      <c r="F2262" s="14" t="n">
        <v>7.1382</v>
      </c>
      <c r="G2262" s="14" t="n">
        <v>5.4577</v>
      </c>
      <c r="H2262" s="14" t="n">
        <v>146.86</v>
      </c>
      <c r="I2262" s="14" t="n">
        <v>1.1019</v>
      </c>
      <c r="J2262" s="14" t="n">
        <v>11.7665</v>
      </c>
      <c r="K2262" s="14" t="n">
        <v>1493.74</v>
      </c>
      <c r="L2262" s="14" t="n">
        <v>0.85783</v>
      </c>
      <c r="M2262" s="14" t="n">
        <v>7.8627</v>
      </c>
      <c r="N2262" s="14" t="n">
        <v>6.0024</v>
      </c>
      <c r="O2262" s="14" t="n">
        <v>161.98</v>
      </c>
      <c r="P2262" s="14" t="n">
        <v>10.6784</v>
      </c>
    </row>
    <row r="2263" customFormat="false" ht="15" hidden="false" customHeight="false" outlineLevel="0" collapsed="false">
      <c r="A2263" s="13" t="n">
        <v>45519</v>
      </c>
      <c r="B2263" s="14" t="n">
        <v>1363.21</v>
      </c>
      <c r="C2263" s="14" t="n">
        <v>10.722</v>
      </c>
      <c r="D2263" s="14" t="n">
        <v>1.2863</v>
      </c>
      <c r="E2263" s="14" t="n">
        <v>1.0986</v>
      </c>
      <c r="F2263" s="14" t="n">
        <v>7.1734</v>
      </c>
      <c r="G2263" s="14" t="n">
        <v>5.461</v>
      </c>
      <c r="H2263" s="14" t="n">
        <v>148.91</v>
      </c>
      <c r="I2263" s="14" t="n">
        <v>1.1011</v>
      </c>
      <c r="J2263" s="14" t="n">
        <v>11.7455</v>
      </c>
      <c r="K2263" s="14" t="n">
        <v>1495.28</v>
      </c>
      <c r="L2263" s="14" t="n">
        <v>0.85615</v>
      </c>
      <c r="M2263" s="14" t="n">
        <v>7.8816</v>
      </c>
      <c r="N2263" s="14" t="n">
        <v>6.0262</v>
      </c>
      <c r="O2263" s="14" t="n">
        <v>162.14</v>
      </c>
      <c r="P2263" s="14" t="n">
        <v>10.6671</v>
      </c>
    </row>
    <row r="2264" customFormat="false" ht="15" hidden="false" customHeight="false" outlineLevel="0" collapsed="false">
      <c r="A2264" s="13" t="n">
        <v>45520</v>
      </c>
      <c r="B2264" s="14" t="n">
        <v>1354.34</v>
      </c>
      <c r="C2264" s="14" t="n">
        <v>10.7266</v>
      </c>
      <c r="D2264" s="14" t="n">
        <v>1.2906</v>
      </c>
      <c r="E2264" s="14" t="n">
        <v>1.0996</v>
      </c>
      <c r="F2264" s="14" t="n">
        <v>7.1644</v>
      </c>
      <c r="G2264" s="14" t="n">
        <v>5.4751</v>
      </c>
      <c r="H2264" s="14" t="n">
        <v>148.13</v>
      </c>
      <c r="I2264" s="14" t="n">
        <v>1.0994</v>
      </c>
      <c r="J2264" s="14" t="n">
        <v>11.8185</v>
      </c>
      <c r="K2264" s="14" t="n">
        <v>1490.58</v>
      </c>
      <c r="L2264" s="14" t="n">
        <v>0.85128</v>
      </c>
      <c r="M2264" s="14" t="n">
        <v>7.8758</v>
      </c>
      <c r="N2264" s="14" t="n">
        <v>6.0112</v>
      </c>
      <c r="O2264" s="14" t="n">
        <v>162.72</v>
      </c>
      <c r="P2264" s="14" t="n">
        <v>10.75</v>
      </c>
    </row>
    <row r="2265" customFormat="false" ht="15" hidden="false" customHeight="false" outlineLevel="0" collapsed="false">
      <c r="A2265" s="13" t="n">
        <v>45523</v>
      </c>
      <c r="B2265" s="14" t="n">
        <v>1334.21</v>
      </c>
      <c r="C2265" s="14" t="n">
        <v>10.5797</v>
      </c>
      <c r="D2265" s="14" t="n">
        <v>1.2984</v>
      </c>
      <c r="E2265" s="14" t="n">
        <v>1.107</v>
      </c>
      <c r="F2265" s="14" t="n">
        <v>7.1393</v>
      </c>
      <c r="G2265" s="14" t="n">
        <v>5.4048</v>
      </c>
      <c r="H2265" s="14" t="n">
        <v>146.42</v>
      </c>
      <c r="I2265" s="14" t="n">
        <v>1.1041</v>
      </c>
      <c r="J2265" s="14" t="n">
        <v>11.7345</v>
      </c>
      <c r="K2265" s="14" t="n">
        <v>1476.07</v>
      </c>
      <c r="L2265" s="14" t="n">
        <v>0.85243</v>
      </c>
      <c r="M2265" s="14" t="n">
        <v>7.8848</v>
      </c>
      <c r="N2265" s="14" t="n">
        <v>6.0215</v>
      </c>
      <c r="O2265" s="14" t="n">
        <v>161.22</v>
      </c>
      <c r="P2265" s="14" t="n">
        <v>10.6281</v>
      </c>
    </row>
    <row r="2266" customFormat="false" ht="15" hidden="false" customHeight="false" outlineLevel="0" collapsed="false">
      <c r="A2266" s="13" t="n">
        <v>45524</v>
      </c>
      <c r="B2266" s="14" t="n">
        <v>1331.78</v>
      </c>
      <c r="C2266" s="14" t="n">
        <v>10.5043</v>
      </c>
      <c r="D2266" s="14" t="n">
        <v>1.3027</v>
      </c>
      <c r="E2266" s="14" t="n">
        <v>1.1106</v>
      </c>
      <c r="F2266" s="14" t="n">
        <v>7.132</v>
      </c>
      <c r="G2266" s="14" t="n">
        <v>5.4727</v>
      </c>
      <c r="H2266" s="14" t="n">
        <v>145.7</v>
      </c>
      <c r="I2266" s="14" t="n">
        <v>1.1084</v>
      </c>
      <c r="J2266" s="14" t="n">
        <v>11.6825</v>
      </c>
      <c r="K2266" s="14" t="n">
        <v>1478.34</v>
      </c>
      <c r="L2266" s="14" t="n">
        <v>0.85194</v>
      </c>
      <c r="M2266" s="14" t="n">
        <v>7.9192</v>
      </c>
      <c r="N2266" s="14" t="n">
        <v>6.0376</v>
      </c>
      <c r="O2266" s="14" t="n">
        <v>162.18</v>
      </c>
      <c r="P2266" s="14" t="n">
        <v>10.54</v>
      </c>
    </row>
    <row r="2267" customFormat="false" ht="15" hidden="false" customHeight="false" outlineLevel="0" collapsed="false">
      <c r="A2267" s="13" t="n">
        <v>45525</v>
      </c>
      <c r="B2267" s="14" t="n">
        <v>1333.74</v>
      </c>
      <c r="C2267" s="14" t="n">
        <v>10.4954</v>
      </c>
      <c r="D2267" s="14" t="n">
        <v>1.3077</v>
      </c>
      <c r="E2267" s="14" t="n">
        <v>1.1143</v>
      </c>
      <c r="F2267" s="14" t="n">
        <v>7.1344</v>
      </c>
      <c r="G2267" s="14" t="n">
        <v>5.4737</v>
      </c>
      <c r="H2267" s="14" t="n">
        <v>145.19</v>
      </c>
      <c r="I2267" s="14" t="n">
        <v>1.1116</v>
      </c>
      <c r="J2267" s="14" t="n">
        <v>11.683</v>
      </c>
      <c r="K2267" s="14" t="n">
        <v>1485.55</v>
      </c>
      <c r="L2267" s="14" t="n">
        <v>0.85303</v>
      </c>
      <c r="M2267" s="14" t="n">
        <v>7.9306</v>
      </c>
      <c r="N2267" s="14" t="n">
        <v>6.0844</v>
      </c>
      <c r="O2267" s="14" t="n">
        <v>162.26</v>
      </c>
      <c r="P2267" s="14" t="n">
        <v>10.5101</v>
      </c>
    </row>
    <row r="2268" customFormat="false" ht="15" hidden="false" customHeight="false" outlineLevel="0" collapsed="false">
      <c r="A2268" s="13" t="n">
        <v>45526</v>
      </c>
      <c r="B2268" s="14" t="n">
        <v>1343.23</v>
      </c>
      <c r="C2268" s="14" t="n">
        <v>10.5911</v>
      </c>
      <c r="D2268" s="14" t="n">
        <v>1.3094</v>
      </c>
      <c r="E2268" s="14" t="n">
        <v>1.1114</v>
      </c>
      <c r="F2268" s="14" t="n">
        <v>7.144</v>
      </c>
      <c r="G2268" s="14" t="n">
        <v>5.5675</v>
      </c>
      <c r="H2268" s="14" t="n">
        <v>145.97</v>
      </c>
      <c r="I2268" s="14" t="n">
        <v>1.1135</v>
      </c>
      <c r="J2268" s="14" t="n">
        <v>11.7685</v>
      </c>
      <c r="K2268" s="14" t="n">
        <v>1490.74</v>
      </c>
      <c r="L2268" s="14" t="n">
        <v>0.84943</v>
      </c>
      <c r="M2268" s="14" t="n">
        <v>7.9491</v>
      </c>
      <c r="N2268" s="14" t="n">
        <v>6.1538</v>
      </c>
      <c r="O2268" s="14" t="n">
        <v>162.64</v>
      </c>
      <c r="P2268" s="14" t="n">
        <v>10.5689</v>
      </c>
    </row>
    <row r="2269" customFormat="false" ht="15" hidden="false" customHeight="false" outlineLevel="0" collapsed="false">
      <c r="A2269" s="13" t="n">
        <v>45527</v>
      </c>
      <c r="B2269" s="14" t="n">
        <v>1327.56</v>
      </c>
      <c r="C2269" s="14" t="n">
        <v>10.4783</v>
      </c>
      <c r="D2269" s="14" t="n">
        <v>1.3197</v>
      </c>
      <c r="E2269" s="14" t="n">
        <v>1.1176</v>
      </c>
      <c r="F2269" s="14" t="n">
        <v>7.1244</v>
      </c>
      <c r="G2269" s="14" t="n">
        <v>5.5102</v>
      </c>
      <c r="H2269" s="14" t="n">
        <v>144.86</v>
      </c>
      <c r="I2269" s="14" t="n">
        <v>1.1121</v>
      </c>
      <c r="J2269" s="14" t="n">
        <v>11.802</v>
      </c>
      <c r="K2269" s="14" t="n">
        <v>1486.86</v>
      </c>
      <c r="L2269" s="14" t="n">
        <v>0.84733</v>
      </c>
      <c r="M2269" s="14" t="n">
        <v>7.9364</v>
      </c>
      <c r="N2269" s="14" t="n">
        <v>6.1902</v>
      </c>
      <c r="O2269" s="14" t="n">
        <v>162.37</v>
      </c>
      <c r="P2269" s="14" t="n">
        <v>10.6124</v>
      </c>
    </row>
    <row r="2270" customFormat="false" ht="15" hidden="false" customHeight="false" outlineLevel="0" collapsed="false">
      <c r="A2270" s="13" t="n">
        <v>45530</v>
      </c>
      <c r="B2270" s="14" t="n">
        <v>1328.53</v>
      </c>
      <c r="C2270" s="14" t="n">
        <v>10.5384</v>
      </c>
      <c r="D2270" s="14" t="n">
        <v>1.3185</v>
      </c>
      <c r="E2270" s="14" t="n">
        <v>1.1164</v>
      </c>
      <c r="F2270" s="14" t="n">
        <v>7.1212</v>
      </c>
      <c r="G2270" s="14" t="n">
        <v>5.498</v>
      </c>
      <c r="H2270" s="14" t="n">
        <v>144.51</v>
      </c>
      <c r="I2270" s="14" t="n">
        <v>1.1163</v>
      </c>
      <c r="J2270" s="14" t="n">
        <v>11.7785</v>
      </c>
      <c r="K2270" s="14" t="n">
        <v>1481.16</v>
      </c>
      <c r="L2270" s="14" t="n">
        <v>0.84645</v>
      </c>
      <c r="M2270" s="14" t="n">
        <v>7.9512</v>
      </c>
      <c r="N2270" s="14" t="n">
        <v>6.1332</v>
      </c>
      <c r="O2270" s="14" t="n">
        <v>160.94</v>
      </c>
      <c r="P2270" s="14" t="n">
        <v>10.5514</v>
      </c>
    </row>
    <row r="2271" customFormat="false" ht="15" hidden="false" customHeight="false" outlineLevel="0" collapsed="false">
      <c r="A2271" s="13" t="n">
        <v>45531</v>
      </c>
      <c r="B2271" s="14" t="n">
        <v>1330.9</v>
      </c>
      <c r="C2271" s="14" t="n">
        <v>10.4834</v>
      </c>
      <c r="D2271" s="14" t="n">
        <v>1.3235</v>
      </c>
      <c r="E2271" s="14" t="n">
        <v>1.116</v>
      </c>
      <c r="F2271" s="14" t="n">
        <v>7.1244</v>
      </c>
      <c r="G2271" s="14" t="n">
        <v>5.5043</v>
      </c>
      <c r="H2271" s="14" t="n">
        <v>144.26</v>
      </c>
      <c r="I2271" s="14" t="n">
        <v>1.1162</v>
      </c>
      <c r="J2271" s="14" t="n">
        <v>11.723</v>
      </c>
      <c r="K2271" s="14" t="n">
        <v>1485.86</v>
      </c>
      <c r="L2271" s="14" t="n">
        <v>0.84438</v>
      </c>
      <c r="M2271" s="14" t="n">
        <v>7.9547</v>
      </c>
      <c r="N2271" s="14" t="n">
        <v>6.1186</v>
      </c>
      <c r="O2271" s="14" t="n">
        <v>161.24</v>
      </c>
      <c r="P2271" s="14" t="n">
        <v>10.5026</v>
      </c>
    </row>
    <row r="2272" customFormat="false" ht="15" hidden="false" customHeight="false" outlineLevel="0" collapsed="false">
      <c r="A2272" s="13" t="n">
        <v>45532</v>
      </c>
      <c r="B2272" s="14" t="n">
        <v>1335.15</v>
      </c>
      <c r="C2272" s="14" t="n">
        <v>10.4949</v>
      </c>
      <c r="D2272" s="14" t="n">
        <v>1.3201</v>
      </c>
      <c r="E2272" s="14" t="n">
        <v>1.1127</v>
      </c>
      <c r="F2272" s="14" t="n">
        <v>7.1245</v>
      </c>
      <c r="G2272" s="14" t="n">
        <v>5.5351</v>
      </c>
      <c r="H2272" s="14" t="n">
        <v>144.47</v>
      </c>
      <c r="I2272" s="14" t="n">
        <v>1.1117</v>
      </c>
      <c r="J2272" s="14" t="n">
        <v>11.712</v>
      </c>
      <c r="K2272" s="14" t="n">
        <v>1485.05</v>
      </c>
      <c r="L2272" s="14" t="n">
        <v>0.84163</v>
      </c>
      <c r="M2272" s="14" t="n">
        <v>7.9253</v>
      </c>
      <c r="N2272" s="14" t="n">
        <v>6.1498</v>
      </c>
      <c r="O2272" s="14" t="n">
        <v>160.57</v>
      </c>
      <c r="P2272" s="14" t="n">
        <v>10.5352</v>
      </c>
    </row>
    <row r="2273" customFormat="false" ht="15" hidden="false" customHeight="false" outlineLevel="0" collapsed="false">
      <c r="A2273" s="13" t="n">
        <v>45533</v>
      </c>
      <c r="B2273" s="14" t="n">
        <v>1332.02</v>
      </c>
      <c r="C2273" s="14" t="n">
        <v>10.4923</v>
      </c>
      <c r="D2273" s="14" t="n">
        <v>1.3186</v>
      </c>
      <c r="E2273" s="14" t="n">
        <v>1.1086</v>
      </c>
      <c r="F2273" s="14" t="n">
        <v>7.0972</v>
      </c>
      <c r="G2273" s="14" t="n">
        <v>5.6355</v>
      </c>
      <c r="H2273" s="14" t="n">
        <v>144.98</v>
      </c>
      <c r="I2273" s="14" t="n">
        <v>1.1088</v>
      </c>
      <c r="J2273" s="14" t="n">
        <v>11.641</v>
      </c>
      <c r="K2273" s="14" t="n">
        <v>1474.34</v>
      </c>
      <c r="L2273" s="14" t="n">
        <v>0.84175</v>
      </c>
      <c r="M2273" s="14" t="n">
        <v>7.8653</v>
      </c>
      <c r="N2273" s="14" t="n">
        <v>6.1892</v>
      </c>
      <c r="O2273" s="14" t="n">
        <v>160.36</v>
      </c>
      <c r="P2273" s="14" t="n">
        <v>10.4987</v>
      </c>
    </row>
    <row r="2274" customFormat="false" ht="15" hidden="false" customHeight="false" outlineLevel="0" collapsed="false">
      <c r="A2274" s="13" t="n">
        <v>45534</v>
      </c>
      <c r="B2274" s="14" t="n">
        <v>1336</v>
      </c>
      <c r="C2274" s="14" t="n">
        <v>10.6082</v>
      </c>
      <c r="D2274" s="14" t="n">
        <v>1.3132</v>
      </c>
      <c r="E2274" s="14" t="n">
        <v>1.106</v>
      </c>
      <c r="F2274" s="14" t="n">
        <v>7.09</v>
      </c>
      <c r="G2274" s="14" t="n">
        <v>5.6193</v>
      </c>
      <c r="H2274" s="14" t="n">
        <v>145.95</v>
      </c>
      <c r="I2274" s="14" t="n">
        <v>1.1087</v>
      </c>
      <c r="J2274" s="14" t="n">
        <v>11.662</v>
      </c>
      <c r="K2274" s="14" t="n">
        <v>1478.6</v>
      </c>
      <c r="L2274" s="14" t="n">
        <v>0.8412</v>
      </c>
      <c r="M2274" s="14" t="n">
        <v>7.8585</v>
      </c>
      <c r="N2274" s="14" t="n">
        <v>6.2155</v>
      </c>
      <c r="O2274" s="14" t="n">
        <v>161.19</v>
      </c>
      <c r="P2274" s="14" t="n">
        <v>10.5186</v>
      </c>
    </row>
    <row r="2275" customFormat="false" ht="15" hidden="false" customHeight="false" outlineLevel="0" collapsed="false">
      <c r="A2275" s="13" t="n">
        <v>45537</v>
      </c>
      <c r="I2275" s="14" t="n">
        <v>1.1061</v>
      </c>
      <c r="J2275" s="14" t="n">
        <v>11.73</v>
      </c>
      <c r="K2275" s="14" t="n">
        <v>1481.32</v>
      </c>
      <c r="L2275" s="14" t="n">
        <v>0.84218</v>
      </c>
      <c r="M2275" s="14" t="n">
        <v>7.8677</v>
      </c>
      <c r="N2275" s="14" t="n">
        <v>6.2185</v>
      </c>
      <c r="O2275" s="14" t="n">
        <v>162.56</v>
      </c>
      <c r="P2275" s="14" t="n">
        <v>10.6048</v>
      </c>
    </row>
    <row r="2276" customFormat="false" ht="15" hidden="false" customHeight="false" outlineLevel="0" collapsed="false">
      <c r="A2276" s="13" t="n">
        <v>45538</v>
      </c>
      <c r="B2276" s="14" t="n">
        <v>1339.79</v>
      </c>
      <c r="C2276" s="14" t="n">
        <v>10.6916</v>
      </c>
      <c r="D2276" s="14" t="n">
        <v>1.3103</v>
      </c>
      <c r="E2276" s="14" t="n">
        <v>1.1043</v>
      </c>
      <c r="F2276" s="14" t="n">
        <v>7.1209</v>
      </c>
      <c r="G2276" s="14" t="n">
        <v>5.649</v>
      </c>
      <c r="H2276" s="14" t="n">
        <v>145.82</v>
      </c>
      <c r="I2276" s="14" t="n">
        <v>1.1035</v>
      </c>
      <c r="J2276" s="14" t="n">
        <v>11.766</v>
      </c>
      <c r="K2276" s="14" t="n">
        <v>1481.23</v>
      </c>
      <c r="L2276" s="14" t="n">
        <v>0.84085</v>
      </c>
      <c r="M2276" s="14" t="n">
        <v>7.8614</v>
      </c>
      <c r="N2276" s="14" t="n">
        <v>6.2056</v>
      </c>
      <c r="O2276" s="14" t="n">
        <v>161.26</v>
      </c>
      <c r="P2276" s="14" t="n">
        <v>10.6624</v>
      </c>
    </row>
    <row r="2277" customFormat="false" ht="15" hidden="false" customHeight="false" outlineLevel="0" collapsed="false">
      <c r="A2277" s="13" t="n">
        <v>45539</v>
      </c>
      <c r="B2277" s="14" t="n">
        <v>1336.93</v>
      </c>
      <c r="C2277" s="14" t="n">
        <v>10.6315</v>
      </c>
      <c r="D2277" s="14" t="n">
        <v>1.3142</v>
      </c>
      <c r="E2277" s="14" t="n">
        <v>1.1081</v>
      </c>
      <c r="F2277" s="14" t="n">
        <v>7.1119</v>
      </c>
      <c r="G2277" s="14" t="n">
        <v>5.6403</v>
      </c>
      <c r="H2277" s="14" t="n">
        <v>144.31</v>
      </c>
      <c r="I2277" s="14" t="n">
        <v>1.105</v>
      </c>
      <c r="J2277" s="14" t="n">
        <v>11.805</v>
      </c>
      <c r="K2277" s="14" t="n">
        <v>1481.5</v>
      </c>
      <c r="L2277" s="14" t="n">
        <v>0.84248</v>
      </c>
      <c r="M2277" s="14" t="n">
        <v>7.8648</v>
      </c>
      <c r="N2277" s="14" t="n">
        <v>6.2523</v>
      </c>
      <c r="O2277" s="14" t="n">
        <v>160.26</v>
      </c>
      <c r="P2277" s="14" t="n">
        <v>10.6833</v>
      </c>
    </row>
    <row r="2278" customFormat="false" ht="15" hidden="false" customHeight="false" outlineLevel="0" collapsed="false">
      <c r="A2278" s="13" t="n">
        <v>45540</v>
      </c>
      <c r="B2278" s="14" t="n">
        <v>1335.14</v>
      </c>
      <c r="C2278" s="14" t="n">
        <v>10.6473</v>
      </c>
      <c r="D2278" s="14" t="n">
        <v>1.3165</v>
      </c>
      <c r="E2278" s="14" t="n">
        <v>1.1096</v>
      </c>
      <c r="F2278" s="14" t="n">
        <v>7.0921</v>
      </c>
      <c r="G2278" s="14" t="n">
        <v>5.5924</v>
      </c>
      <c r="H2278" s="14" t="n">
        <v>143.43</v>
      </c>
      <c r="I2278" s="14" t="n">
        <v>1.1097</v>
      </c>
      <c r="J2278" s="14" t="n">
        <v>11.7895</v>
      </c>
      <c r="K2278" s="14" t="n">
        <v>1481.54</v>
      </c>
      <c r="L2278" s="14" t="n">
        <v>0.84318</v>
      </c>
      <c r="M2278" s="14" t="n">
        <v>7.8739</v>
      </c>
      <c r="N2278" s="14" t="n">
        <v>6.2481</v>
      </c>
      <c r="O2278" s="14" t="n">
        <v>159.2</v>
      </c>
      <c r="P2278" s="14" t="n">
        <v>10.624</v>
      </c>
    </row>
    <row r="2279" customFormat="false" ht="15" hidden="false" customHeight="false" outlineLevel="0" collapsed="false">
      <c r="A2279" s="13" t="n">
        <v>45541</v>
      </c>
      <c r="B2279" s="14" t="n">
        <v>1335.68</v>
      </c>
      <c r="C2279" s="14" t="n">
        <v>10.7085</v>
      </c>
      <c r="D2279" s="14" t="n">
        <v>1.3136</v>
      </c>
      <c r="E2279" s="14" t="n">
        <v>1.1086</v>
      </c>
      <c r="F2279" s="14" t="n">
        <v>7.0876</v>
      </c>
      <c r="G2279" s="14" t="n">
        <v>5.5884</v>
      </c>
      <c r="H2279" s="14" t="n">
        <v>142.13</v>
      </c>
      <c r="I2279" s="14" t="n">
        <v>1.1103</v>
      </c>
      <c r="J2279" s="14" t="n">
        <v>11.8015</v>
      </c>
      <c r="K2279" s="14" t="n">
        <v>1477.3</v>
      </c>
      <c r="L2279" s="14" t="n">
        <v>0.84293</v>
      </c>
      <c r="M2279" s="14" t="n">
        <v>7.865</v>
      </c>
      <c r="N2279" s="14" t="n">
        <v>6.1855</v>
      </c>
      <c r="O2279" s="14" t="n">
        <v>158.93</v>
      </c>
      <c r="P2279" s="14" t="n">
        <v>10.6291</v>
      </c>
    </row>
    <row r="2280" customFormat="false" ht="15" hidden="false" customHeight="false" outlineLevel="0" collapsed="false">
      <c r="A2280" s="13" t="n">
        <v>45544</v>
      </c>
      <c r="B2280" s="14" t="n">
        <v>1342.16</v>
      </c>
      <c r="C2280" s="14" t="n">
        <v>10.8228</v>
      </c>
      <c r="D2280" s="14" t="n">
        <v>1.3083</v>
      </c>
      <c r="E2280" s="14" t="n">
        <v>1.1042</v>
      </c>
      <c r="F2280" s="14" t="n">
        <v>7.1133</v>
      </c>
      <c r="G2280" s="14" t="n">
        <v>5.6042</v>
      </c>
      <c r="H2280" s="14" t="n">
        <v>142.92</v>
      </c>
      <c r="I2280" s="14" t="n">
        <v>1.1043</v>
      </c>
      <c r="J2280" s="14" t="n">
        <v>11.9405</v>
      </c>
      <c r="K2280" s="14" t="n">
        <v>1485.48</v>
      </c>
      <c r="L2280" s="14" t="n">
        <v>0.84365</v>
      </c>
      <c r="M2280" s="14" t="n">
        <v>7.8589</v>
      </c>
      <c r="N2280" s="14" t="n">
        <v>6.2</v>
      </c>
      <c r="O2280" s="14" t="n">
        <v>158.53</v>
      </c>
      <c r="P2280" s="14" t="n">
        <v>10.8127</v>
      </c>
    </row>
    <row r="2281" customFormat="false" ht="15" hidden="false" customHeight="false" outlineLevel="0" collapsed="false">
      <c r="A2281" s="13" t="n">
        <v>45545</v>
      </c>
      <c r="B2281" s="14" t="n">
        <v>1343.41</v>
      </c>
      <c r="C2281" s="14" t="n">
        <v>10.8523</v>
      </c>
      <c r="D2281" s="14" t="n">
        <v>1.3065</v>
      </c>
      <c r="E2281" s="14" t="n">
        <v>1.1025</v>
      </c>
      <c r="F2281" s="14" t="n">
        <v>7.1205</v>
      </c>
      <c r="G2281" s="14" t="n">
        <v>5.6483</v>
      </c>
      <c r="H2281" s="14" t="n">
        <v>142.28</v>
      </c>
      <c r="I2281" s="14" t="n">
        <v>1.1031</v>
      </c>
      <c r="J2281" s="14" t="n">
        <v>11.902</v>
      </c>
      <c r="K2281" s="14" t="n">
        <v>1480.59</v>
      </c>
      <c r="L2281" s="14" t="n">
        <v>0.84265</v>
      </c>
      <c r="M2281" s="14" t="n">
        <v>7.853</v>
      </c>
      <c r="N2281" s="14" t="n">
        <v>6.153</v>
      </c>
      <c r="O2281" s="14" t="n">
        <v>157.81</v>
      </c>
      <c r="P2281" s="14" t="n">
        <v>10.7896</v>
      </c>
    </row>
    <row r="2282" customFormat="false" ht="15" hidden="false" customHeight="false" outlineLevel="0" collapsed="false">
      <c r="A2282" s="13" t="n">
        <v>45546</v>
      </c>
      <c r="B2282" s="14" t="n">
        <v>1340.59</v>
      </c>
      <c r="C2282" s="14" t="n">
        <v>10.8649</v>
      </c>
      <c r="D2282" s="14" t="n">
        <v>1.3027</v>
      </c>
      <c r="E2282" s="14" t="n">
        <v>1.1012</v>
      </c>
      <c r="F2282" s="14" t="n">
        <v>7.1192</v>
      </c>
      <c r="G2282" s="14" t="n">
        <v>5.6481</v>
      </c>
      <c r="H2282" s="14" t="n">
        <v>141.72</v>
      </c>
      <c r="I2282" s="14" t="n">
        <v>1.1043</v>
      </c>
      <c r="J2282" s="14" t="n">
        <v>11.937</v>
      </c>
      <c r="K2282" s="14" t="n">
        <v>1478.5</v>
      </c>
      <c r="L2282" s="14" t="n">
        <v>0.84375</v>
      </c>
      <c r="M2282" s="14" t="n">
        <v>7.8534</v>
      </c>
      <c r="N2282" s="14" t="n">
        <v>6.2245</v>
      </c>
      <c r="O2282" s="14" t="n">
        <v>156.6</v>
      </c>
      <c r="P2282" s="14" t="n">
        <v>10.8096</v>
      </c>
    </row>
    <row r="2283" customFormat="false" ht="15" hidden="false" customHeight="false" outlineLevel="0" collapsed="false">
      <c r="A2283" s="13" t="n">
        <v>45547</v>
      </c>
      <c r="B2283" s="14" t="n">
        <v>1341.35</v>
      </c>
      <c r="C2283" s="14" t="n">
        <v>10.7736</v>
      </c>
      <c r="D2283" s="14" t="n">
        <v>1.3081</v>
      </c>
      <c r="E2283" s="14" t="n">
        <v>1.1041</v>
      </c>
      <c r="F2283" s="14" t="n">
        <v>7.1173</v>
      </c>
      <c r="G2283" s="14" t="n">
        <v>5.6499</v>
      </c>
      <c r="H2283" s="14" t="n">
        <v>142.24</v>
      </c>
      <c r="I2283" s="14" t="n">
        <v>1.1016</v>
      </c>
      <c r="J2283" s="14" t="n">
        <v>11.934</v>
      </c>
      <c r="K2283" s="14" t="n">
        <v>1477.3</v>
      </c>
      <c r="L2283" s="14" t="n">
        <v>0.8446</v>
      </c>
      <c r="M2283" s="14" t="n">
        <v>7.8441</v>
      </c>
      <c r="N2283" s="14" t="n">
        <v>6.2309</v>
      </c>
      <c r="O2283" s="14" t="n">
        <v>157.02</v>
      </c>
      <c r="P2283" s="14" t="n">
        <v>10.8333</v>
      </c>
    </row>
    <row r="2284" customFormat="false" ht="15" hidden="false" customHeight="false" outlineLevel="0" collapsed="false">
      <c r="A2284" s="13" t="n">
        <v>45548</v>
      </c>
      <c r="B2284" s="14" t="n">
        <v>1329.26</v>
      </c>
      <c r="C2284" s="14" t="n">
        <v>10.6476</v>
      </c>
      <c r="D2284" s="14" t="n">
        <v>1.314</v>
      </c>
      <c r="E2284" s="14" t="n">
        <v>1.1085</v>
      </c>
      <c r="F2284" s="14" t="n">
        <v>7.093</v>
      </c>
      <c r="G2284" s="14" t="n">
        <v>5.5495</v>
      </c>
      <c r="H2284" s="14" t="n">
        <v>140.66</v>
      </c>
      <c r="I2284" s="14" t="n">
        <v>1.1081</v>
      </c>
      <c r="J2284" s="14" t="n">
        <v>11.8495</v>
      </c>
      <c r="K2284" s="14" t="n">
        <v>1474.21</v>
      </c>
      <c r="L2284" s="14" t="n">
        <v>0.84475</v>
      </c>
      <c r="M2284" s="14" t="n">
        <v>7.8634</v>
      </c>
      <c r="N2284" s="14" t="n">
        <v>6.2147</v>
      </c>
      <c r="O2284" s="14" t="n">
        <v>156.17</v>
      </c>
      <c r="P2284" s="14" t="n">
        <v>10.6935</v>
      </c>
    </row>
    <row r="2285" customFormat="false" ht="15" hidden="false" customHeight="false" outlineLevel="0" collapsed="false">
      <c r="A2285" s="13" t="n">
        <v>45551</v>
      </c>
      <c r="B2285" s="14" t="n">
        <v>1320.59</v>
      </c>
      <c r="C2285" s="14" t="n">
        <v>10.6091</v>
      </c>
      <c r="D2285" s="14" t="n">
        <v>1.3202</v>
      </c>
      <c r="E2285" s="14" t="n">
        <v>1.1123</v>
      </c>
      <c r="F2285" s="14" t="n">
        <v>7.0958</v>
      </c>
      <c r="G2285" s="14" t="n">
        <v>5.5104</v>
      </c>
      <c r="H2285" s="14" t="n">
        <v>140.79</v>
      </c>
      <c r="I2285" s="14" t="n">
        <v>1.1126</v>
      </c>
      <c r="J2285" s="14" t="n">
        <v>11.78</v>
      </c>
      <c r="K2285" s="14" t="n">
        <v>1467.42</v>
      </c>
      <c r="L2285" s="14" t="n">
        <v>0.84278</v>
      </c>
      <c r="M2285" s="14" t="n">
        <v>7.8953</v>
      </c>
      <c r="N2285" s="14" t="n">
        <v>6.1772</v>
      </c>
      <c r="O2285" s="14" t="n">
        <v>155.66</v>
      </c>
      <c r="P2285" s="14" t="n">
        <v>10.5878</v>
      </c>
    </row>
    <row r="2286" customFormat="false" ht="15" hidden="false" customHeight="false" outlineLevel="0" collapsed="false">
      <c r="A2286" s="13" t="n">
        <v>45552</v>
      </c>
      <c r="B2286" s="14" t="n">
        <v>1323.81</v>
      </c>
      <c r="C2286" s="14" t="n">
        <v>10.5973</v>
      </c>
      <c r="D2286" s="14" t="n">
        <v>1.3164</v>
      </c>
      <c r="E2286" s="14" t="n">
        <v>1.1118</v>
      </c>
      <c r="F2286" s="14" t="n">
        <v>7.0958</v>
      </c>
      <c r="G2286" s="14" t="n">
        <v>5.5013</v>
      </c>
      <c r="H2286" s="14" t="n">
        <v>141.77</v>
      </c>
      <c r="I2286" s="14" t="n">
        <v>1.1139</v>
      </c>
      <c r="J2286" s="14" t="n">
        <v>11.7885</v>
      </c>
      <c r="K2286" s="14" t="n">
        <v>1467.66</v>
      </c>
      <c r="L2286" s="14" t="n">
        <v>0.84278</v>
      </c>
      <c r="M2286" s="14" t="n">
        <v>7.9046</v>
      </c>
      <c r="N2286" s="14" t="n">
        <v>6.1236</v>
      </c>
      <c r="O2286" s="14" t="n">
        <v>156.71</v>
      </c>
      <c r="P2286" s="14" t="n">
        <v>10.5831</v>
      </c>
    </row>
    <row r="2287" customFormat="false" ht="15" hidden="false" customHeight="false" outlineLevel="0" collapsed="false">
      <c r="A2287" s="13" t="n">
        <v>45553</v>
      </c>
      <c r="B2287" s="14" t="n">
        <v>1324.15</v>
      </c>
      <c r="C2287" s="14" t="n">
        <v>10.5978</v>
      </c>
      <c r="D2287" s="14" t="n">
        <v>1.3199</v>
      </c>
      <c r="E2287" s="14" t="n">
        <v>1.1116</v>
      </c>
      <c r="F2287" s="14" t="n">
        <v>7.0812</v>
      </c>
      <c r="G2287" s="14" t="n">
        <v>5.4825</v>
      </c>
      <c r="H2287" s="14" t="n">
        <v>141.93</v>
      </c>
      <c r="I2287" s="14" t="n">
        <v>1.1124</v>
      </c>
      <c r="J2287" s="14" t="n">
        <v>11.7753</v>
      </c>
      <c r="K2287" s="14" t="n">
        <v>1473.65</v>
      </c>
      <c r="L2287" s="14" t="n">
        <v>0.84225</v>
      </c>
      <c r="M2287" s="14" t="n">
        <v>7.8797</v>
      </c>
      <c r="N2287" s="14" t="n">
        <v>6.0942</v>
      </c>
      <c r="O2287" s="14" t="n">
        <v>157.94</v>
      </c>
      <c r="P2287" s="14" t="n">
        <v>10.5855</v>
      </c>
    </row>
    <row r="2288" customFormat="false" ht="15" hidden="false" customHeight="false" outlineLevel="0" collapsed="false">
      <c r="A2288" s="13" t="n">
        <v>45554</v>
      </c>
      <c r="B2288" s="14" t="n">
        <v>1329.08</v>
      </c>
      <c r="C2288" s="14" t="n">
        <v>10.4884</v>
      </c>
      <c r="D2288" s="14" t="n">
        <v>1.3279</v>
      </c>
      <c r="E2288" s="14" t="n">
        <v>1.1147</v>
      </c>
      <c r="F2288" s="14" t="n">
        <v>7.0675</v>
      </c>
      <c r="G2288" s="14" t="n">
        <v>5.4048</v>
      </c>
      <c r="H2288" s="14" t="n">
        <v>142.88</v>
      </c>
      <c r="I2288" s="14" t="n">
        <v>1.1156</v>
      </c>
      <c r="J2288" s="14" t="n">
        <v>11.6678</v>
      </c>
      <c r="K2288" s="14" t="n">
        <v>1481.57</v>
      </c>
      <c r="L2288" s="14" t="n">
        <v>0.83953</v>
      </c>
      <c r="M2288" s="14" t="n">
        <v>7.8827</v>
      </c>
      <c r="N2288" s="14" t="n">
        <v>6.024</v>
      </c>
      <c r="O2288" s="14" t="n">
        <v>159.53</v>
      </c>
      <c r="P2288" s="14" t="n">
        <v>10.4588</v>
      </c>
    </row>
    <row r="2289" customFormat="false" ht="15" hidden="false" customHeight="false" outlineLevel="0" collapsed="false">
      <c r="A2289" s="13" t="n">
        <v>45555</v>
      </c>
      <c r="B2289" s="14" t="n">
        <v>1333.66</v>
      </c>
      <c r="C2289" s="14" t="n">
        <v>10.5033</v>
      </c>
      <c r="D2289" s="14" t="n">
        <v>1.3305</v>
      </c>
      <c r="E2289" s="14" t="n">
        <v>1.1159</v>
      </c>
      <c r="F2289" s="14" t="n">
        <v>7.0505</v>
      </c>
      <c r="G2289" s="14" t="n">
        <v>5.4895</v>
      </c>
      <c r="H2289" s="14" t="n">
        <v>143.9</v>
      </c>
      <c r="I2289" s="14" t="n">
        <v>1.1166</v>
      </c>
      <c r="J2289" s="14" t="n">
        <v>11.733</v>
      </c>
      <c r="K2289" s="14" t="n">
        <v>1491.51</v>
      </c>
      <c r="L2289" s="14" t="n">
        <v>0.8391</v>
      </c>
      <c r="M2289" s="14" t="n">
        <v>7.8776</v>
      </c>
      <c r="N2289" s="14" t="n">
        <v>6.057</v>
      </c>
      <c r="O2289" s="14" t="n">
        <v>161.08</v>
      </c>
      <c r="P2289" s="14" t="n">
        <v>10.5078</v>
      </c>
    </row>
    <row r="2290" customFormat="false" ht="15" hidden="false" customHeight="false" outlineLevel="0" collapsed="false">
      <c r="A2290" s="13" t="n">
        <v>45558</v>
      </c>
      <c r="B2290" s="14" t="n">
        <v>1334.12</v>
      </c>
      <c r="C2290" s="14" t="n">
        <v>10.4781</v>
      </c>
      <c r="D2290" s="14" t="n">
        <v>1.3351</v>
      </c>
      <c r="E2290" s="14" t="n">
        <v>1.113</v>
      </c>
      <c r="F2290" s="14" t="n">
        <v>7.0508</v>
      </c>
      <c r="G2290" s="14" t="n">
        <v>5.5353</v>
      </c>
      <c r="H2290" s="14" t="n">
        <v>143.59</v>
      </c>
      <c r="I2290" s="14" t="n">
        <v>1.1119</v>
      </c>
      <c r="J2290" s="14" t="n">
        <v>11.686</v>
      </c>
      <c r="K2290" s="14" t="n">
        <v>1486.62</v>
      </c>
      <c r="L2290" s="14" t="n">
        <v>0.83518</v>
      </c>
      <c r="M2290" s="14" t="n">
        <v>7.8438</v>
      </c>
      <c r="N2290" s="14" t="n">
        <v>6.1976</v>
      </c>
      <c r="O2290" s="14" t="n">
        <v>159.58</v>
      </c>
      <c r="P2290" s="14" t="n">
        <v>10.5099</v>
      </c>
    </row>
    <row r="2291" customFormat="false" ht="15" hidden="false" customHeight="false" outlineLevel="0" collapsed="false">
      <c r="A2291" s="13" t="n">
        <v>45559</v>
      </c>
      <c r="B2291" s="14" t="n">
        <v>1330</v>
      </c>
      <c r="C2291" s="14" t="n">
        <v>10.4416</v>
      </c>
      <c r="D2291" s="14" t="n">
        <v>1.3376</v>
      </c>
      <c r="E2291" s="14" t="n">
        <v>1.115</v>
      </c>
      <c r="F2291" s="14" t="n">
        <v>7.0318</v>
      </c>
      <c r="G2291" s="14" t="n">
        <v>5.466</v>
      </c>
      <c r="H2291" s="14" t="n">
        <v>143.77</v>
      </c>
      <c r="I2291" s="14" t="n">
        <v>1.1133</v>
      </c>
      <c r="J2291" s="14" t="n">
        <v>11.612</v>
      </c>
      <c r="K2291" s="14" t="n">
        <v>1485.87</v>
      </c>
      <c r="L2291" s="14" t="n">
        <v>0.8322</v>
      </c>
      <c r="M2291" s="14" t="n">
        <v>7.829</v>
      </c>
      <c r="N2291" s="14" t="n">
        <v>6.137</v>
      </c>
      <c r="O2291" s="14" t="n">
        <v>160.14</v>
      </c>
      <c r="P2291" s="14" t="n">
        <v>10.4303</v>
      </c>
    </row>
    <row r="2292" customFormat="false" ht="15" hidden="false" customHeight="false" outlineLevel="0" collapsed="false">
      <c r="A2292" s="13" t="n">
        <v>45560</v>
      </c>
      <c r="B2292" s="14" t="n">
        <v>1335.1</v>
      </c>
      <c r="C2292" s="14" t="n">
        <v>10.5487</v>
      </c>
      <c r="D2292" s="14" t="n">
        <v>1.3338</v>
      </c>
      <c r="E2292" s="14" t="n">
        <v>1.1143</v>
      </c>
      <c r="F2292" s="14" t="n">
        <v>7.0315</v>
      </c>
      <c r="G2292" s="14" t="n">
        <v>5.4809</v>
      </c>
      <c r="H2292" s="14" t="n">
        <v>144.41</v>
      </c>
      <c r="I2292" s="14" t="n">
        <v>1.1194</v>
      </c>
      <c r="J2292" s="14" t="n">
        <v>11.684</v>
      </c>
      <c r="K2292" s="14" t="n">
        <v>1489.46</v>
      </c>
      <c r="L2292" s="14" t="n">
        <v>0.83653</v>
      </c>
      <c r="M2292" s="14" t="n">
        <v>7.8692</v>
      </c>
      <c r="N2292" s="14" t="n">
        <v>6.1104</v>
      </c>
      <c r="O2292" s="14" t="n">
        <v>161.49</v>
      </c>
      <c r="P2292" s="14" t="n">
        <v>10.4377</v>
      </c>
    </row>
    <row r="2293" customFormat="false" ht="15" hidden="false" customHeight="false" outlineLevel="0" collapsed="false">
      <c r="A2293" s="13" t="n">
        <v>45561</v>
      </c>
      <c r="B2293" s="14" t="n">
        <v>1314.78</v>
      </c>
      <c r="C2293" s="14" t="n">
        <v>10.5052</v>
      </c>
      <c r="D2293" s="14" t="n">
        <v>1.3428</v>
      </c>
      <c r="E2293" s="14" t="n">
        <v>1.1184</v>
      </c>
      <c r="F2293" s="14" t="n">
        <v>7.0106</v>
      </c>
      <c r="G2293" s="14" t="n">
        <v>5.4332</v>
      </c>
      <c r="H2293" s="14" t="n">
        <v>144.68</v>
      </c>
      <c r="I2293" s="14" t="n">
        <v>1.1155</v>
      </c>
      <c r="J2293" s="14" t="n">
        <v>11.7865</v>
      </c>
      <c r="K2293" s="14" t="n">
        <v>1478.62</v>
      </c>
      <c r="L2293" s="14" t="n">
        <v>0.83428</v>
      </c>
      <c r="M2293" s="14" t="n">
        <v>7.8213</v>
      </c>
      <c r="N2293" s="14" t="n">
        <v>6.0372</v>
      </c>
      <c r="O2293" s="14" t="n">
        <v>160.78</v>
      </c>
      <c r="P2293" s="14" t="n">
        <v>10.5661</v>
      </c>
    </row>
    <row r="2294" customFormat="false" ht="15" hidden="false" customHeight="false" outlineLevel="0" collapsed="false">
      <c r="A2294" s="13" t="n">
        <v>45562</v>
      </c>
      <c r="B2294" s="14" t="n">
        <v>1309.43</v>
      </c>
      <c r="C2294" s="14" t="n">
        <v>10.5021</v>
      </c>
      <c r="D2294" s="14" t="n">
        <v>1.3394</v>
      </c>
      <c r="E2294" s="14" t="n">
        <v>1.1159</v>
      </c>
      <c r="F2294" s="14" t="n">
        <v>7.0111</v>
      </c>
      <c r="G2294" s="14" t="n">
        <v>5.4318</v>
      </c>
      <c r="H2294" s="14" t="n">
        <v>142.6</v>
      </c>
      <c r="I2294" s="14" t="n">
        <v>1.1158</v>
      </c>
      <c r="J2294" s="14" t="n">
        <v>11.7575</v>
      </c>
      <c r="K2294" s="14" t="n">
        <v>1462.76</v>
      </c>
      <c r="L2294" s="14" t="n">
        <v>0.83338</v>
      </c>
      <c r="M2294" s="14" t="n">
        <v>7.823</v>
      </c>
      <c r="N2294" s="14" t="n">
        <v>6.0668</v>
      </c>
      <c r="O2294" s="14" t="n">
        <v>159.63</v>
      </c>
      <c r="P2294" s="14" t="n">
        <v>10.5373</v>
      </c>
    </row>
    <row r="2295" customFormat="false" ht="15" hidden="false" customHeight="false" outlineLevel="0" collapsed="false">
      <c r="A2295" s="13" t="n">
        <v>45565</v>
      </c>
      <c r="B2295" s="14" t="n">
        <v>1314.94</v>
      </c>
      <c r="C2295" s="14" t="n">
        <v>10.5395</v>
      </c>
      <c r="D2295" s="14" t="n">
        <v>1.3399</v>
      </c>
      <c r="E2295" s="14" t="n">
        <v>1.1145</v>
      </c>
      <c r="F2295" s="14" t="n">
        <v>7.0176</v>
      </c>
      <c r="G2295" s="14" t="n">
        <v>5.4509</v>
      </c>
      <c r="H2295" s="14" t="n">
        <v>143.25</v>
      </c>
      <c r="I2295" s="14" t="n">
        <v>1.1196</v>
      </c>
      <c r="J2295" s="14" t="n">
        <v>11.7645</v>
      </c>
      <c r="K2295" s="14" t="n">
        <v>1469.11</v>
      </c>
      <c r="L2295" s="14" t="n">
        <v>0.83543</v>
      </c>
      <c r="M2295" s="14" t="n">
        <v>7.8511</v>
      </c>
      <c r="N2295" s="14" t="n">
        <v>6.0504</v>
      </c>
      <c r="O2295" s="14" t="n">
        <v>159.82</v>
      </c>
      <c r="P2295" s="14" t="n">
        <v>10.5078</v>
      </c>
    </row>
    <row r="2296" customFormat="false" ht="15" hidden="false" customHeight="false" outlineLevel="0" collapsed="false">
      <c r="A2296" s="13" t="n">
        <v>45566</v>
      </c>
      <c r="B2296" s="14" t="n">
        <v>1323.78</v>
      </c>
      <c r="C2296" s="14" t="n">
        <v>10.6073</v>
      </c>
      <c r="D2296" s="14" t="n">
        <v>1.3282</v>
      </c>
      <c r="E2296" s="14" t="n">
        <v>1.1067</v>
      </c>
      <c r="F2296" s="14" t="n">
        <v>7.0175</v>
      </c>
      <c r="G2296" s="14" t="n">
        <v>5.4451</v>
      </c>
      <c r="H2296" s="14" t="n">
        <v>143.66</v>
      </c>
      <c r="I2296" s="14" t="n">
        <v>1.1086</v>
      </c>
      <c r="J2296" s="14" t="n">
        <v>11.7305</v>
      </c>
      <c r="K2296" s="14" t="n">
        <v>1463.99</v>
      </c>
      <c r="L2296" s="14" t="n">
        <v>0.83193</v>
      </c>
      <c r="M2296" s="14" t="n">
        <v>7.7807</v>
      </c>
      <c r="N2296" s="14" t="n">
        <v>6.0377</v>
      </c>
      <c r="O2296" s="14" t="n">
        <v>159.37</v>
      </c>
      <c r="P2296" s="14" t="n">
        <v>10.5814</v>
      </c>
    </row>
    <row r="2297" customFormat="false" ht="15" hidden="false" customHeight="false" outlineLevel="0" collapsed="false">
      <c r="A2297" s="13" t="n">
        <v>45567</v>
      </c>
      <c r="B2297" s="14" t="n">
        <v>1321.53</v>
      </c>
      <c r="C2297" s="14" t="n">
        <v>10.5684</v>
      </c>
      <c r="D2297" s="14" t="n">
        <v>1.3271</v>
      </c>
      <c r="E2297" s="14" t="n">
        <v>1.105</v>
      </c>
      <c r="F2297" s="14" t="n">
        <v>7.0175</v>
      </c>
      <c r="G2297" s="14" t="n">
        <v>5.4363</v>
      </c>
      <c r="H2297" s="14" t="n">
        <v>146.05</v>
      </c>
      <c r="I2297" s="14" t="n">
        <v>1.1071</v>
      </c>
      <c r="J2297" s="14" t="n">
        <v>11.6735</v>
      </c>
      <c r="K2297" s="14" t="n">
        <v>1462.53</v>
      </c>
      <c r="L2297" s="14" t="n">
        <v>0.83288</v>
      </c>
      <c r="M2297" s="14" t="n">
        <v>7.7702</v>
      </c>
      <c r="N2297" s="14" t="n">
        <v>5.9961</v>
      </c>
      <c r="O2297" s="14" t="n">
        <v>160.26</v>
      </c>
      <c r="P2297" s="14" t="n">
        <v>10.5442</v>
      </c>
    </row>
    <row r="2298" customFormat="false" ht="15" hidden="false" customHeight="false" outlineLevel="0" collapsed="false">
      <c r="A2298" s="13" t="n">
        <v>45568</v>
      </c>
      <c r="B2298" s="14" t="n">
        <v>1335.58</v>
      </c>
      <c r="C2298" s="14" t="n">
        <v>10.6294</v>
      </c>
      <c r="D2298" s="14" t="n">
        <v>1.3114</v>
      </c>
      <c r="E2298" s="14" t="n">
        <v>1.1015</v>
      </c>
      <c r="F2298" s="14" t="n">
        <v>7.0175</v>
      </c>
      <c r="G2298" s="14" t="n">
        <v>5.4916</v>
      </c>
      <c r="H2298" s="14" t="n">
        <v>146.82</v>
      </c>
      <c r="I2298" s="14" t="n">
        <v>1.1039</v>
      </c>
      <c r="J2298" s="14" t="n">
        <v>11.7195</v>
      </c>
      <c r="K2298" s="14" t="n">
        <v>1472.89</v>
      </c>
      <c r="L2298" s="14" t="n">
        <v>0.84258</v>
      </c>
      <c r="M2298" s="14" t="n">
        <v>7.7477</v>
      </c>
      <c r="N2298" s="14" t="n">
        <v>6.0304</v>
      </c>
      <c r="O2298" s="14" t="n">
        <v>161.98</v>
      </c>
      <c r="P2298" s="14" t="n">
        <v>10.6165</v>
      </c>
    </row>
    <row r="2299" customFormat="false" ht="15" hidden="false" customHeight="false" outlineLevel="0" collapsed="false">
      <c r="A2299" s="13" t="n">
        <v>45569</v>
      </c>
      <c r="B2299" s="14" t="n">
        <v>1348.74</v>
      </c>
      <c r="C2299" s="14" t="n">
        <v>10.6681</v>
      </c>
      <c r="D2299" s="14" t="n">
        <v>1.3107</v>
      </c>
      <c r="E2299" s="14" t="n">
        <v>1.0961</v>
      </c>
      <c r="F2299" s="14" t="n">
        <v>7.0175</v>
      </c>
      <c r="G2299" s="14" t="n">
        <v>5.4585</v>
      </c>
      <c r="H2299" s="14" t="n">
        <v>148.69</v>
      </c>
      <c r="I2299" s="14" t="n">
        <v>1.1029</v>
      </c>
      <c r="J2299" s="14" t="n">
        <v>11.6845</v>
      </c>
      <c r="K2299" s="14" t="n">
        <v>1478.24</v>
      </c>
      <c r="L2299" s="14" t="n">
        <v>0.83735</v>
      </c>
      <c r="M2299" s="14" t="n">
        <v>7.7407</v>
      </c>
      <c r="N2299" s="14" t="n">
        <v>6.057</v>
      </c>
      <c r="O2299" s="14" t="n">
        <v>161.69</v>
      </c>
      <c r="P2299" s="14" t="n">
        <v>10.5943</v>
      </c>
    </row>
    <row r="2300" customFormat="false" ht="15" hidden="false" customHeight="false" outlineLevel="0" collapsed="false">
      <c r="A2300" s="13" t="n">
        <v>45572</v>
      </c>
      <c r="B2300" s="14" t="n">
        <v>1343.75</v>
      </c>
      <c r="C2300" s="14" t="n">
        <v>10.636</v>
      </c>
      <c r="D2300" s="14" t="n">
        <v>1.308</v>
      </c>
      <c r="E2300" s="14" t="n">
        <v>1.0976</v>
      </c>
      <c r="F2300" s="14" t="n">
        <v>7.0175</v>
      </c>
      <c r="G2300" s="14" t="n">
        <v>5.4859</v>
      </c>
      <c r="H2300" s="14" t="n">
        <v>148.13</v>
      </c>
      <c r="I2300" s="14" t="n">
        <v>1.0982</v>
      </c>
      <c r="J2300" s="14" t="n">
        <v>11.656</v>
      </c>
      <c r="K2300" s="14" t="n">
        <v>1476.12</v>
      </c>
      <c r="L2300" s="14" t="n">
        <v>0.83918</v>
      </c>
      <c r="M2300" s="14" t="n">
        <v>7.7077</v>
      </c>
      <c r="N2300" s="14" t="n">
        <v>5.972</v>
      </c>
      <c r="O2300" s="14" t="n">
        <v>162.63</v>
      </c>
      <c r="P2300" s="14" t="n">
        <v>10.6137</v>
      </c>
    </row>
    <row r="2301" customFormat="false" ht="15" hidden="false" customHeight="false" outlineLevel="0" collapsed="false">
      <c r="A2301" s="13" t="n">
        <v>45573</v>
      </c>
      <c r="B2301" s="14" t="n">
        <v>1346.49</v>
      </c>
      <c r="C2301" s="14" t="n">
        <v>10.7251</v>
      </c>
      <c r="D2301" s="14" t="n">
        <v>1.3093</v>
      </c>
      <c r="E2301" s="14" t="n">
        <v>1.097</v>
      </c>
      <c r="F2301" s="14" t="n">
        <v>7.0595</v>
      </c>
      <c r="G2301" s="14" t="n">
        <v>5.5297</v>
      </c>
      <c r="H2301" s="14" t="n">
        <v>148.22</v>
      </c>
      <c r="I2301" s="14" t="n">
        <v>1.0982</v>
      </c>
      <c r="J2301" s="14" t="n">
        <v>11.687</v>
      </c>
      <c r="K2301" s="14" t="n">
        <v>1478.22</v>
      </c>
      <c r="L2301" s="14" t="n">
        <v>0.83778</v>
      </c>
      <c r="M2301" s="14" t="n">
        <v>7.7449</v>
      </c>
      <c r="N2301" s="14" t="n">
        <v>6.0528</v>
      </c>
      <c r="O2301" s="14" t="n">
        <v>162.49</v>
      </c>
      <c r="P2301" s="14" t="n">
        <v>10.642</v>
      </c>
    </row>
    <row r="2302" customFormat="false" ht="15" hidden="false" customHeight="false" outlineLevel="0" collapsed="false">
      <c r="A2302" s="13" t="n">
        <v>45574</v>
      </c>
      <c r="B2302" s="14" t="n">
        <v>1346.04</v>
      </c>
      <c r="C2302" s="14" t="n">
        <v>10.7693</v>
      </c>
      <c r="D2302" s="14" t="n">
        <v>1.308</v>
      </c>
      <c r="E2302" s="14" t="n">
        <v>1.0951</v>
      </c>
      <c r="F2302" s="14" t="n">
        <v>7.0818</v>
      </c>
      <c r="G2302" s="14" t="n">
        <v>5.5823</v>
      </c>
      <c r="H2302" s="14" t="n">
        <v>149.2</v>
      </c>
      <c r="I2302" s="14" t="n">
        <v>1.0957</v>
      </c>
      <c r="J2302" s="14" t="n">
        <v>11.786</v>
      </c>
      <c r="K2302" s="14" t="n">
        <v>1473.03</v>
      </c>
      <c r="L2302" s="14" t="n">
        <v>0.8374</v>
      </c>
      <c r="M2302" s="14" t="n">
        <v>7.7435</v>
      </c>
      <c r="N2302" s="14" t="n">
        <v>6.0743</v>
      </c>
      <c r="O2302" s="14" t="n">
        <v>162.97</v>
      </c>
      <c r="P2302" s="14" t="n">
        <v>10.7566</v>
      </c>
    </row>
    <row r="2303" customFormat="false" ht="15" hidden="false" customHeight="false" outlineLevel="0" collapsed="false">
      <c r="A2303" s="13" t="n">
        <v>45575</v>
      </c>
      <c r="B2303" s="14" t="n">
        <v>1350.77</v>
      </c>
      <c r="C2303" s="14" t="n">
        <v>10.7396</v>
      </c>
      <c r="D2303" s="14" t="n">
        <v>1.3053</v>
      </c>
      <c r="E2303" s="14" t="n">
        <v>1.0925</v>
      </c>
      <c r="F2303" s="14" t="n">
        <v>7.0794</v>
      </c>
      <c r="G2303" s="14" t="n">
        <v>5.5824</v>
      </c>
      <c r="H2303" s="14" t="n">
        <v>148.56</v>
      </c>
      <c r="I2303" s="14" t="n">
        <v>1.0932</v>
      </c>
      <c r="J2303" s="14" t="n">
        <v>11.792</v>
      </c>
      <c r="K2303" s="14" t="n">
        <v>1477.51</v>
      </c>
      <c r="L2303" s="14" t="n">
        <v>0.83686</v>
      </c>
      <c r="M2303" s="14" t="n">
        <v>7.7376</v>
      </c>
      <c r="N2303" s="14" t="n">
        <v>6.1061</v>
      </c>
      <c r="O2303" s="14" t="n">
        <v>162.85</v>
      </c>
      <c r="P2303" s="14" t="n">
        <v>10.7867</v>
      </c>
    </row>
    <row r="2304" customFormat="false" ht="15" hidden="false" customHeight="false" outlineLevel="0" collapsed="false">
      <c r="A2304" s="13" t="n">
        <v>45576</v>
      </c>
      <c r="B2304" s="14" t="n">
        <v>1350.71</v>
      </c>
      <c r="C2304" s="14" t="n">
        <v>10.6981</v>
      </c>
      <c r="D2304" s="14" t="n">
        <v>1.307</v>
      </c>
      <c r="E2304" s="14" t="n">
        <v>1.0942</v>
      </c>
      <c r="F2304" s="14" t="n">
        <v>7.0667</v>
      </c>
      <c r="G2304" s="14" t="n">
        <v>5.6346</v>
      </c>
      <c r="H2304" s="14" t="n">
        <v>149.12</v>
      </c>
      <c r="I2304" s="14" t="n">
        <v>1.0938</v>
      </c>
      <c r="J2304" s="14" t="n">
        <v>11.7393</v>
      </c>
      <c r="K2304" s="14" t="n">
        <v>1477.64</v>
      </c>
      <c r="L2304" s="14" t="n">
        <v>0.83705</v>
      </c>
      <c r="M2304" s="14" t="n">
        <v>7.7282</v>
      </c>
      <c r="N2304" s="14" t="n">
        <v>6.0886</v>
      </c>
      <c r="O2304" s="14" t="n">
        <v>162.94</v>
      </c>
      <c r="P2304" s="14" t="n">
        <v>10.7326</v>
      </c>
    </row>
    <row r="2305" customFormat="false" ht="15" hidden="false" customHeight="false" outlineLevel="0" collapsed="false">
      <c r="A2305" s="13" t="n">
        <v>45579</v>
      </c>
      <c r="I2305" s="14" t="n">
        <v>1.0915</v>
      </c>
      <c r="J2305" s="14" t="n">
        <v>11.7465</v>
      </c>
      <c r="K2305" s="14" t="n">
        <v>1484.03</v>
      </c>
      <c r="L2305" s="14" t="n">
        <v>0.83665</v>
      </c>
      <c r="M2305" s="14" t="n">
        <v>7.7332</v>
      </c>
      <c r="N2305" s="14" t="n">
        <v>6.1443</v>
      </c>
      <c r="O2305" s="14" t="n">
        <v>163.39</v>
      </c>
      <c r="P2305" s="14" t="n">
        <v>10.7618</v>
      </c>
    </row>
    <row r="2306" customFormat="false" ht="15" hidden="false" customHeight="false" outlineLevel="0" collapsed="false">
      <c r="A2306" s="13" t="n">
        <v>45580</v>
      </c>
      <c r="B2306" s="14" t="n">
        <v>1365.17</v>
      </c>
      <c r="C2306" s="14" t="n">
        <v>10.8315</v>
      </c>
      <c r="D2306" s="14" t="n">
        <v>1.3083</v>
      </c>
      <c r="E2306" s="14" t="n">
        <v>1.0899</v>
      </c>
      <c r="F2306" s="14" t="n">
        <v>7.1192</v>
      </c>
      <c r="G2306" s="14" t="n">
        <v>5.6446</v>
      </c>
      <c r="H2306" s="14" t="n">
        <v>149.22</v>
      </c>
      <c r="I2306" s="14" t="n">
        <v>1.0903</v>
      </c>
      <c r="J2306" s="14" t="n">
        <v>11.766</v>
      </c>
      <c r="K2306" s="14" t="n">
        <v>1482.73</v>
      </c>
      <c r="L2306" s="14" t="n">
        <v>0.83355</v>
      </c>
      <c r="M2306" s="14" t="n">
        <v>7.7574</v>
      </c>
      <c r="N2306" s="14" t="n">
        <v>6.0949</v>
      </c>
      <c r="O2306" s="14" t="n">
        <v>162.85</v>
      </c>
      <c r="P2306" s="14" t="n">
        <v>10.7915</v>
      </c>
    </row>
    <row r="2307" customFormat="false" ht="15" hidden="false" customHeight="false" outlineLevel="0" collapsed="false">
      <c r="A2307" s="13" t="n">
        <v>45581</v>
      </c>
      <c r="B2307" s="14" t="n">
        <v>1363.76</v>
      </c>
      <c r="C2307" s="14" t="n">
        <v>10.9303</v>
      </c>
      <c r="D2307" s="14" t="n">
        <v>1.3</v>
      </c>
      <c r="E2307" s="14" t="n">
        <v>1.0873</v>
      </c>
      <c r="F2307" s="14" t="n">
        <v>7.1192</v>
      </c>
      <c r="G2307" s="14" t="n">
        <v>5.6602</v>
      </c>
      <c r="H2307" s="14" t="n">
        <v>149.71</v>
      </c>
      <c r="I2307" s="14" t="n">
        <v>1.0897</v>
      </c>
      <c r="J2307" s="14" t="n">
        <v>11.8015</v>
      </c>
      <c r="K2307" s="14" t="n">
        <v>1483.1</v>
      </c>
      <c r="L2307" s="14" t="n">
        <v>0.83605</v>
      </c>
      <c r="M2307" s="14" t="n">
        <v>7.7511</v>
      </c>
      <c r="N2307" s="14" t="n">
        <v>6.1432</v>
      </c>
      <c r="O2307" s="14" t="n">
        <v>162.57</v>
      </c>
      <c r="P2307" s="14" t="n">
        <v>10.83</v>
      </c>
    </row>
    <row r="2308" customFormat="false" ht="15" hidden="false" customHeight="false" outlineLevel="0" collapsed="false">
      <c r="A2308" s="13" t="n">
        <v>45582</v>
      </c>
      <c r="B2308" s="14" t="n">
        <v>1371.08</v>
      </c>
      <c r="C2308" s="14" t="n">
        <v>10.9422</v>
      </c>
      <c r="D2308" s="14" t="n">
        <v>1.3008</v>
      </c>
      <c r="E2308" s="14" t="n">
        <v>1.0837</v>
      </c>
      <c r="F2308" s="14" t="n">
        <v>7.1216</v>
      </c>
      <c r="G2308" s="14" t="n">
        <v>5.6764</v>
      </c>
      <c r="H2308" s="14" t="n">
        <v>150.12</v>
      </c>
      <c r="I2308" s="14" t="n">
        <v>1.0866</v>
      </c>
      <c r="J2308" s="14" t="n">
        <v>11.8735</v>
      </c>
      <c r="K2308" s="14" t="n">
        <v>1488.83</v>
      </c>
      <c r="L2308" s="14" t="n">
        <v>0.83455</v>
      </c>
      <c r="M2308" s="14" t="n">
        <v>7.7385</v>
      </c>
      <c r="N2308" s="14" t="n">
        <v>6.1749</v>
      </c>
      <c r="O2308" s="14" t="n">
        <v>162.5</v>
      </c>
      <c r="P2308" s="14" t="n">
        <v>10.9272</v>
      </c>
    </row>
    <row r="2309" customFormat="false" ht="15" hidden="false" customHeight="false" outlineLevel="0" collapsed="false">
      <c r="A2309" s="13" t="n">
        <v>45583</v>
      </c>
      <c r="B2309" s="14" t="n">
        <v>1369.65</v>
      </c>
      <c r="C2309" s="14" t="n">
        <v>10.9378</v>
      </c>
      <c r="D2309" s="14" t="n">
        <v>1.3022</v>
      </c>
      <c r="E2309" s="14" t="n">
        <v>1.0854</v>
      </c>
      <c r="F2309" s="14" t="n">
        <v>7.1015</v>
      </c>
      <c r="G2309" s="14" t="n">
        <v>5.6787</v>
      </c>
      <c r="H2309" s="14" t="n">
        <v>149.58</v>
      </c>
      <c r="I2309" s="14" t="n">
        <v>1.0847</v>
      </c>
      <c r="J2309" s="14" t="n">
        <v>11.8115</v>
      </c>
      <c r="K2309" s="14" t="n">
        <v>1488.05</v>
      </c>
      <c r="L2309" s="14" t="n">
        <v>0.83165</v>
      </c>
      <c r="M2309" s="14" t="n">
        <v>7.7065</v>
      </c>
      <c r="N2309" s="14" t="n">
        <v>6.1328</v>
      </c>
      <c r="O2309" s="14" t="n">
        <v>162.75</v>
      </c>
      <c r="P2309" s="14" t="n">
        <v>10.8892</v>
      </c>
    </row>
    <row r="2310" customFormat="false" ht="15" hidden="false" customHeight="false" outlineLevel="0" collapsed="false">
      <c r="A2310" s="13" t="n">
        <v>45586</v>
      </c>
      <c r="B2310" s="14" t="n">
        <v>1379.14</v>
      </c>
      <c r="C2310" s="14" t="n">
        <v>10.9689</v>
      </c>
      <c r="D2310" s="14" t="n">
        <v>1.298</v>
      </c>
      <c r="E2310" s="14" t="n">
        <v>1.082</v>
      </c>
      <c r="F2310" s="14" t="n">
        <v>7.1189</v>
      </c>
      <c r="G2310" s="14" t="n">
        <v>5.7026</v>
      </c>
      <c r="H2310" s="14" t="n">
        <v>150.47</v>
      </c>
      <c r="I2310" s="14" t="n">
        <v>1.0853</v>
      </c>
      <c r="J2310" s="14" t="n">
        <v>11.838</v>
      </c>
      <c r="K2310" s="14" t="n">
        <v>1495.73</v>
      </c>
      <c r="L2310" s="14" t="n">
        <v>0.83315</v>
      </c>
      <c r="M2310" s="14" t="n">
        <v>7.7198</v>
      </c>
      <c r="N2310" s="14" t="n">
        <v>6.1953</v>
      </c>
      <c r="O2310" s="14" t="n">
        <v>162.79</v>
      </c>
      <c r="P2310" s="14" t="n">
        <v>10.9076</v>
      </c>
    </row>
    <row r="2311" customFormat="false" ht="15" hidden="false" customHeight="false" outlineLevel="0" collapsed="false">
      <c r="A2311" s="13" t="n">
        <v>45587</v>
      </c>
      <c r="B2311" s="14" t="n">
        <v>1379.22</v>
      </c>
      <c r="C2311" s="14" t="n">
        <v>10.9223</v>
      </c>
      <c r="D2311" s="14" t="n">
        <v>1.2969</v>
      </c>
      <c r="E2311" s="14" t="n">
        <v>1.0805</v>
      </c>
      <c r="F2311" s="14" t="n">
        <v>7.123</v>
      </c>
      <c r="G2311" s="14" t="n">
        <v>5.6914</v>
      </c>
      <c r="H2311" s="14" t="n">
        <v>151.11</v>
      </c>
      <c r="I2311" s="14" t="n">
        <v>1.0821</v>
      </c>
      <c r="J2311" s="14" t="n">
        <v>11.823</v>
      </c>
      <c r="K2311" s="14" t="n">
        <v>1491.66</v>
      </c>
      <c r="L2311" s="14" t="n">
        <v>0.8334</v>
      </c>
      <c r="M2311" s="14" t="n">
        <v>7.7052</v>
      </c>
      <c r="N2311" s="14" t="n">
        <v>6.1636</v>
      </c>
      <c r="O2311" s="14" t="n">
        <v>163.22</v>
      </c>
      <c r="P2311" s="14" t="n">
        <v>10.926</v>
      </c>
    </row>
    <row r="2312" customFormat="false" ht="15" hidden="false" customHeight="false" outlineLevel="0" collapsed="false">
      <c r="A2312" s="13" t="n">
        <v>45588</v>
      </c>
      <c r="B2312" s="14" t="n">
        <v>1381.61</v>
      </c>
      <c r="C2312" s="14" t="n">
        <v>11.0052</v>
      </c>
      <c r="D2312" s="14" t="n">
        <v>1.2944</v>
      </c>
      <c r="E2312" s="14" t="n">
        <v>1.0779</v>
      </c>
      <c r="F2312" s="14" t="n">
        <v>7.1252</v>
      </c>
      <c r="G2312" s="14" t="n">
        <v>5.7045</v>
      </c>
      <c r="H2312" s="14" t="n">
        <v>152.81</v>
      </c>
      <c r="I2312" s="14" t="n">
        <v>1.0767</v>
      </c>
      <c r="J2312" s="14" t="n">
        <v>11.8525</v>
      </c>
      <c r="K2312" s="14" t="n">
        <v>1491.54</v>
      </c>
      <c r="L2312" s="14" t="n">
        <v>0.83148</v>
      </c>
      <c r="M2312" s="14" t="n">
        <v>7.6759</v>
      </c>
      <c r="N2312" s="14" t="n">
        <v>6.1583</v>
      </c>
      <c r="O2312" s="14" t="n">
        <v>164.66</v>
      </c>
      <c r="P2312" s="14" t="n">
        <v>11.0082</v>
      </c>
    </row>
    <row r="2313" customFormat="false" ht="15" hidden="false" customHeight="false" outlineLevel="0" collapsed="false">
      <c r="A2313" s="13" t="n">
        <v>45589</v>
      </c>
      <c r="B2313" s="14" t="n">
        <v>1382.11</v>
      </c>
      <c r="C2313" s="14" t="n">
        <v>10.9598</v>
      </c>
      <c r="D2313" s="14" t="n">
        <v>1.2964</v>
      </c>
      <c r="E2313" s="14" t="n">
        <v>1.0806</v>
      </c>
      <c r="F2313" s="14" t="n">
        <v>7.119</v>
      </c>
      <c r="G2313" s="14" t="n">
        <v>5.7068</v>
      </c>
      <c r="H2313" s="14" t="n">
        <v>151.87</v>
      </c>
      <c r="I2313" s="14" t="n">
        <v>1.0801</v>
      </c>
      <c r="J2313" s="14" t="n">
        <v>11.8155</v>
      </c>
      <c r="K2313" s="14" t="n">
        <v>1489.82</v>
      </c>
      <c r="L2313" s="14" t="n">
        <v>0.8321</v>
      </c>
      <c r="M2313" s="14" t="n">
        <v>7.6848</v>
      </c>
      <c r="N2313" s="14" t="n">
        <v>6.1487</v>
      </c>
      <c r="O2313" s="14" t="n">
        <v>164.12</v>
      </c>
      <c r="P2313" s="14" t="n">
        <v>10.9393</v>
      </c>
    </row>
    <row r="2314" customFormat="false" ht="15" hidden="false" customHeight="false" outlineLevel="0" collapsed="false">
      <c r="A2314" s="13" t="n">
        <v>45590</v>
      </c>
      <c r="B2314" s="14" t="n">
        <v>1389.24</v>
      </c>
      <c r="C2314" s="14" t="n">
        <v>10.9438</v>
      </c>
      <c r="D2314" s="14" t="n">
        <v>1.2978</v>
      </c>
      <c r="E2314" s="14" t="n">
        <v>1.0813</v>
      </c>
      <c r="F2314" s="14" t="n">
        <v>7.1199</v>
      </c>
      <c r="G2314" s="14" t="n">
        <v>5.7018</v>
      </c>
      <c r="H2314" s="14" t="n">
        <v>152.08</v>
      </c>
      <c r="I2314" s="14" t="n">
        <v>1.0825</v>
      </c>
      <c r="J2314" s="14" t="n">
        <v>11.8195</v>
      </c>
      <c r="K2314" s="14" t="n">
        <v>1504.09</v>
      </c>
      <c r="L2314" s="14" t="n">
        <v>0.83358</v>
      </c>
      <c r="M2314" s="14" t="n">
        <v>7.7123</v>
      </c>
      <c r="N2314" s="14" t="n">
        <v>6.142</v>
      </c>
      <c r="O2314" s="14" t="n">
        <v>164.45</v>
      </c>
      <c r="P2314" s="14" t="n">
        <v>10.9187</v>
      </c>
    </row>
    <row r="2315" customFormat="false" ht="15" hidden="false" customHeight="false" outlineLevel="0" collapsed="false">
      <c r="A2315" s="13" t="n">
        <v>45593</v>
      </c>
      <c r="B2315" s="14" t="n">
        <v>1385.57</v>
      </c>
      <c r="C2315" s="14" t="n">
        <v>10.9866</v>
      </c>
      <c r="D2315" s="14" t="n">
        <v>1.2981</v>
      </c>
      <c r="E2315" s="14" t="n">
        <v>1.0819</v>
      </c>
      <c r="F2315" s="14" t="n">
        <v>7.1254</v>
      </c>
      <c r="G2315" s="14" t="n">
        <v>5.7063</v>
      </c>
      <c r="H2315" s="14" t="n">
        <v>153.21</v>
      </c>
      <c r="I2315" s="14" t="n">
        <v>1.0818</v>
      </c>
      <c r="J2315" s="14" t="n">
        <v>11.912</v>
      </c>
      <c r="K2315" s="14" t="n">
        <v>1496.45</v>
      </c>
      <c r="L2315" s="14" t="n">
        <v>0.8329</v>
      </c>
      <c r="M2315" s="14" t="n">
        <v>7.7099</v>
      </c>
      <c r="N2315" s="14" t="n">
        <v>6.155</v>
      </c>
      <c r="O2315" s="14" t="n">
        <v>165.18</v>
      </c>
      <c r="P2315" s="14" t="n">
        <v>11.0113</v>
      </c>
    </row>
    <row r="2316" customFormat="false" ht="15" hidden="false" customHeight="false" outlineLevel="0" collapsed="false">
      <c r="A2316" s="13" t="n">
        <v>45594</v>
      </c>
      <c r="B2316" s="14" t="n">
        <v>1382.2</v>
      </c>
      <c r="C2316" s="14" t="n">
        <v>10.9651</v>
      </c>
      <c r="D2316" s="14" t="n">
        <v>1.3005</v>
      </c>
      <c r="E2316" s="14" t="n">
        <v>1.0798</v>
      </c>
      <c r="F2316" s="14" t="n">
        <v>7.1301</v>
      </c>
      <c r="G2316" s="14" t="n">
        <v>5.7248</v>
      </c>
      <c r="H2316" s="14" t="n">
        <v>153.47</v>
      </c>
      <c r="I2316" s="14" t="n">
        <v>1.0774</v>
      </c>
      <c r="J2316" s="14" t="n">
        <v>11.8415</v>
      </c>
      <c r="K2316" s="14" t="n">
        <v>1496.4</v>
      </c>
      <c r="L2316" s="14" t="n">
        <v>0.8302</v>
      </c>
      <c r="M2316" s="14" t="n">
        <v>7.6895</v>
      </c>
      <c r="N2316" s="14" t="n">
        <v>6.1613</v>
      </c>
      <c r="O2316" s="14" t="n">
        <v>165.66</v>
      </c>
      <c r="P2316" s="14" t="n">
        <v>10.9908</v>
      </c>
    </row>
    <row r="2317" customFormat="false" ht="15" hidden="false" customHeight="false" outlineLevel="0" collapsed="false">
      <c r="A2317" s="13" t="n">
        <v>45595</v>
      </c>
      <c r="B2317" s="14" t="n">
        <v>1378.41</v>
      </c>
      <c r="C2317" s="14" t="n">
        <v>10.9397</v>
      </c>
      <c r="D2317" s="14" t="n">
        <v>1.3012</v>
      </c>
      <c r="E2317" s="14" t="n">
        <v>1.0864</v>
      </c>
      <c r="F2317" s="14" t="n">
        <v>7.1229</v>
      </c>
      <c r="G2317" s="14" t="n">
        <v>5.778</v>
      </c>
      <c r="H2317" s="14" t="n">
        <v>153.15</v>
      </c>
      <c r="I2317" s="14" t="n">
        <v>1.0815</v>
      </c>
      <c r="J2317" s="14" t="n">
        <v>11.8785</v>
      </c>
      <c r="K2317" s="14" t="n">
        <v>1493.02</v>
      </c>
      <c r="L2317" s="14" t="n">
        <v>0.83425</v>
      </c>
      <c r="M2317" s="14" t="n">
        <v>7.7054</v>
      </c>
      <c r="N2317" s="14" t="n">
        <v>6.2564</v>
      </c>
      <c r="O2317" s="14" t="n">
        <v>165.91</v>
      </c>
      <c r="P2317" s="14" t="n">
        <v>10.9834</v>
      </c>
    </row>
    <row r="2318" customFormat="false" ht="15" hidden="false" customHeight="false" outlineLevel="0" collapsed="false">
      <c r="A2318" s="13" t="n">
        <v>45596</v>
      </c>
      <c r="B2318" s="14" t="n">
        <v>1377.57</v>
      </c>
      <c r="C2318" s="14" t="n">
        <v>11.0315</v>
      </c>
      <c r="D2318" s="14" t="n">
        <v>1.2856</v>
      </c>
      <c r="E2318" s="14" t="n">
        <v>1.0855</v>
      </c>
      <c r="F2318" s="14" t="n">
        <v>7.1178</v>
      </c>
      <c r="G2318" s="14" t="n">
        <v>5.7887</v>
      </c>
      <c r="H2318" s="14" t="n">
        <v>152.35</v>
      </c>
      <c r="I2318" s="14" t="n">
        <v>1.0882</v>
      </c>
      <c r="J2318" s="14" t="n">
        <v>11.9385</v>
      </c>
      <c r="K2318" s="14" t="n">
        <v>1500.05</v>
      </c>
      <c r="L2318" s="14" t="n">
        <v>0.83753</v>
      </c>
      <c r="M2318" s="14" t="n">
        <v>7.7436</v>
      </c>
      <c r="N2318" s="14" t="n">
        <v>6.2635</v>
      </c>
      <c r="O2318" s="14" t="n">
        <v>166.3</v>
      </c>
      <c r="P2318" s="14" t="n">
        <v>10.9709</v>
      </c>
    </row>
    <row r="2319" customFormat="false" ht="15" hidden="false" customHeight="false" outlineLevel="0" collapsed="false">
      <c r="A2319" s="13" t="n">
        <v>45597</v>
      </c>
      <c r="B2319" s="14" t="n">
        <v>1376.95</v>
      </c>
      <c r="C2319" s="14" t="n">
        <v>11.0471</v>
      </c>
      <c r="D2319" s="14" t="n">
        <v>1.2959</v>
      </c>
      <c r="E2319" s="14" t="n">
        <v>1.0848</v>
      </c>
      <c r="F2319" s="14" t="n">
        <v>7.1214</v>
      </c>
      <c r="G2319" s="14" t="n">
        <v>5.8292</v>
      </c>
      <c r="H2319" s="14" t="n">
        <v>152.94</v>
      </c>
      <c r="I2319" s="14" t="n">
        <v>1.0885</v>
      </c>
      <c r="J2319" s="14" t="n">
        <v>11.96</v>
      </c>
      <c r="K2319" s="14" t="n">
        <v>1498.21</v>
      </c>
      <c r="L2319" s="14" t="n">
        <v>0.83998</v>
      </c>
      <c r="M2319" s="14" t="n">
        <v>7.7403</v>
      </c>
      <c r="N2319" s="14" t="n">
        <v>6.2813</v>
      </c>
      <c r="O2319" s="14" t="n">
        <v>165.54</v>
      </c>
      <c r="P2319" s="14" t="n">
        <v>10.9876</v>
      </c>
    </row>
    <row r="2320" customFormat="false" ht="15" hidden="false" customHeight="false" outlineLevel="0" collapsed="false">
      <c r="A2320" s="13" t="n">
        <v>45600</v>
      </c>
      <c r="B2320" s="14" t="n">
        <v>1375.17</v>
      </c>
      <c r="C2320" s="14" t="n">
        <v>10.9983</v>
      </c>
      <c r="D2320" s="14" t="n">
        <v>1.2942</v>
      </c>
      <c r="E2320" s="14" t="n">
        <v>1.0884</v>
      </c>
      <c r="F2320" s="14" t="n">
        <v>7.0995</v>
      </c>
      <c r="G2320" s="14" t="n">
        <v>5.7707</v>
      </c>
      <c r="H2320" s="14" t="n">
        <v>152.02</v>
      </c>
      <c r="I2320" s="14" t="n">
        <v>1.0904</v>
      </c>
      <c r="J2320" s="14" t="n">
        <v>11.9465</v>
      </c>
      <c r="K2320" s="14" t="n">
        <v>1497.97</v>
      </c>
      <c r="L2320" s="14" t="n">
        <v>0.84063</v>
      </c>
      <c r="M2320" s="14" t="n">
        <v>7.7363</v>
      </c>
      <c r="N2320" s="14" t="n">
        <v>6.3344</v>
      </c>
      <c r="O2320" s="14" t="n">
        <v>165.47</v>
      </c>
      <c r="P2320" s="14" t="n">
        <v>10.9561</v>
      </c>
    </row>
    <row r="2321" customFormat="false" ht="15" hidden="false" customHeight="false" outlineLevel="0" collapsed="false">
      <c r="A2321" s="13" t="n">
        <v>45601</v>
      </c>
      <c r="B2321" s="14" t="n">
        <v>1380.26</v>
      </c>
      <c r="C2321" s="14" t="n">
        <v>10.9528</v>
      </c>
      <c r="D2321" s="14" t="n">
        <v>1.3015</v>
      </c>
      <c r="E2321" s="14" t="n">
        <v>1.092</v>
      </c>
      <c r="F2321" s="14" t="n">
        <v>7.1047</v>
      </c>
      <c r="G2321" s="14" t="n">
        <v>5.772</v>
      </c>
      <c r="H2321" s="14" t="n">
        <v>151.96</v>
      </c>
      <c r="I2321" s="14" t="n">
        <v>1.0897</v>
      </c>
      <c r="J2321" s="14" t="n">
        <v>11.96</v>
      </c>
      <c r="K2321" s="14" t="n">
        <v>1503.71</v>
      </c>
      <c r="L2321" s="14" t="n">
        <v>0.8392</v>
      </c>
      <c r="M2321" s="14" t="n">
        <v>7.7405</v>
      </c>
      <c r="N2321" s="14" t="n">
        <v>6.3039</v>
      </c>
      <c r="O2321" s="14" t="n">
        <v>165.93</v>
      </c>
      <c r="P2321" s="14" t="n">
        <v>10.9755</v>
      </c>
    </row>
    <row r="2322" customFormat="false" ht="15" hidden="false" customHeight="false" outlineLevel="0" collapsed="false">
      <c r="A2322" s="13" t="n">
        <v>45602</v>
      </c>
      <c r="B2322" s="14" t="n">
        <v>1399.98</v>
      </c>
      <c r="C2322" s="14" t="n">
        <v>11.0705</v>
      </c>
      <c r="D2322" s="14" t="n">
        <v>1.2897</v>
      </c>
      <c r="E2322" s="14" t="n">
        <v>1.0732</v>
      </c>
      <c r="F2322" s="14" t="n">
        <v>7.1782</v>
      </c>
      <c r="G2322" s="14" t="n">
        <v>5.7043</v>
      </c>
      <c r="H2322" s="14" t="n">
        <v>154.58</v>
      </c>
      <c r="I2322" s="14" t="n">
        <v>1.0695</v>
      </c>
      <c r="J2322" s="14" t="n">
        <v>11.909</v>
      </c>
      <c r="K2322" s="14" t="n">
        <v>1500.9</v>
      </c>
      <c r="L2322" s="14" t="n">
        <v>0.83223</v>
      </c>
      <c r="M2322" s="14" t="n">
        <v>7.6779</v>
      </c>
      <c r="N2322" s="14" t="n">
        <v>6.2127</v>
      </c>
      <c r="O2322" s="14" t="n">
        <v>165.05</v>
      </c>
      <c r="P2322" s="14" t="n">
        <v>11.1351</v>
      </c>
    </row>
    <row r="2323" customFormat="false" ht="15" hidden="false" customHeight="false" outlineLevel="0" collapsed="false">
      <c r="A2323" s="13" t="n">
        <v>45603</v>
      </c>
      <c r="B2323" s="14" t="n">
        <v>1384.66</v>
      </c>
      <c r="C2323" s="14" t="n">
        <v>10.8546</v>
      </c>
      <c r="D2323" s="14" t="n">
        <v>1.2985</v>
      </c>
      <c r="E2323" s="14" t="n">
        <v>1.0792</v>
      </c>
      <c r="F2323" s="14" t="n">
        <v>7.1412</v>
      </c>
      <c r="G2323" s="14" t="n">
        <v>5.7028</v>
      </c>
      <c r="H2323" s="14" t="n">
        <v>153.13</v>
      </c>
      <c r="I2323" s="14" t="n">
        <v>1.0785</v>
      </c>
      <c r="J2323" s="14" t="n">
        <v>11.7485</v>
      </c>
      <c r="K2323" s="14" t="n">
        <v>1495.78</v>
      </c>
      <c r="L2323" s="14" t="n">
        <v>0.83185</v>
      </c>
      <c r="M2323" s="14" t="n">
        <v>7.7159</v>
      </c>
      <c r="N2323" s="14" t="n">
        <v>6.0988</v>
      </c>
      <c r="O2323" s="14" t="n">
        <v>165.71</v>
      </c>
      <c r="P2323" s="14" t="n">
        <v>10.8934</v>
      </c>
    </row>
    <row r="2324" customFormat="false" ht="15" hidden="false" customHeight="false" outlineLevel="0" collapsed="false">
      <c r="A2324" s="13" t="n">
        <v>45604</v>
      </c>
      <c r="B2324" s="14" t="n">
        <v>1396.69</v>
      </c>
      <c r="C2324" s="14" t="n">
        <v>11.0293</v>
      </c>
      <c r="D2324" s="14" t="n">
        <v>1.2905</v>
      </c>
      <c r="E2324" s="14" t="n">
        <v>1.071</v>
      </c>
      <c r="F2324" s="14" t="n">
        <v>7.1785</v>
      </c>
      <c r="G2324" s="14" t="n">
        <v>5.7813</v>
      </c>
      <c r="H2324" s="14" t="n">
        <v>152.58</v>
      </c>
      <c r="I2324" s="14" t="n">
        <v>1.0772</v>
      </c>
      <c r="J2324" s="14" t="n">
        <v>11.7735</v>
      </c>
      <c r="K2324" s="14" t="n">
        <v>1495.41</v>
      </c>
      <c r="L2324" s="14" t="n">
        <v>0.83188</v>
      </c>
      <c r="M2324" s="14" t="n">
        <v>7.7233</v>
      </c>
      <c r="N2324" s="14" t="n">
        <v>6.2034</v>
      </c>
      <c r="O2324" s="14" t="n">
        <v>164.18</v>
      </c>
      <c r="P2324" s="14" t="n">
        <v>10.9297</v>
      </c>
    </row>
    <row r="2325" customFormat="false" ht="15" hidden="false" customHeight="false" outlineLevel="0" collapsed="false">
      <c r="A2325" s="13" t="n">
        <v>45607</v>
      </c>
      <c r="I2325" s="14" t="n">
        <v>1.0651</v>
      </c>
      <c r="J2325" s="14" t="n">
        <v>11.7865</v>
      </c>
      <c r="K2325" s="14" t="n">
        <v>1489.97</v>
      </c>
      <c r="L2325" s="14" t="n">
        <v>0.8268</v>
      </c>
      <c r="M2325" s="14" t="n">
        <v>7.6719</v>
      </c>
      <c r="N2325" s="14" t="n">
        <v>6.1877</v>
      </c>
      <c r="O2325" s="14" t="n">
        <v>163.82</v>
      </c>
      <c r="P2325" s="14" t="n">
        <v>11.0661</v>
      </c>
    </row>
    <row r="2326" customFormat="false" ht="15" hidden="false" customHeight="false" outlineLevel="0" collapsed="false">
      <c r="A2326" s="13" t="n">
        <v>45608</v>
      </c>
      <c r="B2326" s="14" t="n">
        <v>1408.28</v>
      </c>
      <c r="C2326" s="14" t="n">
        <v>11.1005</v>
      </c>
      <c r="D2326" s="14" t="n">
        <v>1.2733</v>
      </c>
      <c r="E2326" s="14" t="n">
        <v>1.0598</v>
      </c>
      <c r="F2326" s="14" t="n">
        <v>7.232</v>
      </c>
      <c r="G2326" s="14" t="n">
        <v>5.7779</v>
      </c>
      <c r="H2326" s="14" t="n">
        <v>154.73</v>
      </c>
      <c r="I2326" s="14" t="n">
        <v>1.0617</v>
      </c>
      <c r="J2326" s="14" t="n">
        <v>11.7385</v>
      </c>
      <c r="K2326" s="14" t="n">
        <v>1492.15</v>
      </c>
      <c r="L2326" s="14" t="n">
        <v>0.82835</v>
      </c>
      <c r="M2326" s="14" t="n">
        <v>7.6781</v>
      </c>
      <c r="N2326" s="14" t="n">
        <v>6.1131</v>
      </c>
      <c r="O2326" s="14" t="n">
        <v>163.71</v>
      </c>
      <c r="P2326" s="14" t="n">
        <v>11.0563</v>
      </c>
    </row>
    <row r="2327" customFormat="false" ht="15" hidden="false" customHeight="false" outlineLevel="0" collapsed="false">
      <c r="A2327" s="13" t="n">
        <v>45609</v>
      </c>
      <c r="B2327" s="14" t="n">
        <v>1404.24</v>
      </c>
      <c r="C2327" s="14" t="n">
        <v>11.1341</v>
      </c>
      <c r="D2327" s="14" t="n">
        <v>1.2709</v>
      </c>
      <c r="E2327" s="14" t="n">
        <v>1.0567</v>
      </c>
      <c r="F2327" s="14" t="n">
        <v>7.2245</v>
      </c>
      <c r="G2327" s="14" t="n">
        <v>5.8127</v>
      </c>
      <c r="H2327" s="14" t="n">
        <v>155.28</v>
      </c>
      <c r="I2327" s="14" t="n">
        <v>1.0629</v>
      </c>
      <c r="J2327" s="14" t="n">
        <v>11.7645</v>
      </c>
      <c r="K2327" s="14" t="n">
        <v>1487.4</v>
      </c>
      <c r="L2327" s="14" t="n">
        <v>0.83413</v>
      </c>
      <c r="M2327" s="14" t="n">
        <v>7.6626</v>
      </c>
      <c r="N2327" s="14" t="n">
        <v>6.1031</v>
      </c>
      <c r="O2327" s="14" t="n">
        <v>164.71</v>
      </c>
      <c r="P2327" s="14" t="n">
        <v>11.0683</v>
      </c>
    </row>
    <row r="2328" customFormat="false" ht="15" hidden="false" customHeight="false" outlineLevel="0" collapsed="false">
      <c r="A2328" s="13" t="n">
        <v>45610</v>
      </c>
      <c r="B2328" s="14" t="n">
        <v>1402.77</v>
      </c>
      <c r="C2328" s="14" t="n">
        <v>11.1052</v>
      </c>
      <c r="D2328" s="14" t="n">
        <v>1.2706</v>
      </c>
      <c r="E2328" s="14" t="n">
        <v>1.0562</v>
      </c>
      <c r="F2328" s="14" t="n">
        <v>7.2272</v>
      </c>
      <c r="G2328" s="14" t="n">
        <v>5.7771</v>
      </c>
      <c r="H2328" s="14" t="n">
        <v>155.96</v>
      </c>
      <c r="I2328" s="14" t="n">
        <v>1.0533</v>
      </c>
      <c r="J2328" s="14" t="n">
        <v>11.759</v>
      </c>
      <c r="K2328" s="14" t="n">
        <v>1478.78</v>
      </c>
      <c r="L2328" s="14" t="n">
        <v>0.83158</v>
      </c>
      <c r="M2328" s="14" t="n">
        <v>7.6267</v>
      </c>
      <c r="N2328" s="14" t="n">
        <v>6.1122</v>
      </c>
      <c r="O2328" s="14" t="n">
        <v>164.24</v>
      </c>
      <c r="P2328" s="14" t="n">
        <v>11.164</v>
      </c>
    </row>
    <row r="2329" customFormat="false" ht="15" hidden="false" customHeight="false" outlineLevel="0" collapsed="false">
      <c r="A2329" s="13" t="n">
        <v>45611</v>
      </c>
      <c r="B2329" s="14" t="n">
        <v>1397.42</v>
      </c>
      <c r="C2329" s="14" t="n">
        <v>11.0704</v>
      </c>
      <c r="D2329" s="14" t="n">
        <v>1.2629</v>
      </c>
      <c r="E2329" s="14" t="n">
        <v>1.0552</v>
      </c>
      <c r="F2329" s="14" t="n">
        <v>7.2288</v>
      </c>
      <c r="G2329" s="14" t="n">
        <v>5.7947</v>
      </c>
      <c r="H2329" s="14" t="n">
        <v>154.59</v>
      </c>
      <c r="I2329" s="14" t="n">
        <v>1.0583</v>
      </c>
      <c r="J2329" s="14" t="n">
        <v>11.699</v>
      </c>
      <c r="K2329" s="14" t="n">
        <v>1476.23</v>
      </c>
      <c r="L2329" s="14" t="n">
        <v>0.83455</v>
      </c>
      <c r="M2329" s="14" t="n">
        <v>7.6492</v>
      </c>
      <c r="N2329" s="14" t="n">
        <v>6.1335</v>
      </c>
      <c r="O2329" s="14" t="n">
        <v>164.36</v>
      </c>
      <c r="P2329" s="14" t="n">
        <v>11.0545</v>
      </c>
    </row>
    <row r="2330" customFormat="false" ht="15" hidden="false" customHeight="false" outlineLevel="0" collapsed="false">
      <c r="A2330" s="13" t="n">
        <v>45614</v>
      </c>
      <c r="B2330" s="14" t="n">
        <v>1394.28</v>
      </c>
      <c r="C2330" s="14" t="n">
        <v>11.023</v>
      </c>
      <c r="D2330" s="14" t="n">
        <v>1.2664</v>
      </c>
      <c r="E2330" s="14" t="n">
        <v>1.0586</v>
      </c>
      <c r="F2330" s="14" t="n">
        <v>7.2364</v>
      </c>
      <c r="G2330" s="14" t="n">
        <v>5.7453</v>
      </c>
      <c r="H2330" s="14" t="n">
        <v>154.78</v>
      </c>
      <c r="I2330" s="14" t="n">
        <v>1.0552</v>
      </c>
      <c r="J2330" s="14" t="n">
        <v>11.717</v>
      </c>
      <c r="K2330" s="14" t="n">
        <v>1474.49</v>
      </c>
      <c r="L2330" s="14" t="n">
        <v>0.8356</v>
      </c>
      <c r="M2330" s="14" t="n">
        <v>7.6442</v>
      </c>
      <c r="N2330" s="14" t="n">
        <v>6.103</v>
      </c>
      <c r="O2330" s="14" t="n">
        <v>163.74</v>
      </c>
      <c r="P2330" s="14" t="n">
        <v>11.1041</v>
      </c>
    </row>
    <row r="2331" customFormat="false" ht="15" hidden="false" customHeight="false" outlineLevel="0" collapsed="false">
      <c r="A2331" s="13" t="n">
        <v>45615</v>
      </c>
      <c r="B2331" s="14" t="n">
        <v>1392.83</v>
      </c>
      <c r="C2331" s="14" t="n">
        <v>10.9847</v>
      </c>
      <c r="D2331" s="14" t="n">
        <v>1.2667</v>
      </c>
      <c r="E2331" s="14" t="n">
        <v>1.0578</v>
      </c>
      <c r="F2331" s="14" t="n">
        <v>7.2392</v>
      </c>
      <c r="G2331" s="14" t="n">
        <v>5.7645</v>
      </c>
      <c r="H2331" s="14" t="n">
        <v>154.34</v>
      </c>
      <c r="I2331" s="14" t="n">
        <v>1.0578</v>
      </c>
      <c r="J2331" s="14" t="n">
        <v>11.6595</v>
      </c>
      <c r="K2331" s="14" t="n">
        <v>1472.84</v>
      </c>
      <c r="L2331" s="14" t="n">
        <v>0.83638</v>
      </c>
      <c r="M2331" s="14" t="n">
        <v>7.6578</v>
      </c>
      <c r="N2331" s="14" t="n">
        <v>6.1212</v>
      </c>
      <c r="O2331" s="14" t="n">
        <v>162.71</v>
      </c>
      <c r="P2331" s="14" t="n">
        <v>11.0224</v>
      </c>
    </row>
    <row r="2332" customFormat="false" ht="15" hidden="false" customHeight="false" outlineLevel="0" collapsed="false">
      <c r="A2332" s="13" t="n">
        <v>45616</v>
      </c>
      <c r="B2332" s="14" t="n">
        <v>1399.51</v>
      </c>
      <c r="C2332" s="14" t="n">
        <v>11.062</v>
      </c>
      <c r="D2332" s="14" t="n">
        <v>1.2639</v>
      </c>
      <c r="E2332" s="14" t="n">
        <v>1.0521</v>
      </c>
      <c r="F2332" s="14" t="n">
        <v>7.2459</v>
      </c>
      <c r="G2332" s="14" t="n">
        <v>5.7726</v>
      </c>
      <c r="H2332" s="14" t="n">
        <v>155.38</v>
      </c>
      <c r="I2332" s="14" t="n">
        <v>1.0562</v>
      </c>
      <c r="J2332" s="14" t="n">
        <v>11.644</v>
      </c>
      <c r="K2332" s="14" t="n">
        <v>1474.4</v>
      </c>
      <c r="L2332" s="14" t="n">
        <v>0.8338</v>
      </c>
      <c r="M2332" s="14" t="n">
        <v>7.6528</v>
      </c>
      <c r="N2332" s="14" t="n">
        <v>6.0975</v>
      </c>
      <c r="O2332" s="14" t="n">
        <v>164.42</v>
      </c>
      <c r="P2332" s="14" t="n">
        <v>11.0244</v>
      </c>
    </row>
    <row r="2333" customFormat="false" ht="15" hidden="false" customHeight="false" outlineLevel="0" collapsed="false">
      <c r="A2333" s="13" t="n">
        <v>45617</v>
      </c>
      <c r="B2333" s="14" t="n">
        <v>1401</v>
      </c>
      <c r="C2333" s="14" t="n">
        <v>11.087</v>
      </c>
      <c r="D2333" s="14" t="n">
        <v>1.2586</v>
      </c>
      <c r="E2333" s="14" t="n">
        <v>1.0475</v>
      </c>
      <c r="F2333" s="14" t="n">
        <v>7.2368</v>
      </c>
      <c r="G2333" s="14" t="n">
        <v>5.8279</v>
      </c>
      <c r="H2333" s="14" t="n">
        <v>154.66</v>
      </c>
      <c r="I2333" s="14" t="n">
        <v>1.0526</v>
      </c>
      <c r="J2333" s="14" t="n">
        <v>11.62</v>
      </c>
      <c r="K2333" s="14" t="n">
        <v>1471.6</v>
      </c>
      <c r="L2333" s="14" t="n">
        <v>0.83273</v>
      </c>
      <c r="M2333" s="14" t="n">
        <v>7.6204</v>
      </c>
      <c r="N2333" s="14" t="n">
        <v>6.1277</v>
      </c>
      <c r="O2333" s="14" t="n">
        <v>162.53</v>
      </c>
      <c r="P2333" s="14" t="n">
        <v>11.0393</v>
      </c>
    </row>
    <row r="2334" customFormat="false" ht="15" hidden="false" customHeight="false" outlineLevel="0" collapsed="false">
      <c r="A2334" s="13" t="n">
        <v>45618</v>
      </c>
      <c r="B2334" s="14" t="n">
        <v>1405.49</v>
      </c>
      <c r="C2334" s="14" t="n">
        <v>11.1023</v>
      </c>
      <c r="D2334" s="14" t="n">
        <v>1.2516</v>
      </c>
      <c r="E2334" s="14" t="n">
        <v>1.0399</v>
      </c>
      <c r="F2334" s="14" t="n">
        <v>7.2455</v>
      </c>
      <c r="G2334" s="14" t="n">
        <v>5.804</v>
      </c>
      <c r="H2334" s="14" t="n">
        <v>154.73</v>
      </c>
      <c r="I2334" s="14" t="n">
        <v>1.0412</v>
      </c>
      <c r="J2334" s="14" t="n">
        <v>11.568</v>
      </c>
      <c r="K2334" s="14" t="n">
        <v>1464.43</v>
      </c>
      <c r="L2334" s="14" t="n">
        <v>0.83205</v>
      </c>
      <c r="M2334" s="14" t="n">
        <v>7.5458</v>
      </c>
      <c r="N2334" s="14" t="n">
        <v>6.0483</v>
      </c>
      <c r="O2334" s="14" t="n">
        <v>160.84</v>
      </c>
      <c r="P2334" s="14" t="n">
        <v>11.1103</v>
      </c>
    </row>
    <row r="2335" customFormat="false" ht="15" hidden="false" customHeight="false" outlineLevel="0" collapsed="false">
      <c r="A2335" s="13" t="n">
        <v>45621</v>
      </c>
      <c r="B2335" s="14" t="n">
        <v>1401.03</v>
      </c>
      <c r="C2335" s="14" t="n">
        <v>11.1065</v>
      </c>
      <c r="D2335" s="14" t="n">
        <v>1.2554</v>
      </c>
      <c r="E2335" s="14" t="n">
        <v>1.0478</v>
      </c>
      <c r="F2335" s="14" t="n">
        <v>7.2395</v>
      </c>
      <c r="G2335" s="14" t="n">
        <v>5.8115</v>
      </c>
      <c r="H2335" s="14" t="n">
        <v>154.29</v>
      </c>
      <c r="I2335" s="14" t="n">
        <v>1.0495</v>
      </c>
      <c r="J2335" s="14" t="n">
        <v>11.5865</v>
      </c>
      <c r="K2335" s="14" t="n">
        <v>1469.87</v>
      </c>
      <c r="L2335" s="14" t="n">
        <v>0.83465</v>
      </c>
      <c r="M2335" s="14" t="n">
        <v>7.6018</v>
      </c>
      <c r="N2335" s="14" t="n">
        <v>6.0941</v>
      </c>
      <c r="O2335" s="14" t="n">
        <v>161.64</v>
      </c>
      <c r="P2335" s="14" t="n">
        <v>11.04</v>
      </c>
    </row>
    <row r="2336" customFormat="false" ht="15" hidden="false" customHeight="false" outlineLevel="0" collapsed="false">
      <c r="A2336" s="13" t="n">
        <v>45622</v>
      </c>
      <c r="B2336" s="14" t="n">
        <v>1396.69</v>
      </c>
      <c r="C2336" s="14" t="n">
        <v>11.1769</v>
      </c>
      <c r="D2336" s="14" t="n">
        <v>1.2547</v>
      </c>
      <c r="E2336" s="14" t="n">
        <v>1.0481</v>
      </c>
      <c r="F2336" s="14" t="n">
        <v>7.252</v>
      </c>
      <c r="G2336" s="14" t="n">
        <v>5.8089</v>
      </c>
      <c r="H2336" s="14" t="n">
        <v>153.49</v>
      </c>
      <c r="I2336" s="14" t="n">
        <v>1.0522</v>
      </c>
      <c r="J2336" s="14" t="n">
        <v>11.6815</v>
      </c>
      <c r="K2336" s="14" t="n">
        <v>1468.29</v>
      </c>
      <c r="L2336" s="14" t="n">
        <v>0.8348</v>
      </c>
      <c r="M2336" s="14" t="n">
        <v>7.6265</v>
      </c>
      <c r="N2336" s="14" t="n">
        <v>6.1005</v>
      </c>
      <c r="O2336" s="14" t="n">
        <v>161.13</v>
      </c>
      <c r="P2336" s="14" t="n">
        <v>11.102</v>
      </c>
    </row>
    <row r="2337" customFormat="false" ht="15" hidden="false" customHeight="false" outlineLevel="0" collapsed="false">
      <c r="A2337" s="13" t="n">
        <v>45623</v>
      </c>
      <c r="B2337" s="14" t="n">
        <v>1391.14</v>
      </c>
      <c r="C2337" s="14" t="n">
        <v>11.0504</v>
      </c>
      <c r="D2337" s="14" t="n">
        <v>1.2678</v>
      </c>
      <c r="E2337" s="14" t="n">
        <v>1.0575</v>
      </c>
      <c r="F2337" s="14" t="n">
        <v>7.2458</v>
      </c>
      <c r="G2337" s="14" t="n">
        <v>5.8721</v>
      </c>
      <c r="H2337" s="14" t="n">
        <v>150.69</v>
      </c>
      <c r="I2337" s="14" t="n">
        <v>1.0531</v>
      </c>
      <c r="J2337" s="14" t="n">
        <v>11.69</v>
      </c>
      <c r="K2337" s="14" t="n">
        <v>1466.33</v>
      </c>
      <c r="L2337" s="14" t="n">
        <v>0.834</v>
      </c>
      <c r="M2337" s="14" t="n">
        <v>7.6347</v>
      </c>
      <c r="N2337" s="14" t="n">
        <v>6.1293</v>
      </c>
      <c r="O2337" s="14" t="n">
        <v>159.65</v>
      </c>
      <c r="P2337" s="14" t="n">
        <v>11.1006</v>
      </c>
    </row>
    <row r="2338" customFormat="false" ht="15" hidden="false" customHeight="false" outlineLevel="0" collapsed="false">
      <c r="A2338" s="13" t="n">
        <v>45624</v>
      </c>
      <c r="I2338" s="14" t="n">
        <v>1.0542</v>
      </c>
      <c r="J2338" s="14" t="n">
        <v>11.664</v>
      </c>
      <c r="K2338" s="14" t="n">
        <v>1472.29</v>
      </c>
      <c r="L2338" s="14" t="n">
        <v>0.8323</v>
      </c>
      <c r="M2338" s="14" t="n">
        <v>7.6403</v>
      </c>
      <c r="N2338" s="14" t="n">
        <v>6.2891</v>
      </c>
      <c r="O2338" s="14" t="n">
        <v>159.89</v>
      </c>
      <c r="P2338" s="14" t="n">
        <v>11.0643</v>
      </c>
    </row>
    <row r="2339" customFormat="false" ht="15" hidden="false" customHeight="false" outlineLevel="0" collapsed="false">
      <c r="A2339" s="13" t="n">
        <v>45625</v>
      </c>
      <c r="B2339" s="14" t="n">
        <v>1396.99</v>
      </c>
      <c r="C2339" s="14" t="n">
        <v>11.0652</v>
      </c>
      <c r="D2339" s="14" t="n">
        <v>1.2699</v>
      </c>
      <c r="E2339" s="14" t="n">
        <v>1.0547</v>
      </c>
      <c r="F2339" s="14" t="n">
        <v>7.2423</v>
      </c>
      <c r="G2339" s="14" t="n">
        <v>5.9956</v>
      </c>
      <c r="H2339" s="14" t="n">
        <v>150.41</v>
      </c>
      <c r="I2339" s="14" t="n">
        <v>1.0562</v>
      </c>
      <c r="J2339" s="14" t="n">
        <v>11.6805</v>
      </c>
      <c r="K2339" s="14" t="n">
        <v>1476.11</v>
      </c>
      <c r="L2339" s="14" t="n">
        <v>0.83205</v>
      </c>
      <c r="M2339" s="14" t="n">
        <v>7.6484</v>
      </c>
      <c r="N2339" s="14" t="n">
        <v>6.4361</v>
      </c>
      <c r="O2339" s="14" t="n">
        <v>158.64</v>
      </c>
      <c r="P2339" s="14" t="n">
        <v>11.059</v>
      </c>
    </row>
    <row r="2340" customFormat="false" ht="15" hidden="false" customHeight="false" outlineLevel="0" collapsed="false">
      <c r="A2340" s="13" t="n">
        <v>45628</v>
      </c>
      <c r="B2340" s="14" t="n">
        <v>1406.13</v>
      </c>
      <c r="C2340" s="14" t="n">
        <v>11.1294</v>
      </c>
      <c r="D2340" s="14" t="n">
        <v>1.2639</v>
      </c>
      <c r="E2340" s="14" t="n">
        <v>1.0484</v>
      </c>
      <c r="F2340" s="14" t="n">
        <v>7.2714</v>
      </c>
      <c r="G2340" s="14" t="n">
        <v>6.0741</v>
      </c>
      <c r="H2340" s="14" t="n">
        <v>149.26</v>
      </c>
      <c r="I2340" s="14" t="n">
        <v>1.0507</v>
      </c>
      <c r="J2340" s="14" t="n">
        <v>11.659</v>
      </c>
      <c r="K2340" s="14" t="n">
        <v>1475.53</v>
      </c>
      <c r="L2340" s="14" t="n">
        <v>0.82898</v>
      </c>
      <c r="M2340" s="14" t="n">
        <v>7.6421</v>
      </c>
      <c r="N2340" s="14" t="n">
        <v>6.3323</v>
      </c>
      <c r="O2340" s="14" t="n">
        <v>157.74</v>
      </c>
      <c r="P2340" s="14" t="n">
        <v>11.0964</v>
      </c>
    </row>
    <row r="2341" customFormat="false" ht="15" hidden="false" customHeight="false" outlineLevel="0" collapsed="false">
      <c r="A2341" s="13" t="n">
        <v>45629</v>
      </c>
      <c r="B2341" s="14" t="n">
        <v>1427.83</v>
      </c>
      <c r="C2341" s="14" t="n">
        <v>11.0495</v>
      </c>
      <c r="D2341" s="14" t="n">
        <v>1.2677</v>
      </c>
      <c r="E2341" s="14" t="n">
        <v>1.0518</v>
      </c>
      <c r="F2341" s="14" t="n">
        <v>7.2858</v>
      </c>
      <c r="G2341" s="14" t="n">
        <v>6.065</v>
      </c>
      <c r="H2341" s="14" t="n">
        <v>149.12</v>
      </c>
      <c r="I2341" s="14" t="n">
        <v>1.0512</v>
      </c>
      <c r="J2341" s="14" t="n">
        <v>11.629</v>
      </c>
      <c r="K2341" s="14" t="n">
        <v>1474.9</v>
      </c>
      <c r="L2341" s="14" t="n">
        <v>0.83123</v>
      </c>
      <c r="M2341" s="14" t="n">
        <v>7.6589</v>
      </c>
      <c r="N2341" s="14" t="n">
        <v>6.382</v>
      </c>
      <c r="O2341" s="14" t="n">
        <v>157.3</v>
      </c>
      <c r="P2341" s="14" t="n">
        <v>11.0626</v>
      </c>
    </row>
    <row r="2342" customFormat="false" ht="15" hidden="false" customHeight="false" outlineLevel="0" collapsed="false">
      <c r="A2342" s="13" t="n">
        <v>45630</v>
      </c>
      <c r="B2342" s="14" t="n">
        <v>1412.16</v>
      </c>
      <c r="C2342" s="14" t="n">
        <v>11.0324</v>
      </c>
      <c r="D2342" s="14" t="n">
        <v>1.2712</v>
      </c>
      <c r="E2342" s="14" t="n">
        <v>1.0527</v>
      </c>
      <c r="F2342" s="14" t="n">
        <v>7.2632</v>
      </c>
      <c r="G2342" s="14" t="n">
        <v>6.033</v>
      </c>
      <c r="H2342" s="14" t="n">
        <v>150.18</v>
      </c>
      <c r="I2342" s="14" t="n">
        <v>1.0492</v>
      </c>
      <c r="J2342" s="14" t="n">
        <v>11.6205</v>
      </c>
      <c r="K2342" s="14" t="n">
        <v>1487.28</v>
      </c>
      <c r="L2342" s="14" t="n">
        <v>0.8283</v>
      </c>
      <c r="M2342" s="14" t="n">
        <v>7.6285</v>
      </c>
      <c r="N2342" s="14" t="n">
        <v>6.3472</v>
      </c>
      <c r="O2342" s="14" t="n">
        <v>158.59</v>
      </c>
      <c r="P2342" s="14" t="n">
        <v>11.0756</v>
      </c>
    </row>
    <row r="2343" customFormat="false" ht="15" hidden="false" customHeight="false" outlineLevel="0" collapsed="false">
      <c r="A2343" s="13" t="n">
        <v>45631</v>
      </c>
      <c r="B2343" s="14" t="n">
        <v>1415.88</v>
      </c>
      <c r="C2343" s="14" t="n">
        <v>11.0548</v>
      </c>
      <c r="D2343" s="14" t="n">
        <v>1.2754</v>
      </c>
      <c r="E2343" s="14" t="n">
        <v>1.0571</v>
      </c>
      <c r="F2343" s="14" t="n">
        <v>7.2558</v>
      </c>
      <c r="G2343" s="14" t="n">
        <v>5.9745</v>
      </c>
      <c r="H2343" s="14" t="n">
        <v>150.19</v>
      </c>
      <c r="I2343" s="14" t="n">
        <v>1.054</v>
      </c>
      <c r="J2343" s="14" t="n">
        <v>11.66</v>
      </c>
      <c r="K2343" s="14" t="n">
        <v>1494.61</v>
      </c>
      <c r="L2343" s="14" t="n">
        <v>0.828</v>
      </c>
      <c r="M2343" s="14" t="n">
        <v>7.6577</v>
      </c>
      <c r="N2343" s="14" t="n">
        <v>6.3219</v>
      </c>
      <c r="O2343" s="14" t="n">
        <v>158.52</v>
      </c>
      <c r="P2343" s="14" t="n">
        <v>11.0626</v>
      </c>
    </row>
    <row r="2344" customFormat="false" ht="15" hidden="false" customHeight="false" outlineLevel="0" collapsed="false">
      <c r="A2344" s="13" t="n">
        <v>45632</v>
      </c>
      <c r="B2344" s="14" t="n">
        <v>1422.4</v>
      </c>
      <c r="C2344" s="14" t="n">
        <v>11.1527</v>
      </c>
      <c r="D2344" s="14" t="n">
        <v>1.2744</v>
      </c>
      <c r="E2344" s="14" t="n">
        <v>1.0563</v>
      </c>
      <c r="F2344" s="14" t="n">
        <v>7.27</v>
      </c>
      <c r="G2344" s="14" t="n">
        <v>6.0739</v>
      </c>
      <c r="H2344" s="14" t="n">
        <v>149.78</v>
      </c>
      <c r="I2344" s="14" t="n">
        <v>1.0581</v>
      </c>
      <c r="J2344" s="14" t="n">
        <v>11.7445</v>
      </c>
      <c r="K2344" s="14" t="n">
        <v>1502.23</v>
      </c>
      <c r="L2344" s="14" t="n">
        <v>0.82855</v>
      </c>
      <c r="M2344" s="14" t="n">
        <v>7.6852</v>
      </c>
      <c r="N2344" s="14" t="n">
        <v>6.3546</v>
      </c>
      <c r="O2344" s="14" t="n">
        <v>159.25</v>
      </c>
      <c r="P2344" s="14" t="n">
        <v>11.0996</v>
      </c>
    </row>
    <row r="2345" customFormat="false" ht="15" hidden="false" customHeight="false" outlineLevel="0" collapsed="false">
      <c r="A2345" s="13" t="n">
        <v>45635</v>
      </c>
      <c r="B2345" s="14" t="n">
        <v>1430.05</v>
      </c>
      <c r="C2345" s="14" t="n">
        <v>11.1002</v>
      </c>
      <c r="D2345" s="14" t="n">
        <v>1.2783</v>
      </c>
      <c r="E2345" s="14" t="n">
        <v>1.057</v>
      </c>
      <c r="F2345" s="14" t="n">
        <v>7.2604</v>
      </c>
      <c r="G2345" s="14" t="n">
        <v>6.0648</v>
      </c>
      <c r="H2345" s="14" t="n">
        <v>151.24</v>
      </c>
      <c r="I2345" s="14" t="n">
        <v>1.0568</v>
      </c>
      <c r="J2345" s="14" t="n">
        <v>11.7435</v>
      </c>
      <c r="K2345" s="14" t="n">
        <v>1513.49</v>
      </c>
      <c r="L2345" s="14" t="n">
        <v>0.82805</v>
      </c>
      <c r="M2345" s="14" t="n">
        <v>7.677</v>
      </c>
      <c r="N2345" s="14" t="n">
        <v>6.3852</v>
      </c>
      <c r="O2345" s="14" t="n">
        <v>159.4</v>
      </c>
      <c r="P2345" s="14" t="n">
        <v>11.1123</v>
      </c>
    </row>
    <row r="2346" customFormat="false" ht="15" hidden="false" customHeight="false" outlineLevel="0" collapsed="false">
      <c r="A2346" s="13" t="n">
        <v>45636</v>
      </c>
      <c r="B2346" s="14" t="n">
        <v>1432.6</v>
      </c>
      <c r="C2346" s="14" t="n">
        <v>11.1644</v>
      </c>
      <c r="D2346" s="14" t="n">
        <v>1.2758</v>
      </c>
      <c r="E2346" s="14" t="n">
        <v>1.0512</v>
      </c>
      <c r="F2346" s="14" t="n">
        <v>7.25</v>
      </c>
      <c r="G2346" s="14" t="n">
        <v>6.0549</v>
      </c>
      <c r="H2346" s="14" t="n">
        <v>152.05</v>
      </c>
      <c r="I2346" s="14" t="n">
        <v>1.0527</v>
      </c>
      <c r="J2346" s="14" t="n">
        <v>11.7315</v>
      </c>
      <c r="K2346" s="14" t="n">
        <v>1507.31</v>
      </c>
      <c r="L2346" s="14" t="n">
        <v>0.82555</v>
      </c>
      <c r="M2346" s="14" t="n">
        <v>7.6354</v>
      </c>
      <c r="N2346" s="14" t="n">
        <v>6.3811</v>
      </c>
      <c r="O2346" s="14" t="n">
        <v>159.74</v>
      </c>
      <c r="P2346" s="14" t="n">
        <v>11.1442</v>
      </c>
    </row>
    <row r="2347" customFormat="false" ht="15" hidden="false" customHeight="false" outlineLevel="0" collapsed="false">
      <c r="A2347" s="13" t="n">
        <v>45637</v>
      </c>
      <c r="B2347" s="14" t="n">
        <v>1428.5</v>
      </c>
      <c r="C2347" s="14" t="n">
        <v>11.1358</v>
      </c>
      <c r="D2347" s="14" t="n">
        <v>1.2763</v>
      </c>
      <c r="E2347" s="14" t="n">
        <v>1.0508</v>
      </c>
      <c r="F2347" s="14" t="n">
        <v>7.2605</v>
      </c>
      <c r="G2347" s="14" t="n">
        <v>6.009</v>
      </c>
      <c r="H2347" s="14" t="n">
        <v>152.34</v>
      </c>
      <c r="I2347" s="14" t="n">
        <v>1.0507</v>
      </c>
      <c r="J2347" s="14" t="n">
        <v>11.712</v>
      </c>
      <c r="K2347" s="14" t="n">
        <v>1502.88</v>
      </c>
      <c r="L2347" s="14" t="n">
        <v>0.82458</v>
      </c>
      <c r="M2347" s="14" t="n">
        <v>7.6318</v>
      </c>
      <c r="N2347" s="14" t="n">
        <v>6.3431</v>
      </c>
      <c r="O2347" s="14" t="n">
        <v>160.35</v>
      </c>
      <c r="P2347" s="14" t="n">
        <v>11.1469</v>
      </c>
    </row>
    <row r="2348" customFormat="false" ht="15" hidden="false" customHeight="false" outlineLevel="0" collapsed="false">
      <c r="A2348" s="13" t="n">
        <v>45638</v>
      </c>
      <c r="B2348" s="14" t="n">
        <v>1429.47</v>
      </c>
      <c r="C2348" s="14" t="n">
        <v>11.1154</v>
      </c>
      <c r="D2348" s="14" t="n">
        <v>1.2715</v>
      </c>
      <c r="E2348" s="14" t="n">
        <v>1.0514</v>
      </c>
      <c r="F2348" s="14" t="n">
        <v>7.2685</v>
      </c>
      <c r="G2348" s="14" t="n">
        <v>6.0097</v>
      </c>
      <c r="H2348" s="14" t="n">
        <v>152.07</v>
      </c>
      <c r="I2348" s="14" t="n">
        <v>1.0491</v>
      </c>
      <c r="J2348" s="14" t="n">
        <v>11.654</v>
      </c>
      <c r="K2348" s="14" t="n">
        <v>1500.97</v>
      </c>
      <c r="L2348" s="14" t="n">
        <v>0.82428</v>
      </c>
      <c r="M2348" s="14" t="n">
        <v>7.6272</v>
      </c>
      <c r="N2348" s="14" t="n">
        <v>6.1975</v>
      </c>
      <c r="O2348" s="14" t="n">
        <v>159.6</v>
      </c>
      <c r="P2348" s="14" t="n">
        <v>11.1086</v>
      </c>
    </row>
    <row r="2349" customFormat="false" ht="15" hidden="false" customHeight="false" outlineLevel="0" collapsed="false">
      <c r="A2349" s="13" t="n">
        <v>45639</v>
      </c>
      <c r="B2349" s="14" t="n">
        <v>1434.82</v>
      </c>
      <c r="C2349" s="14" t="n">
        <v>11.1414</v>
      </c>
      <c r="D2349" s="14" t="n">
        <v>1.2629</v>
      </c>
      <c r="E2349" s="14" t="n">
        <v>1.0498</v>
      </c>
      <c r="F2349" s="14" t="n">
        <v>7.2756</v>
      </c>
      <c r="G2349" s="14" t="n">
        <v>6.0645</v>
      </c>
      <c r="H2349" s="14" t="n">
        <v>153.74</v>
      </c>
      <c r="I2349" s="14" t="n">
        <v>1.0518</v>
      </c>
      <c r="J2349" s="14" t="n">
        <v>11.6758</v>
      </c>
      <c r="K2349" s="14" t="n">
        <v>1507.58</v>
      </c>
      <c r="L2349" s="14" t="n">
        <v>0.83043</v>
      </c>
      <c r="M2349" s="14" t="n">
        <v>7.651</v>
      </c>
      <c r="N2349" s="14" t="n">
        <v>6.3481</v>
      </c>
      <c r="O2349" s="14" t="n">
        <v>161.45</v>
      </c>
      <c r="P2349" s="14" t="n">
        <v>11.1008</v>
      </c>
    </row>
    <row r="2350" customFormat="false" ht="15" hidden="false" customHeight="false" outlineLevel="0" collapsed="false">
      <c r="A2350" s="13" t="n">
        <v>45642</v>
      </c>
      <c r="B2350" s="14" t="n">
        <v>1437.86</v>
      </c>
      <c r="C2350" s="14" t="n">
        <v>11.151</v>
      </c>
      <c r="D2350" s="14" t="n">
        <v>1.269</v>
      </c>
      <c r="E2350" s="14" t="n">
        <v>1.0512</v>
      </c>
      <c r="F2350" s="14" t="n">
        <v>7.2836</v>
      </c>
      <c r="G2350" s="14" t="n">
        <v>6.0579</v>
      </c>
      <c r="H2350" s="14" t="n">
        <v>154.18</v>
      </c>
      <c r="I2350" s="14" t="n">
        <v>1.0498</v>
      </c>
      <c r="J2350" s="14" t="n">
        <v>11.716</v>
      </c>
      <c r="K2350" s="14" t="n">
        <v>1509.15</v>
      </c>
      <c r="L2350" s="14" t="n">
        <v>0.82945</v>
      </c>
      <c r="M2350" s="14" t="n">
        <v>7.6463</v>
      </c>
      <c r="N2350" s="14" t="n">
        <v>6.3397</v>
      </c>
      <c r="O2350" s="14" t="n">
        <v>161.73</v>
      </c>
      <c r="P2350" s="14" t="n">
        <v>11.1602</v>
      </c>
    </row>
    <row r="2351" customFormat="false" ht="15" hidden="false" customHeight="false" outlineLevel="0" collapsed="false">
      <c r="A2351" s="13" t="n">
        <v>45643</v>
      </c>
      <c r="B2351" s="14" t="n">
        <v>1436.16</v>
      </c>
      <c r="C2351" s="14" t="n">
        <v>11.1909</v>
      </c>
      <c r="D2351" s="14" t="n">
        <v>1.2718</v>
      </c>
      <c r="E2351" s="14" t="n">
        <v>1.0506</v>
      </c>
      <c r="F2351" s="14" t="n">
        <v>7.2846</v>
      </c>
      <c r="G2351" s="14" t="n">
        <v>6.1122</v>
      </c>
      <c r="H2351" s="14" t="n">
        <v>153.41</v>
      </c>
      <c r="I2351" s="14" t="n">
        <v>1.0497</v>
      </c>
      <c r="J2351" s="14" t="n">
        <v>11.7635</v>
      </c>
      <c r="K2351" s="14" t="n">
        <v>1508.13</v>
      </c>
      <c r="L2351" s="14" t="n">
        <v>0.82648</v>
      </c>
      <c r="M2351" s="14" t="n">
        <v>7.6464</v>
      </c>
      <c r="N2351" s="14" t="n">
        <v>6.4584</v>
      </c>
      <c r="O2351" s="14" t="n">
        <v>161.63</v>
      </c>
      <c r="P2351" s="14" t="n">
        <v>11.2065</v>
      </c>
    </row>
    <row r="2352" customFormat="false" ht="15" hidden="false" customHeight="false" outlineLevel="0" collapsed="false">
      <c r="A2352" s="13" t="n">
        <v>45644</v>
      </c>
      <c r="B2352" s="14" t="n">
        <v>1438.13</v>
      </c>
      <c r="C2352" s="14" t="n">
        <v>11.2439</v>
      </c>
      <c r="D2352" s="14" t="n">
        <v>1.2696</v>
      </c>
      <c r="E2352" s="14" t="n">
        <v>1.0469</v>
      </c>
      <c r="F2352" s="14" t="n">
        <v>7.2864</v>
      </c>
      <c r="G2352" s="14" t="n">
        <v>6.1906</v>
      </c>
      <c r="H2352" s="14" t="n">
        <v>154</v>
      </c>
      <c r="I2352" s="14" t="n">
        <v>1.0496</v>
      </c>
      <c r="J2352" s="14" t="n">
        <v>11.762</v>
      </c>
      <c r="K2352" s="14" t="n">
        <v>1509.48</v>
      </c>
      <c r="L2352" s="14" t="n">
        <v>0.8252</v>
      </c>
      <c r="M2352" s="14" t="n">
        <v>7.6463</v>
      </c>
      <c r="N2352" s="14" t="n">
        <v>6.4544</v>
      </c>
      <c r="O2352" s="14" t="n">
        <v>161.52</v>
      </c>
      <c r="P2352" s="14" t="n">
        <v>11.2062</v>
      </c>
    </row>
    <row r="2353" customFormat="false" ht="15" hidden="false" customHeight="false" outlineLevel="0" collapsed="false">
      <c r="A2353" s="13" t="n">
        <v>45645</v>
      </c>
      <c r="B2353" s="14" t="n">
        <v>1446.06</v>
      </c>
      <c r="C2353" s="14" t="n">
        <v>11.4562</v>
      </c>
      <c r="D2353" s="14" t="n">
        <v>1.253</v>
      </c>
      <c r="E2353" s="14" t="n">
        <v>1.0357</v>
      </c>
      <c r="F2353" s="14" t="n">
        <v>7.2965</v>
      </c>
      <c r="G2353" s="14" t="n">
        <v>6.1414</v>
      </c>
      <c r="H2353" s="14" t="n">
        <v>157.73</v>
      </c>
      <c r="I2353" s="14" t="n">
        <v>1.0395</v>
      </c>
      <c r="J2353" s="14" t="n">
        <v>11.8143</v>
      </c>
      <c r="K2353" s="14" t="n">
        <v>1505.3</v>
      </c>
      <c r="L2353" s="14" t="n">
        <v>0.82445</v>
      </c>
      <c r="M2353" s="14" t="n">
        <v>7.5858</v>
      </c>
      <c r="N2353" s="14" t="n">
        <v>6.5335</v>
      </c>
      <c r="O2353" s="14" t="n">
        <v>163.07</v>
      </c>
      <c r="P2353" s="14" t="n">
        <v>11.3654</v>
      </c>
    </row>
    <row r="2354" customFormat="false" ht="15" hidden="false" customHeight="false" outlineLevel="0" collapsed="false">
      <c r="A2354" s="13" t="n">
        <v>45646</v>
      </c>
      <c r="B2354" s="14" t="n">
        <v>1444.52</v>
      </c>
      <c r="C2354" s="14" t="n">
        <v>11.3429</v>
      </c>
      <c r="D2354" s="14" t="n">
        <v>1.2587</v>
      </c>
      <c r="E2354" s="14" t="n">
        <v>1.043</v>
      </c>
      <c r="F2354" s="14" t="n">
        <v>7.2953</v>
      </c>
      <c r="G2354" s="14" t="n">
        <v>6.0815</v>
      </c>
      <c r="H2354" s="14" t="n">
        <v>156.11</v>
      </c>
      <c r="I2354" s="14" t="n">
        <v>1.039</v>
      </c>
      <c r="J2354" s="14" t="n">
        <v>11.8685</v>
      </c>
      <c r="K2354" s="14" t="n">
        <v>1502.7</v>
      </c>
      <c r="L2354" s="14" t="n">
        <v>0.82965</v>
      </c>
      <c r="M2354" s="14" t="n">
        <v>7.5831</v>
      </c>
      <c r="N2354" s="14" t="n">
        <v>6.3173</v>
      </c>
      <c r="O2354" s="14" t="n">
        <v>162.89</v>
      </c>
      <c r="P2354" s="14" t="n">
        <v>11.423</v>
      </c>
    </row>
    <row r="2355" customFormat="false" ht="15" hidden="false" customHeight="false" outlineLevel="0" collapsed="false">
      <c r="A2355" s="13" t="n">
        <v>45649</v>
      </c>
      <c r="B2355" s="14" t="n">
        <v>1451.76</v>
      </c>
      <c r="C2355" s="14" t="n">
        <v>11.3588</v>
      </c>
      <c r="D2355" s="14" t="n">
        <v>1.2529</v>
      </c>
      <c r="E2355" s="14" t="n">
        <v>1.0409</v>
      </c>
      <c r="F2355" s="14" t="n">
        <v>7.2977</v>
      </c>
      <c r="G2355" s="14" t="n">
        <v>6.1784</v>
      </c>
      <c r="H2355" s="14" t="n">
        <v>157.04</v>
      </c>
      <c r="I2355" s="14" t="n">
        <v>1.0393</v>
      </c>
      <c r="J2355" s="14" t="n">
        <v>11.807</v>
      </c>
      <c r="K2355" s="14" t="n">
        <v>1510.56</v>
      </c>
      <c r="L2355" s="14" t="n">
        <v>0.82995</v>
      </c>
      <c r="M2355" s="14" t="n">
        <v>7.5861</v>
      </c>
      <c r="N2355" s="14" t="n">
        <v>6.3916</v>
      </c>
      <c r="O2355" s="14" t="n">
        <v>163.36</v>
      </c>
      <c r="P2355" s="14" t="n">
        <v>11.3605</v>
      </c>
    </row>
    <row r="2356" customFormat="false" ht="15" hidden="false" customHeight="false" outlineLevel="0" collapsed="false">
      <c r="A2356" s="13" t="n">
        <v>45650</v>
      </c>
      <c r="B2356" s="14" t="n">
        <v>1457.36</v>
      </c>
      <c r="C2356" s="14" t="n">
        <v>11.3736</v>
      </c>
      <c r="D2356" s="14" t="n">
        <v>1.2528</v>
      </c>
      <c r="E2356" s="14" t="n">
        <v>1.0388</v>
      </c>
      <c r="F2356" s="14" t="n">
        <v>7.2946</v>
      </c>
      <c r="G2356" s="14" t="n">
        <v>6.1906</v>
      </c>
      <c r="H2356" s="14" t="n">
        <v>157.29</v>
      </c>
      <c r="I2356" s="14" t="n">
        <v>1.0395</v>
      </c>
      <c r="J2356" s="14" t="n">
        <v>11.849</v>
      </c>
      <c r="K2356" s="14" t="n">
        <v>1515.98</v>
      </c>
      <c r="L2356" s="14" t="n">
        <v>0.82805</v>
      </c>
      <c r="M2356" s="14" t="n">
        <v>7.5843</v>
      </c>
      <c r="N2356" s="14" t="n">
        <v>6.4384</v>
      </c>
      <c r="O2356" s="14" t="n">
        <v>163.25</v>
      </c>
    </row>
    <row r="2357" customFormat="false" ht="15" hidden="false" customHeight="false" outlineLevel="0" collapsed="false">
      <c r="A2357" s="13" t="n">
        <v>45651</v>
      </c>
    </row>
    <row r="2358" customFormat="false" ht="15" hidden="false" customHeight="false" outlineLevel="0" collapsed="false">
      <c r="A2358" s="13" t="n">
        <v>45652</v>
      </c>
      <c r="B2358" s="14" t="n">
        <v>1467.66</v>
      </c>
      <c r="C2358" s="14" t="n">
        <v>11.3583</v>
      </c>
      <c r="D2358" s="14" t="n">
        <v>1.2522</v>
      </c>
      <c r="E2358" s="14" t="n">
        <v>1.0423</v>
      </c>
      <c r="F2358" s="14" t="n">
        <v>7.2981</v>
      </c>
      <c r="G2358" s="14" t="n">
        <v>6.157</v>
      </c>
      <c r="H2358" s="14" t="n">
        <v>158.01</v>
      </c>
    </row>
    <row r="2359" customFormat="false" ht="15" hidden="false" customHeight="false" outlineLevel="0" collapsed="false">
      <c r="A2359" s="13" t="n">
        <v>45653</v>
      </c>
      <c r="B2359" s="14" t="n">
        <v>1470.4</v>
      </c>
      <c r="C2359" s="14" t="n">
        <v>11.3549</v>
      </c>
      <c r="D2359" s="14" t="n">
        <v>1.2573</v>
      </c>
      <c r="E2359" s="14" t="n">
        <v>1.0423</v>
      </c>
      <c r="F2359" s="14" t="n">
        <v>7.298</v>
      </c>
      <c r="G2359" s="14" t="n">
        <v>6.2021</v>
      </c>
      <c r="H2359" s="14" t="n">
        <v>157.73</v>
      </c>
      <c r="I2359" s="14" t="n">
        <v>1.0435</v>
      </c>
      <c r="J2359" s="14" t="n">
        <v>11.8435</v>
      </c>
      <c r="K2359" s="14" t="n">
        <v>1537.65</v>
      </c>
      <c r="L2359" s="14" t="n">
        <v>0.83098</v>
      </c>
      <c r="M2359" s="14" t="n">
        <v>7.6169</v>
      </c>
      <c r="N2359" s="14" t="n">
        <v>6.4586</v>
      </c>
      <c r="O2359" s="14" t="n">
        <v>164.65</v>
      </c>
      <c r="P2359" s="14" t="n">
        <v>11.3498</v>
      </c>
    </row>
    <row r="2360" customFormat="false" ht="15" hidden="false" customHeight="false" outlineLevel="0" collapsed="false">
      <c r="A2360" s="13" t="n">
        <v>45656</v>
      </c>
      <c r="B2360" s="14" t="n">
        <v>1472.32</v>
      </c>
      <c r="C2360" s="14" t="n">
        <v>11.3543</v>
      </c>
      <c r="D2360" s="14" t="n">
        <v>1.2523</v>
      </c>
      <c r="E2360" s="14" t="n">
        <v>1.0386</v>
      </c>
      <c r="F2360" s="14" t="n">
        <v>7.2993</v>
      </c>
      <c r="G2360" s="14" t="n">
        <v>6.2013</v>
      </c>
      <c r="H2360" s="14" t="n">
        <v>157.26</v>
      </c>
      <c r="I2360" s="14" t="n">
        <v>1.0444</v>
      </c>
      <c r="J2360" s="14" t="n">
        <v>11.8455</v>
      </c>
      <c r="K2360" s="14" t="n">
        <v>1539.13</v>
      </c>
      <c r="L2360" s="14" t="n">
        <v>0.8295</v>
      </c>
      <c r="M2360" s="14" t="n">
        <v>7.6234</v>
      </c>
      <c r="N2360" s="14" t="n">
        <v>6.476</v>
      </c>
      <c r="O2360" s="14" t="n">
        <v>164.57</v>
      </c>
      <c r="P2360" s="14" t="n">
        <v>11.3419</v>
      </c>
    </row>
    <row r="2361" customFormat="false" ht="15" hidden="false" customHeight="false" outlineLevel="0" collapsed="false">
      <c r="A2361" s="13" t="n">
        <v>45657</v>
      </c>
      <c r="B2361" s="14" t="n">
        <v>1477.86</v>
      </c>
      <c r="C2361" s="14" t="n">
        <v>11.3683</v>
      </c>
      <c r="D2361" s="14" t="n">
        <v>1.2521</v>
      </c>
      <c r="E2361" s="14" t="n">
        <v>1.0351</v>
      </c>
      <c r="F2361" s="14" t="n">
        <v>7.2993</v>
      </c>
      <c r="G2361" s="14" t="n">
        <v>6.184</v>
      </c>
      <c r="H2361" s="14" t="n">
        <v>157.37</v>
      </c>
      <c r="I2361" s="14" t="n">
        <v>1.0389</v>
      </c>
      <c r="J2361" s="14" t="n">
        <v>11.795</v>
      </c>
      <c r="K2361" s="14" t="n">
        <v>1532.15</v>
      </c>
      <c r="L2361" s="14" t="n">
        <v>0.82918</v>
      </c>
      <c r="M2361" s="14" t="n">
        <v>7.5833</v>
      </c>
      <c r="N2361" s="14" t="n">
        <v>6.4253</v>
      </c>
      <c r="O2361" s="14" t="n">
        <v>163.06</v>
      </c>
      <c r="P2361" s="14" t="n">
        <v>11.3534</v>
      </c>
    </row>
    <row r="2362" customFormat="false" ht="15" hidden="false" customHeight="false" outlineLevel="0" collapsed="false">
      <c r="A2362" s="13" t="n">
        <v>45658</v>
      </c>
    </row>
    <row r="2363" customFormat="false" ht="15" hidden="false" customHeight="false" outlineLevel="0" collapsed="false">
      <c r="A2363" s="13" t="n">
        <v>45659</v>
      </c>
      <c r="B2363" s="14" t="n">
        <v>1472.52</v>
      </c>
      <c r="C2363" s="14" t="n">
        <v>11.3707</v>
      </c>
      <c r="D2363" s="14" t="n">
        <v>1.2376</v>
      </c>
      <c r="E2363" s="14" t="n">
        <v>1.0261</v>
      </c>
      <c r="F2363" s="14" t="n">
        <v>7.2994</v>
      </c>
      <c r="G2363" s="14" t="n">
        <v>6.1556</v>
      </c>
      <c r="H2363" s="14" t="n">
        <v>157.65</v>
      </c>
      <c r="I2363" s="14" t="n">
        <v>1.0321</v>
      </c>
      <c r="J2363" s="14" t="n">
        <v>11.7173</v>
      </c>
      <c r="K2363" s="14" t="n">
        <v>1515.07</v>
      </c>
      <c r="L2363" s="14" t="n">
        <v>0.83118</v>
      </c>
      <c r="M2363" s="14" t="n">
        <v>7.5338</v>
      </c>
      <c r="N2363" s="14" t="n">
        <v>6.42</v>
      </c>
      <c r="O2363" s="14" t="n">
        <v>162.04</v>
      </c>
      <c r="P2363" s="14" t="n">
        <v>11.3529</v>
      </c>
    </row>
    <row r="2364" customFormat="false" ht="15" hidden="false" customHeight="false" outlineLevel="0" collapsed="false">
      <c r="A2364" s="13" t="n">
        <v>45660</v>
      </c>
      <c r="B2364" s="14" t="n">
        <v>1470</v>
      </c>
      <c r="C2364" s="14" t="n">
        <v>11.3771</v>
      </c>
      <c r="D2364" s="14" t="n">
        <v>1.2419</v>
      </c>
      <c r="E2364" s="14" t="n">
        <v>1.0292</v>
      </c>
      <c r="F2364" s="14" t="n">
        <v>7.3199</v>
      </c>
      <c r="G2364" s="14" t="n">
        <v>6.1759</v>
      </c>
      <c r="H2364" s="14" t="n">
        <v>157.2</v>
      </c>
      <c r="I2364" s="14" t="n">
        <v>1.0299</v>
      </c>
      <c r="J2364" s="14" t="n">
        <v>11.713</v>
      </c>
      <c r="K2364" s="14" t="n">
        <v>1512.7</v>
      </c>
      <c r="L2364" s="14" t="n">
        <v>0.82993</v>
      </c>
      <c r="M2364" s="14" t="n">
        <v>7.5371</v>
      </c>
      <c r="N2364" s="14" t="n">
        <v>6.3478</v>
      </c>
      <c r="O2364" s="14" t="n">
        <v>161.77</v>
      </c>
      <c r="P2364" s="14" t="n">
        <v>11.3729</v>
      </c>
    </row>
    <row r="2365" customFormat="false" ht="15" hidden="false" customHeight="false" outlineLevel="0" collapsed="false">
      <c r="A2365" s="13" t="n">
        <v>45663</v>
      </c>
      <c r="B2365" s="14" t="n">
        <v>1459.94</v>
      </c>
      <c r="C2365" s="14" t="n">
        <v>11.2771</v>
      </c>
      <c r="D2365" s="14" t="n">
        <v>1.253</v>
      </c>
      <c r="E2365" s="14" t="n">
        <v>1.0397</v>
      </c>
      <c r="F2365" s="14" t="n">
        <v>7.3223</v>
      </c>
      <c r="G2365" s="14" t="n">
        <v>6.1086</v>
      </c>
      <c r="H2365" s="14" t="n">
        <v>157.54</v>
      </c>
      <c r="I2365" s="14" t="n">
        <v>1.0426</v>
      </c>
      <c r="J2365" s="14" t="n">
        <v>11.7095</v>
      </c>
      <c r="K2365" s="14" t="n">
        <v>1518.24</v>
      </c>
      <c r="L2365" s="14" t="n">
        <v>0.83098</v>
      </c>
      <c r="M2365" s="14" t="n">
        <v>7.6284</v>
      </c>
      <c r="N2365" s="14" t="n">
        <v>6.3649</v>
      </c>
      <c r="O2365" s="14" t="n">
        <v>163.25</v>
      </c>
      <c r="P2365" s="14" t="n">
        <v>11.2311</v>
      </c>
    </row>
    <row r="2366" customFormat="false" ht="15" hidden="false" customHeight="false" outlineLevel="0" collapsed="false">
      <c r="A2366" s="13" t="n">
        <v>45664</v>
      </c>
      <c r="B2366" s="14" t="n">
        <v>1452.42</v>
      </c>
      <c r="C2366" s="14" t="n">
        <v>11.3302</v>
      </c>
      <c r="D2366" s="14" t="n">
        <v>1.2499</v>
      </c>
      <c r="E2366" s="14" t="n">
        <v>1.0369</v>
      </c>
      <c r="F2366" s="14" t="n">
        <v>7.3264</v>
      </c>
      <c r="G2366" s="14" t="n">
        <v>6.0641</v>
      </c>
      <c r="H2366" s="14" t="n">
        <v>157.82</v>
      </c>
      <c r="I2366" s="14" t="n">
        <v>1.0393</v>
      </c>
      <c r="J2366" s="14" t="n">
        <v>11.7385</v>
      </c>
      <c r="K2366" s="14" t="n">
        <v>1507.35</v>
      </c>
      <c r="L2366" s="14" t="n">
        <v>0.82915</v>
      </c>
      <c r="M2366" s="14" t="n">
        <v>7.6142</v>
      </c>
      <c r="N2366" s="14" t="n">
        <v>6.3134</v>
      </c>
      <c r="O2366" s="14" t="n">
        <v>163.86</v>
      </c>
      <c r="P2366" s="14" t="n">
        <v>11.2946</v>
      </c>
    </row>
    <row r="2367" customFormat="false" ht="15" hidden="false" customHeight="false" outlineLevel="0" collapsed="false">
      <c r="A2367" s="13" t="n">
        <v>45665</v>
      </c>
      <c r="B2367" s="14" t="n">
        <v>1459.85</v>
      </c>
      <c r="C2367" s="14" t="n">
        <v>11.3892</v>
      </c>
      <c r="D2367" s="14" t="n">
        <v>1.2366</v>
      </c>
      <c r="E2367" s="14" t="n">
        <v>1.0313</v>
      </c>
      <c r="F2367" s="14" t="n">
        <v>7.3316</v>
      </c>
      <c r="G2367" s="14" t="n">
        <v>6.128</v>
      </c>
      <c r="H2367" s="14" t="n">
        <v>158.31</v>
      </c>
      <c r="I2367" s="14" t="n">
        <v>1.0286</v>
      </c>
      <c r="J2367" s="14" t="n">
        <v>11.738</v>
      </c>
      <c r="K2367" s="14" t="n">
        <v>1503.5</v>
      </c>
      <c r="L2367" s="14" t="n">
        <v>0.83403</v>
      </c>
      <c r="M2367" s="14" t="n">
        <v>7.5413</v>
      </c>
      <c r="N2367" s="14" t="n">
        <v>6.3075</v>
      </c>
      <c r="O2367" s="14" t="n">
        <v>162.94</v>
      </c>
      <c r="P2367" s="14" t="n">
        <v>11.4116</v>
      </c>
    </row>
    <row r="2368" customFormat="false" ht="15" hidden="false" customHeight="false" outlineLevel="0" collapsed="false">
      <c r="A2368" s="13" t="n">
        <v>45666</v>
      </c>
      <c r="B2368" s="14" t="n">
        <v>1459.23</v>
      </c>
      <c r="C2368" s="14" t="n">
        <v>11.394</v>
      </c>
      <c r="D2368" s="14" t="n">
        <v>1.2303</v>
      </c>
      <c r="E2368" s="14" t="n">
        <v>1.0298</v>
      </c>
      <c r="F2368" s="14" t="n">
        <v>7.3321</v>
      </c>
      <c r="G2368" s="14" t="n">
        <v>6.0691</v>
      </c>
      <c r="H2368" s="14" t="n">
        <v>158.01</v>
      </c>
      <c r="I2368" s="14" t="n">
        <v>1.0305</v>
      </c>
      <c r="J2368" s="14" t="n">
        <v>11.7605</v>
      </c>
      <c r="K2368" s="14" t="n">
        <v>1504.23</v>
      </c>
      <c r="L2368" s="14" t="n">
        <v>0.83808</v>
      </c>
      <c r="M2368" s="14" t="n">
        <v>7.5558</v>
      </c>
      <c r="N2368" s="14" t="n">
        <v>6.2991</v>
      </c>
      <c r="O2368" s="14" t="n">
        <v>162.56</v>
      </c>
      <c r="P2368" s="14" t="n">
        <v>11.4124</v>
      </c>
    </row>
    <row r="2369" customFormat="false" ht="15" hidden="false" customHeight="false" outlineLevel="0" collapsed="false">
      <c r="A2369" s="13" t="n">
        <v>45667</v>
      </c>
      <c r="B2369" s="14" t="n">
        <v>1473.36</v>
      </c>
      <c r="C2369" s="14" t="n">
        <v>11.4735</v>
      </c>
      <c r="D2369" s="14" t="n">
        <v>1.2215</v>
      </c>
      <c r="E2369" s="14" t="n">
        <v>1.0238</v>
      </c>
      <c r="F2369" s="14" t="n">
        <v>7.3326</v>
      </c>
      <c r="G2369" s="14" t="n">
        <v>6.1123</v>
      </c>
      <c r="H2369" s="14" t="n">
        <v>157.68</v>
      </c>
      <c r="I2369" s="14" t="n">
        <v>1.0304</v>
      </c>
      <c r="J2369" s="14" t="n">
        <v>11.757</v>
      </c>
      <c r="K2369" s="14" t="n">
        <v>1511.32</v>
      </c>
      <c r="L2369" s="14" t="n">
        <v>0.83693</v>
      </c>
      <c r="M2369" s="14" t="n">
        <v>7.5542</v>
      </c>
      <c r="N2369" s="14" t="n">
        <v>6.2397</v>
      </c>
      <c r="O2369" s="14" t="n">
        <v>162.86</v>
      </c>
      <c r="P2369" s="14" t="n">
        <v>11.4101</v>
      </c>
    </row>
    <row r="2370" customFormat="false" ht="15" hidden="false" customHeight="false" outlineLevel="0" collapsed="false">
      <c r="A2370" s="13" t="n">
        <v>45670</v>
      </c>
      <c r="B2370" s="14" t="n">
        <v>1466.87</v>
      </c>
      <c r="C2370" s="14" t="n">
        <v>11.4668</v>
      </c>
      <c r="D2370" s="14" t="n">
        <v>1.2158</v>
      </c>
      <c r="E2370" s="14" t="n">
        <v>1.0209</v>
      </c>
      <c r="F2370" s="14" t="n">
        <v>7.3319</v>
      </c>
      <c r="G2370" s="14" t="n">
        <v>6.1089</v>
      </c>
      <c r="H2370" s="14" t="n">
        <v>157.51</v>
      </c>
      <c r="I2370" s="14" t="n">
        <v>1.0198</v>
      </c>
      <c r="J2370" s="14" t="n">
        <v>11.709</v>
      </c>
      <c r="K2370" s="14" t="n">
        <v>1497.52</v>
      </c>
      <c r="L2370" s="14" t="n">
        <v>0.8416</v>
      </c>
      <c r="M2370" s="14" t="n">
        <v>7.4771</v>
      </c>
      <c r="N2370" s="14" t="n">
        <v>6.2109</v>
      </c>
      <c r="O2370" s="14" t="n">
        <v>160.22</v>
      </c>
      <c r="P2370" s="14" t="n">
        <v>11.4817</v>
      </c>
    </row>
    <row r="2371" customFormat="false" ht="15" hidden="false" customHeight="false" outlineLevel="0" collapsed="false">
      <c r="A2371" s="13" t="n">
        <v>45671</v>
      </c>
      <c r="B2371" s="14" t="n">
        <v>1459.5</v>
      </c>
      <c r="C2371" s="14" t="n">
        <v>11.3947</v>
      </c>
      <c r="D2371" s="14" t="n">
        <v>1.2188</v>
      </c>
      <c r="E2371" s="14" t="n">
        <v>1.0292</v>
      </c>
      <c r="F2371" s="14" t="n">
        <v>7.3311</v>
      </c>
      <c r="G2371" s="14" t="n">
        <v>6.0506</v>
      </c>
      <c r="H2371" s="14" t="n">
        <v>157.95</v>
      </c>
      <c r="I2371" s="14" t="n">
        <v>1.0245</v>
      </c>
      <c r="J2371" s="14" t="n">
        <v>11.7195</v>
      </c>
      <c r="K2371" s="14" t="n">
        <v>1496.39</v>
      </c>
      <c r="L2371" s="14" t="n">
        <v>0.84288</v>
      </c>
      <c r="M2371" s="14" t="n">
        <v>7.5108</v>
      </c>
      <c r="N2371" s="14" t="n">
        <v>6.2299</v>
      </c>
      <c r="O2371" s="14" t="n">
        <v>161.63</v>
      </c>
      <c r="P2371" s="14" t="n">
        <v>11.4392</v>
      </c>
    </row>
    <row r="2372" customFormat="false" ht="15" hidden="false" customHeight="false" outlineLevel="0" collapsed="false">
      <c r="A2372" s="13" t="n">
        <v>45672</v>
      </c>
      <c r="B2372" s="14" t="n">
        <v>1456.5</v>
      </c>
      <c r="C2372" s="14" t="n">
        <v>11.3406</v>
      </c>
      <c r="D2372" s="14" t="n">
        <v>1.2214</v>
      </c>
      <c r="E2372" s="14" t="n">
        <v>1.0282</v>
      </c>
      <c r="F2372" s="14" t="n">
        <v>7.3304</v>
      </c>
      <c r="G2372" s="14" t="n">
        <v>6.0466</v>
      </c>
      <c r="H2372" s="14" t="n">
        <v>156.6</v>
      </c>
      <c r="I2372" s="14" t="n">
        <v>1.03</v>
      </c>
      <c r="J2372" s="14" t="n">
        <v>11.7035</v>
      </c>
      <c r="K2372" s="14" t="n">
        <v>1503.15</v>
      </c>
      <c r="L2372" s="14" t="n">
        <v>0.84313</v>
      </c>
      <c r="M2372" s="14" t="n">
        <v>7.5515</v>
      </c>
      <c r="N2372" s="14" t="n">
        <v>6.2377</v>
      </c>
      <c r="O2372" s="14" t="n">
        <v>161.75</v>
      </c>
      <c r="P2372" s="14" t="n">
        <v>11.3626</v>
      </c>
    </row>
    <row r="2373" customFormat="false" ht="15" hidden="false" customHeight="false" outlineLevel="0" collapsed="false">
      <c r="A2373" s="13" t="n">
        <v>45673</v>
      </c>
      <c r="B2373" s="14" t="n">
        <v>1456.16</v>
      </c>
      <c r="C2373" s="14" t="n">
        <v>11.3509</v>
      </c>
      <c r="D2373" s="14" t="n">
        <v>1.2246</v>
      </c>
      <c r="E2373" s="14" t="n">
        <v>1.0303</v>
      </c>
      <c r="F2373" s="14" t="n">
        <v>7.3316</v>
      </c>
      <c r="G2373" s="14" t="n">
        <v>6.0448</v>
      </c>
      <c r="H2373" s="14" t="n">
        <v>155.44</v>
      </c>
      <c r="I2373" s="14" t="n">
        <v>1.0272</v>
      </c>
      <c r="J2373" s="14" t="n">
        <v>11.6965</v>
      </c>
      <c r="K2373" s="14" t="n">
        <v>1499.04</v>
      </c>
      <c r="L2373" s="14" t="n">
        <v>0.84258</v>
      </c>
      <c r="M2373" s="14" t="n">
        <v>7.5311</v>
      </c>
      <c r="N2373" s="14" t="n">
        <v>6.1984</v>
      </c>
      <c r="O2373" s="14" t="n">
        <v>160.46</v>
      </c>
      <c r="P2373" s="14" t="n">
        <v>11.3868</v>
      </c>
    </row>
    <row r="2374" customFormat="false" ht="15" hidden="false" customHeight="false" outlineLevel="0" collapsed="false">
      <c r="A2374" s="13" t="n">
        <v>45674</v>
      </c>
      <c r="B2374" s="14" t="n">
        <v>1457.04</v>
      </c>
      <c r="C2374" s="14" t="n">
        <v>11.4145</v>
      </c>
      <c r="D2374" s="14" t="n">
        <v>1.2181</v>
      </c>
      <c r="E2374" s="14" t="n">
        <v>1.0287</v>
      </c>
      <c r="F2374" s="14" t="n">
        <v>7.3249</v>
      </c>
      <c r="G2374" s="14" t="n">
        <v>6.0368</v>
      </c>
      <c r="H2374" s="14" t="n">
        <v>156.3</v>
      </c>
      <c r="I2374" s="14" t="n">
        <v>1.0298</v>
      </c>
      <c r="J2374" s="14" t="n">
        <v>11.759</v>
      </c>
      <c r="K2374" s="14" t="n">
        <v>1502.05</v>
      </c>
      <c r="L2374" s="14" t="n">
        <v>0.84453</v>
      </c>
      <c r="M2374" s="14" t="n">
        <v>7.5474</v>
      </c>
      <c r="N2374" s="14" t="n">
        <v>6.2518</v>
      </c>
      <c r="O2374" s="14" t="n">
        <v>160.23</v>
      </c>
      <c r="P2374" s="14" t="n">
        <v>11.4187</v>
      </c>
    </row>
    <row r="2375" customFormat="false" ht="15" hidden="false" customHeight="false" outlineLevel="0" collapsed="false">
      <c r="A2375" s="13" t="n">
        <v>45677</v>
      </c>
      <c r="I2375" s="14" t="n">
        <v>1.0316</v>
      </c>
      <c r="J2375" s="14" t="n">
        <v>11.7665</v>
      </c>
      <c r="K2375" s="14" t="n">
        <v>1497.2</v>
      </c>
      <c r="L2375" s="14" t="n">
        <v>0.84588</v>
      </c>
      <c r="M2375" s="14" t="n">
        <v>7.5431</v>
      </c>
      <c r="N2375" s="14" t="n">
        <v>6.2688</v>
      </c>
      <c r="O2375" s="14" t="n">
        <v>161.36</v>
      </c>
      <c r="P2375" s="14" t="n">
        <v>11.4061</v>
      </c>
    </row>
    <row r="2376" customFormat="false" ht="15" hidden="false" customHeight="false" outlineLevel="0" collapsed="false">
      <c r="A2376" s="13" t="n">
        <v>45678</v>
      </c>
      <c r="B2376" s="14" t="n">
        <v>1435.29</v>
      </c>
      <c r="C2376" s="14" t="n">
        <v>11.3019</v>
      </c>
      <c r="D2376" s="14" t="n">
        <v>1.2331</v>
      </c>
      <c r="E2376" s="14" t="n">
        <v>1.0423</v>
      </c>
      <c r="F2376" s="14" t="n">
        <v>7.2712</v>
      </c>
      <c r="G2376" s="14" t="n">
        <v>6.0275</v>
      </c>
      <c r="H2376" s="14" t="n">
        <v>155.49</v>
      </c>
      <c r="I2376" s="14" t="n">
        <v>1.0357</v>
      </c>
      <c r="J2376" s="14" t="n">
        <v>11.817</v>
      </c>
      <c r="K2376" s="14" t="n">
        <v>1493.41</v>
      </c>
      <c r="L2376" s="14" t="n">
        <v>0.84553</v>
      </c>
      <c r="M2376" s="14" t="n">
        <v>7.5443</v>
      </c>
      <c r="N2376" s="14" t="n">
        <v>6.2685</v>
      </c>
      <c r="O2376" s="14" t="n">
        <v>161.26</v>
      </c>
      <c r="P2376" s="14" t="n">
        <v>11.4097</v>
      </c>
    </row>
    <row r="2377" customFormat="false" ht="15" hidden="false" customHeight="false" outlineLevel="0" collapsed="false">
      <c r="A2377" s="13" t="n">
        <v>45679</v>
      </c>
      <c r="B2377" s="14" t="n">
        <v>1435.77</v>
      </c>
      <c r="C2377" s="14" t="n">
        <v>11.2642</v>
      </c>
      <c r="D2377" s="14" t="n">
        <v>1.2324</v>
      </c>
      <c r="E2377" s="14" t="n">
        <v>1.042</v>
      </c>
      <c r="F2377" s="14" t="n">
        <v>7.2728</v>
      </c>
      <c r="G2377" s="14" t="n">
        <v>5.9234</v>
      </c>
      <c r="H2377" s="14" t="n">
        <v>156.62</v>
      </c>
      <c r="I2377" s="14" t="n">
        <v>1.0443</v>
      </c>
      <c r="J2377" s="14" t="n">
        <v>11.7525</v>
      </c>
      <c r="K2377" s="14" t="n">
        <v>1496.01</v>
      </c>
      <c r="L2377" s="14" t="n">
        <v>0.84466</v>
      </c>
      <c r="M2377" s="14" t="n">
        <v>7.5892</v>
      </c>
      <c r="N2377" s="14" t="n">
        <v>6.2738</v>
      </c>
      <c r="O2377" s="14" t="n">
        <v>162.72</v>
      </c>
      <c r="P2377" s="14" t="n">
        <v>11.254</v>
      </c>
    </row>
    <row r="2378" customFormat="false" ht="15" hidden="false" customHeight="false" outlineLevel="0" collapsed="false">
      <c r="A2378" s="13" t="n">
        <v>45680</v>
      </c>
      <c r="B2378" s="14" t="n">
        <v>1434.29</v>
      </c>
      <c r="C2378" s="14" t="n">
        <v>11.2642</v>
      </c>
      <c r="D2378" s="14" t="n">
        <v>1.2347</v>
      </c>
      <c r="E2378" s="14" t="n">
        <v>1.042</v>
      </c>
      <c r="F2378" s="14" t="n">
        <v>7.288</v>
      </c>
      <c r="G2378" s="14" t="n">
        <v>5.906</v>
      </c>
      <c r="H2378" s="14" t="n">
        <v>156</v>
      </c>
      <c r="I2378" s="14" t="n">
        <v>1.0404</v>
      </c>
      <c r="J2378" s="14" t="n">
        <v>11.7305</v>
      </c>
      <c r="K2378" s="14" t="n">
        <v>1494.9</v>
      </c>
      <c r="L2378" s="14" t="n">
        <v>0.84468</v>
      </c>
      <c r="M2378" s="14" t="n">
        <v>7.5829</v>
      </c>
      <c r="N2378" s="14" t="n">
        <v>6.1921</v>
      </c>
      <c r="O2378" s="14" t="n">
        <v>162.58</v>
      </c>
      <c r="P2378" s="14" t="n">
        <v>11.275</v>
      </c>
    </row>
    <row r="2379" customFormat="false" ht="15" hidden="false" customHeight="false" outlineLevel="0" collapsed="false">
      <c r="A2379" s="13" t="n">
        <v>45681</v>
      </c>
      <c r="B2379" s="14" t="n">
        <v>1429.17</v>
      </c>
      <c r="C2379" s="14" t="n">
        <v>11.1732</v>
      </c>
      <c r="D2379" s="14" t="n">
        <v>1.2496</v>
      </c>
      <c r="E2379" s="14" t="n">
        <v>1.0515</v>
      </c>
      <c r="F2379" s="14" t="n">
        <v>7.244</v>
      </c>
      <c r="G2379" s="14" t="n">
        <v>5.8811</v>
      </c>
      <c r="H2379" s="14" t="n">
        <v>155.58</v>
      </c>
      <c r="I2379" s="14" t="n">
        <v>1.0472</v>
      </c>
      <c r="J2379" s="14" t="n">
        <v>11.7495</v>
      </c>
      <c r="K2379" s="14" t="n">
        <v>1501.6</v>
      </c>
      <c r="L2379" s="14" t="n">
        <v>0.84413</v>
      </c>
      <c r="M2379" s="14" t="n">
        <v>7.5891</v>
      </c>
      <c r="N2379" s="14" t="n">
        <v>6.1866</v>
      </c>
      <c r="O2379" s="14" t="n">
        <v>163.9</v>
      </c>
      <c r="P2379" s="14" t="n">
        <v>11.2199</v>
      </c>
    </row>
    <row r="2380" customFormat="false" ht="15" hidden="false" customHeight="false" outlineLevel="0" collapsed="false">
      <c r="A2380" s="13" t="n">
        <v>45684</v>
      </c>
      <c r="B2380" s="14" t="n">
        <v>1433.83</v>
      </c>
      <c r="C2380" s="14" t="n">
        <v>11.2499</v>
      </c>
      <c r="D2380" s="14" t="n">
        <v>1.2479</v>
      </c>
      <c r="E2380" s="14" t="n">
        <v>1.0492</v>
      </c>
      <c r="F2380" s="14" t="n">
        <v>7.2507</v>
      </c>
      <c r="G2380" s="14" t="n">
        <v>5.9156</v>
      </c>
      <c r="H2380" s="14" t="n">
        <v>154.22</v>
      </c>
      <c r="I2380" s="14" t="n">
        <v>1.053</v>
      </c>
      <c r="J2380" s="14" t="n">
        <v>11.8095</v>
      </c>
      <c r="K2380" s="14" t="n">
        <v>1507.97</v>
      </c>
      <c r="L2380" s="14" t="n">
        <v>0.84106</v>
      </c>
      <c r="M2380" s="14" t="n">
        <v>7.6306</v>
      </c>
      <c r="N2380" s="14" t="n">
        <v>6.2375</v>
      </c>
      <c r="O2380" s="14" t="n">
        <v>162.21</v>
      </c>
      <c r="P2380" s="14" t="n">
        <v>11.2151</v>
      </c>
    </row>
    <row r="2381" customFormat="false" ht="15" hidden="false" customHeight="false" outlineLevel="0" collapsed="false">
      <c r="A2381" s="13" t="n">
        <v>45685</v>
      </c>
      <c r="B2381" s="14" t="n">
        <v>1446.42</v>
      </c>
      <c r="C2381" s="14" t="n">
        <v>11.2984</v>
      </c>
      <c r="D2381" s="14" t="n">
        <v>1.2433</v>
      </c>
      <c r="E2381" s="14" t="n">
        <v>1.0427</v>
      </c>
      <c r="F2381" s="14" t="n">
        <v>7.2422</v>
      </c>
      <c r="G2381" s="14" t="n">
        <v>5.8596</v>
      </c>
      <c r="H2381" s="14" t="n">
        <v>155.65</v>
      </c>
      <c r="I2381" s="14" t="n">
        <v>1.0421</v>
      </c>
      <c r="J2381" s="14" t="n">
        <v>11.7785</v>
      </c>
      <c r="K2381" s="14" t="n">
        <v>1506.81</v>
      </c>
      <c r="L2381" s="14" t="n">
        <v>0.83868</v>
      </c>
      <c r="M2381" s="14" t="n">
        <v>7.5517</v>
      </c>
      <c r="N2381" s="14" t="n">
        <v>6.1535</v>
      </c>
      <c r="O2381" s="14" t="n">
        <v>161.86</v>
      </c>
      <c r="P2381" s="14" t="n">
        <v>11.3027</v>
      </c>
    </row>
    <row r="2382" customFormat="false" ht="15" hidden="false" customHeight="false" outlineLevel="0" collapsed="false">
      <c r="A2382" s="13" t="n">
        <v>45686</v>
      </c>
      <c r="B2382" s="14" t="n">
        <v>1441.85</v>
      </c>
      <c r="C2382" s="14" t="n">
        <v>11.2976</v>
      </c>
      <c r="D2382" s="14" t="n">
        <v>1.2435</v>
      </c>
      <c r="E2382" s="14" t="n">
        <v>1.0416</v>
      </c>
      <c r="F2382" s="14" t="n">
        <v>7.2422</v>
      </c>
      <c r="G2382" s="14" t="n">
        <v>5.881</v>
      </c>
      <c r="H2382" s="14" t="n">
        <v>155.22</v>
      </c>
      <c r="I2382" s="14" t="n">
        <v>1.0396</v>
      </c>
      <c r="J2382" s="14" t="n">
        <v>11.7785</v>
      </c>
      <c r="K2382" s="14" t="n">
        <v>1504.02</v>
      </c>
      <c r="L2382" s="14" t="n">
        <v>0.83723</v>
      </c>
      <c r="M2382" s="14" t="n">
        <v>7.5385</v>
      </c>
      <c r="N2382" s="14" t="n">
        <v>6.0791</v>
      </c>
      <c r="O2382" s="14" t="n">
        <v>161.5</v>
      </c>
      <c r="P2382" s="14" t="n">
        <v>11.3298</v>
      </c>
    </row>
    <row r="2383" customFormat="false" ht="15" hidden="false" customHeight="false" outlineLevel="0" collapsed="false">
      <c r="A2383" s="13" t="n">
        <v>45687</v>
      </c>
      <c r="B2383" s="14" t="n">
        <v>1442.16</v>
      </c>
      <c r="C2383" s="14" t="n">
        <v>11.2847</v>
      </c>
      <c r="D2383" s="14" t="n">
        <v>1.2453</v>
      </c>
      <c r="E2383" s="14" t="n">
        <v>1.042</v>
      </c>
      <c r="F2383" s="14" t="n">
        <v>7.2422</v>
      </c>
      <c r="G2383" s="14" t="n">
        <v>5.896</v>
      </c>
      <c r="H2383" s="14" t="n">
        <v>154.42</v>
      </c>
      <c r="I2383" s="14" t="n">
        <v>1.0403</v>
      </c>
      <c r="J2383" s="14" t="n">
        <v>11.7615</v>
      </c>
      <c r="K2383" s="14" t="n">
        <v>1500.02</v>
      </c>
      <c r="L2383" s="14" t="n">
        <v>0.83685</v>
      </c>
      <c r="M2383" s="14" t="n">
        <v>7.5436</v>
      </c>
      <c r="N2383" s="14" t="n">
        <v>6.1496</v>
      </c>
      <c r="O2383" s="14" t="n">
        <v>160.32</v>
      </c>
      <c r="P2383" s="14" t="n">
        <v>11.3059</v>
      </c>
    </row>
    <row r="2384" customFormat="false" ht="15" hidden="false" customHeight="false" outlineLevel="0" collapsed="false">
      <c r="A2384" s="13" t="n">
        <v>45688</v>
      </c>
      <c r="B2384" s="14" t="n">
        <v>1453.86</v>
      </c>
      <c r="C2384" s="14" t="n">
        <v>11.2894</v>
      </c>
      <c r="D2384" s="14" t="n">
        <v>1.2447</v>
      </c>
      <c r="E2384" s="14" t="n">
        <v>1.04</v>
      </c>
      <c r="F2384" s="14" t="n">
        <v>7.2422</v>
      </c>
      <c r="G2384" s="14" t="n">
        <v>5.837</v>
      </c>
      <c r="H2384" s="14" t="n">
        <v>154.91</v>
      </c>
      <c r="I2384" s="14" t="n">
        <v>1.0393</v>
      </c>
      <c r="J2384" s="14" t="n">
        <v>11.7373</v>
      </c>
      <c r="K2384" s="14" t="n">
        <v>1506.62</v>
      </c>
      <c r="L2384" s="14" t="n">
        <v>0.83608</v>
      </c>
      <c r="M2384" s="14" t="n">
        <v>7.5363</v>
      </c>
      <c r="N2384" s="14" t="n">
        <v>6.0677</v>
      </c>
      <c r="O2384" s="14" t="n">
        <v>160.99</v>
      </c>
      <c r="P2384" s="14" t="n">
        <v>11.2935</v>
      </c>
    </row>
    <row r="2385" customFormat="false" ht="15" hidden="false" customHeight="false" outlineLevel="0" collapsed="false">
      <c r="A2385" s="13" t="n">
        <v>45691</v>
      </c>
      <c r="B2385" s="14" t="n">
        <v>1461.21</v>
      </c>
      <c r="C2385" s="14" t="n">
        <v>11.4094</v>
      </c>
      <c r="D2385" s="14" t="n">
        <v>1.2389</v>
      </c>
      <c r="E2385" s="14" t="n">
        <v>1.0277</v>
      </c>
      <c r="F2385" s="14" t="n">
        <v>7.2422</v>
      </c>
      <c r="G2385" s="14" t="n">
        <v>5.8322</v>
      </c>
      <c r="H2385" s="14" t="n">
        <v>154.68</v>
      </c>
      <c r="I2385" s="14" t="n">
        <v>1.0274</v>
      </c>
      <c r="J2385" s="14" t="n">
        <v>11.7138</v>
      </c>
      <c r="K2385" s="14" t="n">
        <v>1504.01</v>
      </c>
      <c r="L2385" s="14" t="n">
        <v>0.83136</v>
      </c>
      <c r="M2385" s="14" t="n">
        <v>7.45</v>
      </c>
      <c r="N2385" s="14" t="n">
        <v>6.0119</v>
      </c>
      <c r="O2385" s="14" t="n">
        <v>158.87</v>
      </c>
      <c r="P2385" s="14" t="n">
        <v>11.4014</v>
      </c>
    </row>
    <row r="2386" customFormat="false" ht="15" hidden="false" customHeight="false" outlineLevel="0" collapsed="false">
      <c r="A2386" s="13" t="n">
        <v>45692</v>
      </c>
      <c r="B2386" s="14" t="n">
        <v>1451.02</v>
      </c>
      <c r="C2386" s="14" t="n">
        <v>11.2377</v>
      </c>
      <c r="D2386" s="14" t="n">
        <v>1.2487</v>
      </c>
      <c r="E2386" s="14" t="n">
        <v>1.0379</v>
      </c>
      <c r="F2386" s="14" t="n">
        <v>7.2422</v>
      </c>
      <c r="G2386" s="14" t="n">
        <v>5.7598</v>
      </c>
      <c r="H2386" s="14" t="n">
        <v>154.56</v>
      </c>
      <c r="I2386" s="14" t="n">
        <v>1.0335</v>
      </c>
      <c r="J2386" s="14" t="n">
        <v>11.721</v>
      </c>
      <c r="K2386" s="14" t="n">
        <v>1504.21</v>
      </c>
      <c r="L2386" s="14" t="n">
        <v>0.83188</v>
      </c>
      <c r="M2386" s="14" t="n">
        <v>7.4943</v>
      </c>
      <c r="N2386" s="14" t="n">
        <v>6.0138</v>
      </c>
      <c r="O2386" s="14" t="n">
        <v>160.52</v>
      </c>
      <c r="P2386" s="14" t="n">
        <v>11.3411</v>
      </c>
    </row>
    <row r="2387" customFormat="false" ht="15" hidden="false" customHeight="false" outlineLevel="0" collapsed="false">
      <c r="A2387" s="13" t="n">
        <v>45693</v>
      </c>
      <c r="B2387" s="14" t="n">
        <v>1442.37</v>
      </c>
      <c r="C2387" s="14" t="n">
        <v>11.2093</v>
      </c>
      <c r="D2387" s="14" t="n">
        <v>1.2516</v>
      </c>
      <c r="E2387" s="14" t="n">
        <v>1.0419</v>
      </c>
      <c r="F2387" s="14" t="n">
        <v>7.272</v>
      </c>
      <c r="G2387" s="14" t="n">
        <v>5.7986</v>
      </c>
      <c r="H2387" s="14" t="n">
        <v>152.33</v>
      </c>
      <c r="I2387" s="14" t="n">
        <v>1.0422</v>
      </c>
      <c r="J2387" s="14" t="n">
        <v>11.6693</v>
      </c>
      <c r="K2387" s="14" t="n">
        <v>1507.59</v>
      </c>
      <c r="L2387" s="14" t="n">
        <v>0.83085</v>
      </c>
      <c r="M2387" s="14" t="n">
        <v>7.5797</v>
      </c>
      <c r="N2387" s="14" t="n">
        <v>6.0327</v>
      </c>
      <c r="O2387" s="14" t="n">
        <v>159.25</v>
      </c>
      <c r="P2387" s="14" t="n">
        <v>11.1968</v>
      </c>
    </row>
    <row r="2388" customFormat="false" ht="15" hidden="false" customHeight="false" outlineLevel="0" collapsed="false">
      <c r="A2388" s="13" t="n">
        <v>45694</v>
      </c>
      <c r="B2388" s="14" t="n">
        <v>1447.05</v>
      </c>
      <c r="C2388" s="14" t="n">
        <v>11.2281</v>
      </c>
      <c r="D2388" s="14" t="n">
        <v>1.2435</v>
      </c>
      <c r="E2388" s="14" t="n">
        <v>1.0368</v>
      </c>
      <c r="F2388" s="14" t="n">
        <v>7.2883</v>
      </c>
      <c r="G2388" s="14" t="n">
        <v>5.7735</v>
      </c>
      <c r="H2388" s="14" t="n">
        <v>152.04</v>
      </c>
      <c r="I2388" s="14" t="n">
        <v>1.036</v>
      </c>
      <c r="J2388" s="14" t="n">
        <v>11.6585</v>
      </c>
      <c r="K2388" s="14" t="n">
        <v>1502.98</v>
      </c>
      <c r="L2388" s="14" t="n">
        <v>0.83688</v>
      </c>
      <c r="M2388" s="14" t="n">
        <v>7.5511</v>
      </c>
      <c r="N2388" s="14" t="n">
        <v>6.0127</v>
      </c>
      <c r="O2388" s="14" t="n">
        <v>157.95</v>
      </c>
      <c r="P2388" s="14" t="n">
        <v>11.2534</v>
      </c>
    </row>
    <row r="2389" customFormat="false" ht="15" hidden="false" customHeight="false" outlineLevel="0" collapsed="false">
      <c r="A2389" s="13" t="n">
        <v>45695</v>
      </c>
      <c r="B2389" s="14" t="n">
        <v>1453.97</v>
      </c>
      <c r="C2389" s="14" t="n">
        <v>11.2549</v>
      </c>
      <c r="D2389" s="14" t="n">
        <v>1.2396</v>
      </c>
      <c r="E2389" s="14" t="n">
        <v>1.0329</v>
      </c>
      <c r="F2389" s="14" t="n">
        <v>7.2943</v>
      </c>
      <c r="G2389" s="14" t="n">
        <v>5.7849</v>
      </c>
      <c r="H2389" s="14" t="n">
        <v>151.3</v>
      </c>
      <c r="I2389" s="14" t="n">
        <v>1.0377</v>
      </c>
      <c r="J2389" s="14" t="n">
        <v>11.625</v>
      </c>
      <c r="K2389" s="14" t="n">
        <v>1501.65</v>
      </c>
      <c r="L2389" s="14" t="n">
        <v>0.83353</v>
      </c>
      <c r="M2389" s="14" t="n">
        <v>7.5634</v>
      </c>
      <c r="N2389" s="14" t="n">
        <v>5.9857</v>
      </c>
      <c r="O2389" s="14" t="n">
        <v>157.77</v>
      </c>
      <c r="P2389" s="14" t="n">
        <v>11.2027</v>
      </c>
    </row>
    <row r="2390" customFormat="false" ht="15" hidden="false" customHeight="false" outlineLevel="0" collapsed="false">
      <c r="A2390" s="13" t="n">
        <v>45698</v>
      </c>
      <c r="B2390" s="14" t="n">
        <v>1451</v>
      </c>
      <c r="C2390" s="14" t="n">
        <v>11.2041</v>
      </c>
      <c r="D2390" s="14" t="n">
        <v>1.2385</v>
      </c>
      <c r="E2390" s="14" t="n">
        <v>1.0312</v>
      </c>
      <c r="F2390" s="14" t="n">
        <v>7.3045</v>
      </c>
      <c r="G2390" s="14" t="n">
        <v>5.7754</v>
      </c>
      <c r="H2390" s="14" t="n">
        <v>151.72</v>
      </c>
      <c r="I2390" s="14" t="n">
        <v>1.032</v>
      </c>
      <c r="J2390" s="14" t="n">
        <v>11.5745</v>
      </c>
      <c r="K2390" s="14" t="n">
        <v>1496.81</v>
      </c>
      <c r="L2390" s="14" t="n">
        <v>0.83283</v>
      </c>
      <c r="M2390" s="14" t="n">
        <v>7.5395</v>
      </c>
      <c r="N2390" s="14" t="n">
        <v>5.9622</v>
      </c>
      <c r="O2390" s="14" t="n">
        <v>156.92</v>
      </c>
      <c r="P2390" s="14" t="n">
        <v>11.2156</v>
      </c>
    </row>
    <row r="2391" customFormat="false" ht="15" hidden="false" customHeight="false" outlineLevel="0" collapsed="false">
      <c r="A2391" s="13" t="n">
        <v>45699</v>
      </c>
      <c r="B2391" s="14" t="n">
        <v>1452.31</v>
      </c>
      <c r="C2391" s="14" t="n">
        <v>11.2009</v>
      </c>
      <c r="D2391" s="14" t="n">
        <v>1.2423</v>
      </c>
      <c r="E2391" s="14" t="n">
        <v>1.0346</v>
      </c>
      <c r="F2391" s="14" t="n">
        <v>7.3072</v>
      </c>
      <c r="G2391" s="14" t="n">
        <v>5.7621</v>
      </c>
      <c r="H2391" s="14" t="n">
        <v>152.37</v>
      </c>
      <c r="I2391" s="14" t="n">
        <v>1.0324</v>
      </c>
      <c r="J2391" s="14" t="n">
        <v>11.5755</v>
      </c>
      <c r="K2391" s="14" t="n">
        <v>1500.7</v>
      </c>
      <c r="L2391" s="14" t="n">
        <v>0.83355</v>
      </c>
      <c r="M2391" s="14" t="n">
        <v>7.544</v>
      </c>
      <c r="N2391" s="14" t="n">
        <v>5.9898</v>
      </c>
      <c r="O2391" s="14" t="n">
        <v>157.28</v>
      </c>
      <c r="P2391" s="14" t="n">
        <v>11.2122</v>
      </c>
    </row>
    <row r="2392" customFormat="false" ht="15" hidden="false" customHeight="false" outlineLevel="0" collapsed="false">
      <c r="A2392" s="13" t="n">
        <v>45700</v>
      </c>
      <c r="B2392" s="14" t="n">
        <v>1453.49</v>
      </c>
      <c r="C2392" s="14" t="n">
        <v>11.253</v>
      </c>
      <c r="D2392" s="14" t="n">
        <v>1.2444</v>
      </c>
      <c r="E2392" s="14" t="n">
        <v>1.0392</v>
      </c>
      <c r="F2392" s="14" t="n">
        <v>7.3088</v>
      </c>
      <c r="G2392" s="14" t="n">
        <v>5.76</v>
      </c>
      <c r="H2392" s="14" t="n">
        <v>154.62</v>
      </c>
      <c r="I2392" s="14" t="n">
        <v>1.037</v>
      </c>
      <c r="J2392" s="14" t="n">
        <v>11.662</v>
      </c>
      <c r="K2392" s="14" t="n">
        <v>1505.97</v>
      </c>
      <c r="L2392" s="14" t="n">
        <v>0.83338</v>
      </c>
      <c r="M2392" s="14" t="n">
        <v>7.5794</v>
      </c>
      <c r="N2392" s="14" t="n">
        <v>5.9812</v>
      </c>
      <c r="O2392" s="14" t="n">
        <v>159.22</v>
      </c>
      <c r="P2392" s="14" t="n">
        <v>11.2459</v>
      </c>
    </row>
    <row r="2393" customFormat="false" ht="15" hidden="false" customHeight="false" outlineLevel="0" collapsed="false">
      <c r="A2393" s="13" t="n">
        <v>45701</v>
      </c>
      <c r="B2393" s="14" t="n">
        <v>1446.95</v>
      </c>
      <c r="C2393" s="14" t="n">
        <v>11.1967</v>
      </c>
      <c r="D2393" s="14" t="n">
        <v>1.2528</v>
      </c>
      <c r="E2393" s="14" t="n">
        <v>1.0428</v>
      </c>
      <c r="F2393" s="14" t="n">
        <v>7.2888</v>
      </c>
      <c r="G2393" s="14" t="n">
        <v>5.7623</v>
      </c>
      <c r="H2393" s="14" t="n">
        <v>153.18</v>
      </c>
      <c r="I2393" s="14" t="n">
        <v>1.039</v>
      </c>
      <c r="J2393" s="14" t="n">
        <v>11.7145</v>
      </c>
      <c r="K2393" s="14" t="n">
        <v>1507.52</v>
      </c>
      <c r="L2393" s="14" t="n">
        <v>0.83313</v>
      </c>
      <c r="M2393" s="14" t="n">
        <v>7.5817</v>
      </c>
      <c r="N2393" s="14" t="n">
        <v>6.0084</v>
      </c>
      <c r="O2393" s="14" t="n">
        <v>159.79</v>
      </c>
      <c r="P2393" s="14" t="n">
        <v>11.2748</v>
      </c>
    </row>
    <row r="2394" customFormat="false" ht="15" hidden="false" customHeight="false" outlineLevel="0" collapsed="false">
      <c r="A2394" s="13" t="n">
        <v>45702</v>
      </c>
      <c r="B2394" s="14" t="n">
        <v>1439.89</v>
      </c>
      <c r="C2394" s="14" t="n">
        <v>11.1078</v>
      </c>
      <c r="D2394" s="14" t="n">
        <v>1.2609</v>
      </c>
      <c r="E2394" s="14" t="n">
        <v>1.0498</v>
      </c>
      <c r="F2394" s="14" t="n">
        <v>7.253</v>
      </c>
      <c r="G2394" s="14" t="n">
        <v>5.7152</v>
      </c>
      <c r="H2394" s="14" t="n">
        <v>152.25</v>
      </c>
      <c r="I2394" s="14" t="n">
        <v>1.0478</v>
      </c>
      <c r="J2394" s="14" t="n">
        <v>11.6515</v>
      </c>
      <c r="K2394" s="14" t="n">
        <v>1509.5</v>
      </c>
      <c r="L2394" s="14" t="n">
        <v>0.83215</v>
      </c>
      <c r="M2394" s="14" t="n">
        <v>7.6141</v>
      </c>
      <c r="N2394" s="14" t="n">
        <v>6.0127</v>
      </c>
      <c r="O2394" s="14" t="n">
        <v>160.09</v>
      </c>
      <c r="P2394" s="14" t="n">
        <v>11.12</v>
      </c>
    </row>
    <row r="2395" customFormat="false" ht="15" hidden="false" customHeight="false" outlineLevel="0" collapsed="false">
      <c r="A2395" s="13" t="n">
        <v>45705</v>
      </c>
      <c r="I2395" s="14" t="n">
        <v>1.0473</v>
      </c>
      <c r="J2395" s="14" t="n">
        <v>11.6415</v>
      </c>
      <c r="K2395" s="14" t="n">
        <v>1511.85</v>
      </c>
      <c r="L2395" s="14" t="n">
        <v>0.83133</v>
      </c>
      <c r="M2395" s="14" t="n">
        <v>7.6066</v>
      </c>
      <c r="N2395" s="14" t="n">
        <v>5.9756</v>
      </c>
      <c r="O2395" s="14" t="n">
        <v>158.67</v>
      </c>
      <c r="P2395" s="14" t="n">
        <v>11.1157</v>
      </c>
    </row>
    <row r="2396" customFormat="false" ht="15" hidden="false" customHeight="false" outlineLevel="0" collapsed="false">
      <c r="A2396" s="13" t="n">
        <v>45706</v>
      </c>
      <c r="B2396" s="14" t="n">
        <v>1438.83</v>
      </c>
      <c r="C2396" s="14" t="n">
        <v>11.1471</v>
      </c>
      <c r="D2396" s="14" t="n">
        <v>1.2614</v>
      </c>
      <c r="E2396" s="14" t="n">
        <v>1.0457</v>
      </c>
      <c r="F2396" s="14" t="n">
        <v>7.2786</v>
      </c>
      <c r="G2396" s="14" t="n">
        <v>5.688</v>
      </c>
      <c r="H2396" s="14" t="n">
        <v>151.79</v>
      </c>
      <c r="I2396" s="14" t="n">
        <v>1.0447</v>
      </c>
      <c r="J2396" s="14" t="n">
        <v>11.659</v>
      </c>
      <c r="K2396" s="14" t="n">
        <v>1506.32</v>
      </c>
      <c r="L2396" s="14" t="n">
        <v>0.83025</v>
      </c>
      <c r="M2396" s="14" t="n">
        <v>7.6056</v>
      </c>
      <c r="N2396" s="14" t="n">
        <v>5.9576</v>
      </c>
      <c r="O2396" s="14" t="n">
        <v>158.55</v>
      </c>
      <c r="P2396" s="14" t="n">
        <v>11.1601</v>
      </c>
    </row>
    <row r="2397" customFormat="false" ht="15" hidden="false" customHeight="false" outlineLevel="0" collapsed="false">
      <c r="A2397" s="13" t="n">
        <v>45707</v>
      </c>
      <c r="B2397" s="14" t="n">
        <v>1441.06</v>
      </c>
      <c r="C2397" s="14" t="n">
        <v>11.1442</v>
      </c>
      <c r="D2397" s="14" t="n">
        <v>1.2571</v>
      </c>
      <c r="E2397" s="14" t="n">
        <v>1.0406</v>
      </c>
      <c r="F2397" s="14" t="n">
        <v>7.2833</v>
      </c>
      <c r="G2397" s="14" t="n">
        <v>5.7143</v>
      </c>
      <c r="H2397" s="14" t="n">
        <v>151.67</v>
      </c>
      <c r="I2397" s="14" t="n">
        <v>1.0434</v>
      </c>
      <c r="J2397" s="14" t="n">
        <v>11.629</v>
      </c>
      <c r="K2397" s="14" t="n">
        <v>1504.72</v>
      </c>
      <c r="L2397" s="14" t="n">
        <v>0.82838</v>
      </c>
      <c r="M2397" s="14" t="n">
        <v>7.6017</v>
      </c>
      <c r="N2397" s="14" t="n">
        <v>5.9775</v>
      </c>
      <c r="O2397" s="14" t="n">
        <v>158.41</v>
      </c>
      <c r="P2397" s="14" t="n">
        <v>11.1453</v>
      </c>
    </row>
    <row r="2398" customFormat="false" ht="15" hidden="false" customHeight="false" outlineLevel="0" collapsed="false">
      <c r="A2398" s="13" t="n">
        <v>45708</v>
      </c>
      <c r="B2398" s="14" t="n">
        <v>1434.71</v>
      </c>
      <c r="C2398" s="14" t="n">
        <v>11.1212</v>
      </c>
      <c r="D2398" s="14" t="n">
        <v>1.2643</v>
      </c>
      <c r="E2398" s="14" t="n">
        <v>1.0475</v>
      </c>
      <c r="F2398" s="14" t="n">
        <v>7.2555</v>
      </c>
      <c r="G2398" s="14" t="n">
        <v>5.697</v>
      </c>
      <c r="H2398" s="14" t="n">
        <v>149.63</v>
      </c>
      <c r="I2398" s="14" t="n">
        <v>1.0443</v>
      </c>
      <c r="J2398" s="14" t="n">
        <v>11.609</v>
      </c>
      <c r="K2398" s="14" t="n">
        <v>1500.62</v>
      </c>
      <c r="L2398" s="14" t="n">
        <v>0.82823</v>
      </c>
      <c r="M2398" s="14" t="n">
        <v>7.5807</v>
      </c>
      <c r="N2398" s="14" t="n">
        <v>5.9526</v>
      </c>
      <c r="O2398" s="14" t="n">
        <v>156.6</v>
      </c>
      <c r="P2398" s="14" t="n">
        <v>11.1165</v>
      </c>
    </row>
    <row r="2399" customFormat="false" ht="15" hidden="false" customHeight="false" outlineLevel="0" collapsed="false">
      <c r="A2399" s="13" t="n">
        <v>45709</v>
      </c>
      <c r="B2399" s="14" t="n">
        <v>1434.06</v>
      </c>
      <c r="C2399" s="14" t="n">
        <v>11.1177</v>
      </c>
      <c r="D2399" s="14" t="n">
        <v>1.2647</v>
      </c>
      <c r="E2399" s="14" t="n">
        <v>1.0455</v>
      </c>
      <c r="F2399" s="14" t="n">
        <v>7.2501</v>
      </c>
      <c r="G2399" s="14" t="n">
        <v>5.6976</v>
      </c>
      <c r="H2399" s="14" t="n">
        <v>149.49</v>
      </c>
      <c r="I2399" s="14" t="n">
        <v>1.0465</v>
      </c>
      <c r="J2399" s="14" t="n">
        <v>11.629</v>
      </c>
      <c r="K2399" s="14" t="n">
        <v>1500.16</v>
      </c>
      <c r="L2399" s="14" t="n">
        <v>0.8276</v>
      </c>
      <c r="M2399" s="14" t="n">
        <v>7.5933</v>
      </c>
      <c r="N2399" s="14" t="n">
        <v>5.9751</v>
      </c>
      <c r="O2399" s="14" t="n">
        <v>157.46</v>
      </c>
      <c r="P2399" s="14" t="n">
        <v>11.1123</v>
      </c>
    </row>
    <row r="2400" customFormat="false" ht="15" hidden="false" customHeight="false" outlineLevel="0" collapsed="false">
      <c r="A2400" s="13" t="n">
        <v>45712</v>
      </c>
      <c r="B2400" s="14" t="n">
        <v>1429.77</v>
      </c>
      <c r="C2400" s="14" t="n">
        <v>11.105</v>
      </c>
      <c r="D2400" s="14" t="n">
        <v>1.264</v>
      </c>
      <c r="E2400" s="14" t="n">
        <v>1.0478</v>
      </c>
      <c r="F2400" s="14" t="n">
        <v>7.2476</v>
      </c>
      <c r="G2400" s="14" t="n">
        <v>5.7325</v>
      </c>
      <c r="H2400" s="14" t="n">
        <v>149.57</v>
      </c>
      <c r="I2400" s="14" t="n">
        <v>1.0466</v>
      </c>
      <c r="J2400" s="14" t="n">
        <v>11.6355</v>
      </c>
      <c r="K2400" s="14" t="n">
        <v>1494.52</v>
      </c>
      <c r="L2400" s="14" t="n">
        <v>0.8283</v>
      </c>
      <c r="M2400" s="14" t="n">
        <v>7.5879</v>
      </c>
      <c r="N2400" s="14" t="n">
        <v>5.9857</v>
      </c>
      <c r="O2400" s="14" t="n">
        <v>156.81</v>
      </c>
      <c r="P2400" s="14" t="n">
        <v>11.1174</v>
      </c>
    </row>
    <row r="2401" customFormat="false" ht="15" hidden="false" customHeight="false" outlineLevel="0" collapsed="false">
      <c r="A2401" s="13" t="n">
        <v>45713</v>
      </c>
      <c r="B2401" s="14" t="n">
        <v>1433.79</v>
      </c>
      <c r="C2401" s="14" t="n">
        <v>11.1236</v>
      </c>
      <c r="D2401" s="14" t="n">
        <v>1.2652</v>
      </c>
      <c r="E2401" s="14" t="n">
        <v>1.0498</v>
      </c>
      <c r="F2401" s="14" t="n">
        <v>7.2512</v>
      </c>
      <c r="G2401" s="14" t="n">
        <v>5.7677</v>
      </c>
      <c r="H2401" s="14" t="n">
        <v>149.09</v>
      </c>
      <c r="I2401" s="14" t="n">
        <v>1.0497</v>
      </c>
      <c r="J2401" s="14" t="n">
        <v>11.6638</v>
      </c>
      <c r="K2401" s="14" t="n">
        <v>1505.11</v>
      </c>
      <c r="L2401" s="14" t="n">
        <v>0.82908</v>
      </c>
      <c r="M2401" s="14" t="n">
        <v>7.6219</v>
      </c>
      <c r="N2401" s="14" t="n">
        <v>6.0839</v>
      </c>
      <c r="O2401" s="14" t="n">
        <v>157.19</v>
      </c>
      <c r="P2401" s="14" t="n">
        <v>11.1116</v>
      </c>
    </row>
    <row r="2402" customFormat="false" ht="15" hidden="false" customHeight="false" outlineLevel="0" collapsed="false">
      <c r="A2402" s="13" t="n">
        <v>45714</v>
      </c>
      <c r="B2402" s="14" t="n">
        <v>1433.2</v>
      </c>
      <c r="C2402" s="14" t="n">
        <v>11.1309</v>
      </c>
      <c r="D2402" s="14" t="n">
        <v>1.2696</v>
      </c>
      <c r="E2402" s="14" t="n">
        <v>1.0514</v>
      </c>
      <c r="F2402" s="14" t="n">
        <v>7.2595</v>
      </c>
      <c r="G2402" s="14" t="n">
        <v>5.78</v>
      </c>
      <c r="H2402" s="14" t="n">
        <v>149.13</v>
      </c>
      <c r="I2402" s="14" t="n">
        <v>1.0487</v>
      </c>
      <c r="J2402" s="14" t="n">
        <v>11.6895</v>
      </c>
      <c r="K2402" s="14" t="n">
        <v>1504.35</v>
      </c>
      <c r="L2402" s="14" t="n">
        <v>0.82868</v>
      </c>
      <c r="M2402" s="14" t="n">
        <v>7.6125</v>
      </c>
      <c r="N2402" s="14" t="n">
        <v>6.0329</v>
      </c>
      <c r="O2402" s="14" t="n">
        <v>156.7</v>
      </c>
      <c r="P2402" s="14" t="n">
        <v>11.1467</v>
      </c>
    </row>
    <row r="2403" customFormat="false" ht="15" hidden="false" customHeight="false" outlineLevel="0" collapsed="false">
      <c r="A2403" s="13" t="n">
        <v>45715</v>
      </c>
      <c r="B2403" s="14" t="n">
        <v>1447.35</v>
      </c>
      <c r="C2403" s="14" t="n">
        <v>11.2422</v>
      </c>
      <c r="D2403" s="14" t="n">
        <v>1.2628</v>
      </c>
      <c r="E2403" s="14" t="n">
        <v>1.0414</v>
      </c>
      <c r="F2403" s="14" t="n">
        <v>7.2853</v>
      </c>
      <c r="G2403" s="14" t="n">
        <v>5.8282</v>
      </c>
      <c r="H2403" s="14" t="n">
        <v>149.8</v>
      </c>
      <c r="I2403" s="14" t="n">
        <v>1.0477</v>
      </c>
      <c r="J2403" s="14" t="n">
        <v>11.7015</v>
      </c>
      <c r="K2403" s="14" t="n">
        <v>1511.87</v>
      </c>
      <c r="L2403" s="14" t="n">
        <v>0.82673</v>
      </c>
      <c r="M2403" s="14" t="n">
        <v>7.6127</v>
      </c>
      <c r="N2403" s="14" t="n">
        <v>6.0825</v>
      </c>
      <c r="O2403" s="14" t="n">
        <v>156.73</v>
      </c>
      <c r="P2403" s="14" t="n">
        <v>11.1688</v>
      </c>
    </row>
    <row r="2404" customFormat="false" ht="15" hidden="false" customHeight="false" outlineLevel="0" collapsed="false">
      <c r="A2404" s="13" t="n">
        <v>45716</v>
      </c>
      <c r="B2404" s="14" t="n">
        <v>1459.04</v>
      </c>
      <c r="C2404" s="14" t="n">
        <v>11.2411</v>
      </c>
      <c r="D2404" s="14" t="n">
        <v>1.2591</v>
      </c>
      <c r="E2404" s="14" t="n">
        <v>1.0402</v>
      </c>
      <c r="F2404" s="14" t="n">
        <v>7.2828</v>
      </c>
      <c r="G2404" s="14" t="n">
        <v>5.8835</v>
      </c>
      <c r="H2404" s="14" t="n">
        <v>150.64</v>
      </c>
      <c r="I2404" s="14" t="n">
        <v>1.0411</v>
      </c>
      <c r="J2404" s="14" t="n">
        <v>11.7245</v>
      </c>
      <c r="K2404" s="14" t="n">
        <v>1519.92</v>
      </c>
      <c r="L2404" s="14" t="n">
        <v>0.82608</v>
      </c>
      <c r="M2404" s="14" t="n">
        <v>7.5782</v>
      </c>
      <c r="N2404" s="14" t="n">
        <v>6.0712</v>
      </c>
      <c r="O2404" s="14" t="n">
        <v>156.96</v>
      </c>
      <c r="P2404" s="14" t="n">
        <v>11.2616</v>
      </c>
    </row>
    <row r="2405" customFormat="false" ht="15" hidden="false" customHeight="false" outlineLevel="0" collapsed="false">
      <c r="A2405" s="13" t="n">
        <v>45719</v>
      </c>
      <c r="B2405" s="14" t="n">
        <v>1456.49</v>
      </c>
      <c r="C2405" s="14" t="n">
        <v>11.1568</v>
      </c>
      <c r="D2405" s="14" t="n">
        <v>1.2711</v>
      </c>
      <c r="E2405" s="14" t="n">
        <v>1.0496</v>
      </c>
      <c r="F2405" s="14" t="n">
        <v>7.2843</v>
      </c>
      <c r="G2405" s="14" t="n">
        <v>5.8852</v>
      </c>
      <c r="H2405" s="14" t="n">
        <v>150.16</v>
      </c>
      <c r="I2405" s="14" t="n">
        <v>1.0465</v>
      </c>
      <c r="J2405" s="14" t="n">
        <v>11.695</v>
      </c>
      <c r="K2405" s="14" t="n">
        <v>1526.42</v>
      </c>
      <c r="L2405" s="14" t="n">
        <v>0.8253</v>
      </c>
      <c r="M2405" s="14" t="n">
        <v>7.6282</v>
      </c>
      <c r="N2405" s="14" t="n">
        <v>6.159</v>
      </c>
      <c r="O2405" s="14" t="n">
        <v>158.33</v>
      </c>
      <c r="P2405" s="14" t="n">
        <v>11.1753</v>
      </c>
    </row>
    <row r="2406" customFormat="false" ht="15" hidden="false" customHeight="false" outlineLevel="0" collapsed="false">
      <c r="A2406" s="13" t="n">
        <v>45720</v>
      </c>
      <c r="B2406" s="14" t="n">
        <v>1458.46</v>
      </c>
      <c r="C2406" s="14" t="n">
        <v>11.2014</v>
      </c>
      <c r="D2406" s="14" t="n">
        <v>1.2726</v>
      </c>
      <c r="E2406" s="14" t="n">
        <v>1.0534</v>
      </c>
      <c r="F2406" s="14" t="n">
        <v>7.2651</v>
      </c>
      <c r="G2406" s="14" t="n">
        <v>5.8872</v>
      </c>
      <c r="H2406" s="14" t="n">
        <v>148.81</v>
      </c>
      <c r="I2406" s="14" t="n">
        <v>1.0557</v>
      </c>
      <c r="J2406" s="14" t="n">
        <v>11.808</v>
      </c>
      <c r="K2406" s="14" t="n">
        <v>1537.13</v>
      </c>
      <c r="L2406" s="14" t="n">
        <v>0.82788</v>
      </c>
      <c r="M2406" s="14" t="n">
        <v>7.6614</v>
      </c>
      <c r="N2406" s="14" t="n">
        <v>6.2132</v>
      </c>
      <c r="O2406" s="14" t="n">
        <v>156.5</v>
      </c>
      <c r="P2406" s="14" t="n">
        <v>11.185</v>
      </c>
    </row>
    <row r="2407" customFormat="false" ht="15" hidden="false" customHeight="false" outlineLevel="0" collapsed="false">
      <c r="A2407" s="13" t="n">
        <v>45721</v>
      </c>
      <c r="B2407" s="14" t="n">
        <v>1445.21</v>
      </c>
      <c r="C2407" s="14" t="n">
        <v>10.9595</v>
      </c>
      <c r="D2407" s="14" t="n">
        <v>1.2864</v>
      </c>
      <c r="E2407" s="14" t="n">
        <v>1.0768</v>
      </c>
      <c r="F2407" s="14" t="n">
        <v>7.2506</v>
      </c>
      <c r="G2407" s="14" t="n">
        <v>5.8077</v>
      </c>
      <c r="H2407" s="14" t="n">
        <v>148.82</v>
      </c>
      <c r="I2407" s="14" t="n">
        <v>1.0694</v>
      </c>
      <c r="J2407" s="14" t="n">
        <v>11.82</v>
      </c>
      <c r="K2407" s="14" t="n">
        <v>1551.65</v>
      </c>
      <c r="L2407" s="14" t="n">
        <v>0.835</v>
      </c>
      <c r="M2407" s="14" t="n">
        <v>7.7675</v>
      </c>
      <c r="N2407" s="14" t="n">
        <v>6.2938</v>
      </c>
      <c r="O2407" s="14" t="n">
        <v>160.09</v>
      </c>
      <c r="P2407" s="14" t="n">
        <v>11.0529</v>
      </c>
    </row>
    <row r="2408" customFormat="false" ht="15" hidden="false" customHeight="false" outlineLevel="0" collapsed="false">
      <c r="A2408" s="13" t="n">
        <v>45722</v>
      </c>
      <c r="B2408" s="14" t="n">
        <v>1447.34</v>
      </c>
      <c r="C2408" s="14" t="n">
        <v>10.8578</v>
      </c>
      <c r="D2408" s="14" t="n">
        <v>1.2894</v>
      </c>
      <c r="E2408" s="14" t="n">
        <v>1.0818</v>
      </c>
      <c r="F2408" s="14" t="n">
        <v>7.2468</v>
      </c>
      <c r="G2408" s="14" t="n">
        <v>5.7785</v>
      </c>
      <c r="H2408" s="14" t="n">
        <v>147.9</v>
      </c>
      <c r="I2408" s="14" t="n">
        <v>1.0796</v>
      </c>
      <c r="J2408" s="14" t="n">
        <v>11.716</v>
      </c>
      <c r="K2408" s="14" t="n">
        <v>1563.53</v>
      </c>
      <c r="L2408" s="14" t="n">
        <v>0.8379</v>
      </c>
      <c r="M2408" s="14" t="n">
        <v>7.8247</v>
      </c>
      <c r="N2408" s="14" t="n">
        <v>6.2088</v>
      </c>
      <c r="O2408" s="14" t="n">
        <v>159.24</v>
      </c>
      <c r="P2408" s="14" t="n">
        <v>10.8522</v>
      </c>
    </row>
    <row r="2409" customFormat="false" ht="15" hidden="false" customHeight="false" outlineLevel="0" collapsed="false">
      <c r="A2409" s="13" t="n">
        <v>45723</v>
      </c>
      <c r="B2409" s="14" t="n">
        <v>1449.3</v>
      </c>
      <c r="C2409" s="14" t="n">
        <v>10.825</v>
      </c>
      <c r="D2409" s="14" t="n">
        <v>1.2918</v>
      </c>
      <c r="E2409" s="14" t="n">
        <v>1.0859</v>
      </c>
      <c r="F2409" s="14" t="n">
        <v>7.234</v>
      </c>
      <c r="G2409" s="14" t="n">
        <v>5.7872</v>
      </c>
      <c r="H2409" s="14" t="n">
        <v>147.13</v>
      </c>
      <c r="I2409" s="14" t="n">
        <v>1.0857</v>
      </c>
      <c r="J2409" s="14" t="n">
        <v>11.759</v>
      </c>
      <c r="K2409" s="14" t="n">
        <v>1570.47</v>
      </c>
      <c r="L2409" s="14" t="n">
        <v>0.84088</v>
      </c>
      <c r="M2409" s="14" t="n">
        <v>7.8561</v>
      </c>
      <c r="N2409" s="14" t="n">
        <v>6.2617</v>
      </c>
      <c r="O2409" s="14" t="n">
        <v>160.35</v>
      </c>
      <c r="P2409" s="14" t="n">
        <v>10.8308</v>
      </c>
    </row>
    <row r="2410" customFormat="false" ht="15" hidden="false" customHeight="false" outlineLevel="0" collapsed="false">
      <c r="A2410" s="13" t="n">
        <v>45726</v>
      </c>
      <c r="B2410" s="14" t="n">
        <v>1456.74</v>
      </c>
      <c r="C2410" s="14" t="n">
        <v>10.7645</v>
      </c>
      <c r="D2410" s="14" t="n">
        <v>1.2909</v>
      </c>
      <c r="E2410" s="14" t="n">
        <v>1.0837</v>
      </c>
      <c r="F2410" s="14" t="n">
        <v>7.2591</v>
      </c>
      <c r="G2410" s="14" t="n">
        <v>5.7964</v>
      </c>
      <c r="H2410" s="14" t="n">
        <v>147.15</v>
      </c>
      <c r="I2410" s="14" t="n">
        <v>1.0845</v>
      </c>
      <c r="J2410" s="14" t="n">
        <v>11.6705</v>
      </c>
      <c r="K2410" s="14" t="n">
        <v>1578.91</v>
      </c>
      <c r="L2410" s="14" t="n">
        <v>0.83849</v>
      </c>
      <c r="M2410" s="14" t="n">
        <v>7.8718</v>
      </c>
      <c r="N2410" s="14" t="n">
        <v>6.2887</v>
      </c>
      <c r="O2410" s="14" t="n">
        <v>159.39</v>
      </c>
      <c r="P2410" s="14" t="n">
        <v>10.7612</v>
      </c>
    </row>
    <row r="2411" customFormat="false" ht="15" hidden="false" customHeight="false" outlineLevel="0" collapsed="false">
      <c r="A2411" s="13" t="n">
        <v>45727</v>
      </c>
      <c r="B2411" s="14" t="n">
        <v>1453.07</v>
      </c>
      <c r="C2411" s="14" t="n">
        <v>10.6746</v>
      </c>
      <c r="D2411" s="14" t="n">
        <v>1.2948</v>
      </c>
      <c r="E2411" s="14" t="n">
        <v>1.0927</v>
      </c>
      <c r="F2411" s="14" t="n">
        <v>7.2278</v>
      </c>
      <c r="G2411" s="14" t="n">
        <v>5.8247</v>
      </c>
      <c r="H2411" s="14" t="n">
        <v>147.48</v>
      </c>
      <c r="I2411" s="14" t="n">
        <v>1.0912</v>
      </c>
      <c r="J2411" s="14" t="n">
        <v>11.634</v>
      </c>
      <c r="K2411" s="14" t="n">
        <v>1586.56</v>
      </c>
      <c r="L2411" s="14" t="n">
        <v>0.84374</v>
      </c>
      <c r="M2411" s="14" t="n">
        <v>7.8929</v>
      </c>
      <c r="N2411" s="14" t="n">
        <v>6.3688</v>
      </c>
      <c r="O2411" s="14" t="n">
        <v>161.52</v>
      </c>
      <c r="P2411" s="14" t="n">
        <v>10.6617</v>
      </c>
    </row>
    <row r="2412" customFormat="false" ht="15" hidden="false" customHeight="false" outlineLevel="0" collapsed="false">
      <c r="A2412" s="13" t="n">
        <v>45728</v>
      </c>
      <c r="B2412" s="14" t="n">
        <v>1451.7</v>
      </c>
      <c r="C2412" s="14" t="n">
        <v>10.6226</v>
      </c>
      <c r="D2412" s="14" t="n">
        <v>1.297</v>
      </c>
      <c r="E2412" s="14" t="n">
        <v>1.0925</v>
      </c>
      <c r="F2412" s="14" t="n">
        <v>7.2372</v>
      </c>
      <c r="G2412" s="14" t="n">
        <v>5.8208</v>
      </c>
      <c r="H2412" s="14" t="n">
        <v>148.32</v>
      </c>
      <c r="I2412" s="14" t="n">
        <v>1.0886</v>
      </c>
      <c r="J2412" s="14" t="n">
        <v>11.6085</v>
      </c>
      <c r="K2412" s="14" t="n">
        <v>1580.65</v>
      </c>
      <c r="L2412" s="14" t="n">
        <v>0.84078</v>
      </c>
      <c r="M2412" s="14" t="n">
        <v>7.8848</v>
      </c>
      <c r="N2412" s="14" t="n">
        <v>6.3587</v>
      </c>
      <c r="O2412" s="14" t="n">
        <v>162.23</v>
      </c>
      <c r="P2412" s="14" t="n">
        <v>10.6637</v>
      </c>
    </row>
    <row r="2413" customFormat="false" ht="15" hidden="false" customHeight="false" outlineLevel="0" collapsed="false">
      <c r="A2413" s="13" t="n">
        <v>45729</v>
      </c>
      <c r="B2413" s="14" t="n">
        <v>1455.76</v>
      </c>
      <c r="C2413" s="14" t="n">
        <v>10.6776</v>
      </c>
      <c r="D2413" s="14" t="n">
        <v>1.2945</v>
      </c>
      <c r="E2413" s="14" t="n">
        <v>1.0859</v>
      </c>
      <c r="F2413" s="14" t="n">
        <v>7.2439</v>
      </c>
      <c r="G2413" s="14" t="n">
        <v>5.8032</v>
      </c>
      <c r="H2413" s="14" t="n">
        <v>147.71</v>
      </c>
      <c r="I2413" s="14" t="n">
        <v>1.083</v>
      </c>
      <c r="J2413" s="14" t="n">
        <v>11.5975</v>
      </c>
      <c r="K2413" s="14" t="n">
        <v>1577.63</v>
      </c>
      <c r="L2413" s="14" t="n">
        <v>0.83778</v>
      </c>
      <c r="M2413" s="14" t="n">
        <v>7.8493</v>
      </c>
      <c r="N2413" s="14" t="n">
        <v>6.3032</v>
      </c>
      <c r="O2413" s="14" t="n">
        <v>160.64</v>
      </c>
      <c r="P2413" s="14" t="n">
        <v>10.7087</v>
      </c>
    </row>
    <row r="2414" customFormat="false" ht="15" hidden="false" customHeight="false" outlineLevel="0" collapsed="false">
      <c r="A2414" s="13" t="n">
        <v>45730</v>
      </c>
      <c r="B2414" s="14" t="n">
        <v>1451.76</v>
      </c>
      <c r="C2414" s="14" t="n">
        <v>10.6572</v>
      </c>
      <c r="D2414" s="14" t="n">
        <v>1.2917</v>
      </c>
      <c r="E2414" s="14" t="n">
        <v>1.0872</v>
      </c>
      <c r="F2414" s="14" t="n">
        <v>7.2377</v>
      </c>
      <c r="G2414" s="14" t="n">
        <v>5.7299</v>
      </c>
      <c r="H2414" s="14" t="n">
        <v>148.51</v>
      </c>
      <c r="I2414" s="14" t="n">
        <v>1.0889</v>
      </c>
      <c r="J2414" s="14" t="n">
        <v>11.62</v>
      </c>
      <c r="K2414" s="14" t="n">
        <v>1582.87</v>
      </c>
      <c r="L2414" s="14" t="n">
        <v>0.84183</v>
      </c>
      <c r="M2414" s="14" t="n">
        <v>7.8822</v>
      </c>
      <c r="N2414" s="14" t="n">
        <v>6.2683</v>
      </c>
      <c r="O2414" s="14" t="n">
        <v>161.88</v>
      </c>
      <c r="P2414" s="14" t="n">
        <v>10.6713</v>
      </c>
    </row>
    <row r="2415" customFormat="false" ht="15" hidden="false" customHeight="false" outlineLevel="0" collapsed="false">
      <c r="A2415" s="13" t="n">
        <v>45733</v>
      </c>
      <c r="B2415" s="14" t="n">
        <v>1444.71</v>
      </c>
      <c r="C2415" s="14" t="n">
        <v>10.5346</v>
      </c>
      <c r="D2415" s="14" t="n">
        <v>1.2988</v>
      </c>
      <c r="E2415" s="14" t="n">
        <v>1.0922</v>
      </c>
      <c r="F2415" s="14" t="n">
        <v>7.2327</v>
      </c>
      <c r="G2415" s="14" t="n">
        <v>5.6874</v>
      </c>
      <c r="H2415" s="14" t="n">
        <v>148.56</v>
      </c>
      <c r="I2415" s="14" t="n">
        <v>1.0903</v>
      </c>
      <c r="J2415" s="14" t="n">
        <v>11.5283</v>
      </c>
      <c r="K2415" s="14" t="n">
        <v>1579.07</v>
      </c>
      <c r="L2415" s="14" t="n">
        <v>0.84026</v>
      </c>
      <c r="M2415" s="14" t="n">
        <v>7.8869</v>
      </c>
      <c r="N2415" s="14" t="n">
        <v>6.2238</v>
      </c>
      <c r="O2415" s="14" t="n">
        <v>162.26</v>
      </c>
      <c r="P2415" s="14" t="n">
        <v>10.5735</v>
      </c>
    </row>
    <row r="2416" customFormat="false" ht="15" hidden="false" customHeight="false" outlineLevel="0" collapsed="false">
      <c r="A2416" s="13" t="n">
        <v>45734</v>
      </c>
      <c r="B2416" s="14" t="n">
        <v>1451.28</v>
      </c>
      <c r="C2416" s="14" t="n">
        <v>10.5759</v>
      </c>
      <c r="D2416" s="14" t="n">
        <v>1.2987</v>
      </c>
      <c r="E2416" s="14" t="n">
        <v>1.0927</v>
      </c>
      <c r="F2416" s="14" t="n">
        <v>7.2273</v>
      </c>
      <c r="G2416" s="14" t="n">
        <v>5.6714</v>
      </c>
      <c r="H2416" s="14" t="n">
        <v>149.49</v>
      </c>
      <c r="I2416" s="14" t="n">
        <v>1.0918</v>
      </c>
      <c r="J2416" s="14" t="n">
        <v>11.528</v>
      </c>
      <c r="K2416" s="14" t="n">
        <v>1586.67</v>
      </c>
      <c r="L2416" s="14" t="n">
        <v>0.84173</v>
      </c>
      <c r="M2416" s="14" t="n">
        <v>7.8907</v>
      </c>
      <c r="N2416" s="14" t="n">
        <v>6.2091</v>
      </c>
      <c r="O2416" s="14" t="n">
        <v>163.5</v>
      </c>
      <c r="P2416" s="14" t="n">
        <v>10.5587</v>
      </c>
    </row>
    <row r="2417" customFormat="false" ht="15" hidden="false" customHeight="false" outlineLevel="0" collapsed="false">
      <c r="A2417" s="13" t="n">
        <v>45735</v>
      </c>
      <c r="B2417" s="14" t="n">
        <v>1462.15</v>
      </c>
      <c r="C2417" s="14" t="n">
        <v>10.5909</v>
      </c>
      <c r="D2417" s="14" t="n">
        <v>1.2969</v>
      </c>
      <c r="E2417" s="14" t="n">
        <v>1.0877</v>
      </c>
      <c r="F2417" s="14" t="n">
        <v>7.23</v>
      </c>
      <c r="G2417" s="14" t="n">
        <v>5.6494</v>
      </c>
      <c r="H2417" s="14" t="n">
        <v>150.02</v>
      </c>
      <c r="I2417" s="14" t="n">
        <v>1.0897</v>
      </c>
      <c r="J2417" s="14" t="n">
        <v>11.505</v>
      </c>
      <c r="K2417" s="14" t="n">
        <v>1589.71</v>
      </c>
      <c r="L2417" s="14" t="n">
        <v>0.84078</v>
      </c>
      <c r="M2417" s="14" t="n">
        <v>7.8786</v>
      </c>
      <c r="N2417" s="14" t="n">
        <v>6.1929</v>
      </c>
      <c r="O2417" s="14" t="n">
        <v>163.27</v>
      </c>
      <c r="P2417" s="14" t="n">
        <v>10.558</v>
      </c>
    </row>
    <row r="2418" customFormat="false" ht="15" hidden="false" customHeight="false" outlineLevel="0" collapsed="false">
      <c r="A2418" s="13" t="n">
        <v>45736</v>
      </c>
      <c r="B2418" s="14" t="n">
        <v>1467.77</v>
      </c>
      <c r="C2418" s="14" t="n">
        <v>10.5713</v>
      </c>
      <c r="D2418" s="14" t="n">
        <v>1.2973</v>
      </c>
      <c r="E2418" s="14" t="n">
        <v>1.0848</v>
      </c>
      <c r="F2418" s="14" t="n">
        <v>7.2477</v>
      </c>
      <c r="G2418" s="14" t="n">
        <v>5.673</v>
      </c>
      <c r="H2418" s="14" t="n">
        <v>148.84</v>
      </c>
      <c r="I2418" s="14" t="n">
        <v>1.0833</v>
      </c>
      <c r="J2418" s="14" t="n">
        <v>11.5025</v>
      </c>
      <c r="K2418" s="14" t="n">
        <v>1591.96</v>
      </c>
      <c r="L2418" s="14" t="n">
        <v>0.8369</v>
      </c>
      <c r="M2418" s="14" t="n">
        <v>7.8481</v>
      </c>
      <c r="N2418" s="14" t="n">
        <v>6.1272</v>
      </c>
      <c r="O2418" s="14" t="n">
        <v>160.85</v>
      </c>
      <c r="P2418" s="14" t="n">
        <v>10.618</v>
      </c>
    </row>
    <row r="2419" customFormat="false" ht="15" hidden="false" customHeight="false" outlineLevel="0" collapsed="false">
      <c r="A2419" s="13" t="n">
        <v>45737</v>
      </c>
      <c r="B2419" s="14" t="n">
        <v>1466.49</v>
      </c>
      <c r="C2419" s="14" t="n">
        <v>10.5437</v>
      </c>
      <c r="D2419" s="14" t="n">
        <v>1.2896</v>
      </c>
      <c r="E2419" s="14" t="n">
        <v>1.0806</v>
      </c>
      <c r="F2419" s="14" t="n">
        <v>7.2486</v>
      </c>
      <c r="G2419" s="14" t="n">
        <v>5.7242</v>
      </c>
      <c r="H2419" s="14" t="n">
        <v>148.98</v>
      </c>
      <c r="I2419" s="14" t="n">
        <v>1.0827</v>
      </c>
      <c r="J2419" s="14" t="n">
        <v>11.401</v>
      </c>
      <c r="K2419" s="14" t="n">
        <v>1585.51</v>
      </c>
      <c r="L2419" s="14" t="n">
        <v>0.83765</v>
      </c>
      <c r="M2419" s="14" t="n">
        <v>7.8477</v>
      </c>
      <c r="N2419" s="14" t="n">
        <v>6.1911</v>
      </c>
      <c r="O2419" s="14" t="n">
        <v>160.99</v>
      </c>
      <c r="P2419" s="14" t="n">
        <v>10.5302</v>
      </c>
    </row>
    <row r="2420" customFormat="false" ht="15" hidden="false" customHeight="false" outlineLevel="0" collapsed="false">
      <c r="A2420" s="13" t="n">
        <v>45740</v>
      </c>
      <c r="B2420" s="14" t="n">
        <v>1466.91</v>
      </c>
      <c r="C2420" s="14" t="n">
        <v>10.5198</v>
      </c>
      <c r="D2420" s="14" t="n">
        <v>1.2913</v>
      </c>
      <c r="E2420" s="14" t="n">
        <v>1.0794</v>
      </c>
      <c r="F2420" s="14" t="n">
        <v>7.2531</v>
      </c>
      <c r="G2420" s="14" t="n">
        <v>5.7295</v>
      </c>
      <c r="H2420" s="14" t="n">
        <v>150.74</v>
      </c>
      <c r="I2420" s="14" t="n">
        <v>1.0824</v>
      </c>
      <c r="J2420" s="14" t="n">
        <v>11.3795</v>
      </c>
      <c r="K2420" s="14" t="n">
        <v>1588.2</v>
      </c>
      <c r="L2420" s="14" t="n">
        <v>0.83663</v>
      </c>
      <c r="M2420" s="14" t="n">
        <v>7.8513</v>
      </c>
      <c r="N2420" s="14" t="n">
        <v>6.2314</v>
      </c>
      <c r="O2420" s="14" t="n">
        <v>162.15</v>
      </c>
      <c r="P2420" s="14" t="n">
        <v>10.5132</v>
      </c>
    </row>
    <row r="2421" customFormat="false" ht="15" hidden="false" customHeight="false" outlineLevel="0" collapsed="false">
      <c r="A2421" s="13" t="n">
        <v>45741</v>
      </c>
      <c r="B2421" s="14" t="n">
        <v>1465.32</v>
      </c>
      <c r="C2421" s="14" t="n">
        <v>10.4883</v>
      </c>
      <c r="D2421" s="14" t="n">
        <v>1.2948</v>
      </c>
      <c r="E2421" s="14" t="n">
        <v>1.0804</v>
      </c>
      <c r="F2421" s="14" t="n">
        <v>7.2569</v>
      </c>
      <c r="G2421" s="14" t="n">
        <v>5.6837</v>
      </c>
      <c r="H2421" s="14" t="n">
        <v>149.77</v>
      </c>
      <c r="I2421" s="14" t="n">
        <v>1.0825</v>
      </c>
      <c r="J2421" s="14" t="n">
        <v>11.309</v>
      </c>
      <c r="K2421" s="14" t="n">
        <v>1587.16</v>
      </c>
      <c r="L2421" s="14" t="n">
        <v>0.83565</v>
      </c>
      <c r="M2421" s="14" t="n">
        <v>7.8571</v>
      </c>
      <c r="N2421" s="14" t="n">
        <v>6.2051</v>
      </c>
      <c r="O2421" s="14" t="n">
        <v>162.32</v>
      </c>
      <c r="P2421" s="14" t="n">
        <v>10.4471</v>
      </c>
    </row>
    <row r="2422" customFormat="false" ht="15" hidden="false" customHeight="false" outlineLevel="0" collapsed="false">
      <c r="A2422" s="13" t="n">
        <v>45742</v>
      </c>
      <c r="B2422" s="14" t="n">
        <v>1467.25</v>
      </c>
      <c r="C2422" s="14" t="n">
        <v>10.5222</v>
      </c>
      <c r="D2422" s="14" t="n">
        <v>1.2889</v>
      </c>
      <c r="E2422" s="14" t="n">
        <v>1.0781</v>
      </c>
      <c r="F2422" s="14" t="n">
        <v>7.2675</v>
      </c>
      <c r="G2422" s="14" t="n">
        <v>5.7386</v>
      </c>
      <c r="H2422" s="14" t="n">
        <v>150.69</v>
      </c>
      <c r="I2422" s="14" t="n">
        <v>1.0788</v>
      </c>
      <c r="J2422" s="14" t="n">
        <v>11.3585</v>
      </c>
      <c r="K2422" s="14" t="n">
        <v>1580.86</v>
      </c>
      <c r="L2422" s="14" t="n">
        <v>0.83623</v>
      </c>
      <c r="M2422" s="14" t="n">
        <v>7.8381</v>
      </c>
      <c r="N2422" s="14" t="n">
        <v>6.177</v>
      </c>
      <c r="O2422" s="14" t="n">
        <v>162.2</v>
      </c>
      <c r="P2422" s="14" t="n">
        <v>10.5288</v>
      </c>
    </row>
    <row r="2423" customFormat="false" ht="15" hidden="false" customHeight="false" outlineLevel="0" collapsed="false">
      <c r="A2423" s="13" t="n">
        <v>45743</v>
      </c>
      <c r="B2423" s="14" t="n">
        <v>1463.9</v>
      </c>
      <c r="C2423" s="14" t="n">
        <v>10.5051</v>
      </c>
      <c r="D2423" s="14" t="n">
        <v>1.2963</v>
      </c>
      <c r="E2423" s="14" t="n">
        <v>1.08</v>
      </c>
      <c r="F2423" s="14" t="n">
        <v>7.2645</v>
      </c>
      <c r="G2423" s="14" t="n">
        <v>5.7339</v>
      </c>
      <c r="H2423" s="14" t="n">
        <v>150.97</v>
      </c>
      <c r="I2423" s="14" t="n">
        <v>1.0785</v>
      </c>
      <c r="J2423" s="14" t="n">
        <v>11.3435</v>
      </c>
      <c r="K2423" s="14" t="n">
        <v>1580.16</v>
      </c>
      <c r="L2423" s="14" t="n">
        <v>0.83318</v>
      </c>
      <c r="M2423" s="14" t="n">
        <v>7.8361</v>
      </c>
      <c r="N2423" s="14" t="n">
        <v>6.2154</v>
      </c>
      <c r="O2423" s="14" t="n">
        <v>162.55</v>
      </c>
      <c r="P2423" s="14" t="n">
        <v>10.5178</v>
      </c>
    </row>
    <row r="2424" customFormat="false" ht="15" hidden="false" customHeight="false" outlineLevel="0" collapsed="false">
      <c r="A2424" s="13" t="n">
        <v>45744</v>
      </c>
      <c r="B2424" s="14" t="n">
        <v>1469.2</v>
      </c>
      <c r="C2424" s="14" t="n">
        <v>10.4644</v>
      </c>
      <c r="D2424" s="14" t="n">
        <v>1.2942</v>
      </c>
      <c r="E2424" s="14" t="n">
        <v>1.0826</v>
      </c>
      <c r="F2424" s="14" t="n">
        <v>7.2628</v>
      </c>
      <c r="G2424" s="14" t="n">
        <v>5.7672</v>
      </c>
      <c r="H2424" s="14" t="n">
        <v>150.26</v>
      </c>
      <c r="I2424" s="14" t="n">
        <v>1.0797</v>
      </c>
      <c r="J2424" s="14" t="n">
        <v>11.294</v>
      </c>
      <c r="K2424" s="14" t="n">
        <v>1585.65</v>
      </c>
      <c r="L2424" s="14" t="n">
        <v>0.83358</v>
      </c>
      <c r="M2424" s="14" t="n">
        <v>7.8445</v>
      </c>
      <c r="N2424" s="14" t="n">
        <v>6.2252</v>
      </c>
      <c r="O2424" s="14" t="n">
        <v>162.64</v>
      </c>
      <c r="P2424" s="14" t="n">
        <v>10.4603</v>
      </c>
    </row>
    <row r="2425" customFormat="false" ht="15" hidden="false" customHeight="false" outlineLevel="0" collapsed="false">
      <c r="A2425" s="13" t="n">
        <v>45747</v>
      </c>
      <c r="B2425" s="14" t="n">
        <v>1474.44</v>
      </c>
      <c r="C2425" s="14" t="n">
        <v>10.5292</v>
      </c>
      <c r="D2425" s="14" t="n">
        <v>1.2896</v>
      </c>
      <c r="E2425" s="14" t="n">
        <v>1.0796</v>
      </c>
      <c r="F2425" s="14" t="n">
        <v>7.2567</v>
      </c>
      <c r="G2425" s="14" t="n">
        <v>5.7405</v>
      </c>
      <c r="H2425" s="14" t="n">
        <v>149.9</v>
      </c>
      <c r="I2425" s="14" t="n">
        <v>1.0815</v>
      </c>
      <c r="J2425" s="14" t="n">
        <v>11.413</v>
      </c>
      <c r="K2425" s="14" t="n">
        <v>1594.71</v>
      </c>
      <c r="L2425" s="14" t="n">
        <v>0.83536</v>
      </c>
      <c r="M2425" s="14" t="n">
        <v>7.8442</v>
      </c>
      <c r="N2425" s="14" t="n">
        <v>6.2507</v>
      </c>
      <c r="O2425" s="14" t="n">
        <v>161.6</v>
      </c>
      <c r="P2425" s="14" t="n">
        <v>10.5529</v>
      </c>
    </row>
    <row r="2426" customFormat="false" ht="15" hidden="false" customHeight="false" outlineLevel="0" collapsed="false">
      <c r="A2426" s="13" t="n">
        <v>45748</v>
      </c>
      <c r="B2426" s="14" t="n">
        <v>1471</v>
      </c>
      <c r="C2426" s="14" t="n">
        <v>10.4563</v>
      </c>
      <c r="D2426" s="14" t="n">
        <v>1.2923</v>
      </c>
      <c r="E2426" s="14" t="n">
        <v>1.08</v>
      </c>
      <c r="F2426" s="14" t="n">
        <v>7.2697</v>
      </c>
      <c r="G2426" s="14" t="n">
        <v>5.6874</v>
      </c>
      <c r="H2426" s="14" t="n">
        <v>149.4</v>
      </c>
      <c r="I2426" s="14" t="n">
        <v>1.0788</v>
      </c>
      <c r="J2426" s="14" t="n">
        <v>11.318</v>
      </c>
      <c r="K2426" s="14" t="n">
        <v>1588.43</v>
      </c>
      <c r="L2426" s="14" t="n">
        <v>0.83665</v>
      </c>
      <c r="M2426" s="14" t="n">
        <v>7.8431</v>
      </c>
      <c r="N2426" s="14" t="n">
        <v>6.1679</v>
      </c>
      <c r="O2426" s="14" t="n">
        <v>160.93</v>
      </c>
      <c r="P2426" s="14" t="n">
        <v>10.4913</v>
      </c>
    </row>
    <row r="2427" customFormat="false" ht="15" hidden="false" customHeight="false" outlineLevel="0" collapsed="false">
      <c r="A2427" s="13" t="n">
        <v>45749</v>
      </c>
      <c r="B2427" s="14" t="n">
        <v>1462.06</v>
      </c>
      <c r="C2427" s="14" t="n">
        <v>10.3959</v>
      </c>
      <c r="D2427" s="14" t="n">
        <v>1.2974</v>
      </c>
      <c r="E2427" s="14" t="n">
        <v>1.0868</v>
      </c>
      <c r="F2427" s="14" t="n">
        <v>7.2675</v>
      </c>
      <c r="G2427" s="14" t="n">
        <v>5.7004</v>
      </c>
      <c r="H2427" s="14" t="n">
        <v>149.98</v>
      </c>
      <c r="I2427" s="14" t="n">
        <v>1.0803</v>
      </c>
      <c r="J2427" s="14" t="n">
        <v>11.2745</v>
      </c>
      <c r="K2427" s="14" t="n">
        <v>1579.27</v>
      </c>
      <c r="L2427" s="14" t="n">
        <v>0.83455</v>
      </c>
      <c r="M2427" s="14" t="n">
        <v>7.8529</v>
      </c>
      <c r="N2427" s="14" t="n">
        <v>6.1212</v>
      </c>
      <c r="O2427" s="14" t="n">
        <v>161.22</v>
      </c>
      <c r="P2427" s="14" t="n">
        <v>10.4365</v>
      </c>
    </row>
    <row r="2428" customFormat="false" ht="15" hidden="false" customHeight="false" outlineLevel="0" collapsed="false">
      <c r="A2428" s="13" t="n">
        <v>45750</v>
      </c>
      <c r="B2428" s="14" t="n">
        <v>1450.55</v>
      </c>
      <c r="C2428" s="14" t="n">
        <v>10.318</v>
      </c>
      <c r="D2428" s="14" t="n">
        <v>1.3113</v>
      </c>
      <c r="E2428" s="14" t="n">
        <v>1.1052</v>
      </c>
      <c r="F2428" s="14" t="n">
        <v>7.2813</v>
      </c>
      <c r="G2428" s="14" t="n">
        <v>5.6022</v>
      </c>
      <c r="H2428" s="14" t="n">
        <v>146.04</v>
      </c>
      <c r="I2428" s="14" t="n">
        <v>1.1097</v>
      </c>
      <c r="J2428" s="14" t="n">
        <v>11.4235</v>
      </c>
      <c r="K2428" s="14" t="n">
        <v>1615.11</v>
      </c>
      <c r="L2428" s="14" t="n">
        <v>0.84163</v>
      </c>
      <c r="M2428" s="14" t="n">
        <v>8.0919</v>
      </c>
      <c r="N2428" s="14" t="n">
        <v>6.2411</v>
      </c>
      <c r="O2428" s="14" t="n">
        <v>162.17</v>
      </c>
      <c r="P2428" s="14" t="n">
        <v>10.2942</v>
      </c>
    </row>
    <row r="2429" customFormat="false" ht="15" hidden="false" customHeight="false" outlineLevel="0" collapsed="false">
      <c r="A2429" s="13" t="n">
        <v>45751</v>
      </c>
      <c r="B2429" s="14" t="n">
        <v>1457.76</v>
      </c>
      <c r="C2429" s="14" t="n">
        <v>10.7075</v>
      </c>
      <c r="D2429" s="14" t="n">
        <v>1.2927</v>
      </c>
      <c r="E2429" s="14" t="n">
        <v>1.1014</v>
      </c>
      <c r="F2429" s="14" t="n">
        <v>7.2803</v>
      </c>
      <c r="G2429" s="14" t="n">
        <v>5.8039</v>
      </c>
      <c r="H2429" s="14" t="n">
        <v>145.93</v>
      </c>
      <c r="I2429" s="14" t="n">
        <v>1.1057</v>
      </c>
      <c r="J2429" s="14" t="n">
        <v>11.6815</v>
      </c>
      <c r="K2429" s="14" t="n">
        <v>1601.11</v>
      </c>
      <c r="L2429" s="14" t="n">
        <v>0.84985</v>
      </c>
      <c r="M2429" s="14" t="n">
        <v>8.0518</v>
      </c>
      <c r="N2429" s="14" t="n">
        <v>6.3407</v>
      </c>
      <c r="O2429" s="14" t="n">
        <v>160.56</v>
      </c>
      <c r="P2429" s="14" t="n">
        <v>10.5648</v>
      </c>
    </row>
    <row r="2430" customFormat="false" ht="15" hidden="false" customHeight="false" outlineLevel="0" collapsed="false">
      <c r="A2430" s="13" t="n">
        <v>45754</v>
      </c>
      <c r="B2430" s="14" t="n">
        <v>1470.22</v>
      </c>
      <c r="C2430" s="14" t="n">
        <v>11.0103</v>
      </c>
      <c r="D2430" s="14" t="n">
        <v>1.2729</v>
      </c>
      <c r="E2430" s="14" t="n">
        <v>1.0912</v>
      </c>
      <c r="F2430" s="14" t="n">
        <v>7.3081</v>
      </c>
      <c r="G2430" s="14" t="n">
        <v>5.9242</v>
      </c>
      <c r="H2430" s="14" t="n">
        <v>147.96</v>
      </c>
      <c r="I2430" s="14" t="n">
        <v>1.0967</v>
      </c>
      <c r="J2430" s="14" t="n">
        <v>11.9545</v>
      </c>
      <c r="K2430" s="14" t="n">
        <v>1606.51</v>
      </c>
      <c r="L2430" s="14" t="n">
        <v>0.85588</v>
      </c>
      <c r="M2430" s="14" t="n">
        <v>8.0155</v>
      </c>
      <c r="N2430" s="14" t="n">
        <v>6.4415</v>
      </c>
      <c r="O2430" s="14" t="n">
        <v>160.58</v>
      </c>
      <c r="P2430" s="14" t="n">
        <v>10.9004</v>
      </c>
    </row>
    <row r="2431" customFormat="false" ht="15" hidden="false" customHeight="false" outlineLevel="0" collapsed="false">
      <c r="A2431" s="13" t="n">
        <v>45755</v>
      </c>
      <c r="B2431" s="14" t="n">
        <v>1477.97</v>
      </c>
      <c r="C2431" s="14" t="n">
        <v>10.9065</v>
      </c>
      <c r="D2431" s="14" t="n">
        <v>1.2769</v>
      </c>
      <c r="E2431" s="14" t="n">
        <v>1.0912</v>
      </c>
      <c r="F2431" s="14" t="n">
        <v>7.3388</v>
      </c>
      <c r="G2431" s="14" t="n">
        <v>5.9878</v>
      </c>
      <c r="H2431" s="14" t="n">
        <v>147.02</v>
      </c>
      <c r="I2431" s="14" t="n">
        <v>1.095</v>
      </c>
      <c r="J2431" s="14" t="n">
        <v>11.9505</v>
      </c>
      <c r="K2431" s="14" t="n">
        <v>1618.79</v>
      </c>
      <c r="L2431" s="14" t="n">
        <v>0.85644</v>
      </c>
      <c r="M2431" s="14" t="n">
        <v>8.0359</v>
      </c>
      <c r="N2431" s="14" t="n">
        <v>6.4211</v>
      </c>
      <c r="O2431" s="14" t="n">
        <v>160.65</v>
      </c>
      <c r="P2431" s="14" t="n">
        <v>10.9137</v>
      </c>
    </row>
    <row r="2432" customFormat="false" ht="15" hidden="false" customHeight="false" outlineLevel="0" collapsed="false">
      <c r="A2432" s="13" t="n">
        <v>45756</v>
      </c>
      <c r="B2432" s="14" t="n">
        <v>1472.75</v>
      </c>
      <c r="C2432" s="14" t="n">
        <v>10.9956</v>
      </c>
      <c r="D2432" s="14" t="n">
        <v>1.2771</v>
      </c>
      <c r="E2432" s="14" t="n">
        <v>1.104</v>
      </c>
      <c r="F2432" s="14" t="n">
        <v>7.3499</v>
      </c>
      <c r="G2432" s="14" t="n">
        <v>6.0542</v>
      </c>
      <c r="H2432" s="14" t="n">
        <v>145.09</v>
      </c>
      <c r="I2432" s="14" t="n">
        <v>1.1045</v>
      </c>
      <c r="J2432" s="14" t="n">
        <v>12.1195</v>
      </c>
      <c r="K2432" s="14" t="n">
        <v>1631.05</v>
      </c>
      <c r="L2432" s="14" t="n">
        <v>0.86435</v>
      </c>
      <c r="M2432" s="14" t="n">
        <v>8.1179</v>
      </c>
      <c r="N2432" s="14" t="n">
        <v>6.6875</v>
      </c>
      <c r="O2432" s="14" t="n">
        <v>159.61</v>
      </c>
      <c r="P2432" s="14" t="n">
        <v>10.9728</v>
      </c>
    </row>
    <row r="2433" customFormat="false" ht="15" hidden="false" customHeight="false" outlineLevel="0" collapsed="false">
      <c r="A2433" s="13" t="n">
        <v>45757</v>
      </c>
      <c r="B2433" s="14" t="n">
        <v>1450.37</v>
      </c>
      <c r="C2433" s="14" t="n">
        <v>10.8328</v>
      </c>
      <c r="D2433" s="14" t="n">
        <v>1.294</v>
      </c>
      <c r="E2433" s="14" t="n">
        <v>1.1192</v>
      </c>
      <c r="F2433" s="14" t="n">
        <v>7.314</v>
      </c>
      <c r="G2433" s="14" t="n">
        <v>5.9429</v>
      </c>
      <c r="H2433" s="14" t="n">
        <v>144.34</v>
      </c>
      <c r="I2433" s="14" t="n">
        <v>1.1082</v>
      </c>
      <c r="J2433" s="14" t="n">
        <v>11.9815</v>
      </c>
      <c r="K2433" s="14" t="n">
        <v>1612.93</v>
      </c>
      <c r="L2433" s="14" t="n">
        <v>0.85755</v>
      </c>
      <c r="M2433" s="14" t="n">
        <v>8.1137</v>
      </c>
      <c r="N2433" s="14" t="n">
        <v>6.4887</v>
      </c>
      <c r="O2433" s="14" t="n">
        <v>161.28</v>
      </c>
      <c r="P2433" s="14" t="n">
        <v>10.8117</v>
      </c>
    </row>
    <row r="2434" customFormat="false" ht="15" hidden="false" customHeight="false" outlineLevel="0" collapsed="false">
      <c r="A2434" s="13" t="n">
        <v>45758</v>
      </c>
      <c r="B2434" s="14" t="n">
        <v>1418.79</v>
      </c>
      <c r="C2434" s="14" t="n">
        <v>10.7062</v>
      </c>
      <c r="D2434" s="14" t="n">
        <v>1.3051</v>
      </c>
      <c r="E2434" s="14" t="n">
        <v>1.1325</v>
      </c>
      <c r="F2434" s="14" t="n">
        <v>7.2915</v>
      </c>
      <c r="G2434" s="14" t="n">
        <v>5.8781</v>
      </c>
      <c r="H2434" s="14" t="n">
        <v>143.57</v>
      </c>
      <c r="I2434" s="14" t="n">
        <v>1.1346</v>
      </c>
      <c r="J2434" s="14" t="n">
        <v>12.1005</v>
      </c>
      <c r="K2434" s="14" t="n">
        <v>1624.38</v>
      </c>
      <c r="L2434" s="14" t="n">
        <v>0.86678</v>
      </c>
      <c r="M2434" s="14" t="n">
        <v>8.2819</v>
      </c>
      <c r="N2434" s="14" t="n">
        <v>6.6159</v>
      </c>
      <c r="O2434" s="14" t="n">
        <v>162.07</v>
      </c>
      <c r="P2434" s="14" t="n">
        <v>10.665</v>
      </c>
    </row>
    <row r="2435" customFormat="false" ht="15" hidden="false" customHeight="false" outlineLevel="0" collapsed="false">
      <c r="A2435" s="13" t="n">
        <v>45761</v>
      </c>
      <c r="B2435" s="14" t="n">
        <v>1422.56</v>
      </c>
      <c r="C2435" s="14" t="n">
        <v>10.6027</v>
      </c>
      <c r="D2435" s="14" t="n">
        <v>1.3176</v>
      </c>
      <c r="E2435" s="14" t="n">
        <v>1.1358</v>
      </c>
      <c r="F2435" s="14" t="n">
        <v>7.3119</v>
      </c>
      <c r="G2435" s="14" t="n">
        <v>5.8649</v>
      </c>
      <c r="H2435" s="14" t="n">
        <v>142.96</v>
      </c>
      <c r="I2435" s="14" t="n">
        <v>1.1377</v>
      </c>
      <c r="J2435" s="14" t="n">
        <v>12.0205</v>
      </c>
      <c r="K2435" s="14" t="n">
        <v>1617.29</v>
      </c>
      <c r="L2435" s="14" t="n">
        <v>0.86383</v>
      </c>
      <c r="M2435" s="14" t="n">
        <v>8.3196</v>
      </c>
      <c r="N2435" s="14" t="n">
        <v>6.6488</v>
      </c>
      <c r="O2435" s="14" t="n">
        <v>162.97</v>
      </c>
      <c r="P2435" s="14" t="n">
        <v>10.5656</v>
      </c>
    </row>
    <row r="2436" customFormat="false" ht="15" hidden="false" customHeight="false" outlineLevel="0" collapsed="false">
      <c r="A2436" s="13" t="n">
        <v>45762</v>
      </c>
      <c r="B2436" s="14" t="n">
        <v>1427.16</v>
      </c>
      <c r="C2436" s="14" t="n">
        <v>10.6184</v>
      </c>
      <c r="D2436" s="14" t="n">
        <v>1.3223</v>
      </c>
      <c r="E2436" s="14" t="n">
        <v>1.129</v>
      </c>
      <c r="F2436" s="14" t="n">
        <v>7.315</v>
      </c>
      <c r="G2436" s="14" t="n">
        <v>5.8809</v>
      </c>
      <c r="H2436" s="14" t="n">
        <v>143.1</v>
      </c>
      <c r="I2436" s="14" t="n">
        <v>1.1324</v>
      </c>
      <c r="J2436" s="14" t="n">
        <v>11.9726</v>
      </c>
      <c r="K2436" s="14" t="n">
        <v>1615.76</v>
      </c>
      <c r="L2436" s="14" t="n">
        <v>0.8557</v>
      </c>
      <c r="M2436" s="14" t="n">
        <v>8.2835</v>
      </c>
      <c r="N2436" s="14" t="n">
        <v>6.6207</v>
      </c>
      <c r="O2436" s="14" t="n">
        <v>161.85</v>
      </c>
      <c r="P2436" s="14" t="n">
        <v>10.5728</v>
      </c>
    </row>
    <row r="2437" customFormat="false" ht="15" hidden="false" customHeight="false" outlineLevel="0" collapsed="false">
      <c r="A2437" s="13" t="n">
        <v>45763</v>
      </c>
      <c r="B2437" s="14" t="n">
        <v>1415.24</v>
      </c>
      <c r="C2437" s="14" t="n">
        <v>10.554</v>
      </c>
      <c r="D2437" s="14" t="n">
        <v>1.3247</v>
      </c>
      <c r="E2437" s="14" t="n">
        <v>1.1382</v>
      </c>
      <c r="F2437" s="14" t="n">
        <v>7.3053</v>
      </c>
      <c r="G2437" s="14" t="n">
        <v>5.861</v>
      </c>
      <c r="H2437" s="14" t="n">
        <v>142.56</v>
      </c>
      <c r="I2437" s="14" t="n">
        <v>1.1355</v>
      </c>
      <c r="J2437" s="14" t="n">
        <v>12.0725</v>
      </c>
      <c r="K2437" s="14" t="n">
        <v>1610.21</v>
      </c>
      <c r="L2437" s="14" t="n">
        <v>0.85618</v>
      </c>
      <c r="M2437" s="14" t="n">
        <v>8.2961</v>
      </c>
      <c r="N2437" s="14" t="n">
        <v>6.6671</v>
      </c>
      <c r="O2437" s="14" t="n">
        <v>162.09</v>
      </c>
      <c r="P2437" s="14" t="n">
        <v>10.6319</v>
      </c>
    </row>
    <row r="2438" customFormat="false" ht="15" hidden="false" customHeight="false" outlineLevel="0" collapsed="false">
      <c r="A2438" s="13" t="n">
        <v>45764</v>
      </c>
      <c r="B2438" s="14" t="n">
        <v>1416.1</v>
      </c>
      <c r="C2438" s="14" t="n">
        <v>10.4788</v>
      </c>
      <c r="D2438" s="14" t="n">
        <v>1.3259</v>
      </c>
      <c r="E2438" s="14" t="n">
        <v>1.1364</v>
      </c>
      <c r="F2438" s="14" t="n">
        <v>7.299</v>
      </c>
      <c r="G2438" s="14" t="n">
        <v>5.8308</v>
      </c>
      <c r="H2438" s="14" t="n">
        <v>142.33</v>
      </c>
      <c r="I2438" s="14" t="n">
        <v>1.136</v>
      </c>
      <c r="J2438" s="14" t="n">
        <v>11.9655</v>
      </c>
      <c r="K2438" s="14" t="n">
        <v>1609.12</v>
      </c>
      <c r="L2438" s="14" t="n">
        <v>0.85873</v>
      </c>
      <c r="M2438" s="14" t="n">
        <v>8.29</v>
      </c>
      <c r="N2438" s="14" t="n">
        <v>6.681</v>
      </c>
      <c r="O2438" s="14" t="n">
        <v>161.98</v>
      </c>
    </row>
    <row r="2439" customFormat="false" ht="15" hidden="false" customHeight="false" outlineLevel="0" collapsed="false">
      <c r="A2439" s="13" t="n">
        <v>45765</v>
      </c>
      <c r="B2439" s="14" t="n">
        <v>1423.49</v>
      </c>
      <c r="C2439" s="14" t="n">
        <v>10.4823</v>
      </c>
      <c r="D2439" s="14" t="n">
        <v>1.3279</v>
      </c>
      <c r="E2439" s="14" t="n">
        <v>1.139</v>
      </c>
      <c r="F2439" s="14" t="n">
        <v>7.2996</v>
      </c>
      <c r="G2439" s="14" t="n">
        <v>5.8067</v>
      </c>
      <c r="H2439" s="14" t="n">
        <v>142.22</v>
      </c>
    </row>
    <row r="2440" customFormat="false" ht="15" hidden="false" customHeight="false" outlineLevel="0" collapsed="false">
      <c r="A2440" s="13" t="n">
        <v>45768</v>
      </c>
      <c r="B2440" s="14" t="n">
        <v>1420.52</v>
      </c>
      <c r="C2440" s="14" t="n">
        <v>10.3878</v>
      </c>
      <c r="D2440" s="14" t="n">
        <v>1.3385</v>
      </c>
      <c r="E2440" s="14" t="n">
        <v>1.1508</v>
      </c>
      <c r="F2440" s="14" t="n">
        <v>7.2914</v>
      </c>
      <c r="G2440" s="14" t="n">
        <v>5.8067</v>
      </c>
      <c r="H2440" s="14" t="n">
        <v>140.81</v>
      </c>
    </row>
    <row r="2441" customFormat="false" ht="15" hidden="false" customHeight="false" outlineLevel="0" collapsed="false">
      <c r="A2441" s="13" t="n">
        <v>45769</v>
      </c>
      <c r="B2441" s="14" t="n">
        <v>1425</v>
      </c>
      <c r="C2441" s="14" t="n">
        <v>10.3368</v>
      </c>
      <c r="D2441" s="14" t="n">
        <v>1.3376</v>
      </c>
      <c r="E2441" s="14" t="n">
        <v>1.1466</v>
      </c>
      <c r="F2441" s="14" t="n">
        <v>7.3118</v>
      </c>
      <c r="G2441" s="14" t="n">
        <v>5.7392</v>
      </c>
      <c r="H2441" s="14" t="n">
        <v>140.87</v>
      </c>
      <c r="I2441" s="14" t="n">
        <v>1.1476</v>
      </c>
      <c r="J2441" s="14" t="n">
        <v>11.8885</v>
      </c>
      <c r="K2441" s="14" t="n">
        <v>1635.54</v>
      </c>
      <c r="L2441" s="14" t="n">
        <v>0.85858</v>
      </c>
      <c r="M2441" s="14" t="n">
        <v>8.3929</v>
      </c>
      <c r="N2441" s="14" t="n">
        <v>6.6516</v>
      </c>
      <c r="O2441" s="14" t="n">
        <v>161.05</v>
      </c>
      <c r="P2441" s="14" t="n">
        <v>10.3594</v>
      </c>
    </row>
    <row r="2442" customFormat="false" ht="15" hidden="false" customHeight="false" outlineLevel="0" collapsed="false">
      <c r="A2442" s="13" t="n">
        <v>45770</v>
      </c>
      <c r="B2442" s="14" t="n">
        <v>1425.88</v>
      </c>
      <c r="C2442" s="14" t="n">
        <v>10.4755</v>
      </c>
      <c r="D2442" s="14" t="n">
        <v>1.3256</v>
      </c>
      <c r="E2442" s="14" t="n">
        <v>1.135</v>
      </c>
      <c r="F2442" s="14" t="n">
        <v>7.286</v>
      </c>
      <c r="G2442" s="14" t="n">
        <v>5.6969</v>
      </c>
      <c r="H2442" s="14" t="n">
        <v>142.64</v>
      </c>
      <c r="I2442" s="14" t="n">
        <v>1.1415</v>
      </c>
      <c r="J2442" s="14" t="n">
        <v>11.891</v>
      </c>
      <c r="K2442" s="14" t="n">
        <v>1623.36</v>
      </c>
      <c r="L2442" s="14" t="n">
        <v>0.85793</v>
      </c>
      <c r="M2442" s="14" t="n">
        <v>8.3199</v>
      </c>
      <c r="N2442" s="14" t="n">
        <v>6.5127</v>
      </c>
      <c r="O2442" s="14" t="n">
        <v>161.68</v>
      </c>
      <c r="P2442" s="14" t="n">
        <v>10.417</v>
      </c>
    </row>
    <row r="2443" customFormat="false" ht="15" hidden="false" customHeight="false" outlineLevel="0" collapsed="false">
      <c r="A2443" s="13" t="n">
        <v>45771</v>
      </c>
      <c r="B2443" s="14" t="n">
        <v>1432.97</v>
      </c>
      <c r="C2443" s="14" t="n">
        <v>10.4231</v>
      </c>
      <c r="D2443" s="14" t="n">
        <v>1.3309</v>
      </c>
      <c r="E2443" s="14" t="n">
        <v>1.1363</v>
      </c>
      <c r="F2443" s="14" t="n">
        <v>7.2879</v>
      </c>
      <c r="G2443" s="14" t="n">
        <v>5.6709</v>
      </c>
      <c r="H2443" s="14" t="n">
        <v>142.64</v>
      </c>
      <c r="I2443" s="14" t="n">
        <v>1.1376</v>
      </c>
      <c r="J2443" s="14" t="n">
        <v>11.8285</v>
      </c>
      <c r="K2443" s="14" t="n">
        <v>1632.79</v>
      </c>
      <c r="L2443" s="14" t="n">
        <v>0.855</v>
      </c>
      <c r="M2443" s="14" t="n">
        <v>8.2925</v>
      </c>
      <c r="N2443" s="14" t="n">
        <v>6.4678</v>
      </c>
      <c r="O2443" s="14" t="n">
        <v>162.16</v>
      </c>
      <c r="P2443" s="14" t="n">
        <v>10.3978</v>
      </c>
    </row>
    <row r="2444" customFormat="false" ht="15" hidden="false" customHeight="false" outlineLevel="0" collapsed="false">
      <c r="A2444" s="13" t="n">
        <v>45772</v>
      </c>
      <c r="B2444" s="14" t="n">
        <v>1440.72</v>
      </c>
      <c r="C2444" s="14" t="n">
        <v>10.4064</v>
      </c>
      <c r="D2444" s="14" t="n">
        <v>1.3331</v>
      </c>
      <c r="E2444" s="14" t="n">
        <v>1.1381</v>
      </c>
      <c r="F2444" s="14" t="n">
        <v>7.2864</v>
      </c>
      <c r="G2444" s="14" t="n">
        <v>5.681</v>
      </c>
      <c r="H2444" s="14" t="n">
        <v>143.75</v>
      </c>
      <c r="I2444" s="14" t="n">
        <v>1.1357</v>
      </c>
      <c r="J2444" s="14" t="n">
        <v>11.8415</v>
      </c>
      <c r="K2444" s="14" t="n">
        <v>1634.83</v>
      </c>
      <c r="L2444" s="14" t="n">
        <v>0.8531</v>
      </c>
      <c r="M2444" s="14" t="n">
        <v>8.2773</v>
      </c>
      <c r="N2444" s="14" t="n">
        <v>6.4566</v>
      </c>
      <c r="O2444" s="14" t="n">
        <v>162.8</v>
      </c>
      <c r="P2444" s="14" t="n">
        <v>10.4266</v>
      </c>
    </row>
    <row r="2445" customFormat="false" ht="15" hidden="false" customHeight="false" outlineLevel="0" collapsed="false">
      <c r="A2445" s="13" t="n">
        <v>45775</v>
      </c>
      <c r="B2445" s="14" t="n">
        <v>1436.31</v>
      </c>
      <c r="C2445" s="14" t="n">
        <v>10.3601</v>
      </c>
      <c r="D2445" s="14" t="n">
        <v>1.3395</v>
      </c>
      <c r="E2445" s="14" t="n">
        <v>1.1387</v>
      </c>
      <c r="F2445" s="14" t="n">
        <v>7.2942</v>
      </c>
      <c r="G2445" s="14" t="n">
        <v>5.6777</v>
      </c>
      <c r="H2445" s="14" t="n">
        <v>142.7</v>
      </c>
      <c r="I2445" s="14" t="n">
        <v>1.1358</v>
      </c>
      <c r="J2445" s="14" t="n">
        <v>11.8615</v>
      </c>
      <c r="K2445" s="14" t="n">
        <v>1640.53</v>
      </c>
      <c r="L2445" s="14" t="n">
        <v>0.8514</v>
      </c>
      <c r="M2445" s="14" t="n">
        <v>8.2891</v>
      </c>
      <c r="N2445" s="14" t="n">
        <v>6.4691</v>
      </c>
      <c r="O2445" s="14" t="n">
        <v>162.8</v>
      </c>
      <c r="P2445" s="14" t="n">
        <v>10.4433</v>
      </c>
    </row>
    <row r="2446" customFormat="false" ht="15" hidden="false" customHeight="false" outlineLevel="0" collapsed="false">
      <c r="A2446" s="13" t="n">
        <v>45776</v>
      </c>
      <c r="B2446" s="14" t="n">
        <v>1432.01</v>
      </c>
      <c r="C2446" s="14" t="n">
        <v>10.3606</v>
      </c>
      <c r="D2446" s="14" t="n">
        <v>1.3397</v>
      </c>
      <c r="E2446" s="14" t="n">
        <v>1.1396</v>
      </c>
      <c r="F2446" s="14" t="n">
        <v>7.269</v>
      </c>
      <c r="G2446" s="14" t="n">
        <v>5.633</v>
      </c>
      <c r="H2446" s="14" t="n">
        <v>142.29</v>
      </c>
      <c r="I2446" s="14" t="n">
        <v>1.1373</v>
      </c>
      <c r="J2446" s="14" t="n">
        <v>11.8045</v>
      </c>
      <c r="K2446" s="14" t="n">
        <v>1632.79</v>
      </c>
      <c r="L2446" s="14" t="n">
        <v>0.8498</v>
      </c>
      <c r="M2446" s="14" t="n">
        <v>8.2715</v>
      </c>
      <c r="N2446" s="14" t="n">
        <v>6.4326</v>
      </c>
      <c r="O2446" s="14" t="n">
        <v>162.28</v>
      </c>
      <c r="P2446" s="14" t="n">
        <v>10.3794</v>
      </c>
    </row>
    <row r="2447" customFormat="false" ht="15" hidden="false" customHeight="false" outlineLevel="0" collapsed="false">
      <c r="A2447" s="13" t="n">
        <v>45777</v>
      </c>
      <c r="B2447" s="14" t="n">
        <v>1425.68</v>
      </c>
      <c r="C2447" s="14" t="n">
        <v>10.3869</v>
      </c>
      <c r="D2447" s="14" t="n">
        <v>1.3344</v>
      </c>
      <c r="E2447" s="14" t="n">
        <v>1.1349</v>
      </c>
      <c r="F2447" s="14" t="n">
        <v>7.2706</v>
      </c>
      <c r="G2447" s="14" t="n">
        <v>5.6612</v>
      </c>
      <c r="H2447" s="14" t="n">
        <v>142.63</v>
      </c>
      <c r="I2447" s="14" t="n">
        <v>1.1373</v>
      </c>
      <c r="J2447" s="14" t="n">
        <v>11.809</v>
      </c>
      <c r="K2447" s="14" t="n">
        <v>1618.39</v>
      </c>
      <c r="L2447" s="14" t="n">
        <v>0.8518</v>
      </c>
      <c r="M2447" s="14" t="n">
        <v>8.2635</v>
      </c>
      <c r="N2447" s="14" t="n">
        <v>6.3839</v>
      </c>
      <c r="O2447" s="14" t="n">
        <v>162.68</v>
      </c>
      <c r="P2447" s="14" t="n">
        <v>10.3834</v>
      </c>
    </row>
    <row r="2448" customFormat="false" ht="15" hidden="false" customHeight="false" outlineLevel="0" collapsed="false">
      <c r="A2448" s="13" t="n">
        <v>45778</v>
      </c>
      <c r="B2448" s="14" t="n">
        <v>1437.58</v>
      </c>
      <c r="C2448" s="14" t="n">
        <v>10.4554</v>
      </c>
      <c r="D2448" s="14" t="n">
        <v>1.3273</v>
      </c>
      <c r="E2448" s="14" t="n">
        <v>1.1279</v>
      </c>
      <c r="F2448" s="14" t="n">
        <v>7.2706</v>
      </c>
      <c r="G2448" s="14" t="n">
        <v>5.6729</v>
      </c>
      <c r="H2448" s="14" t="n">
        <v>145.48</v>
      </c>
    </row>
    <row r="2449" customFormat="false" ht="15" hidden="false" customHeight="false" outlineLevel="0" collapsed="false">
      <c r="A2449" s="13" t="n">
        <v>45779</v>
      </c>
      <c r="B2449" s="14" t="n">
        <v>1398.89</v>
      </c>
      <c r="C2449" s="14" t="n">
        <v>10.3927</v>
      </c>
      <c r="D2449" s="14" t="n">
        <v>1.3283</v>
      </c>
      <c r="E2449" s="14" t="n">
        <v>1.133</v>
      </c>
      <c r="F2449" s="14" t="n">
        <v>7.2706</v>
      </c>
      <c r="G2449" s="14" t="n">
        <v>5.6485</v>
      </c>
      <c r="H2449" s="14" t="n">
        <v>144.52</v>
      </c>
      <c r="I2449" s="14" t="n">
        <v>1.1343</v>
      </c>
      <c r="J2449" s="14" t="n">
        <v>11.7585</v>
      </c>
      <c r="K2449" s="14" t="n">
        <v>1585.45</v>
      </c>
      <c r="L2449" s="14" t="n">
        <v>0.8533</v>
      </c>
      <c r="M2449" s="14" t="n">
        <v>8.2479</v>
      </c>
      <c r="N2449" s="14" t="n">
        <v>6.4264</v>
      </c>
      <c r="O2449" s="14" t="n">
        <v>163.93</v>
      </c>
      <c r="P2449" s="14" t="n">
        <v>10.3663</v>
      </c>
    </row>
    <row r="2450" customFormat="false" ht="15" hidden="false" customHeight="false" outlineLevel="0" collapsed="false">
      <c r="A2450" s="13" t="n">
        <v>45782</v>
      </c>
      <c r="B2450" s="14" t="n">
        <v>1375.11</v>
      </c>
      <c r="C2450" s="14" t="n">
        <v>10.3929</v>
      </c>
      <c r="D2450" s="14" t="n">
        <v>1.3284</v>
      </c>
      <c r="E2450" s="14" t="n">
        <v>1.1315</v>
      </c>
      <c r="F2450" s="14" t="n">
        <v>7.2706</v>
      </c>
      <c r="G2450" s="14" t="n">
        <v>5.6663</v>
      </c>
      <c r="H2450" s="14" t="n">
        <v>143.98</v>
      </c>
      <c r="I2450" s="14" t="n">
        <v>1.1343</v>
      </c>
      <c r="J2450" s="14" t="n">
        <v>11.7885</v>
      </c>
      <c r="K2450" s="14" t="n">
        <v>1555.49</v>
      </c>
      <c r="L2450" s="14" t="n">
        <v>0.8515</v>
      </c>
      <c r="M2450" s="14" t="n">
        <v>8.2479</v>
      </c>
      <c r="N2450" s="14" t="n">
        <v>6.4019</v>
      </c>
      <c r="O2450" s="14" t="n">
        <v>163.19</v>
      </c>
      <c r="P2450" s="14" t="n">
        <v>10.3928</v>
      </c>
    </row>
    <row r="2451" customFormat="false" ht="15" hidden="false" customHeight="false" outlineLevel="0" collapsed="false">
      <c r="A2451" s="13" t="n">
        <v>45783</v>
      </c>
      <c r="B2451" s="14" t="n">
        <v>1377.15</v>
      </c>
      <c r="C2451" s="14" t="n">
        <v>10.2899</v>
      </c>
      <c r="D2451" s="14" t="n">
        <v>1.3369</v>
      </c>
      <c r="E2451" s="14" t="n">
        <v>1.1345</v>
      </c>
      <c r="F2451" s="14" t="n">
        <v>7.2164</v>
      </c>
      <c r="G2451" s="14" t="n">
        <v>5.7206</v>
      </c>
      <c r="H2451" s="14" t="n">
        <v>142.76</v>
      </c>
      <c r="I2451" s="14" t="n">
        <v>1.1325</v>
      </c>
      <c r="J2451" s="14" t="n">
        <v>11.7015</v>
      </c>
      <c r="K2451" s="14" t="n">
        <v>1564.07</v>
      </c>
      <c r="L2451" s="14" t="n">
        <v>0.8469</v>
      </c>
      <c r="M2451" s="14" t="n">
        <v>8.1735</v>
      </c>
      <c r="N2451" s="14" t="n">
        <v>6.4538</v>
      </c>
      <c r="O2451" s="14" t="n">
        <v>161.64</v>
      </c>
      <c r="P2451" s="14" t="n">
        <v>10.3325</v>
      </c>
    </row>
    <row r="2452" customFormat="false" ht="15" hidden="false" customHeight="false" outlineLevel="0" collapsed="false">
      <c r="A2452" s="13" t="n">
        <v>45784</v>
      </c>
      <c r="B2452" s="14" t="n">
        <v>1391.86</v>
      </c>
      <c r="C2452" s="14" t="n">
        <v>10.2994</v>
      </c>
      <c r="D2452" s="14" t="n">
        <v>1.3344</v>
      </c>
      <c r="E2452" s="14" t="n">
        <v>1.1348</v>
      </c>
      <c r="F2452" s="14" t="n">
        <v>7.225</v>
      </c>
      <c r="G2452" s="14" t="n">
        <v>5.7438</v>
      </c>
      <c r="H2452" s="14" t="n">
        <v>143.47</v>
      </c>
      <c r="I2452" s="14" t="n">
        <v>1.136</v>
      </c>
      <c r="J2452" s="14" t="n">
        <v>11.6715</v>
      </c>
      <c r="K2452" s="14" t="n">
        <v>1580.35</v>
      </c>
      <c r="L2452" s="14" t="n">
        <v>0.8511</v>
      </c>
      <c r="M2452" s="14" t="n">
        <v>8.2079</v>
      </c>
      <c r="N2452" s="14" t="n">
        <v>6.4763</v>
      </c>
      <c r="O2452" s="14" t="n">
        <v>162.89</v>
      </c>
      <c r="P2452" s="14" t="n">
        <v>10.2742</v>
      </c>
    </row>
    <row r="2453" customFormat="false" ht="15" hidden="false" customHeight="false" outlineLevel="0" collapsed="false">
      <c r="A2453" s="13" t="n">
        <v>45785</v>
      </c>
      <c r="B2453" s="14" t="n">
        <v>1403.61</v>
      </c>
      <c r="C2453" s="14" t="n">
        <v>10.3952</v>
      </c>
      <c r="D2453" s="14" t="n">
        <v>1.3287</v>
      </c>
      <c r="E2453" s="14" t="n">
        <v>1.1249</v>
      </c>
      <c r="F2453" s="14" t="n">
        <v>7.234</v>
      </c>
      <c r="G2453" s="14" t="n">
        <v>5.6798</v>
      </c>
      <c r="H2453" s="14" t="n">
        <v>145.46</v>
      </c>
      <c r="I2453" s="14" t="n">
        <v>1.1297</v>
      </c>
      <c r="J2453" s="14" t="n">
        <v>11.688</v>
      </c>
      <c r="K2453" s="14" t="n">
        <v>1580.13</v>
      </c>
      <c r="L2453" s="14" t="n">
        <v>0.8476</v>
      </c>
      <c r="M2453" s="14" t="n">
        <v>8.1764</v>
      </c>
      <c r="N2453" s="14" t="n">
        <v>6.4915</v>
      </c>
      <c r="O2453" s="14" t="n">
        <v>163.45</v>
      </c>
      <c r="P2453" s="14" t="n">
        <v>10.3461</v>
      </c>
    </row>
    <row r="2454" customFormat="false" ht="15" hidden="false" customHeight="false" outlineLevel="0" collapsed="false">
      <c r="A2454" s="13" t="n">
        <v>45786</v>
      </c>
      <c r="B2454" s="14" t="n">
        <v>1398.51</v>
      </c>
      <c r="C2454" s="14" t="n">
        <v>10.3406</v>
      </c>
      <c r="D2454" s="14" t="n">
        <v>1.3318</v>
      </c>
      <c r="E2454" s="14" t="n">
        <v>1.127</v>
      </c>
      <c r="F2454" s="14" t="n">
        <v>7.2364</v>
      </c>
      <c r="G2454" s="14" t="n">
        <v>5.6435</v>
      </c>
      <c r="H2454" s="14" t="n">
        <v>145.15</v>
      </c>
      <c r="I2454" s="14" t="n">
        <v>1.1252</v>
      </c>
      <c r="J2454" s="14" t="n">
        <v>11.6725</v>
      </c>
      <c r="K2454" s="14" t="n">
        <v>1575.72</v>
      </c>
      <c r="L2454" s="14" t="n">
        <v>0.8477</v>
      </c>
      <c r="M2454" s="14" t="n">
        <v>8.147</v>
      </c>
      <c r="N2454" s="14" t="n">
        <v>6.3647</v>
      </c>
      <c r="O2454" s="14" t="n">
        <v>163.36</v>
      </c>
      <c r="P2454" s="14" t="n">
        <v>10.3737</v>
      </c>
    </row>
    <row r="2455" customFormat="false" ht="15" hidden="false" customHeight="false" outlineLevel="0" collapsed="false">
      <c r="A2455" s="13" t="n">
        <v>45789</v>
      </c>
      <c r="B2455" s="14" t="n">
        <v>1417.77</v>
      </c>
      <c r="C2455" s="14" t="n">
        <v>10.4448</v>
      </c>
      <c r="D2455" s="14" t="n">
        <v>1.3194</v>
      </c>
      <c r="E2455" s="14" t="n">
        <v>1.1106</v>
      </c>
      <c r="F2455" s="14" t="n">
        <v>7.2018</v>
      </c>
      <c r="G2455" s="14" t="n">
        <v>5.6843</v>
      </c>
      <c r="H2455" s="14" t="n">
        <v>148.09</v>
      </c>
      <c r="I2455" s="14" t="n">
        <v>1.1106</v>
      </c>
      <c r="J2455" s="14" t="n">
        <v>11.596</v>
      </c>
      <c r="K2455" s="14" t="n">
        <v>1576.03</v>
      </c>
      <c r="L2455" s="14" t="n">
        <v>0.8429</v>
      </c>
      <c r="M2455" s="14" t="n">
        <v>7.9999</v>
      </c>
      <c r="N2455" s="14" t="n">
        <v>6.3002</v>
      </c>
      <c r="O2455" s="14" t="n">
        <v>164.46</v>
      </c>
      <c r="P2455" s="14" t="n">
        <v>10.4412</v>
      </c>
    </row>
    <row r="2456" customFormat="false" ht="15" hidden="false" customHeight="false" outlineLevel="0" collapsed="false">
      <c r="A2456" s="13" t="n">
        <v>45790</v>
      </c>
      <c r="B2456" s="14" t="n">
        <v>1418.65</v>
      </c>
      <c r="C2456" s="14" t="n">
        <v>10.36</v>
      </c>
      <c r="D2456" s="14" t="n">
        <v>1.328</v>
      </c>
      <c r="E2456" s="14" t="n">
        <v>1.1176</v>
      </c>
      <c r="F2456" s="14" t="n">
        <v>7.2057</v>
      </c>
      <c r="G2456" s="14" t="n">
        <v>5.6023</v>
      </c>
      <c r="H2456" s="14" t="n">
        <v>147.75</v>
      </c>
      <c r="I2456" s="14" t="n">
        <v>1.1112</v>
      </c>
      <c r="J2456" s="14" t="n">
        <v>11.5733</v>
      </c>
      <c r="K2456" s="14" t="n">
        <v>1582.85</v>
      </c>
      <c r="L2456" s="14" t="n">
        <v>0.8406</v>
      </c>
      <c r="M2456" s="14" t="n">
        <v>8.0021</v>
      </c>
      <c r="N2456" s="14" t="n">
        <v>6.295</v>
      </c>
      <c r="O2456" s="14" t="n">
        <v>164.61</v>
      </c>
      <c r="P2456" s="14" t="n">
        <v>10.4151</v>
      </c>
    </row>
    <row r="2457" customFormat="false" ht="15" hidden="false" customHeight="false" outlineLevel="0" collapsed="false">
      <c r="A2457" s="13" t="n">
        <v>45791</v>
      </c>
      <c r="B2457" s="14" t="n">
        <v>1398.83</v>
      </c>
      <c r="C2457" s="14" t="n">
        <v>10.3593</v>
      </c>
      <c r="D2457" s="14" t="n">
        <v>1.3303</v>
      </c>
      <c r="E2457" s="14" t="n">
        <v>1.1206</v>
      </c>
      <c r="F2457" s="14" t="n">
        <v>7.208</v>
      </c>
      <c r="G2457" s="14" t="n">
        <v>5.6131</v>
      </c>
      <c r="H2457" s="14" t="n">
        <v>146.54</v>
      </c>
      <c r="I2457" s="14" t="n">
        <v>1.1214</v>
      </c>
      <c r="J2457" s="14" t="n">
        <v>11.5715</v>
      </c>
      <c r="K2457" s="14" t="n">
        <v>1567.22</v>
      </c>
      <c r="L2457" s="14" t="n">
        <v>0.8415</v>
      </c>
      <c r="M2457" s="14" t="n">
        <v>8.0794</v>
      </c>
      <c r="N2457" s="14" t="n">
        <v>6.2927</v>
      </c>
      <c r="O2457" s="14" t="n">
        <v>164.01</v>
      </c>
      <c r="P2457" s="14" t="n">
        <v>10.3188</v>
      </c>
    </row>
    <row r="2458" customFormat="false" ht="15" hidden="false" customHeight="false" outlineLevel="0" collapsed="false">
      <c r="A2458" s="13" t="n">
        <v>45792</v>
      </c>
      <c r="B2458" s="14" t="n">
        <v>1397.65</v>
      </c>
      <c r="C2458" s="14" t="n">
        <v>10.4183</v>
      </c>
      <c r="D2458" s="14" t="n">
        <v>1.3292</v>
      </c>
      <c r="E2458" s="14" t="n">
        <v>1.1189</v>
      </c>
      <c r="F2458" s="14" t="n">
        <v>7.2067</v>
      </c>
      <c r="G2458" s="14" t="n">
        <v>5.637</v>
      </c>
      <c r="H2458" s="14" t="n">
        <v>145.61</v>
      </c>
      <c r="I2458" s="14" t="n">
        <v>1.1185</v>
      </c>
      <c r="J2458" s="14" t="n">
        <v>11.65</v>
      </c>
      <c r="K2458" s="14" t="n">
        <v>1563.75</v>
      </c>
      <c r="L2458" s="14" t="n">
        <v>0.8424</v>
      </c>
      <c r="M2458" s="14" t="n">
        <v>8.0661</v>
      </c>
      <c r="N2458" s="14" t="n">
        <v>6.2954</v>
      </c>
      <c r="O2458" s="14" t="n">
        <v>163.3</v>
      </c>
      <c r="P2458" s="14" t="n">
        <v>10.4157</v>
      </c>
    </row>
    <row r="2459" customFormat="false" ht="15" hidden="false" customHeight="false" outlineLevel="0" collapsed="false">
      <c r="A2459" s="13" t="n">
        <v>45793</v>
      </c>
      <c r="B2459" s="14" t="n">
        <v>1401.19</v>
      </c>
      <c r="C2459" s="14" t="n">
        <v>10.3987</v>
      </c>
      <c r="D2459" s="14" t="n">
        <v>1.3257</v>
      </c>
      <c r="E2459" s="14" t="n">
        <v>1.1141</v>
      </c>
      <c r="F2459" s="14" t="n">
        <v>7.209</v>
      </c>
      <c r="G2459" s="14" t="n">
        <v>5.6775</v>
      </c>
      <c r="H2459" s="14" t="n">
        <v>146.02</v>
      </c>
      <c r="I2459" s="14" t="n">
        <v>1.1194</v>
      </c>
      <c r="J2459" s="14" t="n">
        <v>11.635</v>
      </c>
      <c r="K2459" s="14" t="n">
        <v>1563.17</v>
      </c>
      <c r="L2459" s="14" t="n">
        <v>0.8427</v>
      </c>
      <c r="M2459" s="14" t="n">
        <v>8.0659</v>
      </c>
      <c r="N2459" s="14" t="n">
        <v>6.365</v>
      </c>
      <c r="O2459" s="14" t="n">
        <v>163.05</v>
      </c>
      <c r="P2459" s="14" t="n">
        <v>10.394</v>
      </c>
    </row>
    <row r="2460" customFormat="false" ht="15" hidden="false" customHeight="false" outlineLevel="0" collapsed="false">
      <c r="A2460" s="13" t="n">
        <v>45796</v>
      </c>
      <c r="B2460" s="14" t="n">
        <v>1388.48</v>
      </c>
      <c r="C2460" s="14" t="n">
        <v>10.2983</v>
      </c>
      <c r="D2460" s="14" t="n">
        <v>1.3357</v>
      </c>
      <c r="E2460" s="14" t="n">
        <v>1.1236</v>
      </c>
      <c r="F2460" s="14" t="n">
        <v>7.2144</v>
      </c>
      <c r="G2460" s="14" t="n">
        <v>5.6424</v>
      </c>
      <c r="H2460" s="14" t="n">
        <v>144.99</v>
      </c>
      <c r="I2460" s="14" t="n">
        <v>1.1262</v>
      </c>
      <c r="J2460" s="14" t="n">
        <v>11.5955</v>
      </c>
      <c r="K2460" s="14" t="n">
        <v>1564.04</v>
      </c>
      <c r="L2460" s="14" t="n">
        <v>0.8419</v>
      </c>
      <c r="M2460" s="14" t="n">
        <v>8.1225</v>
      </c>
      <c r="N2460" s="14" t="n">
        <v>6.3853</v>
      </c>
      <c r="O2460" s="14" t="n">
        <v>163.26</v>
      </c>
      <c r="P2460" s="14" t="n">
        <v>10.2961</v>
      </c>
    </row>
    <row r="2461" customFormat="false" ht="15" hidden="false" customHeight="false" outlineLevel="0" collapsed="false">
      <c r="A2461" s="13" t="n">
        <v>45797</v>
      </c>
      <c r="B2461" s="14" t="n">
        <v>1393.36</v>
      </c>
      <c r="C2461" s="14" t="n">
        <v>10.2976</v>
      </c>
      <c r="D2461" s="14" t="n">
        <v>1.3371</v>
      </c>
      <c r="E2461" s="14" t="n">
        <v>1.1254</v>
      </c>
      <c r="F2461" s="14" t="n">
        <v>7.2194</v>
      </c>
      <c r="G2461" s="14" t="n">
        <v>5.6687</v>
      </c>
      <c r="H2461" s="14" t="n">
        <v>144.72</v>
      </c>
      <c r="I2461" s="14" t="n">
        <v>1.1241</v>
      </c>
      <c r="J2461" s="14" t="n">
        <v>11.5955</v>
      </c>
      <c r="K2461" s="14" t="n">
        <v>1567.69</v>
      </c>
      <c r="L2461" s="14" t="n">
        <v>0.8418</v>
      </c>
      <c r="M2461" s="14" t="n">
        <v>8.1154</v>
      </c>
      <c r="N2461" s="14" t="n">
        <v>6.3444</v>
      </c>
      <c r="O2461" s="14" t="n">
        <v>162.59</v>
      </c>
      <c r="P2461" s="14" t="n">
        <v>10.3154</v>
      </c>
    </row>
    <row r="2462" customFormat="false" ht="15" hidden="false" customHeight="false" outlineLevel="0" collapsed="false">
      <c r="A2462" s="13" t="n">
        <v>45798</v>
      </c>
      <c r="B2462" s="14" t="n">
        <v>1371.64</v>
      </c>
      <c r="C2462" s="14" t="n">
        <v>10.1318</v>
      </c>
      <c r="D2462" s="14" t="n">
        <v>1.3447</v>
      </c>
      <c r="E2462" s="14" t="n">
        <v>1.1343</v>
      </c>
      <c r="F2462" s="14" t="n">
        <v>7.2019</v>
      </c>
      <c r="G2462" s="14" t="n">
        <v>5.6591</v>
      </c>
      <c r="H2462" s="14" t="n">
        <v>143.68</v>
      </c>
      <c r="I2462" s="14" t="n">
        <v>1.1321</v>
      </c>
      <c r="J2462" s="14" t="n">
        <v>11.484</v>
      </c>
      <c r="K2462" s="14" t="n">
        <v>1556.99</v>
      </c>
      <c r="L2462" s="14" t="n">
        <v>0.8446</v>
      </c>
      <c r="M2462" s="14" t="n">
        <v>8.155</v>
      </c>
      <c r="N2462" s="14" t="n">
        <v>6.419</v>
      </c>
      <c r="O2462" s="14" t="n">
        <v>162.76</v>
      </c>
      <c r="P2462" s="14" t="n">
        <v>10.144</v>
      </c>
    </row>
    <row r="2463" customFormat="false" ht="15" hidden="false" customHeight="false" outlineLevel="0" collapsed="false">
      <c r="A2463" s="13" t="n">
        <v>45799</v>
      </c>
      <c r="B2463" s="14" t="n">
        <v>1381.55</v>
      </c>
      <c r="C2463" s="14" t="n">
        <v>10.21</v>
      </c>
      <c r="D2463" s="14" t="n">
        <v>1.3426</v>
      </c>
      <c r="E2463" s="14" t="n">
        <v>1.1281</v>
      </c>
      <c r="F2463" s="14" t="n">
        <v>7.2037</v>
      </c>
      <c r="G2463" s="14" t="n">
        <v>5.6205</v>
      </c>
      <c r="H2463" s="14" t="n">
        <v>143.89</v>
      </c>
      <c r="I2463" s="14" t="n">
        <v>1.1309</v>
      </c>
      <c r="J2463" s="14" t="n">
        <v>11.5155</v>
      </c>
      <c r="K2463" s="14" t="n">
        <v>1562.67</v>
      </c>
      <c r="L2463" s="14" t="n">
        <v>0.8427</v>
      </c>
      <c r="M2463" s="14" t="n">
        <v>8.1477</v>
      </c>
      <c r="N2463" s="14" t="n">
        <v>6.4025</v>
      </c>
      <c r="O2463" s="14" t="n">
        <v>162.19</v>
      </c>
      <c r="P2463" s="14" t="n">
        <v>10.1826</v>
      </c>
    </row>
    <row r="2464" customFormat="false" ht="15" hidden="false" customHeight="false" outlineLevel="0" collapsed="false">
      <c r="A2464" s="13" t="n">
        <v>45800</v>
      </c>
      <c r="B2464" s="14" t="n">
        <v>1365.03</v>
      </c>
      <c r="C2464" s="14" t="n">
        <v>10.1108</v>
      </c>
      <c r="D2464" s="14" t="n">
        <v>1.3511</v>
      </c>
      <c r="E2464" s="14" t="n">
        <v>1.135</v>
      </c>
      <c r="F2464" s="14" t="n">
        <v>7.1798</v>
      </c>
      <c r="G2464" s="14" t="n">
        <v>5.6887</v>
      </c>
      <c r="H2464" s="14" t="n">
        <v>142.61</v>
      </c>
      <c r="I2464" s="14" t="n">
        <v>1.1301</v>
      </c>
      <c r="J2464" s="14" t="n">
        <v>11.522</v>
      </c>
      <c r="K2464" s="14" t="n">
        <v>1555.77</v>
      </c>
      <c r="L2464" s="14" t="n">
        <v>0.8382</v>
      </c>
      <c r="M2464" s="14" t="n">
        <v>8.1197</v>
      </c>
      <c r="N2464" s="14" t="n">
        <v>6.4721</v>
      </c>
      <c r="O2464" s="14" t="n">
        <v>161.13</v>
      </c>
      <c r="P2464" s="14" t="n">
        <v>10.1956</v>
      </c>
    </row>
    <row r="2465" customFormat="false" ht="15" hidden="false" customHeight="false" outlineLevel="0" collapsed="false">
      <c r="A2465" s="13" t="n">
        <v>45803</v>
      </c>
      <c r="I2465" s="14" t="n">
        <v>1.1381</v>
      </c>
      <c r="J2465" s="14" t="n">
        <v>11.484</v>
      </c>
      <c r="K2465" s="14" t="n">
        <v>1558.61</v>
      </c>
      <c r="L2465" s="14" t="n">
        <v>0.8392</v>
      </c>
      <c r="M2465" s="14" t="n">
        <v>8.1795</v>
      </c>
      <c r="N2465" s="14" t="n">
        <v>6.429</v>
      </c>
      <c r="O2465" s="14" t="n">
        <v>162.63</v>
      </c>
      <c r="P2465" s="14" t="n">
        <v>10.0905</v>
      </c>
    </row>
    <row r="2466" customFormat="false" ht="15" hidden="false" customHeight="false" outlineLevel="0" collapsed="false">
      <c r="A2466" s="13" t="n">
        <v>45804</v>
      </c>
      <c r="B2466" s="14" t="n">
        <v>1375.85</v>
      </c>
      <c r="C2466" s="14" t="n">
        <v>10.1586</v>
      </c>
      <c r="D2466" s="14" t="n">
        <v>1.3505</v>
      </c>
      <c r="E2466" s="14" t="n">
        <v>1.1326</v>
      </c>
      <c r="F2466" s="14" t="n">
        <v>7.195</v>
      </c>
      <c r="G2466" s="14" t="n">
        <v>5.6518</v>
      </c>
      <c r="H2466" s="14" t="n">
        <v>144.37</v>
      </c>
      <c r="I2466" s="14" t="n">
        <v>1.1356</v>
      </c>
      <c r="J2466" s="14" t="n">
        <v>11.506</v>
      </c>
      <c r="K2466" s="14" t="n">
        <v>1560.6</v>
      </c>
      <c r="L2466" s="14" t="n">
        <v>0.8381</v>
      </c>
      <c r="M2466" s="14" t="n">
        <v>8.1709</v>
      </c>
      <c r="N2466" s="14" t="n">
        <v>6.4331</v>
      </c>
      <c r="O2466" s="14" t="n">
        <v>163.72</v>
      </c>
      <c r="P2466" s="14" t="n">
        <v>10.1321</v>
      </c>
    </row>
    <row r="2467" customFormat="false" ht="15" hidden="false" customHeight="false" outlineLevel="0" collapsed="false">
      <c r="A2467" s="13" t="n">
        <v>45805</v>
      </c>
      <c r="B2467" s="14" t="n">
        <v>1374.6</v>
      </c>
      <c r="C2467" s="14" t="n">
        <v>10.1763</v>
      </c>
      <c r="D2467" s="14" t="n">
        <v>1.3462</v>
      </c>
      <c r="E2467" s="14" t="n">
        <v>1.1286</v>
      </c>
      <c r="F2467" s="14" t="n">
        <v>7.1941</v>
      </c>
      <c r="G2467" s="14" t="n">
        <v>5.7053</v>
      </c>
      <c r="H2467" s="14" t="n">
        <v>145.04</v>
      </c>
      <c r="I2467" s="14" t="n">
        <v>1.1317</v>
      </c>
      <c r="J2467" s="14" t="n">
        <v>11.4945</v>
      </c>
      <c r="K2467" s="14" t="n">
        <v>1554.23</v>
      </c>
      <c r="L2467" s="14" t="n">
        <v>0.8398</v>
      </c>
      <c r="M2467" s="14" t="n">
        <v>8.1402</v>
      </c>
      <c r="N2467" s="14" t="n">
        <v>6.3982</v>
      </c>
      <c r="O2467" s="14" t="n">
        <v>163.43</v>
      </c>
      <c r="P2467" s="14" t="n">
        <v>10.1568</v>
      </c>
    </row>
    <row r="2468" customFormat="false" ht="15" hidden="false" customHeight="false" outlineLevel="0" collapsed="false">
      <c r="A2468" s="13" t="n">
        <v>45806</v>
      </c>
      <c r="B2468" s="14" t="n">
        <v>1371.75</v>
      </c>
      <c r="C2468" s="14" t="n">
        <v>10.1247</v>
      </c>
      <c r="D2468" s="14" t="n">
        <v>1.3489</v>
      </c>
      <c r="E2468" s="14" t="n">
        <v>1.137</v>
      </c>
      <c r="F2468" s="14" t="n">
        <v>7.1855</v>
      </c>
      <c r="G2468" s="14" t="n">
        <v>5.6505</v>
      </c>
      <c r="H2468" s="14" t="n">
        <v>144.09</v>
      </c>
      <c r="I2468" s="14" t="n">
        <v>1.1281</v>
      </c>
      <c r="J2468" s="14" t="n">
        <v>11.488</v>
      </c>
      <c r="K2468" s="14" t="n">
        <v>1550.97</v>
      </c>
      <c r="L2468" s="14" t="n">
        <v>0.8377</v>
      </c>
      <c r="M2468" s="14" t="n">
        <v>8.1093</v>
      </c>
      <c r="N2468" s="14" t="n">
        <v>6.4136</v>
      </c>
      <c r="O2468" s="14" t="n">
        <v>163.47</v>
      </c>
    </row>
    <row r="2469" customFormat="false" ht="15" hidden="false" customHeight="false" outlineLevel="0" collapsed="false">
      <c r="A2469" s="13" t="n">
        <v>45807</v>
      </c>
      <c r="B2469" s="14" t="n">
        <v>1381.13</v>
      </c>
      <c r="C2469" s="14" t="n">
        <v>10.2124</v>
      </c>
      <c r="D2469" s="14" t="n">
        <v>1.3468</v>
      </c>
      <c r="E2469" s="14" t="n">
        <v>1.1347</v>
      </c>
      <c r="F2469" s="14" t="n">
        <v>7.1991</v>
      </c>
      <c r="G2469" s="14" t="n">
        <v>5.7184</v>
      </c>
      <c r="H2469" s="14" t="n">
        <v>144.18</v>
      </c>
      <c r="I2469" s="14" t="n">
        <v>1.1339</v>
      </c>
      <c r="J2469" s="14" t="n">
        <v>11.5408</v>
      </c>
      <c r="K2469" s="14" t="n">
        <v>1563.09</v>
      </c>
      <c r="L2469" s="14" t="n">
        <v>0.8412</v>
      </c>
      <c r="M2469" s="14" t="n">
        <v>8.1576</v>
      </c>
      <c r="N2469" s="14" t="n">
        <v>6.4405</v>
      </c>
      <c r="O2469" s="14" t="n">
        <v>162.96</v>
      </c>
      <c r="P2469" s="14" t="n">
        <v>10.178</v>
      </c>
    </row>
    <row r="2470" customFormat="false" ht="15" hidden="false" customHeight="false" outlineLevel="0" collapsed="false">
      <c r="A2470" s="13" t="n">
        <v>45810</v>
      </c>
      <c r="B2470" s="14" t="n">
        <v>1376.42</v>
      </c>
      <c r="C2470" s="14" t="n">
        <v>10.0842</v>
      </c>
      <c r="D2470" s="14" t="n">
        <v>1.3549</v>
      </c>
      <c r="E2470" s="14" t="n">
        <v>1.1432</v>
      </c>
      <c r="F2470" s="14" t="n">
        <v>7.1975</v>
      </c>
      <c r="G2470" s="14" t="n">
        <v>5.7061</v>
      </c>
      <c r="H2470" s="14" t="n">
        <v>142.76</v>
      </c>
      <c r="I2470" s="14" t="n">
        <v>1.1419</v>
      </c>
      <c r="J2470" s="14" t="n">
        <v>11.51</v>
      </c>
      <c r="K2470" s="14" t="n">
        <v>1572.2</v>
      </c>
      <c r="L2470" s="14" t="n">
        <v>0.8434</v>
      </c>
      <c r="M2470" s="14" t="n">
        <v>8.2214</v>
      </c>
      <c r="N2470" s="14" t="n">
        <v>6.5015</v>
      </c>
      <c r="O2470" s="14" t="n">
        <v>162.98</v>
      </c>
      <c r="P2470" s="14" t="n">
        <v>10.0797</v>
      </c>
    </row>
    <row r="2471" customFormat="false" ht="15" hidden="false" customHeight="false" outlineLevel="0" collapsed="false">
      <c r="A2471" s="13" t="n">
        <v>45811</v>
      </c>
      <c r="B2471" s="14" t="n">
        <v>1378.45</v>
      </c>
      <c r="C2471" s="14" t="n">
        <v>10.1481</v>
      </c>
      <c r="D2471" s="14" t="n">
        <v>1.352</v>
      </c>
      <c r="E2471" s="14" t="n">
        <v>1.1373</v>
      </c>
      <c r="F2471" s="14" t="n">
        <v>7.1872</v>
      </c>
      <c r="G2471" s="14" t="n">
        <v>5.6444</v>
      </c>
      <c r="H2471" s="14" t="n">
        <v>143.93</v>
      </c>
      <c r="I2471" s="14" t="n">
        <v>1.1386</v>
      </c>
      <c r="J2471" s="14" t="n">
        <v>11.533</v>
      </c>
      <c r="K2471" s="14" t="n">
        <v>1567.6</v>
      </c>
      <c r="L2471" s="14" t="n">
        <v>0.8436</v>
      </c>
      <c r="M2471" s="14" t="n">
        <v>8.1841</v>
      </c>
      <c r="N2471" s="14" t="n">
        <v>6.4638</v>
      </c>
      <c r="O2471" s="14" t="n">
        <v>163</v>
      </c>
      <c r="P2471" s="14" t="n">
        <v>10.1291</v>
      </c>
    </row>
    <row r="2472" customFormat="false" ht="15" hidden="false" customHeight="false" outlineLevel="0" collapsed="false">
      <c r="A2472" s="13" t="n">
        <v>45812</v>
      </c>
      <c r="B2472" s="14" t="n">
        <v>1364.16</v>
      </c>
      <c r="C2472" s="14" t="n">
        <v>10.098</v>
      </c>
      <c r="D2472" s="14" t="n">
        <v>1.357</v>
      </c>
      <c r="E2472" s="14" t="n">
        <v>1.1424</v>
      </c>
      <c r="F2472" s="14" t="n">
        <v>7.1844</v>
      </c>
      <c r="G2472" s="14" t="n">
        <v>5.6396</v>
      </c>
      <c r="H2472" s="14" t="n">
        <v>142.91</v>
      </c>
      <c r="I2472" s="14" t="n">
        <v>1.1384</v>
      </c>
      <c r="J2472" s="14" t="n">
        <v>11.5185</v>
      </c>
      <c r="K2472" s="14" t="n">
        <v>1555.42</v>
      </c>
      <c r="L2472" s="14" t="n">
        <v>0.8421</v>
      </c>
      <c r="M2472" s="14" t="n">
        <v>8.1835</v>
      </c>
      <c r="N2472" s="14" t="n">
        <v>6.4002</v>
      </c>
      <c r="O2472" s="14" t="n">
        <v>164.15</v>
      </c>
      <c r="P2472" s="14" t="n">
        <v>10.1181</v>
      </c>
    </row>
    <row r="2473" customFormat="false" ht="15" hidden="false" customHeight="false" outlineLevel="0" collapsed="false">
      <c r="A2473" s="13" t="n">
        <v>45813</v>
      </c>
      <c r="B2473" s="14" t="n">
        <v>1355.97</v>
      </c>
      <c r="C2473" s="14" t="n">
        <v>10.0696</v>
      </c>
      <c r="D2473" s="14" t="n">
        <v>1.3584</v>
      </c>
      <c r="E2473" s="14" t="n">
        <v>1.144</v>
      </c>
      <c r="F2473" s="14" t="n">
        <v>7.175</v>
      </c>
      <c r="G2473" s="14" t="n">
        <v>5.5911</v>
      </c>
      <c r="H2473" s="14" t="n">
        <v>143.87</v>
      </c>
      <c r="I2473" s="14" t="n">
        <v>1.1423</v>
      </c>
      <c r="J2473" s="14" t="n">
        <v>11.5265</v>
      </c>
      <c r="K2473" s="14" t="n">
        <v>1550.55</v>
      </c>
      <c r="L2473" s="14" t="n">
        <v>0.8419</v>
      </c>
      <c r="M2473" s="14" t="n">
        <v>8.2008</v>
      </c>
      <c r="N2473" s="14" t="n">
        <v>6.4325</v>
      </c>
      <c r="O2473" s="14" t="n">
        <v>163.66</v>
      </c>
      <c r="P2473" s="14" t="n">
        <v>10.0906</v>
      </c>
    </row>
    <row r="2474" customFormat="false" ht="15" hidden="false" customHeight="false" outlineLevel="0" collapsed="false">
      <c r="A2474" s="13" t="n">
        <v>45814</v>
      </c>
      <c r="B2474" s="14" t="n">
        <v>1360.28</v>
      </c>
      <c r="C2474" s="14" t="n">
        <v>10.1074</v>
      </c>
      <c r="D2474" s="14" t="n">
        <v>1.3532</v>
      </c>
      <c r="E2474" s="14" t="n">
        <v>1.1397</v>
      </c>
      <c r="F2474" s="14" t="n">
        <v>7.1886</v>
      </c>
      <c r="G2474" s="14" t="n">
        <v>5.598</v>
      </c>
      <c r="H2474" s="14" t="n">
        <v>144.87</v>
      </c>
      <c r="I2474" s="14" t="n">
        <v>1.1411</v>
      </c>
      <c r="J2474" s="14" t="n">
        <v>11.524</v>
      </c>
      <c r="K2474" s="14" t="n">
        <v>1551.09</v>
      </c>
      <c r="L2474" s="14" t="n">
        <v>0.8426</v>
      </c>
      <c r="M2474" s="14" t="n">
        <v>8.1955</v>
      </c>
      <c r="N2474" s="14" t="n">
        <v>6.3685</v>
      </c>
      <c r="O2474" s="14" t="n">
        <v>164.62</v>
      </c>
      <c r="P2474" s="14" t="n">
        <v>10.099</v>
      </c>
    </row>
    <row r="2475" customFormat="false" ht="15" hidden="false" customHeight="false" outlineLevel="0" collapsed="false">
      <c r="A2475" s="13" t="n">
        <v>45817</v>
      </c>
      <c r="B2475" s="14" t="n">
        <v>1354.99</v>
      </c>
      <c r="C2475" s="14" t="n">
        <v>10.0534</v>
      </c>
      <c r="D2475" s="14" t="n">
        <v>1.3563</v>
      </c>
      <c r="E2475" s="14" t="n">
        <v>1.1425</v>
      </c>
      <c r="F2475" s="14" t="n">
        <v>7.1802</v>
      </c>
      <c r="G2475" s="14" t="n">
        <v>5.5755</v>
      </c>
      <c r="H2475" s="14" t="n">
        <v>144.37</v>
      </c>
      <c r="I2475" s="14" t="n">
        <v>1.141</v>
      </c>
      <c r="J2475" s="14" t="n">
        <v>11.509</v>
      </c>
      <c r="K2475" s="14" t="n">
        <v>1547.7</v>
      </c>
      <c r="L2475" s="14" t="n">
        <v>0.8424</v>
      </c>
      <c r="M2475" s="14" t="n">
        <v>8.1943</v>
      </c>
      <c r="N2475" s="14" t="n">
        <v>6.3404</v>
      </c>
      <c r="O2475" s="14" t="n">
        <v>164.88</v>
      </c>
    </row>
    <row r="2476" customFormat="false" ht="15" hidden="false" customHeight="false" outlineLevel="0" collapsed="false">
      <c r="A2476" s="13" t="n">
        <v>45818</v>
      </c>
      <c r="B2476" s="14" t="n">
        <v>1367.55</v>
      </c>
      <c r="C2476" s="14" t="n">
        <v>10.0929</v>
      </c>
      <c r="D2476" s="14" t="n">
        <v>1.3508</v>
      </c>
      <c r="E2476" s="14" t="n">
        <v>1.1423</v>
      </c>
      <c r="F2476" s="14" t="n">
        <v>7.187</v>
      </c>
      <c r="G2476" s="14" t="n">
        <v>5.5646</v>
      </c>
      <c r="H2476" s="14" t="n">
        <v>144.91</v>
      </c>
      <c r="I2476" s="14" t="n">
        <v>1.1429</v>
      </c>
      <c r="J2476" s="14" t="n">
        <v>11.5073</v>
      </c>
      <c r="K2476" s="14" t="n">
        <v>1561.83</v>
      </c>
      <c r="L2476" s="14" t="n">
        <v>0.8464</v>
      </c>
      <c r="M2476" s="14" t="n">
        <v>8.2115</v>
      </c>
      <c r="N2476" s="14" t="n">
        <v>6.3549</v>
      </c>
      <c r="O2476" s="14" t="n">
        <v>165.23</v>
      </c>
      <c r="P2476" s="14" t="n">
        <v>10.0685</v>
      </c>
    </row>
    <row r="2477" customFormat="false" ht="15" hidden="false" customHeight="false" outlineLevel="0" collapsed="false">
      <c r="A2477" s="13" t="n">
        <v>45819</v>
      </c>
      <c r="B2477" s="14" t="n">
        <v>1368.29</v>
      </c>
      <c r="C2477" s="14" t="n">
        <v>10.0713</v>
      </c>
      <c r="D2477" s="14" t="n">
        <v>1.3556</v>
      </c>
      <c r="E2477" s="14" t="n">
        <v>1.149</v>
      </c>
      <c r="F2477" s="14" t="n">
        <v>7.1928</v>
      </c>
      <c r="G2477" s="14" t="n">
        <v>5.5288</v>
      </c>
      <c r="H2477" s="14" t="n">
        <v>144.48</v>
      </c>
      <c r="I2477" s="14" t="n">
        <v>1.1433</v>
      </c>
      <c r="J2477" s="14" t="n">
        <v>11.566</v>
      </c>
      <c r="K2477" s="14" t="n">
        <v>1572.7</v>
      </c>
      <c r="L2477" s="14" t="n">
        <v>0.8476</v>
      </c>
      <c r="M2477" s="14" t="n">
        <v>8.2172</v>
      </c>
      <c r="N2477" s="14" t="n">
        <v>6.3772</v>
      </c>
      <c r="O2477" s="14" t="n">
        <v>166.17</v>
      </c>
      <c r="P2477" s="14" t="n">
        <v>10.1163</v>
      </c>
    </row>
    <row r="2478" customFormat="false" ht="15" hidden="false" customHeight="false" outlineLevel="0" collapsed="false">
      <c r="A2478" s="13" t="n">
        <v>45820</v>
      </c>
      <c r="B2478" s="14" t="n">
        <v>1356.47</v>
      </c>
      <c r="C2478" s="14" t="n">
        <v>9.9366</v>
      </c>
      <c r="D2478" s="14" t="n">
        <v>1.3589</v>
      </c>
      <c r="E2478" s="14" t="n">
        <v>1.1578</v>
      </c>
      <c r="F2478" s="14" t="n">
        <v>7.1726</v>
      </c>
      <c r="G2478" s="14" t="n">
        <v>5.5456</v>
      </c>
      <c r="H2478" s="14" t="n">
        <v>143.64</v>
      </c>
      <c r="I2478" s="14" t="n">
        <v>1.1594</v>
      </c>
      <c r="J2478" s="14" t="n">
        <v>11.574</v>
      </c>
      <c r="K2478" s="14" t="n">
        <v>1569.57</v>
      </c>
      <c r="L2478" s="14" t="n">
        <v>0.8538</v>
      </c>
      <c r="M2478" s="14" t="n">
        <v>8.3201</v>
      </c>
      <c r="N2478" s="14" t="n">
        <v>6.4188</v>
      </c>
      <c r="O2478" s="14" t="n">
        <v>166.64</v>
      </c>
      <c r="P2478" s="14" t="n">
        <v>9.9827</v>
      </c>
    </row>
    <row r="2479" customFormat="false" ht="15" hidden="false" customHeight="false" outlineLevel="0" collapsed="false">
      <c r="A2479" s="13" t="n">
        <v>45821</v>
      </c>
      <c r="B2479" s="14" t="n">
        <v>1364.93</v>
      </c>
      <c r="C2479" s="14" t="n">
        <v>9.9048</v>
      </c>
      <c r="D2479" s="14" t="n">
        <v>1.3594</v>
      </c>
      <c r="E2479" s="14" t="n">
        <v>1.1557</v>
      </c>
      <c r="F2479" s="14" t="n">
        <v>7.181</v>
      </c>
      <c r="G2479" s="14" t="n">
        <v>5.545</v>
      </c>
      <c r="H2479" s="14" t="n">
        <v>144.04</v>
      </c>
      <c r="I2479" s="14" t="n">
        <v>1.1512</v>
      </c>
      <c r="J2479" s="14" t="n">
        <v>11.4435</v>
      </c>
      <c r="K2479" s="14" t="n">
        <v>1577.42</v>
      </c>
      <c r="L2479" s="14" t="n">
        <v>0.8505</v>
      </c>
      <c r="M2479" s="14" t="n">
        <v>8.2682</v>
      </c>
      <c r="N2479" s="14" t="n">
        <v>6.4007</v>
      </c>
      <c r="O2479" s="14" t="n">
        <v>165.94</v>
      </c>
      <c r="P2479" s="14" t="n">
        <v>9.9405</v>
      </c>
    </row>
    <row r="2480" customFormat="false" ht="15" hidden="false" customHeight="false" outlineLevel="0" collapsed="false">
      <c r="A2480" s="13" t="n">
        <v>45824</v>
      </c>
      <c r="B2480" s="14" t="n">
        <v>1357.55</v>
      </c>
      <c r="C2480" s="14" t="n">
        <v>9.9035</v>
      </c>
      <c r="D2480" s="14" t="n">
        <v>1.36</v>
      </c>
      <c r="E2480" s="14" t="n">
        <v>1.1581</v>
      </c>
      <c r="F2480" s="14" t="n">
        <v>7.179</v>
      </c>
      <c r="G2480" s="14" t="n">
        <v>5.5165</v>
      </c>
      <c r="H2480" s="14" t="n">
        <v>144.14</v>
      </c>
      <c r="I2480" s="14" t="n">
        <v>1.1574</v>
      </c>
      <c r="J2480" s="14" t="n">
        <v>11.467</v>
      </c>
      <c r="K2480" s="14" t="n">
        <v>1573.46</v>
      </c>
      <c r="L2480" s="14" t="n">
        <v>0.8523</v>
      </c>
      <c r="M2480" s="14" t="n">
        <v>8.3102</v>
      </c>
      <c r="N2480" s="14" t="n">
        <v>6.4033</v>
      </c>
      <c r="O2480" s="14" t="n">
        <v>166.89</v>
      </c>
      <c r="P2480" s="14" t="n">
        <v>9.9076</v>
      </c>
    </row>
    <row r="2481" customFormat="false" ht="15" hidden="false" customHeight="false" outlineLevel="0" collapsed="false">
      <c r="A2481" s="13" t="n">
        <v>45825</v>
      </c>
      <c r="B2481" s="14" t="n">
        <v>1370.29</v>
      </c>
      <c r="C2481" s="14" t="n">
        <v>9.8899</v>
      </c>
      <c r="D2481" s="14" t="n">
        <v>1.3516</v>
      </c>
      <c r="E2481" s="14" t="n">
        <v>1.1535</v>
      </c>
      <c r="F2481" s="14" t="n">
        <v>7.1845</v>
      </c>
      <c r="G2481" s="14" t="n">
        <v>5.4772</v>
      </c>
      <c r="H2481" s="14" t="n">
        <v>145.04</v>
      </c>
      <c r="I2481" s="14" t="n">
        <v>1.1568</v>
      </c>
      <c r="J2481" s="14" t="n">
        <v>11.4175</v>
      </c>
      <c r="K2481" s="14" t="n">
        <v>1579.42</v>
      </c>
      <c r="L2481" s="14" t="n">
        <v>0.8525</v>
      </c>
      <c r="M2481" s="14" t="n">
        <v>8.3091</v>
      </c>
      <c r="N2481" s="14" t="n">
        <v>6.347</v>
      </c>
      <c r="O2481" s="14" t="n">
        <v>167.35</v>
      </c>
      <c r="P2481" s="14" t="n">
        <v>9.8699</v>
      </c>
    </row>
    <row r="2482" customFormat="false" ht="15" hidden="false" customHeight="false" outlineLevel="0" collapsed="false">
      <c r="A2482" s="13" t="n">
        <v>45826</v>
      </c>
      <c r="B2482" s="14" t="n">
        <v>1372.11</v>
      </c>
      <c r="C2482" s="14" t="n">
        <v>9.955</v>
      </c>
      <c r="D2482" s="14" t="n">
        <v>1.3471</v>
      </c>
      <c r="E2482" s="14" t="n">
        <v>1.1521</v>
      </c>
      <c r="F2482" s="14" t="n">
        <v>7.1888</v>
      </c>
      <c r="G2482" s="14" t="n">
        <v>5.4921</v>
      </c>
      <c r="H2482" s="14" t="n">
        <v>144.58</v>
      </c>
      <c r="I2482" s="14" t="n">
        <v>1.1508</v>
      </c>
      <c r="J2482" s="14" t="n">
        <v>11.4435</v>
      </c>
      <c r="K2482" s="14" t="n">
        <v>1583.1</v>
      </c>
      <c r="L2482" s="14" t="n">
        <v>0.8552</v>
      </c>
      <c r="M2482" s="14" t="n">
        <v>8.2723</v>
      </c>
      <c r="N2482" s="14" t="n">
        <v>6.3065</v>
      </c>
      <c r="O2482" s="14" t="n">
        <v>166.67</v>
      </c>
      <c r="P2482" s="14" t="n">
        <v>9.944</v>
      </c>
    </row>
    <row r="2483" customFormat="false" ht="15" hidden="false" customHeight="false" outlineLevel="0" collapsed="false">
      <c r="A2483" s="13" t="n">
        <v>45827</v>
      </c>
      <c r="I2483" s="14" t="n">
        <v>1.1478</v>
      </c>
      <c r="J2483" s="14" t="n">
        <v>11.5315</v>
      </c>
      <c r="K2483" s="14" t="n">
        <v>1584.1</v>
      </c>
      <c r="L2483" s="14" t="n">
        <v>0.8541</v>
      </c>
      <c r="M2483" s="14" t="n">
        <v>8.2496</v>
      </c>
      <c r="N2483" s="14" t="n">
        <v>6.3032</v>
      </c>
      <c r="O2483" s="14" t="n">
        <v>167.2</v>
      </c>
      <c r="P2483" s="14" t="n">
        <v>10.0466</v>
      </c>
    </row>
    <row r="2484" customFormat="false" ht="15" hidden="false" customHeight="false" outlineLevel="0" collapsed="false">
      <c r="A2484" s="13" t="n">
        <v>45828</v>
      </c>
      <c r="B2484" s="14" t="n">
        <v>1372.45</v>
      </c>
      <c r="C2484" s="14" t="n">
        <v>10.1183</v>
      </c>
      <c r="D2484" s="14" t="n">
        <v>1.3465</v>
      </c>
      <c r="E2484" s="14" t="n">
        <v>1.152</v>
      </c>
      <c r="F2484" s="14" t="n">
        <v>7.1785</v>
      </c>
      <c r="G2484" s="14" t="n">
        <v>5.5035</v>
      </c>
      <c r="H2484" s="14" t="n">
        <v>145.92</v>
      </c>
      <c r="I2484" s="14" t="n">
        <v>1.1515</v>
      </c>
      <c r="J2484" s="14" t="n">
        <v>11.598</v>
      </c>
      <c r="K2484" s="14" t="n">
        <v>1573.8</v>
      </c>
      <c r="L2484" s="14" t="n">
        <v>0.8537</v>
      </c>
      <c r="M2484" s="14" t="n">
        <v>8.2643</v>
      </c>
      <c r="N2484" s="14" t="n">
        <v>6.3145</v>
      </c>
      <c r="O2484" s="14" t="n">
        <v>167.67</v>
      </c>
      <c r="P2484" s="14" t="n">
        <v>10.0721</v>
      </c>
    </row>
    <row r="2485" customFormat="false" ht="15" hidden="false" customHeight="false" outlineLevel="0" collapsed="false">
      <c r="A2485" s="13" t="n">
        <v>45831</v>
      </c>
      <c r="B2485" s="14" t="n">
        <v>1382.61</v>
      </c>
      <c r="C2485" s="14" t="n">
        <v>10.1007</v>
      </c>
      <c r="D2485" s="14" t="n">
        <v>1.3491</v>
      </c>
      <c r="E2485" s="14" t="n">
        <v>1.1538</v>
      </c>
      <c r="F2485" s="14" t="n">
        <v>7.179</v>
      </c>
      <c r="G2485" s="14" t="n">
        <v>5.5163</v>
      </c>
      <c r="H2485" s="14" t="n">
        <v>146.47</v>
      </c>
      <c r="I2485" s="14" t="n">
        <v>1.1472</v>
      </c>
      <c r="J2485" s="14" t="n">
        <v>11.6635</v>
      </c>
      <c r="K2485" s="14" t="n">
        <v>1592.49</v>
      </c>
      <c r="L2485" s="14" t="n">
        <v>0.8567</v>
      </c>
      <c r="M2485" s="14" t="n">
        <v>8.2442</v>
      </c>
      <c r="N2485" s="14" t="n">
        <v>6.3581</v>
      </c>
      <c r="O2485" s="14" t="n">
        <v>169.27</v>
      </c>
      <c r="P2485" s="14" t="n">
        <v>10.1669</v>
      </c>
    </row>
    <row r="2486" customFormat="false" ht="15" hidden="false" customHeight="false" outlineLevel="0" collapsed="false">
      <c r="A2486" s="13" t="n">
        <v>45832</v>
      </c>
      <c r="B2486" s="14" t="n">
        <v>1359</v>
      </c>
      <c r="C2486" s="14" t="n">
        <v>10.1219</v>
      </c>
      <c r="D2486" s="14" t="n">
        <v>1.3616</v>
      </c>
      <c r="E2486" s="14" t="n">
        <v>1.1608</v>
      </c>
      <c r="F2486" s="14" t="n">
        <v>7.1713</v>
      </c>
      <c r="G2486" s="14" t="n">
        <v>5.4985</v>
      </c>
      <c r="H2486" s="14" t="n">
        <v>144.9</v>
      </c>
      <c r="I2486" s="14" t="n">
        <v>1.1607</v>
      </c>
      <c r="J2486" s="14" t="n">
        <v>11.713</v>
      </c>
      <c r="K2486" s="14" t="n">
        <v>1578.75</v>
      </c>
      <c r="L2486" s="14" t="n">
        <v>0.8527</v>
      </c>
      <c r="M2486" s="14" t="n">
        <v>8.3262</v>
      </c>
      <c r="N2486" s="14" t="n">
        <v>6.3613</v>
      </c>
      <c r="O2486" s="14" t="n">
        <v>168.27</v>
      </c>
      <c r="P2486" s="14" t="n">
        <v>10.0913</v>
      </c>
    </row>
    <row r="2487" customFormat="false" ht="15" hidden="false" customHeight="false" outlineLevel="0" collapsed="false">
      <c r="A2487" s="13" t="n">
        <v>45833</v>
      </c>
      <c r="B2487" s="14" t="n">
        <v>1362.17</v>
      </c>
      <c r="C2487" s="14" t="n">
        <v>10.1505</v>
      </c>
      <c r="D2487" s="14" t="n">
        <v>1.3626</v>
      </c>
      <c r="E2487" s="14" t="n">
        <v>1.162</v>
      </c>
      <c r="F2487" s="14" t="n">
        <v>7.1764</v>
      </c>
      <c r="G2487" s="14" t="n">
        <v>5.5589</v>
      </c>
      <c r="H2487" s="14" t="n">
        <v>145.59</v>
      </c>
      <c r="I2487" s="14" t="n">
        <v>1.1598</v>
      </c>
      <c r="J2487" s="14" t="n">
        <v>11.782</v>
      </c>
      <c r="K2487" s="14" t="n">
        <v>1581.45</v>
      </c>
      <c r="L2487" s="14" t="n">
        <v>0.8526</v>
      </c>
      <c r="M2487" s="14" t="n">
        <v>8.321</v>
      </c>
      <c r="N2487" s="14" t="n">
        <v>6.417</v>
      </c>
      <c r="O2487" s="14" t="n">
        <v>169.07</v>
      </c>
      <c r="P2487" s="14" t="n">
        <v>10.1586</v>
      </c>
    </row>
    <row r="2488" customFormat="false" ht="15" hidden="false" customHeight="false" outlineLevel="0" collapsed="false">
      <c r="A2488" s="13" t="n">
        <v>45834</v>
      </c>
      <c r="B2488" s="14" t="n">
        <v>1355.64</v>
      </c>
      <c r="C2488" s="14" t="n">
        <v>10.0601</v>
      </c>
      <c r="D2488" s="14" t="n">
        <v>1.3754</v>
      </c>
      <c r="E2488" s="14" t="n">
        <v>1.1717</v>
      </c>
      <c r="F2488" s="14" t="n">
        <v>7.1675</v>
      </c>
      <c r="G2488" s="14" t="n">
        <v>5.5043</v>
      </c>
      <c r="H2488" s="14" t="n">
        <v>144.34</v>
      </c>
      <c r="I2488" s="14" t="n">
        <v>1.1695</v>
      </c>
      <c r="J2488" s="14" t="n">
        <v>11.8125</v>
      </c>
      <c r="K2488" s="14" t="n">
        <v>1587.13</v>
      </c>
      <c r="L2488" s="14" t="n">
        <v>0.8535</v>
      </c>
      <c r="M2488" s="14" t="n">
        <v>8.3862</v>
      </c>
      <c r="N2488" s="14" t="n">
        <v>6.497</v>
      </c>
      <c r="O2488" s="14" t="n">
        <v>168.92</v>
      </c>
      <c r="P2488" s="14" t="n">
        <v>10.1005</v>
      </c>
    </row>
    <row r="2489" customFormat="false" ht="15" hidden="false" customHeight="false" outlineLevel="0" collapsed="false">
      <c r="A2489" s="13" t="n">
        <v>45835</v>
      </c>
      <c r="B2489" s="14" t="n">
        <v>1360.72</v>
      </c>
      <c r="C2489" s="14" t="n">
        <v>10.0757</v>
      </c>
      <c r="D2489" s="14" t="n">
        <v>1.372</v>
      </c>
      <c r="E2489" s="14" t="n">
        <v>1.1724</v>
      </c>
      <c r="F2489" s="14" t="n">
        <v>7.1721</v>
      </c>
      <c r="G2489" s="14" t="n">
        <v>5.4801</v>
      </c>
      <c r="H2489" s="14" t="n">
        <v>144.74</v>
      </c>
      <c r="I2489" s="14" t="n">
        <v>1.1704</v>
      </c>
      <c r="J2489" s="14" t="n">
        <v>11.792</v>
      </c>
      <c r="K2489" s="14" t="n">
        <v>1592.7</v>
      </c>
      <c r="L2489" s="14" t="n">
        <v>0.8529</v>
      </c>
      <c r="M2489" s="14" t="n">
        <v>8.3939</v>
      </c>
      <c r="N2489" s="14" t="n">
        <v>6.4119</v>
      </c>
      <c r="O2489" s="14" t="n">
        <v>169.24</v>
      </c>
      <c r="P2489" s="14" t="n">
        <v>10.0752</v>
      </c>
    </row>
    <row r="2490" customFormat="false" ht="15" hidden="false" customHeight="false" outlineLevel="0" collapsed="false">
      <c r="A2490" s="13" t="n">
        <v>45838</v>
      </c>
      <c r="B2490" s="14" t="n">
        <v>1353.5</v>
      </c>
      <c r="C2490" s="14" t="n">
        <v>10.0962</v>
      </c>
      <c r="D2490" s="14" t="n">
        <v>1.3722</v>
      </c>
      <c r="E2490" s="14" t="n">
        <v>1.177</v>
      </c>
      <c r="F2490" s="14" t="n">
        <v>7.1636</v>
      </c>
      <c r="G2490" s="14" t="n">
        <v>5.4294</v>
      </c>
      <c r="H2490" s="14" t="n">
        <v>144.17</v>
      </c>
      <c r="I2490" s="14" t="n">
        <v>1.172</v>
      </c>
      <c r="J2490" s="14" t="n">
        <v>11.8345</v>
      </c>
      <c r="K2490" s="14" t="n">
        <v>1588.21</v>
      </c>
      <c r="L2490" s="14" t="n">
        <v>0.8555</v>
      </c>
      <c r="M2490" s="14" t="n">
        <v>8.397</v>
      </c>
      <c r="N2490" s="14" t="n">
        <v>6.4384</v>
      </c>
      <c r="O2490" s="14" t="n">
        <v>169.17</v>
      </c>
      <c r="P2490" s="14" t="n">
        <v>10.0977</v>
      </c>
    </row>
    <row r="2491" customFormat="false" ht="15" hidden="false" customHeight="false" outlineLevel="0" collapsed="false">
      <c r="A2491" s="13" t="n">
        <v>45839</v>
      </c>
      <c r="B2491" s="14" t="n">
        <v>1358.06</v>
      </c>
      <c r="C2491" s="14" t="n">
        <v>10.0861</v>
      </c>
      <c r="D2491" s="14" t="n">
        <v>1.3728</v>
      </c>
      <c r="E2491" s="14" t="n">
        <v>1.1776</v>
      </c>
      <c r="F2491" s="14" t="n">
        <v>7.1647</v>
      </c>
      <c r="G2491" s="14" t="n">
        <v>5.4589</v>
      </c>
      <c r="H2491" s="14" t="n">
        <v>143.58</v>
      </c>
      <c r="I2491" s="14" t="n">
        <v>1.181</v>
      </c>
      <c r="J2491" s="14" t="n">
        <v>11.8445</v>
      </c>
      <c r="K2491" s="14" t="n">
        <v>1598.18</v>
      </c>
      <c r="L2491" s="14" t="n">
        <v>0.8588</v>
      </c>
      <c r="M2491" s="14" t="n">
        <v>8.4584</v>
      </c>
      <c r="N2491" s="14" t="n">
        <v>6.4115</v>
      </c>
      <c r="O2491" s="14" t="n">
        <v>168.7</v>
      </c>
      <c r="P2491" s="14" t="n">
        <v>10.0292</v>
      </c>
    </row>
    <row r="2492" customFormat="false" ht="15" hidden="false" customHeight="false" outlineLevel="0" collapsed="false">
      <c r="A2492" s="13" t="n">
        <v>45840</v>
      </c>
      <c r="B2492" s="14" t="n">
        <v>1356.9</v>
      </c>
      <c r="C2492" s="14" t="n">
        <v>10.0951</v>
      </c>
      <c r="D2492" s="14" t="n">
        <v>1.3623</v>
      </c>
      <c r="E2492" s="14" t="n">
        <v>1.179</v>
      </c>
      <c r="F2492" s="14" t="n">
        <v>7.1649</v>
      </c>
      <c r="G2492" s="14" t="n">
        <v>5.4286</v>
      </c>
      <c r="H2492" s="14" t="n">
        <v>143.76</v>
      </c>
      <c r="I2492" s="14" t="n">
        <v>1.1755</v>
      </c>
      <c r="J2492" s="14" t="n">
        <v>11.878</v>
      </c>
      <c r="K2492" s="14" t="n">
        <v>1598.57</v>
      </c>
      <c r="L2492" s="14" t="n">
        <v>0.8605</v>
      </c>
      <c r="M2492" s="14" t="n">
        <v>8.4275</v>
      </c>
      <c r="N2492" s="14" t="n">
        <v>6.4355</v>
      </c>
      <c r="O2492" s="14" t="n">
        <v>169.45</v>
      </c>
      <c r="P2492" s="14" t="n">
        <v>10.1046</v>
      </c>
    </row>
    <row r="2493" customFormat="false" ht="15" hidden="false" customHeight="false" outlineLevel="0" collapsed="false">
      <c r="A2493" s="13" t="n">
        <v>45841</v>
      </c>
      <c r="B2493" s="14" t="n">
        <v>1364.65</v>
      </c>
      <c r="C2493" s="14" t="n">
        <v>10.0631</v>
      </c>
      <c r="D2493" s="14" t="n">
        <v>1.3656</v>
      </c>
      <c r="E2493" s="14" t="n">
        <v>1.1758</v>
      </c>
      <c r="F2493" s="14" t="n">
        <v>7.1684</v>
      </c>
      <c r="G2493" s="14" t="n">
        <v>5.4178</v>
      </c>
      <c r="H2493" s="14" t="n">
        <v>144.96</v>
      </c>
      <c r="I2493" s="14" t="n">
        <v>1.1782</v>
      </c>
      <c r="J2493" s="14" t="n">
        <v>11.875</v>
      </c>
      <c r="K2493" s="14" t="n">
        <v>1604.8</v>
      </c>
      <c r="L2493" s="14" t="n">
        <v>0.8629</v>
      </c>
      <c r="M2493" s="14" t="n">
        <v>8.4377</v>
      </c>
      <c r="N2493" s="14" t="n">
        <v>6.3992</v>
      </c>
      <c r="O2493" s="14" t="n">
        <v>169.58</v>
      </c>
      <c r="P2493" s="14" t="n">
        <v>10.0789</v>
      </c>
    </row>
    <row r="2494" customFormat="false" ht="15" hidden="false" customHeight="false" outlineLevel="0" collapsed="false">
      <c r="A2494" s="13" t="n">
        <v>45842</v>
      </c>
      <c r="I2494" s="14" t="n">
        <v>1.1767</v>
      </c>
      <c r="J2494" s="14" t="n">
        <v>11.847</v>
      </c>
      <c r="K2494" s="14" t="n">
        <v>1604.3</v>
      </c>
      <c r="L2494" s="14" t="n">
        <v>0.8625</v>
      </c>
      <c r="M2494" s="14" t="n">
        <v>8.4285</v>
      </c>
      <c r="N2494" s="14" t="n">
        <v>6.3733</v>
      </c>
      <c r="O2494" s="14" t="n">
        <v>169.92</v>
      </c>
      <c r="P2494" s="14" t="n">
        <v>10.068</v>
      </c>
    </row>
    <row r="2495" customFormat="false" ht="15" hidden="false" customHeight="false" outlineLevel="0" collapsed="false">
      <c r="A2495" s="13" t="n">
        <v>45845</v>
      </c>
      <c r="B2495" s="14" t="n">
        <v>1369.6</v>
      </c>
      <c r="C2495" s="14" t="n">
        <v>10.0922</v>
      </c>
      <c r="D2495" s="14" t="n">
        <v>1.3638</v>
      </c>
      <c r="E2495" s="14" t="n">
        <v>1.1733</v>
      </c>
      <c r="F2495" s="14" t="n">
        <v>7.1744</v>
      </c>
      <c r="G2495" s="14" t="n">
        <v>5.4638</v>
      </c>
      <c r="H2495" s="14" t="n">
        <v>145.86</v>
      </c>
      <c r="I2495" s="14" t="n">
        <v>1.1728</v>
      </c>
      <c r="J2495" s="14" t="n">
        <v>11.8755</v>
      </c>
      <c r="K2495" s="14" t="n">
        <v>1603.56</v>
      </c>
      <c r="L2495" s="14" t="n">
        <v>0.8611</v>
      </c>
      <c r="M2495" s="14" t="n">
        <v>8.4128</v>
      </c>
      <c r="N2495" s="14" t="n">
        <v>6.3827</v>
      </c>
      <c r="O2495" s="14" t="n">
        <v>170.71</v>
      </c>
      <c r="P2495" s="14" t="n">
        <v>10.1258</v>
      </c>
    </row>
    <row r="2496" customFormat="false" ht="15" hidden="false" customHeight="false" outlineLevel="0" collapsed="false">
      <c r="A2496" s="13" t="n">
        <v>45846</v>
      </c>
      <c r="B2496" s="14" t="n">
        <v>1372.74</v>
      </c>
      <c r="C2496" s="14" t="n">
        <v>10.1056</v>
      </c>
      <c r="D2496" s="14" t="n">
        <v>1.3575</v>
      </c>
      <c r="E2496" s="14" t="n">
        <v>1.1707</v>
      </c>
      <c r="F2496" s="14" t="n">
        <v>7.1738</v>
      </c>
      <c r="G2496" s="14" t="n">
        <v>5.46</v>
      </c>
      <c r="H2496" s="14" t="n">
        <v>146.81</v>
      </c>
      <c r="I2496" s="14" t="n">
        <v>1.1718</v>
      </c>
      <c r="J2496" s="14" t="n">
        <v>11.8295</v>
      </c>
      <c r="K2496" s="14" t="n">
        <v>1605.91</v>
      </c>
      <c r="L2496" s="14" t="n">
        <v>0.8632</v>
      </c>
      <c r="M2496" s="14" t="n">
        <v>8.4066</v>
      </c>
      <c r="N2496" s="14" t="n">
        <v>6.4029</v>
      </c>
      <c r="O2496" s="14" t="n">
        <v>171.7</v>
      </c>
      <c r="P2496" s="14" t="n">
        <v>10.0952</v>
      </c>
    </row>
    <row r="2497" customFormat="false" ht="15" hidden="false" customHeight="false" outlineLevel="0" collapsed="false">
      <c r="A2497" s="13" t="n">
        <v>45847</v>
      </c>
      <c r="B2497" s="14" t="n">
        <v>1375.04</v>
      </c>
      <c r="C2497" s="14" t="n">
        <v>10.099</v>
      </c>
      <c r="D2497" s="14" t="n">
        <v>1.3585</v>
      </c>
      <c r="E2497" s="14" t="n">
        <v>1.1707</v>
      </c>
      <c r="F2497" s="14" t="n">
        <v>7.18</v>
      </c>
      <c r="G2497" s="14" t="n">
        <v>5.4552</v>
      </c>
      <c r="H2497" s="14" t="n">
        <v>146.53</v>
      </c>
      <c r="I2497" s="14" t="n">
        <v>1.1698</v>
      </c>
      <c r="J2497" s="14" t="n">
        <v>11.83</v>
      </c>
      <c r="K2497" s="14" t="n">
        <v>1610.58</v>
      </c>
      <c r="L2497" s="14" t="n">
        <v>0.8613</v>
      </c>
      <c r="M2497" s="14" t="n">
        <v>8.3993</v>
      </c>
      <c r="N2497" s="14" t="n">
        <v>6.3894</v>
      </c>
      <c r="O2497" s="14" t="n">
        <v>171.63</v>
      </c>
      <c r="P2497" s="14" t="n">
        <v>10.1128</v>
      </c>
    </row>
    <row r="2498" customFormat="false" ht="15" hidden="false" customHeight="false" outlineLevel="0" collapsed="false">
      <c r="A2498" s="13" t="n">
        <v>45848</v>
      </c>
      <c r="B2498" s="14" t="n">
        <v>1373.37</v>
      </c>
      <c r="C2498" s="14" t="n">
        <v>10.0897</v>
      </c>
      <c r="D2498" s="14" t="n">
        <v>1.3569</v>
      </c>
      <c r="E2498" s="14" t="n">
        <v>1.1688</v>
      </c>
      <c r="F2498" s="14" t="n">
        <v>7.1748</v>
      </c>
      <c r="G2498" s="14" t="n">
        <v>5.5355</v>
      </c>
      <c r="H2498" s="14" t="n">
        <v>146.46</v>
      </c>
      <c r="I2498" s="14" t="n">
        <v>1.1709</v>
      </c>
      <c r="J2498" s="14" t="n">
        <v>11.803</v>
      </c>
      <c r="K2498" s="14" t="n">
        <v>1607.94</v>
      </c>
      <c r="L2498" s="14" t="n">
        <v>0.8627</v>
      </c>
      <c r="M2498" s="14" t="n">
        <v>8.401</v>
      </c>
      <c r="N2498" s="14" t="n">
        <v>6.569</v>
      </c>
      <c r="O2498" s="14" t="n">
        <v>171.33</v>
      </c>
      <c r="P2498" s="14" t="n">
        <v>10.0803</v>
      </c>
    </row>
    <row r="2499" customFormat="false" ht="15" hidden="false" customHeight="false" outlineLevel="0" collapsed="false">
      <c r="A2499" s="13" t="n">
        <v>45849</v>
      </c>
      <c r="B2499" s="14" t="n">
        <v>1375.37</v>
      </c>
      <c r="C2499" s="14" t="n">
        <v>10.1217</v>
      </c>
      <c r="D2499" s="14" t="n">
        <v>1.3503</v>
      </c>
      <c r="E2499" s="14" t="n">
        <v>1.1696</v>
      </c>
      <c r="F2499" s="14" t="n">
        <v>7.1681</v>
      </c>
      <c r="G2499" s="14" t="n">
        <v>5.5723</v>
      </c>
      <c r="H2499" s="14" t="n">
        <v>147.29</v>
      </c>
      <c r="I2499" s="14" t="n">
        <v>1.1683</v>
      </c>
      <c r="J2499" s="14" t="n">
        <v>11.8305</v>
      </c>
      <c r="K2499" s="14" t="n">
        <v>1606.41</v>
      </c>
      <c r="L2499" s="14" t="n">
        <v>0.8657</v>
      </c>
      <c r="M2499" s="14" t="n">
        <v>8.3741</v>
      </c>
      <c r="N2499" s="14" t="n">
        <v>6.5021</v>
      </c>
      <c r="O2499" s="14" t="n">
        <v>171.81</v>
      </c>
      <c r="P2499" s="14" t="n">
        <v>10.1263</v>
      </c>
    </row>
    <row r="2500" customFormat="false" ht="15" hidden="false" customHeight="false" outlineLevel="0" collapsed="false">
      <c r="A2500" s="13" t="n">
        <v>45852</v>
      </c>
      <c r="B2500" s="14" t="n">
        <v>1382.51</v>
      </c>
      <c r="C2500" s="14" t="n">
        <v>10.1361</v>
      </c>
      <c r="D2500" s="14" t="n">
        <v>1.3437</v>
      </c>
      <c r="E2500" s="14" t="n">
        <v>1.1672</v>
      </c>
      <c r="F2500" s="14" t="n">
        <v>7.167</v>
      </c>
      <c r="G2500" s="14" t="n">
        <v>5.5748</v>
      </c>
      <c r="H2500" s="14" t="n">
        <v>147.69</v>
      </c>
      <c r="I2500" s="14" t="n">
        <v>1.169</v>
      </c>
      <c r="J2500" s="14" t="n">
        <v>11.803</v>
      </c>
      <c r="K2500" s="14" t="n">
        <v>1613.98</v>
      </c>
      <c r="L2500" s="14" t="n">
        <v>0.8667</v>
      </c>
      <c r="M2500" s="14" t="n">
        <v>8.3785</v>
      </c>
      <c r="N2500" s="14" t="n">
        <v>6.5013</v>
      </c>
      <c r="O2500" s="14" t="n">
        <v>172.27</v>
      </c>
      <c r="P2500" s="14" t="n">
        <v>10.0967</v>
      </c>
    </row>
    <row r="2501" customFormat="false" ht="15" hidden="false" customHeight="false" outlineLevel="0" collapsed="false">
      <c r="A2501" s="13" t="n">
        <v>45853</v>
      </c>
      <c r="B2501" s="14" t="n">
        <v>1385.39</v>
      </c>
      <c r="C2501" s="14" t="n">
        <v>10.2281</v>
      </c>
      <c r="D2501" s="14" t="n">
        <v>1.3396</v>
      </c>
      <c r="E2501" s="14" t="n">
        <v>1.1619</v>
      </c>
      <c r="F2501" s="14" t="n">
        <v>7.1729</v>
      </c>
      <c r="G2501" s="14" t="n">
        <v>5.5661</v>
      </c>
      <c r="H2501" s="14" t="n">
        <v>148.75</v>
      </c>
      <c r="I2501" s="14" t="n">
        <v>1.1665</v>
      </c>
      <c r="J2501" s="14" t="n">
        <v>11.8715</v>
      </c>
      <c r="K2501" s="14" t="n">
        <v>1611.01</v>
      </c>
      <c r="L2501" s="14" t="n">
        <v>0.8679</v>
      </c>
      <c r="M2501" s="14" t="n">
        <v>8.3673</v>
      </c>
      <c r="N2501" s="14" t="n">
        <v>6.5327</v>
      </c>
      <c r="O2501" s="14" t="n">
        <v>172.58</v>
      </c>
      <c r="P2501" s="14" t="n">
        <v>10.177</v>
      </c>
    </row>
    <row r="2502" customFormat="false" ht="15" hidden="false" customHeight="false" outlineLevel="0" collapsed="false">
      <c r="A2502" s="13" t="n">
        <v>45854</v>
      </c>
      <c r="B2502" s="14" t="n">
        <v>1390.84</v>
      </c>
      <c r="C2502" s="14" t="n">
        <v>10.2646</v>
      </c>
      <c r="D2502" s="14" t="n">
        <v>1.3426</v>
      </c>
      <c r="E2502" s="14" t="n">
        <v>1.1629</v>
      </c>
      <c r="F2502" s="14" t="n">
        <v>7.1791</v>
      </c>
      <c r="G2502" s="14" t="n">
        <v>5.565</v>
      </c>
      <c r="H2502" s="14" t="n">
        <v>148.08</v>
      </c>
      <c r="I2502" s="14" t="n">
        <v>1.1602</v>
      </c>
      <c r="J2502" s="14" t="n">
        <v>11.946</v>
      </c>
      <c r="K2502" s="14" t="n">
        <v>1614.05</v>
      </c>
      <c r="L2502" s="14" t="n">
        <v>0.8659</v>
      </c>
      <c r="M2502" s="14" t="n">
        <v>8.3309</v>
      </c>
      <c r="N2502" s="14" t="n">
        <v>6.4549</v>
      </c>
      <c r="O2502" s="14" t="n">
        <v>172.56</v>
      </c>
      <c r="P2502" s="14" t="n">
        <v>10.2965</v>
      </c>
    </row>
    <row r="2503" customFormat="false" ht="15" hidden="false" customHeight="false" outlineLevel="0" collapsed="false">
      <c r="A2503" s="13" t="n">
        <v>45855</v>
      </c>
      <c r="B2503" s="14" t="n">
        <v>1391.04</v>
      </c>
      <c r="C2503" s="14" t="n">
        <v>10.3061</v>
      </c>
      <c r="D2503" s="14" t="n">
        <v>1.3413</v>
      </c>
      <c r="E2503" s="14" t="n">
        <v>1.1597</v>
      </c>
      <c r="F2503" s="14" t="n">
        <v>7.1832</v>
      </c>
      <c r="G2503" s="14" t="n">
        <v>5.5644</v>
      </c>
      <c r="H2503" s="14" t="n">
        <v>148.55</v>
      </c>
      <c r="I2503" s="14" t="n">
        <v>1.1579</v>
      </c>
      <c r="J2503" s="14" t="n">
        <v>11.9675</v>
      </c>
      <c r="K2503" s="14" t="n">
        <v>1614.66</v>
      </c>
      <c r="L2503" s="14" t="n">
        <v>0.8644</v>
      </c>
      <c r="M2503" s="14" t="n">
        <v>8.3157</v>
      </c>
      <c r="N2503" s="14" t="n">
        <v>6.4624</v>
      </c>
      <c r="O2503" s="14" t="n">
        <v>172.28</v>
      </c>
      <c r="P2503" s="14" t="n">
        <v>10.3355</v>
      </c>
    </row>
    <row r="2504" customFormat="false" ht="15" hidden="false" customHeight="false" outlineLevel="0" collapsed="false">
      <c r="A2504" s="13" t="n">
        <v>45856</v>
      </c>
      <c r="B2504" s="14" t="n">
        <v>1390.29</v>
      </c>
      <c r="C2504" s="14" t="n">
        <v>10.1646</v>
      </c>
      <c r="D2504" s="14" t="n">
        <v>1.3439</v>
      </c>
      <c r="E2504" s="14" t="n">
        <v>1.1645</v>
      </c>
      <c r="F2504" s="14" t="n">
        <v>7.1776</v>
      </c>
      <c r="G2504" s="14" t="n">
        <v>5.5628</v>
      </c>
      <c r="H2504" s="14" t="n">
        <v>148.55</v>
      </c>
      <c r="I2504" s="14" t="n">
        <v>1.165</v>
      </c>
      <c r="J2504" s="14" t="n">
        <v>11.8335</v>
      </c>
      <c r="K2504" s="14" t="n">
        <v>1619.52</v>
      </c>
      <c r="L2504" s="14" t="n">
        <v>0.8656</v>
      </c>
      <c r="M2504" s="14" t="n">
        <v>8.3623</v>
      </c>
      <c r="N2504" s="14" t="n">
        <v>6.4699</v>
      </c>
      <c r="O2504" s="14" t="n">
        <v>172.94</v>
      </c>
      <c r="P2504" s="14" t="n">
        <v>10.1575</v>
      </c>
    </row>
    <row r="2505" customFormat="false" ht="15" hidden="false" customHeight="false" outlineLevel="0" collapsed="false">
      <c r="A2505" s="13" t="n">
        <v>45859</v>
      </c>
      <c r="B2505" s="14" t="n">
        <v>1381.22</v>
      </c>
      <c r="C2505" s="14" t="n">
        <v>10.1555</v>
      </c>
      <c r="D2505" s="14" t="n">
        <v>1.3498</v>
      </c>
      <c r="E2505" s="14" t="n">
        <v>1.1705</v>
      </c>
      <c r="F2505" s="14" t="n">
        <v>7.176</v>
      </c>
      <c r="G2505" s="14" t="n">
        <v>5.5512</v>
      </c>
      <c r="H2505" s="14" t="n">
        <v>147.27</v>
      </c>
      <c r="I2505" s="14" t="n">
        <v>1.1667</v>
      </c>
      <c r="J2505" s="14" t="n">
        <v>11.866</v>
      </c>
      <c r="K2505" s="14" t="n">
        <v>1614.64</v>
      </c>
      <c r="L2505" s="14" t="n">
        <v>0.8656</v>
      </c>
      <c r="M2505" s="14" t="n">
        <v>8.3726</v>
      </c>
      <c r="N2505" s="14" t="n">
        <v>6.5189</v>
      </c>
      <c r="O2505" s="14" t="n">
        <v>172.02</v>
      </c>
      <c r="P2505" s="14" t="n">
        <v>10.1706</v>
      </c>
    </row>
    <row r="2506" customFormat="false" ht="15" hidden="false" customHeight="false" outlineLevel="0" collapsed="false">
      <c r="A2506" s="13" t="n">
        <v>45860</v>
      </c>
      <c r="B2506" s="14" t="n">
        <v>1381.58</v>
      </c>
      <c r="C2506" s="14" t="n">
        <v>10.087</v>
      </c>
      <c r="D2506" s="14" t="n">
        <v>1.3522</v>
      </c>
      <c r="E2506" s="14" t="n">
        <v>1.1749</v>
      </c>
      <c r="F2506" s="14" t="n">
        <v>7.1748</v>
      </c>
      <c r="G2506" s="14" t="n">
        <v>5.5543</v>
      </c>
      <c r="H2506" s="14" t="n">
        <v>146.36</v>
      </c>
      <c r="I2506" s="14" t="n">
        <v>1.1699</v>
      </c>
      <c r="J2506" s="14" t="n">
        <v>11.8845</v>
      </c>
      <c r="K2506" s="14" t="n">
        <v>1621.6</v>
      </c>
      <c r="L2506" s="14" t="n">
        <v>0.8675</v>
      </c>
      <c r="M2506" s="14" t="n">
        <v>8.394</v>
      </c>
      <c r="N2506" s="14" t="n">
        <v>6.5193</v>
      </c>
      <c r="O2506" s="14" t="n">
        <v>172.17</v>
      </c>
      <c r="P2506" s="14" t="n">
        <v>10.1586</v>
      </c>
    </row>
    <row r="2507" customFormat="false" ht="15" hidden="false" customHeight="false" outlineLevel="0" collapsed="false">
      <c r="A2507" s="13" t="n">
        <v>45861</v>
      </c>
      <c r="B2507" s="14" t="n">
        <v>1375.38</v>
      </c>
      <c r="C2507" s="14" t="n">
        <v>10.1057</v>
      </c>
      <c r="D2507" s="14" t="n">
        <v>1.3566</v>
      </c>
      <c r="E2507" s="14" t="n">
        <v>1.1748</v>
      </c>
      <c r="F2507" s="14" t="n">
        <v>7.1599</v>
      </c>
      <c r="G2507" s="14" t="n">
        <v>5.5456</v>
      </c>
      <c r="H2507" s="14" t="n">
        <v>146.55</v>
      </c>
      <c r="I2507" s="14" t="n">
        <v>1.1726</v>
      </c>
      <c r="J2507" s="14" t="n">
        <v>11.8415</v>
      </c>
      <c r="K2507" s="14" t="n">
        <v>1612.26</v>
      </c>
      <c r="L2507" s="14" t="n">
        <v>0.8665</v>
      </c>
      <c r="M2507" s="14" t="n">
        <v>8.3961</v>
      </c>
      <c r="N2507" s="14" t="n">
        <v>6.5298</v>
      </c>
      <c r="O2507" s="14" t="n">
        <v>171.53</v>
      </c>
      <c r="P2507" s="14" t="n">
        <v>10.0985</v>
      </c>
    </row>
    <row r="2508" customFormat="false" ht="15" hidden="false" customHeight="false" outlineLevel="0" collapsed="false">
      <c r="A2508" s="13" t="n">
        <v>45862</v>
      </c>
      <c r="B2508" s="14" t="n">
        <v>1371</v>
      </c>
      <c r="C2508" s="14" t="n">
        <v>10.108</v>
      </c>
      <c r="D2508" s="14" t="n">
        <v>1.3524</v>
      </c>
      <c r="E2508" s="14" t="n">
        <v>1.1765</v>
      </c>
      <c r="F2508" s="14" t="n">
        <v>7.1541</v>
      </c>
      <c r="G2508" s="14" t="n">
        <v>5.5209</v>
      </c>
      <c r="H2508" s="14" t="n">
        <v>146.92</v>
      </c>
      <c r="I2508" s="14" t="n">
        <v>1.1756</v>
      </c>
      <c r="J2508" s="14" t="n">
        <v>11.8765</v>
      </c>
      <c r="K2508" s="14" t="n">
        <v>1610.08</v>
      </c>
      <c r="L2508" s="14" t="n">
        <v>0.8675</v>
      </c>
      <c r="M2508" s="14" t="n">
        <v>8.4142</v>
      </c>
      <c r="N2508" s="14" t="n">
        <v>6.4923</v>
      </c>
      <c r="O2508" s="14" t="n">
        <v>172.22</v>
      </c>
      <c r="P2508" s="14" t="n">
        <v>10.1025</v>
      </c>
    </row>
    <row r="2509" customFormat="false" ht="15" hidden="false" customHeight="false" outlineLevel="0" collapsed="false">
      <c r="A2509" s="13" t="n">
        <v>45863</v>
      </c>
      <c r="B2509" s="14" t="n">
        <v>1382.92</v>
      </c>
      <c r="C2509" s="14" t="n">
        <v>10.175</v>
      </c>
      <c r="D2509" s="14" t="n">
        <v>1.3429</v>
      </c>
      <c r="E2509" s="14" t="n">
        <v>1.173</v>
      </c>
      <c r="F2509" s="14" t="n">
        <v>7.1679</v>
      </c>
      <c r="G2509" s="14" t="n">
        <v>5.5669</v>
      </c>
      <c r="H2509" s="14" t="n">
        <v>147.77</v>
      </c>
      <c r="I2509" s="14" t="n">
        <v>1.1724</v>
      </c>
      <c r="J2509" s="14" t="n">
        <v>11.8995</v>
      </c>
      <c r="K2509" s="14" t="n">
        <v>1619.4</v>
      </c>
      <c r="L2509" s="14" t="n">
        <v>0.8715</v>
      </c>
      <c r="M2509" s="14" t="n">
        <v>8.4046</v>
      </c>
      <c r="N2509" s="14" t="n">
        <v>6.4757</v>
      </c>
      <c r="O2509" s="14" t="n">
        <v>173.11</v>
      </c>
      <c r="P2509" s="14" t="n">
        <v>10.1497</v>
      </c>
    </row>
    <row r="2510" customFormat="false" ht="15" hidden="false" customHeight="false" outlineLevel="0" collapsed="false">
      <c r="A2510" s="13" t="n">
        <v>45866</v>
      </c>
      <c r="B2510" s="14" t="n">
        <v>1388.21</v>
      </c>
      <c r="C2510" s="14" t="n">
        <v>10.1801</v>
      </c>
      <c r="D2510" s="14" t="n">
        <v>1.3393</v>
      </c>
      <c r="E2510" s="14" t="n">
        <v>1.1609</v>
      </c>
      <c r="F2510" s="14" t="n">
        <v>7.1778</v>
      </c>
      <c r="G2510" s="14" t="n">
        <v>5.5936</v>
      </c>
      <c r="H2510" s="14" t="n">
        <v>148.45</v>
      </c>
      <c r="I2510" s="14" t="n">
        <v>1.1654</v>
      </c>
      <c r="J2510" s="14" t="n">
        <v>11.8625</v>
      </c>
      <c r="K2510" s="14" t="n">
        <v>1614.6</v>
      </c>
      <c r="L2510" s="14" t="n">
        <v>0.8679</v>
      </c>
      <c r="M2510" s="14" t="n">
        <v>8.3605</v>
      </c>
      <c r="N2510" s="14" t="n">
        <v>6.5018</v>
      </c>
      <c r="O2510" s="14" t="n">
        <v>172.65</v>
      </c>
      <c r="P2510" s="14" t="n">
        <v>10.1789</v>
      </c>
    </row>
    <row r="2511" customFormat="false" ht="15" hidden="false" customHeight="false" outlineLevel="0" collapsed="false">
      <c r="A2511" s="13" t="n">
        <v>45867</v>
      </c>
      <c r="B2511" s="14" t="n">
        <v>1390.63</v>
      </c>
      <c r="C2511" s="14" t="n">
        <v>10.2173</v>
      </c>
      <c r="D2511" s="14" t="n">
        <v>1.3339</v>
      </c>
      <c r="E2511" s="14" t="n">
        <v>1.1534</v>
      </c>
      <c r="F2511" s="14" t="n">
        <v>7.1769</v>
      </c>
      <c r="G2511" s="14" t="n">
        <v>5.5687</v>
      </c>
      <c r="H2511" s="14" t="n">
        <v>148.57</v>
      </c>
      <c r="I2511" s="14" t="n">
        <v>1.1533</v>
      </c>
      <c r="J2511" s="14" t="n">
        <v>11.8165</v>
      </c>
      <c r="K2511" s="14" t="n">
        <v>1607.8</v>
      </c>
      <c r="L2511" s="14" t="n">
        <v>0.865</v>
      </c>
      <c r="M2511" s="14" t="n">
        <v>8.2778</v>
      </c>
      <c r="N2511" s="14" t="n">
        <v>6.451</v>
      </c>
      <c r="O2511" s="14" t="n">
        <v>171.58</v>
      </c>
      <c r="P2511" s="14" t="n">
        <v>10.2458</v>
      </c>
    </row>
    <row r="2512" customFormat="false" ht="15" hidden="false" customHeight="false" outlineLevel="0" collapsed="false">
      <c r="A2512" s="13" t="n">
        <v>45868</v>
      </c>
      <c r="B2512" s="14" t="n">
        <v>1391.58</v>
      </c>
      <c r="C2512" s="14" t="n">
        <v>10.2706</v>
      </c>
      <c r="D2512" s="14" t="n">
        <v>1.3274</v>
      </c>
      <c r="E2512" s="14" t="n">
        <v>1.147</v>
      </c>
      <c r="F2512" s="14" t="n">
        <v>7.1934</v>
      </c>
      <c r="G2512" s="14" t="n">
        <v>5.6193</v>
      </c>
      <c r="H2512" s="14" t="n">
        <v>149.07</v>
      </c>
      <c r="I2512" s="14" t="n">
        <v>1.1527</v>
      </c>
      <c r="J2512" s="14" t="n">
        <v>11.7795</v>
      </c>
      <c r="K2512" s="14" t="n">
        <v>1595.6</v>
      </c>
      <c r="L2512" s="14" t="n">
        <v>0.8622</v>
      </c>
      <c r="M2512" s="14" t="n">
        <v>8.2783</v>
      </c>
      <c r="N2512" s="14" t="n">
        <v>6.4402</v>
      </c>
      <c r="O2512" s="14" t="n">
        <v>170.96</v>
      </c>
      <c r="P2512" s="14" t="n">
        <v>10.2191</v>
      </c>
    </row>
    <row r="2513" customFormat="false" ht="15" hidden="false" customHeight="false" outlineLevel="0" collapsed="false">
      <c r="A2513" s="13" t="n">
        <v>45869</v>
      </c>
      <c r="B2513" s="14" t="n">
        <v>1396.19</v>
      </c>
      <c r="C2513" s="14" t="n">
        <v>10.3091</v>
      </c>
      <c r="D2513" s="14" t="n">
        <v>1.322</v>
      </c>
      <c r="E2513" s="14" t="n">
        <v>1.1431</v>
      </c>
      <c r="F2513" s="14" t="n">
        <v>7.2002</v>
      </c>
      <c r="G2513" s="14" t="n">
        <v>5.5848</v>
      </c>
      <c r="H2513" s="14" t="n">
        <v>150.6</v>
      </c>
      <c r="I2513" s="14" t="n">
        <v>1.1446</v>
      </c>
      <c r="J2513" s="14" t="n">
        <v>11.774</v>
      </c>
      <c r="K2513" s="14" t="n">
        <v>1596.29</v>
      </c>
      <c r="L2513" s="14" t="n">
        <v>0.8649</v>
      </c>
      <c r="M2513" s="14" t="n">
        <v>8.235</v>
      </c>
      <c r="N2513" s="14" t="n">
        <v>6.3899</v>
      </c>
      <c r="O2513" s="14" t="n">
        <v>171.52</v>
      </c>
      <c r="P2513" s="14" t="n">
        <v>10.2866</v>
      </c>
    </row>
    <row r="2514" customFormat="false" ht="15" hidden="false" customHeight="false" outlineLevel="0" collapsed="false">
      <c r="A2514" s="13" t="n">
        <v>45870</v>
      </c>
      <c r="B2514" s="14" t="n">
        <v>1388.34</v>
      </c>
      <c r="C2514" s="14" t="n">
        <v>10.2562</v>
      </c>
      <c r="D2514" s="14" t="n">
        <v>1.3259</v>
      </c>
      <c r="E2514" s="14" t="n">
        <v>1.1555</v>
      </c>
      <c r="F2514" s="14" t="n">
        <v>7.2116</v>
      </c>
      <c r="G2514" s="14" t="n">
        <v>5.5422</v>
      </c>
      <c r="H2514" s="14" t="n">
        <v>148.06</v>
      </c>
      <c r="I2514" s="14" t="n">
        <v>1.1404</v>
      </c>
      <c r="J2514" s="14" t="n">
        <v>11.8128</v>
      </c>
      <c r="K2514" s="14" t="n">
        <v>1601.83</v>
      </c>
      <c r="L2514" s="14" t="n">
        <v>0.8665</v>
      </c>
      <c r="M2514" s="14" t="n">
        <v>8.2243</v>
      </c>
      <c r="N2514" s="14" t="n">
        <v>6.4129</v>
      </c>
      <c r="O2514" s="14" t="n">
        <v>171.61</v>
      </c>
      <c r="P2514" s="14" t="n">
        <v>10.3585</v>
      </c>
    </row>
    <row r="2515" customFormat="false" ht="15" hidden="false" customHeight="false" outlineLevel="0" collapsed="false">
      <c r="A2515" s="13" t="n">
        <v>45873</v>
      </c>
      <c r="B2515" s="14" t="n">
        <v>1385.71</v>
      </c>
      <c r="C2515" s="14" t="n">
        <v>10.2671</v>
      </c>
      <c r="D2515" s="14" t="n">
        <v>1.329</v>
      </c>
      <c r="E2515" s="14" t="n">
        <v>1.1568</v>
      </c>
      <c r="F2515" s="14" t="n">
        <v>7.178</v>
      </c>
      <c r="G2515" s="14" t="n">
        <v>5.5151</v>
      </c>
      <c r="H2515" s="14" t="n">
        <v>147.09</v>
      </c>
      <c r="I2515" s="14" t="n">
        <v>1.1565</v>
      </c>
      <c r="J2515" s="14" t="n">
        <v>11.8745</v>
      </c>
      <c r="K2515" s="14" t="n">
        <v>1600.27</v>
      </c>
      <c r="L2515" s="14" t="n">
        <v>0.8704</v>
      </c>
      <c r="M2515" s="14" t="n">
        <v>8.2993</v>
      </c>
      <c r="N2515" s="14" t="n">
        <v>6.4024</v>
      </c>
      <c r="O2515" s="14" t="n">
        <v>170.45</v>
      </c>
      <c r="P2515" s="14" t="n">
        <v>10.2676</v>
      </c>
    </row>
    <row r="2516" customFormat="false" ht="15" hidden="false" customHeight="false" outlineLevel="0" collapsed="false">
      <c r="A2516" s="13" t="n">
        <v>45874</v>
      </c>
      <c r="B2516" s="14" t="n">
        <v>1386.64</v>
      </c>
      <c r="C2516" s="14" t="n">
        <v>10.2561</v>
      </c>
      <c r="D2516" s="14" t="n">
        <v>1.3309</v>
      </c>
      <c r="E2516" s="14" t="n">
        <v>1.158</v>
      </c>
      <c r="F2516" s="14" t="n">
        <v>7.1835</v>
      </c>
      <c r="G2516" s="14" t="n">
        <v>5.5062</v>
      </c>
      <c r="H2516" s="14" t="n">
        <v>147.49</v>
      </c>
      <c r="I2516" s="14" t="n">
        <v>1.1546</v>
      </c>
      <c r="J2516" s="14" t="n">
        <v>11.857</v>
      </c>
      <c r="K2516" s="14" t="n">
        <v>1606.19</v>
      </c>
      <c r="L2516" s="14" t="n">
        <v>0.8693</v>
      </c>
      <c r="M2516" s="14" t="n">
        <v>8.2986</v>
      </c>
      <c r="N2516" s="14" t="n">
        <v>6.375</v>
      </c>
      <c r="O2516" s="14" t="n">
        <v>170.42</v>
      </c>
      <c r="P2516" s="14" t="n">
        <v>10.2694</v>
      </c>
    </row>
    <row r="2517" customFormat="false" ht="15" hidden="false" customHeight="false" outlineLevel="0" collapsed="false">
      <c r="A2517" s="13" t="n">
        <v>45875</v>
      </c>
      <c r="B2517" s="14" t="n">
        <v>1384.64</v>
      </c>
      <c r="C2517" s="14" t="n">
        <v>10.1844</v>
      </c>
      <c r="D2517" s="14" t="n">
        <v>1.336</v>
      </c>
      <c r="E2517" s="14" t="n">
        <v>1.1647</v>
      </c>
      <c r="F2517" s="14" t="n">
        <v>7.1822</v>
      </c>
      <c r="G2517" s="14" t="n">
        <v>5.4757</v>
      </c>
      <c r="H2517" s="14" t="n">
        <v>147.25</v>
      </c>
      <c r="I2517" s="14" t="n">
        <v>1.1604</v>
      </c>
      <c r="J2517" s="14" t="n">
        <v>11.8515</v>
      </c>
      <c r="K2517" s="14" t="n">
        <v>1611.01</v>
      </c>
      <c r="L2517" s="14" t="n">
        <v>0.8717</v>
      </c>
      <c r="M2517" s="14" t="n">
        <v>8.3383</v>
      </c>
      <c r="N2517" s="14" t="n">
        <v>6.3895</v>
      </c>
      <c r="O2517" s="14" t="n">
        <v>171.22</v>
      </c>
      <c r="P2517" s="14" t="n">
        <v>10.2133</v>
      </c>
    </row>
    <row r="2518" customFormat="false" ht="15" hidden="false" customHeight="false" outlineLevel="0" collapsed="false">
      <c r="A2518" s="13" t="n">
        <v>45876</v>
      </c>
      <c r="B2518" s="14" t="n">
        <v>1386.05</v>
      </c>
      <c r="C2518" s="14" t="n">
        <v>10.2416</v>
      </c>
      <c r="D2518" s="14" t="n">
        <v>1.3434</v>
      </c>
      <c r="E2518" s="14" t="n">
        <v>1.1641</v>
      </c>
      <c r="F2518" s="14" t="n">
        <v>7.1806</v>
      </c>
      <c r="G2518" s="14" t="n">
        <v>5.4548</v>
      </c>
      <c r="H2518" s="14" t="n">
        <v>147.35</v>
      </c>
      <c r="I2518" s="14" t="n">
        <v>1.1643</v>
      </c>
      <c r="J2518" s="14" t="n">
        <v>11.8903</v>
      </c>
      <c r="K2518" s="14" t="n">
        <v>1610.96</v>
      </c>
      <c r="L2518" s="14" t="n">
        <v>0.8673</v>
      </c>
      <c r="M2518" s="14" t="n">
        <v>8.3587</v>
      </c>
      <c r="N2518" s="14" t="n">
        <v>6.3583</v>
      </c>
      <c r="O2518" s="14" t="n">
        <v>171.6</v>
      </c>
      <c r="P2518" s="14" t="n">
        <v>10.2124</v>
      </c>
    </row>
    <row r="2519" customFormat="false" ht="15" hidden="false" customHeight="false" outlineLevel="0" collapsed="false">
      <c r="A2519" s="13" t="n">
        <v>45877</v>
      </c>
      <c r="B2519" s="14" t="n">
        <v>1389.7</v>
      </c>
      <c r="C2519" s="14" t="n">
        <v>10.272</v>
      </c>
      <c r="D2519" s="14" t="n">
        <v>1.3444</v>
      </c>
      <c r="E2519" s="14" t="n">
        <v>1.166</v>
      </c>
      <c r="F2519" s="14" t="n">
        <v>7.1839</v>
      </c>
      <c r="G2519" s="14" t="n">
        <v>5.4208</v>
      </c>
      <c r="H2519" s="14" t="n">
        <v>147.7</v>
      </c>
      <c r="I2519" s="14" t="n">
        <v>1.1648</v>
      </c>
      <c r="J2519" s="14" t="n">
        <v>11.954</v>
      </c>
      <c r="K2519" s="14" t="n">
        <v>1619.93</v>
      </c>
      <c r="L2519" s="14" t="n">
        <v>0.8671</v>
      </c>
      <c r="M2519" s="14" t="n">
        <v>8.3677</v>
      </c>
      <c r="N2519" s="14" t="n">
        <v>6.3227</v>
      </c>
      <c r="O2519" s="14" t="n">
        <v>172.18</v>
      </c>
      <c r="P2519" s="14" t="n">
        <v>10.2627</v>
      </c>
    </row>
    <row r="2520" customFormat="false" ht="15" hidden="false" customHeight="false" outlineLevel="0" collapsed="false">
      <c r="A2520" s="13" t="n">
        <v>45880</v>
      </c>
      <c r="B2520" s="14" t="n">
        <v>1392.74</v>
      </c>
      <c r="C2520" s="14" t="n">
        <v>10.2361</v>
      </c>
      <c r="D2520" s="14" t="n">
        <v>1.3414</v>
      </c>
      <c r="E2520" s="14" t="n">
        <v>1.1607</v>
      </c>
      <c r="F2520" s="14" t="n">
        <v>7.1884</v>
      </c>
      <c r="G2520" s="14" t="n">
        <v>5.4414</v>
      </c>
      <c r="H2520" s="14" t="n">
        <v>147.99</v>
      </c>
      <c r="I2520" s="14" t="n">
        <v>1.1622</v>
      </c>
      <c r="J2520" s="14" t="n">
        <v>11.905</v>
      </c>
      <c r="K2520" s="14" t="n">
        <v>1617.61</v>
      </c>
      <c r="L2520" s="14" t="n">
        <v>0.8656</v>
      </c>
      <c r="M2520" s="14" t="n">
        <v>8.35</v>
      </c>
      <c r="N2520" s="14" t="n">
        <v>6.3297</v>
      </c>
      <c r="O2520" s="14" t="n">
        <v>171.86</v>
      </c>
      <c r="P2520" s="14" t="n">
        <v>10.2435</v>
      </c>
    </row>
    <row r="2521" customFormat="false" ht="15" hidden="false" customHeight="false" outlineLevel="0" collapsed="false">
      <c r="A2521" s="13" t="n">
        <v>45881</v>
      </c>
      <c r="B2521" s="14" t="n">
        <v>1385.4</v>
      </c>
      <c r="C2521" s="14" t="n">
        <v>10.2135</v>
      </c>
      <c r="D2521" s="14" t="n">
        <v>1.3509</v>
      </c>
      <c r="E2521" s="14" t="n">
        <v>1.1673</v>
      </c>
      <c r="F2521" s="14" t="n">
        <v>7.1785</v>
      </c>
      <c r="G2521" s="14" t="n">
        <v>5.3915</v>
      </c>
      <c r="H2521" s="14" t="n">
        <v>147.8</v>
      </c>
      <c r="I2521" s="14" t="n">
        <v>1.1606</v>
      </c>
      <c r="J2521" s="14" t="n">
        <v>11.8938</v>
      </c>
      <c r="K2521" s="14" t="n">
        <v>1613.43</v>
      </c>
      <c r="L2521" s="14" t="n">
        <v>0.8621</v>
      </c>
      <c r="M2521" s="14" t="n">
        <v>8.3416</v>
      </c>
      <c r="N2521" s="14" t="n">
        <v>6.3116</v>
      </c>
      <c r="O2521" s="14" t="n">
        <v>172.3</v>
      </c>
      <c r="P2521" s="14" t="n">
        <v>10.248</v>
      </c>
    </row>
    <row r="2522" customFormat="false" ht="15" hidden="false" customHeight="false" outlineLevel="0" collapsed="false">
      <c r="A2522" s="13" t="n">
        <v>45882</v>
      </c>
      <c r="B2522" s="14" t="n">
        <v>1378.9</v>
      </c>
      <c r="C2522" s="14" t="n">
        <v>10.1981</v>
      </c>
      <c r="D2522" s="14" t="n">
        <v>1.3572</v>
      </c>
      <c r="E2522" s="14" t="n">
        <v>1.1715</v>
      </c>
      <c r="F2522" s="14" t="n">
        <v>7.1744</v>
      </c>
      <c r="G2522" s="14" t="n">
        <v>5.4049</v>
      </c>
      <c r="H2522" s="14" t="n">
        <v>147.25</v>
      </c>
      <c r="I2522" s="14" t="n">
        <v>1.1711</v>
      </c>
      <c r="J2522" s="14" t="n">
        <v>11.944</v>
      </c>
      <c r="K2522" s="14" t="n">
        <v>1614.2</v>
      </c>
      <c r="L2522" s="14" t="n">
        <v>0.8631</v>
      </c>
      <c r="M2522" s="14" t="n">
        <v>8.402</v>
      </c>
      <c r="N2522" s="14" t="n">
        <v>6.3128</v>
      </c>
      <c r="O2522" s="14" t="n">
        <v>172.47</v>
      </c>
      <c r="P2522" s="14" t="n">
        <v>10.199</v>
      </c>
    </row>
    <row r="2523" customFormat="false" ht="15" hidden="false" customHeight="false" outlineLevel="0" collapsed="false">
      <c r="A2523" s="13" t="n">
        <v>45883</v>
      </c>
      <c r="B2523" s="14" t="n">
        <v>1390.59</v>
      </c>
      <c r="C2523" s="14" t="n">
        <v>10.226</v>
      </c>
      <c r="D2523" s="14" t="n">
        <v>1.3532</v>
      </c>
      <c r="E2523" s="14" t="n">
        <v>1.1644</v>
      </c>
      <c r="F2523" s="14" t="n">
        <v>7.1795</v>
      </c>
      <c r="G2523" s="14" t="n">
        <v>5.4137</v>
      </c>
      <c r="H2523" s="14" t="n">
        <v>147.69</v>
      </c>
      <c r="I2523" s="14" t="n">
        <v>1.169</v>
      </c>
      <c r="J2523" s="14" t="n">
        <v>11.9215</v>
      </c>
      <c r="K2523" s="14" t="n">
        <v>1620.32</v>
      </c>
      <c r="L2523" s="14" t="n">
        <v>0.861</v>
      </c>
      <c r="M2523" s="14" t="n">
        <v>8.3824</v>
      </c>
      <c r="N2523" s="14" t="n">
        <v>6.31</v>
      </c>
      <c r="O2523" s="14" t="n">
        <v>171.3</v>
      </c>
      <c r="P2523" s="14" t="n">
        <v>10.198</v>
      </c>
    </row>
    <row r="2524" customFormat="false" ht="15" hidden="false" customHeight="false" outlineLevel="0" collapsed="false">
      <c r="A2524" s="13" t="n">
        <v>45884</v>
      </c>
      <c r="B2524" s="14" t="n">
        <v>1387.87</v>
      </c>
      <c r="C2524" s="14" t="n">
        <v>10.183</v>
      </c>
      <c r="D2524" s="14" t="n">
        <v>1.3565</v>
      </c>
      <c r="E2524" s="14" t="n">
        <v>1.1708</v>
      </c>
      <c r="F2524" s="14" t="n">
        <v>7.1817</v>
      </c>
      <c r="G2524" s="14" t="n">
        <v>5.3964</v>
      </c>
      <c r="H2524" s="14" t="n">
        <v>147</v>
      </c>
      <c r="I2524" s="14" t="n">
        <v>1.1688</v>
      </c>
      <c r="J2524" s="14" t="n">
        <v>11.896</v>
      </c>
      <c r="K2524" s="14" t="n">
        <v>1623.42</v>
      </c>
      <c r="L2524" s="14" t="n">
        <v>0.8622</v>
      </c>
      <c r="M2524" s="14" t="n">
        <v>8.3909</v>
      </c>
      <c r="N2524" s="14" t="n">
        <v>6.3127</v>
      </c>
      <c r="O2524" s="14" t="n">
        <v>171.81</v>
      </c>
      <c r="P2524" s="14" t="n">
        <v>10.178</v>
      </c>
    </row>
    <row r="2525" customFormat="false" ht="15" hidden="false" customHeight="false" outlineLevel="0" collapsed="false">
      <c r="A2525" s="13" t="n">
        <v>45887</v>
      </c>
      <c r="B2525" s="14" t="n">
        <v>1387.34</v>
      </c>
      <c r="C2525" s="14" t="n">
        <v>10.2009</v>
      </c>
      <c r="D2525" s="14" t="n">
        <v>1.3521</v>
      </c>
      <c r="E2525" s="14" t="n">
        <v>1.1667</v>
      </c>
      <c r="F2525" s="14" t="n">
        <v>7.1847</v>
      </c>
      <c r="G2525" s="14" t="n">
        <v>5.4206</v>
      </c>
      <c r="H2525" s="14" t="n">
        <v>147.76</v>
      </c>
      <c r="I2525" s="14" t="n">
        <v>1.1673</v>
      </c>
      <c r="J2525" s="14" t="n">
        <v>11.884</v>
      </c>
      <c r="K2525" s="14" t="n">
        <v>1618.17</v>
      </c>
      <c r="L2525" s="14" t="n">
        <v>0.8621</v>
      </c>
      <c r="M2525" s="14" t="n">
        <v>8.3798</v>
      </c>
      <c r="N2525" s="14" t="n">
        <v>6.3128</v>
      </c>
      <c r="O2525" s="14" t="n">
        <v>172.27</v>
      </c>
      <c r="P2525" s="14" t="n">
        <v>10.1808</v>
      </c>
    </row>
    <row r="2526" customFormat="false" ht="15" hidden="false" customHeight="false" outlineLevel="0" collapsed="false">
      <c r="A2526" s="13" t="n">
        <v>45888</v>
      </c>
      <c r="B2526" s="14" t="n">
        <v>1392.04</v>
      </c>
      <c r="C2526" s="14" t="n">
        <v>10.2723</v>
      </c>
      <c r="D2526" s="14" t="n">
        <v>1.3496</v>
      </c>
      <c r="E2526" s="14" t="n">
        <v>1.166</v>
      </c>
      <c r="F2526" s="14" t="n">
        <v>7.1819</v>
      </c>
      <c r="G2526" s="14" t="n">
        <v>5.4764</v>
      </c>
      <c r="H2526" s="14" t="n">
        <v>147.72</v>
      </c>
      <c r="I2526" s="14" t="n">
        <v>1.1682</v>
      </c>
      <c r="J2526" s="14" t="n">
        <v>11.928</v>
      </c>
      <c r="K2526" s="14" t="n">
        <v>1622.4</v>
      </c>
      <c r="L2526" s="14" t="n">
        <v>0.864</v>
      </c>
      <c r="M2526" s="14" t="n">
        <v>8.3866</v>
      </c>
      <c r="N2526" s="14" t="n">
        <v>6.3563</v>
      </c>
      <c r="O2526" s="14" t="n">
        <v>172.67</v>
      </c>
      <c r="P2526" s="14" t="n">
        <v>10.2106</v>
      </c>
    </row>
    <row r="2527" customFormat="false" ht="15" hidden="false" customHeight="false" outlineLevel="0" collapsed="false">
      <c r="A2527" s="13" t="n">
        <v>45889</v>
      </c>
      <c r="B2527" s="14" t="n">
        <v>1397.7</v>
      </c>
      <c r="C2527" s="14" t="n">
        <v>10.2389</v>
      </c>
      <c r="D2527" s="14" t="n">
        <v>1.345</v>
      </c>
      <c r="E2527" s="14" t="n">
        <v>1.1649</v>
      </c>
      <c r="F2527" s="14" t="n">
        <v>7.1757</v>
      </c>
      <c r="G2527" s="14" t="n">
        <v>5.4742</v>
      </c>
      <c r="H2527" s="14" t="n">
        <v>147.19</v>
      </c>
      <c r="I2527" s="14" t="n">
        <v>1.1651</v>
      </c>
      <c r="J2527" s="14" t="n">
        <v>11.9505</v>
      </c>
      <c r="K2527" s="14" t="n">
        <v>1629.72</v>
      </c>
      <c r="L2527" s="14" t="n">
        <v>0.8645</v>
      </c>
      <c r="M2527" s="14" t="n">
        <v>8.3609</v>
      </c>
      <c r="N2527" s="14" t="n">
        <v>6.3888</v>
      </c>
      <c r="O2527" s="14" t="n">
        <v>171.77</v>
      </c>
      <c r="P2527" s="14" t="n">
        <v>10.2571</v>
      </c>
    </row>
    <row r="2528" customFormat="false" ht="15" hidden="false" customHeight="false" outlineLevel="0" collapsed="false">
      <c r="A2528" s="13" t="n">
        <v>45890</v>
      </c>
      <c r="B2528" s="14" t="n">
        <v>1401.88</v>
      </c>
      <c r="C2528" s="14" t="n">
        <v>10.1878</v>
      </c>
      <c r="D2528" s="14" t="n">
        <v>1.3417</v>
      </c>
      <c r="E2528" s="14" t="n">
        <v>1.1605</v>
      </c>
      <c r="F2528" s="14" t="n">
        <v>7.1793</v>
      </c>
      <c r="G2528" s="14" t="n">
        <v>5.4868</v>
      </c>
      <c r="H2528" s="14" t="n">
        <v>148.35</v>
      </c>
      <c r="I2528" s="14" t="n">
        <v>1.1639</v>
      </c>
      <c r="J2528" s="14" t="n">
        <v>11.8505</v>
      </c>
      <c r="K2528" s="14" t="n">
        <v>1627.94</v>
      </c>
      <c r="L2528" s="14" t="n">
        <v>0.8654</v>
      </c>
      <c r="M2528" s="14" t="n">
        <v>8.3547</v>
      </c>
      <c r="N2528" s="14" t="n">
        <v>6.3851</v>
      </c>
      <c r="O2528" s="14" t="n">
        <v>172.09</v>
      </c>
      <c r="P2528" s="14" t="n">
        <v>10.1817</v>
      </c>
    </row>
    <row r="2529" customFormat="false" ht="15" hidden="false" customHeight="false" outlineLevel="0" collapsed="false">
      <c r="A2529" s="13" t="n">
        <v>45891</v>
      </c>
      <c r="B2529" s="14" t="n">
        <v>1381.71</v>
      </c>
      <c r="C2529" s="14" t="n">
        <v>10.0516</v>
      </c>
      <c r="D2529" s="14" t="n">
        <v>1.3528</v>
      </c>
      <c r="E2529" s="14" t="n">
        <v>1.1713</v>
      </c>
      <c r="F2529" s="14" t="n">
        <v>7.1651</v>
      </c>
      <c r="G2529" s="14" t="n">
        <v>5.4196</v>
      </c>
      <c r="H2529" s="14" t="n">
        <v>146.82</v>
      </c>
      <c r="I2529" s="14" t="n">
        <v>1.1608</v>
      </c>
      <c r="J2529" s="14" t="n">
        <v>11.8325</v>
      </c>
      <c r="K2529" s="14" t="n">
        <v>1614.06</v>
      </c>
      <c r="L2529" s="14" t="n">
        <v>0.8653</v>
      </c>
      <c r="M2529" s="14" t="n">
        <v>8.3333</v>
      </c>
      <c r="N2529" s="14" t="n">
        <v>6.3462</v>
      </c>
      <c r="O2529" s="14" t="n">
        <v>172.6</v>
      </c>
      <c r="P2529" s="14" t="n">
        <v>10.1934</v>
      </c>
    </row>
    <row r="2530" customFormat="false" ht="15" hidden="false" customHeight="false" outlineLevel="0" collapsed="false">
      <c r="A2530" s="13" t="n">
        <v>45894</v>
      </c>
      <c r="B2530" s="14" t="n">
        <v>1389.06</v>
      </c>
      <c r="C2530" s="14" t="n">
        <v>10.0935</v>
      </c>
      <c r="D2530" s="14" t="n">
        <v>1.3491</v>
      </c>
      <c r="E2530" s="14" t="n">
        <v>1.167</v>
      </c>
      <c r="F2530" s="14" t="n">
        <v>7.151</v>
      </c>
      <c r="G2530" s="14" t="n">
        <v>5.4086</v>
      </c>
      <c r="H2530" s="14" t="n">
        <v>147.61</v>
      </c>
      <c r="I2530" s="14" t="n">
        <v>1.1697</v>
      </c>
      <c r="J2530" s="14" t="n">
        <v>11.8085</v>
      </c>
      <c r="K2530" s="14" t="n">
        <v>1622.7</v>
      </c>
      <c r="L2530" s="14" t="n">
        <v>0.8659</v>
      </c>
      <c r="M2530" s="14" t="n">
        <v>8.3709</v>
      </c>
      <c r="N2530" s="14" t="n">
        <v>6.3504</v>
      </c>
      <c r="O2530" s="14" t="n">
        <v>172.36</v>
      </c>
      <c r="P2530" s="14" t="n">
        <v>10.0953</v>
      </c>
    </row>
    <row r="2531" customFormat="false" ht="15" hidden="false" customHeight="false" outlineLevel="0" collapsed="false">
      <c r="A2531" s="13" t="n">
        <v>45895</v>
      </c>
      <c r="B2531" s="14" t="n">
        <v>1393.52</v>
      </c>
      <c r="C2531" s="14" t="n">
        <v>10.1158</v>
      </c>
      <c r="D2531" s="14" t="n">
        <v>1.3485</v>
      </c>
      <c r="E2531" s="14" t="n">
        <v>1.1657</v>
      </c>
      <c r="F2531" s="14" t="n">
        <v>7.152</v>
      </c>
      <c r="G2531" s="14" t="n">
        <v>5.4335</v>
      </c>
      <c r="H2531" s="14" t="n">
        <v>147.3</v>
      </c>
      <c r="I2531" s="14" t="n">
        <v>1.1656</v>
      </c>
      <c r="J2531" s="14" t="n">
        <v>11.836</v>
      </c>
      <c r="K2531" s="14" t="n">
        <v>1625.27</v>
      </c>
      <c r="L2531" s="14" t="n">
        <v>0.8642</v>
      </c>
      <c r="M2531" s="14" t="n">
        <v>8.3427</v>
      </c>
      <c r="N2531" s="14" t="n">
        <v>6.2992</v>
      </c>
      <c r="O2531" s="14" t="n">
        <v>171.77</v>
      </c>
      <c r="P2531" s="14" t="n">
        <v>10.1544</v>
      </c>
    </row>
    <row r="2532" customFormat="false" ht="15" hidden="false" customHeight="false" outlineLevel="0" collapsed="false">
      <c r="A2532" s="13" t="n">
        <v>45896</v>
      </c>
      <c r="B2532" s="14" t="n">
        <v>1394.54</v>
      </c>
      <c r="C2532" s="14" t="n">
        <v>10.1138</v>
      </c>
      <c r="D2532" s="14" t="n">
        <v>1.3468</v>
      </c>
      <c r="E2532" s="14" t="n">
        <v>1.1611</v>
      </c>
      <c r="F2532" s="14" t="n">
        <v>7.1536</v>
      </c>
      <c r="G2532" s="14" t="n">
        <v>5.4332</v>
      </c>
      <c r="H2532" s="14" t="n">
        <v>147.75</v>
      </c>
      <c r="I2532" s="14" t="n">
        <v>1.1593</v>
      </c>
      <c r="J2532" s="14" t="n">
        <v>11.786</v>
      </c>
      <c r="K2532" s="14" t="n">
        <v>1620.49</v>
      </c>
      <c r="L2532" s="14" t="n">
        <v>0.8626</v>
      </c>
      <c r="M2532" s="14" t="n">
        <v>8.3027</v>
      </c>
      <c r="N2532" s="14" t="n">
        <v>6.3051</v>
      </c>
      <c r="O2532" s="14" t="n">
        <v>171.63</v>
      </c>
      <c r="P2532" s="14" t="n">
        <v>10.1665</v>
      </c>
    </row>
    <row r="2533" customFormat="false" ht="15" hidden="false" customHeight="false" outlineLevel="0" collapsed="false">
      <c r="A2533" s="13" t="n">
        <v>45897</v>
      </c>
      <c r="B2533" s="14" t="n">
        <v>1384.85</v>
      </c>
      <c r="C2533" s="14" t="n">
        <v>10.0737</v>
      </c>
      <c r="D2533" s="14" t="n">
        <v>1.3516</v>
      </c>
      <c r="E2533" s="14" t="n">
        <v>1.1672</v>
      </c>
      <c r="F2533" s="14" t="n">
        <v>7.1306</v>
      </c>
      <c r="G2533" s="14" t="n">
        <v>5.4093</v>
      </c>
      <c r="H2533" s="14" t="n">
        <v>146.98</v>
      </c>
      <c r="I2533" s="14" t="n">
        <v>1.1676</v>
      </c>
      <c r="J2533" s="14" t="n">
        <v>11.748</v>
      </c>
      <c r="K2533" s="14" t="n">
        <v>1618.06</v>
      </c>
      <c r="L2533" s="14" t="n">
        <v>0.8637</v>
      </c>
      <c r="M2533" s="14" t="n">
        <v>8.3266</v>
      </c>
      <c r="N2533" s="14" t="n">
        <v>6.3147</v>
      </c>
      <c r="O2533" s="14" t="n">
        <v>171.48</v>
      </c>
      <c r="P2533" s="14" t="n">
        <v>10.0617</v>
      </c>
    </row>
    <row r="2534" customFormat="false" ht="15" hidden="false" customHeight="false" outlineLevel="0" collapsed="false">
      <c r="A2534" s="13" t="n">
        <v>45898</v>
      </c>
      <c r="B2534" s="14" t="n">
        <v>1389.76</v>
      </c>
      <c r="C2534" s="14" t="n">
        <v>10.0537</v>
      </c>
      <c r="D2534" s="14" t="n">
        <v>1.3511</v>
      </c>
      <c r="E2534" s="14" t="n">
        <v>1.1695</v>
      </c>
      <c r="F2534" s="14" t="n">
        <v>7.1304</v>
      </c>
      <c r="G2534" s="14" t="n">
        <v>5.4299</v>
      </c>
      <c r="H2534" s="14" t="n">
        <v>146.9</v>
      </c>
      <c r="I2534" s="14" t="n">
        <v>1.1658</v>
      </c>
      <c r="J2534" s="14" t="n">
        <v>11.7465</v>
      </c>
      <c r="K2534" s="14" t="n">
        <v>1622.26</v>
      </c>
      <c r="L2534" s="14" t="n">
        <v>0.8668</v>
      </c>
      <c r="M2534" s="14" t="n">
        <v>8.3155</v>
      </c>
      <c r="N2534" s="14" t="n">
        <v>6.3253</v>
      </c>
      <c r="O2534" s="14" t="n">
        <v>171.72</v>
      </c>
      <c r="P2534" s="14" t="n">
        <v>10.0759</v>
      </c>
    </row>
    <row r="2535" customFormat="false" ht="15" hidden="false" customHeight="false" outlineLevel="0" collapsed="false">
      <c r="A2535" s="13" t="n">
        <v>45901</v>
      </c>
      <c r="I2535" s="14" t="n">
        <v>1.1715</v>
      </c>
      <c r="J2535" s="14" t="n">
        <v>11.7315</v>
      </c>
      <c r="K2535" s="14" t="n">
        <v>1632.32</v>
      </c>
      <c r="L2535" s="14" t="n">
        <v>0.8662</v>
      </c>
      <c r="M2535" s="14" t="n">
        <v>8.3581</v>
      </c>
      <c r="N2535" s="14" t="n">
        <v>6.3587</v>
      </c>
      <c r="O2535" s="14" t="n">
        <v>172.47</v>
      </c>
      <c r="P2535" s="14" t="n">
        <v>10.0141</v>
      </c>
    </row>
    <row r="2536" customFormat="false" ht="15" hidden="false" customHeight="false" outlineLevel="0" collapsed="false">
      <c r="A2536" s="13" t="n">
        <v>45902</v>
      </c>
      <c r="B2536" s="14" t="n">
        <v>1394.76</v>
      </c>
      <c r="C2536" s="14" t="n">
        <v>10.034</v>
      </c>
      <c r="D2536" s="14" t="n">
        <v>1.3392</v>
      </c>
      <c r="E2536" s="14" t="n">
        <v>1.1653</v>
      </c>
      <c r="F2536" s="14" t="n">
        <v>7.139</v>
      </c>
      <c r="G2536" s="14" t="n">
        <v>5.4633</v>
      </c>
      <c r="H2536" s="14" t="n">
        <v>148.23</v>
      </c>
      <c r="I2536" s="14" t="n">
        <v>1.1646</v>
      </c>
      <c r="J2536" s="14" t="n">
        <v>11.674</v>
      </c>
      <c r="K2536" s="14" t="n">
        <v>1625.01</v>
      </c>
      <c r="L2536" s="14" t="n">
        <v>0.8702</v>
      </c>
      <c r="M2536" s="14" t="n">
        <v>8.3202</v>
      </c>
      <c r="N2536" s="14" t="n">
        <v>6.3757</v>
      </c>
      <c r="O2536" s="14" t="n">
        <v>173.1</v>
      </c>
      <c r="P2536" s="14" t="n">
        <v>10.024</v>
      </c>
    </row>
    <row r="2537" customFormat="false" ht="15" hidden="false" customHeight="false" outlineLevel="0" collapsed="false">
      <c r="A2537" s="13" t="n">
        <v>45903</v>
      </c>
      <c r="B2537" s="14" t="n">
        <v>1389.21</v>
      </c>
      <c r="C2537" s="14" t="n">
        <v>10.0254</v>
      </c>
      <c r="D2537" s="14" t="n">
        <v>1.3448</v>
      </c>
      <c r="E2537" s="14" t="n">
        <v>1.1676</v>
      </c>
      <c r="F2537" s="14" t="n">
        <v>7.1415</v>
      </c>
      <c r="G2537" s="14" t="n">
        <v>5.4571</v>
      </c>
      <c r="H2537" s="14" t="n">
        <v>147.97</v>
      </c>
      <c r="I2537" s="14" t="n">
        <v>1.1653</v>
      </c>
      <c r="J2537" s="14" t="n">
        <v>11.7</v>
      </c>
      <c r="K2537" s="14" t="n">
        <v>1619.1</v>
      </c>
      <c r="L2537" s="14" t="n">
        <v>0.8687</v>
      </c>
      <c r="M2537" s="14" t="n">
        <v>8.3268</v>
      </c>
      <c r="N2537" s="14" t="n">
        <v>6.355</v>
      </c>
      <c r="O2537" s="14" t="n">
        <v>173.17</v>
      </c>
      <c r="P2537" s="14" t="n">
        <v>10.0403</v>
      </c>
    </row>
    <row r="2538" customFormat="false" ht="15" hidden="false" customHeight="false" outlineLevel="0" collapsed="false">
      <c r="A2538" s="13" t="n">
        <v>45904</v>
      </c>
      <c r="B2538" s="14" t="n">
        <v>1394.8</v>
      </c>
      <c r="C2538" s="14" t="n">
        <v>10.1112</v>
      </c>
      <c r="D2538" s="14" t="n">
        <v>1.3441</v>
      </c>
      <c r="E2538" s="14" t="n">
        <v>1.1648</v>
      </c>
      <c r="F2538" s="14" t="n">
        <v>7.1414</v>
      </c>
      <c r="G2538" s="14" t="n">
        <v>5.4641</v>
      </c>
      <c r="H2538" s="14" t="n">
        <v>148.63</v>
      </c>
      <c r="I2538" s="14" t="n">
        <v>1.1647</v>
      </c>
      <c r="J2538" s="14" t="n">
        <v>11.753</v>
      </c>
      <c r="K2538" s="14" t="n">
        <v>1622.79</v>
      </c>
      <c r="L2538" s="14" t="n">
        <v>0.8663</v>
      </c>
      <c r="M2538" s="14" t="n">
        <v>8.3168</v>
      </c>
      <c r="N2538" s="14" t="n">
        <v>6.3585</v>
      </c>
      <c r="O2538" s="14" t="n">
        <v>172.76</v>
      </c>
      <c r="P2538" s="14" t="n">
        <v>10.091</v>
      </c>
    </row>
    <row r="2539" customFormat="false" ht="15" hidden="false" customHeight="false" outlineLevel="0" collapsed="false">
      <c r="A2539" s="13" t="n">
        <v>45905</v>
      </c>
      <c r="B2539" s="14" t="n">
        <v>1385.28</v>
      </c>
      <c r="C2539" s="14" t="n">
        <v>10.0219</v>
      </c>
      <c r="D2539" s="14" t="n">
        <v>1.3543</v>
      </c>
      <c r="E2539" s="14" t="n">
        <v>1.1759</v>
      </c>
      <c r="F2539" s="14" t="n">
        <v>7.1323</v>
      </c>
      <c r="G2539" s="14" t="n">
        <v>5.3983</v>
      </c>
      <c r="H2539" s="14" t="n">
        <v>146.84</v>
      </c>
      <c r="I2539" s="14" t="n">
        <v>1.1697</v>
      </c>
      <c r="J2539" s="14" t="n">
        <v>11.7505</v>
      </c>
      <c r="K2539" s="14" t="n">
        <v>1626.8</v>
      </c>
      <c r="L2539" s="14" t="n">
        <v>0.8678</v>
      </c>
      <c r="M2539" s="14" t="n">
        <v>8.3489</v>
      </c>
      <c r="N2539" s="14" t="n">
        <v>6.346</v>
      </c>
      <c r="O2539" s="14" t="n">
        <v>173.09</v>
      </c>
      <c r="P2539" s="14" t="n">
        <v>10.0457</v>
      </c>
    </row>
    <row r="2540" customFormat="false" ht="15" hidden="false" customHeight="false" outlineLevel="0" collapsed="false">
      <c r="A2540" s="13" t="n">
        <v>45908</v>
      </c>
      <c r="B2540" s="14" t="n">
        <v>1386.29</v>
      </c>
      <c r="C2540" s="14" t="n">
        <v>9.9912</v>
      </c>
      <c r="D2540" s="14" t="n">
        <v>1.355</v>
      </c>
      <c r="E2540" s="14" t="n">
        <v>1.1751</v>
      </c>
      <c r="F2540" s="14" t="n">
        <v>7.1293</v>
      </c>
      <c r="G2540" s="14" t="n">
        <v>5.4275</v>
      </c>
      <c r="H2540" s="14" t="n">
        <v>147.58</v>
      </c>
      <c r="I2540" s="14" t="n">
        <v>1.1728</v>
      </c>
      <c r="J2540" s="14" t="n">
        <v>11.7125</v>
      </c>
      <c r="K2540" s="14" t="n">
        <v>1627.71</v>
      </c>
      <c r="L2540" s="14" t="n">
        <v>0.8669</v>
      </c>
      <c r="M2540" s="14" t="n">
        <v>8.3619</v>
      </c>
      <c r="N2540" s="14" t="n">
        <v>6.34</v>
      </c>
      <c r="O2540" s="14" t="n">
        <v>173.39</v>
      </c>
      <c r="P2540" s="14" t="n">
        <v>9.9868</v>
      </c>
    </row>
    <row r="2541" customFormat="false" ht="15" hidden="false" customHeight="false" outlineLevel="0" collapsed="false">
      <c r="A2541" s="13" t="n">
        <v>45909</v>
      </c>
      <c r="B2541" s="14" t="n">
        <v>1388.16</v>
      </c>
      <c r="C2541" s="14" t="n">
        <v>9.9741</v>
      </c>
      <c r="D2541" s="14" t="n">
        <v>1.3533</v>
      </c>
      <c r="E2541" s="14" t="n">
        <v>1.1723</v>
      </c>
      <c r="F2541" s="14" t="n">
        <v>7.1209</v>
      </c>
      <c r="G2541" s="14" t="n">
        <v>5.428</v>
      </c>
      <c r="H2541" s="14" t="n">
        <v>147.23</v>
      </c>
      <c r="I2541" s="14" t="n">
        <v>1.1744</v>
      </c>
      <c r="J2541" s="14" t="n">
        <v>11.7105</v>
      </c>
      <c r="K2541" s="14" t="n">
        <v>1628.55</v>
      </c>
      <c r="L2541" s="14" t="n">
        <v>0.8663</v>
      </c>
      <c r="M2541" s="14" t="n">
        <v>8.3635</v>
      </c>
      <c r="N2541" s="14" t="n">
        <v>6.3665</v>
      </c>
      <c r="O2541" s="14" t="n">
        <v>172.36</v>
      </c>
      <c r="P2541" s="14" t="n">
        <v>9.9715</v>
      </c>
    </row>
    <row r="2542" customFormat="false" ht="15" hidden="false" customHeight="false" outlineLevel="0" collapsed="false">
      <c r="A2542" s="13" t="n">
        <v>45910</v>
      </c>
      <c r="B2542" s="14" t="n">
        <v>1386.97</v>
      </c>
      <c r="C2542" s="14" t="n">
        <v>9.9039</v>
      </c>
      <c r="D2542" s="14" t="n">
        <v>1.3548</v>
      </c>
      <c r="E2542" s="14" t="n">
        <v>1.1714</v>
      </c>
      <c r="F2542" s="14" t="n">
        <v>7.1207</v>
      </c>
      <c r="G2542" s="14" t="n">
        <v>5.4089</v>
      </c>
      <c r="H2542" s="14" t="n">
        <v>147.37</v>
      </c>
      <c r="I2542" s="14" t="n">
        <v>1.1707</v>
      </c>
      <c r="J2542" s="14" t="n">
        <v>11.6195</v>
      </c>
      <c r="K2542" s="14" t="n">
        <v>1625.93</v>
      </c>
      <c r="L2542" s="14" t="n">
        <v>0.865</v>
      </c>
      <c r="M2542" s="14" t="n">
        <v>8.3387</v>
      </c>
      <c r="N2542" s="14" t="n">
        <v>6.3582</v>
      </c>
      <c r="O2542" s="14" t="n">
        <v>172.67</v>
      </c>
      <c r="P2542" s="14" t="n">
        <v>9.9253</v>
      </c>
    </row>
    <row r="2543" customFormat="false" ht="15" hidden="false" customHeight="false" outlineLevel="0" collapsed="false">
      <c r="A2543" s="13" t="n">
        <v>45911</v>
      </c>
      <c r="B2543" s="14" t="n">
        <v>1388.97</v>
      </c>
      <c r="C2543" s="14" t="n">
        <v>9.8703</v>
      </c>
      <c r="D2543" s="14" t="n">
        <v>1.3568</v>
      </c>
      <c r="E2543" s="14" t="n">
        <v>1.1732</v>
      </c>
      <c r="F2543" s="14" t="n">
        <v>7.1184</v>
      </c>
      <c r="G2543" s="14" t="n">
        <v>5.3828</v>
      </c>
      <c r="H2543" s="14" t="n">
        <v>147.17</v>
      </c>
      <c r="I2543" s="14" t="n">
        <v>1.1685</v>
      </c>
      <c r="J2543" s="14" t="n">
        <v>11.612</v>
      </c>
      <c r="K2543" s="14" t="n">
        <v>1627.67</v>
      </c>
      <c r="L2543" s="14" t="n">
        <v>0.8647</v>
      </c>
      <c r="M2543" s="14" t="n">
        <v>8.3252</v>
      </c>
      <c r="N2543" s="14" t="n">
        <v>6.3299</v>
      </c>
      <c r="O2543" s="14" t="n">
        <v>172.88</v>
      </c>
      <c r="P2543" s="14" t="n">
        <v>9.9375</v>
      </c>
    </row>
    <row r="2544" customFormat="false" ht="15" hidden="false" customHeight="false" outlineLevel="0" collapsed="false">
      <c r="A2544" s="13" t="n">
        <v>45912</v>
      </c>
      <c r="B2544" s="14" t="n">
        <v>1394.06</v>
      </c>
      <c r="C2544" s="14" t="n">
        <v>9.8846</v>
      </c>
      <c r="D2544" s="14" t="n">
        <v>1.3547</v>
      </c>
      <c r="E2544" s="14" t="n">
        <v>1.1714</v>
      </c>
      <c r="F2544" s="14" t="n">
        <v>7.1242</v>
      </c>
      <c r="G2544" s="14" t="n">
        <v>5.3541</v>
      </c>
      <c r="H2544" s="14" t="n">
        <v>147.85</v>
      </c>
      <c r="I2544" s="14" t="n">
        <v>1.1718</v>
      </c>
      <c r="J2544" s="14" t="n">
        <v>11.5845</v>
      </c>
      <c r="K2544" s="14" t="n">
        <v>1630.98</v>
      </c>
      <c r="L2544" s="14" t="n">
        <v>0.8653</v>
      </c>
      <c r="M2544" s="14" t="n">
        <v>8.3461</v>
      </c>
      <c r="N2544" s="14" t="n">
        <v>6.326</v>
      </c>
      <c r="O2544" s="14" t="n">
        <v>173.33</v>
      </c>
      <c r="P2544" s="14" t="n">
        <v>9.8861</v>
      </c>
    </row>
    <row r="2545" customFormat="false" ht="15" hidden="false" customHeight="false" outlineLevel="0" collapsed="false">
      <c r="A2545" s="13" t="n">
        <v>45915</v>
      </c>
      <c r="B2545" s="14" t="n">
        <v>1385.09</v>
      </c>
      <c r="C2545" s="14" t="n">
        <v>9.8323</v>
      </c>
      <c r="D2545" s="14" t="n">
        <v>1.3609</v>
      </c>
      <c r="E2545" s="14" t="n">
        <v>1.1772</v>
      </c>
      <c r="F2545" s="14" t="n">
        <v>7.1186</v>
      </c>
      <c r="G2545" s="14" t="n">
        <v>5.3088</v>
      </c>
      <c r="H2545" s="14" t="n">
        <v>147.27</v>
      </c>
      <c r="I2545" s="14" t="n">
        <v>1.1766</v>
      </c>
      <c r="J2545" s="14" t="n">
        <v>11.5565</v>
      </c>
      <c r="K2545" s="14" t="n">
        <v>1633.1</v>
      </c>
      <c r="L2545" s="14" t="n">
        <v>0.8641</v>
      </c>
      <c r="M2545" s="14" t="n">
        <v>8.3795</v>
      </c>
      <c r="N2545" s="14" t="n">
        <v>6.2769</v>
      </c>
      <c r="O2545" s="14" t="n">
        <v>173.38</v>
      </c>
      <c r="P2545" s="14" t="n">
        <v>9.8219</v>
      </c>
    </row>
    <row r="2546" customFormat="false" ht="15" hidden="false" customHeight="false" outlineLevel="0" collapsed="false">
      <c r="A2546" s="13" t="n">
        <v>45916</v>
      </c>
      <c r="B2546" s="14" t="n">
        <v>1381.49</v>
      </c>
      <c r="C2546" s="14" t="n">
        <v>9.7704</v>
      </c>
      <c r="D2546" s="14" t="n">
        <v>1.3654</v>
      </c>
      <c r="E2546" s="14" t="n">
        <v>1.1848</v>
      </c>
      <c r="F2546" s="14" t="n">
        <v>7.1142</v>
      </c>
      <c r="G2546" s="14" t="n">
        <v>5.3006</v>
      </c>
      <c r="H2546" s="14" t="n">
        <v>146.56</v>
      </c>
      <c r="I2546" s="14" t="n">
        <v>1.1807</v>
      </c>
      <c r="J2546" s="14" t="n">
        <v>11.59</v>
      </c>
      <c r="K2546" s="14" t="n">
        <v>1631.64</v>
      </c>
      <c r="L2546" s="14" t="n">
        <v>0.8656</v>
      </c>
      <c r="M2546" s="14" t="n">
        <v>8.401</v>
      </c>
      <c r="N2546" s="14" t="n">
        <v>6.2689</v>
      </c>
      <c r="O2546" s="14" t="n">
        <v>173.55</v>
      </c>
      <c r="P2546" s="14" t="n">
        <v>9.8162</v>
      </c>
    </row>
    <row r="2547" customFormat="false" ht="15" hidden="false" customHeight="false" outlineLevel="0" collapsed="false">
      <c r="A2547" s="13" t="n">
        <v>45917</v>
      </c>
      <c r="B2547" s="14" t="n">
        <v>1375.5</v>
      </c>
      <c r="C2547" s="14" t="n">
        <v>9.8034</v>
      </c>
      <c r="D2547" s="14" t="n">
        <v>1.3661</v>
      </c>
      <c r="E2547" s="14" t="n">
        <v>1.1845</v>
      </c>
      <c r="F2547" s="14" t="n">
        <v>7.1033</v>
      </c>
      <c r="G2547" s="14" t="n">
        <v>5.3069</v>
      </c>
      <c r="H2547" s="14" t="n">
        <v>146.36</v>
      </c>
      <c r="I2547" s="14" t="n">
        <v>1.1837</v>
      </c>
      <c r="J2547" s="14" t="n">
        <v>11.626</v>
      </c>
      <c r="K2547" s="14" t="n">
        <v>1631.8</v>
      </c>
      <c r="L2547" s="14" t="n">
        <v>0.8675</v>
      </c>
      <c r="M2547" s="14" t="n">
        <v>8.4092</v>
      </c>
      <c r="N2547" s="14" t="n">
        <v>6.2714</v>
      </c>
      <c r="O2547" s="14" t="n">
        <v>173.28</v>
      </c>
      <c r="P2547" s="14" t="n">
        <v>9.8217</v>
      </c>
    </row>
    <row r="2548" customFormat="false" ht="15" hidden="false" customHeight="false" outlineLevel="0" collapsed="false">
      <c r="A2548" s="13" t="n">
        <v>45918</v>
      </c>
      <c r="B2548" s="14" t="n">
        <v>1388.51</v>
      </c>
      <c r="C2548" s="14" t="n">
        <v>9.8893</v>
      </c>
      <c r="D2548" s="14" t="n">
        <v>1.3552</v>
      </c>
      <c r="E2548" s="14" t="n">
        <v>1.178</v>
      </c>
      <c r="F2548" s="14" t="n">
        <v>7.1125</v>
      </c>
      <c r="G2548" s="14" t="n">
        <v>5.302</v>
      </c>
      <c r="H2548" s="14" t="n">
        <v>148.02</v>
      </c>
      <c r="I2548" s="14" t="n">
        <v>1.1818</v>
      </c>
      <c r="J2548" s="14" t="n">
        <v>11.587</v>
      </c>
      <c r="K2548" s="14" t="n">
        <v>1638.56</v>
      </c>
      <c r="L2548" s="14" t="n">
        <v>0.868</v>
      </c>
      <c r="M2548" s="14" t="n">
        <v>8.3973</v>
      </c>
      <c r="N2548" s="14" t="n">
        <v>6.2316</v>
      </c>
      <c r="O2548" s="14" t="n">
        <v>174.24</v>
      </c>
      <c r="P2548" s="14" t="n">
        <v>9.8045</v>
      </c>
    </row>
    <row r="2549" customFormat="false" ht="15" hidden="false" customHeight="false" outlineLevel="0" collapsed="false">
      <c r="A2549" s="13" t="n">
        <v>45919</v>
      </c>
      <c r="B2549" s="14" t="n">
        <v>1397.43</v>
      </c>
      <c r="C2549" s="14" t="n">
        <v>9.9434</v>
      </c>
      <c r="D2549" s="14" t="n">
        <v>1.3484</v>
      </c>
      <c r="E2549" s="14" t="n">
        <v>1.1753</v>
      </c>
      <c r="F2549" s="14" t="n">
        <v>7.1142</v>
      </c>
      <c r="G2549" s="14" t="n">
        <v>5.3257</v>
      </c>
      <c r="H2549" s="14" t="n">
        <v>147.83</v>
      </c>
      <c r="I2549" s="14" t="n">
        <v>1.1736</v>
      </c>
      <c r="J2549" s="14" t="n">
        <v>11.6705</v>
      </c>
      <c r="K2549" s="14" t="n">
        <v>1640.88</v>
      </c>
      <c r="L2549" s="14" t="n">
        <v>0.8708</v>
      </c>
      <c r="M2549" s="14" t="n">
        <v>8.351</v>
      </c>
      <c r="N2549" s="14" t="n">
        <v>6.2567</v>
      </c>
      <c r="O2549" s="14" t="n">
        <v>173.79</v>
      </c>
      <c r="P2549" s="14" t="n">
        <v>9.9442</v>
      </c>
    </row>
    <row r="2550" customFormat="false" ht="15" hidden="false" customHeight="false" outlineLevel="0" collapsed="false">
      <c r="A2550" s="13" t="n">
        <v>45922</v>
      </c>
      <c r="B2550" s="14" t="n">
        <v>1392.4</v>
      </c>
      <c r="C2550" s="14" t="n">
        <v>9.9401</v>
      </c>
      <c r="D2550" s="14" t="n">
        <v>1.3505</v>
      </c>
      <c r="E2550" s="14" t="n">
        <v>1.1773</v>
      </c>
      <c r="F2550" s="14" t="n">
        <v>7.114</v>
      </c>
      <c r="G2550" s="14" t="n">
        <v>5.3505</v>
      </c>
      <c r="H2550" s="14" t="n">
        <v>147.83</v>
      </c>
      <c r="I2550" s="14" t="n">
        <v>1.1781</v>
      </c>
      <c r="J2550" s="14" t="n">
        <v>11.7025</v>
      </c>
      <c r="K2550" s="14" t="n">
        <v>1639.08</v>
      </c>
      <c r="L2550" s="14" t="n">
        <v>0.8729</v>
      </c>
      <c r="M2550" s="14" t="n">
        <v>8.3788</v>
      </c>
      <c r="N2550" s="14" t="n">
        <v>6.2943</v>
      </c>
      <c r="O2550" s="14" t="n">
        <v>174.17</v>
      </c>
      <c r="P2550" s="14" t="n">
        <v>9.9334</v>
      </c>
    </row>
    <row r="2551" customFormat="false" ht="15" hidden="false" customHeight="false" outlineLevel="0" collapsed="false">
      <c r="A2551" s="13" t="n">
        <v>45923</v>
      </c>
      <c r="B2551" s="14" t="n">
        <v>1394.28</v>
      </c>
      <c r="C2551" s="14" t="n">
        <v>9.8976</v>
      </c>
      <c r="D2551" s="14" t="n">
        <v>1.3518</v>
      </c>
      <c r="E2551" s="14" t="n">
        <v>1.18</v>
      </c>
      <c r="F2551" s="14" t="n">
        <v>7.1116</v>
      </c>
      <c r="G2551" s="14" t="n">
        <v>5.289</v>
      </c>
      <c r="H2551" s="14" t="n">
        <v>147.83</v>
      </c>
      <c r="I2551" s="14" t="n">
        <v>1.1793</v>
      </c>
      <c r="J2551" s="14" t="n">
        <v>11.672</v>
      </c>
      <c r="K2551" s="14" t="n">
        <v>1644.59</v>
      </c>
      <c r="L2551" s="14" t="n">
        <v>0.8729</v>
      </c>
      <c r="M2551" s="14" t="n">
        <v>8.3869</v>
      </c>
      <c r="N2551" s="14" t="n">
        <v>6.2967</v>
      </c>
      <c r="O2551" s="14" t="n">
        <v>174.3</v>
      </c>
      <c r="P2551" s="14" t="n">
        <v>9.8974</v>
      </c>
    </row>
    <row r="2552" customFormat="false" ht="15" hidden="false" customHeight="false" outlineLevel="0" collapsed="false">
      <c r="A2552" s="13" t="n">
        <v>45924</v>
      </c>
      <c r="B2552" s="14" t="n">
        <v>1404.7</v>
      </c>
      <c r="C2552" s="14" t="n">
        <v>9.9457</v>
      </c>
      <c r="D2552" s="14" t="n">
        <v>1.345</v>
      </c>
      <c r="E2552" s="14" t="n">
        <v>1.1742</v>
      </c>
      <c r="F2552" s="14" t="n">
        <v>7.1315</v>
      </c>
      <c r="G2552" s="14" t="n">
        <v>5.318</v>
      </c>
      <c r="H2552" s="14" t="n">
        <v>148.71</v>
      </c>
      <c r="I2552" s="14" t="n">
        <v>1.1756</v>
      </c>
      <c r="J2552" s="14" t="n">
        <v>11.688</v>
      </c>
      <c r="K2552" s="14" t="n">
        <v>1644.99</v>
      </c>
      <c r="L2552" s="14" t="n">
        <v>0.8731</v>
      </c>
      <c r="M2552" s="14" t="n">
        <v>8.3786</v>
      </c>
      <c r="N2552" s="14" t="n">
        <v>6.224</v>
      </c>
      <c r="O2552" s="14" t="n">
        <v>174.51</v>
      </c>
      <c r="P2552" s="14" t="n">
        <v>9.9422</v>
      </c>
    </row>
    <row r="2553" customFormat="false" ht="15" hidden="false" customHeight="false" outlineLevel="0" collapsed="false">
      <c r="A2553" s="13" t="n">
        <v>45925</v>
      </c>
      <c r="B2553" s="14" t="n">
        <v>1408.67</v>
      </c>
      <c r="C2553" s="14" t="n">
        <v>10.0282</v>
      </c>
      <c r="D2553" s="14" t="n">
        <v>1.3351</v>
      </c>
      <c r="E2553" s="14" t="n">
        <v>1.1673</v>
      </c>
      <c r="F2553" s="14" t="n">
        <v>7.1338</v>
      </c>
      <c r="G2553" s="14" t="n">
        <v>5.3435</v>
      </c>
      <c r="H2553" s="14" t="n">
        <v>149.78</v>
      </c>
      <c r="I2553" s="14" t="n">
        <v>1.1739</v>
      </c>
      <c r="J2553" s="14" t="n">
        <v>11.689</v>
      </c>
      <c r="K2553" s="14" t="n">
        <v>1648.07</v>
      </c>
      <c r="L2553" s="14" t="n">
        <v>0.8748</v>
      </c>
      <c r="M2553" s="14" t="n">
        <v>8.363</v>
      </c>
      <c r="N2553" s="14" t="n">
        <v>6.2437</v>
      </c>
      <c r="O2553" s="14" t="n">
        <v>174.7</v>
      </c>
      <c r="P2553" s="14" t="n">
        <v>9.9574</v>
      </c>
    </row>
    <row r="2554" customFormat="false" ht="15" hidden="false" customHeight="false" outlineLevel="0" collapsed="false">
      <c r="A2554" s="13" t="n">
        <v>45926</v>
      </c>
      <c r="B2554" s="14" t="n">
        <v>1410.05</v>
      </c>
      <c r="C2554" s="14" t="n">
        <v>9.9768</v>
      </c>
      <c r="D2554" s="14" t="n">
        <v>1.3404</v>
      </c>
      <c r="E2554" s="14" t="n">
        <v>1.1692</v>
      </c>
      <c r="F2554" s="14" t="n">
        <v>7.1328</v>
      </c>
      <c r="G2554" s="14" t="n">
        <v>5.3413</v>
      </c>
      <c r="H2554" s="14" t="n">
        <v>149.52</v>
      </c>
      <c r="I2554" s="14" t="n">
        <v>1.1672</v>
      </c>
      <c r="J2554" s="14" t="n">
        <v>11.7105</v>
      </c>
      <c r="K2554" s="14" t="n">
        <v>1645.54</v>
      </c>
      <c r="L2554" s="14" t="n">
        <v>0.874</v>
      </c>
      <c r="M2554" s="14" t="n">
        <v>8.3308</v>
      </c>
      <c r="N2554" s="14" t="n">
        <v>6.2552</v>
      </c>
      <c r="O2554" s="14" t="n">
        <v>174.79</v>
      </c>
      <c r="P2554" s="14" t="n">
        <v>10.033</v>
      </c>
    </row>
    <row r="2555" customFormat="false" ht="15" hidden="false" customHeight="false" outlineLevel="0" collapsed="false">
      <c r="A2555" s="13" t="n">
        <v>45929</v>
      </c>
      <c r="B2555" s="14" t="n">
        <v>1399.76</v>
      </c>
      <c r="C2555" s="14" t="n">
        <v>9.978</v>
      </c>
      <c r="D2555" s="14" t="n">
        <v>1.3433</v>
      </c>
      <c r="E2555" s="14" t="n">
        <v>1.173</v>
      </c>
      <c r="F2555" s="14" t="n">
        <v>7.1194</v>
      </c>
      <c r="G2555" s="14" t="n">
        <v>5.3254</v>
      </c>
      <c r="H2555" s="14" t="n">
        <v>148.57</v>
      </c>
      <c r="I2555" s="14" t="n">
        <v>1.1723</v>
      </c>
      <c r="J2555" s="14" t="n">
        <v>11.6775</v>
      </c>
      <c r="K2555" s="14" t="n">
        <v>1643.31</v>
      </c>
      <c r="L2555" s="14" t="n">
        <v>0.8723</v>
      </c>
      <c r="M2555" s="14" t="n">
        <v>8.3482</v>
      </c>
      <c r="N2555" s="14" t="n">
        <v>6.2515</v>
      </c>
      <c r="O2555" s="14" t="n">
        <v>174.38</v>
      </c>
      <c r="P2555" s="14" t="n">
        <v>9.9612</v>
      </c>
    </row>
    <row r="2556" customFormat="false" ht="15" hidden="false" customHeight="false" outlineLevel="0" collapsed="false">
      <c r="A2556" s="13" t="n">
        <v>45930</v>
      </c>
      <c r="B2556" s="14" t="n">
        <v>1404.63</v>
      </c>
      <c r="C2556" s="14" t="n">
        <v>9.9841</v>
      </c>
      <c r="D2556" s="14" t="n">
        <v>1.3443</v>
      </c>
      <c r="E2556" s="14" t="n">
        <v>1.1735</v>
      </c>
      <c r="F2556" s="14" t="n">
        <v>7.119</v>
      </c>
      <c r="G2556" s="14" t="n">
        <v>5.3269</v>
      </c>
      <c r="H2556" s="14" t="n">
        <v>147.97</v>
      </c>
      <c r="I2556" s="14" t="n">
        <v>1.1741</v>
      </c>
      <c r="J2556" s="14" t="n">
        <v>11.7265</v>
      </c>
      <c r="K2556" s="14" t="n">
        <v>1648.05</v>
      </c>
      <c r="L2556" s="14" t="n">
        <v>0.8734</v>
      </c>
      <c r="M2556" s="14" t="n">
        <v>8.3591</v>
      </c>
      <c r="N2556" s="14" t="n">
        <v>6.2432</v>
      </c>
      <c r="O2556" s="14" t="n">
        <v>173.76</v>
      </c>
      <c r="P2556" s="14" t="n">
        <v>9.9877</v>
      </c>
    </row>
    <row r="2557" customFormat="false" ht="15" hidden="false" customHeight="false" outlineLevel="0" collapsed="false">
      <c r="A2557" s="13" t="n">
        <v>45931</v>
      </c>
      <c r="B2557" s="14" t="n">
        <v>1402.45</v>
      </c>
      <c r="C2557" s="14" t="n">
        <v>9.9283</v>
      </c>
      <c r="D2557" s="14" t="n">
        <v>1.3474</v>
      </c>
      <c r="E2557" s="14" t="n">
        <v>1.1723</v>
      </c>
      <c r="F2557" s="14" t="n">
        <v>7.12</v>
      </c>
      <c r="G2557" s="14" t="n">
        <v>5.3343</v>
      </c>
      <c r="H2557" s="14" t="n">
        <v>147.16</v>
      </c>
      <c r="I2557" s="14" t="n">
        <v>1.1724</v>
      </c>
      <c r="J2557" s="14" t="n">
        <v>11.658</v>
      </c>
      <c r="K2557" s="14" t="n">
        <v>1647.52</v>
      </c>
      <c r="L2557" s="14" t="n">
        <v>0.8704</v>
      </c>
      <c r="M2557" s="14" t="n">
        <v>8.347</v>
      </c>
      <c r="N2557" s="14" t="n">
        <v>6.2264</v>
      </c>
      <c r="O2557" s="14" t="n">
        <v>172.47</v>
      </c>
      <c r="P2557" s="14" t="n">
        <v>9.9437</v>
      </c>
    </row>
    <row r="2558" customFormat="false" ht="15" hidden="false" customHeight="false" outlineLevel="0" collapsed="false">
      <c r="A2558" s="13" t="n">
        <v>45932</v>
      </c>
      <c r="B2558" s="14" t="n">
        <v>1406.72</v>
      </c>
      <c r="C2558" s="14" t="n">
        <v>10.0095</v>
      </c>
      <c r="D2558" s="14" t="n">
        <v>1.3423</v>
      </c>
      <c r="E2558" s="14" t="n">
        <v>1.1696</v>
      </c>
      <c r="F2558" s="14" t="n">
        <v>7.12</v>
      </c>
      <c r="G2558" s="14" t="n">
        <v>5.3658</v>
      </c>
      <c r="H2558" s="14" t="n">
        <v>147.35</v>
      </c>
      <c r="I2558" s="14" t="n">
        <v>1.1754</v>
      </c>
      <c r="J2558" s="14" t="n">
        <v>11.675</v>
      </c>
      <c r="K2558" s="14" t="n">
        <v>1647.21</v>
      </c>
      <c r="L2558" s="14" t="n">
        <v>0.8721</v>
      </c>
      <c r="M2558" s="14" t="n">
        <v>8.3683</v>
      </c>
      <c r="N2558" s="14" t="n">
        <v>6.2442</v>
      </c>
      <c r="O2558" s="14" t="n">
        <v>172.53</v>
      </c>
      <c r="P2558" s="14" t="n">
        <v>9.9328</v>
      </c>
    </row>
    <row r="2559" customFormat="false" ht="15" hidden="false" customHeight="false" outlineLevel="0" collapsed="false">
      <c r="A2559" s="13" t="n">
        <v>45933</v>
      </c>
      <c r="B2559" s="14" t="n">
        <v>1406.16</v>
      </c>
      <c r="C2559" s="14" t="n">
        <v>9.9297</v>
      </c>
      <c r="D2559" s="14" t="n">
        <v>1.3481</v>
      </c>
      <c r="E2559" s="14" t="n">
        <v>1.1747</v>
      </c>
      <c r="F2559" s="14" t="n">
        <v>7.12</v>
      </c>
      <c r="G2559" s="14" t="n">
        <v>5.3492</v>
      </c>
      <c r="H2559" s="14" t="n">
        <v>147.33</v>
      </c>
      <c r="I2559" s="14" t="n">
        <v>1.1734</v>
      </c>
      <c r="J2559" s="14" t="n">
        <v>11.6745</v>
      </c>
      <c r="K2559" s="14" t="n">
        <v>1649.29</v>
      </c>
      <c r="L2559" s="14" t="n">
        <v>0.8726</v>
      </c>
      <c r="M2559" s="14" t="n">
        <v>8.3541</v>
      </c>
      <c r="N2559" s="14" t="n">
        <v>6.2672</v>
      </c>
      <c r="O2559" s="14" t="n">
        <v>172.9</v>
      </c>
      <c r="P2559" s="14" t="n">
        <v>9.9493</v>
      </c>
    </row>
    <row r="2560" customFormat="false" ht="15" hidden="false" customHeight="false" outlineLevel="0" collapsed="false">
      <c r="A2560" s="13" t="n">
        <v>45936</v>
      </c>
      <c r="B2560" s="14" t="n">
        <v>1410.47</v>
      </c>
      <c r="C2560" s="14" t="n">
        <v>9.9193</v>
      </c>
      <c r="D2560" s="14" t="n">
        <v>1.3476</v>
      </c>
      <c r="E2560" s="14" t="n">
        <v>1.1707</v>
      </c>
      <c r="F2560" s="14" t="n">
        <v>7.12</v>
      </c>
      <c r="G2560" s="14" t="n">
        <v>5.315</v>
      </c>
      <c r="H2560" s="14" t="n">
        <v>150.02</v>
      </c>
      <c r="I2560" s="14" t="n">
        <v>1.1678</v>
      </c>
      <c r="J2560" s="14" t="n">
        <v>11.621</v>
      </c>
      <c r="K2560" s="14" t="n">
        <v>1649.2</v>
      </c>
      <c r="L2560" s="14" t="n">
        <v>0.8695</v>
      </c>
      <c r="M2560" s="14" t="n">
        <v>8.3142</v>
      </c>
      <c r="N2560" s="14" t="n">
        <v>6.2387</v>
      </c>
      <c r="O2560" s="14" t="n">
        <v>175.22</v>
      </c>
      <c r="P2560" s="14" t="n">
        <v>9.9512</v>
      </c>
    </row>
    <row r="2561" customFormat="false" ht="15" hidden="false" customHeight="false" outlineLevel="0" collapsed="false">
      <c r="A2561" s="13" t="n">
        <v>45937</v>
      </c>
      <c r="B2561" s="14" t="n">
        <v>1413.12</v>
      </c>
      <c r="C2561" s="14" t="n">
        <v>9.9593</v>
      </c>
      <c r="D2561" s="14" t="n">
        <v>1.3441</v>
      </c>
      <c r="E2561" s="14" t="n">
        <v>1.1674</v>
      </c>
      <c r="F2561" s="14" t="n">
        <v>7.12</v>
      </c>
      <c r="G2561" s="14" t="n">
        <v>5.342</v>
      </c>
      <c r="H2561" s="14" t="n">
        <v>151.17</v>
      </c>
      <c r="I2561" s="14" t="n">
        <v>1.1666</v>
      </c>
      <c r="J2561" s="14" t="n">
        <v>11.6025</v>
      </c>
      <c r="K2561" s="14" t="n">
        <v>1648.64</v>
      </c>
      <c r="L2561" s="14" t="n">
        <v>0.8703</v>
      </c>
      <c r="M2561" s="14" t="n">
        <v>8.3057</v>
      </c>
      <c r="N2561" s="14" t="n">
        <v>6.216</v>
      </c>
      <c r="O2561" s="14" t="n">
        <v>176.05</v>
      </c>
      <c r="P2561" s="14" t="n">
        <v>9.9456</v>
      </c>
    </row>
    <row r="2562" customFormat="false" ht="15" hidden="false" customHeight="false" outlineLevel="0" collapsed="false">
      <c r="A2562" s="13" t="n">
        <v>45938</v>
      </c>
      <c r="B2562" s="14" t="n">
        <v>1424.17</v>
      </c>
      <c r="C2562" s="14" t="n">
        <v>9.9875</v>
      </c>
      <c r="D2562" s="14" t="n">
        <v>1.339</v>
      </c>
      <c r="E2562" s="14" t="n">
        <v>1.1606</v>
      </c>
      <c r="F2562" s="14" t="n">
        <v>7.12</v>
      </c>
      <c r="G2562" s="14" t="n">
        <v>5.345</v>
      </c>
      <c r="H2562" s="14" t="n">
        <v>152.72</v>
      </c>
      <c r="I2562" s="14" t="n">
        <v>1.1627</v>
      </c>
      <c r="J2562" s="14" t="n">
        <v>11.6125</v>
      </c>
      <c r="K2562" s="14" t="n">
        <v>1656.07</v>
      </c>
      <c r="L2562" s="14" t="n">
        <v>0.8671</v>
      </c>
      <c r="M2562" s="14" t="n">
        <v>8.2779</v>
      </c>
      <c r="N2562" s="14" t="n">
        <v>6.2288</v>
      </c>
      <c r="O2562" s="14" t="n">
        <v>177.53</v>
      </c>
      <c r="P2562" s="14" t="n">
        <v>9.9875</v>
      </c>
    </row>
    <row r="2563" customFormat="false" ht="15" hidden="false" customHeight="false" outlineLevel="0" collapsed="false">
      <c r="A2563" s="13" t="n">
        <v>45939</v>
      </c>
      <c r="B2563" s="14" t="n">
        <v>1423.68</v>
      </c>
      <c r="C2563" s="14" t="n">
        <v>10.0708</v>
      </c>
      <c r="D2563" s="14" t="n">
        <v>1.3312</v>
      </c>
      <c r="E2563" s="14" t="n">
        <v>1.1559</v>
      </c>
      <c r="F2563" s="14" t="n">
        <v>7.1275</v>
      </c>
      <c r="G2563" s="14" t="n">
        <v>5.3639</v>
      </c>
      <c r="H2563" s="14" t="n">
        <v>153.05</v>
      </c>
      <c r="I2563" s="14" t="n">
        <v>1.1611</v>
      </c>
      <c r="J2563" s="14" t="n">
        <v>11.624</v>
      </c>
      <c r="K2563" s="14" t="n">
        <v>1647.8</v>
      </c>
      <c r="L2563" s="14" t="n">
        <v>0.8683</v>
      </c>
      <c r="M2563" s="14" t="n">
        <v>8.2698</v>
      </c>
      <c r="N2563" s="14" t="n">
        <v>6.1877</v>
      </c>
      <c r="O2563" s="14" t="n">
        <v>177.4</v>
      </c>
      <c r="P2563" s="14" t="n">
        <v>10.0112</v>
      </c>
    </row>
    <row r="2564" customFormat="false" ht="15" hidden="false" customHeight="false" outlineLevel="0" collapsed="false">
      <c r="A2564" s="13" t="n">
        <v>45940</v>
      </c>
      <c r="B2564" s="14" t="n">
        <v>1428.39</v>
      </c>
      <c r="C2564" s="14" t="n">
        <v>10.1161</v>
      </c>
      <c r="D2564" s="14" t="n">
        <v>1.3343</v>
      </c>
      <c r="E2564" s="14" t="n">
        <v>1.1613</v>
      </c>
      <c r="F2564" s="14" t="n">
        <v>7.134</v>
      </c>
      <c r="G2564" s="14" t="n">
        <v>5.4845</v>
      </c>
      <c r="H2564" s="14" t="n">
        <v>151.94</v>
      </c>
      <c r="I2564" s="14" t="n">
        <v>1.1568</v>
      </c>
      <c r="J2564" s="14" t="n">
        <v>11.6775</v>
      </c>
      <c r="K2564" s="14" t="n">
        <v>1643.85</v>
      </c>
      <c r="L2564" s="14" t="n">
        <v>0.8709</v>
      </c>
      <c r="M2564" s="14" t="n">
        <v>8.2397</v>
      </c>
      <c r="N2564" s="14" t="n">
        <v>6.2082</v>
      </c>
      <c r="O2564" s="14" t="n">
        <v>176.46</v>
      </c>
      <c r="P2564" s="14" t="n">
        <v>10.0947</v>
      </c>
    </row>
    <row r="2565" customFormat="false" ht="15" hidden="false" customHeight="false" outlineLevel="0" collapsed="false">
      <c r="A2565" s="13" t="n">
        <v>45943</v>
      </c>
      <c r="I2565" s="14" t="n">
        <v>1.1569</v>
      </c>
      <c r="J2565" s="14" t="n">
        <v>11.679</v>
      </c>
      <c r="K2565" s="14" t="n">
        <v>1651.59</v>
      </c>
      <c r="L2565" s="14" t="n">
        <v>0.8677</v>
      </c>
      <c r="M2565" s="14" t="n">
        <v>8.2511</v>
      </c>
      <c r="N2565" s="14" t="n">
        <v>6.3344</v>
      </c>
      <c r="O2565" s="14" t="n">
        <v>175.98</v>
      </c>
      <c r="P2565" s="14" t="n">
        <v>10.0951</v>
      </c>
    </row>
    <row r="2566" customFormat="false" ht="15" hidden="false" customHeight="false" outlineLevel="0" collapsed="false">
      <c r="A2566" s="13" t="n">
        <v>45944</v>
      </c>
      <c r="B2566" s="14" t="n">
        <v>1429.91</v>
      </c>
      <c r="C2566" s="14" t="n">
        <v>10.1592</v>
      </c>
      <c r="D2566" s="14" t="n">
        <v>1.3321</v>
      </c>
      <c r="E2566" s="14" t="n">
        <v>1.1608</v>
      </c>
      <c r="F2566" s="14" t="n">
        <v>7.1384</v>
      </c>
      <c r="G2566" s="14" t="n">
        <v>5.4795</v>
      </c>
      <c r="H2566" s="14" t="n">
        <v>151.77</v>
      </c>
      <c r="I2566" s="14" t="n">
        <v>1.1553</v>
      </c>
      <c r="J2566" s="14" t="n">
        <v>11.7725</v>
      </c>
      <c r="K2566" s="14" t="n">
        <v>1657.52</v>
      </c>
      <c r="L2566" s="14" t="n">
        <v>0.8712</v>
      </c>
      <c r="M2566" s="14" t="n">
        <v>8.2488</v>
      </c>
      <c r="N2566" s="14" t="n">
        <v>6.3536</v>
      </c>
      <c r="O2566" s="14" t="n">
        <v>175.72</v>
      </c>
      <c r="P2566" s="14" t="n">
        <v>10.19</v>
      </c>
    </row>
    <row r="2567" customFormat="false" ht="15" hidden="false" customHeight="false" outlineLevel="0" collapsed="false">
      <c r="A2567" s="13" t="n">
        <v>45945</v>
      </c>
      <c r="B2567" s="14" t="n">
        <v>1423.12</v>
      </c>
      <c r="C2567" s="14" t="n">
        <v>10.0986</v>
      </c>
      <c r="D2567" s="14" t="n">
        <v>1.3396</v>
      </c>
      <c r="E2567" s="14" t="n">
        <v>1.1638</v>
      </c>
      <c r="F2567" s="14" t="n">
        <v>7.1262</v>
      </c>
      <c r="G2567" s="14" t="n">
        <v>5.4426</v>
      </c>
      <c r="H2567" s="14" t="n">
        <v>151.21</v>
      </c>
      <c r="I2567" s="14" t="n">
        <v>1.1622</v>
      </c>
      <c r="J2567" s="14" t="n">
        <v>11.7225</v>
      </c>
      <c r="K2567" s="14" t="n">
        <v>1654.5</v>
      </c>
      <c r="L2567" s="14" t="n">
        <v>0.8705</v>
      </c>
      <c r="M2567" s="14" t="n">
        <v>8.2823</v>
      </c>
      <c r="N2567" s="14" t="n">
        <v>6.35</v>
      </c>
      <c r="O2567" s="14" t="n">
        <v>176.13</v>
      </c>
      <c r="P2567" s="14" t="n">
        <v>10.0865</v>
      </c>
    </row>
    <row r="2568" customFormat="false" ht="15" hidden="false" customHeight="false" outlineLevel="0" collapsed="false">
      <c r="A2568" s="13" t="n">
        <v>45946</v>
      </c>
      <c r="B2568" s="14" t="n">
        <v>1416.07</v>
      </c>
      <c r="C2568" s="14" t="n">
        <v>10.0638</v>
      </c>
      <c r="D2568" s="14" t="n">
        <v>1.3425</v>
      </c>
      <c r="E2568" s="14" t="n">
        <v>1.1665</v>
      </c>
      <c r="F2568" s="14" t="n">
        <v>7.123</v>
      </c>
      <c r="G2568" s="14" t="n">
        <v>5.4348</v>
      </c>
      <c r="H2568" s="14" t="n">
        <v>150.75</v>
      </c>
      <c r="I2568" s="14" t="n">
        <v>1.1649</v>
      </c>
      <c r="J2568" s="14" t="n">
        <v>11.734</v>
      </c>
      <c r="K2568" s="14" t="n">
        <v>1651.69</v>
      </c>
      <c r="L2568" s="14" t="n">
        <v>0.8676</v>
      </c>
      <c r="M2568" s="14" t="n">
        <v>8.3009</v>
      </c>
      <c r="N2568" s="14" t="n">
        <v>6.3464</v>
      </c>
      <c r="O2568" s="14" t="n">
        <v>176.23</v>
      </c>
      <c r="P2568" s="14" t="n">
        <v>10.073</v>
      </c>
    </row>
    <row r="2569" customFormat="false" ht="15" hidden="false" customHeight="false" outlineLevel="0" collapsed="false">
      <c r="A2569" s="13" t="n">
        <v>45947</v>
      </c>
      <c r="B2569" s="14" t="n">
        <v>1421.89</v>
      </c>
      <c r="C2569" s="14" t="n">
        <v>10.0608</v>
      </c>
      <c r="D2569" s="14" t="n">
        <v>1.3425</v>
      </c>
      <c r="E2569" s="14" t="n">
        <v>1.1674</v>
      </c>
      <c r="F2569" s="14" t="n">
        <v>7.1264</v>
      </c>
      <c r="G2569" s="14" t="n">
        <v>5.4178</v>
      </c>
      <c r="H2569" s="14" t="n">
        <v>150.33</v>
      </c>
      <c r="I2569" s="14" t="n">
        <v>1.1681</v>
      </c>
      <c r="J2569" s="14" t="n">
        <v>11.7293</v>
      </c>
      <c r="K2569" s="14" t="n">
        <v>1659.38</v>
      </c>
      <c r="L2569" s="14" t="n">
        <v>0.8695</v>
      </c>
      <c r="M2569" s="14" t="n">
        <v>8.3196</v>
      </c>
      <c r="N2569" s="14" t="n">
        <v>6.3457</v>
      </c>
      <c r="O2569" s="14" t="n">
        <v>175.7</v>
      </c>
      <c r="P2569" s="14" t="n">
        <v>10.0413</v>
      </c>
    </row>
    <row r="2570" customFormat="false" ht="15" hidden="false" customHeight="false" outlineLevel="0" collapsed="false">
      <c r="A2570" s="13" t="n">
        <v>45950</v>
      </c>
      <c r="B2570" s="14" t="n">
        <v>1420.39</v>
      </c>
      <c r="C2570" s="14" t="n">
        <v>10.0427</v>
      </c>
      <c r="D2570" s="14" t="n">
        <v>1.342</v>
      </c>
      <c r="E2570" s="14" t="n">
        <v>1.1656</v>
      </c>
      <c r="F2570" s="14" t="n">
        <v>7.1195</v>
      </c>
      <c r="G2570" s="14" t="n">
        <v>5.3708</v>
      </c>
      <c r="H2570" s="14" t="n">
        <v>150.59</v>
      </c>
      <c r="I2570" s="14" t="n">
        <v>1.1655</v>
      </c>
      <c r="J2570" s="14" t="n">
        <v>11.7415</v>
      </c>
      <c r="K2570" s="14" t="n">
        <v>1659.14</v>
      </c>
      <c r="L2570" s="14" t="n">
        <v>0.8691</v>
      </c>
      <c r="M2570" s="14" t="n">
        <v>8.3024</v>
      </c>
      <c r="N2570" s="14" t="n">
        <v>6.3012</v>
      </c>
      <c r="O2570" s="14" t="n">
        <v>175.71</v>
      </c>
      <c r="P2570" s="14" t="n">
        <v>10.0742</v>
      </c>
    </row>
    <row r="2571" customFormat="false" ht="15" hidden="false" customHeight="false" outlineLevel="0" collapsed="false">
      <c r="A2571" s="13" t="n">
        <v>45951</v>
      </c>
      <c r="B2571" s="14" t="n">
        <v>1430.58</v>
      </c>
      <c r="C2571" s="14" t="n">
        <v>10.0433</v>
      </c>
      <c r="D2571" s="14" t="n">
        <v>1.3391</v>
      </c>
      <c r="E2571" s="14" t="n">
        <v>1.1616</v>
      </c>
      <c r="F2571" s="14" t="n">
        <v>7.1218</v>
      </c>
      <c r="G2571" s="14" t="n">
        <v>5.3722</v>
      </c>
      <c r="H2571" s="14" t="n">
        <v>151.72</v>
      </c>
      <c r="I2571" s="14" t="n">
        <v>1.1607</v>
      </c>
      <c r="J2571" s="14" t="n">
        <v>11.6693</v>
      </c>
      <c r="K2571" s="14" t="n">
        <v>1660.38</v>
      </c>
      <c r="L2571" s="14" t="n">
        <v>0.8678</v>
      </c>
      <c r="M2571" s="14" t="n">
        <v>8.2626</v>
      </c>
      <c r="N2571" s="14" t="n">
        <v>6.2526</v>
      </c>
      <c r="O2571" s="14" t="n">
        <v>176.45</v>
      </c>
      <c r="P2571" s="14" t="n">
        <v>10.0537</v>
      </c>
    </row>
    <row r="2572" customFormat="false" ht="15" hidden="false" customHeight="false" outlineLevel="0" collapsed="false">
      <c r="A2572" s="13" t="n">
        <v>45952</v>
      </c>
      <c r="B2572" s="14" t="n">
        <v>1429.94</v>
      </c>
      <c r="C2572" s="14" t="n">
        <v>10.0117</v>
      </c>
      <c r="D2572" s="14" t="n">
        <v>1.3372</v>
      </c>
      <c r="E2572" s="14" t="n">
        <v>1.1612</v>
      </c>
      <c r="F2572" s="14" t="n">
        <v>7.1257</v>
      </c>
      <c r="G2572" s="14" t="n">
        <v>5.3919</v>
      </c>
      <c r="H2572" s="14" t="n">
        <v>151.79</v>
      </c>
      <c r="I2572" s="14" t="n">
        <v>1.1587</v>
      </c>
      <c r="J2572" s="14" t="n">
        <v>11.643</v>
      </c>
      <c r="K2572" s="14" t="n">
        <v>1660.02</v>
      </c>
      <c r="L2572" s="14" t="n">
        <v>0.8689</v>
      </c>
      <c r="M2572" s="14" t="n">
        <v>8.2576</v>
      </c>
      <c r="N2572" s="14" t="n">
        <v>6.2411</v>
      </c>
      <c r="O2572" s="14" t="n">
        <v>175.92</v>
      </c>
      <c r="P2572" s="14" t="n">
        <v>10.0483</v>
      </c>
    </row>
    <row r="2573" customFormat="false" ht="15" hidden="false" customHeight="false" outlineLevel="0" collapsed="false">
      <c r="A2573" s="13" t="n">
        <v>45953</v>
      </c>
      <c r="B2573" s="14" t="n">
        <v>1437.25</v>
      </c>
      <c r="C2573" s="14" t="n">
        <v>9.9809</v>
      </c>
      <c r="D2573" s="14" t="n">
        <v>1.3323</v>
      </c>
      <c r="E2573" s="14" t="n">
        <v>1.1612</v>
      </c>
      <c r="F2573" s="14" t="n">
        <v>7.1221</v>
      </c>
      <c r="G2573" s="14" t="n">
        <v>5.3837</v>
      </c>
      <c r="H2573" s="14" t="n">
        <v>152.72</v>
      </c>
      <c r="I2573" s="14" t="n">
        <v>1.1593</v>
      </c>
      <c r="J2573" s="14" t="n">
        <v>11.5829</v>
      </c>
      <c r="K2573" s="14" t="n">
        <v>1669.89</v>
      </c>
      <c r="L2573" s="14" t="n">
        <v>0.8691</v>
      </c>
      <c r="M2573" s="14" t="n">
        <v>8.2593</v>
      </c>
      <c r="N2573" s="14" t="n">
        <v>6.2434</v>
      </c>
      <c r="O2573" s="14" t="n">
        <v>176.94</v>
      </c>
      <c r="P2573" s="14" t="n">
        <v>9.9913</v>
      </c>
    </row>
    <row r="2574" customFormat="false" ht="15" hidden="false" customHeight="false" outlineLevel="0" collapsed="false">
      <c r="A2574" s="13" t="n">
        <v>45954</v>
      </c>
      <c r="B2574" s="14" t="n">
        <v>1438.35</v>
      </c>
      <c r="C2574" s="14" t="n">
        <v>10.009</v>
      </c>
      <c r="D2574" s="14" t="n">
        <v>1.3298</v>
      </c>
      <c r="E2574" s="14" t="n">
        <v>1.1626</v>
      </c>
      <c r="F2574" s="14" t="n">
        <v>7.1211</v>
      </c>
      <c r="G2574" s="14" t="n">
        <v>5.3822</v>
      </c>
      <c r="H2574" s="14" t="n">
        <v>152.82</v>
      </c>
      <c r="I2574" s="14" t="n">
        <v>1.1612</v>
      </c>
      <c r="J2574" s="14" t="n">
        <v>11.6185</v>
      </c>
      <c r="K2574" s="14" t="n">
        <v>1671.49</v>
      </c>
      <c r="L2574" s="14" t="n">
        <v>0.8726</v>
      </c>
      <c r="M2574" s="14" t="n">
        <v>8.2706</v>
      </c>
      <c r="N2574" s="14" t="n">
        <v>6.257</v>
      </c>
      <c r="O2574" s="14" t="n">
        <v>177.55</v>
      </c>
      <c r="P2574" s="14" t="n">
        <v>10.0056</v>
      </c>
    </row>
    <row r="2575" customFormat="false" ht="15" hidden="false" customHeight="false" outlineLevel="0" collapsed="false">
      <c r="A2575" s="13" t="n">
        <v>45957</v>
      </c>
      <c r="B2575" s="14" t="n">
        <v>1432.72</v>
      </c>
      <c r="C2575" s="14" t="n">
        <v>9.9852</v>
      </c>
      <c r="D2575" s="14" t="n">
        <v>1.3331</v>
      </c>
      <c r="E2575" s="14" t="n">
        <v>1.1636</v>
      </c>
      <c r="F2575" s="14" t="n">
        <v>7.1102</v>
      </c>
      <c r="G2575" s="14" t="n">
        <v>5.3763</v>
      </c>
      <c r="H2575" s="14" t="n">
        <v>153.09</v>
      </c>
      <c r="I2575" s="14" t="n">
        <v>1.164</v>
      </c>
      <c r="J2575" s="14" t="n">
        <v>11.632</v>
      </c>
      <c r="K2575" s="14" t="n">
        <v>1667.22</v>
      </c>
      <c r="L2575" s="14" t="n">
        <v>0.8721</v>
      </c>
      <c r="M2575" s="14" t="n">
        <v>8.2731</v>
      </c>
      <c r="N2575" s="14" t="n">
        <v>6.2477</v>
      </c>
      <c r="O2575" s="14" t="n">
        <v>177.93</v>
      </c>
      <c r="P2575" s="14" t="n">
        <v>9.9931</v>
      </c>
    </row>
    <row r="2576" customFormat="false" ht="15" hidden="false" customHeight="false" outlineLevel="0" collapsed="false">
      <c r="A2576" s="13" t="n">
        <v>45958</v>
      </c>
      <c r="B2576" s="14" t="n">
        <v>1432.72</v>
      </c>
      <c r="C2576" s="14" t="n">
        <v>9.9657</v>
      </c>
      <c r="D2576" s="14" t="n">
        <v>1.328</v>
      </c>
      <c r="E2576" s="14" t="n">
        <v>1.1659</v>
      </c>
      <c r="F2576" s="14" t="n">
        <v>7.0988</v>
      </c>
      <c r="G2576" s="14" t="n">
        <v>5.3629</v>
      </c>
      <c r="H2576" s="14" t="n">
        <v>152.14</v>
      </c>
      <c r="I2576" s="14" t="n">
        <v>1.163</v>
      </c>
      <c r="J2576" s="14" t="n">
        <v>11.6335</v>
      </c>
      <c r="K2576" s="14" t="n">
        <v>1670.51</v>
      </c>
      <c r="L2576" s="14" t="n">
        <v>0.876</v>
      </c>
      <c r="M2576" s="14" t="n">
        <v>8.2589</v>
      </c>
      <c r="N2576" s="14" t="n">
        <v>6.2534</v>
      </c>
      <c r="O2576" s="14" t="n">
        <v>177.11</v>
      </c>
      <c r="P2576" s="14" t="n">
        <v>10.003</v>
      </c>
    </row>
    <row r="2577" customFormat="false" ht="15" hidden="false" customHeight="false" outlineLevel="0" collapsed="false">
      <c r="A2577" s="13" t="n">
        <v>45959</v>
      </c>
      <c r="B2577" s="14" t="n">
        <v>1420.83</v>
      </c>
      <c r="C2577" s="14" t="n">
        <v>9.9592</v>
      </c>
      <c r="D2577" s="14" t="n">
        <v>1.3243</v>
      </c>
      <c r="E2577" s="14" t="n">
        <v>1.1664</v>
      </c>
      <c r="F2577" s="14" t="n">
        <v>7.098</v>
      </c>
      <c r="G2577" s="14" t="n">
        <v>5.3452</v>
      </c>
      <c r="H2577" s="14" t="n">
        <v>151.91</v>
      </c>
      <c r="I2577" s="14" t="n">
        <v>1.1636</v>
      </c>
      <c r="J2577" s="14" t="n">
        <v>11.6385</v>
      </c>
      <c r="K2577" s="14" t="n">
        <v>1655.74</v>
      </c>
      <c r="L2577" s="14" t="n">
        <v>0.8807</v>
      </c>
      <c r="M2577" s="14" t="n">
        <v>8.2609</v>
      </c>
      <c r="N2577" s="14" t="n">
        <v>6.222</v>
      </c>
      <c r="O2577" s="14" t="n">
        <v>177.07</v>
      </c>
      <c r="P2577" s="14" t="n">
        <v>10.0021</v>
      </c>
    </row>
    <row r="2578" customFormat="false" ht="15" hidden="false" customHeight="false" outlineLevel="0" collapsed="false">
      <c r="A2578" s="13" t="n">
        <v>45960</v>
      </c>
      <c r="B2578" s="14" t="n">
        <v>1430.45</v>
      </c>
      <c r="C2578" s="14" t="n">
        <v>10.0504</v>
      </c>
      <c r="D2578" s="14" t="n">
        <v>1.3147</v>
      </c>
      <c r="E2578" s="14" t="n">
        <v>1.1564</v>
      </c>
      <c r="F2578" s="14" t="n">
        <v>7.1097</v>
      </c>
      <c r="G2578" s="14" t="n">
        <v>5.384</v>
      </c>
      <c r="H2578" s="14" t="n">
        <v>154.17</v>
      </c>
      <c r="I2578" s="14" t="n">
        <v>1.155</v>
      </c>
      <c r="J2578" s="14" t="n">
        <v>11.6648</v>
      </c>
      <c r="K2578" s="14" t="n">
        <v>1657.41</v>
      </c>
      <c r="L2578" s="14" t="n">
        <v>0.8801</v>
      </c>
      <c r="M2578" s="14" t="n">
        <v>8.217</v>
      </c>
      <c r="N2578" s="14" t="n">
        <v>6.2288</v>
      </c>
      <c r="O2578" s="14" t="n">
        <v>178.37</v>
      </c>
      <c r="P2578" s="14" t="n">
        <v>10.0994</v>
      </c>
    </row>
    <row r="2579" customFormat="false" ht="15" hidden="false" customHeight="false" outlineLevel="0" collapsed="false">
      <c r="A2579" s="13" t="n">
        <v>45961</v>
      </c>
      <c r="B2579" s="14" t="n">
        <v>1428.37</v>
      </c>
      <c r="C2579" s="14" t="n">
        <v>10.1175</v>
      </c>
      <c r="D2579" s="14" t="n">
        <v>1.3141</v>
      </c>
      <c r="E2579" s="14" t="n">
        <v>1.1541</v>
      </c>
      <c r="F2579" s="14" t="n">
        <v>7.1169</v>
      </c>
      <c r="G2579" s="14" t="n">
        <v>5.3858</v>
      </c>
      <c r="H2579" s="14" t="n">
        <v>154.05</v>
      </c>
      <c r="I2579" s="14" t="n">
        <v>1.1554</v>
      </c>
      <c r="J2579" s="14" t="n">
        <v>11.6485</v>
      </c>
      <c r="K2579" s="14" t="n">
        <v>1650.07</v>
      </c>
      <c r="L2579" s="14" t="n">
        <v>0.8816</v>
      </c>
      <c r="M2579" s="14" t="n">
        <v>8.222</v>
      </c>
      <c r="N2579" s="14" t="n">
        <v>6.2171</v>
      </c>
      <c r="O2579" s="14" t="n">
        <v>178.14</v>
      </c>
      <c r="P2579" s="14" t="n">
        <v>10.0818</v>
      </c>
    </row>
    <row r="2580" customFormat="false" ht="15" hidden="false" customHeight="false" outlineLevel="0" collapsed="false">
      <c r="A2580" s="13" t="n">
        <v>45964</v>
      </c>
      <c r="B2580" s="14" t="n">
        <v>1430.65</v>
      </c>
      <c r="C2580" s="14" t="n">
        <v>10.1149</v>
      </c>
      <c r="D2580" s="14" t="n">
        <v>1.315</v>
      </c>
      <c r="E2580" s="14" t="n">
        <v>1.1531</v>
      </c>
      <c r="F2580" s="14" t="n">
        <v>7.1222</v>
      </c>
      <c r="G2580" s="14" t="n">
        <v>5.3608</v>
      </c>
      <c r="H2580" s="14" t="n">
        <v>154.13</v>
      </c>
      <c r="I2580" s="14" t="n">
        <v>1.1514</v>
      </c>
      <c r="J2580" s="14" t="n">
        <v>11.648</v>
      </c>
      <c r="K2580" s="14" t="n">
        <v>1646.53</v>
      </c>
      <c r="L2580" s="14" t="n">
        <v>0.8765</v>
      </c>
      <c r="M2580" s="14" t="n">
        <v>8.1987</v>
      </c>
      <c r="N2580" s="14" t="n">
        <v>6.1704</v>
      </c>
      <c r="O2580" s="14" t="n">
        <v>177.57</v>
      </c>
      <c r="P2580" s="14" t="n">
        <v>10.1164</v>
      </c>
    </row>
    <row r="2581" customFormat="false" ht="15" hidden="false" customHeight="false" outlineLevel="0" collapsed="false">
      <c r="A2581" s="13" t="n">
        <v>45965</v>
      </c>
      <c r="B2581" s="14" t="n">
        <v>1440.22</v>
      </c>
      <c r="C2581" s="14" t="n">
        <v>10.1961</v>
      </c>
      <c r="D2581" s="14" t="n">
        <v>1.3044</v>
      </c>
      <c r="E2581" s="14" t="n">
        <v>1.1491</v>
      </c>
      <c r="F2581" s="14" t="n">
        <v>7.1295</v>
      </c>
      <c r="G2581" s="14" t="n">
        <v>5.384</v>
      </c>
      <c r="H2581" s="14" t="n">
        <v>153.55</v>
      </c>
      <c r="I2581" s="14" t="n">
        <v>1.1491</v>
      </c>
      <c r="J2581" s="14" t="n">
        <v>11.7265</v>
      </c>
      <c r="K2581" s="14" t="n">
        <v>1653.78</v>
      </c>
      <c r="L2581" s="14" t="n">
        <v>0.8795</v>
      </c>
      <c r="M2581" s="14" t="n">
        <v>8.1877</v>
      </c>
      <c r="N2581" s="14" t="n">
        <v>6.1873</v>
      </c>
      <c r="O2581" s="14" t="n">
        <v>176.39</v>
      </c>
      <c r="P2581" s="14" t="n">
        <v>10.2049</v>
      </c>
    </row>
    <row r="2582" customFormat="false" ht="15" hidden="false" customHeight="false" outlineLevel="0" collapsed="false">
      <c r="A2582" s="13" t="n">
        <v>45966</v>
      </c>
      <c r="B2582" s="14" t="n">
        <v>1440.95</v>
      </c>
      <c r="C2582" s="14" t="n">
        <v>10.2103</v>
      </c>
      <c r="D2582" s="14" t="n">
        <v>1.3051</v>
      </c>
      <c r="E2582" s="14" t="n">
        <v>1.1485</v>
      </c>
      <c r="F2582" s="14" t="n">
        <v>7.126</v>
      </c>
      <c r="G2582" s="14" t="n">
        <v>5.3578</v>
      </c>
      <c r="H2582" s="14" t="n">
        <v>154.11</v>
      </c>
      <c r="I2582" s="14" t="n">
        <v>1.1492</v>
      </c>
      <c r="J2582" s="14" t="n">
        <v>11.749</v>
      </c>
      <c r="K2582" s="14" t="n">
        <v>1659.45</v>
      </c>
      <c r="L2582" s="14" t="n">
        <v>0.881</v>
      </c>
      <c r="M2582" s="14" t="n">
        <v>8.1905</v>
      </c>
      <c r="N2582" s="14" t="n">
        <v>6.2067</v>
      </c>
      <c r="O2582" s="14" t="n">
        <v>176.67</v>
      </c>
      <c r="P2582" s="14" t="n">
        <v>10.2236</v>
      </c>
    </row>
    <row r="2583" customFormat="false" ht="15" hidden="false" customHeight="false" outlineLevel="0" collapsed="false">
      <c r="A2583" s="13" t="n">
        <v>45967</v>
      </c>
      <c r="B2583" s="14" t="n">
        <v>1449.28</v>
      </c>
      <c r="C2583" s="14" t="n">
        <v>10.2215</v>
      </c>
      <c r="D2583" s="14" t="n">
        <v>1.3107</v>
      </c>
      <c r="E2583" s="14" t="n">
        <v>1.1539</v>
      </c>
      <c r="F2583" s="14" t="n">
        <v>7.1195</v>
      </c>
      <c r="G2583" s="14" t="n">
        <v>5.358</v>
      </c>
      <c r="H2583" s="14" t="n">
        <v>152.97</v>
      </c>
      <c r="I2583" s="14" t="n">
        <v>1.1533</v>
      </c>
      <c r="J2583" s="14" t="n">
        <v>11.7265</v>
      </c>
      <c r="K2583" s="14" t="n">
        <v>1667.4</v>
      </c>
      <c r="L2583" s="14" t="n">
        <v>0.8807</v>
      </c>
      <c r="M2583" s="14" t="n">
        <v>8.2109</v>
      </c>
      <c r="N2583" s="14" t="n">
        <v>6.1567</v>
      </c>
      <c r="O2583" s="14" t="n">
        <v>177.15</v>
      </c>
      <c r="P2583" s="14" t="n">
        <v>10.1678</v>
      </c>
    </row>
    <row r="2584" customFormat="false" ht="15" hidden="false" customHeight="false" outlineLevel="0" collapsed="false">
      <c r="A2584" s="13" t="n">
        <v>45968</v>
      </c>
      <c r="B2584" s="14" t="n">
        <v>1461.07</v>
      </c>
      <c r="C2584" s="14" t="n">
        <v>10.1519</v>
      </c>
      <c r="D2584" s="14" t="n">
        <v>1.3165</v>
      </c>
      <c r="E2584" s="14" t="n">
        <v>1.1578</v>
      </c>
      <c r="F2584" s="14" t="n">
        <v>7.1219</v>
      </c>
      <c r="G2584" s="14" t="n">
        <v>5.3432</v>
      </c>
      <c r="H2584" s="14" t="n">
        <v>153.06</v>
      </c>
      <c r="I2584" s="14" t="n">
        <v>1.1561</v>
      </c>
      <c r="J2584" s="14" t="n">
        <v>11.78</v>
      </c>
      <c r="K2584" s="14" t="n">
        <v>1687.49</v>
      </c>
      <c r="L2584" s="14" t="n">
        <v>0.8811</v>
      </c>
      <c r="M2584" s="14" t="n">
        <v>8.2324</v>
      </c>
      <c r="N2584" s="14" t="n">
        <v>6.2007</v>
      </c>
      <c r="O2584" s="14" t="n">
        <v>176.99</v>
      </c>
      <c r="P2584" s="14" t="n">
        <v>10.1894</v>
      </c>
    </row>
    <row r="2585" customFormat="false" ht="15" hidden="false" customHeight="false" outlineLevel="0" collapsed="false">
      <c r="A2585" s="13" t="n">
        <v>45971</v>
      </c>
      <c r="B2585" s="14" t="n">
        <v>1456.34</v>
      </c>
      <c r="C2585" s="14" t="n">
        <v>10.1395</v>
      </c>
      <c r="D2585" s="14" t="n">
        <v>1.3157</v>
      </c>
      <c r="E2585" s="14" t="n">
        <v>1.1545</v>
      </c>
      <c r="F2585" s="14" t="n">
        <v>7.1193</v>
      </c>
      <c r="G2585" s="14" t="n">
        <v>5.3184</v>
      </c>
      <c r="H2585" s="14" t="n">
        <v>153.99</v>
      </c>
      <c r="I2585" s="14" t="n">
        <v>1.1571</v>
      </c>
      <c r="J2585" s="14" t="n">
        <v>11.6885</v>
      </c>
      <c r="K2585" s="14" t="n">
        <v>1682.57</v>
      </c>
      <c r="L2585" s="14" t="n">
        <v>0.8778</v>
      </c>
      <c r="M2585" s="14" t="n">
        <v>8.2377</v>
      </c>
      <c r="N2585" s="14" t="n">
        <v>6.1488</v>
      </c>
      <c r="O2585" s="14" t="n">
        <v>178.31</v>
      </c>
      <c r="P2585" s="14" t="n">
        <v>10.1015</v>
      </c>
    </row>
    <row r="2586" customFormat="false" ht="15" hidden="false" customHeight="false" outlineLevel="0" collapsed="false">
      <c r="A2586" s="13" t="n">
        <v>45972</v>
      </c>
      <c r="I2586" s="14" t="n">
        <v>1.1575</v>
      </c>
      <c r="J2586" s="14" t="n">
        <v>11.6605</v>
      </c>
      <c r="K2586" s="14" t="n">
        <v>1695.85</v>
      </c>
      <c r="L2586" s="14" t="n">
        <v>0.8804</v>
      </c>
      <c r="M2586" s="14" t="n">
        <v>8.2397</v>
      </c>
      <c r="N2586" s="14" t="n">
        <v>6.1196</v>
      </c>
      <c r="O2586" s="14" t="n">
        <v>178.46</v>
      </c>
      <c r="P2586" s="14" t="n">
        <v>10.0739</v>
      </c>
    </row>
    <row r="2587" customFormat="false" ht="15" hidden="false" customHeight="false" outlineLevel="0" collapsed="false">
      <c r="A2587" s="13" t="n">
        <v>45973</v>
      </c>
      <c r="B2587" s="14" t="n">
        <v>1468.6</v>
      </c>
      <c r="C2587" s="14" t="n">
        <v>10.0817</v>
      </c>
      <c r="D2587" s="14" t="n">
        <v>1.3131</v>
      </c>
      <c r="E2587" s="14" t="n">
        <v>1.1592</v>
      </c>
      <c r="F2587" s="14" t="n">
        <v>7.112</v>
      </c>
      <c r="G2587" s="14" t="n">
        <v>5.2955</v>
      </c>
      <c r="H2587" s="14" t="n">
        <v>154.64</v>
      </c>
      <c r="I2587" s="14" t="n">
        <v>1.1576</v>
      </c>
      <c r="J2587" s="14" t="n">
        <v>11.6495</v>
      </c>
      <c r="K2587" s="14" t="n">
        <v>1696.9</v>
      </c>
      <c r="L2587" s="14" t="n">
        <v>0.8823</v>
      </c>
      <c r="M2587" s="14" t="n">
        <v>8.2381</v>
      </c>
      <c r="N2587" s="14" t="n">
        <v>6.0993</v>
      </c>
      <c r="O2587" s="14" t="n">
        <v>179.19</v>
      </c>
      <c r="P2587" s="14" t="n">
        <v>10.0635</v>
      </c>
    </row>
    <row r="2588" customFormat="false" ht="15" hidden="false" customHeight="false" outlineLevel="0" collapsed="false">
      <c r="A2588" s="13" t="n">
        <v>45974</v>
      </c>
      <c r="B2588" s="14" t="n">
        <v>1465.32</v>
      </c>
      <c r="C2588" s="14" t="n">
        <v>10.0014</v>
      </c>
      <c r="D2588" s="14" t="n">
        <v>1.3214</v>
      </c>
      <c r="E2588" s="14" t="n">
        <v>1.1649</v>
      </c>
      <c r="F2588" s="14" t="n">
        <v>7.095</v>
      </c>
      <c r="G2588" s="14" t="n">
        <v>5.2858</v>
      </c>
      <c r="H2588" s="14" t="n">
        <v>154.4</v>
      </c>
      <c r="I2588" s="14" t="n">
        <v>1.1619</v>
      </c>
      <c r="J2588" s="14" t="n">
        <v>11.674</v>
      </c>
      <c r="K2588" s="14" t="n">
        <v>1700.42</v>
      </c>
      <c r="L2588" s="14" t="n">
        <v>0.8819</v>
      </c>
      <c r="M2588" s="14" t="n">
        <v>8.245</v>
      </c>
      <c r="N2588" s="14" t="n">
        <v>6.1383</v>
      </c>
      <c r="O2588" s="14" t="n">
        <v>179.57</v>
      </c>
      <c r="P2588" s="14" t="n">
        <v>10.0473</v>
      </c>
    </row>
    <row r="2589" customFormat="false" ht="15" hidden="false" customHeight="false" outlineLevel="0" collapsed="false">
      <c r="A2589" s="13" t="n">
        <v>45975</v>
      </c>
      <c r="B2589" s="14" t="n">
        <v>1453.2</v>
      </c>
      <c r="C2589" s="14" t="n">
        <v>10.0932</v>
      </c>
      <c r="D2589" s="14" t="n">
        <v>1.3156</v>
      </c>
      <c r="E2589" s="14" t="n">
        <v>1.1617</v>
      </c>
      <c r="F2589" s="14" t="n">
        <v>7.0992</v>
      </c>
      <c r="G2589" s="14" t="n">
        <v>5.2865</v>
      </c>
      <c r="H2589" s="14" t="n">
        <v>154.64</v>
      </c>
      <c r="I2589" s="14" t="n">
        <v>1.1648</v>
      </c>
      <c r="J2589" s="14" t="n">
        <v>11.7285</v>
      </c>
      <c r="K2589" s="14" t="n">
        <v>1690.71</v>
      </c>
      <c r="L2589" s="14" t="n">
        <v>0.8846</v>
      </c>
      <c r="M2589" s="14" t="n">
        <v>8.2655</v>
      </c>
      <c r="N2589" s="14" t="n">
        <v>6.1764</v>
      </c>
      <c r="O2589" s="14" t="n">
        <v>179.22</v>
      </c>
      <c r="P2589" s="14" t="n">
        <v>10.0691</v>
      </c>
    </row>
    <row r="2590" customFormat="false" ht="15" hidden="false" customHeight="false" outlineLevel="0" collapsed="false">
      <c r="A2590" s="13" t="n">
        <v>45978</v>
      </c>
      <c r="B2590" s="14" t="n">
        <v>1459.71</v>
      </c>
      <c r="C2590" s="14" t="n">
        <v>10.0799</v>
      </c>
      <c r="D2590" s="14" t="n">
        <v>1.3179</v>
      </c>
      <c r="E2590" s="14" t="n">
        <v>1.1598</v>
      </c>
      <c r="F2590" s="14" t="n">
        <v>7.1075</v>
      </c>
      <c r="G2590" s="14" t="n">
        <v>5.3066</v>
      </c>
      <c r="H2590" s="14" t="n">
        <v>155.2</v>
      </c>
      <c r="I2590" s="14" t="n">
        <v>1.1593</v>
      </c>
      <c r="J2590" s="14" t="n">
        <v>11.7005</v>
      </c>
      <c r="K2590" s="14" t="n">
        <v>1694.27</v>
      </c>
      <c r="L2590" s="14" t="n">
        <v>0.8795</v>
      </c>
      <c r="M2590" s="14" t="n">
        <v>8.2398</v>
      </c>
      <c r="N2590" s="14" t="n">
        <v>6.1493</v>
      </c>
      <c r="O2590" s="14" t="n">
        <v>179.57</v>
      </c>
      <c r="P2590" s="14" t="n">
        <v>10.0927</v>
      </c>
    </row>
    <row r="2591" customFormat="false" ht="15" hidden="false" customHeight="false" outlineLevel="0" collapsed="false">
      <c r="A2591" s="13" t="n">
        <v>45979</v>
      </c>
      <c r="B2591" s="14" t="n">
        <v>1461.3</v>
      </c>
      <c r="C2591" s="14" t="n">
        <v>10.1167</v>
      </c>
      <c r="D2591" s="14" t="n">
        <v>1.3152</v>
      </c>
      <c r="E2591" s="14" t="n">
        <v>1.1579</v>
      </c>
      <c r="F2591" s="14" t="n">
        <v>7.1074</v>
      </c>
      <c r="G2591" s="14" t="n">
        <v>5.3203</v>
      </c>
      <c r="H2591" s="14" t="n">
        <v>155.44</v>
      </c>
      <c r="I2591" s="14" t="n">
        <v>1.159</v>
      </c>
      <c r="J2591" s="14" t="n">
        <v>11.7333</v>
      </c>
      <c r="K2591" s="14" t="n">
        <v>1695.61</v>
      </c>
      <c r="L2591" s="14" t="n">
        <v>0.8821</v>
      </c>
      <c r="M2591" s="14" t="n">
        <v>8.241</v>
      </c>
      <c r="N2591" s="14" t="n">
        <v>6.1893</v>
      </c>
      <c r="O2591" s="14" t="n">
        <v>179.94</v>
      </c>
      <c r="P2591" s="14" t="n">
        <v>10.1236</v>
      </c>
    </row>
    <row r="2592" customFormat="false" ht="15" hidden="false" customHeight="false" outlineLevel="0" collapsed="false">
      <c r="A2592" s="13" t="n">
        <v>45980</v>
      </c>
      <c r="B2592" s="14" t="n">
        <v>1467.69</v>
      </c>
      <c r="C2592" s="14" t="n">
        <v>10.185</v>
      </c>
      <c r="D2592" s="14" t="n">
        <v>1.3077</v>
      </c>
      <c r="E2592" s="14" t="n">
        <v>1.154</v>
      </c>
      <c r="F2592" s="14" t="n">
        <v>7.1106</v>
      </c>
      <c r="G2592" s="14" t="n">
        <v>5.3366</v>
      </c>
      <c r="H2592" s="14" t="n">
        <v>156.63</v>
      </c>
      <c r="I2592" s="14" t="n">
        <v>1.1583</v>
      </c>
      <c r="J2592" s="14" t="n">
        <v>11.748</v>
      </c>
      <c r="K2592" s="14" t="n">
        <v>1698.08</v>
      </c>
      <c r="L2592" s="14" t="n">
        <v>0.8827</v>
      </c>
      <c r="M2592" s="14" t="n">
        <v>8.2359</v>
      </c>
      <c r="N2592" s="14" t="n">
        <v>6.18</v>
      </c>
      <c r="O2592" s="14" t="n">
        <v>180.85</v>
      </c>
      <c r="P2592" s="14" t="n">
        <v>10.1425</v>
      </c>
    </row>
    <row r="2593" customFormat="false" ht="15" hidden="false" customHeight="false" outlineLevel="0" collapsed="false">
      <c r="A2593" s="13" t="n">
        <v>45981</v>
      </c>
      <c r="B2593" s="14" t="n">
        <v>1472.65</v>
      </c>
      <c r="C2593" s="14" t="n">
        <v>10.2071</v>
      </c>
      <c r="D2593" s="14" t="n">
        <v>1.3079</v>
      </c>
      <c r="E2593" s="14" t="n">
        <v>1.1534</v>
      </c>
      <c r="F2593" s="14" t="n">
        <v>7.1098</v>
      </c>
      <c r="G2593" s="14" t="n">
        <v>5.3297</v>
      </c>
      <c r="H2593" s="14" t="n">
        <v>157.41</v>
      </c>
      <c r="I2593" s="14" t="n">
        <v>1.1514</v>
      </c>
      <c r="J2593" s="14" t="n">
        <v>11.7405</v>
      </c>
      <c r="K2593" s="14" t="n">
        <v>1691.81</v>
      </c>
      <c r="L2593" s="14" t="n">
        <v>0.8815</v>
      </c>
      <c r="M2593" s="14" t="n">
        <v>8.1908</v>
      </c>
      <c r="N2593" s="14" t="n">
        <v>6.1382</v>
      </c>
      <c r="O2593" s="14" t="n">
        <v>181.47</v>
      </c>
      <c r="P2593" s="14" t="n">
        <v>10.1967</v>
      </c>
    </row>
    <row r="2594" customFormat="false" ht="15" hidden="false" customHeight="false" outlineLevel="0" collapsed="false">
      <c r="A2594" s="13" t="n">
        <v>45982</v>
      </c>
      <c r="B2594" s="14" t="n">
        <v>1470.84</v>
      </c>
      <c r="C2594" s="14" t="n">
        <v>10.2532</v>
      </c>
      <c r="D2594" s="14" t="n">
        <v>1.31</v>
      </c>
      <c r="E2594" s="14" t="n">
        <v>1.1506</v>
      </c>
      <c r="F2594" s="14" t="n">
        <v>7.1066</v>
      </c>
      <c r="G2594" s="14" t="n">
        <v>5.389</v>
      </c>
      <c r="H2594" s="14" t="n">
        <v>156.58</v>
      </c>
      <c r="I2594" s="14" t="n">
        <v>1.152</v>
      </c>
      <c r="J2594" s="14" t="n">
        <v>11.794</v>
      </c>
      <c r="K2594" s="14" t="n">
        <v>1698.38</v>
      </c>
      <c r="L2594" s="14" t="n">
        <v>0.8803</v>
      </c>
      <c r="M2594" s="14" t="n">
        <v>8.1905</v>
      </c>
      <c r="N2594" s="14" t="n">
        <v>6.1879</v>
      </c>
      <c r="O2594" s="14" t="n">
        <v>180.56</v>
      </c>
      <c r="P2594" s="14" t="n">
        <v>10.2378</v>
      </c>
    </row>
    <row r="2595" customFormat="false" ht="15" hidden="false" customHeight="false" outlineLevel="0" collapsed="false">
      <c r="A2595" s="13" t="n">
        <v>45985</v>
      </c>
      <c r="B2595" s="14" t="n">
        <v>1475.94</v>
      </c>
      <c r="C2595" s="14" t="n">
        <v>10.2378</v>
      </c>
      <c r="D2595" s="14" t="n">
        <v>1.3096</v>
      </c>
      <c r="E2595" s="14" t="n">
        <v>1.1518</v>
      </c>
      <c r="F2595" s="14" t="n">
        <v>7.102</v>
      </c>
      <c r="G2595" s="14" t="n">
        <v>5.395</v>
      </c>
      <c r="H2595" s="14" t="n">
        <v>156.94</v>
      </c>
      <c r="I2595" s="14" t="n">
        <v>1.1544</v>
      </c>
      <c r="J2595" s="14" t="n">
        <v>11.7945</v>
      </c>
      <c r="K2595" s="14" t="n">
        <v>1700.74</v>
      </c>
      <c r="L2595" s="14" t="n">
        <v>0.8804</v>
      </c>
      <c r="M2595" s="14" t="n">
        <v>8.1833</v>
      </c>
      <c r="N2595" s="14" t="n">
        <v>6.2137</v>
      </c>
      <c r="O2595" s="14" t="n">
        <v>181.22</v>
      </c>
      <c r="P2595" s="14" t="n">
        <v>10.217</v>
      </c>
    </row>
    <row r="2596" customFormat="false" ht="15" hidden="false" customHeight="false" outlineLevel="0" collapsed="false">
      <c r="A2596" s="13" t="n">
        <v>45986</v>
      </c>
      <c r="B2596" s="14" t="n">
        <v>1468.02</v>
      </c>
      <c r="C2596" s="14" t="n">
        <v>10.2466</v>
      </c>
      <c r="D2596" s="14" t="n">
        <v>1.3174</v>
      </c>
      <c r="E2596" s="14" t="n">
        <v>1.1553</v>
      </c>
      <c r="F2596" s="14" t="n">
        <v>7.0845</v>
      </c>
      <c r="G2596" s="14" t="n">
        <v>5.39</v>
      </c>
      <c r="H2596" s="14" t="n">
        <v>156.3</v>
      </c>
      <c r="I2596" s="14" t="n">
        <v>1.1551</v>
      </c>
      <c r="J2596" s="14" t="n">
        <v>11.848</v>
      </c>
      <c r="K2596" s="14" t="n">
        <v>1692.08</v>
      </c>
      <c r="L2596" s="14" t="n">
        <v>0.8788</v>
      </c>
      <c r="M2596" s="14" t="n">
        <v>8.1845</v>
      </c>
      <c r="N2596" s="14" t="n">
        <v>6.1977</v>
      </c>
      <c r="O2596" s="14" t="n">
        <v>180.42</v>
      </c>
      <c r="P2596" s="14" t="n">
        <v>10.2571</v>
      </c>
    </row>
    <row r="2597" customFormat="false" ht="15" hidden="false" customHeight="false" outlineLevel="0" collapsed="false">
      <c r="A2597" s="13" t="n">
        <v>45987</v>
      </c>
      <c r="B2597" s="14" t="n">
        <v>1468.39</v>
      </c>
      <c r="C2597" s="14" t="n">
        <v>10.1981</v>
      </c>
      <c r="D2597" s="14" t="n">
        <v>1.3228</v>
      </c>
      <c r="E2597" s="14" t="n">
        <v>1.1591</v>
      </c>
      <c r="F2597" s="14" t="n">
        <v>7.0758</v>
      </c>
      <c r="G2597" s="14" t="n">
        <v>5.3496</v>
      </c>
      <c r="H2597" s="14" t="n">
        <v>156.38</v>
      </c>
      <c r="I2597" s="14" t="n">
        <v>1.1577</v>
      </c>
      <c r="J2597" s="14" t="n">
        <v>11.8468</v>
      </c>
      <c r="K2597" s="14" t="n">
        <v>1706.8</v>
      </c>
      <c r="L2597" s="14" t="n">
        <v>0.8776</v>
      </c>
      <c r="M2597" s="14" t="n">
        <v>8.1959</v>
      </c>
      <c r="N2597" s="14" t="n">
        <v>6.2242</v>
      </c>
      <c r="O2597" s="14" t="n">
        <v>181.09</v>
      </c>
      <c r="P2597" s="14" t="n">
        <v>10.233</v>
      </c>
    </row>
    <row r="2598" customFormat="false" ht="15" hidden="false" customHeight="false" outlineLevel="0" collapsed="false">
      <c r="A2598" s="13" t="n">
        <v>45988</v>
      </c>
      <c r="I2598" s="14" t="n">
        <v>1.1586</v>
      </c>
      <c r="J2598" s="14" t="n">
        <v>11.803</v>
      </c>
      <c r="K2598" s="14" t="n">
        <v>1694.15</v>
      </c>
      <c r="L2598" s="14" t="n">
        <v>0.8754</v>
      </c>
      <c r="M2598" s="14" t="n">
        <v>8.2068</v>
      </c>
      <c r="N2598" s="14" t="n">
        <v>6.1958</v>
      </c>
      <c r="O2598" s="14" t="n">
        <v>181.11</v>
      </c>
      <c r="P2598" s="14" t="n">
        <v>10.1873</v>
      </c>
    </row>
    <row r="2599" customFormat="false" ht="15" hidden="false" customHeight="false" outlineLevel="0" collapsed="false">
      <c r="A2599" s="13" t="n">
        <v>45989</v>
      </c>
      <c r="B2599" s="14" t="n">
        <v>1467.65</v>
      </c>
      <c r="C2599" s="14" t="n">
        <v>10.1157</v>
      </c>
      <c r="D2599" s="14" t="n">
        <v>1.3239</v>
      </c>
      <c r="E2599" s="14" t="n">
        <v>1.16</v>
      </c>
      <c r="F2599" s="14" t="n">
        <v>7.0751</v>
      </c>
      <c r="G2599" s="14" t="n">
        <v>5.3399</v>
      </c>
      <c r="H2599" s="14" t="n">
        <v>156.17</v>
      </c>
      <c r="I2599" s="14" t="n">
        <v>1.1566</v>
      </c>
      <c r="J2599" s="14" t="n">
        <v>11.7645</v>
      </c>
      <c r="K2599" s="14" t="n">
        <v>1699.81</v>
      </c>
      <c r="L2599" s="14" t="n">
        <v>0.8752</v>
      </c>
      <c r="M2599" s="14" t="n">
        <v>8.1836</v>
      </c>
      <c r="N2599" s="14" t="n">
        <v>6.1752</v>
      </c>
      <c r="O2599" s="14" t="n">
        <v>180.57</v>
      </c>
      <c r="P2599" s="14" t="n">
        <v>10.1716</v>
      </c>
    </row>
    <row r="2600" customFormat="false" ht="15" hidden="false" customHeight="false" outlineLevel="0" collapsed="false">
      <c r="A2600" s="13" t="n">
        <v>45992</v>
      </c>
      <c r="B2600" s="14" t="n">
        <v>1467.79</v>
      </c>
      <c r="C2600" s="14" t="n">
        <v>10.1258</v>
      </c>
      <c r="D2600" s="14" t="n">
        <v>1.3229</v>
      </c>
      <c r="E2600" s="14" t="n">
        <v>1.1623</v>
      </c>
      <c r="F2600" s="14" t="n">
        <v>7.0717</v>
      </c>
      <c r="G2600" s="14" t="n">
        <v>5.3543</v>
      </c>
      <c r="H2600" s="14" t="n">
        <v>155.28</v>
      </c>
      <c r="I2600" s="14" t="n">
        <v>1.1646</v>
      </c>
      <c r="J2600" s="14" t="n">
        <v>11.771</v>
      </c>
      <c r="K2600" s="14" t="n">
        <v>1706.31</v>
      </c>
      <c r="L2600" s="14" t="n">
        <v>0.8778</v>
      </c>
      <c r="M2600" s="14" t="n">
        <v>8.2358</v>
      </c>
      <c r="N2600" s="14" t="n">
        <v>6.2267</v>
      </c>
      <c r="O2600" s="14" t="n">
        <v>180.28</v>
      </c>
      <c r="P2600" s="14" t="n">
        <v>10.1073</v>
      </c>
    </row>
    <row r="2601" customFormat="false" ht="15" hidden="false" customHeight="false" outlineLevel="0" collapsed="false">
      <c r="A2601" s="13" t="n">
        <v>45993</v>
      </c>
      <c r="B2601" s="14" t="n">
        <v>1469.23</v>
      </c>
      <c r="C2601" s="14" t="n">
        <v>10.1567</v>
      </c>
      <c r="D2601" s="14" t="n">
        <v>1.3186</v>
      </c>
      <c r="E2601" s="14" t="n">
        <v>1.1596</v>
      </c>
      <c r="F2601" s="14" t="n">
        <v>7.07</v>
      </c>
      <c r="G2601" s="14" t="n">
        <v>5.3424</v>
      </c>
      <c r="H2601" s="14" t="n">
        <v>155.92</v>
      </c>
      <c r="I2601" s="14" t="n">
        <v>1.1614</v>
      </c>
      <c r="J2601" s="14" t="n">
        <v>11.789</v>
      </c>
      <c r="K2601" s="14" t="n">
        <v>1704.82</v>
      </c>
      <c r="L2601" s="14" t="n">
        <v>0.8796</v>
      </c>
      <c r="M2601" s="14" t="n">
        <v>8.2123</v>
      </c>
      <c r="N2601" s="14" t="n">
        <v>6.223</v>
      </c>
      <c r="O2601" s="14" t="n">
        <v>181.26</v>
      </c>
      <c r="P2601" s="14" t="n">
        <v>10.1507</v>
      </c>
    </row>
    <row r="2602" customFormat="false" ht="15" hidden="false" customHeight="false" outlineLevel="0" collapsed="false">
      <c r="A2602" s="13" t="n">
        <v>45994</v>
      </c>
      <c r="B2602" s="14" t="n">
        <v>1465.94</v>
      </c>
      <c r="C2602" s="14" t="n">
        <v>10.0675</v>
      </c>
      <c r="D2602" s="14" t="n">
        <v>1.3334</v>
      </c>
      <c r="E2602" s="14" t="n">
        <v>1.166</v>
      </c>
      <c r="F2602" s="14" t="n">
        <v>7.0636</v>
      </c>
      <c r="G2602" s="14" t="n">
        <v>5.3115</v>
      </c>
      <c r="H2602" s="14" t="n">
        <v>155.17</v>
      </c>
      <c r="I2602" s="14" t="n">
        <v>1.1668</v>
      </c>
      <c r="J2602" s="14" t="n">
        <v>11.758</v>
      </c>
      <c r="K2602" s="14" t="n">
        <v>1708.78</v>
      </c>
      <c r="L2602" s="14" t="n">
        <v>0.8766</v>
      </c>
      <c r="M2602" s="14" t="n">
        <v>8.2421</v>
      </c>
      <c r="N2602" s="14" t="n">
        <v>6.2057</v>
      </c>
      <c r="O2602" s="14" t="n">
        <v>181.28</v>
      </c>
      <c r="P2602" s="14" t="n">
        <v>10.0771</v>
      </c>
    </row>
    <row r="2603" customFormat="false" ht="15" hidden="false" customHeight="false" outlineLevel="0" collapsed="false">
      <c r="A2603" s="13" t="n">
        <v>45995</v>
      </c>
      <c r="B2603" s="14" t="n">
        <v>1473.22</v>
      </c>
      <c r="C2603" s="14" t="n">
        <v>10.0901</v>
      </c>
      <c r="D2603" s="14" t="n">
        <v>1.3355</v>
      </c>
      <c r="E2603" s="14" t="n">
        <v>1.1659</v>
      </c>
      <c r="F2603" s="14" t="n">
        <v>7.0714</v>
      </c>
      <c r="G2603" s="14" t="n">
        <v>5.3018</v>
      </c>
      <c r="H2603" s="14" t="n">
        <v>154.9</v>
      </c>
      <c r="I2603" s="14" t="n">
        <v>1.1666</v>
      </c>
      <c r="J2603" s="14" t="n">
        <v>11.782</v>
      </c>
      <c r="K2603" s="14" t="n">
        <v>1716.69</v>
      </c>
      <c r="L2603" s="14" t="n">
        <v>0.8745</v>
      </c>
      <c r="M2603" s="14" t="n">
        <v>8.2498</v>
      </c>
      <c r="N2603" s="14" t="n">
        <v>6.1892</v>
      </c>
      <c r="O2603" s="14" t="n">
        <v>180.55</v>
      </c>
      <c r="P2603" s="14" t="n">
        <v>10.0994</v>
      </c>
    </row>
    <row r="2604" customFormat="false" ht="15" hidden="false" customHeight="false" outlineLevel="0" collapsed="false">
      <c r="A2604" s="13" t="n">
        <v>45996</v>
      </c>
      <c r="B2604" s="14" t="n">
        <v>1472.83</v>
      </c>
      <c r="C2604" s="14" t="n">
        <v>10.1142</v>
      </c>
      <c r="D2604" s="14" t="n">
        <v>1.3324</v>
      </c>
      <c r="E2604" s="14" t="n">
        <v>1.1635</v>
      </c>
      <c r="F2604" s="14" t="n">
        <v>7.0696</v>
      </c>
      <c r="G2604" s="14" t="n">
        <v>5.4108</v>
      </c>
      <c r="H2604" s="14" t="n">
        <v>155.3</v>
      </c>
      <c r="I2604" s="14" t="n">
        <v>1.1645</v>
      </c>
      <c r="J2604" s="14" t="n">
        <v>11.755</v>
      </c>
      <c r="K2604" s="14" t="n">
        <v>1714.82</v>
      </c>
      <c r="L2604" s="14" t="n">
        <v>0.8727</v>
      </c>
      <c r="M2604" s="14" t="n">
        <v>8.2333</v>
      </c>
      <c r="N2604" s="14" t="n">
        <v>6.185</v>
      </c>
      <c r="O2604" s="14" t="n">
        <v>180.76</v>
      </c>
      <c r="P2604" s="14" t="n">
        <v>10.0945</v>
      </c>
    </row>
    <row r="2605" customFormat="false" ht="15" hidden="false" customHeight="false" outlineLevel="0" collapsed="false">
      <c r="A2605" s="13" t="n">
        <v>45999</v>
      </c>
      <c r="B2605" s="14" t="n">
        <v>1469.19</v>
      </c>
      <c r="C2605" s="14" t="n">
        <v>10.1338</v>
      </c>
      <c r="D2605" s="14" t="n">
        <v>1.3321</v>
      </c>
      <c r="E2605" s="14" t="n">
        <v>1.1626</v>
      </c>
      <c r="F2605" s="14" t="n">
        <v>7.071</v>
      </c>
      <c r="G2605" s="14" t="n">
        <v>5.4431</v>
      </c>
      <c r="H2605" s="14" t="n">
        <v>155.89</v>
      </c>
      <c r="I2605" s="14" t="n">
        <v>1.1655</v>
      </c>
      <c r="J2605" s="14" t="n">
        <v>11.786</v>
      </c>
      <c r="K2605" s="14" t="n">
        <v>1708.85</v>
      </c>
      <c r="L2605" s="14" t="n">
        <v>0.8746</v>
      </c>
      <c r="M2605" s="14" t="n">
        <v>8.2378</v>
      </c>
      <c r="N2605" s="14" t="n">
        <v>6.3136</v>
      </c>
      <c r="O2605" s="14" t="n">
        <v>181.29</v>
      </c>
      <c r="P2605" s="14" t="n">
        <v>10.1124</v>
      </c>
    </row>
    <row r="2606" customFormat="false" ht="15" hidden="false" customHeight="false" outlineLevel="0" collapsed="false">
      <c r="A2606" s="13" t="n">
        <v>46000</v>
      </c>
      <c r="B2606" s="14" t="n">
        <v>1469.48</v>
      </c>
      <c r="C2606" s="14" t="n">
        <v>10.1357</v>
      </c>
      <c r="D2606" s="14" t="n">
        <v>1.332</v>
      </c>
      <c r="E2606" s="14" t="n">
        <v>1.1639</v>
      </c>
      <c r="F2606" s="14" t="n">
        <v>7.0633</v>
      </c>
      <c r="G2606" s="14" t="n">
        <v>5.4359</v>
      </c>
      <c r="H2606" s="14" t="n">
        <v>156.85</v>
      </c>
      <c r="I2606" s="14" t="n">
        <v>1.1637</v>
      </c>
      <c r="J2606" s="14" t="n">
        <v>11.7845</v>
      </c>
      <c r="K2606" s="14" t="n">
        <v>1708.91</v>
      </c>
      <c r="L2606" s="14" t="n">
        <v>0.8735</v>
      </c>
      <c r="M2606" s="14" t="n">
        <v>8.2207</v>
      </c>
      <c r="N2606" s="14" t="n">
        <v>6.3588</v>
      </c>
      <c r="O2606" s="14" t="n">
        <v>181.96</v>
      </c>
      <c r="P2606" s="14" t="n">
        <v>10.1268</v>
      </c>
    </row>
    <row r="2607" customFormat="false" ht="15" hidden="false" customHeight="false" outlineLevel="0" collapsed="false">
      <c r="A2607" s="13" t="n">
        <v>46001</v>
      </c>
      <c r="B2607" s="14" t="n">
        <v>1470.2</v>
      </c>
      <c r="C2607" s="14" t="n">
        <v>10.1358</v>
      </c>
      <c r="D2607" s="14" t="n">
        <v>1.334</v>
      </c>
      <c r="E2607" s="14" t="n">
        <v>1.165</v>
      </c>
      <c r="F2607" s="14" t="n">
        <v>7.064</v>
      </c>
      <c r="G2607" s="14" t="n">
        <v>5.4728</v>
      </c>
      <c r="H2607" s="14" t="n">
        <v>156.33</v>
      </c>
      <c r="I2607" s="14" t="n">
        <v>1.1634</v>
      </c>
      <c r="J2607" s="14" t="n">
        <v>11.809</v>
      </c>
      <c r="K2607" s="14" t="n">
        <v>1710.16</v>
      </c>
      <c r="L2607" s="14" t="n">
        <v>0.8741</v>
      </c>
      <c r="M2607" s="14" t="n">
        <v>8.2165</v>
      </c>
      <c r="N2607" s="14" t="n">
        <v>6.3488</v>
      </c>
      <c r="O2607" s="14" t="n">
        <v>182.32</v>
      </c>
      <c r="P2607" s="14" t="n">
        <v>10.1504</v>
      </c>
    </row>
    <row r="2608" customFormat="false" ht="15" hidden="false" customHeight="false" outlineLevel="0" collapsed="false">
      <c r="A2608" s="13" t="n">
        <v>46002</v>
      </c>
      <c r="B2608" s="14" t="n">
        <v>1471.38</v>
      </c>
      <c r="C2608" s="14" t="n">
        <v>10.0658</v>
      </c>
      <c r="D2608" s="14" t="n">
        <v>1.3428</v>
      </c>
      <c r="E2608" s="14" t="n">
        <v>1.1756</v>
      </c>
      <c r="F2608" s="14" t="n">
        <v>7.0579</v>
      </c>
      <c r="G2608" s="14" t="n">
        <v>5.4037</v>
      </c>
      <c r="H2608" s="14" t="n">
        <v>155.15</v>
      </c>
      <c r="I2608" s="14" t="n">
        <v>1.1714</v>
      </c>
      <c r="J2608" s="14" t="n">
        <v>11.825</v>
      </c>
      <c r="K2608" s="14" t="n">
        <v>1723.29</v>
      </c>
      <c r="L2608" s="14" t="n">
        <v>0.8751</v>
      </c>
      <c r="M2608" s="14" t="n">
        <v>8.2678</v>
      </c>
      <c r="N2608" s="14" t="n">
        <v>6.3789</v>
      </c>
      <c r="O2608" s="14" t="n">
        <v>182.25</v>
      </c>
      <c r="P2608" s="14" t="n">
        <v>10.0948</v>
      </c>
    </row>
    <row r="2609" customFormat="false" ht="15" hidden="false" customHeight="false" outlineLevel="0" collapsed="false">
      <c r="A2609" s="13" t="n">
        <v>46003</v>
      </c>
      <c r="B2609" s="14" t="n">
        <v>1477.72</v>
      </c>
      <c r="C2609" s="14" t="n">
        <v>10.151</v>
      </c>
      <c r="D2609" s="14" t="n">
        <v>1.3351</v>
      </c>
      <c r="E2609" s="14" t="n">
        <v>1.1731</v>
      </c>
      <c r="F2609" s="14" t="n">
        <v>7.0548</v>
      </c>
      <c r="G2609" s="14" t="n">
        <v>5.4072</v>
      </c>
      <c r="H2609" s="14" t="n">
        <v>155.81</v>
      </c>
      <c r="I2609" s="14" t="n">
        <v>1.1731</v>
      </c>
      <c r="J2609" s="14" t="n">
        <v>11.856</v>
      </c>
      <c r="K2609" s="14" t="n">
        <v>1732.81</v>
      </c>
      <c r="L2609" s="14" t="n">
        <v>0.8767</v>
      </c>
      <c r="M2609" s="14" t="n">
        <v>8.2759</v>
      </c>
      <c r="N2609" s="14" t="n">
        <v>6.3365</v>
      </c>
      <c r="O2609" s="14" t="n">
        <v>182.99</v>
      </c>
      <c r="P2609" s="14" t="n">
        <v>10.1066</v>
      </c>
    </row>
    <row r="2610" customFormat="false" ht="15" hidden="false" customHeight="false" outlineLevel="0" collapsed="false">
      <c r="A2610" s="13" t="n">
        <v>46006</v>
      </c>
      <c r="B2610" s="14" t="n">
        <v>1468.62</v>
      </c>
      <c r="C2610" s="14" t="n">
        <v>10.1476</v>
      </c>
      <c r="D2610" s="14" t="n">
        <v>1.338</v>
      </c>
      <c r="E2610" s="14" t="n">
        <v>1.1756</v>
      </c>
      <c r="F2610" s="14" t="n">
        <v>7.047</v>
      </c>
      <c r="G2610" s="14" t="n">
        <v>5.4063</v>
      </c>
      <c r="H2610" s="14" t="n">
        <v>155.29</v>
      </c>
      <c r="I2610" s="14" t="n">
        <v>1.1753</v>
      </c>
      <c r="J2610" s="14" t="n">
        <v>11.9075</v>
      </c>
      <c r="K2610" s="14" t="n">
        <v>1721.99</v>
      </c>
      <c r="L2610" s="14" t="n">
        <v>0.8779</v>
      </c>
      <c r="M2610" s="14" t="n">
        <v>8.2824</v>
      </c>
      <c r="N2610" s="14" t="n">
        <v>6.3322</v>
      </c>
      <c r="O2610" s="14" t="n">
        <v>182.32</v>
      </c>
      <c r="P2610" s="14" t="n">
        <v>10.1315</v>
      </c>
    </row>
    <row r="2611" customFormat="false" ht="15" hidden="false" customHeight="false" outlineLevel="0" collapsed="false">
      <c r="A2611" s="13" t="n">
        <v>46007</v>
      </c>
      <c r="B2611" s="14" t="n">
        <v>1472.48</v>
      </c>
      <c r="C2611" s="14" t="n">
        <v>10.1723</v>
      </c>
      <c r="D2611" s="14" t="n">
        <v>1.3429</v>
      </c>
      <c r="E2611" s="14" t="n">
        <v>1.177</v>
      </c>
      <c r="F2611" s="14" t="n">
        <v>7.0417</v>
      </c>
      <c r="G2611" s="14" t="n">
        <v>5.4603</v>
      </c>
      <c r="H2611" s="14" t="n">
        <v>154.8</v>
      </c>
      <c r="I2611" s="14" t="n">
        <v>1.1776</v>
      </c>
      <c r="J2611" s="14" t="n">
        <v>11.985</v>
      </c>
      <c r="K2611" s="14" t="n">
        <v>1734.89</v>
      </c>
      <c r="L2611" s="14" t="n">
        <v>0.8764</v>
      </c>
      <c r="M2611" s="14" t="n">
        <v>8.293</v>
      </c>
      <c r="N2611" s="14" t="n">
        <v>6.3965</v>
      </c>
      <c r="O2611" s="14" t="n">
        <v>182.07</v>
      </c>
      <c r="P2611" s="14" t="n">
        <v>10.1775</v>
      </c>
    </row>
    <row r="2612" customFormat="false" ht="15" hidden="false" customHeight="false" outlineLevel="0" collapsed="false">
      <c r="A2612" s="13" t="n">
        <v>46008</v>
      </c>
      <c r="B2612" s="14" t="n">
        <v>1475.05</v>
      </c>
      <c r="C2612" s="14" t="n">
        <v>10.2148</v>
      </c>
      <c r="D2612" s="14" t="n">
        <v>1.339</v>
      </c>
      <c r="E2612" s="14" t="n">
        <v>1.1748</v>
      </c>
      <c r="F2612" s="14" t="n">
        <v>7.0431</v>
      </c>
      <c r="G2612" s="14" t="n">
        <v>5.5234</v>
      </c>
      <c r="H2612" s="14" t="n">
        <v>155.6</v>
      </c>
      <c r="I2612" s="14" t="n">
        <v>1.1722</v>
      </c>
      <c r="J2612" s="14" t="n">
        <v>11.9858</v>
      </c>
      <c r="K2612" s="14" t="n">
        <v>1734.13</v>
      </c>
      <c r="L2612" s="14" t="n">
        <v>0.8785</v>
      </c>
      <c r="M2612" s="14" t="n">
        <v>8.2569</v>
      </c>
      <c r="N2612" s="14" t="n">
        <v>6.4498</v>
      </c>
      <c r="O2612" s="14" t="n">
        <v>182.38</v>
      </c>
      <c r="P2612" s="14" t="n">
        <v>10.225</v>
      </c>
    </row>
    <row r="2613" customFormat="false" ht="15" hidden="false" customHeight="false" outlineLevel="0" collapsed="false">
      <c r="A2613" s="13" t="n">
        <v>46009</v>
      </c>
      <c r="B2613" s="14" t="n">
        <v>1473.21</v>
      </c>
      <c r="C2613" s="14" t="n">
        <v>10.1615</v>
      </c>
      <c r="D2613" s="14" t="n">
        <v>1.3389</v>
      </c>
      <c r="E2613" s="14" t="n">
        <v>1.1729</v>
      </c>
      <c r="F2613" s="14" t="n">
        <v>7.0404</v>
      </c>
      <c r="G2613" s="14" t="n">
        <v>5.5162</v>
      </c>
      <c r="H2613" s="14" t="n">
        <v>155.53</v>
      </c>
      <c r="I2613" s="14" t="n">
        <v>1.1719</v>
      </c>
      <c r="J2613" s="14" t="n">
        <v>11.9545</v>
      </c>
      <c r="K2613" s="14" t="n">
        <v>1731.18</v>
      </c>
      <c r="L2613" s="14" t="n">
        <v>0.8746</v>
      </c>
      <c r="M2613" s="14" t="n">
        <v>8.2517</v>
      </c>
      <c r="N2613" s="14" t="n">
        <v>6.5012</v>
      </c>
      <c r="O2613" s="14" t="n">
        <v>182.55</v>
      </c>
      <c r="P2613" s="14" t="n">
        <v>10.201</v>
      </c>
    </row>
    <row r="2614" customFormat="false" ht="15" hidden="false" customHeight="false" outlineLevel="0" collapsed="false">
      <c r="A2614" s="13" t="n">
        <v>46010</v>
      </c>
      <c r="B2614" s="14" t="n">
        <v>1477.26</v>
      </c>
      <c r="C2614" s="14" t="n">
        <v>10.1257</v>
      </c>
      <c r="D2614" s="14" t="n">
        <v>1.3379</v>
      </c>
      <c r="E2614" s="14" t="n">
        <v>1.1721</v>
      </c>
      <c r="F2614" s="14" t="n">
        <v>7.0409</v>
      </c>
      <c r="G2614" s="14" t="n">
        <v>5.5107</v>
      </c>
      <c r="H2614" s="14" t="n">
        <v>157.43</v>
      </c>
      <c r="I2614" s="14" t="n">
        <v>1.1712</v>
      </c>
      <c r="J2614" s="14" t="n">
        <v>11.915</v>
      </c>
      <c r="K2614" s="14" t="n">
        <v>1731.88</v>
      </c>
      <c r="L2614" s="14" t="n">
        <v>0.876</v>
      </c>
      <c r="M2614" s="14" t="n">
        <v>8.2465</v>
      </c>
      <c r="N2614" s="14" t="n">
        <v>6.4762</v>
      </c>
      <c r="O2614" s="14" t="n">
        <v>184.15</v>
      </c>
      <c r="P2614" s="14" t="n">
        <v>10.1733</v>
      </c>
    </row>
    <row r="2615" customFormat="false" ht="15" hidden="false" customHeight="false" outlineLevel="0" collapsed="false">
      <c r="A2615" s="13" t="n">
        <v>46013</v>
      </c>
      <c r="B2615" s="14" t="n">
        <v>1480.13</v>
      </c>
      <c r="C2615" s="14" t="n">
        <v>10.1114</v>
      </c>
      <c r="D2615" s="14" t="n">
        <v>1.3457</v>
      </c>
      <c r="E2615" s="14" t="n">
        <v>1.175</v>
      </c>
      <c r="F2615" s="14" t="n">
        <v>7.0367</v>
      </c>
      <c r="G2615" s="14" t="n">
        <v>5.5747</v>
      </c>
      <c r="H2615" s="14" t="n">
        <v>156.93</v>
      </c>
      <c r="I2615" s="14" t="n">
        <v>1.1745</v>
      </c>
      <c r="J2615" s="14" t="n">
        <v>11.8875</v>
      </c>
      <c r="K2615" s="14" t="n">
        <v>1738.72</v>
      </c>
      <c r="L2615" s="14" t="n">
        <v>0.8742</v>
      </c>
      <c r="M2615" s="14" t="n">
        <v>8.265</v>
      </c>
      <c r="N2615" s="14" t="n">
        <v>6.4943</v>
      </c>
      <c r="O2615" s="14" t="n">
        <v>184.77</v>
      </c>
      <c r="P2615" s="14" t="n">
        <v>10.1213</v>
      </c>
    </row>
    <row r="2616" customFormat="false" ht="15" hidden="false" customHeight="false" outlineLevel="0" collapsed="false">
      <c r="A2616" s="13" t="n">
        <v>46014</v>
      </c>
      <c r="B2616" s="14" t="n">
        <v>1481.45</v>
      </c>
      <c r="C2616" s="14" t="n">
        <v>10.0598</v>
      </c>
      <c r="D2616" s="14" t="n">
        <v>1.3485</v>
      </c>
      <c r="E2616" s="14" t="n">
        <v>1.1776</v>
      </c>
      <c r="F2616" s="14" t="n">
        <v>7.028</v>
      </c>
      <c r="G2616" s="14" t="n">
        <v>5.5384</v>
      </c>
      <c r="H2616" s="14" t="n">
        <v>156.33</v>
      </c>
      <c r="I2616" s="14" t="n">
        <v>1.1786</v>
      </c>
      <c r="J2616" s="14" t="n">
        <v>11.849</v>
      </c>
      <c r="K2616" s="14" t="n">
        <v>1745.36</v>
      </c>
      <c r="L2616" s="14" t="n">
        <v>0.8729</v>
      </c>
      <c r="M2616" s="14" t="n">
        <v>8.2833</v>
      </c>
      <c r="N2616" s="14" t="n">
        <v>6.5851</v>
      </c>
      <c r="O2616" s="14" t="n">
        <v>183.89</v>
      </c>
      <c r="P2616" s="14" t="n">
        <v>10.0535</v>
      </c>
    </row>
    <row r="2617" customFormat="false" ht="15" hidden="false" customHeight="false" outlineLevel="0" collapsed="false">
      <c r="A2617" s="13" t="n">
        <v>46015</v>
      </c>
      <c r="B2617" s="14" t="n">
        <v>1443.62</v>
      </c>
      <c r="C2617" s="14" t="n">
        <v>10.0068</v>
      </c>
      <c r="D2617" s="14" t="n">
        <v>1.3505</v>
      </c>
      <c r="E2617" s="14" t="n">
        <v>1.178</v>
      </c>
      <c r="F2617" s="14" t="n">
        <v>7.0142</v>
      </c>
      <c r="G2617" s="14" t="n">
        <v>5.52</v>
      </c>
      <c r="H2617" s="14" t="n">
        <v>155.83</v>
      </c>
      <c r="I2617" s="14" t="n">
        <v>1.1787</v>
      </c>
      <c r="J2617" s="14" t="n">
        <v>11.804</v>
      </c>
      <c r="K2617" s="14" t="n">
        <v>1707.04</v>
      </c>
      <c r="L2617" s="14" t="n">
        <v>0.8729</v>
      </c>
      <c r="M2617" s="14" t="n">
        <v>8.2679</v>
      </c>
      <c r="N2617" s="14" t="n">
        <v>6.5076</v>
      </c>
      <c r="O2617" s="14" t="n">
        <v>183.83</v>
      </c>
    </row>
    <row r="2618" customFormat="false" ht="15" hidden="false" customHeight="false" outlineLevel="0" collapsed="false">
      <c r="A2618" s="13" t="n">
        <v>46016</v>
      </c>
    </row>
    <row r="2619" customFormat="false" ht="15" hidden="false" customHeight="false" outlineLevel="0" collapsed="false">
      <c r="A2619" s="13" t="n">
        <v>46017</v>
      </c>
      <c r="B2619" s="14" t="n">
        <v>1441.16</v>
      </c>
      <c r="C2619" s="14" t="n">
        <v>10.015</v>
      </c>
      <c r="D2619" s="14" t="n">
        <v>1.3492</v>
      </c>
      <c r="E2619" s="14" t="n">
        <v>1.1766</v>
      </c>
      <c r="F2619" s="14" t="n">
        <v>7.0063</v>
      </c>
      <c r="G2619" s="14" t="n">
        <v>5.5384</v>
      </c>
      <c r="H2619" s="14" t="n">
        <v>156.63</v>
      </c>
    </row>
    <row r="2620" customFormat="false" ht="15" hidden="false" customHeight="false" outlineLevel="0" collapsed="false">
      <c r="A2620" s="13" t="n">
        <v>46020</v>
      </c>
      <c r="B2620" s="14" t="n">
        <v>1433.88</v>
      </c>
      <c r="C2620" s="14" t="n">
        <v>10.0474</v>
      </c>
      <c r="D2620" s="14" t="n">
        <v>1.3497</v>
      </c>
      <c r="E2620" s="14" t="n">
        <v>1.1756</v>
      </c>
      <c r="F2620" s="14" t="n">
        <v>7.0056</v>
      </c>
      <c r="G2620" s="14" t="n">
        <v>5.5789</v>
      </c>
      <c r="H2620" s="14" t="n">
        <v>156.1</v>
      </c>
      <c r="I2620" s="14" t="n">
        <v>1.1766</v>
      </c>
      <c r="J2620" s="14" t="n">
        <v>11.827</v>
      </c>
      <c r="K2620" s="14" t="n">
        <v>1690.95</v>
      </c>
      <c r="L2620" s="14" t="n">
        <v>0.8726</v>
      </c>
      <c r="M2620" s="14" t="n">
        <v>8.2438</v>
      </c>
      <c r="N2620" s="14" t="n">
        <v>6.5545</v>
      </c>
      <c r="O2620" s="14" t="n">
        <v>183.97</v>
      </c>
      <c r="P2620" s="14" t="n">
        <v>10.0518</v>
      </c>
    </row>
    <row r="2621" customFormat="false" ht="15" hidden="false" customHeight="false" outlineLevel="0" collapsed="false">
      <c r="A2621" s="13" t="n">
        <v>46021</v>
      </c>
      <c r="B2621" s="14" t="n">
        <v>1439.42</v>
      </c>
      <c r="C2621" s="14" t="n">
        <v>10.0307</v>
      </c>
      <c r="D2621" s="14" t="n">
        <v>1.348</v>
      </c>
      <c r="E2621" s="14" t="n">
        <v>1.1765</v>
      </c>
      <c r="F2621" s="14" t="n">
        <v>6.9961</v>
      </c>
      <c r="G2621" s="14" t="n">
        <v>5.4978</v>
      </c>
      <c r="H2621" s="14" t="n">
        <v>156.26</v>
      </c>
      <c r="I2621" s="14" t="n">
        <v>1.1757</v>
      </c>
      <c r="J2621" s="14" t="n">
        <v>11.826</v>
      </c>
      <c r="K2621" s="14" t="n">
        <v>1697.65</v>
      </c>
      <c r="L2621" s="14" t="n">
        <v>0.8712</v>
      </c>
      <c r="M2621" s="14" t="n">
        <v>8.2216</v>
      </c>
      <c r="N2621" s="14" t="n">
        <v>6.4929</v>
      </c>
      <c r="O2621" s="14" t="n">
        <v>183.48</v>
      </c>
      <c r="P2621" s="14" t="n">
        <v>10.0587</v>
      </c>
    </row>
    <row r="2622" customFormat="false" ht="15" hidden="false" customHeight="false" outlineLevel="0" collapsed="false">
      <c r="A2622" s="13" t="n">
        <v>46022</v>
      </c>
      <c r="B2622" s="14" t="n">
        <v>1444.55</v>
      </c>
      <c r="C2622" s="14" t="n">
        <v>10.0816</v>
      </c>
      <c r="D2622" s="14" t="n">
        <v>1.3447</v>
      </c>
      <c r="E2622" s="14" t="n">
        <v>1.1736</v>
      </c>
      <c r="F2622" s="14" t="n">
        <v>6.9931</v>
      </c>
      <c r="G2622" s="14" t="n">
        <v>5.477</v>
      </c>
      <c r="H2622" s="14" t="n">
        <v>156.8</v>
      </c>
      <c r="I2622" s="14" t="n">
        <v>1.175</v>
      </c>
      <c r="J2622" s="14" t="n">
        <v>11.843</v>
      </c>
      <c r="K2622" s="14" t="n">
        <v>1696.94</v>
      </c>
      <c r="L2622" s="14" t="n">
        <v>0.8726</v>
      </c>
      <c r="M2622" s="14" t="n">
        <v>8.2262</v>
      </c>
      <c r="N2622" s="14" t="n">
        <v>6.4364</v>
      </c>
      <c r="O2622" s="14" t="n">
        <v>184.09</v>
      </c>
      <c r="P2622" s="14" t="n">
        <v>10.0791</v>
      </c>
    </row>
    <row r="2623" customFormat="false" ht="15" hidden="false" customHeight="false" outlineLevel="0" collapsed="false">
      <c r="A2623" s="13" t="n">
        <v>46023</v>
      </c>
    </row>
    <row r="2624" customFormat="false" ht="15" hidden="false" customHeight="false" outlineLevel="0" collapsed="false">
      <c r="A2624" s="13" t="n">
        <v>46024</v>
      </c>
      <c r="B2624" s="14" t="n">
        <v>1444.45</v>
      </c>
      <c r="C2624" s="14" t="n">
        <v>10.0531</v>
      </c>
      <c r="D2624" s="14" t="n">
        <v>1.3481</v>
      </c>
      <c r="E2624" s="14" t="n">
        <v>1.1738</v>
      </c>
      <c r="F2624" s="14" t="n">
        <v>6.9877</v>
      </c>
      <c r="G2624" s="14" t="n">
        <v>5.4224</v>
      </c>
      <c r="H2624" s="14" t="n">
        <v>156.72</v>
      </c>
      <c r="I2624" s="14" t="n">
        <v>1.1721</v>
      </c>
      <c r="J2624" s="14" t="n">
        <v>11.7985</v>
      </c>
      <c r="K2624" s="14" t="n">
        <v>1693.53</v>
      </c>
      <c r="L2624" s="14" t="n">
        <v>0.8719</v>
      </c>
      <c r="M2624" s="14" t="n">
        <v>8.1973</v>
      </c>
      <c r="N2624" s="14" t="n">
        <v>6.3743</v>
      </c>
      <c r="O2624" s="14" t="n">
        <v>183.94</v>
      </c>
      <c r="P2624" s="14" t="n">
        <v>10.0661</v>
      </c>
    </row>
    <row r="2625" customFormat="false" ht="15" hidden="false" customHeight="false" outlineLevel="0" collapsed="false">
      <c r="A2625" s="13" t="n">
        <v>46027</v>
      </c>
      <c r="B2625" s="14" t="n">
        <v>1444.88</v>
      </c>
      <c r="C2625" s="14" t="n">
        <v>10.0318</v>
      </c>
      <c r="D2625" s="14" t="n">
        <v>1.3527</v>
      </c>
      <c r="E2625" s="14" t="n">
        <v>1.1715</v>
      </c>
      <c r="F2625" s="14" t="n">
        <v>6.988</v>
      </c>
      <c r="G2625" s="14" t="n">
        <v>5.409</v>
      </c>
      <c r="H2625" s="14" t="n">
        <v>156.32</v>
      </c>
      <c r="I2625" s="14" t="n">
        <v>1.1664</v>
      </c>
      <c r="J2625" s="14" t="n">
        <v>11.7795</v>
      </c>
      <c r="K2625" s="14" t="n">
        <v>1690.44</v>
      </c>
      <c r="L2625" s="14" t="n">
        <v>0.8676</v>
      </c>
      <c r="M2625" s="14" t="n">
        <v>8.1478</v>
      </c>
      <c r="N2625" s="14" t="n">
        <v>6.347</v>
      </c>
      <c r="O2625" s="14" t="n">
        <v>182.93</v>
      </c>
      <c r="P2625" s="14" t="n">
        <v>10.099</v>
      </c>
    </row>
    <row r="2626" customFormat="false" ht="15" hidden="false" customHeight="false" outlineLevel="0" collapsed="false">
      <c r="A2626" s="13" t="n">
        <v>46028</v>
      </c>
      <c r="B2626" s="14" t="n">
        <v>1446.93</v>
      </c>
      <c r="C2626" s="14" t="n">
        <v>10.0449</v>
      </c>
      <c r="D2626" s="14" t="n">
        <v>1.3497</v>
      </c>
      <c r="E2626" s="14" t="n">
        <v>1.1689</v>
      </c>
      <c r="F2626" s="14" t="n">
        <v>6.9834</v>
      </c>
      <c r="G2626" s="14" t="n">
        <v>5.3702</v>
      </c>
      <c r="H2626" s="14" t="n">
        <v>156.7</v>
      </c>
      <c r="I2626" s="14" t="n">
        <v>1.1707</v>
      </c>
      <c r="J2626" s="14" t="n">
        <v>11.7285</v>
      </c>
      <c r="K2626" s="14" t="n">
        <v>1695.93</v>
      </c>
      <c r="L2626" s="14" t="n">
        <v>0.8663</v>
      </c>
      <c r="M2626" s="14" t="n">
        <v>8.1766</v>
      </c>
      <c r="N2626" s="14" t="n">
        <v>6.3201</v>
      </c>
      <c r="O2626" s="14" t="n">
        <v>183.14</v>
      </c>
      <c r="P2626" s="14" t="n">
        <v>10.0184</v>
      </c>
    </row>
    <row r="2627" customFormat="false" ht="15" hidden="false" customHeight="false" outlineLevel="0" collapsed="false">
      <c r="A2627" s="13" t="n">
        <v>46029</v>
      </c>
      <c r="B2627" s="14" t="n">
        <v>1447.45</v>
      </c>
      <c r="C2627" s="14" t="n">
        <v>10.0801</v>
      </c>
      <c r="D2627" s="14" t="n">
        <v>1.3474</v>
      </c>
      <c r="E2627" s="14" t="n">
        <v>1.169</v>
      </c>
      <c r="F2627" s="14" t="n">
        <v>6.9965</v>
      </c>
      <c r="G2627" s="14" t="n">
        <v>5.3898</v>
      </c>
      <c r="H2627" s="14" t="n">
        <v>156.73</v>
      </c>
      <c r="I2627" s="14" t="n">
        <v>1.1684</v>
      </c>
      <c r="J2627" s="14" t="n">
        <v>11.7585</v>
      </c>
      <c r="K2627" s="14" t="n">
        <v>1691.47</v>
      </c>
      <c r="L2627" s="14" t="n">
        <v>0.8664</v>
      </c>
      <c r="M2627" s="14" t="n">
        <v>8.1685</v>
      </c>
      <c r="N2627" s="14" t="n">
        <v>6.2995</v>
      </c>
      <c r="O2627" s="14" t="n">
        <v>182.91</v>
      </c>
      <c r="P2627" s="14" t="n">
        <v>10.0638</v>
      </c>
    </row>
    <row r="2628" customFormat="false" ht="15" hidden="false" customHeight="false" outlineLevel="0" collapsed="false">
      <c r="A2628" s="13" t="n">
        <v>46030</v>
      </c>
      <c r="B2628" s="14" t="n">
        <v>1452.15</v>
      </c>
      <c r="C2628" s="14" t="n">
        <v>10.0937</v>
      </c>
      <c r="D2628" s="14" t="n">
        <v>1.343</v>
      </c>
      <c r="E2628" s="14" t="n">
        <v>1.1655</v>
      </c>
      <c r="F2628" s="14" t="n">
        <v>6.9835</v>
      </c>
      <c r="G2628" s="14" t="n">
        <v>5.3849</v>
      </c>
      <c r="H2628" s="14" t="n">
        <v>156.9</v>
      </c>
      <c r="I2628" s="14" t="n">
        <v>1.1675</v>
      </c>
      <c r="J2628" s="14" t="n">
        <v>11.7935</v>
      </c>
      <c r="K2628" s="14" t="n">
        <v>1695.57</v>
      </c>
      <c r="L2628" s="14" t="n">
        <v>0.8687</v>
      </c>
      <c r="M2628" s="14" t="n">
        <v>8.1513</v>
      </c>
      <c r="N2628" s="14" t="n">
        <v>6.2811</v>
      </c>
      <c r="O2628" s="14" t="n">
        <v>182.97</v>
      </c>
      <c r="P2628" s="14" t="n">
        <v>10.1015</v>
      </c>
    </row>
    <row r="2629" customFormat="false" ht="15" hidden="false" customHeight="false" outlineLevel="0" collapsed="false">
      <c r="A2629" s="13" t="n">
        <v>46031</v>
      </c>
      <c r="B2629" s="14" t="n">
        <v>1458.61</v>
      </c>
      <c r="C2629" s="14" t="n">
        <v>10.0993</v>
      </c>
      <c r="D2629" s="14" t="n">
        <v>1.3413</v>
      </c>
      <c r="E2629" s="14" t="n">
        <v>1.1634</v>
      </c>
      <c r="F2629" s="14" t="n">
        <v>6.9772</v>
      </c>
      <c r="G2629" s="14" t="n">
        <v>5.3543</v>
      </c>
      <c r="H2629" s="14" t="n">
        <v>158.07</v>
      </c>
      <c r="I2629" s="14" t="n">
        <v>1.1642</v>
      </c>
      <c r="J2629" s="14" t="n">
        <v>11.7765</v>
      </c>
      <c r="K2629" s="14" t="n">
        <v>1699.55</v>
      </c>
      <c r="L2629" s="14" t="n">
        <v>0.8677</v>
      </c>
      <c r="M2629" s="14" t="n">
        <v>8.1288</v>
      </c>
      <c r="N2629" s="14" t="n">
        <v>6.2733</v>
      </c>
      <c r="O2629" s="14" t="n">
        <v>183.52</v>
      </c>
      <c r="P2629" s="14" t="n">
        <v>10.1155</v>
      </c>
    </row>
    <row r="2630" customFormat="false" ht="15" hidden="false" customHeight="false" outlineLevel="0" collapsed="false">
      <c r="A2630" s="13" t="n">
        <v>46034</v>
      </c>
      <c r="B2630" s="14" t="n">
        <v>1467.08</v>
      </c>
      <c r="C2630" s="14" t="n">
        <v>10.0711</v>
      </c>
      <c r="D2630" s="14" t="n">
        <v>1.3466</v>
      </c>
      <c r="E2630" s="14" t="n">
        <v>1.1672</v>
      </c>
      <c r="F2630" s="14" t="n">
        <v>6.9731</v>
      </c>
      <c r="G2630" s="14" t="n">
        <v>5.368</v>
      </c>
      <c r="H2630" s="14" t="n">
        <v>158.15</v>
      </c>
      <c r="I2630" s="14" t="n">
        <v>1.1692</v>
      </c>
      <c r="J2630" s="14" t="n">
        <v>11.7445</v>
      </c>
      <c r="K2630" s="14" t="n">
        <v>1715.11</v>
      </c>
      <c r="L2630" s="14" t="n">
        <v>0.8674</v>
      </c>
      <c r="M2630" s="14" t="n">
        <v>8.1529</v>
      </c>
      <c r="N2630" s="14" t="n">
        <v>6.2863</v>
      </c>
      <c r="O2630" s="14" t="n">
        <v>184.42</v>
      </c>
      <c r="P2630" s="14" t="n">
        <v>10.0449</v>
      </c>
    </row>
    <row r="2631" customFormat="false" ht="15" hidden="false" customHeight="false" outlineLevel="0" collapsed="false">
      <c r="A2631" s="13" t="n">
        <v>46035</v>
      </c>
      <c r="B2631" s="14" t="n">
        <v>1475.78</v>
      </c>
      <c r="C2631" s="14" t="n">
        <v>10.0848</v>
      </c>
      <c r="D2631" s="14" t="n">
        <v>1.3436</v>
      </c>
      <c r="E2631" s="14" t="n">
        <v>1.1646</v>
      </c>
      <c r="F2631" s="14" t="n">
        <v>6.9775</v>
      </c>
      <c r="G2631" s="14" t="n">
        <v>5.3843</v>
      </c>
      <c r="H2631" s="14" t="n">
        <v>159.06</v>
      </c>
      <c r="I2631" s="14" t="n">
        <v>1.1654</v>
      </c>
      <c r="J2631" s="14" t="n">
        <v>11.756</v>
      </c>
      <c r="K2631" s="14" t="n">
        <v>1717.89</v>
      </c>
      <c r="L2631" s="14" t="n">
        <v>0.866</v>
      </c>
      <c r="M2631" s="14" t="n">
        <v>8.1294</v>
      </c>
      <c r="N2631" s="14" t="n">
        <v>6.2736</v>
      </c>
      <c r="O2631" s="14" t="n">
        <v>185.12</v>
      </c>
      <c r="P2631" s="14" t="n">
        <v>10.0875</v>
      </c>
    </row>
    <row r="2632" customFormat="false" ht="15" hidden="false" customHeight="false" outlineLevel="0" collapsed="false">
      <c r="A2632" s="13" t="n">
        <v>46036</v>
      </c>
      <c r="B2632" s="14" t="n">
        <v>1464.29</v>
      </c>
      <c r="C2632" s="14" t="n">
        <v>10.0458</v>
      </c>
      <c r="D2632" s="14" t="n">
        <v>1.3445</v>
      </c>
      <c r="E2632" s="14" t="n">
        <v>1.1655</v>
      </c>
      <c r="F2632" s="14" t="n">
        <v>6.973</v>
      </c>
      <c r="G2632" s="14" t="n">
        <v>5.3796</v>
      </c>
      <c r="H2632" s="14" t="n">
        <v>158.13</v>
      </c>
      <c r="I2632" s="14" t="n">
        <v>1.1651</v>
      </c>
      <c r="J2632" s="14" t="n">
        <v>11.733</v>
      </c>
      <c r="K2632" s="14" t="n">
        <v>1719</v>
      </c>
      <c r="L2632" s="14" t="n">
        <v>0.8668</v>
      </c>
      <c r="M2632" s="14" t="n">
        <v>8.1247</v>
      </c>
      <c r="N2632" s="14" t="n">
        <v>6.2544</v>
      </c>
      <c r="O2632" s="14" t="n">
        <v>184.82</v>
      </c>
      <c r="P2632" s="14" t="n">
        <v>10.0704</v>
      </c>
    </row>
    <row r="2633" customFormat="false" ht="15" hidden="false" customHeight="false" outlineLevel="0" collapsed="false">
      <c r="A2633" s="13" t="n">
        <v>46037</v>
      </c>
      <c r="B2633" s="14" t="n">
        <v>1469.39</v>
      </c>
      <c r="C2633" s="14" t="n">
        <v>10.1112</v>
      </c>
      <c r="D2633" s="14" t="n">
        <v>1.3387</v>
      </c>
      <c r="E2633" s="14" t="n">
        <v>1.1605</v>
      </c>
      <c r="F2633" s="14" t="n">
        <v>6.966</v>
      </c>
      <c r="G2633" s="14" t="n">
        <v>5.3629</v>
      </c>
      <c r="H2633" s="14" t="n">
        <v>158.5</v>
      </c>
      <c r="I2633" s="14" t="n">
        <v>1.1624</v>
      </c>
      <c r="J2633" s="14" t="n">
        <v>11.72</v>
      </c>
      <c r="K2633" s="14" t="n">
        <v>1706.77</v>
      </c>
      <c r="L2633" s="14" t="n">
        <v>0.8674</v>
      </c>
      <c r="M2633" s="14" t="n">
        <v>8.0988</v>
      </c>
      <c r="N2633" s="14" t="n">
        <v>6.2557</v>
      </c>
      <c r="O2633" s="14" t="n">
        <v>184.31</v>
      </c>
      <c r="P2633" s="14" t="n">
        <v>10.0826</v>
      </c>
    </row>
    <row r="2634" customFormat="false" ht="15" hidden="false" customHeight="false" outlineLevel="0" collapsed="false">
      <c r="A2634" s="13" t="n">
        <v>46038</v>
      </c>
      <c r="B2634" s="14" t="n">
        <v>1474.05</v>
      </c>
      <c r="C2634" s="14" t="n">
        <v>10.0954</v>
      </c>
      <c r="D2634" s="14" t="n">
        <v>1.3384</v>
      </c>
      <c r="E2634" s="14" t="n">
        <v>1.1599</v>
      </c>
      <c r="F2634" s="14" t="n">
        <v>6.9681</v>
      </c>
      <c r="G2634" s="14" t="n">
        <v>5.3719</v>
      </c>
      <c r="H2634" s="14" t="n">
        <v>158.02</v>
      </c>
      <c r="I2634" s="14" t="n">
        <v>1.1617</v>
      </c>
      <c r="J2634" s="14" t="n">
        <v>11.7203</v>
      </c>
      <c r="K2634" s="14" t="n">
        <v>1711.1</v>
      </c>
      <c r="L2634" s="14" t="n">
        <v>0.867</v>
      </c>
      <c r="M2634" s="14" t="n">
        <v>8.0967</v>
      </c>
      <c r="N2634" s="14" t="n">
        <v>6.2411</v>
      </c>
      <c r="O2634" s="14" t="n">
        <v>183.67</v>
      </c>
      <c r="P2634" s="14" t="n">
        <v>10.0889</v>
      </c>
    </row>
    <row r="2635" customFormat="false" ht="15" hidden="false" customHeight="false" outlineLevel="0" collapsed="false">
      <c r="A2635" s="13" t="n">
        <v>46041</v>
      </c>
      <c r="I2635" s="14" t="n">
        <v>1.1631</v>
      </c>
      <c r="J2635" s="14" t="n">
        <v>11.7295</v>
      </c>
      <c r="K2635" s="14" t="n">
        <v>1713.48</v>
      </c>
      <c r="L2635" s="14" t="n">
        <v>0.8671</v>
      </c>
      <c r="M2635" s="14" t="n">
        <v>8.0991</v>
      </c>
      <c r="N2635" s="14" t="n">
        <v>6.242</v>
      </c>
      <c r="O2635" s="14" t="n">
        <v>183.69</v>
      </c>
      <c r="P2635" s="14" t="n">
        <v>10.0847</v>
      </c>
    </row>
    <row r="2636" customFormat="false" ht="15" hidden="false" customHeight="false" outlineLevel="0" collapsed="false">
      <c r="A2636" s="13" t="n">
        <v>46042</v>
      </c>
      <c r="B2636" s="14" t="n">
        <v>1478.33</v>
      </c>
      <c r="C2636" s="14" t="n">
        <v>9.97</v>
      </c>
      <c r="D2636" s="14" t="n">
        <v>1.3472</v>
      </c>
      <c r="E2636" s="14" t="n">
        <v>1.1739</v>
      </c>
      <c r="F2636" s="14" t="n">
        <v>6.9599</v>
      </c>
      <c r="G2636" s="14" t="n">
        <v>5.3618</v>
      </c>
      <c r="H2636" s="14" t="n">
        <v>157.89</v>
      </c>
      <c r="I2636" s="14" t="n">
        <v>1.1728</v>
      </c>
      <c r="J2636" s="14" t="n">
        <v>11.7155</v>
      </c>
      <c r="K2636" s="14" t="n">
        <v>1731.99</v>
      </c>
      <c r="L2636" s="14" t="n">
        <v>0.8722</v>
      </c>
      <c r="M2636" s="14" t="n">
        <v>8.1614</v>
      </c>
      <c r="N2636" s="14" t="n">
        <v>6.3209</v>
      </c>
      <c r="O2636" s="14" t="n">
        <v>185.18</v>
      </c>
      <c r="P2636" s="14" t="n">
        <v>9.9893</v>
      </c>
    </row>
    <row r="2637" customFormat="false" ht="15" hidden="false" customHeight="false" outlineLevel="0" collapsed="false">
      <c r="A2637" s="13" t="n">
        <v>46043</v>
      </c>
      <c r="B2637" s="14" t="n">
        <v>1465.95</v>
      </c>
      <c r="C2637" s="14" t="n">
        <v>9.9576</v>
      </c>
      <c r="D2637" s="14" t="n">
        <v>1.343</v>
      </c>
      <c r="E2637" s="14" t="n">
        <v>1.1705</v>
      </c>
      <c r="F2637" s="14" t="n">
        <v>6.9637</v>
      </c>
      <c r="G2637" s="14" t="n">
        <v>5.3235</v>
      </c>
      <c r="H2637" s="14" t="n">
        <v>158.16</v>
      </c>
      <c r="I2637" s="14" t="n">
        <v>1.1739</v>
      </c>
      <c r="J2637" s="14" t="n">
        <v>11.6365</v>
      </c>
      <c r="K2637" s="14" t="n">
        <v>1719.32</v>
      </c>
      <c r="L2637" s="14" t="n">
        <v>0.8744</v>
      </c>
      <c r="M2637" s="14" t="n">
        <v>8.1749</v>
      </c>
      <c r="N2637" s="14" t="n">
        <v>6.2773</v>
      </c>
      <c r="O2637" s="14" t="n">
        <v>185.23</v>
      </c>
      <c r="P2637" s="14" t="n">
        <v>9.9127</v>
      </c>
    </row>
    <row r="2638" customFormat="false" ht="15" hidden="false" customHeight="false" outlineLevel="0" collapsed="false">
      <c r="A2638" s="13" t="n">
        <v>46044</v>
      </c>
      <c r="B2638" s="14" t="n">
        <v>1464.34</v>
      </c>
      <c r="C2638" s="14" t="n">
        <v>9.8719</v>
      </c>
      <c r="D2638" s="14" t="n">
        <v>1.3489</v>
      </c>
      <c r="E2638" s="14" t="n">
        <v>1.1738</v>
      </c>
      <c r="F2638" s="14" t="n">
        <v>6.97</v>
      </c>
      <c r="G2638" s="14" t="n">
        <v>5.2965</v>
      </c>
      <c r="H2638" s="14" t="n">
        <v>158.36</v>
      </c>
      <c r="I2638" s="14" t="n">
        <v>1.1706</v>
      </c>
      <c r="J2638" s="14" t="n">
        <v>11.576</v>
      </c>
      <c r="K2638" s="14" t="n">
        <v>1718.11</v>
      </c>
      <c r="L2638" s="14" t="n">
        <v>0.8722</v>
      </c>
      <c r="M2638" s="14" t="n">
        <v>8.1658</v>
      </c>
      <c r="N2638" s="14" t="n">
        <v>6.2218</v>
      </c>
      <c r="O2638" s="14" t="n">
        <v>185.88</v>
      </c>
      <c r="P2638" s="14" t="n">
        <v>9.8889</v>
      </c>
    </row>
    <row r="2639" customFormat="false" ht="15" hidden="false" customHeight="false" outlineLevel="0" collapsed="false">
      <c r="A2639" s="13" t="n">
        <v>46045</v>
      </c>
      <c r="B2639" s="14" t="n">
        <v>1462.89</v>
      </c>
      <c r="C2639" s="14" t="n">
        <v>9.8123</v>
      </c>
      <c r="D2639" s="14" t="n">
        <v>1.359</v>
      </c>
      <c r="E2639" s="14" t="n">
        <v>1.1771</v>
      </c>
      <c r="F2639" s="14" t="n">
        <v>6.9631</v>
      </c>
      <c r="G2639" s="14" t="n">
        <v>5.2951</v>
      </c>
      <c r="H2639" s="14" t="n">
        <v>157.57</v>
      </c>
      <c r="I2639" s="14" t="n">
        <v>1.1742</v>
      </c>
      <c r="J2639" s="14" t="n">
        <v>11.542</v>
      </c>
      <c r="K2639" s="14" t="n">
        <v>1723.2</v>
      </c>
      <c r="L2639" s="14" t="n">
        <v>0.8681</v>
      </c>
      <c r="M2639" s="14" t="n">
        <v>8.1778</v>
      </c>
      <c r="N2639" s="14" t="n">
        <v>6.2011</v>
      </c>
      <c r="O2639" s="14" t="n">
        <v>185.71</v>
      </c>
      <c r="P2639" s="14" t="n">
        <v>9.8297</v>
      </c>
    </row>
    <row r="2640" customFormat="false" ht="15" hidden="false" customHeight="false" outlineLevel="0" collapsed="false">
      <c r="A2640" s="13" t="n">
        <v>46048</v>
      </c>
      <c r="B2640" s="14" t="n">
        <v>1441.49</v>
      </c>
      <c r="C2640" s="14" t="n">
        <v>9.7533</v>
      </c>
      <c r="D2640" s="14" t="n">
        <v>1.3699</v>
      </c>
      <c r="E2640" s="14" t="n">
        <v>1.1886</v>
      </c>
      <c r="F2640" s="14" t="n">
        <v>6.9542</v>
      </c>
      <c r="G2640" s="14" t="n">
        <v>5.2734</v>
      </c>
      <c r="H2640" s="14" t="n">
        <v>153.88</v>
      </c>
      <c r="I2640" s="14" t="n">
        <v>1.1836</v>
      </c>
      <c r="J2640" s="14" t="n">
        <v>11.6015</v>
      </c>
      <c r="K2640" s="14" t="n">
        <v>1713.58</v>
      </c>
      <c r="L2640" s="14" t="n">
        <v>0.8675</v>
      </c>
      <c r="M2640" s="14" t="n">
        <v>8.2312</v>
      </c>
      <c r="N2640" s="14" t="n">
        <v>6.2569</v>
      </c>
      <c r="O2640" s="14" t="n">
        <v>182.52</v>
      </c>
      <c r="P2640" s="14" t="n">
        <v>9.8019</v>
      </c>
    </row>
    <row r="2641" customFormat="false" ht="15" hidden="false" customHeight="false" outlineLevel="0" collapsed="false">
      <c r="A2641" s="13" t="n">
        <v>46049</v>
      </c>
      <c r="B2641" s="14" t="n">
        <v>1437.45</v>
      </c>
      <c r="C2641" s="14" t="n">
        <v>9.616</v>
      </c>
      <c r="D2641" s="14" t="n">
        <v>1.3782</v>
      </c>
      <c r="E2641" s="14" t="n">
        <v>1.198</v>
      </c>
      <c r="F2641" s="14" t="n">
        <v>6.9545</v>
      </c>
      <c r="G2641" s="14" t="n">
        <v>5.213</v>
      </c>
      <c r="H2641" s="14" t="n">
        <v>153.03</v>
      </c>
      <c r="I2641" s="14" t="n">
        <v>1.1929</v>
      </c>
      <c r="J2641" s="14" t="n">
        <v>11.567</v>
      </c>
      <c r="K2641" s="14" t="n">
        <v>1719.21</v>
      </c>
      <c r="L2641" s="14" t="n">
        <v>0.8683</v>
      </c>
      <c r="M2641" s="14" t="n">
        <v>8.2964</v>
      </c>
      <c r="N2641" s="14" t="n">
        <v>6.2692</v>
      </c>
      <c r="O2641" s="14" t="n">
        <v>182.92</v>
      </c>
      <c r="P2641" s="14" t="n">
        <v>9.6965</v>
      </c>
    </row>
    <row r="2642" customFormat="false" ht="15" hidden="false" customHeight="false" outlineLevel="0" collapsed="false">
      <c r="A2642" s="13" t="n">
        <v>46050</v>
      </c>
      <c r="B2642" s="14" t="n">
        <v>1436.06</v>
      </c>
      <c r="C2642" s="14" t="n">
        <v>9.6338</v>
      </c>
      <c r="D2642" s="14" t="n">
        <v>1.3787</v>
      </c>
      <c r="E2642" s="14" t="n">
        <v>1.1941</v>
      </c>
      <c r="F2642" s="14" t="n">
        <v>6.9462</v>
      </c>
      <c r="G2642" s="14" t="n">
        <v>5.2114</v>
      </c>
      <c r="H2642" s="14" t="n">
        <v>153.6</v>
      </c>
      <c r="I2642" s="14" t="n">
        <v>1.1974</v>
      </c>
      <c r="J2642" s="14" t="n">
        <v>11.523</v>
      </c>
      <c r="K2642" s="14" t="n">
        <v>1710.88</v>
      </c>
      <c r="L2642" s="14" t="n">
        <v>0.8685</v>
      </c>
      <c r="M2642" s="14" t="n">
        <v>8.3176</v>
      </c>
      <c r="N2642" s="14" t="n">
        <v>6.1949</v>
      </c>
      <c r="O2642" s="14" t="n">
        <v>182.76</v>
      </c>
      <c r="P2642" s="14" t="n">
        <v>9.6234</v>
      </c>
    </row>
    <row r="2643" customFormat="false" ht="15" hidden="false" customHeight="false" outlineLevel="0" collapsed="false">
      <c r="A2643" s="13" t="n">
        <v>46051</v>
      </c>
      <c r="B2643" s="14" t="n">
        <v>1433.84</v>
      </c>
      <c r="C2643" s="14" t="n">
        <v>9.5645</v>
      </c>
      <c r="D2643" s="14" t="n">
        <v>1.3795</v>
      </c>
      <c r="E2643" s="14" t="n">
        <v>1.1943</v>
      </c>
      <c r="F2643" s="14" t="n">
        <v>6.948</v>
      </c>
      <c r="G2643" s="14" t="n">
        <v>5.2145</v>
      </c>
      <c r="H2643" s="14" t="n">
        <v>152.88</v>
      </c>
      <c r="I2643" s="14" t="n">
        <v>1.1968</v>
      </c>
      <c r="J2643" s="14" t="n">
        <v>11.418</v>
      </c>
      <c r="K2643" s="14" t="n">
        <v>1712.42</v>
      </c>
      <c r="L2643" s="14" t="n">
        <v>0.8662</v>
      </c>
      <c r="M2643" s="14" t="n">
        <v>8.3132</v>
      </c>
      <c r="N2643" s="14" t="n">
        <v>6.2011</v>
      </c>
      <c r="O2643" s="14" t="n">
        <v>183.48</v>
      </c>
      <c r="P2643" s="14" t="n">
        <v>9.5404</v>
      </c>
    </row>
    <row r="2644" customFormat="false" ht="15" hidden="false" customHeight="false" outlineLevel="0" collapsed="false">
      <c r="A2644" s="13" t="n">
        <v>46052</v>
      </c>
      <c r="B2644" s="14" t="n">
        <v>1444.51</v>
      </c>
      <c r="C2644" s="14" t="n">
        <v>9.5902</v>
      </c>
      <c r="D2644" s="14" t="n">
        <v>1.3729</v>
      </c>
      <c r="E2644" s="14" t="n">
        <v>1.1885</v>
      </c>
      <c r="F2644" s="14" t="n">
        <v>6.951</v>
      </c>
      <c r="G2644" s="14" t="n">
        <v>5.2459</v>
      </c>
      <c r="H2644" s="14" t="n">
        <v>154.34</v>
      </c>
      <c r="I2644" s="14" t="n">
        <v>1.1919</v>
      </c>
      <c r="J2644" s="14" t="n">
        <v>11.3885</v>
      </c>
      <c r="K2644" s="14" t="n">
        <v>1719.47</v>
      </c>
      <c r="L2644" s="14" t="n">
        <v>0.8662</v>
      </c>
      <c r="M2644" s="14" t="n">
        <v>8.2834</v>
      </c>
      <c r="N2644" s="14" t="n">
        <v>6.2233</v>
      </c>
      <c r="O2644" s="14" t="n">
        <v>183.59</v>
      </c>
      <c r="P2644" s="14" t="n">
        <v>9.5549</v>
      </c>
    </row>
    <row r="2645" customFormat="false" ht="15" hidden="false" customHeight="false" outlineLevel="0" collapsed="false">
      <c r="A2645" s="13" t="n">
        <v>46055</v>
      </c>
      <c r="B2645" s="14" t="n">
        <v>1452.03</v>
      </c>
      <c r="C2645" s="14" t="n">
        <v>9.6955</v>
      </c>
      <c r="D2645" s="14" t="n">
        <v>1.3654</v>
      </c>
      <c r="E2645" s="14" t="n">
        <v>1.1807</v>
      </c>
      <c r="F2645" s="14" t="n">
        <v>6.9463</v>
      </c>
      <c r="G2645" s="14" t="n">
        <v>5.2595</v>
      </c>
      <c r="H2645" s="14" t="n">
        <v>155.5</v>
      </c>
      <c r="I2645" s="14" t="n">
        <v>1.184</v>
      </c>
      <c r="J2645" s="14" t="n">
        <v>11.4655</v>
      </c>
      <c r="K2645" s="14" t="n">
        <v>1719.74</v>
      </c>
      <c r="L2645" s="14" t="n">
        <v>0.8658</v>
      </c>
      <c r="M2645" s="14" t="n">
        <v>8.221</v>
      </c>
      <c r="N2645" s="14" t="n">
        <v>6.2222</v>
      </c>
      <c r="O2645" s="14" t="n">
        <v>183.59</v>
      </c>
      <c r="P2645" s="14" t="n">
        <v>9.6837</v>
      </c>
    </row>
    <row r="2646" customFormat="false" ht="15" hidden="false" customHeight="false" outlineLevel="0" collapsed="false">
      <c r="A2646" s="13" t="n">
        <v>46056</v>
      </c>
      <c r="B2646" s="14" t="n">
        <v>1447.7</v>
      </c>
      <c r="C2646" s="14" t="n">
        <v>9.6404</v>
      </c>
      <c r="D2646" s="14" t="n">
        <v>1.3701</v>
      </c>
      <c r="E2646" s="14" t="n">
        <v>1.1819</v>
      </c>
      <c r="F2646" s="14" t="n">
        <v>6.9377</v>
      </c>
      <c r="G2646" s="14" t="n">
        <v>5.2238</v>
      </c>
      <c r="H2646" s="14" t="n">
        <v>155.7</v>
      </c>
      <c r="I2646" s="14" t="n">
        <v>1.1801</v>
      </c>
      <c r="J2646" s="14" t="n">
        <v>11.422</v>
      </c>
      <c r="K2646" s="14" t="n">
        <v>1709.44</v>
      </c>
      <c r="L2646" s="14" t="n">
        <v>0.8623</v>
      </c>
      <c r="M2646" s="14" t="n">
        <v>8.1877</v>
      </c>
      <c r="N2646" s="14" t="n">
        <v>6.1685</v>
      </c>
      <c r="O2646" s="14" t="n">
        <v>183.92</v>
      </c>
      <c r="P2646" s="14" t="n">
        <v>9.6788</v>
      </c>
    </row>
    <row r="2647" customFormat="false" ht="15" hidden="false" customHeight="false" outlineLevel="0" collapsed="false">
      <c r="A2647" s="13" t="n">
        <v>46057</v>
      </c>
      <c r="B2647" s="14" t="n">
        <v>1459.24</v>
      </c>
      <c r="C2647" s="14" t="n">
        <v>9.6933</v>
      </c>
      <c r="D2647" s="14" t="n">
        <v>1.3659</v>
      </c>
      <c r="E2647" s="14" t="n">
        <v>1.1803</v>
      </c>
      <c r="F2647" s="14" t="n">
        <v>6.9415</v>
      </c>
      <c r="G2647" s="14" t="n">
        <v>5.2466</v>
      </c>
      <c r="H2647" s="14" t="n">
        <v>156.61</v>
      </c>
      <c r="I2647" s="14" t="n">
        <v>1.182</v>
      </c>
      <c r="J2647" s="14" t="n">
        <v>11.3995</v>
      </c>
      <c r="K2647" s="14" t="n">
        <v>1720.7</v>
      </c>
      <c r="L2647" s="14" t="n">
        <v>0.8616</v>
      </c>
      <c r="M2647" s="14" t="n">
        <v>8.2051</v>
      </c>
      <c r="N2647" s="14" t="n">
        <v>6.1707</v>
      </c>
      <c r="O2647" s="14" t="n">
        <v>185.15</v>
      </c>
      <c r="P2647" s="14" t="n">
        <v>9.6442</v>
      </c>
    </row>
    <row r="2648" customFormat="false" ht="15" hidden="false" customHeight="false" outlineLevel="0" collapsed="false">
      <c r="A2648" s="13" t="n">
        <v>46058</v>
      </c>
      <c r="B2648" s="14" t="n">
        <v>1463.13</v>
      </c>
      <c r="C2648" s="14" t="n">
        <v>9.7476</v>
      </c>
      <c r="D2648" s="14" t="n">
        <v>1.3551</v>
      </c>
      <c r="E2648" s="14" t="n">
        <v>1.1802</v>
      </c>
      <c r="F2648" s="14" t="n">
        <v>6.9378</v>
      </c>
      <c r="G2648" s="14" t="n">
        <v>5.2612</v>
      </c>
      <c r="H2648" s="14" t="n">
        <v>156.91</v>
      </c>
      <c r="I2648" s="14" t="n">
        <v>1.1798</v>
      </c>
      <c r="J2648" s="14" t="n">
        <v>11.474</v>
      </c>
      <c r="K2648" s="14" t="n">
        <v>1728.58</v>
      </c>
      <c r="L2648" s="14" t="n">
        <v>0.8691</v>
      </c>
      <c r="M2648" s="14" t="n">
        <v>8.1869</v>
      </c>
      <c r="N2648" s="14" t="n">
        <v>6.2059</v>
      </c>
      <c r="O2648" s="14" t="n">
        <v>185.11</v>
      </c>
      <c r="P2648" s="14" t="n">
        <v>9.7254</v>
      </c>
    </row>
    <row r="2649" customFormat="false" ht="15" hidden="false" customHeight="false" outlineLevel="0" collapsed="false">
      <c r="A2649" s="13" t="n">
        <v>46059</v>
      </c>
      <c r="B2649" s="14" t="n">
        <v>1462.75</v>
      </c>
      <c r="C2649" s="14" t="n">
        <v>9.6642</v>
      </c>
      <c r="D2649" s="14" t="n">
        <v>1.3606</v>
      </c>
      <c r="E2649" s="14" t="n">
        <v>1.1812</v>
      </c>
      <c r="F2649" s="14" t="n">
        <v>6.9388</v>
      </c>
      <c r="G2649" s="14" t="n">
        <v>5.2183</v>
      </c>
      <c r="H2649" s="14" t="n">
        <v>157.1</v>
      </c>
      <c r="I2649" s="14" t="n">
        <v>1.1794</v>
      </c>
      <c r="J2649" s="14" t="n">
        <v>11.4695</v>
      </c>
      <c r="K2649" s="14" t="n">
        <v>1730.68</v>
      </c>
      <c r="L2649" s="14" t="n">
        <v>0.8679</v>
      </c>
      <c r="M2649" s="14" t="n">
        <v>8.1838</v>
      </c>
      <c r="N2649" s="14" t="n">
        <v>6.1767</v>
      </c>
      <c r="O2649" s="14" t="n">
        <v>185.27</v>
      </c>
      <c r="P2649" s="14" t="n">
        <v>9.7249</v>
      </c>
    </row>
    <row r="2650" customFormat="false" ht="15" hidden="false" customHeight="false" outlineLevel="0" collapsed="false">
      <c r="A2650" s="13" t="n">
        <v>46062</v>
      </c>
      <c r="B2650" s="14" t="n">
        <v>1458.12</v>
      </c>
      <c r="C2650" s="14" t="n">
        <v>9.5869</v>
      </c>
      <c r="D2650" s="14" t="n">
        <v>1.3667</v>
      </c>
      <c r="E2650" s="14" t="n">
        <v>1.1898</v>
      </c>
      <c r="F2650" s="14" t="n">
        <v>6.92</v>
      </c>
      <c r="G2650" s="14" t="n">
        <v>5.1906</v>
      </c>
      <c r="H2650" s="14" t="n">
        <v>156.08</v>
      </c>
      <c r="I2650" s="14" t="n">
        <v>1.1886</v>
      </c>
      <c r="J2650" s="14" t="n">
        <v>11.429</v>
      </c>
      <c r="K2650" s="14" t="n">
        <v>1737.79</v>
      </c>
      <c r="L2650" s="14" t="n">
        <v>0.8701</v>
      </c>
      <c r="M2650" s="14" t="n">
        <v>8.2281</v>
      </c>
      <c r="N2650" s="14" t="n">
        <v>6.1725</v>
      </c>
      <c r="O2650" s="14" t="n">
        <v>185.65</v>
      </c>
      <c r="P2650" s="14" t="n">
        <v>9.6155</v>
      </c>
    </row>
    <row r="2651" customFormat="false" ht="15" hidden="false" customHeight="false" outlineLevel="0" collapsed="false">
      <c r="A2651" s="13" t="n">
        <v>46063</v>
      </c>
      <c r="B2651" s="14" t="n">
        <v>1456.82</v>
      </c>
      <c r="C2651" s="14" t="n">
        <v>9.5268</v>
      </c>
      <c r="D2651" s="14" t="n">
        <v>1.3664</v>
      </c>
      <c r="E2651" s="14" t="n">
        <v>1.1898</v>
      </c>
      <c r="F2651" s="14" t="n">
        <v>6.9106</v>
      </c>
      <c r="G2651" s="14" t="n">
        <v>5.1993</v>
      </c>
      <c r="H2651" s="14" t="n">
        <v>154.28</v>
      </c>
      <c r="I2651" s="14" t="n">
        <v>1.1894</v>
      </c>
      <c r="J2651" s="14" t="n">
        <v>11.3115</v>
      </c>
      <c r="K2651" s="14" t="n">
        <v>1738.48</v>
      </c>
      <c r="L2651" s="14" t="n">
        <v>0.8695</v>
      </c>
      <c r="M2651" s="14" t="n">
        <v>8.2245</v>
      </c>
      <c r="N2651" s="14" t="n">
        <v>6.1929</v>
      </c>
      <c r="O2651" s="14" t="n">
        <v>184.51</v>
      </c>
      <c r="P2651" s="14" t="n">
        <v>9.5103</v>
      </c>
    </row>
    <row r="2652" customFormat="false" ht="15" hidden="false" customHeight="false" outlineLevel="0" collapsed="false">
      <c r="A2652" s="13" t="n">
        <v>46064</v>
      </c>
      <c r="B2652" s="14" t="n">
        <v>1446.96</v>
      </c>
      <c r="C2652" s="14" t="n">
        <v>9.4677</v>
      </c>
      <c r="D2652" s="14" t="n">
        <v>1.3654</v>
      </c>
      <c r="E2652" s="14" t="n">
        <v>1.1884</v>
      </c>
      <c r="F2652" s="14" t="n">
        <v>6.9125</v>
      </c>
      <c r="G2652" s="14" t="n">
        <v>5.1756</v>
      </c>
      <c r="H2652" s="14" t="n">
        <v>152.93</v>
      </c>
      <c r="I2652" s="14" t="n">
        <v>1.19</v>
      </c>
      <c r="J2652" s="14" t="n">
        <v>11.265</v>
      </c>
      <c r="K2652" s="14" t="n">
        <v>1727.84</v>
      </c>
      <c r="L2652" s="14" t="n">
        <v>0.8699</v>
      </c>
      <c r="M2652" s="14" t="n">
        <v>8.2245</v>
      </c>
      <c r="N2652" s="14" t="n">
        <v>6.1753</v>
      </c>
      <c r="O2652" s="14" t="n">
        <v>182.79</v>
      </c>
      <c r="P2652" s="14" t="n">
        <v>9.4664</v>
      </c>
    </row>
    <row r="2653" customFormat="false" ht="15" hidden="false" customHeight="false" outlineLevel="0" collapsed="false">
      <c r="A2653" s="13" t="n">
        <v>46065</v>
      </c>
      <c r="B2653" s="14" t="n">
        <v>1439.8</v>
      </c>
      <c r="C2653" s="14" t="n">
        <v>9.5251</v>
      </c>
      <c r="D2653" s="14" t="n">
        <v>1.3632</v>
      </c>
      <c r="E2653" s="14" t="n">
        <v>1.187</v>
      </c>
      <c r="F2653" s="14" t="n">
        <v>6.901</v>
      </c>
      <c r="G2653" s="14" t="n">
        <v>5.1967</v>
      </c>
      <c r="H2653" s="14" t="n">
        <v>152.64</v>
      </c>
      <c r="I2653" s="14" t="n">
        <v>1.1874</v>
      </c>
      <c r="J2653" s="14" t="n">
        <v>11.2535</v>
      </c>
      <c r="K2653" s="14" t="n">
        <v>1707.82</v>
      </c>
      <c r="L2653" s="14" t="n">
        <v>0.8711</v>
      </c>
      <c r="M2653" s="14" t="n">
        <v>8.1944</v>
      </c>
      <c r="N2653" s="14" t="n">
        <v>6.1461</v>
      </c>
      <c r="O2653" s="14" t="n">
        <v>182.52</v>
      </c>
      <c r="P2653" s="14" t="n">
        <v>9.4774</v>
      </c>
    </row>
    <row r="2654" customFormat="false" ht="15" hidden="false" customHeight="false" outlineLevel="0" collapsed="false">
      <c r="A2654" s="13" t="n">
        <v>46066</v>
      </c>
      <c r="B2654" s="14" t="n">
        <v>1442.9</v>
      </c>
      <c r="C2654" s="14" t="n">
        <v>9.5105</v>
      </c>
      <c r="D2654" s="14" t="n">
        <v>1.3644</v>
      </c>
      <c r="E2654" s="14" t="n">
        <v>1.187</v>
      </c>
      <c r="F2654" s="14" t="n">
        <v>6.908</v>
      </c>
      <c r="G2654" s="14" t="n">
        <v>5.2297</v>
      </c>
      <c r="H2654" s="14" t="n">
        <v>152.77</v>
      </c>
      <c r="I2654" s="14" t="n">
        <v>1.1862</v>
      </c>
      <c r="J2654" s="14" t="n">
        <v>11.326</v>
      </c>
      <c r="K2654" s="14" t="n">
        <v>1715.78</v>
      </c>
      <c r="L2654" s="14" t="n">
        <v>0.8716</v>
      </c>
      <c r="M2654" s="14" t="n">
        <v>8.195</v>
      </c>
      <c r="N2654" s="14" t="n">
        <v>6.1916</v>
      </c>
      <c r="O2654" s="14" t="n">
        <v>181.83</v>
      </c>
      <c r="P2654" s="14" t="n">
        <v>9.5481</v>
      </c>
    </row>
    <row r="2655" customFormat="false" ht="15" hidden="false" customHeight="false" outlineLevel="0" collapsed="false">
      <c r="A2655" s="13" t="n">
        <v>46069</v>
      </c>
      <c r="I2655" s="14" t="n">
        <v>1.1855</v>
      </c>
      <c r="J2655" s="14" t="n">
        <v>11.2665</v>
      </c>
      <c r="K2655" s="14" t="n">
        <v>1708.8</v>
      </c>
      <c r="L2655" s="14" t="n">
        <v>0.869</v>
      </c>
      <c r="M2655" s="14" t="n">
        <v>8.1902</v>
      </c>
      <c r="N2655" s="14" t="n">
        <v>6.1935</v>
      </c>
      <c r="O2655" s="14" t="n">
        <v>181.79</v>
      </c>
      <c r="P2655" s="14" t="n">
        <v>9.5036</v>
      </c>
    </row>
    <row r="2656" customFormat="false" ht="15" hidden="false" customHeight="false" outlineLevel="0" collapsed="false">
      <c r="A2656" s="13" t="n">
        <v>46070</v>
      </c>
      <c r="B2656" s="14" t="n">
        <v>1444.43</v>
      </c>
      <c r="C2656" s="14" t="n">
        <v>9.5692</v>
      </c>
      <c r="D2656" s="14" t="n">
        <v>1.354</v>
      </c>
      <c r="E2656" s="14" t="n">
        <v>1.1831</v>
      </c>
      <c r="F2656" s="14" t="n">
        <v>6.9031</v>
      </c>
      <c r="G2656" s="14" t="n">
        <v>5.2228</v>
      </c>
      <c r="H2656" s="14" t="n">
        <v>153.57</v>
      </c>
      <c r="I2656" s="14" t="n">
        <v>1.1826</v>
      </c>
      <c r="J2656" s="14" t="n">
        <v>11.2815</v>
      </c>
      <c r="K2656" s="14" t="n">
        <v>1709.83</v>
      </c>
      <c r="L2656" s="14" t="n">
        <v>0.8733</v>
      </c>
      <c r="M2656" s="14" t="n">
        <v>8.1702</v>
      </c>
      <c r="N2656" s="14" t="n">
        <v>6.1788</v>
      </c>
      <c r="O2656" s="14" t="n">
        <v>181.06</v>
      </c>
      <c r="P2656" s="14" t="n">
        <v>9.5396</v>
      </c>
    </row>
    <row r="2657" customFormat="false" ht="15" hidden="false" customHeight="false" outlineLevel="0" collapsed="false">
      <c r="A2657" s="13" t="n">
        <v>46071</v>
      </c>
      <c r="B2657" s="14" t="n">
        <v>1445.15</v>
      </c>
      <c r="C2657" s="14" t="n">
        <v>9.5064</v>
      </c>
      <c r="D2657" s="14" t="n">
        <v>1.3536</v>
      </c>
      <c r="E2657" s="14" t="n">
        <v>1.181</v>
      </c>
      <c r="F2657" s="14" t="n">
        <v>6.9031</v>
      </c>
      <c r="G2657" s="14" t="n">
        <v>5.215</v>
      </c>
      <c r="H2657" s="14" t="n">
        <v>154.45</v>
      </c>
      <c r="I2657" s="14" t="n">
        <v>1.1845</v>
      </c>
      <c r="J2657" s="14" t="n">
        <v>11.2285</v>
      </c>
      <c r="K2657" s="14" t="n">
        <v>1712.66</v>
      </c>
      <c r="L2657" s="14" t="n">
        <v>0.8724</v>
      </c>
      <c r="M2657" s="14" t="n">
        <v>8.1833</v>
      </c>
      <c r="N2657" s="14" t="n">
        <v>6.1865</v>
      </c>
      <c r="O2657" s="14" t="n">
        <v>181.99</v>
      </c>
      <c r="P2657" s="14" t="n">
        <v>9.4795</v>
      </c>
    </row>
    <row r="2658" customFormat="false" ht="15" hidden="false" customHeight="false" outlineLevel="0" collapsed="false">
      <c r="A2658" s="13" t="n">
        <v>46072</v>
      </c>
      <c r="B2658" s="14" t="n">
        <v>1450.1</v>
      </c>
      <c r="C2658" s="14" t="n">
        <v>9.5765</v>
      </c>
      <c r="D2658" s="14" t="n">
        <v>1.3446</v>
      </c>
      <c r="E2658" s="14" t="n">
        <v>1.1762</v>
      </c>
      <c r="F2658" s="14" t="n">
        <v>6.9031</v>
      </c>
      <c r="G2658" s="14" t="n">
        <v>5.2244</v>
      </c>
      <c r="H2658" s="14" t="n">
        <v>154.96</v>
      </c>
      <c r="I2658" s="14" t="n">
        <v>1.1753</v>
      </c>
      <c r="J2658" s="14" t="n">
        <v>11.253</v>
      </c>
      <c r="K2658" s="14" t="n">
        <v>1703.81</v>
      </c>
      <c r="L2658" s="14" t="n">
        <v>0.8738</v>
      </c>
      <c r="M2658" s="14" t="n">
        <v>8.1197</v>
      </c>
      <c r="N2658" s="14" t="n">
        <v>6.1519</v>
      </c>
      <c r="O2658" s="14" t="n">
        <v>182.05</v>
      </c>
      <c r="P2658" s="14" t="n">
        <v>9.5746</v>
      </c>
    </row>
    <row r="2659" customFormat="false" ht="15" hidden="false" customHeight="false" outlineLevel="0" collapsed="false">
      <c r="A2659" s="13" t="n">
        <v>46073</v>
      </c>
      <c r="B2659" s="14" t="n">
        <v>1445.97</v>
      </c>
      <c r="C2659" s="14" t="n">
        <v>9.5238</v>
      </c>
      <c r="D2659" s="14" t="n">
        <v>1.35</v>
      </c>
      <c r="E2659" s="14" t="n">
        <v>1.1781</v>
      </c>
      <c r="F2659" s="14" t="n">
        <v>6.9031</v>
      </c>
      <c r="G2659" s="14" t="n">
        <v>5.186</v>
      </c>
      <c r="H2659" s="14" t="n">
        <v>154.99</v>
      </c>
      <c r="I2659" s="14" t="n">
        <v>1.1767</v>
      </c>
      <c r="J2659" s="14" t="n">
        <v>11.254</v>
      </c>
      <c r="K2659" s="14" t="n">
        <v>1705.81</v>
      </c>
      <c r="L2659" s="14" t="n">
        <v>0.8728</v>
      </c>
      <c r="M2659" s="14" t="n">
        <v>8.1294</v>
      </c>
      <c r="N2659" s="14" t="n">
        <v>6.1358</v>
      </c>
      <c r="O2659" s="14" t="n">
        <v>182.63</v>
      </c>
      <c r="P2659" s="14" t="n">
        <v>9.564</v>
      </c>
    </row>
    <row r="2660" customFormat="false" ht="15" hidden="false" customHeight="false" outlineLevel="0" collapsed="false">
      <c r="A2660" s="13" t="n">
        <v>46076</v>
      </c>
      <c r="B2660" s="14" t="n">
        <v>1442.62</v>
      </c>
      <c r="C2660" s="14" t="n">
        <v>9.5604</v>
      </c>
      <c r="D2660" s="14" t="n">
        <v>1.3509</v>
      </c>
      <c r="E2660" s="14" t="n">
        <v>1.1804</v>
      </c>
      <c r="F2660" s="14" t="n">
        <v>6.9031</v>
      </c>
      <c r="G2660" s="14" t="n">
        <v>5.154</v>
      </c>
      <c r="H2660" s="14" t="n">
        <v>154.3</v>
      </c>
      <c r="I2660" s="14" t="n">
        <v>1.1784</v>
      </c>
      <c r="J2660" s="14" t="n">
        <v>11.2585</v>
      </c>
      <c r="K2660" s="14" t="n">
        <v>1701.08</v>
      </c>
      <c r="L2660" s="14" t="n">
        <v>0.8734</v>
      </c>
      <c r="M2660" s="14" t="n">
        <v>8.1412</v>
      </c>
      <c r="N2660" s="14" t="n">
        <v>6.1059</v>
      </c>
      <c r="O2660" s="14" t="n">
        <v>182.44</v>
      </c>
      <c r="P2660" s="14" t="n">
        <v>9.5541</v>
      </c>
    </row>
    <row r="2661" customFormat="false" ht="15" hidden="false" customHeight="false" outlineLevel="0" collapsed="false">
      <c r="A2661" s="13" t="n">
        <v>46077</v>
      </c>
      <c r="B2661" s="14" t="n">
        <v>1440.45</v>
      </c>
      <c r="C2661" s="14" t="n">
        <v>9.5502</v>
      </c>
      <c r="D2661" s="14" t="n">
        <v>1.3531</v>
      </c>
      <c r="E2661" s="14" t="n">
        <v>1.1789</v>
      </c>
      <c r="F2661" s="14" t="n">
        <v>6.883</v>
      </c>
      <c r="G2661" s="14" t="n">
        <v>5.1471</v>
      </c>
      <c r="H2661" s="14" t="n">
        <v>155.66</v>
      </c>
      <c r="I2661" s="14" t="n">
        <v>1.1777</v>
      </c>
      <c r="J2661" s="14" t="n">
        <v>11.2575</v>
      </c>
      <c r="K2661" s="14" t="n">
        <v>1699.77</v>
      </c>
      <c r="L2661" s="14" t="n">
        <v>0.8731</v>
      </c>
      <c r="M2661" s="14" t="n">
        <v>8.1046</v>
      </c>
      <c r="N2661" s="14" t="n">
        <v>6.0968</v>
      </c>
      <c r="O2661" s="14" t="n">
        <v>183.53</v>
      </c>
      <c r="P2661" s="14" t="n">
        <v>9.5589</v>
      </c>
    </row>
    <row r="2662" customFormat="false" ht="15" hidden="false" customHeight="false" outlineLevel="0" collapsed="false">
      <c r="A2662" s="13" t="n">
        <v>46078</v>
      </c>
      <c r="B2662" s="14" t="n">
        <v>1427.12</v>
      </c>
      <c r="C2662" s="14" t="n">
        <v>9.5506</v>
      </c>
      <c r="D2662" s="14" t="n">
        <v>1.3552</v>
      </c>
      <c r="E2662" s="14" t="n">
        <v>1.1804</v>
      </c>
      <c r="F2662" s="14" t="n">
        <v>6.8692</v>
      </c>
      <c r="G2662" s="14" t="n">
        <v>5.1374</v>
      </c>
      <c r="H2662" s="14" t="n">
        <v>156.3</v>
      </c>
      <c r="I2662" s="14" t="n">
        <v>1.1784</v>
      </c>
      <c r="J2662" s="14" t="n">
        <v>11.2955</v>
      </c>
      <c r="K2662" s="14" t="n">
        <v>1682.64</v>
      </c>
      <c r="L2662" s="14" t="n">
        <v>0.8714</v>
      </c>
      <c r="M2662" s="14" t="n">
        <v>8.095</v>
      </c>
      <c r="N2662" s="14" t="n">
        <v>6.0437</v>
      </c>
      <c r="O2662" s="14" t="n">
        <v>184.7</v>
      </c>
      <c r="P2662" s="14" t="n">
        <v>9.5855</v>
      </c>
    </row>
    <row r="2663" customFormat="false" ht="15" hidden="false" customHeight="false" outlineLevel="0" collapsed="false">
      <c r="A2663" s="13" t="n">
        <v>46079</v>
      </c>
      <c r="B2663" s="14" t="n">
        <v>1433.32</v>
      </c>
      <c r="C2663" s="14" t="n">
        <v>9.5457</v>
      </c>
      <c r="D2663" s="14" t="n">
        <v>1.3504</v>
      </c>
      <c r="E2663" s="14" t="n">
        <v>1.1792</v>
      </c>
      <c r="F2663" s="14" t="n">
        <v>6.8409</v>
      </c>
      <c r="G2663" s="14" t="n">
        <v>5.1524</v>
      </c>
      <c r="H2663" s="14" t="n">
        <v>156.13</v>
      </c>
      <c r="I2663" s="14" t="n">
        <v>1.1814</v>
      </c>
      <c r="J2663" s="14" t="n">
        <v>11.293</v>
      </c>
      <c r="K2663" s="14" t="n">
        <v>1684.25</v>
      </c>
      <c r="L2663" s="14" t="n">
        <v>0.8719</v>
      </c>
      <c r="M2663" s="14" t="n">
        <v>8.0823</v>
      </c>
      <c r="N2663" s="14" t="n">
        <v>6.0556</v>
      </c>
      <c r="O2663" s="14" t="n">
        <v>184.37</v>
      </c>
      <c r="P2663" s="14" t="n">
        <v>9.559</v>
      </c>
    </row>
    <row r="2664" customFormat="false" ht="15" hidden="false" customHeight="false" outlineLevel="0" collapsed="false">
      <c r="A2664" s="13" t="n">
        <v>46080</v>
      </c>
      <c r="B2664" s="14" t="n">
        <v>1439.82</v>
      </c>
      <c r="C2664" s="14" t="n">
        <v>9.5095</v>
      </c>
      <c r="D2664" s="14" t="n">
        <v>1.3455</v>
      </c>
      <c r="E2664" s="14" t="n">
        <v>1.1822</v>
      </c>
      <c r="F2664" s="14" t="n">
        <v>6.8579</v>
      </c>
      <c r="G2664" s="14" t="n">
        <v>5.1369</v>
      </c>
      <c r="H2664" s="14" t="n">
        <v>156.05</v>
      </c>
      <c r="I2664" s="14" t="n">
        <v>1.1805</v>
      </c>
      <c r="J2664" s="14" t="n">
        <v>11.2085</v>
      </c>
      <c r="K2664" s="14" t="n">
        <v>1702.25</v>
      </c>
      <c r="L2664" s="14" t="n">
        <v>0.8763</v>
      </c>
      <c r="M2664" s="14" t="n">
        <v>8.0961</v>
      </c>
      <c r="N2664" s="14" t="n">
        <v>6.0862</v>
      </c>
      <c r="O2664" s="14" t="n">
        <v>184.13</v>
      </c>
      <c r="P2664" s="14" t="n">
        <v>9.4947</v>
      </c>
    </row>
    <row r="2665" customFormat="false" ht="15" hidden="false" customHeight="false" outlineLevel="0" collapsed="false">
      <c r="A2665" s="13" t="n">
        <v>46083</v>
      </c>
      <c r="B2665" s="14" t="n">
        <v>1439.8</v>
      </c>
      <c r="C2665" s="14" t="n">
        <v>9.5941</v>
      </c>
      <c r="D2665" s="14" t="n">
        <v>1.3393</v>
      </c>
      <c r="E2665" s="14" t="n">
        <v>1.169</v>
      </c>
      <c r="F2665" s="14" t="n">
        <v>6.8821</v>
      </c>
      <c r="G2665" s="14" t="n">
        <v>5.1901</v>
      </c>
      <c r="H2665" s="14" t="n">
        <v>157.48</v>
      </c>
      <c r="I2665" s="14" t="n">
        <v>1.1698</v>
      </c>
      <c r="J2665" s="14" t="n">
        <v>11.191</v>
      </c>
      <c r="K2665" s="14" t="n">
        <v>1710.38</v>
      </c>
      <c r="L2665" s="14" t="n">
        <v>0.8739</v>
      </c>
      <c r="M2665" s="14" t="n">
        <v>8.0512</v>
      </c>
      <c r="N2665" s="14" t="n">
        <v>6.0908</v>
      </c>
      <c r="O2665" s="14" t="n">
        <v>184.19</v>
      </c>
      <c r="P2665" s="14" t="n">
        <v>9.5666</v>
      </c>
    </row>
    <row r="2666" customFormat="false" ht="15" hidden="false" customHeight="false" outlineLevel="0" collapsed="false">
      <c r="A2666" s="13" t="n">
        <v>46084</v>
      </c>
      <c r="B2666" s="14" t="n">
        <v>1485.6</v>
      </c>
      <c r="C2666" s="14" t="n">
        <v>9.6968</v>
      </c>
      <c r="D2666" s="14" t="n">
        <v>1.333</v>
      </c>
      <c r="E2666" s="14" t="n">
        <v>1.1604</v>
      </c>
      <c r="F2666" s="14" t="n">
        <v>6.8996</v>
      </c>
      <c r="G2666" s="14" t="n">
        <v>5.2732</v>
      </c>
      <c r="H2666" s="14" t="n">
        <v>157.69</v>
      </c>
      <c r="I2666" s="14" t="n">
        <v>1.1606</v>
      </c>
      <c r="J2666" s="14" t="n">
        <v>11.2485</v>
      </c>
      <c r="K2666" s="14" t="n">
        <v>1715.95</v>
      </c>
      <c r="L2666" s="14" t="n">
        <v>0.8717</v>
      </c>
      <c r="M2666" s="14" t="n">
        <v>8.017</v>
      </c>
      <c r="N2666" s="14" t="n">
        <v>6.0855</v>
      </c>
      <c r="O2666" s="14" t="n">
        <v>182.98</v>
      </c>
      <c r="P2666" s="14" t="n">
        <v>9.692</v>
      </c>
    </row>
    <row r="2667" customFormat="false" ht="15" hidden="false" customHeight="false" outlineLevel="0" collapsed="false">
      <c r="A2667" s="13" t="n">
        <v>46085</v>
      </c>
      <c r="B2667" s="14" t="n">
        <v>1462.7</v>
      </c>
      <c r="C2667" s="14" t="n">
        <v>9.6308</v>
      </c>
      <c r="D2667" s="14" t="n">
        <v>1.337</v>
      </c>
      <c r="E2667" s="14" t="n">
        <v>1.1638</v>
      </c>
      <c r="F2667" s="14" t="n">
        <v>6.8969</v>
      </c>
      <c r="G2667" s="14" t="n">
        <v>5.2125</v>
      </c>
      <c r="H2667" s="14" t="n">
        <v>156.93</v>
      </c>
      <c r="I2667" s="14" t="n">
        <v>1.1649</v>
      </c>
      <c r="J2667" s="14" t="n">
        <v>11.2385</v>
      </c>
      <c r="K2667" s="14" t="n">
        <v>1706.34</v>
      </c>
      <c r="L2667" s="14" t="n">
        <v>0.8705</v>
      </c>
      <c r="M2667" s="14" t="n">
        <v>8.0347</v>
      </c>
      <c r="N2667" s="14" t="n">
        <v>6.0805</v>
      </c>
      <c r="O2667" s="14" t="n">
        <v>183.02</v>
      </c>
      <c r="P2667" s="14" t="n">
        <v>9.6476</v>
      </c>
    </row>
    <row r="2668" customFormat="false" ht="15" hidden="false" customHeight="false" outlineLevel="0" collapsed="false">
      <c r="A2668" s="13" t="n">
        <v>46086</v>
      </c>
      <c r="B2668" s="14" t="n">
        <v>1483.36</v>
      </c>
      <c r="C2668" s="14" t="n">
        <v>9.6838</v>
      </c>
      <c r="D2668" s="14" t="n">
        <v>1.332</v>
      </c>
      <c r="E2668" s="14" t="n">
        <v>1.1585</v>
      </c>
      <c r="F2668" s="14" t="n">
        <v>6.8912</v>
      </c>
      <c r="G2668" s="14" t="n">
        <v>5.2585</v>
      </c>
      <c r="H2668" s="14" t="n">
        <v>157.58</v>
      </c>
      <c r="I2668" s="14" t="n">
        <v>1.1618</v>
      </c>
      <c r="J2668" s="14" t="n">
        <v>11.214</v>
      </c>
      <c r="K2668" s="14" t="n">
        <v>1714.57</v>
      </c>
      <c r="L2668" s="14" t="n">
        <v>0.8695</v>
      </c>
      <c r="M2668" s="14" t="n">
        <v>8.0177</v>
      </c>
      <c r="N2668" s="14" t="n">
        <v>6.0976</v>
      </c>
      <c r="O2668" s="14" t="n">
        <v>183.03</v>
      </c>
      <c r="P2668" s="14" t="n">
        <v>9.6523</v>
      </c>
    </row>
    <row r="2669" customFormat="false" ht="15" hidden="false" customHeight="false" outlineLevel="0" collapsed="false">
      <c r="A2669" s="13" t="n">
        <v>46087</v>
      </c>
      <c r="B2669" s="14" t="n">
        <v>1482.98</v>
      </c>
      <c r="C2669" s="14" t="n">
        <v>9.5795</v>
      </c>
      <c r="D2669" s="14" t="n">
        <v>1.3398</v>
      </c>
      <c r="E2669" s="14" t="n">
        <v>1.1606</v>
      </c>
      <c r="F2669" s="14" t="n">
        <v>6.8965</v>
      </c>
      <c r="G2669" s="14" t="n">
        <v>5.2698</v>
      </c>
      <c r="H2669" s="14" t="n">
        <v>157.64</v>
      </c>
      <c r="I2669" s="14" t="n">
        <v>1.1561</v>
      </c>
      <c r="J2669" s="14" t="n">
        <v>11.1725</v>
      </c>
      <c r="K2669" s="14" t="n">
        <v>1717.02</v>
      </c>
      <c r="L2669" s="14" t="n">
        <v>0.86693</v>
      </c>
      <c r="M2669" s="14" t="n">
        <v>7.9825</v>
      </c>
      <c r="N2669" s="14" t="n">
        <v>6.1002</v>
      </c>
      <c r="O2669" s="14" t="n">
        <v>182.57</v>
      </c>
      <c r="P2669" s="14" t="n">
        <v>9.664</v>
      </c>
    </row>
    <row r="2670" customFormat="false" ht="15" hidden="false" customHeight="false" outlineLevel="0" collapsed="false">
      <c r="A2670" s="13" t="n">
        <v>46090</v>
      </c>
      <c r="B2670" s="14" t="n">
        <v>1478.15</v>
      </c>
      <c r="C2670" s="14" t="n">
        <v>9.6287</v>
      </c>
      <c r="D2670" s="14" t="n">
        <v>1.3395</v>
      </c>
      <c r="E2670" s="14" t="n">
        <v>1.1592</v>
      </c>
      <c r="F2670" s="14" t="n">
        <v>6.9066</v>
      </c>
      <c r="G2670" s="14" t="n">
        <v>5.2099</v>
      </c>
      <c r="H2670" s="14" t="n">
        <v>158.08</v>
      </c>
      <c r="I2670" s="14" t="n">
        <v>1.1555</v>
      </c>
      <c r="J2670" s="14" t="n">
        <v>11.1545</v>
      </c>
      <c r="K2670" s="14" t="n">
        <v>1716.06</v>
      </c>
      <c r="L2670" s="14" t="n">
        <v>0.8653</v>
      </c>
      <c r="M2670" s="14" t="n">
        <v>7.9929</v>
      </c>
      <c r="N2670" s="14" t="n">
        <v>6.0435</v>
      </c>
      <c r="O2670" s="14" t="n">
        <v>183.15</v>
      </c>
      <c r="P2670" s="14" t="n">
        <v>9.6534</v>
      </c>
    </row>
    <row r="2671" customFormat="false" ht="15" hidden="false" customHeight="false" outlineLevel="0" collapsed="false">
      <c r="A2671" s="13" t="n">
        <v>46091</v>
      </c>
      <c r="B2671" s="14" t="n">
        <v>1465.29</v>
      </c>
      <c r="C2671" s="14" t="n">
        <v>9.6007</v>
      </c>
      <c r="D2671" s="14" t="n">
        <v>1.346</v>
      </c>
      <c r="E2671" s="14" t="n">
        <v>1.1648</v>
      </c>
      <c r="F2671" s="14" t="n">
        <v>6.8766</v>
      </c>
      <c r="G2671" s="14" t="n">
        <v>5.1405</v>
      </c>
      <c r="H2671" s="14" t="n">
        <v>157.6</v>
      </c>
      <c r="I2671" s="14" t="n">
        <v>1.1641</v>
      </c>
      <c r="J2671" s="14" t="n">
        <v>11.147</v>
      </c>
      <c r="K2671" s="14" t="n">
        <v>1711.37</v>
      </c>
      <c r="L2671" s="14" t="n">
        <v>0.86545</v>
      </c>
      <c r="M2671" s="14" t="n">
        <v>8.0057</v>
      </c>
      <c r="N2671" s="14" t="n">
        <v>6.0276</v>
      </c>
      <c r="O2671" s="14" t="n">
        <v>183.67</v>
      </c>
      <c r="P2671" s="14" t="n">
        <v>9.5756</v>
      </c>
    </row>
    <row r="2672" customFormat="false" ht="15" hidden="false" customHeight="false" outlineLevel="0" collapsed="false">
      <c r="A2672" s="13" t="n">
        <v>46092</v>
      </c>
      <c r="B2672" s="14" t="n">
        <v>1474.94</v>
      </c>
      <c r="C2672" s="14" t="n">
        <v>9.6472</v>
      </c>
      <c r="D2672" s="14" t="n">
        <v>1.3399</v>
      </c>
      <c r="E2672" s="14" t="n">
        <v>1.1566</v>
      </c>
      <c r="F2672" s="14" t="n">
        <v>6.8655</v>
      </c>
      <c r="G2672" s="14" t="n">
        <v>5.157</v>
      </c>
      <c r="H2672" s="14" t="n">
        <v>158.83</v>
      </c>
      <c r="I2672" s="14" t="n">
        <v>1.1581</v>
      </c>
      <c r="J2672" s="14" t="n">
        <v>11.17</v>
      </c>
      <c r="K2672" s="14" t="n">
        <v>1710.64</v>
      </c>
      <c r="L2672" s="14" t="n">
        <v>0.86363</v>
      </c>
      <c r="M2672" s="14" t="n">
        <v>7.9518</v>
      </c>
      <c r="N2672" s="14" t="n">
        <v>5.9887</v>
      </c>
      <c r="O2672" s="14" t="n">
        <v>183.63</v>
      </c>
      <c r="P2672" s="14" t="n">
        <v>9.6451</v>
      </c>
    </row>
    <row r="2673" customFormat="false" ht="15" hidden="false" customHeight="false" outlineLevel="0" collapsed="false">
      <c r="A2673" s="13" t="n">
        <v>46093</v>
      </c>
      <c r="B2673" s="14" t="n">
        <v>1491.81</v>
      </c>
      <c r="C2673" s="14" t="n">
        <v>9.676</v>
      </c>
      <c r="D2673" s="14" t="n">
        <v>1.335</v>
      </c>
      <c r="E2673" s="14" t="n">
        <v>1.1522</v>
      </c>
      <c r="F2673" s="14" t="n">
        <v>6.8689</v>
      </c>
      <c r="G2673" s="14" t="n">
        <v>5.214</v>
      </c>
      <c r="H2673" s="14" t="n">
        <v>159.21</v>
      </c>
      <c r="I2673" s="14" t="n">
        <v>1.1547</v>
      </c>
      <c r="J2673" s="14" t="n">
        <v>11.1575</v>
      </c>
      <c r="K2673" s="14" t="n">
        <v>1709.93</v>
      </c>
      <c r="L2673" s="14" t="n">
        <v>0.86243</v>
      </c>
      <c r="M2673" s="14" t="n">
        <v>7.9316</v>
      </c>
      <c r="N2673" s="14" t="n">
        <v>5.9607</v>
      </c>
      <c r="O2673" s="14" t="n">
        <v>183.43</v>
      </c>
      <c r="P2673" s="14" t="n">
        <v>9.6627</v>
      </c>
    </row>
    <row r="2674" customFormat="false" ht="15" hidden="false" customHeight="false" outlineLevel="0" collapsed="false">
      <c r="A2674" s="13" t="n">
        <v>46094</v>
      </c>
      <c r="B2674" s="14" t="n">
        <v>1498.88</v>
      </c>
      <c r="C2674" s="14" t="n">
        <v>9.7425</v>
      </c>
      <c r="D2674" s="14" t="n">
        <v>1.324</v>
      </c>
      <c r="E2674" s="14" t="n">
        <v>1.1444</v>
      </c>
      <c r="F2674" s="14" t="n">
        <v>6.8961</v>
      </c>
      <c r="G2674" s="14" t="n">
        <v>5.2914</v>
      </c>
      <c r="H2674" s="14" t="n">
        <v>159.54</v>
      </c>
      <c r="I2674" s="14" t="n">
        <v>1.1476</v>
      </c>
      <c r="J2674" s="14" t="n">
        <v>11.159</v>
      </c>
      <c r="K2674" s="14" t="n">
        <v>1711.87</v>
      </c>
      <c r="L2674" s="14" t="n">
        <v>0.86503</v>
      </c>
      <c r="M2674" s="14" t="n">
        <v>7.9145</v>
      </c>
      <c r="N2674" s="14" t="n">
        <v>6.0172</v>
      </c>
      <c r="O2674" s="14" t="n">
        <v>182.85</v>
      </c>
      <c r="P2674" s="14" t="n">
        <v>9.7238</v>
      </c>
    </row>
    <row r="2675" customFormat="false" ht="15" hidden="false" customHeight="false" outlineLevel="0" collapsed="false">
      <c r="A2675" s="13" t="n">
        <v>46097</v>
      </c>
      <c r="B2675" s="14" t="n">
        <v>1493.01</v>
      </c>
      <c r="C2675" s="14" t="n">
        <v>9.683</v>
      </c>
      <c r="D2675" s="14" t="n">
        <v>1.3302</v>
      </c>
      <c r="E2675" s="14" t="n">
        <v>1.1487</v>
      </c>
      <c r="F2675" s="14" t="n">
        <v>6.8955</v>
      </c>
      <c r="G2675" s="14" t="n">
        <v>5.2661</v>
      </c>
      <c r="H2675" s="14" t="n">
        <v>159.3</v>
      </c>
      <c r="I2675" s="14" t="n">
        <v>1.1478</v>
      </c>
      <c r="J2675" s="14" t="n">
        <v>11.149</v>
      </c>
      <c r="K2675" s="14" t="n">
        <v>1711.08</v>
      </c>
      <c r="L2675" s="14" t="n">
        <v>0.86408</v>
      </c>
      <c r="M2675" s="14" t="n">
        <v>7.9154</v>
      </c>
      <c r="N2675" s="14" t="n">
        <v>6.0492</v>
      </c>
      <c r="O2675" s="14" t="n">
        <v>182.66</v>
      </c>
      <c r="P2675" s="14" t="n">
        <v>9.7134</v>
      </c>
    </row>
    <row r="2676" customFormat="false" ht="15" hidden="false" customHeight="false" outlineLevel="0" collapsed="false">
      <c r="A2676" s="13" t="n">
        <v>46098</v>
      </c>
      <c r="B2676" s="14" t="n">
        <v>1488.68</v>
      </c>
      <c r="C2676" s="14" t="n">
        <v>9.5938</v>
      </c>
      <c r="D2676" s="14" t="n">
        <v>1.3345</v>
      </c>
      <c r="E2676" s="14" t="n">
        <v>1.1525</v>
      </c>
      <c r="F2676" s="14" t="n">
        <v>6.8863</v>
      </c>
      <c r="G2676" s="14" t="n">
        <v>5.1971</v>
      </c>
      <c r="H2676" s="14" t="n">
        <v>159.03</v>
      </c>
      <c r="I2676" s="14" t="n">
        <v>1.1531</v>
      </c>
      <c r="J2676" s="14" t="n">
        <v>11.073</v>
      </c>
      <c r="K2676" s="14" t="n">
        <v>1714.87</v>
      </c>
      <c r="L2676" s="14" t="n">
        <v>0.8643</v>
      </c>
      <c r="M2676" s="14" t="n">
        <v>7.9412</v>
      </c>
      <c r="N2676" s="14" t="n">
        <v>6.0064</v>
      </c>
      <c r="O2676" s="14" t="n">
        <v>183.29</v>
      </c>
      <c r="P2676" s="14" t="n">
        <v>9.6028</v>
      </c>
    </row>
    <row r="2677" customFormat="false" ht="15" hidden="false" customHeight="false" outlineLevel="0" collapsed="false">
      <c r="A2677" s="13" t="n">
        <v>46099</v>
      </c>
      <c r="B2677" s="14" t="n">
        <v>1500.19</v>
      </c>
      <c r="C2677" s="14" t="n">
        <v>9.5772</v>
      </c>
      <c r="D2677" s="14" t="n">
        <v>1.3323</v>
      </c>
      <c r="E2677" s="14" t="n">
        <v>1.1513</v>
      </c>
      <c r="F2677" s="14" t="n">
        <v>6.8726</v>
      </c>
      <c r="G2677" s="14" t="n">
        <v>5.2013</v>
      </c>
      <c r="H2677" s="14" t="n">
        <v>159.48</v>
      </c>
      <c r="I2677" s="14" t="n">
        <v>1.15</v>
      </c>
      <c r="J2677" s="14" t="n">
        <v>11.0205</v>
      </c>
      <c r="K2677" s="14" t="n">
        <v>1729.08</v>
      </c>
      <c r="L2677" s="14" t="n">
        <v>0.86393</v>
      </c>
      <c r="M2677" s="14" t="n">
        <v>7.9214</v>
      </c>
      <c r="N2677" s="14" t="n">
        <v>6.0079</v>
      </c>
      <c r="O2677" s="14" t="n">
        <v>183.49</v>
      </c>
      <c r="P2677" s="14" t="n">
        <v>9.583</v>
      </c>
    </row>
    <row r="2678" customFormat="false" ht="15" hidden="false" customHeight="false" outlineLevel="0" collapsed="false">
      <c r="A2678" s="13" t="n">
        <v>46100</v>
      </c>
      <c r="B2678" s="14" t="n">
        <v>1495.88</v>
      </c>
      <c r="C2678" s="14" t="n">
        <v>9.5353</v>
      </c>
      <c r="D2678" s="14" t="n">
        <v>1.3361</v>
      </c>
      <c r="E2678" s="14" t="n">
        <v>1.1515</v>
      </c>
      <c r="F2678" s="14" t="n">
        <v>6.8998</v>
      </c>
      <c r="G2678" s="14" t="n">
        <v>5.2449</v>
      </c>
      <c r="H2678" s="14" t="n">
        <v>158.19</v>
      </c>
      <c r="I2678" s="14" t="n">
        <v>1.1489</v>
      </c>
      <c r="J2678" s="14" t="n">
        <v>10.996</v>
      </c>
      <c r="K2678" s="14" t="n">
        <v>1725.2</v>
      </c>
      <c r="L2678" s="14" t="n">
        <v>0.86388</v>
      </c>
      <c r="M2678" s="14" t="n">
        <v>7.9279</v>
      </c>
      <c r="N2678" s="14" t="n">
        <v>6.0877</v>
      </c>
      <c r="O2678" s="14" t="n">
        <v>182.46</v>
      </c>
      <c r="P2678" s="14" t="n">
        <v>9.5709</v>
      </c>
    </row>
    <row r="2679" customFormat="false" ht="15" hidden="false" customHeight="false" outlineLevel="0" collapsed="false">
      <c r="A2679" s="13" t="n">
        <v>46101</v>
      </c>
      <c r="B2679" s="14" t="n">
        <v>1504.15</v>
      </c>
      <c r="C2679" s="14" t="n">
        <v>9.5782</v>
      </c>
      <c r="D2679" s="14" t="n">
        <v>1.3303</v>
      </c>
      <c r="E2679" s="14" t="n">
        <v>1.1543</v>
      </c>
      <c r="F2679" s="14" t="n">
        <v>6.8857</v>
      </c>
      <c r="G2679" s="14" t="n">
        <v>5.2896</v>
      </c>
      <c r="H2679" s="14" t="n">
        <v>159.26</v>
      </c>
      <c r="I2679" s="14" t="n">
        <v>1.1555</v>
      </c>
      <c r="J2679" s="14" t="n">
        <v>11.029</v>
      </c>
      <c r="K2679" s="14" t="n">
        <v>1734.17</v>
      </c>
      <c r="L2679" s="14" t="n">
        <v>0.86438</v>
      </c>
      <c r="M2679" s="14" t="n">
        <v>7.9664</v>
      </c>
      <c r="N2679" s="14" t="n">
        <v>6.0724</v>
      </c>
      <c r="O2679" s="14" t="n">
        <v>183.46</v>
      </c>
      <c r="P2679" s="14" t="n">
        <v>9.5448</v>
      </c>
    </row>
    <row r="2680" customFormat="false" ht="15" hidden="false" customHeight="false" outlineLevel="0" collapsed="false">
      <c r="A2680" s="13" t="n">
        <v>46104</v>
      </c>
      <c r="B2680" s="14" t="n">
        <v>1492.07</v>
      </c>
      <c r="C2680" s="14" t="n">
        <v>9.7374</v>
      </c>
      <c r="D2680" s="14" t="n">
        <v>1.3385</v>
      </c>
      <c r="E2680" s="14" t="n">
        <v>1.1587</v>
      </c>
      <c r="F2680" s="14" t="n">
        <v>6.8807</v>
      </c>
      <c r="G2680" s="14" t="n">
        <v>5.246</v>
      </c>
      <c r="H2680" s="14" t="n">
        <v>158.7</v>
      </c>
      <c r="I2680" s="14" t="n">
        <v>1.1596</v>
      </c>
      <c r="J2680" s="14" t="n">
        <v>11.285</v>
      </c>
      <c r="K2680" s="14" t="n">
        <v>1724.93</v>
      </c>
      <c r="L2680" s="14" t="n">
        <v>0.8642</v>
      </c>
      <c r="M2680" s="14" t="n">
        <v>7.9916</v>
      </c>
      <c r="N2680" s="14" t="n">
        <v>6.0989</v>
      </c>
      <c r="O2680" s="14" t="n">
        <v>183.86</v>
      </c>
      <c r="P2680" s="14" t="n">
        <v>9.7318</v>
      </c>
    </row>
    <row r="2681" customFormat="false" ht="15" hidden="false" customHeight="false" outlineLevel="0" collapsed="false">
      <c r="A2681" s="13" t="n">
        <v>46105</v>
      </c>
      <c r="B2681" s="14" t="n">
        <v>1496.95</v>
      </c>
      <c r="C2681" s="14" t="n">
        <v>9.6913</v>
      </c>
      <c r="D2681" s="14" t="n">
        <v>1.3383</v>
      </c>
      <c r="E2681" s="14" t="n">
        <v>1.1578</v>
      </c>
      <c r="F2681" s="14" t="n">
        <v>6.8918</v>
      </c>
      <c r="G2681" s="14" t="n">
        <v>5.2617</v>
      </c>
      <c r="H2681" s="14" t="n">
        <v>158.9</v>
      </c>
      <c r="I2681" s="14" t="n">
        <v>1.1572</v>
      </c>
      <c r="J2681" s="14" t="n">
        <v>11.2305</v>
      </c>
      <c r="K2681" s="14" t="n">
        <v>1734.48</v>
      </c>
      <c r="L2681" s="14" t="n">
        <v>0.86541</v>
      </c>
      <c r="M2681" s="14" t="n">
        <v>7.977</v>
      </c>
      <c r="N2681" s="14" t="n">
        <v>6.0949</v>
      </c>
      <c r="O2681" s="14" t="n">
        <v>183.91</v>
      </c>
      <c r="P2681" s="14" t="n">
        <v>9.7049</v>
      </c>
    </row>
    <row r="2682" customFormat="false" ht="15" hidden="false" customHeight="false" outlineLevel="0" collapsed="false">
      <c r="A2682" s="13" t="n">
        <v>46106</v>
      </c>
      <c r="B2682" s="14" t="n">
        <v>1500.32</v>
      </c>
      <c r="C2682" s="14" t="n">
        <v>9.6948</v>
      </c>
      <c r="D2682" s="14" t="n">
        <v>1.3373</v>
      </c>
      <c r="E2682" s="14" t="n">
        <v>1.157</v>
      </c>
      <c r="F2682" s="14" t="n">
        <v>6.9011</v>
      </c>
      <c r="G2682" s="14" t="n">
        <v>5.2195</v>
      </c>
      <c r="H2682" s="14" t="n">
        <v>159.2</v>
      </c>
      <c r="I2682" s="14" t="n">
        <v>1.1592</v>
      </c>
      <c r="J2682" s="14" t="n">
        <v>11.2855</v>
      </c>
      <c r="K2682" s="14" t="n">
        <v>1735.94</v>
      </c>
      <c r="L2682" s="14" t="n">
        <v>0.86558</v>
      </c>
      <c r="M2682" s="14" t="n">
        <v>7.9979</v>
      </c>
      <c r="N2682" s="14" t="n">
        <v>6.0661</v>
      </c>
      <c r="O2682" s="14" t="n">
        <v>184.27</v>
      </c>
      <c r="P2682" s="14" t="n">
        <v>9.7356</v>
      </c>
    </row>
    <row r="2683" customFormat="false" ht="15" hidden="false" customHeight="false" outlineLevel="0" collapsed="false">
      <c r="A2683" s="13" t="n">
        <v>46107</v>
      </c>
      <c r="B2683" s="14" t="n">
        <v>1504.57</v>
      </c>
      <c r="C2683" s="14" t="n">
        <v>9.6761</v>
      </c>
      <c r="D2683" s="14" t="n">
        <v>1.3353</v>
      </c>
      <c r="E2683" s="14" t="n">
        <v>1.1542</v>
      </c>
      <c r="F2683" s="14" t="n">
        <v>6.9107</v>
      </c>
      <c r="G2683" s="14" t="n">
        <v>5.2296</v>
      </c>
      <c r="H2683" s="14" t="n">
        <v>159.65</v>
      </c>
      <c r="I2683" s="14" t="n">
        <v>1.1539</v>
      </c>
      <c r="J2683" s="14" t="n">
        <v>11.1265</v>
      </c>
      <c r="K2683" s="14" t="n">
        <v>1738.14</v>
      </c>
      <c r="L2683" s="14" t="n">
        <v>0.86515</v>
      </c>
      <c r="M2683" s="14" t="n">
        <v>7.9737</v>
      </c>
      <c r="N2683" s="14" t="n">
        <v>6.0425</v>
      </c>
      <c r="O2683" s="14" t="n">
        <v>184.19</v>
      </c>
      <c r="P2683" s="14" t="n">
        <v>9.6425</v>
      </c>
    </row>
    <row r="2684" customFormat="false" ht="15" hidden="false" customHeight="false" outlineLevel="0" collapsed="false">
      <c r="A2684" s="13" t="n">
        <v>46108</v>
      </c>
      <c r="B2684" s="14" t="n">
        <v>1509.86</v>
      </c>
      <c r="C2684" s="14" t="n">
        <v>9.7318</v>
      </c>
      <c r="D2684" s="14" t="n">
        <v>1.3293</v>
      </c>
      <c r="E2684" s="14" t="n">
        <v>1.152</v>
      </c>
      <c r="F2684" s="14" t="n">
        <v>6.9116</v>
      </c>
      <c r="G2684" s="14" t="n">
        <v>5.2312</v>
      </c>
      <c r="H2684" s="14" t="n">
        <v>160.16</v>
      </c>
      <c r="I2684" s="14" t="n">
        <v>1.1517</v>
      </c>
      <c r="J2684" s="14" t="n">
        <v>11.1885</v>
      </c>
      <c r="K2684" s="14" t="n">
        <v>1740.79</v>
      </c>
      <c r="L2684" s="14" t="n">
        <v>0.8672</v>
      </c>
      <c r="M2684" s="14" t="n">
        <v>7.9626</v>
      </c>
      <c r="N2684" s="14" t="n">
        <v>6.0535</v>
      </c>
      <c r="O2684" s="14" t="n">
        <v>184.16</v>
      </c>
      <c r="P2684" s="14" t="n">
        <v>9.7148</v>
      </c>
    </row>
    <row r="2685" customFormat="false" ht="15" hidden="false" customHeight="false" outlineLevel="0" collapsed="false">
      <c r="A2685" s="13" t="n">
        <v>46111</v>
      </c>
      <c r="B2685" s="14" t="n">
        <v>1518.7</v>
      </c>
      <c r="C2685" s="14" t="n">
        <v>9.765</v>
      </c>
      <c r="D2685" s="14" t="n">
        <v>1.3191</v>
      </c>
      <c r="E2685" s="14" t="n">
        <v>1.1454</v>
      </c>
      <c r="F2685" s="14" t="n">
        <v>6.9119</v>
      </c>
      <c r="G2685" s="14" t="n">
        <v>5.2367</v>
      </c>
      <c r="H2685" s="14" t="n">
        <v>159.49</v>
      </c>
      <c r="I2685" s="14" t="n">
        <v>1.1484</v>
      </c>
      <c r="J2685" s="14" t="n">
        <v>11.198</v>
      </c>
      <c r="K2685" s="14" t="n">
        <v>1742.93</v>
      </c>
      <c r="L2685" s="14" t="n">
        <v>0.86803</v>
      </c>
      <c r="M2685" s="14" t="n">
        <v>7.937</v>
      </c>
      <c r="N2685" s="14" t="n">
        <v>6.0179</v>
      </c>
      <c r="O2685" s="14" t="n">
        <v>183.12</v>
      </c>
      <c r="P2685" s="14" t="n">
        <v>9.751</v>
      </c>
    </row>
    <row r="2686" customFormat="false" ht="15" hidden="false" customHeight="false" outlineLevel="0" collapsed="false">
      <c r="A2686" s="13" t="n">
        <v>46112</v>
      </c>
      <c r="B2686" s="14" t="n">
        <v>1523.5</v>
      </c>
      <c r="C2686" s="14" t="n">
        <v>9.7454</v>
      </c>
      <c r="D2686" s="14" t="n">
        <v>1.3184</v>
      </c>
      <c r="E2686" s="14" t="n">
        <v>1.1518</v>
      </c>
      <c r="F2686" s="14" t="n">
        <v>6.898</v>
      </c>
      <c r="G2686" s="14" t="n">
        <v>5.2115</v>
      </c>
      <c r="H2686" s="14" t="n">
        <v>159.08</v>
      </c>
      <c r="I2686" s="14" t="n">
        <v>1.1498</v>
      </c>
      <c r="J2686" s="14" t="n">
        <v>11.2125</v>
      </c>
      <c r="K2686" s="14" t="n">
        <v>1753.22</v>
      </c>
      <c r="L2686" s="14" t="n">
        <v>0.86833</v>
      </c>
      <c r="M2686" s="14" t="n">
        <v>7.9341</v>
      </c>
      <c r="N2686" s="14" t="n">
        <v>6.0065</v>
      </c>
      <c r="O2686" s="14" t="n">
        <v>183.39</v>
      </c>
      <c r="P2686" s="14" t="n">
        <v>9.7517</v>
      </c>
    </row>
    <row r="2687" customFormat="false" ht="15" hidden="false" customHeight="false" outlineLevel="0" collapsed="false">
      <c r="A2687" s="13" t="n">
        <v>46113</v>
      </c>
      <c r="B2687" s="14" t="n">
        <v>1511.31</v>
      </c>
      <c r="C2687" s="14" t="n">
        <v>9.702</v>
      </c>
      <c r="D2687" s="14" t="n">
        <v>1.3331</v>
      </c>
      <c r="E2687" s="14" t="n">
        <v>1.1614</v>
      </c>
      <c r="F2687" s="14" t="n">
        <v>6.872</v>
      </c>
      <c r="G2687" s="14" t="n">
        <v>5.151</v>
      </c>
      <c r="H2687" s="14" t="n">
        <v>158.63</v>
      </c>
      <c r="I2687" s="14" t="n">
        <v>1.1605</v>
      </c>
      <c r="J2687" s="14" t="n">
        <v>11.208</v>
      </c>
      <c r="K2687" s="14" t="n">
        <v>1746.33</v>
      </c>
      <c r="L2687" s="14" t="n">
        <v>0.87113</v>
      </c>
      <c r="M2687" s="14" t="n">
        <v>7.9771</v>
      </c>
      <c r="N2687" s="14" t="n">
        <v>5.9879</v>
      </c>
      <c r="O2687" s="14" t="n">
        <v>183.73</v>
      </c>
      <c r="P2687" s="14" t="n">
        <v>9.6579</v>
      </c>
    </row>
    <row r="2688" customFormat="false" ht="15" hidden="false" customHeight="false" outlineLevel="0" collapsed="false">
      <c r="A2688" s="13" t="n">
        <v>46114</v>
      </c>
      <c r="B2688" s="14" t="n">
        <v>1509.54</v>
      </c>
      <c r="C2688" s="14" t="n">
        <v>9.732</v>
      </c>
      <c r="D2688" s="14" t="n">
        <v>1.3241</v>
      </c>
      <c r="E2688" s="14" t="n">
        <v>1.1546</v>
      </c>
      <c r="F2688" s="14" t="n">
        <v>6.8856</v>
      </c>
      <c r="G2688" s="14" t="n">
        <v>5.1597</v>
      </c>
      <c r="H2688" s="14" t="n">
        <v>159.34</v>
      </c>
      <c r="I2688" s="14" t="n">
        <v>1.1525</v>
      </c>
      <c r="J2688" s="14" t="n">
        <v>11.2285</v>
      </c>
      <c r="K2688" s="14" t="n">
        <v>1747.94</v>
      </c>
      <c r="L2688" s="14" t="n">
        <v>0.87253</v>
      </c>
      <c r="M2688" s="14" t="n">
        <v>7.9495</v>
      </c>
      <c r="N2688" s="14" t="n">
        <v>5.972</v>
      </c>
      <c r="O2688" s="14" t="n">
        <v>183.94</v>
      </c>
    </row>
    <row r="2689" customFormat="false" ht="15" hidden="false" customHeight="false" outlineLevel="0" collapsed="false">
      <c r="A2689" s="13" t="n">
        <v>46115</v>
      </c>
      <c r="B2689" s="14" t="n">
        <v>1510.17</v>
      </c>
      <c r="C2689" s="14" t="n">
        <v>9.7871</v>
      </c>
      <c r="D2689" s="14" t="n">
        <v>1.3202</v>
      </c>
      <c r="E2689" s="14" t="n">
        <v>1.1523</v>
      </c>
      <c r="F2689" s="14" t="n">
        <v>6.8824</v>
      </c>
      <c r="G2689" s="14" t="n">
        <v>5.1568</v>
      </c>
      <c r="H2689" s="14" t="n">
        <v>159.64</v>
      </c>
    </row>
    <row r="2690" customFormat="false" ht="15" hidden="false" customHeight="false" outlineLevel="0" collapsed="false">
      <c r="A2690" s="13" t="n">
        <v>46118</v>
      </c>
      <c r="B2690" s="14" t="n">
        <v>1507.55</v>
      </c>
      <c r="C2690" s="14" t="n">
        <v>9.707</v>
      </c>
      <c r="D2690" s="14" t="n">
        <v>1.3235</v>
      </c>
      <c r="E2690" s="14" t="n">
        <v>1.1545</v>
      </c>
      <c r="F2690" s="14" t="n">
        <v>6.8778</v>
      </c>
      <c r="G2690" s="14" t="n">
        <v>5.1525</v>
      </c>
      <c r="H2690" s="14" t="n">
        <v>159.71</v>
      </c>
    </row>
    <row r="2691" customFormat="false" ht="15" hidden="false" customHeight="false" outlineLevel="0" collapsed="false">
      <c r="A2691" s="13" t="n">
        <v>46119</v>
      </c>
      <c r="B2691" s="14" t="n">
        <v>1501.86</v>
      </c>
      <c r="C2691" s="14" t="n">
        <v>9.6359</v>
      </c>
      <c r="D2691" s="14" t="n">
        <v>1.324</v>
      </c>
      <c r="E2691" s="14" t="n">
        <v>1.1571</v>
      </c>
      <c r="F2691" s="14" t="n">
        <v>6.8567</v>
      </c>
      <c r="G2691" s="14" t="n">
        <v>5.1598</v>
      </c>
      <c r="H2691" s="14" t="n">
        <v>159.9</v>
      </c>
      <c r="I2691" s="14" t="n">
        <v>1.1557</v>
      </c>
      <c r="J2691" s="14" t="n">
        <v>11.183</v>
      </c>
      <c r="K2691" s="14" t="n">
        <v>1730.56</v>
      </c>
      <c r="L2691" s="14" t="n">
        <v>0.87258</v>
      </c>
      <c r="M2691" s="14" t="n">
        <v>7.9251</v>
      </c>
      <c r="N2691" s="14" t="n">
        <v>5.9506</v>
      </c>
      <c r="O2691" s="14" t="n">
        <v>184.73</v>
      </c>
      <c r="P2691" s="14" t="n">
        <v>9.6764</v>
      </c>
    </row>
    <row r="2692" customFormat="false" ht="15" hidden="false" customHeight="false" outlineLevel="0" collapsed="false">
      <c r="A2692" s="13" t="n">
        <v>46120</v>
      </c>
      <c r="B2692" s="14" t="n">
        <v>1477.1</v>
      </c>
      <c r="C2692" s="14" t="n">
        <v>9.5588</v>
      </c>
      <c r="D2692" s="14" t="n">
        <v>1.3439</v>
      </c>
      <c r="E2692" s="14" t="n">
        <v>1.1686</v>
      </c>
      <c r="F2692" s="14" t="n">
        <v>6.8287</v>
      </c>
      <c r="G2692" s="14" t="n">
        <v>5.0935</v>
      </c>
      <c r="H2692" s="14" t="n">
        <v>158.39</v>
      </c>
      <c r="I2692" s="14" t="n">
        <v>1.1706</v>
      </c>
      <c r="J2692" s="14" t="n">
        <v>11.1535</v>
      </c>
      <c r="K2692" s="14" t="n">
        <v>1725.73</v>
      </c>
      <c r="L2692" s="14" t="n">
        <v>0.86893</v>
      </c>
      <c r="M2692" s="14" t="n">
        <v>7.9948</v>
      </c>
      <c r="N2692" s="14" t="n">
        <v>5.9488</v>
      </c>
      <c r="O2692" s="14" t="n">
        <v>185.13</v>
      </c>
      <c r="P2692" s="14" t="n">
        <v>9.528</v>
      </c>
    </row>
    <row r="2693" customFormat="false" ht="15" hidden="false" customHeight="false" outlineLevel="0" collapsed="false">
      <c r="A2693" s="13" t="n">
        <v>46121</v>
      </c>
      <c r="B2693" s="14" t="n">
        <v>1472.92</v>
      </c>
      <c r="C2693" s="14" t="n">
        <v>9.482</v>
      </c>
      <c r="D2693" s="14" t="n">
        <v>1.3443</v>
      </c>
      <c r="E2693" s="14" t="n">
        <v>1.1706</v>
      </c>
      <c r="F2693" s="14" t="n">
        <v>6.8314</v>
      </c>
      <c r="G2693" s="14" t="n">
        <v>5.0704</v>
      </c>
      <c r="H2693" s="14" t="n">
        <v>158.87</v>
      </c>
      <c r="I2693" s="14" t="n">
        <v>1.1685</v>
      </c>
      <c r="J2693" s="14" t="n">
        <v>11.1265</v>
      </c>
      <c r="K2693" s="14" t="n">
        <v>1728.78</v>
      </c>
      <c r="L2693" s="14" t="n">
        <v>0.87053</v>
      </c>
      <c r="M2693" s="14" t="n">
        <v>7.9863</v>
      </c>
      <c r="N2693" s="14" t="n">
        <v>5.9584</v>
      </c>
      <c r="O2693" s="14" t="n">
        <v>185.7</v>
      </c>
      <c r="P2693" s="14" t="n">
        <v>9.522</v>
      </c>
    </row>
    <row r="2694" customFormat="false" ht="15" hidden="false" customHeight="false" outlineLevel="0" collapsed="false">
      <c r="A2694" s="13" t="n">
        <v>46122</v>
      </c>
      <c r="B2694" s="14" t="n">
        <v>1483.9</v>
      </c>
      <c r="C2694" s="14" t="n">
        <v>9.5059</v>
      </c>
      <c r="D2694" s="14" t="n">
        <v>1.346</v>
      </c>
      <c r="E2694" s="14" t="n">
        <v>1.1723</v>
      </c>
      <c r="F2694" s="14" t="n">
        <v>6.8278</v>
      </c>
      <c r="G2694" s="14" t="n">
        <v>5.0254</v>
      </c>
      <c r="H2694" s="14" t="n">
        <v>159.22</v>
      </c>
      <c r="I2694" s="14" t="n">
        <v>1.1711</v>
      </c>
      <c r="J2694" s="14" t="n">
        <v>11.1165</v>
      </c>
      <c r="K2694" s="14" t="n">
        <v>1737.06</v>
      </c>
      <c r="L2694" s="14" t="n">
        <v>0.87105</v>
      </c>
      <c r="M2694" s="14" t="n">
        <v>7.9967</v>
      </c>
      <c r="N2694" s="14" t="n">
        <v>5.9191</v>
      </c>
      <c r="O2694" s="14" t="n">
        <v>186.43</v>
      </c>
      <c r="P2694" s="14" t="n">
        <v>9.4924</v>
      </c>
    </row>
    <row r="2695" customFormat="false" ht="15" hidden="false" customHeight="false" outlineLevel="0" collapsed="false">
      <c r="A2695" s="13" t="n">
        <v>46125</v>
      </c>
      <c r="B2695" s="14" t="n">
        <v>1486.94</v>
      </c>
      <c r="C2695" s="14" t="n">
        <v>9.4899</v>
      </c>
      <c r="D2695" s="14" t="n">
        <v>1.3459</v>
      </c>
      <c r="E2695" s="14" t="n">
        <v>1.171</v>
      </c>
      <c r="F2695" s="14" t="n">
        <v>6.8303</v>
      </c>
      <c r="G2695" s="14" t="n">
        <v>5.0219</v>
      </c>
      <c r="H2695" s="14" t="n">
        <v>159.74</v>
      </c>
      <c r="I2695" s="14" t="n">
        <v>1.1684</v>
      </c>
      <c r="J2695" s="14" t="n">
        <v>11.098</v>
      </c>
      <c r="K2695" s="14" t="n">
        <v>1740.86</v>
      </c>
      <c r="L2695" s="14" t="n">
        <v>0.87058</v>
      </c>
      <c r="M2695" s="14" t="n">
        <v>7.9827</v>
      </c>
      <c r="N2695" s="14" t="n">
        <v>5.874</v>
      </c>
      <c r="O2695" s="14" t="n">
        <v>186.75</v>
      </c>
      <c r="P2695" s="14" t="n">
        <v>9.4985</v>
      </c>
    </row>
    <row r="2696" customFormat="false" ht="15" hidden="false" customHeight="false" outlineLevel="0" collapsed="false">
      <c r="A2696" s="13" t="n">
        <v>46126</v>
      </c>
      <c r="B2696" s="14" t="n">
        <v>1471.51</v>
      </c>
      <c r="C2696" s="14" t="n">
        <v>9.4518</v>
      </c>
      <c r="D2696" s="14" t="n">
        <v>1.3563</v>
      </c>
      <c r="E2696" s="14" t="n">
        <v>1.1791</v>
      </c>
      <c r="F2696" s="14" t="n">
        <v>6.8157</v>
      </c>
      <c r="G2696" s="14" t="n">
        <v>4.9867</v>
      </c>
      <c r="H2696" s="14" t="n">
        <v>158.91</v>
      </c>
      <c r="I2696" s="14" t="n">
        <v>1.1793</v>
      </c>
      <c r="J2696" s="14" t="n">
        <v>11.101</v>
      </c>
      <c r="K2696" s="14" t="n">
        <v>1734.18</v>
      </c>
      <c r="L2696" s="14" t="n">
        <v>0.86913</v>
      </c>
      <c r="M2696" s="14" t="n">
        <v>8.0379</v>
      </c>
      <c r="N2696" s="14" t="n">
        <v>5.8747</v>
      </c>
      <c r="O2696" s="14" t="n">
        <v>187.33</v>
      </c>
      <c r="P2696" s="14" t="n">
        <v>9.4132</v>
      </c>
    </row>
    <row r="2697" customFormat="false" ht="15" hidden="false" customHeight="false" outlineLevel="0" collapsed="false">
      <c r="A2697" s="13" t="n">
        <v>46127</v>
      </c>
      <c r="B2697" s="14" t="n">
        <v>1474.41</v>
      </c>
      <c r="C2697" s="14" t="n">
        <v>9.3941</v>
      </c>
      <c r="D2697" s="14" t="n">
        <v>1.3569</v>
      </c>
      <c r="E2697" s="14" t="n">
        <v>1.1799</v>
      </c>
      <c r="F2697" s="14" t="n">
        <v>6.818</v>
      </c>
      <c r="G2697" s="14" t="n">
        <v>4.9974</v>
      </c>
      <c r="H2697" s="14" t="n">
        <v>159.02</v>
      </c>
      <c r="I2697" s="14" t="n">
        <v>1.178</v>
      </c>
      <c r="J2697" s="14" t="n">
        <v>11.12</v>
      </c>
      <c r="K2697" s="14" t="n">
        <v>1740.02</v>
      </c>
      <c r="L2697" s="14" t="n">
        <v>0.86935</v>
      </c>
      <c r="M2697" s="14" t="n">
        <v>8.0353</v>
      </c>
      <c r="N2697" s="14" t="n">
        <v>5.8878</v>
      </c>
      <c r="O2697" s="14" t="n">
        <v>187.41</v>
      </c>
      <c r="P2697" s="14" t="n">
        <v>9.4397</v>
      </c>
    </row>
    <row r="2698" customFormat="false" ht="15" hidden="false" customHeight="false" outlineLevel="0" collapsed="false">
      <c r="A2698" s="13" t="n">
        <v>46128</v>
      </c>
      <c r="B2698" s="14" t="n">
        <v>1478.19</v>
      </c>
      <c r="C2698" s="14" t="n">
        <v>9.3626</v>
      </c>
      <c r="D2698" s="14" t="n">
        <v>1.354</v>
      </c>
      <c r="E2698" s="14" t="n">
        <v>1.1783</v>
      </c>
      <c r="F2698" s="14" t="n">
        <v>6.8208</v>
      </c>
      <c r="G2698" s="14" t="n">
        <v>5.0012</v>
      </c>
      <c r="H2698" s="14" t="n">
        <v>159.07</v>
      </c>
      <c r="I2698" s="14" t="n">
        <v>1.1782</v>
      </c>
      <c r="J2698" s="14" t="n">
        <v>11.048</v>
      </c>
      <c r="K2698" s="14" t="n">
        <v>1739.62</v>
      </c>
      <c r="L2698" s="14" t="n">
        <v>0.86993</v>
      </c>
      <c r="M2698" s="14" t="n">
        <v>8.0368</v>
      </c>
      <c r="N2698" s="14" t="n">
        <v>5.8771</v>
      </c>
      <c r="O2698" s="14" t="n">
        <v>187.31</v>
      </c>
      <c r="P2698" s="14" t="n">
        <v>9.377</v>
      </c>
    </row>
    <row r="2699" customFormat="false" ht="15" hidden="false" customHeight="false" outlineLevel="0" collapsed="false">
      <c r="A2699" s="13" t="n">
        <v>46129</v>
      </c>
      <c r="B2699" s="14" t="n">
        <v>1461.66</v>
      </c>
      <c r="C2699" s="14" t="n">
        <v>9.3702</v>
      </c>
      <c r="D2699" s="14" t="n">
        <v>1.3556</v>
      </c>
      <c r="E2699" s="14" t="n">
        <v>1.1801</v>
      </c>
      <c r="F2699" s="14" t="n">
        <v>6.817</v>
      </c>
      <c r="G2699" s="14" t="n">
        <v>4.981</v>
      </c>
      <c r="H2699" s="14" t="n">
        <v>158.1</v>
      </c>
      <c r="I2699" s="14" t="n">
        <v>1.1797</v>
      </c>
      <c r="J2699" s="14" t="n">
        <v>11.017</v>
      </c>
      <c r="K2699" s="14" t="n">
        <v>1744.76</v>
      </c>
      <c r="L2699" s="14" t="n">
        <v>0.87168</v>
      </c>
      <c r="M2699" s="14" t="n">
        <v>8.0483</v>
      </c>
      <c r="N2699" s="14" t="n">
        <v>5.8707</v>
      </c>
      <c r="O2699" s="14" t="n">
        <v>187.72</v>
      </c>
      <c r="P2699" s="14" t="n">
        <v>9.3388</v>
      </c>
    </row>
    <row r="2700" customFormat="false" ht="15" hidden="false" customHeight="false" outlineLevel="0" collapsed="false">
      <c r="A2700" s="13" t="n">
        <v>46132</v>
      </c>
      <c r="B2700" s="14" t="n">
        <v>1470.31</v>
      </c>
      <c r="C2700" s="14" t="n">
        <v>9.3053</v>
      </c>
      <c r="D2700" s="14" t="n">
        <v>1.3542</v>
      </c>
      <c r="E2700" s="14" t="n">
        <v>1.1785</v>
      </c>
      <c r="F2700" s="14" t="n">
        <v>6.8172</v>
      </c>
      <c r="G2700" s="14" t="n">
        <v>4.9825</v>
      </c>
      <c r="H2700" s="14" t="n">
        <v>158.66</v>
      </c>
      <c r="I2700" s="14" t="n">
        <v>1.176</v>
      </c>
      <c r="J2700" s="14" t="n">
        <v>10.9745</v>
      </c>
      <c r="K2700" s="14" t="n">
        <v>1729.01</v>
      </c>
      <c r="L2700" s="14" t="n">
        <v>0.87045</v>
      </c>
      <c r="M2700" s="14" t="n">
        <v>8.0176</v>
      </c>
      <c r="N2700" s="14" t="n">
        <v>5.8601</v>
      </c>
      <c r="O2700" s="14" t="n">
        <v>186.88</v>
      </c>
      <c r="P2700" s="14" t="n">
        <v>9.3321</v>
      </c>
    </row>
    <row r="2701" customFormat="false" ht="15" hidden="false" customHeight="false" outlineLevel="0" collapsed="false">
      <c r="A2701" s="13" t="n">
        <v>46133</v>
      </c>
      <c r="B2701" s="14" t="n">
        <v>1478.52</v>
      </c>
      <c r="C2701" s="14" t="n">
        <v>9.3353</v>
      </c>
      <c r="D2701" s="14" t="n">
        <v>1.3512</v>
      </c>
      <c r="E2701" s="14" t="n">
        <v>1.1752</v>
      </c>
      <c r="F2701" s="14" t="n">
        <v>6.8208</v>
      </c>
      <c r="G2701" s="14" t="n">
        <v>4.9535</v>
      </c>
      <c r="H2701" s="14" t="n">
        <v>159.39</v>
      </c>
      <c r="I2701" s="14" t="n">
        <v>1.1767</v>
      </c>
      <c r="J2701" s="14" t="n">
        <v>10.967</v>
      </c>
      <c r="K2701" s="14" t="n">
        <v>1729.57</v>
      </c>
      <c r="L2701" s="14" t="n">
        <v>0.87035</v>
      </c>
      <c r="M2701" s="14" t="n">
        <v>8.0202</v>
      </c>
      <c r="N2701" s="14" t="n">
        <v>5.841</v>
      </c>
      <c r="O2701" s="14" t="n">
        <v>187.14</v>
      </c>
      <c r="P2701" s="14" t="n">
        <v>9.3201</v>
      </c>
    </row>
    <row r="2702" customFormat="false" ht="15" hidden="false" customHeight="false" outlineLevel="0" collapsed="false">
      <c r="A2702" s="13" t="n">
        <v>46134</v>
      </c>
      <c r="B2702" s="14" t="n">
        <v>1480.61</v>
      </c>
      <c r="C2702" s="14" t="n">
        <v>9.3001</v>
      </c>
      <c r="D2702" s="14" t="n">
        <v>1.3505</v>
      </c>
      <c r="E2702" s="14" t="n">
        <v>1.1714</v>
      </c>
      <c r="F2702" s="14" t="n">
        <v>6.8275</v>
      </c>
      <c r="G2702" s="14" t="n">
        <v>4.9671</v>
      </c>
      <c r="H2702" s="14" t="n">
        <v>159.49</v>
      </c>
      <c r="I2702" s="14" t="n">
        <v>1.1733</v>
      </c>
      <c r="J2702" s="14" t="n">
        <v>10.912</v>
      </c>
      <c r="K2702" s="14" t="n">
        <v>1734.2</v>
      </c>
      <c r="L2702" s="14" t="n">
        <v>0.86903</v>
      </c>
      <c r="M2702" s="14" t="n">
        <v>8.0071</v>
      </c>
      <c r="N2702" s="14" t="n">
        <v>5.8333</v>
      </c>
      <c r="O2702" s="14" t="n">
        <v>186.81</v>
      </c>
      <c r="P2702" s="14" t="n">
        <v>9.3003</v>
      </c>
    </row>
    <row r="2703" customFormat="false" ht="15" hidden="false" customHeight="false" outlineLevel="0" collapsed="false">
      <c r="A2703" s="13" t="n">
        <v>46135</v>
      </c>
      <c r="B2703" s="14" t="n">
        <v>1479.19</v>
      </c>
      <c r="C2703" s="14" t="n">
        <v>9.3064</v>
      </c>
      <c r="D2703" s="14" t="n">
        <v>1.3495</v>
      </c>
      <c r="E2703" s="14" t="n">
        <v>1.1704</v>
      </c>
      <c r="F2703" s="14" t="n">
        <v>6.826</v>
      </c>
      <c r="G2703" s="14" t="n">
        <v>4.9536</v>
      </c>
      <c r="H2703" s="14" t="n">
        <v>159.44</v>
      </c>
      <c r="I2703" s="14" t="n">
        <v>1.1694</v>
      </c>
      <c r="J2703" s="14" t="n">
        <v>10.913</v>
      </c>
      <c r="K2703" s="14" t="n">
        <v>1729.96</v>
      </c>
      <c r="L2703" s="14" t="n">
        <v>0.86575</v>
      </c>
      <c r="M2703" s="14" t="n">
        <v>7.9928</v>
      </c>
      <c r="N2703" s="14" t="n">
        <v>5.8037</v>
      </c>
      <c r="O2703" s="14" t="n">
        <v>186.5</v>
      </c>
      <c r="P2703" s="14" t="n">
        <v>9.3321</v>
      </c>
    </row>
    <row r="2704" customFormat="false" ht="15" hidden="false" customHeight="false" outlineLevel="0" collapsed="false">
      <c r="A2704" s="13" t="n">
        <v>46136</v>
      </c>
      <c r="B2704" s="14" t="n">
        <v>1476.47</v>
      </c>
      <c r="C2704" s="14" t="n">
        <v>9.3331</v>
      </c>
      <c r="D2704" s="14" t="n">
        <v>1.3518</v>
      </c>
      <c r="E2704" s="14" t="n">
        <v>1.1718</v>
      </c>
      <c r="F2704" s="14" t="n">
        <v>6.8359</v>
      </c>
      <c r="G2704" s="14" t="n">
        <v>4.9997</v>
      </c>
      <c r="H2704" s="14" t="n">
        <v>159.35</v>
      </c>
      <c r="I2704" s="14" t="n">
        <v>1.1712</v>
      </c>
      <c r="J2704" s="14" t="n">
        <v>10.9525</v>
      </c>
      <c r="K2704" s="14" t="n">
        <v>1729.91</v>
      </c>
      <c r="L2704" s="14" t="n">
        <v>0.86803</v>
      </c>
      <c r="M2704" s="14" t="n">
        <v>8.0067</v>
      </c>
      <c r="N2704" s="14" t="n">
        <v>5.8567</v>
      </c>
      <c r="O2704" s="14" t="n">
        <v>186.71</v>
      </c>
      <c r="P2704" s="14" t="n">
        <v>9.3515</v>
      </c>
    </row>
    <row r="2705" customFormat="false" ht="15" hidden="false" customHeight="false" outlineLevel="0" collapsed="false">
      <c r="A2705" s="13" t="n">
        <v>46139</v>
      </c>
      <c r="B2705" s="14" t="n">
        <v>1473.4</v>
      </c>
      <c r="C2705" s="14" t="n">
        <v>9.286</v>
      </c>
      <c r="D2705" s="14" t="n">
        <v>1.3553</v>
      </c>
      <c r="E2705" s="14" t="n">
        <v>1.1731</v>
      </c>
      <c r="F2705" s="14" t="n">
        <v>6.8228</v>
      </c>
      <c r="G2705" s="14" t="n">
        <v>4.9691</v>
      </c>
      <c r="H2705" s="14" t="n">
        <v>159.29</v>
      </c>
      <c r="I2705" s="14" t="n">
        <v>1.1749</v>
      </c>
      <c r="J2705" s="14" t="n">
        <v>10.883</v>
      </c>
      <c r="K2705" s="14" t="n">
        <v>1728.54</v>
      </c>
      <c r="L2705" s="14" t="n">
        <v>0.8658</v>
      </c>
      <c r="M2705" s="14" t="n">
        <v>8.0165</v>
      </c>
      <c r="N2705" s="14" t="n">
        <v>5.837</v>
      </c>
      <c r="O2705" s="14" t="n">
        <v>187.06</v>
      </c>
      <c r="P2705" s="14" t="n">
        <v>9.2629</v>
      </c>
    </row>
    <row r="2706" customFormat="false" ht="15" hidden="false" customHeight="false" outlineLevel="0" collapsed="false">
      <c r="A2706" s="13" t="n">
        <v>46140</v>
      </c>
      <c r="B2706" s="14" t="n">
        <v>1472.37</v>
      </c>
      <c r="C2706" s="14" t="n">
        <v>9.3149</v>
      </c>
      <c r="D2706" s="14" t="n">
        <v>1.3513</v>
      </c>
      <c r="E2706" s="14" t="n">
        <v>1.1715</v>
      </c>
      <c r="F2706" s="14" t="n">
        <v>6.8374</v>
      </c>
      <c r="G2706" s="14" t="n">
        <v>4.9864</v>
      </c>
      <c r="H2706" s="14" t="n">
        <v>159.53</v>
      </c>
      <c r="I2706" s="14" t="n">
        <v>1.168</v>
      </c>
      <c r="J2706" s="14" t="n">
        <v>10.8875</v>
      </c>
      <c r="K2706" s="14" t="n">
        <v>1725.01</v>
      </c>
      <c r="L2706" s="14" t="n">
        <v>0.86715</v>
      </c>
      <c r="M2706" s="14" t="n">
        <v>7.9877</v>
      </c>
      <c r="N2706" s="14" t="n">
        <v>5.842</v>
      </c>
      <c r="O2706" s="14" t="n">
        <v>186.58</v>
      </c>
      <c r="P2706" s="14" t="n">
        <v>9.3215</v>
      </c>
    </row>
    <row r="2707" customFormat="false" ht="15" hidden="false" customHeight="false" outlineLevel="0" collapsed="false">
      <c r="A2707" s="13" t="n">
        <v>46141</v>
      </c>
      <c r="B2707" s="14" t="n">
        <v>1487.69</v>
      </c>
      <c r="C2707" s="14" t="n">
        <v>9.2936</v>
      </c>
      <c r="D2707" s="14" t="n">
        <v>1.3493</v>
      </c>
      <c r="E2707" s="14" t="n">
        <v>1.1695</v>
      </c>
      <c r="F2707" s="14" t="n">
        <v>6.8375</v>
      </c>
      <c r="G2707" s="14" t="n">
        <v>4.9984</v>
      </c>
      <c r="H2707" s="14" t="n">
        <v>160.23</v>
      </c>
      <c r="I2707" s="14" t="n">
        <v>1.1706</v>
      </c>
      <c r="J2707" s="14" t="n">
        <v>10.862</v>
      </c>
      <c r="K2707" s="14" t="n">
        <v>1730.59</v>
      </c>
      <c r="L2707" s="14" t="n">
        <v>0.86643</v>
      </c>
      <c r="M2707" s="14" t="n">
        <v>7.9993</v>
      </c>
      <c r="N2707" s="14" t="n">
        <v>5.8359</v>
      </c>
      <c r="O2707" s="14" t="n">
        <v>187.05</v>
      </c>
      <c r="P2707" s="14" t="n">
        <v>9.279</v>
      </c>
    </row>
    <row r="2708" customFormat="false" ht="15" hidden="false" customHeight="false" outlineLevel="0" collapsed="false">
      <c r="A2708" s="13" t="n">
        <v>46142</v>
      </c>
      <c r="B2708" s="14" t="n">
        <v>1477.93</v>
      </c>
      <c r="C2708" s="14" t="n">
        <v>9.2918</v>
      </c>
      <c r="D2708" s="14" t="n">
        <v>1.358</v>
      </c>
      <c r="E2708" s="14" t="n">
        <v>1.1729</v>
      </c>
      <c r="F2708" s="14" t="n">
        <v>6.8273</v>
      </c>
      <c r="G2708" s="14" t="n">
        <v>4.9792</v>
      </c>
      <c r="H2708" s="14" t="n">
        <v>156.66</v>
      </c>
      <c r="I2708" s="14" t="n">
        <v>1.1702</v>
      </c>
      <c r="J2708" s="14" t="n">
        <v>10.9123</v>
      </c>
      <c r="K2708" s="14" t="n">
        <v>1728.39</v>
      </c>
      <c r="L2708" s="14" t="n">
        <v>0.86625</v>
      </c>
      <c r="M2708" s="14" t="n">
        <v>7.991</v>
      </c>
      <c r="N2708" s="14" t="n">
        <v>5.8292</v>
      </c>
      <c r="O2708" s="14" t="n">
        <v>183.21</v>
      </c>
      <c r="P2708" s="14" t="n">
        <v>9.3252</v>
      </c>
    </row>
    <row r="2709" customFormat="false" ht="15" hidden="false" customHeight="false" outlineLevel="0" collapsed="false">
      <c r="A2709" s="13" t="n">
        <v>46143</v>
      </c>
      <c r="B2709" s="14" t="n">
        <v>1477.22</v>
      </c>
      <c r="C2709" s="14" t="n">
        <v>9.2533</v>
      </c>
      <c r="D2709" s="14" t="n">
        <v>1.3621</v>
      </c>
      <c r="E2709" s="14" t="n">
        <v>1.1755</v>
      </c>
      <c r="F2709" s="14" t="n">
        <v>6.8276</v>
      </c>
      <c r="G2709" s="14" t="n">
        <v>4.955</v>
      </c>
      <c r="H2709" s="14" t="n">
        <v>156.76</v>
      </c>
    </row>
    <row r="2710" customFormat="false" ht="15" hidden="false" customHeight="false" outlineLevel="0" collapsed="false">
      <c r="A2710" s="13" t="n">
        <v>46146</v>
      </c>
      <c r="B2710" s="14" t="n">
        <v>1476.01</v>
      </c>
      <c r="C2710" s="14" t="n">
        <v>9.2748</v>
      </c>
      <c r="D2710" s="14" t="n">
        <v>1.3535</v>
      </c>
      <c r="E2710" s="14" t="n">
        <v>1.1698</v>
      </c>
      <c r="F2710" s="14" t="n">
        <v>6.83</v>
      </c>
      <c r="G2710" s="14" t="n">
        <v>4.9669</v>
      </c>
      <c r="H2710" s="14" t="n">
        <v>157.21</v>
      </c>
      <c r="I2710" s="14" t="n">
        <v>1.17</v>
      </c>
      <c r="J2710" s="14" t="n">
        <v>10.828</v>
      </c>
      <c r="K2710" s="14" t="n">
        <v>1722.28</v>
      </c>
      <c r="L2710" s="14" t="n">
        <v>0.86358</v>
      </c>
      <c r="M2710" s="14" t="n">
        <v>7.9914</v>
      </c>
      <c r="N2710" s="14" t="n">
        <v>5.8103</v>
      </c>
      <c r="O2710" s="14" t="n">
        <v>183.83</v>
      </c>
      <c r="P2710" s="14" t="n">
        <v>9.2547</v>
      </c>
    </row>
    <row r="2711" customFormat="false" ht="15" hidden="false" customHeight="false" outlineLevel="0" collapsed="false">
      <c r="A2711" s="13" t="n">
        <v>46147</v>
      </c>
      <c r="B2711" s="14" t="n">
        <v>1478.41</v>
      </c>
      <c r="C2711" s="14" t="n">
        <v>9.2402</v>
      </c>
      <c r="D2711" s="14" t="n">
        <v>1.3576</v>
      </c>
      <c r="E2711" s="14" t="n">
        <v>1.1707</v>
      </c>
      <c r="F2711" s="14" t="n">
        <v>6.8276</v>
      </c>
      <c r="G2711" s="14" t="n">
        <v>4.9103</v>
      </c>
      <c r="H2711" s="14" t="n">
        <v>157.68</v>
      </c>
      <c r="I2711" s="14" t="n">
        <v>1.1686</v>
      </c>
      <c r="J2711" s="14" t="n">
        <v>10.8055</v>
      </c>
      <c r="K2711" s="14" t="n">
        <v>1721.29</v>
      </c>
      <c r="L2711" s="14" t="n">
        <v>0.86343</v>
      </c>
      <c r="M2711" s="14" t="n">
        <v>7.9818</v>
      </c>
      <c r="N2711" s="14" t="n">
        <v>5.7875</v>
      </c>
      <c r="O2711" s="14" t="n">
        <v>184.42</v>
      </c>
      <c r="P2711" s="14" t="n">
        <v>9.2465</v>
      </c>
    </row>
    <row r="2712" customFormat="false" ht="15" hidden="false" customHeight="false" outlineLevel="0" collapsed="false">
      <c r="A2712" s="13" t="n">
        <v>46148</v>
      </c>
      <c r="B2712" s="14" t="n">
        <v>1447.01</v>
      </c>
      <c r="C2712" s="14" t="n">
        <v>9.2722</v>
      </c>
      <c r="D2712" s="14" t="n">
        <v>1.3597</v>
      </c>
      <c r="E2712" s="14" t="n">
        <v>1.1753</v>
      </c>
      <c r="F2712" s="14" t="n">
        <v>6.811</v>
      </c>
      <c r="G2712" s="14" t="n">
        <v>4.9264</v>
      </c>
      <c r="H2712" s="14" t="n">
        <v>156.44</v>
      </c>
      <c r="I2712" s="14" t="n">
        <v>1.1762</v>
      </c>
      <c r="J2712" s="14" t="n">
        <v>10.898</v>
      </c>
      <c r="K2712" s="14" t="n">
        <v>1703.26</v>
      </c>
      <c r="L2712" s="14" t="n">
        <v>0.8637</v>
      </c>
      <c r="M2712" s="14" t="n">
        <v>8.0113</v>
      </c>
      <c r="N2712" s="14" t="n">
        <v>5.7742</v>
      </c>
      <c r="O2712" s="14" t="n">
        <v>183.74</v>
      </c>
      <c r="P2712" s="14" t="n">
        <v>9.2654</v>
      </c>
    </row>
    <row r="2713" customFormat="false" ht="15" hidden="false" customHeight="false" outlineLevel="0" collapsed="false">
      <c r="A2713" s="13" t="n">
        <v>46149</v>
      </c>
      <c r="B2713" s="14" t="n">
        <v>1453.85</v>
      </c>
      <c r="C2713" s="14" t="n">
        <v>9.2899</v>
      </c>
      <c r="D2713" s="14" t="n">
        <v>1.3612</v>
      </c>
      <c r="E2713" s="14" t="n">
        <v>1.1764</v>
      </c>
      <c r="F2713" s="14" t="n">
        <v>6.8014</v>
      </c>
      <c r="G2713" s="14" t="n">
        <v>4.9277</v>
      </c>
      <c r="H2713" s="14" t="n">
        <v>156.48</v>
      </c>
      <c r="I2713" s="14" t="n">
        <v>1.177</v>
      </c>
      <c r="J2713" s="14" t="n">
        <v>10.8675</v>
      </c>
      <c r="K2713" s="14" t="n">
        <v>1707.4</v>
      </c>
      <c r="L2713" s="14" t="n">
        <v>0.8641</v>
      </c>
      <c r="M2713" s="14" t="n">
        <v>8.0058</v>
      </c>
      <c r="N2713" s="14" t="n">
        <v>5.787</v>
      </c>
      <c r="O2713" s="14" t="n">
        <v>184.07</v>
      </c>
      <c r="P2713" s="14" t="n">
        <v>9.2332</v>
      </c>
    </row>
    <row r="2714" customFormat="false" ht="15" hidden="false" customHeight="false" outlineLevel="0" collapsed="false">
      <c r="A2714" s="13" t="n">
        <v>46150</v>
      </c>
      <c r="B2714" s="14" t="n">
        <v>1461.06</v>
      </c>
      <c r="C2714" s="14" t="n">
        <v>9.2143</v>
      </c>
      <c r="D2714" s="14" t="n">
        <v>1.3625</v>
      </c>
      <c r="E2714" s="14" t="n">
        <v>1.1773</v>
      </c>
      <c r="F2714" s="14" t="n">
        <v>6.8005</v>
      </c>
      <c r="G2714" s="14" t="n">
        <v>4.8976</v>
      </c>
      <c r="H2714" s="14" t="n">
        <v>156.64</v>
      </c>
      <c r="I2714" s="14" t="n">
        <v>1.1761</v>
      </c>
      <c r="J2714" s="14" t="n">
        <v>10.8215</v>
      </c>
      <c r="K2714" s="14" t="n">
        <v>1725.08</v>
      </c>
      <c r="L2714" s="14" t="n">
        <v>0.8641</v>
      </c>
      <c r="M2714" s="14" t="n">
        <v>7.9989</v>
      </c>
      <c r="N2714" s="14" t="n">
        <v>5.7794</v>
      </c>
      <c r="O2714" s="14" t="n">
        <v>184.37</v>
      </c>
      <c r="P2714" s="14" t="n">
        <v>9.2012</v>
      </c>
    </row>
    <row r="2715" customFormat="false" ht="15" hidden="false" customHeight="false" outlineLevel="0" collapsed="false">
      <c r="A2715" s="13" t="n">
        <v>46153</v>
      </c>
      <c r="B2715" s="14" t="n">
        <v>1469.91</v>
      </c>
      <c r="C2715" s="14" t="n">
        <v>9.1816</v>
      </c>
      <c r="D2715" s="14" t="n">
        <v>1.3651</v>
      </c>
      <c r="E2715" s="14" t="n">
        <v>1.178</v>
      </c>
      <c r="F2715" s="14" t="n">
        <v>6.7948</v>
      </c>
      <c r="G2715" s="14" t="n">
        <v>4.8975</v>
      </c>
      <c r="H2715" s="14" t="n">
        <v>157.04</v>
      </c>
      <c r="I2715" s="14" t="n">
        <v>1.1765</v>
      </c>
      <c r="J2715" s="14" t="n">
        <v>10.8275</v>
      </c>
      <c r="K2715" s="14" t="n">
        <v>1732.87</v>
      </c>
      <c r="L2715" s="14" t="n">
        <v>0.86488</v>
      </c>
      <c r="M2715" s="14" t="n">
        <v>7.9961</v>
      </c>
      <c r="N2715" s="14" t="n">
        <v>5.7671</v>
      </c>
      <c r="O2715" s="14" t="n">
        <v>184.87</v>
      </c>
      <c r="P2715" s="14" t="n">
        <v>9.2031</v>
      </c>
    </row>
    <row r="2716" customFormat="false" ht="15" hidden="false" customHeight="false" outlineLevel="0" collapsed="false">
      <c r="A2716" s="13" t="n">
        <v>46154</v>
      </c>
      <c r="B2716" s="14" t="n">
        <v>1490.32</v>
      </c>
      <c r="C2716" s="14" t="n">
        <v>9.1968</v>
      </c>
      <c r="D2716" s="14" t="n">
        <v>1.3528</v>
      </c>
      <c r="E2716" s="14" t="n">
        <v>1.1733</v>
      </c>
      <c r="F2716" s="14" t="n">
        <v>6.792</v>
      </c>
      <c r="G2716" s="14" t="n">
        <v>4.9005</v>
      </c>
      <c r="H2716" s="14" t="n">
        <v>157.71</v>
      </c>
      <c r="I2716" s="14" t="n">
        <v>1.1738</v>
      </c>
      <c r="J2716" s="14" t="n">
        <v>10.771</v>
      </c>
      <c r="K2716" s="14" t="n">
        <v>1747.64</v>
      </c>
      <c r="L2716" s="14" t="n">
        <v>0.86803</v>
      </c>
      <c r="M2716" s="14" t="n">
        <v>7.9726</v>
      </c>
      <c r="N2716" s="14" t="n">
        <v>5.7561</v>
      </c>
      <c r="O2716" s="14" t="n">
        <v>184.98</v>
      </c>
      <c r="P2716" s="14" t="n">
        <v>9.1762</v>
      </c>
    </row>
    <row r="2717" customFormat="false" ht="15" hidden="false" customHeight="false" outlineLevel="0" collapsed="false">
      <c r="A2717" s="13" t="n">
        <v>46155</v>
      </c>
      <c r="B2717" s="14" t="n">
        <v>1490.11</v>
      </c>
      <c r="C2717" s="14" t="n">
        <v>9.1616</v>
      </c>
      <c r="D2717" s="14" t="n">
        <v>1.352</v>
      </c>
      <c r="E2717" s="14" t="n">
        <v>1.1711</v>
      </c>
      <c r="F2717" s="14" t="n">
        <v>6.7908</v>
      </c>
      <c r="G2717" s="14" t="n">
        <v>4.9068</v>
      </c>
      <c r="H2717" s="14" t="n">
        <v>157.84</v>
      </c>
      <c r="I2717" s="14" t="n">
        <v>1.1715</v>
      </c>
      <c r="J2717" s="14" t="n">
        <v>10.7415</v>
      </c>
      <c r="K2717" s="14" t="n">
        <v>1743.87</v>
      </c>
      <c r="L2717" s="14" t="n">
        <v>0.86713</v>
      </c>
      <c r="M2717" s="14" t="n">
        <v>7.9556</v>
      </c>
      <c r="N2717" s="14" t="n">
        <v>5.7449</v>
      </c>
      <c r="O2717" s="14" t="n">
        <v>184.83</v>
      </c>
      <c r="P2717" s="14" t="n">
        <v>9.169</v>
      </c>
    </row>
    <row r="2718" customFormat="false" ht="15" hidden="false" customHeight="false" outlineLevel="0" collapsed="false">
      <c r="A2718" s="13" t="n">
        <v>46156</v>
      </c>
      <c r="B2718" s="14" t="n">
        <v>1491.75</v>
      </c>
      <c r="C2718" s="14" t="n">
        <v>9.2235</v>
      </c>
      <c r="D2718" s="14" t="n">
        <v>1.348</v>
      </c>
      <c r="E2718" s="14" t="n">
        <v>1.1678</v>
      </c>
      <c r="F2718" s="14" t="n">
        <v>6.7851</v>
      </c>
      <c r="G2718" s="14" t="n">
        <v>4.9786</v>
      </c>
      <c r="H2718" s="14" t="n">
        <v>158.08</v>
      </c>
      <c r="I2718" s="14" t="n">
        <v>1.1702</v>
      </c>
      <c r="J2718" s="14" t="n">
        <v>10.798</v>
      </c>
      <c r="K2718" s="14" t="n">
        <v>1745.62</v>
      </c>
      <c r="L2718" s="14" t="n">
        <v>0.86618</v>
      </c>
      <c r="M2718" s="14" t="n">
        <v>7.94</v>
      </c>
      <c r="N2718" s="14" t="n">
        <v>5.8475</v>
      </c>
      <c r="O2718" s="14" t="n">
        <v>184.83</v>
      </c>
    </row>
    <row r="2719" customFormat="false" ht="15" hidden="false" customHeight="false" outlineLevel="0" collapsed="false">
      <c r="A2719" s="13" t="n">
        <v>46157</v>
      </c>
      <c r="B2719" s="14" t="n">
        <v>1499.61</v>
      </c>
      <c r="C2719" s="14" t="n">
        <v>9.3147</v>
      </c>
      <c r="D2719" s="14" t="n">
        <v>1.3332</v>
      </c>
      <c r="E2719" s="14" t="n">
        <v>1.1627</v>
      </c>
      <c r="F2719" s="14" t="n">
        <v>6.8092</v>
      </c>
      <c r="G2719" s="14" t="n">
        <v>5.0739</v>
      </c>
      <c r="H2719" s="14" t="n">
        <v>158.69</v>
      </c>
      <c r="I2719" s="14" t="n">
        <v>1.1628</v>
      </c>
      <c r="J2719" s="14" t="n">
        <v>10.845</v>
      </c>
      <c r="K2719" s="14" t="n">
        <v>1743.76</v>
      </c>
      <c r="L2719" s="14" t="n">
        <v>0.8705</v>
      </c>
      <c r="M2719" s="14" t="n">
        <v>7.9194</v>
      </c>
      <c r="N2719" s="14" t="n">
        <v>5.8517</v>
      </c>
      <c r="O2719" s="14" t="n">
        <v>184.36</v>
      </c>
      <c r="P2719" s="14" t="n">
        <v>9.3266</v>
      </c>
    </row>
    <row r="2720" customFormat="false" ht="15" hidden="false" customHeight="false" outlineLevel="0" collapsed="false">
      <c r="A2720" s="13" t="n">
        <v>46160</v>
      </c>
      <c r="B2720" s="14" t="n">
        <v>1494.67</v>
      </c>
      <c r="C2720" s="14" t="n">
        <v>9.2639</v>
      </c>
      <c r="D2720" s="14" t="n">
        <v>1.342</v>
      </c>
      <c r="E2720" s="14" t="n">
        <v>1.1649</v>
      </c>
      <c r="F2720" s="14" t="n">
        <v>6.8</v>
      </c>
      <c r="G2720" s="14" t="n">
        <v>5.006</v>
      </c>
      <c r="H2720" s="14" t="n">
        <v>158.83</v>
      </c>
      <c r="I2720" s="14" t="n">
        <v>1.1648</v>
      </c>
      <c r="J2720" s="14" t="n">
        <v>10.8005</v>
      </c>
      <c r="K2720" s="14" t="n">
        <v>1744.64</v>
      </c>
      <c r="L2720" s="14" t="n">
        <v>0.8702</v>
      </c>
      <c r="M2720" s="14" t="n">
        <v>7.9209</v>
      </c>
      <c r="N2720" s="14" t="n">
        <v>5.8697</v>
      </c>
      <c r="O2720" s="14" t="n">
        <v>184.93</v>
      </c>
      <c r="P2720" s="14" t="n">
        <v>9.2724</v>
      </c>
    </row>
    <row r="2721" customFormat="false" ht="15" hidden="false" customHeight="false" outlineLevel="0" collapsed="false">
      <c r="A2721" s="13" t="n">
        <v>46161</v>
      </c>
      <c r="B2721" s="14" t="n">
        <v>1508.49</v>
      </c>
      <c r="C2721" s="14" t="n">
        <v>9.2729</v>
      </c>
      <c r="D2721" s="14" t="n">
        <v>1.3401</v>
      </c>
      <c r="E2721" s="14" t="n">
        <v>1.1602</v>
      </c>
      <c r="F2721" s="14" t="n">
        <v>6.8145</v>
      </c>
      <c r="G2721" s="14" t="n">
        <v>5.0437</v>
      </c>
      <c r="H2721" s="14" t="n">
        <v>159.11</v>
      </c>
      <c r="I2721" s="14" t="n">
        <v>1.162</v>
      </c>
      <c r="J2721" s="14" t="n">
        <v>10.7635</v>
      </c>
      <c r="K2721" s="14" t="n">
        <v>1753.17</v>
      </c>
      <c r="L2721" s="14" t="n">
        <v>0.86671</v>
      </c>
      <c r="M2721" s="14" t="n">
        <v>7.9087</v>
      </c>
      <c r="N2721" s="14" t="n">
        <v>5.837</v>
      </c>
      <c r="O2721" s="14" t="n">
        <v>184.89</v>
      </c>
      <c r="P2721" s="14" t="n">
        <v>9.2629</v>
      </c>
    </row>
    <row r="2722" customFormat="false" ht="15" hidden="false" customHeight="false" outlineLevel="0" collapsed="false">
      <c r="A2722" s="13" t="n">
        <v>46162</v>
      </c>
      <c r="B2722" s="14" t="n">
        <v>1498.77</v>
      </c>
      <c r="C2722" s="14" t="n">
        <v>9.2708</v>
      </c>
      <c r="D2722" s="14" t="n">
        <v>1.3441</v>
      </c>
      <c r="E2722" s="14" t="n">
        <v>1.162</v>
      </c>
      <c r="F2722" s="14" t="n">
        <v>6.8005</v>
      </c>
      <c r="G2722" s="14" t="n">
        <v>5.0154</v>
      </c>
      <c r="H2722" s="14" t="n">
        <v>158.84</v>
      </c>
      <c r="I2722" s="14" t="n">
        <v>1.16</v>
      </c>
      <c r="J2722" s="14" t="n">
        <v>10.764</v>
      </c>
      <c r="K2722" s="14" t="n">
        <v>1746.31</v>
      </c>
      <c r="L2722" s="14" t="n">
        <v>0.86555</v>
      </c>
      <c r="M2722" s="14" t="n">
        <v>7.8912</v>
      </c>
      <c r="N2722" s="14" t="n">
        <v>5.8347</v>
      </c>
      <c r="O2722" s="14" t="n">
        <v>184.48</v>
      </c>
      <c r="P2722" s="14" t="n">
        <v>9.2793</v>
      </c>
    </row>
    <row r="2723" customFormat="false" ht="15" hidden="false" customHeight="false" outlineLevel="0" collapsed="false">
      <c r="A2723" s="13" t="n">
        <v>46163</v>
      </c>
      <c r="B2723" s="14" t="n">
        <v>1508.47</v>
      </c>
      <c r="C2723" s="14" t="n">
        <v>9.2641</v>
      </c>
      <c r="D2723" s="14" t="n">
        <v>1.3407</v>
      </c>
      <c r="E2723" s="14" t="n">
        <v>1.1589</v>
      </c>
      <c r="F2723" s="14" t="n">
        <v>6.8025</v>
      </c>
      <c r="G2723" s="14" t="n">
        <v>5.0032</v>
      </c>
      <c r="H2723" s="14" t="n">
        <v>159.16</v>
      </c>
      <c r="I2723" s="14" t="n">
        <v>1.1599</v>
      </c>
      <c r="J2723" s="14" t="n">
        <v>10.7075</v>
      </c>
      <c r="K2723" s="14" t="n">
        <v>1749.99</v>
      </c>
      <c r="L2723" s="14" t="n">
        <v>0.86433</v>
      </c>
      <c r="M2723" s="14" t="n">
        <v>7.8899</v>
      </c>
      <c r="N2723" s="14" t="n">
        <v>5.8134</v>
      </c>
      <c r="O2723" s="14" t="n">
        <v>184.59</v>
      </c>
      <c r="P2723" s="14" t="n">
        <v>9.2314</v>
      </c>
    </row>
    <row r="2724" customFormat="false" ht="15" hidden="false" customHeight="false" outlineLevel="0" collapsed="false">
      <c r="A2724" s="13" t="n">
        <v>46164</v>
      </c>
      <c r="B2724" s="14" t="n">
        <v>1517.33</v>
      </c>
      <c r="C2724" s="14" t="n">
        <v>9.2704</v>
      </c>
      <c r="D2724" s="14" t="n">
        <v>1.3439</v>
      </c>
      <c r="E2724" s="14" t="n">
        <v>1.1603</v>
      </c>
      <c r="F2724" s="14" t="n">
        <v>6.7945</v>
      </c>
      <c r="G2724" s="14" t="n">
        <v>5.024</v>
      </c>
      <c r="H2724" s="14" t="n">
        <v>159.2</v>
      </c>
      <c r="I2724" s="14" t="n">
        <v>1.1595</v>
      </c>
      <c r="J2724" s="14" t="n">
        <v>10.7295</v>
      </c>
      <c r="K2724" s="14" t="n">
        <v>1759.6</v>
      </c>
      <c r="L2724" s="14" t="n">
        <v>0.86418</v>
      </c>
      <c r="M2724" s="14" t="n">
        <v>7.8791</v>
      </c>
      <c r="N2724" s="14" t="n">
        <v>5.8165</v>
      </c>
      <c r="O2724" s="14" t="n">
        <v>184.53</v>
      </c>
      <c r="P2724" s="14" t="n">
        <v>9.2536</v>
      </c>
    </row>
    <row r="2725" customFormat="false" ht="15" hidden="false" customHeight="false" outlineLevel="0" collapsed="false">
      <c r="A2725" s="13" t="n">
        <v>46167</v>
      </c>
      <c r="I2725" s="14" t="n">
        <v>1.1643</v>
      </c>
      <c r="J2725" s="14" t="n">
        <v>10.766</v>
      </c>
      <c r="K2725" s="14" t="n">
        <v>1762.46</v>
      </c>
      <c r="L2725" s="14" t="n">
        <v>0.86255</v>
      </c>
      <c r="M2725" s="14" t="n">
        <v>7.899</v>
      </c>
      <c r="N2725" s="14" t="n">
        <v>5.8245</v>
      </c>
      <c r="O2725" s="14" t="n">
        <v>185.04</v>
      </c>
    </row>
    <row r="2726" customFormat="false" ht="15" hidden="false" customHeight="false" outlineLevel="0" collapsed="false">
      <c r="A2726" s="13" t="n">
        <v>46168</v>
      </c>
      <c r="B2726" s="14" t="n">
        <v>1506.75</v>
      </c>
      <c r="C2726" s="14" t="n">
        <v>9.2808</v>
      </c>
      <c r="D2726" s="14" t="n">
        <v>1.3437</v>
      </c>
      <c r="E2726" s="14" t="n">
        <v>1.162</v>
      </c>
      <c r="F2726" s="14" t="n">
        <v>6.786</v>
      </c>
      <c r="G2726" s="14" t="n">
        <v>5.0288</v>
      </c>
      <c r="H2726" s="14" t="n">
        <v>159.36</v>
      </c>
      <c r="I2726" s="14" t="n">
        <v>1.1634</v>
      </c>
      <c r="J2726" s="14" t="n">
        <v>10.772</v>
      </c>
      <c r="K2726" s="14" t="n">
        <v>1751.27</v>
      </c>
      <c r="L2726" s="14" t="n">
        <v>0.86375</v>
      </c>
      <c r="M2726" s="14" t="n">
        <v>7.8939</v>
      </c>
      <c r="N2726" s="14" t="n">
        <v>5.8404</v>
      </c>
      <c r="O2726" s="14" t="n">
        <v>185.22</v>
      </c>
      <c r="P2726" s="14" t="n">
        <v>9.2591</v>
      </c>
    </row>
    <row r="2727" customFormat="false" ht="15" hidden="false" customHeight="false" outlineLevel="0" collapsed="false">
      <c r="A2727" s="13" t="n">
        <v>46169</v>
      </c>
      <c r="B2727" s="14" t="n">
        <v>1498.28</v>
      </c>
      <c r="C2727" s="14" t="n">
        <v>9.2811</v>
      </c>
      <c r="D2727" s="14" t="n">
        <v>1.3431</v>
      </c>
      <c r="E2727" s="14" t="n">
        <v>1.1631</v>
      </c>
      <c r="F2727" s="14" t="n">
        <v>6.7788</v>
      </c>
      <c r="G2727" s="14" t="n">
        <v>5.062</v>
      </c>
      <c r="H2727" s="14" t="n">
        <v>159.47</v>
      </c>
      <c r="I2727" s="14" t="n">
        <v>1.1637</v>
      </c>
      <c r="J2727" s="14" t="n">
        <v>10.797</v>
      </c>
      <c r="K2727" s="14" t="n">
        <v>1745.2</v>
      </c>
      <c r="L2727" s="14" t="n">
        <v>0.86618</v>
      </c>
      <c r="M2727" s="14" t="n">
        <v>7.8923</v>
      </c>
      <c r="N2727" s="14" t="n">
        <v>5.8718</v>
      </c>
      <c r="O2727" s="14" t="n">
        <v>185.52</v>
      </c>
      <c r="P2727" s="14" t="n">
        <v>9.2782</v>
      </c>
    </row>
    <row r="2728" customFormat="false" ht="15" hidden="false" customHeight="false" outlineLevel="0" collapsed="false">
      <c r="A2728" s="13" t="n">
        <v>46170</v>
      </c>
      <c r="B2728" s="14" t="n">
        <v>1495.94</v>
      </c>
      <c r="C2728" s="14" t="n">
        <v>9.2538</v>
      </c>
      <c r="D2728" s="14" t="n">
        <v>1.3438</v>
      </c>
      <c r="E2728" s="14" t="n">
        <v>1.1649</v>
      </c>
      <c r="F2728" s="14" t="n">
        <v>6.7796</v>
      </c>
      <c r="G2728" s="14" t="n">
        <v>5.0474</v>
      </c>
      <c r="H2728" s="14" t="n">
        <v>159.29</v>
      </c>
      <c r="I2728" s="14" t="n">
        <v>1.1617</v>
      </c>
      <c r="J2728" s="14" t="n">
        <v>10.794</v>
      </c>
      <c r="K2728" s="14" t="n">
        <v>1745.84</v>
      </c>
      <c r="L2728" s="14" t="n">
        <v>0.86665</v>
      </c>
      <c r="M2728" s="14" t="n">
        <v>7.8762</v>
      </c>
      <c r="N2728" s="14" t="n">
        <v>5.8928</v>
      </c>
      <c r="O2728" s="14" t="n">
        <v>185.24</v>
      </c>
      <c r="P2728" s="14" t="n">
        <v>9.2916</v>
      </c>
    </row>
    <row r="2729" customFormat="false" ht="15" hidden="false" customHeight="false" outlineLevel="0" collapsed="false">
      <c r="A2729" s="13" t="n">
        <v>46171</v>
      </c>
      <c r="B2729" s="14" t="n">
        <v>1503.96</v>
      </c>
      <c r="C2729" s="14" t="n">
        <v>9.2393</v>
      </c>
      <c r="D2729" s="14" t="n">
        <v>1.3476</v>
      </c>
      <c r="E2729" s="14" t="n">
        <v>1.1679</v>
      </c>
      <c r="F2729" s="14" t="n">
        <v>6.7662</v>
      </c>
      <c r="G2729" s="14" t="n">
        <v>5.0585</v>
      </c>
      <c r="H2729" s="14" t="n">
        <v>159.23</v>
      </c>
      <c r="I2729" s="14" t="n">
        <v>1.1644</v>
      </c>
      <c r="J2729" s="14" t="n">
        <v>10.7735</v>
      </c>
      <c r="K2729" s="14" t="n">
        <v>1753.9</v>
      </c>
      <c r="L2729" s="14" t="n">
        <v>0.86723</v>
      </c>
      <c r="M2729" s="14" t="n">
        <v>7.8793</v>
      </c>
      <c r="N2729" s="14" t="n">
        <v>5.8747</v>
      </c>
      <c r="O2729" s="14" t="n">
        <v>185.45</v>
      </c>
      <c r="P2729" s="14" t="n">
        <v>9.2524</v>
      </c>
    </row>
    <row r="2730" customFormat="false" ht="15" hidden="false" customHeight="false" outlineLevel="0" collapsed="false">
      <c r="A2730" s="13" t="n">
        <v>46174</v>
      </c>
      <c r="B2730" s="14" t="n">
        <v>1511.71</v>
      </c>
      <c r="C2730" s="14" t="n">
        <v>9.2824</v>
      </c>
      <c r="D2730" s="14" t="n">
        <v>1.3451</v>
      </c>
      <c r="E2730" s="14" t="n">
        <v>1.1624</v>
      </c>
      <c r="F2730" s="14" t="n">
        <v>6.765</v>
      </c>
      <c r="G2730" s="14" t="n">
        <v>5.0323</v>
      </c>
      <c r="H2730" s="14" t="n">
        <v>159.66</v>
      </c>
      <c r="I2730" s="14" t="n">
        <v>1.1646</v>
      </c>
      <c r="J2730" s="14" t="n">
        <v>10.7885</v>
      </c>
      <c r="K2730" s="14" t="n">
        <v>1756.96</v>
      </c>
      <c r="L2730" s="14" t="n">
        <v>0.86493</v>
      </c>
      <c r="M2730" s="14" t="n">
        <v>7.8786</v>
      </c>
      <c r="N2730" s="14" t="n">
        <v>5.8515</v>
      </c>
      <c r="O2730" s="14" t="n">
        <v>185.74</v>
      </c>
      <c r="P2730" s="14" t="n">
        <v>9.2637</v>
      </c>
    </row>
    <row r="2731" customFormat="false" ht="15" hidden="false" customHeight="false" outlineLevel="0" collapsed="false">
      <c r="A2731" s="13" t="n">
        <v>46175</v>
      </c>
      <c r="B2731" s="14" t="n">
        <v>1517.4</v>
      </c>
      <c r="C2731" s="14" t="n">
        <v>9.2769</v>
      </c>
      <c r="D2731" s="14" t="n">
        <v>1.3481</v>
      </c>
      <c r="E2731" s="14" t="n">
        <v>1.1642</v>
      </c>
      <c r="F2731" s="14" t="n">
        <v>6.7622</v>
      </c>
      <c r="G2731" s="14" t="n">
        <v>5.0126</v>
      </c>
      <c r="H2731" s="14" t="n">
        <v>159.86</v>
      </c>
      <c r="I2731" s="14" t="n">
        <v>1.1649</v>
      </c>
      <c r="J2731" s="14" t="n">
        <v>10.8</v>
      </c>
      <c r="K2731" s="14" t="n">
        <v>1767.33</v>
      </c>
      <c r="L2731" s="14" t="n">
        <v>0.86465</v>
      </c>
      <c r="M2731" s="14" t="n">
        <v>7.8778</v>
      </c>
      <c r="N2731" s="14" t="n">
        <v>5.831</v>
      </c>
      <c r="O2731" s="14" t="n">
        <v>186.09</v>
      </c>
      <c r="P2731" s="14" t="n">
        <v>9.2712</v>
      </c>
    </row>
    <row r="2732" customFormat="false" ht="15" hidden="false" customHeight="false" outlineLevel="0" collapsed="false">
      <c r="A2732" s="13" t="n">
        <v>46176</v>
      </c>
      <c r="B2732" s="14" t="n">
        <v>1518.03</v>
      </c>
      <c r="C2732" s="14" t="n">
        <v>9.3144</v>
      </c>
      <c r="D2732" s="14" t="n">
        <v>1.3435</v>
      </c>
      <c r="E2732" s="14" t="n">
        <v>1.1605</v>
      </c>
      <c r="F2732" s="14" t="n">
        <v>6.7692</v>
      </c>
      <c r="G2732" s="14" t="n">
        <v>5.0461</v>
      </c>
      <c r="H2732" s="14" t="n">
        <v>159.97</v>
      </c>
      <c r="I2732" s="14" t="n">
        <v>1.1614</v>
      </c>
      <c r="J2732" s="14" t="n">
        <v>10.7935</v>
      </c>
      <c r="K2732" s="14" t="n">
        <v>1778.09</v>
      </c>
      <c r="L2732" s="14" t="n">
        <v>0.8637</v>
      </c>
      <c r="M2732" s="14" t="n">
        <v>7.862</v>
      </c>
      <c r="N2732" s="14" t="n">
        <v>5.8284</v>
      </c>
      <c r="O2732" s="14" t="n">
        <v>185.66</v>
      </c>
      <c r="P2732" s="14" t="n">
        <v>9.2935</v>
      </c>
    </row>
    <row r="2733" customFormat="false" ht="15" hidden="false" customHeight="false" outlineLevel="0" collapsed="false">
      <c r="A2733" s="13" t="n">
        <v>46177</v>
      </c>
      <c r="B2733" s="14" t="n">
        <v>1531.91</v>
      </c>
      <c r="C2733" s="14" t="n">
        <v>9.3311</v>
      </c>
      <c r="D2733" s="14" t="n">
        <v>1.3441</v>
      </c>
      <c r="E2733" s="14" t="n">
        <v>1.1629</v>
      </c>
      <c r="F2733" s="14" t="n">
        <v>6.7735</v>
      </c>
      <c r="G2733" s="14" t="n">
        <v>5.064</v>
      </c>
      <c r="H2733" s="14" t="n">
        <v>159.97</v>
      </c>
      <c r="I2733" s="14" t="n">
        <v>1.164</v>
      </c>
      <c r="J2733" s="14" t="n">
        <v>10.8445</v>
      </c>
      <c r="K2733" s="14" t="n">
        <v>1783.85</v>
      </c>
      <c r="L2733" s="14" t="n">
        <v>0.8649</v>
      </c>
      <c r="M2733" s="14" t="n">
        <v>7.8848</v>
      </c>
      <c r="N2733" s="14" t="n">
        <v>5.8951</v>
      </c>
      <c r="O2733" s="14" t="n">
        <v>186.01</v>
      </c>
      <c r="P2733" s="14" t="n">
        <v>9.3166</v>
      </c>
    </row>
    <row r="2734" customFormat="false" ht="15" hidden="false" customHeight="false" outlineLevel="0" collapsed="false">
      <c r="A2734" s="13" t="n">
        <v>46178</v>
      </c>
      <c r="B2734" s="14" t="n">
        <v>1555.96</v>
      </c>
      <c r="C2734" s="14" t="n">
        <v>9.4471</v>
      </c>
      <c r="D2734" s="14" t="n">
        <v>1.336</v>
      </c>
      <c r="E2734" s="14" t="n">
        <v>1.1533</v>
      </c>
      <c r="F2734" s="14" t="n">
        <v>6.7655</v>
      </c>
      <c r="G2734" s="14" t="n">
        <v>5.1444</v>
      </c>
      <c r="H2734" s="14" t="n">
        <v>160.26</v>
      </c>
      <c r="I2734" s="14" t="n">
        <v>1.164</v>
      </c>
      <c r="J2734" s="14" t="n">
        <v>10.8445</v>
      </c>
      <c r="K2734" s="14" t="n">
        <v>1793.64</v>
      </c>
      <c r="L2734" s="14" t="n">
        <v>0.86433</v>
      </c>
      <c r="M2734" s="14" t="n">
        <v>7.8752</v>
      </c>
      <c r="N2734" s="14" t="n">
        <v>5.8897</v>
      </c>
      <c r="O2734" s="14" t="n">
        <v>186.08</v>
      </c>
      <c r="P2734" s="14" t="n">
        <v>9.3166</v>
      </c>
    </row>
    <row r="2735" customFormat="false" ht="15" hidden="false" customHeight="false" outlineLevel="0" collapsed="false">
      <c r="A2735" s="13" t="n">
        <v>46181</v>
      </c>
      <c r="B2735" s="14" t="n">
        <v>1528.23</v>
      </c>
      <c r="C2735" s="14" t="n">
        <v>9.4576</v>
      </c>
      <c r="D2735" s="14" t="n">
        <v>1.3347</v>
      </c>
      <c r="E2735" s="14" t="n">
        <v>1.1545</v>
      </c>
      <c r="F2735" s="14" t="n">
        <v>6.7832</v>
      </c>
      <c r="G2735" s="14" t="n">
        <v>5.169</v>
      </c>
      <c r="H2735" s="14" t="n">
        <v>160.12</v>
      </c>
      <c r="I2735" s="14" t="n">
        <v>1.154</v>
      </c>
      <c r="J2735" s="14" t="n">
        <v>10.9165</v>
      </c>
      <c r="K2735" s="14" t="n">
        <v>1763.26</v>
      </c>
      <c r="L2735" s="14" t="n">
        <v>0.8636</v>
      </c>
      <c r="M2735" s="14" t="n">
        <v>7.8263</v>
      </c>
      <c r="N2735" s="14" t="n">
        <v>5.9353</v>
      </c>
      <c r="O2735" s="14" t="n">
        <v>184.6</v>
      </c>
      <c r="P2735" s="14" t="n">
        <v>9.4597</v>
      </c>
    </row>
    <row r="2736" customFormat="false" ht="15" hidden="false" customHeight="false" outlineLevel="0" collapsed="false">
      <c r="A2736" s="13" t="n">
        <v>46182</v>
      </c>
      <c r="B2736" s="14" t="n">
        <v>1529.94</v>
      </c>
      <c r="C2736" s="14" t="n">
        <v>9.4986</v>
      </c>
      <c r="D2736" s="14" t="n">
        <v>1.3389</v>
      </c>
      <c r="E2736" s="14" t="n">
        <v>1.1556</v>
      </c>
      <c r="F2736" s="14" t="n">
        <v>6.7722</v>
      </c>
      <c r="G2736" s="14" t="n">
        <v>5.1774</v>
      </c>
      <c r="H2736" s="14" t="n">
        <v>160.23</v>
      </c>
      <c r="I2736" s="14" t="n">
        <v>1.1573</v>
      </c>
      <c r="J2736" s="14" t="n">
        <v>10.9345</v>
      </c>
      <c r="K2736" s="14" t="n">
        <v>1765.44</v>
      </c>
      <c r="L2736" s="14" t="n">
        <v>0.8634</v>
      </c>
      <c r="M2736" s="14" t="n">
        <v>7.8367</v>
      </c>
      <c r="N2736" s="14" t="n">
        <v>5.9751</v>
      </c>
      <c r="O2736" s="14" t="n">
        <v>185.35</v>
      </c>
      <c r="P2736" s="14" t="n">
        <v>9.4483</v>
      </c>
    </row>
    <row r="2737" customFormat="false" ht="15" hidden="false" customHeight="false" outlineLevel="0" collapsed="false">
      <c r="A2737" s="13" t="n">
        <v>46183</v>
      </c>
      <c r="B2737" s="14" t="n">
        <v>1519.26</v>
      </c>
      <c r="C2737" s="14" t="n">
        <v>9.4491</v>
      </c>
      <c r="D2737" s="14" t="n">
        <v>1.3392</v>
      </c>
      <c r="E2737" s="14" t="n">
        <v>1.155</v>
      </c>
      <c r="F2737" s="14" t="n">
        <v>6.7745</v>
      </c>
      <c r="G2737" s="14" t="n">
        <v>5.176</v>
      </c>
      <c r="H2737" s="14" t="n">
        <v>160.47</v>
      </c>
      <c r="I2737" s="14" t="n">
        <v>1.1539</v>
      </c>
      <c r="J2737" s="14" t="n">
        <v>10.952</v>
      </c>
      <c r="K2737" s="14" t="n">
        <v>1759.12</v>
      </c>
      <c r="L2737" s="14" t="n">
        <v>0.86228</v>
      </c>
      <c r="M2737" s="14" t="n">
        <v>7.8243</v>
      </c>
      <c r="N2737" s="14" t="n">
        <v>5.9896</v>
      </c>
      <c r="O2737" s="14" t="n">
        <v>185.19</v>
      </c>
      <c r="P2737" s="14" t="n">
        <v>9.4913</v>
      </c>
    </row>
    <row r="2738" customFormat="false" ht="15" hidden="false" customHeight="false" outlineLevel="0" collapsed="false">
      <c r="A2738" s="13" t="n">
        <v>46184</v>
      </c>
      <c r="B2738" s="14" t="n">
        <v>1530.97</v>
      </c>
      <c r="C2738" s="14" t="n">
        <v>9.5258</v>
      </c>
      <c r="D2738" s="14" t="n">
        <v>1.3337</v>
      </c>
      <c r="E2738" s="14" t="n">
        <v>1.1515</v>
      </c>
      <c r="F2738" s="14" t="n">
        <v>6.7756</v>
      </c>
      <c r="G2738" s="14" t="n">
        <v>5.1463</v>
      </c>
      <c r="H2738" s="14" t="n">
        <v>160.51</v>
      </c>
      <c r="I2738" s="14" t="n">
        <v>1.1537</v>
      </c>
      <c r="J2738" s="14" t="n">
        <v>10.9895</v>
      </c>
      <c r="K2738" s="14" t="n">
        <v>1764.62</v>
      </c>
      <c r="L2738" s="14" t="n">
        <v>0.8633</v>
      </c>
      <c r="M2738" s="14" t="n">
        <v>7.8191</v>
      </c>
      <c r="N2738" s="14" t="n">
        <v>5.9536</v>
      </c>
      <c r="O2738" s="14" t="n">
        <v>185.21</v>
      </c>
      <c r="P2738" s="14" t="n">
        <v>9.5254</v>
      </c>
    </row>
    <row r="2739" customFormat="false" ht="15" hidden="false" customHeight="false" outlineLevel="0" collapsed="false">
      <c r="A2739" s="13" t="n">
        <v>46185</v>
      </c>
      <c r="B2739" s="14" t="n">
        <v>1518.87</v>
      </c>
      <c r="C2739" s="14" t="n">
        <v>9.5004</v>
      </c>
      <c r="D2739" s="14" t="n">
        <v>1.3414</v>
      </c>
      <c r="E2739" s="14" t="n">
        <v>1.1573</v>
      </c>
      <c r="F2739" s="14" t="n">
        <v>6.7626</v>
      </c>
      <c r="G2739" s="14" t="n">
        <v>5.0729</v>
      </c>
      <c r="H2739" s="14" t="n">
        <v>160.24</v>
      </c>
      <c r="I2739" s="14" t="n">
        <v>1.1567</v>
      </c>
      <c r="J2739" s="14" t="n">
        <v>11.0255</v>
      </c>
      <c r="K2739" s="14" t="n">
        <v>1758.43</v>
      </c>
      <c r="L2739" s="14" t="n">
        <v>0.86305</v>
      </c>
      <c r="M2739" s="14" t="n">
        <v>7.822</v>
      </c>
      <c r="N2739" s="14" t="n">
        <v>5.9076</v>
      </c>
      <c r="O2739" s="14" t="n">
        <v>185.3</v>
      </c>
      <c r="P2739" s="14" t="n">
        <v>9.5319</v>
      </c>
    </row>
    <row r="2740" customFormat="false" ht="15" hidden="false" customHeight="false" outlineLevel="0" collapsed="false">
      <c r="A2740" s="13" t="n">
        <v>46188</v>
      </c>
      <c r="B2740" s="14" t="n">
        <v>1514.87</v>
      </c>
      <c r="C2740" s="14" t="n">
        <v>9.5237</v>
      </c>
      <c r="D2740" s="14" t="n">
        <v>1.3426</v>
      </c>
      <c r="E2740" s="14" t="n">
        <v>1.1599</v>
      </c>
      <c r="F2740" s="14" t="n">
        <v>6.757</v>
      </c>
      <c r="G2740" s="14" t="n">
        <v>5.0567</v>
      </c>
      <c r="H2740" s="14" t="n">
        <v>160.2</v>
      </c>
      <c r="I2740" s="14" t="n">
        <v>1.1607</v>
      </c>
      <c r="J2740" s="14" t="n">
        <v>11.0555</v>
      </c>
      <c r="K2740" s="14" t="n">
        <v>1757.65</v>
      </c>
      <c r="L2740" s="14" t="n">
        <v>0.86483</v>
      </c>
      <c r="M2740" s="14" t="n">
        <v>7.8429</v>
      </c>
      <c r="N2740" s="14" t="n">
        <v>5.8613</v>
      </c>
      <c r="O2740" s="14" t="n">
        <v>185.93</v>
      </c>
      <c r="P2740" s="14" t="n">
        <v>9.5249</v>
      </c>
    </row>
    <row r="2741" customFormat="false" ht="15" hidden="false" customHeight="false" outlineLevel="0" collapsed="false">
      <c r="A2741" s="13" t="n">
        <v>46189</v>
      </c>
      <c r="B2741" s="14" t="n">
        <v>1508.12</v>
      </c>
      <c r="C2741" s="14" t="n">
        <v>9.48</v>
      </c>
      <c r="D2741" s="14" t="n">
        <v>1.3438</v>
      </c>
      <c r="E2741" s="14" t="n">
        <v>1.1615</v>
      </c>
      <c r="F2741" s="14" t="n">
        <v>6.7562</v>
      </c>
      <c r="G2741" s="14" t="n">
        <v>5.0777</v>
      </c>
      <c r="H2741" s="14" t="n">
        <v>160.39</v>
      </c>
      <c r="I2741" s="14" t="n">
        <v>1.1594</v>
      </c>
      <c r="J2741" s="14" t="n">
        <v>11.0465</v>
      </c>
      <c r="K2741" s="14" t="n">
        <v>1749.36</v>
      </c>
      <c r="L2741" s="14" t="n">
        <v>0.86471</v>
      </c>
      <c r="M2741" s="14" t="n">
        <v>7.8334</v>
      </c>
      <c r="N2741" s="14" t="n">
        <v>5.8669</v>
      </c>
      <c r="O2741" s="14" t="n">
        <v>185.94</v>
      </c>
      <c r="P2741" s="14" t="n">
        <v>9.5278</v>
      </c>
    </row>
    <row r="2742" customFormat="false" ht="15" hidden="false" customHeight="false" outlineLevel="0" collapsed="false">
      <c r="A2742" s="13" t="n">
        <v>46190</v>
      </c>
      <c r="B2742" s="14" t="n">
        <v>1514.24</v>
      </c>
      <c r="C2742" s="14" t="n">
        <v>9.505</v>
      </c>
      <c r="D2742" s="14" t="n">
        <v>1.34</v>
      </c>
      <c r="E2742" s="14" t="n">
        <v>1.1593</v>
      </c>
      <c r="F2742" s="14" t="n">
        <v>6.7577</v>
      </c>
      <c r="G2742" s="14" t="n">
        <v>5.0597</v>
      </c>
      <c r="H2742" s="14" t="n">
        <v>160.22</v>
      </c>
      <c r="I2742" s="14" t="n">
        <v>1.1591</v>
      </c>
      <c r="J2742" s="14" t="n">
        <v>11.008</v>
      </c>
      <c r="K2742" s="14" t="n">
        <v>1758.45</v>
      </c>
      <c r="L2742" s="14" t="n">
        <v>0.86463</v>
      </c>
      <c r="M2742" s="14" t="n">
        <v>7.8349</v>
      </c>
      <c r="N2742" s="14" t="n">
        <v>5.8929</v>
      </c>
      <c r="O2742" s="14" t="n">
        <v>185.82</v>
      </c>
      <c r="P2742" s="14" t="n">
        <v>9.497</v>
      </c>
    </row>
    <row r="2743" customFormat="false" ht="15" hidden="false" customHeight="false" outlineLevel="0" collapsed="false">
      <c r="A2743" s="13" t="n">
        <v>46191</v>
      </c>
      <c r="B2743" s="14" t="n">
        <v>1540.64</v>
      </c>
      <c r="C2743" s="14" t="n">
        <v>9.7247</v>
      </c>
      <c r="D2743" s="14" t="n">
        <v>1.3228</v>
      </c>
      <c r="E2743" s="14" t="n">
        <v>1.147</v>
      </c>
      <c r="F2743" s="14" t="n">
        <v>6.7686</v>
      </c>
      <c r="G2743" s="14" t="n">
        <v>5.1689</v>
      </c>
      <c r="H2743" s="14" t="n">
        <v>161.37</v>
      </c>
      <c r="I2743" s="14" t="n">
        <v>1.1461</v>
      </c>
      <c r="J2743" s="14" t="n">
        <v>11.105</v>
      </c>
      <c r="K2743" s="14" t="n">
        <v>1763.72</v>
      </c>
      <c r="L2743" s="14" t="n">
        <v>0.86638</v>
      </c>
      <c r="M2743" s="14" t="n">
        <v>7.7609</v>
      </c>
      <c r="N2743" s="14" t="n">
        <v>5.8989</v>
      </c>
      <c r="O2743" s="14" t="n">
        <v>184.44</v>
      </c>
      <c r="P2743" s="14" t="n">
        <v>9.6894</v>
      </c>
    </row>
    <row r="2744" customFormat="false" ht="15" hidden="false" customHeight="false" outlineLevel="0" collapsed="false">
      <c r="A2744" s="13" t="n">
        <v>46192</v>
      </c>
      <c r="I2744" s="14" t="n">
        <v>1.1467</v>
      </c>
      <c r="J2744" s="14" t="n">
        <v>11.1045</v>
      </c>
      <c r="K2744" s="14" t="n">
        <v>1757.1</v>
      </c>
      <c r="L2744" s="14" t="n">
        <v>0.86653</v>
      </c>
      <c r="M2744" s="14" t="n">
        <v>7.7624</v>
      </c>
      <c r="N2744" s="14" t="n">
        <v>5.9173</v>
      </c>
      <c r="O2744" s="14" t="n">
        <v>184.88</v>
      </c>
      <c r="P2744" s="14" t="n">
        <v>9.6839</v>
      </c>
    </row>
    <row r="2745" customFormat="false" ht="15" hidden="false" customHeight="false" outlineLevel="0" collapsed="false">
      <c r="A2745" s="13" t="n">
        <v>46195</v>
      </c>
      <c r="B2745" s="14" t="n">
        <v>1537.86</v>
      </c>
      <c r="C2745" s="14" t="n">
        <v>9.6933</v>
      </c>
      <c r="D2745" s="14" t="n">
        <v>1.3249</v>
      </c>
      <c r="E2745" s="14" t="n">
        <v>1.1432</v>
      </c>
      <c r="F2745" s="14" t="n">
        <v>6.7745</v>
      </c>
      <c r="G2745" s="14" t="n">
        <v>5.1308</v>
      </c>
      <c r="H2745" s="14" t="n">
        <v>161.51</v>
      </c>
      <c r="I2745" s="14" t="n">
        <v>1.1456</v>
      </c>
      <c r="J2745" s="14" t="n">
        <v>11.074</v>
      </c>
      <c r="K2745" s="14" t="n">
        <v>1760.88</v>
      </c>
      <c r="L2745" s="14" t="n">
        <v>0.86468</v>
      </c>
      <c r="M2745" s="14" t="n">
        <v>7.7612</v>
      </c>
      <c r="N2745" s="14" t="n">
        <v>5.902</v>
      </c>
      <c r="O2745" s="14" t="n">
        <v>185.33</v>
      </c>
      <c r="P2745" s="14" t="n">
        <v>9.6666</v>
      </c>
    </row>
    <row r="2746" customFormat="false" ht="15" hidden="false" customHeight="false" outlineLevel="0" collapsed="false">
      <c r="A2746" s="13" t="n">
        <v>46196</v>
      </c>
      <c r="B2746" s="14" t="n">
        <v>1532.43</v>
      </c>
      <c r="C2746" s="14" t="n">
        <v>9.7873</v>
      </c>
      <c r="D2746" s="14" t="n">
        <v>1.3192</v>
      </c>
      <c r="E2746" s="14" t="n">
        <v>1.1383</v>
      </c>
      <c r="F2746" s="14" t="n">
        <v>6.79</v>
      </c>
      <c r="G2746" s="14" t="n">
        <v>5.1812</v>
      </c>
      <c r="H2746" s="14" t="n">
        <v>161.55</v>
      </c>
      <c r="I2746" s="14" t="n">
        <v>1.1392</v>
      </c>
      <c r="J2746" s="14" t="n">
        <v>11.143</v>
      </c>
      <c r="K2746" s="14" t="n">
        <v>1749.98</v>
      </c>
      <c r="L2746" s="14" t="n">
        <v>0.862</v>
      </c>
      <c r="M2746" s="14" t="n">
        <v>7.7303</v>
      </c>
      <c r="N2746" s="14" t="n">
        <v>5.8925</v>
      </c>
      <c r="O2746" s="14" t="n">
        <v>184.02</v>
      </c>
      <c r="P2746" s="14" t="n">
        <v>9.7814</v>
      </c>
    </row>
    <row r="2747" customFormat="false" ht="15" hidden="false" customHeight="false" outlineLevel="0" collapsed="false">
      <c r="A2747" s="13" t="n">
        <v>46197</v>
      </c>
      <c r="B2747" s="14" t="n">
        <v>1542.53</v>
      </c>
      <c r="C2747" s="14" t="n">
        <v>9.8565</v>
      </c>
      <c r="D2747" s="14" t="n">
        <v>1.316</v>
      </c>
      <c r="E2747" s="14" t="n">
        <v>1.1348</v>
      </c>
      <c r="F2747" s="14" t="n">
        <v>6.8106</v>
      </c>
      <c r="G2747" s="14" t="n">
        <v>5.2101</v>
      </c>
      <c r="H2747" s="14" t="n">
        <v>161.76</v>
      </c>
      <c r="I2747" s="14" t="n">
        <v>1.134</v>
      </c>
      <c r="J2747" s="14" t="n">
        <v>11.157</v>
      </c>
      <c r="K2747" s="14" t="n">
        <v>1753.65</v>
      </c>
      <c r="L2747" s="14" t="n">
        <v>0.86165</v>
      </c>
      <c r="M2747" s="14" t="n">
        <v>7.7236</v>
      </c>
      <c r="N2747" s="14" t="n">
        <v>5.8963</v>
      </c>
      <c r="O2747" s="14" t="n">
        <v>183.35</v>
      </c>
      <c r="P2747" s="14" t="n">
        <v>9.8386</v>
      </c>
    </row>
    <row r="2748" customFormat="false" ht="15" hidden="false" customHeight="false" outlineLevel="0" collapsed="false">
      <c r="A2748" s="13" t="n">
        <v>46198</v>
      </c>
      <c r="B2748" s="14" t="n">
        <v>1541.44</v>
      </c>
      <c r="C2748" s="14" t="n">
        <v>9.8377</v>
      </c>
      <c r="D2748" s="14" t="n">
        <v>1.3216</v>
      </c>
      <c r="E2748" s="14" t="n">
        <v>1.1385</v>
      </c>
      <c r="F2748" s="14" t="n">
        <v>6.7976</v>
      </c>
      <c r="G2748" s="14" t="n">
        <v>5.1728</v>
      </c>
      <c r="H2748" s="14" t="n">
        <v>161.67</v>
      </c>
      <c r="I2748" s="14" t="n">
        <v>1.1342</v>
      </c>
      <c r="J2748" s="14" t="n">
        <v>11.2175</v>
      </c>
      <c r="K2748" s="14" t="n">
        <v>1749.98</v>
      </c>
      <c r="L2748" s="14" t="n">
        <v>0.86183</v>
      </c>
      <c r="M2748" s="14" t="n">
        <v>7.7105</v>
      </c>
      <c r="N2748" s="14" t="n">
        <v>5.9</v>
      </c>
      <c r="O2748" s="14" t="n">
        <v>183.57</v>
      </c>
      <c r="P2748" s="14" t="n">
        <v>9.8902</v>
      </c>
    </row>
    <row r="2749" customFormat="false" ht="15" hidden="false" customHeight="false" outlineLevel="0" collapsed="false">
      <c r="A2749" s="13" t="n">
        <v>46199</v>
      </c>
      <c r="B2749" s="14" t="n">
        <v>1533.44</v>
      </c>
      <c r="C2749" s="14" t="n">
        <v>9.9116</v>
      </c>
      <c r="D2749" s="14" t="n">
        <v>1.3223</v>
      </c>
      <c r="E2749" s="14" t="n">
        <v>1.1403</v>
      </c>
      <c r="F2749" s="14" t="n">
        <v>6.798</v>
      </c>
      <c r="G2749" s="14" t="n">
        <v>5.1586</v>
      </c>
      <c r="H2749" s="14" t="n">
        <v>161.67</v>
      </c>
      <c r="I2749" s="14" t="n">
        <v>1.1401</v>
      </c>
      <c r="J2749" s="14" t="n">
        <v>11.3035</v>
      </c>
      <c r="K2749" s="14" t="n">
        <v>1751.73</v>
      </c>
      <c r="L2749" s="14" t="n">
        <v>0.86253</v>
      </c>
      <c r="M2749" s="14" t="n">
        <v>7.7506</v>
      </c>
      <c r="N2749" s="14" t="n">
        <v>5.901</v>
      </c>
      <c r="O2749" s="14" t="n">
        <v>184.3</v>
      </c>
      <c r="P2749" s="14" t="n">
        <v>9.9145</v>
      </c>
    </row>
    <row r="2750" customFormat="false" ht="15" hidden="false" customHeight="false" outlineLevel="0" collapsed="false">
      <c r="A2750" s="13" t="n">
        <v>46202</v>
      </c>
      <c r="B2750" s="14" t="n">
        <v>1542.07</v>
      </c>
      <c r="C2750" s="14" t="n">
        <v>9.9257</v>
      </c>
      <c r="D2750" s="14" t="n">
        <v>1.3255</v>
      </c>
      <c r="E2750" s="14" t="n">
        <v>1.1425</v>
      </c>
      <c r="F2750" s="14" t="n">
        <v>6.7936</v>
      </c>
      <c r="G2750" s="14" t="n">
        <v>5.1812</v>
      </c>
      <c r="H2750" s="14" t="n">
        <v>161.93</v>
      </c>
      <c r="I2750" s="14" t="n">
        <v>1.1406</v>
      </c>
      <c r="J2750" s="14" t="n">
        <v>11.3295</v>
      </c>
      <c r="K2750" s="14" t="n">
        <v>1760.8</v>
      </c>
      <c r="L2750" s="14" t="n">
        <v>0.86215</v>
      </c>
      <c r="M2750" s="14" t="n">
        <v>7.7492</v>
      </c>
      <c r="N2750" s="14" t="n">
        <v>5.8899</v>
      </c>
      <c r="O2750" s="14" t="n">
        <v>184.62</v>
      </c>
      <c r="P2750" s="14" t="n">
        <v>9.9329</v>
      </c>
    </row>
    <row r="2751" customFormat="false" ht="15" hidden="false" customHeight="false" outlineLevel="0" collapsed="false">
      <c r="A2751" s="13" t="n">
        <v>46203</v>
      </c>
      <c r="B2751" s="14" t="n">
        <v>1548.78</v>
      </c>
      <c r="C2751" s="14" t="n">
        <v>9.9068</v>
      </c>
      <c r="D2751" s="14" t="n">
        <v>1.3259</v>
      </c>
      <c r="E2751" s="14" t="n">
        <v>1.1417</v>
      </c>
      <c r="F2751" s="14" t="n">
        <v>6.7851</v>
      </c>
      <c r="G2751" s="14" t="n">
        <v>5.1665</v>
      </c>
      <c r="H2751" s="14" t="n">
        <v>162.61</v>
      </c>
      <c r="I2751" s="14" t="n">
        <v>1.1394</v>
      </c>
      <c r="J2751" s="14" t="n">
        <v>11.3105</v>
      </c>
      <c r="K2751" s="14" t="n">
        <v>1767.08</v>
      </c>
      <c r="L2751" s="14" t="n">
        <v>0.86178</v>
      </c>
      <c r="M2751" s="14" t="n">
        <v>7.7314</v>
      </c>
      <c r="N2751" s="14" t="n">
        <v>5.9003</v>
      </c>
      <c r="O2751" s="14" t="n">
        <v>185.08</v>
      </c>
      <c r="P2751" s="14" t="n">
        <v>9.9267</v>
      </c>
    </row>
    <row r="2752" customFormat="false" ht="15" hidden="false" customHeight="false" outlineLevel="0" collapsed="false">
      <c r="A2752" s="13" t="n">
        <v>46204</v>
      </c>
      <c r="B2752" s="14" t="n">
        <v>1550.59</v>
      </c>
      <c r="C2752" s="14" t="n">
        <v>9.9093</v>
      </c>
      <c r="D2752" s="14" t="n">
        <v>1.328</v>
      </c>
      <c r="E2752" s="14" t="n">
        <v>1.1384</v>
      </c>
      <c r="F2752" s="14" t="n">
        <v>6.7942</v>
      </c>
      <c r="G2752" s="14" t="n">
        <v>5.2008</v>
      </c>
      <c r="H2752" s="14" t="n">
        <v>162.41</v>
      </c>
      <c r="I2752" s="14" t="n">
        <v>1.1383</v>
      </c>
      <c r="J2752" s="14" t="n">
        <v>11.3125</v>
      </c>
      <c r="K2752" s="14" t="n">
        <v>1773.57</v>
      </c>
      <c r="L2752" s="14" t="n">
        <v>0.85973</v>
      </c>
      <c r="M2752" s="14" t="n">
        <v>7.7342</v>
      </c>
      <c r="N2752" s="14" t="n">
        <v>5.9048</v>
      </c>
      <c r="O2752" s="14" t="n">
        <v>185.21</v>
      </c>
      <c r="P2752" s="14" t="n">
        <v>9.9381</v>
      </c>
    </row>
    <row r="2753" customFormat="false" ht="15" hidden="false" customHeight="false" outlineLevel="0" collapsed="false">
      <c r="A2753" s="13" t="n">
        <v>46205</v>
      </c>
      <c r="B2753" s="14" t="n">
        <v>1538.05</v>
      </c>
      <c r="C2753" s="14" t="n">
        <v>9.8328</v>
      </c>
      <c r="D2753" s="14" t="n">
        <v>1.3364</v>
      </c>
      <c r="E2753" s="14" t="n">
        <v>1.1448</v>
      </c>
      <c r="F2753" s="14" t="n">
        <v>6.7886</v>
      </c>
      <c r="G2753" s="14" t="n">
        <v>5.2004</v>
      </c>
      <c r="H2753" s="14" t="n">
        <v>160.9</v>
      </c>
      <c r="I2753" s="14" t="n">
        <v>1.1399</v>
      </c>
      <c r="J2753" s="14" t="n">
        <v>11.2885</v>
      </c>
      <c r="K2753" s="14" t="n">
        <v>1765.53</v>
      </c>
      <c r="L2753" s="14" t="n">
        <v>0.85665</v>
      </c>
      <c r="M2753" s="14" t="n">
        <v>7.7388</v>
      </c>
      <c r="N2753" s="14" t="n">
        <v>5.9286</v>
      </c>
      <c r="O2753" s="14" t="n">
        <v>184.19</v>
      </c>
      <c r="P2753" s="14" t="n">
        <v>9.9031</v>
      </c>
    </row>
    <row r="2754" customFormat="false" ht="15" hidden="false" customHeight="false" outlineLevel="0" collapsed="false">
      <c r="A2754" s="13" t="n">
        <v>46206</v>
      </c>
      <c r="I2754" s="14" t="n">
        <v>1.1448</v>
      </c>
      <c r="J2754" s="14" t="n">
        <v>11.269</v>
      </c>
      <c r="K2754" s="14" t="n">
        <v>1752.95</v>
      </c>
      <c r="L2754" s="14" t="n">
        <v>0.8572</v>
      </c>
      <c r="M2754" s="14" t="n">
        <v>7.7634</v>
      </c>
      <c r="N2754" s="14" t="n">
        <v>5.9486</v>
      </c>
      <c r="O2754" s="14" t="n">
        <v>184.48</v>
      </c>
      <c r="P2754" s="14" t="n">
        <v>9.8436</v>
      </c>
    </row>
    <row r="2755" customFormat="false" ht="15" hidden="false" customHeight="false" outlineLevel="0" collapsed="false">
      <c r="A2755" s="13" t="n">
        <v>46209</v>
      </c>
      <c r="B2755" s="14" t="n">
        <v>1530.98</v>
      </c>
      <c r="C2755" s="14" t="n">
        <v>9.818</v>
      </c>
      <c r="D2755" s="14" t="n">
        <v>1.3369</v>
      </c>
      <c r="E2755" s="14" t="n">
        <v>1.1426</v>
      </c>
      <c r="F2755" s="14" t="n">
        <v>6.7958</v>
      </c>
      <c r="G2755" s="14" t="n">
        <v>5.1472</v>
      </c>
      <c r="H2755" s="14" t="n">
        <v>162.28</v>
      </c>
      <c r="I2755" s="14" t="n">
        <v>1.1415</v>
      </c>
      <c r="J2755" s="14" t="n">
        <v>11.234</v>
      </c>
      <c r="K2755" s="14" t="n">
        <v>1747.72</v>
      </c>
      <c r="L2755" s="14" t="n">
        <v>0.85538</v>
      </c>
      <c r="M2755" s="14" t="n">
        <v>7.7573</v>
      </c>
      <c r="N2755" s="14" t="n">
        <v>5.913</v>
      </c>
      <c r="O2755" s="14" t="n">
        <v>185.31</v>
      </c>
      <c r="P2755" s="14" t="n">
        <v>9.8414</v>
      </c>
    </row>
    <row r="2756" customFormat="false" ht="15" hidden="false" customHeight="false" outlineLevel="0" collapsed="false">
      <c r="A2756" s="13" t="n">
        <v>46210</v>
      </c>
      <c r="B2756" s="14" t="n">
        <v>1514.43</v>
      </c>
      <c r="C2756" s="14" t="n">
        <v>9.7948</v>
      </c>
      <c r="D2756" s="14" t="n">
        <v>1.3372</v>
      </c>
      <c r="E2756" s="14" t="n">
        <v>1.1423</v>
      </c>
      <c r="F2756" s="14" t="n">
        <v>6.7934</v>
      </c>
      <c r="G2756" s="14" t="n">
        <v>5.1515</v>
      </c>
      <c r="H2756" s="14" t="n">
        <v>161.91</v>
      </c>
      <c r="I2756" s="14" t="n">
        <v>1.1433</v>
      </c>
      <c r="J2756" s="14" t="n">
        <v>11.214</v>
      </c>
      <c r="K2756" s="14" t="n">
        <v>1731.47</v>
      </c>
      <c r="L2756" s="14" t="n">
        <v>0.85411</v>
      </c>
      <c r="M2756" s="14" t="n">
        <v>7.767</v>
      </c>
      <c r="N2756" s="14" t="n">
        <v>5.8781</v>
      </c>
      <c r="O2756" s="14" t="n">
        <v>185.09</v>
      </c>
      <c r="P2756" s="14" t="n">
        <v>9.8084</v>
      </c>
    </row>
    <row r="2757" customFormat="false" ht="15" hidden="false" customHeight="false" outlineLevel="0" collapsed="false">
      <c r="A2757" s="13" t="n">
        <v>46211</v>
      </c>
      <c r="B2757" s="14" t="n">
        <v>1511.17</v>
      </c>
      <c r="C2757" s="14" t="n">
        <v>9.804</v>
      </c>
      <c r="D2757" s="14" t="n">
        <v>1.3362</v>
      </c>
      <c r="E2757" s="14" t="n">
        <v>1.1396</v>
      </c>
      <c r="F2757" s="14" t="n">
        <v>6.8025</v>
      </c>
      <c r="G2757" s="14" t="n">
        <v>5.1621</v>
      </c>
      <c r="H2757" s="14" t="n">
        <v>162.67</v>
      </c>
      <c r="I2757" s="14" t="n">
        <v>1.1404</v>
      </c>
      <c r="J2757" s="14" t="n">
        <v>11.136</v>
      </c>
      <c r="K2757" s="14" t="n">
        <v>1720.95</v>
      </c>
      <c r="L2757" s="14" t="n">
        <v>0.85435</v>
      </c>
      <c r="M2757" s="14" t="n">
        <v>7.755</v>
      </c>
      <c r="N2757" s="14" t="n">
        <v>5.8802</v>
      </c>
      <c r="O2757" s="14" t="n">
        <v>185.3</v>
      </c>
      <c r="P2757" s="14" t="n">
        <v>9.765</v>
      </c>
    </row>
    <row r="2758" customFormat="false" ht="15" hidden="false" customHeight="false" outlineLevel="0" collapsed="false">
      <c r="A2758" s="13" t="n">
        <v>46212</v>
      </c>
      <c r="B2758" s="14" t="n">
        <v>1508.76</v>
      </c>
      <c r="C2758" s="14" t="n">
        <v>9.7102</v>
      </c>
      <c r="D2758" s="14" t="n">
        <v>1.3409</v>
      </c>
      <c r="E2758" s="14" t="n">
        <v>1.1439</v>
      </c>
      <c r="F2758" s="14" t="n">
        <v>6.7921</v>
      </c>
      <c r="G2758" s="14" t="n">
        <v>5.1204</v>
      </c>
      <c r="H2758" s="14" t="n">
        <v>162.29</v>
      </c>
      <c r="I2758" s="14" t="n">
        <v>1.1435</v>
      </c>
      <c r="J2758" s="14" t="n">
        <v>11.1305</v>
      </c>
      <c r="K2758" s="14" t="n">
        <v>1729.49</v>
      </c>
      <c r="L2758" s="14" t="n">
        <v>0.85363</v>
      </c>
      <c r="M2758" s="14" t="n">
        <v>7.7712</v>
      </c>
      <c r="N2758" s="14" t="n">
        <v>5.8837</v>
      </c>
      <c r="O2758" s="14" t="n">
        <v>185.72</v>
      </c>
      <c r="P2758" s="14" t="n">
        <v>9.7337</v>
      </c>
    </row>
    <row r="2759" customFormat="false" ht="15" hidden="false" customHeight="false" outlineLevel="0" collapsed="false">
      <c r="A2759" s="13" t="n">
        <v>46213</v>
      </c>
      <c r="B2759" s="14" t="n">
        <v>1501.06</v>
      </c>
      <c r="C2759" s="14" t="n">
        <v>9.7625</v>
      </c>
      <c r="D2759" s="14" t="n">
        <v>1.3421</v>
      </c>
      <c r="E2759" s="14" t="n">
        <v>1.1438</v>
      </c>
      <c r="F2759" s="14" t="n">
        <v>6.7766</v>
      </c>
      <c r="G2759" s="14" t="n">
        <v>5.1046</v>
      </c>
      <c r="H2759" s="14" t="n">
        <v>161.31</v>
      </c>
      <c r="I2759" s="14" t="n">
        <v>1.143</v>
      </c>
      <c r="J2759" s="14" t="n">
        <v>11.1485</v>
      </c>
      <c r="K2759" s="14" t="n">
        <v>1720.12</v>
      </c>
      <c r="L2759" s="14" t="n">
        <v>0.85155</v>
      </c>
      <c r="M2759" s="14" t="n">
        <v>7.7433</v>
      </c>
      <c r="N2759" s="14" t="n">
        <v>5.8505</v>
      </c>
      <c r="O2759" s="14" t="n">
        <v>185.02</v>
      </c>
      <c r="P2759" s="14" t="n">
        <v>9.7537</v>
      </c>
    </row>
    <row r="2760" customFormat="false" ht="15" hidden="false" customHeight="false" outlineLevel="0" collapsed="false">
      <c r="A2760" s="13" t="n">
        <v>46216</v>
      </c>
      <c r="B2760" s="14" t="n">
        <v>1492.63</v>
      </c>
      <c r="C2760" s="14" t="n">
        <v>9.7733</v>
      </c>
      <c r="D2760" s="14" t="n">
        <v>1.3382</v>
      </c>
      <c r="E2760" s="14" t="n">
        <v>1.1402</v>
      </c>
      <c r="F2760" s="14" t="n">
        <v>6.7795</v>
      </c>
      <c r="G2760" s="14" t="n">
        <v>5.1201</v>
      </c>
      <c r="H2760" s="14" t="n">
        <v>162.32</v>
      </c>
      <c r="I2760" s="14" t="n">
        <v>1.1424</v>
      </c>
      <c r="J2760" s="14" t="n">
        <v>11.1595</v>
      </c>
      <c r="K2760" s="14" t="n">
        <v>1706.85</v>
      </c>
      <c r="L2760" s="14" t="n">
        <v>0.8533</v>
      </c>
      <c r="M2760" s="14" t="n">
        <v>7.7427</v>
      </c>
      <c r="N2760" s="14" t="n">
        <v>5.8439</v>
      </c>
      <c r="O2760" s="14" t="n">
        <v>185.23</v>
      </c>
      <c r="P2760" s="14" t="n">
        <v>9.7685</v>
      </c>
    </row>
    <row r="2761" customFormat="false" ht="15" hidden="false" customHeight="false" outlineLevel="0" collapsed="false">
      <c r="A2761" s="13" t="n">
        <v>46217</v>
      </c>
      <c r="B2761" s="14" t="n">
        <v>1490.26</v>
      </c>
      <c r="C2761" s="14" t="n">
        <v>9.6867</v>
      </c>
      <c r="D2761" s="14" t="n">
        <v>1.3383</v>
      </c>
      <c r="E2761" s="14" t="n">
        <v>1.1428</v>
      </c>
      <c r="F2761" s="14" t="n">
        <v>6.77</v>
      </c>
      <c r="G2761" s="14" t="n">
        <v>5.0768</v>
      </c>
      <c r="H2761" s="14" t="n">
        <v>162.14</v>
      </c>
      <c r="I2761" s="14" t="n">
        <v>1.1405</v>
      </c>
      <c r="J2761" s="14" t="n">
        <v>11.077</v>
      </c>
      <c r="K2761" s="14" t="n">
        <v>1705.61</v>
      </c>
      <c r="L2761" s="14" t="n">
        <v>0.85215</v>
      </c>
      <c r="M2761" s="14" t="n">
        <v>7.7327</v>
      </c>
      <c r="N2761" s="14" t="n">
        <v>5.8431</v>
      </c>
      <c r="O2761" s="14" t="n">
        <v>185.01</v>
      </c>
      <c r="P2761" s="14" t="n">
        <v>9.7124</v>
      </c>
    </row>
    <row r="2762" customFormat="false" ht="15" hidden="false" customHeight="false" outlineLevel="0" collapsed="false">
      <c r="A2762" s="13" t="n">
        <v>46218</v>
      </c>
      <c r="B2762" s="14" t="n">
        <v>1488.39</v>
      </c>
      <c r="C2762" s="14" t="n">
        <v>9.6756</v>
      </c>
      <c r="D2762" s="14" t="n">
        <v>1.3497</v>
      </c>
      <c r="E2762" s="14" t="n">
        <v>1.1436</v>
      </c>
      <c r="F2762" s="14" t="n">
        <v>6.7682</v>
      </c>
      <c r="G2762" s="14" t="n">
        <v>5.0796</v>
      </c>
      <c r="H2762" s="14" t="n">
        <v>162.13</v>
      </c>
      <c r="I2762" s="14" t="n">
        <v>1.1406</v>
      </c>
      <c r="J2762" s="14" t="n">
        <v>11.096</v>
      </c>
      <c r="K2762" s="14" t="n">
        <v>1701.97</v>
      </c>
      <c r="L2762" s="14" t="n">
        <v>0.85093</v>
      </c>
      <c r="M2762" s="14" t="n">
        <v>7.7268</v>
      </c>
      <c r="N2762" s="14" t="n">
        <v>5.7954</v>
      </c>
      <c r="O2762" s="14" t="n">
        <v>185.22</v>
      </c>
      <c r="P2762" s="14" t="n">
        <v>9.7282</v>
      </c>
    </row>
    <row r="2763" customFormat="false" ht="15" hidden="false" customHeight="false" outlineLevel="0" collapsed="false">
      <c r="A2763" s="13" t="n">
        <v>46219</v>
      </c>
      <c r="B2763" s="14" t="n">
        <v>1478.2</v>
      </c>
      <c r="C2763" s="14" t="n">
        <v>9.6657</v>
      </c>
      <c r="D2763" s="14" t="n">
        <v>1.3485</v>
      </c>
      <c r="E2763" s="14" t="n">
        <v>1.1447</v>
      </c>
      <c r="F2763" s="14" t="n">
        <v>6.7726</v>
      </c>
      <c r="G2763" s="14" t="n">
        <v>5.0927</v>
      </c>
      <c r="H2763" s="14" t="n">
        <v>162.42</v>
      </c>
      <c r="I2763" s="14" t="n">
        <v>1.1467</v>
      </c>
      <c r="J2763" s="14" t="n">
        <v>11.064</v>
      </c>
      <c r="K2763" s="14" t="n">
        <v>1696.49</v>
      </c>
      <c r="L2763" s="14" t="n">
        <v>0.84873</v>
      </c>
      <c r="M2763" s="14" t="n">
        <v>7.7596</v>
      </c>
      <c r="N2763" s="14" t="n">
        <v>5.8318</v>
      </c>
      <c r="O2763" s="14" t="n">
        <v>185.99</v>
      </c>
      <c r="P2763" s="14" t="n">
        <v>9.6486</v>
      </c>
    </row>
    <row r="2764" customFormat="false" ht="15" hidden="false" customHeight="false" outlineLevel="0" collapsed="false">
      <c r="A2764" s="13" t="n">
        <v>46220</v>
      </c>
      <c r="B2764" s="14" t="n">
        <v>1489.44</v>
      </c>
      <c r="C2764" s="14" t="n">
        <v>9.6467</v>
      </c>
      <c r="D2764" s="14" t="n">
        <v>1.3446</v>
      </c>
      <c r="E2764" s="14" t="n">
        <v>1.144</v>
      </c>
      <c r="F2764" s="14" t="n">
        <v>6.776</v>
      </c>
      <c r="G2764" s="14" t="n">
        <v>5.108</v>
      </c>
      <c r="H2764" s="14" t="n">
        <v>162.43</v>
      </c>
      <c r="I2764" s="14" t="n">
        <v>1.1435</v>
      </c>
      <c r="J2764" s="14" t="n">
        <v>11.039</v>
      </c>
      <c r="K2764" s="14" t="n">
        <v>1698.46</v>
      </c>
      <c r="L2764" s="14" t="n">
        <v>0.85098</v>
      </c>
      <c r="M2764" s="14" t="n">
        <v>7.7501</v>
      </c>
      <c r="N2764" s="14" t="n">
        <v>5.8499</v>
      </c>
      <c r="O2764" s="14" t="n">
        <v>185.65</v>
      </c>
      <c r="P2764" s="14" t="n">
        <v>9.6537</v>
      </c>
    </row>
    <row r="2765" customFormat="false" ht="15" hidden="false" customHeight="false" outlineLevel="0" collapsed="false">
      <c r="A2765" s="13" t="n">
        <v>46223</v>
      </c>
      <c r="B2765" s="14" t="n">
        <v>1478.31</v>
      </c>
      <c r="C2765" s="14" t="n">
        <v>9.6731</v>
      </c>
      <c r="D2765" s="14" t="n">
        <v>1.342</v>
      </c>
      <c r="E2765" s="14" t="n">
        <v>1.1411</v>
      </c>
      <c r="F2765" s="14" t="n">
        <v>6.7668</v>
      </c>
      <c r="G2765" s="14" t="n">
        <v>5.0847</v>
      </c>
      <c r="H2765" s="14" t="n">
        <v>162.59</v>
      </c>
      <c r="I2765" s="14" t="n">
        <v>1.1426</v>
      </c>
      <c r="J2765" s="14" t="n">
        <v>11.042</v>
      </c>
      <c r="K2765" s="14" t="n">
        <v>1692.4</v>
      </c>
      <c r="L2765" s="14" t="n">
        <v>0.84888</v>
      </c>
      <c r="M2765" s="14" t="n">
        <v>7.7319</v>
      </c>
      <c r="N2765" s="14" t="n">
        <v>5.8322</v>
      </c>
      <c r="O2765" s="14" t="n">
        <v>185.54</v>
      </c>
      <c r="P2765" s="14" t="n">
        <v>9.6639</v>
      </c>
    </row>
    <row r="2766" customFormat="false" ht="15" hidden="false" customHeight="false" outlineLevel="0" collapsed="false">
      <c r="A2766" s="13" t="n">
        <v>46224</v>
      </c>
      <c r="B2766" s="14" t="n">
        <v>1479.77</v>
      </c>
      <c r="C2766" s="14" t="n">
        <v>9.6279</v>
      </c>
      <c r="D2766" s="14" t="n">
        <v>1.3374</v>
      </c>
      <c r="E2766" s="14" t="n">
        <v>1.1408</v>
      </c>
      <c r="F2766" s="14" t="n">
        <v>6.7656</v>
      </c>
      <c r="G2766" s="14" t="n">
        <v>5.0752</v>
      </c>
      <c r="H2766" s="14" t="n">
        <v>163.01</v>
      </c>
      <c r="I2766" s="14" t="n">
        <v>1.1418</v>
      </c>
      <c r="J2766" s="14" t="n">
        <v>10.987</v>
      </c>
      <c r="K2766" s="14" t="n">
        <v>1688.04</v>
      </c>
      <c r="L2766" s="14" t="n">
        <v>0.85205</v>
      </c>
      <c r="M2766" s="14" t="n">
        <v>7.7255</v>
      </c>
      <c r="N2766" s="14" t="n">
        <v>5.7997</v>
      </c>
      <c r="O2766" s="14" t="n">
        <v>185.82</v>
      </c>
      <c r="P2766" s="14" t="n">
        <v>9.6225</v>
      </c>
    </row>
    <row r="2767" customFormat="false" ht="15" hidden="false" customHeight="false" outlineLevel="0" collapsed="false">
      <c r="A2767" s="13" t="n">
        <v>46225</v>
      </c>
      <c r="B2767" s="14" t="n">
        <v>1476.63</v>
      </c>
      <c r="C2767" s="14" t="n">
        <v>9.6025</v>
      </c>
      <c r="D2767" s="14" t="n">
        <v>1.3378</v>
      </c>
      <c r="E2767" s="14" t="n">
        <v>1.1414</v>
      </c>
      <c r="F2767" s="14" t="n">
        <v>6.7725</v>
      </c>
      <c r="G2767" s="14" t="n">
        <v>5.0577</v>
      </c>
      <c r="H2767" s="14" t="n">
        <v>163.08</v>
      </c>
      <c r="I2767" s="14" t="n">
        <v>1.1408</v>
      </c>
      <c r="J2767" s="14" t="n">
        <v>10.947</v>
      </c>
      <c r="K2767" s="14" t="n">
        <v>1688.78</v>
      </c>
      <c r="L2767" s="14" t="n">
        <v>0.8534</v>
      </c>
      <c r="M2767" s="14" t="n">
        <v>7.7266</v>
      </c>
      <c r="N2767" s="14" t="n">
        <v>5.7949</v>
      </c>
      <c r="O2767" s="14" t="n">
        <v>186.03</v>
      </c>
      <c r="P2767" s="14" t="n">
        <v>9.5959</v>
      </c>
    </row>
    <row r="2768" customFormat="false" ht="15" hidden="false" customHeight="false" outlineLevel="0" collapsed="false">
      <c r="A2768" s="13" t="n">
        <v>46226</v>
      </c>
      <c r="B2768" s="14" t="n">
        <v>1474.88</v>
      </c>
      <c r="C2768" s="14" t="n">
        <v>9.6169</v>
      </c>
      <c r="D2768" s="14" t="n">
        <v>1.3313</v>
      </c>
      <c r="E2768" s="14" t="n">
        <v>1.1373</v>
      </c>
      <c r="F2768" s="14" t="n">
        <v>6.7701</v>
      </c>
      <c r="G2768" s="14" t="n">
        <v>5.0841</v>
      </c>
      <c r="H2768" s="14" t="n">
        <v>163.8</v>
      </c>
      <c r="I2768" s="14" t="n">
        <v>1.1392</v>
      </c>
      <c r="J2768" s="14" t="n">
        <v>10.9525</v>
      </c>
      <c r="K2768" s="14" t="n">
        <v>1677.72</v>
      </c>
      <c r="L2768" s="14" t="n">
        <v>0.85318</v>
      </c>
      <c r="M2768" s="14" t="n">
        <v>7.7127</v>
      </c>
      <c r="N2768" s="14" t="n">
        <v>5.7775</v>
      </c>
      <c r="O2768" s="14" t="n">
        <v>186.23</v>
      </c>
      <c r="P2768" s="14" t="n">
        <v>9.6142</v>
      </c>
    </row>
    <row r="2769" customFormat="false" ht="15" hidden="false" customHeight="false" outlineLevel="0" collapsed="false">
      <c r="A2769" s="13" t="n">
        <v>46227</v>
      </c>
      <c r="B2769" s="14" t="n">
        <v>1460.76</v>
      </c>
      <c r="C2769" s="14" t="n">
        <v>9.5727</v>
      </c>
      <c r="D2769" s="14" t="n">
        <v>1.3344</v>
      </c>
      <c r="E2769" s="14" t="n">
        <v>1.1385</v>
      </c>
      <c r="F2769" s="14" t="n">
        <v>6.7719</v>
      </c>
      <c r="G2769" s="14" t="n">
        <v>5.0592</v>
      </c>
      <c r="H2769" s="14" t="n">
        <v>163.71</v>
      </c>
      <c r="I2769" s="14" t="n">
        <v>1.1377</v>
      </c>
      <c r="J2769" s="14" t="n">
        <v>10.888</v>
      </c>
      <c r="K2769" s="14" t="n">
        <v>1662.18</v>
      </c>
      <c r="L2769" s="14" t="n">
        <v>0.85388</v>
      </c>
      <c r="M2769" s="14" t="n">
        <v>7.7047</v>
      </c>
      <c r="N2769" s="14" t="n">
        <v>5.7826</v>
      </c>
      <c r="O2769" s="14" t="n">
        <v>186.38</v>
      </c>
      <c r="P2769" s="14" t="n">
        <v>9.5702</v>
      </c>
    </row>
    <row r="2770" customFormat="false" ht="15" hidden="false" customHeight="false" outlineLevel="0" collapsed="false">
      <c r="A2770" s="13" t="n">
        <v>46230</v>
      </c>
      <c r="B2770" s="14" t="n">
        <v>1467.54</v>
      </c>
      <c r="C2770" s="14" t="n">
        <v>9.6571</v>
      </c>
      <c r="D2770" s="14" t="n">
        <v>1.3304</v>
      </c>
      <c r="E2770" s="14" t="n">
        <v>1.1376</v>
      </c>
      <c r="F2770" s="14" t="n">
        <v>6.7657</v>
      </c>
      <c r="G2770" s="14" t="n">
        <v>5.1041</v>
      </c>
      <c r="H2770" s="14" t="n">
        <v>163.71</v>
      </c>
      <c r="I2770" s="14" t="n">
        <v>1.1389</v>
      </c>
      <c r="J2770" s="14" t="n">
        <v>10.9845</v>
      </c>
      <c r="K2770" s="14" t="n">
        <v>1674.31</v>
      </c>
      <c r="L2770" s="14" t="n">
        <v>0.85524</v>
      </c>
      <c r="M2770" s="14" t="n">
        <v>7.7059</v>
      </c>
      <c r="N2770" s="14" t="n">
        <v>5.7885</v>
      </c>
      <c r="O2770" s="14" t="n">
        <v>186.37</v>
      </c>
      <c r="P2770" s="14" t="n">
        <v>9.6448</v>
      </c>
    </row>
    <row r="2771" customFormat="false" ht="15" hidden="false" customHeight="false" outlineLevel="0" collapsed="false">
      <c r="A2771" s="13" t="n">
        <v>46231</v>
      </c>
      <c r="B2771" s="14" t="n">
        <v>1453.26</v>
      </c>
      <c r="C2771" s="14" t="n">
        <v>9.6893</v>
      </c>
      <c r="D2771" s="14" t="n">
        <v>1.3311</v>
      </c>
      <c r="E2771" s="14" t="n">
        <v>1.1401</v>
      </c>
      <c r="F2771" s="14" t="n">
        <v>6.771</v>
      </c>
      <c r="G2771" s="14" t="n">
        <v>5.1115</v>
      </c>
      <c r="H2771" s="14" t="n">
        <v>163.65</v>
      </c>
      <c r="I2771" s="14" t="n">
        <v>1.1367</v>
      </c>
      <c r="J2771" s="14" t="n">
        <v>11.0055</v>
      </c>
      <c r="K2771" s="14" t="n">
        <v>1658.96</v>
      </c>
      <c r="L2771" s="14" t="n">
        <v>0.8555</v>
      </c>
      <c r="M2771" s="14" t="n">
        <v>7.6969</v>
      </c>
      <c r="N2771" s="14" t="n">
        <v>5.8158</v>
      </c>
      <c r="O2771" s="14" t="n">
        <v>186.32</v>
      </c>
      <c r="P2771" s="14" t="n">
        <v>9.682</v>
      </c>
    </row>
    <row r="2772" customFormat="false" ht="15" hidden="false" customHeight="false" outlineLevel="0" collapsed="false">
      <c r="A2772" s="13" t="n">
        <v>46232</v>
      </c>
      <c r="B2772" s="14" t="n">
        <v>1446.32</v>
      </c>
      <c r="C2772" s="14" t="n">
        <v>9.6559</v>
      </c>
      <c r="D2772" s="14" t="n">
        <v>1.3288</v>
      </c>
      <c r="E2772" s="14" t="n">
        <v>1.1384</v>
      </c>
      <c r="F2772" s="14" t="n">
        <v>6.7661</v>
      </c>
      <c r="G2772" s="14" t="n">
        <v>5.127</v>
      </c>
      <c r="H2772" s="14" t="n">
        <v>163.86</v>
      </c>
      <c r="I2772" s="14" t="n">
        <v>1.138</v>
      </c>
      <c r="J2772" s="14" t="n">
        <v>10.998</v>
      </c>
      <c r="K2772" s="14" t="n">
        <v>1652.77</v>
      </c>
      <c r="L2772" s="14" t="n">
        <v>0.85635</v>
      </c>
      <c r="M2772" s="14" t="n">
        <v>7.7</v>
      </c>
      <c r="N2772" s="14" t="n">
        <v>5.8268</v>
      </c>
      <c r="O2772" s="14" t="n">
        <v>186.27</v>
      </c>
      <c r="P2772" s="14" t="n">
        <v>9.6643</v>
      </c>
    </row>
    <row r="2773" customFormat="false" ht="15" hidden="false" customHeight="false" outlineLevel="0" collapsed="false">
      <c r="A2773" s="13" t="n">
        <v>46233</v>
      </c>
      <c r="B2773" s="14" t="n">
        <v>1424.05</v>
      </c>
      <c r="C2773" s="14" t="n">
        <v>9.5335</v>
      </c>
      <c r="D2773" s="14" t="n">
        <v>1.3463</v>
      </c>
      <c r="E2773" s="14" t="n">
        <v>1.1522</v>
      </c>
      <c r="F2773" s="14" t="n">
        <v>6.755</v>
      </c>
      <c r="G2773" s="14" t="n">
        <v>5.0673</v>
      </c>
      <c r="H2773" s="14" t="n">
        <v>159.47</v>
      </c>
      <c r="I2773" s="14" t="n">
        <v>1.1476</v>
      </c>
      <c r="J2773" s="14" t="n">
        <v>10.9758</v>
      </c>
      <c r="K2773" s="14" t="n">
        <v>1645.31</v>
      </c>
      <c r="L2773" s="14" t="n">
        <v>0.85715</v>
      </c>
      <c r="M2773" s="14" t="n">
        <v>7.7521</v>
      </c>
      <c r="N2773" s="14" t="n">
        <v>5.8535</v>
      </c>
      <c r="O2773" s="14" t="n">
        <v>186.99</v>
      </c>
      <c r="P2773" s="14" t="n">
        <v>9.5641</v>
      </c>
    </row>
    <row r="2774" customFormat="false" ht="15" hidden="false" customHeight="false" outlineLevel="0" collapsed="false">
      <c r="A2774" s="13" t="n">
        <v>46234</v>
      </c>
      <c r="B2774" s="14" t="n">
        <v>1436.81</v>
      </c>
      <c r="C2774" s="14" t="n">
        <v>9.4877</v>
      </c>
      <c r="D2774" s="14" t="n">
        <v>1.347</v>
      </c>
      <c r="E2774" s="14" t="n">
        <v>1.1519</v>
      </c>
      <c r="F2774" s="14" t="n">
        <v>6.7509</v>
      </c>
      <c r="G2774" s="14" t="n">
        <v>5.0709</v>
      </c>
      <c r="H2774" s="14" t="n">
        <v>159.16</v>
      </c>
      <c r="I2774" s="14" t="n">
        <v>1.1485</v>
      </c>
      <c r="J2774" s="14" t="n">
        <v>10.942</v>
      </c>
      <c r="K2774" s="14" t="n">
        <v>1657.99</v>
      </c>
      <c r="L2774" s="14" t="n">
        <v>0.85573</v>
      </c>
      <c r="M2774" s="14" t="n">
        <v>7.7539</v>
      </c>
      <c r="N2774" s="14" t="n">
        <v>5.8095</v>
      </c>
      <c r="O2774" s="14" t="n">
        <v>184.03</v>
      </c>
      <c r="P2774" s="14" t="n">
        <v>9.5272</v>
      </c>
    </row>
    <row r="2775" customFormat="false" ht="15" hidden="false" customHeight="false" outlineLevel="0" collapsed="false">
      <c r="A2775" s="13" t="n">
        <v>46237</v>
      </c>
      <c r="B2775" s="14" t="n">
        <v>1430.49</v>
      </c>
      <c r="C2775" s="14" t="n">
        <v>9.5362</v>
      </c>
      <c r="D2775" s="14" t="n">
        <v>1.3434</v>
      </c>
      <c r="E2775" s="14" t="n">
        <v>1.1509</v>
      </c>
      <c r="F2775" s="14" t="n">
        <v>6.7563</v>
      </c>
      <c r="G2775" s="14" t="n">
        <v>5.0769</v>
      </c>
      <c r="H2775" s="14" t="n">
        <v>156.96</v>
      </c>
      <c r="I2775" s="14" t="n">
        <v>1.1535</v>
      </c>
      <c r="J2775" s="14" t="n">
        <v>10.9965</v>
      </c>
      <c r="K2775" s="14" t="n">
        <v>1646.1</v>
      </c>
      <c r="L2775" s="14" t="n">
        <v>0.85633</v>
      </c>
      <c r="M2775" s="14" t="n">
        <v>7.7891</v>
      </c>
      <c r="N2775" s="14" t="n">
        <v>5.8454</v>
      </c>
      <c r="O2775" s="14" t="n">
        <v>180.73</v>
      </c>
      <c r="P2775" s="14" t="n">
        <v>9.5332</v>
      </c>
    </row>
    <row r="2776" customFormat="false" ht="15" hidden="false" customHeight="false" outlineLevel="0" collapsed="false">
      <c r="A2776" s="13" t="n">
        <v>46238</v>
      </c>
      <c r="B2776" s="14" t="n">
        <v>1427.48</v>
      </c>
      <c r="C2776" s="14" t="n">
        <v>9.5505</v>
      </c>
      <c r="D2776" s="14" t="n">
        <v>1.3456</v>
      </c>
      <c r="E2776" s="14" t="n">
        <v>1.1527</v>
      </c>
      <c r="F2776" s="14" t="n">
        <v>6.7532</v>
      </c>
      <c r="G2776" s="14" t="n">
        <v>5.1101</v>
      </c>
      <c r="H2776" s="14" t="n">
        <v>157.44</v>
      </c>
      <c r="I2776" s="14" t="n">
        <v>1.1515</v>
      </c>
      <c r="J2776" s="14" t="n">
        <v>10.9925</v>
      </c>
      <c r="K2776" s="14" t="n">
        <v>1643.32</v>
      </c>
      <c r="L2776" s="14" t="n">
        <v>0.85639</v>
      </c>
      <c r="M2776" s="14" t="n">
        <v>7.7767</v>
      </c>
      <c r="N2776" s="14" t="n">
        <v>5.8503</v>
      </c>
      <c r="O2776" s="14" t="n">
        <v>181.26</v>
      </c>
      <c r="P2776" s="14" t="n">
        <v>9.5462</v>
      </c>
    </row>
    <row r="2777" customFormat="false" ht="15" hidden="false" customHeight="false" outlineLevel="0" collapsed="false">
      <c r="A2777" s="13" t="n">
        <v>46239</v>
      </c>
      <c r="B2777" s="14" t="n">
        <v>1424</v>
      </c>
      <c r="C2777" s="14" t="n">
        <v>9.5271</v>
      </c>
      <c r="D2777" s="14" t="n">
        <v>1.3462</v>
      </c>
      <c r="E2777" s="14" t="n">
        <v>1.1547</v>
      </c>
      <c r="F2777" s="14" t="n">
        <v>6.7483</v>
      </c>
      <c r="G2777" s="14" t="n">
        <v>5.1173</v>
      </c>
      <c r="H2777" s="14" t="n">
        <v>157.63</v>
      </c>
      <c r="I2777" s="14" t="n">
        <v>1.1554</v>
      </c>
      <c r="J2777" s="14" t="n">
        <v>10.9835</v>
      </c>
      <c r="K2777" s="14" t="n">
        <v>1644.97</v>
      </c>
      <c r="L2777" s="14" t="n">
        <v>0.8572</v>
      </c>
      <c r="M2777" s="14" t="n">
        <v>7.7989</v>
      </c>
      <c r="N2777" s="14" t="n">
        <v>5.9102</v>
      </c>
      <c r="O2777" s="14" t="n">
        <v>182.08</v>
      </c>
      <c r="P2777" s="14" t="n">
        <v>9.5062</v>
      </c>
    </row>
    <row r="2778" customFormat="false" ht="15" hidden="false" customHeight="false" outlineLevel="0" collapsed="false">
      <c r="A2778" s="13" t="n">
        <v>46240</v>
      </c>
      <c r="B2778" s="14" t="n">
        <v>1423.61</v>
      </c>
      <c r="C2778" s="14" t="n">
        <v>9.5525</v>
      </c>
      <c r="D2778" s="14" t="n">
        <v>1.3456</v>
      </c>
      <c r="E2778" s="14" t="n">
        <v>1.1521</v>
      </c>
      <c r="F2778" s="14" t="n">
        <v>6.7488</v>
      </c>
      <c r="G2778" s="14" t="n">
        <v>5.1064</v>
      </c>
      <c r="H2778" s="14" t="n">
        <v>158.45</v>
      </c>
      <c r="I2778" s="14" t="n">
        <v>1.1542</v>
      </c>
      <c r="J2778" s="14" t="n">
        <v>11.0003</v>
      </c>
      <c r="K2778" s="14" t="n">
        <v>1643.09</v>
      </c>
      <c r="L2778" s="14" t="n">
        <v>0.85705</v>
      </c>
      <c r="M2778" s="14" t="n">
        <v>7.7898</v>
      </c>
      <c r="N2778" s="14" t="n">
        <v>5.9138</v>
      </c>
      <c r="O2778" s="14" t="n">
        <v>182.17</v>
      </c>
      <c r="P2778" s="14" t="n">
        <v>9.5307</v>
      </c>
    </row>
    <row r="2779" customFormat="false" ht="15" hidden="false" customHeight="false" outlineLevel="0" collapsed="false">
      <c r="A2779" s="13" t="n">
        <v>46241</v>
      </c>
      <c r="B2779" s="14" t="n">
        <v>1409.94</v>
      </c>
      <c r="C2779" s="14" t="n">
        <v>9.4895</v>
      </c>
      <c r="D2779" s="14" t="n">
        <v>1.3498</v>
      </c>
      <c r="E2779" s="14" t="n">
        <v>1.1559</v>
      </c>
      <c r="F2779" s="14" t="n">
        <v>6.7474</v>
      </c>
      <c r="G2779" s="14" t="n">
        <v>5.0882</v>
      </c>
      <c r="H2779" s="14" t="n">
        <v>157.54</v>
      </c>
      <c r="I2779" s="14" t="n">
        <v>1.1535</v>
      </c>
      <c r="J2779" s="14" t="n">
        <v>10.975</v>
      </c>
      <c r="K2779" s="14" t="n">
        <v>1633.3</v>
      </c>
      <c r="L2779" s="14" t="n">
        <v>0.85765</v>
      </c>
      <c r="M2779" s="14" t="n">
        <v>7.7834</v>
      </c>
      <c r="N2779" s="14" t="n">
        <v>5.8826</v>
      </c>
      <c r="O2779" s="14" t="n">
        <v>182.64</v>
      </c>
      <c r="P2779" s="14" t="n">
        <v>9.5145</v>
      </c>
    </row>
    <row r="2780" customFormat="false" ht="15" hidden="false" customHeight="false" outlineLevel="0" collapsed="false">
      <c r="A2780" s="13" t="n">
        <v>46244</v>
      </c>
      <c r="B2780" s="14" t="n">
        <v>1417.54</v>
      </c>
      <c r="C2780" s="14" t="n">
        <v>9.4823</v>
      </c>
      <c r="D2780" s="14" t="n">
        <v>1.3526</v>
      </c>
      <c r="E2780" s="14" t="n">
        <v>1.1552</v>
      </c>
      <c r="F2780" s="14" t="n">
        <v>6.7452</v>
      </c>
      <c r="G2780" s="14" t="n">
        <v>5.0995</v>
      </c>
      <c r="H2780" s="14" t="n">
        <v>158.9</v>
      </c>
      <c r="I2780" s="14" t="n">
        <v>1.1555</v>
      </c>
      <c r="J2780" s="14" t="n">
        <v>10.986</v>
      </c>
      <c r="K2780" s="14" t="n">
        <v>1636.9</v>
      </c>
      <c r="L2780" s="14" t="n">
        <v>0.85565</v>
      </c>
      <c r="M2780" s="14" t="n">
        <v>7.7931</v>
      </c>
      <c r="N2780" s="14" t="n">
        <v>5.8764</v>
      </c>
      <c r="O2780" s="14" t="n">
        <v>183.31</v>
      </c>
      <c r="P2780" s="14" t="n">
        <v>9.5076</v>
      </c>
    </row>
    <row r="2781" customFormat="false" ht="15" hidden="false" customHeight="false" outlineLevel="0" collapsed="false">
      <c r="A2781" s="13" t="n">
        <v>46245</v>
      </c>
      <c r="B2781" s="14" t="n">
        <v>1412.93</v>
      </c>
      <c r="C2781" s="14" t="n">
        <v>9.4944</v>
      </c>
      <c r="D2781" s="14" t="n">
        <v>1.3516</v>
      </c>
      <c r="E2781" s="14" t="n">
        <v>1.1543</v>
      </c>
      <c r="F2781" s="14" t="n">
        <v>6.745</v>
      </c>
      <c r="G2781" s="14" t="n">
        <v>5.159</v>
      </c>
      <c r="H2781" s="14" t="n">
        <v>159.25</v>
      </c>
      <c r="I2781" s="14" t="n">
        <v>1.154</v>
      </c>
      <c r="J2781" s="14" t="n">
        <v>10.9705</v>
      </c>
      <c r="K2781" s="14" t="n">
        <v>1629.64</v>
      </c>
      <c r="L2781" s="14" t="n">
        <v>0.85483</v>
      </c>
      <c r="M2781" s="14" t="n">
        <v>7.7841</v>
      </c>
      <c r="N2781" s="14" t="n">
        <v>5.891</v>
      </c>
      <c r="O2781" s="14" t="n">
        <v>183.72</v>
      </c>
      <c r="P2781" s="14" t="n">
        <v>9.5065</v>
      </c>
    </row>
    <row r="2782" customFormat="false" ht="15" hidden="false" customHeight="false" outlineLevel="0" collapsed="false">
      <c r="A2782" s="13" t="n">
        <v>46246</v>
      </c>
      <c r="B2782" s="14" t="n">
        <v>1416.3</v>
      </c>
      <c r="C2782" s="14" t="n">
        <v>9.4733</v>
      </c>
      <c r="D2782" s="14" t="n">
        <v>1.3511</v>
      </c>
      <c r="E2782" s="14" t="n">
        <v>1.154</v>
      </c>
      <c r="F2782" s="14" t="n">
        <v>6.7433</v>
      </c>
      <c r="G2782" s="14" t="n">
        <v>5.163</v>
      </c>
      <c r="H2782" s="14" t="n">
        <v>159.23</v>
      </c>
      <c r="I2782" s="14" t="n">
        <v>1.1545</v>
      </c>
      <c r="J2782" s="14" t="n">
        <v>10.936</v>
      </c>
      <c r="K2782" s="14" t="n">
        <v>1636.08</v>
      </c>
      <c r="L2782" s="14" t="n">
        <v>0.85358</v>
      </c>
      <c r="M2782" s="14" t="n">
        <v>7.785</v>
      </c>
      <c r="N2782" s="14" t="n">
        <v>5.9523</v>
      </c>
      <c r="O2782" s="14" t="n">
        <v>183.67</v>
      </c>
      <c r="P2782" s="14" t="n">
        <v>9.4725</v>
      </c>
    </row>
    <row r="2783" customFormat="false" ht="15" hidden="false" customHeight="false" outlineLevel="0" collapsed="false">
      <c r="A2783" s="13" t="n">
        <v>46247</v>
      </c>
      <c r="B2783" s="14" t="n">
        <v>1418</v>
      </c>
      <c r="C2783" s="14" t="n">
        <v>9.5045</v>
      </c>
      <c r="D2783" s="14" t="n">
        <v>1.3497</v>
      </c>
      <c r="E2783" s="14" t="n">
        <v>1.1531</v>
      </c>
      <c r="F2783" s="14" t="n">
        <v>6.7428</v>
      </c>
      <c r="G2783" s="14" t="n">
        <v>5.1879</v>
      </c>
      <c r="H2783" s="14" t="n">
        <v>159.35</v>
      </c>
      <c r="I2783" s="14" t="n">
        <v>1.1534</v>
      </c>
      <c r="J2783" s="14" t="n">
        <v>10.986</v>
      </c>
      <c r="K2783" s="14" t="n">
        <v>1638.16</v>
      </c>
      <c r="L2783" s="14" t="n">
        <v>0.8549</v>
      </c>
      <c r="M2783" s="14" t="n">
        <v>7.7774</v>
      </c>
      <c r="N2783" s="14" t="n">
        <v>5.9759</v>
      </c>
      <c r="O2783" s="14" t="n">
        <v>183.77</v>
      </c>
      <c r="P2783" s="14" t="n">
        <v>9.5249</v>
      </c>
    </row>
    <row r="2784" customFormat="false" ht="15" hidden="false" customHeight="false" outlineLevel="0" collapsed="false">
      <c r="A2784" s="13" t="n">
        <v>46248</v>
      </c>
      <c r="B2784" s="14" t="n">
        <v>1414.29</v>
      </c>
      <c r="C2784" s="14" t="n">
        <v>9.4314</v>
      </c>
      <c r="D2784" s="14" t="n">
        <v>1.3556</v>
      </c>
      <c r="E2784" s="14" t="n">
        <v>1.1581</v>
      </c>
      <c r="F2784" s="14" t="n">
        <v>6.7412</v>
      </c>
      <c r="G2784" s="14" t="n">
        <v>5.2388</v>
      </c>
      <c r="H2784" s="14" t="n">
        <v>159.21</v>
      </c>
      <c r="I2784" s="14" t="n">
        <v>1.1567</v>
      </c>
      <c r="J2784" s="14" t="n">
        <v>10.9325</v>
      </c>
      <c r="K2784" s="14" t="n">
        <v>1632.42</v>
      </c>
      <c r="L2784" s="14" t="n">
        <v>0.8545</v>
      </c>
      <c r="M2784" s="14" t="n">
        <v>7.7977</v>
      </c>
      <c r="N2784" s="14" t="n">
        <v>5.9873</v>
      </c>
      <c r="O2784" s="14" t="n">
        <v>183.93</v>
      </c>
      <c r="P2784" s="14" t="n">
        <v>9.4515</v>
      </c>
    </row>
    <row r="2785" customFormat="false" ht="15" hidden="false" customHeight="false" outlineLevel="0" collapsed="false">
      <c r="A2785" s="13" t="n">
        <v>46251</v>
      </c>
      <c r="B2785" s="14" t="n">
        <v>1412.8</v>
      </c>
      <c r="C2785" s="14" t="n">
        <v>9.415</v>
      </c>
      <c r="D2785" s="14" t="n">
        <v>1.3564</v>
      </c>
      <c r="E2785" s="14" t="n">
        <v>1.1591</v>
      </c>
      <c r="F2785" s="14" t="n">
        <v>6.7399</v>
      </c>
      <c r="G2785" s="14" t="n">
        <v>5.1874</v>
      </c>
      <c r="H2785" s="14" t="n">
        <v>159.34</v>
      </c>
      <c r="I2785" s="14" t="n">
        <v>1.1593</v>
      </c>
      <c r="J2785" s="14" t="n">
        <v>10.9235</v>
      </c>
      <c r="K2785" s="14" t="n">
        <v>1636.83</v>
      </c>
      <c r="L2785" s="14" t="n">
        <v>0.855</v>
      </c>
      <c r="M2785" s="14" t="n">
        <v>7.813</v>
      </c>
      <c r="N2785" s="14" t="n">
        <v>6.0402</v>
      </c>
      <c r="O2785" s="14" t="n">
        <v>184.59</v>
      </c>
      <c r="P2785" s="14" t="n">
        <v>9.4225</v>
      </c>
    </row>
    <row r="2786" customFormat="false" ht="15" hidden="false" customHeight="false" outlineLevel="0" collapsed="false">
      <c r="A2786" s="13" t="n">
        <v>46252</v>
      </c>
      <c r="B2786" s="14" t="n">
        <v>1411.6</v>
      </c>
      <c r="C2786" s="14" t="n">
        <v>9.4067</v>
      </c>
      <c r="D2786" s="14" t="n">
        <v>1.3543</v>
      </c>
      <c r="E2786" s="14" t="n">
        <v>1.158</v>
      </c>
      <c r="F2786" s="14" t="n">
        <v>6.743</v>
      </c>
      <c r="G2786" s="14" t="n">
        <v>5.2043</v>
      </c>
      <c r="H2786" s="14" t="n">
        <v>159.58</v>
      </c>
      <c r="I2786" s="14" t="n">
        <v>1.1576</v>
      </c>
      <c r="J2786" s="14" t="n">
        <v>10.9025</v>
      </c>
      <c r="K2786" s="14" t="n">
        <v>1632.3</v>
      </c>
      <c r="L2786" s="14" t="n">
        <v>0.85585</v>
      </c>
      <c r="M2786" s="14" t="n">
        <v>7.8049</v>
      </c>
      <c r="N2786" s="14" t="n">
        <v>6.0281</v>
      </c>
      <c r="O2786" s="14" t="n">
        <v>184.87</v>
      </c>
      <c r="P2786" s="14" t="n">
        <v>9.4182</v>
      </c>
    </row>
    <row r="2787" customFormat="false" ht="15" hidden="false" customHeight="false" outlineLevel="0" collapsed="false">
      <c r="A2787" s="13" t="n">
        <v>46253</v>
      </c>
      <c r="B2787" s="14" t="n">
        <v>1388.39</v>
      </c>
      <c r="C2787" s="14" t="n">
        <v>9.3342</v>
      </c>
      <c r="D2787" s="14" t="n">
        <v>1.3608</v>
      </c>
      <c r="E2787" s="14" t="n">
        <v>1.1664</v>
      </c>
      <c r="F2787" s="14" t="n">
        <v>6.7295</v>
      </c>
      <c r="G2787" s="14" t="n">
        <v>5.1688</v>
      </c>
      <c r="H2787" s="14" t="n">
        <v>158.45</v>
      </c>
      <c r="I2787" s="14" t="n">
        <v>1.1605</v>
      </c>
      <c r="J2787" s="14" t="n">
        <v>10.9105</v>
      </c>
      <c r="K2787" s="14" t="n">
        <v>1614.81</v>
      </c>
      <c r="L2787" s="14" t="n">
        <v>0.85608</v>
      </c>
      <c r="M2787" s="14" t="n">
        <v>7.8197</v>
      </c>
      <c r="N2787" s="14" t="n">
        <v>6.0394</v>
      </c>
      <c r="O2787" s="14" t="n">
        <v>184.62</v>
      </c>
      <c r="P2787" s="14" t="n">
        <v>9.4016</v>
      </c>
    </row>
    <row r="2788" customFormat="false" ht="15" hidden="false" customHeight="false" outlineLevel="0" collapsed="false">
      <c r="A2788" s="13" t="n">
        <v>46254</v>
      </c>
      <c r="B2788" s="14" t="n">
        <v>1393.35</v>
      </c>
      <c r="C2788" s="14" t="n">
        <v>9.3439</v>
      </c>
      <c r="D2788" s="14" t="n">
        <v>1.3639</v>
      </c>
      <c r="E2788" s="14" t="n">
        <v>1.1679</v>
      </c>
      <c r="F2788" s="14" t="n">
        <v>6.7225</v>
      </c>
      <c r="G2788" s="14" t="n">
        <v>5.1825</v>
      </c>
      <c r="H2788" s="14" t="n">
        <v>158.85</v>
      </c>
      <c r="I2788" s="14" t="n">
        <v>1.1681</v>
      </c>
      <c r="J2788" s="14" t="n">
        <v>10.9025</v>
      </c>
      <c r="K2788" s="14" t="n">
        <v>1631.08</v>
      </c>
      <c r="L2788" s="14" t="n">
        <v>0.85725</v>
      </c>
      <c r="M2788" s="14" t="n">
        <v>7.8538</v>
      </c>
      <c r="N2788" s="14" t="n">
        <v>6.0666</v>
      </c>
      <c r="O2788" s="14" t="n">
        <v>185.45</v>
      </c>
      <c r="P2788" s="14" t="n">
        <v>9.3335</v>
      </c>
    </row>
    <row r="2789" customFormat="false" ht="15" hidden="false" customHeight="false" outlineLevel="0" collapsed="false">
      <c r="A2789" s="13" t="n">
        <v>46255</v>
      </c>
      <c r="B2789" s="14" t="n">
        <v>1385.01</v>
      </c>
      <c r="C2789" s="14" t="n">
        <v>9.2917</v>
      </c>
      <c r="D2789" s="14" t="n">
        <v>1.3644</v>
      </c>
      <c r="E2789" s="14" t="n">
        <v>1.1684</v>
      </c>
      <c r="F2789" s="14" t="n">
        <v>6.721</v>
      </c>
      <c r="G2789" s="14" t="n">
        <v>5.1469</v>
      </c>
      <c r="H2789" s="14" t="n">
        <v>158.91</v>
      </c>
      <c r="I2789" s="14" t="n">
        <v>1.1699</v>
      </c>
      <c r="J2789" s="14" t="n">
        <v>10.8675</v>
      </c>
      <c r="K2789" s="14" t="n">
        <v>1619.41</v>
      </c>
      <c r="L2789" s="14" t="n">
        <v>0.8567</v>
      </c>
      <c r="M2789" s="14" t="n">
        <v>7.8624</v>
      </c>
      <c r="N2789" s="14" t="n">
        <v>6.0518</v>
      </c>
      <c r="O2789" s="14" t="n">
        <v>185.66</v>
      </c>
      <c r="P2789" s="14" t="n">
        <v>9.2893</v>
      </c>
    </row>
    <row r="2790" customFormat="false" ht="15" hidden="false" customHeight="false" outlineLevel="0" collapsed="false">
      <c r="A2790" s="13" t="n">
        <v>46258</v>
      </c>
      <c r="B2790" s="14" t="n">
        <v>1383.15</v>
      </c>
      <c r="C2790" s="14" t="n">
        <v>9.3053</v>
      </c>
      <c r="D2790" s="14" t="n">
        <v>1.3631</v>
      </c>
      <c r="E2790" s="14" t="n">
        <v>1.1665</v>
      </c>
      <c r="F2790" s="14" t="n">
        <v>6.7219</v>
      </c>
      <c r="G2790" s="14" t="n">
        <v>5.1471</v>
      </c>
      <c r="H2790" s="14" t="n">
        <v>159.17</v>
      </c>
      <c r="I2790" s="14" t="n">
        <v>1.1664</v>
      </c>
      <c r="J2790" s="14" t="n">
        <v>10.8645</v>
      </c>
      <c r="K2790" s="14" t="n">
        <v>1614.6</v>
      </c>
      <c r="L2790" s="14" t="n">
        <v>0.8555</v>
      </c>
      <c r="M2790" s="14" t="n">
        <v>7.8414</v>
      </c>
      <c r="N2790" s="14" t="n">
        <v>6.0068</v>
      </c>
      <c r="O2790" s="14" t="n">
        <v>185.6</v>
      </c>
      <c r="P2790" s="14" t="n">
        <v>9.3146</v>
      </c>
    </row>
    <row r="2791" customFormat="false" ht="15" hidden="false" customHeight="false" outlineLevel="0" collapsed="false">
      <c r="A2791" s="13" t="n">
        <v>46259</v>
      </c>
      <c r="B2791" s="14" t="n">
        <v>1383.63</v>
      </c>
      <c r="C2791" s="14" t="n">
        <v>9.3153</v>
      </c>
      <c r="D2791" s="14" t="n">
        <v>1.3644</v>
      </c>
      <c r="E2791" s="14" t="n">
        <v>1.1673</v>
      </c>
      <c r="F2791" s="14" t="n">
        <v>6.7203</v>
      </c>
      <c r="G2791" s="14" t="n">
        <v>5.1454</v>
      </c>
      <c r="H2791" s="14" t="n">
        <v>159.21</v>
      </c>
      <c r="I2791" s="14" t="n">
        <v>1.1662</v>
      </c>
      <c r="J2791" s="14" t="n">
        <v>10.892</v>
      </c>
      <c r="K2791" s="14" t="n">
        <v>1612.94</v>
      </c>
      <c r="L2791" s="14" t="n">
        <v>0.8555</v>
      </c>
      <c r="M2791" s="14" t="n">
        <v>7.8366</v>
      </c>
      <c r="N2791" s="14" t="n">
        <v>6.0153</v>
      </c>
      <c r="O2791" s="14" t="n">
        <v>185.7</v>
      </c>
      <c r="P2791" s="14" t="n">
        <v>9.3397</v>
      </c>
    </row>
    <row r="2792" customFormat="false" ht="15" hidden="false" customHeight="false" outlineLevel="0" collapsed="false">
      <c r="A2792" s="13" t="n">
        <v>46260</v>
      </c>
      <c r="B2792" s="14" t="n">
        <v>1386.17</v>
      </c>
      <c r="C2792" s="14" t="n">
        <v>9.3517</v>
      </c>
      <c r="D2792" s="14" t="n">
        <v>1.3595</v>
      </c>
      <c r="E2792" s="14" t="n">
        <v>1.1651</v>
      </c>
      <c r="F2792" s="14" t="n">
        <v>6.7225</v>
      </c>
      <c r="G2792" s="14" t="n">
        <v>5.1622</v>
      </c>
      <c r="H2792" s="14" t="n">
        <v>159.36</v>
      </c>
      <c r="I2792" s="14" t="n">
        <v>1.1669</v>
      </c>
      <c r="J2792" s="14" t="n">
        <v>10.8845</v>
      </c>
      <c r="K2792" s="14" t="n">
        <v>1614.39</v>
      </c>
      <c r="L2792" s="14" t="n">
        <v>0.85613</v>
      </c>
      <c r="M2792" s="14" t="n">
        <v>7.8422</v>
      </c>
      <c r="N2792" s="14" t="n">
        <v>6.0055</v>
      </c>
      <c r="O2792" s="14" t="n">
        <v>185.62</v>
      </c>
      <c r="P2792" s="14" t="n">
        <v>9.3277</v>
      </c>
    </row>
    <row r="2793" customFormat="false" ht="15" hidden="false" customHeight="false" outlineLevel="0" collapsed="false">
      <c r="A2793" s="13" t="n">
        <v>46261</v>
      </c>
      <c r="B2793" s="14" t="n">
        <v>1381.25</v>
      </c>
      <c r="C2793" s="14" t="n">
        <v>9.324</v>
      </c>
      <c r="D2793" s="14" t="n">
        <v>1.36</v>
      </c>
      <c r="E2793" s="14" t="n">
        <v>1.1654</v>
      </c>
      <c r="F2793" s="14" t="n">
        <v>6.7198</v>
      </c>
      <c r="G2793" s="14" t="n">
        <v>5.17</v>
      </c>
      <c r="H2793" s="14" t="n">
        <v>159.26</v>
      </c>
      <c r="I2793" s="14" t="n">
        <v>1.1645</v>
      </c>
      <c r="J2793" s="14" t="n">
        <v>10.877</v>
      </c>
      <c r="K2793" s="14" t="n">
        <v>1607.45</v>
      </c>
      <c r="L2793" s="14" t="n">
        <v>0.8574</v>
      </c>
      <c r="M2793" s="14" t="n">
        <v>7.8258</v>
      </c>
      <c r="N2793" s="14" t="n">
        <v>5.9879</v>
      </c>
      <c r="O2793" s="14" t="n">
        <v>185.61</v>
      </c>
      <c r="P2793" s="14" t="n">
        <v>9.3405</v>
      </c>
    </row>
    <row r="2794" customFormat="false" ht="15" hidden="false" customHeight="false" outlineLevel="0" collapsed="false">
      <c r="A2794" s="13" t="n">
        <v>46262</v>
      </c>
      <c r="B2794" s="14" t="n">
        <v>1379.41</v>
      </c>
      <c r="C2794" s="14" t="n">
        <v>9.3791</v>
      </c>
      <c r="D2794" s="14" t="n">
        <v>1.3555</v>
      </c>
      <c r="E2794" s="14" t="n">
        <v>1.1598</v>
      </c>
      <c r="F2794" s="14" t="n">
        <v>6.726</v>
      </c>
      <c r="G2794" s="14" t="n">
        <v>5.2168</v>
      </c>
      <c r="H2794" s="14" t="n">
        <v>159.97</v>
      </c>
      <c r="I2794" s="14" t="n">
        <v>1.1643</v>
      </c>
      <c r="J2794" s="14" t="n">
        <v>10.8595</v>
      </c>
      <c r="K2794" s="14" t="n">
        <v>1600.39</v>
      </c>
      <c r="L2794" s="14" t="n">
        <v>0.8572</v>
      </c>
      <c r="M2794" s="14" t="n">
        <v>7.8251</v>
      </c>
      <c r="N2794" s="14" t="n">
        <v>6.0126</v>
      </c>
      <c r="O2794" s="14" t="n">
        <v>185.92</v>
      </c>
      <c r="P2794" s="14" t="n">
        <v>9.3271</v>
      </c>
    </row>
    <row r="2795" customFormat="false" ht="15" hidden="false" customHeight="false" outlineLevel="0" collapsed="false">
      <c r="A2795" s="13" t="n">
        <v>46265</v>
      </c>
      <c r="B2795" s="14" t="n">
        <v>1368.25</v>
      </c>
      <c r="C2795" s="14" t="n">
        <v>9.3427</v>
      </c>
      <c r="D2795" s="14" t="n">
        <v>1.355</v>
      </c>
      <c r="E2795" s="14" t="n">
        <v>1.1617</v>
      </c>
      <c r="F2795" s="14" t="n">
        <v>6.7197</v>
      </c>
      <c r="G2795" s="14" t="n">
        <v>5.1807</v>
      </c>
      <c r="H2795" s="14" t="n">
        <v>159.74</v>
      </c>
      <c r="I2795" s="14" t="n">
        <v>1.1596</v>
      </c>
      <c r="J2795" s="14" t="n">
        <v>10.832</v>
      </c>
      <c r="K2795" s="14" t="n">
        <v>1586.37</v>
      </c>
      <c r="L2795" s="14" t="n">
        <v>0.85648</v>
      </c>
      <c r="M2795" s="14" t="n">
        <v>7.7922</v>
      </c>
      <c r="N2795" s="14" t="n">
        <v>5.9972</v>
      </c>
      <c r="O2795" s="14" t="n">
        <v>185.22</v>
      </c>
      <c r="P2795" s="14" t="n">
        <v>9.3412</v>
      </c>
    </row>
    <row r="2796" customFormat="false" ht="15" hidden="false" customHeight="false" outlineLevel="0" collapsed="false">
      <c r="A2796" s="13" t="n">
        <v>46266</v>
      </c>
      <c r="B2796" s="14" t="n">
        <v>1371.76</v>
      </c>
      <c r="C2796" s="14" t="n">
        <v>9.323</v>
      </c>
      <c r="D2796" s="14" t="n">
        <v>1.3527</v>
      </c>
      <c r="E2796" s="14" t="n">
        <v>1.1593</v>
      </c>
      <c r="F2796" s="14" t="n">
        <v>6.7202</v>
      </c>
      <c r="G2796" s="14" t="n">
        <v>5.1444</v>
      </c>
      <c r="H2796" s="14" t="n">
        <v>160.03</v>
      </c>
      <c r="I2796" s="14" t="n">
        <v>1.159</v>
      </c>
      <c r="J2796" s="14" t="n">
        <v>10.8185</v>
      </c>
      <c r="K2796" s="14" t="n">
        <v>1593.17</v>
      </c>
      <c r="L2796" s="14" t="n">
        <v>0.85655</v>
      </c>
      <c r="M2796" s="14" t="n">
        <v>7.7911</v>
      </c>
      <c r="N2796" s="14" t="n">
        <v>6.0255</v>
      </c>
      <c r="O2796" s="14" t="n">
        <v>185.63</v>
      </c>
      <c r="P2796" s="14" t="n">
        <v>9.3343</v>
      </c>
    </row>
    <row r="2797" customFormat="false" ht="15" hidden="false" customHeight="false" outlineLevel="0" collapsed="false">
      <c r="A2797" s="13" t="n">
        <v>46267</v>
      </c>
      <c r="B2797" s="14" t="n">
        <v>1358.85</v>
      </c>
      <c r="C2797" s="14" t="n">
        <v>9.3121</v>
      </c>
      <c r="D2797" s="14" t="n">
        <v>1.3503</v>
      </c>
      <c r="E2797" s="14" t="n">
        <v>1.1592</v>
      </c>
      <c r="F2797" s="14" t="n">
        <v>6.719</v>
      </c>
      <c r="G2797" s="14" t="n">
        <v>5.105</v>
      </c>
      <c r="H2797" s="14" t="n">
        <v>158.79</v>
      </c>
      <c r="I2797" s="14" t="n">
        <v>1.1578</v>
      </c>
      <c r="J2797" s="14" t="n">
        <v>10.809</v>
      </c>
      <c r="K2797" s="14" t="n">
        <v>1577.57</v>
      </c>
      <c r="L2797" s="14" t="n">
        <v>0.8587</v>
      </c>
      <c r="M2797" s="14" t="n">
        <v>7.7822</v>
      </c>
      <c r="N2797" s="14" t="n">
        <v>5.9635</v>
      </c>
      <c r="O2797" s="14" t="n">
        <v>184.78</v>
      </c>
      <c r="P2797" s="14" t="n">
        <v>9.3358</v>
      </c>
    </row>
    <row r="2798" customFormat="false" ht="15" hidden="false" customHeight="false" outlineLevel="0" collapsed="false">
      <c r="A2798" s="13" t="n">
        <v>46268</v>
      </c>
      <c r="B2798" s="14" t="n">
        <v>1356.89</v>
      </c>
      <c r="C2798" s="14" t="n">
        <v>9.2985</v>
      </c>
      <c r="D2798" s="14" t="n">
        <v>1.3536</v>
      </c>
      <c r="E2798" s="14" t="n">
        <v>1.1623</v>
      </c>
      <c r="F2798" s="14" t="n">
        <v>6.7181</v>
      </c>
      <c r="G2798" s="14" t="n">
        <v>5.1062</v>
      </c>
      <c r="H2798" s="14" t="n">
        <v>155.39</v>
      </c>
      <c r="I2798" s="14" t="n">
        <v>1.1615</v>
      </c>
      <c r="J2798" s="14" t="n">
        <v>10.8063</v>
      </c>
      <c r="K2798" s="14" t="n">
        <v>1576.49</v>
      </c>
      <c r="L2798" s="14" t="n">
        <v>0.86055</v>
      </c>
      <c r="M2798" s="14" t="n">
        <v>7.8042</v>
      </c>
      <c r="N2798" s="14" t="n">
        <v>5.8935</v>
      </c>
      <c r="O2798" s="14" t="n">
        <v>181.21</v>
      </c>
      <c r="P2798" s="14" t="n">
        <v>9.3037</v>
      </c>
    </row>
    <row r="2799" customFormat="false" ht="15" hidden="false" customHeight="false" outlineLevel="0" collapsed="false">
      <c r="A2799" s="13" t="n">
        <v>46269</v>
      </c>
      <c r="B2799" s="14" t="n">
        <v>1346.51</v>
      </c>
      <c r="C2799" s="14" t="n">
        <v>9.2955</v>
      </c>
      <c r="D2799" s="14" t="n">
        <v>1.3521</v>
      </c>
      <c r="E2799" s="14" t="n">
        <v>1.1618</v>
      </c>
      <c r="F2799" s="14" t="n">
        <v>6.7108</v>
      </c>
      <c r="G2799" s="14" t="n">
        <v>5.1214</v>
      </c>
      <c r="H2799" s="14" t="n">
        <v>156.11</v>
      </c>
      <c r="I2799" s="14" t="n">
        <v>1.1622</v>
      </c>
      <c r="J2799" s="14" t="n">
        <v>10.8035</v>
      </c>
      <c r="K2799" s="14" t="n">
        <v>1569.38</v>
      </c>
      <c r="L2799" s="14" t="n">
        <v>0.85898</v>
      </c>
      <c r="M2799" s="14" t="n">
        <v>7.7994</v>
      </c>
      <c r="N2799" s="14" t="n">
        <v>5.9405</v>
      </c>
      <c r="O2799" s="14" t="n">
        <v>181.59</v>
      </c>
      <c r="P2799" s="14" t="n">
        <v>9.2957</v>
      </c>
    </row>
    <row r="2800" customFormat="false" ht="15" hidden="false" customHeight="false" outlineLevel="0" collapsed="false">
      <c r="A2800" s="13" t="n">
        <v>46272</v>
      </c>
      <c r="I2800" s="14" t="n">
        <v>1.1622</v>
      </c>
      <c r="J2800" s="14" t="n">
        <v>10.774</v>
      </c>
      <c r="K2800" s="14" t="n">
        <v>1566.56</v>
      </c>
      <c r="L2800" s="14" t="n">
        <v>0.85894</v>
      </c>
      <c r="M2800" s="14" t="n">
        <v>7.7995</v>
      </c>
      <c r="N2800" s="14" t="n">
        <v>5.9576</v>
      </c>
      <c r="O2800" s="14" t="n">
        <v>179.85</v>
      </c>
      <c r="P2800" s="14" t="n">
        <v>9.2703</v>
      </c>
    </row>
    <row r="2801" customFormat="false" ht="15" hidden="false" customHeight="false" outlineLevel="0" collapsed="false">
      <c r="A2801" s="13" t="n">
        <v>46273</v>
      </c>
      <c r="B2801" s="14" t="n">
        <v>1341.22</v>
      </c>
      <c r="C2801" s="14" t="n">
        <v>9.2464</v>
      </c>
      <c r="D2801" s="14" t="n">
        <v>1.3542</v>
      </c>
      <c r="E2801" s="14" t="n">
        <v>1.1627</v>
      </c>
      <c r="F2801" s="14" t="n">
        <v>6.7105</v>
      </c>
      <c r="G2801" s="14" t="n">
        <v>5.0836</v>
      </c>
      <c r="H2801" s="14" t="n">
        <v>154.24</v>
      </c>
      <c r="I2801" s="14" t="n">
        <v>1.1614</v>
      </c>
      <c r="J2801" s="14" t="n">
        <v>10.745</v>
      </c>
      <c r="K2801" s="14" t="n">
        <v>1558.22</v>
      </c>
      <c r="L2801" s="14" t="n">
        <v>0.8574</v>
      </c>
      <c r="M2801" s="14" t="n">
        <v>7.7936</v>
      </c>
      <c r="N2801" s="14" t="n">
        <v>5.936</v>
      </c>
      <c r="O2801" s="14" t="n">
        <v>179.2</v>
      </c>
      <c r="P2801" s="14" t="n">
        <v>9.2518</v>
      </c>
    </row>
    <row r="2802" customFormat="false" ht="15" hidden="false" customHeight="false" outlineLevel="0" collapsed="false">
      <c r="A2802" s="13" t="n">
        <v>46274</v>
      </c>
      <c r="B2802" s="14" t="n">
        <v>1339.81</v>
      </c>
      <c r="C2802" s="14" t="n">
        <v>9.1994</v>
      </c>
      <c r="D2802" s="14" t="n">
        <v>1.3549</v>
      </c>
      <c r="E2802" s="14" t="n">
        <v>1.1627</v>
      </c>
      <c r="F2802" s="14" t="n">
        <v>6.7059</v>
      </c>
      <c r="G2802" s="14" t="n">
        <v>5.1021</v>
      </c>
      <c r="H2802" s="14" t="n">
        <v>153.5</v>
      </c>
      <c r="I2802" s="14" t="n">
        <v>1.1652</v>
      </c>
      <c r="J2802" s="14" t="n">
        <v>10.6975</v>
      </c>
      <c r="K2802" s="14" t="n">
        <v>1556.94</v>
      </c>
      <c r="L2802" s="14" t="n">
        <v>0.85898</v>
      </c>
      <c r="M2802" s="14" t="n">
        <v>7.8159</v>
      </c>
      <c r="N2802" s="14" t="n">
        <v>5.9296</v>
      </c>
      <c r="O2802" s="14" t="n">
        <v>178.59</v>
      </c>
      <c r="P2802" s="14" t="n">
        <v>9.1808</v>
      </c>
    </row>
    <row r="2803" customFormat="false" ht="15" hidden="false" customHeight="false" outlineLevel="0" collapsed="false">
      <c r="A2803" s="13" t="n">
        <v>46275</v>
      </c>
      <c r="B2803" s="14" t="n">
        <v>1345.63</v>
      </c>
      <c r="C2803" s="14" t="n">
        <v>9.2643</v>
      </c>
      <c r="D2803" s="14" t="n">
        <v>1.3532</v>
      </c>
      <c r="E2803" s="14" t="n">
        <v>1.1629</v>
      </c>
      <c r="F2803" s="14" t="n">
        <v>6.7061</v>
      </c>
      <c r="G2803" s="14" t="n">
        <v>5.0983</v>
      </c>
      <c r="H2803" s="14" t="n">
        <v>154.06</v>
      </c>
      <c r="I2803" s="14" t="n">
        <v>1.1616</v>
      </c>
      <c r="J2803" s="14" t="n">
        <v>10.7635</v>
      </c>
      <c r="K2803" s="14" t="n">
        <v>1560.96</v>
      </c>
      <c r="L2803" s="14" t="n">
        <v>0.85915</v>
      </c>
      <c r="M2803" s="14" t="n">
        <v>7.79</v>
      </c>
      <c r="N2803" s="14" t="n">
        <v>5.9528</v>
      </c>
      <c r="O2803" s="14" t="n">
        <v>179.09</v>
      </c>
      <c r="P2803" s="14" t="n">
        <v>9.2661</v>
      </c>
    </row>
    <row r="2804" customFormat="false" ht="15" hidden="false" customHeight="false" outlineLevel="0" collapsed="false">
      <c r="A2804" s="13" t="n">
        <v>46276</v>
      </c>
      <c r="B2804" s="14" t="n">
        <v>1340.3</v>
      </c>
      <c r="C2804" s="14" t="n">
        <v>9.2827</v>
      </c>
      <c r="D2804" s="14" t="n">
        <v>1.3524</v>
      </c>
      <c r="E2804" s="14" t="n">
        <v>1.1604</v>
      </c>
      <c r="F2804" s="14" t="n">
        <v>6.708</v>
      </c>
      <c r="G2804" s="14" t="n">
        <v>5.1009</v>
      </c>
      <c r="H2804" s="14" t="n">
        <v>153.71</v>
      </c>
      <c r="I2804" s="14" t="n">
        <v>1.1592</v>
      </c>
      <c r="J2804" s="14" t="n">
        <v>10.7805</v>
      </c>
      <c r="K2804" s="14" t="n">
        <v>1556.56</v>
      </c>
      <c r="L2804" s="14" t="n">
        <v>0.85815</v>
      </c>
      <c r="M2804" s="14" t="n">
        <v>7.7762</v>
      </c>
      <c r="N2804" s="14" t="n">
        <v>5.9244</v>
      </c>
      <c r="O2804" s="14" t="n">
        <v>178.56</v>
      </c>
      <c r="P2804" s="14" t="n">
        <v>9.2999</v>
      </c>
    </row>
    <row r="2805" customFormat="false" ht="15" hidden="false" customHeight="false" outlineLevel="0" collapsed="false">
      <c r="A2805" s="13" t="n">
        <v>46279</v>
      </c>
      <c r="B2805" s="14" t="n">
        <v>1346.6</v>
      </c>
      <c r="C2805" s="14" t="n">
        <v>9.3167</v>
      </c>
      <c r="D2805" s="14" t="n">
        <v>1.3494</v>
      </c>
      <c r="E2805" s="14" t="n">
        <v>1.1549</v>
      </c>
      <c r="F2805" s="14" t="n">
        <v>6.7082</v>
      </c>
      <c r="G2805" s="14" t="n">
        <v>5.1516</v>
      </c>
      <c r="H2805" s="14" t="n">
        <v>154.42</v>
      </c>
      <c r="I2805" s="14" t="n">
        <v>1.1551</v>
      </c>
      <c r="J2805" s="14" t="n">
        <v>10.767</v>
      </c>
      <c r="K2805" s="14" t="n">
        <v>1555.04</v>
      </c>
      <c r="L2805" s="14" t="n">
        <v>0.85598</v>
      </c>
      <c r="M2805" s="14" t="n">
        <v>7.7489</v>
      </c>
      <c r="N2805" s="14" t="n">
        <v>5.9564</v>
      </c>
      <c r="O2805" s="14" t="n">
        <v>178.52</v>
      </c>
      <c r="P2805" s="14" t="n">
        <v>9.3213</v>
      </c>
    </row>
    <row r="2806" customFormat="false" ht="15" hidden="false" customHeight="false" outlineLevel="0" collapsed="false">
      <c r="A2806" s="13" t="n">
        <v>46280</v>
      </c>
      <c r="B2806" s="14" t="n">
        <v>1361.84</v>
      </c>
      <c r="C2806" s="14" t="n">
        <v>9.3432</v>
      </c>
      <c r="D2806" s="14" t="n">
        <v>1.3479</v>
      </c>
      <c r="E2806" s="14" t="n">
        <v>1.1542</v>
      </c>
      <c r="F2806" s="14" t="n">
        <v>6.7112</v>
      </c>
      <c r="G2806" s="14" t="n">
        <v>5.1498</v>
      </c>
      <c r="H2806" s="14" t="n">
        <v>155.11</v>
      </c>
      <c r="I2806" s="14" t="n">
        <v>1.1539</v>
      </c>
      <c r="J2806" s="14" t="n">
        <v>10.785</v>
      </c>
      <c r="K2806" s="14" t="n">
        <v>1568.32</v>
      </c>
      <c r="L2806" s="14" t="n">
        <v>0.8558</v>
      </c>
      <c r="M2806" s="14" t="n">
        <v>7.7444</v>
      </c>
      <c r="N2806" s="14" t="n">
        <v>5.944</v>
      </c>
      <c r="O2806" s="14" t="n">
        <v>178.86</v>
      </c>
      <c r="P2806" s="14" t="n">
        <v>9.3466</v>
      </c>
    </row>
    <row r="2807" customFormat="false" ht="15" hidden="false" customHeight="false" outlineLevel="0" collapsed="false">
      <c r="A2807" s="13" t="n">
        <v>46281</v>
      </c>
      <c r="B2807" s="14" t="n">
        <v>1367.65</v>
      </c>
      <c r="C2807" s="14" t="n">
        <v>9.3517</v>
      </c>
      <c r="D2807" s="14" t="n">
        <v>1.3451</v>
      </c>
      <c r="E2807" s="14" t="n">
        <v>1.1538</v>
      </c>
      <c r="F2807" s="14" t="n">
        <v>6.706</v>
      </c>
      <c r="G2807" s="14" t="n">
        <v>5.1424</v>
      </c>
      <c r="H2807" s="14" t="n">
        <v>155.08</v>
      </c>
      <c r="I2807" s="14" t="n">
        <v>1.1537</v>
      </c>
      <c r="J2807" s="14" t="n">
        <v>10.7885</v>
      </c>
      <c r="K2807" s="14" t="n">
        <v>1578.03</v>
      </c>
      <c r="L2807" s="14" t="n">
        <v>0.8574</v>
      </c>
      <c r="M2807" s="14" t="n">
        <v>7.738</v>
      </c>
      <c r="N2807" s="14" t="n">
        <v>5.9368</v>
      </c>
      <c r="O2807" s="14" t="n">
        <v>178.88</v>
      </c>
      <c r="P2807" s="14" t="n">
        <v>9.3512</v>
      </c>
    </row>
    <row r="2808" customFormat="false" ht="15" hidden="false" customHeight="false" outlineLevel="0" collapsed="false">
      <c r="A2808" s="13" t="n">
        <v>46282</v>
      </c>
      <c r="B2808" s="14" t="n">
        <v>1380.46</v>
      </c>
      <c r="C2808" s="14" t="n">
        <v>9.4235</v>
      </c>
      <c r="D2808" s="14" t="n">
        <v>1.3347</v>
      </c>
      <c r="E2808" s="14" t="n">
        <v>1.1479</v>
      </c>
      <c r="F2808" s="14" t="n">
        <v>6.7074</v>
      </c>
      <c r="G2808" s="14" t="n">
        <v>5.1528</v>
      </c>
      <c r="H2808" s="14" t="n">
        <v>155.85</v>
      </c>
      <c r="I2808" s="14" t="n">
        <v>1.1481</v>
      </c>
      <c r="J2808" s="14" t="n">
        <v>10.825</v>
      </c>
      <c r="K2808" s="14" t="n">
        <v>1587.31</v>
      </c>
      <c r="L2808" s="14" t="n">
        <v>0.8583</v>
      </c>
      <c r="M2808" s="14" t="n">
        <v>7.7009</v>
      </c>
      <c r="N2808" s="14" t="n">
        <v>5.8905</v>
      </c>
      <c r="O2808" s="14" t="n">
        <v>178.75</v>
      </c>
      <c r="P2808" s="14" t="n">
        <v>9.4286</v>
      </c>
    </row>
    <row r="2809" customFormat="false" ht="15" hidden="false" customHeight="false" outlineLevel="0" collapsed="false">
      <c r="A2809" s="13" t="n">
        <v>46283</v>
      </c>
      <c r="B2809" s="14" t="n">
        <v>1387.97</v>
      </c>
      <c r="C2809" s="14" t="n">
        <v>9.4262</v>
      </c>
      <c r="D2809" s="14" t="n">
        <v>1.3372</v>
      </c>
      <c r="E2809" s="14" t="n">
        <v>1.1464</v>
      </c>
      <c r="F2809" s="14" t="n">
        <v>6.6975</v>
      </c>
      <c r="G2809" s="14" t="n">
        <v>5.1596</v>
      </c>
      <c r="H2809" s="14" t="n">
        <v>156.87</v>
      </c>
      <c r="I2809" s="14" t="n">
        <v>1.146</v>
      </c>
      <c r="J2809" s="14" t="n">
        <v>10.8095</v>
      </c>
      <c r="K2809" s="14" t="n">
        <v>1590.76</v>
      </c>
      <c r="L2809" s="14" t="n">
        <v>0.8588</v>
      </c>
      <c r="M2809" s="14" t="n">
        <v>7.6755</v>
      </c>
      <c r="N2809" s="14" t="n">
        <v>5.8857</v>
      </c>
      <c r="O2809" s="14" t="n">
        <v>180.94</v>
      </c>
      <c r="P2809" s="14" t="n">
        <v>9.4324</v>
      </c>
    </row>
    <row r="2810" customFormat="false" ht="15" hidden="false" customHeight="false" outlineLevel="0" collapsed="false">
      <c r="A2810" s="13" t="n">
        <v>46286</v>
      </c>
      <c r="B2810" s="14" t="n">
        <v>1374.81</v>
      </c>
      <c r="C2810" s="14" t="n">
        <v>9.4403</v>
      </c>
      <c r="D2810" s="14" t="n">
        <v>1.3371</v>
      </c>
      <c r="E2810" s="14" t="n">
        <v>1.1469</v>
      </c>
      <c r="F2810" s="14" t="n">
        <v>6.6947</v>
      </c>
      <c r="G2810" s="14" t="n">
        <v>5.1107</v>
      </c>
      <c r="H2810" s="14" t="n">
        <v>157.46</v>
      </c>
      <c r="I2810" s="14" t="n">
        <v>1.149</v>
      </c>
      <c r="J2810" s="14" t="n">
        <v>10.813</v>
      </c>
      <c r="K2810" s="14" t="n">
        <v>1576.63</v>
      </c>
      <c r="L2810" s="14" t="n">
        <v>0.8578</v>
      </c>
      <c r="M2810" s="14" t="n">
        <v>7.693</v>
      </c>
      <c r="N2810" s="14" t="n">
        <v>5.892</v>
      </c>
      <c r="O2810" s="14" t="n">
        <v>180.7</v>
      </c>
      <c r="P2810" s="14" t="n">
        <v>9.4108</v>
      </c>
    </row>
    <row r="2811" customFormat="false" ht="15" hidden="false" customHeight="false" outlineLevel="0" collapsed="false">
      <c r="A2811" s="13" t="n">
        <v>46287</v>
      </c>
      <c r="B2811" s="14" t="n">
        <v>1359.06</v>
      </c>
      <c r="C2811" s="14" t="n">
        <v>9.4552</v>
      </c>
      <c r="D2811" s="14" t="n">
        <v>1.3326</v>
      </c>
      <c r="E2811" s="14" t="n">
        <v>1.1432</v>
      </c>
      <c r="F2811" s="14" t="n">
        <v>6.6996</v>
      </c>
      <c r="G2811" s="14" t="n">
        <v>5.1111</v>
      </c>
      <c r="H2811" s="14" t="n">
        <v>157.55</v>
      </c>
      <c r="I2811" s="14" t="n">
        <v>1.1463</v>
      </c>
      <c r="J2811" s="14" t="n">
        <v>10.801</v>
      </c>
      <c r="K2811" s="14" t="n">
        <v>1554.55</v>
      </c>
      <c r="L2811" s="14" t="n">
        <v>0.8578</v>
      </c>
      <c r="M2811" s="14" t="n">
        <v>7.6803</v>
      </c>
      <c r="N2811" s="14" t="n">
        <v>5.8726</v>
      </c>
      <c r="O2811" s="14" t="n">
        <v>180.17</v>
      </c>
      <c r="P2811" s="14" t="n">
        <v>9.4225</v>
      </c>
    </row>
    <row r="2812" customFormat="false" ht="15" hidden="false" customHeight="false" outlineLevel="0" collapsed="false">
      <c r="A2812" s="13" t="n">
        <v>46288</v>
      </c>
      <c r="B2812" s="14" t="n">
        <v>1366.99</v>
      </c>
      <c r="C2812" s="14" t="n">
        <v>9.4903</v>
      </c>
      <c r="D2812" s="14" t="n">
        <v>1.3253</v>
      </c>
      <c r="E2812" s="14" t="n">
        <v>1.1394</v>
      </c>
      <c r="F2812" s="14" t="n">
        <v>6.7111</v>
      </c>
      <c r="G2812" s="14" t="n">
        <v>5.1483</v>
      </c>
      <c r="H2812" s="14" t="n">
        <v>158.3</v>
      </c>
      <c r="I2812" s="14" t="n">
        <v>1.1411</v>
      </c>
      <c r="J2812" s="14" t="n">
        <v>10.799</v>
      </c>
      <c r="K2812" s="14" t="n">
        <v>1558</v>
      </c>
      <c r="L2812" s="14" t="n">
        <v>0.8595</v>
      </c>
      <c r="M2812" s="14" t="n">
        <v>7.6538</v>
      </c>
      <c r="N2812" s="14" t="n">
        <v>5.8564</v>
      </c>
      <c r="O2812" s="14" t="n">
        <v>180.2</v>
      </c>
      <c r="P2812" s="14" t="n">
        <v>9.4637</v>
      </c>
    </row>
    <row r="2813" customFormat="false" ht="15" hidden="false" customHeight="false" outlineLevel="0" collapsed="false">
      <c r="A2813" s="13" t="n">
        <v>46289</v>
      </c>
      <c r="B2813" s="14" t="n">
        <v>1369.44</v>
      </c>
      <c r="C2813" s="14" t="n">
        <v>9.5135</v>
      </c>
      <c r="D2813" s="14" t="n">
        <v>1.3217</v>
      </c>
      <c r="E2813" s="14" t="n">
        <v>1.1373</v>
      </c>
      <c r="F2813" s="14" t="n">
        <v>6.7128</v>
      </c>
      <c r="G2813" s="14" t="n">
        <v>5.1953</v>
      </c>
      <c r="H2813" s="14" t="n">
        <v>158.92</v>
      </c>
      <c r="I2813" s="14" t="n">
        <v>1.1367</v>
      </c>
      <c r="J2813" s="14" t="n">
        <v>10.7895</v>
      </c>
      <c r="K2813" s="14" t="n">
        <v>1555.69</v>
      </c>
      <c r="L2813" s="14" t="n">
        <v>0.85986</v>
      </c>
      <c r="M2813" s="14" t="n">
        <v>7.6302</v>
      </c>
      <c r="N2813" s="14" t="n">
        <v>5.889</v>
      </c>
      <c r="O2813" s="14" t="n">
        <v>180.57</v>
      </c>
      <c r="P2813" s="14" t="n">
        <v>9.492</v>
      </c>
    </row>
    <row r="2814" customFormat="false" ht="15" hidden="false" customHeight="false" outlineLevel="0" collapsed="false">
      <c r="A2814" s="13" t="n">
        <v>46290</v>
      </c>
      <c r="B2814" s="14" t="n">
        <v>1356.51</v>
      </c>
      <c r="C2814" s="14" t="n">
        <v>9.4973</v>
      </c>
      <c r="D2814" s="14" t="n">
        <v>1.325</v>
      </c>
      <c r="E2814" s="14" t="n">
        <v>1.14</v>
      </c>
      <c r="F2814" s="14" t="n">
        <v>6.711</v>
      </c>
      <c r="G2814" s="14" t="n">
        <v>5.1921</v>
      </c>
      <c r="H2814" s="14" t="n">
        <v>157.18</v>
      </c>
      <c r="I2814" s="14" t="n">
        <v>1.1403</v>
      </c>
      <c r="J2814" s="14" t="n">
        <v>10.84</v>
      </c>
      <c r="K2814" s="14" t="n">
        <v>1545.16</v>
      </c>
      <c r="L2814" s="14" t="n">
        <v>0.86045</v>
      </c>
      <c r="M2814" s="14" t="n">
        <v>7.6551</v>
      </c>
      <c r="N2814" s="14" t="n">
        <v>5.9091</v>
      </c>
      <c r="O2814" s="14" t="n">
        <v>179.7</v>
      </c>
      <c r="P2814" s="14" t="n">
        <v>9.5063</v>
      </c>
    </row>
    <row r="2815" customFormat="false" ht="15" hidden="false" customHeight="false" outlineLevel="0" collapsed="false">
      <c r="A2815" s="13" t="n">
        <v>46293</v>
      </c>
      <c r="B2815" s="14" t="n">
        <v>1359.78</v>
      </c>
      <c r="C2815" s="14" t="n">
        <v>9.5258</v>
      </c>
      <c r="D2815" s="14" t="n">
        <v>1.3257</v>
      </c>
      <c r="E2815" s="14" t="n">
        <v>1.1367</v>
      </c>
      <c r="F2815" s="14" t="n">
        <v>6.7103</v>
      </c>
      <c r="G2815" s="14" t="n">
        <v>5.2198</v>
      </c>
      <c r="H2815" s="14" t="n">
        <v>157.44</v>
      </c>
      <c r="I2815" s="14" t="n">
        <v>1.1378</v>
      </c>
      <c r="J2815" s="14" t="n">
        <v>10.817</v>
      </c>
      <c r="K2815" s="14" t="n">
        <v>1545.05</v>
      </c>
      <c r="L2815" s="14" t="n">
        <v>0.85785</v>
      </c>
      <c r="M2815" s="14" t="n">
        <v>7.6352</v>
      </c>
      <c r="N2815" s="14" t="n">
        <v>5.9186</v>
      </c>
      <c r="O2815" s="14" t="n">
        <v>178.5</v>
      </c>
      <c r="P2815" s="14" t="n">
        <v>9.5069</v>
      </c>
    </row>
    <row r="2816" customFormat="false" ht="15" hidden="false" customHeight="false" outlineLevel="0" collapsed="false">
      <c r="A2816" s="13" t="n">
        <v>46294</v>
      </c>
      <c r="B2816" s="14" t="n">
        <v>1355.4</v>
      </c>
      <c r="C2816" s="14" t="n">
        <v>9.6072</v>
      </c>
      <c r="D2816" s="14" t="n">
        <v>1.3212</v>
      </c>
      <c r="E2816" s="14" t="n">
        <v>1.1336</v>
      </c>
      <c r="F2816" s="14" t="n">
        <v>6.703</v>
      </c>
      <c r="G2816" s="14" t="n">
        <v>5.2323</v>
      </c>
      <c r="H2816" s="14" t="n">
        <v>157.5</v>
      </c>
      <c r="I2816" s="14" t="n">
        <v>1.1355</v>
      </c>
      <c r="J2816" s="14" t="n">
        <v>10.8735</v>
      </c>
      <c r="K2816" s="14" t="n">
        <v>1536.74</v>
      </c>
      <c r="L2816" s="14" t="n">
        <v>0.85718</v>
      </c>
      <c r="M2816" s="14" t="n">
        <v>7.6117</v>
      </c>
      <c r="N2816" s="14" t="n">
        <v>5.9177</v>
      </c>
      <c r="O2816" s="14" t="n">
        <v>178.41</v>
      </c>
      <c r="P2816" s="14" t="n">
        <v>9.576</v>
      </c>
    </row>
    <row r="2817" customFormat="false" ht="15" hidden="false" customHeight="false" outlineLevel="0" collapsed="false">
      <c r="A2817" s="13" t="n">
        <v>46295</v>
      </c>
      <c r="B2817" s="14" t="n">
        <v>1355.91</v>
      </c>
      <c r="C2817" s="14" t="n">
        <v>9.6048</v>
      </c>
      <c r="D2817" s="14" t="n">
        <v>1.3267</v>
      </c>
      <c r="E2817" s="14" t="n">
        <v>1.1345</v>
      </c>
      <c r="F2817" s="14" t="n">
        <v>6.7045</v>
      </c>
      <c r="G2817" s="14" t="n">
        <v>5.1818</v>
      </c>
      <c r="H2817" s="14" t="n">
        <v>157.25</v>
      </c>
      <c r="I2817" s="14" t="n">
        <v>1.1355</v>
      </c>
      <c r="J2817" s="14" t="n">
        <v>10.9015</v>
      </c>
      <c r="K2817" s="14" t="n">
        <v>1539.06</v>
      </c>
      <c r="L2817" s="14" t="n">
        <v>0.85463</v>
      </c>
      <c r="M2817" s="14" t="n">
        <v>7.613</v>
      </c>
      <c r="N2817" s="14" t="n">
        <v>5.9077</v>
      </c>
      <c r="O2817" s="14" t="n">
        <v>178.27</v>
      </c>
      <c r="P2817" s="14" t="n">
        <v>9.6006</v>
      </c>
    </row>
    <row r="2818" customFormat="false" ht="15" hidden="false" customHeight="false" outlineLevel="0" collapsed="false">
      <c r="A2818" s="13" t="n">
        <v>46296</v>
      </c>
      <c r="B2818" s="14" t="n">
        <v>1364.83</v>
      </c>
      <c r="C2818" s="14" t="n">
        <v>9.6386</v>
      </c>
      <c r="D2818" s="14" t="n">
        <v>1.3196</v>
      </c>
      <c r="E2818" s="14" t="n">
        <v>1.1232</v>
      </c>
      <c r="F2818" s="14" t="n">
        <v>6.7038</v>
      </c>
      <c r="G2818" s="14" t="n">
        <v>5.2329</v>
      </c>
      <c r="H2818" s="14" t="n">
        <v>157.63</v>
      </c>
      <c r="I2818" s="14" t="n">
        <v>1.1298</v>
      </c>
      <c r="J2818" s="14" t="n">
        <v>10.875</v>
      </c>
      <c r="K2818" s="14" t="n">
        <v>1537.96</v>
      </c>
      <c r="L2818" s="14" t="n">
        <v>0.85373</v>
      </c>
      <c r="M2818" s="14" t="n">
        <v>7.5748</v>
      </c>
      <c r="N2818" s="14" t="n">
        <v>5.862</v>
      </c>
      <c r="O2818" s="14" t="n">
        <v>178.49</v>
      </c>
      <c r="P2818" s="14" t="n">
        <v>9.6256</v>
      </c>
    </row>
    <row r="2819" customFormat="false" ht="15" hidden="false" customHeight="false" outlineLevel="0" collapsed="false">
      <c r="A2819" s="13" t="n">
        <v>46297</v>
      </c>
      <c r="B2819" s="14" t="n">
        <v>1345.75</v>
      </c>
      <c r="C2819" s="14" t="n">
        <v>9.6386</v>
      </c>
      <c r="D2819" s="14" t="n">
        <v>1.3234</v>
      </c>
      <c r="E2819" s="14" t="n">
        <v>1.1259</v>
      </c>
      <c r="F2819" s="14" t="n">
        <v>6.7038</v>
      </c>
      <c r="G2819" s="14" t="n">
        <v>5.2222</v>
      </c>
      <c r="H2819" s="14" t="n">
        <v>157.81</v>
      </c>
      <c r="I2819" s="14" t="n">
        <v>1.1225</v>
      </c>
      <c r="J2819" s="14" t="n">
        <v>10.8315</v>
      </c>
      <c r="K2819" s="14" t="n">
        <v>1513.44</v>
      </c>
      <c r="L2819" s="14" t="n">
        <v>0.85033</v>
      </c>
      <c r="M2819" s="14" t="n">
        <v>7.5259</v>
      </c>
      <c r="N2819" s="14" t="n">
        <v>5.861</v>
      </c>
      <c r="O2819" s="14" t="n">
        <v>176.99</v>
      </c>
      <c r="P2819" s="14" t="n">
        <v>9.6494</v>
      </c>
    </row>
    <row r="2820" customFormat="false" ht="15" hidden="false" customHeight="false" outlineLevel="0" collapsed="false">
      <c r="A2820" s="13" t="n">
        <v>46300</v>
      </c>
      <c r="I2820" s="14" t="n">
        <v>1.1204</v>
      </c>
      <c r="J2820" s="14" t="n">
        <v>10.7575</v>
      </c>
      <c r="K2820" s="14" t="n">
        <v>1505.8</v>
      </c>
      <c r="L2820" s="14" t="n">
        <v>0.8472</v>
      </c>
      <c r="M2820" s="14" t="n">
        <v>7.5118</v>
      </c>
      <c r="N2820" s="14" t="n">
        <v>5.5849</v>
      </c>
      <c r="O2820" s="14" t="n">
        <v>177.28</v>
      </c>
      <c r="P2820" s="14" t="n">
        <v>9.6015</v>
      </c>
    </row>
    <row r="2821" customFormat="false" ht="15" hidden="false" customHeight="false" outlineLevel="0" collapsed="false">
      <c r="A2821" s="13" t="n">
        <v>46301</v>
      </c>
      <c r="I2821" s="14" t="n">
        <v>1.1269</v>
      </c>
      <c r="J2821" s="14" t="n">
        <v>10.778</v>
      </c>
      <c r="K2821" s="14" t="n">
        <v>1508.67</v>
      </c>
      <c r="L2821" s="14" t="n">
        <v>0.8488</v>
      </c>
      <c r="M2821" s="14" t="n">
        <v>7.5554</v>
      </c>
      <c r="N2821" s="14" t="n">
        <v>5.5991</v>
      </c>
      <c r="O2821" s="14" t="n">
        <v>178.15</v>
      </c>
      <c r="P2821" s="14" t="n">
        <v>9.5643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12"/>
  </cols>
  <sheetData>
    <row r="1" customFormat="false" ht="16.15" hidden="false" customHeight="false" outlineLevel="0" collapsed="false">
      <c r="A1" s="1" t="s">
        <v>597</v>
      </c>
    </row>
    <row r="2" customFormat="false" ht="15" hidden="false" customHeight="false" outlineLevel="0" collapsed="false">
      <c r="A2" s="2" t="s">
        <v>598</v>
      </c>
    </row>
    <row r="4" customFormat="false" ht="64.15" hidden="false" customHeight="false" outlineLevel="0" collapsed="false">
      <c r="A4" s="7" t="s">
        <v>5</v>
      </c>
      <c r="B4" s="8" t="s">
        <v>17</v>
      </c>
      <c r="C4" s="8" t="s">
        <v>17</v>
      </c>
      <c r="D4" s="8" t="s">
        <v>17</v>
      </c>
      <c r="E4" s="8" t="s">
        <v>17</v>
      </c>
      <c r="F4" s="8" t="s">
        <v>17</v>
      </c>
      <c r="G4" s="8" t="s">
        <v>17</v>
      </c>
      <c r="H4" s="8" t="s">
        <v>17</v>
      </c>
      <c r="I4" s="8" t="s">
        <v>55</v>
      </c>
      <c r="J4" s="8" t="s">
        <v>55</v>
      </c>
      <c r="K4" s="8" t="s">
        <v>55</v>
      </c>
      <c r="L4" s="8" t="s">
        <v>55</v>
      </c>
      <c r="M4" s="8" t="s">
        <v>55</v>
      </c>
      <c r="N4" s="8" t="s">
        <v>55</v>
      </c>
      <c r="O4" s="8" t="s">
        <v>55</v>
      </c>
      <c r="P4" s="8" t="s">
        <v>92</v>
      </c>
      <c r="Q4" s="8" t="s">
        <v>599</v>
      </c>
      <c r="R4" s="8" t="s">
        <v>599</v>
      </c>
    </row>
    <row r="5" customFormat="false" ht="64.15" hidden="false" customHeight="false" outlineLevel="0" collapsed="false">
      <c r="A5" s="7" t="s">
        <v>6</v>
      </c>
      <c r="B5" s="8" t="s">
        <v>600</v>
      </c>
      <c r="C5" s="8" t="s">
        <v>601</v>
      </c>
      <c r="D5" s="8" t="s">
        <v>602</v>
      </c>
      <c r="E5" s="8" t="s">
        <v>603</v>
      </c>
      <c r="F5" s="8" t="s">
        <v>604</v>
      </c>
      <c r="G5" s="8" t="s">
        <v>605</v>
      </c>
      <c r="H5" s="8" t="s">
        <v>606</v>
      </c>
      <c r="I5" s="8" t="s">
        <v>607</v>
      </c>
      <c r="J5" s="8" t="s">
        <v>608</v>
      </c>
      <c r="K5" s="8" t="s">
        <v>609</v>
      </c>
      <c r="L5" s="8" t="s">
        <v>610</v>
      </c>
      <c r="M5" s="8" t="s">
        <v>611</v>
      </c>
      <c r="N5" s="8" t="s">
        <v>612</v>
      </c>
      <c r="O5" s="8" t="s">
        <v>613</v>
      </c>
      <c r="P5" s="8" t="s">
        <v>614</v>
      </c>
      <c r="Q5" s="8" t="s">
        <v>615</v>
      </c>
      <c r="R5" s="8"/>
    </row>
    <row r="6" customFormat="false" ht="60" hidden="false" customHeight="true" outlineLevel="0" collapsed="false">
      <c r="A6" s="7" t="s">
        <v>576</v>
      </c>
      <c r="B6" s="8" t="s">
        <v>616</v>
      </c>
      <c r="C6" s="8" t="s">
        <v>616</v>
      </c>
      <c r="D6" s="8" t="s">
        <v>616</v>
      </c>
      <c r="E6" s="8" t="s">
        <v>616</v>
      </c>
      <c r="F6" s="8" t="s">
        <v>616</v>
      </c>
      <c r="G6" s="8" t="s">
        <v>616</v>
      </c>
      <c r="H6" s="8" t="s">
        <v>616</v>
      </c>
      <c r="I6" s="8" t="s">
        <v>616</v>
      </c>
      <c r="J6" s="8" t="s">
        <v>616</v>
      </c>
      <c r="K6" s="8" t="s">
        <v>616</v>
      </c>
      <c r="L6" s="8" t="s">
        <v>616</v>
      </c>
      <c r="M6" s="8" t="s">
        <v>616</v>
      </c>
      <c r="N6" s="8" t="s">
        <v>616</v>
      </c>
      <c r="O6" s="8" t="s">
        <v>616</v>
      </c>
      <c r="P6" s="8" t="s">
        <v>616</v>
      </c>
      <c r="Q6" s="8" t="s">
        <v>617</v>
      </c>
      <c r="R6" s="8" t="s">
        <v>618</v>
      </c>
    </row>
    <row r="7" customFormat="false" ht="43.25" hidden="false" customHeight="false" outlineLevel="0" collapsed="false">
      <c r="A7" s="7" t="s">
        <v>9</v>
      </c>
      <c r="B7" s="8" t="s">
        <v>21</v>
      </c>
      <c r="C7" s="8" t="s">
        <v>28</v>
      </c>
      <c r="D7" s="8" t="s">
        <v>33</v>
      </c>
      <c r="E7" s="8" t="s">
        <v>38</v>
      </c>
      <c r="F7" s="8" t="s">
        <v>43</v>
      </c>
      <c r="G7" s="8" t="s">
        <v>48</v>
      </c>
      <c r="H7" s="8" t="s">
        <v>53</v>
      </c>
      <c r="I7" s="8" t="s">
        <v>59</v>
      </c>
      <c r="J7" s="8" t="s">
        <v>65</v>
      </c>
      <c r="K7" s="8" t="s">
        <v>70</v>
      </c>
      <c r="L7" s="8" t="s">
        <v>75</v>
      </c>
      <c r="M7" s="8" t="s">
        <v>80</v>
      </c>
      <c r="N7" s="8" t="s">
        <v>85</v>
      </c>
      <c r="O7" s="8" t="s">
        <v>90</v>
      </c>
      <c r="P7" s="8" t="s">
        <v>96</v>
      </c>
      <c r="Q7" s="8" t="s">
        <v>619</v>
      </c>
      <c r="R7" s="8"/>
    </row>
    <row r="8" customFormat="false" ht="32.8" hidden="false" customHeight="false" outlineLevel="0" collapsed="false">
      <c r="A8" s="7" t="s">
        <v>10</v>
      </c>
      <c r="B8" s="8" t="s">
        <v>620</v>
      </c>
      <c r="C8" s="8" t="s">
        <v>620</v>
      </c>
      <c r="D8" s="8" t="s">
        <v>620</v>
      </c>
      <c r="E8" s="8" t="s">
        <v>620</v>
      </c>
      <c r="F8" s="8" t="s">
        <v>620</v>
      </c>
      <c r="G8" s="8" t="s">
        <v>620</v>
      </c>
      <c r="H8" s="8" t="s">
        <v>620</v>
      </c>
      <c r="I8" s="8" t="s">
        <v>620</v>
      </c>
      <c r="J8" s="8" t="s">
        <v>620</v>
      </c>
      <c r="K8" s="8" t="s">
        <v>620</v>
      </c>
      <c r="L8" s="8" t="s">
        <v>620</v>
      </c>
      <c r="M8" s="8" t="s">
        <v>620</v>
      </c>
      <c r="N8" s="8" t="s">
        <v>620</v>
      </c>
      <c r="O8" s="8" t="s">
        <v>620</v>
      </c>
      <c r="P8" s="8" t="s">
        <v>620</v>
      </c>
      <c r="Q8" s="8" t="s">
        <v>104</v>
      </c>
      <c r="R8" s="8" t="s">
        <v>104</v>
      </c>
    </row>
    <row r="9" customFormat="false" ht="45" hidden="false" customHeight="true" outlineLevel="0" collapsed="false">
      <c r="A9" s="7" t="s">
        <v>8</v>
      </c>
      <c r="B9" s="8" t="s">
        <v>20</v>
      </c>
      <c r="C9" s="8" t="s">
        <v>27</v>
      </c>
      <c r="D9" s="8" t="s">
        <v>32</v>
      </c>
      <c r="E9" s="8" t="s">
        <v>37</v>
      </c>
      <c r="F9" s="8" t="s">
        <v>42</v>
      </c>
      <c r="G9" s="8" t="s">
        <v>47</v>
      </c>
      <c r="H9" s="8" t="s">
        <v>52</v>
      </c>
      <c r="I9" s="8" t="s">
        <v>58</v>
      </c>
      <c r="J9" s="8" t="s">
        <v>64</v>
      </c>
      <c r="K9" s="8" t="s">
        <v>69</v>
      </c>
      <c r="L9" s="8" t="s">
        <v>74</v>
      </c>
      <c r="M9" s="8" t="s">
        <v>79</v>
      </c>
      <c r="N9" s="8" t="s">
        <v>84</v>
      </c>
      <c r="O9" s="8" t="s">
        <v>89</v>
      </c>
      <c r="P9" s="8" t="s">
        <v>95</v>
      </c>
      <c r="Q9" s="8"/>
      <c r="R9" s="8"/>
    </row>
    <row r="10" customFormat="false" ht="15" hidden="false" customHeight="false" outlineLevel="0" collapsed="false">
      <c r="A10" s="7" t="s">
        <v>577</v>
      </c>
      <c r="B10" s="9" t="n">
        <f aca="false">IFERROR(_xlfn.MINIFS($A$15:$A$144,B$15:B$144,"&gt;=-1E+99"),"N/A")</f>
        <v>42370</v>
      </c>
      <c r="C10" s="9" t="n">
        <f aca="false">IFERROR(_xlfn.MINIFS($A$15:$A$144,C$15:C$144,"&gt;=-1E+99"),"N/A")</f>
        <v>42370</v>
      </c>
      <c r="D10" s="9" t="n">
        <f aca="false">IFERROR(_xlfn.MINIFS($A$15:$A$144,D$15:D$144,"&gt;=-1E+99"),"N/A")</f>
        <v>42370</v>
      </c>
      <c r="E10" s="9" t="n">
        <f aca="false">IFERROR(_xlfn.MINIFS($A$15:$A$144,E$15:E$144,"&gt;=-1E+99"),"N/A")</f>
        <v>42370</v>
      </c>
      <c r="F10" s="9" t="n">
        <f aca="false">IFERROR(_xlfn.MINIFS($A$15:$A$144,F$15:F$144,"&gt;=-1E+99"),"N/A")</f>
        <v>42370</v>
      </c>
      <c r="G10" s="9" t="n">
        <f aca="false">IFERROR(_xlfn.MINIFS($A$15:$A$144,G$15:G$144,"&gt;=-1E+99"),"N/A")</f>
        <v>42370</v>
      </c>
      <c r="H10" s="9" t="n">
        <f aca="false">IFERROR(_xlfn.MINIFS($A$15:$A$144,H$15:H$144,"&gt;=-1E+99"),"N/A")</f>
        <v>42370</v>
      </c>
      <c r="I10" s="9" t="n">
        <f aca="false">IFERROR(_xlfn.MINIFS($A$15:$A$144,I$15:I$144,"&gt;=-1E+99"),"N/A")</f>
        <v>42370</v>
      </c>
      <c r="J10" s="9" t="n">
        <f aca="false">IFERROR(_xlfn.MINIFS($A$15:$A$144,J$15:J$144,"&gt;=-1E+99"),"N/A")</f>
        <v>42370</v>
      </c>
      <c r="K10" s="9" t="n">
        <f aca="false">IFERROR(_xlfn.MINIFS($A$15:$A$144,K$15:K$144,"&gt;=-1E+99"),"N/A")</f>
        <v>42370</v>
      </c>
      <c r="L10" s="9" t="n">
        <f aca="false">IFERROR(_xlfn.MINIFS($A$15:$A$144,L$15:L$144,"&gt;=-1E+99"),"N/A")</f>
        <v>42370</v>
      </c>
      <c r="M10" s="9" t="n">
        <f aca="false">IFERROR(_xlfn.MINIFS($A$15:$A$144,M$15:M$144,"&gt;=-1E+99"),"N/A")</f>
        <v>42370</v>
      </c>
      <c r="N10" s="9" t="n">
        <f aca="false">IFERROR(_xlfn.MINIFS($A$15:$A$144,N$15:N$144,"&gt;=-1E+99"),"N/A")</f>
        <v>42370</v>
      </c>
      <c r="O10" s="9" t="n">
        <f aca="false">IFERROR(_xlfn.MINIFS($A$15:$A$144,O$15:O$144,"&gt;=-1E+99"),"N/A")</f>
        <v>42370</v>
      </c>
      <c r="P10" s="9" t="n">
        <f aca="false">IFERROR(_xlfn.MINIFS($A$15:$A$144,P$15:P$144,"&gt;=-1E+99"),"N/A")</f>
        <v>42370</v>
      </c>
      <c r="Q10" s="9" t="n">
        <f aca="false">IFERROR(_xlfn.MINIFS($A$15:$A$144,Q$15:Q$144,"&gt;=-1E+99"),"N/A")</f>
        <v>42370</v>
      </c>
      <c r="R10" s="9" t="n">
        <f aca="false">IFERROR(_xlfn.MINIFS($A$15:$A$144,R$15:R$144,"&gt;=-1E+99"),"N/A")</f>
        <v>0</v>
      </c>
    </row>
    <row r="11" customFormat="false" ht="15" hidden="false" customHeight="false" outlineLevel="0" collapsed="false">
      <c r="A11" s="7" t="s">
        <v>578</v>
      </c>
      <c r="B11" s="9" t="n">
        <f aca="false">IFERROR(_xlfn.MAXIFS($A$15:$A$144,B$15:B$144,"&gt;=-1E+99"),"N/A")</f>
        <v>46296</v>
      </c>
      <c r="C11" s="9" t="n">
        <f aca="false">IFERROR(_xlfn.MAXIFS($A$15:$A$144,C$15:C$144,"&gt;=-1E+99"),"N/A")</f>
        <v>46296</v>
      </c>
      <c r="D11" s="9" t="n">
        <f aca="false">IFERROR(_xlfn.MAXIFS($A$15:$A$144,D$15:D$144,"&gt;=-1E+99"),"N/A")</f>
        <v>46296</v>
      </c>
      <c r="E11" s="9" t="n">
        <f aca="false">IFERROR(_xlfn.MAXIFS($A$15:$A$144,E$15:E$144,"&gt;=-1E+99"),"N/A")</f>
        <v>46296</v>
      </c>
      <c r="F11" s="9" t="n">
        <f aca="false">IFERROR(_xlfn.MAXIFS($A$15:$A$144,F$15:F$144,"&gt;=-1E+99"),"N/A")</f>
        <v>46296</v>
      </c>
      <c r="G11" s="9" t="n">
        <f aca="false">IFERROR(_xlfn.MAXIFS($A$15:$A$144,G$15:G$144,"&gt;=-1E+99"),"N/A")</f>
        <v>46296</v>
      </c>
      <c r="H11" s="9" t="n">
        <f aca="false">IFERROR(_xlfn.MAXIFS($A$15:$A$144,H$15:H$144,"&gt;=-1E+99"),"N/A")</f>
        <v>46296</v>
      </c>
      <c r="I11" s="9" t="n">
        <f aca="false">IFERROR(_xlfn.MAXIFS($A$15:$A$144,I$15:I$144,"&gt;=-1E+99"),"N/A")</f>
        <v>46296</v>
      </c>
      <c r="J11" s="9" t="n">
        <f aca="false">IFERROR(_xlfn.MAXIFS($A$15:$A$144,J$15:J$144,"&gt;=-1E+99"),"N/A")</f>
        <v>46296</v>
      </c>
      <c r="K11" s="9" t="n">
        <f aca="false">IFERROR(_xlfn.MAXIFS($A$15:$A$144,K$15:K$144,"&gt;=-1E+99"),"N/A")</f>
        <v>46296</v>
      </c>
      <c r="L11" s="9" t="n">
        <f aca="false">IFERROR(_xlfn.MAXIFS($A$15:$A$144,L$15:L$144,"&gt;=-1E+99"),"N/A")</f>
        <v>46296</v>
      </c>
      <c r="M11" s="9" t="n">
        <f aca="false">IFERROR(_xlfn.MAXIFS($A$15:$A$144,M$15:M$144,"&gt;=-1E+99"),"N/A")</f>
        <v>46296</v>
      </c>
      <c r="N11" s="9" t="n">
        <f aca="false">IFERROR(_xlfn.MAXIFS($A$15:$A$144,N$15:N$144,"&gt;=-1E+99"),"N/A")</f>
        <v>46296</v>
      </c>
      <c r="O11" s="9" t="n">
        <f aca="false">IFERROR(_xlfn.MAXIFS($A$15:$A$144,O$15:O$144,"&gt;=-1E+99"),"N/A")</f>
        <v>46296</v>
      </c>
      <c r="P11" s="9" t="n">
        <f aca="false">IFERROR(_xlfn.MAXIFS($A$15:$A$144,P$15:P$144,"&gt;=-1E+99"),"N/A")</f>
        <v>46296</v>
      </c>
      <c r="Q11" s="9" t="n">
        <f aca="false">IFERROR(_xlfn.MAXIFS($A$15:$A$144,Q$15:Q$144,"&gt;=-1E+99"),"N/A")</f>
        <v>46296</v>
      </c>
      <c r="R11" s="9" t="n">
        <f aca="false">IFERROR(_xlfn.MAXIFS($A$15:$A$144,R$15:R$144,"&gt;=-1E+99"),"N/A")</f>
        <v>0</v>
      </c>
    </row>
    <row r="12" customFormat="false" ht="15" hidden="false" customHeight="false" outlineLevel="0" collapsed="false">
      <c r="A12" s="7" t="s">
        <v>579</v>
      </c>
      <c r="B12" s="10" t="n">
        <f aca="false">IFERROR(INDEX(B$15:B$144,MATCH(B11,$A$15:$A$144,0)),"N/A")</f>
        <v>1355.29</v>
      </c>
      <c r="C12" s="10" t="n">
        <f aca="false">IFERROR(INDEX(C$15:C$144,MATCH(C11,$A$15:$A$144,0)),"N/A")</f>
        <v>9.6386</v>
      </c>
      <c r="D12" s="10" t="n">
        <f aca="false">IFERROR(INDEX(D$15:D$144,MATCH(D11,$A$15:$A$144,0)),"N/A")</f>
        <v>1.3215</v>
      </c>
      <c r="E12" s="10" t="n">
        <f aca="false">IFERROR(INDEX(E$15:E$144,MATCH(E11,$A$15:$A$144,0)),"N/A")</f>
        <v>1.12455</v>
      </c>
      <c r="F12" s="10" t="n">
        <f aca="false">IFERROR(INDEX(F$15:F$144,MATCH(F11,$A$15:$A$144,0)),"N/A")</f>
        <v>6.7038</v>
      </c>
      <c r="G12" s="10" t="n">
        <f aca="false">IFERROR(INDEX(G$15:G$144,MATCH(G11,$A$15:$A$144,0)),"N/A")</f>
        <v>5.22755</v>
      </c>
      <c r="H12" s="10" t="n">
        <f aca="false">IFERROR(INDEX(H$15:H$144,MATCH(H11,$A$15:$A$144,0)),"N/A")</f>
        <v>157.72</v>
      </c>
      <c r="I12" s="10" t="n">
        <f aca="false">IFERROR(INDEX(I$15:I$144,MATCH(I11,$A$15:$A$144,0)),"N/A")</f>
        <v>1.1249</v>
      </c>
      <c r="J12" s="10" t="n">
        <f aca="false">IFERROR(INDEX(J$15:J$144,MATCH(J11,$A$15:$A$144,0)),"N/A")</f>
        <v>10.8105</v>
      </c>
      <c r="K12" s="10" t="n">
        <f aca="false">IFERROR(INDEX(K$15:K$144,MATCH(K11,$A$15:$A$144,0)),"N/A")</f>
        <v>1516.4675</v>
      </c>
      <c r="L12" s="10" t="n">
        <f aca="false">IFERROR(INDEX(L$15:L$144,MATCH(L11,$A$15:$A$144,0)),"N/A")</f>
        <v>0.850015</v>
      </c>
      <c r="M12" s="10" t="n">
        <f aca="false">IFERROR(INDEX(M$15:M$144,MATCH(M11,$A$15:$A$144,0)),"N/A")</f>
        <v>7.541975</v>
      </c>
      <c r="N12" s="10" t="n">
        <f aca="false">IFERROR(INDEX(N$15:N$144,MATCH(N11,$A$15:$A$144,0)),"N/A")</f>
        <v>5.72675</v>
      </c>
      <c r="O12" s="10" t="n">
        <f aca="false">IFERROR(INDEX(O$15:O$144,MATCH(O11,$A$15:$A$144,0)),"N/A")</f>
        <v>177.7275</v>
      </c>
      <c r="P12" s="10" t="n">
        <f aca="false">IFERROR(INDEX(P$15:P$144,MATCH(P11,$A$15:$A$144,0)),"N/A")</f>
        <v>9.6102</v>
      </c>
      <c r="Q12" s="15" t="n">
        <f aca="false">IFERROR(INDEX(Q$15:Q$144,MATCH(Q11,$A$15:$A$144,0)),"N/A")</f>
        <v>2</v>
      </c>
      <c r="R12" s="16" t="str">
        <f aca="false">IFERROR(INDEX(R$15:R$144,MATCH(R11,$A$15:$A$144,0)),"N/A")</f>
        <v>N/A</v>
      </c>
    </row>
    <row r="13" customFormat="false" ht="15" hidden="false" customHeight="false" outlineLevel="0" collapsed="false">
      <c r="A13" s="7" t="s">
        <v>580</v>
      </c>
      <c r="B13" s="11" t="n">
        <f aca="false">COUNT(B$15:B$144)</f>
        <v>130</v>
      </c>
      <c r="C13" s="11" t="n">
        <f aca="false">COUNT(C$15:C$144)</f>
        <v>130</v>
      </c>
      <c r="D13" s="11" t="n">
        <f aca="false">COUNT(D$15:D$144)</f>
        <v>130</v>
      </c>
      <c r="E13" s="11" t="n">
        <f aca="false">COUNT(E$15:E$144)</f>
        <v>130</v>
      </c>
      <c r="F13" s="11" t="n">
        <f aca="false">COUNT(F$15:F$144)</f>
        <v>130</v>
      </c>
      <c r="G13" s="11" t="n">
        <f aca="false">COUNT(G$15:G$144)</f>
        <v>130</v>
      </c>
      <c r="H13" s="11" t="n">
        <f aca="false">COUNT(H$15:H$144)</f>
        <v>130</v>
      </c>
      <c r="I13" s="11" t="n">
        <f aca="false">COUNT(I$15:I$144)</f>
        <v>130</v>
      </c>
      <c r="J13" s="11" t="n">
        <f aca="false">COUNT(J$15:J$144)</f>
        <v>130</v>
      </c>
      <c r="K13" s="11" t="n">
        <f aca="false">COUNT(K$15:K$144)</f>
        <v>130</v>
      </c>
      <c r="L13" s="11" t="n">
        <f aca="false">COUNT(L$15:L$144)</f>
        <v>130</v>
      </c>
      <c r="M13" s="11" t="n">
        <f aca="false">COUNT(M$15:M$144)</f>
        <v>130</v>
      </c>
      <c r="N13" s="11" t="n">
        <f aca="false">COUNT(N$15:N$144)</f>
        <v>130</v>
      </c>
      <c r="O13" s="11" t="n">
        <f aca="false">COUNT(O$15:O$144)</f>
        <v>130</v>
      </c>
      <c r="P13" s="11" t="n">
        <f aca="false">COUNT(P$15:P$144)</f>
        <v>130</v>
      </c>
      <c r="Q13" s="11" t="n">
        <f aca="false">COUNT(Q$15:Q$144)</f>
        <v>130</v>
      </c>
      <c r="R13" s="11" t="n">
        <f aca="false">COUNT(R$15:R$144)</f>
        <v>0</v>
      </c>
    </row>
    <row r="14" customFormat="false" ht="42" hidden="false" customHeight="true" outlineLevel="0" collapsed="false">
      <c r="A14" s="3" t="s">
        <v>621</v>
      </c>
      <c r="B14" s="12" t="s">
        <v>622</v>
      </c>
      <c r="C14" s="12" t="s">
        <v>623</v>
      </c>
      <c r="D14" s="12" t="s">
        <v>624</v>
      </c>
      <c r="E14" s="12" t="s">
        <v>625</v>
      </c>
      <c r="F14" s="12" t="s">
        <v>626</v>
      </c>
      <c r="G14" s="12" t="s">
        <v>627</v>
      </c>
      <c r="H14" s="12" t="s">
        <v>628</v>
      </c>
      <c r="I14" s="12" t="s">
        <v>629</v>
      </c>
      <c r="J14" s="12" t="s">
        <v>630</v>
      </c>
      <c r="K14" s="12" t="s">
        <v>631</v>
      </c>
      <c r="L14" s="12" t="s">
        <v>632</v>
      </c>
      <c r="M14" s="12" t="s">
        <v>633</v>
      </c>
      <c r="N14" s="12" t="s">
        <v>634</v>
      </c>
      <c r="O14" s="12" t="s">
        <v>635</v>
      </c>
      <c r="P14" s="12" t="s">
        <v>636</v>
      </c>
      <c r="Q14" s="12" t="s">
        <v>637</v>
      </c>
      <c r="R14" s="12" t="s">
        <v>638</v>
      </c>
    </row>
    <row r="15" customFormat="false" ht="15" hidden="false" customHeight="false" outlineLevel="0" collapsed="false">
      <c r="A15" s="17" t="n">
        <v>42370</v>
      </c>
      <c r="B15" s="10" t="n">
        <f aca="false">IFERROR(AVERAGEIFS(FX_Daily!B$15:B$2821,FX_Daily!$A$15:$A$2821,"&gt;="&amp;$A15,FX_Daily!$A$15:$A$2821,"&lt;="&amp;EOMONTH($A15,0)),"")</f>
        <v>1203.31789473684</v>
      </c>
      <c r="C15" s="10" t="n">
        <f aca="false">IFERROR(AVERAGEIFS(FX_Daily!C$15:C$2821,FX_Daily!$A$15:$A$2821,"&gt;="&amp;$A15,FX_Daily!$A$15:$A$2821,"&lt;="&amp;EOMONTH($A15,0)),"")</f>
        <v>8.81937368421053</v>
      </c>
      <c r="D15" s="10" t="n">
        <f aca="false">IFERROR(AVERAGEIFS(FX_Daily!D$15:D$2821,FX_Daily!$A$15:$A$2821,"&gt;="&amp;$A15,FX_Daily!$A$15:$A$2821,"&lt;="&amp;EOMONTH($A15,0)),"")</f>
        <v>1.43915789473684</v>
      </c>
      <c r="E15" s="10" t="n">
        <f aca="false">IFERROR(AVERAGEIFS(FX_Daily!E$15:E$2821,FX_Daily!$A$15:$A$2821,"&gt;="&amp;$A15,FX_Daily!$A$15:$A$2821,"&lt;="&amp;EOMONTH($A15,0)),"")</f>
        <v>1.08550526315789</v>
      </c>
      <c r="F15" s="10" t="n">
        <f aca="false">IFERROR(AVERAGEIFS(FX_Daily!F$15:F$2821,FX_Daily!$A$15:$A$2821,"&gt;="&amp;$A15,FX_Daily!$A$15:$A$2821,"&lt;="&amp;EOMONTH($A15,0)),"")</f>
        <v>6.5726</v>
      </c>
      <c r="G15" s="10" t="n">
        <f aca="false">IFERROR(AVERAGEIFS(FX_Daily!G$15:G$2821,FX_Daily!$A$15:$A$2821,"&gt;="&amp;$A15,FX_Daily!$A$15:$A$2821,"&lt;="&amp;EOMONTH($A15,0)),"")</f>
        <v>4.05558947368421</v>
      </c>
      <c r="H15" s="10" t="n">
        <f aca="false">IFERROR(AVERAGEIFS(FX_Daily!H$15:H$2821,FX_Daily!$A$15:$A$2821,"&gt;="&amp;$A15,FX_Daily!$A$15:$A$2821,"&lt;="&amp;EOMONTH($A15,0)),"")</f>
        <v>118.225789473684</v>
      </c>
      <c r="I15" s="10" t="n">
        <f aca="false">IFERROR(AVERAGEIFS(FX_Daily!I$15:I$2821,FX_Daily!$A$15:$A$2821,"&gt;="&amp;$A15,FX_Daily!$A$15:$A$2821,"&lt;="&amp;EOMONTH($A15,0)),"")</f>
        <v>1.085965</v>
      </c>
      <c r="J15" s="10" t="n">
        <f aca="false">IFERROR(AVERAGEIFS(FX_Daily!J$15:J$2821,FX_Daily!$A$15:$A$2821,"&gt;="&amp;$A15,FX_Daily!$A$15:$A$2821,"&lt;="&amp;EOMONTH($A15,0)),"")</f>
        <v>9.589915</v>
      </c>
      <c r="K15" s="10" t="n">
        <f aca="false">IFERROR(AVERAGEIFS(FX_Daily!K$15:K$2821,FX_Daily!$A$15:$A$2821,"&gt;="&amp;$A15,FX_Daily!$A$15:$A$2821,"&lt;="&amp;EOMONTH($A15,0)),"")</f>
        <v>1307.558</v>
      </c>
      <c r="L15" s="10" t="n">
        <f aca="false">IFERROR(AVERAGEIFS(FX_Daily!L$15:L$2821,FX_Daily!$A$15:$A$2821,"&gt;="&amp;$A15,FX_Daily!$A$15:$A$2821,"&lt;="&amp;EOMONTH($A15,0)),"")</f>
        <v>0.754586</v>
      </c>
      <c r="M15" s="10" t="n">
        <f aca="false">IFERROR(AVERAGEIFS(FX_Daily!M$15:M$2821,FX_Daily!$A$15:$A$2821,"&gt;="&amp;$A15,FX_Daily!$A$15:$A$2821,"&lt;="&amp;EOMONTH($A15,0)),"")</f>
        <v>7.139325</v>
      </c>
      <c r="N15" s="10" t="n">
        <f aca="false">IFERROR(AVERAGEIFS(FX_Daily!N$15:N$2821,FX_Daily!$A$15:$A$2821,"&gt;="&amp;$A15,FX_Daily!$A$15:$A$2821,"&lt;="&amp;EOMONTH($A15,0)),"")</f>
        <v>4.402065</v>
      </c>
      <c r="O15" s="10" t="n">
        <f aca="false">IFERROR(AVERAGEIFS(FX_Daily!O$15:O$2821,FX_Daily!$A$15:$A$2821,"&gt;="&amp;$A15,FX_Daily!$A$15:$A$2821,"&lt;="&amp;EOMONTH($A15,0)),"")</f>
        <v>128.3235</v>
      </c>
      <c r="P15" s="10" t="n">
        <f aca="false">IFERROR(AVERAGEIFS(FX_Daily!P$15:P$2821,FX_Daily!$A$15:$A$2821,"&gt;="&amp;$A15,FX_Daily!$A$15:$A$2821,"&lt;="&amp;EOMONTH($A15,0)),"")</f>
        <v>8.830905</v>
      </c>
      <c r="Q15" s="15" t="n">
        <f aca="false">COUNTIFS(FX_Daily!$A$15:$A$2821,"&gt;="&amp;$A15,FX_Daily!$A$15:$A$2821,"&lt;="&amp;EOMONTH($A15,0),FX_Daily!C$15:C$2821,"&gt;0")</f>
        <v>19</v>
      </c>
      <c r="R15" s="16" t="str">
        <f aca="false">IF(EOMONTH($A15,0)&gt;FX_Daily!$C$11,"partial month","complete")</f>
        <v>complete</v>
      </c>
    </row>
    <row r="16" customFormat="false" ht="15" hidden="false" customHeight="false" outlineLevel="0" collapsed="false">
      <c r="A16" s="17" t="n">
        <v>42401</v>
      </c>
      <c r="B16" s="10" t="n">
        <f aca="false">IFERROR(AVERAGEIFS(FX_Daily!B$15:B$2821,FX_Daily!$A$15:$A$2821,"&gt;="&amp;$A16,FX_Daily!$A$15:$A$2821,"&lt;="&amp;EOMONTH($A16,0)),"")</f>
        <v>1216.2285</v>
      </c>
      <c r="C16" s="10" t="n">
        <f aca="false">IFERROR(AVERAGEIFS(FX_Daily!C$15:C$2821,FX_Daily!$A$15:$A$2821,"&gt;="&amp;$A16,FX_Daily!$A$15:$A$2821,"&lt;="&amp;EOMONTH($A16,0)),"")</f>
        <v>8.612745</v>
      </c>
      <c r="D16" s="10" t="n">
        <f aca="false">IFERROR(AVERAGEIFS(FX_Daily!D$15:D$2821,FX_Daily!$A$15:$A$2821,"&gt;="&amp;$A16,FX_Daily!$A$15:$A$2821,"&lt;="&amp;EOMONTH($A16,0)),"")</f>
        <v>1.429005</v>
      </c>
      <c r="E16" s="10" t="n">
        <f aca="false">IFERROR(AVERAGEIFS(FX_Daily!E$15:E$2821,FX_Daily!$A$15:$A$2821,"&gt;="&amp;$A16,FX_Daily!$A$15:$A$2821,"&lt;="&amp;EOMONTH($A16,0)),"")</f>
        <v>1.10923</v>
      </c>
      <c r="F16" s="10" t="n">
        <f aca="false">IFERROR(AVERAGEIFS(FX_Daily!F$15:F$2821,FX_Daily!$A$15:$A$2821,"&gt;="&amp;$A16,FX_Daily!$A$15:$A$2821,"&lt;="&amp;EOMONTH($A16,0)),"")</f>
        <v>6.55005</v>
      </c>
      <c r="G16" s="10" t="n">
        <f aca="false">IFERROR(AVERAGEIFS(FX_Daily!G$15:G$2821,FX_Daily!$A$15:$A$2821,"&gt;="&amp;$A16,FX_Daily!$A$15:$A$2821,"&lt;="&amp;EOMONTH($A16,0)),"")</f>
        <v>3.964385</v>
      </c>
      <c r="H16" s="10" t="n">
        <f aca="false">IFERROR(AVERAGEIFS(FX_Daily!H$15:H$2821,FX_Daily!$A$15:$A$2821,"&gt;="&amp;$A16,FX_Daily!$A$15:$A$2821,"&lt;="&amp;EOMONTH($A16,0)),"")</f>
        <v>114.6155</v>
      </c>
      <c r="I16" s="10" t="n">
        <f aca="false">IFERROR(AVERAGEIFS(FX_Daily!I$15:I$2821,FX_Daily!$A$15:$A$2821,"&gt;="&amp;$A16,FX_Daily!$A$15:$A$2821,"&lt;="&amp;EOMONTH($A16,0)),"")</f>
        <v>1.10929523809524</v>
      </c>
      <c r="J16" s="10" t="n">
        <f aca="false">IFERROR(AVERAGEIFS(FX_Daily!J$15:J$2821,FX_Daily!$A$15:$A$2821,"&gt;="&amp;$A16,FX_Daily!$A$15:$A$2821,"&lt;="&amp;EOMONTH($A16,0)),"")</f>
        <v>9.56282380952381</v>
      </c>
      <c r="K16" s="10" t="n">
        <f aca="false">IFERROR(AVERAGEIFS(FX_Daily!K$15:K$2821,FX_Daily!$A$15:$A$2821,"&gt;="&amp;$A16,FX_Daily!$A$15:$A$2821,"&lt;="&amp;EOMONTH($A16,0)),"")</f>
        <v>1349.77047619048</v>
      </c>
      <c r="L16" s="10" t="n">
        <f aca="false">IFERROR(AVERAGEIFS(FX_Daily!L$15:L$2821,FX_Daily!$A$15:$A$2821,"&gt;="&amp;$A16,FX_Daily!$A$15:$A$2821,"&lt;="&amp;EOMONTH($A16,0)),"")</f>
        <v>0.775585238095238</v>
      </c>
      <c r="M16" s="10" t="n">
        <f aca="false">IFERROR(AVERAGEIFS(FX_Daily!M$15:M$2821,FX_Daily!$A$15:$A$2821,"&gt;="&amp;$A16,FX_Daily!$A$15:$A$2821,"&lt;="&amp;EOMONTH($A16,0)),"")</f>
        <v>7.26578571428571</v>
      </c>
      <c r="N16" s="10" t="n">
        <f aca="false">IFERROR(AVERAGEIFS(FX_Daily!N$15:N$2821,FX_Daily!$A$15:$A$2821,"&gt;="&amp;$A16,FX_Daily!$A$15:$A$2821,"&lt;="&amp;EOMONTH($A16,0)),"")</f>
        <v>4.39526190476191</v>
      </c>
      <c r="O16" s="10" t="n">
        <f aca="false">IFERROR(AVERAGEIFS(FX_Daily!O$15:O$2821,FX_Daily!$A$15:$A$2821,"&gt;="&amp;$A16,FX_Daily!$A$15:$A$2821,"&lt;="&amp;EOMONTH($A16,0)),"")</f>
        <v>127.34619047619</v>
      </c>
      <c r="P16" s="10" t="n">
        <f aca="false">IFERROR(AVERAGEIFS(FX_Daily!P$15:P$2821,FX_Daily!$A$15:$A$2821,"&gt;="&amp;$A16,FX_Daily!$A$15:$A$2821,"&lt;="&amp;EOMONTH($A16,0)),"")</f>
        <v>8.6212</v>
      </c>
      <c r="Q16" s="15" t="n">
        <f aca="false">COUNTIFS(FX_Daily!$A$15:$A$2821,"&gt;="&amp;$A16,FX_Daily!$A$15:$A$2821,"&lt;="&amp;EOMONTH($A16,0),FX_Daily!C$15:C$2821,"&gt;0")</f>
        <v>20</v>
      </c>
      <c r="R16" s="16" t="str">
        <f aca="false">IF(EOMONTH($A16,0)&gt;FX_Daily!$C$11,"partial month","complete")</f>
        <v>complete</v>
      </c>
    </row>
    <row r="17" customFormat="false" ht="15" hidden="false" customHeight="false" outlineLevel="0" collapsed="false">
      <c r="A17" s="17" t="n">
        <v>42430</v>
      </c>
      <c r="B17" s="10" t="n">
        <f aca="false">IFERROR(AVERAGEIFS(FX_Daily!B$15:B$2821,FX_Daily!$A$15:$A$2821,"&gt;="&amp;$A17,FX_Daily!$A$15:$A$2821,"&lt;="&amp;EOMONTH($A17,0)),"")</f>
        <v>1181.57304347826</v>
      </c>
      <c r="C17" s="10" t="n">
        <f aca="false">IFERROR(AVERAGEIFS(FX_Daily!C$15:C$2821,FX_Daily!$A$15:$A$2821,"&gt;="&amp;$A17,FX_Daily!$A$15:$A$2821,"&lt;="&amp;EOMONTH($A17,0)),"")</f>
        <v>8.47540869565217</v>
      </c>
      <c r="D17" s="10" t="n">
        <f aca="false">IFERROR(AVERAGEIFS(FX_Daily!D$15:D$2821,FX_Daily!$A$15:$A$2821,"&gt;="&amp;$A17,FX_Daily!$A$15:$A$2821,"&lt;="&amp;EOMONTH($A17,0)),"")</f>
        <v>1.42493043478261</v>
      </c>
      <c r="E17" s="10" t="n">
        <f aca="false">IFERROR(AVERAGEIFS(FX_Daily!E$15:E$2821,FX_Daily!$A$15:$A$2821,"&gt;="&amp;$A17,FX_Daily!$A$15:$A$2821,"&lt;="&amp;EOMONTH($A17,0)),"")</f>
        <v>1.11335217391304</v>
      </c>
      <c r="F17" s="10" t="n">
        <f aca="false">IFERROR(AVERAGEIFS(FX_Daily!F$15:F$2821,FX_Daily!$A$15:$A$2821,"&gt;="&amp;$A17,FX_Daily!$A$15:$A$2821,"&lt;="&amp;EOMONTH($A17,0)),"")</f>
        <v>6.50269130434783</v>
      </c>
      <c r="G17" s="10" t="n">
        <f aca="false">IFERROR(AVERAGEIFS(FX_Daily!G$15:G$2821,FX_Daily!$A$15:$A$2821,"&gt;="&amp;$A17,FX_Daily!$A$15:$A$2821,"&lt;="&amp;EOMONTH($A17,0)),"")</f>
        <v>3.69802173913044</v>
      </c>
      <c r="H17" s="10" t="n">
        <f aca="false">IFERROR(AVERAGEIFS(FX_Daily!H$15:H$2821,FX_Daily!$A$15:$A$2821,"&gt;="&amp;$A17,FX_Daily!$A$15:$A$2821,"&lt;="&amp;EOMONTH($A17,0)),"")</f>
        <v>112.931739130435</v>
      </c>
      <c r="I17" s="10" t="n">
        <f aca="false">IFERROR(AVERAGEIFS(FX_Daily!I$15:I$2821,FX_Daily!$A$15:$A$2821,"&gt;="&amp;$A17,FX_Daily!$A$15:$A$2821,"&lt;="&amp;EOMONTH($A17,0)),"")</f>
        <v>1.10996666666667</v>
      </c>
      <c r="J17" s="10" t="n">
        <f aca="false">IFERROR(AVERAGEIFS(FX_Daily!J$15:J$2821,FX_Daily!$A$15:$A$2821,"&gt;="&amp;$A17,FX_Daily!$A$15:$A$2821,"&lt;="&amp;EOMONTH($A17,0)),"")</f>
        <v>9.43003333333333</v>
      </c>
      <c r="K17" s="10" t="n">
        <f aca="false">IFERROR(AVERAGEIFS(FX_Daily!K$15:K$2821,FX_Daily!$A$15:$A$2821,"&gt;="&amp;$A17,FX_Daily!$A$15:$A$2821,"&lt;="&amp;EOMONTH($A17,0)),"")</f>
        <v>1314.88714285714</v>
      </c>
      <c r="L17" s="10" t="n">
        <f aca="false">IFERROR(AVERAGEIFS(FX_Daily!L$15:L$2821,FX_Daily!$A$15:$A$2821,"&gt;="&amp;$A17,FX_Daily!$A$15:$A$2821,"&lt;="&amp;EOMONTH($A17,0)),"")</f>
        <v>0.780200952380952</v>
      </c>
      <c r="M17" s="10" t="n">
        <f aca="false">IFERROR(AVERAGEIFS(FX_Daily!M$15:M$2821,FX_Daily!$A$15:$A$2821,"&gt;="&amp;$A17,FX_Daily!$A$15:$A$2821,"&lt;="&amp;EOMONTH($A17,0)),"")</f>
        <v>7.22196190476191</v>
      </c>
      <c r="N17" s="10" t="n">
        <f aca="false">IFERROR(AVERAGEIFS(FX_Daily!N$15:N$2821,FX_Daily!$A$15:$A$2821,"&gt;="&amp;$A17,FX_Daily!$A$15:$A$2821,"&lt;="&amp;EOMONTH($A17,0)),"")</f>
        <v>4.1195</v>
      </c>
      <c r="O17" s="10" t="n">
        <f aca="false">IFERROR(AVERAGEIFS(FX_Daily!O$15:O$2821,FX_Daily!$A$15:$A$2821,"&gt;="&amp;$A17,FX_Daily!$A$15:$A$2821,"&lt;="&amp;EOMONTH($A17,0)),"")</f>
        <v>125.385238095238</v>
      </c>
      <c r="P17" s="10" t="n">
        <f aca="false">IFERROR(AVERAGEIFS(FX_Daily!P$15:P$2821,FX_Daily!$A$15:$A$2821,"&gt;="&amp;$A17,FX_Daily!$A$15:$A$2821,"&lt;="&amp;EOMONTH($A17,0)),"")</f>
        <v>8.49374</v>
      </c>
      <c r="Q17" s="15" t="n">
        <f aca="false">COUNTIFS(FX_Daily!$A$15:$A$2821,"&gt;="&amp;$A17,FX_Daily!$A$15:$A$2821,"&lt;="&amp;EOMONTH($A17,0),FX_Daily!C$15:C$2821,"&gt;0")</f>
        <v>23</v>
      </c>
      <c r="R17" s="16" t="str">
        <f aca="false">IF(EOMONTH($A17,0)&gt;FX_Daily!$C$11,"partial month","complete")</f>
        <v>complete</v>
      </c>
    </row>
    <row r="18" customFormat="false" ht="15" hidden="false" customHeight="false" outlineLevel="0" collapsed="false">
      <c r="A18" s="17" t="n">
        <v>42461</v>
      </c>
      <c r="B18" s="10" t="n">
        <f aca="false">IFERROR(AVERAGEIFS(FX_Daily!B$15:B$2821,FX_Daily!$A$15:$A$2821,"&gt;="&amp;$A18,FX_Daily!$A$15:$A$2821,"&lt;="&amp;EOMONTH($A18,0)),"")</f>
        <v>1145.79666666667</v>
      </c>
      <c r="C18" s="10" t="n">
        <f aca="false">IFERROR(AVERAGEIFS(FX_Daily!C$15:C$2821,FX_Daily!$A$15:$A$2821,"&gt;="&amp;$A18,FX_Daily!$A$15:$A$2821,"&lt;="&amp;EOMONTH($A18,0)),"")</f>
        <v>8.20817619047619</v>
      </c>
      <c r="D18" s="10" t="n">
        <f aca="false">IFERROR(AVERAGEIFS(FX_Daily!D$15:D$2821,FX_Daily!$A$15:$A$2821,"&gt;="&amp;$A18,FX_Daily!$A$15:$A$2821,"&lt;="&amp;EOMONTH($A18,0)),"")</f>
        <v>1.4318619047619</v>
      </c>
      <c r="E18" s="10" t="n">
        <f aca="false">IFERROR(AVERAGEIFS(FX_Daily!E$15:E$2821,FX_Daily!$A$15:$A$2821,"&gt;="&amp;$A18,FX_Daily!$A$15:$A$2821,"&lt;="&amp;EOMONTH($A18,0)),"")</f>
        <v>1.13456666666667</v>
      </c>
      <c r="F18" s="10" t="n">
        <f aca="false">IFERROR(AVERAGEIFS(FX_Daily!F$15:F$2821,FX_Daily!$A$15:$A$2821,"&gt;="&amp;$A18,FX_Daily!$A$15:$A$2821,"&lt;="&amp;EOMONTH($A18,0)),"")</f>
        <v>6.47543333333333</v>
      </c>
      <c r="G18" s="10" t="n">
        <f aca="false">IFERROR(AVERAGEIFS(FX_Daily!G$15:G$2821,FX_Daily!$A$15:$A$2821,"&gt;="&amp;$A18,FX_Daily!$A$15:$A$2821,"&lt;="&amp;EOMONTH($A18,0)),"")</f>
        <v>3.56344761904762</v>
      </c>
      <c r="H18" s="10" t="n">
        <f aca="false">IFERROR(AVERAGEIFS(FX_Daily!H$15:H$2821,FX_Daily!$A$15:$A$2821,"&gt;="&amp;$A18,FX_Daily!$A$15:$A$2821,"&lt;="&amp;EOMONTH($A18,0)),"")</f>
        <v>109.551904761905</v>
      </c>
      <c r="I18" s="10" t="n">
        <f aca="false">IFERROR(AVERAGEIFS(FX_Daily!I$15:I$2821,FX_Daily!$A$15:$A$2821,"&gt;="&amp;$A18,FX_Daily!$A$15:$A$2821,"&lt;="&amp;EOMONTH($A18,0)),"")</f>
        <v>1.13391904761905</v>
      </c>
      <c r="J18" s="10" t="n">
        <f aca="false">IFERROR(AVERAGEIFS(FX_Daily!J$15:J$2821,FX_Daily!$A$15:$A$2821,"&gt;="&amp;$A18,FX_Daily!$A$15:$A$2821,"&lt;="&amp;EOMONTH($A18,0)),"")</f>
        <v>9.32237142857143</v>
      </c>
      <c r="K18" s="10" t="n">
        <f aca="false">IFERROR(AVERAGEIFS(FX_Daily!K$15:K$2821,FX_Daily!$A$15:$A$2821,"&gt;="&amp;$A18,FX_Daily!$A$15:$A$2821,"&lt;="&amp;EOMONTH($A18,0)),"")</f>
        <v>1300.57857142857</v>
      </c>
      <c r="L18" s="10" t="n">
        <f aca="false">IFERROR(AVERAGEIFS(FX_Daily!L$15:L$2821,FX_Daily!$A$15:$A$2821,"&gt;="&amp;$A18,FX_Daily!$A$15:$A$2821,"&lt;="&amp;EOMONTH($A18,0)),"")</f>
        <v>0.792295714285714</v>
      </c>
      <c r="M18" s="10" t="n">
        <f aca="false">IFERROR(AVERAGEIFS(FX_Daily!M$15:M$2821,FX_Daily!$A$15:$A$2821,"&gt;="&amp;$A18,FX_Daily!$A$15:$A$2821,"&lt;="&amp;EOMONTH($A18,0)),"")</f>
        <v>7.34611904761905</v>
      </c>
      <c r="N18" s="10" t="n">
        <f aca="false">IFERROR(AVERAGEIFS(FX_Daily!N$15:N$2821,FX_Daily!$A$15:$A$2821,"&gt;="&amp;$A18,FX_Daily!$A$15:$A$2821,"&lt;="&amp;EOMONTH($A18,0)),"")</f>
        <v>4.03735714285714</v>
      </c>
      <c r="O18" s="10" t="n">
        <f aca="false">IFERROR(AVERAGEIFS(FX_Daily!O$15:O$2821,FX_Daily!$A$15:$A$2821,"&gt;="&amp;$A18,FX_Daily!$A$15:$A$2821,"&lt;="&amp;EOMONTH($A18,0)),"")</f>
        <v>124.287142857143</v>
      </c>
      <c r="P18" s="10" t="n">
        <f aca="false">IFERROR(AVERAGEIFS(FX_Daily!P$15:P$2821,FX_Daily!$A$15:$A$2821,"&gt;="&amp;$A18,FX_Daily!$A$15:$A$2821,"&lt;="&amp;EOMONTH($A18,0)),"")</f>
        <v>8.22139047619048</v>
      </c>
      <c r="Q18" s="15" t="n">
        <f aca="false">COUNTIFS(FX_Daily!$A$15:$A$2821,"&gt;="&amp;$A18,FX_Daily!$A$15:$A$2821,"&lt;="&amp;EOMONTH($A18,0),FX_Daily!C$15:C$2821,"&gt;0")</f>
        <v>21</v>
      </c>
      <c r="R18" s="16" t="str">
        <f aca="false">IF(EOMONTH($A18,0)&gt;FX_Daily!$C$11,"partial month","complete")</f>
        <v>complete</v>
      </c>
    </row>
    <row r="19" customFormat="false" ht="15" hidden="false" customHeight="false" outlineLevel="0" collapsed="false">
      <c r="A19" s="17" t="n">
        <v>42491</v>
      </c>
      <c r="B19" s="10" t="n">
        <f aca="false">IFERROR(AVERAGEIFS(FX_Daily!B$15:B$2821,FX_Daily!$A$15:$A$2821,"&gt;="&amp;$A19,FX_Daily!$A$15:$A$2821,"&lt;="&amp;EOMONTH($A19,0)),"")</f>
        <v>1173.79047619048</v>
      </c>
      <c r="C19" s="10" t="n">
        <f aca="false">IFERROR(AVERAGEIFS(FX_Daily!C$15:C$2821,FX_Daily!$A$15:$A$2821,"&gt;="&amp;$A19,FX_Daily!$A$15:$A$2821,"&lt;="&amp;EOMONTH($A19,0)),"")</f>
        <v>8.22691904761905</v>
      </c>
      <c r="D19" s="10" t="n">
        <f aca="false">IFERROR(AVERAGEIFS(FX_Daily!D$15:D$2821,FX_Daily!$A$15:$A$2821,"&gt;="&amp;$A19,FX_Daily!$A$15:$A$2821,"&lt;="&amp;EOMONTH($A19,0)),"")</f>
        <v>1.45244285714286</v>
      </c>
      <c r="E19" s="10" t="n">
        <f aca="false">IFERROR(AVERAGEIFS(FX_Daily!E$15:E$2821,FX_Daily!$A$15:$A$2821,"&gt;="&amp;$A19,FX_Daily!$A$15:$A$2821,"&lt;="&amp;EOMONTH($A19,0)),"")</f>
        <v>1.13120476190476</v>
      </c>
      <c r="F19" s="10" t="n">
        <f aca="false">IFERROR(AVERAGEIFS(FX_Daily!F$15:F$2821,FX_Daily!$A$15:$A$2821,"&gt;="&amp;$A19,FX_Daily!$A$15:$A$2821,"&lt;="&amp;EOMONTH($A19,0)),"")</f>
        <v>6.52588095238095</v>
      </c>
      <c r="G19" s="10" t="n">
        <f aca="false">IFERROR(AVERAGEIFS(FX_Daily!G$15:G$2821,FX_Daily!$A$15:$A$2821,"&gt;="&amp;$A19,FX_Daily!$A$15:$A$2821,"&lt;="&amp;EOMONTH($A19,0)),"")</f>
        <v>3.54030476190476</v>
      </c>
      <c r="H19" s="10" t="n">
        <f aca="false">IFERROR(AVERAGEIFS(FX_Daily!H$15:H$2821,FX_Daily!$A$15:$A$2821,"&gt;="&amp;$A19,FX_Daily!$A$15:$A$2821,"&lt;="&amp;EOMONTH($A19,0)),"")</f>
        <v>108.848095238095</v>
      </c>
      <c r="I19" s="10" t="n">
        <f aca="false">IFERROR(AVERAGEIFS(FX_Daily!I$15:I$2821,FX_Daily!$A$15:$A$2821,"&gt;="&amp;$A19,FX_Daily!$A$15:$A$2821,"&lt;="&amp;EOMONTH($A19,0)),"")</f>
        <v>1.13110909090909</v>
      </c>
      <c r="J19" s="10" t="n">
        <f aca="false">IFERROR(AVERAGEIFS(FX_Daily!J$15:J$2821,FX_Daily!$A$15:$A$2821,"&gt;="&amp;$A19,FX_Daily!$A$15:$A$2821,"&lt;="&amp;EOMONTH($A19,0)),"")</f>
        <v>9.30356818181818</v>
      </c>
      <c r="K19" s="10" t="n">
        <f aca="false">IFERROR(AVERAGEIFS(FX_Daily!K$15:K$2821,FX_Daily!$A$15:$A$2821,"&gt;="&amp;$A19,FX_Daily!$A$15:$A$2821,"&lt;="&amp;EOMONTH($A19,0)),"")</f>
        <v>1329.46136363636</v>
      </c>
      <c r="L19" s="10" t="n">
        <f aca="false">IFERROR(AVERAGEIFS(FX_Daily!L$15:L$2821,FX_Daily!$A$15:$A$2821,"&gt;="&amp;$A19,FX_Daily!$A$15:$A$2821,"&lt;="&amp;EOMONTH($A19,0)),"")</f>
        <v>0.777791363636364</v>
      </c>
      <c r="M19" s="10" t="n">
        <f aca="false">IFERROR(AVERAGEIFS(FX_Daily!M$15:M$2821,FX_Daily!$A$15:$A$2821,"&gt;="&amp;$A19,FX_Daily!$A$15:$A$2821,"&lt;="&amp;EOMONTH($A19,0)),"")</f>
        <v>7.38639090909091</v>
      </c>
      <c r="N19" s="10" t="n">
        <f aca="false">IFERROR(AVERAGEIFS(FX_Daily!N$15:N$2821,FX_Daily!$A$15:$A$2821,"&gt;="&amp;$A19,FX_Daily!$A$15:$A$2821,"&lt;="&amp;EOMONTH($A19,0)),"")</f>
        <v>3.99834090909091</v>
      </c>
      <c r="O19" s="10" t="n">
        <f aca="false">IFERROR(AVERAGEIFS(FX_Daily!O$15:O$2821,FX_Daily!$A$15:$A$2821,"&gt;="&amp;$A19,FX_Daily!$A$15:$A$2821,"&lt;="&amp;EOMONTH($A19,0)),"")</f>
        <v>123.213636363636</v>
      </c>
      <c r="P19" s="10" t="n">
        <f aca="false">IFERROR(AVERAGEIFS(FX_Daily!P$15:P$2821,FX_Daily!$A$15:$A$2821,"&gt;="&amp;$A19,FX_Daily!$A$15:$A$2821,"&lt;="&amp;EOMONTH($A19,0)),"")</f>
        <v>8.23759473684211</v>
      </c>
      <c r="Q19" s="15" t="n">
        <f aca="false">COUNTIFS(FX_Daily!$A$15:$A$2821,"&gt;="&amp;$A19,FX_Daily!$A$15:$A$2821,"&lt;="&amp;EOMONTH($A19,0),FX_Daily!C$15:C$2821,"&gt;0")</f>
        <v>21</v>
      </c>
      <c r="R19" s="16" t="str">
        <f aca="false">IF(EOMONTH($A19,0)&gt;FX_Daily!$C$11,"partial month","complete")</f>
        <v>complete</v>
      </c>
    </row>
    <row r="20" customFormat="false" ht="15" hidden="false" customHeight="false" outlineLevel="0" collapsed="false">
      <c r="A20" s="17" t="n">
        <v>42522</v>
      </c>
      <c r="B20" s="10" t="n">
        <f aca="false">IFERROR(AVERAGEIFS(FX_Daily!B$15:B$2821,FX_Daily!$A$15:$A$2821,"&gt;="&amp;$A20,FX_Daily!$A$15:$A$2821,"&lt;="&amp;EOMONTH($A20,0)),"")</f>
        <v>1165.20227272727</v>
      </c>
      <c r="C20" s="10" t="n">
        <f aca="false">IFERROR(AVERAGEIFS(FX_Daily!C$15:C$2821,FX_Daily!$A$15:$A$2821,"&gt;="&amp;$A20,FX_Daily!$A$15:$A$2821,"&lt;="&amp;EOMONTH($A20,0)),"")</f>
        <v>8.3064</v>
      </c>
      <c r="D20" s="10" t="n">
        <f aca="false">IFERROR(AVERAGEIFS(FX_Daily!D$15:D$2821,FX_Daily!$A$15:$A$2821,"&gt;="&amp;$A20,FX_Daily!$A$15:$A$2821,"&lt;="&amp;EOMONTH($A20,0)),"")</f>
        <v>1.41973636363636</v>
      </c>
      <c r="E20" s="10" t="n">
        <f aca="false">IFERROR(AVERAGEIFS(FX_Daily!E$15:E$2821,FX_Daily!$A$15:$A$2821,"&gt;="&amp;$A20,FX_Daily!$A$15:$A$2821,"&lt;="&amp;EOMONTH($A20,0)),"")</f>
        <v>1.12317727272727</v>
      </c>
      <c r="F20" s="10" t="n">
        <f aca="false">IFERROR(AVERAGEIFS(FX_Daily!F$15:F$2821,FX_Daily!$A$15:$A$2821,"&gt;="&amp;$A20,FX_Daily!$A$15:$A$2821,"&lt;="&amp;EOMONTH($A20,0)),"")</f>
        <v>6.58922272727273</v>
      </c>
      <c r="G20" s="10" t="n">
        <f aca="false">IFERROR(AVERAGEIFS(FX_Daily!G$15:G$2821,FX_Daily!$A$15:$A$2821,"&gt;="&amp;$A20,FX_Daily!$A$15:$A$2821,"&lt;="&amp;EOMONTH($A20,0)),"")</f>
        <v>3.42344545454545</v>
      </c>
      <c r="H20" s="10" t="n">
        <f aca="false">IFERROR(AVERAGEIFS(FX_Daily!H$15:H$2821,FX_Daily!$A$15:$A$2821,"&gt;="&amp;$A20,FX_Daily!$A$15:$A$2821,"&lt;="&amp;EOMONTH($A20,0)),"")</f>
        <v>105.350909090909</v>
      </c>
      <c r="I20" s="10" t="n">
        <f aca="false">IFERROR(AVERAGEIFS(FX_Daily!I$15:I$2821,FX_Daily!$A$15:$A$2821,"&gt;="&amp;$A20,FX_Daily!$A$15:$A$2821,"&lt;="&amp;EOMONTH($A20,0)),"")</f>
        <v>1.12289090909091</v>
      </c>
      <c r="J20" s="10" t="n">
        <f aca="false">IFERROR(AVERAGEIFS(FX_Daily!J$15:J$2821,FX_Daily!$A$15:$A$2821,"&gt;="&amp;$A20,FX_Daily!$A$15:$A$2821,"&lt;="&amp;EOMONTH($A20,0)),"")</f>
        <v>9.32778181818182</v>
      </c>
      <c r="K20" s="10" t="n">
        <f aca="false">IFERROR(AVERAGEIFS(FX_Daily!K$15:K$2821,FX_Daily!$A$15:$A$2821,"&gt;="&amp;$A20,FX_Daily!$A$15:$A$2821,"&lt;="&amp;EOMONTH($A20,0)),"")</f>
        <v>1310.59454545455</v>
      </c>
      <c r="L20" s="10" t="n">
        <f aca="false">IFERROR(AVERAGEIFS(FX_Daily!L$15:L$2821,FX_Daily!$A$15:$A$2821,"&gt;="&amp;$A20,FX_Daily!$A$15:$A$2821,"&lt;="&amp;EOMONTH($A20,0)),"")</f>
        <v>0.790493636363636</v>
      </c>
      <c r="M20" s="10" t="n">
        <f aca="false">IFERROR(AVERAGEIFS(FX_Daily!M$15:M$2821,FX_Daily!$A$15:$A$2821,"&gt;="&amp;$A20,FX_Daily!$A$15:$A$2821,"&lt;="&amp;EOMONTH($A20,0)),"")</f>
        <v>7.40234090909091</v>
      </c>
      <c r="N20" s="10" t="n">
        <f aca="false">IFERROR(AVERAGEIFS(FX_Daily!N$15:N$2821,FX_Daily!$A$15:$A$2821,"&gt;="&amp;$A20,FX_Daily!$A$15:$A$2821,"&lt;="&amp;EOMONTH($A20,0)),"")</f>
        <v>3.85697727272727</v>
      </c>
      <c r="O20" s="10" t="n">
        <f aca="false">IFERROR(AVERAGEIFS(FX_Daily!O$15:O$2821,FX_Daily!$A$15:$A$2821,"&gt;="&amp;$A20,FX_Daily!$A$15:$A$2821,"&lt;="&amp;EOMONTH($A20,0)),"")</f>
        <v>118.453181818182</v>
      </c>
      <c r="P20" s="10" t="n">
        <f aca="false">IFERROR(AVERAGEIFS(FX_Daily!P$15:P$2821,FX_Daily!$A$15:$A$2821,"&gt;="&amp;$A20,FX_Daily!$A$15:$A$2821,"&lt;="&amp;EOMONTH($A20,0)),"")</f>
        <v>8.30801818181818</v>
      </c>
      <c r="Q20" s="15" t="n">
        <f aca="false">COUNTIFS(FX_Daily!$A$15:$A$2821,"&gt;="&amp;$A20,FX_Daily!$A$15:$A$2821,"&lt;="&amp;EOMONTH($A20,0),FX_Daily!C$15:C$2821,"&gt;0")</f>
        <v>22</v>
      </c>
      <c r="R20" s="16" t="str">
        <f aca="false">IF(EOMONTH($A20,0)&gt;FX_Daily!$C$11,"partial month","complete")</f>
        <v>complete</v>
      </c>
    </row>
    <row r="21" customFormat="false" ht="15" hidden="false" customHeight="false" outlineLevel="0" collapsed="false">
      <c r="A21" s="17" t="n">
        <v>42552</v>
      </c>
      <c r="B21" s="10" t="n">
        <f aca="false">IFERROR(AVERAGEIFS(FX_Daily!B$15:B$2821,FX_Daily!$A$15:$A$2821,"&gt;="&amp;$A21,FX_Daily!$A$15:$A$2821,"&lt;="&amp;EOMONTH($A21,0)),"")</f>
        <v>1140.865</v>
      </c>
      <c r="C21" s="10" t="n">
        <f aca="false">IFERROR(AVERAGEIFS(FX_Daily!C$15:C$2821,FX_Daily!$A$15:$A$2821,"&gt;="&amp;$A21,FX_Daily!$A$15:$A$2821,"&lt;="&amp;EOMONTH($A21,0)),"")</f>
        <v>8.479475</v>
      </c>
      <c r="D21" s="10" t="n">
        <f aca="false">IFERROR(AVERAGEIFS(FX_Daily!D$15:D$2821,FX_Daily!$A$15:$A$2821,"&gt;="&amp;$A21,FX_Daily!$A$15:$A$2821,"&lt;="&amp;EOMONTH($A21,0)),"")</f>
        <v>1.31341</v>
      </c>
      <c r="E21" s="10" t="n">
        <f aca="false">IFERROR(AVERAGEIFS(FX_Daily!E$15:E$2821,FX_Daily!$A$15:$A$2821,"&gt;="&amp;$A21,FX_Daily!$A$15:$A$2821,"&lt;="&amp;EOMONTH($A21,0)),"")</f>
        <v>1.105495</v>
      </c>
      <c r="F21" s="10" t="n">
        <f aca="false">IFERROR(AVERAGEIFS(FX_Daily!F$15:F$2821,FX_Daily!$A$15:$A$2821,"&gt;="&amp;$A21,FX_Daily!$A$15:$A$2821,"&lt;="&amp;EOMONTH($A21,0)),"")</f>
        <v>6.677105</v>
      </c>
      <c r="G21" s="10" t="n">
        <f aca="false">IFERROR(AVERAGEIFS(FX_Daily!G$15:G$2821,FX_Daily!$A$15:$A$2821,"&gt;="&amp;$A21,FX_Daily!$A$15:$A$2821,"&lt;="&amp;EOMONTH($A21,0)),"")</f>
        <v>3.27814</v>
      </c>
      <c r="H21" s="10" t="n">
        <f aca="false">IFERROR(AVERAGEIFS(FX_Daily!H$15:H$2821,FX_Daily!$A$15:$A$2821,"&gt;="&amp;$A21,FX_Daily!$A$15:$A$2821,"&lt;="&amp;EOMONTH($A21,0)),"")</f>
        <v>104.191</v>
      </c>
      <c r="I21" s="10" t="n">
        <f aca="false">IFERROR(AVERAGEIFS(FX_Daily!I$15:I$2821,FX_Daily!$A$15:$A$2821,"&gt;="&amp;$A21,FX_Daily!$A$15:$A$2821,"&lt;="&amp;EOMONTH($A21,0)),"")</f>
        <v>1.10685238095238</v>
      </c>
      <c r="J21" s="10" t="n">
        <f aca="false">IFERROR(AVERAGEIFS(FX_Daily!J$15:J$2821,FX_Daily!$A$15:$A$2821,"&gt;="&amp;$A21,FX_Daily!$A$15:$A$2821,"&lt;="&amp;EOMONTH($A21,0)),"")</f>
        <v>9.36898095238095</v>
      </c>
      <c r="K21" s="10" t="n">
        <f aca="false">IFERROR(AVERAGEIFS(FX_Daily!K$15:K$2821,FX_Daily!$A$15:$A$2821,"&gt;="&amp;$A21,FX_Daily!$A$15:$A$2821,"&lt;="&amp;EOMONTH($A21,0)),"")</f>
        <v>1264.04571428571</v>
      </c>
      <c r="L21" s="10" t="n">
        <f aca="false">IFERROR(AVERAGEIFS(FX_Daily!L$15:L$2821,FX_Daily!$A$15:$A$2821,"&gt;="&amp;$A21,FX_Daily!$A$15:$A$2821,"&lt;="&amp;EOMONTH($A21,0)),"")</f>
        <v>0.841057619047619</v>
      </c>
      <c r="M21" s="10" t="n">
        <f aca="false">IFERROR(AVERAGEIFS(FX_Daily!M$15:M$2821,FX_Daily!$A$15:$A$2821,"&gt;="&amp;$A21,FX_Daily!$A$15:$A$2821,"&lt;="&amp;EOMONTH($A21,0)),"")</f>
        <v>7.39102380952381</v>
      </c>
      <c r="N21" s="10" t="n">
        <f aca="false">IFERROR(AVERAGEIFS(FX_Daily!N$15:N$2821,FX_Daily!$A$15:$A$2821,"&gt;="&amp;$A21,FX_Daily!$A$15:$A$2821,"&lt;="&amp;EOMONTH($A21,0)),"")</f>
        <v>3.6263</v>
      </c>
      <c r="O21" s="10" t="n">
        <f aca="false">IFERROR(AVERAGEIFS(FX_Daily!O$15:O$2821,FX_Daily!$A$15:$A$2821,"&gt;="&amp;$A21,FX_Daily!$A$15:$A$2821,"&lt;="&amp;EOMONTH($A21,0)),"")</f>
        <v>115.25</v>
      </c>
      <c r="P21" s="10" t="n">
        <f aca="false">IFERROR(AVERAGEIFS(FX_Daily!P$15:P$2821,FX_Daily!$A$15:$A$2821,"&gt;="&amp;$A21,FX_Daily!$A$15:$A$2821,"&lt;="&amp;EOMONTH($A21,0)),"")</f>
        <v>8.46482857142857</v>
      </c>
      <c r="Q21" s="15" t="n">
        <f aca="false">COUNTIFS(FX_Daily!$A$15:$A$2821,"&gt;="&amp;$A21,FX_Daily!$A$15:$A$2821,"&lt;="&amp;EOMONTH($A21,0),FX_Daily!C$15:C$2821,"&gt;0")</f>
        <v>20</v>
      </c>
      <c r="R21" s="16" t="str">
        <f aca="false">IF(EOMONTH($A21,0)&gt;FX_Daily!$C$11,"partial month","complete")</f>
        <v>complete</v>
      </c>
    </row>
    <row r="22" customFormat="false" ht="15" hidden="false" customHeight="false" outlineLevel="0" collapsed="false">
      <c r="A22" s="17" t="n">
        <v>42583</v>
      </c>
      <c r="B22" s="10" t="n">
        <f aca="false">IFERROR(AVERAGEIFS(FX_Daily!B$15:B$2821,FX_Daily!$A$15:$A$2821,"&gt;="&amp;$A22,FX_Daily!$A$15:$A$2821,"&lt;="&amp;EOMONTH($A22,0)),"")</f>
        <v>1110.01826086957</v>
      </c>
      <c r="C22" s="10" t="n">
        <f aca="false">IFERROR(AVERAGEIFS(FX_Daily!C$15:C$2821,FX_Daily!$A$15:$A$2821,"&gt;="&amp;$A22,FX_Daily!$A$15:$A$2821,"&lt;="&amp;EOMONTH($A22,0)),"")</f>
        <v>8.30092608695652</v>
      </c>
      <c r="D22" s="10" t="n">
        <f aca="false">IFERROR(AVERAGEIFS(FX_Daily!D$15:D$2821,FX_Daily!$A$15:$A$2821,"&gt;="&amp;$A22,FX_Daily!$A$15:$A$2821,"&lt;="&amp;EOMONTH($A22,0)),"")</f>
        <v>1.31014782608696</v>
      </c>
      <c r="E22" s="10" t="n">
        <f aca="false">IFERROR(AVERAGEIFS(FX_Daily!E$15:E$2821,FX_Daily!$A$15:$A$2821,"&gt;="&amp;$A22,FX_Daily!$A$15:$A$2821,"&lt;="&amp;EOMONTH($A22,0)),"")</f>
        <v>1.12065217391304</v>
      </c>
      <c r="F22" s="10" t="n">
        <f aca="false">IFERROR(AVERAGEIFS(FX_Daily!F$15:F$2821,FX_Daily!$A$15:$A$2821,"&gt;="&amp;$A22,FX_Daily!$A$15:$A$2821,"&lt;="&amp;EOMONTH($A22,0)),"")</f>
        <v>6.64657391304348</v>
      </c>
      <c r="G22" s="10" t="n">
        <f aca="false">IFERROR(AVERAGEIFS(FX_Daily!G$15:G$2821,FX_Daily!$A$15:$A$2821,"&gt;="&amp;$A22,FX_Daily!$A$15:$A$2821,"&lt;="&amp;EOMONTH($A22,0)),"")</f>
        <v>3.20855217391304</v>
      </c>
      <c r="H22" s="10" t="n">
        <f aca="false">IFERROR(AVERAGEIFS(FX_Daily!H$15:H$2821,FX_Daily!$A$15:$A$2821,"&gt;="&amp;$A22,FX_Daily!$A$15:$A$2821,"&lt;="&amp;EOMONTH($A22,0)),"")</f>
        <v>101.238260869565</v>
      </c>
      <c r="I22" s="10" t="n">
        <f aca="false">IFERROR(AVERAGEIFS(FX_Daily!I$15:I$2821,FX_Daily!$A$15:$A$2821,"&gt;="&amp;$A22,FX_Daily!$A$15:$A$2821,"&lt;="&amp;EOMONTH($A22,0)),"")</f>
        <v>1.12117391304348</v>
      </c>
      <c r="J22" s="10" t="n">
        <f aca="false">IFERROR(AVERAGEIFS(FX_Daily!J$15:J$2821,FX_Daily!$A$15:$A$2821,"&gt;="&amp;$A22,FX_Daily!$A$15:$A$2821,"&lt;="&amp;EOMONTH($A22,0)),"")</f>
        <v>9.30298695652174</v>
      </c>
      <c r="K22" s="10" t="n">
        <f aca="false">IFERROR(AVERAGEIFS(FX_Daily!K$15:K$2821,FX_Daily!$A$15:$A$2821,"&gt;="&amp;$A22,FX_Daily!$A$15:$A$2821,"&lt;="&amp;EOMONTH($A22,0)),"")</f>
        <v>1245.54826086957</v>
      </c>
      <c r="L22" s="10" t="n">
        <f aca="false">IFERROR(AVERAGEIFS(FX_Daily!L$15:L$2821,FX_Daily!$A$15:$A$2821,"&gt;="&amp;$A22,FX_Daily!$A$15:$A$2821,"&lt;="&amp;EOMONTH($A22,0)),"")</f>
        <v>0.855208695652174</v>
      </c>
      <c r="M22" s="10" t="n">
        <f aca="false">IFERROR(AVERAGEIFS(FX_Daily!M$15:M$2821,FX_Daily!$A$15:$A$2821,"&gt;="&amp;$A22,FX_Daily!$A$15:$A$2821,"&lt;="&amp;EOMONTH($A22,0)),"")</f>
        <v>7.45372608695652</v>
      </c>
      <c r="N22" s="10" t="n">
        <f aca="false">IFERROR(AVERAGEIFS(FX_Daily!N$15:N$2821,FX_Daily!$A$15:$A$2821,"&gt;="&amp;$A22,FX_Daily!$A$15:$A$2821,"&lt;="&amp;EOMONTH($A22,0)),"")</f>
        <v>3.59828260869565</v>
      </c>
      <c r="O22" s="10" t="n">
        <f aca="false">IFERROR(AVERAGEIFS(FX_Daily!O$15:O$2821,FX_Daily!$A$15:$A$2821,"&gt;="&amp;$A22,FX_Daily!$A$15:$A$2821,"&lt;="&amp;EOMONTH($A22,0)),"")</f>
        <v>113.487391304348</v>
      </c>
      <c r="P22" s="10" t="n">
        <f aca="false">IFERROR(AVERAGEIFS(FX_Daily!P$15:P$2821,FX_Daily!$A$15:$A$2821,"&gt;="&amp;$A22,FX_Daily!$A$15:$A$2821,"&lt;="&amp;EOMONTH($A22,0)),"")</f>
        <v>8.29811304347826</v>
      </c>
      <c r="Q22" s="15" t="n">
        <f aca="false">COUNTIFS(FX_Daily!$A$15:$A$2821,"&gt;="&amp;$A22,FX_Daily!$A$15:$A$2821,"&lt;="&amp;EOMONTH($A22,0),FX_Daily!C$15:C$2821,"&gt;0")</f>
        <v>23</v>
      </c>
      <c r="R22" s="16" t="str">
        <f aca="false">IF(EOMONTH($A22,0)&gt;FX_Daily!$C$11,"partial month","complete")</f>
        <v>complete</v>
      </c>
    </row>
    <row r="23" customFormat="false" ht="15" hidden="false" customHeight="false" outlineLevel="0" collapsed="false">
      <c r="A23" s="17" t="n">
        <v>42614</v>
      </c>
      <c r="B23" s="10" t="n">
        <f aca="false">IFERROR(AVERAGEIFS(FX_Daily!B$15:B$2821,FX_Daily!$A$15:$A$2821,"&gt;="&amp;$A23,FX_Daily!$A$15:$A$2821,"&lt;="&amp;EOMONTH($A23,0)),"")</f>
        <v>1108.36380952381</v>
      </c>
      <c r="C23" s="10" t="n">
        <f aca="false">IFERROR(AVERAGEIFS(FX_Daily!C$15:C$2821,FX_Daily!$A$15:$A$2821,"&gt;="&amp;$A23,FX_Daily!$A$15:$A$2821,"&lt;="&amp;EOMONTH($A23,0)),"")</f>
        <v>8.19572380952381</v>
      </c>
      <c r="D23" s="10" t="n">
        <f aca="false">IFERROR(AVERAGEIFS(FX_Daily!D$15:D$2821,FX_Daily!$A$15:$A$2821,"&gt;="&amp;$A23,FX_Daily!$A$15:$A$2821,"&lt;="&amp;EOMONTH($A23,0)),"")</f>
        <v>1.31401428571429</v>
      </c>
      <c r="E23" s="10" t="n">
        <f aca="false">IFERROR(AVERAGEIFS(FX_Daily!E$15:E$2821,FX_Daily!$A$15:$A$2821,"&gt;="&amp;$A23,FX_Daily!$A$15:$A$2821,"&lt;="&amp;EOMONTH($A23,0)),"")</f>
        <v>1.12178095238095</v>
      </c>
      <c r="F23" s="10" t="n">
        <f aca="false">IFERROR(AVERAGEIFS(FX_Daily!F$15:F$2821,FX_Daily!$A$15:$A$2821,"&gt;="&amp;$A23,FX_Daily!$A$15:$A$2821,"&lt;="&amp;EOMONTH($A23,0)),"")</f>
        <v>6.67018095238095</v>
      </c>
      <c r="G23" s="10" t="n">
        <f aca="false">IFERROR(AVERAGEIFS(FX_Daily!G$15:G$2821,FX_Daily!$A$15:$A$2821,"&gt;="&amp;$A23,FX_Daily!$A$15:$A$2821,"&lt;="&amp;EOMONTH($A23,0)),"")</f>
        <v>3.25318095238095</v>
      </c>
      <c r="H23" s="10" t="n">
        <f aca="false">IFERROR(AVERAGEIFS(FX_Daily!H$15:H$2821,FX_Daily!$A$15:$A$2821,"&gt;="&amp;$A23,FX_Daily!$A$15:$A$2821,"&lt;="&amp;EOMONTH($A23,0)),"")</f>
        <v>101.784285714286</v>
      </c>
      <c r="I23" s="10" t="n">
        <f aca="false">IFERROR(AVERAGEIFS(FX_Daily!I$15:I$2821,FX_Daily!$A$15:$A$2821,"&gt;="&amp;$A23,FX_Daily!$A$15:$A$2821,"&lt;="&amp;EOMONTH($A23,0)),"")</f>
        <v>1.12120909090909</v>
      </c>
      <c r="J23" s="10" t="n">
        <f aca="false">IFERROR(AVERAGEIFS(FX_Daily!J$15:J$2821,FX_Daily!$A$15:$A$2821,"&gt;="&amp;$A23,FX_Daily!$A$15:$A$2821,"&lt;="&amp;EOMONTH($A23,0)),"")</f>
        <v>9.19707727272727</v>
      </c>
      <c r="K23" s="10" t="n">
        <f aca="false">IFERROR(AVERAGEIFS(FX_Daily!K$15:K$2821,FX_Daily!$A$15:$A$2821,"&gt;="&amp;$A23,FX_Daily!$A$15:$A$2821,"&lt;="&amp;EOMONTH($A23,0)),"")</f>
        <v>1244.11636363636</v>
      </c>
      <c r="L23" s="10" t="n">
        <f aca="false">IFERROR(AVERAGEIFS(FX_Daily!L$15:L$2821,FX_Daily!$A$15:$A$2821,"&gt;="&amp;$A23,FX_Daily!$A$15:$A$2821,"&lt;="&amp;EOMONTH($A23,0)),"")</f>
        <v>0.852276818181818</v>
      </c>
      <c r="M23" s="10" t="n">
        <f aca="false">IFERROR(AVERAGEIFS(FX_Daily!M$15:M$2821,FX_Daily!$A$15:$A$2821,"&gt;="&amp;$A23,FX_Daily!$A$15:$A$2821,"&lt;="&amp;EOMONTH($A23,0)),"")</f>
        <v>7.48185</v>
      </c>
      <c r="N23" s="10" t="n">
        <f aca="false">IFERROR(AVERAGEIFS(FX_Daily!N$15:N$2821,FX_Daily!$A$15:$A$2821,"&gt;="&amp;$A23,FX_Daily!$A$15:$A$2821,"&lt;="&amp;EOMONTH($A23,0)),"")</f>
        <v>3.64355454545455</v>
      </c>
      <c r="O23" s="10" t="n">
        <f aca="false">IFERROR(AVERAGEIFS(FX_Daily!O$15:O$2821,FX_Daily!$A$15:$A$2821,"&gt;="&amp;$A23,FX_Daily!$A$15:$A$2821,"&lt;="&amp;EOMONTH($A23,0)),"")</f>
        <v>114.218181818182</v>
      </c>
      <c r="P23" s="10" t="n">
        <f aca="false">IFERROR(AVERAGEIFS(FX_Daily!P$15:P$2821,FX_Daily!$A$15:$A$2821,"&gt;="&amp;$A23,FX_Daily!$A$15:$A$2821,"&lt;="&amp;EOMONTH($A23,0)),"")</f>
        <v>8.20296818181818</v>
      </c>
      <c r="Q23" s="15" t="n">
        <f aca="false">COUNTIFS(FX_Daily!$A$15:$A$2821,"&gt;="&amp;$A23,FX_Daily!$A$15:$A$2821,"&lt;="&amp;EOMONTH($A23,0),FX_Daily!C$15:C$2821,"&gt;0")</f>
        <v>21</v>
      </c>
      <c r="R23" s="16" t="str">
        <f aca="false">IF(EOMONTH($A23,0)&gt;FX_Daily!$C$11,"partial month","complete")</f>
        <v>complete</v>
      </c>
    </row>
    <row r="24" customFormat="false" ht="15" hidden="false" customHeight="false" outlineLevel="0" collapsed="false">
      <c r="A24" s="17" t="n">
        <v>42644</v>
      </c>
      <c r="B24" s="10" t="n">
        <f aca="false">IFERROR(AVERAGEIFS(FX_Daily!B$15:B$2821,FX_Daily!$A$15:$A$2821,"&gt;="&amp;$A24,FX_Daily!$A$15:$A$2821,"&lt;="&amp;EOMONTH($A24,0)),"")</f>
        <v>1128.166</v>
      </c>
      <c r="C24" s="10" t="n">
        <f aca="false">IFERROR(AVERAGEIFS(FX_Daily!C$15:C$2821,FX_Daily!$A$15:$A$2821,"&gt;="&amp;$A24,FX_Daily!$A$15:$A$2821,"&lt;="&amp;EOMONTH($A24,0)),"")</f>
        <v>8.17221</v>
      </c>
      <c r="D24" s="10" t="n">
        <f aca="false">IFERROR(AVERAGEIFS(FX_Daily!D$15:D$2821,FX_Daily!$A$15:$A$2821,"&gt;="&amp;$A24,FX_Daily!$A$15:$A$2821,"&lt;="&amp;EOMONTH($A24,0)),"")</f>
        <v>1.23299</v>
      </c>
      <c r="E24" s="10" t="n">
        <f aca="false">IFERROR(AVERAGEIFS(FX_Daily!E$15:E$2821,FX_Daily!$A$15:$A$2821,"&gt;="&amp;$A24,FX_Daily!$A$15:$A$2821,"&lt;="&amp;EOMONTH($A24,0)),"")</f>
        <v>1.10144</v>
      </c>
      <c r="F24" s="10" t="n">
        <f aca="false">IFERROR(AVERAGEIFS(FX_Daily!F$15:F$2821,FX_Daily!$A$15:$A$2821,"&gt;="&amp;$A24,FX_Daily!$A$15:$A$2821,"&lt;="&amp;EOMONTH($A24,0)),"")</f>
        <v>6.73031</v>
      </c>
      <c r="G24" s="10" t="n">
        <f aca="false">IFERROR(AVERAGEIFS(FX_Daily!G$15:G$2821,FX_Daily!$A$15:$A$2821,"&gt;="&amp;$A24,FX_Daily!$A$15:$A$2821,"&lt;="&amp;EOMONTH($A24,0)),"")</f>
        <v>3.185395</v>
      </c>
      <c r="H24" s="10" t="n">
        <f aca="false">IFERROR(AVERAGEIFS(FX_Daily!H$15:H$2821,FX_Daily!$A$15:$A$2821,"&gt;="&amp;$A24,FX_Daily!$A$15:$A$2821,"&lt;="&amp;EOMONTH($A24,0)),"")</f>
        <v>103.9075</v>
      </c>
      <c r="I24" s="10" t="n">
        <f aca="false">IFERROR(AVERAGEIFS(FX_Daily!I$15:I$2821,FX_Daily!$A$15:$A$2821,"&gt;="&amp;$A24,FX_Daily!$A$15:$A$2821,"&lt;="&amp;EOMONTH($A24,0)),"")</f>
        <v>1.10260476190476</v>
      </c>
      <c r="J24" s="10" t="n">
        <f aca="false">IFERROR(AVERAGEIFS(FX_Daily!J$15:J$2821,FX_Daily!$A$15:$A$2821,"&gt;="&amp;$A24,FX_Daily!$A$15:$A$2821,"&lt;="&amp;EOMONTH($A24,0)),"")</f>
        <v>9.00091904761905</v>
      </c>
      <c r="K24" s="10" t="n">
        <f aca="false">IFERROR(AVERAGEIFS(FX_Daily!K$15:K$2821,FX_Daily!$A$15:$A$2821,"&gt;="&amp;$A24,FX_Daily!$A$15:$A$2821,"&lt;="&amp;EOMONTH($A24,0)),"")</f>
        <v>1243.0219047619</v>
      </c>
      <c r="L24" s="10" t="n">
        <f aca="false">IFERROR(AVERAGEIFS(FX_Daily!L$15:L$2821,FX_Daily!$A$15:$A$2821,"&gt;="&amp;$A24,FX_Daily!$A$15:$A$2821,"&lt;="&amp;EOMONTH($A24,0)),"")</f>
        <v>0.893899523809524</v>
      </c>
      <c r="M24" s="10" t="n">
        <f aca="false">IFERROR(AVERAGEIFS(FX_Daily!M$15:M$2821,FX_Daily!$A$15:$A$2821,"&gt;="&amp;$A24,FX_Daily!$A$15:$A$2821,"&lt;="&amp;EOMONTH($A24,0)),"")</f>
        <v>7.41984761904762</v>
      </c>
      <c r="N24" s="10" t="n">
        <f aca="false">IFERROR(AVERAGEIFS(FX_Daily!N$15:N$2821,FX_Daily!$A$15:$A$2821,"&gt;="&amp;$A24,FX_Daily!$A$15:$A$2821,"&lt;="&amp;EOMONTH($A24,0)),"")</f>
        <v>3.5158380952381</v>
      </c>
      <c r="O24" s="10" t="n">
        <f aca="false">IFERROR(AVERAGEIFS(FX_Daily!O$15:O$2821,FX_Daily!$A$15:$A$2821,"&gt;="&amp;$A24,FX_Daily!$A$15:$A$2821,"&lt;="&amp;EOMONTH($A24,0)),"")</f>
        <v>114.473333333333</v>
      </c>
      <c r="P24" s="10" t="n">
        <f aca="false">IFERROR(AVERAGEIFS(FX_Daily!P$15:P$2821,FX_Daily!$A$15:$A$2821,"&gt;="&amp;$A24,FX_Daily!$A$15:$A$2821,"&lt;="&amp;EOMONTH($A24,0)),"")</f>
        <v>8.1642</v>
      </c>
      <c r="Q24" s="15" t="n">
        <f aca="false">COUNTIFS(FX_Daily!$A$15:$A$2821,"&gt;="&amp;$A24,FX_Daily!$A$15:$A$2821,"&lt;="&amp;EOMONTH($A24,0),FX_Daily!C$15:C$2821,"&gt;0")</f>
        <v>20</v>
      </c>
      <c r="R24" s="16" t="str">
        <f aca="false">IF(EOMONTH($A24,0)&gt;FX_Daily!$C$11,"partial month","complete")</f>
        <v>complete</v>
      </c>
    </row>
    <row r="25" customFormat="false" ht="15" hidden="false" customHeight="false" outlineLevel="0" collapsed="false">
      <c r="A25" s="17" t="n">
        <v>42675</v>
      </c>
      <c r="B25" s="10" t="n">
        <f aca="false">IFERROR(AVERAGEIFS(FX_Daily!B$15:B$2821,FX_Daily!$A$15:$A$2821,"&gt;="&amp;$A25,FX_Daily!$A$15:$A$2821,"&lt;="&amp;EOMONTH($A25,0)),"")</f>
        <v>1162.708</v>
      </c>
      <c r="C25" s="10" t="n">
        <f aca="false">IFERROR(AVERAGEIFS(FX_Daily!C$15:C$2821,FX_Daily!$A$15:$A$2821,"&gt;="&amp;$A25,FX_Daily!$A$15:$A$2821,"&lt;="&amp;EOMONTH($A25,0)),"")</f>
        <v>8.41466</v>
      </c>
      <c r="D25" s="10" t="n">
        <f aca="false">IFERROR(AVERAGEIFS(FX_Daily!D$15:D$2821,FX_Daily!$A$15:$A$2821,"&gt;="&amp;$A25,FX_Daily!$A$15:$A$2821,"&lt;="&amp;EOMONTH($A25,0)),"")</f>
        <v>1.24319</v>
      </c>
      <c r="E25" s="10" t="n">
        <f aca="false">IFERROR(AVERAGEIFS(FX_Daily!E$15:E$2821,FX_Daily!$A$15:$A$2821,"&gt;="&amp;$A25,FX_Daily!$A$15:$A$2821,"&lt;="&amp;EOMONTH($A25,0)),"")</f>
        <v>1.07918</v>
      </c>
      <c r="F25" s="10" t="n">
        <f aca="false">IFERROR(AVERAGEIFS(FX_Daily!F$15:F$2821,FX_Daily!$A$15:$A$2821,"&gt;="&amp;$A25,FX_Daily!$A$15:$A$2821,"&lt;="&amp;EOMONTH($A25,0)),"")</f>
        <v>6.84016</v>
      </c>
      <c r="G25" s="10" t="n">
        <f aca="false">IFERROR(AVERAGEIFS(FX_Daily!G$15:G$2821,FX_Daily!$A$15:$A$2821,"&gt;="&amp;$A25,FX_Daily!$A$15:$A$2821,"&lt;="&amp;EOMONTH($A25,0)),"")</f>
        <v>3.33689</v>
      </c>
      <c r="H25" s="10" t="n">
        <f aca="false">IFERROR(AVERAGEIFS(FX_Daily!H$15:H$2821,FX_Daily!$A$15:$A$2821,"&gt;="&amp;$A25,FX_Daily!$A$15:$A$2821,"&lt;="&amp;EOMONTH($A25,0)),"")</f>
        <v>108.443</v>
      </c>
      <c r="I25" s="10" t="n">
        <f aca="false">IFERROR(AVERAGEIFS(FX_Daily!I$15:I$2821,FX_Daily!$A$15:$A$2821,"&gt;="&amp;$A25,FX_Daily!$A$15:$A$2821,"&lt;="&amp;EOMONTH($A25,0)),"")</f>
        <v>1.07989545454545</v>
      </c>
      <c r="J25" s="10" t="n">
        <f aca="false">IFERROR(AVERAGEIFS(FX_Daily!J$15:J$2821,FX_Daily!$A$15:$A$2821,"&gt;="&amp;$A25,FX_Daily!$A$15:$A$2821,"&lt;="&amp;EOMONTH($A25,0)),"")</f>
        <v>9.0807</v>
      </c>
      <c r="K25" s="10" t="n">
        <f aca="false">IFERROR(AVERAGEIFS(FX_Daily!K$15:K$2821,FX_Daily!$A$15:$A$2821,"&gt;="&amp;$A25,FX_Daily!$A$15:$A$2821,"&lt;="&amp;EOMONTH($A25,0)),"")</f>
        <v>1256.70954545455</v>
      </c>
      <c r="L25" s="10" t="n">
        <f aca="false">IFERROR(AVERAGEIFS(FX_Daily!L$15:L$2821,FX_Daily!$A$15:$A$2821,"&gt;="&amp;$A25,FX_Daily!$A$15:$A$2821,"&lt;="&amp;EOMONTH($A25,0)),"")</f>
        <v>0.868943181818182</v>
      </c>
      <c r="M25" s="10" t="n">
        <f aca="false">IFERROR(AVERAGEIFS(FX_Daily!M$15:M$2821,FX_Daily!$A$15:$A$2821,"&gt;="&amp;$A25,FX_Daily!$A$15:$A$2821,"&lt;="&amp;EOMONTH($A25,0)),"")</f>
        <v>7.38830454545455</v>
      </c>
      <c r="N25" s="10" t="n">
        <f aca="false">IFERROR(AVERAGEIFS(FX_Daily!N$15:N$2821,FX_Daily!$A$15:$A$2821,"&gt;="&amp;$A25,FX_Daily!$A$15:$A$2821,"&lt;="&amp;EOMONTH($A25,0)),"")</f>
        <v>3.60559545454545</v>
      </c>
      <c r="O25" s="10" t="n">
        <f aca="false">IFERROR(AVERAGEIFS(FX_Daily!O$15:O$2821,FX_Daily!$A$15:$A$2821,"&gt;="&amp;$A25,FX_Daily!$A$15:$A$2821,"&lt;="&amp;EOMONTH($A25,0)),"")</f>
        <v>116.932727272727</v>
      </c>
      <c r="P25" s="10" t="n">
        <f aca="false">IFERROR(AVERAGEIFS(FX_Daily!P$15:P$2821,FX_Daily!$A$15:$A$2821,"&gt;="&amp;$A25,FX_Daily!$A$15:$A$2821,"&lt;="&amp;EOMONTH($A25,0)),"")</f>
        <v>8.41163181818182</v>
      </c>
      <c r="Q25" s="15" t="n">
        <f aca="false">COUNTIFS(FX_Daily!$A$15:$A$2821,"&gt;="&amp;$A25,FX_Daily!$A$15:$A$2821,"&lt;="&amp;EOMONTH($A25,0),FX_Daily!C$15:C$2821,"&gt;0")</f>
        <v>20</v>
      </c>
      <c r="R25" s="16" t="str">
        <f aca="false">IF(EOMONTH($A25,0)&gt;FX_Daily!$C$11,"partial month","complete")</f>
        <v>complete</v>
      </c>
    </row>
    <row r="26" customFormat="false" ht="15" hidden="false" customHeight="false" outlineLevel="0" collapsed="false">
      <c r="A26" s="17" t="n">
        <v>42705</v>
      </c>
      <c r="B26" s="10" t="n">
        <f aca="false">IFERROR(AVERAGEIFS(FX_Daily!B$15:B$2821,FX_Daily!$A$15:$A$2821,"&gt;="&amp;$A26,FX_Daily!$A$15:$A$2821,"&lt;="&amp;EOMONTH($A26,0)),"")</f>
        <v>1183.07</v>
      </c>
      <c r="C26" s="10" t="n">
        <f aca="false">IFERROR(AVERAGEIFS(FX_Daily!C$15:C$2821,FX_Daily!$A$15:$A$2821,"&gt;="&amp;$A26,FX_Daily!$A$15:$A$2821,"&lt;="&amp;EOMONTH($A26,0)),"")</f>
        <v>8.56174285714286</v>
      </c>
      <c r="D26" s="10" t="n">
        <f aca="false">IFERROR(AVERAGEIFS(FX_Daily!D$15:D$2821,FX_Daily!$A$15:$A$2821,"&gt;="&amp;$A26,FX_Daily!$A$15:$A$2821,"&lt;="&amp;EOMONTH($A26,0)),"")</f>
        <v>1.24825238095238</v>
      </c>
      <c r="E26" s="10" t="n">
        <f aca="false">IFERROR(AVERAGEIFS(FX_Daily!E$15:E$2821,FX_Daily!$A$15:$A$2821,"&gt;="&amp;$A26,FX_Daily!$A$15:$A$2821,"&lt;="&amp;EOMONTH($A26,0)),"")</f>
        <v>1.0544619047619</v>
      </c>
      <c r="F26" s="10" t="n">
        <f aca="false">IFERROR(AVERAGEIFS(FX_Daily!F$15:F$2821,FX_Daily!$A$15:$A$2821,"&gt;="&amp;$A26,FX_Daily!$A$15:$A$2821,"&lt;="&amp;EOMONTH($A26,0)),"")</f>
        <v>6.91975238095238</v>
      </c>
      <c r="G26" s="10" t="n">
        <f aca="false">IFERROR(AVERAGEIFS(FX_Daily!G$15:G$2821,FX_Daily!$A$15:$A$2821,"&gt;="&amp;$A26,FX_Daily!$A$15:$A$2821,"&lt;="&amp;EOMONTH($A26,0)),"")</f>
        <v>3.35396666666667</v>
      </c>
      <c r="H26" s="10" t="n">
        <f aca="false">IFERROR(AVERAGEIFS(FX_Daily!H$15:H$2821,FX_Daily!$A$15:$A$2821,"&gt;="&amp;$A26,FX_Daily!$A$15:$A$2821,"&lt;="&amp;EOMONTH($A26,0)),"")</f>
        <v>115.998095238095</v>
      </c>
      <c r="I26" s="10" t="n">
        <f aca="false">IFERROR(AVERAGEIFS(FX_Daily!I$15:I$2821,FX_Daily!$A$15:$A$2821,"&gt;="&amp;$A26,FX_Daily!$A$15:$A$2821,"&lt;="&amp;EOMONTH($A26,0)),"")</f>
        <v>1.05429047619048</v>
      </c>
      <c r="J26" s="10" t="n">
        <f aca="false">IFERROR(AVERAGEIFS(FX_Daily!J$15:J$2821,FX_Daily!$A$15:$A$2821,"&gt;="&amp;$A26,FX_Daily!$A$15:$A$2821,"&lt;="&amp;EOMONTH($A26,0)),"")</f>
        <v>9.02518095238095</v>
      </c>
      <c r="K26" s="10" t="n">
        <f aca="false">IFERROR(AVERAGEIFS(FX_Daily!K$15:K$2821,FX_Daily!$A$15:$A$2821,"&gt;="&amp;$A26,FX_Daily!$A$15:$A$2821,"&lt;="&amp;EOMONTH($A26,0)),"")</f>
        <v>1248.47619047619</v>
      </c>
      <c r="L26" s="10" t="n">
        <f aca="false">IFERROR(AVERAGEIFS(FX_Daily!L$15:L$2821,FX_Daily!$A$15:$A$2821,"&gt;="&amp;$A26,FX_Daily!$A$15:$A$2821,"&lt;="&amp;EOMONTH($A26,0)),"")</f>
        <v>0.844414285714286</v>
      </c>
      <c r="M26" s="10" t="n">
        <f aca="false">IFERROR(AVERAGEIFS(FX_Daily!M$15:M$2821,FX_Daily!$A$15:$A$2821,"&gt;="&amp;$A26,FX_Daily!$A$15:$A$2821,"&lt;="&amp;EOMONTH($A26,0)),"")</f>
        <v>7.29827142857143</v>
      </c>
      <c r="N26" s="10" t="n">
        <f aca="false">IFERROR(AVERAGEIFS(FX_Daily!N$15:N$2821,FX_Daily!$A$15:$A$2821,"&gt;="&amp;$A26,FX_Daily!$A$15:$A$2821,"&lt;="&amp;EOMONTH($A26,0)),"")</f>
        <v>3.54045238095238</v>
      </c>
      <c r="O26" s="10" t="n">
        <f aca="false">IFERROR(AVERAGEIFS(FX_Daily!O$15:O$2821,FX_Daily!$A$15:$A$2821,"&gt;="&amp;$A26,FX_Daily!$A$15:$A$2821,"&lt;="&amp;EOMONTH($A26,0)),"")</f>
        <v>122.394761904762</v>
      </c>
      <c r="P26" s="10" t="n">
        <f aca="false">IFERROR(AVERAGEIFS(FX_Daily!P$15:P$2821,FX_Daily!$A$15:$A$2821,"&gt;="&amp;$A26,FX_Daily!$A$15:$A$2821,"&lt;="&amp;EOMONTH($A26,0)),"")</f>
        <v>8.56197142857143</v>
      </c>
      <c r="Q26" s="15" t="n">
        <f aca="false">COUNTIFS(FX_Daily!$A$15:$A$2821,"&gt;="&amp;$A26,FX_Daily!$A$15:$A$2821,"&lt;="&amp;EOMONTH($A26,0),FX_Daily!C$15:C$2821,"&gt;0")</f>
        <v>21</v>
      </c>
      <c r="R26" s="16" t="str">
        <f aca="false">IF(EOMONTH($A26,0)&gt;FX_Daily!$C$11,"partial month","complete")</f>
        <v>complete</v>
      </c>
    </row>
    <row r="27" customFormat="false" ht="15" hidden="false" customHeight="false" outlineLevel="0" collapsed="false">
      <c r="A27" s="17" t="n">
        <v>42736</v>
      </c>
      <c r="B27" s="10" t="n">
        <f aca="false">IFERROR(AVERAGEIFS(FX_Daily!B$15:B$2821,FX_Daily!$A$15:$A$2821,"&gt;="&amp;$A27,FX_Daily!$A$15:$A$2821,"&lt;="&amp;EOMONTH($A27,0)),"")</f>
        <v>1179.10736842105</v>
      </c>
      <c r="C27" s="10" t="n">
        <f aca="false">IFERROR(AVERAGEIFS(FX_Daily!C$15:C$2821,FX_Daily!$A$15:$A$2821,"&gt;="&amp;$A27,FX_Daily!$A$15:$A$2821,"&lt;="&amp;EOMONTH($A27,0)),"")</f>
        <v>8.45698421052632</v>
      </c>
      <c r="D27" s="10" t="n">
        <f aca="false">IFERROR(AVERAGEIFS(FX_Daily!D$15:D$2821,FX_Daily!$A$15:$A$2821,"&gt;="&amp;$A27,FX_Daily!$A$15:$A$2821,"&lt;="&amp;EOMONTH($A27,0)),"")</f>
        <v>1.23667368421053</v>
      </c>
      <c r="E27" s="10" t="n">
        <f aca="false">IFERROR(AVERAGEIFS(FX_Daily!E$15:E$2821,FX_Daily!$A$15:$A$2821,"&gt;="&amp;$A27,FX_Daily!$A$15:$A$2821,"&lt;="&amp;EOMONTH($A27,0)),"")</f>
        <v>1.06349473684211</v>
      </c>
      <c r="F27" s="10" t="n">
        <f aca="false">IFERROR(AVERAGEIFS(FX_Daily!F$15:F$2821,FX_Daily!$A$15:$A$2821,"&gt;="&amp;$A27,FX_Daily!$A$15:$A$2821,"&lt;="&amp;EOMONTH($A27,0)),"")</f>
        <v>6.89066315789474</v>
      </c>
      <c r="G27" s="10" t="n">
        <f aca="false">IFERROR(AVERAGEIFS(FX_Daily!G$15:G$2821,FX_Daily!$A$15:$A$2821,"&gt;="&amp;$A27,FX_Daily!$A$15:$A$2821,"&lt;="&amp;EOMONTH($A27,0)),"")</f>
        <v>3.19008421052632</v>
      </c>
      <c r="H27" s="10" t="n">
        <f aca="false">IFERROR(AVERAGEIFS(FX_Daily!H$15:H$2821,FX_Daily!$A$15:$A$2821,"&gt;="&amp;$A27,FX_Daily!$A$15:$A$2821,"&lt;="&amp;EOMONTH($A27,0)),"")</f>
        <v>114.872105263158</v>
      </c>
      <c r="I27" s="10" t="n">
        <f aca="false">IFERROR(AVERAGEIFS(FX_Daily!I$15:I$2821,FX_Daily!$A$15:$A$2821,"&gt;="&amp;$A27,FX_Daily!$A$15:$A$2821,"&lt;="&amp;EOMONTH($A27,0)),"")</f>
        <v>1.06144090909091</v>
      </c>
      <c r="J27" s="10" t="n">
        <f aca="false">IFERROR(AVERAGEIFS(FX_Daily!J$15:J$2821,FX_Daily!$A$15:$A$2821,"&gt;="&amp;$A27,FX_Daily!$A$15:$A$2821,"&lt;="&amp;EOMONTH($A27,0)),"")</f>
        <v>8.99895454545455</v>
      </c>
      <c r="K27" s="10" t="n">
        <f aca="false">IFERROR(AVERAGEIFS(FX_Daily!K$15:K$2821,FX_Daily!$A$15:$A$2821,"&gt;="&amp;$A27,FX_Daily!$A$15:$A$2821,"&lt;="&amp;EOMONTH($A27,0)),"")</f>
        <v>1254.41363636364</v>
      </c>
      <c r="L27" s="10" t="n">
        <f aca="false">IFERROR(AVERAGEIFS(FX_Daily!L$15:L$2821,FX_Daily!$A$15:$A$2821,"&gt;="&amp;$A27,FX_Daily!$A$15:$A$2821,"&lt;="&amp;EOMONTH($A27,0)),"")</f>
        <v>0.861004090909091</v>
      </c>
      <c r="M27" s="10" t="n">
        <f aca="false">IFERROR(AVERAGEIFS(FX_Daily!M$15:M$2821,FX_Daily!$A$15:$A$2821,"&gt;="&amp;$A27,FX_Daily!$A$15:$A$2821,"&lt;="&amp;EOMONTH($A27,0)),"")</f>
        <v>7.3189</v>
      </c>
      <c r="N27" s="10" t="n">
        <f aca="false">IFERROR(AVERAGEIFS(FX_Daily!N$15:N$2821,FX_Daily!$A$15:$A$2821,"&gt;="&amp;$A27,FX_Daily!$A$15:$A$2821,"&lt;="&amp;EOMONTH($A27,0)),"")</f>
        <v>3.39294545454545</v>
      </c>
      <c r="O27" s="10" t="n">
        <f aca="false">IFERROR(AVERAGEIFS(FX_Daily!O$15:O$2821,FX_Daily!$A$15:$A$2821,"&gt;="&amp;$A27,FX_Daily!$A$15:$A$2821,"&lt;="&amp;EOMONTH($A27,0)),"")</f>
        <v>122.135909090909</v>
      </c>
      <c r="P27" s="10" t="n">
        <f aca="false">IFERROR(AVERAGEIFS(FX_Daily!P$15:P$2821,FX_Daily!$A$15:$A$2821,"&gt;="&amp;$A27,FX_Daily!$A$15:$A$2821,"&lt;="&amp;EOMONTH($A27,0)),"")</f>
        <v>8.47909090909091</v>
      </c>
      <c r="Q27" s="15" t="n">
        <f aca="false">COUNTIFS(FX_Daily!$A$15:$A$2821,"&gt;="&amp;$A27,FX_Daily!$A$15:$A$2821,"&lt;="&amp;EOMONTH($A27,0),FX_Daily!C$15:C$2821,"&gt;0")</f>
        <v>19</v>
      </c>
      <c r="R27" s="16" t="str">
        <f aca="false">IF(EOMONTH($A27,0)&gt;FX_Daily!$C$11,"partial month","complete")</f>
        <v>complete</v>
      </c>
    </row>
    <row r="28" customFormat="false" ht="15" hidden="false" customHeight="false" outlineLevel="0" collapsed="false">
      <c r="A28" s="17" t="n">
        <v>42767</v>
      </c>
      <c r="B28" s="10" t="n">
        <f aca="false">IFERROR(AVERAGEIFS(FX_Daily!B$15:B$2821,FX_Daily!$A$15:$A$2821,"&gt;="&amp;$A28,FX_Daily!$A$15:$A$2821,"&lt;="&amp;EOMONTH($A28,0)),"")</f>
        <v>1140.48736842105</v>
      </c>
      <c r="C28" s="10" t="n">
        <f aca="false">IFERROR(AVERAGEIFS(FX_Daily!C$15:C$2821,FX_Daily!$A$15:$A$2821,"&gt;="&amp;$A28,FX_Daily!$A$15:$A$2821,"&lt;="&amp;EOMONTH($A28,0)),"")</f>
        <v>8.3215</v>
      </c>
      <c r="D28" s="10" t="n">
        <f aca="false">IFERROR(AVERAGEIFS(FX_Daily!D$15:D$2821,FX_Daily!$A$15:$A$2821,"&gt;="&amp;$A28,FX_Daily!$A$15:$A$2821,"&lt;="&amp;EOMONTH($A28,0)),"")</f>
        <v>1.24946315789474</v>
      </c>
      <c r="E28" s="10" t="n">
        <f aca="false">IFERROR(AVERAGEIFS(FX_Daily!E$15:E$2821,FX_Daily!$A$15:$A$2821,"&gt;="&amp;$A28,FX_Daily!$A$15:$A$2821,"&lt;="&amp;EOMONTH($A28,0)),"")</f>
        <v>1.06502105263158</v>
      </c>
      <c r="F28" s="10" t="n">
        <f aca="false">IFERROR(AVERAGEIFS(FX_Daily!F$15:F$2821,FX_Daily!$A$15:$A$2821,"&gt;="&amp;$A28,FX_Daily!$A$15:$A$2821,"&lt;="&amp;EOMONTH($A28,0)),"")</f>
        <v>6.86942631578947</v>
      </c>
      <c r="G28" s="10" t="n">
        <f aca="false">IFERROR(AVERAGEIFS(FX_Daily!G$15:G$2821,FX_Daily!$A$15:$A$2821,"&gt;="&amp;$A28,FX_Daily!$A$15:$A$2821,"&lt;="&amp;EOMONTH($A28,0)),"")</f>
        <v>3.10572631578947</v>
      </c>
      <c r="H28" s="10" t="n">
        <f aca="false">IFERROR(AVERAGEIFS(FX_Daily!H$15:H$2821,FX_Daily!$A$15:$A$2821,"&gt;="&amp;$A28,FX_Daily!$A$15:$A$2821,"&lt;="&amp;EOMONTH($A28,0)),"")</f>
        <v>112.911578947368</v>
      </c>
      <c r="I28" s="10" t="n">
        <f aca="false">IFERROR(AVERAGEIFS(FX_Daily!I$15:I$2821,FX_Daily!$A$15:$A$2821,"&gt;="&amp;$A28,FX_Daily!$A$15:$A$2821,"&lt;="&amp;EOMONTH($A28,0)),"")</f>
        <v>1.064265</v>
      </c>
      <c r="J28" s="10" t="n">
        <f aca="false">IFERROR(AVERAGEIFS(FX_Daily!J$15:J$2821,FX_Daily!$A$15:$A$2821,"&gt;="&amp;$A28,FX_Daily!$A$15:$A$2821,"&lt;="&amp;EOMONTH($A28,0)),"")</f>
        <v>8.860335</v>
      </c>
      <c r="K28" s="10" t="n">
        <f aca="false">IFERROR(AVERAGEIFS(FX_Daily!K$15:K$2821,FX_Daily!$A$15:$A$2821,"&gt;="&amp;$A28,FX_Daily!$A$15:$A$2821,"&lt;="&amp;EOMONTH($A28,0)),"")</f>
        <v>1215.9165</v>
      </c>
      <c r="L28" s="10" t="n">
        <f aca="false">IFERROR(AVERAGEIFS(FX_Daily!L$15:L$2821,FX_Daily!$A$15:$A$2821,"&gt;="&amp;$A28,FX_Daily!$A$15:$A$2821,"&lt;="&amp;EOMONTH($A28,0)),"")</f>
        <v>0.8527305</v>
      </c>
      <c r="M28" s="10" t="n">
        <f aca="false">IFERROR(AVERAGEIFS(FX_Daily!M$15:M$2821,FX_Daily!$A$15:$A$2821,"&gt;="&amp;$A28,FX_Daily!$A$15:$A$2821,"&lt;="&amp;EOMONTH($A28,0)),"")</f>
        <v>7.31427</v>
      </c>
      <c r="N28" s="10" t="n">
        <f aca="false">IFERROR(AVERAGEIFS(FX_Daily!N$15:N$2821,FX_Daily!$A$15:$A$2821,"&gt;="&amp;$A28,FX_Daily!$A$15:$A$2821,"&lt;="&amp;EOMONTH($A28,0)),"")</f>
        <v>3.302225</v>
      </c>
      <c r="O28" s="10" t="n">
        <f aca="false">IFERROR(AVERAGEIFS(FX_Daily!O$15:O$2821,FX_Daily!$A$15:$A$2821,"&gt;="&amp;$A28,FX_Daily!$A$15:$A$2821,"&lt;="&amp;EOMONTH($A28,0)),"")</f>
        <v>120.168</v>
      </c>
      <c r="P28" s="10" t="n">
        <f aca="false">IFERROR(AVERAGEIFS(FX_Daily!P$15:P$2821,FX_Daily!$A$15:$A$2821,"&gt;="&amp;$A28,FX_Daily!$A$15:$A$2821,"&lt;="&amp;EOMONTH($A28,0)),"")</f>
        <v>8.32564</v>
      </c>
      <c r="Q28" s="15" t="n">
        <f aca="false">COUNTIFS(FX_Daily!$A$15:$A$2821,"&gt;="&amp;$A28,FX_Daily!$A$15:$A$2821,"&lt;="&amp;EOMONTH($A28,0),FX_Daily!C$15:C$2821,"&gt;0")</f>
        <v>19</v>
      </c>
      <c r="R28" s="16" t="str">
        <f aca="false">IF(EOMONTH($A28,0)&gt;FX_Daily!$C$11,"partial month","complete")</f>
        <v>complete</v>
      </c>
    </row>
    <row r="29" customFormat="false" ht="15" hidden="false" customHeight="false" outlineLevel="0" collapsed="false">
      <c r="A29" s="17" t="n">
        <v>42795</v>
      </c>
      <c r="B29" s="10" t="n">
        <f aca="false">IFERROR(AVERAGEIFS(FX_Daily!B$15:B$2821,FX_Daily!$A$15:$A$2821,"&gt;="&amp;$A29,FX_Daily!$A$15:$A$2821,"&lt;="&amp;EOMONTH($A29,0)),"")</f>
        <v>1133.86173913043</v>
      </c>
      <c r="C29" s="10" t="n">
        <f aca="false">IFERROR(AVERAGEIFS(FX_Daily!C$15:C$2821,FX_Daily!$A$15:$A$2821,"&gt;="&amp;$A29,FX_Daily!$A$15:$A$2821,"&lt;="&amp;EOMONTH($A29,0)),"")</f>
        <v>8.50633043478261</v>
      </c>
      <c r="D29" s="10" t="n">
        <f aca="false">IFERROR(AVERAGEIFS(FX_Daily!D$15:D$2821,FX_Daily!$A$15:$A$2821,"&gt;="&amp;$A29,FX_Daily!$A$15:$A$2821,"&lt;="&amp;EOMONTH($A29,0)),"")</f>
        <v>1.23473043478261</v>
      </c>
      <c r="E29" s="10" t="n">
        <f aca="false">IFERROR(AVERAGEIFS(FX_Daily!E$15:E$2821,FX_Daily!$A$15:$A$2821,"&gt;="&amp;$A29,FX_Daily!$A$15:$A$2821,"&lt;="&amp;EOMONTH($A29,0)),"")</f>
        <v>1.06910434782609</v>
      </c>
      <c r="F29" s="10" t="n">
        <f aca="false">IFERROR(AVERAGEIFS(FX_Daily!F$15:F$2821,FX_Daily!$A$15:$A$2821,"&gt;="&amp;$A29,FX_Daily!$A$15:$A$2821,"&lt;="&amp;EOMONTH($A29,0)),"")</f>
        <v>6.894</v>
      </c>
      <c r="G29" s="10" t="n">
        <f aca="false">IFERROR(AVERAGEIFS(FX_Daily!G$15:G$2821,FX_Daily!$A$15:$A$2821,"&gt;="&amp;$A29,FX_Daily!$A$15:$A$2821,"&lt;="&amp;EOMONTH($A29,0)),"")</f>
        <v>3.12753043478261</v>
      </c>
      <c r="H29" s="10" t="n">
        <f aca="false">IFERROR(AVERAGEIFS(FX_Daily!H$15:H$2821,FX_Daily!$A$15:$A$2821,"&gt;="&amp;$A29,FX_Daily!$A$15:$A$2821,"&lt;="&amp;EOMONTH($A29,0)),"")</f>
        <v>112.91652173913</v>
      </c>
      <c r="I29" s="10" t="n">
        <f aca="false">IFERROR(AVERAGEIFS(FX_Daily!I$15:I$2821,FX_Daily!$A$15:$A$2821,"&gt;="&amp;$A29,FX_Daily!$A$15:$A$2821,"&lt;="&amp;EOMONTH($A29,0)),"")</f>
        <v>1.06846956521739</v>
      </c>
      <c r="J29" s="10" t="n">
        <f aca="false">IFERROR(AVERAGEIFS(FX_Daily!J$15:J$2821,FX_Daily!$A$15:$A$2821,"&gt;="&amp;$A29,FX_Daily!$A$15:$A$2821,"&lt;="&amp;EOMONTH($A29,0)),"")</f>
        <v>9.09188695652174</v>
      </c>
      <c r="K29" s="10" t="n">
        <f aca="false">IFERROR(AVERAGEIFS(FX_Daily!K$15:K$2821,FX_Daily!$A$15:$A$2821,"&gt;="&amp;$A29,FX_Daily!$A$15:$A$2821,"&lt;="&amp;EOMONTH($A29,0)),"")</f>
        <v>1211.23304347826</v>
      </c>
      <c r="L29" s="10" t="n">
        <f aca="false">IFERROR(AVERAGEIFS(FX_Daily!L$15:L$2821,FX_Daily!$A$15:$A$2821,"&gt;="&amp;$A29,FX_Daily!$A$15:$A$2821,"&lt;="&amp;EOMONTH($A29,0)),"")</f>
        <v>0.86560347826087</v>
      </c>
      <c r="M29" s="10" t="n">
        <f aca="false">IFERROR(AVERAGEIFS(FX_Daily!M$15:M$2821,FX_Daily!$A$15:$A$2821,"&gt;="&amp;$A29,FX_Daily!$A$15:$A$2821,"&lt;="&amp;EOMONTH($A29,0)),"")</f>
        <v>7.36919130434783</v>
      </c>
      <c r="N29" s="10" t="n">
        <f aca="false">IFERROR(AVERAGEIFS(FX_Daily!N$15:N$2821,FX_Daily!$A$15:$A$2821,"&gt;="&amp;$A29,FX_Daily!$A$15:$A$2821,"&lt;="&amp;EOMONTH($A29,0)),"")</f>
        <v>3.34130869565217</v>
      </c>
      <c r="O29" s="10" t="n">
        <f aca="false">IFERROR(AVERAGEIFS(FX_Daily!O$15:O$2821,FX_Daily!$A$15:$A$2821,"&gt;="&amp;$A29,FX_Daily!$A$15:$A$2821,"&lt;="&amp;EOMONTH($A29,0)),"")</f>
        <v>120.676086956522</v>
      </c>
      <c r="P29" s="10" t="n">
        <f aca="false">IFERROR(AVERAGEIFS(FX_Daily!P$15:P$2821,FX_Daily!$A$15:$A$2821,"&gt;="&amp;$A29,FX_Daily!$A$15:$A$2821,"&lt;="&amp;EOMONTH($A29,0)),"")</f>
        <v>8.50929130434783</v>
      </c>
      <c r="Q29" s="15" t="n">
        <f aca="false">COUNTIFS(FX_Daily!$A$15:$A$2821,"&gt;="&amp;$A29,FX_Daily!$A$15:$A$2821,"&lt;="&amp;EOMONTH($A29,0),FX_Daily!C$15:C$2821,"&gt;0")</f>
        <v>23</v>
      </c>
      <c r="R29" s="16" t="str">
        <f aca="false">IF(EOMONTH($A29,0)&gt;FX_Daily!$C$11,"partial month","complete")</f>
        <v>complete</v>
      </c>
    </row>
    <row r="30" customFormat="false" ht="15" hidden="false" customHeight="false" outlineLevel="0" collapsed="false">
      <c r="A30" s="17" t="n">
        <v>42826</v>
      </c>
      <c r="B30" s="10" t="n">
        <f aca="false">IFERROR(AVERAGEIFS(FX_Daily!B$15:B$2821,FX_Daily!$A$15:$A$2821,"&gt;="&amp;$A30,FX_Daily!$A$15:$A$2821,"&lt;="&amp;EOMONTH($A30,0)),"")</f>
        <v>1134.1755</v>
      </c>
      <c r="C30" s="10" t="n">
        <f aca="false">IFERROR(AVERAGEIFS(FX_Daily!C$15:C$2821,FX_Daily!$A$15:$A$2821,"&gt;="&amp;$A30,FX_Daily!$A$15:$A$2821,"&lt;="&amp;EOMONTH($A30,0)),"")</f>
        <v>8.58552</v>
      </c>
      <c r="D30" s="10" t="n">
        <f aca="false">IFERROR(AVERAGEIFS(FX_Daily!D$15:D$2821,FX_Daily!$A$15:$A$2821,"&gt;="&amp;$A30,FX_Daily!$A$15:$A$2821,"&lt;="&amp;EOMONTH($A30,0)),"")</f>
        <v>1.263925</v>
      </c>
      <c r="E30" s="10" t="n">
        <f aca="false">IFERROR(AVERAGEIFS(FX_Daily!E$15:E$2821,FX_Daily!$A$15:$A$2821,"&gt;="&amp;$A30,FX_Daily!$A$15:$A$2821,"&lt;="&amp;EOMONTH($A30,0)),"")</f>
        <v>1.07138</v>
      </c>
      <c r="F30" s="10" t="n">
        <f aca="false">IFERROR(AVERAGEIFS(FX_Daily!F$15:F$2821,FX_Daily!$A$15:$A$2821,"&gt;="&amp;$A30,FX_Daily!$A$15:$A$2821,"&lt;="&amp;EOMONTH($A30,0)),"")</f>
        <v>6.887555</v>
      </c>
      <c r="G30" s="10" t="n">
        <f aca="false">IFERROR(AVERAGEIFS(FX_Daily!G$15:G$2821,FX_Daily!$A$15:$A$2821,"&gt;="&amp;$A30,FX_Daily!$A$15:$A$2821,"&lt;="&amp;EOMONTH($A30,0)),"")</f>
        <v>3.138995</v>
      </c>
      <c r="H30" s="10" t="n">
        <f aca="false">IFERROR(AVERAGEIFS(FX_Daily!H$15:H$2821,FX_Daily!$A$15:$A$2821,"&gt;="&amp;$A30,FX_Daily!$A$15:$A$2821,"&lt;="&amp;EOMONTH($A30,0)),"")</f>
        <v>110.091</v>
      </c>
      <c r="I30" s="10" t="n">
        <f aca="false">IFERROR(AVERAGEIFS(FX_Daily!I$15:I$2821,FX_Daily!$A$15:$A$2821,"&gt;="&amp;$A30,FX_Daily!$A$15:$A$2821,"&lt;="&amp;EOMONTH($A30,0)),"")</f>
        <v>1.07226666666667</v>
      </c>
      <c r="J30" s="10" t="n">
        <f aca="false">IFERROR(AVERAGEIFS(FX_Daily!J$15:J$2821,FX_Daily!$A$15:$A$2821,"&gt;="&amp;$A30,FX_Daily!$A$15:$A$2821,"&lt;="&amp;EOMONTH($A30,0)),"")</f>
        <v>9.19928888888889</v>
      </c>
      <c r="K30" s="10" t="n">
        <f aca="false">IFERROR(AVERAGEIFS(FX_Daily!K$15:K$2821,FX_Daily!$A$15:$A$2821,"&gt;="&amp;$A30,FX_Daily!$A$15:$A$2821,"&lt;="&amp;EOMONTH($A30,0)),"")</f>
        <v>1215.63777777778</v>
      </c>
      <c r="L30" s="10" t="n">
        <f aca="false">IFERROR(AVERAGEIFS(FX_Daily!L$15:L$2821,FX_Daily!$A$15:$A$2821,"&gt;="&amp;$A30,FX_Daily!$A$15:$A$2821,"&lt;="&amp;EOMONTH($A30,0)),"")</f>
        <v>0.848235</v>
      </c>
      <c r="M30" s="10" t="n">
        <f aca="false">IFERROR(AVERAGEIFS(FX_Daily!M$15:M$2821,FX_Daily!$A$15:$A$2821,"&gt;="&amp;$A30,FX_Daily!$A$15:$A$2821,"&lt;="&amp;EOMONTH($A30,0)),"")</f>
        <v>7.38915555555556</v>
      </c>
      <c r="N30" s="10" t="n">
        <f aca="false">IFERROR(AVERAGEIFS(FX_Daily!N$15:N$2821,FX_Daily!$A$15:$A$2821,"&gt;="&amp;$A30,FX_Daily!$A$15:$A$2821,"&lt;="&amp;EOMONTH($A30,0)),"")</f>
        <v>3.362</v>
      </c>
      <c r="O30" s="10" t="n">
        <f aca="false">IFERROR(AVERAGEIFS(FX_Daily!O$15:O$2821,FX_Daily!$A$15:$A$2821,"&gt;="&amp;$A30,FX_Daily!$A$15:$A$2821,"&lt;="&amp;EOMONTH($A30,0)),"")</f>
        <v>118.294444444444</v>
      </c>
      <c r="P30" s="10" t="n">
        <f aca="false">IFERROR(AVERAGEIFS(FX_Daily!P$15:P$2821,FX_Daily!$A$15:$A$2821,"&gt;="&amp;$A30,FX_Daily!$A$15:$A$2821,"&lt;="&amp;EOMONTH($A30,0)),"")</f>
        <v>8.58041176470588</v>
      </c>
      <c r="Q30" s="15" t="n">
        <f aca="false">COUNTIFS(FX_Daily!$A$15:$A$2821,"&gt;="&amp;$A30,FX_Daily!$A$15:$A$2821,"&lt;="&amp;EOMONTH($A30,0),FX_Daily!C$15:C$2821,"&gt;0")</f>
        <v>20</v>
      </c>
      <c r="R30" s="16" t="str">
        <f aca="false">IF(EOMONTH($A30,0)&gt;FX_Daily!$C$11,"partial month","complete")</f>
        <v>complete</v>
      </c>
    </row>
    <row r="31" customFormat="false" ht="15" hidden="false" customHeight="false" outlineLevel="0" collapsed="false">
      <c r="A31" s="17" t="n">
        <v>42856</v>
      </c>
      <c r="B31" s="10" t="n">
        <f aca="false">IFERROR(AVERAGEIFS(FX_Daily!B$15:B$2821,FX_Daily!$A$15:$A$2821,"&gt;="&amp;$A31,FX_Daily!$A$15:$A$2821,"&lt;="&amp;EOMONTH($A31,0)),"")</f>
        <v>1125.13590909091</v>
      </c>
      <c r="C31" s="10" t="n">
        <f aca="false">IFERROR(AVERAGEIFS(FX_Daily!C$15:C$2821,FX_Daily!$A$15:$A$2821,"&gt;="&amp;$A31,FX_Daily!$A$15:$A$2821,"&lt;="&amp;EOMONTH($A31,0)),"")</f>
        <v>8.50591363636364</v>
      </c>
      <c r="D31" s="10" t="n">
        <f aca="false">IFERROR(AVERAGEIFS(FX_Daily!D$15:D$2821,FX_Daily!$A$15:$A$2821,"&gt;="&amp;$A31,FX_Daily!$A$15:$A$2821,"&lt;="&amp;EOMONTH($A31,0)),"")</f>
        <v>1.29289090909091</v>
      </c>
      <c r="E31" s="10" t="n">
        <f aca="false">IFERROR(AVERAGEIFS(FX_Daily!E$15:E$2821,FX_Daily!$A$15:$A$2821,"&gt;="&amp;$A31,FX_Daily!$A$15:$A$2821,"&lt;="&amp;EOMONTH($A31,0)),"")</f>
        <v>1.10498636363636</v>
      </c>
      <c r="F31" s="10" t="n">
        <f aca="false">IFERROR(AVERAGEIFS(FX_Daily!F$15:F$2821,FX_Daily!$A$15:$A$2821,"&gt;="&amp;$A31,FX_Daily!$A$15:$A$2821,"&lt;="&amp;EOMONTH($A31,0)),"")</f>
        <v>6.88430454545455</v>
      </c>
      <c r="G31" s="10" t="n">
        <f aca="false">IFERROR(AVERAGEIFS(FX_Daily!G$15:G$2821,FX_Daily!$A$15:$A$2821,"&gt;="&amp;$A31,FX_Daily!$A$15:$A$2821,"&lt;="&amp;EOMONTH($A31,0)),"")</f>
        <v>3.20427727272727</v>
      </c>
      <c r="H31" s="10" t="n">
        <f aca="false">IFERROR(AVERAGEIFS(FX_Daily!H$15:H$2821,FX_Daily!$A$15:$A$2821,"&gt;="&amp;$A31,FX_Daily!$A$15:$A$2821,"&lt;="&amp;EOMONTH($A31,0)),"")</f>
        <v>112.243636363636</v>
      </c>
      <c r="I31" s="10" t="n">
        <f aca="false">IFERROR(AVERAGEIFS(FX_Daily!I$15:I$2821,FX_Daily!$A$15:$A$2821,"&gt;="&amp;$A31,FX_Daily!$A$15:$A$2821,"&lt;="&amp;EOMONTH($A31,0)),"")</f>
        <v>1.10575</v>
      </c>
      <c r="J31" s="10" t="n">
        <f aca="false">IFERROR(AVERAGEIFS(FX_Daily!J$15:J$2821,FX_Daily!$A$15:$A$2821,"&gt;="&amp;$A31,FX_Daily!$A$15:$A$2821,"&lt;="&amp;EOMONTH($A31,0)),"")</f>
        <v>9.40013181818182</v>
      </c>
      <c r="K31" s="10" t="n">
        <f aca="false">IFERROR(AVERAGEIFS(FX_Daily!K$15:K$2821,FX_Daily!$A$15:$A$2821,"&gt;="&amp;$A31,FX_Daily!$A$15:$A$2821,"&lt;="&amp;EOMONTH($A31,0)),"")</f>
        <v>1245.01545454545</v>
      </c>
      <c r="L31" s="10" t="n">
        <f aca="false">IFERROR(AVERAGEIFS(FX_Daily!L$15:L$2821,FX_Daily!$A$15:$A$2821,"&gt;="&amp;$A31,FX_Daily!$A$15:$A$2821,"&lt;="&amp;EOMONTH($A31,0)),"")</f>
        <v>0.855543181818182</v>
      </c>
      <c r="M31" s="10" t="n">
        <f aca="false">IFERROR(AVERAGEIFS(FX_Daily!M$15:M$2821,FX_Daily!$A$15:$A$2821,"&gt;="&amp;$A31,FX_Daily!$A$15:$A$2821,"&lt;="&amp;EOMONTH($A31,0)),"")</f>
        <v>7.61300454545455</v>
      </c>
      <c r="N31" s="10" t="n">
        <f aca="false">IFERROR(AVERAGEIFS(FX_Daily!N$15:N$2821,FX_Daily!$A$15:$A$2821,"&gt;="&amp;$A31,FX_Daily!$A$15:$A$2821,"&lt;="&amp;EOMONTH($A31,0)),"")</f>
        <v>3.54243636363636</v>
      </c>
      <c r="O31" s="10" t="n">
        <f aca="false">IFERROR(AVERAGEIFS(FX_Daily!O$15:O$2821,FX_Daily!$A$15:$A$2821,"&gt;="&amp;$A31,FX_Daily!$A$15:$A$2821,"&lt;="&amp;EOMONTH($A31,0)),"")</f>
        <v>124.093181818182</v>
      </c>
      <c r="P31" s="10" t="n">
        <f aca="false">IFERROR(AVERAGEIFS(FX_Daily!P$15:P$2821,FX_Daily!$A$15:$A$2821,"&gt;="&amp;$A31,FX_Daily!$A$15:$A$2821,"&lt;="&amp;EOMONTH($A31,0)),"")</f>
        <v>8.515185</v>
      </c>
      <c r="Q31" s="15" t="n">
        <f aca="false">COUNTIFS(FX_Daily!$A$15:$A$2821,"&gt;="&amp;$A31,FX_Daily!$A$15:$A$2821,"&lt;="&amp;EOMONTH($A31,0),FX_Daily!C$15:C$2821,"&gt;0")</f>
        <v>22</v>
      </c>
      <c r="R31" s="16" t="str">
        <f aca="false">IF(EOMONTH($A31,0)&gt;FX_Daily!$C$11,"partial month","complete")</f>
        <v>complete</v>
      </c>
    </row>
    <row r="32" customFormat="false" ht="15" hidden="false" customHeight="false" outlineLevel="0" collapsed="false">
      <c r="A32" s="17" t="n">
        <v>42887</v>
      </c>
      <c r="B32" s="10" t="n">
        <f aca="false">IFERROR(AVERAGEIFS(FX_Daily!B$15:B$2821,FX_Daily!$A$15:$A$2821,"&gt;="&amp;$A32,FX_Daily!$A$15:$A$2821,"&lt;="&amp;EOMONTH($A32,0)),"")</f>
        <v>1130.84636363636</v>
      </c>
      <c r="C32" s="10" t="n">
        <f aca="false">IFERROR(AVERAGEIFS(FX_Daily!C$15:C$2821,FX_Daily!$A$15:$A$2821,"&gt;="&amp;$A32,FX_Daily!$A$15:$A$2821,"&lt;="&amp;EOMONTH($A32,0)),"")</f>
        <v>8.45942272727273</v>
      </c>
      <c r="D32" s="10" t="n">
        <f aca="false">IFERROR(AVERAGEIFS(FX_Daily!D$15:D$2821,FX_Daily!$A$15:$A$2821,"&gt;="&amp;$A32,FX_Daily!$A$15:$A$2821,"&lt;="&amp;EOMONTH($A32,0)),"")</f>
        <v>1.28103181818182</v>
      </c>
      <c r="E32" s="10" t="n">
        <f aca="false">IFERROR(AVERAGEIFS(FX_Daily!E$15:E$2821,FX_Daily!$A$15:$A$2821,"&gt;="&amp;$A32,FX_Daily!$A$15:$A$2821,"&lt;="&amp;EOMONTH($A32,0)),"")</f>
        <v>1.1233</v>
      </c>
      <c r="F32" s="10" t="n">
        <f aca="false">IFERROR(AVERAGEIFS(FX_Daily!F$15:F$2821,FX_Daily!$A$15:$A$2821,"&gt;="&amp;$A32,FX_Daily!$A$15:$A$2821,"&lt;="&amp;EOMONTH($A32,0)),"")</f>
        <v>6.80656363636364</v>
      </c>
      <c r="G32" s="10" t="n">
        <f aca="false">IFERROR(AVERAGEIFS(FX_Daily!G$15:G$2821,FX_Daily!$A$15:$A$2821,"&gt;="&amp;$A32,FX_Daily!$A$15:$A$2821,"&lt;="&amp;EOMONTH($A32,0)),"")</f>
        <v>3.29539545454545</v>
      </c>
      <c r="H32" s="10" t="n">
        <f aca="false">IFERROR(AVERAGEIFS(FX_Daily!H$15:H$2821,FX_Daily!$A$15:$A$2821,"&gt;="&amp;$A32,FX_Daily!$A$15:$A$2821,"&lt;="&amp;EOMONTH($A32,0)),"")</f>
        <v>110.914090909091</v>
      </c>
      <c r="I32" s="10" t="n">
        <f aca="false">IFERROR(AVERAGEIFS(FX_Daily!I$15:I$2821,FX_Daily!$A$15:$A$2821,"&gt;="&amp;$A32,FX_Daily!$A$15:$A$2821,"&lt;="&amp;EOMONTH($A32,0)),"")</f>
        <v>1.12294545454545</v>
      </c>
      <c r="J32" s="10" t="n">
        <f aca="false">IFERROR(AVERAGEIFS(FX_Daily!J$15:J$2821,FX_Daily!$A$15:$A$2821,"&gt;="&amp;$A32,FX_Daily!$A$15:$A$2821,"&lt;="&amp;EOMONTH($A32,0)),"")</f>
        <v>9.49921818181818</v>
      </c>
      <c r="K32" s="10" t="n">
        <f aca="false">IFERROR(AVERAGEIFS(FX_Daily!K$15:K$2821,FX_Daily!$A$15:$A$2821,"&gt;="&amp;$A32,FX_Daily!$A$15:$A$2821,"&lt;="&amp;EOMONTH($A32,0)),"")</f>
        <v>1271.28772727273</v>
      </c>
      <c r="L32" s="10" t="n">
        <f aca="false">IFERROR(AVERAGEIFS(FX_Daily!L$15:L$2821,FX_Daily!$A$15:$A$2821,"&gt;="&amp;$A32,FX_Daily!$A$15:$A$2821,"&lt;="&amp;EOMONTH($A32,0)),"")</f>
        <v>0.877238181818182</v>
      </c>
      <c r="M32" s="10" t="n">
        <f aca="false">IFERROR(AVERAGEIFS(FX_Daily!M$15:M$2821,FX_Daily!$A$15:$A$2821,"&gt;="&amp;$A32,FX_Daily!$A$15:$A$2821,"&lt;="&amp;EOMONTH($A32,0)),"")</f>
        <v>7.64592727272727</v>
      </c>
      <c r="N32" s="10" t="n">
        <f aca="false">IFERROR(AVERAGEIFS(FX_Daily!N$15:N$2821,FX_Daily!$A$15:$A$2821,"&gt;="&amp;$A32,FX_Daily!$A$15:$A$2821,"&lt;="&amp;EOMONTH($A32,0)),"")</f>
        <v>3.69483636363636</v>
      </c>
      <c r="O32" s="10" t="n">
        <f aca="false">IFERROR(AVERAGEIFS(FX_Daily!O$15:O$2821,FX_Daily!$A$15:$A$2821,"&gt;="&amp;$A32,FX_Daily!$A$15:$A$2821,"&lt;="&amp;EOMONTH($A32,0)),"")</f>
        <v>124.584545454545</v>
      </c>
      <c r="P32" s="10" t="n">
        <f aca="false">IFERROR(AVERAGEIFS(FX_Daily!P$15:P$2821,FX_Daily!$A$15:$A$2821,"&gt;="&amp;$A32,FX_Daily!$A$15:$A$2821,"&lt;="&amp;EOMONTH($A32,0)),"")</f>
        <v>8.46052380952381</v>
      </c>
      <c r="Q32" s="15" t="n">
        <f aca="false">COUNTIFS(FX_Daily!$A$15:$A$2821,"&gt;="&amp;$A32,FX_Daily!$A$15:$A$2821,"&lt;="&amp;EOMONTH($A32,0),FX_Daily!C$15:C$2821,"&gt;0")</f>
        <v>22</v>
      </c>
      <c r="R32" s="16" t="str">
        <f aca="false">IF(EOMONTH($A32,0)&gt;FX_Daily!$C$11,"partial month","complete")</f>
        <v>complete</v>
      </c>
    </row>
    <row r="33" customFormat="false" ht="15" hidden="false" customHeight="false" outlineLevel="0" collapsed="false">
      <c r="A33" s="17" t="n">
        <v>42917</v>
      </c>
      <c r="B33" s="10" t="n">
        <f aca="false">IFERROR(AVERAGEIFS(FX_Daily!B$15:B$2821,FX_Daily!$A$15:$A$2821,"&gt;="&amp;$A33,FX_Daily!$A$15:$A$2821,"&lt;="&amp;EOMONTH($A33,0)),"")</f>
        <v>1131.746</v>
      </c>
      <c r="C33" s="10" t="n">
        <f aca="false">IFERROR(AVERAGEIFS(FX_Daily!C$15:C$2821,FX_Daily!$A$15:$A$2821,"&gt;="&amp;$A33,FX_Daily!$A$15:$A$2821,"&lt;="&amp;EOMONTH($A33,0)),"")</f>
        <v>8.14726</v>
      </c>
      <c r="D33" s="10" t="n">
        <f aca="false">IFERROR(AVERAGEIFS(FX_Daily!D$15:D$2821,FX_Daily!$A$15:$A$2821,"&gt;="&amp;$A33,FX_Daily!$A$15:$A$2821,"&lt;="&amp;EOMONTH($A33,0)),"")</f>
        <v>1.299635</v>
      </c>
      <c r="E33" s="10" t="n">
        <f aca="false">IFERROR(AVERAGEIFS(FX_Daily!E$15:E$2821,FX_Daily!$A$15:$A$2821,"&gt;="&amp;$A33,FX_Daily!$A$15:$A$2821,"&lt;="&amp;EOMONTH($A33,0)),"")</f>
        <v>1.153015</v>
      </c>
      <c r="F33" s="10" t="n">
        <f aca="false">IFERROR(AVERAGEIFS(FX_Daily!F$15:F$2821,FX_Daily!$A$15:$A$2821,"&gt;="&amp;$A33,FX_Daily!$A$15:$A$2821,"&lt;="&amp;EOMONTH($A33,0)),"")</f>
        <v>6.769425</v>
      </c>
      <c r="G33" s="10" t="n">
        <f aca="false">IFERROR(AVERAGEIFS(FX_Daily!G$15:G$2821,FX_Daily!$A$15:$A$2821,"&gt;="&amp;$A33,FX_Daily!$A$15:$A$2821,"&lt;="&amp;EOMONTH($A33,0)),"")</f>
        <v>3.19941</v>
      </c>
      <c r="H33" s="10" t="n">
        <f aca="false">IFERROR(AVERAGEIFS(FX_Daily!H$15:H$2821,FX_Daily!$A$15:$A$2821,"&gt;="&amp;$A33,FX_Daily!$A$15:$A$2821,"&lt;="&amp;EOMONTH($A33,0)),"")</f>
        <v>112.417</v>
      </c>
      <c r="I33" s="10" t="n">
        <f aca="false">IFERROR(AVERAGEIFS(FX_Daily!I$15:I$2821,FX_Daily!$A$15:$A$2821,"&gt;="&amp;$A33,FX_Daily!$A$15:$A$2821,"&lt;="&amp;EOMONTH($A33,0)),"")</f>
        <v>1.15111428571429</v>
      </c>
      <c r="J33" s="10" t="n">
        <f aca="false">IFERROR(AVERAGEIFS(FX_Daily!J$15:J$2821,FX_Daily!$A$15:$A$2821,"&gt;="&amp;$A33,FX_Daily!$A$15:$A$2821,"&lt;="&amp;EOMONTH($A33,0)),"")</f>
        <v>9.39884285714286</v>
      </c>
      <c r="K33" s="10" t="n">
        <f aca="false">IFERROR(AVERAGEIFS(FX_Daily!K$15:K$2821,FX_Daily!$A$15:$A$2821,"&gt;="&amp;$A33,FX_Daily!$A$15:$A$2821,"&lt;="&amp;EOMONTH($A33,0)),"")</f>
        <v>1305.20619047619</v>
      </c>
      <c r="L33" s="10" t="n">
        <f aca="false">IFERROR(AVERAGEIFS(FX_Daily!L$15:L$2821,FX_Daily!$A$15:$A$2821,"&gt;="&amp;$A33,FX_Daily!$A$15:$A$2821,"&lt;="&amp;EOMONTH($A33,0)),"")</f>
        <v>0.886173333333333</v>
      </c>
      <c r="M33" s="10" t="n">
        <f aca="false">IFERROR(AVERAGEIFS(FX_Daily!M$15:M$2821,FX_Daily!$A$15:$A$2821,"&gt;="&amp;$A33,FX_Daily!$A$15:$A$2821,"&lt;="&amp;EOMONTH($A33,0)),"")</f>
        <v>7.79645238095238</v>
      </c>
      <c r="N33" s="10" t="n">
        <f aca="false">IFERROR(AVERAGEIFS(FX_Daily!N$15:N$2821,FX_Daily!$A$15:$A$2821,"&gt;="&amp;$A33,FX_Daily!$A$15:$A$2821,"&lt;="&amp;EOMONTH($A33,0)),"")</f>
        <v>3.69281904761905</v>
      </c>
      <c r="O33" s="10" t="n">
        <f aca="false">IFERROR(AVERAGEIFS(FX_Daily!O$15:O$2821,FX_Daily!$A$15:$A$2821,"&gt;="&amp;$A33,FX_Daily!$A$15:$A$2821,"&lt;="&amp;EOMONTH($A33,0)),"")</f>
        <v>129.481904761905</v>
      </c>
      <c r="P33" s="10" t="n">
        <f aca="false">IFERROR(AVERAGEIFS(FX_Daily!P$15:P$2821,FX_Daily!$A$15:$A$2821,"&gt;="&amp;$A33,FX_Daily!$A$15:$A$2821,"&lt;="&amp;EOMONTH($A33,0)),"")</f>
        <v>8.16687142857143</v>
      </c>
      <c r="Q33" s="15" t="n">
        <f aca="false">COUNTIFS(FX_Daily!$A$15:$A$2821,"&gt;="&amp;$A33,FX_Daily!$A$15:$A$2821,"&lt;="&amp;EOMONTH($A33,0),FX_Daily!C$15:C$2821,"&gt;0")</f>
        <v>20</v>
      </c>
      <c r="R33" s="16" t="str">
        <f aca="false">IF(EOMONTH($A33,0)&gt;FX_Daily!$C$11,"partial month","complete")</f>
        <v>complete</v>
      </c>
    </row>
    <row r="34" customFormat="false" ht="15" hidden="false" customHeight="false" outlineLevel="0" collapsed="false">
      <c r="A34" s="17" t="n">
        <v>42948</v>
      </c>
      <c r="B34" s="10" t="n">
        <f aca="false">IFERROR(AVERAGEIFS(FX_Daily!B$15:B$2821,FX_Daily!$A$15:$A$2821,"&gt;="&amp;$A34,FX_Daily!$A$15:$A$2821,"&lt;="&amp;EOMONTH($A34,0)),"")</f>
        <v>1130.27</v>
      </c>
      <c r="C34" s="10" t="n">
        <f aca="false">IFERROR(AVERAGEIFS(FX_Daily!C$15:C$2821,FX_Daily!$A$15:$A$2821,"&gt;="&amp;$A34,FX_Daily!$A$15:$A$2821,"&lt;="&amp;EOMONTH($A34,0)),"")</f>
        <v>7.88851304347826</v>
      </c>
      <c r="D34" s="10" t="n">
        <f aca="false">IFERROR(AVERAGEIFS(FX_Daily!D$15:D$2821,FX_Daily!$A$15:$A$2821,"&gt;="&amp;$A34,FX_Daily!$A$15:$A$2821,"&lt;="&amp;EOMONTH($A34,0)),"")</f>
        <v>1.29517826086957</v>
      </c>
      <c r="E34" s="10" t="n">
        <f aca="false">IFERROR(AVERAGEIFS(FX_Daily!E$15:E$2821,FX_Daily!$A$15:$A$2821,"&gt;="&amp;$A34,FX_Daily!$A$15:$A$2821,"&lt;="&amp;EOMONTH($A34,0)),"")</f>
        <v>1.18129130434783</v>
      </c>
      <c r="F34" s="10" t="n">
        <f aca="false">IFERROR(AVERAGEIFS(FX_Daily!F$15:F$2821,FX_Daily!$A$15:$A$2821,"&gt;="&amp;$A34,FX_Daily!$A$15:$A$2821,"&lt;="&amp;EOMONTH($A34,0)),"")</f>
        <v>6.66699565217391</v>
      </c>
      <c r="G34" s="10" t="n">
        <f aca="false">IFERROR(AVERAGEIFS(FX_Daily!G$15:G$2821,FX_Daily!$A$15:$A$2821,"&gt;="&amp;$A34,FX_Daily!$A$15:$A$2821,"&lt;="&amp;EOMONTH($A34,0)),"")</f>
        <v>3.14779130434783</v>
      </c>
      <c r="H34" s="10" t="n">
        <f aca="false">IFERROR(AVERAGEIFS(FX_Daily!H$15:H$2821,FX_Daily!$A$15:$A$2821,"&gt;="&amp;$A34,FX_Daily!$A$15:$A$2821,"&lt;="&amp;EOMONTH($A34,0)),"")</f>
        <v>109.826956521739</v>
      </c>
      <c r="I34" s="10" t="n">
        <f aca="false">IFERROR(AVERAGEIFS(FX_Daily!I$15:I$2821,FX_Daily!$A$15:$A$2821,"&gt;="&amp;$A34,FX_Daily!$A$15:$A$2821,"&lt;="&amp;EOMONTH($A34,0)),"")</f>
        <v>1.18067391304348</v>
      </c>
      <c r="J34" s="10" t="n">
        <f aca="false">IFERROR(AVERAGEIFS(FX_Daily!J$15:J$2821,FX_Daily!$A$15:$A$2821,"&gt;="&amp;$A34,FX_Daily!$A$15:$A$2821,"&lt;="&amp;EOMONTH($A34,0)),"")</f>
        <v>9.32014347826087</v>
      </c>
      <c r="K34" s="10" t="n">
        <f aca="false">IFERROR(AVERAGEIFS(FX_Daily!K$15:K$2821,FX_Daily!$A$15:$A$2821,"&gt;="&amp;$A34,FX_Daily!$A$15:$A$2821,"&lt;="&amp;EOMONTH($A34,0)),"")</f>
        <v>1335.93347826087</v>
      </c>
      <c r="L34" s="10" t="n">
        <f aca="false">IFERROR(AVERAGEIFS(FX_Daily!L$15:L$2821,FX_Daily!$A$15:$A$2821,"&gt;="&amp;$A34,FX_Daily!$A$15:$A$2821,"&lt;="&amp;EOMONTH($A34,0)),"")</f>
        <v>0.911207391304348</v>
      </c>
      <c r="M34" s="10" t="n">
        <f aca="false">IFERROR(AVERAGEIFS(FX_Daily!M$15:M$2821,FX_Daily!$A$15:$A$2821,"&gt;="&amp;$A34,FX_Daily!$A$15:$A$2821,"&lt;="&amp;EOMONTH($A34,0)),"")</f>
        <v>7.87596956521739</v>
      </c>
      <c r="N34" s="10" t="n">
        <f aca="false">IFERROR(AVERAGEIFS(FX_Daily!N$15:N$2821,FX_Daily!$A$15:$A$2821,"&gt;="&amp;$A34,FX_Daily!$A$15:$A$2821,"&lt;="&amp;EOMONTH($A34,0)),"")</f>
        <v>3.72008260869565</v>
      </c>
      <c r="O34" s="10" t="n">
        <f aca="false">IFERROR(AVERAGEIFS(FX_Daily!O$15:O$2821,FX_Daily!$A$15:$A$2821,"&gt;="&amp;$A34,FX_Daily!$A$15:$A$2821,"&lt;="&amp;EOMONTH($A34,0)),"")</f>
        <v>129.70347826087</v>
      </c>
      <c r="P34" s="10" t="n">
        <f aca="false">IFERROR(AVERAGEIFS(FX_Daily!P$15:P$2821,FX_Daily!$A$15:$A$2821,"&gt;="&amp;$A34,FX_Daily!$A$15:$A$2821,"&lt;="&amp;EOMONTH($A34,0)),"")</f>
        <v>7.89430869565217</v>
      </c>
      <c r="Q34" s="15" t="n">
        <f aca="false">COUNTIFS(FX_Daily!$A$15:$A$2821,"&gt;="&amp;$A34,FX_Daily!$A$15:$A$2821,"&lt;="&amp;EOMONTH($A34,0),FX_Daily!C$15:C$2821,"&gt;0")</f>
        <v>23</v>
      </c>
      <c r="R34" s="16" t="str">
        <f aca="false">IF(EOMONTH($A34,0)&gt;FX_Daily!$C$11,"partial month","complete")</f>
        <v>complete</v>
      </c>
    </row>
    <row r="35" customFormat="false" ht="15" hidden="false" customHeight="false" outlineLevel="0" collapsed="false">
      <c r="A35" s="17" t="n">
        <v>42979</v>
      </c>
      <c r="B35" s="10" t="n">
        <f aca="false">IFERROR(AVERAGEIFS(FX_Daily!B$15:B$2821,FX_Daily!$A$15:$A$2821,"&gt;="&amp;$A35,FX_Daily!$A$15:$A$2821,"&lt;="&amp;EOMONTH($A35,0)),"")</f>
        <v>1131.599</v>
      </c>
      <c r="C35" s="10" t="n">
        <f aca="false">IFERROR(AVERAGEIFS(FX_Daily!C$15:C$2821,FX_Daily!$A$15:$A$2821,"&gt;="&amp;$A35,FX_Daily!$A$15:$A$2821,"&lt;="&amp;EOMONTH($A35,0)),"")</f>
        <v>7.838235</v>
      </c>
      <c r="D35" s="10" t="n">
        <f aca="false">IFERROR(AVERAGEIFS(FX_Daily!D$15:D$2821,FX_Daily!$A$15:$A$2821,"&gt;="&amp;$A35,FX_Daily!$A$15:$A$2821,"&lt;="&amp;EOMONTH($A35,0)),"")</f>
        <v>1.334</v>
      </c>
      <c r="E35" s="10" t="n">
        <f aca="false">IFERROR(AVERAGEIFS(FX_Daily!E$15:E$2821,FX_Daily!$A$15:$A$2821,"&gt;="&amp;$A35,FX_Daily!$A$15:$A$2821,"&lt;="&amp;EOMONTH($A35,0)),"")</f>
        <v>1.191335</v>
      </c>
      <c r="F35" s="10" t="n">
        <f aca="false">IFERROR(AVERAGEIFS(FX_Daily!F$15:F$2821,FX_Daily!$A$15:$A$2821,"&gt;="&amp;$A35,FX_Daily!$A$15:$A$2821,"&lt;="&amp;EOMONTH($A35,0)),"")</f>
        <v>6.56899</v>
      </c>
      <c r="G35" s="10" t="n">
        <f aca="false">IFERROR(AVERAGEIFS(FX_Daily!G$15:G$2821,FX_Daily!$A$15:$A$2821,"&gt;="&amp;$A35,FX_Daily!$A$15:$A$2821,"&lt;="&amp;EOMONTH($A35,0)),"")</f>
        <v>3.132515</v>
      </c>
      <c r="H35" s="10" t="n">
        <f aca="false">IFERROR(AVERAGEIFS(FX_Daily!H$15:H$2821,FX_Daily!$A$15:$A$2821,"&gt;="&amp;$A35,FX_Daily!$A$15:$A$2821,"&lt;="&amp;EOMONTH($A35,0)),"")</f>
        <v>110.776</v>
      </c>
      <c r="I35" s="10" t="n">
        <f aca="false">IFERROR(AVERAGEIFS(FX_Daily!I$15:I$2821,FX_Daily!$A$15:$A$2821,"&gt;="&amp;$A35,FX_Daily!$A$15:$A$2821,"&lt;="&amp;EOMONTH($A35,0)),"")</f>
        <v>1.19145714285714</v>
      </c>
      <c r="J35" s="10" t="n">
        <f aca="false">IFERROR(AVERAGEIFS(FX_Daily!J$15:J$2821,FX_Daily!$A$15:$A$2821,"&gt;="&amp;$A35,FX_Daily!$A$15:$A$2821,"&lt;="&amp;EOMONTH($A35,0)),"")</f>
        <v>9.3274619047619</v>
      </c>
      <c r="K35" s="10" t="n">
        <f aca="false">IFERROR(AVERAGEIFS(FX_Daily!K$15:K$2821,FX_Daily!$A$15:$A$2821,"&gt;="&amp;$A35,FX_Daily!$A$15:$A$2821,"&lt;="&amp;EOMONTH($A35,0)),"")</f>
        <v>1348.89333333333</v>
      </c>
      <c r="L35" s="10" t="n">
        <f aca="false">IFERROR(AVERAGEIFS(FX_Daily!L$15:L$2821,FX_Daily!$A$15:$A$2821,"&gt;="&amp;$A35,FX_Daily!$A$15:$A$2821,"&lt;="&amp;EOMONTH($A35,0)),"")</f>
        <v>0.894700952380953</v>
      </c>
      <c r="M35" s="10" t="n">
        <f aca="false">IFERROR(AVERAGEIFS(FX_Daily!M$15:M$2821,FX_Daily!$A$15:$A$2821,"&gt;="&amp;$A35,FX_Daily!$A$15:$A$2821,"&lt;="&amp;EOMONTH($A35,0)),"")</f>
        <v>7.82570476190476</v>
      </c>
      <c r="N35" s="10" t="n">
        <f aca="false">IFERROR(AVERAGEIFS(FX_Daily!N$15:N$2821,FX_Daily!$A$15:$A$2821,"&gt;="&amp;$A35,FX_Daily!$A$15:$A$2821,"&lt;="&amp;EOMONTH($A35,0)),"")</f>
        <v>3.73164285714286</v>
      </c>
      <c r="O35" s="10" t="n">
        <f aca="false">IFERROR(AVERAGEIFS(FX_Daily!O$15:O$2821,FX_Daily!$A$15:$A$2821,"&gt;="&amp;$A35,FX_Daily!$A$15:$A$2821,"&lt;="&amp;EOMONTH($A35,0)),"")</f>
        <v>131.92380952381</v>
      </c>
      <c r="P35" s="10" t="n">
        <f aca="false">IFERROR(AVERAGEIFS(FX_Daily!P$15:P$2821,FX_Daily!$A$15:$A$2821,"&gt;="&amp;$A35,FX_Daily!$A$15:$A$2821,"&lt;="&amp;EOMONTH($A35,0)),"")</f>
        <v>7.82896666666667</v>
      </c>
      <c r="Q35" s="15" t="n">
        <f aca="false">COUNTIFS(FX_Daily!$A$15:$A$2821,"&gt;="&amp;$A35,FX_Daily!$A$15:$A$2821,"&lt;="&amp;EOMONTH($A35,0),FX_Daily!C$15:C$2821,"&gt;0")</f>
        <v>20</v>
      </c>
      <c r="R35" s="16" t="str">
        <f aca="false">IF(EOMONTH($A35,0)&gt;FX_Daily!$C$11,"partial month","complete")</f>
        <v>complete</v>
      </c>
    </row>
    <row r="36" customFormat="false" ht="15" hidden="false" customHeight="false" outlineLevel="0" collapsed="false">
      <c r="A36" s="17" t="n">
        <v>43009</v>
      </c>
      <c r="B36" s="10" t="n">
        <f aca="false">IFERROR(AVERAGEIFS(FX_Daily!B$15:B$2821,FX_Daily!$A$15:$A$2821,"&gt;="&amp;$A36,FX_Daily!$A$15:$A$2821,"&lt;="&amp;EOMONTH($A36,0)),"")</f>
        <v>1130.88380952381</v>
      </c>
      <c r="C36" s="10" t="n">
        <f aca="false">IFERROR(AVERAGEIFS(FX_Daily!C$15:C$2821,FX_Daily!$A$15:$A$2821,"&gt;="&amp;$A36,FX_Daily!$A$15:$A$2821,"&lt;="&amp;EOMONTH($A36,0)),"")</f>
        <v>7.99697619047619</v>
      </c>
      <c r="D36" s="10" t="n">
        <f aca="false">IFERROR(AVERAGEIFS(FX_Daily!D$15:D$2821,FX_Daily!$A$15:$A$2821,"&gt;="&amp;$A36,FX_Daily!$A$15:$A$2821,"&lt;="&amp;EOMONTH($A36,0)),"")</f>
        <v>1.32017619047619</v>
      </c>
      <c r="E36" s="10" t="n">
        <f aca="false">IFERROR(AVERAGEIFS(FX_Daily!E$15:E$2821,FX_Daily!$A$15:$A$2821,"&gt;="&amp;$A36,FX_Daily!$A$15:$A$2821,"&lt;="&amp;EOMONTH($A36,0)),"")</f>
        <v>1.17554761904762</v>
      </c>
      <c r="F36" s="10" t="n">
        <f aca="false">IFERROR(AVERAGEIFS(FX_Daily!F$15:F$2821,FX_Daily!$A$15:$A$2821,"&gt;="&amp;$A36,FX_Daily!$A$15:$A$2821,"&lt;="&amp;EOMONTH($A36,0)),"")</f>
        <v>6.6254</v>
      </c>
      <c r="G36" s="10" t="n">
        <f aca="false">IFERROR(AVERAGEIFS(FX_Daily!G$15:G$2821,FX_Daily!$A$15:$A$2821,"&gt;="&amp;$A36,FX_Daily!$A$15:$A$2821,"&lt;="&amp;EOMONTH($A36,0)),"")</f>
        <v>3.19226666666667</v>
      </c>
      <c r="H36" s="10" t="n">
        <f aca="false">IFERROR(AVERAGEIFS(FX_Daily!H$15:H$2821,FX_Daily!$A$15:$A$2821,"&gt;="&amp;$A36,FX_Daily!$A$15:$A$2821,"&lt;="&amp;EOMONTH($A36,0)),"")</f>
        <v>112.914761904762</v>
      </c>
      <c r="I36" s="10" t="n">
        <f aca="false">IFERROR(AVERAGEIFS(FX_Daily!I$15:I$2821,FX_Daily!$A$15:$A$2821,"&gt;="&amp;$A36,FX_Daily!$A$15:$A$2821,"&lt;="&amp;EOMONTH($A36,0)),"")</f>
        <v>1.17558636363636</v>
      </c>
      <c r="J36" s="10" t="n">
        <f aca="false">IFERROR(AVERAGEIFS(FX_Daily!J$15:J$2821,FX_Daily!$A$15:$A$2821,"&gt;="&amp;$A36,FX_Daily!$A$15:$A$2821,"&lt;="&amp;EOMONTH($A36,0)),"")</f>
        <v>9.39756818181818</v>
      </c>
      <c r="K36" s="10" t="n">
        <f aca="false">IFERROR(AVERAGEIFS(FX_Daily!K$15:K$2821,FX_Daily!$A$15:$A$2821,"&gt;="&amp;$A36,FX_Daily!$A$15:$A$2821,"&lt;="&amp;EOMONTH($A36,0)),"")</f>
        <v>1331.00636363636</v>
      </c>
      <c r="L36" s="10" t="n">
        <f aca="false">IFERROR(AVERAGEIFS(FX_Daily!L$15:L$2821,FX_Daily!$A$15:$A$2821,"&gt;="&amp;$A36,FX_Daily!$A$15:$A$2821,"&lt;="&amp;EOMONTH($A36,0)),"")</f>
        <v>0.890714090909091</v>
      </c>
      <c r="M36" s="10" t="n">
        <f aca="false">IFERROR(AVERAGEIFS(FX_Daily!M$15:M$2821,FX_Daily!$A$15:$A$2821,"&gt;="&amp;$A36,FX_Daily!$A$15:$A$2821,"&lt;="&amp;EOMONTH($A36,0)),"")</f>
        <v>7.78904090909091</v>
      </c>
      <c r="N36" s="10" t="n">
        <f aca="false">IFERROR(AVERAGEIFS(FX_Daily!N$15:N$2821,FX_Daily!$A$15:$A$2821,"&gt;="&amp;$A36,FX_Daily!$A$15:$A$2821,"&lt;="&amp;EOMONTH($A36,0)),"")</f>
        <v>3.75027727272727</v>
      </c>
      <c r="O36" s="10" t="n">
        <f aca="false">IFERROR(AVERAGEIFS(FX_Daily!O$15:O$2821,FX_Daily!$A$15:$A$2821,"&gt;="&amp;$A36,FX_Daily!$A$15:$A$2821,"&lt;="&amp;EOMONTH($A36,0)),"")</f>
        <v>132.763181818182</v>
      </c>
      <c r="P36" s="10" t="n">
        <f aca="false">IFERROR(AVERAGEIFS(FX_Daily!P$15:P$2821,FX_Daily!$A$15:$A$2821,"&gt;="&amp;$A36,FX_Daily!$A$15:$A$2821,"&lt;="&amp;EOMONTH($A36,0)),"")</f>
        <v>7.99437727272727</v>
      </c>
      <c r="Q36" s="15" t="n">
        <f aca="false">COUNTIFS(FX_Daily!$A$15:$A$2821,"&gt;="&amp;$A36,FX_Daily!$A$15:$A$2821,"&lt;="&amp;EOMONTH($A36,0),FX_Daily!C$15:C$2821,"&gt;0")</f>
        <v>21</v>
      </c>
      <c r="R36" s="16" t="str">
        <f aca="false">IF(EOMONTH($A36,0)&gt;FX_Daily!$C$11,"partial month","complete")</f>
        <v>complete</v>
      </c>
    </row>
    <row r="37" customFormat="false" ht="15" hidden="false" customHeight="false" outlineLevel="0" collapsed="false">
      <c r="A37" s="17" t="n">
        <v>43040</v>
      </c>
      <c r="B37" s="10" t="n">
        <f aca="false">IFERROR(AVERAGEIFS(FX_Daily!B$15:B$2821,FX_Daily!$A$15:$A$2821,"&gt;="&amp;$A37,FX_Daily!$A$15:$A$2821,"&lt;="&amp;EOMONTH($A37,0)),"")</f>
        <v>1099.7945</v>
      </c>
      <c r="C37" s="10" t="n">
        <f aca="false">IFERROR(AVERAGEIFS(FX_Daily!C$15:C$2821,FX_Daily!$A$15:$A$2821,"&gt;="&amp;$A37,FX_Daily!$A$15:$A$2821,"&lt;="&amp;EOMONTH($A37,0)),"")</f>
        <v>8.19456</v>
      </c>
      <c r="D37" s="10" t="n">
        <f aca="false">IFERROR(AVERAGEIFS(FX_Daily!D$15:D$2821,FX_Daily!$A$15:$A$2821,"&gt;="&amp;$A37,FX_Daily!$A$15:$A$2821,"&lt;="&amp;EOMONTH($A37,0)),"")</f>
        <v>1.321745</v>
      </c>
      <c r="E37" s="10" t="n">
        <f aca="false">IFERROR(AVERAGEIFS(FX_Daily!E$15:E$2821,FX_Daily!$A$15:$A$2821,"&gt;="&amp;$A37,FX_Daily!$A$15:$A$2821,"&lt;="&amp;EOMONTH($A37,0)),"")</f>
        <v>1.174295</v>
      </c>
      <c r="F37" s="10" t="n">
        <f aca="false">IFERROR(AVERAGEIFS(FX_Daily!F$15:F$2821,FX_Daily!$A$15:$A$2821,"&gt;="&amp;$A37,FX_Daily!$A$15:$A$2821,"&lt;="&amp;EOMONTH($A37,0)),"")</f>
        <v>6.620015</v>
      </c>
      <c r="G37" s="10" t="n">
        <f aca="false">IFERROR(AVERAGEIFS(FX_Daily!G$15:G$2821,FX_Daily!$A$15:$A$2821,"&gt;="&amp;$A37,FX_Daily!$A$15:$A$2821,"&lt;="&amp;EOMONTH($A37,0)),"")</f>
        <v>3.26293</v>
      </c>
      <c r="H37" s="10" t="n">
        <f aca="false">IFERROR(AVERAGEIFS(FX_Daily!H$15:H$2821,FX_Daily!$A$15:$A$2821,"&gt;="&amp;$A37,FX_Daily!$A$15:$A$2821,"&lt;="&amp;EOMONTH($A37,0)),"")</f>
        <v>112.819</v>
      </c>
      <c r="I37" s="10" t="n">
        <f aca="false">IFERROR(AVERAGEIFS(FX_Daily!I$15:I$2821,FX_Daily!$A$15:$A$2821,"&gt;="&amp;$A37,FX_Daily!$A$15:$A$2821,"&lt;="&amp;EOMONTH($A37,0)),"")</f>
        <v>1.1738</v>
      </c>
      <c r="J37" s="10" t="n">
        <f aca="false">IFERROR(AVERAGEIFS(FX_Daily!J$15:J$2821,FX_Daily!$A$15:$A$2821,"&gt;="&amp;$A37,FX_Daily!$A$15:$A$2821,"&lt;="&amp;EOMONTH($A37,0)),"")</f>
        <v>9.6082</v>
      </c>
      <c r="K37" s="10" t="n">
        <f aca="false">IFERROR(AVERAGEIFS(FX_Daily!K$15:K$2821,FX_Daily!$A$15:$A$2821,"&gt;="&amp;$A37,FX_Daily!$A$15:$A$2821,"&lt;="&amp;EOMONTH($A37,0)),"")</f>
        <v>1292.05227272727</v>
      </c>
      <c r="L37" s="10" t="n">
        <f aca="false">IFERROR(AVERAGEIFS(FX_Daily!L$15:L$2821,FX_Daily!$A$15:$A$2821,"&gt;="&amp;$A37,FX_Daily!$A$15:$A$2821,"&lt;="&amp;EOMONTH($A37,0)),"")</f>
        <v>0.887945</v>
      </c>
      <c r="M37" s="10" t="n">
        <f aca="false">IFERROR(AVERAGEIFS(FX_Daily!M$15:M$2821,FX_Daily!$A$15:$A$2821,"&gt;="&amp;$A37,FX_Daily!$A$15:$A$2821,"&lt;="&amp;EOMONTH($A37,0)),"")</f>
        <v>7.77231818181818</v>
      </c>
      <c r="N37" s="10" t="n">
        <f aca="false">IFERROR(AVERAGEIFS(FX_Daily!N$15:N$2821,FX_Daily!$A$15:$A$2821,"&gt;="&amp;$A37,FX_Daily!$A$15:$A$2821,"&lt;="&amp;EOMONTH($A37,0)),"")</f>
        <v>3.82459090909091</v>
      </c>
      <c r="O37" s="10" t="n">
        <f aca="false">IFERROR(AVERAGEIFS(FX_Daily!O$15:O$2821,FX_Daily!$A$15:$A$2821,"&gt;="&amp;$A37,FX_Daily!$A$15:$A$2821,"&lt;="&amp;EOMONTH($A37,0)),"")</f>
        <v>132.391818181818</v>
      </c>
      <c r="P37" s="10" t="n">
        <f aca="false">IFERROR(AVERAGEIFS(FX_Daily!P$15:P$2821,FX_Daily!$A$15:$A$2821,"&gt;="&amp;$A37,FX_Daily!$A$15:$A$2821,"&lt;="&amp;EOMONTH($A37,0)),"")</f>
        <v>8.18533636363637</v>
      </c>
      <c r="Q37" s="15" t="n">
        <f aca="false">COUNTIFS(FX_Daily!$A$15:$A$2821,"&gt;="&amp;$A37,FX_Daily!$A$15:$A$2821,"&lt;="&amp;EOMONTH($A37,0),FX_Daily!C$15:C$2821,"&gt;0")</f>
        <v>20</v>
      </c>
      <c r="R37" s="16" t="str">
        <f aca="false">IF(EOMONTH($A37,0)&gt;FX_Daily!$C$11,"partial month","complete")</f>
        <v>complete</v>
      </c>
    </row>
    <row r="38" customFormat="false" ht="15" hidden="false" customHeight="false" outlineLevel="0" collapsed="false">
      <c r="A38" s="17" t="n">
        <v>43070</v>
      </c>
      <c r="B38" s="10" t="n">
        <f aca="false">IFERROR(AVERAGEIFS(FX_Daily!B$15:B$2821,FX_Daily!$A$15:$A$2821,"&gt;="&amp;$A38,FX_Daily!$A$15:$A$2821,"&lt;="&amp;EOMONTH($A38,0)),"")</f>
        <v>1082.902</v>
      </c>
      <c r="C38" s="10" t="n">
        <f aca="false">IFERROR(AVERAGEIFS(FX_Daily!C$15:C$2821,FX_Daily!$A$15:$A$2821,"&gt;="&amp;$A38,FX_Daily!$A$15:$A$2821,"&lt;="&amp;EOMONTH($A38,0)),"")</f>
        <v>8.3178</v>
      </c>
      <c r="D38" s="10" t="n">
        <f aca="false">IFERROR(AVERAGEIFS(FX_Daily!D$15:D$2821,FX_Daily!$A$15:$A$2821,"&gt;="&amp;$A38,FX_Daily!$A$15:$A$2821,"&lt;="&amp;EOMONTH($A38,0)),"")</f>
        <v>1.34036</v>
      </c>
      <c r="E38" s="10" t="n">
        <f aca="false">IFERROR(AVERAGEIFS(FX_Daily!E$15:E$2821,FX_Daily!$A$15:$A$2821,"&gt;="&amp;$A38,FX_Daily!$A$15:$A$2821,"&lt;="&amp;EOMONTH($A38,0)),"")</f>
        <v>1.183615</v>
      </c>
      <c r="F38" s="10" t="n">
        <f aca="false">IFERROR(AVERAGEIFS(FX_Daily!F$15:F$2821,FX_Daily!$A$15:$A$2821,"&gt;="&amp;$A38,FX_Daily!$A$15:$A$2821,"&lt;="&amp;EOMONTH($A38,0)),"")</f>
        <v>6.593195</v>
      </c>
      <c r="G38" s="10" t="n">
        <f aca="false">IFERROR(AVERAGEIFS(FX_Daily!G$15:G$2821,FX_Daily!$A$15:$A$2821,"&gt;="&amp;$A38,FX_Daily!$A$15:$A$2821,"&lt;="&amp;EOMONTH($A38,0)),"")</f>
        <v>3.29496</v>
      </c>
      <c r="H38" s="10" t="n">
        <f aca="false">IFERROR(AVERAGEIFS(FX_Daily!H$15:H$2821,FX_Daily!$A$15:$A$2821,"&gt;="&amp;$A38,FX_Daily!$A$15:$A$2821,"&lt;="&amp;EOMONTH($A38,0)),"")</f>
        <v>112.9405</v>
      </c>
      <c r="I38" s="10" t="n">
        <f aca="false">IFERROR(AVERAGEIFS(FX_Daily!I$15:I$2821,FX_Daily!$A$15:$A$2821,"&gt;="&amp;$A38,FX_Daily!$A$15:$A$2821,"&lt;="&amp;EOMONTH($A38,0)),"")</f>
        <v>1.18362105263158</v>
      </c>
      <c r="J38" s="10" t="n">
        <f aca="false">IFERROR(AVERAGEIFS(FX_Daily!J$15:J$2821,FX_Daily!$A$15:$A$2821,"&gt;="&amp;$A38,FX_Daily!$A$15:$A$2821,"&lt;="&amp;EOMONTH($A38,0)),"")</f>
        <v>9.84124210526316</v>
      </c>
      <c r="K38" s="10" t="n">
        <f aca="false">IFERROR(AVERAGEIFS(FX_Daily!K$15:K$2821,FX_Daily!$A$15:$A$2821,"&gt;="&amp;$A38,FX_Daily!$A$15:$A$2821,"&lt;="&amp;EOMONTH($A38,0)),"")</f>
        <v>1283.39052631579</v>
      </c>
      <c r="L38" s="10" t="n">
        <f aca="false">IFERROR(AVERAGEIFS(FX_Daily!L$15:L$2821,FX_Daily!$A$15:$A$2821,"&gt;="&amp;$A38,FX_Daily!$A$15:$A$2821,"&lt;="&amp;EOMONTH($A38,0)),"")</f>
        <v>0.882648947368421</v>
      </c>
      <c r="M38" s="10" t="n">
        <f aca="false">IFERROR(AVERAGEIFS(FX_Daily!M$15:M$2821,FX_Daily!$A$15:$A$2821,"&gt;="&amp;$A38,FX_Daily!$A$15:$A$2821,"&lt;="&amp;EOMONTH($A38,0)),"")</f>
        <v>7.80732631578947</v>
      </c>
      <c r="N38" s="10" t="n">
        <f aca="false">IFERROR(AVERAGEIFS(FX_Daily!N$15:N$2821,FX_Daily!$A$15:$A$2821,"&gt;="&amp;$A38,FX_Daily!$A$15:$A$2821,"&lt;="&amp;EOMONTH($A38,0)),"")</f>
        <v>3.89405789473684</v>
      </c>
      <c r="O38" s="10" t="n">
        <f aca="false">IFERROR(AVERAGEIFS(FX_Daily!O$15:O$2821,FX_Daily!$A$15:$A$2821,"&gt;="&amp;$A38,FX_Daily!$A$15:$A$2821,"&lt;="&amp;EOMONTH($A38,0)),"")</f>
        <v>133.638421052632</v>
      </c>
      <c r="P38" s="10" t="n">
        <f aca="false">IFERROR(AVERAGEIFS(FX_Daily!P$15:P$2821,FX_Daily!$A$15:$A$2821,"&gt;="&amp;$A38,FX_Daily!$A$15:$A$2821,"&lt;="&amp;EOMONTH($A38,0)),"")</f>
        <v>8.31465263157895</v>
      </c>
      <c r="Q38" s="15" t="n">
        <f aca="false">COUNTIFS(FX_Daily!$A$15:$A$2821,"&gt;="&amp;$A38,FX_Daily!$A$15:$A$2821,"&lt;="&amp;EOMONTH($A38,0),FX_Daily!C$15:C$2821,"&gt;0")</f>
        <v>20</v>
      </c>
      <c r="R38" s="16" t="str">
        <f aca="false">IF(EOMONTH($A38,0)&gt;FX_Daily!$C$11,"partial month","complete")</f>
        <v>complete</v>
      </c>
    </row>
    <row r="39" customFormat="false" ht="15" hidden="false" customHeight="false" outlineLevel="0" collapsed="false">
      <c r="A39" s="17" t="n">
        <v>43101</v>
      </c>
      <c r="B39" s="10" t="n">
        <f aca="false">IFERROR(AVERAGEIFS(FX_Daily!B$15:B$2821,FX_Daily!$A$15:$A$2821,"&gt;="&amp;$A39,FX_Daily!$A$15:$A$2821,"&lt;="&amp;EOMONTH($A39,0)),"")</f>
        <v>1065.64095238095</v>
      </c>
      <c r="C39" s="10" t="n">
        <f aca="false">IFERROR(AVERAGEIFS(FX_Daily!C$15:C$2821,FX_Daily!$A$15:$A$2821,"&gt;="&amp;$A39,FX_Daily!$A$15:$A$2821,"&lt;="&amp;EOMONTH($A39,0)),"")</f>
        <v>7.90385714285714</v>
      </c>
      <c r="D39" s="10" t="n">
        <f aca="false">IFERROR(AVERAGEIFS(FX_Daily!D$15:D$2821,FX_Daily!$A$15:$A$2821,"&gt;="&amp;$A39,FX_Daily!$A$15:$A$2821,"&lt;="&amp;EOMONTH($A39,0)),"")</f>
        <v>1.38238571428571</v>
      </c>
      <c r="E39" s="10" t="n">
        <f aca="false">IFERROR(AVERAGEIFS(FX_Daily!E$15:E$2821,FX_Daily!$A$15:$A$2821,"&gt;="&amp;$A39,FX_Daily!$A$15:$A$2821,"&lt;="&amp;EOMONTH($A39,0)),"")</f>
        <v>1.21965238095238</v>
      </c>
      <c r="F39" s="10" t="n">
        <f aca="false">IFERROR(AVERAGEIFS(FX_Daily!F$15:F$2821,FX_Daily!$A$15:$A$2821,"&gt;="&amp;$A39,FX_Daily!$A$15:$A$2821,"&lt;="&amp;EOMONTH($A39,0)),"")</f>
        <v>6.42329523809524</v>
      </c>
      <c r="G39" s="10" t="n">
        <f aca="false">IFERROR(AVERAGEIFS(FX_Daily!G$15:G$2821,FX_Daily!$A$15:$A$2821,"&gt;="&amp;$A39,FX_Daily!$A$15:$A$2821,"&lt;="&amp;EOMONTH($A39,0)),"")</f>
        <v>3.21152380952381</v>
      </c>
      <c r="H39" s="10" t="n">
        <f aca="false">IFERROR(AVERAGEIFS(FX_Daily!H$15:H$2821,FX_Daily!$A$15:$A$2821,"&gt;="&amp;$A39,FX_Daily!$A$15:$A$2821,"&lt;="&amp;EOMONTH($A39,0)),"")</f>
        <v>110.870952380952</v>
      </c>
      <c r="I39" s="10" t="n">
        <f aca="false">IFERROR(AVERAGEIFS(FX_Daily!I$15:I$2821,FX_Daily!$A$15:$A$2821,"&gt;="&amp;$A39,FX_Daily!$A$15:$A$2821,"&lt;="&amp;EOMONTH($A39,0)),"")</f>
        <v>1.21995</v>
      </c>
      <c r="J39" s="10" t="n">
        <f aca="false">IFERROR(AVERAGEIFS(FX_Daily!J$15:J$2821,FX_Daily!$A$15:$A$2821,"&gt;="&amp;$A39,FX_Daily!$A$15:$A$2821,"&lt;="&amp;EOMONTH($A39,0)),"")</f>
        <v>9.64641363636364</v>
      </c>
      <c r="K39" s="10" t="n">
        <f aca="false">IFERROR(AVERAGEIFS(FX_Daily!K$15:K$2821,FX_Daily!$A$15:$A$2821,"&gt;="&amp;$A39,FX_Daily!$A$15:$A$2821,"&lt;="&amp;EOMONTH($A39,0)),"")</f>
        <v>1300.92772727273</v>
      </c>
      <c r="L39" s="10" t="n">
        <f aca="false">IFERROR(AVERAGEIFS(FX_Daily!L$15:L$2821,FX_Daily!$A$15:$A$2821,"&gt;="&amp;$A39,FX_Daily!$A$15:$A$2821,"&lt;="&amp;EOMONTH($A39,0)),"")</f>
        <v>0.883311363636364</v>
      </c>
      <c r="M39" s="10" t="n">
        <f aca="false">IFERROR(AVERAGEIFS(FX_Daily!M$15:M$2821,FX_Daily!$A$15:$A$2821,"&gt;="&amp;$A39,FX_Daily!$A$15:$A$2821,"&lt;="&amp;EOMONTH($A39,0)),"")</f>
        <v>7.83981363636364</v>
      </c>
      <c r="N39" s="10" t="n">
        <f aca="false">IFERROR(AVERAGEIFS(FX_Daily!N$15:N$2821,FX_Daily!$A$15:$A$2821,"&gt;="&amp;$A39,FX_Daily!$A$15:$A$2821,"&lt;="&amp;EOMONTH($A39,0)),"")</f>
        <v>3.91697272727273</v>
      </c>
      <c r="O39" s="10" t="n">
        <f aca="false">IFERROR(AVERAGEIFS(FX_Daily!O$15:O$2821,FX_Daily!$A$15:$A$2821,"&gt;="&amp;$A39,FX_Daily!$A$15:$A$2821,"&lt;="&amp;EOMONTH($A39,0)),"")</f>
        <v>135.254545454545</v>
      </c>
      <c r="P39" s="10" t="n">
        <f aca="false">IFERROR(AVERAGEIFS(FX_Daily!P$15:P$2821,FX_Daily!$A$15:$A$2821,"&gt;="&amp;$A39,FX_Daily!$A$15:$A$2821,"&lt;="&amp;EOMONTH($A39,0)),"")</f>
        <v>7.90916363636364</v>
      </c>
      <c r="Q39" s="15" t="n">
        <f aca="false">COUNTIFS(FX_Daily!$A$15:$A$2821,"&gt;="&amp;$A39,FX_Daily!$A$15:$A$2821,"&lt;="&amp;EOMONTH($A39,0),FX_Daily!C$15:C$2821,"&gt;0")</f>
        <v>21</v>
      </c>
      <c r="R39" s="16" t="str">
        <f aca="false">IF(EOMONTH($A39,0)&gt;FX_Daily!$C$11,"partial month","complete")</f>
        <v>complete</v>
      </c>
    </row>
    <row r="40" customFormat="false" ht="15" hidden="false" customHeight="false" outlineLevel="0" collapsed="false">
      <c r="A40" s="17" t="n">
        <v>43132</v>
      </c>
      <c r="B40" s="10" t="n">
        <f aca="false">IFERROR(AVERAGEIFS(FX_Daily!B$15:B$2821,FX_Daily!$A$15:$A$2821,"&gt;="&amp;$A40,FX_Daily!$A$15:$A$2821,"&lt;="&amp;EOMONTH($A40,0)),"")</f>
        <v>1078.47473684211</v>
      </c>
      <c r="C40" s="10" t="n">
        <f aca="false">IFERROR(AVERAGEIFS(FX_Daily!C$15:C$2821,FX_Daily!$A$15:$A$2821,"&gt;="&amp;$A40,FX_Daily!$A$15:$A$2821,"&lt;="&amp;EOMONTH($A40,0)),"")</f>
        <v>7.83941578947368</v>
      </c>
      <c r="D40" s="10" t="n">
        <f aca="false">IFERROR(AVERAGEIFS(FX_Daily!D$15:D$2821,FX_Daily!$A$15:$A$2821,"&gt;="&amp;$A40,FX_Daily!$A$15:$A$2821,"&lt;="&amp;EOMONTH($A40,0)),"")</f>
        <v>1.39608421052632</v>
      </c>
      <c r="E40" s="10" t="n">
        <f aca="false">IFERROR(AVERAGEIFS(FX_Daily!E$15:E$2821,FX_Daily!$A$15:$A$2821,"&gt;="&amp;$A40,FX_Daily!$A$15:$A$2821,"&lt;="&amp;EOMONTH($A40,0)),"")</f>
        <v>1.23396842105263</v>
      </c>
      <c r="F40" s="10" t="n">
        <f aca="false">IFERROR(AVERAGEIFS(FX_Daily!F$15:F$2821,FX_Daily!$A$15:$A$2821,"&gt;="&amp;$A40,FX_Daily!$A$15:$A$2821,"&lt;="&amp;EOMONTH($A40,0)),"")</f>
        <v>6.31831578947368</v>
      </c>
      <c r="G40" s="10" t="n">
        <f aca="false">IFERROR(AVERAGEIFS(FX_Daily!G$15:G$2821,FX_Daily!$A$15:$A$2821,"&gt;="&amp;$A40,FX_Daily!$A$15:$A$2821,"&lt;="&amp;EOMONTH($A40,0)),"")</f>
        <v>3.25065263157895</v>
      </c>
      <c r="H40" s="10" t="n">
        <f aca="false">IFERROR(AVERAGEIFS(FX_Daily!H$15:H$2821,FX_Daily!$A$15:$A$2821,"&gt;="&amp;$A40,FX_Daily!$A$15:$A$2821,"&lt;="&amp;EOMONTH($A40,0)),"")</f>
        <v>107.97</v>
      </c>
      <c r="I40" s="10" t="n">
        <f aca="false">IFERROR(AVERAGEIFS(FX_Daily!I$15:I$2821,FX_Daily!$A$15:$A$2821,"&gt;="&amp;$A40,FX_Daily!$A$15:$A$2821,"&lt;="&amp;EOMONTH($A40,0)),"")</f>
        <v>1.23478</v>
      </c>
      <c r="J40" s="10" t="n">
        <f aca="false">IFERROR(AVERAGEIFS(FX_Daily!J$15:J$2821,FX_Daily!$A$15:$A$2821,"&gt;="&amp;$A40,FX_Daily!$A$15:$A$2821,"&lt;="&amp;EOMONTH($A40,0)),"")</f>
        <v>9.67115</v>
      </c>
      <c r="K40" s="10" t="n">
        <f aca="false">IFERROR(AVERAGEIFS(FX_Daily!K$15:K$2821,FX_Daily!$A$15:$A$2821,"&gt;="&amp;$A40,FX_Daily!$A$15:$A$2821,"&lt;="&amp;EOMONTH($A40,0)),"")</f>
        <v>1331.471</v>
      </c>
      <c r="L40" s="10" t="n">
        <f aca="false">IFERROR(AVERAGEIFS(FX_Daily!L$15:L$2821,FX_Daily!$A$15:$A$2821,"&gt;="&amp;$A40,FX_Daily!$A$15:$A$2821,"&lt;="&amp;EOMONTH($A40,0)),"")</f>
        <v>0.883964</v>
      </c>
      <c r="M40" s="10" t="n">
        <f aca="false">IFERROR(AVERAGEIFS(FX_Daily!M$15:M$2821,FX_Daily!$A$15:$A$2821,"&gt;="&amp;$A40,FX_Daily!$A$15:$A$2821,"&lt;="&amp;EOMONTH($A40,0)),"")</f>
        <v>7.806785</v>
      </c>
      <c r="N40" s="10" t="n">
        <f aca="false">IFERROR(AVERAGEIFS(FX_Daily!N$15:N$2821,FX_Daily!$A$15:$A$2821,"&gt;="&amp;$A40,FX_Daily!$A$15:$A$2821,"&lt;="&amp;EOMONTH($A40,0)),"")</f>
        <v>4.010905</v>
      </c>
      <c r="O40" s="10" t="n">
        <f aca="false">IFERROR(AVERAGEIFS(FX_Daily!O$15:O$2821,FX_Daily!$A$15:$A$2821,"&gt;="&amp;$A40,FX_Daily!$A$15:$A$2821,"&lt;="&amp;EOMONTH($A40,0)),"")</f>
        <v>133.293</v>
      </c>
      <c r="P40" s="10" t="n">
        <f aca="false">IFERROR(AVERAGEIFS(FX_Daily!P$15:P$2821,FX_Daily!$A$15:$A$2821,"&gt;="&amp;$A40,FX_Daily!$A$15:$A$2821,"&lt;="&amp;EOMONTH($A40,0)),"")</f>
        <v>7.83272</v>
      </c>
      <c r="Q40" s="15" t="n">
        <f aca="false">COUNTIFS(FX_Daily!$A$15:$A$2821,"&gt;="&amp;$A40,FX_Daily!$A$15:$A$2821,"&lt;="&amp;EOMONTH($A40,0),FX_Daily!C$15:C$2821,"&gt;0")</f>
        <v>19</v>
      </c>
      <c r="R40" s="16" t="str">
        <f aca="false">IF(EOMONTH($A40,0)&gt;FX_Daily!$C$11,"partial month","complete")</f>
        <v>complete</v>
      </c>
    </row>
    <row r="41" customFormat="false" ht="15" hidden="false" customHeight="false" outlineLevel="0" collapsed="false">
      <c r="A41" s="17" t="n">
        <v>43160</v>
      </c>
      <c r="B41" s="10" t="n">
        <f aca="false">IFERROR(AVERAGEIFS(FX_Daily!B$15:B$2821,FX_Daily!$A$15:$A$2821,"&gt;="&amp;$A41,FX_Daily!$A$15:$A$2821,"&lt;="&amp;EOMONTH($A41,0)),"")</f>
        <v>1069.94181818182</v>
      </c>
      <c r="C41" s="10" t="n">
        <f aca="false">IFERROR(AVERAGEIFS(FX_Daily!C$15:C$2821,FX_Daily!$A$15:$A$2821,"&gt;="&amp;$A41,FX_Daily!$A$15:$A$2821,"&lt;="&amp;EOMONTH($A41,0)),"")</f>
        <v>7.77017272727273</v>
      </c>
      <c r="D41" s="10" t="n">
        <f aca="false">IFERROR(AVERAGEIFS(FX_Daily!D$15:D$2821,FX_Daily!$A$15:$A$2821,"&gt;="&amp;$A41,FX_Daily!$A$15:$A$2821,"&lt;="&amp;EOMONTH($A41,0)),"")</f>
        <v>1.39755909090909</v>
      </c>
      <c r="E41" s="10" t="n">
        <f aca="false">IFERROR(AVERAGEIFS(FX_Daily!E$15:E$2821,FX_Daily!$A$15:$A$2821,"&gt;="&amp;$A41,FX_Daily!$A$15:$A$2821,"&lt;="&amp;EOMONTH($A41,0)),"")</f>
        <v>1.23339545454545</v>
      </c>
      <c r="F41" s="10" t="n">
        <f aca="false">IFERROR(AVERAGEIFS(FX_Daily!F$15:F$2821,FX_Daily!$A$15:$A$2821,"&gt;="&amp;$A41,FX_Daily!$A$15:$A$2821,"&lt;="&amp;EOMONTH($A41,0)),"")</f>
        <v>6.31736818181818</v>
      </c>
      <c r="G41" s="10" t="n">
        <f aca="false">IFERROR(AVERAGEIFS(FX_Daily!G$15:G$2821,FX_Daily!$A$15:$A$2821,"&gt;="&amp;$A41,FX_Daily!$A$15:$A$2821,"&lt;="&amp;EOMONTH($A41,0)),"")</f>
        <v>3.27896818181818</v>
      </c>
      <c r="H41" s="10" t="n">
        <f aca="false">IFERROR(AVERAGEIFS(FX_Daily!H$15:H$2821,FX_Daily!$A$15:$A$2821,"&gt;="&amp;$A41,FX_Daily!$A$15:$A$2821,"&lt;="&amp;EOMONTH($A41,0)),"")</f>
        <v>106.046818181818</v>
      </c>
      <c r="I41" s="10" t="n">
        <f aca="false">IFERROR(AVERAGEIFS(FX_Daily!I$15:I$2821,FX_Daily!$A$15:$A$2821,"&gt;="&amp;$A41,FX_Daily!$A$15:$A$2821,"&lt;="&amp;EOMONTH($A41,0)),"")</f>
        <v>1.23361904761905</v>
      </c>
      <c r="J41" s="10" t="n">
        <f aca="false">IFERROR(AVERAGEIFS(FX_Daily!J$15:J$2821,FX_Daily!$A$15:$A$2821,"&gt;="&amp;$A41,FX_Daily!$A$15:$A$2821,"&lt;="&amp;EOMONTH($A41,0)),"")</f>
        <v>9.58475238095238</v>
      </c>
      <c r="K41" s="10" t="n">
        <f aca="false">IFERROR(AVERAGEIFS(FX_Daily!K$15:K$2821,FX_Daily!$A$15:$A$2821,"&gt;="&amp;$A41,FX_Daily!$A$15:$A$2821,"&lt;="&amp;EOMONTH($A41,0)),"")</f>
        <v>1321.99238095238</v>
      </c>
      <c r="L41" s="10" t="n">
        <f aca="false">IFERROR(AVERAGEIFS(FX_Daily!L$15:L$2821,FX_Daily!$A$15:$A$2821,"&gt;="&amp;$A41,FX_Daily!$A$15:$A$2821,"&lt;="&amp;EOMONTH($A41,0)),"")</f>
        <v>0.882870476190476</v>
      </c>
      <c r="M41" s="10" t="n">
        <f aca="false">IFERROR(AVERAGEIFS(FX_Daily!M$15:M$2821,FX_Daily!$A$15:$A$2821,"&gt;="&amp;$A41,FX_Daily!$A$15:$A$2821,"&lt;="&amp;EOMONTH($A41,0)),"")</f>
        <v>7.79815238095238</v>
      </c>
      <c r="N41" s="10" t="n">
        <f aca="false">IFERROR(AVERAGEIFS(FX_Daily!N$15:N$2821,FX_Daily!$A$15:$A$2821,"&gt;="&amp;$A41,FX_Daily!$A$15:$A$2821,"&lt;="&amp;EOMONTH($A41,0)),"")</f>
        <v>4.04255238095238</v>
      </c>
      <c r="O41" s="10" t="n">
        <f aca="false">IFERROR(AVERAGEIFS(FX_Daily!O$15:O$2821,FX_Daily!$A$15:$A$2821,"&gt;="&amp;$A41,FX_Daily!$A$15:$A$2821,"&lt;="&amp;EOMONTH($A41,0)),"")</f>
        <v>130.857619047619</v>
      </c>
      <c r="P41" s="10" t="n">
        <f aca="false">IFERROR(AVERAGEIFS(FX_Daily!P$15:P$2821,FX_Daily!$A$15:$A$2821,"&gt;="&amp;$A41,FX_Daily!$A$15:$A$2821,"&lt;="&amp;EOMONTH($A41,0)),"")</f>
        <v>7.765525</v>
      </c>
      <c r="Q41" s="15" t="n">
        <f aca="false">COUNTIFS(FX_Daily!$A$15:$A$2821,"&gt;="&amp;$A41,FX_Daily!$A$15:$A$2821,"&lt;="&amp;EOMONTH($A41,0),FX_Daily!C$15:C$2821,"&gt;0")</f>
        <v>22</v>
      </c>
      <c r="R41" s="16" t="str">
        <f aca="false">IF(EOMONTH($A41,0)&gt;FX_Daily!$C$11,"partial month","complete")</f>
        <v>complete</v>
      </c>
    </row>
    <row r="42" customFormat="false" ht="15" hidden="false" customHeight="false" outlineLevel="0" collapsed="false">
      <c r="A42" s="17" t="n">
        <v>43191</v>
      </c>
      <c r="B42" s="10" t="n">
        <f aca="false">IFERROR(AVERAGEIFS(FX_Daily!B$15:B$2821,FX_Daily!$A$15:$A$2821,"&gt;="&amp;$A42,FX_Daily!$A$15:$A$2821,"&lt;="&amp;EOMONTH($A42,0)),"")</f>
        <v>1068.04523809524</v>
      </c>
      <c r="C42" s="10" t="n">
        <f aca="false">IFERROR(AVERAGEIFS(FX_Daily!C$15:C$2821,FX_Daily!$A$15:$A$2821,"&gt;="&amp;$A42,FX_Daily!$A$15:$A$2821,"&lt;="&amp;EOMONTH($A42,0)),"")</f>
        <v>7.84706190476191</v>
      </c>
      <c r="D42" s="10" t="n">
        <f aca="false">IFERROR(AVERAGEIFS(FX_Daily!D$15:D$2821,FX_Daily!$A$15:$A$2821,"&gt;="&amp;$A42,FX_Daily!$A$15:$A$2821,"&lt;="&amp;EOMONTH($A42,0)),"")</f>
        <v>1.40791904761905</v>
      </c>
      <c r="E42" s="10" t="n">
        <f aca="false">IFERROR(AVERAGEIFS(FX_Daily!E$15:E$2821,FX_Daily!$A$15:$A$2821,"&gt;="&amp;$A42,FX_Daily!$A$15:$A$2821,"&lt;="&amp;EOMONTH($A42,0)),"")</f>
        <v>1.22695238095238</v>
      </c>
      <c r="F42" s="10" t="n">
        <f aca="false">IFERROR(AVERAGEIFS(FX_Daily!F$15:F$2821,FX_Daily!$A$15:$A$2821,"&gt;="&amp;$A42,FX_Daily!$A$15:$A$2821,"&lt;="&amp;EOMONTH($A42,0)),"")</f>
        <v>6.29665238095238</v>
      </c>
      <c r="G42" s="10" t="n">
        <f aca="false">IFERROR(AVERAGEIFS(FX_Daily!G$15:G$2821,FX_Daily!$A$15:$A$2821,"&gt;="&amp;$A42,FX_Daily!$A$15:$A$2821,"&lt;="&amp;EOMONTH($A42,0)),"")</f>
        <v>3.40888571428571</v>
      </c>
      <c r="H42" s="10" t="n">
        <f aca="false">IFERROR(AVERAGEIFS(FX_Daily!H$15:H$2821,FX_Daily!$A$15:$A$2821,"&gt;="&amp;$A42,FX_Daily!$A$15:$A$2821,"&lt;="&amp;EOMONTH($A42,0)),"")</f>
        <v>107.65619047619</v>
      </c>
      <c r="I42" s="10" t="n">
        <f aca="false">IFERROR(AVERAGEIFS(FX_Daily!I$15:I$2821,FX_Daily!$A$15:$A$2821,"&gt;="&amp;$A42,FX_Daily!$A$15:$A$2821,"&lt;="&amp;EOMONTH($A42,0)),"")</f>
        <v>1.22763</v>
      </c>
      <c r="J42" s="10" t="n">
        <f aca="false">IFERROR(AVERAGEIFS(FX_Daily!J$15:J$2821,FX_Daily!$A$15:$A$2821,"&gt;="&amp;$A42,FX_Daily!$A$15:$A$2821,"&lt;="&amp;EOMONTH($A42,0)),"")</f>
        <v>9.620215</v>
      </c>
      <c r="K42" s="10" t="n">
        <f aca="false">IFERROR(AVERAGEIFS(FX_Daily!K$15:K$2821,FX_Daily!$A$15:$A$2821,"&gt;="&amp;$A42,FX_Daily!$A$15:$A$2821,"&lt;="&amp;EOMONTH($A42,0)),"")</f>
        <v>1312.9375</v>
      </c>
      <c r="L42" s="10" t="n">
        <f aca="false">IFERROR(AVERAGEIFS(FX_Daily!L$15:L$2821,FX_Daily!$A$15:$A$2821,"&gt;="&amp;$A42,FX_Daily!$A$15:$A$2821,"&lt;="&amp;EOMONTH($A42,0)),"")</f>
        <v>0.8721215</v>
      </c>
      <c r="M42" s="10" t="n">
        <f aca="false">IFERROR(AVERAGEIFS(FX_Daily!M$15:M$2821,FX_Daily!$A$15:$A$2821,"&gt;="&amp;$A42,FX_Daily!$A$15:$A$2821,"&lt;="&amp;EOMONTH($A42,0)),"")</f>
        <v>7.734675</v>
      </c>
      <c r="N42" s="10" t="n">
        <f aca="false">IFERROR(AVERAGEIFS(FX_Daily!N$15:N$2821,FX_Daily!$A$15:$A$2821,"&gt;="&amp;$A42,FX_Daily!$A$15:$A$2821,"&lt;="&amp;EOMONTH($A42,0)),"")</f>
        <v>4.18152</v>
      </c>
      <c r="O42" s="10" t="n">
        <f aca="false">IFERROR(AVERAGEIFS(FX_Daily!O$15:O$2821,FX_Daily!$A$15:$A$2821,"&gt;="&amp;$A42,FX_Daily!$A$15:$A$2821,"&lt;="&amp;EOMONTH($A42,0)),"")</f>
        <v>132.1575</v>
      </c>
      <c r="P42" s="10" t="n">
        <f aca="false">IFERROR(AVERAGEIFS(FX_Daily!P$15:P$2821,FX_Daily!$A$15:$A$2821,"&gt;="&amp;$A42,FX_Daily!$A$15:$A$2821,"&lt;="&amp;EOMONTH($A42,0)),"")</f>
        <v>7.836995</v>
      </c>
      <c r="Q42" s="15" t="n">
        <f aca="false">COUNTIFS(FX_Daily!$A$15:$A$2821,"&gt;="&amp;$A42,FX_Daily!$A$15:$A$2821,"&lt;="&amp;EOMONTH($A42,0),FX_Daily!C$15:C$2821,"&gt;0")</f>
        <v>21</v>
      </c>
      <c r="R42" s="16" t="str">
        <f aca="false">IF(EOMONTH($A42,0)&gt;FX_Daily!$C$11,"partial month","complete")</f>
        <v>complete</v>
      </c>
    </row>
    <row r="43" customFormat="false" ht="15" hidden="false" customHeight="false" outlineLevel="0" collapsed="false">
      <c r="A43" s="17" t="n">
        <v>43221</v>
      </c>
      <c r="B43" s="10" t="n">
        <f aca="false">IFERROR(AVERAGEIFS(FX_Daily!B$15:B$2821,FX_Daily!$A$15:$A$2821,"&gt;="&amp;$A43,FX_Daily!$A$15:$A$2821,"&lt;="&amp;EOMONTH($A43,0)),"")</f>
        <v>1076.65954545455</v>
      </c>
      <c r="C43" s="10" t="n">
        <f aca="false">IFERROR(AVERAGEIFS(FX_Daily!C$15:C$2821,FX_Daily!$A$15:$A$2821,"&gt;="&amp;$A43,FX_Daily!$A$15:$A$2821,"&lt;="&amp;EOMONTH($A43,0)),"")</f>
        <v>8.09634090909091</v>
      </c>
      <c r="D43" s="10" t="n">
        <f aca="false">IFERROR(AVERAGEIFS(FX_Daily!D$15:D$2821,FX_Daily!$A$15:$A$2821,"&gt;="&amp;$A43,FX_Daily!$A$15:$A$2821,"&lt;="&amp;EOMONTH($A43,0)),"")</f>
        <v>1.34698181818182</v>
      </c>
      <c r="E43" s="10" t="n">
        <f aca="false">IFERROR(AVERAGEIFS(FX_Daily!E$15:E$2821,FX_Daily!$A$15:$A$2821,"&gt;="&amp;$A43,FX_Daily!$A$15:$A$2821,"&lt;="&amp;EOMONTH($A43,0)),"")</f>
        <v>1.18226363636364</v>
      </c>
      <c r="F43" s="10" t="n">
        <f aca="false">IFERROR(AVERAGEIFS(FX_Daily!F$15:F$2821,FX_Daily!$A$15:$A$2821,"&gt;="&amp;$A43,FX_Daily!$A$15:$A$2821,"&lt;="&amp;EOMONTH($A43,0)),"")</f>
        <v>6.37006363636364</v>
      </c>
      <c r="G43" s="10" t="n">
        <f aca="false">IFERROR(AVERAGEIFS(FX_Daily!G$15:G$2821,FX_Daily!$A$15:$A$2821,"&gt;="&amp;$A43,FX_Daily!$A$15:$A$2821,"&lt;="&amp;EOMONTH($A43,0)),"")</f>
        <v>3.6316</v>
      </c>
      <c r="H43" s="10" t="n">
        <f aca="false">IFERROR(AVERAGEIFS(FX_Daily!H$15:H$2821,FX_Daily!$A$15:$A$2821,"&gt;="&amp;$A43,FX_Daily!$A$15:$A$2821,"&lt;="&amp;EOMONTH($A43,0)),"")</f>
        <v>109.688181818182</v>
      </c>
      <c r="I43" s="10" t="n">
        <f aca="false">IFERROR(AVERAGEIFS(FX_Daily!I$15:I$2821,FX_Daily!$A$15:$A$2821,"&gt;="&amp;$A43,FX_Daily!$A$15:$A$2821,"&lt;="&amp;EOMONTH($A43,0)),"")</f>
        <v>1.18122272727273</v>
      </c>
      <c r="J43" s="10" t="n">
        <f aca="false">IFERROR(AVERAGEIFS(FX_Daily!J$15:J$2821,FX_Daily!$A$15:$A$2821,"&gt;="&amp;$A43,FX_Daily!$A$15:$A$2821,"&lt;="&amp;EOMONTH($A43,0)),"")</f>
        <v>9.56418181818182</v>
      </c>
      <c r="K43" s="10" t="n">
        <f aca="false">IFERROR(AVERAGEIFS(FX_Daily!K$15:K$2821,FX_Daily!$A$15:$A$2821,"&gt;="&amp;$A43,FX_Daily!$A$15:$A$2821,"&lt;="&amp;EOMONTH($A43,0)),"")</f>
        <v>1272.38</v>
      </c>
      <c r="L43" s="10" t="n">
        <f aca="false">IFERROR(AVERAGEIFS(FX_Daily!L$15:L$2821,FX_Daily!$A$15:$A$2821,"&gt;="&amp;$A43,FX_Daily!$A$15:$A$2821,"&lt;="&amp;EOMONTH($A43,0)),"")</f>
        <v>0.877257727272727</v>
      </c>
      <c r="M43" s="10" t="n">
        <f aca="false">IFERROR(AVERAGEIFS(FX_Daily!M$15:M$2821,FX_Daily!$A$15:$A$2821,"&gt;="&amp;$A43,FX_Daily!$A$15:$A$2821,"&lt;="&amp;EOMONTH($A43,0)),"")</f>
        <v>7.52914545454545</v>
      </c>
      <c r="N43" s="10" t="n">
        <f aca="false">IFERROR(AVERAGEIFS(FX_Daily!N$15:N$2821,FX_Daily!$A$15:$A$2821,"&gt;="&amp;$A43,FX_Daily!$A$15:$A$2821,"&lt;="&amp;EOMONTH($A43,0)),"")</f>
        <v>4.29116818181818</v>
      </c>
      <c r="O43" s="10" t="n">
        <f aca="false">IFERROR(AVERAGEIFS(FX_Daily!O$15:O$2821,FX_Daily!$A$15:$A$2821,"&gt;="&amp;$A43,FX_Daily!$A$15:$A$2821,"&lt;="&amp;EOMONTH($A43,0)),"")</f>
        <v>129.572272727273</v>
      </c>
      <c r="P43" s="10" t="n">
        <f aca="false">IFERROR(AVERAGEIFS(FX_Daily!P$15:P$2821,FX_Daily!$A$15:$A$2821,"&gt;="&amp;$A43,FX_Daily!$A$15:$A$2821,"&lt;="&amp;EOMONTH($A43,0)),"")</f>
        <v>8.10039473684211</v>
      </c>
      <c r="Q43" s="15" t="n">
        <f aca="false">COUNTIFS(FX_Daily!$A$15:$A$2821,"&gt;="&amp;$A43,FX_Daily!$A$15:$A$2821,"&lt;="&amp;EOMONTH($A43,0),FX_Daily!C$15:C$2821,"&gt;0")</f>
        <v>22</v>
      </c>
      <c r="R43" s="16" t="str">
        <f aca="false">IF(EOMONTH($A43,0)&gt;FX_Daily!$C$11,"partial month","complete")</f>
        <v>complete</v>
      </c>
    </row>
    <row r="44" customFormat="false" ht="15" hidden="false" customHeight="false" outlineLevel="0" collapsed="false">
      <c r="A44" s="17" t="n">
        <v>43252</v>
      </c>
      <c r="B44" s="10" t="n">
        <f aca="false">IFERROR(AVERAGEIFS(FX_Daily!B$15:B$2821,FX_Daily!$A$15:$A$2821,"&gt;="&amp;$A44,FX_Daily!$A$15:$A$2821,"&lt;="&amp;EOMONTH($A44,0)),"")</f>
        <v>1094.35523809524</v>
      </c>
      <c r="C44" s="10" t="n">
        <f aca="false">IFERROR(AVERAGEIFS(FX_Daily!C$15:C$2821,FX_Daily!$A$15:$A$2821,"&gt;="&amp;$A44,FX_Daily!$A$15:$A$2821,"&lt;="&amp;EOMONTH($A44,0)),"")</f>
        <v>8.11043333333333</v>
      </c>
      <c r="D44" s="10" t="n">
        <f aca="false">IFERROR(AVERAGEIFS(FX_Daily!D$15:D$2821,FX_Daily!$A$15:$A$2821,"&gt;="&amp;$A44,FX_Daily!$A$15:$A$2821,"&lt;="&amp;EOMONTH($A44,0)),"")</f>
        <v>1.32941904761905</v>
      </c>
      <c r="E44" s="10" t="n">
        <f aca="false">IFERROR(AVERAGEIFS(FX_Daily!E$15:E$2821,FX_Daily!$A$15:$A$2821,"&gt;="&amp;$A44,FX_Daily!$A$15:$A$2821,"&lt;="&amp;EOMONTH($A44,0)),"")</f>
        <v>1.16791428571429</v>
      </c>
      <c r="F44" s="10" t="n">
        <f aca="false">IFERROR(AVERAGEIFS(FX_Daily!F$15:F$2821,FX_Daily!$A$15:$A$2821,"&gt;="&amp;$A44,FX_Daily!$A$15:$A$2821,"&lt;="&amp;EOMONTH($A44,0)),"")</f>
        <v>6.46512380952381</v>
      </c>
      <c r="G44" s="10" t="n">
        <f aca="false">IFERROR(AVERAGEIFS(FX_Daily!G$15:G$2821,FX_Daily!$A$15:$A$2821,"&gt;="&amp;$A44,FX_Daily!$A$15:$A$2821,"&lt;="&amp;EOMONTH($A44,0)),"")</f>
        <v>3.77104761904762</v>
      </c>
      <c r="H44" s="10" t="n">
        <f aca="false">IFERROR(AVERAGEIFS(FX_Daily!H$15:H$2821,FX_Daily!$A$15:$A$2821,"&gt;="&amp;$A44,FX_Daily!$A$15:$A$2821,"&lt;="&amp;EOMONTH($A44,0)),"")</f>
        <v>110.06380952381</v>
      </c>
      <c r="I44" s="10" t="n">
        <f aca="false">IFERROR(AVERAGEIFS(FX_Daily!I$15:I$2821,FX_Daily!$A$15:$A$2821,"&gt;="&amp;$A44,FX_Daily!$A$15:$A$2821,"&lt;="&amp;EOMONTH($A44,0)),"")</f>
        <v>1.16782857142857</v>
      </c>
      <c r="J44" s="10" t="n">
        <f aca="false">IFERROR(AVERAGEIFS(FX_Daily!J$15:J$2821,FX_Daily!$A$15:$A$2821,"&gt;="&amp;$A44,FX_Daily!$A$15:$A$2821,"&lt;="&amp;EOMONTH($A44,0)),"")</f>
        <v>9.47464761904762</v>
      </c>
      <c r="K44" s="10" t="n">
        <f aca="false">IFERROR(AVERAGEIFS(FX_Daily!K$15:K$2821,FX_Daily!$A$15:$A$2821,"&gt;="&amp;$A44,FX_Daily!$A$15:$A$2821,"&lt;="&amp;EOMONTH($A44,0)),"")</f>
        <v>1277.92857142857</v>
      </c>
      <c r="L44" s="10" t="n">
        <f aca="false">IFERROR(AVERAGEIFS(FX_Daily!L$15:L$2821,FX_Daily!$A$15:$A$2821,"&gt;="&amp;$A44,FX_Daily!$A$15:$A$2821,"&lt;="&amp;EOMONTH($A44,0)),"")</f>
        <v>0.878860476190476</v>
      </c>
      <c r="M44" s="10" t="n">
        <f aca="false">IFERROR(AVERAGEIFS(FX_Daily!M$15:M$2821,FX_Daily!$A$15:$A$2821,"&gt;="&amp;$A44,FX_Daily!$A$15:$A$2821,"&lt;="&amp;EOMONTH($A44,0)),"")</f>
        <v>7.55118571428571</v>
      </c>
      <c r="N44" s="10" t="n">
        <f aca="false">IFERROR(AVERAGEIFS(FX_Daily!N$15:N$2821,FX_Daily!$A$15:$A$2821,"&gt;="&amp;$A44,FX_Daily!$A$15:$A$2821,"&lt;="&amp;EOMONTH($A44,0)),"")</f>
        <v>4.40487142857143</v>
      </c>
      <c r="O44" s="10" t="n">
        <f aca="false">IFERROR(AVERAGEIFS(FX_Daily!O$15:O$2821,FX_Daily!$A$15:$A$2821,"&gt;="&amp;$A44,FX_Daily!$A$15:$A$2821,"&lt;="&amp;EOMONTH($A44,0)),"")</f>
        <v>128.529047619048</v>
      </c>
      <c r="P44" s="10" t="n">
        <f aca="false">IFERROR(AVERAGEIFS(FX_Daily!P$15:P$2821,FX_Daily!$A$15:$A$2821,"&gt;="&amp;$A44,FX_Daily!$A$15:$A$2821,"&lt;="&amp;EOMONTH($A44,0)),"")</f>
        <v>8.11341904761905</v>
      </c>
      <c r="Q44" s="15" t="n">
        <f aca="false">COUNTIFS(FX_Daily!$A$15:$A$2821,"&gt;="&amp;$A44,FX_Daily!$A$15:$A$2821,"&lt;="&amp;EOMONTH($A44,0),FX_Daily!C$15:C$2821,"&gt;0")</f>
        <v>21</v>
      </c>
      <c r="R44" s="16" t="str">
        <f aca="false">IF(EOMONTH($A44,0)&gt;FX_Daily!$C$11,"partial month","complete")</f>
        <v>complete</v>
      </c>
    </row>
    <row r="45" customFormat="false" ht="15" hidden="false" customHeight="false" outlineLevel="0" collapsed="false">
      <c r="A45" s="17" t="n">
        <v>43282</v>
      </c>
      <c r="B45" s="10" t="n">
        <f aca="false">IFERROR(AVERAGEIFS(FX_Daily!B$15:B$2821,FX_Daily!$A$15:$A$2821,"&gt;="&amp;$A45,FX_Daily!$A$15:$A$2821,"&lt;="&amp;EOMONTH($A45,0)),"")</f>
        <v>1122.20285714286</v>
      </c>
      <c r="C45" s="10" t="n">
        <f aca="false">IFERROR(AVERAGEIFS(FX_Daily!C$15:C$2821,FX_Daily!$A$15:$A$2821,"&gt;="&amp;$A45,FX_Daily!$A$15:$A$2821,"&lt;="&amp;EOMONTH($A45,0)),"")</f>
        <v>8.13067619047619</v>
      </c>
      <c r="D45" s="10" t="n">
        <f aca="false">IFERROR(AVERAGEIFS(FX_Daily!D$15:D$2821,FX_Daily!$A$15:$A$2821,"&gt;="&amp;$A45,FX_Daily!$A$15:$A$2821,"&lt;="&amp;EOMONTH($A45,0)),"")</f>
        <v>1.31619047619048</v>
      </c>
      <c r="E45" s="10" t="n">
        <f aca="false">IFERROR(AVERAGEIFS(FX_Daily!E$15:E$2821,FX_Daily!$A$15:$A$2821,"&gt;="&amp;$A45,FX_Daily!$A$15:$A$2821,"&lt;="&amp;EOMONTH($A45,0)),"")</f>
        <v>1.1684619047619</v>
      </c>
      <c r="F45" s="10" t="n">
        <f aca="false">IFERROR(AVERAGEIFS(FX_Daily!F$15:F$2821,FX_Daily!$A$15:$A$2821,"&gt;="&amp;$A45,FX_Daily!$A$15:$A$2821,"&lt;="&amp;EOMONTH($A45,0)),"")</f>
        <v>6.71644761904762</v>
      </c>
      <c r="G45" s="10" t="n">
        <f aca="false">IFERROR(AVERAGEIFS(FX_Daily!G$15:G$2821,FX_Daily!$A$15:$A$2821,"&gt;="&amp;$A45,FX_Daily!$A$15:$A$2821,"&lt;="&amp;EOMONTH($A45,0)),"")</f>
        <v>3.82209523809524</v>
      </c>
      <c r="H45" s="10" t="n">
        <f aca="false">IFERROR(AVERAGEIFS(FX_Daily!H$15:H$2821,FX_Daily!$A$15:$A$2821,"&gt;="&amp;$A45,FX_Daily!$A$15:$A$2821,"&lt;="&amp;EOMONTH($A45,0)),"")</f>
        <v>111.520952380952</v>
      </c>
      <c r="I45" s="10" t="n">
        <f aca="false">IFERROR(AVERAGEIFS(FX_Daily!I$15:I$2821,FX_Daily!$A$15:$A$2821,"&gt;="&amp;$A45,FX_Daily!$A$15:$A$2821,"&lt;="&amp;EOMONTH($A45,0)),"")</f>
        <v>1.16857272727273</v>
      </c>
      <c r="J45" s="10" t="n">
        <f aca="false">IFERROR(AVERAGEIFS(FX_Daily!J$15:J$2821,FX_Daily!$A$15:$A$2821,"&gt;="&amp;$A45,FX_Daily!$A$15:$A$2821,"&lt;="&amp;EOMONTH($A45,0)),"")</f>
        <v>9.49750909090909</v>
      </c>
      <c r="K45" s="10" t="n">
        <f aca="false">IFERROR(AVERAGEIFS(FX_Daily!K$15:K$2821,FX_Daily!$A$15:$A$2821,"&gt;="&amp;$A45,FX_Daily!$A$15:$A$2821,"&lt;="&amp;EOMONTH($A45,0)),"")</f>
        <v>1313.02636363636</v>
      </c>
      <c r="L45" s="10" t="n">
        <f aca="false">IFERROR(AVERAGEIFS(FX_Daily!L$15:L$2821,FX_Daily!$A$15:$A$2821,"&gt;="&amp;$A45,FX_Daily!$A$15:$A$2821,"&lt;="&amp;EOMONTH($A45,0)),"")</f>
        <v>0.887255</v>
      </c>
      <c r="M45" s="10" t="n">
        <f aca="false">IFERROR(AVERAGEIFS(FX_Daily!M$15:M$2821,FX_Daily!$A$15:$A$2821,"&gt;="&amp;$A45,FX_Daily!$A$15:$A$2821,"&lt;="&amp;EOMONTH($A45,0)),"")</f>
        <v>7.85042727272727</v>
      </c>
      <c r="N45" s="10" t="n">
        <f aca="false">IFERROR(AVERAGEIFS(FX_Daily!N$15:N$2821,FX_Daily!$A$15:$A$2821,"&gt;="&amp;$A45,FX_Daily!$A$15:$A$2821,"&lt;="&amp;EOMONTH($A45,0)),"")</f>
        <v>4.47649545454545</v>
      </c>
      <c r="O45" s="10" t="n">
        <f aca="false">IFERROR(AVERAGEIFS(FX_Daily!O$15:O$2821,FX_Daily!$A$15:$A$2821,"&gt;="&amp;$A45,FX_Daily!$A$15:$A$2821,"&lt;="&amp;EOMONTH($A45,0)),"")</f>
        <v>130.232272727273</v>
      </c>
      <c r="P45" s="10" t="n">
        <f aca="false">IFERROR(AVERAGEIFS(FX_Daily!P$15:P$2821,FX_Daily!$A$15:$A$2821,"&gt;="&amp;$A45,FX_Daily!$A$15:$A$2821,"&lt;="&amp;EOMONTH($A45,0)),"")</f>
        <v>8.12763636363636</v>
      </c>
      <c r="Q45" s="15" t="n">
        <f aca="false">COUNTIFS(FX_Daily!$A$15:$A$2821,"&gt;="&amp;$A45,FX_Daily!$A$15:$A$2821,"&lt;="&amp;EOMONTH($A45,0),FX_Daily!C$15:C$2821,"&gt;0")</f>
        <v>21</v>
      </c>
      <c r="R45" s="16" t="str">
        <f aca="false">IF(EOMONTH($A45,0)&gt;FX_Daily!$C$11,"partial month","complete")</f>
        <v>complete</v>
      </c>
    </row>
    <row r="46" customFormat="false" ht="15" hidden="false" customHeight="false" outlineLevel="0" collapsed="false">
      <c r="A46" s="17" t="n">
        <v>43313</v>
      </c>
      <c r="B46" s="10" t="n">
        <f aca="false">IFERROR(AVERAGEIFS(FX_Daily!B$15:B$2821,FX_Daily!$A$15:$A$2821,"&gt;="&amp;$A46,FX_Daily!$A$15:$A$2821,"&lt;="&amp;EOMONTH($A46,0)),"")</f>
        <v>1120.42695652174</v>
      </c>
      <c r="C46" s="10" t="n">
        <f aca="false">IFERROR(AVERAGEIFS(FX_Daily!C$15:C$2821,FX_Daily!$A$15:$A$2821,"&gt;="&amp;$A46,FX_Daily!$A$15:$A$2821,"&lt;="&amp;EOMONTH($A46,0)),"")</f>
        <v>8.33976956521739</v>
      </c>
      <c r="D46" s="10" t="n">
        <f aca="false">IFERROR(AVERAGEIFS(FX_Daily!D$15:D$2821,FX_Daily!$A$15:$A$2821,"&gt;="&amp;$A46,FX_Daily!$A$15:$A$2821,"&lt;="&amp;EOMONTH($A46,0)),"")</f>
        <v>1.28783913043478</v>
      </c>
      <c r="E46" s="10" t="n">
        <f aca="false">IFERROR(AVERAGEIFS(FX_Daily!E$15:E$2821,FX_Daily!$A$15:$A$2821,"&gt;="&amp;$A46,FX_Daily!$A$15:$A$2821,"&lt;="&amp;EOMONTH($A46,0)),"")</f>
        <v>1.15466086956522</v>
      </c>
      <c r="F46" s="10" t="n">
        <f aca="false">IFERROR(AVERAGEIFS(FX_Daily!F$15:F$2821,FX_Daily!$A$15:$A$2821,"&gt;="&amp;$A46,FX_Daily!$A$15:$A$2821,"&lt;="&amp;EOMONTH($A46,0)),"")</f>
        <v>6.8452652173913</v>
      </c>
      <c r="G46" s="10" t="n">
        <f aca="false">IFERROR(AVERAGEIFS(FX_Daily!G$15:G$2821,FX_Daily!$A$15:$A$2821,"&gt;="&amp;$A46,FX_Daily!$A$15:$A$2821,"&lt;="&amp;EOMONTH($A46,0)),"")</f>
        <v>3.93332173913044</v>
      </c>
      <c r="H46" s="10" t="n">
        <f aca="false">IFERROR(AVERAGEIFS(FX_Daily!H$15:H$2821,FX_Daily!$A$15:$A$2821,"&gt;="&amp;$A46,FX_Daily!$A$15:$A$2821,"&lt;="&amp;EOMONTH($A46,0)),"")</f>
        <v>110.99652173913</v>
      </c>
      <c r="I46" s="10" t="n">
        <f aca="false">IFERROR(AVERAGEIFS(FX_Daily!I$15:I$2821,FX_Daily!$A$15:$A$2821,"&gt;="&amp;$A46,FX_Daily!$A$15:$A$2821,"&lt;="&amp;EOMONTH($A46,0)),"")</f>
        <v>1.15489565217391</v>
      </c>
      <c r="J46" s="10" t="n">
        <f aca="false">IFERROR(AVERAGEIFS(FX_Daily!J$15:J$2821,FX_Daily!$A$15:$A$2821,"&gt;="&amp;$A46,FX_Daily!$A$15:$A$2821,"&lt;="&amp;EOMONTH($A46,0)),"")</f>
        <v>9.61613043478261</v>
      </c>
      <c r="K46" s="10" t="n">
        <f aca="false">IFERROR(AVERAGEIFS(FX_Daily!K$15:K$2821,FX_Daily!$A$15:$A$2821,"&gt;="&amp;$A46,FX_Daily!$A$15:$A$2821,"&lt;="&amp;EOMONTH($A46,0)),"")</f>
        <v>1295.38739130435</v>
      </c>
      <c r="L46" s="10" t="n">
        <f aca="false">IFERROR(AVERAGEIFS(FX_Daily!L$15:L$2821,FX_Daily!$A$15:$A$2821,"&gt;="&amp;$A46,FX_Daily!$A$15:$A$2821,"&lt;="&amp;EOMONTH($A46,0)),"")</f>
        <v>0.896868695652174</v>
      </c>
      <c r="M46" s="10" t="n">
        <f aca="false">IFERROR(AVERAGEIFS(FX_Daily!M$15:M$2821,FX_Daily!$A$15:$A$2821,"&gt;="&amp;$A46,FX_Daily!$A$15:$A$2821,"&lt;="&amp;EOMONTH($A46,0)),"")</f>
        <v>7.90918260869565</v>
      </c>
      <c r="N46" s="10" t="n">
        <f aca="false">IFERROR(AVERAGEIFS(FX_Daily!N$15:N$2821,FX_Daily!$A$15:$A$2821,"&gt;="&amp;$A46,FX_Daily!$A$15:$A$2821,"&lt;="&amp;EOMONTH($A46,0)),"")</f>
        <v>4.53572173913044</v>
      </c>
      <c r="O46" s="10" t="n">
        <f aca="false">IFERROR(AVERAGEIFS(FX_Daily!O$15:O$2821,FX_Daily!$A$15:$A$2821,"&gt;="&amp;$A46,FX_Daily!$A$15:$A$2821,"&lt;="&amp;EOMONTH($A46,0)),"")</f>
        <v>128.200434782609</v>
      </c>
      <c r="P46" s="10" t="n">
        <f aca="false">IFERROR(AVERAGEIFS(FX_Daily!P$15:P$2821,FX_Daily!$A$15:$A$2821,"&gt;="&amp;$A46,FX_Daily!$A$15:$A$2821,"&lt;="&amp;EOMONTH($A46,0)),"")</f>
        <v>8.32700434782609</v>
      </c>
      <c r="Q46" s="15" t="n">
        <f aca="false">COUNTIFS(FX_Daily!$A$15:$A$2821,"&gt;="&amp;$A46,FX_Daily!$A$15:$A$2821,"&lt;="&amp;EOMONTH($A46,0),FX_Daily!C$15:C$2821,"&gt;0")</f>
        <v>23</v>
      </c>
      <c r="R46" s="16" t="str">
        <f aca="false">IF(EOMONTH($A46,0)&gt;FX_Daily!$C$11,"partial month","complete")</f>
        <v>complete</v>
      </c>
    </row>
    <row r="47" customFormat="false" ht="15" hidden="false" customHeight="false" outlineLevel="0" collapsed="false">
      <c r="A47" s="17" t="n">
        <v>43344</v>
      </c>
      <c r="B47" s="10" t="n">
        <f aca="false">IFERROR(AVERAGEIFS(FX_Daily!B$15:B$2821,FX_Daily!$A$15:$A$2821,"&gt;="&amp;$A47,FX_Daily!$A$15:$A$2821,"&lt;="&amp;EOMONTH($A47,0)),"")</f>
        <v>1119.82</v>
      </c>
      <c r="C47" s="10" t="n">
        <f aca="false">IFERROR(AVERAGEIFS(FX_Daily!C$15:C$2821,FX_Daily!$A$15:$A$2821,"&gt;="&amp;$A47,FX_Daily!$A$15:$A$2821,"&lt;="&amp;EOMONTH($A47,0)),"")</f>
        <v>8.2464052631579</v>
      </c>
      <c r="D47" s="10" t="n">
        <f aca="false">IFERROR(AVERAGEIFS(FX_Daily!D$15:D$2821,FX_Daily!$A$15:$A$2821,"&gt;="&amp;$A47,FX_Daily!$A$15:$A$2821,"&lt;="&amp;EOMONTH($A47,0)),"")</f>
        <v>1.30663157894737</v>
      </c>
      <c r="E47" s="10" t="n">
        <f aca="false">IFERROR(AVERAGEIFS(FX_Daily!E$15:E$2821,FX_Daily!$A$15:$A$2821,"&gt;="&amp;$A47,FX_Daily!$A$15:$A$2821,"&lt;="&amp;EOMONTH($A47,0)),"")</f>
        <v>1.16669473684211</v>
      </c>
      <c r="F47" s="10" t="n">
        <f aca="false">IFERROR(AVERAGEIFS(FX_Daily!F$15:F$2821,FX_Daily!$A$15:$A$2821,"&gt;="&amp;$A47,FX_Daily!$A$15:$A$2821,"&lt;="&amp;EOMONTH($A47,0)),"")</f>
        <v>6.85508421052632</v>
      </c>
      <c r="G47" s="10" t="n">
        <f aca="false">IFERROR(AVERAGEIFS(FX_Daily!G$15:G$2821,FX_Daily!$A$15:$A$2821,"&gt;="&amp;$A47,FX_Daily!$A$15:$A$2821,"&lt;="&amp;EOMONTH($A47,0)),"")</f>
        <v>4.10874736842105</v>
      </c>
      <c r="H47" s="10" t="n">
        <f aca="false">IFERROR(AVERAGEIFS(FX_Daily!H$15:H$2821,FX_Daily!$A$15:$A$2821,"&gt;="&amp;$A47,FX_Daily!$A$15:$A$2821,"&lt;="&amp;EOMONTH($A47,0)),"")</f>
        <v>112.097368421053</v>
      </c>
      <c r="I47" s="10" t="n">
        <f aca="false">IFERROR(AVERAGEIFS(FX_Daily!I$15:I$2821,FX_Daily!$A$15:$A$2821,"&gt;="&amp;$A47,FX_Daily!$A$15:$A$2821,"&lt;="&amp;EOMONTH($A47,0)),"")</f>
        <v>1.16587</v>
      </c>
      <c r="J47" s="10" t="n">
        <f aca="false">IFERROR(AVERAGEIFS(FX_Daily!J$15:J$2821,FX_Daily!$A$15:$A$2821,"&gt;="&amp;$A47,FX_Daily!$A$15:$A$2821,"&lt;="&amp;EOMONTH($A47,0)),"")</f>
        <v>9.620475</v>
      </c>
      <c r="K47" s="10" t="n">
        <f aca="false">IFERROR(AVERAGEIFS(FX_Daily!K$15:K$2821,FX_Daily!$A$15:$A$2821,"&gt;="&amp;$A47,FX_Daily!$A$15:$A$2821,"&lt;="&amp;EOMONTH($A47,0)),"")</f>
        <v>1305.8625</v>
      </c>
      <c r="L47" s="10" t="n">
        <f aca="false">IFERROR(AVERAGEIFS(FX_Daily!L$15:L$2821,FX_Daily!$A$15:$A$2821,"&gt;="&amp;$A47,FX_Daily!$A$15:$A$2821,"&lt;="&amp;EOMONTH($A47,0)),"")</f>
        <v>0.892807</v>
      </c>
      <c r="M47" s="10" t="n">
        <f aca="false">IFERROR(AVERAGEIFS(FX_Daily!M$15:M$2821,FX_Daily!$A$15:$A$2821,"&gt;="&amp;$A47,FX_Daily!$A$15:$A$2821,"&lt;="&amp;EOMONTH($A47,0)),"")</f>
        <v>7.993</v>
      </c>
      <c r="N47" s="10" t="n">
        <f aca="false">IFERROR(AVERAGEIFS(FX_Daily!N$15:N$2821,FX_Daily!$A$15:$A$2821,"&gt;="&amp;$A47,FX_Daily!$A$15:$A$2821,"&lt;="&amp;EOMONTH($A47,0)),"")</f>
        <v>4.80134</v>
      </c>
      <c r="O47" s="10" t="n">
        <f aca="false">IFERROR(AVERAGEIFS(FX_Daily!O$15:O$2821,FX_Daily!$A$15:$A$2821,"&gt;="&amp;$A47,FX_Daily!$A$15:$A$2821,"&lt;="&amp;EOMONTH($A47,0)),"")</f>
        <v>130.535</v>
      </c>
      <c r="P47" s="10" t="n">
        <f aca="false">IFERROR(AVERAGEIFS(FX_Daily!P$15:P$2821,FX_Daily!$A$15:$A$2821,"&gt;="&amp;$A47,FX_Daily!$A$15:$A$2821,"&lt;="&amp;EOMONTH($A47,0)),"")</f>
        <v>8.252345</v>
      </c>
      <c r="Q47" s="15" t="n">
        <f aca="false">COUNTIFS(FX_Daily!$A$15:$A$2821,"&gt;="&amp;$A47,FX_Daily!$A$15:$A$2821,"&lt;="&amp;EOMONTH($A47,0),FX_Daily!C$15:C$2821,"&gt;0")</f>
        <v>19</v>
      </c>
      <c r="R47" s="16" t="str">
        <f aca="false">IF(EOMONTH($A47,0)&gt;FX_Daily!$C$11,"partial month","complete")</f>
        <v>complete</v>
      </c>
    </row>
    <row r="48" customFormat="false" ht="15" hidden="false" customHeight="false" outlineLevel="0" collapsed="false">
      <c r="A48" s="17" t="n">
        <v>43374</v>
      </c>
      <c r="B48" s="10" t="n">
        <f aca="false">IFERROR(AVERAGEIFS(FX_Daily!B$15:B$2821,FX_Daily!$A$15:$A$2821,"&gt;="&amp;$A48,FX_Daily!$A$15:$A$2821,"&lt;="&amp;EOMONTH($A48,0)),"")</f>
        <v>1131.615</v>
      </c>
      <c r="C48" s="10" t="n">
        <f aca="false">IFERROR(AVERAGEIFS(FX_Daily!C$15:C$2821,FX_Daily!$A$15:$A$2821,"&gt;="&amp;$A48,FX_Daily!$A$15:$A$2821,"&lt;="&amp;EOMONTH($A48,0)),"")</f>
        <v>8.25445909090909</v>
      </c>
      <c r="D48" s="10" t="n">
        <f aca="false">IFERROR(AVERAGEIFS(FX_Daily!D$15:D$2821,FX_Daily!$A$15:$A$2821,"&gt;="&amp;$A48,FX_Daily!$A$15:$A$2821,"&lt;="&amp;EOMONTH($A48,0)),"")</f>
        <v>1.30118636363636</v>
      </c>
      <c r="E48" s="10" t="n">
        <f aca="false">IFERROR(AVERAGEIFS(FX_Daily!E$15:E$2821,FX_Daily!$A$15:$A$2821,"&gt;="&amp;$A48,FX_Daily!$A$15:$A$2821,"&lt;="&amp;EOMONTH($A48,0)),"")</f>
        <v>1.14875909090909</v>
      </c>
      <c r="F48" s="10" t="n">
        <f aca="false">IFERROR(AVERAGEIFS(FX_Daily!F$15:F$2821,FX_Daily!$A$15:$A$2821,"&gt;="&amp;$A48,FX_Daily!$A$15:$A$2821,"&lt;="&amp;EOMONTH($A48,0)),"")</f>
        <v>6.91910454545455</v>
      </c>
      <c r="G48" s="10" t="n">
        <f aca="false">IFERROR(AVERAGEIFS(FX_Daily!G$15:G$2821,FX_Daily!$A$15:$A$2821,"&gt;="&amp;$A48,FX_Daily!$A$15:$A$2821,"&lt;="&amp;EOMONTH($A48,0)),"")</f>
        <v>3.76111363636364</v>
      </c>
      <c r="H48" s="10" t="n">
        <f aca="false">IFERROR(AVERAGEIFS(FX_Daily!H$15:H$2821,FX_Daily!$A$15:$A$2821,"&gt;="&amp;$A48,FX_Daily!$A$15:$A$2821,"&lt;="&amp;EOMONTH($A48,0)),"")</f>
        <v>112.721818181818</v>
      </c>
      <c r="I48" s="10" t="n">
        <f aca="false">IFERROR(AVERAGEIFS(FX_Daily!I$15:I$2821,FX_Daily!$A$15:$A$2821,"&gt;="&amp;$A48,FX_Daily!$A$15:$A$2821,"&lt;="&amp;EOMONTH($A48,0)),"")</f>
        <v>1.14840434782609</v>
      </c>
      <c r="J48" s="10" t="n">
        <f aca="false">IFERROR(AVERAGEIFS(FX_Daily!J$15:J$2821,FX_Daily!$A$15:$A$2821,"&gt;="&amp;$A48,FX_Daily!$A$15:$A$2821,"&lt;="&amp;EOMONTH($A48,0)),"")</f>
        <v>9.47933043478261</v>
      </c>
      <c r="K48" s="10" t="n">
        <f aca="false">IFERROR(AVERAGEIFS(FX_Daily!K$15:K$2821,FX_Daily!$A$15:$A$2821,"&gt;="&amp;$A48,FX_Daily!$A$15:$A$2821,"&lt;="&amp;EOMONTH($A48,0)),"")</f>
        <v>1300.09782608696</v>
      </c>
      <c r="L48" s="10" t="n">
        <f aca="false">IFERROR(AVERAGEIFS(FX_Daily!L$15:L$2821,FX_Daily!$A$15:$A$2821,"&gt;="&amp;$A48,FX_Daily!$A$15:$A$2821,"&lt;="&amp;EOMONTH($A48,0)),"")</f>
        <v>0.882720869565217</v>
      </c>
      <c r="M48" s="10" t="n">
        <f aca="false">IFERROR(AVERAGEIFS(FX_Daily!M$15:M$2821,FX_Daily!$A$15:$A$2821,"&gt;="&amp;$A48,FX_Daily!$A$15:$A$2821,"&lt;="&amp;EOMONTH($A48,0)),"")</f>
        <v>7.9480652173913</v>
      </c>
      <c r="N48" s="10" t="n">
        <f aca="false">IFERROR(AVERAGEIFS(FX_Daily!N$15:N$2821,FX_Daily!$A$15:$A$2821,"&gt;="&amp;$A48,FX_Daily!$A$15:$A$2821,"&lt;="&amp;EOMONTH($A48,0)),"")</f>
        <v>4.32456521739131</v>
      </c>
      <c r="O48" s="10" t="n">
        <f aca="false">IFERROR(AVERAGEIFS(FX_Daily!O$15:O$2821,FX_Daily!$A$15:$A$2821,"&gt;="&amp;$A48,FX_Daily!$A$15:$A$2821,"&lt;="&amp;EOMONTH($A48,0)),"")</f>
        <v>129.61652173913</v>
      </c>
      <c r="P48" s="10" t="n">
        <f aca="false">IFERROR(AVERAGEIFS(FX_Daily!P$15:P$2821,FX_Daily!$A$15:$A$2821,"&gt;="&amp;$A48,FX_Daily!$A$15:$A$2821,"&lt;="&amp;EOMONTH($A48,0)),"")</f>
        <v>8.25491304347826</v>
      </c>
      <c r="Q48" s="15" t="n">
        <f aca="false">COUNTIFS(FX_Daily!$A$15:$A$2821,"&gt;="&amp;$A48,FX_Daily!$A$15:$A$2821,"&lt;="&amp;EOMONTH($A48,0),FX_Daily!C$15:C$2821,"&gt;0")</f>
        <v>22</v>
      </c>
      <c r="R48" s="16" t="str">
        <f aca="false">IF(EOMONTH($A48,0)&gt;FX_Daily!$C$11,"partial month","complete")</f>
        <v>complete</v>
      </c>
    </row>
    <row r="49" customFormat="false" ht="15" hidden="false" customHeight="false" outlineLevel="0" collapsed="false">
      <c r="A49" s="17" t="n">
        <v>43405</v>
      </c>
      <c r="B49" s="10" t="n">
        <f aca="false">IFERROR(AVERAGEIFS(FX_Daily!B$15:B$2821,FX_Daily!$A$15:$A$2821,"&gt;="&amp;$A49,FX_Daily!$A$15:$A$2821,"&lt;="&amp;EOMONTH($A49,0)),"")</f>
        <v>1125.345</v>
      </c>
      <c r="C49" s="10" t="n">
        <f aca="false">IFERROR(AVERAGEIFS(FX_Daily!C$15:C$2821,FX_Daily!$A$15:$A$2821,"&gt;="&amp;$A49,FX_Daily!$A$15:$A$2821,"&lt;="&amp;EOMONTH($A49,0)),"")</f>
        <v>8.479685</v>
      </c>
      <c r="D49" s="10" t="n">
        <f aca="false">IFERROR(AVERAGEIFS(FX_Daily!D$15:D$2821,FX_Daily!$A$15:$A$2821,"&gt;="&amp;$A49,FX_Daily!$A$15:$A$2821,"&lt;="&amp;EOMONTH($A49,0)),"")</f>
        <v>1.289995</v>
      </c>
      <c r="E49" s="10" t="n">
        <f aca="false">IFERROR(AVERAGEIFS(FX_Daily!E$15:E$2821,FX_Daily!$A$15:$A$2821,"&gt;="&amp;$A49,FX_Daily!$A$15:$A$2821,"&lt;="&amp;EOMONTH($A49,0)),"")</f>
        <v>1.13639</v>
      </c>
      <c r="F49" s="10" t="n">
        <f aca="false">IFERROR(AVERAGEIFS(FX_Daily!F$15:F$2821,FX_Daily!$A$15:$A$2821,"&gt;="&amp;$A49,FX_Daily!$A$15:$A$2821,"&lt;="&amp;EOMONTH($A49,0)),"")</f>
        <v>6.936675</v>
      </c>
      <c r="G49" s="10" t="n">
        <f aca="false">IFERROR(AVERAGEIFS(FX_Daily!G$15:G$2821,FX_Daily!$A$15:$A$2821,"&gt;="&amp;$A49,FX_Daily!$A$15:$A$2821,"&lt;="&amp;EOMONTH($A49,0)),"")</f>
        <v>3.78595</v>
      </c>
      <c r="H49" s="10" t="n">
        <f aca="false">IFERROR(AVERAGEIFS(FX_Daily!H$15:H$2821,FX_Daily!$A$15:$A$2821,"&gt;="&amp;$A49,FX_Daily!$A$15:$A$2821,"&lt;="&amp;EOMONTH($A49,0)),"")</f>
        <v>113.338</v>
      </c>
      <c r="I49" s="10" t="n">
        <f aca="false">IFERROR(AVERAGEIFS(FX_Daily!I$15:I$2821,FX_Daily!$A$15:$A$2821,"&gt;="&amp;$A49,FX_Daily!$A$15:$A$2821,"&lt;="&amp;EOMONTH($A49,0)),"")</f>
        <v>1.13668636363636</v>
      </c>
      <c r="J49" s="10" t="n">
        <f aca="false">IFERROR(AVERAGEIFS(FX_Daily!J$15:J$2821,FX_Daily!$A$15:$A$2821,"&gt;="&amp;$A49,FX_Daily!$A$15:$A$2821,"&lt;="&amp;EOMONTH($A49,0)),"")</f>
        <v>9.62718636363636</v>
      </c>
      <c r="K49" s="10" t="n">
        <f aca="false">IFERROR(AVERAGEIFS(FX_Daily!K$15:K$2821,FX_Daily!$A$15:$A$2821,"&gt;="&amp;$A49,FX_Daily!$A$15:$A$2821,"&lt;="&amp;EOMONTH($A49,0)),"")</f>
        <v>1280.88636363636</v>
      </c>
      <c r="L49" s="10" t="n">
        <f aca="false">IFERROR(AVERAGEIFS(FX_Daily!L$15:L$2821,FX_Daily!$A$15:$A$2821,"&gt;="&amp;$A49,FX_Daily!$A$15:$A$2821,"&lt;="&amp;EOMONTH($A49,0)),"")</f>
        <v>0.881181363636364</v>
      </c>
      <c r="M49" s="10" t="n">
        <f aca="false">IFERROR(AVERAGEIFS(FX_Daily!M$15:M$2821,FX_Daily!$A$15:$A$2821,"&gt;="&amp;$A49,FX_Daily!$A$15:$A$2821,"&lt;="&amp;EOMONTH($A49,0)),"")</f>
        <v>7.88800909090909</v>
      </c>
      <c r="N49" s="10" t="n">
        <f aca="false">IFERROR(AVERAGEIFS(FX_Daily!N$15:N$2821,FX_Daily!$A$15:$A$2821,"&gt;="&amp;$A49,FX_Daily!$A$15:$A$2821,"&lt;="&amp;EOMONTH($A49,0)),"")</f>
        <v>4.29725454545455</v>
      </c>
      <c r="O49" s="10" t="n">
        <f aca="false">IFERROR(AVERAGEIFS(FX_Daily!O$15:O$2821,FX_Daily!$A$15:$A$2821,"&gt;="&amp;$A49,FX_Daily!$A$15:$A$2821,"&lt;="&amp;EOMONTH($A49,0)),"")</f>
        <v>128.788636363636</v>
      </c>
      <c r="P49" s="10" t="n">
        <f aca="false">IFERROR(AVERAGEIFS(FX_Daily!P$15:P$2821,FX_Daily!$A$15:$A$2821,"&gt;="&amp;$A49,FX_Daily!$A$15:$A$2821,"&lt;="&amp;EOMONTH($A49,0)),"")</f>
        <v>8.46976363636364</v>
      </c>
      <c r="Q49" s="15" t="n">
        <f aca="false">COUNTIFS(FX_Daily!$A$15:$A$2821,"&gt;="&amp;$A49,FX_Daily!$A$15:$A$2821,"&lt;="&amp;EOMONTH($A49,0),FX_Daily!C$15:C$2821,"&gt;0")</f>
        <v>20</v>
      </c>
      <c r="R49" s="16" t="str">
        <f aca="false">IF(EOMONTH($A49,0)&gt;FX_Daily!$C$11,"partial month","complete")</f>
        <v>complete</v>
      </c>
    </row>
    <row r="50" customFormat="false" ht="15" hidden="false" customHeight="false" outlineLevel="0" collapsed="false">
      <c r="A50" s="17" t="n">
        <v>43435</v>
      </c>
      <c r="B50" s="10" t="n">
        <f aca="false">IFERROR(AVERAGEIFS(FX_Daily!B$15:B$2821,FX_Daily!$A$15:$A$2821,"&gt;="&amp;$A50,FX_Daily!$A$15:$A$2821,"&lt;="&amp;EOMONTH($A50,0)),"")</f>
        <v>1122.42444444444</v>
      </c>
      <c r="C50" s="10" t="n">
        <f aca="false">IFERROR(AVERAGEIFS(FX_Daily!C$15:C$2821,FX_Daily!$A$15:$A$2821,"&gt;="&amp;$A50,FX_Daily!$A$15:$A$2821,"&lt;="&amp;EOMONTH($A50,0)),"")</f>
        <v>8.62628888888889</v>
      </c>
      <c r="D50" s="10" t="n">
        <f aca="false">IFERROR(AVERAGEIFS(FX_Daily!D$15:D$2821,FX_Daily!$A$15:$A$2821,"&gt;="&amp;$A50,FX_Daily!$A$15:$A$2821,"&lt;="&amp;EOMONTH($A50,0)),"")</f>
        <v>1.26637222222222</v>
      </c>
      <c r="E50" s="10" t="n">
        <f aca="false">IFERROR(AVERAGEIFS(FX_Daily!E$15:E$2821,FX_Daily!$A$15:$A$2821,"&gt;="&amp;$A50,FX_Daily!$A$15:$A$2821,"&lt;="&amp;EOMONTH($A50,0)),"")</f>
        <v>1.13803888888889</v>
      </c>
      <c r="F50" s="10" t="n">
        <f aca="false">IFERROR(AVERAGEIFS(FX_Daily!F$15:F$2821,FX_Daily!$A$15:$A$2821,"&gt;="&amp;$A50,FX_Daily!$A$15:$A$2821,"&lt;="&amp;EOMONTH($A50,0)),"")</f>
        <v>6.88371111111111</v>
      </c>
      <c r="G50" s="10" t="n">
        <f aca="false">IFERROR(AVERAGEIFS(FX_Daily!G$15:G$2821,FX_Daily!$A$15:$A$2821,"&gt;="&amp;$A50,FX_Daily!$A$15:$A$2821,"&lt;="&amp;EOMONTH($A50,0)),"")</f>
        <v>3.88335555555556</v>
      </c>
      <c r="H50" s="10" t="n">
        <f aca="false">IFERROR(AVERAGEIFS(FX_Daily!H$15:H$2821,FX_Daily!$A$15:$A$2821,"&gt;="&amp;$A50,FX_Daily!$A$15:$A$2821,"&lt;="&amp;EOMONTH($A50,0)),"")</f>
        <v>112.199444444444</v>
      </c>
      <c r="I50" s="10" t="n">
        <f aca="false">IFERROR(AVERAGEIFS(FX_Daily!I$15:I$2821,FX_Daily!$A$15:$A$2821,"&gt;="&amp;$A50,FX_Daily!$A$15:$A$2821,"&lt;="&amp;EOMONTH($A50,0)),"")</f>
        <v>1.13842105263158</v>
      </c>
      <c r="J50" s="10" t="n">
        <f aca="false">IFERROR(AVERAGEIFS(FX_Daily!J$15:J$2821,FX_Daily!$A$15:$A$2821,"&gt;="&amp;$A50,FX_Daily!$A$15:$A$2821,"&lt;="&amp;EOMONTH($A50,0)),"")</f>
        <v>9.8055</v>
      </c>
      <c r="K50" s="10" t="n">
        <f aca="false">IFERROR(AVERAGEIFS(FX_Daily!K$15:K$2821,FX_Daily!$A$15:$A$2821,"&gt;="&amp;$A50,FX_Daily!$A$15:$A$2821,"&lt;="&amp;EOMONTH($A50,0)),"")</f>
        <v>1278.12631578947</v>
      </c>
      <c r="L50" s="10" t="n">
        <f aca="false">IFERROR(AVERAGEIFS(FX_Daily!L$15:L$2821,FX_Daily!$A$15:$A$2821,"&gt;="&amp;$A50,FX_Daily!$A$15:$A$2821,"&lt;="&amp;EOMONTH($A50,0)),"")</f>
        <v>0.897741578947368</v>
      </c>
      <c r="M50" s="10" t="n">
        <f aca="false">IFERROR(AVERAGEIFS(FX_Daily!M$15:M$2821,FX_Daily!$A$15:$A$2821,"&gt;="&amp;$A50,FX_Daily!$A$15:$A$2821,"&lt;="&amp;EOMONTH($A50,0)),"")</f>
        <v>7.83975789473684</v>
      </c>
      <c r="N50" s="10" t="n">
        <f aca="false">IFERROR(AVERAGEIFS(FX_Daily!N$15:N$2821,FX_Daily!$A$15:$A$2821,"&gt;="&amp;$A50,FX_Daily!$A$15:$A$2821,"&lt;="&amp;EOMONTH($A50,0)),"")</f>
        <v>4.42138947368421</v>
      </c>
      <c r="O50" s="10" t="n">
        <f aca="false">IFERROR(AVERAGEIFS(FX_Daily!O$15:O$2821,FX_Daily!$A$15:$A$2821,"&gt;="&amp;$A50,FX_Daily!$A$15:$A$2821,"&lt;="&amp;EOMONTH($A50,0)),"")</f>
        <v>127.877894736842</v>
      </c>
      <c r="P50" s="10" t="n">
        <f aca="false">IFERROR(AVERAGEIFS(FX_Daily!P$15:P$2821,FX_Daily!$A$15:$A$2821,"&gt;="&amp;$A50,FX_Daily!$A$15:$A$2821,"&lt;="&amp;EOMONTH($A50,0)),"")</f>
        <v>8.60453888888889</v>
      </c>
      <c r="Q50" s="15" t="n">
        <f aca="false">COUNTIFS(FX_Daily!$A$15:$A$2821,"&gt;="&amp;$A50,FX_Daily!$A$15:$A$2821,"&lt;="&amp;EOMONTH($A50,0),FX_Daily!C$15:C$2821,"&gt;0")</f>
        <v>18</v>
      </c>
      <c r="R50" s="16" t="str">
        <f aca="false">IF(EOMONTH($A50,0)&gt;FX_Daily!$C$11,"partial month","complete")</f>
        <v>complete</v>
      </c>
    </row>
    <row r="51" customFormat="false" ht="15" hidden="false" customHeight="false" outlineLevel="0" collapsed="false">
      <c r="A51" s="17" t="n">
        <v>43466</v>
      </c>
      <c r="B51" s="10" t="n">
        <f aca="false">IFERROR(AVERAGEIFS(FX_Daily!B$15:B$2821,FX_Daily!$A$15:$A$2821,"&gt;="&amp;$A51,FX_Daily!$A$15:$A$2821,"&lt;="&amp;EOMONTH($A51,0)),"")</f>
        <v>1120.33</v>
      </c>
      <c r="C51" s="10" t="n">
        <f aca="false">IFERROR(AVERAGEIFS(FX_Daily!C$15:C$2821,FX_Daily!$A$15:$A$2821,"&gt;="&amp;$A51,FX_Daily!$A$15:$A$2821,"&lt;="&amp;EOMONTH($A51,0)),"")</f>
        <v>8.547595</v>
      </c>
      <c r="D51" s="10" t="n">
        <f aca="false">IFERROR(AVERAGEIFS(FX_Daily!D$15:D$2821,FX_Daily!$A$15:$A$2821,"&gt;="&amp;$A51,FX_Daily!$A$15:$A$2821,"&lt;="&amp;EOMONTH($A51,0)),"")</f>
        <v>1.29007</v>
      </c>
      <c r="E51" s="10" t="n">
        <f aca="false">IFERROR(AVERAGEIFS(FX_Daily!E$15:E$2821,FX_Daily!$A$15:$A$2821,"&gt;="&amp;$A51,FX_Daily!$A$15:$A$2821,"&lt;="&amp;EOMONTH($A51,0)),"")</f>
        <v>1.14179</v>
      </c>
      <c r="F51" s="10" t="n">
        <f aca="false">IFERROR(AVERAGEIFS(FX_Daily!F$15:F$2821,FX_Daily!$A$15:$A$2821,"&gt;="&amp;$A51,FX_Daily!$A$15:$A$2821,"&lt;="&amp;EOMONTH($A51,0)),"")</f>
        <v>6.786345</v>
      </c>
      <c r="G51" s="10" t="n">
        <f aca="false">IFERROR(AVERAGEIFS(FX_Daily!G$15:G$2821,FX_Daily!$A$15:$A$2821,"&gt;="&amp;$A51,FX_Daily!$A$15:$A$2821,"&lt;="&amp;EOMONTH($A51,0)),"")</f>
        <v>3.735565</v>
      </c>
      <c r="H51" s="10" t="n">
        <f aca="false">IFERROR(AVERAGEIFS(FX_Daily!H$15:H$2821,FX_Daily!$A$15:$A$2821,"&gt;="&amp;$A51,FX_Daily!$A$15:$A$2821,"&lt;="&amp;EOMONTH($A51,0)),"")</f>
        <v>108.9605</v>
      </c>
      <c r="I51" s="10" t="n">
        <f aca="false">IFERROR(AVERAGEIFS(FX_Daily!I$15:I$2821,FX_Daily!$A$15:$A$2821,"&gt;="&amp;$A51,FX_Daily!$A$15:$A$2821,"&lt;="&amp;EOMONTH($A51,0)),"")</f>
        <v>1.14164090909091</v>
      </c>
      <c r="J51" s="10" t="n">
        <f aca="false">IFERROR(AVERAGEIFS(FX_Daily!J$15:J$2821,FX_Daily!$A$15:$A$2821,"&gt;="&amp;$A51,FX_Daily!$A$15:$A$2821,"&lt;="&amp;EOMONTH($A51,0)),"")</f>
        <v>9.76310454545455</v>
      </c>
      <c r="K51" s="10" t="n">
        <f aca="false">IFERROR(AVERAGEIFS(FX_Daily!K$15:K$2821,FX_Daily!$A$15:$A$2821,"&gt;="&amp;$A51,FX_Daily!$A$15:$A$2821,"&lt;="&amp;EOMONTH($A51,0)),"")</f>
        <v>1281.45909090909</v>
      </c>
      <c r="L51" s="10" t="n">
        <f aca="false">IFERROR(AVERAGEIFS(FX_Daily!L$15:L$2821,FX_Daily!$A$15:$A$2821,"&gt;="&amp;$A51,FX_Daily!$A$15:$A$2821,"&lt;="&amp;EOMONTH($A51,0)),"")</f>
        <v>0.886029545454546</v>
      </c>
      <c r="M51" s="10" t="n">
        <f aca="false">IFERROR(AVERAGEIFS(FX_Daily!M$15:M$2821,FX_Daily!$A$15:$A$2821,"&gt;="&amp;$A51,FX_Daily!$A$15:$A$2821,"&lt;="&amp;EOMONTH($A51,0)),"")</f>
        <v>7.75035</v>
      </c>
      <c r="N51" s="10" t="n">
        <f aca="false">IFERROR(AVERAGEIFS(FX_Daily!N$15:N$2821,FX_Daily!$A$15:$A$2821,"&gt;="&amp;$A51,FX_Daily!$A$15:$A$2821,"&lt;="&amp;EOMONTH($A51,0)),"")</f>
        <v>4.26998181818182</v>
      </c>
      <c r="O51" s="10" t="n">
        <f aca="false">IFERROR(AVERAGEIFS(FX_Daily!O$15:O$2821,FX_Daily!$A$15:$A$2821,"&gt;="&amp;$A51,FX_Daily!$A$15:$A$2821,"&lt;="&amp;EOMONTH($A51,0)),"")</f>
        <v>124.341363636364</v>
      </c>
      <c r="P51" s="10" t="n">
        <f aca="false">IFERROR(AVERAGEIFS(FX_Daily!P$15:P$2821,FX_Daily!$A$15:$A$2821,"&gt;="&amp;$A51,FX_Daily!$A$15:$A$2821,"&lt;="&amp;EOMONTH($A51,0)),"")</f>
        <v>8.55206818181818</v>
      </c>
      <c r="Q51" s="15" t="n">
        <f aca="false">COUNTIFS(FX_Daily!$A$15:$A$2821,"&gt;="&amp;$A51,FX_Daily!$A$15:$A$2821,"&lt;="&amp;EOMONTH($A51,0),FX_Daily!C$15:C$2821,"&gt;0")</f>
        <v>20</v>
      </c>
      <c r="R51" s="16" t="str">
        <f aca="false">IF(EOMONTH($A51,0)&gt;FX_Daily!$C$11,"partial month","complete")</f>
        <v>complete</v>
      </c>
    </row>
    <row r="52" customFormat="false" ht="15" hidden="false" customHeight="false" outlineLevel="0" collapsed="false">
      <c r="A52" s="17" t="n">
        <v>43497</v>
      </c>
      <c r="B52" s="10" t="n">
        <f aca="false">IFERROR(AVERAGEIFS(FX_Daily!B$15:B$2821,FX_Daily!$A$15:$A$2821,"&gt;="&amp;$A52,FX_Daily!$A$15:$A$2821,"&lt;="&amp;EOMONTH($A52,0)),"")</f>
        <v>1121.83333333333</v>
      </c>
      <c r="C52" s="10" t="n">
        <f aca="false">IFERROR(AVERAGEIFS(FX_Daily!C$15:C$2821,FX_Daily!$A$15:$A$2821,"&gt;="&amp;$A52,FX_Daily!$A$15:$A$2821,"&lt;="&amp;EOMONTH($A52,0)),"")</f>
        <v>8.58545555555556</v>
      </c>
      <c r="D52" s="10" t="n">
        <f aca="false">IFERROR(AVERAGEIFS(FX_Daily!D$15:D$2821,FX_Daily!$A$15:$A$2821,"&gt;="&amp;$A52,FX_Daily!$A$15:$A$2821,"&lt;="&amp;EOMONTH($A52,0)),"")</f>
        <v>1.30163333333333</v>
      </c>
      <c r="E52" s="10" t="n">
        <f aca="false">IFERROR(AVERAGEIFS(FX_Daily!E$15:E$2821,FX_Daily!$A$15:$A$2821,"&gt;="&amp;$A52,FX_Daily!$A$15:$A$2821,"&lt;="&amp;EOMONTH($A52,0)),"")</f>
        <v>1.13494444444444</v>
      </c>
      <c r="F52" s="10" t="n">
        <f aca="false">IFERROR(AVERAGEIFS(FX_Daily!F$15:F$2821,FX_Daily!$A$15:$A$2821,"&gt;="&amp;$A52,FX_Daily!$A$15:$A$2821,"&lt;="&amp;EOMONTH($A52,0)),"")</f>
        <v>6.73668333333333</v>
      </c>
      <c r="G52" s="10" t="n">
        <f aca="false">IFERROR(AVERAGEIFS(FX_Daily!G$15:G$2821,FX_Daily!$A$15:$A$2821,"&gt;="&amp;$A52,FX_Daily!$A$15:$A$2821,"&lt;="&amp;EOMONTH($A52,0)),"")</f>
        <v>3.72443333333333</v>
      </c>
      <c r="H52" s="10" t="n">
        <f aca="false">IFERROR(AVERAGEIFS(FX_Daily!H$15:H$2821,FX_Daily!$A$15:$A$2821,"&gt;="&amp;$A52,FX_Daily!$A$15:$A$2821,"&lt;="&amp;EOMONTH($A52,0)),"")</f>
        <v>110.44</v>
      </c>
      <c r="I52" s="10" t="n">
        <f aca="false">IFERROR(AVERAGEIFS(FX_Daily!I$15:I$2821,FX_Daily!$A$15:$A$2821,"&gt;="&amp;$A52,FX_Daily!$A$15:$A$2821,"&lt;="&amp;EOMONTH($A52,0)),"")</f>
        <v>1.135115</v>
      </c>
      <c r="J52" s="10" t="n">
        <f aca="false">IFERROR(AVERAGEIFS(FX_Daily!J$15:J$2821,FX_Daily!$A$15:$A$2821,"&gt;="&amp;$A52,FX_Daily!$A$15:$A$2821,"&lt;="&amp;EOMONTH($A52,0)),"")</f>
        <v>9.744385</v>
      </c>
      <c r="K52" s="10" t="n">
        <f aca="false">IFERROR(AVERAGEIFS(FX_Daily!K$15:K$2821,FX_Daily!$A$15:$A$2821,"&gt;="&amp;$A52,FX_Daily!$A$15:$A$2821,"&lt;="&amp;EOMONTH($A52,0)),"")</f>
        <v>1274.3165</v>
      </c>
      <c r="L52" s="10" t="n">
        <f aca="false">IFERROR(AVERAGEIFS(FX_Daily!L$15:L$2821,FX_Daily!$A$15:$A$2821,"&gt;="&amp;$A52,FX_Daily!$A$15:$A$2821,"&lt;="&amp;EOMONTH($A52,0)),"")</f>
        <v>0.872637</v>
      </c>
      <c r="M52" s="10" t="n">
        <f aca="false">IFERROR(AVERAGEIFS(FX_Daily!M$15:M$2821,FX_Daily!$A$15:$A$2821,"&gt;="&amp;$A52,FX_Daily!$A$15:$A$2821,"&lt;="&amp;EOMONTH($A52,0)),"")</f>
        <v>7.6485</v>
      </c>
      <c r="N52" s="10" t="n">
        <f aca="false">IFERROR(AVERAGEIFS(FX_Daily!N$15:N$2821,FX_Daily!$A$15:$A$2821,"&gt;="&amp;$A52,FX_Daily!$A$15:$A$2821,"&lt;="&amp;EOMONTH($A52,0)),"")</f>
        <v>4.22339</v>
      </c>
      <c r="O52" s="10" t="n">
        <f aca="false">IFERROR(AVERAGEIFS(FX_Daily!O$15:O$2821,FX_Daily!$A$15:$A$2821,"&gt;="&amp;$A52,FX_Daily!$A$15:$A$2821,"&lt;="&amp;EOMONTH($A52,0)),"")</f>
        <v>125.28</v>
      </c>
      <c r="P52" s="10" t="n">
        <f aca="false">IFERROR(AVERAGEIFS(FX_Daily!P$15:P$2821,FX_Daily!$A$15:$A$2821,"&gt;="&amp;$A52,FX_Daily!$A$15:$A$2821,"&lt;="&amp;EOMONTH($A52,0)),"")</f>
        <v>8.584815</v>
      </c>
      <c r="Q52" s="15" t="n">
        <f aca="false">COUNTIFS(FX_Daily!$A$15:$A$2821,"&gt;="&amp;$A52,FX_Daily!$A$15:$A$2821,"&lt;="&amp;EOMONTH($A52,0),FX_Daily!C$15:C$2821,"&gt;0")</f>
        <v>18</v>
      </c>
      <c r="R52" s="16" t="str">
        <f aca="false">IF(EOMONTH($A52,0)&gt;FX_Daily!$C$11,"partial month","complete")</f>
        <v>complete</v>
      </c>
    </row>
    <row r="53" customFormat="false" ht="15" hidden="false" customHeight="false" outlineLevel="0" collapsed="false">
      <c r="A53" s="17" t="n">
        <v>43525</v>
      </c>
      <c r="B53" s="10" t="n">
        <f aca="false">IFERROR(AVERAGEIFS(FX_Daily!B$15:B$2821,FX_Daily!$A$15:$A$2821,"&gt;="&amp;$A53,FX_Daily!$A$15:$A$2821,"&lt;="&amp;EOMONTH($A53,0)),"")</f>
        <v>1131.60047619048</v>
      </c>
      <c r="C53" s="10" t="n">
        <f aca="false">IFERROR(AVERAGEIFS(FX_Daily!C$15:C$2821,FX_Daily!$A$15:$A$2821,"&gt;="&amp;$A53,FX_Daily!$A$15:$A$2821,"&lt;="&amp;EOMONTH($A53,0)),"")</f>
        <v>8.60716666666667</v>
      </c>
      <c r="D53" s="10" t="n">
        <f aca="false">IFERROR(AVERAGEIFS(FX_Daily!D$15:D$2821,FX_Daily!$A$15:$A$2821,"&gt;="&amp;$A53,FX_Daily!$A$15:$A$2821,"&lt;="&amp;EOMONTH($A53,0)),"")</f>
        <v>1.31665714285714</v>
      </c>
      <c r="E53" s="10" t="n">
        <f aca="false">IFERROR(AVERAGEIFS(FX_Daily!E$15:E$2821,FX_Daily!$A$15:$A$2821,"&gt;="&amp;$A53,FX_Daily!$A$15:$A$2821,"&lt;="&amp;EOMONTH($A53,0)),"")</f>
        <v>1.12961428571429</v>
      </c>
      <c r="F53" s="10" t="n">
        <f aca="false">IFERROR(AVERAGEIFS(FX_Daily!F$15:F$2821,FX_Daily!$A$15:$A$2821,"&gt;="&amp;$A53,FX_Daily!$A$15:$A$2821,"&lt;="&amp;EOMONTH($A53,0)),"")</f>
        <v>6.71194285714286</v>
      </c>
      <c r="G53" s="10" t="n">
        <f aca="false">IFERROR(AVERAGEIFS(FX_Daily!G$15:G$2821,FX_Daily!$A$15:$A$2821,"&gt;="&amp;$A53,FX_Daily!$A$15:$A$2821,"&lt;="&amp;EOMONTH($A53,0)),"")</f>
        <v>3.84074761904762</v>
      </c>
      <c r="H53" s="10" t="n">
        <f aca="false">IFERROR(AVERAGEIFS(FX_Daily!H$15:H$2821,FX_Daily!$A$15:$A$2821,"&gt;="&amp;$A53,FX_Daily!$A$15:$A$2821,"&lt;="&amp;EOMONTH($A53,0)),"")</f>
        <v>111.144285714286</v>
      </c>
      <c r="I53" s="10" t="n">
        <f aca="false">IFERROR(AVERAGEIFS(FX_Daily!I$15:I$2821,FX_Daily!$A$15:$A$2821,"&gt;="&amp;$A53,FX_Daily!$A$15:$A$2821,"&lt;="&amp;EOMONTH($A53,0)),"")</f>
        <v>1.13024761904762</v>
      </c>
      <c r="J53" s="10" t="n">
        <f aca="false">IFERROR(AVERAGEIFS(FX_Daily!J$15:J$2821,FX_Daily!$A$15:$A$2821,"&gt;="&amp;$A53,FX_Daily!$A$15:$A$2821,"&lt;="&amp;EOMONTH($A53,0)),"")</f>
        <v>9.71805238095238</v>
      </c>
      <c r="K53" s="10" t="n">
        <f aca="false">IFERROR(AVERAGEIFS(FX_Daily!K$15:K$2821,FX_Daily!$A$15:$A$2821,"&gt;="&amp;$A53,FX_Daily!$A$15:$A$2821,"&lt;="&amp;EOMONTH($A53,0)),"")</f>
        <v>1279.66904761905</v>
      </c>
      <c r="L53" s="10" t="n">
        <f aca="false">IFERROR(AVERAGEIFS(FX_Daily!L$15:L$2821,FX_Daily!$A$15:$A$2821,"&gt;="&amp;$A53,FX_Daily!$A$15:$A$2821,"&lt;="&amp;EOMONTH($A53,0)),"")</f>
        <v>0.858220476190476</v>
      </c>
      <c r="M53" s="10" t="n">
        <f aca="false">IFERROR(AVERAGEIFS(FX_Daily!M$15:M$2821,FX_Daily!$A$15:$A$2821,"&gt;="&amp;$A53,FX_Daily!$A$15:$A$2821,"&lt;="&amp;EOMONTH($A53,0)),"")</f>
        <v>7.58677142857143</v>
      </c>
      <c r="N53" s="10" t="n">
        <f aca="false">IFERROR(AVERAGEIFS(FX_Daily!N$15:N$2821,FX_Daily!$A$15:$A$2821,"&gt;="&amp;$A53,FX_Daily!$A$15:$A$2821,"&lt;="&amp;EOMONTH($A53,0)),"")</f>
        <v>4.33694285714286</v>
      </c>
      <c r="O53" s="10" t="n">
        <f aca="false">IFERROR(AVERAGEIFS(FX_Daily!O$15:O$2821,FX_Daily!$A$15:$A$2821,"&gt;="&amp;$A53,FX_Daily!$A$15:$A$2821,"&lt;="&amp;EOMONTH($A53,0)),"")</f>
        <v>125.67380952381</v>
      </c>
      <c r="P53" s="10" t="n">
        <f aca="false">IFERROR(AVERAGEIFS(FX_Daily!P$15:P$2821,FX_Daily!$A$15:$A$2821,"&gt;="&amp;$A53,FX_Daily!$A$15:$A$2821,"&lt;="&amp;EOMONTH($A53,0)),"")</f>
        <v>8.59842380952381</v>
      </c>
      <c r="Q53" s="15" t="n">
        <f aca="false">COUNTIFS(FX_Daily!$A$15:$A$2821,"&gt;="&amp;$A53,FX_Daily!$A$15:$A$2821,"&lt;="&amp;EOMONTH($A53,0),FX_Daily!C$15:C$2821,"&gt;0")</f>
        <v>21</v>
      </c>
      <c r="R53" s="16" t="str">
        <f aca="false">IF(EOMONTH($A53,0)&gt;FX_Daily!$C$11,"partial month","complete")</f>
        <v>complete</v>
      </c>
    </row>
    <row r="54" customFormat="false" ht="15" hidden="false" customHeight="false" outlineLevel="0" collapsed="false">
      <c r="A54" s="17" t="n">
        <v>43556</v>
      </c>
      <c r="B54" s="10" t="n">
        <f aca="false">IFERROR(AVERAGEIFS(FX_Daily!B$15:B$2821,FX_Daily!$A$15:$A$2821,"&gt;="&amp;$A54,FX_Daily!$A$15:$A$2821,"&lt;="&amp;EOMONTH($A54,0)),"")</f>
        <v>1142.165</v>
      </c>
      <c r="C54" s="10" t="n">
        <f aca="false">IFERROR(AVERAGEIFS(FX_Daily!C$15:C$2821,FX_Daily!$A$15:$A$2821,"&gt;="&amp;$A54,FX_Daily!$A$15:$A$2821,"&lt;="&amp;EOMONTH($A54,0)),"")</f>
        <v>8.56229545454545</v>
      </c>
      <c r="D54" s="10" t="n">
        <f aca="false">IFERROR(AVERAGEIFS(FX_Daily!D$15:D$2821,FX_Daily!$A$15:$A$2821,"&gt;="&amp;$A54,FX_Daily!$A$15:$A$2821,"&lt;="&amp;EOMONTH($A54,0)),"")</f>
        <v>1.30293636363636</v>
      </c>
      <c r="E54" s="10" t="n">
        <f aca="false">IFERROR(AVERAGEIFS(FX_Daily!E$15:E$2821,FX_Daily!$A$15:$A$2821,"&gt;="&amp;$A54,FX_Daily!$A$15:$A$2821,"&lt;="&amp;EOMONTH($A54,0)),"")</f>
        <v>1.1234</v>
      </c>
      <c r="F54" s="10" t="n">
        <f aca="false">IFERROR(AVERAGEIFS(FX_Daily!F$15:F$2821,FX_Daily!$A$15:$A$2821,"&gt;="&amp;$A54,FX_Daily!$A$15:$A$2821,"&lt;="&amp;EOMONTH($A54,0)),"")</f>
        <v>6.71606818181818</v>
      </c>
      <c r="G54" s="10" t="n">
        <f aca="false">IFERROR(AVERAGEIFS(FX_Daily!G$15:G$2821,FX_Daily!$A$15:$A$2821,"&gt;="&amp;$A54,FX_Daily!$A$15:$A$2821,"&lt;="&amp;EOMONTH($A54,0)),"")</f>
        <v>3.89742272727273</v>
      </c>
      <c r="H54" s="10" t="n">
        <f aca="false">IFERROR(AVERAGEIFS(FX_Daily!H$15:H$2821,FX_Daily!$A$15:$A$2821,"&gt;="&amp;$A54,FX_Daily!$A$15:$A$2821,"&lt;="&amp;EOMONTH($A54,0)),"")</f>
        <v>111.641363636364</v>
      </c>
      <c r="I54" s="10" t="n">
        <f aca="false">IFERROR(AVERAGEIFS(FX_Daily!I$15:I$2821,FX_Daily!$A$15:$A$2821,"&gt;="&amp;$A54,FX_Daily!$A$15:$A$2821,"&lt;="&amp;EOMONTH($A54,0)),"")</f>
        <v>1.123825</v>
      </c>
      <c r="J54" s="10" t="n">
        <f aca="false">IFERROR(AVERAGEIFS(FX_Daily!J$15:J$2821,FX_Daily!$A$15:$A$2821,"&gt;="&amp;$A54,FX_Daily!$A$15:$A$2821,"&lt;="&amp;EOMONTH($A54,0)),"")</f>
        <v>9.62333</v>
      </c>
      <c r="K54" s="10" t="n">
        <f aca="false">IFERROR(AVERAGEIFS(FX_Daily!K$15:K$2821,FX_Daily!$A$15:$A$2821,"&gt;="&amp;$A54,FX_Daily!$A$15:$A$2821,"&lt;="&amp;EOMONTH($A54,0)),"")</f>
        <v>1284.4125</v>
      </c>
      <c r="L54" s="10" t="n">
        <f aca="false">IFERROR(AVERAGEIFS(FX_Daily!L$15:L$2821,FX_Daily!$A$15:$A$2821,"&gt;="&amp;$A54,FX_Daily!$A$15:$A$2821,"&lt;="&amp;EOMONTH($A54,0)),"")</f>
        <v>0.8617895</v>
      </c>
      <c r="M54" s="10" t="n">
        <f aca="false">IFERROR(AVERAGEIFS(FX_Daily!M$15:M$2821,FX_Daily!$A$15:$A$2821,"&gt;="&amp;$A54,FX_Daily!$A$15:$A$2821,"&lt;="&amp;EOMONTH($A54,0)),"")</f>
        <v>7.548925</v>
      </c>
      <c r="N54" s="10" t="n">
        <f aca="false">IFERROR(AVERAGEIFS(FX_Daily!N$15:N$2821,FX_Daily!$A$15:$A$2821,"&gt;="&amp;$A54,FX_Daily!$A$15:$A$2821,"&lt;="&amp;EOMONTH($A54,0)),"")</f>
        <v>4.37396</v>
      </c>
      <c r="O54" s="10" t="n">
        <f aca="false">IFERROR(AVERAGEIFS(FX_Daily!O$15:O$2821,FX_Daily!$A$15:$A$2821,"&gt;="&amp;$A54,FX_Daily!$A$15:$A$2821,"&lt;="&amp;EOMONTH($A54,0)),"")</f>
        <v>125.436</v>
      </c>
      <c r="P54" s="10" t="n">
        <f aca="false">IFERROR(AVERAGEIFS(FX_Daily!P$15:P$2821,FX_Daily!$A$15:$A$2821,"&gt;="&amp;$A54,FX_Daily!$A$15:$A$2821,"&lt;="&amp;EOMONTH($A54,0)),"")</f>
        <v>8.56502105263158</v>
      </c>
      <c r="Q54" s="15" t="n">
        <f aca="false">COUNTIFS(FX_Daily!$A$15:$A$2821,"&gt;="&amp;$A54,FX_Daily!$A$15:$A$2821,"&lt;="&amp;EOMONTH($A54,0),FX_Daily!C$15:C$2821,"&gt;0")</f>
        <v>22</v>
      </c>
      <c r="R54" s="16" t="str">
        <f aca="false">IF(EOMONTH($A54,0)&gt;FX_Daily!$C$11,"partial month","complete")</f>
        <v>complete</v>
      </c>
    </row>
    <row r="55" customFormat="false" ht="15" hidden="false" customHeight="false" outlineLevel="0" collapsed="false">
      <c r="A55" s="17" t="n">
        <v>43586</v>
      </c>
      <c r="B55" s="10" t="n">
        <f aca="false">IFERROR(AVERAGEIFS(FX_Daily!B$15:B$2821,FX_Daily!$A$15:$A$2821,"&gt;="&amp;$A55,FX_Daily!$A$15:$A$2821,"&lt;="&amp;EOMONTH($A55,0)),"")</f>
        <v>1182.95272727273</v>
      </c>
      <c r="C55" s="10" t="n">
        <f aca="false">IFERROR(AVERAGEIFS(FX_Daily!C$15:C$2821,FX_Daily!$A$15:$A$2821,"&gt;="&amp;$A55,FX_Daily!$A$15:$A$2821,"&lt;="&amp;EOMONTH($A55,0)),"")</f>
        <v>8.73868636363636</v>
      </c>
      <c r="D55" s="10" t="n">
        <f aca="false">IFERROR(AVERAGEIFS(FX_Daily!D$15:D$2821,FX_Daily!$A$15:$A$2821,"&gt;="&amp;$A55,FX_Daily!$A$15:$A$2821,"&lt;="&amp;EOMONTH($A55,0)),"")</f>
        <v>1.28545</v>
      </c>
      <c r="E55" s="10" t="n">
        <f aca="false">IFERROR(AVERAGEIFS(FX_Daily!E$15:E$2821,FX_Daily!$A$15:$A$2821,"&gt;="&amp;$A55,FX_Daily!$A$15:$A$2821,"&lt;="&amp;EOMONTH($A55,0)),"")</f>
        <v>1.11869090909091</v>
      </c>
      <c r="F55" s="10" t="n">
        <f aca="false">IFERROR(AVERAGEIFS(FX_Daily!F$15:F$2821,FX_Daily!$A$15:$A$2821,"&gt;="&amp;$A55,FX_Daily!$A$15:$A$2821,"&lt;="&amp;EOMONTH($A55,0)),"")</f>
        <v>6.85185909090909</v>
      </c>
      <c r="G55" s="10" t="n">
        <f aca="false">IFERROR(AVERAGEIFS(FX_Daily!G$15:G$2821,FX_Daily!$A$15:$A$2821,"&gt;="&amp;$A55,FX_Daily!$A$15:$A$2821,"&lt;="&amp;EOMONTH($A55,0)),"")</f>
        <v>3.99149090909091</v>
      </c>
      <c r="H55" s="10" t="n">
        <f aca="false">IFERROR(AVERAGEIFS(FX_Daily!H$15:H$2821,FX_Daily!$A$15:$A$2821,"&gt;="&amp;$A55,FX_Daily!$A$15:$A$2821,"&lt;="&amp;EOMONTH($A55,0)),"")</f>
        <v>109.971363636364</v>
      </c>
      <c r="I55" s="10" t="n">
        <f aca="false">IFERROR(AVERAGEIFS(FX_Daily!I$15:I$2821,FX_Daily!$A$15:$A$2821,"&gt;="&amp;$A55,FX_Daily!$A$15:$A$2821,"&lt;="&amp;EOMONTH($A55,0)),"")</f>
        <v>1.11845909090909</v>
      </c>
      <c r="J55" s="10" t="n">
        <f aca="false">IFERROR(AVERAGEIFS(FX_Daily!J$15:J$2821,FX_Daily!$A$15:$A$2821,"&gt;="&amp;$A55,FX_Daily!$A$15:$A$2821,"&lt;="&amp;EOMONTH($A55,0)),"")</f>
        <v>9.77935</v>
      </c>
      <c r="K55" s="10" t="n">
        <f aca="false">IFERROR(AVERAGEIFS(FX_Daily!K$15:K$2821,FX_Daily!$A$15:$A$2821,"&gt;="&amp;$A55,FX_Daily!$A$15:$A$2821,"&lt;="&amp;EOMONTH($A55,0)),"")</f>
        <v>1325.20272727273</v>
      </c>
      <c r="L55" s="10" t="n">
        <f aca="false">IFERROR(AVERAGEIFS(FX_Daily!L$15:L$2821,FX_Daily!$A$15:$A$2821,"&gt;="&amp;$A55,FX_Daily!$A$15:$A$2821,"&lt;="&amp;EOMONTH($A55,0)),"")</f>
        <v>0.871758181818182</v>
      </c>
      <c r="M55" s="10" t="n">
        <f aca="false">IFERROR(AVERAGEIFS(FX_Daily!M$15:M$2821,FX_Daily!$A$15:$A$2821,"&gt;="&amp;$A55,FX_Daily!$A$15:$A$2821,"&lt;="&amp;EOMONTH($A55,0)),"")</f>
        <v>7.67362727272727</v>
      </c>
      <c r="N55" s="10" t="n">
        <f aca="false">IFERROR(AVERAGEIFS(FX_Daily!N$15:N$2821,FX_Daily!$A$15:$A$2821,"&gt;="&amp;$A55,FX_Daily!$A$15:$A$2821,"&lt;="&amp;EOMONTH($A55,0)),"")</f>
        <v>4.47973636363636</v>
      </c>
      <c r="O55" s="10" t="n">
        <f aca="false">IFERROR(AVERAGEIFS(FX_Daily!O$15:O$2821,FX_Daily!$A$15:$A$2821,"&gt;="&amp;$A55,FX_Daily!$A$15:$A$2821,"&lt;="&amp;EOMONTH($A55,0)),"")</f>
        <v>122.948181818182</v>
      </c>
      <c r="P55" s="10" t="n">
        <f aca="false">IFERROR(AVERAGEIFS(FX_Daily!P$15:P$2821,FX_Daily!$A$15:$A$2821,"&gt;="&amp;$A55,FX_Daily!$A$15:$A$2821,"&lt;="&amp;EOMONTH($A55,0)),"")</f>
        <v>8.741135</v>
      </c>
      <c r="Q55" s="15" t="n">
        <f aca="false">COUNTIFS(FX_Daily!$A$15:$A$2821,"&gt;="&amp;$A55,FX_Daily!$A$15:$A$2821,"&lt;="&amp;EOMONTH($A55,0),FX_Daily!C$15:C$2821,"&gt;0")</f>
        <v>22</v>
      </c>
      <c r="R55" s="16" t="str">
        <f aca="false">IF(EOMONTH($A55,0)&gt;FX_Daily!$C$11,"partial month","complete")</f>
        <v>complete</v>
      </c>
    </row>
    <row r="56" customFormat="false" ht="15" hidden="false" customHeight="false" outlineLevel="0" collapsed="false">
      <c r="A56" s="17" t="n">
        <v>43617</v>
      </c>
      <c r="B56" s="10" t="n">
        <f aca="false">IFERROR(AVERAGEIFS(FX_Daily!B$15:B$2821,FX_Daily!$A$15:$A$2821,"&gt;="&amp;$A56,FX_Daily!$A$15:$A$2821,"&lt;="&amp;EOMONTH($A56,0)),"")</f>
        <v>1173.7845</v>
      </c>
      <c r="C56" s="10" t="n">
        <f aca="false">IFERROR(AVERAGEIFS(FX_Daily!C$15:C$2821,FX_Daily!$A$15:$A$2821,"&gt;="&amp;$A56,FX_Daily!$A$15:$A$2821,"&lt;="&amp;EOMONTH($A56,0)),"")</f>
        <v>8.632925</v>
      </c>
      <c r="D56" s="10" t="n">
        <f aca="false">IFERROR(AVERAGEIFS(FX_Daily!D$15:D$2821,FX_Daily!$A$15:$A$2821,"&gt;="&amp;$A56,FX_Daily!$A$15:$A$2821,"&lt;="&amp;EOMONTH($A56,0)),"")</f>
        <v>1.26751</v>
      </c>
      <c r="E56" s="10" t="n">
        <f aca="false">IFERROR(AVERAGEIFS(FX_Daily!E$15:E$2821,FX_Daily!$A$15:$A$2821,"&gt;="&amp;$A56,FX_Daily!$A$15:$A$2821,"&lt;="&amp;EOMONTH($A56,0)),"")</f>
        <v>1.129515</v>
      </c>
      <c r="F56" s="10" t="n">
        <f aca="false">IFERROR(AVERAGEIFS(FX_Daily!F$15:F$2821,FX_Daily!$A$15:$A$2821,"&gt;="&amp;$A56,FX_Daily!$A$15:$A$2821,"&lt;="&amp;EOMONTH($A56,0)),"")</f>
        <v>6.897675</v>
      </c>
      <c r="G56" s="10" t="n">
        <f aca="false">IFERROR(AVERAGEIFS(FX_Daily!G$15:G$2821,FX_Daily!$A$15:$A$2821,"&gt;="&amp;$A56,FX_Daily!$A$15:$A$2821,"&lt;="&amp;EOMONTH($A56,0)),"")</f>
        <v>3.855685</v>
      </c>
      <c r="H56" s="10" t="n">
        <f aca="false">IFERROR(AVERAGEIFS(FX_Daily!H$15:H$2821,FX_Daily!$A$15:$A$2821,"&gt;="&amp;$A56,FX_Daily!$A$15:$A$2821,"&lt;="&amp;EOMONTH($A56,0)),"")</f>
        <v>108.0685</v>
      </c>
      <c r="I56" s="10" t="n">
        <f aca="false">IFERROR(AVERAGEIFS(FX_Daily!I$15:I$2821,FX_Daily!$A$15:$A$2821,"&gt;="&amp;$A56,FX_Daily!$A$15:$A$2821,"&lt;="&amp;EOMONTH($A56,0)),"")</f>
        <v>1.12934</v>
      </c>
      <c r="J56" s="10" t="n">
        <f aca="false">IFERROR(AVERAGEIFS(FX_Daily!J$15:J$2821,FX_Daily!$A$15:$A$2821,"&gt;="&amp;$A56,FX_Daily!$A$15:$A$2821,"&lt;="&amp;EOMONTH($A56,0)),"")</f>
        <v>9.74648</v>
      </c>
      <c r="K56" s="10" t="n">
        <f aca="false">IFERROR(AVERAGEIFS(FX_Daily!K$15:K$2821,FX_Daily!$A$15:$A$2821,"&gt;="&amp;$A56,FX_Daily!$A$15:$A$2821,"&lt;="&amp;EOMONTH($A56,0)),"")</f>
        <v>1325.2805</v>
      </c>
      <c r="L56" s="10" t="n">
        <f aca="false">IFERROR(AVERAGEIFS(FX_Daily!L$15:L$2821,FX_Daily!$A$15:$A$2821,"&gt;="&amp;$A56,FX_Daily!$A$15:$A$2821,"&lt;="&amp;EOMONTH($A56,0)),"")</f>
        <v>0.891073</v>
      </c>
      <c r="M56" s="10" t="n">
        <f aca="false">IFERROR(AVERAGEIFS(FX_Daily!M$15:M$2821,FX_Daily!$A$15:$A$2821,"&gt;="&amp;$A56,FX_Daily!$A$15:$A$2821,"&lt;="&amp;EOMONTH($A56,0)),"")</f>
        <v>7.793685</v>
      </c>
      <c r="N56" s="10" t="n">
        <f aca="false">IFERROR(AVERAGEIFS(FX_Daily!N$15:N$2821,FX_Daily!$A$15:$A$2821,"&gt;="&amp;$A56,FX_Daily!$A$15:$A$2821,"&lt;="&amp;EOMONTH($A56,0)),"")</f>
        <v>4.360035</v>
      </c>
      <c r="O56" s="10" t="n">
        <f aca="false">IFERROR(AVERAGEIFS(FX_Daily!O$15:O$2821,FX_Daily!$A$15:$A$2821,"&gt;="&amp;$A56,FX_Daily!$A$15:$A$2821,"&lt;="&amp;EOMONTH($A56,0)),"")</f>
        <v>122.0805</v>
      </c>
      <c r="P56" s="10" t="n">
        <f aca="false">IFERROR(AVERAGEIFS(FX_Daily!P$15:P$2821,FX_Daily!$A$15:$A$2821,"&gt;="&amp;$A56,FX_Daily!$A$15:$A$2821,"&lt;="&amp;EOMONTH($A56,0)),"")</f>
        <v>8.62943157894737</v>
      </c>
      <c r="Q56" s="15" t="n">
        <f aca="false">COUNTIFS(FX_Daily!$A$15:$A$2821,"&gt;="&amp;$A56,FX_Daily!$A$15:$A$2821,"&lt;="&amp;EOMONTH($A56,0),FX_Daily!C$15:C$2821,"&gt;0")</f>
        <v>20</v>
      </c>
      <c r="R56" s="16" t="str">
        <f aca="false">IF(EOMONTH($A56,0)&gt;FX_Daily!$C$11,"partial month","complete")</f>
        <v>complete</v>
      </c>
    </row>
    <row r="57" customFormat="false" ht="15" hidden="false" customHeight="false" outlineLevel="0" collapsed="false">
      <c r="A57" s="17" t="n">
        <v>43647</v>
      </c>
      <c r="B57" s="10" t="n">
        <f aca="false">IFERROR(AVERAGEIFS(FX_Daily!B$15:B$2821,FX_Daily!$A$15:$A$2821,"&gt;="&amp;$A57,FX_Daily!$A$15:$A$2821,"&lt;="&amp;EOMONTH($A57,0)),"")</f>
        <v>1177.23454545455</v>
      </c>
      <c r="C57" s="10" t="n">
        <f aca="false">IFERROR(AVERAGEIFS(FX_Daily!C$15:C$2821,FX_Daily!$A$15:$A$2821,"&gt;="&amp;$A57,FX_Daily!$A$15:$A$2821,"&lt;="&amp;EOMONTH($A57,0)),"")</f>
        <v>8.61955909090909</v>
      </c>
      <c r="D57" s="10" t="n">
        <f aca="false">IFERROR(AVERAGEIFS(FX_Daily!D$15:D$2821,FX_Daily!$A$15:$A$2821,"&gt;="&amp;$A57,FX_Daily!$A$15:$A$2821,"&lt;="&amp;EOMONTH($A57,0)),"")</f>
        <v>1.24608636363636</v>
      </c>
      <c r="E57" s="10" t="n">
        <f aca="false">IFERROR(AVERAGEIFS(FX_Daily!E$15:E$2821,FX_Daily!$A$15:$A$2821,"&gt;="&amp;$A57,FX_Daily!$A$15:$A$2821,"&lt;="&amp;EOMONTH($A57,0)),"")</f>
        <v>1.12114545454545</v>
      </c>
      <c r="F57" s="10" t="n">
        <f aca="false">IFERROR(AVERAGEIFS(FX_Daily!F$15:F$2821,FX_Daily!$A$15:$A$2821,"&gt;="&amp;$A57,FX_Daily!$A$15:$A$2821,"&lt;="&amp;EOMONTH($A57,0)),"")</f>
        <v>6.87747272727273</v>
      </c>
      <c r="G57" s="10" t="n">
        <f aca="false">IFERROR(AVERAGEIFS(FX_Daily!G$15:G$2821,FX_Daily!$A$15:$A$2821,"&gt;="&amp;$A57,FX_Daily!$A$15:$A$2821,"&lt;="&amp;EOMONTH($A57,0)),"")</f>
        <v>3.77851363636364</v>
      </c>
      <c r="H57" s="10" t="n">
        <f aca="false">IFERROR(AVERAGEIFS(FX_Daily!H$15:H$2821,FX_Daily!$A$15:$A$2821,"&gt;="&amp;$A57,FX_Daily!$A$15:$A$2821,"&lt;="&amp;EOMONTH($A57,0)),"")</f>
        <v>108.286363636364</v>
      </c>
      <c r="I57" s="10" t="n">
        <f aca="false">IFERROR(AVERAGEIFS(FX_Daily!I$15:I$2821,FX_Daily!$A$15:$A$2821,"&gt;="&amp;$A57,FX_Daily!$A$15:$A$2821,"&lt;="&amp;EOMONTH($A57,0)),"")</f>
        <v>1.12183913043478</v>
      </c>
      <c r="J57" s="10" t="n">
        <f aca="false">IFERROR(AVERAGEIFS(FX_Daily!J$15:J$2821,FX_Daily!$A$15:$A$2821,"&gt;="&amp;$A57,FX_Daily!$A$15:$A$2821,"&lt;="&amp;EOMONTH($A57,0)),"")</f>
        <v>9.65872608695652</v>
      </c>
      <c r="K57" s="10" t="n">
        <f aca="false">IFERROR(AVERAGEIFS(FX_Daily!K$15:K$2821,FX_Daily!$A$15:$A$2821,"&gt;="&amp;$A57,FX_Daily!$A$15:$A$2821,"&lt;="&amp;EOMONTH($A57,0)),"")</f>
        <v>1320.29347826087</v>
      </c>
      <c r="L57" s="10" t="n">
        <f aca="false">IFERROR(AVERAGEIFS(FX_Daily!L$15:L$2821,FX_Daily!$A$15:$A$2821,"&gt;="&amp;$A57,FX_Daily!$A$15:$A$2821,"&lt;="&amp;EOMONTH($A57,0)),"")</f>
        <v>0.899420434782609</v>
      </c>
      <c r="M57" s="10" t="n">
        <f aca="false">IFERROR(AVERAGEIFS(FX_Daily!M$15:M$2821,FX_Daily!$A$15:$A$2821,"&gt;="&amp;$A57,FX_Daily!$A$15:$A$2821,"&lt;="&amp;EOMONTH($A57,0)),"")</f>
        <v>7.71509565217391</v>
      </c>
      <c r="N57" s="10" t="n">
        <f aca="false">IFERROR(AVERAGEIFS(FX_Daily!N$15:N$2821,FX_Daily!$A$15:$A$2821,"&gt;="&amp;$A57,FX_Daily!$A$15:$A$2821,"&lt;="&amp;EOMONTH($A57,0)),"")</f>
        <v>4.2416347826087</v>
      </c>
      <c r="O57" s="10" t="n">
        <f aca="false">IFERROR(AVERAGEIFS(FX_Daily!O$15:O$2821,FX_Daily!$A$15:$A$2821,"&gt;="&amp;$A57,FX_Daily!$A$15:$A$2821,"&lt;="&amp;EOMONTH($A57,0)),"")</f>
        <v>121.405652173913</v>
      </c>
      <c r="P57" s="10" t="n">
        <f aca="false">IFERROR(AVERAGEIFS(FX_Daily!P$15:P$2821,FX_Daily!$A$15:$A$2821,"&gt;="&amp;$A57,FX_Daily!$A$15:$A$2821,"&lt;="&amp;EOMONTH($A57,0)),"")</f>
        <v>8.61004782608696</v>
      </c>
      <c r="Q57" s="15" t="n">
        <f aca="false">COUNTIFS(FX_Daily!$A$15:$A$2821,"&gt;="&amp;$A57,FX_Daily!$A$15:$A$2821,"&lt;="&amp;EOMONTH($A57,0),FX_Daily!C$15:C$2821,"&gt;0")</f>
        <v>22</v>
      </c>
      <c r="R57" s="16" t="str">
        <f aca="false">IF(EOMONTH($A57,0)&gt;FX_Daily!$C$11,"partial month","complete")</f>
        <v>complete</v>
      </c>
    </row>
    <row r="58" customFormat="false" ht="15" hidden="false" customHeight="false" outlineLevel="0" collapsed="false">
      <c r="A58" s="17" t="n">
        <v>43678</v>
      </c>
      <c r="B58" s="10" t="n">
        <f aca="false">IFERROR(AVERAGEIFS(FX_Daily!B$15:B$2821,FX_Daily!$A$15:$A$2821,"&gt;="&amp;$A58,FX_Daily!$A$15:$A$2821,"&lt;="&amp;EOMONTH($A58,0)),"")</f>
        <v>1210.37818181818</v>
      </c>
      <c r="C58" s="10" t="n">
        <f aca="false">IFERROR(AVERAGEIFS(FX_Daily!C$15:C$2821,FX_Daily!$A$15:$A$2821,"&gt;="&amp;$A58,FX_Daily!$A$15:$A$2821,"&lt;="&amp;EOMONTH($A58,0)),"")</f>
        <v>8.96587272727273</v>
      </c>
      <c r="D58" s="10" t="n">
        <f aca="false">IFERROR(AVERAGEIFS(FX_Daily!D$15:D$2821,FX_Daily!$A$15:$A$2821,"&gt;="&amp;$A58,FX_Daily!$A$15:$A$2821,"&lt;="&amp;EOMONTH($A58,0)),"")</f>
        <v>1.21598181818182</v>
      </c>
      <c r="E58" s="10" t="n">
        <f aca="false">IFERROR(AVERAGEIFS(FX_Daily!E$15:E$2821,FX_Daily!$A$15:$A$2821,"&gt;="&amp;$A58,FX_Daily!$A$15:$A$2821,"&lt;="&amp;EOMONTH($A58,0)),"")</f>
        <v>1.11286818181818</v>
      </c>
      <c r="F58" s="10" t="n">
        <f aca="false">IFERROR(AVERAGEIFS(FX_Daily!F$15:F$2821,FX_Daily!$A$15:$A$2821,"&gt;="&amp;$A58,FX_Daily!$A$15:$A$2821,"&lt;="&amp;EOMONTH($A58,0)),"")</f>
        <v>7.06285909090909</v>
      </c>
      <c r="G58" s="10" t="n">
        <f aca="false">IFERROR(AVERAGEIFS(FX_Daily!G$15:G$2821,FX_Daily!$A$15:$A$2821,"&gt;="&amp;$A58,FX_Daily!$A$15:$A$2821,"&lt;="&amp;EOMONTH($A58,0)),"")</f>
        <v>4.02196818181818</v>
      </c>
      <c r="H58" s="10" t="n">
        <f aca="false">IFERROR(AVERAGEIFS(FX_Daily!H$15:H$2821,FX_Daily!$A$15:$A$2821,"&gt;="&amp;$A58,FX_Daily!$A$15:$A$2821,"&lt;="&amp;EOMONTH($A58,0)),"")</f>
        <v>106.188636363636</v>
      </c>
      <c r="I58" s="10" t="n">
        <f aca="false">IFERROR(AVERAGEIFS(FX_Daily!I$15:I$2821,FX_Daily!$A$15:$A$2821,"&gt;="&amp;$A58,FX_Daily!$A$15:$A$2821,"&lt;="&amp;EOMONTH($A58,0)),"")</f>
        <v>1.11262272727273</v>
      </c>
      <c r="J58" s="10" t="n">
        <f aca="false">IFERROR(AVERAGEIFS(FX_Daily!J$15:J$2821,FX_Daily!$A$15:$A$2821,"&gt;="&amp;$A58,FX_Daily!$A$15:$A$2821,"&lt;="&amp;EOMONTH($A58,0)),"")</f>
        <v>9.97419090909091</v>
      </c>
      <c r="K58" s="10" t="n">
        <f aca="false">IFERROR(AVERAGEIFS(FX_Daily!K$15:K$2821,FX_Daily!$A$15:$A$2821,"&gt;="&amp;$A58,FX_Daily!$A$15:$A$2821,"&lt;="&amp;EOMONTH($A58,0)),"")</f>
        <v>1347.10090909091</v>
      </c>
      <c r="L58" s="10" t="n">
        <f aca="false">IFERROR(AVERAGEIFS(FX_Daily!L$15:L$2821,FX_Daily!$A$15:$A$2821,"&gt;="&amp;$A58,FX_Daily!$A$15:$A$2821,"&lt;="&amp;EOMONTH($A58,0)),"")</f>
        <v>0.915537727272727</v>
      </c>
      <c r="M58" s="10" t="n">
        <f aca="false">IFERROR(AVERAGEIFS(FX_Daily!M$15:M$2821,FX_Daily!$A$15:$A$2821,"&gt;="&amp;$A58,FX_Daily!$A$15:$A$2821,"&lt;="&amp;EOMONTH($A58,0)),"")</f>
        <v>7.85805</v>
      </c>
      <c r="N58" s="10" t="n">
        <f aca="false">IFERROR(AVERAGEIFS(FX_Daily!N$15:N$2821,FX_Daily!$A$15:$A$2821,"&gt;="&amp;$A58,FX_Daily!$A$15:$A$2821,"&lt;="&amp;EOMONTH($A58,0)),"")</f>
        <v>4.46494090909091</v>
      </c>
      <c r="O58" s="10" t="n">
        <f aca="false">IFERROR(AVERAGEIFS(FX_Daily!O$15:O$2821,FX_Daily!$A$15:$A$2821,"&gt;="&amp;$A58,FX_Daily!$A$15:$A$2821,"&lt;="&amp;EOMONTH($A58,0)),"")</f>
        <v>118.179090909091</v>
      </c>
      <c r="P58" s="10" t="n">
        <f aca="false">IFERROR(AVERAGEIFS(FX_Daily!P$15:P$2821,FX_Daily!$A$15:$A$2821,"&gt;="&amp;$A58,FX_Daily!$A$15:$A$2821,"&lt;="&amp;EOMONTH($A58,0)),"")</f>
        <v>8.96475454545455</v>
      </c>
      <c r="Q58" s="15" t="n">
        <f aca="false">COUNTIFS(FX_Daily!$A$15:$A$2821,"&gt;="&amp;$A58,FX_Daily!$A$15:$A$2821,"&lt;="&amp;EOMONTH($A58,0),FX_Daily!C$15:C$2821,"&gt;0")</f>
        <v>22</v>
      </c>
      <c r="R58" s="16" t="str">
        <f aca="false">IF(EOMONTH($A58,0)&gt;FX_Daily!$C$11,"partial month","complete")</f>
        <v>complete</v>
      </c>
    </row>
    <row r="59" customFormat="false" ht="15" hidden="false" customHeight="false" outlineLevel="0" collapsed="false">
      <c r="A59" s="17" t="n">
        <v>43709</v>
      </c>
      <c r="B59" s="10" t="n">
        <f aca="false">IFERROR(AVERAGEIFS(FX_Daily!B$15:B$2821,FX_Daily!$A$15:$A$2821,"&gt;="&amp;$A59,FX_Daily!$A$15:$A$2821,"&lt;="&amp;EOMONTH($A59,0)),"")</f>
        <v>1194.1145</v>
      </c>
      <c r="C59" s="10" t="n">
        <f aca="false">IFERROR(AVERAGEIFS(FX_Daily!C$15:C$2821,FX_Daily!$A$15:$A$2821,"&gt;="&amp;$A59,FX_Daily!$A$15:$A$2821,"&lt;="&amp;EOMONTH($A59,0)),"")</f>
        <v>9.005305</v>
      </c>
      <c r="D59" s="10" t="n">
        <f aca="false">IFERROR(AVERAGEIFS(FX_Daily!D$15:D$2821,FX_Daily!$A$15:$A$2821,"&gt;="&amp;$A59,FX_Daily!$A$15:$A$2821,"&lt;="&amp;EOMONTH($A59,0)),"")</f>
        <v>1.236865</v>
      </c>
      <c r="E59" s="10" t="n">
        <f aca="false">IFERROR(AVERAGEIFS(FX_Daily!E$15:E$2821,FX_Daily!$A$15:$A$2821,"&gt;="&amp;$A59,FX_Daily!$A$15:$A$2821,"&lt;="&amp;EOMONTH($A59,0)),"")</f>
        <v>1.10112</v>
      </c>
      <c r="F59" s="10" t="n">
        <f aca="false">IFERROR(AVERAGEIFS(FX_Daily!F$15:F$2821,FX_Daily!$A$15:$A$2821,"&gt;="&amp;$A59,FX_Daily!$A$15:$A$2821,"&lt;="&amp;EOMONTH($A59,0)),"")</f>
        <v>7.113725</v>
      </c>
      <c r="G59" s="10" t="n">
        <f aca="false">IFERROR(AVERAGEIFS(FX_Daily!G$15:G$2821,FX_Daily!$A$15:$A$2821,"&gt;="&amp;$A59,FX_Daily!$A$15:$A$2821,"&lt;="&amp;EOMONTH($A59,0)),"")</f>
        <v>4.1195</v>
      </c>
      <c r="H59" s="10" t="n">
        <f aca="false">IFERROR(AVERAGEIFS(FX_Daily!H$15:H$2821,FX_Daily!$A$15:$A$2821,"&gt;="&amp;$A59,FX_Daily!$A$15:$A$2821,"&lt;="&amp;EOMONTH($A59,0)),"")</f>
        <v>107.54</v>
      </c>
      <c r="I59" s="10" t="n">
        <f aca="false">IFERROR(AVERAGEIFS(FX_Daily!I$15:I$2821,FX_Daily!$A$15:$A$2821,"&gt;="&amp;$A59,FX_Daily!$A$15:$A$2821,"&lt;="&amp;EOMONTH($A59,0)),"")</f>
        <v>1.10039047619048</v>
      </c>
      <c r="J59" s="10" t="n">
        <f aca="false">IFERROR(AVERAGEIFS(FX_Daily!J$15:J$2821,FX_Daily!$A$15:$A$2821,"&gt;="&amp;$A59,FX_Daily!$A$15:$A$2821,"&lt;="&amp;EOMONTH($A59,0)),"")</f>
        <v>9.92028095238095</v>
      </c>
      <c r="K59" s="10" t="n">
        <f aca="false">IFERROR(AVERAGEIFS(FX_Daily!K$15:K$2821,FX_Daily!$A$15:$A$2821,"&gt;="&amp;$A59,FX_Daily!$A$15:$A$2821,"&lt;="&amp;EOMONTH($A59,0)),"")</f>
        <v>1315.01523809524</v>
      </c>
      <c r="L59" s="10" t="n">
        <f aca="false">IFERROR(AVERAGEIFS(FX_Daily!L$15:L$2821,FX_Daily!$A$15:$A$2821,"&gt;="&amp;$A59,FX_Daily!$A$15:$A$2821,"&lt;="&amp;EOMONTH($A59,0)),"")</f>
        <v>0.890916190476191</v>
      </c>
      <c r="M59" s="10" t="n">
        <f aca="false">IFERROR(AVERAGEIFS(FX_Daily!M$15:M$2821,FX_Daily!$A$15:$A$2821,"&gt;="&amp;$A59,FX_Daily!$A$15:$A$2821,"&lt;="&amp;EOMONTH($A59,0)),"")</f>
        <v>7.8322619047619</v>
      </c>
      <c r="N59" s="10" t="n">
        <f aca="false">IFERROR(AVERAGEIFS(FX_Daily!N$15:N$2821,FX_Daily!$A$15:$A$2821,"&gt;="&amp;$A59,FX_Daily!$A$15:$A$2821,"&lt;="&amp;EOMONTH($A59,0)),"")</f>
        <v>4.53066190476191</v>
      </c>
      <c r="O59" s="10" t="n">
        <f aca="false">IFERROR(AVERAGEIFS(FX_Daily!O$15:O$2821,FX_Daily!$A$15:$A$2821,"&gt;="&amp;$A59,FX_Daily!$A$15:$A$2821,"&lt;="&amp;EOMONTH($A59,0)),"")</f>
        <v>118.241904761905</v>
      </c>
      <c r="P59" s="10" t="n">
        <f aca="false">IFERROR(AVERAGEIFS(FX_Daily!P$15:P$2821,FX_Daily!$A$15:$A$2821,"&gt;="&amp;$A59,FX_Daily!$A$15:$A$2821,"&lt;="&amp;EOMONTH($A59,0)),"")</f>
        <v>9.01545238095238</v>
      </c>
      <c r="Q59" s="15" t="n">
        <f aca="false">COUNTIFS(FX_Daily!$A$15:$A$2821,"&gt;="&amp;$A59,FX_Daily!$A$15:$A$2821,"&lt;="&amp;EOMONTH($A59,0),FX_Daily!C$15:C$2821,"&gt;0")</f>
        <v>20</v>
      </c>
      <c r="R59" s="16" t="str">
        <f aca="false">IF(EOMONTH($A59,0)&gt;FX_Daily!$C$11,"partial month","complete")</f>
        <v>complete</v>
      </c>
    </row>
    <row r="60" customFormat="false" ht="15" hidden="false" customHeight="false" outlineLevel="0" collapsed="false">
      <c r="A60" s="17" t="n">
        <v>43739</v>
      </c>
      <c r="B60" s="10" t="n">
        <f aca="false">IFERROR(AVERAGEIFS(FX_Daily!B$15:B$2821,FX_Daily!$A$15:$A$2821,"&gt;="&amp;$A60,FX_Daily!$A$15:$A$2821,"&lt;="&amp;EOMONTH($A60,0)),"")</f>
        <v>1183.44727272727</v>
      </c>
      <c r="C60" s="10" t="n">
        <f aca="false">IFERROR(AVERAGEIFS(FX_Daily!C$15:C$2821,FX_Daily!$A$15:$A$2821,"&gt;="&amp;$A60,FX_Daily!$A$15:$A$2821,"&lt;="&amp;EOMONTH($A60,0)),"")</f>
        <v>9.15279545454546</v>
      </c>
      <c r="D60" s="10" t="n">
        <f aca="false">IFERROR(AVERAGEIFS(FX_Daily!D$15:D$2821,FX_Daily!$A$15:$A$2821,"&gt;="&amp;$A60,FX_Daily!$A$15:$A$2821,"&lt;="&amp;EOMONTH($A60,0)),"")</f>
        <v>1.26566363636364</v>
      </c>
      <c r="E60" s="10" t="n">
        <f aca="false">IFERROR(AVERAGEIFS(FX_Daily!E$15:E$2821,FX_Daily!$A$15:$A$2821,"&gt;="&amp;$A60,FX_Daily!$A$15:$A$2821,"&lt;="&amp;EOMONTH($A60,0)),"")</f>
        <v>1.10581818181818</v>
      </c>
      <c r="F60" s="10" t="n">
        <f aca="false">IFERROR(AVERAGEIFS(FX_Daily!F$15:F$2821,FX_Daily!$A$15:$A$2821,"&gt;="&amp;$A60,FX_Daily!$A$15:$A$2821,"&lt;="&amp;EOMONTH($A60,0)),"")</f>
        <v>7.09608181818182</v>
      </c>
      <c r="G60" s="10" t="n">
        <f aca="false">IFERROR(AVERAGEIFS(FX_Daily!G$15:G$2821,FX_Daily!$A$15:$A$2821,"&gt;="&amp;$A60,FX_Daily!$A$15:$A$2821,"&lt;="&amp;EOMONTH($A60,0)),"")</f>
        <v>4.08254545454545</v>
      </c>
      <c r="H60" s="10" t="n">
        <f aca="false">IFERROR(AVERAGEIFS(FX_Daily!H$15:H$2821,FX_Daily!$A$15:$A$2821,"&gt;="&amp;$A60,FX_Daily!$A$15:$A$2821,"&lt;="&amp;EOMONTH($A60,0)),"")</f>
        <v>108.136818181818</v>
      </c>
      <c r="I60" s="10" t="n">
        <f aca="false">IFERROR(AVERAGEIFS(FX_Daily!I$15:I$2821,FX_Daily!$A$15:$A$2821,"&gt;="&amp;$A60,FX_Daily!$A$15:$A$2821,"&lt;="&amp;EOMONTH($A60,0)),"")</f>
        <v>1.10525652173913</v>
      </c>
      <c r="J60" s="10" t="n">
        <f aca="false">IFERROR(AVERAGEIFS(FX_Daily!J$15:J$2821,FX_Daily!$A$15:$A$2821,"&gt;="&amp;$A60,FX_Daily!$A$15:$A$2821,"&lt;="&amp;EOMONTH($A60,0)),"")</f>
        <v>10.1164913043478</v>
      </c>
      <c r="K60" s="10" t="n">
        <f aca="false">IFERROR(AVERAGEIFS(FX_Daily!K$15:K$2821,FX_Daily!$A$15:$A$2821,"&gt;="&amp;$A60,FX_Daily!$A$15:$A$2821,"&lt;="&amp;EOMONTH($A60,0)),"")</f>
        <v>1308.64913043478</v>
      </c>
      <c r="L60" s="10" t="n">
        <f aca="false">IFERROR(AVERAGEIFS(FX_Daily!L$15:L$2821,FX_Daily!$A$15:$A$2821,"&gt;="&amp;$A60,FX_Daily!$A$15:$A$2821,"&lt;="&amp;EOMONTH($A60,0)),"")</f>
        <v>0.875385652173913</v>
      </c>
      <c r="M60" s="10" t="n">
        <f aca="false">IFERROR(AVERAGEIFS(FX_Daily!M$15:M$2821,FX_Daily!$A$15:$A$2821,"&gt;="&amp;$A60,FX_Daily!$A$15:$A$2821,"&lt;="&amp;EOMONTH($A60,0)),"")</f>
        <v>7.84470869565217</v>
      </c>
      <c r="N60" s="10" t="n">
        <f aca="false">IFERROR(AVERAGEIFS(FX_Daily!N$15:N$2821,FX_Daily!$A$15:$A$2821,"&gt;="&amp;$A60,FX_Daily!$A$15:$A$2821,"&lt;="&amp;EOMONTH($A60,0)),"")</f>
        <v>4.52122608695652</v>
      </c>
      <c r="O60" s="10" t="n">
        <f aca="false">IFERROR(AVERAGEIFS(FX_Daily!O$15:O$2821,FX_Daily!$A$15:$A$2821,"&gt;="&amp;$A60,FX_Daily!$A$15:$A$2821,"&lt;="&amp;EOMONTH($A60,0)),"")</f>
        <v>119.511304347826</v>
      </c>
      <c r="P60" s="10" t="n">
        <f aca="false">IFERROR(AVERAGEIFS(FX_Daily!P$15:P$2821,FX_Daily!$A$15:$A$2821,"&gt;="&amp;$A60,FX_Daily!$A$15:$A$2821,"&lt;="&amp;EOMONTH($A60,0)),"")</f>
        <v>9.153</v>
      </c>
      <c r="Q60" s="15" t="n">
        <f aca="false">COUNTIFS(FX_Daily!$A$15:$A$2821,"&gt;="&amp;$A60,FX_Daily!$A$15:$A$2821,"&lt;="&amp;EOMONTH($A60,0),FX_Daily!C$15:C$2821,"&gt;0")</f>
        <v>22</v>
      </c>
      <c r="R60" s="16" t="str">
        <f aca="false">IF(EOMONTH($A60,0)&gt;FX_Daily!$C$11,"partial month","complete")</f>
        <v>complete</v>
      </c>
    </row>
    <row r="61" customFormat="false" ht="15" hidden="false" customHeight="false" outlineLevel="0" collapsed="false">
      <c r="A61" s="17" t="n">
        <v>43770</v>
      </c>
      <c r="B61" s="10" t="n">
        <f aca="false">IFERROR(AVERAGEIFS(FX_Daily!B$15:B$2821,FX_Daily!$A$15:$A$2821,"&gt;="&amp;$A61,FX_Daily!$A$15:$A$2821,"&lt;="&amp;EOMONTH($A61,0)),"")</f>
        <v>1167.29894736842</v>
      </c>
      <c r="C61" s="10" t="n">
        <f aca="false">IFERROR(AVERAGEIFS(FX_Daily!C$15:C$2821,FX_Daily!$A$15:$A$2821,"&gt;="&amp;$A61,FX_Daily!$A$15:$A$2821,"&lt;="&amp;EOMONTH($A61,0)),"")</f>
        <v>9.15002631578948</v>
      </c>
      <c r="D61" s="10" t="n">
        <f aca="false">IFERROR(AVERAGEIFS(FX_Daily!D$15:D$2821,FX_Daily!$A$15:$A$2821,"&gt;="&amp;$A61,FX_Daily!$A$15:$A$2821,"&lt;="&amp;EOMONTH($A61,0)),"")</f>
        <v>1.28842105263158</v>
      </c>
      <c r="E61" s="10" t="n">
        <f aca="false">IFERROR(AVERAGEIFS(FX_Daily!E$15:E$2821,FX_Daily!$A$15:$A$2821,"&gt;="&amp;$A61,FX_Daily!$A$15:$A$2821,"&lt;="&amp;EOMONTH($A61,0)),"")</f>
        <v>1.10505789473684</v>
      </c>
      <c r="F61" s="10" t="n">
        <f aca="false">IFERROR(AVERAGEIFS(FX_Daily!F$15:F$2821,FX_Daily!$A$15:$A$2821,"&gt;="&amp;$A61,FX_Daily!$A$15:$A$2821,"&lt;="&amp;EOMONTH($A61,0)),"")</f>
        <v>7.01989473684211</v>
      </c>
      <c r="G61" s="10" t="n">
        <f aca="false">IFERROR(AVERAGEIFS(FX_Daily!G$15:G$2821,FX_Daily!$A$15:$A$2821,"&gt;="&amp;$A61,FX_Daily!$A$15:$A$2821,"&lt;="&amp;EOMONTH($A61,0)),"")</f>
        <v>4.15579473684211</v>
      </c>
      <c r="H61" s="10" t="n">
        <f aca="false">IFERROR(AVERAGEIFS(FX_Daily!H$15:H$2821,FX_Daily!$A$15:$A$2821,"&gt;="&amp;$A61,FX_Daily!$A$15:$A$2821,"&lt;="&amp;EOMONTH($A61,0)),"")</f>
        <v>108.857894736842</v>
      </c>
      <c r="I61" s="10" t="n">
        <f aca="false">IFERROR(AVERAGEIFS(FX_Daily!I$15:I$2821,FX_Daily!$A$15:$A$2821,"&gt;="&amp;$A61,FX_Daily!$A$15:$A$2821,"&lt;="&amp;EOMONTH($A61,0)),"")</f>
        <v>1.10509523809524</v>
      </c>
      <c r="J61" s="10" t="n">
        <f aca="false">IFERROR(AVERAGEIFS(FX_Daily!J$15:J$2821,FX_Daily!$A$15:$A$2821,"&gt;="&amp;$A61,FX_Daily!$A$15:$A$2821,"&lt;="&amp;EOMONTH($A61,0)),"")</f>
        <v>10.1087476190476</v>
      </c>
      <c r="K61" s="10" t="n">
        <f aca="false">IFERROR(AVERAGEIFS(FX_Daily!K$15:K$2821,FX_Daily!$A$15:$A$2821,"&gt;="&amp;$A61,FX_Daily!$A$15:$A$2821,"&lt;="&amp;EOMONTH($A61,0)),"")</f>
        <v>1291.19380952381</v>
      </c>
      <c r="L61" s="10" t="n">
        <f aca="false">IFERROR(AVERAGEIFS(FX_Daily!L$15:L$2821,FX_Daily!$A$15:$A$2821,"&gt;="&amp;$A61,FX_Daily!$A$15:$A$2821,"&lt;="&amp;EOMONTH($A61,0)),"")</f>
        <v>0.857609047619048</v>
      </c>
      <c r="M61" s="10" t="n">
        <f aca="false">IFERROR(AVERAGEIFS(FX_Daily!M$15:M$2821,FX_Daily!$A$15:$A$2821,"&gt;="&amp;$A61,FX_Daily!$A$15:$A$2821,"&lt;="&amp;EOMONTH($A61,0)),"")</f>
        <v>7.75712380952381</v>
      </c>
      <c r="N61" s="10" t="n">
        <f aca="false">IFERROR(AVERAGEIFS(FX_Daily!N$15:N$2821,FX_Daily!$A$15:$A$2821,"&gt;="&amp;$A61,FX_Daily!$A$15:$A$2821,"&lt;="&amp;EOMONTH($A61,0)),"")</f>
        <v>4.59001428571429</v>
      </c>
      <c r="O61" s="10" t="n">
        <f aca="false">IFERROR(AVERAGEIFS(FX_Daily!O$15:O$2821,FX_Daily!$A$15:$A$2821,"&gt;="&amp;$A61,FX_Daily!$A$15:$A$2821,"&lt;="&amp;EOMONTH($A61,0)),"")</f>
        <v>120.337619047619</v>
      </c>
      <c r="P61" s="10" t="n">
        <f aca="false">IFERROR(AVERAGEIFS(FX_Daily!P$15:P$2821,FX_Daily!$A$15:$A$2821,"&gt;="&amp;$A61,FX_Daily!$A$15:$A$2821,"&lt;="&amp;EOMONTH($A61,0)),"")</f>
        <v>9.14751428571429</v>
      </c>
      <c r="Q61" s="15" t="n">
        <f aca="false">COUNTIFS(FX_Daily!$A$15:$A$2821,"&gt;="&amp;$A61,FX_Daily!$A$15:$A$2821,"&lt;="&amp;EOMONTH($A61,0),FX_Daily!C$15:C$2821,"&gt;0")</f>
        <v>19</v>
      </c>
      <c r="R61" s="16" t="str">
        <f aca="false">IF(EOMONTH($A61,0)&gt;FX_Daily!$C$11,"partial month","complete")</f>
        <v>complete</v>
      </c>
    </row>
    <row r="62" customFormat="false" ht="15" hidden="false" customHeight="false" outlineLevel="0" collapsed="false">
      <c r="A62" s="17" t="n">
        <v>43800</v>
      </c>
      <c r="B62" s="10" t="n">
        <f aca="false">IFERROR(AVERAGEIFS(FX_Daily!B$15:B$2821,FX_Daily!$A$15:$A$2821,"&gt;="&amp;$A62,FX_Daily!$A$15:$A$2821,"&lt;="&amp;EOMONTH($A62,0)),"")</f>
        <v>1174.70523809524</v>
      </c>
      <c r="C62" s="10" t="n">
        <f aca="false">IFERROR(AVERAGEIFS(FX_Daily!C$15:C$2821,FX_Daily!$A$15:$A$2821,"&gt;="&amp;$A62,FX_Daily!$A$15:$A$2821,"&lt;="&amp;EOMONTH($A62,0)),"")</f>
        <v>9.02400476190476</v>
      </c>
      <c r="D62" s="10" t="n">
        <f aca="false">IFERROR(AVERAGEIFS(FX_Daily!D$15:D$2821,FX_Daily!$A$15:$A$2821,"&gt;="&amp;$A62,FX_Daily!$A$15:$A$2821,"&lt;="&amp;EOMONTH($A62,0)),"")</f>
        <v>1.31090476190476</v>
      </c>
      <c r="E62" s="10" t="n">
        <f aca="false">IFERROR(AVERAGEIFS(FX_Daily!E$15:E$2821,FX_Daily!$A$15:$A$2821,"&gt;="&amp;$A62,FX_Daily!$A$15:$A$2821,"&lt;="&amp;EOMONTH($A62,0)),"")</f>
        <v>1.11136666666667</v>
      </c>
      <c r="F62" s="10" t="n">
        <f aca="false">IFERROR(AVERAGEIFS(FX_Daily!F$15:F$2821,FX_Daily!$A$15:$A$2821,"&gt;="&amp;$A62,FX_Daily!$A$15:$A$2821,"&lt;="&amp;EOMONTH($A62,0)),"")</f>
        <v>7.01367619047619</v>
      </c>
      <c r="G62" s="10" t="n">
        <f aca="false">IFERROR(AVERAGEIFS(FX_Daily!G$15:G$2821,FX_Daily!$A$15:$A$2821,"&gt;="&amp;$A62,FX_Daily!$A$15:$A$2821,"&lt;="&amp;EOMONTH($A62,0)),"")</f>
        <v>4.10448571428571</v>
      </c>
      <c r="H62" s="10" t="n">
        <f aca="false">IFERROR(AVERAGEIFS(FX_Daily!H$15:H$2821,FX_Daily!$A$15:$A$2821,"&gt;="&amp;$A62,FX_Daily!$A$15:$A$2821,"&lt;="&amp;EOMONTH($A62,0)),"")</f>
        <v>109.100952380952</v>
      </c>
      <c r="I62" s="10" t="n">
        <f aca="false">IFERROR(AVERAGEIFS(FX_Daily!I$15:I$2821,FX_Daily!$A$15:$A$2821,"&gt;="&amp;$A62,FX_Daily!$A$15:$A$2821,"&lt;="&amp;EOMONTH($A62,0)),"")</f>
        <v>1.111345</v>
      </c>
      <c r="J62" s="10" t="n">
        <f aca="false">IFERROR(AVERAGEIFS(FX_Daily!J$15:J$2821,FX_Daily!$A$15:$A$2821,"&gt;="&amp;$A62,FX_Daily!$A$15:$A$2821,"&lt;="&amp;EOMONTH($A62,0)),"")</f>
        <v>10.042905</v>
      </c>
      <c r="K62" s="10" t="n">
        <f aca="false">IFERROR(AVERAGEIFS(FX_Daily!K$15:K$2821,FX_Daily!$A$15:$A$2821,"&gt;="&amp;$A62,FX_Daily!$A$15:$A$2821,"&lt;="&amp;EOMONTH($A62,0)),"")</f>
        <v>1306.1915</v>
      </c>
      <c r="L62" s="10" t="n">
        <f aca="false">IFERROR(AVERAGEIFS(FX_Daily!L$15:L$2821,FX_Daily!$A$15:$A$2821,"&gt;="&amp;$A62,FX_Daily!$A$15:$A$2821,"&lt;="&amp;EOMONTH($A62,0)),"")</f>
        <v>0.8473075</v>
      </c>
      <c r="M62" s="10" t="n">
        <f aca="false">IFERROR(AVERAGEIFS(FX_Daily!M$15:M$2821,FX_Daily!$A$15:$A$2821,"&gt;="&amp;$A62,FX_Daily!$A$15:$A$2821,"&lt;="&amp;EOMONTH($A62,0)),"")</f>
        <v>7.797435</v>
      </c>
      <c r="N62" s="10" t="n">
        <f aca="false">IFERROR(AVERAGEIFS(FX_Daily!N$15:N$2821,FX_Daily!$A$15:$A$2821,"&gt;="&amp;$A62,FX_Daily!$A$15:$A$2821,"&lt;="&amp;EOMONTH($A62,0)),"")</f>
        <v>4.569975</v>
      </c>
      <c r="O62" s="10" t="n">
        <f aca="false">IFERROR(AVERAGEIFS(FX_Daily!O$15:O$2821,FX_Daily!$A$15:$A$2821,"&gt;="&amp;$A62,FX_Daily!$A$15:$A$2821,"&lt;="&amp;EOMONTH($A62,0)),"")</f>
        <v>121.241</v>
      </c>
      <c r="P62" s="10" t="n">
        <f aca="false">IFERROR(AVERAGEIFS(FX_Daily!P$15:P$2821,FX_Daily!$A$15:$A$2821,"&gt;="&amp;$A62,FX_Daily!$A$15:$A$2821,"&lt;="&amp;EOMONTH($A62,0)),"")</f>
        <v>9.04195263157895</v>
      </c>
      <c r="Q62" s="15" t="n">
        <f aca="false">COUNTIFS(FX_Daily!$A$15:$A$2821,"&gt;="&amp;$A62,FX_Daily!$A$15:$A$2821,"&lt;="&amp;EOMONTH($A62,0),FX_Daily!C$15:C$2821,"&gt;0")</f>
        <v>21</v>
      </c>
      <c r="R62" s="16" t="str">
        <f aca="false">IF(EOMONTH($A62,0)&gt;FX_Daily!$C$11,"partial month","complete")</f>
        <v>complete</v>
      </c>
    </row>
    <row r="63" customFormat="false" ht="15" hidden="false" customHeight="false" outlineLevel="0" collapsed="false">
      <c r="A63" s="17" t="n">
        <v>43831</v>
      </c>
      <c r="B63" s="10" t="n">
        <f aca="false">IFERROR(AVERAGEIFS(FX_Daily!B$15:B$2821,FX_Daily!$A$15:$A$2821,"&gt;="&amp;$A63,FX_Daily!$A$15:$A$2821,"&lt;="&amp;EOMONTH($A63,0)),"")</f>
        <v>1167.46238095238</v>
      </c>
      <c r="C63" s="10" t="n">
        <f aca="false">IFERROR(AVERAGEIFS(FX_Daily!C$15:C$2821,FX_Daily!$A$15:$A$2821,"&gt;="&amp;$A63,FX_Daily!$A$15:$A$2821,"&lt;="&amp;EOMONTH($A63,0)),"")</f>
        <v>8.96145238095238</v>
      </c>
      <c r="D63" s="10" t="n">
        <f aca="false">IFERROR(AVERAGEIFS(FX_Daily!D$15:D$2821,FX_Daily!$A$15:$A$2821,"&gt;="&amp;$A63,FX_Daily!$A$15:$A$2821,"&lt;="&amp;EOMONTH($A63,0)),"")</f>
        <v>1.30764285714286</v>
      </c>
      <c r="E63" s="10" t="n">
        <f aca="false">IFERROR(AVERAGEIFS(FX_Daily!E$15:E$2821,FX_Daily!$A$15:$A$2821,"&gt;="&amp;$A63,FX_Daily!$A$15:$A$2821,"&lt;="&amp;EOMONTH($A63,0)),"")</f>
        <v>1.10976666666667</v>
      </c>
      <c r="F63" s="10" t="n">
        <f aca="false">IFERROR(AVERAGEIFS(FX_Daily!F$15:F$2821,FX_Daily!$A$15:$A$2821,"&gt;="&amp;$A63,FX_Daily!$A$15:$A$2821,"&lt;="&amp;EOMONTH($A63,0)),"")</f>
        <v>6.91835238095238</v>
      </c>
      <c r="G63" s="10" t="n">
        <f aca="false">IFERROR(AVERAGEIFS(FX_Daily!G$15:G$2821,FX_Daily!$A$15:$A$2821,"&gt;="&amp;$A63,FX_Daily!$A$15:$A$2821,"&lt;="&amp;EOMONTH($A63,0)),"")</f>
        <v>4.15116190476191</v>
      </c>
      <c r="H63" s="10" t="n">
        <f aca="false">IFERROR(AVERAGEIFS(FX_Daily!H$15:H$2821,FX_Daily!$A$15:$A$2821,"&gt;="&amp;$A63,FX_Daily!$A$15:$A$2821,"&lt;="&amp;EOMONTH($A63,0)),"")</f>
        <v>109.266666666667</v>
      </c>
      <c r="I63" s="10" t="n">
        <f aca="false">IFERROR(AVERAGEIFS(FX_Daily!I$15:I$2821,FX_Daily!$A$15:$A$2821,"&gt;="&amp;$A63,FX_Daily!$A$15:$A$2821,"&lt;="&amp;EOMONTH($A63,0)),"")</f>
        <v>1.11003636363636</v>
      </c>
      <c r="J63" s="10" t="n">
        <f aca="false">IFERROR(AVERAGEIFS(FX_Daily!J$15:J$2821,FX_Daily!$A$15:$A$2821,"&gt;="&amp;$A63,FX_Daily!$A$15:$A$2821,"&lt;="&amp;EOMONTH($A63,0)),"")</f>
        <v>9.93842272727273</v>
      </c>
      <c r="K63" s="10" t="n">
        <f aca="false">IFERROR(AVERAGEIFS(FX_Daily!K$15:K$2821,FX_Daily!$A$15:$A$2821,"&gt;="&amp;$A63,FX_Daily!$A$15:$A$2821,"&lt;="&amp;EOMONTH($A63,0)),"")</f>
        <v>1296.12</v>
      </c>
      <c r="L63" s="10" t="n">
        <f aca="false">IFERROR(AVERAGEIFS(FX_Daily!L$15:L$2821,FX_Daily!$A$15:$A$2821,"&gt;="&amp;$A63,FX_Daily!$A$15:$A$2821,"&lt;="&amp;EOMONTH($A63,0)),"")</f>
        <v>0.849272727272727</v>
      </c>
      <c r="M63" s="10" t="n">
        <f aca="false">IFERROR(AVERAGEIFS(FX_Daily!M$15:M$2821,FX_Daily!$A$15:$A$2821,"&gt;="&amp;$A63,FX_Daily!$A$15:$A$2821,"&lt;="&amp;EOMONTH($A63,0)),"")</f>
        <v>7.68323636363636</v>
      </c>
      <c r="N63" s="10" t="n">
        <f aca="false">IFERROR(AVERAGEIFS(FX_Daily!N$15:N$2821,FX_Daily!$A$15:$A$2821,"&gt;="&amp;$A63,FX_Daily!$A$15:$A$2821,"&lt;="&amp;EOMONTH($A63,0)),"")</f>
        <v>4.60198636363636</v>
      </c>
      <c r="O63" s="10" t="n">
        <f aca="false">IFERROR(AVERAGEIFS(FX_Daily!O$15:O$2821,FX_Daily!$A$15:$A$2821,"&gt;="&amp;$A63,FX_Daily!$A$15:$A$2821,"&lt;="&amp;EOMONTH($A63,0)),"")</f>
        <v>121.362727272727</v>
      </c>
      <c r="P63" s="10" t="n">
        <f aca="false">IFERROR(AVERAGEIFS(FX_Daily!P$15:P$2821,FX_Daily!$A$15:$A$2821,"&gt;="&amp;$A63,FX_Daily!$A$15:$A$2821,"&lt;="&amp;EOMONTH($A63,0)),"")</f>
        <v>8.95383181818182</v>
      </c>
      <c r="Q63" s="15" t="n">
        <f aca="false">COUNTIFS(FX_Daily!$A$15:$A$2821,"&gt;="&amp;$A63,FX_Daily!$A$15:$A$2821,"&lt;="&amp;EOMONTH($A63,0),FX_Daily!C$15:C$2821,"&gt;0")</f>
        <v>21</v>
      </c>
      <c r="R63" s="16" t="str">
        <f aca="false">IF(EOMONTH($A63,0)&gt;FX_Daily!$C$11,"partial month","complete")</f>
        <v>complete</v>
      </c>
    </row>
    <row r="64" customFormat="false" ht="15" hidden="false" customHeight="false" outlineLevel="0" collapsed="false">
      <c r="A64" s="17" t="n">
        <v>43862</v>
      </c>
      <c r="B64" s="10" t="n">
        <f aca="false">IFERROR(AVERAGEIFS(FX_Daily!B$15:B$2821,FX_Daily!$A$15:$A$2821,"&gt;="&amp;$A64,FX_Daily!$A$15:$A$2821,"&lt;="&amp;EOMONTH($A64,0)),"")</f>
        <v>1195.33578947368</v>
      </c>
      <c r="C64" s="10" t="n">
        <f aca="false">IFERROR(AVERAGEIFS(FX_Daily!C$15:C$2821,FX_Daily!$A$15:$A$2821,"&gt;="&amp;$A64,FX_Daily!$A$15:$A$2821,"&lt;="&amp;EOMONTH($A64,0)),"")</f>
        <v>9.29572105263158</v>
      </c>
      <c r="D64" s="10" t="n">
        <f aca="false">IFERROR(AVERAGEIFS(FX_Daily!D$15:D$2821,FX_Daily!$A$15:$A$2821,"&gt;="&amp;$A64,FX_Daily!$A$15:$A$2821,"&lt;="&amp;EOMONTH($A64,0)),"")</f>
        <v>1.29529473684211</v>
      </c>
      <c r="E64" s="10" t="n">
        <f aca="false">IFERROR(AVERAGEIFS(FX_Daily!E$15:E$2821,FX_Daily!$A$15:$A$2821,"&gt;="&amp;$A64,FX_Daily!$A$15:$A$2821,"&lt;="&amp;EOMONTH($A64,0)),"")</f>
        <v>1.09107368421053</v>
      </c>
      <c r="F64" s="10" t="n">
        <f aca="false">IFERROR(AVERAGEIFS(FX_Daily!F$15:F$2821,FX_Daily!$A$15:$A$2821,"&gt;="&amp;$A64,FX_Daily!$A$15:$A$2821,"&lt;="&amp;EOMONTH($A64,0)),"")</f>
        <v>6.9967052631579</v>
      </c>
      <c r="G64" s="10" t="n">
        <f aca="false">IFERROR(AVERAGEIFS(FX_Daily!G$15:G$2821,FX_Daily!$A$15:$A$2821,"&gt;="&amp;$A64,FX_Daily!$A$15:$A$2821,"&lt;="&amp;EOMONTH($A64,0)),"")</f>
        <v>4.34701578947368</v>
      </c>
      <c r="H64" s="10" t="n">
        <f aca="false">IFERROR(AVERAGEIFS(FX_Daily!H$15:H$2821,FX_Daily!$A$15:$A$2821,"&gt;="&amp;$A64,FX_Daily!$A$15:$A$2821,"&lt;="&amp;EOMONTH($A64,0)),"")</f>
        <v>110.029473684211</v>
      </c>
      <c r="I64" s="10" t="n">
        <f aca="false">IFERROR(AVERAGEIFS(FX_Daily!I$15:I$2821,FX_Daily!$A$15:$A$2821,"&gt;="&amp;$A64,FX_Daily!$A$15:$A$2821,"&lt;="&amp;EOMONTH($A64,0)),"")</f>
        <v>1.0905</v>
      </c>
      <c r="J64" s="10" t="n">
        <f aca="false">IFERROR(AVERAGEIFS(FX_Daily!J$15:J$2821,FX_Daily!$A$15:$A$2821,"&gt;="&amp;$A64,FX_Daily!$A$15:$A$2821,"&lt;="&amp;EOMONTH($A64,0)),"")</f>
        <v>10.1327</v>
      </c>
      <c r="K64" s="10" t="n">
        <f aca="false">IFERROR(AVERAGEIFS(FX_Daily!K$15:K$2821,FX_Daily!$A$15:$A$2821,"&gt;="&amp;$A64,FX_Daily!$A$15:$A$2821,"&lt;="&amp;EOMONTH($A64,0)),"")</f>
        <v>1303.581</v>
      </c>
      <c r="L64" s="10" t="n">
        <f aca="false">IFERROR(AVERAGEIFS(FX_Daily!L$15:L$2821,FX_Daily!$A$15:$A$2821,"&gt;="&amp;$A64,FX_Daily!$A$15:$A$2821,"&lt;="&amp;EOMONTH($A64,0)),"")</f>
        <v>0.840946</v>
      </c>
      <c r="M64" s="10" t="n">
        <f aca="false">IFERROR(AVERAGEIFS(FX_Daily!M$15:M$2821,FX_Daily!$A$15:$A$2821,"&gt;="&amp;$A64,FX_Daily!$A$15:$A$2821,"&lt;="&amp;EOMONTH($A64,0)),"")</f>
        <v>7.63019</v>
      </c>
      <c r="N64" s="10" t="n">
        <f aca="false">IFERROR(AVERAGEIFS(FX_Daily!N$15:N$2821,FX_Daily!$A$15:$A$2821,"&gt;="&amp;$A64,FX_Daily!$A$15:$A$2821,"&lt;="&amp;EOMONTH($A64,0)),"")</f>
        <v>4.732665</v>
      </c>
      <c r="O64" s="10" t="n">
        <f aca="false">IFERROR(AVERAGEIFS(FX_Daily!O$15:O$2821,FX_Daily!$A$15:$A$2821,"&gt;="&amp;$A64,FX_Daily!$A$15:$A$2821,"&lt;="&amp;EOMONTH($A64,0)),"")</f>
        <v>120.0255</v>
      </c>
      <c r="P64" s="10" t="n">
        <f aca="false">IFERROR(AVERAGEIFS(FX_Daily!P$15:P$2821,FX_Daily!$A$15:$A$2821,"&gt;="&amp;$A64,FX_Daily!$A$15:$A$2821,"&lt;="&amp;EOMONTH($A64,0)),"")</f>
        <v>9.291965</v>
      </c>
      <c r="Q64" s="15" t="n">
        <f aca="false">COUNTIFS(FX_Daily!$A$15:$A$2821,"&gt;="&amp;$A64,FX_Daily!$A$15:$A$2821,"&lt;="&amp;EOMONTH($A64,0),FX_Daily!C$15:C$2821,"&gt;0")</f>
        <v>19</v>
      </c>
      <c r="R64" s="16" t="str">
        <f aca="false">IF(EOMONTH($A64,0)&gt;FX_Daily!$C$11,"partial month","complete")</f>
        <v>complete</v>
      </c>
    </row>
    <row r="65" customFormat="false" ht="15" hidden="false" customHeight="false" outlineLevel="0" collapsed="false">
      <c r="A65" s="17" t="n">
        <v>43891</v>
      </c>
      <c r="B65" s="10" t="n">
        <f aca="false">IFERROR(AVERAGEIFS(FX_Daily!B$15:B$2821,FX_Daily!$A$15:$A$2821,"&gt;="&amp;$A65,FX_Daily!$A$15:$A$2821,"&lt;="&amp;EOMONTH($A65,0)),"")</f>
        <v>1218.19454545455</v>
      </c>
      <c r="C65" s="10" t="n">
        <f aca="false">IFERROR(AVERAGEIFS(FX_Daily!C$15:C$2821,FX_Daily!$A$15:$A$2821,"&gt;="&amp;$A65,FX_Daily!$A$15:$A$2821,"&lt;="&amp;EOMONTH($A65,0)),"")</f>
        <v>10.2403318181818</v>
      </c>
      <c r="D65" s="10" t="n">
        <f aca="false">IFERROR(AVERAGEIFS(FX_Daily!D$15:D$2821,FX_Daily!$A$15:$A$2821,"&gt;="&amp;$A65,FX_Daily!$A$15:$A$2821,"&lt;="&amp;EOMONTH($A65,0)),"")</f>
        <v>1.23688636363636</v>
      </c>
      <c r="E65" s="10" t="n">
        <f aca="false">IFERROR(AVERAGEIFS(FX_Daily!E$15:E$2821,FX_Daily!$A$15:$A$2821,"&gt;="&amp;$A65,FX_Daily!$A$15:$A$2821,"&lt;="&amp;EOMONTH($A65,0)),"")</f>
        <v>1.10459090909091</v>
      </c>
      <c r="F65" s="10" t="n">
        <f aca="false">IFERROR(AVERAGEIFS(FX_Daily!F$15:F$2821,FX_Daily!$A$15:$A$2821,"&gt;="&amp;$A65,FX_Daily!$A$15:$A$2821,"&lt;="&amp;EOMONTH($A65,0)),"")</f>
        <v>7.02045</v>
      </c>
      <c r="G65" s="10" t="n">
        <f aca="false">IFERROR(AVERAGEIFS(FX_Daily!G$15:G$2821,FX_Daily!$A$15:$A$2821,"&gt;="&amp;$A65,FX_Daily!$A$15:$A$2821,"&lt;="&amp;EOMONTH($A65,0)),"")</f>
        <v>4.8862</v>
      </c>
      <c r="H65" s="10" t="n">
        <f aca="false">IFERROR(AVERAGEIFS(FX_Daily!H$15:H$2821,FX_Daily!$A$15:$A$2821,"&gt;="&amp;$A65,FX_Daily!$A$15:$A$2821,"&lt;="&amp;EOMONTH($A65,0)),"")</f>
        <v>107.667272727273</v>
      </c>
      <c r="I65" s="10" t="n">
        <f aca="false">IFERROR(AVERAGEIFS(FX_Daily!I$15:I$2821,FX_Daily!$A$15:$A$2821,"&gt;="&amp;$A65,FX_Daily!$A$15:$A$2821,"&lt;="&amp;EOMONTH($A65,0)),"")</f>
        <v>1.10634090909091</v>
      </c>
      <c r="J65" s="10" t="n">
        <f aca="false">IFERROR(AVERAGEIFS(FX_Daily!J$15:J$2821,FX_Daily!$A$15:$A$2821,"&gt;="&amp;$A65,FX_Daily!$A$15:$A$2821,"&lt;="&amp;EOMONTH($A65,0)),"")</f>
        <v>11.2943136363636</v>
      </c>
      <c r="K65" s="10" t="n">
        <f aca="false">IFERROR(AVERAGEIFS(FX_Daily!K$15:K$2821,FX_Daily!$A$15:$A$2821,"&gt;="&amp;$A65,FX_Daily!$A$15:$A$2821,"&lt;="&amp;EOMONTH($A65,0)),"")</f>
        <v>1347.98818181818</v>
      </c>
      <c r="L65" s="10" t="n">
        <f aca="false">IFERROR(AVERAGEIFS(FX_Daily!L$15:L$2821,FX_Daily!$A$15:$A$2821,"&gt;="&amp;$A65,FX_Daily!$A$15:$A$2821,"&lt;="&amp;EOMONTH($A65,0)),"")</f>
        <v>0.894595454545455</v>
      </c>
      <c r="M65" s="10" t="n">
        <f aca="false">IFERROR(AVERAGEIFS(FX_Daily!M$15:M$2821,FX_Daily!$A$15:$A$2821,"&gt;="&amp;$A65,FX_Daily!$A$15:$A$2821,"&lt;="&amp;EOMONTH($A65,0)),"")</f>
        <v>7.76753181818182</v>
      </c>
      <c r="N65" s="10" t="n">
        <f aca="false">IFERROR(AVERAGEIFS(FX_Daily!N$15:N$2821,FX_Daily!$A$15:$A$2821,"&gt;="&amp;$A65,FX_Daily!$A$15:$A$2821,"&lt;="&amp;EOMONTH($A65,0)),"")</f>
        <v>5.39862727272727</v>
      </c>
      <c r="O65" s="10" t="n">
        <f aca="false">IFERROR(AVERAGEIFS(FX_Daily!O$15:O$2821,FX_Daily!$A$15:$A$2821,"&gt;="&amp;$A65,FX_Daily!$A$15:$A$2821,"&lt;="&amp;EOMONTH($A65,0)),"")</f>
        <v>118.897272727273</v>
      </c>
      <c r="P65" s="10" t="n">
        <f aca="false">IFERROR(AVERAGEIFS(FX_Daily!P$15:P$2821,FX_Daily!$A$15:$A$2821,"&gt;="&amp;$A65,FX_Daily!$A$15:$A$2821,"&lt;="&amp;EOMONTH($A65,0)),"")</f>
        <v>10.2201590909091</v>
      </c>
      <c r="Q65" s="15" t="n">
        <f aca="false">COUNTIFS(FX_Daily!$A$15:$A$2821,"&gt;="&amp;$A65,FX_Daily!$A$15:$A$2821,"&lt;="&amp;EOMONTH($A65,0),FX_Daily!C$15:C$2821,"&gt;0")</f>
        <v>22</v>
      </c>
      <c r="R65" s="16" t="str">
        <f aca="false">IF(EOMONTH($A65,0)&gt;FX_Daily!$C$11,"partial month","complete")</f>
        <v>complete</v>
      </c>
    </row>
    <row r="66" customFormat="false" ht="15" hidden="false" customHeight="false" outlineLevel="0" collapsed="false">
      <c r="A66" s="17" t="n">
        <v>43922</v>
      </c>
      <c r="B66" s="10" t="n">
        <f aca="false">IFERROR(AVERAGEIFS(FX_Daily!B$15:B$2821,FX_Daily!$A$15:$A$2821,"&gt;="&amp;$A66,FX_Daily!$A$15:$A$2821,"&lt;="&amp;EOMONTH($A66,0)),"")</f>
        <v>1223.13090909091</v>
      </c>
      <c r="C66" s="10" t="n">
        <f aca="false">IFERROR(AVERAGEIFS(FX_Daily!C$15:C$2821,FX_Daily!$A$15:$A$2821,"&gt;="&amp;$A66,FX_Daily!$A$15:$A$2821,"&lt;="&amp;EOMONTH($A66,0)),"")</f>
        <v>10.4198909090909</v>
      </c>
      <c r="D66" s="10" t="n">
        <f aca="false">IFERROR(AVERAGEIFS(FX_Daily!D$15:D$2821,FX_Daily!$A$15:$A$2821,"&gt;="&amp;$A66,FX_Daily!$A$15:$A$2821,"&lt;="&amp;EOMONTH($A66,0)),"")</f>
        <v>1.24196818181818</v>
      </c>
      <c r="E66" s="10" t="n">
        <f aca="false">IFERROR(AVERAGEIFS(FX_Daily!E$15:E$2821,FX_Daily!$A$15:$A$2821,"&gt;="&amp;$A66,FX_Daily!$A$15:$A$2821,"&lt;="&amp;EOMONTH($A66,0)),"")</f>
        <v>1.08710909090909</v>
      </c>
      <c r="F66" s="10" t="n">
        <f aca="false">IFERROR(AVERAGEIFS(FX_Daily!F$15:F$2821,FX_Daily!$A$15:$A$2821,"&gt;="&amp;$A66,FX_Daily!$A$15:$A$2821,"&lt;="&amp;EOMONTH($A66,0)),"")</f>
        <v>7.07082727272727</v>
      </c>
      <c r="G66" s="10" t="n">
        <f aca="false">IFERROR(AVERAGEIFS(FX_Daily!G$15:G$2821,FX_Daily!$A$15:$A$2821,"&gt;="&amp;$A66,FX_Daily!$A$15:$A$2821,"&lt;="&amp;EOMONTH($A66,0)),"")</f>
        <v>5.31714090909091</v>
      </c>
      <c r="H66" s="10" t="n">
        <f aca="false">IFERROR(AVERAGEIFS(FX_Daily!H$15:H$2821,FX_Daily!$A$15:$A$2821,"&gt;="&amp;$A66,FX_Daily!$A$15:$A$2821,"&lt;="&amp;EOMONTH($A66,0)),"")</f>
        <v>107.738636363636</v>
      </c>
      <c r="I66" s="10" t="n">
        <f aca="false">IFERROR(AVERAGEIFS(FX_Daily!I$15:I$2821,FX_Daily!$A$15:$A$2821,"&gt;="&amp;$A66,FX_Daily!$A$15:$A$2821,"&lt;="&amp;EOMONTH($A66,0)),"")</f>
        <v>1.08619</v>
      </c>
      <c r="J66" s="10" t="n">
        <f aca="false">IFERROR(AVERAGEIFS(FX_Daily!J$15:J$2821,FX_Daily!$A$15:$A$2821,"&gt;="&amp;$A66,FX_Daily!$A$15:$A$2821,"&lt;="&amp;EOMONTH($A66,0)),"")</f>
        <v>11.33651</v>
      </c>
      <c r="K66" s="10" t="n">
        <f aca="false">IFERROR(AVERAGEIFS(FX_Daily!K$15:K$2821,FX_Daily!$A$15:$A$2821,"&gt;="&amp;$A66,FX_Daily!$A$15:$A$2821,"&lt;="&amp;EOMONTH($A66,0)),"")</f>
        <v>1328.889</v>
      </c>
      <c r="L66" s="10" t="n">
        <f aca="false">IFERROR(AVERAGEIFS(FX_Daily!L$15:L$2821,FX_Daily!$A$15:$A$2821,"&gt;="&amp;$A66,FX_Daily!$A$15:$A$2821,"&lt;="&amp;EOMONTH($A66,0)),"")</f>
        <v>0.875469</v>
      </c>
      <c r="M66" s="10" t="n">
        <f aca="false">IFERROR(AVERAGEIFS(FX_Daily!M$15:M$2821,FX_Daily!$A$15:$A$2821,"&gt;="&amp;$A66,FX_Daily!$A$15:$A$2821,"&lt;="&amp;EOMONTH($A66,0)),"")</f>
        <v>7.68575</v>
      </c>
      <c r="N66" s="10" t="n">
        <f aca="false">IFERROR(AVERAGEIFS(FX_Daily!N$15:N$2821,FX_Daily!$A$15:$A$2821,"&gt;="&amp;$A66,FX_Daily!$A$15:$A$2821,"&lt;="&amp;EOMONTH($A66,0)),"")</f>
        <v>5.78071</v>
      </c>
      <c r="O66" s="10" t="n">
        <f aca="false">IFERROR(AVERAGEIFS(FX_Daily!O$15:O$2821,FX_Daily!$A$15:$A$2821,"&gt;="&amp;$A66,FX_Daily!$A$15:$A$2821,"&lt;="&amp;EOMONTH($A66,0)),"")</f>
        <v>116.97</v>
      </c>
      <c r="P66" s="10" t="n">
        <f aca="false">IFERROR(AVERAGEIFS(FX_Daily!P$15:P$2821,FX_Daily!$A$15:$A$2821,"&gt;="&amp;$A66,FX_Daily!$A$15:$A$2821,"&lt;="&amp;EOMONTH($A66,0)),"")</f>
        <v>10.4435052631579</v>
      </c>
      <c r="Q66" s="15" t="n">
        <f aca="false">COUNTIFS(FX_Daily!$A$15:$A$2821,"&gt;="&amp;$A66,FX_Daily!$A$15:$A$2821,"&lt;="&amp;EOMONTH($A66,0),FX_Daily!C$15:C$2821,"&gt;0")</f>
        <v>22</v>
      </c>
      <c r="R66" s="16" t="str">
        <f aca="false">IF(EOMONTH($A66,0)&gt;FX_Daily!$C$11,"partial month","complete")</f>
        <v>complete</v>
      </c>
    </row>
    <row r="67" customFormat="false" ht="15" hidden="false" customHeight="false" outlineLevel="0" collapsed="false">
      <c r="A67" s="17" t="n">
        <v>43952</v>
      </c>
      <c r="B67" s="10" t="n">
        <f aca="false">IFERROR(AVERAGEIFS(FX_Daily!B$15:B$2821,FX_Daily!$A$15:$A$2821,"&gt;="&amp;$A67,FX_Daily!$A$15:$A$2821,"&lt;="&amp;EOMONTH($A67,0)),"")</f>
        <v>1228.134</v>
      </c>
      <c r="C67" s="10" t="n">
        <f aca="false">IFERROR(AVERAGEIFS(FX_Daily!C$15:C$2821,FX_Daily!$A$15:$A$2821,"&gt;="&amp;$A67,FX_Daily!$A$15:$A$2821,"&lt;="&amp;EOMONTH($A67,0)),"")</f>
        <v>10.09261</v>
      </c>
      <c r="D67" s="10" t="n">
        <f aca="false">IFERROR(AVERAGEIFS(FX_Daily!D$15:D$2821,FX_Daily!$A$15:$A$2821,"&gt;="&amp;$A67,FX_Daily!$A$15:$A$2821,"&lt;="&amp;EOMONTH($A67,0)),"")</f>
        <v>1.23019</v>
      </c>
      <c r="E67" s="10" t="n">
        <f aca="false">IFERROR(AVERAGEIFS(FX_Daily!E$15:E$2821,FX_Daily!$A$15:$A$2821,"&gt;="&amp;$A67,FX_Daily!$A$15:$A$2821,"&lt;="&amp;EOMONTH($A67,0)),"")</f>
        <v>1.09073</v>
      </c>
      <c r="F67" s="10" t="n">
        <f aca="false">IFERROR(AVERAGEIFS(FX_Daily!F$15:F$2821,FX_Daily!$A$15:$A$2821,"&gt;="&amp;$A67,FX_Daily!$A$15:$A$2821,"&lt;="&amp;EOMONTH($A67,0)),"")</f>
        <v>7.10159</v>
      </c>
      <c r="G67" s="10" t="n">
        <f aca="false">IFERROR(AVERAGEIFS(FX_Daily!G$15:G$2821,FX_Daily!$A$15:$A$2821,"&gt;="&amp;$A67,FX_Daily!$A$15:$A$2821,"&lt;="&amp;EOMONTH($A67,0)),"")</f>
        <v>5.639445</v>
      </c>
      <c r="H67" s="10" t="n">
        <f aca="false">IFERROR(AVERAGEIFS(FX_Daily!H$15:H$2821,FX_Daily!$A$15:$A$2821,"&gt;="&amp;$A67,FX_Daily!$A$15:$A$2821,"&lt;="&amp;EOMONTH($A67,0)),"")</f>
        <v>107.2</v>
      </c>
      <c r="I67" s="10" t="n">
        <f aca="false">IFERROR(AVERAGEIFS(FX_Daily!I$15:I$2821,FX_Daily!$A$15:$A$2821,"&gt;="&amp;$A67,FX_Daily!$A$15:$A$2821,"&lt;="&amp;EOMONTH($A67,0)),"")</f>
        <v>1.090185</v>
      </c>
      <c r="J67" s="10" t="n">
        <f aca="false">IFERROR(AVERAGEIFS(FX_Daily!J$15:J$2821,FX_Daily!$A$15:$A$2821,"&gt;="&amp;$A67,FX_Daily!$A$15:$A$2821,"&lt;="&amp;EOMONTH($A67,0)),"")</f>
        <v>10.9862</v>
      </c>
      <c r="K67" s="10" t="n">
        <f aca="false">IFERROR(AVERAGEIFS(FX_Daily!K$15:K$2821,FX_Daily!$A$15:$A$2821,"&gt;="&amp;$A67,FX_Daily!$A$15:$A$2821,"&lt;="&amp;EOMONTH($A67,0)),"")</f>
        <v>1340.4385</v>
      </c>
      <c r="L67" s="10" t="n">
        <f aca="false">IFERROR(AVERAGEIFS(FX_Daily!L$15:L$2821,FX_Daily!$A$15:$A$2821,"&gt;="&amp;$A67,FX_Daily!$A$15:$A$2821,"&lt;="&amp;EOMONTH($A67,0)),"")</f>
        <v>0.886853</v>
      </c>
      <c r="M67" s="10" t="n">
        <f aca="false">IFERROR(AVERAGEIFS(FX_Daily!M$15:M$2821,FX_Daily!$A$15:$A$2821,"&gt;="&amp;$A67,FX_Daily!$A$15:$A$2821,"&lt;="&amp;EOMONTH($A67,0)),"")</f>
        <v>7.74821</v>
      </c>
      <c r="N67" s="10" t="n">
        <f aca="false">IFERROR(AVERAGEIFS(FX_Daily!N$15:N$2821,FX_Daily!$A$15:$A$2821,"&gt;="&amp;$A67,FX_Daily!$A$15:$A$2821,"&lt;="&amp;EOMONTH($A67,0)),"")</f>
        <v>6.14994</v>
      </c>
      <c r="O67" s="10" t="n">
        <f aca="false">IFERROR(AVERAGEIFS(FX_Daily!O$15:O$2821,FX_Daily!$A$15:$A$2821,"&gt;="&amp;$A67,FX_Daily!$A$15:$A$2821,"&lt;="&amp;EOMONTH($A67,0)),"")</f>
        <v>116.867</v>
      </c>
      <c r="P67" s="10" t="n">
        <f aca="false">IFERROR(AVERAGEIFS(FX_Daily!P$15:P$2821,FX_Daily!$A$15:$A$2821,"&gt;="&amp;$A67,FX_Daily!$A$15:$A$2821,"&lt;="&amp;EOMONTH($A67,0)),"")</f>
        <v>10.0874263157895</v>
      </c>
      <c r="Q67" s="15" t="n">
        <f aca="false">COUNTIFS(FX_Daily!$A$15:$A$2821,"&gt;="&amp;$A67,FX_Daily!$A$15:$A$2821,"&lt;="&amp;EOMONTH($A67,0),FX_Daily!C$15:C$2821,"&gt;0")</f>
        <v>20</v>
      </c>
      <c r="R67" s="16" t="str">
        <f aca="false">IF(EOMONTH($A67,0)&gt;FX_Daily!$C$11,"partial month","complete")</f>
        <v>complete</v>
      </c>
    </row>
    <row r="68" customFormat="false" ht="15" hidden="false" customHeight="false" outlineLevel="0" collapsed="false">
      <c r="A68" s="17" t="n">
        <v>43983</v>
      </c>
      <c r="B68" s="10" t="n">
        <f aca="false">IFERROR(AVERAGEIFS(FX_Daily!B$15:B$2821,FX_Daily!$A$15:$A$2821,"&gt;="&amp;$A68,FX_Daily!$A$15:$A$2821,"&lt;="&amp;EOMONTH($A68,0)),"")</f>
        <v>1206.94590909091</v>
      </c>
      <c r="C68" s="10" t="n">
        <f aca="false">IFERROR(AVERAGEIFS(FX_Daily!C$15:C$2821,FX_Daily!$A$15:$A$2821,"&gt;="&amp;$A68,FX_Daily!$A$15:$A$2821,"&lt;="&amp;EOMONTH($A68,0)),"")</f>
        <v>9.53296818181818</v>
      </c>
      <c r="D68" s="10" t="n">
        <f aca="false">IFERROR(AVERAGEIFS(FX_Daily!D$15:D$2821,FX_Daily!$A$15:$A$2821,"&gt;="&amp;$A68,FX_Daily!$A$15:$A$2821,"&lt;="&amp;EOMONTH($A68,0)),"")</f>
        <v>1.25232727272727</v>
      </c>
      <c r="E68" s="10" t="n">
        <f aca="false">IFERROR(AVERAGEIFS(FX_Daily!E$15:E$2821,FX_Daily!$A$15:$A$2821,"&gt;="&amp;$A68,FX_Daily!$A$15:$A$2821,"&lt;="&amp;EOMONTH($A68,0)),"")</f>
        <v>1.1259</v>
      </c>
      <c r="F68" s="10" t="n">
        <f aca="false">IFERROR(AVERAGEIFS(FX_Daily!F$15:F$2821,FX_Daily!$A$15:$A$2821,"&gt;="&amp;$A68,FX_Daily!$A$15:$A$2821,"&lt;="&amp;EOMONTH($A68,0)),"")</f>
        <v>7.08155909090909</v>
      </c>
      <c r="G68" s="10" t="n">
        <f aca="false">IFERROR(AVERAGEIFS(FX_Daily!G$15:G$2821,FX_Daily!$A$15:$A$2821,"&gt;="&amp;$A68,FX_Daily!$A$15:$A$2821,"&lt;="&amp;EOMONTH($A68,0)),"")</f>
        <v>5.18841363636364</v>
      </c>
      <c r="H68" s="10" t="n">
        <f aca="false">IFERROR(AVERAGEIFS(FX_Daily!H$15:H$2821,FX_Daily!$A$15:$A$2821,"&gt;="&amp;$A68,FX_Daily!$A$15:$A$2821,"&lt;="&amp;EOMONTH($A68,0)),"")</f>
        <v>107.578181818182</v>
      </c>
      <c r="I68" s="10" t="n">
        <f aca="false">IFERROR(AVERAGEIFS(FX_Daily!I$15:I$2821,FX_Daily!$A$15:$A$2821,"&gt;="&amp;$A68,FX_Daily!$A$15:$A$2821,"&lt;="&amp;EOMONTH($A68,0)),"")</f>
        <v>1.12545909090909</v>
      </c>
      <c r="J68" s="10" t="n">
        <f aca="false">IFERROR(AVERAGEIFS(FX_Daily!J$15:J$2821,FX_Daily!$A$15:$A$2821,"&gt;="&amp;$A68,FX_Daily!$A$15:$A$2821,"&lt;="&amp;EOMONTH($A68,0)),"")</f>
        <v>10.7298409090909</v>
      </c>
      <c r="K68" s="10" t="n">
        <f aca="false">IFERROR(AVERAGEIFS(FX_Daily!K$15:K$2821,FX_Daily!$A$15:$A$2821,"&gt;="&amp;$A68,FX_Daily!$A$15:$A$2821,"&lt;="&amp;EOMONTH($A68,0)),"")</f>
        <v>1358.75</v>
      </c>
      <c r="L68" s="10" t="n">
        <f aca="false">IFERROR(AVERAGEIFS(FX_Daily!L$15:L$2821,FX_Daily!$A$15:$A$2821,"&gt;="&amp;$A68,FX_Daily!$A$15:$A$2821,"&lt;="&amp;EOMONTH($A68,0)),"")</f>
        <v>0.898781363636364</v>
      </c>
      <c r="M68" s="10" t="n">
        <f aca="false">IFERROR(AVERAGEIFS(FX_Daily!M$15:M$2821,FX_Daily!$A$15:$A$2821,"&gt;="&amp;$A68,FX_Daily!$A$15:$A$2821,"&lt;="&amp;EOMONTH($A68,0)),"")</f>
        <v>7.9734</v>
      </c>
      <c r="N68" s="10" t="n">
        <f aca="false">IFERROR(AVERAGEIFS(FX_Daily!N$15:N$2821,FX_Daily!$A$15:$A$2821,"&gt;="&amp;$A68,FX_Daily!$A$15:$A$2821,"&lt;="&amp;EOMONTH($A68,0)),"")</f>
        <v>5.8377</v>
      </c>
      <c r="O68" s="10" t="n">
        <f aca="false">IFERROR(AVERAGEIFS(FX_Daily!O$15:O$2821,FX_Daily!$A$15:$A$2821,"&gt;="&amp;$A68,FX_Daily!$A$15:$A$2821,"&lt;="&amp;EOMONTH($A68,0)),"")</f>
        <v>121.120454545455</v>
      </c>
      <c r="P68" s="10" t="n">
        <f aca="false">IFERROR(AVERAGEIFS(FX_Daily!P$15:P$2821,FX_Daily!$A$15:$A$2821,"&gt;="&amp;$A68,FX_Daily!$A$15:$A$2821,"&lt;="&amp;EOMONTH($A68,0)),"")</f>
        <v>9.52609523809524</v>
      </c>
      <c r="Q68" s="15" t="n">
        <f aca="false">COUNTIFS(FX_Daily!$A$15:$A$2821,"&gt;="&amp;$A68,FX_Daily!$A$15:$A$2821,"&lt;="&amp;EOMONTH($A68,0),FX_Daily!C$15:C$2821,"&gt;0")</f>
        <v>22</v>
      </c>
      <c r="R68" s="16" t="str">
        <f aca="false">IF(EOMONTH($A68,0)&gt;FX_Daily!$C$11,"partial month","complete")</f>
        <v>complete</v>
      </c>
    </row>
    <row r="69" customFormat="false" ht="15" hidden="false" customHeight="false" outlineLevel="0" collapsed="false">
      <c r="A69" s="17" t="n">
        <v>44013</v>
      </c>
      <c r="B69" s="10" t="n">
        <f aca="false">IFERROR(AVERAGEIFS(FX_Daily!B$15:B$2821,FX_Daily!$A$15:$A$2821,"&gt;="&amp;$A69,FX_Daily!$A$15:$A$2821,"&lt;="&amp;EOMONTH($A69,0)),"")</f>
        <v>1198.61863636364</v>
      </c>
      <c r="C69" s="10" t="n">
        <f aca="false">IFERROR(AVERAGEIFS(FX_Daily!C$15:C$2821,FX_Daily!$A$15:$A$2821,"&gt;="&amp;$A69,FX_Daily!$A$15:$A$2821,"&lt;="&amp;EOMONTH($A69,0)),"")</f>
        <v>9.27771363636364</v>
      </c>
      <c r="D69" s="10" t="n">
        <f aca="false">IFERROR(AVERAGEIFS(FX_Daily!D$15:D$2821,FX_Daily!$A$15:$A$2821,"&gt;="&amp;$A69,FX_Daily!$A$15:$A$2821,"&lt;="&amp;EOMONTH($A69,0)),"")</f>
        <v>1.27012272727273</v>
      </c>
      <c r="E69" s="10" t="n">
        <f aca="false">IFERROR(AVERAGEIFS(FX_Daily!E$15:E$2821,FX_Daily!$A$15:$A$2821,"&gt;="&amp;$A69,FX_Daily!$A$15:$A$2821,"&lt;="&amp;EOMONTH($A69,0)),"")</f>
        <v>1.14882727272727</v>
      </c>
      <c r="F69" s="10" t="n">
        <f aca="false">IFERROR(AVERAGEIFS(FX_Daily!F$15:F$2821,FX_Daily!$A$15:$A$2821,"&gt;="&amp;$A69,FX_Daily!$A$15:$A$2821,"&lt;="&amp;EOMONTH($A69,0)),"")</f>
        <v>7.00411363636364</v>
      </c>
      <c r="G69" s="10" t="n">
        <f aca="false">IFERROR(AVERAGEIFS(FX_Daily!G$15:G$2821,FX_Daily!$A$15:$A$2821,"&gt;="&amp;$A69,FX_Daily!$A$15:$A$2821,"&lt;="&amp;EOMONTH($A69,0)),"")</f>
        <v>5.27351818181818</v>
      </c>
      <c r="H69" s="10" t="n">
        <f aca="false">IFERROR(AVERAGEIFS(FX_Daily!H$15:H$2821,FX_Daily!$A$15:$A$2821,"&gt;="&amp;$A69,FX_Daily!$A$15:$A$2821,"&lt;="&amp;EOMONTH($A69,0)),"")</f>
        <v>106.681818181818</v>
      </c>
      <c r="I69" s="10" t="n">
        <f aca="false">IFERROR(AVERAGEIFS(FX_Daily!I$15:I$2821,FX_Daily!$A$15:$A$2821,"&gt;="&amp;$A69,FX_Daily!$A$15:$A$2821,"&lt;="&amp;EOMONTH($A69,0)),"")</f>
        <v>1.14633913043478</v>
      </c>
      <c r="J69" s="10" t="n">
        <f aca="false">IFERROR(AVERAGEIFS(FX_Daily!J$15:J$2821,FX_Daily!$A$15:$A$2821,"&gt;="&amp;$A69,FX_Daily!$A$15:$A$2821,"&lt;="&amp;EOMONTH($A69,0)),"")</f>
        <v>10.654447826087</v>
      </c>
      <c r="K69" s="10" t="n">
        <f aca="false">IFERROR(AVERAGEIFS(FX_Daily!K$15:K$2821,FX_Daily!$A$15:$A$2821,"&gt;="&amp;$A69,FX_Daily!$A$15:$A$2821,"&lt;="&amp;EOMONTH($A69,0)),"")</f>
        <v>1374.16173913043</v>
      </c>
      <c r="L69" s="10" t="n">
        <f aca="false">IFERROR(AVERAGEIFS(FX_Daily!L$15:L$2821,FX_Daily!$A$15:$A$2821,"&gt;="&amp;$A69,FX_Daily!$A$15:$A$2821,"&lt;="&amp;EOMONTH($A69,0)),"")</f>
        <v>0.904666956521739</v>
      </c>
      <c r="M69" s="10" t="n">
        <f aca="false">IFERROR(AVERAGEIFS(FX_Daily!M$15:M$2821,FX_Daily!$A$15:$A$2821,"&gt;="&amp;$A69,FX_Daily!$A$15:$A$2821,"&lt;="&amp;EOMONTH($A69,0)),"")</f>
        <v>8.03516086956522</v>
      </c>
      <c r="N69" s="10" t="n">
        <f aca="false">IFERROR(AVERAGEIFS(FX_Daily!N$15:N$2821,FX_Daily!$A$15:$A$2821,"&gt;="&amp;$A69,FX_Daily!$A$15:$A$2821,"&lt;="&amp;EOMONTH($A69,0)),"")</f>
        <v>6.05896521739131</v>
      </c>
      <c r="O69" s="10" t="n">
        <f aca="false">IFERROR(AVERAGEIFS(FX_Daily!O$15:O$2821,FX_Daily!$A$15:$A$2821,"&gt;="&amp;$A69,FX_Daily!$A$15:$A$2821,"&lt;="&amp;EOMONTH($A69,0)),"")</f>
        <v>122.380434782609</v>
      </c>
      <c r="P69" s="10" t="n">
        <f aca="false">IFERROR(AVERAGEIFS(FX_Daily!P$15:P$2821,FX_Daily!$A$15:$A$2821,"&gt;="&amp;$A69,FX_Daily!$A$15:$A$2821,"&lt;="&amp;EOMONTH($A69,0)),"")</f>
        <v>9.29678695652174</v>
      </c>
      <c r="Q69" s="15" t="n">
        <f aca="false">COUNTIFS(FX_Daily!$A$15:$A$2821,"&gt;="&amp;$A69,FX_Daily!$A$15:$A$2821,"&lt;="&amp;EOMONTH($A69,0),FX_Daily!C$15:C$2821,"&gt;0")</f>
        <v>22</v>
      </c>
      <c r="R69" s="16" t="str">
        <f aca="false">IF(EOMONTH($A69,0)&gt;FX_Daily!$C$11,"partial month","complete")</f>
        <v>complete</v>
      </c>
    </row>
    <row r="70" customFormat="false" ht="15" hidden="false" customHeight="false" outlineLevel="0" collapsed="false">
      <c r="A70" s="17" t="n">
        <v>44044</v>
      </c>
      <c r="B70" s="10" t="n">
        <f aca="false">IFERROR(AVERAGEIFS(FX_Daily!B$15:B$2821,FX_Daily!$A$15:$A$2821,"&gt;="&amp;$A70,FX_Daily!$A$15:$A$2821,"&lt;="&amp;EOMONTH($A70,0)),"")</f>
        <v>1186.85619047619</v>
      </c>
      <c r="C70" s="10" t="n">
        <f aca="false">IFERROR(AVERAGEIFS(FX_Daily!C$15:C$2821,FX_Daily!$A$15:$A$2821,"&gt;="&amp;$A70,FX_Daily!$A$15:$A$2821,"&lt;="&amp;EOMONTH($A70,0)),"")</f>
        <v>8.94219523809524</v>
      </c>
      <c r="D70" s="10" t="n">
        <f aca="false">IFERROR(AVERAGEIFS(FX_Daily!D$15:D$2821,FX_Daily!$A$15:$A$2821,"&gt;="&amp;$A70,FX_Daily!$A$15:$A$2821,"&lt;="&amp;EOMONTH($A70,0)),"")</f>
        <v>1.31426666666667</v>
      </c>
      <c r="E70" s="10" t="n">
        <f aca="false">IFERROR(AVERAGEIFS(FX_Daily!E$15:E$2821,FX_Daily!$A$15:$A$2821,"&gt;="&amp;$A70,FX_Daily!$A$15:$A$2821,"&lt;="&amp;EOMONTH($A70,0)),"")</f>
        <v>1.18311428571429</v>
      </c>
      <c r="F70" s="10" t="n">
        <f aca="false">IFERROR(AVERAGEIFS(FX_Daily!F$15:F$2821,FX_Daily!$A$15:$A$2821,"&gt;="&amp;$A70,FX_Daily!$A$15:$A$2821,"&lt;="&amp;EOMONTH($A70,0)),"")</f>
        <v>6.92700952380952</v>
      </c>
      <c r="G70" s="10" t="n">
        <f aca="false">IFERROR(AVERAGEIFS(FX_Daily!G$15:G$2821,FX_Daily!$A$15:$A$2821,"&gt;="&amp;$A70,FX_Daily!$A$15:$A$2821,"&lt;="&amp;EOMONTH($A70,0)),"")</f>
        <v>5.46853333333333</v>
      </c>
      <c r="H70" s="10" t="n">
        <f aca="false">IFERROR(AVERAGEIFS(FX_Daily!H$15:H$2821,FX_Daily!$A$15:$A$2821,"&gt;="&amp;$A70,FX_Daily!$A$15:$A$2821,"&lt;="&amp;EOMONTH($A70,0)),"")</f>
        <v>106.012857142857</v>
      </c>
      <c r="I70" s="10" t="n">
        <f aca="false">IFERROR(AVERAGEIFS(FX_Daily!I$15:I$2821,FX_Daily!$A$15:$A$2821,"&gt;="&amp;$A70,FX_Daily!$A$15:$A$2821,"&lt;="&amp;EOMONTH($A70,0)),"")</f>
        <v>1.18280952380952</v>
      </c>
      <c r="J70" s="10" t="n">
        <f aca="false">IFERROR(AVERAGEIFS(FX_Daily!J$15:J$2821,FX_Daily!$A$15:$A$2821,"&gt;="&amp;$A70,FX_Daily!$A$15:$A$2821,"&lt;="&amp;EOMONTH($A70,0)),"")</f>
        <v>10.5797476190476</v>
      </c>
      <c r="K70" s="10" t="n">
        <f aca="false">IFERROR(AVERAGEIFS(FX_Daily!K$15:K$2821,FX_Daily!$A$15:$A$2821,"&gt;="&amp;$A70,FX_Daily!$A$15:$A$2821,"&lt;="&amp;EOMONTH($A70,0)),"")</f>
        <v>1403.43571428571</v>
      </c>
      <c r="L70" s="10" t="n">
        <f aca="false">IFERROR(AVERAGEIFS(FX_Daily!L$15:L$2821,FX_Daily!$A$15:$A$2821,"&gt;="&amp;$A70,FX_Daily!$A$15:$A$2821,"&lt;="&amp;EOMONTH($A70,0)),"")</f>
        <v>0.900809047619048</v>
      </c>
      <c r="M70" s="10" t="n">
        <f aca="false">IFERROR(AVERAGEIFS(FX_Daily!M$15:M$2821,FX_Daily!$A$15:$A$2821,"&gt;="&amp;$A70,FX_Daily!$A$15:$A$2821,"&lt;="&amp;EOMONTH($A70,0)),"")</f>
        <v>8.19535238095238</v>
      </c>
      <c r="N70" s="10" t="n">
        <f aca="false">IFERROR(AVERAGEIFS(FX_Daily!N$15:N$2821,FX_Daily!$A$15:$A$2821,"&gt;="&amp;$A70,FX_Daily!$A$15:$A$2821,"&lt;="&amp;EOMONTH($A70,0)),"")</f>
        <v>6.43810476190476</v>
      </c>
      <c r="O70" s="10" t="n">
        <f aca="false">IFERROR(AVERAGEIFS(FX_Daily!O$15:O$2821,FX_Daily!$A$15:$A$2821,"&gt;="&amp;$A70,FX_Daily!$A$15:$A$2821,"&lt;="&amp;EOMONTH($A70,0)),"")</f>
        <v>125.40380952381</v>
      </c>
      <c r="P70" s="10" t="n">
        <f aca="false">IFERROR(AVERAGEIFS(FX_Daily!P$15:P$2821,FX_Daily!$A$15:$A$2821,"&gt;="&amp;$A70,FX_Daily!$A$15:$A$2821,"&lt;="&amp;EOMONTH($A70,0)),"")</f>
        <v>8.94500476190476</v>
      </c>
      <c r="Q70" s="15" t="n">
        <f aca="false">COUNTIFS(FX_Daily!$A$15:$A$2821,"&gt;="&amp;$A70,FX_Daily!$A$15:$A$2821,"&lt;="&amp;EOMONTH($A70,0),FX_Daily!C$15:C$2821,"&gt;0")</f>
        <v>21</v>
      </c>
      <c r="R70" s="16" t="str">
        <f aca="false">IF(EOMONTH($A70,0)&gt;FX_Daily!$C$11,"partial month","complete")</f>
        <v>complete</v>
      </c>
    </row>
    <row r="71" customFormat="false" ht="15" hidden="false" customHeight="false" outlineLevel="0" collapsed="false">
      <c r="A71" s="17" t="n">
        <v>44075</v>
      </c>
      <c r="B71" s="10" t="n">
        <f aca="false">IFERROR(AVERAGEIFS(FX_Daily!B$15:B$2821,FX_Daily!$A$15:$A$2821,"&gt;="&amp;$A71,FX_Daily!$A$15:$A$2821,"&lt;="&amp;EOMONTH($A71,0)),"")</f>
        <v>1176.8619047619</v>
      </c>
      <c r="C71" s="10" t="n">
        <f aca="false">IFERROR(AVERAGEIFS(FX_Daily!C$15:C$2821,FX_Daily!$A$15:$A$2821,"&gt;="&amp;$A71,FX_Daily!$A$15:$A$2821,"&lt;="&amp;EOMONTH($A71,0)),"")</f>
        <v>9.1621380952381</v>
      </c>
      <c r="D71" s="10" t="n">
        <f aca="false">IFERROR(AVERAGEIFS(FX_Daily!D$15:D$2821,FX_Daily!$A$15:$A$2821,"&gt;="&amp;$A71,FX_Daily!$A$15:$A$2821,"&lt;="&amp;EOMONTH($A71,0)),"")</f>
        <v>1.29468095238095</v>
      </c>
      <c r="E71" s="10" t="n">
        <f aca="false">IFERROR(AVERAGEIFS(FX_Daily!E$15:E$2821,FX_Daily!$A$15:$A$2821,"&gt;="&amp;$A71,FX_Daily!$A$15:$A$2821,"&lt;="&amp;EOMONTH($A71,0)),"")</f>
        <v>1.17850952380952</v>
      </c>
      <c r="F71" s="10" t="n">
        <f aca="false">IFERROR(AVERAGEIFS(FX_Daily!F$15:F$2821,FX_Daily!$A$15:$A$2821,"&gt;="&amp;$A71,FX_Daily!$A$15:$A$2821,"&lt;="&amp;EOMONTH($A71,0)),"")</f>
        <v>6.81059523809524</v>
      </c>
      <c r="G71" s="10" t="n">
        <f aca="false">IFERROR(AVERAGEIFS(FX_Daily!G$15:G$2821,FX_Daily!$A$15:$A$2821,"&gt;="&amp;$A71,FX_Daily!$A$15:$A$2821,"&lt;="&amp;EOMONTH($A71,0)),"")</f>
        <v>5.39997142857143</v>
      </c>
      <c r="H71" s="10" t="n">
        <f aca="false">IFERROR(AVERAGEIFS(FX_Daily!H$15:H$2821,FX_Daily!$A$15:$A$2821,"&gt;="&amp;$A71,FX_Daily!$A$15:$A$2821,"&lt;="&amp;EOMONTH($A71,0)),"")</f>
        <v>105.589047619048</v>
      </c>
      <c r="I71" s="10" t="n">
        <f aca="false">IFERROR(AVERAGEIFS(FX_Daily!I$15:I$2821,FX_Daily!$A$15:$A$2821,"&gt;="&amp;$A71,FX_Daily!$A$15:$A$2821,"&lt;="&amp;EOMONTH($A71,0)),"")</f>
        <v>1.17924090909091</v>
      </c>
      <c r="J71" s="10" t="n">
        <f aca="false">IFERROR(AVERAGEIFS(FX_Daily!J$15:J$2821,FX_Daily!$A$15:$A$2821,"&gt;="&amp;$A71,FX_Daily!$A$15:$A$2821,"&lt;="&amp;EOMONTH($A71,0)),"")</f>
        <v>10.7769090909091</v>
      </c>
      <c r="K71" s="10" t="n">
        <f aca="false">IFERROR(AVERAGEIFS(FX_Daily!K$15:K$2821,FX_Daily!$A$15:$A$2821,"&gt;="&amp;$A71,FX_Daily!$A$15:$A$2821,"&lt;="&amp;EOMONTH($A71,0)),"")</f>
        <v>1388.67909090909</v>
      </c>
      <c r="L71" s="10" t="n">
        <f aca="false">IFERROR(AVERAGEIFS(FX_Daily!L$15:L$2821,FX_Daily!$A$15:$A$2821,"&gt;="&amp;$A71,FX_Daily!$A$15:$A$2821,"&lt;="&amp;EOMONTH($A71,0)),"")</f>
        <v>0.909474090909091</v>
      </c>
      <c r="M71" s="10" t="n">
        <f aca="false">IFERROR(AVERAGEIFS(FX_Daily!M$15:M$2821,FX_Daily!$A$15:$A$2821,"&gt;="&amp;$A71,FX_Daily!$A$15:$A$2821,"&lt;="&amp;EOMONTH($A71,0)),"")</f>
        <v>8.03330909090909</v>
      </c>
      <c r="N71" s="10" t="n">
        <f aca="false">IFERROR(AVERAGEIFS(FX_Daily!N$15:N$2821,FX_Daily!$A$15:$A$2821,"&gt;="&amp;$A71,FX_Daily!$A$15:$A$2821,"&lt;="&amp;EOMONTH($A71,0)),"")</f>
        <v>6.36629545454546</v>
      </c>
      <c r="O71" s="10" t="n">
        <f aca="false">IFERROR(AVERAGEIFS(FX_Daily!O$15:O$2821,FX_Daily!$A$15:$A$2821,"&gt;="&amp;$A71,FX_Daily!$A$15:$A$2821,"&lt;="&amp;EOMONTH($A71,0)),"")</f>
        <v>124.501363636364</v>
      </c>
      <c r="P71" s="10" t="n">
        <f aca="false">IFERROR(AVERAGEIFS(FX_Daily!P$15:P$2821,FX_Daily!$A$15:$A$2821,"&gt;="&amp;$A71,FX_Daily!$A$15:$A$2821,"&lt;="&amp;EOMONTH($A71,0)),"")</f>
        <v>9.14058181818182</v>
      </c>
      <c r="Q71" s="15" t="n">
        <f aca="false">COUNTIFS(FX_Daily!$A$15:$A$2821,"&gt;="&amp;$A71,FX_Daily!$A$15:$A$2821,"&lt;="&amp;EOMONTH($A71,0),FX_Daily!C$15:C$2821,"&gt;0")</f>
        <v>21</v>
      </c>
      <c r="R71" s="16" t="str">
        <f aca="false">IF(EOMONTH($A71,0)&gt;FX_Daily!$C$11,"partial month","complete")</f>
        <v>complete</v>
      </c>
    </row>
    <row r="72" customFormat="false" ht="15" hidden="false" customHeight="false" outlineLevel="0" collapsed="false">
      <c r="A72" s="17" t="n">
        <v>44105</v>
      </c>
      <c r="B72" s="10" t="n">
        <f aca="false">IFERROR(AVERAGEIFS(FX_Daily!B$15:B$2821,FX_Daily!$A$15:$A$2821,"&gt;="&amp;$A72,FX_Daily!$A$15:$A$2821,"&lt;="&amp;EOMONTH($A72,0)),"")</f>
        <v>1143.7680952381</v>
      </c>
      <c r="C72" s="10" t="n">
        <f aca="false">IFERROR(AVERAGEIFS(FX_Daily!C$15:C$2821,FX_Daily!$A$15:$A$2821,"&gt;="&amp;$A72,FX_Daily!$A$15:$A$2821,"&lt;="&amp;EOMONTH($A72,0)),"")</f>
        <v>9.29555238095238</v>
      </c>
      <c r="D72" s="10" t="n">
        <f aca="false">IFERROR(AVERAGEIFS(FX_Daily!D$15:D$2821,FX_Daily!$A$15:$A$2821,"&gt;="&amp;$A72,FX_Daily!$A$15:$A$2821,"&lt;="&amp;EOMONTH($A72,0)),"")</f>
        <v>1.29797619047619</v>
      </c>
      <c r="E72" s="10" t="n">
        <f aca="false">IFERROR(AVERAGEIFS(FX_Daily!E$15:E$2821,FX_Daily!$A$15:$A$2821,"&gt;="&amp;$A72,FX_Daily!$A$15:$A$2821,"&lt;="&amp;EOMONTH($A72,0)),"")</f>
        <v>1.17678095238095</v>
      </c>
      <c r="F72" s="10" t="n">
        <f aca="false">IFERROR(AVERAGEIFS(FX_Daily!F$15:F$2821,FX_Daily!$A$15:$A$2821,"&gt;="&amp;$A72,FX_Daily!$A$15:$A$2821,"&lt;="&amp;EOMONTH($A72,0)),"")</f>
        <v>6.72542380952381</v>
      </c>
      <c r="G72" s="10" t="n">
        <f aca="false">IFERROR(AVERAGEIFS(FX_Daily!G$15:G$2821,FX_Daily!$A$15:$A$2821,"&gt;="&amp;$A72,FX_Daily!$A$15:$A$2821,"&lt;="&amp;EOMONTH($A72,0)),"")</f>
        <v>5.6253</v>
      </c>
      <c r="H72" s="10" t="n">
        <f aca="false">IFERROR(AVERAGEIFS(FX_Daily!H$15:H$2821,FX_Daily!$A$15:$A$2821,"&gt;="&amp;$A72,FX_Daily!$A$15:$A$2821,"&lt;="&amp;EOMONTH($A72,0)),"")</f>
        <v>105.209523809524</v>
      </c>
      <c r="I72" s="10" t="n">
        <f aca="false">IFERROR(AVERAGEIFS(FX_Daily!I$15:I$2821,FX_Daily!$A$15:$A$2821,"&gt;="&amp;$A72,FX_Daily!$A$15:$A$2821,"&lt;="&amp;EOMONTH($A72,0)),"")</f>
        <v>1.17751818181818</v>
      </c>
      <c r="J72" s="10" t="n">
        <f aca="false">IFERROR(AVERAGEIFS(FX_Daily!J$15:J$2821,FX_Daily!$A$15:$A$2821,"&gt;="&amp;$A72,FX_Daily!$A$15:$A$2821,"&lt;="&amp;EOMONTH($A72,0)),"")</f>
        <v>10.9219818181818</v>
      </c>
      <c r="K72" s="10" t="n">
        <f aca="false">IFERROR(AVERAGEIFS(FX_Daily!K$15:K$2821,FX_Daily!$A$15:$A$2821,"&gt;="&amp;$A72,FX_Daily!$A$15:$A$2821,"&lt;="&amp;EOMONTH($A72,0)),"")</f>
        <v>1347.02863636364</v>
      </c>
      <c r="L72" s="10" t="n">
        <f aca="false">IFERROR(AVERAGEIFS(FX_Daily!L$15:L$2821,FX_Daily!$A$15:$A$2821,"&gt;="&amp;$A72,FX_Daily!$A$15:$A$2821,"&lt;="&amp;EOMONTH($A72,0)),"")</f>
        <v>0.907411363636364</v>
      </c>
      <c r="M72" s="10" t="n">
        <f aca="false">IFERROR(AVERAGEIFS(FX_Daily!M$15:M$2821,FX_Daily!$A$15:$A$2821,"&gt;="&amp;$A72,FX_Daily!$A$15:$A$2821,"&lt;="&amp;EOMONTH($A72,0)),"")</f>
        <v>7.9225</v>
      </c>
      <c r="N72" s="10" t="n">
        <f aca="false">IFERROR(AVERAGEIFS(FX_Daily!N$15:N$2821,FX_Daily!$A$15:$A$2821,"&gt;="&amp;$A72,FX_Daily!$A$15:$A$2821,"&lt;="&amp;EOMONTH($A72,0)),"")</f>
        <v>6.61695</v>
      </c>
      <c r="O72" s="10" t="n">
        <f aca="false">IFERROR(AVERAGEIFS(FX_Daily!O$15:O$2821,FX_Daily!$A$15:$A$2821,"&gt;="&amp;$A72,FX_Daily!$A$15:$A$2821,"&lt;="&amp;EOMONTH($A72,0)),"")</f>
        <v>123.889090909091</v>
      </c>
      <c r="P72" s="10" t="n">
        <f aca="false">IFERROR(AVERAGEIFS(FX_Daily!P$15:P$2821,FX_Daily!$A$15:$A$2821,"&gt;="&amp;$A72,FX_Daily!$A$15:$A$2821,"&lt;="&amp;EOMONTH($A72,0)),"")</f>
        <v>9.27569545454545</v>
      </c>
      <c r="Q72" s="15" t="n">
        <f aca="false">COUNTIFS(FX_Daily!$A$15:$A$2821,"&gt;="&amp;$A72,FX_Daily!$A$15:$A$2821,"&lt;="&amp;EOMONTH($A72,0),FX_Daily!C$15:C$2821,"&gt;0")</f>
        <v>21</v>
      </c>
      <c r="R72" s="16" t="str">
        <f aca="false">IF(EOMONTH($A72,0)&gt;FX_Daily!$C$11,"partial month","complete")</f>
        <v>complete</v>
      </c>
    </row>
    <row r="73" customFormat="false" ht="15" hidden="false" customHeight="false" outlineLevel="0" collapsed="false">
      <c r="A73" s="17" t="n">
        <v>44136</v>
      </c>
      <c r="B73" s="10" t="n">
        <f aca="false">IFERROR(AVERAGEIFS(FX_Daily!B$15:B$2821,FX_Daily!$A$15:$A$2821,"&gt;="&amp;$A73,FX_Daily!$A$15:$A$2821,"&lt;="&amp;EOMONTH($A73,0)),"")</f>
        <v>1116.09777777778</v>
      </c>
      <c r="C73" s="10" t="n">
        <f aca="false">IFERROR(AVERAGEIFS(FX_Daily!C$15:C$2821,FX_Daily!$A$15:$A$2821,"&gt;="&amp;$A73,FX_Daily!$A$15:$A$2821,"&lt;="&amp;EOMONTH($A73,0)),"")</f>
        <v>9.09994444444445</v>
      </c>
      <c r="D73" s="10" t="n">
        <f aca="false">IFERROR(AVERAGEIFS(FX_Daily!D$15:D$2821,FX_Daily!$A$15:$A$2821,"&gt;="&amp;$A73,FX_Daily!$A$15:$A$2821,"&lt;="&amp;EOMONTH($A73,0)),"")</f>
        <v>1.31983333333333</v>
      </c>
      <c r="E73" s="10" t="n">
        <f aca="false">IFERROR(AVERAGEIFS(FX_Daily!E$15:E$2821,FX_Daily!$A$15:$A$2821,"&gt;="&amp;$A73,FX_Daily!$A$15:$A$2821,"&lt;="&amp;EOMONTH($A73,0)),"")</f>
        <v>1.18262777777778</v>
      </c>
      <c r="F73" s="10" t="n">
        <f aca="false">IFERROR(AVERAGEIFS(FX_Daily!F$15:F$2821,FX_Daily!$A$15:$A$2821,"&gt;="&amp;$A73,FX_Daily!$A$15:$A$2821,"&lt;="&amp;EOMONTH($A73,0)),"")</f>
        <v>6.60285</v>
      </c>
      <c r="G73" s="10" t="n">
        <f aca="false">IFERROR(AVERAGEIFS(FX_Daily!G$15:G$2821,FX_Daily!$A$15:$A$2821,"&gt;="&amp;$A73,FX_Daily!$A$15:$A$2821,"&lt;="&amp;EOMONTH($A73,0)),"")</f>
        <v>5.44821111111111</v>
      </c>
      <c r="H73" s="10" t="n">
        <f aca="false">IFERROR(AVERAGEIFS(FX_Daily!H$15:H$2821,FX_Daily!$A$15:$A$2821,"&gt;="&amp;$A73,FX_Daily!$A$15:$A$2821,"&lt;="&amp;EOMONTH($A73,0)),"")</f>
        <v>104.406111111111</v>
      </c>
      <c r="I73" s="10" t="n">
        <f aca="false">IFERROR(AVERAGEIFS(FX_Daily!I$15:I$2821,FX_Daily!$A$15:$A$2821,"&gt;="&amp;$A73,FX_Daily!$A$15:$A$2821,"&lt;="&amp;EOMONTH($A73,0)),"")</f>
        <v>1.18379047619048</v>
      </c>
      <c r="J73" s="10" t="n">
        <f aca="false">IFERROR(AVERAGEIFS(FX_Daily!J$15:J$2821,FX_Daily!$A$15:$A$2821,"&gt;="&amp;$A73,FX_Daily!$A$15:$A$2821,"&lt;="&amp;EOMONTH($A73,0)),"")</f>
        <v>10.7453095238095</v>
      </c>
      <c r="K73" s="10" t="n">
        <f aca="false">IFERROR(AVERAGEIFS(FX_Daily!K$15:K$2821,FX_Daily!$A$15:$A$2821,"&gt;="&amp;$A73,FX_Daily!$A$15:$A$2821,"&lt;="&amp;EOMONTH($A73,0)),"")</f>
        <v>1319.65714285714</v>
      </c>
      <c r="L73" s="10" t="n">
        <f aca="false">IFERROR(AVERAGEIFS(FX_Daily!L$15:L$2821,FX_Daily!$A$15:$A$2821,"&gt;="&amp;$A73,FX_Daily!$A$15:$A$2821,"&lt;="&amp;EOMONTH($A73,0)),"")</f>
        <v>0.896053333333333</v>
      </c>
      <c r="M73" s="10" t="n">
        <f aca="false">IFERROR(AVERAGEIFS(FX_Daily!M$15:M$2821,FX_Daily!$A$15:$A$2821,"&gt;="&amp;$A73,FX_Daily!$A$15:$A$2821,"&lt;="&amp;EOMONTH($A73,0)),"")</f>
        <v>7.81519523809524</v>
      </c>
      <c r="N73" s="10" t="n">
        <f aca="false">IFERROR(AVERAGEIFS(FX_Daily!N$15:N$2821,FX_Daily!$A$15:$A$2821,"&gt;="&amp;$A73,FX_Daily!$A$15:$A$2821,"&lt;="&amp;EOMONTH($A73,0)),"")</f>
        <v>6.43240952380952</v>
      </c>
      <c r="O73" s="10" t="n">
        <f aca="false">IFERROR(AVERAGEIFS(FX_Daily!O$15:O$2821,FX_Daily!$A$15:$A$2821,"&gt;="&amp;$A73,FX_Daily!$A$15:$A$2821,"&lt;="&amp;EOMONTH($A73,0)),"")</f>
        <v>123.609523809524</v>
      </c>
      <c r="P73" s="10" t="n">
        <f aca="false">IFERROR(AVERAGEIFS(FX_Daily!P$15:P$2821,FX_Daily!$A$15:$A$2821,"&gt;="&amp;$A73,FX_Daily!$A$15:$A$2821,"&lt;="&amp;EOMONTH($A73,0)),"")</f>
        <v>9.07805238095238</v>
      </c>
      <c r="Q73" s="15" t="n">
        <f aca="false">COUNTIFS(FX_Daily!$A$15:$A$2821,"&gt;="&amp;$A73,FX_Daily!$A$15:$A$2821,"&lt;="&amp;EOMONTH($A73,0),FX_Daily!C$15:C$2821,"&gt;0")</f>
        <v>18</v>
      </c>
      <c r="R73" s="16" t="str">
        <f aca="false">IF(EOMONTH($A73,0)&gt;FX_Daily!$C$11,"partial month","complete")</f>
        <v>complete</v>
      </c>
    </row>
    <row r="74" customFormat="false" ht="15" hidden="false" customHeight="false" outlineLevel="0" collapsed="false">
      <c r="A74" s="17" t="n">
        <v>44166</v>
      </c>
      <c r="B74" s="10" t="n">
        <f aca="false">IFERROR(AVERAGEIFS(FX_Daily!B$15:B$2821,FX_Daily!$A$15:$A$2821,"&gt;="&amp;$A74,FX_Daily!$A$15:$A$2821,"&lt;="&amp;EOMONTH($A74,0)),"")</f>
        <v>1093.78761904762</v>
      </c>
      <c r="C74" s="10" t="n">
        <f aca="false">IFERROR(AVERAGEIFS(FX_Daily!C$15:C$2821,FX_Daily!$A$15:$A$2821,"&gt;="&amp;$A74,FX_Daily!$A$15:$A$2821,"&lt;="&amp;EOMONTH($A74,0)),"")</f>
        <v>8.70705238095238</v>
      </c>
      <c r="D74" s="10" t="n">
        <f aca="false">IFERROR(AVERAGEIFS(FX_Daily!D$15:D$2821,FX_Daily!$A$15:$A$2821,"&gt;="&amp;$A74,FX_Daily!$A$15:$A$2821,"&lt;="&amp;EOMONTH($A74,0)),"")</f>
        <v>1.34342857142857</v>
      </c>
      <c r="E74" s="10" t="n">
        <f aca="false">IFERROR(AVERAGEIFS(FX_Daily!E$15:E$2821,FX_Daily!$A$15:$A$2821,"&gt;="&amp;$A74,FX_Daily!$A$15:$A$2821,"&lt;="&amp;EOMONTH($A74,0)),"")</f>
        <v>1.2168</v>
      </c>
      <c r="F74" s="10" t="n">
        <f aca="false">IFERROR(AVERAGEIFS(FX_Daily!F$15:F$2821,FX_Daily!$A$15:$A$2821,"&gt;="&amp;$A74,FX_Daily!$A$15:$A$2821,"&lt;="&amp;EOMONTH($A74,0)),"")</f>
        <v>6.53929523809524</v>
      </c>
      <c r="G74" s="10" t="n">
        <f aca="false">IFERROR(AVERAGEIFS(FX_Daily!G$15:G$2821,FX_Daily!$A$15:$A$2821,"&gt;="&amp;$A74,FX_Daily!$A$15:$A$2821,"&lt;="&amp;EOMONTH($A74,0)),"")</f>
        <v>5.14469523809524</v>
      </c>
      <c r="H74" s="10" t="n">
        <f aca="false">IFERROR(AVERAGEIFS(FX_Daily!H$15:H$2821,FX_Daily!$A$15:$A$2821,"&gt;="&amp;$A74,FX_Daily!$A$15:$A$2821,"&lt;="&amp;EOMONTH($A74,0)),"")</f>
        <v>103.795238095238</v>
      </c>
      <c r="I74" s="10" t="n">
        <f aca="false">IFERROR(AVERAGEIFS(FX_Daily!I$15:I$2821,FX_Daily!$A$15:$A$2821,"&gt;="&amp;$A74,FX_Daily!$A$15:$A$2821,"&lt;="&amp;EOMONTH($A74,0)),"")</f>
        <v>1.21697272727273</v>
      </c>
      <c r="J74" s="10" t="n">
        <f aca="false">IFERROR(AVERAGEIFS(FX_Daily!J$15:J$2821,FX_Daily!$A$15:$A$2821,"&gt;="&amp;$A74,FX_Daily!$A$15:$A$2821,"&lt;="&amp;EOMONTH($A74,0)),"")</f>
        <v>10.6007636363636</v>
      </c>
      <c r="K74" s="10" t="n">
        <f aca="false">IFERROR(AVERAGEIFS(FX_Daily!K$15:K$2821,FX_Daily!$A$15:$A$2821,"&gt;="&amp;$A74,FX_Daily!$A$15:$A$2821,"&lt;="&amp;EOMONTH($A74,0)),"")</f>
        <v>1332.54</v>
      </c>
      <c r="L74" s="10" t="n">
        <f aca="false">IFERROR(AVERAGEIFS(FX_Daily!L$15:L$2821,FX_Daily!$A$15:$A$2821,"&gt;="&amp;$A74,FX_Daily!$A$15:$A$2821,"&lt;="&amp;EOMONTH($A74,0)),"")</f>
        <v>0.906244090909091</v>
      </c>
      <c r="M74" s="10" t="n">
        <f aca="false">IFERROR(AVERAGEIFS(FX_Daily!M$15:M$2821,FX_Daily!$A$15:$A$2821,"&gt;="&amp;$A74,FX_Daily!$A$15:$A$2821,"&lt;="&amp;EOMONTH($A74,0)),"")</f>
        <v>7.96020454545455</v>
      </c>
      <c r="N74" s="10" t="n">
        <f aca="false">IFERROR(AVERAGEIFS(FX_Daily!N$15:N$2821,FX_Daily!$A$15:$A$2821,"&gt;="&amp;$A74,FX_Daily!$A$15:$A$2821,"&lt;="&amp;EOMONTH($A74,0)),"")</f>
        <v>6.26576363636364</v>
      </c>
      <c r="O74" s="10" t="n">
        <f aca="false">IFERROR(AVERAGEIFS(FX_Daily!O$15:O$2821,FX_Daily!$A$15:$A$2821,"&gt;="&amp;$A74,FX_Daily!$A$15:$A$2821,"&lt;="&amp;EOMONTH($A74,0)),"")</f>
        <v>126.278181818182</v>
      </c>
      <c r="P74" s="10" t="n">
        <f aca="false">IFERROR(AVERAGEIFS(FX_Daily!P$15:P$2821,FX_Daily!$A$15:$A$2821,"&gt;="&amp;$A74,FX_Daily!$A$15:$A$2821,"&lt;="&amp;EOMONTH($A74,0)),"")</f>
        <v>8.71561904761905</v>
      </c>
      <c r="Q74" s="15" t="n">
        <f aca="false">COUNTIFS(FX_Daily!$A$15:$A$2821,"&gt;="&amp;$A74,FX_Daily!$A$15:$A$2821,"&lt;="&amp;EOMONTH($A74,0),FX_Daily!C$15:C$2821,"&gt;0")</f>
        <v>21</v>
      </c>
      <c r="R74" s="16" t="str">
        <f aca="false">IF(EOMONTH($A74,0)&gt;FX_Daily!$C$11,"partial month","complete")</f>
        <v>complete</v>
      </c>
    </row>
    <row r="75" customFormat="false" ht="15" hidden="false" customHeight="false" outlineLevel="0" collapsed="false">
      <c r="A75" s="17" t="n">
        <v>44197</v>
      </c>
      <c r="B75" s="10" t="n">
        <f aca="false">IFERROR(AVERAGEIFS(FX_Daily!B$15:B$2821,FX_Daily!$A$15:$A$2821,"&gt;="&amp;$A75,FX_Daily!$A$15:$A$2821,"&lt;="&amp;EOMONTH($A75,0)),"")</f>
        <v>1098.23666666667</v>
      </c>
      <c r="C75" s="10" t="n">
        <f aca="false">IFERROR(AVERAGEIFS(FX_Daily!C$15:C$2821,FX_Daily!$A$15:$A$2821,"&gt;="&amp;$A75,FX_Daily!$A$15:$A$2821,"&lt;="&amp;EOMONTH($A75,0)),"")</f>
        <v>8.50958333333333</v>
      </c>
      <c r="D75" s="10" t="n">
        <f aca="false">IFERROR(AVERAGEIFS(FX_Daily!D$15:D$2821,FX_Daily!$A$15:$A$2821,"&gt;="&amp;$A75,FX_Daily!$A$15:$A$2821,"&lt;="&amp;EOMONTH($A75,0)),"")</f>
        <v>1.36413888888889</v>
      </c>
      <c r="E75" s="10" t="n">
        <f aca="false">IFERROR(AVERAGEIFS(FX_Daily!E$15:E$2821,FX_Daily!$A$15:$A$2821,"&gt;="&amp;$A75,FX_Daily!$A$15:$A$2821,"&lt;="&amp;EOMONTH($A75,0)),"")</f>
        <v>1.21776666666667</v>
      </c>
      <c r="F75" s="10" t="n">
        <f aca="false">IFERROR(AVERAGEIFS(FX_Daily!F$15:F$2821,FX_Daily!$A$15:$A$2821,"&gt;="&amp;$A75,FX_Daily!$A$15:$A$2821,"&lt;="&amp;EOMONTH($A75,0)),"")</f>
        <v>6.46717777777778</v>
      </c>
      <c r="G75" s="10" t="n">
        <f aca="false">IFERROR(AVERAGEIFS(FX_Daily!G$15:G$2821,FX_Daily!$A$15:$A$2821,"&gt;="&amp;$A75,FX_Daily!$A$15:$A$2821,"&lt;="&amp;EOMONTH($A75,0)),"")</f>
        <v>5.36728888888889</v>
      </c>
      <c r="H75" s="10" t="n">
        <f aca="false">IFERROR(AVERAGEIFS(FX_Daily!H$15:H$2821,FX_Daily!$A$15:$A$2821,"&gt;="&amp;$A75,FX_Daily!$A$15:$A$2821,"&lt;="&amp;EOMONTH($A75,0)),"")</f>
        <v>103.788333333333</v>
      </c>
      <c r="I75" s="10" t="n">
        <f aca="false">IFERROR(AVERAGEIFS(FX_Daily!I$15:I$2821,FX_Daily!$A$15:$A$2821,"&gt;="&amp;$A75,FX_Daily!$A$15:$A$2821,"&lt;="&amp;EOMONTH($A75,0)),"")</f>
        <v>1.217085</v>
      </c>
      <c r="J75" s="10" t="n">
        <f aca="false">IFERROR(AVERAGEIFS(FX_Daily!J$15:J$2821,FX_Daily!$A$15:$A$2821,"&gt;="&amp;$A75,FX_Daily!$A$15:$A$2821,"&lt;="&amp;EOMONTH($A75,0)),"")</f>
        <v>10.36606</v>
      </c>
      <c r="K75" s="10" t="n">
        <f aca="false">IFERROR(AVERAGEIFS(FX_Daily!K$15:K$2821,FX_Daily!$A$15:$A$2821,"&gt;="&amp;$A75,FX_Daily!$A$15:$A$2821,"&lt;="&amp;EOMONTH($A75,0)),"")</f>
        <v>1338.635</v>
      </c>
      <c r="L75" s="10" t="n">
        <f aca="false">IFERROR(AVERAGEIFS(FX_Daily!L$15:L$2821,FX_Daily!$A$15:$A$2821,"&gt;="&amp;$A75,FX_Daily!$A$15:$A$2821,"&lt;="&amp;EOMONTH($A75,0)),"")</f>
        <v>0.892665</v>
      </c>
      <c r="M75" s="10" t="n">
        <f aca="false">IFERROR(AVERAGEIFS(FX_Daily!M$15:M$2821,FX_Daily!$A$15:$A$2821,"&gt;="&amp;$A75,FX_Daily!$A$15:$A$2821,"&lt;="&amp;EOMONTH($A75,0)),"")</f>
        <v>7.87301</v>
      </c>
      <c r="N75" s="10" t="n">
        <f aca="false">IFERROR(AVERAGEIFS(FX_Daily!N$15:N$2821,FX_Daily!$A$15:$A$2821,"&gt;="&amp;$A75,FX_Daily!$A$15:$A$2821,"&lt;="&amp;EOMONTH($A75,0)),"")</f>
        <v>6.510165</v>
      </c>
      <c r="O75" s="10" t="n">
        <f aca="false">IFERROR(AVERAGEIFS(FX_Daily!O$15:O$2821,FX_Daily!$A$15:$A$2821,"&gt;="&amp;$A75,FX_Daily!$A$15:$A$2821,"&lt;="&amp;EOMONTH($A75,0)),"")</f>
        <v>126.308</v>
      </c>
      <c r="P75" s="10" t="n">
        <f aca="false">IFERROR(AVERAGEIFS(FX_Daily!P$15:P$2821,FX_Daily!$A$15:$A$2821,"&gt;="&amp;$A75,FX_Daily!$A$15:$A$2821,"&lt;="&amp;EOMONTH($A75,0)),"")</f>
        <v>8.5174</v>
      </c>
      <c r="Q75" s="15" t="n">
        <f aca="false">COUNTIFS(FX_Daily!$A$15:$A$2821,"&gt;="&amp;$A75,FX_Daily!$A$15:$A$2821,"&lt;="&amp;EOMONTH($A75,0),FX_Daily!C$15:C$2821,"&gt;0")</f>
        <v>18</v>
      </c>
      <c r="R75" s="16" t="str">
        <f aca="false">IF(EOMONTH($A75,0)&gt;FX_Daily!$C$11,"partial month","complete")</f>
        <v>complete</v>
      </c>
    </row>
    <row r="76" customFormat="false" ht="15" hidden="false" customHeight="false" outlineLevel="0" collapsed="false">
      <c r="A76" s="17" t="n">
        <v>44228</v>
      </c>
      <c r="B76" s="10" t="n">
        <f aca="false">IFERROR(AVERAGEIFS(FX_Daily!B$15:B$2821,FX_Daily!$A$15:$A$2821,"&gt;="&amp;$A76,FX_Daily!$A$15:$A$2821,"&lt;="&amp;EOMONTH($A76,0)),"")</f>
        <v>1111.81368421053</v>
      </c>
      <c r="C76" s="10" t="n">
        <f aca="false">IFERROR(AVERAGEIFS(FX_Daily!C$15:C$2821,FX_Daily!$A$15:$A$2821,"&gt;="&amp;$A76,FX_Daily!$A$15:$A$2821,"&lt;="&amp;EOMONTH($A76,0)),"")</f>
        <v>8.50832631578947</v>
      </c>
      <c r="D76" s="10" t="n">
        <f aca="false">IFERROR(AVERAGEIFS(FX_Daily!D$15:D$2821,FX_Daily!$A$15:$A$2821,"&gt;="&amp;$A76,FX_Daily!$A$15:$A$2821,"&lt;="&amp;EOMONTH($A76,0)),"")</f>
        <v>1.38670526315789</v>
      </c>
      <c r="E76" s="10" t="n">
        <f aca="false">IFERROR(AVERAGEIFS(FX_Daily!E$15:E$2821,FX_Daily!$A$15:$A$2821,"&gt;="&amp;$A76,FX_Daily!$A$15:$A$2821,"&lt;="&amp;EOMONTH($A76,0)),"")</f>
        <v>1.20939473684211</v>
      </c>
      <c r="F76" s="10" t="n">
        <f aca="false">IFERROR(AVERAGEIFS(FX_Daily!F$15:F$2821,FX_Daily!$A$15:$A$2821,"&gt;="&amp;$A76,FX_Daily!$A$15:$A$2821,"&lt;="&amp;EOMONTH($A76,0)),"")</f>
        <v>6.46005789473684</v>
      </c>
      <c r="G76" s="10" t="n">
        <f aca="false">IFERROR(AVERAGEIFS(FX_Daily!G$15:G$2821,FX_Daily!$A$15:$A$2821,"&gt;="&amp;$A76,FX_Daily!$A$15:$A$2821,"&lt;="&amp;EOMONTH($A76,0)),"")</f>
        <v>5.41315263157895</v>
      </c>
      <c r="H76" s="10" t="n">
        <f aca="false">IFERROR(AVERAGEIFS(FX_Daily!H$15:H$2821,FX_Daily!$A$15:$A$2821,"&gt;="&amp;$A76,FX_Daily!$A$15:$A$2821,"&lt;="&amp;EOMONTH($A76,0)),"")</f>
        <v>105.377368421053</v>
      </c>
      <c r="I76" s="10" t="n">
        <f aca="false">IFERROR(AVERAGEIFS(FX_Daily!I$15:I$2821,FX_Daily!$A$15:$A$2821,"&gt;="&amp;$A76,FX_Daily!$A$15:$A$2821,"&lt;="&amp;EOMONTH($A76,0)),"")</f>
        <v>1.20979</v>
      </c>
      <c r="J76" s="10" t="n">
        <f aca="false">IFERROR(AVERAGEIFS(FX_Daily!J$15:J$2821,FX_Daily!$A$15:$A$2821,"&gt;="&amp;$A76,FX_Daily!$A$15:$A$2821,"&lt;="&amp;EOMONTH($A76,0)),"")</f>
        <v>10.279055</v>
      </c>
      <c r="K76" s="10" t="n">
        <f aca="false">IFERROR(AVERAGEIFS(FX_Daily!K$15:K$2821,FX_Daily!$A$15:$A$2821,"&gt;="&amp;$A76,FX_Daily!$A$15:$A$2821,"&lt;="&amp;EOMONTH($A76,0)),"")</f>
        <v>1345.0595</v>
      </c>
      <c r="L76" s="10" t="n">
        <f aca="false">IFERROR(AVERAGEIFS(FX_Daily!L$15:L$2821,FX_Daily!$A$15:$A$2821,"&gt;="&amp;$A76,FX_Daily!$A$15:$A$2821,"&lt;="&amp;EOMONTH($A76,0)),"")</f>
        <v>0.8726825</v>
      </c>
      <c r="M76" s="10" t="n">
        <f aca="false">IFERROR(AVERAGEIFS(FX_Daily!M$15:M$2821,FX_Daily!$A$15:$A$2821,"&gt;="&amp;$A76,FX_Daily!$A$15:$A$2821,"&lt;="&amp;EOMONTH($A76,0)),"")</f>
        <v>7.813645</v>
      </c>
      <c r="N76" s="10" t="n">
        <f aca="false">IFERROR(AVERAGEIFS(FX_Daily!N$15:N$2821,FX_Daily!$A$15:$A$2821,"&gt;="&amp;$A76,FX_Daily!$A$15:$A$2821,"&lt;="&amp;EOMONTH($A76,0)),"")</f>
        <v>6.543375</v>
      </c>
      <c r="O76" s="10" t="n">
        <f aca="false">IFERROR(AVERAGEIFS(FX_Daily!O$15:O$2821,FX_Daily!$A$15:$A$2821,"&gt;="&amp;$A76,FX_Daily!$A$15:$A$2821,"&lt;="&amp;EOMONTH($A76,0)),"")</f>
        <v>127.4925</v>
      </c>
      <c r="P76" s="10" t="n">
        <f aca="false">IFERROR(AVERAGEIFS(FX_Daily!P$15:P$2821,FX_Daily!$A$15:$A$2821,"&gt;="&amp;$A76,FX_Daily!$A$15:$A$2821,"&lt;="&amp;EOMONTH($A76,0)),"")</f>
        <v>8.496865</v>
      </c>
      <c r="Q76" s="15" t="n">
        <f aca="false">COUNTIFS(FX_Daily!$A$15:$A$2821,"&gt;="&amp;$A76,FX_Daily!$A$15:$A$2821,"&lt;="&amp;EOMONTH($A76,0),FX_Daily!C$15:C$2821,"&gt;0")</f>
        <v>19</v>
      </c>
      <c r="R76" s="16" t="str">
        <f aca="false">IF(EOMONTH($A76,0)&gt;FX_Daily!$C$11,"partial month","complete")</f>
        <v>complete</v>
      </c>
    </row>
    <row r="77" customFormat="false" ht="15" hidden="false" customHeight="false" outlineLevel="0" collapsed="false">
      <c r="A77" s="17" t="n">
        <v>44256</v>
      </c>
      <c r="B77" s="10" t="n">
        <f aca="false">IFERROR(AVERAGEIFS(FX_Daily!B$15:B$2821,FX_Daily!$A$15:$A$2821,"&gt;="&amp;$A77,FX_Daily!$A$15:$A$2821,"&lt;="&amp;EOMONTH($A77,0)),"")</f>
        <v>1130.25434782609</v>
      </c>
      <c r="C77" s="10" t="n">
        <f aca="false">IFERROR(AVERAGEIFS(FX_Daily!C$15:C$2821,FX_Daily!$A$15:$A$2821,"&gt;="&amp;$A77,FX_Daily!$A$15:$A$2821,"&lt;="&amp;EOMONTH($A77,0)),"")</f>
        <v>8.51274347826087</v>
      </c>
      <c r="D77" s="10" t="n">
        <f aca="false">IFERROR(AVERAGEIFS(FX_Daily!D$15:D$2821,FX_Daily!$A$15:$A$2821,"&gt;="&amp;$A77,FX_Daily!$A$15:$A$2821,"&lt;="&amp;EOMONTH($A77,0)),"")</f>
        <v>1.38632608695652</v>
      </c>
      <c r="E77" s="10" t="n">
        <f aca="false">IFERROR(AVERAGEIFS(FX_Daily!E$15:E$2821,FX_Daily!$A$15:$A$2821,"&gt;="&amp;$A77,FX_Daily!$A$15:$A$2821,"&lt;="&amp;EOMONTH($A77,0)),"")</f>
        <v>1.19016086956522</v>
      </c>
      <c r="F77" s="10" t="n">
        <f aca="false">IFERROR(AVERAGEIFS(FX_Daily!F$15:F$2821,FX_Daily!$A$15:$A$2821,"&gt;="&amp;$A77,FX_Daily!$A$15:$A$2821,"&lt;="&amp;EOMONTH($A77,0)),"")</f>
        <v>6.51086086956522</v>
      </c>
      <c r="G77" s="10" t="n">
        <f aca="false">IFERROR(AVERAGEIFS(FX_Daily!G$15:G$2821,FX_Daily!$A$15:$A$2821,"&gt;="&amp;$A77,FX_Daily!$A$15:$A$2821,"&lt;="&amp;EOMONTH($A77,0)),"")</f>
        <v>5.63511739130435</v>
      </c>
      <c r="H77" s="10" t="n">
        <f aca="false">IFERROR(AVERAGEIFS(FX_Daily!H$15:H$2821,FX_Daily!$A$15:$A$2821,"&gt;="&amp;$A77,FX_Daily!$A$15:$A$2821,"&lt;="&amp;EOMONTH($A77,0)),"")</f>
        <v>108.699130434783</v>
      </c>
      <c r="I77" s="10" t="n">
        <f aca="false">IFERROR(AVERAGEIFS(FX_Daily!I$15:I$2821,FX_Daily!$A$15:$A$2821,"&gt;="&amp;$A77,FX_Daily!$A$15:$A$2821,"&lt;="&amp;EOMONTH($A77,0)),"")</f>
        <v>1.18990869565217</v>
      </c>
      <c r="J77" s="10" t="n">
        <f aca="false">IFERROR(AVERAGEIFS(FX_Daily!J$15:J$2821,FX_Daily!$A$15:$A$2821,"&gt;="&amp;$A77,FX_Daily!$A$15:$A$2821,"&lt;="&amp;EOMONTH($A77,0)),"")</f>
        <v>10.1468739130435</v>
      </c>
      <c r="K77" s="10" t="n">
        <f aca="false">IFERROR(AVERAGEIFS(FX_Daily!K$15:K$2821,FX_Daily!$A$15:$A$2821,"&gt;="&amp;$A77,FX_Daily!$A$15:$A$2821,"&lt;="&amp;EOMONTH($A77,0)),"")</f>
        <v>1345.58434782609</v>
      </c>
      <c r="L77" s="10" t="n">
        <f aca="false">IFERROR(AVERAGEIFS(FX_Daily!L$15:L$2821,FX_Daily!$A$15:$A$2821,"&gt;="&amp;$A77,FX_Daily!$A$15:$A$2821,"&lt;="&amp;EOMONTH($A77,0)),"")</f>
        <v>0.858732173913044</v>
      </c>
      <c r="M77" s="10" t="n">
        <f aca="false">IFERROR(AVERAGEIFS(FX_Daily!M$15:M$2821,FX_Daily!$A$15:$A$2821,"&gt;="&amp;$A77,FX_Daily!$A$15:$A$2821,"&lt;="&amp;EOMONTH($A77,0)),"")</f>
        <v>7.74650434782609</v>
      </c>
      <c r="N77" s="10" t="n">
        <f aca="false">IFERROR(AVERAGEIFS(FX_Daily!N$15:N$2821,FX_Daily!$A$15:$A$2821,"&gt;="&amp;$A77,FX_Daily!$A$15:$A$2821,"&lt;="&amp;EOMONTH($A77,0)),"")</f>
        <v>6.72465652173913</v>
      </c>
      <c r="O77" s="10" t="n">
        <f aca="false">IFERROR(AVERAGEIFS(FX_Daily!O$15:O$2821,FX_Daily!$A$15:$A$2821,"&gt;="&amp;$A77,FX_Daily!$A$15:$A$2821,"&lt;="&amp;EOMONTH($A77,0)),"")</f>
        <v>129.380434782609</v>
      </c>
      <c r="P77" s="10" t="n">
        <f aca="false">IFERROR(AVERAGEIFS(FX_Daily!P$15:P$2821,FX_Daily!$A$15:$A$2821,"&gt;="&amp;$A77,FX_Daily!$A$15:$A$2821,"&lt;="&amp;EOMONTH($A77,0)),"")</f>
        <v>8.52756956521739</v>
      </c>
      <c r="Q77" s="15" t="n">
        <f aca="false">COUNTIFS(FX_Daily!$A$15:$A$2821,"&gt;="&amp;$A77,FX_Daily!$A$15:$A$2821,"&lt;="&amp;EOMONTH($A77,0),FX_Daily!C$15:C$2821,"&gt;0")</f>
        <v>23</v>
      </c>
      <c r="R77" s="16" t="str">
        <f aca="false">IF(EOMONTH($A77,0)&gt;FX_Daily!$C$11,"partial month","complete")</f>
        <v>complete</v>
      </c>
    </row>
    <row r="78" customFormat="false" ht="15" hidden="false" customHeight="false" outlineLevel="0" collapsed="false">
      <c r="A78" s="17" t="n">
        <v>44287</v>
      </c>
      <c r="B78" s="10" t="n">
        <f aca="false">IFERROR(AVERAGEIFS(FX_Daily!B$15:B$2821,FX_Daily!$A$15:$A$2821,"&gt;="&amp;$A78,FX_Daily!$A$15:$A$2821,"&lt;="&amp;EOMONTH($A78,0)),"")</f>
        <v>1117.85545454545</v>
      </c>
      <c r="C78" s="10" t="n">
        <f aca="false">IFERROR(AVERAGEIFS(FX_Daily!C$15:C$2821,FX_Daily!$A$15:$A$2821,"&gt;="&amp;$A78,FX_Daily!$A$15:$A$2821,"&lt;="&amp;EOMONTH($A78,0)),"")</f>
        <v>8.39064545454546</v>
      </c>
      <c r="D78" s="10" t="n">
        <f aca="false">IFERROR(AVERAGEIFS(FX_Daily!D$15:D$2821,FX_Daily!$A$15:$A$2821,"&gt;="&amp;$A78,FX_Daily!$A$15:$A$2821,"&lt;="&amp;EOMONTH($A78,0)),"")</f>
        <v>1.38449545454545</v>
      </c>
      <c r="E78" s="10" t="n">
        <f aca="false">IFERROR(AVERAGEIFS(FX_Daily!E$15:E$2821,FX_Daily!$A$15:$A$2821,"&gt;="&amp;$A78,FX_Daily!$A$15:$A$2821,"&lt;="&amp;EOMONTH($A78,0)),"")</f>
        <v>1.19654090909091</v>
      </c>
      <c r="F78" s="10" t="n">
        <f aca="false">IFERROR(AVERAGEIFS(FX_Daily!F$15:F$2821,FX_Daily!$A$15:$A$2821,"&gt;="&amp;$A78,FX_Daily!$A$15:$A$2821,"&lt;="&amp;EOMONTH($A78,0)),"")</f>
        <v>6.51864090909091</v>
      </c>
      <c r="G78" s="10" t="n">
        <f aca="false">IFERROR(AVERAGEIFS(FX_Daily!G$15:G$2821,FX_Daily!$A$15:$A$2821,"&gt;="&amp;$A78,FX_Daily!$A$15:$A$2821,"&lt;="&amp;EOMONTH($A78,0)),"")</f>
        <v>5.56856363636364</v>
      </c>
      <c r="H78" s="10" t="n">
        <f aca="false">IFERROR(AVERAGEIFS(FX_Daily!H$15:H$2821,FX_Daily!$A$15:$A$2821,"&gt;="&amp;$A78,FX_Daily!$A$15:$A$2821,"&lt;="&amp;EOMONTH($A78,0)),"")</f>
        <v>109.044545454545</v>
      </c>
      <c r="I78" s="10" t="n">
        <f aca="false">IFERROR(AVERAGEIFS(FX_Daily!I$15:I$2821,FX_Daily!$A$15:$A$2821,"&gt;="&amp;$A78,FX_Daily!$A$15:$A$2821,"&lt;="&amp;EOMONTH($A78,0)),"")</f>
        <v>1.19791</v>
      </c>
      <c r="J78" s="10" t="n">
        <f aca="false">IFERROR(AVERAGEIFS(FX_Daily!J$15:J$2821,FX_Daily!$A$15:$A$2821,"&gt;="&amp;$A78,FX_Daily!$A$15:$A$2821,"&lt;="&amp;EOMONTH($A78,0)),"")</f>
        <v>10.03762</v>
      </c>
      <c r="K78" s="10" t="n">
        <f aca="false">IFERROR(AVERAGEIFS(FX_Daily!K$15:K$2821,FX_Daily!$A$15:$A$2821,"&gt;="&amp;$A78,FX_Daily!$A$15:$A$2821,"&lt;="&amp;EOMONTH($A78,0)),"")</f>
        <v>1337.9635</v>
      </c>
      <c r="L78" s="10" t="n">
        <f aca="false">IFERROR(AVERAGEIFS(FX_Daily!L$15:L$2821,FX_Daily!$A$15:$A$2821,"&gt;="&amp;$A78,FX_Daily!$A$15:$A$2821,"&lt;="&amp;EOMONTH($A78,0)),"")</f>
        <v>0.8652685</v>
      </c>
      <c r="M78" s="10" t="n">
        <f aca="false">IFERROR(AVERAGEIFS(FX_Daily!M$15:M$2821,FX_Daily!$A$15:$A$2821,"&gt;="&amp;$A78,FX_Daily!$A$15:$A$2821,"&lt;="&amp;EOMONTH($A78,0)),"")</f>
        <v>7.80514</v>
      </c>
      <c r="N78" s="10" t="n">
        <f aca="false">IFERROR(AVERAGEIFS(FX_Daily!N$15:N$2821,FX_Daily!$A$15:$A$2821,"&gt;="&amp;$A78,FX_Daily!$A$15:$A$2821,"&lt;="&amp;EOMONTH($A78,0)),"")</f>
        <v>6.65647</v>
      </c>
      <c r="O78" s="10" t="n">
        <f aca="false">IFERROR(AVERAGEIFS(FX_Daily!O$15:O$2821,FX_Daily!$A$15:$A$2821,"&gt;="&amp;$A78,FX_Daily!$A$15:$A$2821,"&lt;="&amp;EOMONTH($A78,0)),"")</f>
        <v>130.489</v>
      </c>
      <c r="P78" s="10" t="n">
        <f aca="false">IFERROR(AVERAGEIFS(FX_Daily!P$15:P$2821,FX_Daily!$A$15:$A$2821,"&gt;="&amp;$A78,FX_Daily!$A$15:$A$2821,"&lt;="&amp;EOMONTH($A78,0)),"")</f>
        <v>8.37131052631579</v>
      </c>
      <c r="Q78" s="15" t="n">
        <f aca="false">COUNTIFS(FX_Daily!$A$15:$A$2821,"&gt;="&amp;$A78,FX_Daily!$A$15:$A$2821,"&lt;="&amp;EOMONTH($A78,0),FX_Daily!C$15:C$2821,"&gt;0")</f>
        <v>22</v>
      </c>
      <c r="R78" s="16" t="str">
        <f aca="false">IF(EOMONTH($A78,0)&gt;FX_Daily!$C$11,"partial month","complete")</f>
        <v>complete</v>
      </c>
    </row>
    <row r="79" customFormat="false" ht="15" hidden="false" customHeight="false" outlineLevel="0" collapsed="false">
      <c r="A79" s="17" t="n">
        <v>44317</v>
      </c>
      <c r="B79" s="10" t="n">
        <f aca="false">IFERROR(AVERAGEIFS(FX_Daily!B$15:B$2821,FX_Daily!$A$15:$A$2821,"&gt;="&amp;$A79,FX_Daily!$A$15:$A$2821,"&lt;="&amp;EOMONTH($A79,0)),"")</f>
        <v>1123.6565</v>
      </c>
      <c r="C79" s="10" t="n">
        <f aca="false">IFERROR(AVERAGEIFS(FX_Daily!C$15:C$2821,FX_Daily!$A$15:$A$2821,"&gt;="&amp;$A79,FX_Daily!$A$15:$A$2821,"&lt;="&amp;EOMONTH($A79,0)),"")</f>
        <v>8.30728</v>
      </c>
      <c r="D79" s="10" t="n">
        <f aca="false">IFERROR(AVERAGEIFS(FX_Daily!D$15:D$2821,FX_Daily!$A$15:$A$2821,"&gt;="&amp;$A79,FX_Daily!$A$15:$A$2821,"&lt;="&amp;EOMONTH($A79,0)),"")</f>
        <v>1.40835</v>
      </c>
      <c r="E79" s="10" t="n">
        <f aca="false">IFERROR(AVERAGEIFS(FX_Daily!E$15:E$2821,FX_Daily!$A$15:$A$2821,"&gt;="&amp;$A79,FX_Daily!$A$15:$A$2821,"&lt;="&amp;EOMONTH($A79,0)),"")</f>
        <v>1.21463</v>
      </c>
      <c r="F79" s="10" t="n">
        <f aca="false">IFERROR(AVERAGEIFS(FX_Daily!F$15:F$2821,FX_Daily!$A$15:$A$2821,"&gt;="&amp;$A79,FX_Daily!$A$15:$A$2821,"&lt;="&amp;EOMONTH($A79,0)),"")</f>
        <v>6.43205</v>
      </c>
      <c r="G79" s="10" t="n">
        <f aca="false">IFERROR(AVERAGEIFS(FX_Daily!G$15:G$2821,FX_Daily!$A$15:$A$2821,"&gt;="&amp;$A79,FX_Daily!$A$15:$A$2821,"&lt;="&amp;EOMONTH($A79,0)),"")</f>
        <v>5.28523</v>
      </c>
      <c r="H79" s="10" t="n">
        <f aca="false">IFERROR(AVERAGEIFS(FX_Daily!H$15:H$2821,FX_Daily!$A$15:$A$2821,"&gt;="&amp;$A79,FX_Daily!$A$15:$A$2821,"&lt;="&amp;EOMONTH($A79,0)),"")</f>
        <v>109.112</v>
      </c>
      <c r="I79" s="10" t="n">
        <f aca="false">IFERROR(AVERAGEIFS(FX_Daily!I$15:I$2821,FX_Daily!$A$15:$A$2821,"&gt;="&amp;$A79,FX_Daily!$A$15:$A$2821,"&lt;="&amp;EOMONTH($A79,0)),"")</f>
        <v>1.21459047619048</v>
      </c>
      <c r="J79" s="10" t="n">
        <f aca="false">IFERROR(AVERAGEIFS(FX_Daily!J$15:J$2821,FX_Daily!$A$15:$A$2821,"&gt;="&amp;$A79,FX_Daily!$A$15:$A$2821,"&lt;="&amp;EOMONTH($A79,0)),"")</f>
        <v>10.0931095238095</v>
      </c>
      <c r="K79" s="10" t="n">
        <f aca="false">IFERROR(AVERAGEIFS(FX_Daily!K$15:K$2821,FX_Daily!$A$15:$A$2821,"&gt;="&amp;$A79,FX_Daily!$A$15:$A$2821,"&lt;="&amp;EOMONTH($A79,0)),"")</f>
        <v>1364.47238095238</v>
      </c>
      <c r="L79" s="10" t="n">
        <f aca="false">IFERROR(AVERAGEIFS(FX_Daily!L$15:L$2821,FX_Daily!$A$15:$A$2821,"&gt;="&amp;$A79,FX_Daily!$A$15:$A$2821,"&lt;="&amp;EOMONTH($A79,0)),"")</f>
        <v>0.862583333333333</v>
      </c>
      <c r="M79" s="10" t="n">
        <f aca="false">IFERROR(AVERAGEIFS(FX_Daily!M$15:M$2821,FX_Daily!$A$15:$A$2821,"&gt;="&amp;$A79,FX_Daily!$A$15:$A$2821,"&lt;="&amp;EOMONTH($A79,0)),"")</f>
        <v>7.81091904761905</v>
      </c>
      <c r="N79" s="10" t="n">
        <f aca="false">IFERROR(AVERAGEIFS(FX_Daily!N$15:N$2821,FX_Daily!$A$15:$A$2821,"&gt;="&amp;$A79,FX_Daily!$A$15:$A$2821,"&lt;="&amp;EOMONTH($A79,0)),"")</f>
        <v>6.44615238095238</v>
      </c>
      <c r="O79" s="10" t="n">
        <f aca="false">IFERROR(AVERAGEIFS(FX_Daily!O$15:O$2821,FX_Daily!$A$15:$A$2821,"&gt;="&amp;$A79,FX_Daily!$A$15:$A$2821,"&lt;="&amp;EOMONTH($A79,0)),"")</f>
        <v>132.569047619048</v>
      </c>
      <c r="P79" s="10" t="n">
        <f aca="false">IFERROR(AVERAGEIFS(FX_Daily!P$15:P$2821,FX_Daily!$A$15:$A$2821,"&gt;="&amp;$A79,FX_Daily!$A$15:$A$2821,"&lt;="&amp;EOMONTH($A79,0)),"")</f>
        <v>8.30423333333333</v>
      </c>
      <c r="Q79" s="15" t="n">
        <f aca="false">COUNTIFS(FX_Daily!$A$15:$A$2821,"&gt;="&amp;$A79,FX_Daily!$A$15:$A$2821,"&lt;="&amp;EOMONTH($A79,0),FX_Daily!C$15:C$2821,"&gt;0")</f>
        <v>20</v>
      </c>
      <c r="R79" s="16" t="str">
        <f aca="false">IF(EOMONTH($A79,0)&gt;FX_Daily!$C$11,"partial month","complete")</f>
        <v>complete</v>
      </c>
    </row>
    <row r="80" customFormat="false" ht="15" hidden="false" customHeight="false" outlineLevel="0" collapsed="false">
      <c r="A80" s="17" t="n">
        <v>44348</v>
      </c>
      <c r="B80" s="10" t="n">
        <f aca="false">IFERROR(AVERAGEIFS(FX_Daily!B$15:B$2821,FX_Daily!$A$15:$A$2821,"&gt;="&amp;$A80,FX_Daily!$A$15:$A$2821,"&lt;="&amp;EOMONTH($A80,0)),"")</f>
        <v>1122.60727272727</v>
      </c>
      <c r="C80" s="10" t="n">
        <f aca="false">IFERROR(AVERAGEIFS(FX_Daily!C$15:C$2821,FX_Daily!$A$15:$A$2821,"&gt;="&amp;$A80,FX_Daily!$A$15:$A$2821,"&lt;="&amp;EOMONTH($A80,0)),"")</f>
        <v>8.42310454545455</v>
      </c>
      <c r="D80" s="10" t="n">
        <f aca="false">IFERROR(AVERAGEIFS(FX_Daily!D$15:D$2821,FX_Daily!$A$15:$A$2821,"&gt;="&amp;$A80,FX_Daily!$A$15:$A$2821,"&lt;="&amp;EOMONTH($A80,0)),"")</f>
        <v>1.40247272727273</v>
      </c>
      <c r="E80" s="10" t="n">
        <f aca="false">IFERROR(AVERAGEIFS(FX_Daily!E$15:E$2821,FX_Daily!$A$15:$A$2821,"&gt;="&amp;$A80,FX_Daily!$A$15:$A$2821,"&lt;="&amp;EOMONTH($A80,0)),"")</f>
        <v>1.20482727272727</v>
      </c>
      <c r="F80" s="10" t="n">
        <f aca="false">IFERROR(AVERAGEIFS(FX_Daily!F$15:F$2821,FX_Daily!$A$15:$A$2821,"&gt;="&amp;$A80,FX_Daily!$A$15:$A$2821,"&lt;="&amp;EOMONTH($A80,0)),"")</f>
        <v>6.42503181818182</v>
      </c>
      <c r="G80" s="10" t="n">
        <f aca="false">IFERROR(AVERAGEIFS(FX_Daily!G$15:G$2821,FX_Daily!$A$15:$A$2821,"&gt;="&amp;$A80,FX_Daily!$A$15:$A$2821,"&lt;="&amp;EOMONTH($A80,0)),"")</f>
        <v>5.02853636363636</v>
      </c>
      <c r="H80" s="10" t="n">
        <f aca="false">IFERROR(AVERAGEIFS(FX_Daily!H$15:H$2821,FX_Daily!$A$15:$A$2821,"&gt;="&amp;$A80,FX_Daily!$A$15:$A$2821,"&lt;="&amp;EOMONTH($A80,0)),"")</f>
        <v>110.107272727273</v>
      </c>
      <c r="I80" s="10" t="n">
        <f aca="false">IFERROR(AVERAGEIFS(FX_Daily!I$15:I$2821,FX_Daily!$A$15:$A$2821,"&gt;="&amp;$A80,FX_Daily!$A$15:$A$2821,"&lt;="&amp;EOMONTH($A80,0)),"")</f>
        <v>1.20470909090909</v>
      </c>
      <c r="J80" s="10" t="n">
        <f aca="false">IFERROR(AVERAGEIFS(FX_Daily!J$15:J$2821,FX_Daily!$A$15:$A$2821,"&gt;="&amp;$A80,FX_Daily!$A$15:$A$2821,"&lt;="&amp;EOMONTH($A80,0)),"")</f>
        <v>10.1443772727273</v>
      </c>
      <c r="K80" s="10" t="n">
        <f aca="false">IFERROR(AVERAGEIFS(FX_Daily!K$15:K$2821,FX_Daily!$A$15:$A$2821,"&gt;="&amp;$A80,FX_Daily!$A$15:$A$2821,"&lt;="&amp;EOMONTH($A80,0)),"")</f>
        <v>1352.47045454545</v>
      </c>
      <c r="L80" s="10" t="n">
        <f aca="false">IFERROR(AVERAGEIFS(FX_Daily!L$15:L$2821,FX_Daily!$A$15:$A$2821,"&gt;="&amp;$A80,FX_Daily!$A$15:$A$2821,"&lt;="&amp;EOMONTH($A80,0)),"")</f>
        <v>0.858720454545455</v>
      </c>
      <c r="M80" s="10" t="n">
        <f aca="false">IFERROR(AVERAGEIFS(FX_Daily!M$15:M$2821,FX_Daily!$A$15:$A$2821,"&gt;="&amp;$A80,FX_Daily!$A$15:$A$2821,"&lt;="&amp;EOMONTH($A80,0)),"")</f>
        <v>7.73911363636364</v>
      </c>
      <c r="N80" s="10" t="n">
        <f aca="false">IFERROR(AVERAGEIFS(FX_Daily!N$15:N$2821,FX_Daily!$A$15:$A$2821,"&gt;="&amp;$A80,FX_Daily!$A$15:$A$2821,"&lt;="&amp;EOMONTH($A80,0)),"")</f>
        <v>6.06933181818182</v>
      </c>
      <c r="O80" s="10" t="n">
        <f aca="false">IFERROR(AVERAGEIFS(FX_Daily!O$15:O$2821,FX_Daily!$A$15:$A$2821,"&gt;="&amp;$A80,FX_Daily!$A$15:$A$2821,"&lt;="&amp;EOMONTH($A80,0)),"")</f>
        <v>132.631363636364</v>
      </c>
      <c r="P80" s="10" t="n">
        <f aca="false">IFERROR(AVERAGEIFS(FX_Daily!P$15:P$2821,FX_Daily!$A$15:$A$2821,"&gt;="&amp;$A80,FX_Daily!$A$15:$A$2821,"&lt;="&amp;EOMONTH($A80,0)),"")</f>
        <v>8.42195454545455</v>
      </c>
      <c r="Q80" s="15" t="n">
        <f aca="false">COUNTIFS(FX_Daily!$A$15:$A$2821,"&gt;="&amp;$A80,FX_Daily!$A$15:$A$2821,"&lt;="&amp;EOMONTH($A80,0),FX_Daily!C$15:C$2821,"&gt;0")</f>
        <v>22</v>
      </c>
      <c r="R80" s="16" t="str">
        <f aca="false">IF(EOMONTH($A80,0)&gt;FX_Daily!$C$11,"partial month","complete")</f>
        <v>complete</v>
      </c>
    </row>
    <row r="81" customFormat="false" ht="15" hidden="false" customHeight="false" outlineLevel="0" collapsed="false">
      <c r="A81" s="17" t="n">
        <v>44378</v>
      </c>
      <c r="B81" s="10" t="n">
        <f aca="false">IFERROR(AVERAGEIFS(FX_Daily!B$15:B$2821,FX_Daily!$A$15:$A$2821,"&gt;="&amp;$A81,FX_Daily!$A$15:$A$2821,"&lt;="&amp;EOMONTH($A81,0)),"")</f>
        <v>1146.39476190476</v>
      </c>
      <c r="C81" s="10" t="n">
        <f aca="false">IFERROR(AVERAGEIFS(FX_Daily!C$15:C$2821,FX_Daily!$A$15:$A$2821,"&gt;="&amp;$A81,FX_Daily!$A$15:$A$2821,"&lt;="&amp;EOMONTH($A81,0)),"")</f>
        <v>8.79336666666667</v>
      </c>
      <c r="D81" s="10" t="n">
        <f aca="false">IFERROR(AVERAGEIFS(FX_Daily!D$15:D$2821,FX_Daily!$A$15:$A$2821,"&gt;="&amp;$A81,FX_Daily!$A$15:$A$2821,"&lt;="&amp;EOMONTH($A81,0)),"")</f>
        <v>1.38078095238095</v>
      </c>
      <c r="E81" s="10" t="n">
        <f aca="false">IFERROR(AVERAGEIFS(FX_Daily!E$15:E$2821,FX_Daily!$A$15:$A$2821,"&gt;="&amp;$A81,FX_Daily!$A$15:$A$2821,"&lt;="&amp;EOMONTH($A81,0)),"")</f>
        <v>1.1821380952381</v>
      </c>
      <c r="F81" s="10" t="n">
        <f aca="false">IFERROR(AVERAGEIFS(FX_Daily!F$15:F$2821,FX_Daily!$A$15:$A$2821,"&gt;="&amp;$A81,FX_Daily!$A$15:$A$2821,"&lt;="&amp;EOMONTH($A81,0)),"")</f>
        <v>6.47625714285714</v>
      </c>
      <c r="G81" s="10" t="n">
        <f aca="false">IFERROR(AVERAGEIFS(FX_Daily!G$15:G$2821,FX_Daily!$A$15:$A$2821,"&gt;="&amp;$A81,FX_Daily!$A$15:$A$2821,"&lt;="&amp;EOMONTH($A81,0)),"")</f>
        <v>5.16109523809524</v>
      </c>
      <c r="H81" s="10" t="n">
        <f aca="false">IFERROR(AVERAGEIFS(FX_Daily!H$15:H$2821,FX_Daily!$A$15:$A$2821,"&gt;="&amp;$A81,FX_Daily!$A$15:$A$2821,"&lt;="&amp;EOMONTH($A81,0)),"")</f>
        <v>110.214285714286</v>
      </c>
      <c r="I81" s="10" t="n">
        <f aca="false">IFERROR(AVERAGEIFS(FX_Daily!I$15:I$2821,FX_Daily!$A$15:$A$2821,"&gt;="&amp;$A81,FX_Daily!$A$15:$A$2821,"&lt;="&amp;EOMONTH($A81,0)),"")</f>
        <v>1.18218181818182</v>
      </c>
      <c r="J81" s="10" t="n">
        <f aca="false">IFERROR(AVERAGEIFS(FX_Daily!J$15:J$2821,FX_Daily!$A$15:$A$2821,"&gt;="&amp;$A81,FX_Daily!$A$15:$A$2821,"&lt;="&amp;EOMONTH($A81,0)),"")</f>
        <v>10.3767227272727</v>
      </c>
      <c r="K81" s="10" t="n">
        <f aca="false">IFERROR(AVERAGEIFS(FX_Daily!K$15:K$2821,FX_Daily!$A$15:$A$2821,"&gt;="&amp;$A81,FX_Daily!$A$15:$A$2821,"&lt;="&amp;EOMONTH($A81,0)),"")</f>
        <v>1354.46318181818</v>
      </c>
      <c r="L81" s="10" t="n">
        <f aca="false">IFERROR(AVERAGEIFS(FX_Daily!L$15:L$2821,FX_Daily!$A$15:$A$2821,"&gt;="&amp;$A81,FX_Daily!$A$15:$A$2821,"&lt;="&amp;EOMONTH($A81,0)),"")</f>
        <v>0.856130454545454</v>
      </c>
      <c r="M81" s="10" t="n">
        <f aca="false">IFERROR(AVERAGEIFS(FX_Daily!M$15:M$2821,FX_Daily!$A$15:$A$2821,"&gt;="&amp;$A81,FX_Daily!$A$15:$A$2821,"&lt;="&amp;EOMONTH($A81,0)),"")</f>
        <v>7.65363181818182</v>
      </c>
      <c r="N81" s="10" t="n">
        <f aca="false">IFERROR(AVERAGEIFS(FX_Daily!N$15:N$2821,FX_Daily!$A$15:$A$2821,"&gt;="&amp;$A81,FX_Daily!$A$15:$A$2821,"&lt;="&amp;EOMONTH($A81,0)),"")</f>
        <v>6.09301363636364</v>
      </c>
      <c r="O81" s="10" t="n">
        <f aca="false">IFERROR(AVERAGEIFS(FX_Daily!O$15:O$2821,FX_Daily!$A$15:$A$2821,"&gt;="&amp;$A81,FX_Daily!$A$15:$A$2821,"&lt;="&amp;EOMONTH($A81,0)),"")</f>
        <v>130.349090909091</v>
      </c>
      <c r="P81" s="10" t="n">
        <f aca="false">IFERROR(AVERAGEIFS(FX_Daily!P$15:P$2821,FX_Daily!$A$15:$A$2821,"&gt;="&amp;$A81,FX_Daily!$A$15:$A$2821,"&lt;="&amp;EOMONTH($A81,0)),"")</f>
        <v>8.77789090909091</v>
      </c>
      <c r="Q81" s="15" t="n">
        <f aca="false">COUNTIFS(FX_Daily!$A$15:$A$2821,"&gt;="&amp;$A81,FX_Daily!$A$15:$A$2821,"&lt;="&amp;EOMONTH($A81,0),FX_Daily!C$15:C$2821,"&gt;0")</f>
        <v>21</v>
      </c>
      <c r="R81" s="16" t="str">
        <f aca="false">IF(EOMONTH($A81,0)&gt;FX_Daily!$C$11,"partial month","complete")</f>
        <v>complete</v>
      </c>
    </row>
    <row r="82" customFormat="false" ht="15" hidden="false" customHeight="false" outlineLevel="0" collapsed="false">
      <c r="A82" s="17" t="n">
        <v>44409</v>
      </c>
      <c r="B82" s="10" t="n">
        <f aca="false">IFERROR(AVERAGEIFS(FX_Daily!B$15:B$2821,FX_Daily!$A$15:$A$2821,"&gt;="&amp;$A82,FX_Daily!$A$15:$A$2821,"&lt;="&amp;EOMONTH($A82,0)),"")</f>
        <v>1160.99454545455</v>
      </c>
      <c r="C82" s="10" t="n">
        <f aca="false">IFERROR(AVERAGEIFS(FX_Daily!C$15:C$2821,FX_Daily!$A$15:$A$2821,"&gt;="&amp;$A82,FX_Daily!$A$15:$A$2821,"&lt;="&amp;EOMONTH($A82,0)),"")</f>
        <v>8.84822272727273</v>
      </c>
      <c r="D82" s="10" t="n">
        <f aca="false">IFERROR(AVERAGEIFS(FX_Daily!D$15:D$2821,FX_Daily!$A$15:$A$2821,"&gt;="&amp;$A82,FX_Daily!$A$15:$A$2821,"&lt;="&amp;EOMONTH($A82,0)),"")</f>
        <v>1.37968181818182</v>
      </c>
      <c r="E82" s="10" t="n">
        <f aca="false">IFERROR(AVERAGEIFS(FX_Daily!E$15:E$2821,FX_Daily!$A$15:$A$2821,"&gt;="&amp;$A82,FX_Daily!$A$15:$A$2821,"&lt;="&amp;EOMONTH($A82,0)),"")</f>
        <v>1.17669545454545</v>
      </c>
      <c r="F82" s="10" t="n">
        <f aca="false">IFERROR(AVERAGEIFS(FX_Daily!F$15:F$2821,FX_Daily!$A$15:$A$2821,"&gt;="&amp;$A82,FX_Daily!$A$15:$A$2821,"&lt;="&amp;EOMONTH($A82,0)),"")</f>
        <v>6.47679090909091</v>
      </c>
      <c r="G82" s="10" t="n">
        <f aca="false">IFERROR(AVERAGEIFS(FX_Daily!G$15:G$2821,FX_Daily!$A$15:$A$2821,"&gt;="&amp;$A82,FX_Daily!$A$15:$A$2821,"&lt;="&amp;EOMONTH($A82,0)),"")</f>
        <v>5.24869545454545</v>
      </c>
      <c r="H82" s="10" t="n">
        <f aca="false">IFERROR(AVERAGEIFS(FX_Daily!H$15:H$2821,FX_Daily!$A$15:$A$2821,"&gt;="&amp;$A82,FX_Daily!$A$15:$A$2821,"&lt;="&amp;EOMONTH($A82,0)),"")</f>
        <v>109.852727272727</v>
      </c>
      <c r="I82" s="10" t="n">
        <f aca="false">IFERROR(AVERAGEIFS(FX_Daily!I$15:I$2821,FX_Daily!$A$15:$A$2821,"&gt;="&amp;$A82,FX_Daily!$A$15:$A$2821,"&lt;="&amp;EOMONTH($A82,0)),"")</f>
        <v>1.17718181818182</v>
      </c>
      <c r="J82" s="10" t="n">
        <f aca="false">IFERROR(AVERAGEIFS(FX_Daily!J$15:J$2821,FX_Daily!$A$15:$A$2821,"&gt;="&amp;$A82,FX_Daily!$A$15:$A$2821,"&lt;="&amp;EOMONTH($A82,0)),"")</f>
        <v>10.4195045454545</v>
      </c>
      <c r="K82" s="10" t="n">
        <f aca="false">IFERROR(AVERAGEIFS(FX_Daily!K$15:K$2821,FX_Daily!$A$15:$A$2821,"&gt;="&amp;$A82,FX_Daily!$A$15:$A$2821,"&lt;="&amp;EOMONTH($A82,0)),"")</f>
        <v>1366.73590909091</v>
      </c>
      <c r="L82" s="10" t="n">
        <f aca="false">IFERROR(AVERAGEIFS(FX_Daily!L$15:L$2821,FX_Daily!$A$15:$A$2821,"&gt;="&amp;$A82,FX_Daily!$A$15:$A$2821,"&lt;="&amp;EOMONTH($A82,0)),"")</f>
        <v>0.852873636363636</v>
      </c>
      <c r="M82" s="10" t="n">
        <f aca="false">IFERROR(AVERAGEIFS(FX_Daily!M$15:M$2821,FX_Daily!$A$15:$A$2821,"&gt;="&amp;$A82,FX_Daily!$A$15:$A$2821,"&lt;="&amp;EOMONTH($A82,0)),"")</f>
        <v>7.62365454545455</v>
      </c>
      <c r="N82" s="10" t="n">
        <f aca="false">IFERROR(AVERAGEIFS(FX_Daily!N$15:N$2821,FX_Daily!$A$15:$A$2821,"&gt;="&amp;$A82,FX_Daily!$A$15:$A$2821,"&lt;="&amp;EOMONTH($A82,0)),"")</f>
        <v>6.18837727272727</v>
      </c>
      <c r="O82" s="10" t="n">
        <f aca="false">IFERROR(AVERAGEIFS(FX_Daily!O$15:O$2821,FX_Daily!$A$15:$A$2821,"&gt;="&amp;$A82,FX_Daily!$A$15:$A$2821,"&lt;="&amp;EOMONTH($A82,0)),"")</f>
        <v>129.284090909091</v>
      </c>
      <c r="P82" s="10" t="n">
        <f aca="false">IFERROR(AVERAGEIFS(FX_Daily!P$15:P$2821,FX_Daily!$A$15:$A$2821,"&gt;="&amp;$A82,FX_Daily!$A$15:$A$2821,"&lt;="&amp;EOMONTH($A82,0)),"")</f>
        <v>8.85156363636364</v>
      </c>
      <c r="Q82" s="15" t="n">
        <f aca="false">COUNTIFS(FX_Daily!$A$15:$A$2821,"&gt;="&amp;$A82,FX_Daily!$A$15:$A$2821,"&lt;="&amp;EOMONTH($A82,0),FX_Daily!C$15:C$2821,"&gt;0")</f>
        <v>22</v>
      </c>
      <c r="R82" s="16" t="str">
        <f aca="false">IF(EOMONTH($A82,0)&gt;FX_Daily!$C$11,"partial month","complete")</f>
        <v>complete</v>
      </c>
    </row>
    <row r="83" customFormat="false" ht="15" hidden="false" customHeight="false" outlineLevel="0" collapsed="false">
      <c r="A83" s="17" t="n">
        <v>44440</v>
      </c>
      <c r="B83" s="10" t="n">
        <f aca="false">IFERROR(AVERAGEIFS(FX_Daily!B$15:B$2821,FX_Daily!$A$15:$A$2821,"&gt;="&amp;$A83,FX_Daily!$A$15:$A$2821,"&lt;="&amp;EOMONTH($A83,0)),"")</f>
        <v>1172.81904761905</v>
      </c>
      <c r="C83" s="10" t="n">
        <f aca="false">IFERROR(AVERAGEIFS(FX_Daily!C$15:C$2821,FX_Daily!$A$15:$A$2821,"&gt;="&amp;$A83,FX_Daily!$A$15:$A$2821,"&lt;="&amp;EOMONTH($A83,0)),"")</f>
        <v>8.65831428571429</v>
      </c>
      <c r="D83" s="10" t="n">
        <f aca="false">IFERROR(AVERAGEIFS(FX_Daily!D$15:D$2821,FX_Daily!$A$15:$A$2821,"&gt;="&amp;$A83,FX_Daily!$A$15:$A$2821,"&lt;="&amp;EOMONTH($A83,0)),"")</f>
        <v>1.37320476190476</v>
      </c>
      <c r="E83" s="10" t="n">
        <f aca="false">IFERROR(AVERAGEIFS(FX_Daily!E$15:E$2821,FX_Daily!$A$15:$A$2821,"&gt;="&amp;$A83,FX_Daily!$A$15:$A$2821,"&lt;="&amp;EOMONTH($A83,0)),"")</f>
        <v>1.17649047619048</v>
      </c>
      <c r="F83" s="10" t="n">
        <f aca="false">IFERROR(AVERAGEIFS(FX_Daily!F$15:F$2821,FX_Daily!$A$15:$A$2821,"&gt;="&amp;$A83,FX_Daily!$A$15:$A$2821,"&lt;="&amp;EOMONTH($A83,0)),"")</f>
        <v>6.4563</v>
      </c>
      <c r="G83" s="10" t="n">
        <f aca="false">IFERROR(AVERAGEIFS(FX_Daily!G$15:G$2821,FX_Daily!$A$15:$A$2821,"&gt;="&amp;$A83,FX_Daily!$A$15:$A$2821,"&lt;="&amp;EOMONTH($A83,0)),"")</f>
        <v>5.27899523809524</v>
      </c>
      <c r="H83" s="10" t="n">
        <f aca="false">IFERROR(AVERAGEIFS(FX_Daily!H$15:H$2821,FX_Daily!$A$15:$A$2821,"&gt;="&amp;$A83,FX_Daily!$A$15:$A$2821,"&lt;="&amp;EOMONTH($A83,0)),"")</f>
        <v>110.160952380952</v>
      </c>
      <c r="I83" s="10" t="n">
        <f aca="false">IFERROR(AVERAGEIFS(FX_Daily!I$15:I$2821,FX_Daily!$A$15:$A$2821,"&gt;="&amp;$A83,FX_Daily!$A$15:$A$2821,"&lt;="&amp;EOMONTH($A83,0)),"")</f>
        <v>1.17703181818182</v>
      </c>
      <c r="J83" s="10" t="n">
        <f aca="false">IFERROR(AVERAGEIFS(FX_Daily!J$15:J$2821,FX_Daily!$A$15:$A$2821,"&gt;="&amp;$A83,FX_Daily!$A$15:$A$2821,"&lt;="&amp;EOMONTH($A83,0)),"")</f>
        <v>10.1860590909091</v>
      </c>
      <c r="K83" s="10" t="n">
        <f aca="false">IFERROR(AVERAGEIFS(FX_Daily!K$15:K$2821,FX_Daily!$A$15:$A$2821,"&gt;="&amp;$A83,FX_Daily!$A$15:$A$2821,"&lt;="&amp;EOMONTH($A83,0)),"")</f>
        <v>1380.50954545455</v>
      </c>
      <c r="L83" s="10" t="n">
        <f aca="false">IFERROR(AVERAGEIFS(FX_Daily!L$15:L$2821,FX_Daily!$A$15:$A$2821,"&gt;="&amp;$A83,FX_Daily!$A$15:$A$2821,"&lt;="&amp;EOMONTH($A83,0)),"")</f>
        <v>0.856833181818182</v>
      </c>
      <c r="M83" s="10" t="n">
        <f aca="false">IFERROR(AVERAGEIFS(FX_Daily!M$15:M$2821,FX_Daily!$A$15:$A$2821,"&gt;="&amp;$A83,FX_Daily!$A$15:$A$2821,"&lt;="&amp;EOMONTH($A83,0)),"")</f>
        <v>7.60071818181818</v>
      </c>
      <c r="N83" s="10" t="n">
        <f aca="false">IFERROR(AVERAGEIFS(FX_Daily!N$15:N$2821,FX_Daily!$A$15:$A$2821,"&gt;="&amp;$A83,FX_Daily!$A$15:$A$2821,"&lt;="&amp;EOMONTH($A83,0)),"")</f>
        <v>6.19659545454545</v>
      </c>
      <c r="O83" s="10" t="n">
        <f aca="false">IFERROR(AVERAGEIFS(FX_Daily!O$15:O$2821,FX_Daily!$A$15:$A$2821,"&gt;="&amp;$A83,FX_Daily!$A$15:$A$2821,"&lt;="&amp;EOMONTH($A83,0)),"")</f>
        <v>129.656363636364</v>
      </c>
      <c r="P83" s="10" t="n">
        <f aca="false">IFERROR(AVERAGEIFS(FX_Daily!P$15:P$2821,FX_Daily!$A$15:$A$2821,"&gt;="&amp;$A83,FX_Daily!$A$15:$A$2821,"&lt;="&amp;EOMONTH($A83,0)),"")</f>
        <v>8.65412727272727</v>
      </c>
      <c r="Q83" s="15" t="n">
        <f aca="false">COUNTIFS(FX_Daily!$A$15:$A$2821,"&gt;="&amp;$A83,FX_Daily!$A$15:$A$2821,"&lt;="&amp;EOMONTH($A83,0),FX_Daily!C$15:C$2821,"&gt;0")</f>
        <v>21</v>
      </c>
      <c r="R83" s="16" t="str">
        <f aca="false">IF(EOMONTH($A83,0)&gt;FX_Daily!$C$11,"partial month","complete")</f>
        <v>complete</v>
      </c>
    </row>
    <row r="84" customFormat="false" ht="15" hidden="false" customHeight="false" outlineLevel="0" collapsed="false">
      <c r="A84" s="17" t="n">
        <v>44470</v>
      </c>
      <c r="B84" s="10" t="n">
        <f aca="false">IFERROR(AVERAGEIFS(FX_Daily!B$15:B$2821,FX_Daily!$A$15:$A$2821,"&gt;="&amp;$A84,FX_Daily!$A$15:$A$2821,"&lt;="&amp;EOMONTH($A84,0)),"")</f>
        <v>1181.89</v>
      </c>
      <c r="C84" s="10" t="n">
        <f aca="false">IFERROR(AVERAGEIFS(FX_Daily!C$15:C$2821,FX_Daily!$A$15:$A$2821,"&gt;="&amp;$A84,FX_Daily!$A$15:$A$2821,"&lt;="&amp;EOMONTH($A84,0)),"")</f>
        <v>8.455405</v>
      </c>
      <c r="D84" s="10" t="n">
        <f aca="false">IFERROR(AVERAGEIFS(FX_Daily!D$15:D$2821,FX_Daily!$A$15:$A$2821,"&gt;="&amp;$A84,FX_Daily!$A$15:$A$2821,"&lt;="&amp;EOMONTH($A84,0)),"")</f>
        <v>1.37009</v>
      </c>
      <c r="E84" s="10" t="n">
        <f aca="false">IFERROR(AVERAGEIFS(FX_Daily!E$15:E$2821,FX_Daily!$A$15:$A$2821,"&gt;="&amp;$A84,FX_Daily!$A$15:$A$2821,"&lt;="&amp;EOMONTH($A84,0)),"")</f>
        <v>1.159985</v>
      </c>
      <c r="F84" s="10" t="n">
        <f aca="false">IFERROR(AVERAGEIFS(FX_Daily!F$15:F$2821,FX_Daily!$A$15:$A$2821,"&gt;="&amp;$A84,FX_Daily!$A$15:$A$2821,"&lt;="&amp;EOMONTH($A84,0)),"")</f>
        <v>6.41721</v>
      </c>
      <c r="G84" s="10" t="n">
        <f aca="false">IFERROR(AVERAGEIFS(FX_Daily!G$15:G$2821,FX_Daily!$A$15:$A$2821,"&gt;="&amp;$A84,FX_Daily!$A$15:$A$2821,"&lt;="&amp;EOMONTH($A84,0)),"")</f>
        <v>5.54163</v>
      </c>
      <c r="H84" s="10" t="n">
        <f aca="false">IFERROR(AVERAGEIFS(FX_Daily!H$15:H$2821,FX_Daily!$A$15:$A$2821,"&gt;="&amp;$A84,FX_Daily!$A$15:$A$2821,"&lt;="&amp;EOMONTH($A84,0)),"")</f>
        <v>113.1215</v>
      </c>
      <c r="I84" s="10" t="n">
        <f aca="false">IFERROR(AVERAGEIFS(FX_Daily!I$15:I$2821,FX_Daily!$A$15:$A$2821,"&gt;="&amp;$A84,FX_Daily!$A$15:$A$2821,"&lt;="&amp;EOMONTH($A84,0)),"")</f>
        <v>1.16014761904762</v>
      </c>
      <c r="J84" s="10" t="n">
        <f aca="false">IFERROR(AVERAGEIFS(FX_Daily!J$15:J$2821,FX_Daily!$A$15:$A$2821,"&gt;="&amp;$A84,FX_Daily!$A$15:$A$2821,"&lt;="&amp;EOMONTH($A84,0)),"")</f>
        <v>9.81434761904762</v>
      </c>
      <c r="K84" s="10" t="n">
        <f aca="false">IFERROR(AVERAGEIFS(FX_Daily!K$15:K$2821,FX_Daily!$A$15:$A$2821,"&gt;="&amp;$A84,FX_Daily!$A$15:$A$2821,"&lt;="&amp;EOMONTH($A84,0)),"")</f>
        <v>1371.22952380952</v>
      </c>
      <c r="L84" s="10" t="n">
        <f aca="false">IFERROR(AVERAGEIFS(FX_Daily!L$15:L$2821,FX_Daily!$A$15:$A$2821,"&gt;="&amp;$A84,FX_Daily!$A$15:$A$2821,"&lt;="&amp;EOMONTH($A84,0)),"")</f>
        <v>0.846944285714286</v>
      </c>
      <c r="M84" s="10" t="n">
        <f aca="false">IFERROR(AVERAGEIFS(FX_Daily!M$15:M$2821,FX_Daily!$A$15:$A$2821,"&gt;="&amp;$A84,FX_Daily!$A$15:$A$2821,"&lt;="&amp;EOMONTH($A84,0)),"")</f>
        <v>7.44996666666667</v>
      </c>
      <c r="N84" s="10" t="n">
        <f aca="false">IFERROR(AVERAGEIFS(FX_Daily!N$15:N$2821,FX_Daily!$A$15:$A$2821,"&gt;="&amp;$A84,FX_Daily!$A$15:$A$2821,"&lt;="&amp;EOMONTH($A84,0)),"")</f>
        <v>6.42042857142857</v>
      </c>
      <c r="O84" s="10" t="n">
        <f aca="false">IFERROR(AVERAGEIFS(FX_Daily!O$15:O$2821,FX_Daily!$A$15:$A$2821,"&gt;="&amp;$A84,FX_Daily!$A$15:$A$2821,"&lt;="&amp;EOMONTH($A84,0)),"")</f>
        <v>131.212380952381</v>
      </c>
      <c r="P84" s="10" t="n">
        <f aca="false">IFERROR(AVERAGEIFS(FX_Daily!P$15:P$2821,FX_Daily!$A$15:$A$2821,"&gt;="&amp;$A84,FX_Daily!$A$15:$A$2821,"&lt;="&amp;EOMONTH($A84,0)),"")</f>
        <v>8.45974761904762</v>
      </c>
      <c r="Q84" s="15" t="n">
        <f aca="false">COUNTIFS(FX_Daily!$A$15:$A$2821,"&gt;="&amp;$A84,FX_Daily!$A$15:$A$2821,"&lt;="&amp;EOMONTH($A84,0),FX_Daily!C$15:C$2821,"&gt;0")</f>
        <v>20</v>
      </c>
      <c r="R84" s="16" t="str">
        <f aca="false">IF(EOMONTH($A84,0)&gt;FX_Daily!$C$11,"partial month","complete")</f>
        <v>complete</v>
      </c>
    </row>
    <row r="85" customFormat="false" ht="15" hidden="false" customHeight="false" outlineLevel="0" collapsed="false">
      <c r="A85" s="17" t="n">
        <v>44501</v>
      </c>
      <c r="B85" s="10" t="n">
        <f aca="false">IFERROR(AVERAGEIFS(FX_Daily!B$15:B$2821,FX_Daily!$A$15:$A$2821,"&gt;="&amp;$A85,FX_Daily!$A$15:$A$2821,"&lt;="&amp;EOMONTH($A85,0)),"")</f>
        <v>1184.06</v>
      </c>
      <c r="C85" s="10" t="n">
        <f aca="false">IFERROR(AVERAGEIFS(FX_Daily!C$15:C$2821,FX_Daily!$A$15:$A$2821,"&gt;="&amp;$A85,FX_Daily!$A$15:$A$2821,"&lt;="&amp;EOMONTH($A85,0)),"")</f>
        <v>8.737895</v>
      </c>
      <c r="D85" s="10" t="n">
        <f aca="false">IFERROR(AVERAGEIFS(FX_Daily!D$15:D$2821,FX_Daily!$A$15:$A$2821,"&gt;="&amp;$A85,FX_Daily!$A$15:$A$2821,"&lt;="&amp;EOMONTH($A85,0)),"")</f>
        <v>1.34626</v>
      </c>
      <c r="E85" s="10" t="n">
        <f aca="false">IFERROR(AVERAGEIFS(FX_Daily!E$15:E$2821,FX_Daily!$A$15:$A$2821,"&gt;="&amp;$A85,FX_Daily!$A$15:$A$2821,"&lt;="&amp;EOMONTH($A85,0)),"")</f>
        <v>1.14159</v>
      </c>
      <c r="F85" s="10" t="n">
        <f aca="false">IFERROR(AVERAGEIFS(FX_Daily!F$15:F$2821,FX_Daily!$A$15:$A$2821,"&gt;="&amp;$A85,FX_Daily!$A$15:$A$2821,"&lt;="&amp;EOMONTH($A85,0)),"")</f>
        <v>6.38893</v>
      </c>
      <c r="G85" s="10" t="n">
        <f aca="false">IFERROR(AVERAGEIFS(FX_Daily!G$15:G$2821,FX_Daily!$A$15:$A$2821,"&gt;="&amp;$A85,FX_Daily!$A$15:$A$2821,"&lt;="&amp;EOMONTH($A85,0)),"")</f>
        <v>5.56676</v>
      </c>
      <c r="H85" s="10" t="n">
        <f aca="false">IFERROR(AVERAGEIFS(FX_Daily!H$15:H$2821,FX_Daily!$A$15:$A$2821,"&gt;="&amp;$A85,FX_Daily!$A$15:$A$2821,"&lt;="&amp;EOMONTH($A85,0)),"")</f>
        <v>113.965</v>
      </c>
      <c r="I85" s="10" t="n">
        <f aca="false">IFERROR(AVERAGEIFS(FX_Daily!I$15:I$2821,FX_Daily!$A$15:$A$2821,"&gt;="&amp;$A85,FX_Daily!$A$15:$A$2821,"&lt;="&amp;EOMONTH($A85,0)),"")</f>
        <v>1.14140454545455</v>
      </c>
      <c r="J85" s="10" t="n">
        <f aca="false">IFERROR(AVERAGEIFS(FX_Daily!J$15:J$2821,FX_Daily!$A$15:$A$2821,"&gt;="&amp;$A85,FX_Daily!$A$15:$A$2821,"&lt;="&amp;EOMONTH($A85,0)),"")</f>
        <v>9.9661</v>
      </c>
      <c r="K85" s="10" t="n">
        <f aca="false">IFERROR(AVERAGEIFS(FX_Daily!K$15:K$2821,FX_Daily!$A$15:$A$2821,"&gt;="&amp;$A85,FX_Daily!$A$15:$A$2821,"&lt;="&amp;EOMONTH($A85,0)),"")</f>
        <v>1351.73863636364</v>
      </c>
      <c r="L85" s="10" t="n">
        <f aca="false">IFERROR(AVERAGEIFS(FX_Daily!L$15:L$2821,FX_Daily!$A$15:$A$2821,"&gt;="&amp;$A85,FX_Daily!$A$15:$A$2821,"&lt;="&amp;EOMONTH($A85,0)),"")</f>
        <v>0.847863636363636</v>
      </c>
      <c r="M85" s="10" t="n">
        <f aca="false">IFERROR(AVERAGEIFS(FX_Daily!M$15:M$2821,FX_Daily!$A$15:$A$2821,"&gt;="&amp;$A85,FX_Daily!$A$15:$A$2821,"&lt;="&amp;EOMONTH($A85,0)),"")</f>
        <v>7.29270909090909</v>
      </c>
      <c r="N85" s="10" t="n">
        <f aca="false">IFERROR(AVERAGEIFS(FX_Daily!N$15:N$2821,FX_Daily!$A$15:$A$2821,"&gt;="&amp;$A85,FX_Daily!$A$15:$A$2821,"&lt;="&amp;EOMONTH($A85,0)),"")</f>
        <v>6.34341818181818</v>
      </c>
      <c r="O85" s="10" t="n">
        <f aca="false">IFERROR(AVERAGEIFS(FX_Daily!O$15:O$2821,FX_Daily!$A$15:$A$2821,"&gt;="&amp;$A85,FX_Daily!$A$15:$A$2821,"&lt;="&amp;EOMONTH($A85,0)),"")</f>
        <v>130.117727272727</v>
      </c>
      <c r="P85" s="10" t="n">
        <f aca="false">IFERROR(AVERAGEIFS(FX_Daily!P$15:P$2821,FX_Daily!$A$15:$A$2821,"&gt;="&amp;$A85,FX_Daily!$A$15:$A$2821,"&lt;="&amp;EOMONTH($A85,0)),"")</f>
        <v>8.73367272727273</v>
      </c>
      <c r="Q85" s="15" t="n">
        <f aca="false">COUNTIFS(FX_Daily!$A$15:$A$2821,"&gt;="&amp;$A85,FX_Daily!$A$15:$A$2821,"&lt;="&amp;EOMONTH($A85,0),FX_Daily!C$15:C$2821,"&gt;0")</f>
        <v>20</v>
      </c>
      <c r="R85" s="16" t="str">
        <f aca="false">IF(EOMONTH($A85,0)&gt;FX_Daily!$C$11,"partial month","complete")</f>
        <v>complete</v>
      </c>
    </row>
    <row r="86" customFormat="false" ht="15" hidden="false" customHeight="false" outlineLevel="0" collapsed="false">
      <c r="A86" s="17" t="n">
        <v>44531</v>
      </c>
      <c r="B86" s="10" t="n">
        <f aca="false">IFERROR(AVERAGEIFS(FX_Daily!B$15:B$2821,FX_Daily!$A$15:$A$2821,"&gt;="&amp;$A86,FX_Daily!$A$15:$A$2821,"&lt;="&amp;EOMONTH($A86,0)),"")</f>
        <v>1183.88714285714</v>
      </c>
      <c r="C86" s="10" t="n">
        <f aca="false">IFERROR(AVERAGEIFS(FX_Daily!C$15:C$2821,FX_Daily!$A$15:$A$2821,"&gt;="&amp;$A86,FX_Daily!$A$15:$A$2821,"&lt;="&amp;EOMONTH($A86,0)),"")</f>
        <v>8.98109523809524</v>
      </c>
      <c r="D86" s="10" t="n">
        <f aca="false">IFERROR(AVERAGEIFS(FX_Daily!D$15:D$2821,FX_Daily!$A$15:$A$2821,"&gt;="&amp;$A86,FX_Daily!$A$15:$A$2821,"&lt;="&amp;EOMONTH($A86,0)),"")</f>
        <v>1.33029523809524</v>
      </c>
      <c r="E86" s="10" t="n">
        <f aca="false">IFERROR(AVERAGEIFS(FX_Daily!E$15:E$2821,FX_Daily!$A$15:$A$2821,"&gt;="&amp;$A86,FX_Daily!$A$15:$A$2821,"&lt;="&amp;EOMONTH($A86,0)),"")</f>
        <v>1.13008095238095</v>
      </c>
      <c r="F86" s="10" t="n">
        <f aca="false">IFERROR(AVERAGEIFS(FX_Daily!F$15:F$2821,FX_Daily!$A$15:$A$2821,"&gt;="&amp;$A86,FX_Daily!$A$15:$A$2821,"&lt;="&amp;EOMONTH($A86,0)),"")</f>
        <v>6.36928571428571</v>
      </c>
      <c r="G86" s="10" t="n">
        <f aca="false">IFERROR(AVERAGEIFS(FX_Daily!G$15:G$2821,FX_Daily!$A$15:$A$2821,"&gt;="&amp;$A86,FX_Daily!$A$15:$A$2821,"&lt;="&amp;EOMONTH($A86,0)),"")</f>
        <v>5.65487619047619</v>
      </c>
      <c r="H86" s="10" t="n">
        <f aca="false">IFERROR(AVERAGEIFS(FX_Daily!H$15:H$2821,FX_Daily!$A$15:$A$2821,"&gt;="&amp;$A86,FX_Daily!$A$15:$A$2821,"&lt;="&amp;EOMONTH($A86,0)),"")</f>
        <v>113.832857142857</v>
      </c>
      <c r="I86" s="10" t="n">
        <f aca="false">IFERROR(AVERAGEIFS(FX_Daily!I$15:I$2821,FX_Daily!$A$15:$A$2821,"&gt;="&amp;$A86,FX_Daily!$A$15:$A$2821,"&lt;="&amp;EOMONTH($A86,0)),"")</f>
        <v>1.13037826086957</v>
      </c>
      <c r="J86" s="10" t="n">
        <f aca="false">IFERROR(AVERAGEIFS(FX_Daily!J$15:J$2821,FX_Daily!$A$15:$A$2821,"&gt;="&amp;$A86,FX_Daily!$A$15:$A$2821,"&lt;="&amp;EOMONTH($A86,0)),"")</f>
        <v>10.1308304347826</v>
      </c>
      <c r="K86" s="10" t="n">
        <f aca="false">IFERROR(AVERAGEIFS(FX_Daily!K$15:K$2821,FX_Daily!$A$15:$A$2821,"&gt;="&amp;$A86,FX_Daily!$A$15:$A$2821,"&lt;="&amp;EOMONTH($A86,0)),"")</f>
        <v>1338.48565217391</v>
      </c>
      <c r="L86" s="10" t="n">
        <f aca="false">IFERROR(AVERAGEIFS(FX_Daily!L$15:L$2821,FX_Daily!$A$15:$A$2821,"&gt;="&amp;$A86,FX_Daily!$A$15:$A$2821,"&lt;="&amp;EOMONTH($A86,0)),"")</f>
        <v>0.848748260869565</v>
      </c>
      <c r="M86" s="10" t="n">
        <f aca="false">IFERROR(AVERAGEIFS(FX_Daily!M$15:M$2821,FX_Daily!$A$15:$A$2821,"&gt;="&amp;$A86,FX_Daily!$A$15:$A$2821,"&lt;="&amp;EOMONTH($A86,0)),"")</f>
        <v>7.19926956521739</v>
      </c>
      <c r="N86" s="10" t="n">
        <f aca="false">IFERROR(AVERAGEIFS(FX_Daily!N$15:N$2821,FX_Daily!$A$15:$A$2821,"&gt;="&amp;$A86,FX_Daily!$A$15:$A$2821,"&lt;="&amp;EOMONTH($A86,0)),"")</f>
        <v>6.38408695652174</v>
      </c>
      <c r="O86" s="10" t="n">
        <f aca="false">IFERROR(AVERAGEIFS(FX_Daily!O$15:O$2821,FX_Daily!$A$15:$A$2821,"&gt;="&amp;$A86,FX_Daily!$A$15:$A$2821,"&lt;="&amp;EOMONTH($A86,0)),"")</f>
        <v>128.799565217391</v>
      </c>
      <c r="P86" s="10" t="n">
        <f aca="false">IFERROR(AVERAGEIFS(FX_Daily!P$15:P$2821,FX_Daily!$A$15:$A$2821,"&gt;="&amp;$A86,FX_Daily!$A$15:$A$2821,"&lt;="&amp;EOMONTH($A86,0)),"")</f>
        <v>8.96800454545455</v>
      </c>
      <c r="Q86" s="15" t="n">
        <f aca="false">COUNTIFS(FX_Daily!$A$15:$A$2821,"&gt;="&amp;$A86,FX_Daily!$A$15:$A$2821,"&lt;="&amp;EOMONTH($A86,0),FX_Daily!C$15:C$2821,"&gt;0")</f>
        <v>21</v>
      </c>
      <c r="R86" s="16" t="str">
        <f aca="false">IF(EOMONTH($A86,0)&gt;FX_Daily!$C$11,"partial month","complete")</f>
        <v>complete</v>
      </c>
    </row>
    <row r="87" customFormat="false" ht="15" hidden="false" customHeight="false" outlineLevel="0" collapsed="false">
      <c r="A87" s="17" t="n">
        <v>44562</v>
      </c>
      <c r="B87" s="10" t="n">
        <f aca="false">IFERROR(AVERAGEIFS(FX_Daily!B$15:B$2821,FX_Daily!$A$15:$A$2821,"&gt;="&amp;$A87,FX_Daily!$A$15:$A$2821,"&lt;="&amp;EOMONTH($A87,0)),"")</f>
        <v>1196.0345</v>
      </c>
      <c r="C87" s="10" t="n">
        <f aca="false">IFERROR(AVERAGEIFS(FX_Daily!C$15:C$2821,FX_Daily!$A$15:$A$2821,"&gt;="&amp;$A87,FX_Daily!$A$15:$A$2821,"&lt;="&amp;EOMONTH($A87,0)),"")</f>
        <v>8.84743</v>
      </c>
      <c r="D87" s="10" t="n">
        <f aca="false">IFERROR(AVERAGEIFS(FX_Daily!D$15:D$2821,FX_Daily!$A$15:$A$2821,"&gt;="&amp;$A87,FX_Daily!$A$15:$A$2821,"&lt;="&amp;EOMONTH($A87,0)),"")</f>
        <v>1.355525</v>
      </c>
      <c r="E87" s="10" t="n">
        <f aca="false">IFERROR(AVERAGEIFS(FX_Daily!E$15:E$2821,FX_Daily!$A$15:$A$2821,"&gt;="&amp;$A87,FX_Daily!$A$15:$A$2821,"&lt;="&amp;EOMONTH($A87,0)),"")</f>
        <v>1.131675</v>
      </c>
      <c r="F87" s="10" t="n">
        <f aca="false">IFERROR(AVERAGEIFS(FX_Daily!F$15:F$2821,FX_Daily!$A$15:$A$2821,"&gt;="&amp;$A87,FX_Daily!$A$15:$A$2821,"&lt;="&amp;EOMONTH($A87,0)),"")</f>
        <v>6.35557</v>
      </c>
      <c r="G87" s="10" t="n">
        <f aca="false">IFERROR(AVERAGEIFS(FX_Daily!G$15:G$2821,FX_Daily!$A$15:$A$2821,"&gt;="&amp;$A87,FX_Daily!$A$15:$A$2821,"&lt;="&amp;EOMONTH($A87,0)),"")</f>
        <v>5.530045</v>
      </c>
      <c r="H87" s="10" t="n">
        <f aca="false">IFERROR(AVERAGEIFS(FX_Daily!H$15:H$2821,FX_Daily!$A$15:$A$2821,"&gt;="&amp;$A87,FX_Daily!$A$15:$A$2821,"&lt;="&amp;EOMONTH($A87,0)),"")</f>
        <v>114.8255</v>
      </c>
      <c r="I87" s="10" t="n">
        <f aca="false">IFERROR(AVERAGEIFS(FX_Daily!I$15:I$2821,FX_Daily!$A$15:$A$2821,"&gt;="&amp;$A87,FX_Daily!$A$15:$A$2821,"&lt;="&amp;EOMONTH($A87,0)),"")</f>
        <v>1.13144761904762</v>
      </c>
      <c r="J87" s="10" t="n">
        <f aca="false">IFERROR(AVERAGEIFS(FX_Daily!J$15:J$2821,FX_Daily!$A$15:$A$2821,"&gt;="&amp;$A87,FX_Daily!$A$15:$A$2821,"&lt;="&amp;EOMONTH($A87,0)),"")</f>
        <v>10.0069571428571</v>
      </c>
      <c r="K87" s="10" t="n">
        <f aca="false">IFERROR(AVERAGEIFS(FX_Daily!K$15:K$2821,FX_Daily!$A$15:$A$2821,"&gt;="&amp;$A87,FX_Daily!$A$15:$A$2821,"&lt;="&amp;EOMONTH($A87,0)),"")</f>
        <v>1353.61047619048</v>
      </c>
      <c r="L87" s="10" t="n">
        <f aca="false">IFERROR(AVERAGEIFS(FX_Daily!L$15:L$2821,FX_Daily!$A$15:$A$2821,"&gt;="&amp;$A87,FX_Daily!$A$15:$A$2821,"&lt;="&amp;EOMONTH($A87,0)),"")</f>
        <v>0.83503380952381</v>
      </c>
      <c r="M87" s="10" t="n">
        <f aca="false">IFERROR(AVERAGEIFS(FX_Daily!M$15:M$2821,FX_Daily!$A$15:$A$2821,"&gt;="&amp;$A87,FX_Daily!$A$15:$A$2821,"&lt;="&amp;EOMONTH($A87,0)),"")</f>
        <v>7.19221904761905</v>
      </c>
      <c r="N87" s="10" t="n">
        <f aca="false">IFERROR(AVERAGEIFS(FX_Daily!N$15:N$2821,FX_Daily!$A$15:$A$2821,"&gt;="&amp;$A87,FX_Daily!$A$15:$A$2821,"&lt;="&amp;EOMONTH($A87,0)),"")</f>
        <v>6.26730476190476</v>
      </c>
      <c r="O87" s="10" t="n">
        <f aca="false">IFERROR(AVERAGEIFS(FX_Daily!O$15:O$2821,FX_Daily!$A$15:$A$2821,"&gt;="&amp;$A87,FX_Daily!$A$15:$A$2821,"&lt;="&amp;EOMONTH($A87,0)),"")</f>
        <v>130.009047619048</v>
      </c>
      <c r="P87" s="10" t="n">
        <f aca="false">IFERROR(AVERAGEIFS(FX_Daily!P$15:P$2821,FX_Daily!$A$15:$A$2821,"&gt;="&amp;$A87,FX_Daily!$A$15:$A$2821,"&lt;="&amp;EOMONTH($A87,0)),"")</f>
        <v>8.84498095238095</v>
      </c>
      <c r="Q87" s="15" t="n">
        <f aca="false">COUNTIFS(FX_Daily!$A$15:$A$2821,"&gt;="&amp;$A87,FX_Daily!$A$15:$A$2821,"&lt;="&amp;EOMONTH($A87,0),FX_Daily!C$15:C$2821,"&gt;0")</f>
        <v>20</v>
      </c>
      <c r="R87" s="16" t="str">
        <f aca="false">IF(EOMONTH($A87,0)&gt;FX_Daily!$C$11,"partial month","complete")</f>
        <v>complete</v>
      </c>
    </row>
    <row r="88" customFormat="false" ht="15" hidden="false" customHeight="false" outlineLevel="0" collapsed="false">
      <c r="A88" s="17" t="n">
        <v>44593</v>
      </c>
      <c r="B88" s="10" t="n">
        <f aca="false">IFERROR(AVERAGEIFS(FX_Daily!B$15:B$2821,FX_Daily!$A$15:$A$2821,"&gt;="&amp;$A88,FX_Daily!$A$15:$A$2821,"&lt;="&amp;EOMONTH($A88,0)),"")</f>
        <v>1199.12263157895</v>
      </c>
      <c r="C88" s="10" t="n">
        <f aca="false">IFERROR(AVERAGEIFS(FX_Daily!C$15:C$2821,FX_Daily!$A$15:$A$2821,"&gt;="&amp;$A88,FX_Daily!$A$15:$A$2821,"&lt;="&amp;EOMONTH($A88,0)),"")</f>
        <v>8.85641578947368</v>
      </c>
      <c r="D88" s="10" t="n">
        <f aca="false">IFERROR(AVERAGEIFS(FX_Daily!D$15:D$2821,FX_Daily!$A$15:$A$2821,"&gt;="&amp;$A88,FX_Daily!$A$15:$A$2821,"&lt;="&amp;EOMONTH($A88,0)),"")</f>
        <v>1.35402105263158</v>
      </c>
      <c r="E88" s="10" t="n">
        <f aca="false">IFERROR(AVERAGEIFS(FX_Daily!E$15:E$2821,FX_Daily!$A$15:$A$2821,"&gt;="&amp;$A88,FX_Daily!$A$15:$A$2821,"&lt;="&amp;EOMONTH($A88,0)),"")</f>
        <v>1.13490526315789</v>
      </c>
      <c r="F88" s="10" t="n">
        <f aca="false">IFERROR(AVERAGEIFS(FX_Daily!F$15:F$2821,FX_Daily!$A$15:$A$2821,"&gt;="&amp;$A88,FX_Daily!$A$15:$A$2821,"&lt;="&amp;EOMONTH($A88,0)),"")</f>
        <v>6.34355263157895</v>
      </c>
      <c r="G88" s="10" t="n">
        <f aca="false">IFERROR(AVERAGEIFS(FX_Daily!G$15:G$2821,FX_Daily!$A$15:$A$2821,"&gt;="&amp;$A88,FX_Daily!$A$15:$A$2821,"&lt;="&amp;EOMONTH($A88,0)),"")</f>
        <v>5.1984</v>
      </c>
      <c r="H88" s="10" t="n">
        <f aca="false">IFERROR(AVERAGEIFS(FX_Daily!H$15:H$2821,FX_Daily!$A$15:$A$2821,"&gt;="&amp;$A88,FX_Daily!$A$15:$A$2821,"&lt;="&amp;EOMONTH($A88,0)),"")</f>
        <v>115.276315789474</v>
      </c>
      <c r="I88" s="10" t="n">
        <f aca="false">IFERROR(AVERAGEIFS(FX_Daily!I$15:I$2821,FX_Daily!$A$15:$A$2821,"&gt;="&amp;$A88,FX_Daily!$A$15:$A$2821,"&lt;="&amp;EOMONTH($A88,0)),"")</f>
        <v>1.13419</v>
      </c>
      <c r="J88" s="10" t="n">
        <f aca="false">IFERROR(AVERAGEIFS(FX_Daily!J$15:J$2821,FX_Daily!$A$15:$A$2821,"&gt;="&amp;$A88,FX_Daily!$A$15:$A$2821,"&lt;="&amp;EOMONTH($A88,0)),"")</f>
        <v>10.054405</v>
      </c>
      <c r="K88" s="10" t="n">
        <f aca="false">IFERROR(AVERAGEIFS(FX_Daily!K$15:K$2821,FX_Daily!$A$15:$A$2821,"&gt;="&amp;$A88,FX_Daily!$A$15:$A$2821,"&lt;="&amp;EOMONTH($A88,0)),"")</f>
        <v>1358.5335</v>
      </c>
      <c r="L88" s="10" t="n">
        <f aca="false">IFERROR(AVERAGEIFS(FX_Daily!L$15:L$2821,FX_Daily!$A$15:$A$2821,"&gt;="&amp;$A88,FX_Daily!$A$15:$A$2821,"&lt;="&amp;EOMONTH($A88,0)),"")</f>
        <v>0.8378725</v>
      </c>
      <c r="M88" s="10" t="n">
        <f aca="false">IFERROR(AVERAGEIFS(FX_Daily!M$15:M$2821,FX_Daily!$A$15:$A$2821,"&gt;="&amp;$A88,FX_Daily!$A$15:$A$2821,"&lt;="&amp;EOMONTH($A88,0)),"")</f>
        <v>7.19567</v>
      </c>
      <c r="N88" s="10" t="n">
        <f aca="false">IFERROR(AVERAGEIFS(FX_Daily!N$15:N$2821,FX_Daily!$A$15:$A$2821,"&gt;="&amp;$A88,FX_Daily!$A$15:$A$2821,"&lt;="&amp;EOMONTH($A88,0)),"")</f>
        <v>5.89025</v>
      </c>
      <c r="O88" s="10" t="n">
        <f aca="false">IFERROR(AVERAGEIFS(FX_Daily!O$15:O$2821,FX_Daily!$A$15:$A$2821,"&gt;="&amp;$A88,FX_Daily!$A$15:$A$2821,"&lt;="&amp;EOMONTH($A88,0)),"")</f>
        <v>130.6565</v>
      </c>
      <c r="P88" s="10" t="n">
        <f aca="false">IFERROR(AVERAGEIFS(FX_Daily!P$15:P$2821,FX_Daily!$A$15:$A$2821,"&gt;="&amp;$A88,FX_Daily!$A$15:$A$2821,"&lt;="&amp;EOMONTH($A88,0)),"")</f>
        <v>8.865125</v>
      </c>
      <c r="Q88" s="15" t="n">
        <f aca="false">COUNTIFS(FX_Daily!$A$15:$A$2821,"&gt;="&amp;$A88,FX_Daily!$A$15:$A$2821,"&lt;="&amp;EOMONTH($A88,0),FX_Daily!C$15:C$2821,"&gt;0")</f>
        <v>19</v>
      </c>
      <c r="R88" s="16" t="str">
        <f aca="false">IF(EOMONTH($A88,0)&gt;FX_Daily!$C$11,"partial month","complete")</f>
        <v>complete</v>
      </c>
    </row>
    <row r="89" customFormat="false" ht="15" hidden="false" customHeight="false" outlineLevel="0" collapsed="false">
      <c r="A89" s="17" t="n">
        <v>44621</v>
      </c>
      <c r="B89" s="10" t="n">
        <f aca="false">IFERROR(AVERAGEIFS(FX_Daily!B$15:B$2821,FX_Daily!$A$15:$A$2821,"&gt;="&amp;$A89,FX_Daily!$A$15:$A$2821,"&lt;="&amp;EOMONTH($A89,0)),"")</f>
        <v>1220.84086956522</v>
      </c>
      <c r="C89" s="10" t="n">
        <f aca="false">IFERROR(AVERAGEIFS(FX_Daily!C$15:C$2821,FX_Daily!$A$15:$A$2821,"&gt;="&amp;$A89,FX_Daily!$A$15:$A$2821,"&lt;="&amp;EOMONTH($A89,0)),"")</f>
        <v>8.8339652173913</v>
      </c>
      <c r="D89" s="10" t="n">
        <f aca="false">IFERROR(AVERAGEIFS(FX_Daily!D$15:D$2821,FX_Daily!$A$15:$A$2821,"&gt;="&amp;$A89,FX_Daily!$A$15:$A$2821,"&lt;="&amp;EOMONTH($A89,0)),"")</f>
        <v>1.31681304347826</v>
      </c>
      <c r="E89" s="10" t="n">
        <f aca="false">IFERROR(AVERAGEIFS(FX_Daily!E$15:E$2821,FX_Daily!$A$15:$A$2821,"&gt;="&amp;$A89,FX_Daily!$A$15:$A$2821,"&lt;="&amp;EOMONTH($A89,0)),"")</f>
        <v>1.10185217391304</v>
      </c>
      <c r="F89" s="10" t="n">
        <f aca="false">IFERROR(AVERAGEIFS(FX_Daily!F$15:F$2821,FX_Daily!$A$15:$A$2821,"&gt;="&amp;$A89,FX_Daily!$A$15:$A$2821,"&lt;="&amp;EOMONTH($A89,0)),"")</f>
        <v>6.34455217391304</v>
      </c>
      <c r="G89" s="10" t="n">
        <f aca="false">IFERROR(AVERAGEIFS(FX_Daily!G$15:G$2821,FX_Daily!$A$15:$A$2821,"&gt;="&amp;$A89,FX_Daily!$A$15:$A$2821,"&lt;="&amp;EOMONTH($A89,0)),"")</f>
        <v>4.97639565217391</v>
      </c>
      <c r="H89" s="10" t="n">
        <f aca="false">IFERROR(AVERAGEIFS(FX_Daily!H$15:H$2821,FX_Daily!$A$15:$A$2821,"&gt;="&amp;$A89,FX_Daily!$A$15:$A$2821,"&lt;="&amp;EOMONTH($A89,0)),"")</f>
        <v>118.577391304348</v>
      </c>
      <c r="I89" s="10" t="n">
        <f aca="false">IFERROR(AVERAGEIFS(FX_Daily!I$15:I$2821,FX_Daily!$A$15:$A$2821,"&gt;="&amp;$A89,FX_Daily!$A$15:$A$2821,"&lt;="&amp;EOMONTH($A89,0)),"")</f>
        <v>1.10189565217391</v>
      </c>
      <c r="J89" s="10" t="n">
        <f aca="false">IFERROR(AVERAGEIFS(FX_Daily!J$15:J$2821,FX_Daily!$A$15:$A$2821,"&gt;="&amp;$A89,FX_Daily!$A$15:$A$2821,"&lt;="&amp;EOMONTH($A89,0)),"")</f>
        <v>9.73672173913043</v>
      </c>
      <c r="K89" s="10" t="n">
        <f aca="false">IFERROR(AVERAGEIFS(FX_Daily!K$15:K$2821,FX_Daily!$A$15:$A$2821,"&gt;="&amp;$A89,FX_Daily!$A$15:$A$2821,"&lt;="&amp;EOMONTH($A89,0)),"")</f>
        <v>1345.66043478261</v>
      </c>
      <c r="L89" s="10" t="n">
        <f aca="false">IFERROR(AVERAGEIFS(FX_Daily!L$15:L$2821,FX_Daily!$A$15:$A$2821,"&gt;="&amp;$A89,FX_Daily!$A$15:$A$2821,"&lt;="&amp;EOMONTH($A89,0)),"")</f>
        <v>0.836382608695652</v>
      </c>
      <c r="M89" s="10" t="n">
        <f aca="false">IFERROR(AVERAGEIFS(FX_Daily!M$15:M$2821,FX_Daily!$A$15:$A$2821,"&gt;="&amp;$A89,FX_Daily!$A$15:$A$2821,"&lt;="&amp;EOMONTH($A89,0)),"")</f>
        <v>6.99160434782609</v>
      </c>
      <c r="N89" s="10" t="n">
        <f aca="false">IFERROR(AVERAGEIFS(FX_Daily!N$15:N$2821,FX_Daily!$A$15:$A$2821,"&gt;="&amp;$A89,FX_Daily!$A$15:$A$2821,"&lt;="&amp;EOMONTH($A89,0)),"")</f>
        <v>5.4884</v>
      </c>
      <c r="O89" s="10" t="n">
        <f aca="false">IFERROR(AVERAGEIFS(FX_Daily!O$15:O$2821,FX_Daily!$A$15:$A$2821,"&gt;="&amp;$A89,FX_Daily!$A$15:$A$2821,"&lt;="&amp;EOMONTH($A89,0)),"")</f>
        <v>130.710869565217</v>
      </c>
      <c r="P89" s="10" t="n">
        <f aca="false">IFERROR(AVERAGEIFS(FX_Daily!P$15:P$2821,FX_Daily!$A$15:$A$2821,"&gt;="&amp;$A89,FX_Daily!$A$15:$A$2821,"&lt;="&amp;EOMONTH($A89,0)),"")</f>
        <v>8.83665217391304</v>
      </c>
      <c r="Q89" s="15" t="n">
        <f aca="false">COUNTIFS(FX_Daily!$A$15:$A$2821,"&gt;="&amp;$A89,FX_Daily!$A$15:$A$2821,"&lt;="&amp;EOMONTH($A89,0),FX_Daily!C$15:C$2821,"&gt;0")</f>
        <v>23</v>
      </c>
      <c r="R89" s="16" t="str">
        <f aca="false">IF(EOMONTH($A89,0)&gt;FX_Daily!$C$11,"partial month","complete")</f>
        <v>complete</v>
      </c>
    </row>
    <row r="90" customFormat="false" ht="15" hidden="false" customHeight="false" outlineLevel="0" collapsed="false">
      <c r="A90" s="17" t="n">
        <v>44652</v>
      </c>
      <c r="B90" s="10" t="n">
        <f aca="false">IFERROR(AVERAGEIFS(FX_Daily!B$15:B$2821,FX_Daily!$A$15:$A$2821,"&gt;="&amp;$A90,FX_Daily!$A$15:$A$2821,"&lt;="&amp;EOMONTH($A90,0)),"")</f>
        <v>1235.15333333333</v>
      </c>
      <c r="C90" s="10" t="n">
        <f aca="false">IFERROR(AVERAGEIFS(FX_Daily!C$15:C$2821,FX_Daily!$A$15:$A$2821,"&gt;="&amp;$A90,FX_Daily!$A$15:$A$2821,"&lt;="&amp;EOMONTH($A90,0)),"")</f>
        <v>8.91059523809524</v>
      </c>
      <c r="D90" s="10" t="n">
        <f aca="false">IFERROR(AVERAGEIFS(FX_Daily!D$15:D$2821,FX_Daily!$A$15:$A$2821,"&gt;="&amp;$A90,FX_Daily!$A$15:$A$2821,"&lt;="&amp;EOMONTH($A90,0)),"")</f>
        <v>1.29334285714286</v>
      </c>
      <c r="E90" s="10" t="n">
        <f aca="false">IFERROR(AVERAGEIFS(FX_Daily!E$15:E$2821,FX_Daily!$A$15:$A$2821,"&gt;="&amp;$A90,FX_Daily!$A$15:$A$2821,"&lt;="&amp;EOMONTH($A90,0)),"")</f>
        <v>1.08029523809524</v>
      </c>
      <c r="F90" s="10" t="n">
        <f aca="false">IFERROR(AVERAGEIFS(FX_Daily!F$15:F$2821,FX_Daily!$A$15:$A$2821,"&gt;="&amp;$A90,FX_Daily!$A$15:$A$2821,"&lt;="&amp;EOMONTH($A90,0)),"")</f>
        <v>6.431</v>
      </c>
      <c r="G90" s="10" t="n">
        <f aca="false">IFERROR(AVERAGEIFS(FX_Daily!G$15:G$2821,FX_Daily!$A$15:$A$2821,"&gt;="&amp;$A90,FX_Daily!$A$15:$A$2821,"&lt;="&amp;EOMONTH($A90,0)),"")</f>
        <v>4.75471904761905</v>
      </c>
      <c r="H90" s="10" t="n">
        <f aca="false">IFERROR(AVERAGEIFS(FX_Daily!H$15:H$2821,FX_Daily!$A$15:$A$2821,"&gt;="&amp;$A90,FX_Daily!$A$15:$A$2821,"&lt;="&amp;EOMONTH($A90,0)),"")</f>
        <v>126.374285714286</v>
      </c>
      <c r="I90" s="10" t="n">
        <f aca="false">IFERROR(AVERAGEIFS(FX_Daily!I$15:I$2821,FX_Daily!$A$15:$A$2821,"&gt;="&amp;$A90,FX_Daily!$A$15:$A$2821,"&lt;="&amp;EOMONTH($A90,0)),"")</f>
        <v>1.08187368421053</v>
      </c>
      <c r="J90" s="10" t="n">
        <f aca="false">IFERROR(AVERAGEIFS(FX_Daily!J$15:J$2821,FX_Daily!$A$15:$A$2821,"&gt;="&amp;$A90,FX_Daily!$A$15:$A$2821,"&lt;="&amp;EOMONTH($A90,0)),"")</f>
        <v>9.61905263157895</v>
      </c>
      <c r="K90" s="10" t="n">
        <f aca="false">IFERROR(AVERAGEIFS(FX_Daily!K$15:K$2821,FX_Daily!$A$15:$A$2821,"&gt;="&amp;$A90,FX_Daily!$A$15:$A$2821,"&lt;="&amp;EOMONTH($A90,0)),"")</f>
        <v>1337.57631578947</v>
      </c>
      <c r="L90" s="10" t="n">
        <f aca="false">IFERROR(AVERAGEIFS(FX_Daily!L$15:L$2821,FX_Daily!$A$15:$A$2821,"&gt;="&amp;$A90,FX_Daily!$A$15:$A$2821,"&lt;="&amp;EOMONTH($A90,0)),"")</f>
        <v>0.83655</v>
      </c>
      <c r="M90" s="10" t="n">
        <f aca="false">IFERROR(AVERAGEIFS(FX_Daily!M$15:M$2821,FX_Daily!$A$15:$A$2821,"&gt;="&amp;$A90,FX_Daily!$A$15:$A$2821,"&lt;="&amp;EOMONTH($A90,0)),"")</f>
        <v>6.96049473684211</v>
      </c>
      <c r="N90" s="10" t="n">
        <f aca="false">IFERROR(AVERAGEIFS(FX_Daily!N$15:N$2821,FX_Daily!$A$15:$A$2821,"&gt;="&amp;$A90,FX_Daily!$A$15:$A$2821,"&lt;="&amp;EOMONTH($A90,0)),"")</f>
        <v>5.13418421052632</v>
      </c>
      <c r="O90" s="10" t="n">
        <f aca="false">IFERROR(AVERAGEIFS(FX_Daily!O$15:O$2821,FX_Daily!$A$15:$A$2821,"&gt;="&amp;$A90,FX_Daily!$A$15:$A$2821,"&lt;="&amp;EOMONTH($A90,0)),"")</f>
        <v>136.606315789474</v>
      </c>
      <c r="P90" s="10" t="n">
        <f aca="false">IFERROR(AVERAGEIFS(FX_Daily!P$15:P$2821,FX_Daily!$A$15:$A$2821,"&gt;="&amp;$A90,FX_Daily!$A$15:$A$2821,"&lt;="&amp;EOMONTH($A90,0)),"")</f>
        <v>8.90128333333333</v>
      </c>
      <c r="Q90" s="15" t="n">
        <f aca="false">COUNTIFS(FX_Daily!$A$15:$A$2821,"&gt;="&amp;$A90,FX_Daily!$A$15:$A$2821,"&lt;="&amp;EOMONTH($A90,0),FX_Daily!C$15:C$2821,"&gt;0")</f>
        <v>21</v>
      </c>
      <c r="R90" s="16" t="str">
        <f aca="false">IF(EOMONTH($A90,0)&gt;FX_Daily!$C$11,"partial month","complete")</f>
        <v>complete</v>
      </c>
    </row>
    <row r="91" customFormat="false" ht="15" hidden="false" customHeight="false" outlineLevel="0" collapsed="false">
      <c r="A91" s="17" t="n">
        <v>44682</v>
      </c>
      <c r="B91" s="10" t="n">
        <f aca="false">IFERROR(AVERAGEIFS(FX_Daily!B$15:B$2821,FX_Daily!$A$15:$A$2821,"&gt;="&amp;$A91,FX_Daily!$A$15:$A$2821,"&lt;="&amp;EOMONTH($A91,0)),"")</f>
        <v>1268.8080952381</v>
      </c>
      <c r="C91" s="10" t="n">
        <f aca="false">IFERROR(AVERAGEIFS(FX_Daily!C$15:C$2821,FX_Daily!$A$15:$A$2821,"&gt;="&amp;$A91,FX_Daily!$A$15:$A$2821,"&lt;="&amp;EOMONTH($A91,0)),"")</f>
        <v>9.61369523809524</v>
      </c>
      <c r="D91" s="10" t="n">
        <f aca="false">IFERROR(AVERAGEIFS(FX_Daily!D$15:D$2821,FX_Daily!$A$15:$A$2821,"&gt;="&amp;$A91,FX_Daily!$A$15:$A$2821,"&lt;="&amp;EOMONTH($A91,0)),"")</f>
        <v>1.2438380952381</v>
      </c>
      <c r="E91" s="10" t="n">
        <f aca="false">IFERROR(AVERAGEIFS(FX_Daily!E$15:E$2821,FX_Daily!$A$15:$A$2821,"&gt;="&amp;$A91,FX_Daily!$A$15:$A$2821,"&lt;="&amp;EOMONTH($A91,0)),"")</f>
        <v>1.05671904761905</v>
      </c>
      <c r="F91" s="10" t="n">
        <f aca="false">IFERROR(AVERAGEIFS(FX_Daily!F$15:F$2821,FX_Daily!$A$15:$A$2821,"&gt;="&amp;$A91,FX_Daily!$A$15:$A$2821,"&lt;="&amp;EOMONTH($A91,0)),"")</f>
        <v>6.69895714285714</v>
      </c>
      <c r="G91" s="10" t="n">
        <f aca="false">IFERROR(AVERAGEIFS(FX_Daily!G$15:G$2821,FX_Daily!$A$15:$A$2821,"&gt;="&amp;$A91,FX_Daily!$A$15:$A$2821,"&lt;="&amp;EOMONTH($A91,0)),"")</f>
        <v>4.96149047619048</v>
      </c>
      <c r="H91" s="10" t="n">
        <f aca="false">IFERROR(AVERAGEIFS(FX_Daily!H$15:H$2821,FX_Daily!$A$15:$A$2821,"&gt;="&amp;$A91,FX_Daily!$A$15:$A$2821,"&lt;="&amp;EOMONTH($A91,0)),"")</f>
        <v>128.848571428571</v>
      </c>
      <c r="I91" s="10" t="n">
        <f aca="false">IFERROR(AVERAGEIFS(FX_Daily!I$15:I$2821,FX_Daily!$A$15:$A$2821,"&gt;="&amp;$A91,FX_Daily!$A$15:$A$2821,"&lt;="&amp;EOMONTH($A91,0)),"")</f>
        <v>1.05785</v>
      </c>
      <c r="J91" s="10" t="n">
        <f aca="false">IFERROR(AVERAGEIFS(FX_Daily!J$15:J$2821,FX_Daily!$A$15:$A$2821,"&gt;="&amp;$A91,FX_Daily!$A$15:$A$2821,"&lt;="&amp;EOMONTH($A91,0)),"")</f>
        <v>10.1452545454545</v>
      </c>
      <c r="K91" s="10" t="n">
        <f aca="false">IFERROR(AVERAGEIFS(FX_Daily!K$15:K$2821,FX_Daily!$A$15:$A$2821,"&gt;="&amp;$A91,FX_Daily!$A$15:$A$2821,"&lt;="&amp;EOMONTH($A91,0)),"")</f>
        <v>1340.10409090909</v>
      </c>
      <c r="L91" s="10" t="n">
        <f aca="false">IFERROR(AVERAGEIFS(FX_Daily!L$15:L$2821,FX_Daily!$A$15:$A$2821,"&gt;="&amp;$A91,FX_Daily!$A$15:$A$2821,"&lt;="&amp;EOMONTH($A91,0)),"")</f>
        <v>0.849685</v>
      </c>
      <c r="M91" s="10" t="n">
        <f aca="false">IFERROR(AVERAGEIFS(FX_Daily!M$15:M$2821,FX_Daily!$A$15:$A$2821,"&gt;="&amp;$A91,FX_Daily!$A$15:$A$2821,"&lt;="&amp;EOMONTH($A91,0)),"")</f>
        <v>7.08295</v>
      </c>
      <c r="N91" s="10" t="n">
        <f aca="false">IFERROR(AVERAGEIFS(FX_Daily!N$15:N$2821,FX_Daily!$A$15:$A$2821,"&gt;="&amp;$A91,FX_Daily!$A$15:$A$2821,"&lt;="&amp;EOMONTH($A91,0)),"")</f>
        <v>5.24599090909091</v>
      </c>
      <c r="O91" s="10" t="n">
        <f aca="false">IFERROR(AVERAGEIFS(FX_Daily!O$15:O$2821,FX_Daily!$A$15:$A$2821,"&gt;="&amp;$A91,FX_Daily!$A$15:$A$2821,"&lt;="&amp;EOMONTH($A91,0)),"")</f>
        <v>136.240909090909</v>
      </c>
      <c r="P91" s="10" t="n">
        <f aca="false">IFERROR(AVERAGEIFS(FX_Daily!P$15:P$2821,FX_Daily!$A$15:$A$2821,"&gt;="&amp;$A91,FX_Daily!$A$15:$A$2821,"&lt;="&amp;EOMONTH($A91,0)),"")</f>
        <v>9.58748</v>
      </c>
      <c r="Q91" s="15" t="n">
        <f aca="false">COUNTIFS(FX_Daily!$A$15:$A$2821,"&gt;="&amp;$A91,FX_Daily!$A$15:$A$2821,"&lt;="&amp;EOMONTH($A91,0),FX_Daily!C$15:C$2821,"&gt;0")</f>
        <v>21</v>
      </c>
      <c r="R91" s="16" t="str">
        <f aca="false">IF(EOMONTH($A91,0)&gt;FX_Daily!$C$11,"partial month","complete")</f>
        <v>complete</v>
      </c>
    </row>
    <row r="92" customFormat="false" ht="15" hidden="false" customHeight="false" outlineLevel="0" collapsed="false">
      <c r="A92" s="17" t="n">
        <v>44713</v>
      </c>
      <c r="B92" s="10" t="n">
        <f aca="false">IFERROR(AVERAGEIFS(FX_Daily!B$15:B$2821,FX_Daily!$A$15:$A$2821,"&gt;="&amp;$A92,FX_Daily!$A$15:$A$2821,"&lt;="&amp;EOMONTH($A92,0)),"")</f>
        <v>1277.40571428571</v>
      </c>
      <c r="C92" s="10" t="n">
        <f aca="false">IFERROR(AVERAGEIFS(FX_Daily!C$15:C$2821,FX_Daily!$A$15:$A$2821,"&gt;="&amp;$A92,FX_Daily!$A$15:$A$2821,"&lt;="&amp;EOMONTH($A92,0)),"")</f>
        <v>9.7478</v>
      </c>
      <c r="D92" s="10" t="n">
        <f aca="false">IFERROR(AVERAGEIFS(FX_Daily!D$15:D$2821,FX_Daily!$A$15:$A$2821,"&gt;="&amp;$A92,FX_Daily!$A$15:$A$2821,"&lt;="&amp;EOMONTH($A92,0)),"")</f>
        <v>1.23204285714286</v>
      </c>
      <c r="E92" s="10" t="n">
        <f aca="false">IFERROR(AVERAGEIFS(FX_Daily!E$15:E$2821,FX_Daily!$A$15:$A$2821,"&gt;="&amp;$A92,FX_Daily!$A$15:$A$2821,"&lt;="&amp;EOMONTH($A92,0)),"")</f>
        <v>1.05671904761905</v>
      </c>
      <c r="F92" s="10" t="n">
        <f aca="false">IFERROR(AVERAGEIFS(FX_Daily!F$15:F$2821,FX_Daily!$A$15:$A$2821,"&gt;="&amp;$A92,FX_Daily!$A$15:$A$2821,"&lt;="&amp;EOMONTH($A92,0)),"")</f>
        <v>6.69519047619048</v>
      </c>
      <c r="G92" s="10" t="n">
        <f aca="false">IFERROR(AVERAGEIFS(FX_Daily!G$15:G$2821,FX_Daily!$A$15:$A$2821,"&gt;="&amp;$A92,FX_Daily!$A$15:$A$2821,"&lt;="&amp;EOMONTH($A92,0)),"")</f>
        <v>5.04768095238095</v>
      </c>
      <c r="H92" s="10" t="n">
        <f aca="false">IFERROR(AVERAGEIFS(FX_Daily!H$15:H$2821,FX_Daily!$A$15:$A$2821,"&gt;="&amp;$A92,FX_Daily!$A$15:$A$2821,"&lt;="&amp;EOMONTH($A92,0)),"")</f>
        <v>133.961904761905</v>
      </c>
      <c r="I92" s="10" t="n">
        <f aca="false">IFERROR(AVERAGEIFS(FX_Daily!I$15:I$2821,FX_Daily!$A$15:$A$2821,"&gt;="&amp;$A92,FX_Daily!$A$15:$A$2821,"&lt;="&amp;EOMONTH($A92,0)),"")</f>
        <v>1.05658181818182</v>
      </c>
      <c r="J92" s="10" t="n">
        <f aca="false">IFERROR(AVERAGEIFS(FX_Daily!J$15:J$2821,FX_Daily!$A$15:$A$2821,"&gt;="&amp;$A92,FX_Daily!$A$15:$A$2821,"&lt;="&amp;EOMONTH($A92,0)),"")</f>
        <v>10.29715</v>
      </c>
      <c r="K92" s="10" t="n">
        <f aca="false">IFERROR(AVERAGEIFS(FX_Daily!K$15:K$2821,FX_Daily!$A$15:$A$2821,"&gt;="&amp;$A92,FX_Daily!$A$15:$A$2821,"&lt;="&amp;EOMONTH($A92,0)),"")</f>
        <v>1351.46772727273</v>
      </c>
      <c r="L92" s="10" t="n">
        <f aca="false">IFERROR(AVERAGEIFS(FX_Daily!L$15:L$2821,FX_Daily!$A$15:$A$2821,"&gt;="&amp;$A92,FX_Daily!$A$15:$A$2821,"&lt;="&amp;EOMONTH($A92,0)),"")</f>
        <v>0.857590909090909</v>
      </c>
      <c r="M92" s="10" t="n">
        <f aca="false">IFERROR(AVERAGEIFS(FX_Daily!M$15:M$2821,FX_Daily!$A$15:$A$2821,"&gt;="&amp;$A92,FX_Daily!$A$15:$A$2821,"&lt;="&amp;EOMONTH($A92,0)),"")</f>
        <v>7.07342727272727</v>
      </c>
      <c r="N92" s="10" t="n">
        <f aca="false">IFERROR(AVERAGEIFS(FX_Daily!N$15:N$2821,FX_Daily!$A$15:$A$2821,"&gt;="&amp;$A92,FX_Daily!$A$15:$A$2821,"&lt;="&amp;EOMONTH($A92,0)),"")</f>
        <v>5.32089090909091</v>
      </c>
      <c r="O92" s="10" t="n">
        <f aca="false">IFERROR(AVERAGEIFS(FX_Daily!O$15:O$2821,FX_Daily!$A$15:$A$2821,"&gt;="&amp;$A92,FX_Daily!$A$15:$A$2821,"&lt;="&amp;EOMONTH($A92,0)),"")</f>
        <v>141.568636363636</v>
      </c>
      <c r="P92" s="10" t="n">
        <f aca="false">IFERROR(AVERAGEIFS(FX_Daily!P$15:P$2821,FX_Daily!$A$15:$A$2821,"&gt;="&amp;$A92,FX_Daily!$A$15:$A$2821,"&lt;="&amp;EOMONTH($A92,0)),"")</f>
        <v>9.7645</v>
      </c>
      <c r="Q92" s="15" t="n">
        <f aca="false">COUNTIFS(FX_Daily!$A$15:$A$2821,"&gt;="&amp;$A92,FX_Daily!$A$15:$A$2821,"&lt;="&amp;EOMONTH($A92,0),FX_Daily!C$15:C$2821,"&gt;0")</f>
        <v>21</v>
      </c>
      <c r="R92" s="16" t="str">
        <f aca="false">IF(EOMONTH($A92,0)&gt;FX_Daily!$C$11,"partial month","complete")</f>
        <v>complete</v>
      </c>
    </row>
    <row r="93" customFormat="false" ht="15" hidden="false" customHeight="false" outlineLevel="0" collapsed="false">
      <c r="A93" s="17" t="n">
        <v>44743</v>
      </c>
      <c r="B93" s="10" t="n">
        <f aca="false">IFERROR(AVERAGEIFS(FX_Daily!B$15:B$2821,FX_Daily!$A$15:$A$2821,"&gt;="&amp;$A93,FX_Daily!$A$15:$A$2821,"&lt;="&amp;EOMONTH($A93,0)),"")</f>
        <v>1308.0295</v>
      </c>
      <c r="C93" s="10" t="n">
        <f aca="false">IFERROR(AVERAGEIFS(FX_Daily!C$15:C$2821,FX_Daily!$A$15:$A$2821,"&gt;="&amp;$A93,FX_Daily!$A$15:$A$2821,"&lt;="&amp;EOMONTH($A93,0)),"")</f>
        <v>10.007715</v>
      </c>
      <c r="D93" s="10" t="n">
        <f aca="false">IFERROR(AVERAGEIFS(FX_Daily!D$15:D$2821,FX_Daily!$A$15:$A$2821,"&gt;="&amp;$A93,FX_Daily!$A$15:$A$2821,"&lt;="&amp;EOMONTH($A93,0)),"")</f>
        <v>1.198665</v>
      </c>
      <c r="E93" s="10" t="n">
        <f aca="false">IFERROR(AVERAGEIFS(FX_Daily!E$15:E$2821,FX_Daily!$A$15:$A$2821,"&gt;="&amp;$A93,FX_Daily!$A$15:$A$2821,"&lt;="&amp;EOMONTH($A93,0)),"")</f>
        <v>1.016825</v>
      </c>
      <c r="F93" s="10" t="n">
        <f aca="false">IFERROR(AVERAGEIFS(FX_Daily!F$15:F$2821,FX_Daily!$A$15:$A$2821,"&gt;="&amp;$A93,FX_Daily!$A$15:$A$2821,"&lt;="&amp;EOMONTH($A93,0)),"")</f>
        <v>6.735155</v>
      </c>
      <c r="G93" s="10" t="n">
        <f aca="false">IFERROR(AVERAGEIFS(FX_Daily!G$15:G$2821,FX_Daily!$A$15:$A$2821,"&gt;="&amp;$A93,FX_Daily!$A$15:$A$2821,"&lt;="&amp;EOMONTH($A93,0)),"")</f>
        <v>5.368245</v>
      </c>
      <c r="H93" s="10" t="n">
        <f aca="false">IFERROR(AVERAGEIFS(FX_Daily!H$15:H$2821,FX_Daily!$A$15:$A$2821,"&gt;="&amp;$A93,FX_Daily!$A$15:$A$2821,"&lt;="&amp;EOMONTH($A93,0)),"")</f>
        <v>136.709</v>
      </c>
      <c r="I93" s="10" t="n">
        <f aca="false">IFERROR(AVERAGEIFS(FX_Daily!I$15:I$2821,FX_Daily!$A$15:$A$2821,"&gt;="&amp;$A93,FX_Daily!$A$15:$A$2821,"&lt;="&amp;EOMONTH($A93,0)),"")</f>
        <v>1.01789047619048</v>
      </c>
      <c r="J93" s="10" t="n">
        <f aca="false">IFERROR(AVERAGEIFS(FX_Daily!J$15:J$2821,FX_Daily!$A$15:$A$2821,"&gt;="&amp;$A93,FX_Daily!$A$15:$A$2821,"&lt;="&amp;EOMONTH($A93,0)),"")</f>
        <v>10.1822857142857</v>
      </c>
      <c r="K93" s="10" t="n">
        <f aca="false">IFERROR(AVERAGEIFS(FX_Daily!K$15:K$2821,FX_Daily!$A$15:$A$2821,"&gt;="&amp;$A93,FX_Daily!$A$15:$A$2821,"&lt;="&amp;EOMONTH($A93,0)),"")</f>
        <v>1331.99952380952</v>
      </c>
      <c r="L93" s="10" t="n">
        <f aca="false">IFERROR(AVERAGEIFS(FX_Daily!L$15:L$2821,FX_Daily!$A$15:$A$2821,"&gt;="&amp;$A93,FX_Daily!$A$15:$A$2821,"&lt;="&amp;EOMONTH($A93,0)),"")</f>
        <v>0.849552857142857</v>
      </c>
      <c r="M93" s="10" t="n">
        <f aca="false">IFERROR(AVERAGEIFS(FX_Daily!M$15:M$2821,FX_Daily!$A$15:$A$2821,"&gt;="&amp;$A93,FX_Daily!$A$15:$A$2821,"&lt;="&amp;EOMONTH($A93,0)),"")</f>
        <v>6.85384285714286</v>
      </c>
      <c r="N93" s="10" t="n">
        <f aca="false">IFERROR(AVERAGEIFS(FX_Daily!N$15:N$2821,FX_Daily!$A$15:$A$2821,"&gt;="&amp;$A93,FX_Daily!$A$15:$A$2821,"&lt;="&amp;EOMONTH($A93,0)),"")</f>
        <v>5.47178571428571</v>
      </c>
      <c r="O93" s="10" t="n">
        <f aca="false">IFERROR(AVERAGEIFS(FX_Daily!O$15:O$2821,FX_Daily!$A$15:$A$2821,"&gt;="&amp;$A93,FX_Daily!$A$15:$A$2821,"&lt;="&amp;EOMONTH($A93,0)),"")</f>
        <v>139.17380952381</v>
      </c>
      <c r="P93" s="10" t="n">
        <f aca="false">IFERROR(AVERAGEIFS(FX_Daily!P$15:P$2821,FX_Daily!$A$15:$A$2821,"&gt;="&amp;$A93,FX_Daily!$A$15:$A$2821,"&lt;="&amp;EOMONTH($A93,0)),"")</f>
        <v>10.0042380952381</v>
      </c>
      <c r="Q93" s="15" t="n">
        <f aca="false">COUNTIFS(FX_Daily!$A$15:$A$2821,"&gt;="&amp;$A93,FX_Daily!$A$15:$A$2821,"&lt;="&amp;EOMONTH($A93,0),FX_Daily!C$15:C$2821,"&gt;0")</f>
        <v>20</v>
      </c>
      <c r="R93" s="16" t="str">
        <f aca="false">IF(EOMONTH($A93,0)&gt;FX_Daily!$C$11,"partial month","complete")</f>
        <v>complete</v>
      </c>
    </row>
    <row r="94" customFormat="false" ht="15" hidden="false" customHeight="false" outlineLevel="0" collapsed="false">
      <c r="A94" s="17" t="n">
        <v>44774</v>
      </c>
      <c r="B94" s="10" t="n">
        <f aca="false">IFERROR(AVERAGEIFS(FX_Daily!B$15:B$2821,FX_Daily!$A$15:$A$2821,"&gt;="&amp;$A94,FX_Daily!$A$15:$A$2821,"&lt;="&amp;EOMONTH($A94,0)),"")</f>
        <v>1319.41217391304</v>
      </c>
      <c r="C94" s="10" t="n">
        <f aca="false">IFERROR(AVERAGEIFS(FX_Daily!C$15:C$2821,FX_Daily!$A$15:$A$2821,"&gt;="&amp;$A94,FX_Daily!$A$15:$A$2821,"&lt;="&amp;EOMONTH($A94,0)),"")</f>
        <v>9.71018260869565</v>
      </c>
      <c r="D94" s="10" t="n">
        <f aca="false">IFERROR(AVERAGEIFS(FX_Daily!D$15:D$2821,FX_Daily!$A$15:$A$2821,"&gt;="&amp;$A94,FX_Daily!$A$15:$A$2821,"&lt;="&amp;EOMONTH($A94,0)),"")</f>
        <v>1.1983</v>
      </c>
      <c r="E94" s="10" t="n">
        <f aca="false">IFERROR(AVERAGEIFS(FX_Daily!E$15:E$2821,FX_Daily!$A$15:$A$2821,"&gt;="&amp;$A94,FX_Daily!$A$15:$A$2821,"&lt;="&amp;EOMONTH($A94,0)),"")</f>
        <v>1.01287826086957</v>
      </c>
      <c r="F94" s="10" t="n">
        <f aca="false">IFERROR(AVERAGEIFS(FX_Daily!F$15:F$2821,FX_Daily!$A$15:$A$2821,"&gt;="&amp;$A94,FX_Daily!$A$15:$A$2821,"&lt;="&amp;EOMONTH($A94,0)),"")</f>
        <v>6.80067826086957</v>
      </c>
      <c r="G94" s="10" t="n">
        <f aca="false">IFERROR(AVERAGEIFS(FX_Daily!G$15:G$2821,FX_Daily!$A$15:$A$2821,"&gt;="&amp;$A94,FX_Daily!$A$15:$A$2821,"&lt;="&amp;EOMONTH($A94,0)),"")</f>
        <v>5.14041304347826</v>
      </c>
      <c r="H94" s="10" t="n">
        <f aca="false">IFERROR(AVERAGEIFS(FX_Daily!H$15:H$2821,FX_Daily!$A$15:$A$2821,"&gt;="&amp;$A94,FX_Daily!$A$15:$A$2821,"&lt;="&amp;EOMONTH($A94,0)),"")</f>
        <v>135.28347826087</v>
      </c>
      <c r="I94" s="10" t="n">
        <f aca="false">IFERROR(AVERAGEIFS(FX_Daily!I$15:I$2821,FX_Daily!$A$15:$A$2821,"&gt;="&amp;$A94,FX_Daily!$A$15:$A$2821,"&lt;="&amp;EOMONTH($A94,0)),"")</f>
        <v>1.01284347826087</v>
      </c>
      <c r="J94" s="10" t="n">
        <f aca="false">IFERROR(AVERAGEIFS(FX_Daily!J$15:J$2821,FX_Daily!$A$15:$A$2821,"&gt;="&amp;$A94,FX_Daily!$A$15:$A$2821,"&lt;="&amp;EOMONTH($A94,0)),"")</f>
        <v>9.8308652173913</v>
      </c>
      <c r="K94" s="10" t="n">
        <f aca="false">IFERROR(AVERAGEIFS(FX_Daily!K$15:K$2821,FX_Daily!$A$15:$A$2821,"&gt;="&amp;$A94,FX_Daily!$A$15:$A$2821,"&lt;="&amp;EOMONTH($A94,0)),"")</f>
        <v>1337.90260869565</v>
      </c>
      <c r="L94" s="10" t="n">
        <f aca="false">IFERROR(AVERAGEIFS(FX_Daily!L$15:L$2821,FX_Daily!$A$15:$A$2821,"&gt;="&amp;$A94,FX_Daily!$A$15:$A$2821,"&lt;="&amp;EOMONTH($A94,0)),"")</f>
        <v>0.844988260869565</v>
      </c>
      <c r="M94" s="10" t="n">
        <f aca="false">IFERROR(AVERAGEIFS(FX_Daily!M$15:M$2821,FX_Daily!$A$15:$A$2821,"&gt;="&amp;$A94,FX_Daily!$A$15:$A$2821,"&lt;="&amp;EOMONTH($A94,0)),"")</f>
        <v>6.88840869565217</v>
      </c>
      <c r="N94" s="10" t="n">
        <f aca="false">IFERROR(AVERAGEIFS(FX_Daily!N$15:N$2821,FX_Daily!$A$15:$A$2821,"&gt;="&amp;$A94,FX_Daily!$A$15:$A$2821,"&lt;="&amp;EOMONTH($A94,0)),"")</f>
        <v>5.21109130434783</v>
      </c>
      <c r="O94" s="10" t="n">
        <f aca="false">IFERROR(AVERAGEIFS(FX_Daily!O$15:O$2821,FX_Daily!$A$15:$A$2821,"&gt;="&amp;$A94,FX_Daily!$A$15:$A$2821,"&lt;="&amp;EOMONTH($A94,0)),"")</f>
        <v>136.854782608696</v>
      </c>
      <c r="P94" s="10" t="n">
        <f aca="false">IFERROR(AVERAGEIFS(FX_Daily!P$15:P$2821,FX_Daily!$A$15:$A$2821,"&gt;="&amp;$A94,FX_Daily!$A$15:$A$2821,"&lt;="&amp;EOMONTH($A94,0)),"")</f>
        <v>9.70682608695652</v>
      </c>
      <c r="Q94" s="15" t="n">
        <f aca="false">COUNTIFS(FX_Daily!$A$15:$A$2821,"&gt;="&amp;$A94,FX_Daily!$A$15:$A$2821,"&lt;="&amp;EOMONTH($A94,0),FX_Daily!C$15:C$2821,"&gt;0")</f>
        <v>23</v>
      </c>
      <c r="R94" s="16" t="str">
        <f aca="false">IF(EOMONTH($A94,0)&gt;FX_Daily!$C$11,"partial month","complete")</f>
        <v>complete</v>
      </c>
    </row>
    <row r="95" customFormat="false" ht="15" hidden="false" customHeight="false" outlineLevel="0" collapsed="false">
      <c r="A95" s="17" t="n">
        <v>44805</v>
      </c>
      <c r="B95" s="10" t="n">
        <f aca="false">IFERROR(AVERAGEIFS(FX_Daily!B$15:B$2821,FX_Daily!$A$15:$A$2821,"&gt;="&amp;$A95,FX_Daily!$A$15:$A$2821,"&lt;="&amp;EOMONTH($A95,0)),"")</f>
        <v>1396.37285714286</v>
      </c>
      <c r="C95" s="10" t="n">
        <f aca="false">IFERROR(AVERAGEIFS(FX_Daily!C$15:C$2821,FX_Daily!$A$15:$A$2821,"&gt;="&amp;$A95,FX_Daily!$A$15:$A$2821,"&lt;="&amp;EOMONTH($A95,0)),"")</f>
        <v>10.2983476190476</v>
      </c>
      <c r="D95" s="10" t="n">
        <f aca="false">IFERROR(AVERAGEIFS(FX_Daily!D$15:D$2821,FX_Daily!$A$15:$A$2821,"&gt;="&amp;$A95,FX_Daily!$A$15:$A$2821,"&lt;="&amp;EOMONTH($A95,0)),"")</f>
        <v>1.13197142857143</v>
      </c>
      <c r="E95" s="10" t="n">
        <f aca="false">IFERROR(AVERAGEIFS(FX_Daily!E$15:E$2821,FX_Daily!$A$15:$A$2821,"&gt;="&amp;$A95,FX_Daily!$A$15:$A$2821,"&lt;="&amp;EOMONTH($A95,0)),"")</f>
        <v>0.989880952380952</v>
      </c>
      <c r="F95" s="10" t="n">
        <f aca="false">IFERROR(AVERAGEIFS(FX_Daily!F$15:F$2821,FX_Daily!$A$15:$A$2821,"&gt;="&amp;$A95,FX_Daily!$A$15:$A$2821,"&lt;="&amp;EOMONTH($A95,0)),"")</f>
        <v>7.01951428571429</v>
      </c>
      <c r="G95" s="10" t="n">
        <f aca="false">IFERROR(AVERAGEIFS(FX_Daily!G$15:G$2821,FX_Daily!$A$15:$A$2821,"&gt;="&amp;$A95,FX_Daily!$A$15:$A$2821,"&lt;="&amp;EOMONTH($A95,0)),"")</f>
        <v>5.24356666666667</v>
      </c>
      <c r="H95" s="10" t="n">
        <f aca="false">IFERROR(AVERAGEIFS(FX_Daily!H$15:H$2821,FX_Daily!$A$15:$A$2821,"&gt;="&amp;$A95,FX_Daily!$A$15:$A$2821,"&lt;="&amp;EOMONTH($A95,0)),"")</f>
        <v>143.284285714286</v>
      </c>
      <c r="I95" s="10" t="n">
        <f aca="false">IFERROR(AVERAGEIFS(FX_Daily!I$15:I$2821,FX_Daily!$A$15:$A$2821,"&gt;="&amp;$A95,FX_Daily!$A$15:$A$2821,"&lt;="&amp;EOMONTH($A95,0)),"")</f>
        <v>0.990377272727273</v>
      </c>
      <c r="J95" s="10" t="n">
        <f aca="false">IFERROR(AVERAGEIFS(FX_Daily!J$15:J$2821,FX_Daily!$A$15:$A$2821,"&gt;="&amp;$A95,FX_Daily!$A$15:$A$2821,"&lt;="&amp;EOMONTH($A95,0)),"")</f>
        <v>10.1697272727273</v>
      </c>
      <c r="K95" s="10" t="n">
        <f aca="false">IFERROR(AVERAGEIFS(FX_Daily!K$15:K$2821,FX_Daily!$A$15:$A$2821,"&gt;="&amp;$A95,FX_Daily!$A$15:$A$2821,"&lt;="&amp;EOMONTH($A95,0)),"")</f>
        <v>1381.70681818182</v>
      </c>
      <c r="L95" s="10" t="n">
        <f aca="false">IFERROR(AVERAGEIFS(FX_Daily!L$15:L$2821,FX_Daily!$A$15:$A$2821,"&gt;="&amp;$A95,FX_Daily!$A$15:$A$2821,"&lt;="&amp;EOMONTH($A95,0)),"")</f>
        <v>0.874629545454545</v>
      </c>
      <c r="M95" s="10" t="n">
        <f aca="false">IFERROR(AVERAGEIFS(FX_Daily!M$15:M$2821,FX_Daily!$A$15:$A$2821,"&gt;="&amp;$A95,FX_Daily!$A$15:$A$2821,"&lt;="&amp;EOMONTH($A95,0)),"")</f>
        <v>6.95077272727273</v>
      </c>
      <c r="N95" s="10" t="n">
        <f aca="false">IFERROR(AVERAGEIFS(FX_Daily!N$15:N$2821,FX_Daily!$A$15:$A$2821,"&gt;="&amp;$A95,FX_Daily!$A$15:$A$2821,"&lt;="&amp;EOMONTH($A95,0)),"")</f>
        <v>5.17910454545455</v>
      </c>
      <c r="O95" s="10" t="n">
        <f aca="false">IFERROR(AVERAGEIFS(FX_Daily!O$15:O$2821,FX_Daily!$A$15:$A$2821,"&gt;="&amp;$A95,FX_Daily!$A$15:$A$2821,"&lt;="&amp;EOMONTH($A95,0)),"")</f>
        <v>141.568181818182</v>
      </c>
      <c r="P95" s="10" t="n">
        <f aca="false">IFERROR(AVERAGEIFS(FX_Daily!P$15:P$2821,FX_Daily!$A$15:$A$2821,"&gt;="&amp;$A95,FX_Daily!$A$15:$A$2821,"&lt;="&amp;EOMONTH($A95,0)),"")</f>
        <v>10.2734681818182</v>
      </c>
      <c r="Q95" s="15" t="n">
        <f aca="false">COUNTIFS(FX_Daily!$A$15:$A$2821,"&gt;="&amp;$A95,FX_Daily!$A$15:$A$2821,"&lt;="&amp;EOMONTH($A95,0),FX_Daily!C$15:C$2821,"&gt;0")</f>
        <v>21</v>
      </c>
      <c r="R95" s="16" t="str">
        <f aca="false">IF(EOMONTH($A95,0)&gt;FX_Daily!$C$11,"partial month","complete")</f>
        <v>complete</v>
      </c>
    </row>
    <row r="96" customFormat="false" ht="15" hidden="false" customHeight="false" outlineLevel="0" collapsed="false">
      <c r="A96" s="17" t="n">
        <v>44835</v>
      </c>
      <c r="B96" s="10" t="n">
        <f aca="false">IFERROR(AVERAGEIFS(FX_Daily!B$15:B$2821,FX_Daily!$A$15:$A$2821,"&gt;="&amp;$A96,FX_Daily!$A$15:$A$2821,"&lt;="&amp;EOMONTH($A96,0)),"")</f>
        <v>1426.065</v>
      </c>
      <c r="C96" s="10" t="n">
        <f aca="false">IFERROR(AVERAGEIFS(FX_Daily!C$15:C$2821,FX_Daily!$A$15:$A$2821,"&gt;="&amp;$A96,FX_Daily!$A$15:$A$2821,"&lt;="&amp;EOMONTH($A96,0)),"")</f>
        <v>10.541285</v>
      </c>
      <c r="D96" s="10" t="n">
        <f aca="false">IFERROR(AVERAGEIFS(FX_Daily!D$15:D$2821,FX_Daily!$A$15:$A$2821,"&gt;="&amp;$A96,FX_Daily!$A$15:$A$2821,"&lt;="&amp;EOMONTH($A96,0)),"")</f>
        <v>1.133225</v>
      </c>
      <c r="E96" s="10" t="n">
        <f aca="false">IFERROR(AVERAGEIFS(FX_Daily!E$15:E$2821,FX_Daily!$A$15:$A$2821,"&gt;="&amp;$A96,FX_Daily!$A$15:$A$2821,"&lt;="&amp;EOMONTH($A96,0)),"")</f>
        <v>0.985295</v>
      </c>
      <c r="F96" s="10" t="n">
        <f aca="false">IFERROR(AVERAGEIFS(FX_Daily!F$15:F$2821,FX_Daily!$A$15:$A$2821,"&gt;="&amp;$A96,FX_Daily!$A$15:$A$2821,"&lt;="&amp;EOMONTH($A96,0)),"")</f>
        <v>7.190185</v>
      </c>
      <c r="G96" s="10" t="n">
        <f aca="false">IFERROR(AVERAGEIFS(FX_Daily!G$15:G$2821,FX_Daily!$A$15:$A$2821,"&gt;="&amp;$A96,FX_Daily!$A$15:$A$2821,"&lt;="&amp;EOMONTH($A96,0)),"")</f>
        <v>5.252105</v>
      </c>
      <c r="H96" s="10" t="n">
        <f aca="false">IFERROR(AVERAGEIFS(FX_Daily!H$15:H$2821,FX_Daily!$A$15:$A$2821,"&gt;="&amp;$A96,FX_Daily!$A$15:$A$2821,"&lt;="&amp;EOMONTH($A96,0)),"")</f>
        <v>147.0515</v>
      </c>
      <c r="I96" s="10" t="n">
        <f aca="false">IFERROR(AVERAGEIFS(FX_Daily!I$15:I$2821,FX_Daily!$A$15:$A$2821,"&gt;="&amp;$A96,FX_Daily!$A$15:$A$2821,"&lt;="&amp;EOMONTH($A96,0)),"")</f>
        <v>0.982566666666667</v>
      </c>
      <c r="J96" s="10" t="n">
        <f aca="false">IFERROR(AVERAGEIFS(FX_Daily!J$15:J$2821,FX_Daily!$A$15:$A$2821,"&gt;="&amp;$A96,FX_Daily!$A$15:$A$2821,"&lt;="&amp;EOMONTH($A96,0)),"")</f>
        <v>10.3918904761905</v>
      </c>
      <c r="K96" s="10" t="n">
        <f aca="false">IFERROR(AVERAGEIFS(FX_Daily!K$15:K$2821,FX_Daily!$A$15:$A$2821,"&gt;="&amp;$A96,FX_Daily!$A$15:$A$2821,"&lt;="&amp;EOMONTH($A96,0)),"")</f>
        <v>1403.50666666667</v>
      </c>
      <c r="L96" s="10" t="n">
        <f aca="false">IFERROR(AVERAGEIFS(FX_Daily!L$15:L$2821,FX_Daily!$A$15:$A$2821,"&gt;="&amp;$A96,FX_Daily!$A$15:$A$2821,"&lt;="&amp;EOMONTH($A96,0)),"")</f>
        <v>0.870576666666667</v>
      </c>
      <c r="M96" s="10" t="n">
        <f aca="false">IFERROR(AVERAGEIFS(FX_Daily!M$15:M$2821,FX_Daily!$A$15:$A$2821,"&gt;="&amp;$A96,FX_Daily!$A$15:$A$2821,"&lt;="&amp;EOMONTH($A96,0)),"")</f>
        <v>7.06874285714286</v>
      </c>
      <c r="N96" s="10" t="n">
        <f aca="false">IFERROR(AVERAGEIFS(FX_Daily!N$15:N$2821,FX_Daily!$A$15:$A$2821,"&gt;="&amp;$A96,FX_Daily!$A$15:$A$2821,"&lt;="&amp;EOMONTH($A96,0)),"")</f>
        <v>5.16580952380952</v>
      </c>
      <c r="O96" s="10" t="n">
        <f aca="false">IFERROR(AVERAGEIFS(FX_Daily!O$15:O$2821,FX_Daily!$A$15:$A$2821,"&gt;="&amp;$A96,FX_Daily!$A$15:$A$2821,"&lt;="&amp;EOMONTH($A96,0)),"")</f>
        <v>144.725238095238</v>
      </c>
      <c r="P96" s="10" t="n">
        <f aca="false">IFERROR(AVERAGEIFS(FX_Daily!P$15:P$2821,FX_Daily!$A$15:$A$2821,"&gt;="&amp;$A96,FX_Daily!$A$15:$A$2821,"&lt;="&amp;EOMONTH($A96,0)),"")</f>
        <v>10.5774952380952</v>
      </c>
      <c r="Q96" s="15" t="n">
        <f aca="false">COUNTIFS(FX_Daily!$A$15:$A$2821,"&gt;="&amp;$A96,FX_Daily!$A$15:$A$2821,"&lt;="&amp;EOMONTH($A96,0),FX_Daily!C$15:C$2821,"&gt;0")</f>
        <v>20</v>
      </c>
      <c r="R96" s="16" t="str">
        <f aca="false">IF(EOMONTH($A96,0)&gt;FX_Daily!$C$11,"partial month","complete")</f>
        <v>complete</v>
      </c>
    </row>
    <row r="97" customFormat="false" ht="15" hidden="false" customHeight="false" outlineLevel="0" collapsed="false">
      <c r="A97" s="17" t="n">
        <v>44866</v>
      </c>
      <c r="B97" s="10" t="n">
        <f aca="false">IFERROR(AVERAGEIFS(FX_Daily!B$15:B$2821,FX_Daily!$A$15:$A$2821,"&gt;="&amp;$A97,FX_Daily!$A$15:$A$2821,"&lt;="&amp;EOMONTH($A97,0)),"")</f>
        <v>1361.79</v>
      </c>
      <c r="C97" s="10" t="n">
        <f aca="false">IFERROR(AVERAGEIFS(FX_Daily!C$15:C$2821,FX_Daily!$A$15:$A$2821,"&gt;="&amp;$A97,FX_Daily!$A$15:$A$2821,"&lt;="&amp;EOMONTH($A97,0)),"")</f>
        <v>10.163905</v>
      </c>
      <c r="D97" s="10" t="n">
        <f aca="false">IFERROR(AVERAGEIFS(FX_Daily!D$15:D$2821,FX_Daily!$A$15:$A$2821,"&gt;="&amp;$A97,FX_Daily!$A$15:$A$2821,"&lt;="&amp;EOMONTH($A97,0)),"")</f>
        <v>1.172735</v>
      </c>
      <c r="E97" s="10" t="n">
        <f aca="false">IFERROR(AVERAGEIFS(FX_Daily!E$15:E$2821,FX_Daily!$A$15:$A$2821,"&gt;="&amp;$A97,FX_Daily!$A$15:$A$2821,"&lt;="&amp;EOMONTH($A97,0)),"")</f>
        <v>1.01919</v>
      </c>
      <c r="F97" s="10" t="n">
        <f aca="false">IFERROR(AVERAGEIFS(FX_Daily!F$15:F$2821,FX_Daily!$A$15:$A$2821,"&gt;="&amp;$A97,FX_Daily!$A$15:$A$2821,"&lt;="&amp;EOMONTH($A97,0)),"")</f>
        <v>7.18118</v>
      </c>
      <c r="G97" s="10" t="n">
        <f aca="false">IFERROR(AVERAGEIFS(FX_Daily!G$15:G$2821,FX_Daily!$A$15:$A$2821,"&gt;="&amp;$A97,FX_Daily!$A$15:$A$2821,"&lt;="&amp;EOMONTH($A97,0)),"")</f>
        <v>5.26803</v>
      </c>
      <c r="H97" s="10" t="n">
        <f aca="false">IFERROR(AVERAGEIFS(FX_Daily!H$15:H$2821,FX_Daily!$A$15:$A$2821,"&gt;="&amp;$A97,FX_Daily!$A$15:$A$2821,"&lt;="&amp;EOMONTH($A97,0)),"")</f>
        <v>142.445</v>
      </c>
      <c r="I97" s="10" t="n">
        <f aca="false">IFERROR(AVERAGEIFS(FX_Daily!I$15:I$2821,FX_Daily!$A$15:$A$2821,"&gt;="&amp;$A97,FX_Daily!$A$15:$A$2821,"&lt;="&amp;EOMONTH($A97,0)),"")</f>
        <v>1.02012727272727</v>
      </c>
      <c r="J97" s="10" t="n">
        <f aca="false">IFERROR(AVERAGEIFS(FX_Daily!J$15:J$2821,FX_Daily!$A$15:$A$2821,"&gt;="&amp;$A97,FX_Daily!$A$15:$A$2821,"&lt;="&amp;EOMONTH($A97,0)),"")</f>
        <v>10.3357090909091</v>
      </c>
      <c r="K97" s="10" t="n">
        <f aca="false">IFERROR(AVERAGEIFS(FX_Daily!K$15:K$2821,FX_Daily!$A$15:$A$2821,"&gt;="&amp;$A97,FX_Daily!$A$15:$A$2821,"&lt;="&amp;EOMONTH($A97,0)),"")</f>
        <v>1384.19363636364</v>
      </c>
      <c r="L97" s="10" t="n">
        <f aca="false">IFERROR(AVERAGEIFS(FX_Daily!L$15:L$2821,FX_Daily!$A$15:$A$2821,"&gt;="&amp;$A97,FX_Daily!$A$15:$A$2821,"&lt;="&amp;EOMONTH($A97,0)),"")</f>
        <v>0.868920909090909</v>
      </c>
      <c r="M97" s="10" t="n">
        <f aca="false">IFERROR(AVERAGEIFS(FX_Daily!M$15:M$2821,FX_Daily!$A$15:$A$2821,"&gt;="&amp;$A97,FX_Daily!$A$15:$A$2821,"&lt;="&amp;EOMONTH($A97,0)),"")</f>
        <v>7.31712727272727</v>
      </c>
      <c r="N97" s="10" t="n">
        <f aca="false">IFERROR(AVERAGEIFS(FX_Daily!N$15:N$2821,FX_Daily!$A$15:$A$2821,"&gt;="&amp;$A97,FX_Daily!$A$15:$A$2821,"&lt;="&amp;EOMONTH($A97,0)),"")</f>
        <v>5.38458636363636</v>
      </c>
      <c r="O97" s="10" t="n">
        <f aca="false">IFERROR(AVERAGEIFS(FX_Daily!O$15:O$2821,FX_Daily!$A$15:$A$2821,"&gt;="&amp;$A97,FX_Daily!$A$15:$A$2821,"&lt;="&amp;EOMONTH($A97,0)),"")</f>
        <v>145.124090909091</v>
      </c>
      <c r="P97" s="10" t="n">
        <f aca="false">IFERROR(AVERAGEIFS(FX_Daily!P$15:P$2821,FX_Daily!$A$15:$A$2821,"&gt;="&amp;$A97,FX_Daily!$A$15:$A$2821,"&lt;="&amp;EOMONTH($A97,0)),"")</f>
        <v>10.1355181818182</v>
      </c>
      <c r="Q97" s="15" t="n">
        <f aca="false">COUNTIFS(FX_Daily!$A$15:$A$2821,"&gt;="&amp;$A97,FX_Daily!$A$15:$A$2821,"&lt;="&amp;EOMONTH($A97,0),FX_Daily!C$15:C$2821,"&gt;0")</f>
        <v>20</v>
      </c>
      <c r="R97" s="16" t="str">
        <f aca="false">IF(EOMONTH($A97,0)&gt;FX_Daily!$C$11,"partial month","complete")</f>
        <v>complete</v>
      </c>
    </row>
    <row r="98" customFormat="false" ht="15" hidden="false" customHeight="false" outlineLevel="0" collapsed="false">
      <c r="A98" s="17" t="n">
        <v>44896</v>
      </c>
      <c r="B98" s="10" t="n">
        <f aca="false">IFERROR(AVERAGEIFS(FX_Daily!B$15:B$2821,FX_Daily!$A$15:$A$2821,"&gt;="&amp;$A98,FX_Daily!$A$15:$A$2821,"&lt;="&amp;EOMONTH($A98,0)),"")</f>
        <v>1293.56285714286</v>
      </c>
      <c r="C98" s="10" t="n">
        <f aca="false">IFERROR(AVERAGEIFS(FX_Daily!C$15:C$2821,FX_Daily!$A$15:$A$2821,"&gt;="&amp;$A98,FX_Daily!$A$15:$A$2821,"&lt;="&amp;EOMONTH($A98,0)),"")</f>
        <v>9.88009047619048</v>
      </c>
      <c r="D98" s="10" t="n">
        <f aca="false">IFERROR(AVERAGEIFS(FX_Daily!D$15:D$2821,FX_Daily!$A$15:$A$2821,"&gt;="&amp;$A98,FX_Daily!$A$15:$A$2821,"&lt;="&amp;EOMONTH($A98,0)),"")</f>
        <v>1.21801904761905</v>
      </c>
      <c r="E98" s="10" t="n">
        <f aca="false">IFERROR(AVERAGEIFS(FX_Daily!E$15:E$2821,FX_Daily!$A$15:$A$2821,"&gt;="&amp;$A98,FX_Daily!$A$15:$A$2821,"&lt;="&amp;EOMONTH($A98,0)),"")</f>
        <v>1.05906666666667</v>
      </c>
      <c r="F98" s="10" t="n">
        <f aca="false">IFERROR(AVERAGEIFS(FX_Daily!F$15:F$2821,FX_Daily!$A$15:$A$2821,"&gt;="&amp;$A98,FX_Daily!$A$15:$A$2821,"&lt;="&amp;EOMONTH($A98,0)),"")</f>
        <v>6.97169523809524</v>
      </c>
      <c r="G98" s="10" t="n">
        <f aca="false">IFERROR(AVERAGEIFS(FX_Daily!G$15:G$2821,FX_Daily!$A$15:$A$2821,"&gt;="&amp;$A98,FX_Daily!$A$15:$A$2821,"&lt;="&amp;EOMONTH($A98,0)),"")</f>
        <v>5.24544285714286</v>
      </c>
      <c r="H98" s="10" t="n">
        <f aca="false">IFERROR(AVERAGEIFS(FX_Daily!H$15:H$2821,FX_Daily!$A$15:$A$2821,"&gt;="&amp;$A98,FX_Daily!$A$15:$A$2821,"&lt;="&amp;EOMONTH($A98,0)),"")</f>
        <v>134.914761904762</v>
      </c>
      <c r="I98" s="10" t="n">
        <f aca="false">IFERROR(AVERAGEIFS(FX_Daily!I$15:I$2821,FX_Daily!$A$15:$A$2821,"&gt;="&amp;$A98,FX_Daily!$A$15:$A$2821,"&lt;="&amp;EOMONTH($A98,0)),"")</f>
        <v>1.05888095238095</v>
      </c>
      <c r="J98" s="10" t="n">
        <f aca="false">IFERROR(AVERAGEIFS(FX_Daily!J$15:J$2821,FX_Daily!$A$15:$A$2821,"&gt;="&amp;$A98,FX_Daily!$A$15:$A$2821,"&lt;="&amp;EOMONTH($A98,0)),"")</f>
        <v>10.4480380952381</v>
      </c>
      <c r="K98" s="10" t="n">
        <f aca="false">IFERROR(AVERAGEIFS(FX_Daily!K$15:K$2821,FX_Daily!$A$15:$A$2821,"&gt;="&amp;$A98,FX_Daily!$A$15:$A$2821,"&lt;="&amp;EOMONTH($A98,0)),"")</f>
        <v>1370.59238095238</v>
      </c>
      <c r="L98" s="10" t="n">
        <f aca="false">IFERROR(AVERAGEIFS(FX_Daily!L$15:L$2821,FX_Daily!$A$15:$A$2821,"&gt;="&amp;$A98,FX_Daily!$A$15:$A$2821,"&lt;="&amp;EOMONTH($A98,0)),"")</f>
        <v>0.8695</v>
      </c>
      <c r="M98" s="10" t="n">
        <f aca="false">IFERROR(AVERAGEIFS(FX_Daily!M$15:M$2821,FX_Daily!$A$15:$A$2821,"&gt;="&amp;$A98,FX_Daily!$A$15:$A$2821,"&lt;="&amp;EOMONTH($A98,0)),"")</f>
        <v>7.38588571428571</v>
      </c>
      <c r="N98" s="10" t="n">
        <f aca="false">IFERROR(AVERAGEIFS(FX_Daily!N$15:N$2821,FX_Daily!$A$15:$A$2821,"&gt;="&amp;$A98,FX_Daily!$A$15:$A$2821,"&lt;="&amp;EOMONTH($A98,0)),"")</f>
        <v>5.55890476190476</v>
      </c>
      <c r="O98" s="10" t="n">
        <f aca="false">IFERROR(AVERAGEIFS(FX_Daily!O$15:O$2821,FX_Daily!$A$15:$A$2821,"&gt;="&amp;$A98,FX_Daily!$A$15:$A$2821,"&lt;="&amp;EOMONTH($A98,0)),"")</f>
        <v>142.822380952381</v>
      </c>
      <c r="P98" s="10" t="n">
        <f aca="false">IFERROR(AVERAGEIFS(FX_Daily!P$15:P$2821,FX_Daily!$A$15:$A$2821,"&gt;="&amp;$A98,FX_Daily!$A$15:$A$2821,"&lt;="&amp;EOMONTH($A98,0)),"")</f>
        <v>9.86719523809524</v>
      </c>
      <c r="Q98" s="15" t="n">
        <f aca="false">COUNTIFS(FX_Daily!$A$15:$A$2821,"&gt;="&amp;$A98,FX_Daily!$A$15:$A$2821,"&lt;="&amp;EOMONTH($A98,0),FX_Daily!C$15:C$2821,"&gt;0")</f>
        <v>21</v>
      </c>
      <c r="R98" s="16" t="str">
        <f aca="false">IF(EOMONTH($A98,0)&gt;FX_Daily!$C$11,"partial month","complete")</f>
        <v>complete</v>
      </c>
    </row>
    <row r="99" customFormat="false" ht="15" hidden="false" customHeight="false" outlineLevel="0" collapsed="false">
      <c r="A99" s="17" t="n">
        <v>44927</v>
      </c>
      <c r="B99" s="10" t="n">
        <f aca="false">IFERROR(AVERAGEIFS(FX_Daily!B$15:B$2821,FX_Daily!$A$15:$A$2821,"&gt;="&amp;$A99,FX_Daily!$A$15:$A$2821,"&lt;="&amp;EOMONTH($A99,0)),"")</f>
        <v>1243.0705</v>
      </c>
      <c r="C99" s="10" t="n">
        <f aca="false">IFERROR(AVERAGEIFS(FX_Daily!C$15:C$2821,FX_Daily!$A$15:$A$2821,"&gt;="&amp;$A99,FX_Daily!$A$15:$A$2821,"&lt;="&amp;EOMONTH($A99,0)),"")</f>
        <v>9.94949</v>
      </c>
      <c r="D99" s="10" t="n">
        <f aca="false">IFERROR(AVERAGEIFS(FX_Daily!D$15:D$2821,FX_Daily!$A$15:$A$2821,"&gt;="&amp;$A99,FX_Daily!$A$15:$A$2821,"&lt;="&amp;EOMONTH($A99,0)),"")</f>
        <v>1.223735</v>
      </c>
      <c r="E99" s="10" t="n">
        <f aca="false">IFERROR(AVERAGEIFS(FX_Daily!E$15:E$2821,FX_Daily!$A$15:$A$2821,"&gt;="&amp;$A99,FX_Daily!$A$15:$A$2821,"&lt;="&amp;EOMONTH($A99,0)),"")</f>
        <v>1.07769</v>
      </c>
      <c r="F99" s="10" t="n">
        <f aca="false">IFERROR(AVERAGEIFS(FX_Daily!F$15:F$2821,FX_Daily!$A$15:$A$2821,"&gt;="&amp;$A99,FX_Daily!$A$15:$A$2821,"&lt;="&amp;EOMONTH($A99,0)),"")</f>
        <v>6.790405</v>
      </c>
      <c r="G99" s="10" t="n">
        <f aca="false">IFERROR(AVERAGEIFS(FX_Daily!G$15:G$2821,FX_Daily!$A$15:$A$2821,"&gt;="&amp;$A99,FX_Daily!$A$15:$A$2821,"&lt;="&amp;EOMONTH($A99,0)),"")</f>
        <v>5.192175</v>
      </c>
      <c r="H99" s="10" t="n">
        <f aca="false">IFERROR(AVERAGEIFS(FX_Daily!H$15:H$2821,FX_Daily!$A$15:$A$2821,"&gt;="&amp;$A99,FX_Daily!$A$15:$A$2821,"&lt;="&amp;EOMONTH($A99,0)),"")</f>
        <v>130.4475</v>
      </c>
      <c r="I99" s="10" t="n">
        <f aca="false">IFERROR(AVERAGEIFS(FX_Daily!I$15:I$2821,FX_Daily!$A$15:$A$2821,"&gt;="&amp;$A99,FX_Daily!$A$15:$A$2821,"&lt;="&amp;EOMONTH($A99,0)),"")</f>
        <v>1.0769</v>
      </c>
      <c r="J99" s="10" t="n">
        <f aca="false">IFERROR(AVERAGEIFS(FX_Daily!J$15:J$2821,FX_Daily!$A$15:$A$2821,"&gt;="&amp;$A99,FX_Daily!$A$15:$A$2821,"&lt;="&amp;EOMONTH($A99,0)),"")</f>
        <v>10.71485</v>
      </c>
      <c r="K99" s="10" t="n">
        <f aca="false">IFERROR(AVERAGEIFS(FX_Daily!K$15:K$2821,FX_Daily!$A$15:$A$2821,"&gt;="&amp;$A99,FX_Daily!$A$15:$A$2821,"&lt;="&amp;EOMONTH($A99,0)),"")</f>
        <v>1341.38181818182</v>
      </c>
      <c r="L99" s="10" t="n">
        <f aca="false">IFERROR(AVERAGEIFS(FX_Daily!L$15:L$2821,FX_Daily!$A$15:$A$2821,"&gt;="&amp;$A99,FX_Daily!$A$15:$A$2821,"&lt;="&amp;EOMONTH($A99,0)),"")</f>
        <v>0.882123181818182</v>
      </c>
      <c r="M99" s="10" t="n">
        <f aca="false">IFERROR(AVERAGEIFS(FX_Daily!M$15:M$2821,FX_Daily!$A$15:$A$2821,"&gt;="&amp;$A99,FX_Daily!$A$15:$A$2821,"&lt;="&amp;EOMONTH($A99,0)),"")</f>
        <v>7.3173</v>
      </c>
      <c r="N99" s="10" t="n">
        <f aca="false">IFERROR(AVERAGEIFS(FX_Daily!N$15:N$2821,FX_Daily!$A$15:$A$2821,"&gt;="&amp;$A99,FX_Daily!$A$15:$A$2821,"&lt;="&amp;EOMONTH($A99,0)),"")</f>
        <v>5.60470454545455</v>
      </c>
      <c r="O99" s="10" t="n">
        <f aca="false">IFERROR(AVERAGEIFS(FX_Daily!O$15:O$2821,FX_Daily!$A$15:$A$2821,"&gt;="&amp;$A99,FX_Daily!$A$15:$A$2821,"&lt;="&amp;EOMONTH($A99,0)),"")</f>
        <v>140.544090909091</v>
      </c>
      <c r="P99" s="10" t="n">
        <f aca="false">IFERROR(AVERAGEIFS(FX_Daily!P$15:P$2821,FX_Daily!$A$15:$A$2821,"&gt;="&amp;$A99,FX_Daily!$A$15:$A$2821,"&lt;="&amp;EOMONTH($A99,0)),"")</f>
        <v>9.95057272727273</v>
      </c>
      <c r="Q99" s="15" t="n">
        <f aca="false">COUNTIFS(FX_Daily!$A$15:$A$2821,"&gt;="&amp;$A99,FX_Daily!$A$15:$A$2821,"&lt;="&amp;EOMONTH($A99,0),FX_Daily!C$15:C$2821,"&gt;0")</f>
        <v>20</v>
      </c>
      <c r="R99" s="16" t="str">
        <f aca="false">IF(EOMONTH($A99,0)&gt;FX_Daily!$C$11,"partial month","complete")</f>
        <v>complete</v>
      </c>
    </row>
    <row r="100" customFormat="false" ht="15" hidden="false" customHeight="false" outlineLevel="0" collapsed="false">
      <c r="A100" s="17" t="n">
        <v>44958</v>
      </c>
      <c r="B100" s="10" t="n">
        <f aca="false">IFERROR(AVERAGEIFS(FX_Daily!B$15:B$2821,FX_Daily!$A$15:$A$2821,"&gt;="&amp;$A100,FX_Daily!$A$15:$A$2821,"&lt;="&amp;EOMONTH($A100,0)),"")</f>
        <v>1275.42052631579</v>
      </c>
      <c r="C100" s="10" t="n">
        <f aca="false">IFERROR(AVERAGEIFS(FX_Daily!C$15:C$2821,FX_Daily!$A$15:$A$2821,"&gt;="&amp;$A100,FX_Daily!$A$15:$A$2821,"&lt;="&amp;EOMONTH($A100,0)),"")</f>
        <v>10.2418684210526</v>
      </c>
      <c r="D100" s="10" t="n">
        <f aca="false">IFERROR(AVERAGEIFS(FX_Daily!D$15:D$2821,FX_Daily!$A$15:$A$2821,"&gt;="&amp;$A100,FX_Daily!$A$15:$A$2821,"&lt;="&amp;EOMONTH($A100,0)),"")</f>
        <v>1.2084</v>
      </c>
      <c r="E100" s="10" t="n">
        <f aca="false">IFERROR(AVERAGEIFS(FX_Daily!E$15:E$2821,FX_Daily!$A$15:$A$2821,"&gt;="&amp;$A100,FX_Daily!$A$15:$A$2821,"&lt;="&amp;EOMONTH($A100,0)),"")</f>
        <v>1.07022631578947</v>
      </c>
      <c r="F100" s="10" t="n">
        <f aca="false">IFERROR(AVERAGEIFS(FX_Daily!F$15:F$2821,FX_Daily!$A$15:$A$2821,"&gt;="&amp;$A100,FX_Daily!$A$15:$A$2821,"&lt;="&amp;EOMONTH($A100,0)),"")</f>
        <v>6.83804210526316</v>
      </c>
      <c r="G100" s="10" t="n">
        <f aca="false">IFERROR(AVERAGEIFS(FX_Daily!G$15:G$2821,FX_Daily!$A$15:$A$2821,"&gt;="&amp;$A100,FX_Daily!$A$15:$A$2821,"&lt;="&amp;EOMONTH($A100,0)),"")</f>
        <v>5.18081578947369</v>
      </c>
      <c r="H100" s="10" t="n">
        <f aca="false">IFERROR(AVERAGEIFS(FX_Daily!H$15:H$2821,FX_Daily!$A$15:$A$2821,"&gt;="&amp;$A100,FX_Daily!$A$15:$A$2821,"&lt;="&amp;EOMONTH($A100,0)),"")</f>
        <v>133.046315789474</v>
      </c>
      <c r="I100" s="10" t="n">
        <f aca="false">IFERROR(AVERAGEIFS(FX_Daily!I$15:I$2821,FX_Daily!$A$15:$A$2821,"&gt;="&amp;$A100,FX_Daily!$A$15:$A$2821,"&lt;="&amp;EOMONTH($A100,0)),"")</f>
        <v>1.07151</v>
      </c>
      <c r="J100" s="10" t="n">
        <f aca="false">IFERROR(AVERAGEIFS(FX_Daily!J$15:J$2821,FX_Daily!$A$15:$A$2821,"&gt;="&amp;$A100,FX_Daily!$A$15:$A$2821,"&lt;="&amp;EOMONTH($A100,0)),"")</f>
        <v>10.952935</v>
      </c>
      <c r="K100" s="10" t="n">
        <f aca="false">IFERROR(AVERAGEIFS(FX_Daily!K$15:K$2821,FX_Daily!$A$15:$A$2821,"&gt;="&amp;$A100,FX_Daily!$A$15:$A$2821,"&lt;="&amp;EOMONTH($A100,0)),"")</f>
        <v>1368.7735</v>
      </c>
      <c r="L100" s="10" t="n">
        <f aca="false">IFERROR(AVERAGEIFS(FX_Daily!L$15:L$2821,FX_Daily!$A$15:$A$2821,"&gt;="&amp;$A100,FX_Daily!$A$15:$A$2821,"&lt;="&amp;EOMONTH($A100,0)),"")</f>
        <v>0.8855</v>
      </c>
      <c r="M100" s="10" t="n">
        <f aca="false">IFERROR(AVERAGEIFS(FX_Daily!M$15:M$2821,FX_Daily!$A$15:$A$2821,"&gt;="&amp;$A100,FX_Daily!$A$15:$A$2821,"&lt;="&amp;EOMONTH($A100,0)),"")</f>
        <v>7.32444</v>
      </c>
      <c r="N100" s="10" t="n">
        <f aca="false">IFERROR(AVERAGEIFS(FX_Daily!N$15:N$2821,FX_Daily!$A$15:$A$2821,"&gt;="&amp;$A100,FX_Daily!$A$15:$A$2821,"&lt;="&amp;EOMONTH($A100,0)),"")</f>
        <v>5.538565</v>
      </c>
      <c r="O100" s="10" t="n">
        <f aca="false">IFERROR(AVERAGEIFS(FX_Daily!O$15:O$2821,FX_Daily!$A$15:$A$2821,"&gt;="&amp;$A100,FX_Daily!$A$15:$A$2821,"&lt;="&amp;EOMONTH($A100,0)),"")</f>
        <v>142.377</v>
      </c>
      <c r="P100" s="10" t="n">
        <f aca="false">IFERROR(AVERAGEIFS(FX_Daily!P$15:P$2821,FX_Daily!$A$15:$A$2821,"&gt;="&amp;$A100,FX_Daily!$A$15:$A$2821,"&lt;="&amp;EOMONTH($A100,0)),"")</f>
        <v>10.22314</v>
      </c>
      <c r="Q100" s="15" t="n">
        <f aca="false">COUNTIFS(FX_Daily!$A$15:$A$2821,"&gt;="&amp;$A100,FX_Daily!$A$15:$A$2821,"&lt;="&amp;EOMONTH($A100,0),FX_Daily!C$15:C$2821,"&gt;0")</f>
        <v>19</v>
      </c>
      <c r="R100" s="16" t="str">
        <f aca="false">IF(EOMONTH($A100,0)&gt;FX_Daily!$C$11,"partial month","complete")</f>
        <v>complete</v>
      </c>
    </row>
    <row r="101" customFormat="false" ht="15" hidden="false" customHeight="false" outlineLevel="0" collapsed="false">
      <c r="A101" s="17" t="n">
        <v>44986</v>
      </c>
      <c r="B101" s="10" t="n">
        <f aca="false">IFERROR(AVERAGEIFS(FX_Daily!B$15:B$2821,FX_Daily!$A$15:$A$2821,"&gt;="&amp;$A101,FX_Daily!$A$15:$A$2821,"&lt;="&amp;EOMONTH($A101,0)),"")</f>
        <v>1306.01608695652</v>
      </c>
      <c r="C101" s="10" t="n">
        <f aca="false">IFERROR(AVERAGEIFS(FX_Daily!C$15:C$2821,FX_Daily!$A$15:$A$2821,"&gt;="&amp;$A101,FX_Daily!$A$15:$A$2821,"&lt;="&amp;EOMONTH($A101,0)),"")</f>
        <v>10.5322913043478</v>
      </c>
      <c r="D101" s="10" t="n">
        <f aca="false">IFERROR(AVERAGEIFS(FX_Daily!D$15:D$2821,FX_Daily!$A$15:$A$2821,"&gt;="&amp;$A101,FX_Daily!$A$15:$A$2821,"&lt;="&amp;EOMONTH($A101,0)),"")</f>
        <v>1.21377826086957</v>
      </c>
      <c r="E101" s="10" t="n">
        <f aca="false">IFERROR(AVERAGEIFS(FX_Daily!E$15:E$2821,FX_Daily!$A$15:$A$2821,"&gt;="&amp;$A101,FX_Daily!$A$15:$A$2821,"&lt;="&amp;EOMONTH($A101,0)),"")</f>
        <v>1.0711347826087</v>
      </c>
      <c r="F101" s="10" t="n">
        <f aca="false">IFERROR(AVERAGEIFS(FX_Daily!F$15:F$2821,FX_Daily!$A$15:$A$2821,"&gt;="&amp;$A101,FX_Daily!$A$15:$A$2821,"&lt;="&amp;EOMONTH($A101,0)),"")</f>
        <v>6.89093043478261</v>
      </c>
      <c r="G101" s="10" t="n">
        <f aca="false">IFERROR(AVERAGEIFS(FX_Daily!G$15:G$2821,FX_Daily!$A$15:$A$2821,"&gt;="&amp;$A101,FX_Daily!$A$15:$A$2821,"&lt;="&amp;EOMONTH($A101,0)),"")</f>
        <v>5.20862608695652</v>
      </c>
      <c r="H101" s="10" t="n">
        <f aca="false">IFERROR(AVERAGEIFS(FX_Daily!H$15:H$2821,FX_Daily!$A$15:$A$2821,"&gt;="&amp;$A101,FX_Daily!$A$15:$A$2821,"&lt;="&amp;EOMONTH($A101,0)),"")</f>
        <v>133.664347826087</v>
      </c>
      <c r="I101" s="10" t="n">
        <f aca="false">IFERROR(AVERAGEIFS(FX_Daily!I$15:I$2821,FX_Daily!$A$15:$A$2821,"&gt;="&amp;$A101,FX_Daily!$A$15:$A$2821,"&lt;="&amp;EOMONTH($A101,0)),"")</f>
        <v>1.07058260869565</v>
      </c>
      <c r="J101" s="10" t="n">
        <f aca="false">IFERROR(AVERAGEIFS(FX_Daily!J$15:J$2821,FX_Daily!$A$15:$A$2821,"&gt;="&amp;$A101,FX_Daily!$A$15:$A$2821,"&lt;="&amp;EOMONTH($A101,0)),"")</f>
        <v>11.2857913043478</v>
      </c>
      <c r="K101" s="10" t="n">
        <f aca="false">IFERROR(AVERAGEIFS(FX_Daily!K$15:K$2821,FX_Daily!$A$15:$A$2821,"&gt;="&amp;$A101,FX_Daily!$A$15:$A$2821,"&lt;="&amp;EOMONTH($A101,0)),"")</f>
        <v>1398.25</v>
      </c>
      <c r="L101" s="10" t="n">
        <f aca="false">IFERROR(AVERAGEIFS(FX_Daily!L$15:L$2821,FX_Daily!$A$15:$A$2821,"&gt;="&amp;$A101,FX_Daily!$A$15:$A$2821,"&lt;="&amp;EOMONTH($A101,0)),"")</f>
        <v>0.881920434782609</v>
      </c>
      <c r="M101" s="10" t="n">
        <f aca="false">IFERROR(AVERAGEIFS(FX_Daily!M$15:M$2821,FX_Daily!$A$15:$A$2821,"&gt;="&amp;$A101,FX_Daily!$A$15:$A$2821,"&lt;="&amp;EOMONTH($A101,0)),"")</f>
        <v>7.38068260869565</v>
      </c>
      <c r="N101" s="10" t="n">
        <f aca="false">IFERROR(AVERAGEIFS(FX_Daily!N$15:N$2821,FX_Daily!$A$15:$A$2821,"&gt;="&amp;$A101,FX_Daily!$A$15:$A$2821,"&lt;="&amp;EOMONTH($A101,0)),"")</f>
        <v>5.57840869565218</v>
      </c>
      <c r="O101" s="10" t="n">
        <f aca="false">IFERROR(AVERAGEIFS(FX_Daily!O$15:O$2821,FX_Daily!$A$15:$A$2821,"&gt;="&amp;$A101,FX_Daily!$A$15:$A$2821,"&lt;="&amp;EOMONTH($A101,0)),"")</f>
        <v>143.01</v>
      </c>
      <c r="P101" s="10" t="n">
        <f aca="false">IFERROR(AVERAGEIFS(FX_Daily!P$15:P$2821,FX_Daily!$A$15:$A$2821,"&gt;="&amp;$A101,FX_Daily!$A$15:$A$2821,"&lt;="&amp;EOMONTH($A101,0)),"")</f>
        <v>10.5425217391304</v>
      </c>
      <c r="Q101" s="15" t="n">
        <f aca="false">COUNTIFS(FX_Daily!$A$15:$A$2821,"&gt;="&amp;$A101,FX_Daily!$A$15:$A$2821,"&lt;="&amp;EOMONTH($A101,0),FX_Daily!C$15:C$2821,"&gt;0")</f>
        <v>23</v>
      </c>
      <c r="R101" s="16" t="str">
        <f aca="false">IF(EOMONTH($A101,0)&gt;FX_Daily!$C$11,"partial month","complete")</f>
        <v>complete</v>
      </c>
    </row>
    <row r="102" customFormat="false" ht="15" hidden="false" customHeight="false" outlineLevel="0" collapsed="false">
      <c r="A102" s="17" t="n">
        <v>45017</v>
      </c>
      <c r="B102" s="10" t="n">
        <f aca="false">IFERROR(AVERAGEIFS(FX_Daily!B$15:B$2821,FX_Daily!$A$15:$A$2821,"&gt;="&amp;$A102,FX_Daily!$A$15:$A$2821,"&lt;="&amp;EOMONTH($A102,0)),"")</f>
        <v>1322.057</v>
      </c>
      <c r="C102" s="10" t="n">
        <f aca="false">IFERROR(AVERAGEIFS(FX_Daily!C$15:C$2821,FX_Daily!$A$15:$A$2821,"&gt;="&amp;$A102,FX_Daily!$A$15:$A$2821,"&lt;="&amp;EOMONTH($A102,0)),"")</f>
        <v>10.50407</v>
      </c>
      <c r="D102" s="10" t="n">
        <f aca="false">IFERROR(AVERAGEIFS(FX_Daily!D$15:D$2821,FX_Daily!$A$15:$A$2821,"&gt;="&amp;$A102,FX_Daily!$A$15:$A$2821,"&lt;="&amp;EOMONTH($A102,0)),"")</f>
        <v>1.244575</v>
      </c>
      <c r="E102" s="10" t="n">
        <f aca="false">IFERROR(AVERAGEIFS(FX_Daily!E$15:E$2821,FX_Daily!$A$15:$A$2821,"&gt;="&amp;$A102,FX_Daily!$A$15:$A$2821,"&lt;="&amp;EOMONTH($A102,0)),"")</f>
        <v>1.0962</v>
      </c>
      <c r="F102" s="10" t="n">
        <f aca="false">IFERROR(AVERAGEIFS(FX_Daily!F$15:F$2821,FX_Daily!$A$15:$A$2821,"&gt;="&amp;$A102,FX_Daily!$A$15:$A$2821,"&lt;="&amp;EOMONTH($A102,0)),"")</f>
        <v>6.887565</v>
      </c>
      <c r="G102" s="10" t="n">
        <f aca="false">IFERROR(AVERAGEIFS(FX_Daily!G$15:G$2821,FX_Daily!$A$15:$A$2821,"&gt;="&amp;$A102,FX_Daily!$A$15:$A$2821,"&lt;="&amp;EOMONTH($A102,0)),"")</f>
        <v>5.02152</v>
      </c>
      <c r="H102" s="10" t="n">
        <f aca="false">IFERROR(AVERAGEIFS(FX_Daily!H$15:H$2821,FX_Daily!$A$15:$A$2821,"&gt;="&amp;$A102,FX_Daily!$A$15:$A$2821,"&lt;="&amp;EOMONTH($A102,0)),"")</f>
        <v>133.4745</v>
      </c>
      <c r="I102" s="10" t="n">
        <f aca="false">IFERROR(AVERAGEIFS(FX_Daily!I$15:I$2821,FX_Daily!$A$15:$A$2821,"&gt;="&amp;$A102,FX_Daily!$A$15:$A$2821,"&lt;="&amp;EOMONTH($A102,0)),"")</f>
        <v>1.09677222222222</v>
      </c>
      <c r="J102" s="10" t="n">
        <f aca="false">IFERROR(AVERAGEIFS(FX_Daily!J$15:J$2821,FX_Daily!$A$15:$A$2821,"&gt;="&amp;$A102,FX_Daily!$A$15:$A$2821,"&lt;="&amp;EOMONTH($A102,0)),"")</f>
        <v>11.5186666666667</v>
      </c>
      <c r="K102" s="10" t="n">
        <f aca="false">IFERROR(AVERAGEIFS(FX_Daily!K$15:K$2821,FX_Daily!$A$15:$A$2821,"&gt;="&amp;$A102,FX_Daily!$A$15:$A$2821,"&lt;="&amp;EOMONTH($A102,0)),"")</f>
        <v>1452.07055555556</v>
      </c>
      <c r="L102" s="10" t="n">
        <f aca="false">IFERROR(AVERAGEIFS(FX_Daily!L$15:L$2821,FX_Daily!$A$15:$A$2821,"&gt;="&amp;$A102,FX_Daily!$A$15:$A$2821,"&lt;="&amp;EOMONTH($A102,0)),"")</f>
        <v>0.88115</v>
      </c>
      <c r="M102" s="10" t="n">
        <f aca="false">IFERROR(AVERAGEIFS(FX_Daily!M$15:M$2821,FX_Daily!$A$15:$A$2821,"&gt;="&amp;$A102,FX_Daily!$A$15:$A$2821,"&lt;="&amp;EOMONTH($A102,0)),"")</f>
        <v>7.55612222222222</v>
      </c>
      <c r="N102" s="10" t="n">
        <f aca="false">IFERROR(AVERAGEIFS(FX_Daily!N$15:N$2821,FX_Daily!$A$15:$A$2821,"&gt;="&amp;$A102,FX_Daily!$A$15:$A$2821,"&lt;="&amp;EOMONTH($A102,0)),"")</f>
        <v>5.49951666666667</v>
      </c>
      <c r="O102" s="10" t="n">
        <f aca="false">IFERROR(AVERAGEIFS(FX_Daily!O$15:O$2821,FX_Daily!$A$15:$A$2821,"&gt;="&amp;$A102,FX_Daily!$A$15:$A$2821,"&lt;="&amp;EOMONTH($A102,0)),"")</f>
        <v>146.511111111111</v>
      </c>
      <c r="P102" s="10" t="n">
        <f aca="false">IFERROR(AVERAGEIFS(FX_Daily!P$15:P$2821,FX_Daily!$A$15:$A$2821,"&gt;="&amp;$A102,FX_Daily!$A$15:$A$2821,"&lt;="&amp;EOMONTH($A102,0)),"")</f>
        <v>10.5063764705882</v>
      </c>
      <c r="Q102" s="15" t="n">
        <f aca="false">COUNTIFS(FX_Daily!$A$15:$A$2821,"&gt;="&amp;$A102,FX_Daily!$A$15:$A$2821,"&lt;="&amp;EOMONTH($A102,0),FX_Daily!C$15:C$2821,"&gt;0")</f>
        <v>20</v>
      </c>
      <c r="R102" s="16" t="str">
        <f aca="false">IF(EOMONTH($A102,0)&gt;FX_Daily!$C$11,"partial month","complete")</f>
        <v>complete</v>
      </c>
    </row>
    <row r="103" customFormat="false" ht="15" hidden="false" customHeight="false" outlineLevel="0" collapsed="false">
      <c r="A103" s="17" t="n">
        <v>45047</v>
      </c>
      <c r="B103" s="10" t="n">
        <f aca="false">IFERROR(AVERAGEIFS(FX_Daily!B$15:B$2821,FX_Daily!$A$15:$A$2821,"&gt;="&amp;$A103,FX_Daily!$A$15:$A$2821,"&lt;="&amp;EOMONTH($A103,0)),"")</f>
        <v>1327.48</v>
      </c>
      <c r="C103" s="10" t="n">
        <f aca="false">IFERROR(AVERAGEIFS(FX_Daily!C$15:C$2821,FX_Daily!$A$15:$A$2821,"&gt;="&amp;$A103,FX_Daily!$A$15:$A$2821,"&lt;="&amp;EOMONTH($A103,0)),"")</f>
        <v>10.8075045454545</v>
      </c>
      <c r="D103" s="10" t="n">
        <f aca="false">IFERROR(AVERAGEIFS(FX_Daily!D$15:D$2821,FX_Daily!$A$15:$A$2821,"&gt;="&amp;$A103,FX_Daily!$A$15:$A$2821,"&lt;="&amp;EOMONTH($A103,0)),"")</f>
        <v>1.24837272727273</v>
      </c>
      <c r="E103" s="10" t="n">
        <f aca="false">IFERROR(AVERAGEIFS(FX_Daily!E$15:E$2821,FX_Daily!$A$15:$A$2821,"&gt;="&amp;$A103,FX_Daily!$A$15:$A$2821,"&lt;="&amp;EOMONTH($A103,0)),"")</f>
        <v>1.08670909090909</v>
      </c>
      <c r="F103" s="10" t="n">
        <f aca="false">IFERROR(AVERAGEIFS(FX_Daily!F$15:F$2821,FX_Daily!$A$15:$A$2821,"&gt;="&amp;$A103,FX_Daily!$A$15:$A$2821,"&lt;="&amp;EOMONTH($A103,0)),"")</f>
        <v>6.98535909090909</v>
      </c>
      <c r="G103" s="10" t="n">
        <f aca="false">IFERROR(AVERAGEIFS(FX_Daily!G$15:G$2821,FX_Daily!$A$15:$A$2821,"&gt;="&amp;$A103,FX_Daily!$A$15:$A$2821,"&lt;="&amp;EOMONTH($A103,0)),"")</f>
        <v>4.98127272727273</v>
      </c>
      <c r="H103" s="10" t="n">
        <f aca="false">IFERROR(AVERAGEIFS(FX_Daily!H$15:H$2821,FX_Daily!$A$15:$A$2821,"&gt;="&amp;$A103,FX_Daily!$A$15:$A$2821,"&lt;="&amp;EOMONTH($A103,0)),"")</f>
        <v>137.053181818182</v>
      </c>
      <c r="I103" s="10" t="n">
        <f aca="false">IFERROR(AVERAGEIFS(FX_Daily!I$15:I$2821,FX_Daily!$A$15:$A$2821,"&gt;="&amp;$A103,FX_Daily!$A$15:$A$2821,"&lt;="&amp;EOMONTH($A103,0)),"")</f>
        <v>1.08675</v>
      </c>
      <c r="J103" s="10" t="n">
        <f aca="false">IFERROR(AVERAGEIFS(FX_Daily!J$15:J$2821,FX_Daily!$A$15:$A$2821,"&gt;="&amp;$A103,FX_Daily!$A$15:$A$2821,"&lt;="&amp;EOMONTH($A103,0)),"")</f>
        <v>11.733</v>
      </c>
      <c r="K103" s="10" t="n">
        <f aca="false">IFERROR(AVERAGEIFS(FX_Daily!K$15:K$2821,FX_Daily!$A$15:$A$2821,"&gt;="&amp;$A103,FX_Daily!$A$15:$A$2821,"&lt;="&amp;EOMONTH($A103,0)),"")</f>
        <v>1442.31454545455</v>
      </c>
      <c r="L103" s="10" t="n">
        <f aca="false">IFERROR(AVERAGEIFS(FX_Daily!L$15:L$2821,FX_Daily!$A$15:$A$2821,"&gt;="&amp;$A103,FX_Daily!$A$15:$A$2821,"&lt;="&amp;EOMONTH($A103,0)),"")</f>
        <v>0.870405</v>
      </c>
      <c r="M103" s="10" t="n">
        <f aca="false">IFERROR(AVERAGEIFS(FX_Daily!M$15:M$2821,FX_Daily!$A$15:$A$2821,"&gt;="&amp;$A103,FX_Daily!$A$15:$A$2821,"&lt;="&amp;EOMONTH($A103,0)),"")</f>
        <v>7.59484090909091</v>
      </c>
      <c r="N103" s="10" t="n">
        <f aca="false">IFERROR(AVERAGEIFS(FX_Daily!N$15:N$2821,FX_Daily!$A$15:$A$2821,"&gt;="&amp;$A103,FX_Daily!$A$15:$A$2821,"&lt;="&amp;EOMONTH($A103,0)),"")</f>
        <v>5.40923636363636</v>
      </c>
      <c r="O103" s="10" t="n">
        <f aca="false">IFERROR(AVERAGEIFS(FX_Daily!O$15:O$2821,FX_Daily!$A$15:$A$2821,"&gt;="&amp;$A103,FX_Daily!$A$15:$A$2821,"&lt;="&amp;EOMONTH($A103,0)),"")</f>
        <v>148.925454545455</v>
      </c>
      <c r="P103" s="10" t="n">
        <f aca="false">IFERROR(AVERAGEIFS(FX_Daily!P$15:P$2821,FX_Daily!$A$15:$A$2821,"&gt;="&amp;$A103,FX_Daily!$A$15:$A$2821,"&lt;="&amp;EOMONTH($A103,0)),"")</f>
        <v>10.7764315789474</v>
      </c>
      <c r="Q103" s="15" t="n">
        <f aca="false">COUNTIFS(FX_Daily!$A$15:$A$2821,"&gt;="&amp;$A103,FX_Daily!$A$15:$A$2821,"&lt;="&amp;EOMONTH($A103,0),FX_Daily!C$15:C$2821,"&gt;0")</f>
        <v>22</v>
      </c>
      <c r="R103" s="16" t="str">
        <f aca="false">IF(EOMONTH($A103,0)&gt;FX_Daily!$C$11,"partial month","complete")</f>
        <v>complete</v>
      </c>
    </row>
    <row r="104" customFormat="false" ht="15" hidden="false" customHeight="false" outlineLevel="0" collapsed="false">
      <c r="A104" s="17" t="n">
        <v>45078</v>
      </c>
      <c r="B104" s="10" t="n">
        <f aca="false">IFERROR(AVERAGEIFS(FX_Daily!B$15:B$2821,FX_Daily!$A$15:$A$2821,"&gt;="&amp;$A104,FX_Daily!$A$15:$A$2821,"&lt;="&amp;EOMONTH($A104,0)),"")</f>
        <v>1297.25142857143</v>
      </c>
      <c r="C104" s="10" t="n">
        <f aca="false">IFERROR(AVERAGEIFS(FX_Daily!C$15:C$2821,FX_Daily!$A$15:$A$2821,"&gt;="&amp;$A104,FX_Daily!$A$15:$A$2821,"&lt;="&amp;EOMONTH($A104,0)),"")</f>
        <v>10.7964</v>
      </c>
      <c r="D104" s="10" t="n">
        <f aca="false">IFERROR(AVERAGEIFS(FX_Daily!D$15:D$2821,FX_Daily!$A$15:$A$2821,"&gt;="&amp;$A104,FX_Daily!$A$15:$A$2821,"&lt;="&amp;EOMONTH($A104,0)),"")</f>
        <v>1.26271904761905</v>
      </c>
      <c r="E104" s="10" t="n">
        <f aca="false">IFERROR(AVERAGEIFS(FX_Daily!E$15:E$2821,FX_Daily!$A$15:$A$2821,"&gt;="&amp;$A104,FX_Daily!$A$15:$A$2821,"&lt;="&amp;EOMONTH($A104,0)),"")</f>
        <v>1.08402857142857</v>
      </c>
      <c r="F104" s="10" t="n">
        <f aca="false">IFERROR(AVERAGEIFS(FX_Daily!F$15:F$2821,FX_Daily!$A$15:$A$2821,"&gt;="&amp;$A104,FX_Daily!$A$15:$A$2821,"&lt;="&amp;EOMONTH($A104,0)),"")</f>
        <v>7.16136666666667</v>
      </c>
      <c r="G104" s="10" t="n">
        <f aca="false">IFERROR(AVERAGEIFS(FX_Daily!G$15:G$2821,FX_Daily!$A$15:$A$2821,"&gt;="&amp;$A104,FX_Daily!$A$15:$A$2821,"&lt;="&amp;EOMONTH($A104,0)),"")</f>
        <v>4.85373333333333</v>
      </c>
      <c r="H104" s="10" t="n">
        <f aca="false">IFERROR(AVERAGEIFS(FX_Daily!H$15:H$2821,FX_Daily!$A$15:$A$2821,"&gt;="&amp;$A104,FX_Daily!$A$15:$A$2821,"&lt;="&amp;EOMONTH($A104,0)),"")</f>
        <v>141.358095238095</v>
      </c>
      <c r="I104" s="10" t="n">
        <f aca="false">IFERROR(AVERAGEIFS(FX_Daily!I$15:I$2821,FX_Daily!$A$15:$A$2821,"&gt;="&amp;$A104,FX_Daily!$A$15:$A$2821,"&lt;="&amp;EOMONTH($A104,0)),"")</f>
        <v>1.08398636363636</v>
      </c>
      <c r="J104" s="10" t="n">
        <f aca="false">IFERROR(AVERAGEIFS(FX_Daily!J$15:J$2821,FX_Daily!$A$15:$A$2821,"&gt;="&amp;$A104,FX_Daily!$A$15:$A$2821,"&lt;="&amp;EOMONTH($A104,0)),"")</f>
        <v>11.7164227272727</v>
      </c>
      <c r="K104" s="10" t="n">
        <f aca="false">IFERROR(AVERAGEIFS(FX_Daily!K$15:K$2821,FX_Daily!$A$15:$A$2821,"&gt;="&amp;$A104,FX_Daily!$A$15:$A$2821,"&lt;="&amp;EOMONTH($A104,0)),"")</f>
        <v>1406.42863636364</v>
      </c>
      <c r="L104" s="10" t="n">
        <f aca="false">IFERROR(AVERAGEIFS(FX_Daily!L$15:L$2821,FX_Daily!$A$15:$A$2821,"&gt;="&amp;$A104,FX_Daily!$A$15:$A$2821,"&lt;="&amp;EOMONTH($A104,0)),"")</f>
        <v>0.858606363636364</v>
      </c>
      <c r="M104" s="10" t="n">
        <f aca="false">IFERROR(AVERAGEIFS(FX_Daily!M$15:M$2821,FX_Daily!$A$15:$A$2821,"&gt;="&amp;$A104,FX_Daily!$A$15:$A$2821,"&lt;="&amp;EOMONTH($A104,0)),"")</f>
        <v>7.76527272727273</v>
      </c>
      <c r="N104" s="10" t="n">
        <f aca="false">IFERROR(AVERAGEIFS(FX_Daily!N$15:N$2821,FX_Daily!$A$15:$A$2821,"&gt;="&amp;$A104,FX_Daily!$A$15:$A$2821,"&lt;="&amp;EOMONTH($A104,0)),"")</f>
        <v>5.26947727272727</v>
      </c>
      <c r="O104" s="10" t="n">
        <f aca="false">IFERROR(AVERAGEIFS(FX_Daily!O$15:O$2821,FX_Daily!$A$15:$A$2821,"&gt;="&amp;$A104,FX_Daily!$A$15:$A$2821,"&lt;="&amp;EOMONTH($A104,0)),"")</f>
        <v>153.148636363636</v>
      </c>
      <c r="P104" s="10" t="n">
        <f aca="false">IFERROR(AVERAGEIFS(FX_Daily!P$15:P$2821,FX_Daily!$A$15:$A$2821,"&gt;="&amp;$A104,FX_Daily!$A$15:$A$2821,"&lt;="&amp;EOMONTH($A104,0)),"")</f>
        <v>10.8098909090909</v>
      </c>
      <c r="Q104" s="15" t="n">
        <f aca="false">COUNTIFS(FX_Daily!$A$15:$A$2821,"&gt;="&amp;$A104,FX_Daily!$A$15:$A$2821,"&lt;="&amp;EOMONTH($A104,0),FX_Daily!C$15:C$2821,"&gt;0")</f>
        <v>21</v>
      </c>
      <c r="R104" s="16" t="str">
        <f aca="false">IF(EOMONTH($A104,0)&gt;FX_Daily!$C$11,"partial month","complete")</f>
        <v>complete</v>
      </c>
    </row>
    <row r="105" customFormat="false" ht="15" hidden="false" customHeight="false" outlineLevel="0" collapsed="false">
      <c r="A105" s="17" t="n">
        <v>45108</v>
      </c>
      <c r="B105" s="10" t="n">
        <f aca="false">IFERROR(AVERAGEIFS(FX_Daily!B$15:B$2821,FX_Daily!$A$15:$A$2821,"&gt;="&amp;$A105,FX_Daily!$A$15:$A$2821,"&lt;="&amp;EOMONTH($A105,0)),"")</f>
        <v>1282.2835</v>
      </c>
      <c r="C105" s="10" t="n">
        <f aca="false">IFERROR(AVERAGEIFS(FX_Daily!C$15:C$2821,FX_Daily!$A$15:$A$2821,"&gt;="&amp;$A105,FX_Daily!$A$15:$A$2821,"&lt;="&amp;EOMONTH($A105,0)),"")</f>
        <v>10.233825</v>
      </c>
      <c r="D105" s="10" t="n">
        <f aca="false">IFERROR(AVERAGEIFS(FX_Daily!D$15:D$2821,FX_Daily!$A$15:$A$2821,"&gt;="&amp;$A105,FX_Daily!$A$15:$A$2821,"&lt;="&amp;EOMONTH($A105,0)),"")</f>
        <v>1.289345</v>
      </c>
      <c r="E105" s="10" t="n">
        <f aca="false">IFERROR(AVERAGEIFS(FX_Daily!E$15:E$2821,FX_Daily!$A$15:$A$2821,"&gt;="&amp;$A105,FX_Daily!$A$15:$A$2821,"&lt;="&amp;EOMONTH($A105,0)),"")</f>
        <v>1.10669</v>
      </c>
      <c r="F105" s="10" t="n">
        <f aca="false">IFERROR(AVERAGEIFS(FX_Daily!F$15:F$2821,FX_Daily!$A$15:$A$2821,"&gt;="&amp;$A105,FX_Daily!$A$15:$A$2821,"&lt;="&amp;EOMONTH($A105,0)),"")</f>
        <v>7.186275</v>
      </c>
      <c r="G105" s="10" t="n">
        <f aca="false">IFERROR(AVERAGEIFS(FX_Daily!G$15:G$2821,FX_Daily!$A$15:$A$2821,"&gt;="&amp;$A105,FX_Daily!$A$15:$A$2821,"&lt;="&amp;EOMONTH($A105,0)),"")</f>
        <v>4.80048</v>
      </c>
      <c r="H105" s="10" t="n">
        <f aca="false">IFERROR(AVERAGEIFS(FX_Daily!H$15:H$2821,FX_Daily!$A$15:$A$2821,"&gt;="&amp;$A105,FX_Daily!$A$15:$A$2821,"&lt;="&amp;EOMONTH($A105,0)),"")</f>
        <v>140.936</v>
      </c>
      <c r="I105" s="10" t="n">
        <f aca="false">IFERROR(AVERAGEIFS(FX_Daily!I$15:I$2821,FX_Daily!$A$15:$A$2821,"&gt;="&amp;$A105,FX_Daily!$A$15:$A$2821,"&lt;="&amp;EOMONTH($A105,0)),"")</f>
        <v>1.10581428571429</v>
      </c>
      <c r="J105" s="10" t="n">
        <f aca="false">IFERROR(AVERAGEIFS(FX_Daily!J$15:J$2821,FX_Daily!$A$15:$A$2821,"&gt;="&amp;$A105,FX_Daily!$A$15:$A$2821,"&lt;="&amp;EOMONTH($A105,0)),"")</f>
        <v>11.347419047619</v>
      </c>
      <c r="K105" s="10" t="n">
        <f aca="false">IFERROR(AVERAGEIFS(FX_Daily!K$15:K$2821,FX_Daily!$A$15:$A$2821,"&gt;="&amp;$A105,FX_Daily!$A$15:$A$2821,"&lt;="&amp;EOMONTH($A105,0)),"")</f>
        <v>1419.16</v>
      </c>
      <c r="L105" s="10" t="n">
        <f aca="false">IFERROR(AVERAGEIFS(FX_Daily!L$15:L$2821,FX_Daily!$A$15:$A$2821,"&gt;="&amp;$A105,FX_Daily!$A$15:$A$2821,"&lt;="&amp;EOMONTH($A105,0)),"")</f>
        <v>0.858556190476191</v>
      </c>
      <c r="M105" s="10" t="n">
        <f aca="false">IFERROR(AVERAGEIFS(FX_Daily!M$15:M$2821,FX_Daily!$A$15:$A$2821,"&gt;="&amp;$A105,FX_Daily!$A$15:$A$2821,"&lt;="&amp;EOMONTH($A105,0)),"")</f>
        <v>7.94824761904762</v>
      </c>
      <c r="N105" s="10" t="n">
        <f aca="false">IFERROR(AVERAGEIFS(FX_Daily!N$15:N$2821,FX_Daily!$A$15:$A$2821,"&gt;="&amp;$A105,FX_Daily!$A$15:$A$2821,"&lt;="&amp;EOMONTH($A105,0)),"")</f>
        <v>5.30986190476191</v>
      </c>
      <c r="O105" s="10" t="n">
        <f aca="false">IFERROR(AVERAGEIFS(FX_Daily!O$15:O$2821,FX_Daily!$A$15:$A$2821,"&gt;="&amp;$A105,FX_Daily!$A$15:$A$2821,"&lt;="&amp;EOMONTH($A105,0)),"")</f>
        <v>155.937142857143</v>
      </c>
      <c r="P105" s="10" t="n">
        <f aca="false">IFERROR(AVERAGEIFS(FX_Daily!P$15:P$2821,FX_Daily!$A$15:$A$2821,"&gt;="&amp;$A105,FX_Daily!$A$15:$A$2821,"&lt;="&amp;EOMONTH($A105,0)),"")</f>
        <v>10.2644380952381</v>
      </c>
      <c r="Q105" s="15" t="n">
        <f aca="false">COUNTIFS(FX_Daily!$A$15:$A$2821,"&gt;="&amp;$A105,FX_Daily!$A$15:$A$2821,"&lt;="&amp;EOMONTH($A105,0),FX_Daily!C$15:C$2821,"&gt;0")</f>
        <v>20</v>
      </c>
      <c r="R105" s="16" t="str">
        <f aca="false">IF(EOMONTH($A105,0)&gt;FX_Daily!$C$11,"partial month","complete")</f>
        <v>complete</v>
      </c>
    </row>
    <row r="106" customFormat="false" ht="15" hidden="false" customHeight="false" outlineLevel="0" collapsed="false">
      <c r="A106" s="17" t="n">
        <v>45139</v>
      </c>
      <c r="B106" s="10" t="n">
        <f aca="false">IFERROR(AVERAGEIFS(FX_Daily!B$15:B$2821,FX_Daily!$A$15:$A$2821,"&gt;="&amp;$A106,FX_Daily!$A$15:$A$2821,"&lt;="&amp;EOMONTH($A106,0)),"")</f>
        <v>1321.75608695652</v>
      </c>
      <c r="C106" s="10" t="n">
        <f aca="false">IFERROR(AVERAGEIFS(FX_Daily!C$15:C$2821,FX_Daily!$A$15:$A$2821,"&gt;="&amp;$A106,FX_Daily!$A$15:$A$2821,"&lt;="&amp;EOMONTH($A106,0)),"")</f>
        <v>10.4682260869565</v>
      </c>
      <c r="D106" s="10" t="n">
        <f aca="false">IFERROR(AVERAGEIFS(FX_Daily!D$15:D$2821,FX_Daily!$A$15:$A$2821,"&gt;="&amp;$A106,FX_Daily!$A$15:$A$2821,"&lt;="&amp;EOMONTH($A106,0)),"")</f>
        <v>1.27062173913043</v>
      </c>
      <c r="E106" s="10" t="n">
        <f aca="false">IFERROR(AVERAGEIFS(FX_Daily!E$15:E$2821,FX_Daily!$A$15:$A$2821,"&gt;="&amp;$A106,FX_Daily!$A$15:$A$2821,"&lt;="&amp;EOMONTH($A106,0)),"")</f>
        <v>1.091</v>
      </c>
      <c r="F106" s="10" t="n">
        <f aca="false">IFERROR(AVERAGEIFS(FX_Daily!F$15:F$2821,FX_Daily!$A$15:$A$2821,"&gt;="&amp;$A106,FX_Daily!$A$15:$A$2821,"&lt;="&amp;EOMONTH($A106,0)),"")</f>
        <v>7.24862173913044</v>
      </c>
      <c r="G106" s="10" t="n">
        <f aca="false">IFERROR(AVERAGEIFS(FX_Daily!G$15:G$2821,FX_Daily!$A$15:$A$2821,"&gt;="&amp;$A106,FX_Daily!$A$15:$A$2821,"&lt;="&amp;EOMONTH($A106,0)),"")</f>
        <v>4.90122608695652</v>
      </c>
      <c r="H106" s="10" t="n">
        <f aca="false">IFERROR(AVERAGEIFS(FX_Daily!H$15:H$2821,FX_Daily!$A$15:$A$2821,"&gt;="&amp;$A106,FX_Daily!$A$15:$A$2821,"&lt;="&amp;EOMONTH($A106,0)),"")</f>
        <v>144.780434782609</v>
      </c>
      <c r="I106" s="10" t="n">
        <f aca="false">IFERROR(AVERAGEIFS(FX_Daily!I$15:I$2821,FX_Daily!$A$15:$A$2821,"&gt;="&amp;$A106,FX_Daily!$A$15:$A$2821,"&lt;="&amp;EOMONTH($A106,0)),"")</f>
        <v>1.09088695652174</v>
      </c>
      <c r="J106" s="10" t="n">
        <f aca="false">IFERROR(AVERAGEIFS(FX_Daily!J$15:J$2821,FX_Daily!$A$15:$A$2821,"&gt;="&amp;$A106,FX_Daily!$A$15:$A$2821,"&lt;="&amp;EOMONTH($A106,0)),"")</f>
        <v>11.4126565217391</v>
      </c>
      <c r="K106" s="10" t="n">
        <f aca="false">IFERROR(AVERAGEIFS(FX_Daily!K$15:K$2821,FX_Daily!$A$15:$A$2821,"&gt;="&amp;$A106,FX_Daily!$A$15:$A$2821,"&lt;="&amp;EOMONTH($A106,0)),"")</f>
        <v>1443.23565217391</v>
      </c>
      <c r="L106" s="10" t="n">
        <f aca="false">IFERROR(AVERAGEIFS(FX_Daily!L$15:L$2821,FX_Daily!$A$15:$A$2821,"&gt;="&amp;$A106,FX_Daily!$A$15:$A$2821,"&lt;="&amp;EOMONTH($A106,0)),"")</f>
        <v>0.858920869565217</v>
      </c>
      <c r="M106" s="10" t="n">
        <f aca="false">IFERROR(AVERAGEIFS(FX_Daily!M$15:M$2821,FX_Daily!$A$15:$A$2821,"&gt;="&amp;$A106,FX_Daily!$A$15:$A$2821,"&lt;="&amp;EOMONTH($A106,0)),"")</f>
        <v>7.90958260869565</v>
      </c>
      <c r="N106" s="10" t="n">
        <f aca="false">IFERROR(AVERAGEIFS(FX_Daily!N$15:N$2821,FX_Daily!$A$15:$A$2821,"&gt;="&amp;$A106,FX_Daily!$A$15:$A$2821,"&lt;="&amp;EOMONTH($A106,0)),"")</f>
        <v>5.34270869565217</v>
      </c>
      <c r="O106" s="10" t="n">
        <f aca="false">IFERROR(AVERAGEIFS(FX_Daily!O$15:O$2821,FX_Daily!$A$15:$A$2821,"&gt;="&amp;$A106,FX_Daily!$A$15:$A$2821,"&lt;="&amp;EOMONTH($A106,0)),"")</f>
        <v>157.962173913043</v>
      </c>
      <c r="P106" s="10" t="n">
        <f aca="false">IFERROR(AVERAGEIFS(FX_Daily!P$15:P$2821,FX_Daily!$A$15:$A$2821,"&gt;="&amp;$A106,FX_Daily!$A$15:$A$2821,"&lt;="&amp;EOMONTH($A106,0)),"")</f>
        <v>10.4628869565217</v>
      </c>
      <c r="Q106" s="15" t="n">
        <f aca="false">COUNTIFS(FX_Daily!$A$15:$A$2821,"&gt;="&amp;$A106,FX_Daily!$A$15:$A$2821,"&lt;="&amp;EOMONTH($A106,0),FX_Daily!C$15:C$2821,"&gt;0")</f>
        <v>23</v>
      </c>
      <c r="R106" s="16" t="str">
        <f aca="false">IF(EOMONTH($A106,0)&gt;FX_Daily!$C$11,"partial month","complete")</f>
        <v>complete</v>
      </c>
    </row>
    <row r="107" customFormat="false" ht="15" hidden="false" customHeight="false" outlineLevel="0" collapsed="false">
      <c r="A107" s="17" t="n">
        <v>45170</v>
      </c>
      <c r="B107" s="10" t="n">
        <f aca="false">IFERROR(AVERAGEIFS(FX_Daily!B$15:B$2821,FX_Daily!$A$15:$A$2821,"&gt;="&amp;$A107,FX_Daily!$A$15:$A$2821,"&lt;="&amp;EOMONTH($A107,0)),"")</f>
        <v>1334.237</v>
      </c>
      <c r="C107" s="10" t="n">
        <f aca="false">IFERROR(AVERAGEIFS(FX_Daily!C$15:C$2821,FX_Daily!$A$15:$A$2821,"&gt;="&amp;$A107,FX_Daily!$A$15:$A$2821,"&lt;="&amp;EOMONTH($A107,0)),"")</f>
        <v>10.724695</v>
      </c>
      <c r="D107" s="10" t="n">
        <f aca="false">IFERROR(AVERAGEIFS(FX_Daily!D$15:D$2821,FX_Daily!$A$15:$A$2821,"&gt;="&amp;$A107,FX_Daily!$A$15:$A$2821,"&lt;="&amp;EOMONTH($A107,0)),"")</f>
        <v>1.238145</v>
      </c>
      <c r="E107" s="10" t="n">
        <f aca="false">IFERROR(AVERAGEIFS(FX_Daily!E$15:E$2821,FX_Daily!$A$15:$A$2821,"&gt;="&amp;$A107,FX_Daily!$A$15:$A$2821,"&lt;="&amp;EOMONTH($A107,0)),"")</f>
        <v>1.067175</v>
      </c>
      <c r="F107" s="10" t="n">
        <f aca="false">IFERROR(AVERAGEIFS(FX_Daily!F$15:F$2821,FX_Daily!$A$15:$A$2821,"&gt;="&amp;$A107,FX_Daily!$A$15:$A$2821,"&lt;="&amp;EOMONTH($A107,0)),"")</f>
        <v>7.29794</v>
      </c>
      <c r="G107" s="10" t="n">
        <f aca="false">IFERROR(AVERAGEIFS(FX_Daily!G$15:G$2821,FX_Daily!$A$15:$A$2821,"&gt;="&amp;$A107,FX_Daily!$A$15:$A$2821,"&lt;="&amp;EOMONTH($A107,0)),"")</f>
        <v>4.938665</v>
      </c>
      <c r="H107" s="10" t="n">
        <f aca="false">IFERROR(AVERAGEIFS(FX_Daily!H$15:H$2821,FX_Daily!$A$15:$A$2821,"&gt;="&amp;$A107,FX_Daily!$A$15:$A$2821,"&lt;="&amp;EOMONTH($A107,0)),"")</f>
        <v>147.845</v>
      </c>
      <c r="I107" s="10" t="n">
        <f aca="false">IFERROR(AVERAGEIFS(FX_Daily!I$15:I$2821,FX_Daily!$A$15:$A$2821,"&gt;="&amp;$A107,FX_Daily!$A$15:$A$2821,"&lt;="&amp;EOMONTH($A107,0)),"")</f>
        <v>1.06838095238095</v>
      </c>
      <c r="J107" s="10" t="n">
        <f aca="false">IFERROR(AVERAGEIFS(FX_Daily!J$15:J$2821,FX_Daily!$A$15:$A$2821,"&gt;="&amp;$A107,FX_Daily!$A$15:$A$2821,"&lt;="&amp;EOMONTH($A107,0)),"")</f>
        <v>11.4524952380952</v>
      </c>
      <c r="K107" s="10" t="n">
        <f aca="false">IFERROR(AVERAGEIFS(FX_Daily!K$15:K$2821,FX_Daily!$A$15:$A$2821,"&gt;="&amp;$A107,FX_Daily!$A$15:$A$2821,"&lt;="&amp;EOMONTH($A107,0)),"")</f>
        <v>1424.53142857143</v>
      </c>
      <c r="L107" s="10" t="n">
        <f aca="false">IFERROR(AVERAGEIFS(FX_Daily!L$15:L$2821,FX_Daily!$A$15:$A$2821,"&gt;="&amp;$A107,FX_Daily!$A$15:$A$2821,"&lt;="&amp;EOMONTH($A107,0)),"")</f>
        <v>0.861584285714286</v>
      </c>
      <c r="M107" s="10" t="n">
        <f aca="false">IFERROR(AVERAGEIFS(FX_Daily!M$15:M$2821,FX_Daily!$A$15:$A$2821,"&gt;="&amp;$A107,FX_Daily!$A$15:$A$2821,"&lt;="&amp;EOMONTH($A107,0)),"")</f>
        <v>7.79666666666667</v>
      </c>
      <c r="N107" s="10" t="n">
        <f aca="false">IFERROR(AVERAGEIFS(FX_Daily!N$15:N$2821,FX_Daily!$A$15:$A$2821,"&gt;="&amp;$A107,FX_Daily!$A$15:$A$2821,"&lt;="&amp;EOMONTH($A107,0)),"")</f>
        <v>5.27697619047619</v>
      </c>
      <c r="O107" s="10" t="n">
        <f aca="false">IFERROR(AVERAGEIFS(FX_Daily!O$15:O$2821,FX_Daily!$A$15:$A$2821,"&gt;="&amp;$A107,FX_Daily!$A$15:$A$2821,"&lt;="&amp;EOMONTH($A107,0)),"")</f>
        <v>157.795238095238</v>
      </c>
      <c r="P107" s="10" t="n">
        <f aca="false">IFERROR(AVERAGEIFS(FX_Daily!P$15:P$2821,FX_Daily!$A$15:$A$2821,"&gt;="&amp;$A107,FX_Daily!$A$15:$A$2821,"&lt;="&amp;EOMONTH($A107,0)),"")</f>
        <v>10.7197095238095</v>
      </c>
      <c r="Q107" s="15" t="n">
        <f aca="false">COUNTIFS(FX_Daily!$A$15:$A$2821,"&gt;="&amp;$A107,FX_Daily!$A$15:$A$2821,"&lt;="&amp;EOMONTH($A107,0),FX_Daily!C$15:C$2821,"&gt;0")</f>
        <v>20</v>
      </c>
      <c r="R107" s="16" t="str">
        <f aca="false">IF(EOMONTH($A107,0)&gt;FX_Daily!$C$11,"partial month","complete")</f>
        <v>complete</v>
      </c>
    </row>
    <row r="108" customFormat="false" ht="15" hidden="false" customHeight="false" outlineLevel="0" collapsed="false">
      <c r="A108" s="17" t="n">
        <v>45200</v>
      </c>
      <c r="B108" s="10" t="n">
        <f aca="false">IFERROR(AVERAGEIFS(FX_Daily!B$15:B$2821,FX_Daily!$A$15:$A$2821,"&gt;="&amp;$A108,FX_Daily!$A$15:$A$2821,"&lt;="&amp;EOMONTH($A108,0)),"")</f>
        <v>1351.50714285714</v>
      </c>
      <c r="C108" s="10" t="n">
        <f aca="false">IFERROR(AVERAGEIFS(FX_Daily!C$15:C$2821,FX_Daily!$A$15:$A$2821,"&gt;="&amp;$A108,FX_Daily!$A$15:$A$2821,"&lt;="&amp;EOMONTH($A108,0)),"")</f>
        <v>11.0224333333333</v>
      </c>
      <c r="D108" s="10" t="n">
        <f aca="false">IFERROR(AVERAGEIFS(FX_Daily!D$15:D$2821,FX_Daily!$A$15:$A$2821,"&gt;="&amp;$A108,FX_Daily!$A$15:$A$2821,"&lt;="&amp;EOMONTH($A108,0)),"")</f>
        <v>1.21752380952381</v>
      </c>
      <c r="E108" s="10" t="n">
        <f aca="false">IFERROR(AVERAGEIFS(FX_Daily!E$15:E$2821,FX_Daily!$A$15:$A$2821,"&gt;="&amp;$A108,FX_Daily!$A$15:$A$2821,"&lt;="&amp;EOMONTH($A108,0)),"")</f>
        <v>1.05645714285714</v>
      </c>
      <c r="F108" s="10" t="n">
        <f aca="false">IFERROR(AVERAGEIFS(FX_Daily!F$15:F$2821,FX_Daily!$A$15:$A$2821,"&gt;="&amp;$A108,FX_Daily!$A$15:$A$2821,"&lt;="&amp;EOMONTH($A108,0)),"")</f>
        <v>7.30710952380952</v>
      </c>
      <c r="G108" s="10" t="n">
        <f aca="false">IFERROR(AVERAGEIFS(FX_Daily!G$15:G$2821,FX_Daily!$A$15:$A$2821,"&gt;="&amp;$A108,FX_Daily!$A$15:$A$2821,"&lt;="&amp;EOMONTH($A108,0)),"")</f>
        <v>5.05587142857143</v>
      </c>
      <c r="H108" s="10" t="n">
        <f aca="false">IFERROR(AVERAGEIFS(FX_Daily!H$15:H$2821,FX_Daily!$A$15:$A$2821,"&gt;="&amp;$A108,FX_Daily!$A$15:$A$2821,"&lt;="&amp;EOMONTH($A108,0)),"")</f>
        <v>149.593333333333</v>
      </c>
      <c r="I108" s="10" t="n">
        <f aca="false">IFERROR(AVERAGEIFS(FX_Daily!I$15:I$2821,FX_Daily!$A$15:$A$2821,"&gt;="&amp;$A108,FX_Daily!$A$15:$A$2821,"&lt;="&amp;EOMONTH($A108,0)),"")</f>
        <v>1.05625454545455</v>
      </c>
      <c r="J108" s="10" t="n">
        <f aca="false">IFERROR(AVERAGEIFS(FX_Daily!J$15:J$2821,FX_Daily!$A$15:$A$2821,"&gt;="&amp;$A108,FX_Daily!$A$15:$A$2821,"&lt;="&amp;EOMONTH($A108,0)),"")</f>
        <v>11.6283545454545</v>
      </c>
      <c r="K108" s="10" t="n">
        <f aca="false">IFERROR(AVERAGEIFS(FX_Daily!K$15:K$2821,FX_Daily!$A$15:$A$2821,"&gt;="&amp;$A108,FX_Daily!$A$15:$A$2821,"&lt;="&amp;EOMONTH($A108,0)),"")</f>
        <v>1427.32909090909</v>
      </c>
      <c r="L108" s="10" t="n">
        <f aca="false">IFERROR(AVERAGEIFS(FX_Daily!L$15:L$2821,FX_Daily!$A$15:$A$2821,"&gt;="&amp;$A108,FX_Daily!$A$15:$A$2821,"&lt;="&amp;EOMONTH($A108,0)),"")</f>
        <v>0.867983636363636</v>
      </c>
      <c r="M108" s="10" t="n">
        <f aca="false">IFERROR(AVERAGEIFS(FX_Daily!M$15:M$2821,FX_Daily!$A$15:$A$2821,"&gt;="&amp;$A108,FX_Daily!$A$15:$A$2821,"&lt;="&amp;EOMONTH($A108,0)),"")</f>
        <v>7.71999545454545</v>
      </c>
      <c r="N108" s="10" t="n">
        <f aca="false">IFERROR(AVERAGEIFS(FX_Daily!N$15:N$2821,FX_Daily!$A$15:$A$2821,"&gt;="&amp;$A108,FX_Daily!$A$15:$A$2821,"&lt;="&amp;EOMONTH($A108,0)),"")</f>
        <v>5.35088636363636</v>
      </c>
      <c r="O108" s="10" t="n">
        <f aca="false">IFERROR(AVERAGEIFS(FX_Daily!O$15:O$2821,FX_Daily!$A$15:$A$2821,"&gt;="&amp;$A108,FX_Daily!$A$15:$A$2821,"&lt;="&amp;EOMONTH($A108,0)),"")</f>
        <v>158.037727272727</v>
      </c>
      <c r="P108" s="10" t="n">
        <f aca="false">IFERROR(AVERAGEIFS(FX_Daily!P$15:P$2821,FX_Daily!$A$15:$A$2821,"&gt;="&amp;$A108,FX_Daily!$A$15:$A$2821,"&lt;="&amp;EOMONTH($A108,0)),"")</f>
        <v>11.0089227272727</v>
      </c>
      <c r="Q108" s="15" t="n">
        <f aca="false">COUNTIFS(FX_Daily!$A$15:$A$2821,"&gt;="&amp;$A108,FX_Daily!$A$15:$A$2821,"&lt;="&amp;EOMONTH($A108,0),FX_Daily!C$15:C$2821,"&gt;0")</f>
        <v>21</v>
      </c>
      <c r="R108" s="16" t="str">
        <f aca="false">IF(EOMONTH($A108,0)&gt;FX_Daily!$C$11,"partial month","complete")</f>
        <v>complete</v>
      </c>
    </row>
    <row r="109" customFormat="false" ht="15" hidden="false" customHeight="false" outlineLevel="0" collapsed="false">
      <c r="A109" s="17" t="n">
        <v>45231</v>
      </c>
      <c r="B109" s="10" t="n">
        <f aca="false">IFERROR(AVERAGEIFS(FX_Daily!B$15:B$2821,FX_Daily!$A$15:$A$2821,"&gt;="&amp;$A109,FX_Daily!$A$15:$A$2821,"&lt;="&amp;EOMONTH($A109,0)),"")</f>
        <v>1308.154</v>
      </c>
      <c r="C109" s="10" t="n">
        <f aca="false">IFERROR(AVERAGEIFS(FX_Daily!C$15:C$2821,FX_Daily!$A$15:$A$2821,"&gt;="&amp;$A109,FX_Daily!$A$15:$A$2821,"&lt;="&amp;EOMONTH($A109,0)),"")</f>
        <v>10.90511</v>
      </c>
      <c r="D109" s="10" t="n">
        <f aca="false">IFERROR(AVERAGEIFS(FX_Daily!D$15:D$2821,FX_Daily!$A$15:$A$2821,"&gt;="&amp;$A109,FX_Daily!$A$15:$A$2821,"&lt;="&amp;EOMONTH($A109,0)),"")</f>
        <v>1.24374</v>
      </c>
      <c r="E109" s="10" t="n">
        <f aca="false">IFERROR(AVERAGEIFS(FX_Daily!E$15:E$2821,FX_Daily!$A$15:$A$2821,"&gt;="&amp;$A109,FX_Daily!$A$15:$A$2821,"&lt;="&amp;EOMONTH($A109,0)),"")</f>
        <v>1.08193</v>
      </c>
      <c r="F109" s="10" t="n">
        <f aca="false">IFERROR(AVERAGEIFS(FX_Daily!F$15:F$2821,FX_Daily!$A$15:$A$2821,"&gt;="&amp;$A109,FX_Daily!$A$15:$A$2821,"&lt;="&amp;EOMONTH($A109,0)),"")</f>
        <v>7.22259</v>
      </c>
      <c r="G109" s="10" t="n">
        <f aca="false">IFERROR(AVERAGEIFS(FX_Daily!G$15:G$2821,FX_Daily!$A$15:$A$2821,"&gt;="&amp;$A109,FX_Daily!$A$15:$A$2821,"&lt;="&amp;EOMONTH($A109,0)),"")</f>
        <v>4.898025</v>
      </c>
      <c r="H109" s="10" t="n">
        <f aca="false">IFERROR(AVERAGEIFS(FX_Daily!H$15:H$2821,FX_Daily!$A$15:$A$2821,"&gt;="&amp;$A109,FX_Daily!$A$15:$A$2821,"&lt;="&amp;EOMONTH($A109,0)),"")</f>
        <v>149.679</v>
      </c>
      <c r="I109" s="10" t="n">
        <f aca="false">IFERROR(AVERAGEIFS(FX_Daily!I$15:I$2821,FX_Daily!$A$15:$A$2821,"&gt;="&amp;$A109,FX_Daily!$A$15:$A$2821,"&lt;="&amp;EOMONTH($A109,0)),"")</f>
        <v>1.08082272727273</v>
      </c>
      <c r="J109" s="10" t="n">
        <f aca="false">IFERROR(AVERAGEIFS(FX_Daily!J$15:J$2821,FX_Daily!$A$15:$A$2821,"&gt;="&amp;$A109,FX_Daily!$A$15:$A$2821,"&lt;="&amp;EOMONTH($A109,0)),"")</f>
        <v>11.7957636363636</v>
      </c>
      <c r="K109" s="10" t="n">
        <f aca="false">IFERROR(AVERAGEIFS(FX_Daily!K$15:K$2821,FX_Daily!$A$15:$A$2821,"&gt;="&amp;$A109,FX_Daily!$A$15:$A$2821,"&lt;="&amp;EOMONTH($A109,0)),"")</f>
        <v>1412.57181818182</v>
      </c>
      <c r="L109" s="10" t="n">
        <f aca="false">IFERROR(AVERAGEIFS(FX_Daily!L$15:L$2821,FX_Daily!$A$15:$A$2821,"&gt;="&amp;$A109,FX_Daily!$A$15:$A$2821,"&lt;="&amp;EOMONTH($A109,0)),"")</f>
        <v>0.870454090909091</v>
      </c>
      <c r="M109" s="10" t="n">
        <f aca="false">IFERROR(AVERAGEIFS(FX_Daily!M$15:M$2821,FX_Daily!$A$15:$A$2821,"&gt;="&amp;$A109,FX_Daily!$A$15:$A$2821,"&lt;="&amp;EOMONTH($A109,0)),"")</f>
        <v>7.80873181818182</v>
      </c>
      <c r="N109" s="10" t="n">
        <f aca="false">IFERROR(AVERAGEIFS(FX_Daily!N$15:N$2821,FX_Daily!$A$15:$A$2821,"&gt;="&amp;$A109,FX_Daily!$A$15:$A$2821,"&lt;="&amp;EOMONTH($A109,0)),"")</f>
        <v>5.29626363636364</v>
      </c>
      <c r="O109" s="10" t="n">
        <f aca="false">IFERROR(AVERAGEIFS(FX_Daily!O$15:O$2821,FX_Daily!$A$15:$A$2821,"&gt;="&amp;$A109,FX_Daily!$A$15:$A$2821,"&lt;="&amp;EOMONTH($A109,0)),"")</f>
        <v>161.844090909091</v>
      </c>
      <c r="P109" s="10" t="n">
        <f aca="false">IFERROR(AVERAGEIFS(FX_Daily!P$15:P$2821,FX_Daily!$A$15:$A$2821,"&gt;="&amp;$A109,FX_Daily!$A$15:$A$2821,"&lt;="&amp;EOMONTH($A109,0)),"")</f>
        <v>10.9160636363636</v>
      </c>
      <c r="Q109" s="15" t="n">
        <f aca="false">COUNTIFS(FX_Daily!$A$15:$A$2821,"&gt;="&amp;$A109,FX_Daily!$A$15:$A$2821,"&lt;="&amp;EOMONTH($A109,0),FX_Daily!C$15:C$2821,"&gt;0")</f>
        <v>20</v>
      </c>
      <c r="R109" s="16" t="str">
        <f aca="false">IF(EOMONTH($A109,0)&gt;FX_Daily!$C$11,"partial month","complete")</f>
        <v>complete</v>
      </c>
    </row>
    <row r="110" customFormat="false" ht="15" hidden="false" customHeight="false" outlineLevel="0" collapsed="false">
      <c r="A110" s="17" t="n">
        <v>45261</v>
      </c>
      <c r="B110" s="10" t="n">
        <f aca="false">IFERROR(AVERAGEIFS(FX_Daily!B$15:B$2821,FX_Daily!$A$15:$A$2821,"&gt;="&amp;$A110,FX_Daily!$A$15:$A$2821,"&lt;="&amp;EOMONTH($A110,0)),"")</f>
        <v>1304.3945</v>
      </c>
      <c r="C110" s="10" t="n">
        <f aca="false">IFERROR(AVERAGEIFS(FX_Daily!C$15:C$2821,FX_Daily!$A$15:$A$2821,"&gt;="&amp;$A110,FX_Daily!$A$15:$A$2821,"&lt;="&amp;EOMONTH($A110,0)),"")</f>
        <v>10.54937</v>
      </c>
      <c r="D110" s="10" t="n">
        <f aca="false">IFERROR(AVERAGEIFS(FX_Daily!D$15:D$2821,FX_Daily!$A$15:$A$2821,"&gt;="&amp;$A110,FX_Daily!$A$15:$A$2821,"&lt;="&amp;EOMONTH($A110,0)),"")</f>
        <v>1.2657</v>
      </c>
      <c r="E110" s="10" t="n">
        <f aca="false">IFERROR(AVERAGEIFS(FX_Daily!E$15:E$2821,FX_Daily!$A$15:$A$2821,"&gt;="&amp;$A110,FX_Daily!$A$15:$A$2821,"&lt;="&amp;EOMONTH($A110,0)),"")</f>
        <v>1.09094</v>
      </c>
      <c r="F110" s="10" t="n">
        <f aca="false">IFERROR(AVERAGEIFS(FX_Daily!F$15:F$2821,FX_Daily!$A$15:$A$2821,"&gt;="&amp;$A110,FX_Daily!$A$15:$A$2821,"&lt;="&amp;EOMONTH($A110,0)),"")</f>
        <v>7.14021</v>
      </c>
      <c r="G110" s="10" t="n">
        <f aca="false">IFERROR(AVERAGEIFS(FX_Daily!G$15:G$2821,FX_Daily!$A$15:$A$2821,"&gt;="&amp;$A110,FX_Daily!$A$15:$A$2821,"&lt;="&amp;EOMONTH($A110,0)),"")</f>
        <v>4.8998</v>
      </c>
      <c r="H110" s="10" t="n">
        <f aca="false">IFERROR(AVERAGEIFS(FX_Daily!H$15:H$2821,FX_Daily!$A$15:$A$2821,"&gt;="&amp;$A110,FX_Daily!$A$15:$A$2821,"&lt;="&amp;EOMONTH($A110,0)),"")</f>
        <v>143.9815</v>
      </c>
      <c r="I110" s="10" t="n">
        <f aca="false">IFERROR(AVERAGEIFS(FX_Daily!I$15:I$2821,FX_Daily!$A$15:$A$2821,"&gt;="&amp;$A110,FX_Daily!$A$15:$A$2821,"&lt;="&amp;EOMONTH($A110,0)),"")</f>
        <v>1.09030526315789</v>
      </c>
      <c r="J110" s="10" t="n">
        <f aca="false">IFERROR(AVERAGEIFS(FX_Daily!J$15:J$2821,FX_Daily!$A$15:$A$2821,"&gt;="&amp;$A110,FX_Daily!$A$15:$A$2821,"&lt;="&amp;EOMONTH($A110,0)),"")</f>
        <v>11.5332631578947</v>
      </c>
      <c r="K110" s="10" t="n">
        <f aca="false">IFERROR(AVERAGEIFS(FX_Daily!K$15:K$2821,FX_Daily!$A$15:$A$2821,"&gt;="&amp;$A110,FX_Daily!$A$15:$A$2821,"&lt;="&amp;EOMONTH($A110,0)),"")</f>
        <v>1423.12631578947</v>
      </c>
      <c r="L110" s="10" t="n">
        <f aca="false">IFERROR(AVERAGEIFS(FX_Daily!L$15:L$2821,FX_Daily!$A$15:$A$2821,"&gt;="&amp;$A110,FX_Daily!$A$15:$A$2821,"&lt;="&amp;EOMONTH($A110,0)),"")</f>
        <v>0.861682631578947</v>
      </c>
      <c r="M110" s="10" t="n">
        <f aca="false">IFERROR(AVERAGEIFS(FX_Daily!M$15:M$2821,FX_Daily!$A$15:$A$2821,"&gt;="&amp;$A110,FX_Daily!$A$15:$A$2821,"&lt;="&amp;EOMONTH($A110,0)),"")</f>
        <v>7.78696315789474</v>
      </c>
      <c r="N110" s="10" t="n">
        <f aca="false">IFERROR(AVERAGEIFS(FX_Daily!N$15:N$2821,FX_Daily!$A$15:$A$2821,"&gt;="&amp;$A110,FX_Daily!$A$15:$A$2821,"&lt;="&amp;EOMONTH($A110,0)),"")</f>
        <v>5.34278421052632</v>
      </c>
      <c r="O110" s="10" t="n">
        <f aca="false">IFERROR(AVERAGEIFS(FX_Daily!O$15:O$2821,FX_Daily!$A$15:$A$2821,"&gt;="&amp;$A110,FX_Daily!$A$15:$A$2821,"&lt;="&amp;EOMONTH($A110,0)),"")</f>
        <v>157.212631578947</v>
      </c>
      <c r="P110" s="10" t="n">
        <f aca="false">IFERROR(AVERAGEIFS(FX_Daily!P$15:P$2821,FX_Daily!$A$15:$A$2821,"&gt;="&amp;$A110,FX_Daily!$A$15:$A$2821,"&lt;="&amp;EOMONTH($A110,0)),"")</f>
        <v>10.581</v>
      </c>
      <c r="Q110" s="15" t="n">
        <f aca="false">COUNTIFS(FX_Daily!$A$15:$A$2821,"&gt;="&amp;$A110,FX_Daily!$A$15:$A$2821,"&lt;="&amp;EOMONTH($A110,0),FX_Daily!C$15:C$2821,"&gt;0")</f>
        <v>20</v>
      </c>
      <c r="R110" s="16" t="str">
        <f aca="false">IF(EOMONTH($A110,0)&gt;FX_Daily!$C$11,"partial month","complete")</f>
        <v>complete</v>
      </c>
    </row>
    <row r="111" customFormat="false" ht="15" hidden="false" customHeight="false" outlineLevel="0" collapsed="false">
      <c r="A111" s="17" t="n">
        <v>45292</v>
      </c>
      <c r="B111" s="10" t="n">
        <f aca="false">IFERROR(AVERAGEIFS(FX_Daily!B$15:B$2821,FX_Daily!$A$15:$A$2821,"&gt;="&amp;$A111,FX_Daily!$A$15:$A$2821,"&lt;="&amp;EOMONTH($A111,0)),"")</f>
        <v>1325.91190476191</v>
      </c>
      <c r="C111" s="10" t="n">
        <f aca="false">IFERROR(AVERAGEIFS(FX_Daily!C$15:C$2821,FX_Daily!$A$15:$A$2821,"&gt;="&amp;$A111,FX_Daily!$A$15:$A$2821,"&lt;="&amp;EOMONTH($A111,0)),"")</f>
        <v>10.4136476190476</v>
      </c>
      <c r="D111" s="10" t="n">
        <f aca="false">IFERROR(AVERAGEIFS(FX_Daily!D$15:D$2821,FX_Daily!$A$15:$A$2821,"&gt;="&amp;$A111,FX_Daily!$A$15:$A$2821,"&lt;="&amp;EOMONTH($A111,0)),"")</f>
        <v>1.27012380952381</v>
      </c>
      <c r="E111" s="10" t="n">
        <f aca="false">IFERROR(AVERAGEIFS(FX_Daily!E$15:E$2821,FX_Daily!$A$15:$A$2821,"&gt;="&amp;$A111,FX_Daily!$A$15:$A$2821,"&lt;="&amp;EOMONTH($A111,0)),"")</f>
        <v>1.08989047619048</v>
      </c>
      <c r="F111" s="10" t="n">
        <f aca="false">IFERROR(AVERAGEIFS(FX_Daily!F$15:F$2821,FX_Daily!$A$15:$A$2821,"&gt;="&amp;$A111,FX_Daily!$A$15:$A$2821,"&lt;="&amp;EOMONTH($A111,0)),"")</f>
        <v>7.17070476190476</v>
      </c>
      <c r="G111" s="10" t="n">
        <f aca="false">IFERROR(AVERAGEIFS(FX_Daily!G$15:G$2821,FX_Daily!$A$15:$A$2821,"&gt;="&amp;$A111,FX_Daily!$A$15:$A$2821,"&lt;="&amp;EOMONTH($A111,0)),"")</f>
        <v>4.91824285714286</v>
      </c>
      <c r="H111" s="10" t="n">
        <f aca="false">IFERROR(AVERAGEIFS(FX_Daily!H$15:H$2821,FX_Daily!$A$15:$A$2821,"&gt;="&amp;$A111,FX_Daily!$A$15:$A$2821,"&lt;="&amp;EOMONTH($A111,0)),"")</f>
        <v>146.294285714286</v>
      </c>
      <c r="I111" s="10" t="n">
        <f aca="false">IFERROR(AVERAGEIFS(FX_Daily!I$15:I$2821,FX_Daily!$A$15:$A$2821,"&gt;="&amp;$A111,FX_Daily!$A$15:$A$2821,"&lt;="&amp;EOMONTH($A111,0)),"")</f>
        <v>1.09051363636364</v>
      </c>
      <c r="J111" s="10" t="n">
        <f aca="false">IFERROR(AVERAGEIFS(FX_Daily!J$15:J$2821,FX_Daily!$A$15:$A$2821,"&gt;="&amp;$A111,FX_Daily!$A$15:$A$2821,"&lt;="&amp;EOMONTH($A111,0)),"")</f>
        <v>11.3500863636364</v>
      </c>
      <c r="K111" s="10" t="n">
        <f aca="false">IFERROR(AVERAGEIFS(FX_Daily!K$15:K$2821,FX_Daily!$A$15:$A$2821,"&gt;="&amp;$A111,FX_Daily!$A$15:$A$2821,"&lt;="&amp;EOMONTH($A111,0)),"")</f>
        <v>1447.18409090909</v>
      </c>
      <c r="L111" s="10" t="n">
        <f aca="false">IFERROR(AVERAGEIFS(FX_Daily!L$15:L$2821,FX_Daily!$A$15:$A$2821,"&gt;="&amp;$A111,FX_Daily!$A$15:$A$2821,"&lt;="&amp;EOMONTH($A111,0)),"")</f>
        <v>0.858730909090909</v>
      </c>
      <c r="M111" s="10" t="n">
        <f aca="false">IFERROR(AVERAGEIFS(FX_Daily!M$15:M$2821,FX_Daily!$A$15:$A$2821,"&gt;="&amp;$A111,FX_Daily!$A$15:$A$2821,"&lt;="&amp;EOMONTH($A111,0)),"")</f>
        <v>7.82012272727273</v>
      </c>
      <c r="N111" s="10" t="n">
        <f aca="false">IFERROR(AVERAGEIFS(FX_Daily!N$15:N$2821,FX_Daily!$A$15:$A$2821,"&gt;="&amp;$A111,FX_Daily!$A$15:$A$2821,"&lt;="&amp;EOMONTH($A111,0)),"")</f>
        <v>5.35687272727273</v>
      </c>
      <c r="O111" s="10" t="n">
        <f aca="false">IFERROR(AVERAGEIFS(FX_Daily!O$15:O$2821,FX_Daily!$A$15:$A$2821,"&gt;="&amp;$A111,FX_Daily!$A$15:$A$2821,"&lt;="&amp;EOMONTH($A111,0)),"")</f>
        <v>159.458181818182</v>
      </c>
      <c r="P111" s="10" t="n">
        <f aca="false">IFERROR(AVERAGEIFS(FX_Daily!P$15:P$2821,FX_Daily!$A$15:$A$2821,"&gt;="&amp;$A111,FX_Daily!$A$15:$A$2821,"&lt;="&amp;EOMONTH($A111,0)),"")</f>
        <v>10.4082545454545</v>
      </c>
      <c r="Q111" s="15" t="n">
        <f aca="false">COUNTIFS(FX_Daily!$A$15:$A$2821,"&gt;="&amp;$A111,FX_Daily!$A$15:$A$2821,"&lt;="&amp;EOMONTH($A111,0),FX_Daily!C$15:C$2821,"&gt;0")</f>
        <v>21</v>
      </c>
      <c r="R111" s="16" t="str">
        <f aca="false">IF(EOMONTH($A111,0)&gt;FX_Daily!$C$11,"partial month","complete")</f>
        <v>complete</v>
      </c>
    </row>
    <row r="112" customFormat="false" ht="15" hidden="false" customHeight="false" outlineLevel="0" collapsed="false">
      <c r="A112" s="17" t="n">
        <v>45323</v>
      </c>
      <c r="B112" s="10" t="n">
        <f aca="false">IFERROR(AVERAGEIFS(FX_Daily!B$15:B$2821,FX_Daily!$A$15:$A$2821,"&gt;="&amp;$A112,FX_Daily!$A$15:$A$2821,"&lt;="&amp;EOMONTH($A112,0)),"")</f>
        <v>1331.3345</v>
      </c>
      <c r="C112" s="10" t="n">
        <f aca="false">IFERROR(AVERAGEIFS(FX_Daily!C$15:C$2821,FX_Daily!$A$15:$A$2821,"&gt;="&amp;$A112,FX_Daily!$A$15:$A$2821,"&lt;="&amp;EOMONTH($A112,0)),"")</f>
        <v>10.55623</v>
      </c>
      <c r="D112" s="10" t="n">
        <f aca="false">IFERROR(AVERAGEIFS(FX_Daily!D$15:D$2821,FX_Daily!$A$15:$A$2821,"&gt;="&amp;$A112,FX_Daily!$A$15:$A$2821,"&lt;="&amp;EOMONTH($A112,0)),"")</f>
        <v>1.262965</v>
      </c>
      <c r="E112" s="10" t="n">
        <f aca="false">IFERROR(AVERAGEIFS(FX_Daily!E$15:E$2821,FX_Daily!$A$15:$A$2821,"&gt;="&amp;$A112,FX_Daily!$A$15:$A$2821,"&lt;="&amp;EOMONTH($A112,0)),"")</f>
        <v>1.0793</v>
      </c>
      <c r="F112" s="10" t="n">
        <f aca="false">IFERROR(AVERAGEIFS(FX_Daily!F$15:F$2821,FX_Daily!$A$15:$A$2821,"&gt;="&amp;$A112,FX_Daily!$A$15:$A$2821,"&lt;="&amp;EOMONTH($A112,0)),"")</f>
        <v>7.19349</v>
      </c>
      <c r="G112" s="10" t="n">
        <f aca="false">IFERROR(AVERAGEIFS(FX_Daily!G$15:G$2821,FX_Daily!$A$15:$A$2821,"&gt;="&amp;$A112,FX_Daily!$A$15:$A$2821,"&lt;="&amp;EOMONTH($A112,0)),"")</f>
        <v>4.960875</v>
      </c>
      <c r="H112" s="10" t="n">
        <f aca="false">IFERROR(AVERAGEIFS(FX_Daily!H$15:H$2821,FX_Daily!$A$15:$A$2821,"&gt;="&amp;$A112,FX_Daily!$A$15:$A$2821,"&lt;="&amp;EOMONTH($A112,0)),"")</f>
        <v>149.615</v>
      </c>
      <c r="I112" s="10" t="n">
        <f aca="false">IFERROR(AVERAGEIFS(FX_Daily!I$15:I$2821,FX_Daily!$A$15:$A$2821,"&gt;="&amp;$A112,FX_Daily!$A$15:$A$2821,"&lt;="&amp;EOMONTH($A112,0)),"")</f>
        <v>1.07947142857143</v>
      </c>
      <c r="J112" s="10" t="n">
        <f aca="false">IFERROR(AVERAGEIFS(FX_Daily!J$15:J$2821,FX_Daily!$A$15:$A$2821,"&gt;="&amp;$A112,FX_Daily!$A$15:$A$2821,"&lt;="&amp;EOMONTH($A112,0)),"")</f>
        <v>11.3842857142857</v>
      </c>
      <c r="K112" s="10" t="n">
        <f aca="false">IFERROR(AVERAGEIFS(FX_Daily!K$15:K$2821,FX_Daily!$A$15:$A$2821,"&gt;="&amp;$A112,FX_Daily!$A$15:$A$2821,"&lt;="&amp;EOMONTH($A112,0)),"")</f>
        <v>1437.37428571429</v>
      </c>
      <c r="L112" s="10" t="n">
        <f aca="false">IFERROR(AVERAGEIFS(FX_Daily!L$15:L$2821,FX_Daily!$A$15:$A$2821,"&gt;="&amp;$A112,FX_Daily!$A$15:$A$2821,"&lt;="&amp;EOMONTH($A112,0)),"")</f>
        <v>0.854662380952381</v>
      </c>
      <c r="M112" s="10" t="n">
        <f aca="false">IFERROR(AVERAGEIFS(FX_Daily!M$15:M$2821,FX_Daily!$A$15:$A$2821,"&gt;="&amp;$A112,FX_Daily!$A$15:$A$2821,"&lt;="&amp;EOMONTH($A112,0)),"")</f>
        <v>7.76506190476191</v>
      </c>
      <c r="N112" s="10" t="n">
        <f aca="false">IFERROR(AVERAGEIFS(FX_Daily!N$15:N$2821,FX_Daily!$A$15:$A$2821,"&gt;="&amp;$A112,FX_Daily!$A$15:$A$2821,"&lt;="&amp;EOMONTH($A112,0)),"")</f>
        <v>5.35591428571429</v>
      </c>
      <c r="O112" s="10" t="n">
        <f aca="false">IFERROR(AVERAGEIFS(FX_Daily!O$15:O$2821,FX_Daily!$A$15:$A$2821,"&gt;="&amp;$A112,FX_Daily!$A$15:$A$2821,"&lt;="&amp;EOMONTH($A112,0)),"")</f>
        <v>161.377142857143</v>
      </c>
      <c r="P112" s="10" t="n">
        <f aca="false">IFERROR(AVERAGEIFS(FX_Daily!P$15:P$2821,FX_Daily!$A$15:$A$2821,"&gt;="&amp;$A112,FX_Daily!$A$15:$A$2821,"&lt;="&amp;EOMONTH($A112,0)),"")</f>
        <v>10.5463095238095</v>
      </c>
      <c r="Q112" s="15" t="n">
        <f aca="false">COUNTIFS(FX_Daily!$A$15:$A$2821,"&gt;="&amp;$A112,FX_Daily!$A$15:$A$2821,"&lt;="&amp;EOMONTH($A112,0),FX_Daily!C$15:C$2821,"&gt;0")</f>
        <v>20</v>
      </c>
      <c r="R112" s="16" t="str">
        <f aca="false">IF(EOMONTH($A112,0)&gt;FX_Daily!$C$11,"partial month","complete")</f>
        <v>complete</v>
      </c>
    </row>
    <row r="113" customFormat="false" ht="15" hidden="false" customHeight="false" outlineLevel="0" collapsed="false">
      <c r="A113" s="17" t="n">
        <v>45352</v>
      </c>
      <c r="B113" s="10" t="n">
        <f aca="false">IFERROR(AVERAGEIFS(FX_Daily!B$15:B$2821,FX_Daily!$A$15:$A$2821,"&gt;="&amp;$A113,FX_Daily!$A$15:$A$2821,"&lt;="&amp;EOMONTH($A113,0)),"")</f>
        <v>1331.67523809524</v>
      </c>
      <c r="C113" s="10" t="n">
        <f aca="false">IFERROR(AVERAGEIFS(FX_Daily!C$15:C$2821,FX_Daily!$A$15:$A$2821,"&gt;="&amp;$A113,FX_Daily!$A$15:$A$2821,"&lt;="&amp;EOMONTH($A113,0)),"")</f>
        <v>10.612080952381</v>
      </c>
      <c r="D113" s="10" t="n">
        <f aca="false">IFERROR(AVERAGEIFS(FX_Daily!D$15:D$2821,FX_Daily!$A$15:$A$2821,"&gt;="&amp;$A113,FX_Daily!$A$15:$A$2821,"&lt;="&amp;EOMONTH($A113,0)),"")</f>
        <v>1.27127619047619</v>
      </c>
      <c r="E113" s="10" t="n">
        <f aca="false">IFERROR(AVERAGEIFS(FX_Daily!E$15:E$2821,FX_Daily!$A$15:$A$2821,"&gt;="&amp;$A113,FX_Daily!$A$15:$A$2821,"&lt;="&amp;EOMONTH($A113,0)),"")</f>
        <v>1.08701904761905</v>
      </c>
      <c r="F113" s="10" t="n">
        <f aca="false">IFERROR(AVERAGEIFS(FX_Daily!F$15:F$2821,FX_Daily!$A$15:$A$2821,"&gt;="&amp;$A113,FX_Daily!$A$15:$A$2821,"&lt;="&amp;EOMONTH($A113,0)),"")</f>
        <v>7.20148571428571</v>
      </c>
      <c r="G113" s="10" t="n">
        <f aca="false">IFERROR(AVERAGEIFS(FX_Daily!G$15:G$2821,FX_Daily!$A$15:$A$2821,"&gt;="&amp;$A113,FX_Daily!$A$15:$A$2821,"&lt;="&amp;EOMONTH($A113,0)),"")</f>
        <v>4.97980476190476</v>
      </c>
      <c r="H113" s="10" t="n">
        <f aca="false">IFERROR(AVERAGEIFS(FX_Daily!H$15:H$2821,FX_Daily!$A$15:$A$2821,"&gt;="&amp;$A113,FX_Daily!$A$15:$A$2821,"&lt;="&amp;EOMONTH($A113,0)),"")</f>
        <v>149.818571428571</v>
      </c>
      <c r="I113" s="10" t="n">
        <f aca="false">IFERROR(AVERAGEIFS(FX_Daily!I$15:I$2821,FX_Daily!$A$15:$A$2821,"&gt;="&amp;$A113,FX_Daily!$A$15:$A$2821,"&lt;="&amp;EOMONTH($A113,0)),"")</f>
        <v>1.08722</v>
      </c>
      <c r="J113" s="10" t="n">
        <f aca="false">IFERROR(AVERAGEIFS(FX_Daily!J$15:J$2821,FX_Daily!$A$15:$A$2821,"&gt;="&amp;$A113,FX_Daily!$A$15:$A$2821,"&lt;="&amp;EOMONTH($A113,0)),"")</f>
        <v>11.52139</v>
      </c>
      <c r="K113" s="10" t="n">
        <f aca="false">IFERROR(AVERAGEIFS(FX_Daily!K$15:K$2821,FX_Daily!$A$15:$A$2821,"&gt;="&amp;$A113,FX_Daily!$A$15:$A$2821,"&lt;="&amp;EOMONTH($A113,0)),"")</f>
        <v>1448.117</v>
      </c>
      <c r="L113" s="10" t="n">
        <f aca="false">IFERROR(AVERAGEIFS(FX_Daily!L$15:L$2821,FX_Daily!$A$15:$A$2821,"&gt;="&amp;$A113,FX_Daily!$A$15:$A$2821,"&lt;="&amp;EOMONTH($A113,0)),"")</f>
        <v>0.8552375</v>
      </c>
      <c r="M113" s="10" t="n">
        <f aca="false">IFERROR(AVERAGEIFS(FX_Daily!M$15:M$2821,FX_Daily!$A$15:$A$2821,"&gt;="&amp;$A113,FX_Daily!$A$15:$A$2821,"&lt;="&amp;EOMONTH($A113,0)),"")</f>
        <v>7.82969</v>
      </c>
      <c r="N113" s="10" t="n">
        <f aca="false">IFERROR(AVERAGEIFS(FX_Daily!N$15:N$2821,FX_Daily!$A$15:$A$2821,"&gt;="&amp;$A113,FX_Daily!$A$15:$A$2821,"&lt;="&amp;EOMONTH($A113,0)),"")</f>
        <v>5.415695</v>
      </c>
      <c r="O113" s="10" t="n">
        <f aca="false">IFERROR(AVERAGEIFS(FX_Daily!O$15:O$2821,FX_Daily!$A$15:$A$2821,"&gt;="&amp;$A113,FX_Daily!$A$15:$A$2821,"&lt;="&amp;EOMONTH($A113,0)),"")</f>
        <v>162.7725</v>
      </c>
      <c r="P113" s="10" t="n">
        <f aca="false">IFERROR(AVERAGEIFS(FX_Daily!P$15:P$2821,FX_Daily!$A$15:$A$2821,"&gt;="&amp;$A113,FX_Daily!$A$15:$A$2821,"&lt;="&amp;EOMONTH($A113,0)),"")</f>
        <v>10.5856894736842</v>
      </c>
      <c r="Q113" s="15" t="n">
        <f aca="false">COUNTIFS(FX_Daily!$A$15:$A$2821,"&gt;="&amp;$A113,FX_Daily!$A$15:$A$2821,"&lt;="&amp;EOMONTH($A113,0),FX_Daily!C$15:C$2821,"&gt;0")</f>
        <v>21</v>
      </c>
      <c r="R113" s="16" t="str">
        <f aca="false">IF(EOMONTH($A113,0)&gt;FX_Daily!$C$11,"partial month","complete")</f>
        <v>complete</v>
      </c>
    </row>
    <row r="114" customFormat="false" ht="15" hidden="false" customHeight="false" outlineLevel="0" collapsed="false">
      <c r="A114" s="17" t="n">
        <v>45383</v>
      </c>
      <c r="B114" s="10" t="n">
        <f aca="false">IFERROR(AVERAGEIFS(FX_Daily!B$15:B$2821,FX_Daily!$A$15:$A$2821,"&gt;="&amp;$A114,FX_Daily!$A$15:$A$2821,"&lt;="&amp;EOMONTH($A114,0)),"")</f>
        <v>1367.85545454545</v>
      </c>
      <c r="C114" s="10" t="n">
        <f aca="false">IFERROR(AVERAGEIFS(FX_Daily!C$15:C$2821,FX_Daily!$A$15:$A$2821,"&gt;="&amp;$A114,FX_Daily!$A$15:$A$2821,"&lt;="&amp;EOMONTH($A114,0)),"")</f>
        <v>10.9057636363636</v>
      </c>
      <c r="D114" s="10" t="n">
        <f aca="false">IFERROR(AVERAGEIFS(FX_Daily!D$15:D$2821,FX_Daily!$A$15:$A$2821,"&gt;="&amp;$A114,FX_Daily!$A$15:$A$2821,"&lt;="&amp;EOMONTH($A114,0)),"")</f>
        <v>1.25171363636364</v>
      </c>
      <c r="E114" s="10" t="n">
        <f aca="false">IFERROR(AVERAGEIFS(FX_Daily!E$15:E$2821,FX_Daily!$A$15:$A$2821,"&gt;="&amp;$A114,FX_Daily!$A$15:$A$2821,"&lt;="&amp;EOMONTH($A114,0)),"")</f>
        <v>1.07239090909091</v>
      </c>
      <c r="F114" s="10" t="n">
        <f aca="false">IFERROR(AVERAGEIFS(FX_Daily!F$15:F$2821,FX_Daily!$A$15:$A$2821,"&gt;="&amp;$A114,FX_Daily!$A$15:$A$2821,"&lt;="&amp;EOMONTH($A114,0)),"")</f>
        <v>7.23743181818182</v>
      </c>
      <c r="G114" s="10" t="n">
        <f aca="false">IFERROR(AVERAGEIFS(FX_Daily!G$15:G$2821,FX_Daily!$A$15:$A$2821,"&gt;="&amp;$A114,FX_Daily!$A$15:$A$2821,"&lt;="&amp;EOMONTH($A114,0)),"")</f>
        <v>5.12998181818182</v>
      </c>
      <c r="H114" s="10" t="n">
        <f aca="false">IFERROR(AVERAGEIFS(FX_Daily!H$15:H$2821,FX_Daily!$A$15:$A$2821,"&gt;="&amp;$A114,FX_Daily!$A$15:$A$2821,"&lt;="&amp;EOMONTH($A114,0)),"")</f>
        <v>153.89</v>
      </c>
      <c r="I114" s="10" t="n">
        <f aca="false">IFERROR(AVERAGEIFS(FX_Daily!I$15:I$2821,FX_Daily!$A$15:$A$2821,"&gt;="&amp;$A114,FX_Daily!$A$15:$A$2821,"&lt;="&amp;EOMONTH($A114,0)),"")</f>
        <v>1.07277619047619</v>
      </c>
      <c r="J114" s="10" t="n">
        <f aca="false">IFERROR(AVERAGEIFS(FX_Daily!J$15:J$2821,FX_Daily!$A$15:$A$2821,"&gt;="&amp;$A114,FX_Daily!$A$15:$A$2821,"&lt;="&amp;EOMONTH($A114,0)),"")</f>
        <v>11.6828</v>
      </c>
      <c r="K114" s="10" t="n">
        <f aca="false">IFERROR(AVERAGEIFS(FX_Daily!K$15:K$2821,FX_Daily!$A$15:$A$2821,"&gt;="&amp;$A114,FX_Daily!$A$15:$A$2821,"&lt;="&amp;EOMONTH($A114,0)),"")</f>
        <v>1469.42380952381</v>
      </c>
      <c r="L114" s="10" t="n">
        <f aca="false">IFERROR(AVERAGEIFS(FX_Daily!L$15:L$2821,FX_Daily!$A$15:$A$2821,"&gt;="&amp;$A114,FX_Daily!$A$15:$A$2821,"&lt;="&amp;EOMONTH($A114,0)),"")</f>
        <v>0.856576666666667</v>
      </c>
      <c r="M114" s="10" t="n">
        <f aca="false">IFERROR(AVERAGEIFS(FX_Daily!M$15:M$2821,FX_Daily!$A$15:$A$2821,"&gt;="&amp;$A114,FX_Daily!$A$15:$A$2821,"&lt;="&amp;EOMONTH($A114,0)),"")</f>
        <v>7.76579523809524</v>
      </c>
      <c r="N114" s="10" t="n">
        <f aca="false">IFERROR(AVERAGEIFS(FX_Daily!N$15:N$2821,FX_Daily!$A$15:$A$2821,"&gt;="&amp;$A114,FX_Daily!$A$15:$A$2821,"&lt;="&amp;EOMONTH($A114,0)),"")</f>
        <v>5.49750952380952</v>
      </c>
      <c r="O114" s="10" t="n">
        <f aca="false">IFERROR(AVERAGEIFS(FX_Daily!O$15:O$2821,FX_Daily!$A$15:$A$2821,"&gt;="&amp;$A114,FX_Daily!$A$15:$A$2821,"&lt;="&amp;EOMONTH($A114,0)),"")</f>
        <v>165.029523809524</v>
      </c>
      <c r="P114" s="10" t="n">
        <f aca="false">IFERROR(AVERAGEIFS(FX_Daily!P$15:P$2821,FX_Daily!$A$15:$A$2821,"&gt;="&amp;$A114,FX_Daily!$A$15:$A$2821,"&lt;="&amp;EOMONTH($A114,0)),"")</f>
        <v>10.8910904761905</v>
      </c>
      <c r="Q114" s="15" t="n">
        <f aca="false">COUNTIFS(FX_Daily!$A$15:$A$2821,"&gt;="&amp;$A114,FX_Daily!$A$15:$A$2821,"&lt;="&amp;EOMONTH($A114,0),FX_Daily!C$15:C$2821,"&gt;0")</f>
        <v>22</v>
      </c>
      <c r="R114" s="16" t="str">
        <f aca="false">IF(EOMONTH($A114,0)&gt;FX_Daily!$C$11,"partial month","complete")</f>
        <v>complete</v>
      </c>
    </row>
    <row r="115" customFormat="false" ht="15" hidden="false" customHeight="false" outlineLevel="0" collapsed="false">
      <c r="A115" s="17" t="n">
        <v>45413</v>
      </c>
      <c r="B115" s="10" t="n">
        <f aca="false">IFERROR(AVERAGEIFS(FX_Daily!B$15:B$2821,FX_Daily!$A$15:$A$2821,"&gt;="&amp;$A115,FX_Daily!$A$15:$A$2821,"&lt;="&amp;EOMONTH($A115,0)),"")</f>
        <v>1364.72409090909</v>
      </c>
      <c r="C115" s="10" t="n">
        <f aca="false">IFERROR(AVERAGEIFS(FX_Daily!C$15:C$2821,FX_Daily!$A$15:$A$2821,"&gt;="&amp;$A115,FX_Daily!$A$15:$A$2821,"&lt;="&amp;EOMONTH($A115,0)),"")</f>
        <v>10.7443318181818</v>
      </c>
      <c r="D115" s="10" t="n">
        <f aca="false">IFERROR(AVERAGEIFS(FX_Daily!D$15:D$2821,FX_Daily!$A$15:$A$2821,"&gt;="&amp;$A115,FX_Daily!$A$15:$A$2821,"&lt;="&amp;EOMONTH($A115,0)),"")</f>
        <v>1.26355454545455</v>
      </c>
      <c r="E115" s="10" t="n">
        <f aca="false">IFERROR(AVERAGEIFS(FX_Daily!E$15:E$2821,FX_Daily!$A$15:$A$2821,"&gt;="&amp;$A115,FX_Daily!$A$15:$A$2821,"&lt;="&amp;EOMONTH($A115,0)),"")</f>
        <v>1.08101363636364</v>
      </c>
      <c r="F115" s="10" t="n">
        <f aca="false">IFERROR(AVERAGEIFS(FX_Daily!F$15:F$2821,FX_Daily!$A$15:$A$2821,"&gt;="&amp;$A115,FX_Daily!$A$15:$A$2821,"&lt;="&amp;EOMONTH($A115,0)),"")</f>
        <v>7.23271363636364</v>
      </c>
      <c r="G115" s="10" t="n">
        <f aca="false">IFERROR(AVERAGEIFS(FX_Daily!G$15:G$2821,FX_Daily!$A$15:$A$2821,"&gt;="&amp;$A115,FX_Daily!$A$15:$A$2821,"&lt;="&amp;EOMONTH($A115,0)),"")</f>
        <v>5.13679090909091</v>
      </c>
      <c r="H115" s="10" t="n">
        <f aca="false">IFERROR(AVERAGEIFS(FX_Daily!H$15:H$2821,FX_Daily!$A$15:$A$2821,"&gt;="&amp;$A115,FX_Daily!$A$15:$A$2821,"&lt;="&amp;EOMONTH($A115,0)),"")</f>
        <v>155.869090909091</v>
      </c>
      <c r="I115" s="10" t="n">
        <f aca="false">IFERROR(AVERAGEIFS(FX_Daily!I$15:I$2821,FX_Daily!$A$15:$A$2821,"&gt;="&amp;$A115,FX_Daily!$A$15:$A$2821,"&lt;="&amp;EOMONTH($A115,0)),"")</f>
        <v>1.08122272727273</v>
      </c>
      <c r="J115" s="10" t="n">
        <f aca="false">IFERROR(AVERAGEIFS(FX_Daily!J$15:J$2821,FX_Daily!$A$15:$A$2821,"&gt;="&amp;$A115,FX_Daily!$A$15:$A$2821,"&lt;="&amp;EOMONTH($A115,0)),"")</f>
        <v>11.5987545454545</v>
      </c>
      <c r="K115" s="10" t="n">
        <f aca="false">IFERROR(AVERAGEIFS(FX_Daily!K$15:K$2821,FX_Daily!$A$15:$A$2821,"&gt;="&amp;$A115,FX_Daily!$A$15:$A$2821,"&lt;="&amp;EOMONTH($A115,0)),"")</f>
        <v>1474.95772727273</v>
      </c>
      <c r="L115" s="10" t="n">
        <f aca="false">IFERROR(AVERAGEIFS(FX_Daily!L$15:L$2821,FX_Daily!$A$15:$A$2821,"&gt;="&amp;$A115,FX_Daily!$A$15:$A$2821,"&lt;="&amp;EOMONTH($A115,0)),"")</f>
        <v>0.855640454545455</v>
      </c>
      <c r="M115" s="10" t="n">
        <f aca="false">IFERROR(AVERAGEIFS(FX_Daily!M$15:M$2821,FX_Daily!$A$15:$A$2821,"&gt;="&amp;$A115,FX_Daily!$A$15:$A$2821,"&lt;="&amp;EOMONTH($A115,0)),"")</f>
        <v>7.82063181818182</v>
      </c>
      <c r="N115" s="10" t="n">
        <f aca="false">IFERROR(AVERAGEIFS(FX_Daily!N$15:N$2821,FX_Daily!$A$15:$A$2821,"&gt;="&amp;$A115,FX_Daily!$A$15:$A$2821,"&lt;="&amp;EOMONTH($A115,0)),"")</f>
        <v>5.55285909090909</v>
      </c>
      <c r="O115" s="10" t="n">
        <f aca="false">IFERROR(AVERAGEIFS(FX_Daily!O$15:O$2821,FX_Daily!$A$15:$A$2821,"&gt;="&amp;$A115,FX_Daily!$A$15:$A$2821,"&lt;="&amp;EOMONTH($A115,0)),"")</f>
        <v>168.536363636364</v>
      </c>
      <c r="P115" s="10" t="n">
        <f aca="false">IFERROR(AVERAGEIFS(FX_Daily!P$15:P$2821,FX_Daily!$A$15:$A$2821,"&gt;="&amp;$A115,FX_Daily!$A$15:$A$2821,"&lt;="&amp;EOMONTH($A115,0)),"")</f>
        <v>10.7198578947368</v>
      </c>
      <c r="Q115" s="15" t="n">
        <f aca="false">COUNTIFS(FX_Daily!$A$15:$A$2821,"&gt;="&amp;$A115,FX_Daily!$A$15:$A$2821,"&lt;="&amp;EOMONTH($A115,0),FX_Daily!C$15:C$2821,"&gt;0")</f>
        <v>22</v>
      </c>
      <c r="R115" s="16" t="str">
        <f aca="false">IF(EOMONTH($A115,0)&gt;FX_Daily!$C$11,"partial month","complete")</f>
        <v>complete</v>
      </c>
    </row>
    <row r="116" customFormat="false" ht="15" hidden="false" customHeight="false" outlineLevel="0" collapsed="false">
      <c r="A116" s="17" t="n">
        <v>45444</v>
      </c>
      <c r="B116" s="10" t="n">
        <f aca="false">IFERROR(AVERAGEIFS(FX_Daily!B$15:B$2821,FX_Daily!$A$15:$A$2821,"&gt;="&amp;$A116,FX_Daily!$A$15:$A$2821,"&lt;="&amp;EOMONTH($A116,0)),"")</f>
        <v>1379.05263157895</v>
      </c>
      <c r="C116" s="10" t="n">
        <f aca="false">IFERROR(AVERAGEIFS(FX_Daily!C$15:C$2821,FX_Daily!$A$15:$A$2821,"&gt;="&amp;$A116,FX_Daily!$A$15:$A$2821,"&lt;="&amp;EOMONTH($A116,0)),"")</f>
        <v>10.6154368421053</v>
      </c>
      <c r="D116" s="10" t="n">
        <f aca="false">IFERROR(AVERAGEIFS(FX_Daily!D$15:D$2821,FX_Daily!$A$15:$A$2821,"&gt;="&amp;$A116,FX_Daily!$A$15:$A$2821,"&lt;="&amp;EOMONTH($A116,0)),"")</f>
        <v>1.27156315789474</v>
      </c>
      <c r="E116" s="10" t="n">
        <f aca="false">IFERROR(AVERAGEIFS(FX_Daily!E$15:E$2821,FX_Daily!$A$15:$A$2821,"&gt;="&amp;$A116,FX_Daily!$A$15:$A$2821,"&lt;="&amp;EOMONTH($A116,0)),"")</f>
        <v>1.07632631578947</v>
      </c>
      <c r="F116" s="10" t="n">
        <f aca="false">IFERROR(AVERAGEIFS(FX_Daily!F$15:F$2821,FX_Daily!$A$15:$A$2821,"&gt;="&amp;$A116,FX_Daily!$A$15:$A$2821,"&lt;="&amp;EOMONTH($A116,0)),"")</f>
        <v>7.25474736842105</v>
      </c>
      <c r="G116" s="10" t="n">
        <f aca="false">IFERROR(AVERAGEIFS(FX_Daily!G$15:G$2821,FX_Daily!$A$15:$A$2821,"&gt;="&amp;$A116,FX_Daily!$A$15:$A$2821,"&lt;="&amp;EOMONTH($A116,0)),"")</f>
        <v>5.38609473684211</v>
      </c>
      <c r="H116" s="10" t="n">
        <f aca="false">IFERROR(AVERAGEIFS(FX_Daily!H$15:H$2821,FX_Daily!$A$15:$A$2821,"&gt;="&amp;$A116,FX_Daily!$A$15:$A$2821,"&lt;="&amp;EOMONTH($A116,0)),"")</f>
        <v>157.86</v>
      </c>
      <c r="I116" s="10" t="n">
        <f aca="false">IFERROR(AVERAGEIFS(FX_Daily!I$15:I$2821,FX_Daily!$A$15:$A$2821,"&gt;="&amp;$A116,FX_Daily!$A$15:$A$2821,"&lt;="&amp;EOMONTH($A116,0)),"")</f>
        <v>1.0759</v>
      </c>
      <c r="J116" s="10" t="n">
        <f aca="false">IFERROR(AVERAGEIFS(FX_Daily!J$15:J$2821,FX_Daily!$A$15:$A$2821,"&gt;="&amp;$A116,FX_Daily!$A$15:$A$2821,"&lt;="&amp;EOMONTH($A116,0)),"")</f>
        <v>11.4178</v>
      </c>
      <c r="K116" s="10" t="n">
        <f aca="false">IFERROR(AVERAGEIFS(FX_Daily!K$15:K$2821,FX_Daily!$A$15:$A$2821,"&gt;="&amp;$A116,FX_Daily!$A$15:$A$2821,"&lt;="&amp;EOMONTH($A116,0)),"")</f>
        <v>1485.3755</v>
      </c>
      <c r="L116" s="10" t="n">
        <f aca="false">IFERROR(AVERAGEIFS(FX_Daily!L$15:L$2821,FX_Daily!$A$15:$A$2821,"&gt;="&amp;$A116,FX_Daily!$A$15:$A$2821,"&lt;="&amp;EOMONTH($A116,0)),"")</f>
        <v>0.8464315</v>
      </c>
      <c r="M116" s="10" t="n">
        <f aca="false">IFERROR(AVERAGEIFS(FX_Daily!M$15:M$2821,FX_Daily!$A$15:$A$2821,"&gt;="&amp;$A116,FX_Daily!$A$15:$A$2821,"&lt;="&amp;EOMONTH($A116,0)),"")</f>
        <v>7.80508</v>
      </c>
      <c r="N116" s="10" t="n">
        <f aca="false">IFERROR(AVERAGEIFS(FX_Daily!N$15:N$2821,FX_Daily!$A$15:$A$2821,"&gt;="&amp;$A116,FX_Daily!$A$15:$A$2821,"&lt;="&amp;EOMONTH($A116,0)),"")</f>
        <v>5.788405</v>
      </c>
      <c r="O116" s="10" t="n">
        <f aca="false">IFERROR(AVERAGEIFS(FX_Daily!O$15:O$2821,FX_Daily!$A$15:$A$2821,"&gt;="&amp;$A116,FX_Daily!$A$15:$A$2821,"&lt;="&amp;EOMONTH($A116,0)),"")</f>
        <v>169.813</v>
      </c>
      <c r="P116" s="10" t="n">
        <f aca="false">IFERROR(AVERAGEIFS(FX_Daily!P$15:P$2821,FX_Daily!$A$15:$A$2821,"&gt;="&amp;$A116,FX_Daily!$A$15:$A$2821,"&lt;="&amp;EOMONTH($A116,0)),"")</f>
        <v>10.61253</v>
      </c>
      <c r="Q116" s="15" t="n">
        <f aca="false">COUNTIFS(FX_Daily!$A$15:$A$2821,"&gt;="&amp;$A116,FX_Daily!$A$15:$A$2821,"&lt;="&amp;EOMONTH($A116,0),FX_Daily!C$15:C$2821,"&gt;0")</f>
        <v>19</v>
      </c>
      <c r="R116" s="16" t="str">
        <f aca="false">IF(EOMONTH($A116,0)&gt;FX_Daily!$C$11,"partial month","complete")</f>
        <v>complete</v>
      </c>
    </row>
    <row r="117" customFormat="false" ht="15" hidden="false" customHeight="false" outlineLevel="0" collapsed="false">
      <c r="A117" s="17" t="n">
        <v>45474</v>
      </c>
      <c r="B117" s="10" t="n">
        <f aca="false">IFERROR(AVERAGEIFS(FX_Daily!B$15:B$2821,FX_Daily!$A$15:$A$2821,"&gt;="&amp;$A117,FX_Daily!$A$15:$A$2821,"&lt;="&amp;EOMONTH($A117,0)),"")</f>
        <v>1382.04727272727</v>
      </c>
      <c r="C117" s="10" t="n">
        <f aca="false">IFERROR(AVERAGEIFS(FX_Daily!C$15:C$2821,FX_Daily!$A$15:$A$2821,"&gt;="&amp;$A117,FX_Daily!$A$15:$A$2821,"&lt;="&amp;EOMONTH($A117,0)),"")</f>
        <v>10.8070636363636</v>
      </c>
      <c r="D117" s="10" t="n">
        <f aca="false">IFERROR(AVERAGEIFS(FX_Daily!D$15:D$2821,FX_Daily!$A$15:$A$2821,"&gt;="&amp;$A117,FX_Daily!$A$15:$A$2821,"&lt;="&amp;EOMONTH($A117,0)),"")</f>
        <v>1.28697272727273</v>
      </c>
      <c r="E117" s="10" t="n">
        <f aca="false">IFERROR(AVERAGEIFS(FX_Daily!E$15:E$2821,FX_Daily!$A$15:$A$2821,"&gt;="&amp;$A117,FX_Daily!$A$15:$A$2821,"&lt;="&amp;EOMONTH($A117,0)),"")</f>
        <v>1.08465909090909</v>
      </c>
      <c r="F117" s="10" t="n">
        <f aca="false">IFERROR(AVERAGEIFS(FX_Daily!F$15:F$2821,FX_Daily!$A$15:$A$2821,"&gt;="&amp;$A117,FX_Daily!$A$15:$A$2821,"&lt;="&amp;EOMONTH($A117,0)),"")</f>
        <v>7.26093636363636</v>
      </c>
      <c r="G117" s="10" t="n">
        <f aca="false">IFERROR(AVERAGEIFS(FX_Daily!G$15:G$2821,FX_Daily!$A$15:$A$2821,"&gt;="&amp;$A117,FX_Daily!$A$15:$A$2821,"&lt;="&amp;EOMONTH($A117,0)),"")</f>
        <v>5.54378181818182</v>
      </c>
      <c r="H117" s="10" t="n">
        <f aca="false">IFERROR(AVERAGEIFS(FX_Daily!H$15:H$2821,FX_Daily!$A$15:$A$2821,"&gt;="&amp;$A117,FX_Daily!$A$15:$A$2821,"&lt;="&amp;EOMONTH($A117,0)),"")</f>
        <v>157.518181818182</v>
      </c>
      <c r="I117" s="10" t="n">
        <f aca="false">IFERROR(AVERAGEIFS(FX_Daily!I$15:I$2821,FX_Daily!$A$15:$A$2821,"&gt;="&amp;$A117,FX_Daily!$A$15:$A$2821,"&lt;="&amp;EOMONTH($A117,0)),"")</f>
        <v>1.08440869565217</v>
      </c>
      <c r="J117" s="10" t="n">
        <f aca="false">IFERROR(AVERAGEIFS(FX_Daily!J$15:J$2821,FX_Daily!$A$15:$A$2821,"&gt;="&amp;$A117,FX_Daily!$A$15:$A$2821,"&lt;="&amp;EOMONTH($A117,0)),"")</f>
        <v>11.7160347826087</v>
      </c>
      <c r="K117" s="10" t="n">
        <f aca="false">IFERROR(AVERAGEIFS(FX_Daily!K$15:K$2821,FX_Daily!$A$15:$A$2821,"&gt;="&amp;$A117,FX_Daily!$A$15:$A$2821,"&lt;="&amp;EOMONTH($A117,0)),"")</f>
        <v>1499.6152173913</v>
      </c>
      <c r="L117" s="10" t="n">
        <f aca="false">IFERROR(AVERAGEIFS(FX_Daily!L$15:L$2821,FX_Daily!$A$15:$A$2821,"&gt;="&amp;$A117,FX_Daily!$A$15:$A$2821,"&lt;="&amp;EOMONTH($A117,0)),"")</f>
        <v>0.843317826086957</v>
      </c>
      <c r="M117" s="10" t="n">
        <f aca="false">IFERROR(AVERAGEIFS(FX_Daily!M$15:M$2821,FX_Daily!$A$15:$A$2821,"&gt;="&amp;$A117,FX_Daily!$A$15:$A$2821,"&lt;="&amp;EOMONTH($A117,0)),"")</f>
        <v>7.87497826086957</v>
      </c>
      <c r="N117" s="10" t="n">
        <f aca="false">IFERROR(AVERAGEIFS(FX_Daily!N$15:N$2821,FX_Daily!$A$15:$A$2821,"&gt;="&amp;$A117,FX_Daily!$A$15:$A$2821,"&lt;="&amp;EOMONTH($A117,0)),"")</f>
        <v>6.00531739130435</v>
      </c>
      <c r="O117" s="10" t="n">
        <f aca="false">IFERROR(AVERAGEIFS(FX_Daily!O$15:O$2821,FX_Daily!$A$15:$A$2821,"&gt;="&amp;$A117,FX_Daily!$A$15:$A$2821,"&lt;="&amp;EOMONTH($A117,0)),"")</f>
        <v>171.170869565217</v>
      </c>
      <c r="P117" s="10" t="n">
        <f aca="false">IFERROR(AVERAGEIFS(FX_Daily!P$15:P$2821,FX_Daily!$A$15:$A$2821,"&gt;="&amp;$A117,FX_Daily!$A$15:$A$2821,"&lt;="&amp;EOMONTH($A117,0)),"")</f>
        <v>10.8038347826087</v>
      </c>
      <c r="Q117" s="15" t="n">
        <f aca="false">COUNTIFS(FX_Daily!$A$15:$A$2821,"&gt;="&amp;$A117,FX_Daily!$A$15:$A$2821,"&lt;="&amp;EOMONTH($A117,0),FX_Daily!C$15:C$2821,"&gt;0")</f>
        <v>22</v>
      </c>
      <c r="R117" s="16" t="str">
        <f aca="false">IF(EOMONTH($A117,0)&gt;FX_Daily!$C$11,"partial month","complete")</f>
        <v>complete</v>
      </c>
    </row>
    <row r="118" customFormat="false" ht="15" hidden="false" customHeight="false" outlineLevel="0" collapsed="false">
      <c r="A118" s="17" t="n">
        <v>45505</v>
      </c>
      <c r="B118" s="10" t="n">
        <f aca="false">IFERROR(AVERAGEIFS(FX_Daily!B$15:B$2821,FX_Daily!$A$15:$A$2821,"&gt;="&amp;$A118,FX_Daily!$A$15:$A$2821,"&lt;="&amp;EOMONTH($A118,0)),"")</f>
        <v>1351.44363636364</v>
      </c>
      <c r="C118" s="10" t="n">
        <f aca="false">IFERROR(AVERAGEIFS(FX_Daily!C$15:C$2821,FX_Daily!$A$15:$A$2821,"&gt;="&amp;$A118,FX_Daily!$A$15:$A$2821,"&lt;="&amp;EOMONTH($A118,0)),"")</f>
        <v>10.6899727272727</v>
      </c>
      <c r="D118" s="10" t="n">
        <f aca="false">IFERROR(AVERAGEIFS(FX_Daily!D$15:D$2821,FX_Daily!$A$15:$A$2821,"&gt;="&amp;$A118,FX_Daily!$A$15:$A$2821,"&lt;="&amp;EOMONTH($A118,0)),"")</f>
        <v>1.29452272727273</v>
      </c>
      <c r="E118" s="10" t="n">
        <f aca="false">IFERROR(AVERAGEIFS(FX_Daily!E$15:E$2821,FX_Daily!$A$15:$A$2821,"&gt;="&amp;$A118,FX_Daily!$A$15:$A$2821,"&lt;="&amp;EOMONTH($A118,0)),"")</f>
        <v>1.10201818181818</v>
      </c>
      <c r="F118" s="10" t="n">
        <f aca="false">IFERROR(AVERAGEIFS(FX_Daily!F$15:F$2821,FX_Daily!$A$15:$A$2821,"&gt;="&amp;$A118,FX_Daily!$A$15:$A$2821,"&lt;="&amp;EOMONTH($A118,0)),"")</f>
        <v>7.14748636363636</v>
      </c>
      <c r="G118" s="10" t="n">
        <f aca="false">IFERROR(AVERAGEIFS(FX_Daily!G$15:G$2821,FX_Daily!$A$15:$A$2821,"&gt;="&amp;$A118,FX_Daily!$A$15:$A$2821,"&lt;="&amp;EOMONTH($A118,0)),"")</f>
        <v>5.55174545454546</v>
      </c>
      <c r="H118" s="10" t="n">
        <f aca="false">IFERROR(AVERAGEIFS(FX_Daily!H$15:H$2821,FX_Daily!$A$15:$A$2821,"&gt;="&amp;$A118,FX_Daily!$A$15:$A$2821,"&lt;="&amp;EOMONTH($A118,0)),"")</f>
        <v>146.264090909091</v>
      </c>
      <c r="I118" s="10" t="n">
        <f aca="false">IFERROR(AVERAGEIFS(FX_Daily!I$15:I$2821,FX_Daily!$A$15:$A$2821,"&gt;="&amp;$A118,FX_Daily!$A$15:$A$2821,"&lt;="&amp;EOMONTH($A118,0)),"")</f>
        <v>1.10121818181818</v>
      </c>
      <c r="J118" s="10" t="n">
        <f aca="false">IFERROR(AVERAGEIFS(FX_Daily!J$15:J$2821,FX_Daily!$A$15:$A$2821,"&gt;="&amp;$A118,FX_Daily!$A$15:$A$2821,"&lt;="&amp;EOMONTH($A118,0)),"")</f>
        <v>11.7894909090909</v>
      </c>
      <c r="K118" s="10" t="n">
        <f aca="false">IFERROR(AVERAGEIFS(FX_Daily!K$15:K$2821,FX_Daily!$A$15:$A$2821,"&gt;="&amp;$A118,FX_Daily!$A$15:$A$2821,"&lt;="&amp;EOMONTH($A118,0)),"")</f>
        <v>1488.61409090909</v>
      </c>
      <c r="L118" s="10" t="n">
        <f aca="false">IFERROR(AVERAGEIFS(FX_Daily!L$15:L$2821,FX_Daily!$A$15:$A$2821,"&gt;="&amp;$A118,FX_Daily!$A$15:$A$2821,"&lt;="&amp;EOMONTH($A118,0)),"")</f>
        <v>0.851503636363637</v>
      </c>
      <c r="M118" s="10" t="n">
        <f aca="false">IFERROR(AVERAGEIFS(FX_Daily!M$15:M$2821,FX_Daily!$A$15:$A$2821,"&gt;="&amp;$A118,FX_Daily!$A$15:$A$2821,"&lt;="&amp;EOMONTH($A118,0)),"")</f>
        <v>7.87356818181818</v>
      </c>
      <c r="N118" s="10" t="n">
        <f aca="false">IFERROR(AVERAGEIFS(FX_Daily!N$15:N$2821,FX_Daily!$A$15:$A$2821,"&gt;="&amp;$A118,FX_Daily!$A$15:$A$2821,"&lt;="&amp;EOMONTH($A118,0)),"")</f>
        <v>6.11933181818182</v>
      </c>
      <c r="O118" s="10" t="n">
        <f aca="false">IFERROR(AVERAGEIFS(FX_Daily!O$15:O$2821,FX_Daily!$A$15:$A$2821,"&gt;="&amp;$A118,FX_Daily!$A$15:$A$2821,"&lt;="&amp;EOMONTH($A118,0)),"")</f>
        <v>161.055454545455</v>
      </c>
      <c r="P118" s="10" t="n">
        <f aca="false">IFERROR(AVERAGEIFS(FX_Daily!P$15:P$2821,FX_Daily!$A$15:$A$2821,"&gt;="&amp;$A118,FX_Daily!$A$15:$A$2821,"&lt;="&amp;EOMONTH($A118,0)),"")</f>
        <v>10.7073136363636</v>
      </c>
      <c r="Q118" s="15" t="n">
        <f aca="false">COUNTIFS(FX_Daily!$A$15:$A$2821,"&gt;="&amp;$A118,FX_Daily!$A$15:$A$2821,"&lt;="&amp;EOMONTH($A118,0),FX_Daily!C$15:C$2821,"&gt;0")</f>
        <v>22</v>
      </c>
      <c r="R118" s="16" t="str">
        <f aca="false">IF(EOMONTH($A118,0)&gt;FX_Daily!$C$11,"partial month","complete")</f>
        <v>complete</v>
      </c>
    </row>
    <row r="119" customFormat="false" ht="15" hidden="false" customHeight="false" outlineLevel="0" collapsed="false">
      <c r="A119" s="17" t="n">
        <v>45536</v>
      </c>
      <c r="B119" s="10" t="n">
        <f aca="false">IFERROR(AVERAGEIFS(FX_Daily!B$15:B$2821,FX_Daily!$A$15:$A$2821,"&gt;="&amp;$A119,FX_Daily!$A$15:$A$2821,"&lt;="&amp;EOMONTH($A119,0)),"")</f>
        <v>1330.6985</v>
      </c>
      <c r="C119" s="10" t="n">
        <f aca="false">IFERROR(AVERAGEIFS(FX_Daily!C$15:C$2821,FX_Daily!$A$15:$A$2821,"&gt;="&amp;$A119,FX_Daily!$A$15:$A$2821,"&lt;="&amp;EOMONTH($A119,0)),"")</f>
        <v>10.62256</v>
      </c>
      <c r="D119" s="10" t="n">
        <f aca="false">IFERROR(AVERAGEIFS(FX_Daily!D$15:D$2821,FX_Daily!$A$15:$A$2821,"&gt;="&amp;$A119,FX_Daily!$A$15:$A$2821,"&lt;="&amp;EOMONTH($A119,0)),"")</f>
        <v>1.321885</v>
      </c>
      <c r="E119" s="10" t="n">
        <f aca="false">IFERROR(AVERAGEIFS(FX_Daily!E$15:E$2821,FX_Daily!$A$15:$A$2821,"&gt;="&amp;$A119,FX_Daily!$A$15:$A$2821,"&lt;="&amp;EOMONTH($A119,0)),"")</f>
        <v>1.110425</v>
      </c>
      <c r="F119" s="10" t="n">
        <f aca="false">IFERROR(AVERAGEIFS(FX_Daily!F$15:F$2821,FX_Daily!$A$15:$A$2821,"&gt;="&amp;$A119,FX_Daily!$A$15:$A$2821,"&lt;="&amp;EOMONTH($A119,0)),"")</f>
        <v>7.076</v>
      </c>
      <c r="G119" s="10" t="n">
        <f aca="false">IFERROR(AVERAGEIFS(FX_Daily!G$15:G$2821,FX_Daily!$A$15:$A$2821,"&gt;="&amp;$A119,FX_Daily!$A$15:$A$2821,"&lt;="&amp;EOMONTH($A119,0)),"")</f>
        <v>5.537835</v>
      </c>
      <c r="H119" s="10" t="n">
        <f aca="false">IFERROR(AVERAGEIFS(FX_Daily!H$15:H$2821,FX_Daily!$A$15:$A$2821,"&gt;="&amp;$A119,FX_Daily!$A$15:$A$2821,"&lt;="&amp;EOMONTH($A119,0)),"")</f>
        <v>142.954</v>
      </c>
      <c r="I119" s="10" t="n">
        <f aca="false">IFERROR(AVERAGEIFS(FX_Daily!I$15:I$2821,FX_Daily!$A$15:$A$2821,"&gt;="&amp;$A119,FX_Daily!$A$15:$A$2821,"&lt;="&amp;EOMONTH($A119,0)),"")</f>
        <v>1.1106</v>
      </c>
      <c r="J119" s="10" t="n">
        <f aca="false">IFERROR(AVERAGEIFS(FX_Daily!J$15:J$2821,FX_Daily!$A$15:$A$2821,"&gt;="&amp;$A119,FX_Daily!$A$15:$A$2821,"&lt;="&amp;EOMONTH($A119,0)),"")</f>
        <v>11.7852428571429</v>
      </c>
      <c r="K119" s="10" t="n">
        <f aca="false">IFERROR(AVERAGEIFS(FX_Daily!K$15:K$2821,FX_Daily!$A$15:$A$2821,"&gt;="&amp;$A119,FX_Daily!$A$15:$A$2821,"&lt;="&amp;EOMONTH($A119,0)),"")</f>
        <v>1478.72476190476</v>
      </c>
      <c r="L119" s="10" t="n">
        <f aca="false">IFERROR(AVERAGEIFS(FX_Daily!L$15:L$2821,FX_Daily!$A$15:$A$2821,"&gt;="&amp;$A119,FX_Daily!$A$15:$A$2821,"&lt;="&amp;EOMONTH($A119,0)),"")</f>
        <v>0.840212380952381</v>
      </c>
      <c r="M119" s="10" t="n">
        <f aca="false">IFERROR(AVERAGEIFS(FX_Daily!M$15:M$2821,FX_Daily!$A$15:$A$2821,"&gt;="&amp;$A119,FX_Daily!$A$15:$A$2821,"&lt;="&amp;EOMONTH($A119,0)),"")</f>
        <v>7.86109047619048</v>
      </c>
      <c r="N119" s="10" t="n">
        <f aca="false">IFERROR(AVERAGEIFS(FX_Daily!N$15:N$2821,FX_Daily!$A$15:$A$2821,"&gt;="&amp;$A119,FX_Daily!$A$15:$A$2821,"&lt;="&amp;EOMONTH($A119,0)),"")</f>
        <v>6.15278571428571</v>
      </c>
      <c r="O119" s="10" t="n">
        <f aca="false">IFERROR(AVERAGEIFS(FX_Daily!O$15:O$2821,FX_Daily!$A$15:$A$2821,"&gt;="&amp;$A119,FX_Daily!$A$15:$A$2821,"&lt;="&amp;EOMONTH($A119,0)),"")</f>
        <v>159.080952380952</v>
      </c>
      <c r="P119" s="10" t="n">
        <f aca="false">IFERROR(AVERAGEIFS(FX_Daily!P$15:P$2821,FX_Daily!$A$15:$A$2821,"&gt;="&amp;$A119,FX_Daily!$A$15:$A$2821,"&lt;="&amp;EOMONTH($A119,0)),"")</f>
        <v>10.6121142857143</v>
      </c>
      <c r="Q119" s="15" t="n">
        <f aca="false">COUNTIFS(FX_Daily!$A$15:$A$2821,"&gt;="&amp;$A119,FX_Daily!$A$15:$A$2821,"&lt;="&amp;EOMONTH($A119,0),FX_Daily!C$15:C$2821,"&gt;0")</f>
        <v>20</v>
      </c>
      <c r="R119" s="16" t="str">
        <f aca="false">IF(EOMONTH($A119,0)&gt;FX_Daily!$C$11,"partial month","complete")</f>
        <v>complete</v>
      </c>
    </row>
    <row r="120" customFormat="false" ht="15" hidden="false" customHeight="false" outlineLevel="0" collapsed="false">
      <c r="A120" s="17" t="n">
        <v>45566</v>
      </c>
      <c r="B120" s="10" t="n">
        <f aca="false">IFERROR(AVERAGEIFS(FX_Daily!B$15:B$2821,FX_Daily!$A$15:$A$2821,"&gt;="&amp;$A120,FX_Daily!$A$15:$A$2821,"&lt;="&amp;EOMONTH($A120,0)),"")</f>
        <v>1362.36909090909</v>
      </c>
      <c r="C120" s="10" t="n">
        <f aca="false">IFERROR(AVERAGEIFS(FX_Daily!C$15:C$2821,FX_Daily!$A$15:$A$2821,"&gt;="&amp;$A120,FX_Daily!$A$15:$A$2821,"&lt;="&amp;EOMONTH($A120,0)),"")</f>
        <v>10.8366363636364</v>
      </c>
      <c r="D120" s="10" t="n">
        <f aca="false">IFERROR(AVERAGEIFS(FX_Daily!D$15:D$2821,FX_Daily!$A$15:$A$2821,"&gt;="&amp;$A120,FX_Daily!$A$15:$A$2821,"&lt;="&amp;EOMONTH($A120,0)),"")</f>
        <v>1.30432727272727</v>
      </c>
      <c r="E120" s="10" t="n">
        <f aca="false">IFERROR(AVERAGEIFS(FX_Daily!E$15:E$2821,FX_Daily!$A$15:$A$2821,"&gt;="&amp;$A120,FX_Daily!$A$15:$A$2821,"&lt;="&amp;EOMONTH($A120,0)),"")</f>
        <v>1.08945</v>
      </c>
      <c r="F120" s="10" t="n">
        <f aca="false">IFERROR(AVERAGEIFS(FX_Daily!F$15:F$2821,FX_Daily!$A$15:$A$2821,"&gt;="&amp;$A120,FX_Daily!$A$15:$A$2821,"&lt;="&amp;EOMONTH($A120,0)),"")</f>
        <v>7.08811818181818</v>
      </c>
      <c r="G120" s="10" t="n">
        <f aca="false">IFERROR(AVERAGEIFS(FX_Daily!G$15:G$2821,FX_Daily!$A$15:$A$2821,"&gt;="&amp;$A120,FX_Daily!$A$15:$A$2821,"&lt;="&amp;EOMONTH($A120,0)),"")</f>
        <v>5.62778181818182</v>
      </c>
      <c r="H120" s="10" t="n">
        <f aca="false">IFERROR(AVERAGEIFS(FX_Daily!H$15:H$2821,FX_Daily!$A$15:$A$2821,"&gt;="&amp;$A120,FX_Daily!$A$15:$A$2821,"&lt;="&amp;EOMONTH($A120,0)),"")</f>
        <v>149.890909090909</v>
      </c>
      <c r="I120" s="10" t="n">
        <f aca="false">IFERROR(AVERAGEIFS(FX_Daily!I$15:I$2821,FX_Daily!$A$15:$A$2821,"&gt;="&amp;$A120,FX_Daily!$A$15:$A$2821,"&lt;="&amp;EOMONTH($A120,0)),"")</f>
        <v>1.0904347826087</v>
      </c>
      <c r="J120" s="10" t="n">
        <f aca="false">IFERROR(AVERAGEIFS(FX_Daily!J$15:J$2821,FX_Daily!$A$15:$A$2821,"&gt;="&amp;$A120,FX_Daily!$A$15:$A$2821,"&lt;="&amp;EOMONTH($A120,0)),"")</f>
        <v>11.7907086956522</v>
      </c>
      <c r="K120" s="10" t="n">
        <f aca="false">IFERROR(AVERAGEIFS(FX_Daily!K$15:K$2821,FX_Daily!$A$15:$A$2821,"&gt;="&amp;$A120,FX_Daily!$A$15:$A$2821,"&lt;="&amp;EOMONTH($A120,0)),"")</f>
        <v>1484.59434782609</v>
      </c>
      <c r="L120" s="10" t="n">
        <f aca="false">IFERROR(AVERAGEIFS(FX_Daily!L$15:L$2821,FX_Daily!$A$15:$A$2821,"&gt;="&amp;$A120,FX_Daily!$A$15:$A$2821,"&lt;="&amp;EOMONTH($A120,0)),"")</f>
        <v>0.834958695652174</v>
      </c>
      <c r="M120" s="10" t="n">
        <f aca="false">IFERROR(AVERAGEIFS(FX_Daily!M$15:M$2821,FX_Daily!$A$15:$A$2821,"&gt;="&amp;$A120,FX_Daily!$A$15:$A$2821,"&lt;="&amp;EOMONTH($A120,0)),"")</f>
        <v>7.72757826086956</v>
      </c>
      <c r="N120" s="10" t="n">
        <f aca="false">IFERROR(AVERAGEIFS(FX_Daily!N$15:N$2821,FX_Daily!$A$15:$A$2821,"&gt;="&amp;$A120,FX_Daily!$A$15:$A$2821,"&lt;="&amp;EOMONTH($A120,0)),"")</f>
        <v>6.11953043478261</v>
      </c>
      <c r="O120" s="10" t="n">
        <f aca="false">IFERROR(AVERAGEIFS(FX_Daily!O$15:O$2821,FX_Daily!$A$15:$A$2821,"&gt;="&amp;$A120,FX_Daily!$A$15:$A$2821,"&lt;="&amp;EOMONTH($A120,0)),"")</f>
        <v>163.196956521739</v>
      </c>
      <c r="P120" s="10" t="n">
        <f aca="false">IFERROR(AVERAGEIFS(FX_Daily!P$15:P$2821,FX_Daily!$A$15:$A$2821,"&gt;="&amp;$A120,FX_Daily!$A$15:$A$2821,"&lt;="&amp;EOMONTH($A120,0)),"")</f>
        <v>10.8140826086957</v>
      </c>
      <c r="Q120" s="15" t="n">
        <f aca="false">COUNTIFS(FX_Daily!$A$15:$A$2821,"&gt;="&amp;$A120,FX_Daily!$A$15:$A$2821,"&lt;="&amp;EOMONTH($A120,0),FX_Daily!C$15:C$2821,"&gt;0")</f>
        <v>22</v>
      </c>
      <c r="R120" s="16" t="str">
        <f aca="false">IF(EOMONTH($A120,0)&gt;FX_Daily!$C$11,"partial month","complete")</f>
        <v>complete</v>
      </c>
    </row>
    <row r="121" customFormat="false" ht="15" hidden="false" customHeight="false" outlineLevel="0" collapsed="false">
      <c r="A121" s="17" t="n">
        <v>45597</v>
      </c>
      <c r="B121" s="10" t="n">
        <f aca="false">IFERROR(AVERAGEIFS(FX_Daily!B$15:B$2821,FX_Daily!$A$15:$A$2821,"&gt;="&amp;$A121,FX_Daily!$A$15:$A$2821,"&lt;="&amp;EOMONTH($A121,0)),"")</f>
        <v>1395.02</v>
      </c>
      <c r="C121" s="10" t="n">
        <f aca="false">IFERROR(AVERAGEIFS(FX_Daily!C$15:C$2821,FX_Daily!$A$15:$A$2821,"&gt;="&amp;$A121,FX_Daily!$A$15:$A$2821,"&lt;="&amp;EOMONTH($A121,0)),"")</f>
        <v>11.0537263157895</v>
      </c>
      <c r="D121" s="10" t="n">
        <f aca="false">IFERROR(AVERAGEIFS(FX_Daily!D$15:D$2821,FX_Daily!$A$15:$A$2821,"&gt;="&amp;$A121,FX_Daily!$A$15:$A$2821,"&lt;="&amp;EOMONTH($A121,0)),"")</f>
        <v>1.27384210526316</v>
      </c>
      <c r="E121" s="10" t="n">
        <f aca="false">IFERROR(AVERAGEIFS(FX_Daily!E$15:E$2821,FX_Daily!$A$15:$A$2821,"&gt;="&amp;$A121,FX_Daily!$A$15:$A$2821,"&lt;="&amp;EOMONTH($A121,0)),"")</f>
        <v>1.06213157894737</v>
      </c>
      <c r="F121" s="10" t="n">
        <f aca="false">IFERROR(AVERAGEIFS(FX_Daily!F$15:F$2821,FX_Daily!$A$15:$A$2821,"&gt;="&amp;$A121,FX_Daily!$A$15:$A$2821,"&lt;="&amp;EOMONTH($A121,0)),"")</f>
        <v>7.20628421052632</v>
      </c>
      <c r="G121" s="10" t="n">
        <f aca="false">IFERROR(AVERAGEIFS(FX_Daily!G$15:G$2821,FX_Daily!$A$15:$A$2821,"&gt;="&amp;$A121,FX_Daily!$A$15:$A$2821,"&lt;="&amp;EOMONTH($A121,0)),"")</f>
        <v>5.79605789473684</v>
      </c>
      <c r="H121" s="10" t="n">
        <f aca="false">IFERROR(AVERAGEIFS(FX_Daily!H$15:H$2821,FX_Daily!$A$15:$A$2821,"&gt;="&amp;$A121,FX_Daily!$A$15:$A$2821,"&lt;="&amp;EOMONTH($A121,0)),"")</f>
        <v>153.712631578947</v>
      </c>
      <c r="I121" s="10" t="n">
        <f aca="false">IFERROR(AVERAGEIFS(FX_Daily!I$15:I$2821,FX_Daily!$A$15:$A$2821,"&gt;="&amp;$A121,FX_Daily!$A$15:$A$2821,"&lt;="&amp;EOMONTH($A121,0)),"")</f>
        <v>1.06301428571429</v>
      </c>
      <c r="J121" s="10" t="n">
        <f aca="false">IFERROR(AVERAGEIFS(FX_Daily!J$15:J$2821,FX_Daily!$A$15:$A$2821,"&gt;="&amp;$A121,FX_Daily!$A$15:$A$2821,"&lt;="&amp;EOMONTH($A121,0)),"")</f>
        <v>11.7407619047619</v>
      </c>
      <c r="K121" s="10" t="n">
        <f aca="false">IFERROR(AVERAGEIFS(FX_Daily!K$15:K$2821,FX_Daily!$A$15:$A$2821,"&gt;="&amp;$A121,FX_Daily!$A$15:$A$2821,"&lt;="&amp;EOMONTH($A121,0)),"")</f>
        <v>1482.24571428571</v>
      </c>
      <c r="L121" s="10" t="n">
        <f aca="false">IFERROR(AVERAGEIFS(FX_Daily!L$15:L$2821,FX_Daily!$A$15:$A$2821,"&gt;="&amp;$A121,FX_Daily!$A$15:$A$2821,"&lt;="&amp;EOMONTH($A121,0)),"")</f>
        <v>0.833787619047619</v>
      </c>
      <c r="M121" s="10" t="n">
        <f aca="false">IFERROR(AVERAGEIFS(FX_Daily!M$15:M$2821,FX_Daily!$A$15:$A$2821,"&gt;="&amp;$A121,FX_Daily!$A$15:$A$2821,"&lt;="&amp;EOMONTH($A121,0)),"")</f>
        <v>7.66168571428571</v>
      </c>
      <c r="N121" s="10" t="n">
        <f aca="false">IFERROR(AVERAGEIFS(FX_Daily!N$15:N$2821,FX_Daily!$A$15:$A$2821,"&gt;="&amp;$A121,FX_Daily!$A$15:$A$2821,"&lt;="&amp;EOMONTH($A121,0)),"")</f>
        <v>6.1729</v>
      </c>
      <c r="O121" s="10" t="n">
        <f aca="false">IFERROR(AVERAGEIFS(FX_Daily!O$15:O$2821,FX_Daily!$A$15:$A$2821,"&gt;="&amp;$A121,FX_Daily!$A$15:$A$2821,"&lt;="&amp;EOMONTH($A121,0)),"")</f>
        <v>163.23380952381</v>
      </c>
      <c r="P121" s="10" t="n">
        <f aca="false">IFERROR(AVERAGEIFS(FX_Daily!P$15:P$2821,FX_Daily!$A$15:$A$2821,"&gt;="&amp;$A121,FX_Daily!$A$15:$A$2821,"&lt;="&amp;EOMONTH($A121,0)),"")</f>
        <v>11.045380952381</v>
      </c>
      <c r="Q121" s="15" t="n">
        <f aca="false">COUNTIFS(FX_Daily!$A$15:$A$2821,"&gt;="&amp;$A121,FX_Daily!$A$15:$A$2821,"&lt;="&amp;EOMONTH($A121,0),FX_Daily!C$15:C$2821,"&gt;0")</f>
        <v>19</v>
      </c>
      <c r="R121" s="16" t="str">
        <f aca="false">IF(EOMONTH($A121,0)&gt;FX_Daily!$C$11,"partial month","complete")</f>
        <v>complete</v>
      </c>
    </row>
    <row r="122" customFormat="false" ht="15" hidden="false" customHeight="false" outlineLevel="0" collapsed="false">
      <c r="A122" s="17" t="n">
        <v>45627</v>
      </c>
      <c r="B122" s="10" t="n">
        <f aca="false">IFERROR(AVERAGEIFS(FX_Daily!B$15:B$2821,FX_Daily!$A$15:$A$2821,"&gt;="&amp;$A122,FX_Daily!$A$15:$A$2821,"&lt;="&amp;EOMONTH($A122,0)),"")</f>
        <v>1439.99666666667</v>
      </c>
      <c r="C122" s="10" t="n">
        <f aca="false">IFERROR(AVERAGEIFS(FX_Daily!C$15:C$2821,FX_Daily!$A$15:$A$2821,"&gt;="&amp;$A122,FX_Daily!$A$15:$A$2821,"&lt;="&amp;EOMONTH($A122,0)),"")</f>
        <v>11.2204333333333</v>
      </c>
      <c r="D122" s="10" t="n">
        <f aca="false">IFERROR(AVERAGEIFS(FX_Daily!D$15:D$2821,FX_Daily!$A$15:$A$2821,"&gt;="&amp;$A122,FX_Daily!$A$15:$A$2821,"&lt;="&amp;EOMONTH($A122,0)),"")</f>
        <v>1.26471904761905</v>
      </c>
      <c r="E122" s="10" t="n">
        <f aca="false">IFERROR(AVERAGEIFS(FX_Daily!E$15:E$2821,FX_Daily!$A$15:$A$2821,"&gt;="&amp;$A122,FX_Daily!$A$15:$A$2821,"&lt;="&amp;EOMONTH($A122,0)),"")</f>
        <v>1.04723333333333</v>
      </c>
      <c r="F122" s="10" t="n">
        <f aca="false">IFERROR(AVERAGEIFS(FX_Daily!F$15:F$2821,FX_Daily!$A$15:$A$2821,"&gt;="&amp;$A122,FX_Daily!$A$15:$A$2821,"&lt;="&amp;EOMONTH($A122,0)),"")</f>
        <v>7.28069523809524</v>
      </c>
      <c r="G122" s="10" t="n">
        <f aca="false">IFERROR(AVERAGEIFS(FX_Daily!G$15:G$2821,FX_Daily!$A$15:$A$2821,"&gt;="&amp;$A122,FX_Daily!$A$15:$A$2821,"&lt;="&amp;EOMONTH($A122,0)),"")</f>
        <v>6.10097142857143</v>
      </c>
      <c r="H122" s="10" t="n">
        <f aca="false">IFERROR(AVERAGEIFS(FX_Daily!H$15:H$2821,FX_Daily!$A$15:$A$2821,"&gt;="&amp;$A122,FX_Daily!$A$15:$A$2821,"&lt;="&amp;EOMONTH($A122,0)),"")</f>
        <v>153.814285714286</v>
      </c>
      <c r="I122" s="10" t="n">
        <f aca="false">IFERROR(AVERAGEIFS(FX_Daily!I$15:I$2821,FX_Daily!$A$15:$A$2821,"&gt;="&amp;$A122,FX_Daily!$A$15:$A$2821,"&lt;="&amp;EOMONTH($A122,0)),"")</f>
        <v>1.047875</v>
      </c>
      <c r="J122" s="10" t="n">
        <f aca="false">IFERROR(AVERAGEIFS(FX_Daily!J$15:J$2821,FX_Daily!$A$15:$A$2821,"&gt;="&amp;$A122,FX_Daily!$A$15:$A$2821,"&lt;="&amp;EOMONTH($A122,0)),"")</f>
        <v>11.744705</v>
      </c>
      <c r="K122" s="10" t="n">
        <f aca="false">IFERROR(AVERAGEIFS(FX_Daily!K$15:K$2821,FX_Daily!$A$15:$A$2821,"&gt;="&amp;$A122,FX_Daily!$A$15:$A$2821,"&lt;="&amp;EOMONTH($A122,0)),"")</f>
        <v>1506.8505</v>
      </c>
      <c r="L122" s="10" t="n">
        <f aca="false">IFERROR(AVERAGEIFS(FX_Daily!L$15:L$2821,FX_Daily!$A$15:$A$2821,"&gt;="&amp;$A122,FX_Daily!$A$15:$A$2821,"&lt;="&amp;EOMONTH($A122,0)),"")</f>
        <v>0.828042</v>
      </c>
      <c r="M122" s="10" t="n">
        <f aca="false">IFERROR(AVERAGEIFS(FX_Daily!M$15:M$2821,FX_Daily!$A$15:$A$2821,"&gt;="&amp;$A122,FX_Daily!$A$15:$A$2821,"&lt;="&amp;EOMONTH($A122,0)),"")</f>
        <v>7.629835</v>
      </c>
      <c r="N122" s="10" t="n">
        <f aca="false">IFERROR(AVERAGEIFS(FX_Daily!N$15:N$2821,FX_Daily!$A$15:$A$2821,"&gt;="&amp;$A122,FX_Daily!$A$15:$A$2821,"&lt;="&amp;EOMONTH($A122,0)),"")</f>
        <v>6.38431</v>
      </c>
      <c r="O122" s="10" t="n">
        <f aca="false">IFERROR(AVERAGEIFS(FX_Daily!O$15:O$2821,FX_Daily!$A$15:$A$2821,"&gt;="&amp;$A122,FX_Daily!$A$15:$A$2821,"&lt;="&amp;EOMONTH($A122,0)),"")</f>
        <v>161.0835</v>
      </c>
      <c r="P122" s="10" t="n">
        <f aca="false">IFERROR(AVERAGEIFS(FX_Daily!P$15:P$2821,FX_Daily!$A$15:$A$2821,"&gt;="&amp;$A122,FX_Daily!$A$15:$A$2821,"&lt;="&amp;EOMONTH($A122,0)),"")</f>
        <v>11.1987631578947</v>
      </c>
      <c r="Q122" s="15" t="n">
        <f aca="false">COUNTIFS(FX_Daily!$A$15:$A$2821,"&gt;="&amp;$A122,FX_Daily!$A$15:$A$2821,"&lt;="&amp;EOMONTH($A122,0),FX_Daily!C$15:C$2821,"&gt;0")</f>
        <v>21</v>
      </c>
      <c r="R122" s="16" t="str">
        <f aca="false">IF(EOMONTH($A122,0)&gt;FX_Daily!$C$11,"partial month","complete")</f>
        <v>complete</v>
      </c>
    </row>
    <row r="123" customFormat="false" ht="15" hidden="false" customHeight="false" outlineLevel="0" collapsed="false">
      <c r="A123" s="17" t="n">
        <v>45658</v>
      </c>
      <c r="B123" s="10" t="n">
        <f aca="false">IFERROR(AVERAGEIFS(FX_Daily!B$15:B$2821,FX_Daily!$A$15:$A$2821,"&gt;="&amp;$A123,FX_Daily!$A$15:$A$2821,"&lt;="&amp;EOMONTH($A123,0)),"")</f>
        <v>1452.1919047619</v>
      </c>
      <c r="C123" s="10" t="n">
        <f aca="false">IFERROR(AVERAGEIFS(FX_Daily!C$15:C$2821,FX_Daily!$A$15:$A$2821,"&gt;="&amp;$A123,FX_Daily!$A$15:$A$2821,"&lt;="&amp;EOMONTH($A123,0)),"")</f>
        <v>11.3334666666667</v>
      </c>
      <c r="D123" s="10" t="n">
        <f aca="false">IFERROR(AVERAGEIFS(FX_Daily!D$15:D$2821,FX_Daily!$A$15:$A$2821,"&gt;="&amp;$A123,FX_Daily!$A$15:$A$2821,"&lt;="&amp;EOMONTH($A123,0)),"")</f>
        <v>1.23542857142857</v>
      </c>
      <c r="E123" s="10" t="n">
        <f aca="false">IFERROR(AVERAGEIFS(FX_Daily!E$15:E$2821,FX_Daily!$A$15:$A$2821,"&gt;="&amp;$A123,FX_Daily!$A$15:$A$2821,"&lt;="&amp;EOMONTH($A123,0)),"")</f>
        <v>1.03559047619048</v>
      </c>
      <c r="F123" s="10" t="n">
        <f aca="false">IFERROR(AVERAGEIFS(FX_Daily!F$15:F$2821,FX_Daily!$A$15:$A$2821,"&gt;="&amp;$A123,FX_Daily!$A$15:$A$2821,"&lt;="&amp;EOMONTH($A123,0)),"")</f>
        <v>7.2957</v>
      </c>
      <c r="G123" s="10" t="n">
        <f aca="false">IFERROR(AVERAGEIFS(FX_Daily!G$15:G$2821,FX_Daily!$A$15:$A$2821,"&gt;="&amp;$A123,FX_Daily!$A$15:$A$2821,"&lt;="&amp;EOMONTH($A123,0)),"")</f>
        <v>6.01088095238095</v>
      </c>
      <c r="H123" s="10" t="n">
        <f aca="false">IFERROR(AVERAGEIFS(FX_Daily!H$15:H$2821,FX_Daily!$A$15:$A$2821,"&gt;="&amp;$A123,FX_Daily!$A$15:$A$2821,"&lt;="&amp;EOMONTH($A123,0)),"")</f>
        <v>156.481904761905</v>
      </c>
      <c r="I123" s="10" t="n">
        <f aca="false">IFERROR(AVERAGEIFS(FX_Daily!I$15:I$2821,FX_Daily!$A$15:$A$2821,"&gt;="&amp;$A123,FX_Daily!$A$15:$A$2821,"&lt;="&amp;EOMONTH($A123,0)),"")</f>
        <v>1.03537272727273</v>
      </c>
      <c r="J123" s="10" t="n">
        <f aca="false">IFERROR(AVERAGEIFS(FX_Daily!J$15:J$2821,FX_Daily!$A$15:$A$2821,"&gt;="&amp;$A123,FX_Daily!$A$15:$A$2821,"&lt;="&amp;EOMONTH($A123,0)),"")</f>
        <v>11.7455727272727</v>
      </c>
      <c r="K123" s="10" t="n">
        <f aca="false">IFERROR(AVERAGEIFS(FX_Daily!K$15:K$2821,FX_Daily!$A$15:$A$2821,"&gt;="&amp;$A123,FX_Daily!$A$15:$A$2821,"&lt;="&amp;EOMONTH($A123,0)),"")</f>
        <v>1503.59636363636</v>
      </c>
      <c r="L123" s="10" t="n">
        <f aca="false">IFERROR(AVERAGEIFS(FX_Daily!L$15:L$2821,FX_Daily!$A$15:$A$2821,"&gt;="&amp;$A123,FX_Daily!$A$15:$A$2821,"&lt;="&amp;EOMONTH($A123,0)),"")</f>
        <v>0.839080909090909</v>
      </c>
      <c r="M123" s="10" t="n">
        <f aca="false">IFERROR(AVERAGEIFS(FX_Daily!M$15:M$2821,FX_Daily!$A$15:$A$2821,"&gt;="&amp;$A123,FX_Daily!$A$15:$A$2821,"&lt;="&amp;EOMONTH($A123,0)),"")</f>
        <v>7.556</v>
      </c>
      <c r="N123" s="10" t="n">
        <f aca="false">IFERROR(AVERAGEIFS(FX_Daily!N$15:N$2821,FX_Daily!$A$15:$A$2821,"&gt;="&amp;$A123,FX_Daily!$A$15:$A$2821,"&lt;="&amp;EOMONTH($A123,0)),"")</f>
        <v>6.24083181818182</v>
      </c>
      <c r="O123" s="10" t="n">
        <f aca="false">IFERROR(AVERAGEIFS(FX_Daily!O$15:O$2821,FX_Daily!$A$15:$A$2821,"&gt;="&amp;$A123,FX_Daily!$A$15:$A$2821,"&lt;="&amp;EOMONTH($A123,0)),"")</f>
        <v>161.921363636364</v>
      </c>
      <c r="P123" s="10" t="n">
        <f aca="false">IFERROR(AVERAGEIFS(FX_Daily!P$15:P$2821,FX_Daily!$A$15:$A$2821,"&gt;="&amp;$A123,FX_Daily!$A$15:$A$2821,"&lt;="&amp;EOMONTH($A123,0)),"")</f>
        <v>11.3448318181818</v>
      </c>
      <c r="Q123" s="15" t="n">
        <f aca="false">COUNTIFS(FX_Daily!$A$15:$A$2821,"&gt;="&amp;$A123,FX_Daily!$A$15:$A$2821,"&lt;="&amp;EOMONTH($A123,0),FX_Daily!C$15:C$2821,"&gt;0")</f>
        <v>21</v>
      </c>
      <c r="R123" s="16" t="str">
        <f aca="false">IF(EOMONTH($A123,0)&gt;FX_Daily!$C$11,"partial month","complete")</f>
        <v>complete</v>
      </c>
    </row>
    <row r="124" customFormat="false" ht="15" hidden="false" customHeight="false" outlineLevel="0" collapsed="false">
      <c r="A124" s="17" t="n">
        <v>45689</v>
      </c>
      <c r="B124" s="10" t="n">
        <f aca="false">IFERROR(AVERAGEIFS(FX_Daily!B$15:B$2821,FX_Daily!$A$15:$A$2821,"&gt;="&amp;$A124,FX_Daily!$A$15:$A$2821,"&lt;="&amp;EOMONTH($A124,0)),"")</f>
        <v>1444.79315789474</v>
      </c>
      <c r="C124" s="10" t="n">
        <f aca="false">IFERROR(AVERAGEIFS(FX_Daily!C$15:C$2821,FX_Daily!$A$15:$A$2821,"&gt;="&amp;$A124,FX_Daily!$A$15:$A$2821,"&lt;="&amp;EOMONTH($A124,0)),"")</f>
        <v>11.1934157894737</v>
      </c>
      <c r="D124" s="10" t="n">
        <f aca="false">IFERROR(AVERAGEIFS(FX_Daily!D$15:D$2821,FX_Daily!$A$15:$A$2821,"&gt;="&amp;$A124,FX_Daily!$A$15:$A$2821,"&lt;="&amp;EOMONTH($A124,0)),"")</f>
        <v>1.25417894736842</v>
      </c>
      <c r="E124" s="10" t="n">
        <f aca="false">IFERROR(AVERAGEIFS(FX_Daily!E$15:E$2821,FX_Daily!$A$15:$A$2821,"&gt;="&amp;$A124,FX_Daily!$A$15:$A$2821,"&lt;="&amp;EOMONTH($A124,0)),"")</f>
        <v>1.0413</v>
      </c>
      <c r="F124" s="10" t="n">
        <f aca="false">IFERROR(AVERAGEIFS(FX_Daily!F$15:F$2821,FX_Daily!$A$15:$A$2821,"&gt;="&amp;$A124,FX_Daily!$A$15:$A$2821,"&lt;="&amp;EOMONTH($A124,0)),"")</f>
        <v>7.27343157894737</v>
      </c>
      <c r="G124" s="10" t="n">
        <f aca="false">IFERROR(AVERAGEIFS(FX_Daily!G$15:G$2821,FX_Daily!$A$15:$A$2821,"&gt;="&amp;$A124,FX_Daily!$A$15:$A$2821,"&lt;="&amp;EOMONTH($A124,0)),"")</f>
        <v>5.76383157894737</v>
      </c>
      <c r="H124" s="10" t="n">
        <f aca="false">IFERROR(AVERAGEIFS(FX_Daily!H$15:H$2821,FX_Daily!$A$15:$A$2821,"&gt;="&amp;$A124,FX_Daily!$A$15:$A$2821,"&lt;="&amp;EOMONTH($A124,0)),"")</f>
        <v>151.571578947368</v>
      </c>
      <c r="I124" s="10" t="n">
        <f aca="false">IFERROR(AVERAGEIFS(FX_Daily!I$15:I$2821,FX_Daily!$A$15:$A$2821,"&gt;="&amp;$A124,FX_Daily!$A$15:$A$2821,"&lt;="&amp;EOMONTH($A124,0)),"")</f>
        <v>1.04125</v>
      </c>
      <c r="J124" s="10" t="n">
        <f aca="false">IFERROR(AVERAGEIFS(FX_Daily!J$15:J$2821,FX_Daily!$A$15:$A$2821,"&gt;="&amp;$A124,FX_Daily!$A$15:$A$2821,"&lt;="&amp;EOMONTH($A124,0)),"")</f>
        <v>11.657395</v>
      </c>
      <c r="K124" s="10" t="n">
        <f aca="false">IFERROR(AVERAGEIFS(FX_Daily!K$15:K$2821,FX_Daily!$A$15:$A$2821,"&gt;="&amp;$A124,FX_Daily!$A$15:$A$2821,"&lt;="&amp;EOMONTH($A124,0)),"")</f>
        <v>1505.019</v>
      </c>
      <c r="L124" s="10" t="n">
        <f aca="false">IFERROR(AVERAGEIFS(FX_Daily!L$15:L$2821,FX_Daily!$A$15:$A$2821,"&gt;="&amp;$A124,FX_Daily!$A$15:$A$2821,"&lt;="&amp;EOMONTH($A124,0)),"")</f>
        <v>0.83071</v>
      </c>
      <c r="M124" s="10" t="n">
        <f aca="false">IFERROR(AVERAGEIFS(FX_Daily!M$15:M$2821,FX_Daily!$A$15:$A$2821,"&gt;="&amp;$A124,FX_Daily!$A$15:$A$2821,"&lt;="&amp;EOMONTH($A124,0)),"")</f>
        <v>7.574915</v>
      </c>
      <c r="N124" s="10" t="n">
        <f aca="false">IFERROR(AVERAGEIFS(FX_Daily!N$15:N$2821,FX_Daily!$A$15:$A$2821,"&gt;="&amp;$A124,FX_Daily!$A$15:$A$2821,"&lt;="&amp;EOMONTH($A124,0)),"")</f>
        <v>6.005285</v>
      </c>
      <c r="O124" s="10" t="n">
        <f aca="false">IFERROR(AVERAGEIFS(FX_Daily!O$15:O$2821,FX_Daily!$A$15:$A$2821,"&gt;="&amp;$A124,FX_Daily!$A$15:$A$2821,"&lt;="&amp;EOMONTH($A124,0)),"")</f>
        <v>158.087</v>
      </c>
      <c r="P124" s="10" t="n">
        <f aca="false">IFERROR(AVERAGEIFS(FX_Daily!P$15:P$2821,FX_Daily!$A$15:$A$2821,"&gt;="&amp;$A124,FX_Daily!$A$15:$A$2821,"&lt;="&amp;EOMONTH($A124,0)),"")</f>
        <v>11.195995</v>
      </c>
      <c r="Q124" s="15" t="n">
        <f aca="false">COUNTIFS(FX_Daily!$A$15:$A$2821,"&gt;="&amp;$A124,FX_Daily!$A$15:$A$2821,"&lt;="&amp;EOMONTH($A124,0),FX_Daily!C$15:C$2821,"&gt;0")</f>
        <v>19</v>
      </c>
      <c r="R124" s="16" t="str">
        <f aca="false">IF(EOMONTH($A124,0)&gt;FX_Daily!$C$11,"partial month","complete")</f>
        <v>complete</v>
      </c>
    </row>
    <row r="125" customFormat="false" ht="15" hidden="false" customHeight="false" outlineLevel="0" collapsed="false">
      <c r="A125" s="17" t="n">
        <v>45717</v>
      </c>
      <c r="B125" s="10" t="n">
        <f aca="false">IFERROR(AVERAGEIFS(FX_Daily!B$15:B$2821,FX_Daily!$A$15:$A$2821,"&gt;="&amp;$A125,FX_Daily!$A$15:$A$2821,"&lt;="&amp;EOMONTH($A125,0)),"")</f>
        <v>1458.34523809524</v>
      </c>
      <c r="C125" s="10" t="n">
        <f aca="false">IFERROR(AVERAGEIFS(FX_Daily!C$15:C$2821,FX_Daily!$A$15:$A$2821,"&gt;="&amp;$A125,FX_Daily!$A$15:$A$2821,"&lt;="&amp;EOMONTH($A125,0)),"")</f>
        <v>10.6782095238095</v>
      </c>
      <c r="D125" s="10" t="n">
        <f aca="false">IFERROR(AVERAGEIFS(FX_Daily!D$15:D$2821,FX_Daily!$A$15:$A$2821,"&gt;="&amp;$A125,FX_Daily!$A$15:$A$2821,"&lt;="&amp;EOMONTH($A125,0)),"")</f>
        <v>1.29126666666667</v>
      </c>
      <c r="E125" s="10" t="n">
        <f aca="false">IFERROR(AVERAGEIFS(FX_Daily!E$15:E$2821,FX_Daily!$A$15:$A$2821,"&gt;="&amp;$A125,FX_Daily!$A$15:$A$2821,"&lt;="&amp;EOMONTH($A125,0)),"")</f>
        <v>1.08131428571429</v>
      </c>
      <c r="F125" s="10" t="n">
        <f aca="false">IFERROR(AVERAGEIFS(FX_Daily!F$15:F$2821,FX_Daily!$A$15:$A$2821,"&gt;="&amp;$A125,FX_Daily!$A$15:$A$2821,"&lt;="&amp;EOMONTH($A125,0)),"")</f>
        <v>7.24925238095238</v>
      </c>
      <c r="G125" s="10" t="n">
        <f aca="false">IFERROR(AVERAGEIFS(FX_Daily!G$15:G$2821,FX_Daily!$A$15:$A$2821,"&gt;="&amp;$A125,FX_Daily!$A$15:$A$2821,"&lt;="&amp;EOMONTH($A125,0)),"")</f>
        <v>5.75807619047619</v>
      </c>
      <c r="H125" s="10" t="n">
        <f aca="false">IFERROR(AVERAGEIFS(FX_Daily!H$15:H$2821,FX_Daily!$A$15:$A$2821,"&gt;="&amp;$A125,FX_Daily!$A$15:$A$2821,"&lt;="&amp;EOMONTH($A125,0)),"")</f>
        <v>149.057619047619</v>
      </c>
      <c r="I125" s="10" t="n">
        <f aca="false">IFERROR(AVERAGEIFS(FX_Daily!I$15:I$2821,FX_Daily!$A$15:$A$2821,"&gt;="&amp;$A125,FX_Daily!$A$15:$A$2821,"&lt;="&amp;EOMONTH($A125,0)),"")</f>
        <v>1.08068095238095</v>
      </c>
      <c r="J125" s="10" t="n">
        <f aca="false">IFERROR(AVERAGEIFS(FX_Daily!J$15:J$2821,FX_Daily!$A$15:$A$2821,"&gt;="&amp;$A125,FX_Daily!$A$15:$A$2821,"&lt;="&amp;EOMONTH($A125,0)),"")</f>
        <v>11.547180952381</v>
      </c>
      <c r="K125" s="10" t="n">
        <f aca="false">IFERROR(AVERAGEIFS(FX_Daily!K$15:K$2821,FX_Daily!$A$15:$A$2821,"&gt;="&amp;$A125,FX_Daily!$A$15:$A$2821,"&lt;="&amp;EOMONTH($A125,0)),"")</f>
        <v>1576.45142857143</v>
      </c>
      <c r="L125" s="10" t="n">
        <f aca="false">IFERROR(AVERAGEIFS(FX_Daily!L$15:L$2821,FX_Daily!$A$15:$A$2821,"&gt;="&amp;$A125,FX_Daily!$A$15:$A$2821,"&lt;="&amp;EOMONTH($A125,0)),"")</f>
        <v>0.837025238095238</v>
      </c>
      <c r="M125" s="10" t="n">
        <f aca="false">IFERROR(AVERAGEIFS(FX_Daily!M$15:M$2821,FX_Daily!$A$15:$A$2821,"&gt;="&amp;$A125,FX_Daily!$A$15:$A$2821,"&lt;="&amp;EOMONTH($A125,0)),"")</f>
        <v>7.83534285714286</v>
      </c>
      <c r="N125" s="10" t="n">
        <f aca="false">IFERROR(AVERAGEIFS(FX_Daily!N$15:N$2821,FX_Daily!$A$15:$A$2821,"&gt;="&amp;$A125,FX_Daily!$A$15:$A$2821,"&lt;="&amp;EOMONTH($A125,0)),"")</f>
        <v>6.23681428571429</v>
      </c>
      <c r="O125" s="10" t="n">
        <f aca="false">IFERROR(AVERAGEIFS(FX_Daily!O$15:O$2821,FX_Daily!$A$15:$A$2821,"&gt;="&amp;$A125,FX_Daily!$A$15:$A$2821,"&lt;="&amp;EOMONTH($A125,0)),"")</f>
        <v>161.166666666667</v>
      </c>
      <c r="P125" s="10" t="n">
        <f aca="false">IFERROR(AVERAGEIFS(FX_Daily!P$15:P$2821,FX_Daily!$A$15:$A$2821,"&gt;="&amp;$A125,FX_Daily!$A$15:$A$2821,"&lt;="&amp;EOMONTH($A125,0)),"")</f>
        <v>10.6867285714286</v>
      </c>
      <c r="Q125" s="15" t="n">
        <f aca="false">COUNTIFS(FX_Daily!$A$15:$A$2821,"&gt;="&amp;$A125,FX_Daily!$A$15:$A$2821,"&lt;="&amp;EOMONTH($A125,0),FX_Daily!C$15:C$2821,"&gt;0")</f>
        <v>21</v>
      </c>
      <c r="R125" s="16" t="str">
        <f aca="false">IF(EOMONTH($A125,0)&gt;FX_Daily!$C$11,"partial month","complete")</f>
        <v>complete</v>
      </c>
    </row>
    <row r="126" customFormat="false" ht="15" hidden="false" customHeight="false" outlineLevel="0" collapsed="false">
      <c r="A126" s="17" t="n">
        <v>45748</v>
      </c>
      <c r="B126" s="10" t="n">
        <f aca="false">IFERROR(AVERAGEIFS(FX_Daily!B$15:B$2821,FX_Daily!$A$15:$A$2821,"&gt;="&amp;$A126,FX_Daily!$A$15:$A$2821,"&lt;="&amp;EOMONTH($A126,0)),"")</f>
        <v>1439.77772727273</v>
      </c>
      <c r="C126" s="10" t="n">
        <f aca="false">IFERROR(AVERAGEIFS(FX_Daily!C$15:C$2821,FX_Daily!$A$15:$A$2821,"&gt;="&amp;$A126,FX_Daily!$A$15:$A$2821,"&lt;="&amp;EOMONTH($A126,0)),"")</f>
        <v>10.5546590909091</v>
      </c>
      <c r="D126" s="10" t="n">
        <f aca="false">IFERROR(AVERAGEIFS(FX_Daily!D$15:D$2821,FX_Daily!$A$15:$A$2821,"&gt;="&amp;$A126,FX_Daily!$A$15:$A$2821,"&lt;="&amp;EOMONTH($A126,0)),"")</f>
        <v>1.31442727272727</v>
      </c>
      <c r="E126" s="10" t="n">
        <f aca="false">IFERROR(AVERAGEIFS(FX_Daily!E$15:E$2821,FX_Daily!$A$15:$A$2821,"&gt;="&amp;$A126,FX_Daily!$A$15:$A$2821,"&lt;="&amp;EOMONTH($A126,0)),"")</f>
        <v>1.12317727272727</v>
      </c>
      <c r="F126" s="10" t="n">
        <f aca="false">IFERROR(AVERAGEIFS(FX_Daily!F$15:F$2821,FX_Daily!$A$15:$A$2821,"&gt;="&amp;$A126,FX_Daily!$A$15:$A$2821,"&lt;="&amp;EOMONTH($A126,0)),"")</f>
        <v>7.29678181818182</v>
      </c>
      <c r="G126" s="10" t="n">
        <f aca="false">IFERROR(AVERAGEIFS(FX_Daily!G$15:G$2821,FX_Daily!$A$15:$A$2821,"&gt;="&amp;$A126,FX_Daily!$A$15:$A$2821,"&lt;="&amp;EOMONTH($A126,0)),"")</f>
        <v>5.79054545454545</v>
      </c>
      <c r="H126" s="10" t="n">
        <f aca="false">IFERROR(AVERAGEIFS(FX_Daily!H$15:H$2821,FX_Daily!$A$15:$A$2821,"&gt;="&amp;$A126,FX_Daily!$A$15:$A$2821,"&lt;="&amp;EOMONTH($A126,0)),"")</f>
        <v>144.128636363636</v>
      </c>
      <c r="I126" s="10" t="n">
        <f aca="false">IFERROR(AVERAGEIFS(FX_Daily!I$15:I$2821,FX_Daily!$A$15:$A$2821,"&gt;="&amp;$A126,FX_Daily!$A$15:$A$2821,"&lt;="&amp;EOMONTH($A126,0)),"")</f>
        <v>1.121395</v>
      </c>
      <c r="J126" s="10" t="n">
        <f aca="false">IFERROR(AVERAGEIFS(FX_Daily!J$15:J$2821,FX_Daily!$A$15:$A$2821,"&gt;="&amp;$A126,FX_Daily!$A$15:$A$2821,"&lt;="&amp;EOMONTH($A126,0)),"")</f>
        <v>11.83798</v>
      </c>
      <c r="K126" s="10" t="n">
        <f aca="false">IFERROR(AVERAGEIFS(FX_Daily!K$15:K$2821,FX_Daily!$A$15:$A$2821,"&gt;="&amp;$A126,FX_Daily!$A$15:$A$2821,"&lt;="&amp;EOMONTH($A126,0)),"")</f>
        <v>1617.4095</v>
      </c>
      <c r="L126" s="10" t="n">
        <f aca="false">IFERROR(AVERAGEIFS(FX_Daily!L$15:L$2821,FX_Daily!$A$15:$A$2821,"&gt;="&amp;$A126,FX_Daily!$A$15:$A$2821,"&lt;="&amp;EOMONTH($A126,0)),"")</f>
        <v>0.8537865</v>
      </c>
      <c r="M126" s="10" t="n">
        <f aca="false">IFERROR(AVERAGEIFS(FX_Daily!M$15:M$2821,FX_Daily!$A$15:$A$2821,"&gt;="&amp;$A126,FX_Daily!$A$15:$A$2821,"&lt;="&amp;EOMONTH($A126,0)),"")</f>
        <v>8.185025</v>
      </c>
      <c r="N126" s="10" t="n">
        <f aca="false">IFERROR(AVERAGEIFS(FX_Daily!N$15:N$2821,FX_Daily!$A$15:$A$2821,"&gt;="&amp;$A126,FX_Daily!$A$15:$A$2821,"&lt;="&amp;EOMONTH($A126,0)),"")</f>
        <v>6.475875</v>
      </c>
      <c r="O126" s="10" t="n">
        <f aca="false">IFERROR(AVERAGEIFS(FX_Daily!O$15:O$2821,FX_Daily!$A$15:$A$2821,"&gt;="&amp;$A126,FX_Daily!$A$15:$A$2821,"&lt;="&amp;EOMONTH($A126,0)),"")</f>
        <v>161.6705</v>
      </c>
      <c r="P126" s="10" t="n">
        <f aca="false">IFERROR(AVERAGEIFS(FX_Daily!P$15:P$2821,FX_Daily!$A$15:$A$2821,"&gt;="&amp;$A126,FX_Daily!$A$15:$A$2821,"&lt;="&amp;EOMONTH($A126,0)),"")</f>
        <v>10.5593473684211</v>
      </c>
      <c r="Q126" s="15" t="n">
        <f aca="false">COUNTIFS(FX_Daily!$A$15:$A$2821,"&gt;="&amp;$A126,FX_Daily!$A$15:$A$2821,"&lt;="&amp;EOMONTH($A126,0),FX_Daily!C$15:C$2821,"&gt;0")</f>
        <v>22</v>
      </c>
      <c r="R126" s="16" t="str">
        <f aca="false">IF(EOMONTH($A126,0)&gt;FX_Daily!$C$11,"partial month","complete")</f>
        <v>complete</v>
      </c>
    </row>
    <row r="127" customFormat="false" ht="15" hidden="false" customHeight="false" outlineLevel="0" collapsed="false">
      <c r="A127" s="17" t="n">
        <v>45778</v>
      </c>
      <c r="B127" s="10" t="n">
        <f aca="false">IFERROR(AVERAGEIFS(FX_Daily!B$15:B$2821,FX_Daily!$A$15:$A$2821,"&gt;="&amp;$A127,FX_Daily!$A$15:$A$2821,"&lt;="&amp;EOMONTH($A127,0)),"")</f>
        <v>1391.43761904762</v>
      </c>
      <c r="C127" s="10" t="n">
        <f aca="false">IFERROR(AVERAGEIFS(FX_Daily!C$15:C$2821,FX_Daily!$A$15:$A$2821,"&gt;="&amp;$A127,FX_Daily!$A$15:$A$2821,"&lt;="&amp;EOMONTH($A127,0)),"")</f>
        <v>10.2984619047619</v>
      </c>
      <c r="D127" s="10" t="n">
        <f aca="false">IFERROR(AVERAGEIFS(FX_Daily!D$15:D$2821,FX_Daily!$A$15:$A$2821,"&gt;="&amp;$A127,FX_Daily!$A$15:$A$2821,"&lt;="&amp;EOMONTH($A127,0)),"")</f>
        <v>1.33580952380952</v>
      </c>
      <c r="E127" s="10" t="n">
        <f aca="false">IFERROR(AVERAGEIFS(FX_Daily!E$15:E$2821,FX_Daily!$A$15:$A$2821,"&gt;="&amp;$A127,FX_Daily!$A$15:$A$2821,"&lt;="&amp;EOMONTH($A127,0)),"")</f>
        <v>1.12736666666667</v>
      </c>
      <c r="F127" s="10" t="n">
        <f aca="false">IFERROR(AVERAGEIFS(FX_Daily!F$15:F$2821,FX_Daily!$A$15:$A$2821,"&gt;="&amp;$A127,FX_Daily!$A$15:$A$2821,"&lt;="&amp;EOMONTH($A127,0)),"")</f>
        <v>7.21655714285714</v>
      </c>
      <c r="G127" s="10" t="n">
        <f aca="false">IFERROR(AVERAGEIFS(FX_Daily!G$15:G$2821,FX_Daily!$A$15:$A$2821,"&gt;="&amp;$A127,FX_Daily!$A$15:$A$2821,"&lt;="&amp;EOMONTH($A127,0)),"")</f>
        <v>5.66642857142857</v>
      </c>
      <c r="H127" s="10" t="n">
        <f aca="false">IFERROR(AVERAGEIFS(FX_Daily!H$15:H$2821,FX_Daily!$A$15:$A$2821,"&gt;="&amp;$A127,FX_Daily!$A$15:$A$2821,"&lt;="&amp;EOMONTH($A127,0)),"")</f>
        <v>144.876190476191</v>
      </c>
      <c r="I127" s="10" t="n">
        <f aca="false">IFERROR(AVERAGEIFS(FX_Daily!I$15:I$2821,FX_Daily!$A$15:$A$2821,"&gt;="&amp;$A127,FX_Daily!$A$15:$A$2821,"&lt;="&amp;EOMONTH($A127,0)),"")</f>
        <v>1.12780476190476</v>
      </c>
      <c r="J127" s="10" t="n">
        <f aca="false">IFERROR(AVERAGEIFS(FX_Daily!J$15:J$2821,FX_Daily!$A$15:$A$2821,"&gt;="&amp;$A127,FX_Daily!$A$15:$A$2821,"&lt;="&amp;EOMONTH($A127,0)),"")</f>
        <v>11.5967666666667</v>
      </c>
      <c r="K127" s="10" t="n">
        <f aca="false">IFERROR(AVERAGEIFS(FX_Daily!K$15:K$2821,FX_Daily!$A$15:$A$2821,"&gt;="&amp;$A127,FX_Daily!$A$15:$A$2821,"&lt;="&amp;EOMONTH($A127,0)),"")</f>
        <v>1566.13761904762</v>
      </c>
      <c r="L127" s="10" t="n">
        <f aca="false">IFERROR(AVERAGEIFS(FX_Daily!L$15:L$2821,FX_Daily!$A$15:$A$2821,"&gt;="&amp;$A127,FX_Daily!$A$15:$A$2821,"&lt;="&amp;EOMONTH($A127,0)),"")</f>
        <v>0.843495238095238</v>
      </c>
      <c r="M127" s="10" t="n">
        <f aca="false">IFERROR(AVERAGEIFS(FX_Daily!M$15:M$2821,FX_Daily!$A$15:$A$2821,"&gt;="&amp;$A127,FX_Daily!$A$15:$A$2821,"&lt;="&amp;EOMONTH($A127,0)),"")</f>
        <v>8.13484761904762</v>
      </c>
      <c r="N127" s="10" t="n">
        <f aca="false">IFERROR(AVERAGEIFS(FX_Daily!N$15:N$2821,FX_Daily!$A$15:$A$2821,"&gt;="&amp;$A127,FX_Daily!$A$15:$A$2821,"&lt;="&amp;EOMONTH($A127,0)),"")</f>
        <v>6.39526666666667</v>
      </c>
      <c r="O127" s="10" t="n">
        <f aca="false">IFERROR(AVERAGEIFS(FX_Daily!O$15:O$2821,FX_Daily!$A$15:$A$2821,"&gt;="&amp;$A127,FX_Daily!$A$15:$A$2821,"&lt;="&amp;EOMONTH($A127,0)),"")</f>
        <v>163.144285714286</v>
      </c>
      <c r="P127" s="10" t="n">
        <f aca="false">IFERROR(AVERAGEIFS(FX_Daily!P$15:P$2821,FX_Daily!$A$15:$A$2821,"&gt;="&amp;$A127,FX_Daily!$A$15:$A$2821,"&lt;="&amp;EOMONTH($A127,0)),"")</f>
        <v>10.288075</v>
      </c>
      <c r="Q127" s="15" t="n">
        <f aca="false">COUNTIFS(FX_Daily!$A$15:$A$2821,"&gt;="&amp;$A127,FX_Daily!$A$15:$A$2821,"&lt;="&amp;EOMONTH($A127,0),FX_Daily!C$15:C$2821,"&gt;0")</f>
        <v>21</v>
      </c>
      <c r="R127" s="16" t="str">
        <f aca="false">IF(EOMONTH($A127,0)&gt;FX_Daily!$C$11,"partial month","complete")</f>
        <v>complete</v>
      </c>
    </row>
    <row r="128" customFormat="false" ht="15" hidden="false" customHeight="false" outlineLevel="0" collapsed="false">
      <c r="A128" s="17" t="n">
        <v>45809</v>
      </c>
      <c r="B128" s="10" t="n">
        <f aca="false">IFERROR(AVERAGEIFS(FX_Daily!B$15:B$2821,FX_Daily!$A$15:$A$2821,"&gt;="&amp;$A128,FX_Daily!$A$15:$A$2821,"&lt;="&amp;EOMONTH($A128,0)),"")</f>
        <v>1364.6775</v>
      </c>
      <c r="C128" s="10" t="n">
        <f aca="false">IFERROR(AVERAGEIFS(FX_Daily!C$15:C$2821,FX_Daily!$A$15:$A$2821,"&gt;="&amp;$A128,FX_Daily!$A$15:$A$2821,"&lt;="&amp;EOMONTH($A128,0)),"")</f>
        <v>10.051905</v>
      </c>
      <c r="D128" s="10" t="n">
        <f aca="false">IFERROR(AVERAGEIFS(FX_Daily!D$15:D$2821,FX_Daily!$A$15:$A$2821,"&gt;="&amp;$A128,FX_Daily!$A$15:$A$2821,"&lt;="&amp;EOMONTH($A128,0)),"")</f>
        <v>1.35773</v>
      </c>
      <c r="E128" s="10" t="n">
        <f aca="false">IFERROR(AVERAGEIFS(FX_Daily!E$15:E$2821,FX_Daily!$A$15:$A$2821,"&gt;="&amp;$A128,FX_Daily!$A$15:$A$2821,"&lt;="&amp;EOMONTH($A128,0)),"")</f>
        <v>1.153365</v>
      </c>
      <c r="F128" s="10" t="n">
        <f aca="false">IFERROR(AVERAGEIFS(FX_Daily!F$15:F$2821,FX_Daily!$A$15:$A$2821,"&gt;="&amp;$A128,FX_Daily!$A$15:$A$2821,"&lt;="&amp;EOMONTH($A128,0)),"")</f>
        <v>7.18035</v>
      </c>
      <c r="G128" s="10" t="n">
        <f aca="false">IFERROR(AVERAGEIFS(FX_Daily!G$15:G$2821,FX_Daily!$A$15:$A$2821,"&gt;="&amp;$A128,FX_Daily!$A$15:$A$2821,"&lt;="&amp;EOMONTH($A128,0)),"")</f>
        <v>5.545775</v>
      </c>
      <c r="H128" s="10" t="n">
        <f aca="false">IFERROR(AVERAGEIFS(FX_Daily!H$15:H$2821,FX_Daily!$A$15:$A$2821,"&gt;="&amp;$A128,FX_Daily!$A$15:$A$2821,"&lt;="&amp;EOMONTH($A128,0)),"")</f>
        <v>144.4835</v>
      </c>
      <c r="I128" s="10" t="n">
        <f aca="false">IFERROR(AVERAGEIFS(FX_Daily!I$15:I$2821,FX_Daily!$A$15:$A$2821,"&gt;="&amp;$A128,FX_Daily!$A$15:$A$2821,"&lt;="&amp;EOMONTH($A128,0)),"")</f>
        <v>1.15161904761905</v>
      </c>
      <c r="J128" s="10" t="n">
        <f aca="false">IFERROR(AVERAGEIFS(FX_Daily!J$15:J$2821,FX_Daily!$A$15:$A$2821,"&gt;="&amp;$A128,FX_Daily!$A$15:$A$2821,"&lt;="&amp;EOMONTH($A128,0)),"")</f>
        <v>11.5841333333333</v>
      </c>
      <c r="K128" s="10" t="n">
        <f aca="false">IFERROR(AVERAGEIFS(FX_Daily!K$15:K$2821,FX_Daily!$A$15:$A$2821,"&gt;="&amp;$A128,FX_Daily!$A$15:$A$2821,"&lt;="&amp;EOMONTH($A128,0)),"")</f>
        <v>1573.36619047619</v>
      </c>
      <c r="L128" s="10" t="n">
        <f aca="false">IFERROR(AVERAGEIFS(FX_Daily!L$15:L$2821,FX_Daily!$A$15:$A$2821,"&gt;="&amp;$A128,FX_Daily!$A$15:$A$2821,"&lt;="&amp;EOMONTH($A128,0)),"")</f>
        <v>0.849809523809524</v>
      </c>
      <c r="M128" s="10" t="n">
        <f aca="false">IFERROR(AVERAGEIFS(FX_Daily!M$15:M$2821,FX_Daily!$A$15:$A$2821,"&gt;="&amp;$A128,FX_Daily!$A$15:$A$2821,"&lt;="&amp;EOMONTH($A128,0)),"")</f>
        <v>8.27002857142857</v>
      </c>
      <c r="N128" s="10" t="n">
        <f aca="false">IFERROR(AVERAGEIFS(FX_Daily!N$15:N$2821,FX_Daily!$A$15:$A$2821,"&gt;="&amp;$A128,FX_Daily!$A$15:$A$2821,"&lt;="&amp;EOMONTH($A128,0)),"")</f>
        <v>6.39127142857143</v>
      </c>
      <c r="O128" s="10" t="n">
        <f aca="false">IFERROR(AVERAGEIFS(FX_Daily!O$15:O$2821,FX_Daily!$A$15:$A$2821,"&gt;="&amp;$A128,FX_Daily!$A$15:$A$2821,"&lt;="&amp;EOMONTH($A128,0)),"")</f>
        <v>166.523333333333</v>
      </c>
      <c r="P128" s="10" t="n">
        <f aca="false">IFERROR(AVERAGEIFS(FX_Daily!P$15:P$2821,FX_Daily!$A$15:$A$2821,"&gt;="&amp;$A128,FX_Daily!$A$15:$A$2821,"&lt;="&amp;EOMONTH($A128,0)),"")</f>
        <v>10.057745</v>
      </c>
      <c r="Q128" s="15" t="n">
        <f aca="false">COUNTIFS(FX_Daily!$A$15:$A$2821,"&gt;="&amp;$A128,FX_Daily!$A$15:$A$2821,"&lt;="&amp;EOMONTH($A128,0),FX_Daily!C$15:C$2821,"&gt;0")</f>
        <v>20</v>
      </c>
      <c r="R128" s="16" t="str">
        <f aca="false">IF(EOMONTH($A128,0)&gt;FX_Daily!$C$11,"partial month","complete")</f>
        <v>complete</v>
      </c>
    </row>
    <row r="129" customFormat="false" ht="15" hidden="false" customHeight="false" outlineLevel="0" collapsed="false">
      <c r="A129" s="17" t="n">
        <v>45839</v>
      </c>
      <c r="B129" s="10" t="n">
        <f aca="false">IFERROR(AVERAGEIFS(FX_Daily!B$15:B$2821,FX_Daily!$A$15:$A$2821,"&gt;="&amp;$A129,FX_Daily!$A$15:$A$2821,"&lt;="&amp;EOMONTH($A129,0)),"")</f>
        <v>1379.29590909091</v>
      </c>
      <c r="C129" s="10" t="n">
        <f aca="false">IFERROR(AVERAGEIFS(FX_Daily!C$15:C$2821,FX_Daily!$A$15:$A$2821,"&gt;="&amp;$A129,FX_Daily!$A$15:$A$2821,"&lt;="&amp;EOMONTH($A129,0)),"")</f>
        <v>10.1572863636364</v>
      </c>
      <c r="D129" s="10" t="n">
        <f aca="false">IFERROR(AVERAGEIFS(FX_Daily!D$15:D$2821,FX_Daily!$A$15:$A$2821,"&gt;="&amp;$A129,FX_Daily!$A$15:$A$2821,"&lt;="&amp;EOMONTH($A129,0)),"")</f>
        <v>1.34887727272727</v>
      </c>
      <c r="E129" s="10" t="n">
        <f aca="false">IFERROR(AVERAGEIFS(FX_Daily!E$15:E$2821,FX_Daily!$A$15:$A$2821,"&gt;="&amp;$A129,FX_Daily!$A$15:$A$2821,"&lt;="&amp;EOMONTH($A129,0)),"")</f>
        <v>1.16708181818182</v>
      </c>
      <c r="F129" s="10" t="n">
        <f aca="false">IFERROR(AVERAGEIFS(FX_Daily!F$15:F$2821,FX_Daily!$A$15:$A$2821,"&gt;="&amp;$A129,FX_Daily!$A$15:$A$2821,"&lt;="&amp;EOMONTH($A129,0)),"")</f>
        <v>7.17408636363636</v>
      </c>
      <c r="G129" s="10" t="n">
        <f aca="false">IFERROR(AVERAGEIFS(FX_Daily!G$15:G$2821,FX_Daily!$A$15:$A$2821,"&gt;="&amp;$A129,FX_Daily!$A$15:$A$2821,"&lt;="&amp;EOMONTH($A129,0)),"")</f>
        <v>5.53320454545455</v>
      </c>
      <c r="H129" s="10" t="n">
        <f aca="false">IFERROR(AVERAGEIFS(FX_Daily!H$15:H$2821,FX_Daily!$A$15:$A$2821,"&gt;="&amp;$A129,FX_Daily!$A$15:$A$2821,"&lt;="&amp;EOMONTH($A129,0)),"")</f>
        <v>147.201363636364</v>
      </c>
      <c r="I129" s="10" t="n">
        <f aca="false">IFERROR(AVERAGEIFS(FX_Daily!I$15:I$2821,FX_Daily!$A$15:$A$2821,"&gt;="&amp;$A129,FX_Daily!$A$15:$A$2821,"&lt;="&amp;EOMONTH($A129,0)),"")</f>
        <v>1.16768695652174</v>
      </c>
      <c r="J129" s="10" t="n">
        <f aca="false">IFERROR(AVERAGEIFS(FX_Daily!J$15:J$2821,FX_Daily!$A$15:$A$2821,"&gt;="&amp;$A129,FX_Daily!$A$15:$A$2821,"&lt;="&amp;EOMONTH($A129,0)),"")</f>
        <v>11.8536956521739</v>
      </c>
      <c r="K129" s="10" t="n">
        <f aca="false">IFERROR(AVERAGEIFS(FX_Daily!K$15:K$2821,FX_Daily!$A$15:$A$2821,"&gt;="&amp;$A129,FX_Daily!$A$15:$A$2821,"&lt;="&amp;EOMONTH($A129,0)),"")</f>
        <v>1608.9452173913</v>
      </c>
      <c r="L129" s="10" t="n">
        <f aca="false">IFERROR(AVERAGEIFS(FX_Daily!L$15:L$2821,FX_Daily!$A$15:$A$2821,"&gt;="&amp;$A129,FX_Daily!$A$15:$A$2821,"&lt;="&amp;EOMONTH($A129,0)),"")</f>
        <v>0.864686956521739</v>
      </c>
      <c r="M129" s="10" t="n">
        <f aca="false">IFERROR(AVERAGEIFS(FX_Daily!M$15:M$2821,FX_Daily!$A$15:$A$2821,"&gt;="&amp;$A129,FX_Daily!$A$15:$A$2821,"&lt;="&amp;EOMONTH($A129,0)),"")</f>
        <v>8.37537826086957</v>
      </c>
      <c r="N129" s="10" t="n">
        <f aca="false">IFERROR(AVERAGEIFS(FX_Daily!N$15:N$2821,FX_Daily!$A$15:$A$2821,"&gt;="&amp;$A129,FX_Daily!$A$15:$A$2821,"&lt;="&amp;EOMONTH($A129,0)),"")</f>
        <v>6.46111739130435</v>
      </c>
      <c r="O129" s="10" t="n">
        <f aca="false">IFERROR(AVERAGEIFS(FX_Daily!O$15:O$2821,FX_Daily!$A$15:$A$2821,"&gt;="&amp;$A129,FX_Daily!$A$15:$A$2821,"&lt;="&amp;EOMONTH($A129,0)),"")</f>
        <v>171.531304347826</v>
      </c>
      <c r="P129" s="10" t="n">
        <f aca="false">IFERROR(AVERAGEIFS(FX_Daily!P$15:P$2821,FX_Daily!$A$15:$A$2821,"&gt;="&amp;$A129,FX_Daily!$A$15:$A$2821,"&lt;="&amp;EOMONTH($A129,0)),"")</f>
        <v>10.1519391304348</v>
      </c>
      <c r="Q129" s="15" t="n">
        <f aca="false">COUNTIFS(FX_Daily!$A$15:$A$2821,"&gt;="&amp;$A129,FX_Daily!$A$15:$A$2821,"&lt;="&amp;EOMONTH($A129,0),FX_Daily!C$15:C$2821,"&gt;0")</f>
        <v>22</v>
      </c>
      <c r="R129" s="16" t="str">
        <f aca="false">IF(EOMONTH($A129,0)&gt;FX_Daily!$C$11,"partial month","complete")</f>
        <v>complete</v>
      </c>
    </row>
    <row r="130" customFormat="false" ht="15" hidden="false" customHeight="false" outlineLevel="0" collapsed="false">
      <c r="A130" s="17" t="n">
        <v>45870</v>
      </c>
      <c r="B130" s="10" t="n">
        <f aca="false">IFERROR(AVERAGEIFS(FX_Daily!B$15:B$2821,FX_Daily!$A$15:$A$2821,"&gt;="&amp;$A130,FX_Daily!$A$15:$A$2821,"&lt;="&amp;EOMONTH($A130,0)),"")</f>
        <v>1388.99904761905</v>
      </c>
      <c r="C130" s="10" t="n">
        <f aca="false">IFERROR(AVERAGEIFS(FX_Daily!C$15:C$2821,FX_Daily!$A$15:$A$2821,"&gt;="&amp;$A130,FX_Daily!$A$15:$A$2821,"&lt;="&amp;EOMONTH($A130,0)),"")</f>
        <v>10.1874333333333</v>
      </c>
      <c r="D130" s="10" t="n">
        <f aca="false">IFERROR(AVERAGEIFS(FX_Daily!D$15:D$2821,FX_Daily!$A$15:$A$2821,"&gt;="&amp;$A130,FX_Daily!$A$15:$A$2821,"&lt;="&amp;EOMONTH($A130,0)),"")</f>
        <v>1.34557619047619</v>
      </c>
      <c r="E130" s="10" t="n">
        <f aca="false">IFERROR(AVERAGEIFS(FX_Daily!E$15:E$2821,FX_Daily!$A$15:$A$2821,"&gt;="&amp;$A130,FX_Daily!$A$15:$A$2821,"&lt;="&amp;EOMONTH($A130,0)),"")</f>
        <v>1.16474761904762</v>
      </c>
      <c r="F130" s="10" t="n">
        <f aca="false">IFERROR(AVERAGEIFS(FX_Daily!F$15:F$2821,FX_Daily!$A$15:$A$2821,"&gt;="&amp;$A130,FX_Daily!$A$15:$A$2821,"&lt;="&amp;EOMONTH($A130,0)),"")</f>
        <v>7.17269523809524</v>
      </c>
      <c r="G130" s="10" t="n">
        <f aca="false">IFERROR(AVERAGEIFS(FX_Daily!G$15:G$2821,FX_Daily!$A$15:$A$2821,"&gt;="&amp;$A130,FX_Daily!$A$15:$A$2821,"&lt;="&amp;EOMONTH($A130,0)),"")</f>
        <v>5.44546666666667</v>
      </c>
      <c r="H130" s="10" t="n">
        <f aca="false">IFERROR(AVERAGEIFS(FX_Daily!H$15:H$2821,FX_Daily!$A$15:$A$2821,"&gt;="&amp;$A130,FX_Daily!$A$15:$A$2821,"&lt;="&amp;EOMONTH($A130,0)),"")</f>
        <v>147.478571428571</v>
      </c>
      <c r="I130" s="10" t="n">
        <f aca="false">IFERROR(AVERAGEIFS(FX_Daily!I$15:I$2821,FX_Daily!$A$15:$A$2821,"&gt;="&amp;$A130,FX_Daily!$A$15:$A$2821,"&lt;="&amp;EOMONTH($A130,0)),"")</f>
        <v>1.16314285714286</v>
      </c>
      <c r="J130" s="10" t="n">
        <f aca="false">IFERROR(AVERAGEIFS(FX_Daily!J$15:J$2821,FX_Daily!$A$15:$A$2821,"&gt;="&amp;$A130,FX_Daily!$A$15:$A$2821,"&lt;="&amp;EOMONTH($A130,0)),"")</f>
        <v>11.865280952381</v>
      </c>
      <c r="K130" s="10" t="n">
        <f aca="false">IFERROR(AVERAGEIFS(FX_Daily!K$15:K$2821,FX_Daily!$A$15:$A$2821,"&gt;="&amp;$A130,FX_Daily!$A$15:$A$2821,"&lt;="&amp;EOMONTH($A130,0)),"")</f>
        <v>1617.15428571429</v>
      </c>
      <c r="L130" s="10" t="n">
        <f aca="false">IFERROR(AVERAGEIFS(FX_Daily!L$15:L$2821,FX_Daily!$A$15:$A$2821,"&gt;="&amp;$A130,FX_Daily!$A$15:$A$2821,"&lt;="&amp;EOMONTH($A130,0)),"")</f>
        <v>0.86527619047619</v>
      </c>
      <c r="M130" s="10" t="n">
        <f aca="false">IFERROR(AVERAGEIFS(FX_Daily!M$15:M$2821,FX_Daily!$A$15:$A$2821,"&gt;="&amp;$A130,FX_Daily!$A$15:$A$2821,"&lt;="&amp;EOMONTH($A130,0)),"")</f>
        <v>8.34416666666667</v>
      </c>
      <c r="N130" s="10" t="n">
        <f aca="false">IFERROR(AVERAGEIFS(FX_Daily!N$15:N$2821,FX_Daily!$A$15:$A$2821,"&gt;="&amp;$A130,FX_Daily!$A$15:$A$2821,"&lt;="&amp;EOMONTH($A130,0)),"")</f>
        <v>6.34388095238095</v>
      </c>
      <c r="O130" s="10" t="n">
        <f aca="false">IFERROR(AVERAGEIFS(FX_Daily!O$15:O$2821,FX_Daily!$A$15:$A$2821,"&gt;="&amp;$A130,FX_Daily!$A$15:$A$2821,"&lt;="&amp;EOMONTH($A130,0)),"")</f>
        <v>171.789523809524</v>
      </c>
      <c r="P130" s="10" t="n">
        <f aca="false">IFERROR(AVERAGEIFS(FX_Daily!P$15:P$2821,FX_Daily!$A$15:$A$2821,"&gt;="&amp;$A130,FX_Daily!$A$15:$A$2821,"&lt;="&amp;EOMONTH($A130,0)),"")</f>
        <v>10.2013238095238</v>
      </c>
      <c r="Q130" s="15" t="n">
        <f aca="false">COUNTIFS(FX_Daily!$A$15:$A$2821,"&gt;="&amp;$A130,FX_Daily!$A$15:$A$2821,"&lt;="&amp;EOMONTH($A130,0),FX_Daily!C$15:C$2821,"&gt;0")</f>
        <v>21</v>
      </c>
      <c r="R130" s="16" t="str">
        <f aca="false">IF(EOMONTH($A130,0)&gt;FX_Daily!$C$11,"partial month","complete")</f>
        <v>complete</v>
      </c>
    </row>
    <row r="131" customFormat="false" ht="15" hidden="false" customHeight="false" outlineLevel="0" collapsed="false">
      <c r="A131" s="17" t="n">
        <v>45901</v>
      </c>
      <c r="B131" s="10" t="n">
        <f aca="false">IFERROR(AVERAGEIFS(FX_Daily!B$15:B$2821,FX_Daily!$A$15:$A$2821,"&gt;="&amp;$A131,FX_Daily!$A$15:$A$2821,"&lt;="&amp;EOMONTH($A131,0)),"")</f>
        <v>1392.90523809524</v>
      </c>
      <c r="C131" s="10" t="n">
        <f aca="false">IFERROR(AVERAGEIFS(FX_Daily!C$15:C$2821,FX_Daily!$A$15:$A$2821,"&gt;="&amp;$A131,FX_Daily!$A$15:$A$2821,"&lt;="&amp;EOMONTH($A131,0)),"")</f>
        <v>9.9431380952381</v>
      </c>
      <c r="D131" s="10" t="n">
        <f aca="false">IFERROR(AVERAGEIFS(FX_Daily!D$15:D$2821,FX_Daily!$A$15:$A$2821,"&gt;="&amp;$A131,FX_Daily!$A$15:$A$2821,"&lt;="&amp;EOMONTH($A131,0)),"")</f>
        <v>1.3506380952381</v>
      </c>
      <c r="E131" s="10" t="n">
        <f aca="false">IFERROR(AVERAGEIFS(FX_Daily!E$15:E$2821,FX_Daily!$A$15:$A$2821,"&gt;="&amp;$A131,FX_Daily!$A$15:$A$2821,"&lt;="&amp;EOMONTH($A131,0)),"")</f>
        <v>1.17387142857143</v>
      </c>
      <c r="F131" s="10" t="n">
        <f aca="false">IFERROR(AVERAGEIFS(FX_Daily!F$15:F$2821,FX_Daily!$A$15:$A$2821,"&gt;="&amp;$A131,FX_Daily!$A$15:$A$2821,"&lt;="&amp;EOMONTH($A131,0)),"")</f>
        <v>7.12345714285714</v>
      </c>
      <c r="G131" s="10" t="n">
        <f aca="false">IFERROR(AVERAGEIFS(FX_Daily!G$15:G$2821,FX_Daily!$A$15:$A$2821,"&gt;="&amp;$A131,FX_Daily!$A$15:$A$2821,"&lt;="&amp;EOMONTH($A131,0)),"")</f>
        <v>5.36298571428571</v>
      </c>
      <c r="H131" s="10" t="n">
        <f aca="false">IFERROR(AVERAGEIFS(FX_Daily!H$15:H$2821,FX_Daily!$A$15:$A$2821,"&gt;="&amp;$A131,FX_Daily!$A$15:$A$2821,"&lt;="&amp;EOMONTH($A131,0)),"")</f>
        <v>147.862857142857</v>
      </c>
      <c r="I131" s="10" t="n">
        <f aca="false">IFERROR(AVERAGEIFS(FX_Daily!I$15:I$2821,FX_Daily!$A$15:$A$2821,"&gt;="&amp;$A131,FX_Daily!$A$15:$A$2821,"&lt;="&amp;EOMONTH($A131,0)),"")</f>
        <v>1.17322272727273</v>
      </c>
      <c r="J131" s="10" t="n">
        <f aca="false">IFERROR(AVERAGEIFS(FX_Daily!J$15:J$2821,FX_Daily!$A$15:$A$2821,"&gt;="&amp;$A131,FX_Daily!$A$15:$A$2821,"&lt;="&amp;EOMONTH($A131,0)),"")</f>
        <v>11.6701818181818</v>
      </c>
      <c r="K131" s="10" t="n">
        <f aca="false">IFERROR(AVERAGEIFS(FX_Daily!K$15:K$2821,FX_Daily!$A$15:$A$2821,"&gt;="&amp;$A131,FX_Daily!$A$15:$A$2821,"&lt;="&amp;EOMONTH($A131,0)),"")</f>
        <v>1634.385</v>
      </c>
      <c r="L131" s="10" t="n">
        <f aca="false">IFERROR(AVERAGEIFS(FX_Daily!L$15:L$2821,FX_Daily!$A$15:$A$2821,"&gt;="&amp;$A131,FX_Daily!$A$15:$A$2821,"&lt;="&amp;EOMONTH($A131,0)),"")</f>
        <v>0.868945454545455</v>
      </c>
      <c r="M131" s="10" t="n">
        <f aca="false">IFERROR(AVERAGEIFS(FX_Daily!M$15:M$2821,FX_Daily!$A$15:$A$2821,"&gt;="&amp;$A131,FX_Daily!$A$15:$A$2821,"&lt;="&amp;EOMONTH($A131,0)),"")</f>
        <v>8.35861818181818</v>
      </c>
      <c r="N131" s="10" t="n">
        <f aca="false">IFERROR(AVERAGEIFS(FX_Daily!N$15:N$2821,FX_Daily!$A$15:$A$2821,"&gt;="&amp;$A131,FX_Daily!$A$15:$A$2821,"&lt;="&amp;EOMONTH($A131,0)),"")</f>
        <v>6.3013</v>
      </c>
      <c r="O131" s="10" t="n">
        <f aca="false">IFERROR(AVERAGEIFS(FX_Daily!O$15:O$2821,FX_Daily!$A$15:$A$2821,"&gt;="&amp;$A131,FX_Daily!$A$15:$A$2821,"&lt;="&amp;EOMONTH($A131,0)),"")</f>
        <v>173.548636363636</v>
      </c>
      <c r="P131" s="10" t="n">
        <f aca="false">IFERROR(AVERAGEIFS(FX_Daily!P$15:P$2821,FX_Daily!$A$15:$A$2821,"&gt;="&amp;$A131,FX_Daily!$A$15:$A$2821,"&lt;="&amp;EOMONTH($A131,0)),"")</f>
        <v>9.94741363636364</v>
      </c>
      <c r="Q131" s="15" t="n">
        <f aca="false">COUNTIFS(FX_Daily!$A$15:$A$2821,"&gt;="&amp;$A131,FX_Daily!$A$15:$A$2821,"&lt;="&amp;EOMONTH($A131,0),FX_Daily!C$15:C$2821,"&gt;0")</f>
        <v>21</v>
      </c>
      <c r="R131" s="16" t="str">
        <f aca="false">IF(EOMONTH($A131,0)&gt;FX_Daily!$C$11,"partial month","complete")</f>
        <v>complete</v>
      </c>
    </row>
    <row r="132" customFormat="false" ht="15" hidden="false" customHeight="false" outlineLevel="0" collapsed="false">
      <c r="A132" s="17" t="n">
        <v>45931</v>
      </c>
      <c r="B132" s="10" t="n">
        <f aca="false">IFERROR(AVERAGEIFS(FX_Daily!B$15:B$2821,FX_Daily!$A$15:$A$2821,"&gt;="&amp;$A132,FX_Daily!$A$15:$A$2821,"&lt;="&amp;EOMONTH($A132,0)),"")</f>
        <v>1423.07954545455</v>
      </c>
      <c r="C132" s="10" t="n">
        <f aca="false">IFERROR(AVERAGEIFS(FX_Daily!C$15:C$2821,FX_Daily!$A$15:$A$2821,"&gt;="&amp;$A132,FX_Daily!$A$15:$A$2821,"&lt;="&amp;EOMONTH($A132,0)),"")</f>
        <v>10.0212954545455</v>
      </c>
      <c r="D132" s="10" t="n">
        <f aca="false">IFERROR(AVERAGEIFS(FX_Daily!D$15:D$2821,FX_Daily!$A$15:$A$2821,"&gt;="&amp;$A132,FX_Daily!$A$15:$A$2821,"&lt;="&amp;EOMONTH($A132,0)),"")</f>
        <v>1.33569545454545</v>
      </c>
      <c r="E132" s="10" t="n">
        <f aca="false">IFERROR(AVERAGEIFS(FX_Daily!E$15:E$2821,FX_Daily!$A$15:$A$2821,"&gt;="&amp;$A132,FX_Daily!$A$15:$A$2821,"&lt;="&amp;EOMONTH($A132,0)),"")</f>
        <v>1.16407272727273</v>
      </c>
      <c r="F132" s="10" t="n">
        <f aca="false">IFERROR(AVERAGEIFS(FX_Daily!F$15:F$2821,FX_Daily!$A$15:$A$2821,"&gt;="&amp;$A132,FX_Daily!$A$15:$A$2821,"&lt;="&amp;EOMONTH($A132,0)),"")</f>
        <v>7.11996818181818</v>
      </c>
      <c r="G132" s="10" t="n">
        <f aca="false">IFERROR(AVERAGEIFS(FX_Daily!G$15:G$2821,FX_Daily!$A$15:$A$2821,"&gt;="&amp;$A132,FX_Daily!$A$15:$A$2821,"&lt;="&amp;EOMONTH($A132,0)),"")</f>
        <v>5.38315454545455</v>
      </c>
      <c r="H132" s="10" t="n">
        <f aca="false">IFERROR(AVERAGEIFS(FX_Daily!H$15:H$2821,FX_Daily!$A$15:$A$2821,"&gt;="&amp;$A132,FX_Daily!$A$15:$A$2821,"&lt;="&amp;EOMONTH($A132,0)),"")</f>
        <v>151.354545454545</v>
      </c>
      <c r="I132" s="10" t="n">
        <f aca="false">IFERROR(AVERAGEIFS(FX_Daily!I$15:I$2821,FX_Daily!$A$15:$A$2821,"&gt;="&amp;$A132,FX_Daily!$A$15:$A$2821,"&lt;="&amp;EOMONTH($A132,0)),"")</f>
        <v>1.16304347826087</v>
      </c>
      <c r="J132" s="10" t="n">
        <f aca="false">IFERROR(AVERAGEIFS(FX_Daily!J$15:J$2821,FX_Daily!$A$15:$A$2821,"&gt;="&amp;$A132,FX_Daily!$A$15:$A$2821,"&lt;="&amp;EOMONTH($A132,0)),"")</f>
        <v>11.663252173913</v>
      </c>
      <c r="K132" s="10" t="n">
        <f aca="false">IFERROR(AVERAGEIFS(FX_Daily!K$15:K$2821,FX_Daily!$A$15:$A$2821,"&gt;="&amp;$A132,FX_Daily!$A$15:$A$2821,"&lt;="&amp;EOMONTH($A132,0)),"")</f>
        <v>1655.91869565217</v>
      </c>
      <c r="L132" s="10" t="n">
        <f aca="false">IFERROR(AVERAGEIFS(FX_Daily!L$15:L$2821,FX_Daily!$A$15:$A$2821,"&gt;="&amp;$A132,FX_Daily!$A$15:$A$2821,"&lt;="&amp;EOMONTH($A132,0)),"")</f>
        <v>0.871552173913044</v>
      </c>
      <c r="M132" s="10" t="n">
        <f aca="false">IFERROR(AVERAGEIFS(FX_Daily!M$15:M$2821,FX_Daily!$A$15:$A$2821,"&gt;="&amp;$A132,FX_Daily!$A$15:$A$2821,"&lt;="&amp;EOMONTH($A132,0)),"")</f>
        <v>8.2810347826087</v>
      </c>
      <c r="N132" s="10" t="n">
        <f aca="false">IFERROR(AVERAGEIFS(FX_Daily!N$15:N$2821,FX_Daily!$A$15:$A$2821,"&gt;="&amp;$A132,FX_Daily!$A$15:$A$2821,"&lt;="&amp;EOMONTH($A132,0)),"")</f>
        <v>6.26137391304348</v>
      </c>
      <c r="O132" s="10" t="n">
        <f aca="false">IFERROR(AVERAGEIFS(FX_Daily!O$15:O$2821,FX_Daily!$A$15:$A$2821,"&gt;="&amp;$A132,FX_Daily!$A$15:$A$2821,"&lt;="&amp;EOMONTH($A132,0)),"")</f>
        <v>176.152608695652</v>
      </c>
      <c r="P132" s="10" t="n">
        <f aca="false">IFERROR(AVERAGEIFS(FX_Daily!P$15:P$2821,FX_Daily!$A$15:$A$2821,"&gt;="&amp;$A132,FX_Daily!$A$15:$A$2821,"&lt;="&amp;EOMONTH($A132,0)),"")</f>
        <v>10.028452173913</v>
      </c>
      <c r="Q132" s="15" t="n">
        <f aca="false">COUNTIFS(FX_Daily!$A$15:$A$2821,"&gt;="&amp;$A132,FX_Daily!$A$15:$A$2821,"&lt;="&amp;EOMONTH($A132,0),FX_Daily!C$15:C$2821,"&gt;0")</f>
        <v>22</v>
      </c>
      <c r="R132" s="16" t="str">
        <f aca="false">IF(EOMONTH($A132,0)&gt;FX_Daily!$C$11,"partial month","complete")</f>
        <v>complete</v>
      </c>
    </row>
    <row r="133" customFormat="false" ht="15" hidden="false" customHeight="false" outlineLevel="0" collapsed="false">
      <c r="A133" s="17" t="n">
        <v>45962</v>
      </c>
      <c r="B133" s="10" t="n">
        <f aca="false">IFERROR(AVERAGEIFS(FX_Daily!B$15:B$2821,FX_Daily!$A$15:$A$2821,"&gt;="&amp;$A133,FX_Daily!$A$15:$A$2821,"&lt;="&amp;EOMONTH($A133,0)),"")</f>
        <v>1459.87888888889</v>
      </c>
      <c r="C133" s="10" t="n">
        <f aca="false">IFERROR(AVERAGEIFS(FX_Daily!C$15:C$2821,FX_Daily!$A$15:$A$2821,"&gt;="&amp;$A133,FX_Daily!$A$15:$A$2821,"&lt;="&amp;EOMONTH($A133,0)),"")</f>
        <v>10.1583666666667</v>
      </c>
      <c r="D133" s="10" t="n">
        <f aca="false">IFERROR(AVERAGEIFS(FX_Daily!D$15:D$2821,FX_Daily!$A$15:$A$2821,"&gt;="&amp;$A133,FX_Daily!$A$15:$A$2821,"&lt;="&amp;EOMONTH($A133,0)),"")</f>
        <v>1.31388333333333</v>
      </c>
      <c r="E133" s="10" t="n">
        <f aca="false">IFERROR(AVERAGEIFS(FX_Daily!E$15:E$2821,FX_Daily!$A$15:$A$2821,"&gt;="&amp;$A133,FX_Daily!$A$15:$A$2821,"&lt;="&amp;EOMONTH($A133,0)),"")</f>
        <v>1.15581111111111</v>
      </c>
      <c r="F133" s="10" t="n">
        <f aca="false">IFERROR(AVERAGEIFS(FX_Daily!F$15:F$2821,FX_Daily!$A$15:$A$2821,"&gt;="&amp;$A133,FX_Daily!$A$15:$A$2821,"&lt;="&amp;EOMONTH($A133,0)),"")</f>
        <v>7.10688333333333</v>
      </c>
      <c r="G133" s="10" t="n">
        <f aca="false">IFERROR(AVERAGEIFS(FX_Daily!G$15:G$2821,FX_Daily!$A$15:$A$2821,"&gt;="&amp;$A133,FX_Daily!$A$15:$A$2821,"&lt;="&amp;EOMONTH($A133,0)),"")</f>
        <v>5.34148333333333</v>
      </c>
      <c r="H133" s="10" t="n">
        <f aca="false">IFERROR(AVERAGEIFS(FX_Daily!H$15:H$2821,FX_Daily!$A$15:$A$2821,"&gt;="&amp;$A133,FX_Daily!$A$15:$A$2821,"&lt;="&amp;EOMONTH($A133,0)),"")</f>
        <v>155.141111111111</v>
      </c>
      <c r="I133" s="10" t="n">
        <f aca="false">IFERROR(AVERAGEIFS(FX_Daily!I$15:I$2821,FX_Daily!$A$15:$A$2821,"&gt;="&amp;$A133,FX_Daily!$A$15:$A$2821,"&lt;="&amp;EOMONTH($A133,0)),"")</f>
        <v>1.15602</v>
      </c>
      <c r="J133" s="10" t="n">
        <f aca="false">IFERROR(AVERAGEIFS(FX_Daily!J$15:J$2821,FX_Daily!$A$15:$A$2821,"&gt;="&amp;$A133,FX_Daily!$A$15:$A$2821,"&lt;="&amp;EOMONTH($A133,0)),"")</f>
        <v>11.740205</v>
      </c>
      <c r="K133" s="10" t="n">
        <f aca="false">IFERROR(AVERAGEIFS(FX_Daily!K$15:K$2821,FX_Daily!$A$15:$A$2821,"&gt;="&amp;$A133,FX_Daily!$A$15:$A$2821,"&lt;="&amp;EOMONTH($A133,0)),"")</f>
        <v>1687.6415</v>
      </c>
      <c r="L133" s="10" t="n">
        <f aca="false">IFERROR(AVERAGEIFS(FX_Daily!L$15:L$2821,FX_Daily!$A$15:$A$2821,"&gt;="&amp;$A133,FX_Daily!$A$15:$A$2821,"&lt;="&amp;EOMONTH($A133,0)),"")</f>
        <v>0.879965</v>
      </c>
      <c r="M133" s="10" t="n">
        <f aca="false">IFERROR(AVERAGEIFS(FX_Daily!M$15:M$2821,FX_Daily!$A$15:$A$2821,"&gt;="&amp;$A133,FX_Daily!$A$15:$A$2821,"&lt;="&amp;EOMONTH($A133,0)),"")</f>
        <v>8.214915</v>
      </c>
      <c r="N133" s="10" t="n">
        <f aca="false">IFERROR(AVERAGEIFS(FX_Daily!N$15:N$2821,FX_Daily!$A$15:$A$2821,"&gt;="&amp;$A133,FX_Daily!$A$15:$A$2821,"&lt;="&amp;EOMONTH($A133,0)),"")</f>
        <v>6.172775</v>
      </c>
      <c r="O133" s="10" t="n">
        <f aca="false">IFERROR(AVERAGEIFS(FX_Daily!O$15:O$2821,FX_Daily!$A$15:$A$2821,"&gt;="&amp;$A133,FX_Daily!$A$15:$A$2821,"&lt;="&amp;EOMONTH($A133,0)),"")</f>
        <v>179.316</v>
      </c>
      <c r="P133" s="10" t="n">
        <f aca="false">IFERROR(AVERAGEIFS(FX_Daily!P$15:P$2821,FX_Daily!$A$15:$A$2821,"&gt;="&amp;$A133,FX_Daily!$A$15:$A$2821,"&lt;="&amp;EOMONTH($A133,0)),"")</f>
        <v>10.155835</v>
      </c>
      <c r="Q133" s="15" t="n">
        <f aca="false">COUNTIFS(FX_Daily!$A$15:$A$2821,"&gt;="&amp;$A133,FX_Daily!$A$15:$A$2821,"&lt;="&amp;EOMONTH($A133,0),FX_Daily!C$15:C$2821,"&gt;0")</f>
        <v>18</v>
      </c>
      <c r="R133" s="16" t="str">
        <f aca="false">IF(EOMONTH($A133,0)&gt;FX_Daily!$C$11,"partial month","complete")</f>
        <v>complete</v>
      </c>
    </row>
    <row r="134" customFormat="false" ht="15" hidden="false" customHeight="false" outlineLevel="0" collapsed="false">
      <c r="A134" s="17" t="n">
        <v>45992</v>
      </c>
      <c r="B134" s="10" t="n">
        <f aca="false">IFERROR(AVERAGEIFS(FX_Daily!B$15:B$2821,FX_Daily!$A$15:$A$2821,"&gt;="&amp;$A134,FX_Daily!$A$15:$A$2821,"&lt;="&amp;EOMONTH($A134,0)),"")</f>
        <v>1465.355</v>
      </c>
      <c r="C134" s="10" t="n">
        <f aca="false">IFERROR(AVERAGEIFS(FX_Daily!C$15:C$2821,FX_Daily!$A$15:$A$2821,"&gt;="&amp;$A134,FX_Daily!$A$15:$A$2821,"&lt;="&amp;EOMONTH($A134,0)),"")</f>
        <v>10.1068636363636</v>
      </c>
      <c r="D134" s="10" t="n">
        <f aca="false">IFERROR(AVERAGEIFS(FX_Daily!D$15:D$2821,FX_Daily!$A$15:$A$2821,"&gt;="&amp;$A134,FX_Daily!$A$15:$A$2821,"&lt;="&amp;EOMONTH($A134,0)),"")</f>
        <v>1.33871818181818</v>
      </c>
      <c r="E134" s="10" t="n">
        <f aca="false">IFERROR(AVERAGEIFS(FX_Daily!E$15:E$2821,FX_Daily!$A$15:$A$2821,"&gt;="&amp;$A134,FX_Daily!$A$15:$A$2821,"&lt;="&amp;EOMONTH($A134,0)),"")</f>
        <v>1.17103636363636</v>
      </c>
      <c r="F134" s="10" t="n">
        <f aca="false">IFERROR(AVERAGEIFS(FX_Daily!F$15:F$2821,FX_Daily!$A$15:$A$2821,"&gt;="&amp;$A134,FX_Daily!$A$15:$A$2821,"&lt;="&amp;EOMONTH($A134,0)),"")</f>
        <v>7.0432</v>
      </c>
      <c r="G134" s="10" t="n">
        <f aca="false">IFERROR(AVERAGEIFS(FX_Daily!G$15:G$2821,FX_Daily!$A$15:$A$2821,"&gt;="&amp;$A134,FX_Daily!$A$15:$A$2821,"&lt;="&amp;EOMONTH($A134,0)),"")</f>
        <v>5.45570909090909</v>
      </c>
      <c r="H134" s="10" t="n">
        <f aca="false">IFERROR(AVERAGEIFS(FX_Daily!H$15:H$2821,FX_Daily!$A$15:$A$2821,"&gt;="&amp;$A134,FX_Daily!$A$15:$A$2821,"&lt;="&amp;EOMONTH($A134,0)),"")</f>
        <v>155.915</v>
      </c>
      <c r="I134" s="10" t="n">
        <f aca="false">IFERROR(AVERAGEIFS(FX_Daily!I$15:I$2821,FX_Daily!$A$15:$A$2821,"&gt;="&amp;$A134,FX_Daily!$A$15:$A$2821,"&lt;="&amp;EOMONTH($A134,0)),"")</f>
        <v>1.17087142857143</v>
      </c>
      <c r="J134" s="10" t="n">
        <f aca="false">IFERROR(AVERAGEIFS(FX_Daily!J$15:J$2821,FX_Daily!$A$15:$A$2821,"&gt;="&amp;$A134,FX_Daily!$A$15:$A$2821,"&lt;="&amp;EOMONTH($A134,0)),"")</f>
        <v>11.8428476190476</v>
      </c>
      <c r="K134" s="10" t="n">
        <f aca="false">IFERROR(AVERAGEIFS(FX_Daily!K$15:K$2821,FX_Daily!$A$15:$A$2821,"&gt;="&amp;$A134,FX_Daily!$A$15:$A$2821,"&lt;="&amp;EOMONTH($A134,0)),"")</f>
        <v>1717.43666666667</v>
      </c>
      <c r="L134" s="10" t="n">
        <f aca="false">IFERROR(AVERAGEIFS(FX_Daily!L$15:L$2821,FX_Daily!$A$15:$A$2821,"&gt;="&amp;$A134,FX_Daily!$A$15:$A$2821,"&lt;="&amp;EOMONTH($A134,0)),"")</f>
        <v>0.875</v>
      </c>
      <c r="M134" s="10" t="n">
        <f aca="false">IFERROR(AVERAGEIFS(FX_Daily!M$15:M$2821,FX_Daily!$A$15:$A$2821,"&gt;="&amp;$A134,FX_Daily!$A$15:$A$2821,"&lt;="&amp;EOMONTH($A134,0)),"")</f>
        <v>8.24906190476191</v>
      </c>
      <c r="N134" s="10" t="n">
        <f aca="false">IFERROR(AVERAGEIFS(FX_Daily!N$15:N$2821,FX_Daily!$A$15:$A$2821,"&gt;="&amp;$A134,FX_Daily!$A$15:$A$2821,"&lt;="&amp;EOMONTH($A134,0)),"")</f>
        <v>6.38061428571429</v>
      </c>
      <c r="O134" s="10" t="n">
        <f aca="false">IFERROR(AVERAGEIFS(FX_Daily!O$15:O$2821,FX_Daily!$A$15:$A$2821,"&gt;="&amp;$A134,FX_Daily!$A$15:$A$2821,"&lt;="&amp;EOMONTH($A134,0)),"")</f>
        <v>182.497142857143</v>
      </c>
      <c r="P134" s="10" t="n">
        <f aca="false">IFERROR(AVERAGEIFS(FX_Daily!P$15:P$2821,FX_Daily!$A$15:$A$2821,"&gt;="&amp;$A134,FX_Daily!$A$15:$A$2821,"&lt;="&amp;EOMONTH($A134,0)),"")</f>
        <v>10.119635</v>
      </c>
      <c r="Q134" s="15" t="n">
        <f aca="false">COUNTIFS(FX_Daily!$A$15:$A$2821,"&gt;="&amp;$A134,FX_Daily!$A$15:$A$2821,"&lt;="&amp;EOMONTH($A134,0),FX_Daily!C$15:C$2821,"&gt;0")</f>
        <v>22</v>
      </c>
      <c r="R134" s="16" t="str">
        <f aca="false">IF(EOMONTH($A134,0)&gt;FX_Daily!$C$11,"partial month","complete")</f>
        <v>complete</v>
      </c>
    </row>
    <row r="135" customFormat="false" ht="15" hidden="false" customHeight="false" outlineLevel="0" collapsed="false">
      <c r="A135" s="17" t="n">
        <v>46023</v>
      </c>
      <c r="B135" s="10" t="n">
        <f aca="false">IFERROR(AVERAGEIFS(FX_Daily!B$15:B$2821,FX_Daily!$A$15:$A$2821,"&gt;="&amp;$A135,FX_Daily!$A$15:$A$2821,"&lt;="&amp;EOMONTH($A135,0)),"")</f>
        <v>1455.496</v>
      </c>
      <c r="C135" s="10" t="n">
        <f aca="false">IFERROR(AVERAGEIFS(FX_Daily!C$15:C$2821,FX_Daily!$A$15:$A$2821,"&gt;="&amp;$A135,FX_Daily!$A$15:$A$2821,"&lt;="&amp;EOMONTH($A135,0)),"")</f>
        <v>9.92904</v>
      </c>
      <c r="D135" s="10" t="n">
        <f aca="false">IFERROR(AVERAGEIFS(FX_Daily!D$15:D$2821,FX_Daily!$A$15:$A$2821,"&gt;="&amp;$A135,FX_Daily!$A$15:$A$2821,"&lt;="&amp;EOMONTH($A135,0)),"")</f>
        <v>1.353565</v>
      </c>
      <c r="E135" s="10" t="n">
        <f aca="false">IFERROR(AVERAGEIFS(FX_Daily!E$15:E$2821,FX_Daily!$A$15:$A$2821,"&gt;="&amp;$A135,FX_Daily!$A$15:$A$2821,"&lt;="&amp;EOMONTH($A135,0)),"")</f>
        <v>1.17443</v>
      </c>
      <c r="F135" s="10" t="n">
        <f aca="false">IFERROR(AVERAGEIFS(FX_Daily!F$15:F$2821,FX_Daily!$A$15:$A$2821,"&gt;="&amp;$A135,FX_Daily!$A$15:$A$2821,"&lt;="&amp;EOMONTH($A135,0)),"")</f>
        <v>6.96923</v>
      </c>
      <c r="G135" s="10" t="n">
        <f aca="false">IFERROR(AVERAGEIFS(FX_Daily!G$15:G$2821,FX_Daily!$A$15:$A$2821,"&gt;="&amp;$A135,FX_Daily!$A$15:$A$2821,"&lt;="&amp;EOMONTH($A135,0)),"")</f>
        <v>5.33162</v>
      </c>
      <c r="H135" s="10" t="n">
        <f aca="false">IFERROR(AVERAGEIFS(FX_Daily!H$15:H$2821,FX_Daily!$A$15:$A$2821,"&gt;="&amp;$A135,FX_Daily!$A$15:$A$2821,"&lt;="&amp;EOMONTH($A135,0)),"")</f>
        <v>156.6505</v>
      </c>
      <c r="I135" s="10" t="n">
        <f aca="false">IFERROR(AVERAGEIFS(FX_Daily!I$15:I$2821,FX_Daily!$A$15:$A$2821,"&gt;="&amp;$A135,FX_Daily!$A$15:$A$2821,"&lt;="&amp;EOMONTH($A135,0)),"")</f>
        <v>1.17382380952381</v>
      </c>
      <c r="J135" s="10" t="n">
        <f aca="false">IFERROR(AVERAGEIFS(FX_Daily!J$15:J$2821,FX_Daily!$A$15:$A$2821,"&gt;="&amp;$A135,FX_Daily!$A$15:$A$2821,"&lt;="&amp;EOMONTH($A135,0)),"")</f>
        <v>11.6669666666667</v>
      </c>
      <c r="K135" s="10" t="n">
        <f aca="false">IFERROR(AVERAGEIFS(FX_Daily!K$15:K$2821,FX_Daily!$A$15:$A$2821,"&gt;="&amp;$A135,FX_Daily!$A$15:$A$2821,"&lt;="&amp;EOMONTH($A135,0)),"")</f>
        <v>1710.3819047619</v>
      </c>
      <c r="L135" s="10" t="n">
        <f aca="false">IFERROR(AVERAGEIFS(FX_Daily!L$15:L$2821,FX_Daily!$A$15:$A$2821,"&gt;="&amp;$A135,FX_Daily!$A$15:$A$2821,"&lt;="&amp;EOMONTH($A135,0)),"")</f>
        <v>0.868280952380952</v>
      </c>
      <c r="M135" s="10" t="n">
        <f aca="false">IFERROR(AVERAGEIFS(FX_Daily!M$15:M$2821,FX_Daily!$A$15:$A$2821,"&gt;="&amp;$A135,FX_Daily!$A$15:$A$2821,"&lt;="&amp;EOMONTH($A135,0)),"")</f>
        <v>8.18064761904762</v>
      </c>
      <c r="N135" s="10" t="n">
        <f aca="false">IFERROR(AVERAGEIFS(FX_Daily!N$15:N$2821,FX_Daily!$A$15:$A$2821,"&gt;="&amp;$A135,FX_Daily!$A$15:$A$2821,"&lt;="&amp;EOMONTH($A135,0)),"")</f>
        <v>6.26737619047619</v>
      </c>
      <c r="O135" s="10" t="n">
        <f aca="false">IFERROR(AVERAGEIFS(FX_Daily!O$15:O$2821,FX_Daily!$A$15:$A$2821,"&gt;="&amp;$A135,FX_Daily!$A$15:$A$2821,"&lt;="&amp;EOMONTH($A135,0)),"")</f>
        <v>183.938571428571</v>
      </c>
      <c r="P135" s="10" t="n">
        <f aca="false">IFERROR(AVERAGEIFS(FX_Daily!P$15:P$2821,FX_Daily!$A$15:$A$2821,"&gt;="&amp;$A135,FX_Daily!$A$15:$A$2821,"&lt;="&amp;EOMONTH($A135,0)),"")</f>
        <v>9.941</v>
      </c>
      <c r="Q135" s="15" t="n">
        <f aca="false">COUNTIFS(FX_Daily!$A$15:$A$2821,"&gt;="&amp;$A135,FX_Daily!$A$15:$A$2821,"&lt;="&amp;EOMONTH($A135,0),FX_Daily!C$15:C$2821,"&gt;0")</f>
        <v>20</v>
      </c>
      <c r="R135" s="16" t="str">
        <f aca="false">IF(EOMONTH($A135,0)&gt;FX_Daily!$C$11,"partial month","complete")</f>
        <v>complete</v>
      </c>
    </row>
    <row r="136" customFormat="false" ht="15" hidden="false" customHeight="false" outlineLevel="0" collapsed="false">
      <c r="A136" s="17" t="n">
        <v>46054</v>
      </c>
      <c r="B136" s="10" t="n">
        <f aca="false">IFERROR(AVERAGEIFS(FX_Daily!B$15:B$2821,FX_Daily!$A$15:$A$2821,"&gt;="&amp;$A136,FX_Daily!$A$15:$A$2821,"&lt;="&amp;EOMONTH($A136,0)),"")</f>
        <v>1447.28578947368</v>
      </c>
      <c r="C136" s="10" t="n">
        <f aca="false">IFERROR(AVERAGEIFS(FX_Daily!C$15:C$2821,FX_Daily!$A$15:$A$2821,"&gt;="&amp;$A136,FX_Daily!$A$15:$A$2821,"&lt;="&amp;EOMONTH($A136,0)),"")</f>
        <v>9.57633157894737</v>
      </c>
      <c r="D136" s="10" t="n">
        <f aca="false">IFERROR(AVERAGEIFS(FX_Daily!D$15:D$2821,FX_Daily!$A$15:$A$2821,"&gt;="&amp;$A136,FX_Daily!$A$15:$A$2821,"&lt;="&amp;EOMONTH($A136,0)),"")</f>
        <v>1.35792105263158</v>
      </c>
      <c r="E136" s="10" t="n">
        <f aca="false">IFERROR(AVERAGEIFS(FX_Daily!E$15:E$2821,FX_Daily!$A$15:$A$2821,"&gt;="&amp;$A136,FX_Daily!$A$15:$A$2821,"&lt;="&amp;EOMONTH($A136,0)),"")</f>
        <v>1.18241052631579</v>
      </c>
      <c r="F136" s="10" t="n">
        <f aca="false">IFERROR(AVERAGEIFS(FX_Daily!F$15:F$2821,FX_Daily!$A$15:$A$2821,"&gt;="&amp;$A136,FX_Daily!$A$15:$A$2821,"&lt;="&amp;EOMONTH($A136,0)),"")</f>
        <v>6.90635263157895</v>
      </c>
      <c r="G136" s="10" t="n">
        <f aca="false">IFERROR(AVERAGEIFS(FX_Daily!G$15:G$2821,FX_Daily!$A$15:$A$2821,"&gt;="&amp;$A136,FX_Daily!$A$15:$A$2821,"&lt;="&amp;EOMONTH($A136,0)),"")</f>
        <v>5.1988052631579</v>
      </c>
      <c r="H136" s="10" t="n">
        <f aca="false">IFERROR(AVERAGEIFS(FX_Daily!H$15:H$2821,FX_Daily!$A$15:$A$2821,"&gt;="&amp;$A136,FX_Daily!$A$15:$A$2821,"&lt;="&amp;EOMONTH($A136,0)),"")</f>
        <v>155.101578947368</v>
      </c>
      <c r="I136" s="10" t="n">
        <f aca="false">IFERROR(AVERAGEIFS(FX_Daily!I$15:I$2821,FX_Daily!$A$15:$A$2821,"&gt;="&amp;$A136,FX_Daily!$A$15:$A$2821,"&lt;="&amp;EOMONTH($A136,0)),"")</f>
        <v>1.182395</v>
      </c>
      <c r="J136" s="10" t="n">
        <f aca="false">IFERROR(AVERAGEIFS(FX_Daily!J$15:J$2821,FX_Daily!$A$15:$A$2821,"&gt;="&amp;$A136,FX_Daily!$A$15:$A$2821,"&lt;="&amp;EOMONTH($A136,0)),"")</f>
        <v>11.3206</v>
      </c>
      <c r="K136" s="10" t="n">
        <f aca="false">IFERROR(AVERAGEIFS(FX_Daily!K$15:K$2821,FX_Daily!$A$15:$A$2821,"&gt;="&amp;$A136,FX_Daily!$A$15:$A$2821,"&lt;="&amp;EOMONTH($A136,0)),"")</f>
        <v>1712.3875</v>
      </c>
      <c r="L136" s="10" t="n">
        <f aca="false">IFERROR(AVERAGEIFS(FX_Daily!L$15:L$2821,FX_Daily!$A$15:$A$2821,"&gt;="&amp;$A136,FX_Daily!$A$15:$A$2821,"&lt;="&amp;EOMONTH($A136,0)),"")</f>
        <v>0.870315</v>
      </c>
      <c r="M136" s="10" t="n">
        <f aca="false">IFERROR(AVERAGEIFS(FX_Daily!M$15:M$2821,FX_Daily!$A$15:$A$2821,"&gt;="&amp;$A136,FX_Daily!$A$15:$A$2821,"&lt;="&amp;EOMONTH($A136,0)),"")</f>
        <v>8.16815</v>
      </c>
      <c r="N136" s="10" t="n">
        <f aca="false">IFERROR(AVERAGEIFS(FX_Daily!N$15:N$2821,FX_Daily!$A$15:$A$2821,"&gt;="&amp;$A136,FX_Daily!$A$15:$A$2821,"&lt;="&amp;EOMONTH($A136,0)),"")</f>
        <v>6.152855</v>
      </c>
      <c r="O136" s="10" t="n">
        <f aca="false">IFERROR(AVERAGEIFS(FX_Daily!O$15:O$2821,FX_Daily!$A$15:$A$2821,"&gt;="&amp;$A136,FX_Daily!$A$15:$A$2821,"&lt;="&amp;EOMONTH($A136,0)),"")</f>
        <v>183.4515</v>
      </c>
      <c r="P136" s="10" t="n">
        <f aca="false">IFERROR(AVERAGEIFS(FX_Daily!P$15:P$2821,FX_Daily!$A$15:$A$2821,"&gt;="&amp;$A136,FX_Daily!$A$15:$A$2821,"&lt;="&amp;EOMONTH($A136,0)),"")</f>
        <v>9.57441</v>
      </c>
      <c r="Q136" s="15" t="n">
        <f aca="false">COUNTIFS(FX_Daily!$A$15:$A$2821,"&gt;="&amp;$A136,FX_Daily!$A$15:$A$2821,"&lt;="&amp;EOMONTH($A136,0),FX_Daily!C$15:C$2821,"&gt;0")</f>
        <v>19</v>
      </c>
      <c r="R136" s="16" t="str">
        <f aca="false">IF(EOMONTH($A136,0)&gt;FX_Daily!$C$11,"partial month","complete")</f>
        <v>complete</v>
      </c>
    </row>
    <row r="137" customFormat="false" ht="15" hidden="false" customHeight="false" outlineLevel="0" collapsed="false">
      <c r="A137" s="17" t="n">
        <v>46082</v>
      </c>
      <c r="B137" s="10" t="n">
        <f aca="false">IFERROR(AVERAGEIFS(FX_Daily!B$15:B$2821,FX_Daily!$A$15:$A$2821,"&gt;="&amp;$A137,FX_Daily!$A$15:$A$2821,"&lt;="&amp;EOMONTH($A137,0)),"")</f>
        <v>1490.51772727273</v>
      </c>
      <c r="C137" s="10" t="n">
        <f aca="false">IFERROR(AVERAGEIFS(FX_Daily!C$15:C$2821,FX_Daily!$A$15:$A$2821,"&gt;="&amp;$A137,FX_Daily!$A$15:$A$2821,"&lt;="&amp;EOMONTH($A137,0)),"")</f>
        <v>9.65860909090909</v>
      </c>
      <c r="D137" s="10" t="n">
        <f aca="false">IFERROR(AVERAGEIFS(FX_Daily!D$15:D$2821,FX_Daily!$A$15:$A$2821,"&gt;="&amp;$A137,FX_Daily!$A$15:$A$2821,"&lt;="&amp;EOMONTH($A137,0)),"")</f>
        <v>1.33386818181818</v>
      </c>
      <c r="E137" s="10" t="n">
        <f aca="false">IFERROR(AVERAGEIFS(FX_Daily!E$15:E$2821,FX_Daily!$A$15:$A$2821,"&gt;="&amp;$A137,FX_Daily!$A$15:$A$2821,"&lt;="&amp;EOMONTH($A137,0)),"")</f>
        <v>1.15566818181818</v>
      </c>
      <c r="F137" s="10" t="n">
        <f aca="false">IFERROR(AVERAGEIFS(FX_Daily!F$15:F$2821,FX_Daily!$A$15:$A$2821,"&gt;="&amp;$A137,FX_Daily!$A$15:$A$2821,"&lt;="&amp;EOMONTH($A137,0)),"")</f>
        <v>6.89207727272727</v>
      </c>
      <c r="G137" s="10" t="n">
        <f aca="false">IFERROR(AVERAGEIFS(FX_Daily!G$15:G$2821,FX_Daily!$A$15:$A$2821,"&gt;="&amp;$A137,FX_Daily!$A$15:$A$2821,"&lt;="&amp;EOMONTH($A137,0)),"")</f>
        <v>5.22964090909091</v>
      </c>
      <c r="H137" s="10" t="n">
        <f aca="false">IFERROR(AVERAGEIFS(FX_Daily!H$15:H$2821,FX_Daily!$A$15:$A$2821,"&gt;="&amp;$A137,FX_Daily!$A$15:$A$2821,"&lt;="&amp;EOMONTH($A137,0)),"")</f>
        <v>158.682727272727</v>
      </c>
      <c r="I137" s="10" t="n">
        <f aca="false">IFERROR(AVERAGEIFS(FX_Daily!I$15:I$2821,FX_Daily!$A$15:$A$2821,"&gt;="&amp;$A137,FX_Daily!$A$15:$A$2821,"&lt;="&amp;EOMONTH($A137,0)),"")</f>
        <v>1.15583181818182</v>
      </c>
      <c r="J137" s="10" t="n">
        <f aca="false">IFERROR(AVERAGEIFS(FX_Daily!J$15:J$2821,FX_Daily!$A$15:$A$2821,"&gt;="&amp;$A137,FX_Daily!$A$15:$A$2821,"&lt;="&amp;EOMONTH($A137,0)),"")</f>
        <v>11.16575</v>
      </c>
      <c r="K137" s="10" t="n">
        <f aca="false">IFERROR(AVERAGEIFS(FX_Daily!K$15:K$2821,FX_Daily!$A$15:$A$2821,"&gt;="&amp;$A137,FX_Daily!$A$15:$A$2821,"&lt;="&amp;EOMONTH($A137,0)),"")</f>
        <v>1723.13454545455</v>
      </c>
      <c r="L137" s="10" t="n">
        <f aca="false">IFERROR(AVERAGEIFS(FX_Daily!L$15:L$2821,FX_Daily!$A$15:$A$2821,"&gt;="&amp;$A137,FX_Daily!$A$15:$A$2821,"&lt;="&amp;EOMONTH($A137,0)),"")</f>
        <v>0.866310909090909</v>
      </c>
      <c r="M137" s="10" t="n">
        <f aca="false">IFERROR(AVERAGEIFS(FX_Daily!M$15:M$2821,FX_Daily!$A$15:$A$2821,"&gt;="&amp;$A137,FX_Daily!$A$15:$A$2821,"&lt;="&amp;EOMONTH($A137,0)),"")</f>
        <v>7.97026363636364</v>
      </c>
      <c r="N137" s="10" t="n">
        <f aca="false">IFERROR(AVERAGEIFS(FX_Daily!N$15:N$2821,FX_Daily!$A$15:$A$2821,"&gt;="&amp;$A137,FX_Daily!$A$15:$A$2821,"&lt;="&amp;EOMONTH($A137,0)),"")</f>
        <v>6.04982727272727</v>
      </c>
      <c r="O137" s="10" t="n">
        <f aca="false">IFERROR(AVERAGEIFS(FX_Daily!O$15:O$2821,FX_Daily!$A$15:$A$2821,"&gt;="&amp;$A137,FX_Daily!$A$15:$A$2821,"&lt;="&amp;EOMONTH($A137,0)),"")</f>
        <v>183.399090909091</v>
      </c>
      <c r="P137" s="10" t="n">
        <f aca="false">IFERROR(AVERAGEIFS(FX_Daily!P$15:P$2821,FX_Daily!$A$15:$A$2821,"&gt;="&amp;$A137,FX_Daily!$A$15:$A$2821,"&lt;="&amp;EOMONTH($A137,0)),"")</f>
        <v>9.66046818181818</v>
      </c>
      <c r="Q137" s="15" t="n">
        <f aca="false">COUNTIFS(FX_Daily!$A$15:$A$2821,"&gt;="&amp;$A137,FX_Daily!$A$15:$A$2821,"&lt;="&amp;EOMONTH($A137,0),FX_Daily!C$15:C$2821,"&gt;0")</f>
        <v>22</v>
      </c>
      <c r="R137" s="16" t="str">
        <f aca="false">IF(EOMONTH($A137,0)&gt;FX_Daily!$C$11,"partial month","complete")</f>
        <v>complete</v>
      </c>
    </row>
    <row r="138" customFormat="false" ht="15" hidden="false" customHeight="false" outlineLevel="0" collapsed="false">
      <c r="A138" s="17" t="n">
        <v>46113</v>
      </c>
      <c r="B138" s="10" t="n">
        <f aca="false">IFERROR(AVERAGEIFS(FX_Daily!B$15:B$2821,FX_Daily!$A$15:$A$2821,"&gt;="&amp;$A138,FX_Daily!$A$15:$A$2821,"&lt;="&amp;EOMONTH($A138,0)),"")</f>
        <v>1483.79772727273</v>
      </c>
      <c r="C138" s="10" t="n">
        <f aca="false">IFERROR(AVERAGEIFS(FX_Daily!C$15:C$2821,FX_Daily!$A$15:$A$2821,"&gt;="&amp;$A138,FX_Daily!$A$15:$A$2821,"&lt;="&amp;EOMONTH($A138,0)),"")</f>
        <v>9.45208181818182</v>
      </c>
      <c r="D138" s="10" t="n">
        <f aca="false">IFERROR(AVERAGEIFS(FX_Daily!D$15:D$2821,FX_Daily!$A$15:$A$2821,"&gt;="&amp;$A138,FX_Daily!$A$15:$A$2821,"&lt;="&amp;EOMONTH($A138,0)),"")</f>
        <v>1.34540454545455</v>
      </c>
      <c r="E138" s="10" t="n">
        <f aca="false">IFERROR(AVERAGEIFS(FX_Daily!E$15:E$2821,FX_Daily!$A$15:$A$2821,"&gt;="&amp;$A138,FX_Daily!$A$15:$A$2821,"&lt;="&amp;EOMONTH($A138,0)),"")</f>
        <v>1.16973181818182</v>
      </c>
      <c r="F138" s="10" t="n">
        <f aca="false">IFERROR(AVERAGEIFS(FX_Daily!F$15:F$2821,FX_Daily!$A$15:$A$2821,"&gt;="&amp;$A138,FX_Daily!$A$15:$A$2821,"&lt;="&amp;EOMONTH($A138,0)),"")</f>
        <v>6.83711818181818</v>
      </c>
      <c r="G138" s="10" t="n">
        <f aca="false">IFERROR(AVERAGEIFS(FX_Daily!G$15:G$2821,FX_Daily!$A$15:$A$2821,"&gt;="&amp;$A138,FX_Daily!$A$15:$A$2821,"&lt;="&amp;EOMONTH($A138,0)),"")</f>
        <v>5.03394545454545</v>
      </c>
      <c r="H138" s="10" t="n">
        <f aca="false">IFERROR(AVERAGEIFS(FX_Daily!H$15:H$2821,FX_Daily!$A$15:$A$2821,"&gt;="&amp;$A138,FX_Daily!$A$15:$A$2821,"&lt;="&amp;EOMONTH($A138,0)),"")</f>
        <v>159.117272727273</v>
      </c>
      <c r="I138" s="10" t="n">
        <f aca="false">IFERROR(AVERAGEIFS(FX_Daily!I$15:I$2821,FX_Daily!$A$15:$A$2821,"&gt;="&amp;$A138,FX_Daily!$A$15:$A$2821,"&lt;="&amp;EOMONTH($A138,0)),"")</f>
        <v>1.17064</v>
      </c>
      <c r="J138" s="10" t="n">
        <f aca="false">IFERROR(AVERAGEIFS(FX_Daily!J$15:J$2821,FX_Daily!$A$15:$A$2821,"&gt;="&amp;$A138,FX_Daily!$A$15:$A$2821,"&lt;="&amp;EOMONTH($A138,0)),"")</f>
        <v>11.03319</v>
      </c>
      <c r="K138" s="10" t="n">
        <f aca="false">IFERROR(AVERAGEIFS(FX_Daily!K$15:K$2821,FX_Daily!$A$15:$A$2821,"&gt;="&amp;$A138,FX_Daily!$A$15:$A$2821,"&lt;="&amp;EOMONTH($A138,0)),"")</f>
        <v>1734.051</v>
      </c>
      <c r="L138" s="10" t="n">
        <f aca="false">IFERROR(AVERAGEIFS(FX_Daily!L$15:L$2821,FX_Daily!$A$15:$A$2821,"&gt;="&amp;$A138,FX_Daily!$A$15:$A$2821,"&lt;="&amp;EOMONTH($A138,0)),"")</f>
        <v>0.869333</v>
      </c>
      <c r="M138" s="10" t="n">
        <f aca="false">IFERROR(AVERAGEIFS(FX_Daily!M$15:M$2821,FX_Daily!$A$15:$A$2821,"&gt;="&amp;$A138,FX_Daily!$A$15:$A$2821,"&lt;="&amp;EOMONTH($A138,0)),"")</f>
        <v>8.00047</v>
      </c>
      <c r="N138" s="10" t="n">
        <f aca="false">IFERROR(AVERAGEIFS(FX_Daily!N$15:N$2821,FX_Daily!$A$15:$A$2821,"&gt;="&amp;$A138,FX_Daily!$A$15:$A$2821,"&lt;="&amp;EOMONTH($A138,0)),"")</f>
        <v>5.883</v>
      </c>
      <c r="O138" s="10" t="n">
        <f aca="false">IFERROR(AVERAGEIFS(FX_Daily!O$15:O$2821,FX_Daily!$A$15:$A$2821,"&gt;="&amp;$A138,FX_Daily!$A$15:$A$2821,"&lt;="&amp;EOMONTH($A138,0)),"")</f>
        <v>186.206</v>
      </c>
      <c r="P138" s="10" t="n">
        <f aca="false">IFERROR(AVERAGEIFS(FX_Daily!P$15:P$2821,FX_Daily!$A$15:$A$2821,"&gt;="&amp;$A138,FX_Daily!$A$15:$A$2821,"&lt;="&amp;EOMONTH($A138,0)),"")</f>
        <v>9.40887368421053</v>
      </c>
      <c r="Q138" s="15" t="n">
        <f aca="false">COUNTIFS(FX_Daily!$A$15:$A$2821,"&gt;="&amp;$A138,FX_Daily!$A$15:$A$2821,"&lt;="&amp;EOMONTH($A138,0),FX_Daily!C$15:C$2821,"&gt;0")</f>
        <v>22</v>
      </c>
      <c r="R138" s="16" t="str">
        <f aca="false">IF(EOMONTH($A138,0)&gt;FX_Daily!$C$11,"partial month","complete")</f>
        <v>complete</v>
      </c>
    </row>
    <row r="139" customFormat="false" ht="15" hidden="false" customHeight="false" outlineLevel="0" collapsed="false">
      <c r="A139" s="17" t="n">
        <v>46143</v>
      </c>
      <c r="B139" s="10" t="n">
        <f aca="false">IFERROR(AVERAGEIFS(FX_Daily!B$15:B$2821,FX_Daily!$A$15:$A$2821,"&gt;="&amp;$A139,FX_Daily!$A$15:$A$2821,"&lt;="&amp;EOMONTH($A139,0)),"")</f>
        <v>1488.396</v>
      </c>
      <c r="C139" s="10" t="n">
        <f aca="false">IFERROR(AVERAGEIFS(FX_Daily!C$15:C$2821,FX_Daily!$A$15:$A$2821,"&gt;="&amp;$A139,FX_Daily!$A$15:$A$2821,"&lt;="&amp;EOMONTH($A139,0)),"")</f>
        <v>9.251</v>
      </c>
      <c r="D139" s="10" t="n">
        <f aca="false">IFERROR(AVERAGEIFS(FX_Daily!D$15:D$2821,FX_Daily!$A$15:$A$2821,"&gt;="&amp;$A139,FX_Daily!$A$15:$A$2821,"&lt;="&amp;EOMONTH($A139,0)),"")</f>
        <v>1.349835</v>
      </c>
      <c r="E139" s="10" t="n">
        <f aca="false">IFERROR(AVERAGEIFS(FX_Daily!E$15:E$2821,FX_Daily!$A$15:$A$2821,"&gt;="&amp;$A139,FX_Daily!$A$15:$A$2821,"&lt;="&amp;EOMONTH($A139,0)),"")</f>
        <v>1.168105</v>
      </c>
      <c r="F139" s="10" t="n">
        <f aca="false">IFERROR(AVERAGEIFS(FX_Daily!F$15:F$2821,FX_Daily!$A$15:$A$2821,"&gt;="&amp;$A139,FX_Daily!$A$15:$A$2821,"&lt;="&amp;EOMONTH($A139,0)),"")</f>
        <v>6.79963</v>
      </c>
      <c r="G139" s="10" t="n">
        <f aca="false">IFERROR(AVERAGEIFS(FX_Daily!G$15:G$2821,FX_Daily!$A$15:$A$2821,"&gt;="&amp;$A139,FX_Daily!$A$15:$A$2821,"&lt;="&amp;EOMONTH($A139,0)),"")</f>
        <v>4.98151</v>
      </c>
      <c r="H139" s="10" t="n">
        <f aca="false">IFERROR(AVERAGEIFS(FX_Daily!H$15:H$2821,FX_Daily!$A$15:$A$2821,"&gt;="&amp;$A139,FX_Daily!$A$15:$A$2821,"&lt;="&amp;EOMONTH($A139,0)),"")</f>
        <v>158.153</v>
      </c>
      <c r="I139" s="10" t="n">
        <f aca="false">IFERROR(AVERAGEIFS(FX_Daily!I$15:I$2821,FX_Daily!$A$15:$A$2821,"&gt;="&amp;$A139,FX_Daily!$A$15:$A$2821,"&lt;="&amp;EOMONTH($A139,0)),"")</f>
        <v>1.16732</v>
      </c>
      <c r="J139" s="10" t="n">
        <f aca="false">IFERROR(AVERAGEIFS(FX_Daily!J$15:J$2821,FX_Daily!$A$15:$A$2821,"&gt;="&amp;$A139,FX_Daily!$A$15:$A$2821,"&lt;="&amp;EOMONTH($A139,0)),"")</f>
        <v>10.79355</v>
      </c>
      <c r="K139" s="10" t="n">
        <f aca="false">IFERROR(AVERAGEIFS(FX_Daily!K$15:K$2821,FX_Daily!$A$15:$A$2821,"&gt;="&amp;$A139,FX_Daily!$A$15:$A$2821,"&lt;="&amp;EOMONTH($A139,0)),"")</f>
        <v>1740.2725</v>
      </c>
      <c r="L139" s="10" t="n">
        <f aca="false">IFERROR(AVERAGEIFS(FX_Daily!L$15:L$2821,FX_Daily!$A$15:$A$2821,"&gt;="&amp;$A139,FX_Daily!$A$15:$A$2821,"&lt;="&amp;EOMONTH($A139,0)),"")</f>
        <v>0.865648</v>
      </c>
      <c r="M139" s="10" t="n">
        <f aca="false">IFERROR(AVERAGEIFS(FX_Daily!M$15:M$2821,FX_Daily!$A$15:$A$2821,"&gt;="&amp;$A139,FX_Daily!$A$15:$A$2821,"&lt;="&amp;EOMONTH($A139,0)),"")</f>
        <v>7.93517</v>
      </c>
      <c r="N139" s="10" t="n">
        <f aca="false">IFERROR(AVERAGEIFS(FX_Daily!N$15:N$2821,FX_Daily!$A$15:$A$2821,"&gt;="&amp;$A139,FX_Daily!$A$15:$A$2821,"&lt;="&amp;EOMONTH($A139,0)),"")</f>
        <v>5.81906</v>
      </c>
      <c r="O139" s="10" t="n">
        <f aca="false">IFERROR(AVERAGEIFS(FX_Daily!O$15:O$2821,FX_Daily!$A$15:$A$2821,"&gt;="&amp;$A139,FX_Daily!$A$15:$A$2821,"&lt;="&amp;EOMONTH($A139,0)),"")</f>
        <v>184.7095</v>
      </c>
      <c r="P139" s="10" t="n">
        <f aca="false">IFERROR(AVERAGEIFS(FX_Daily!P$15:P$2821,FX_Daily!$A$15:$A$2821,"&gt;="&amp;$A139,FX_Daily!$A$15:$A$2821,"&lt;="&amp;EOMONTH($A139,0)),"")</f>
        <v>9.2476</v>
      </c>
      <c r="Q139" s="15" t="n">
        <f aca="false">COUNTIFS(FX_Daily!$A$15:$A$2821,"&gt;="&amp;$A139,FX_Daily!$A$15:$A$2821,"&lt;="&amp;EOMONTH($A139,0),FX_Daily!C$15:C$2821,"&gt;0")</f>
        <v>20</v>
      </c>
      <c r="R139" s="16" t="str">
        <f aca="false">IF(EOMONTH($A139,0)&gt;FX_Daily!$C$11,"partial month","complete")</f>
        <v>complete</v>
      </c>
    </row>
    <row r="140" customFormat="false" ht="15" hidden="false" customHeight="false" outlineLevel="0" collapsed="false">
      <c r="A140" s="17" t="n">
        <v>46174</v>
      </c>
      <c r="B140" s="10" t="n">
        <f aca="false">IFERROR(AVERAGEIFS(FX_Daily!B$15:B$2821,FX_Daily!$A$15:$A$2821,"&gt;="&amp;$A140,FX_Daily!$A$15:$A$2821,"&lt;="&amp;EOMONTH($A140,0)),"")</f>
        <v>1529.4619047619</v>
      </c>
      <c r="C140" s="10" t="n">
        <f aca="false">IFERROR(AVERAGEIFS(FX_Daily!C$15:C$2821,FX_Daily!$A$15:$A$2821,"&gt;="&amp;$A140,FX_Daily!$A$15:$A$2821,"&lt;="&amp;EOMONTH($A140,0)),"")</f>
        <v>9.58265238095238</v>
      </c>
      <c r="D140" s="10" t="n">
        <f aca="false">IFERROR(AVERAGEIFS(FX_Daily!D$15:D$2821,FX_Daily!$A$15:$A$2821,"&gt;="&amp;$A140,FX_Daily!$A$15:$A$2821,"&lt;="&amp;EOMONTH($A140,0)),"")</f>
        <v>1.33377619047619</v>
      </c>
      <c r="E140" s="10" t="n">
        <f aca="false">IFERROR(AVERAGEIFS(FX_Daily!E$15:E$2821,FX_Daily!$A$15:$A$2821,"&gt;="&amp;$A140,FX_Daily!$A$15:$A$2821,"&lt;="&amp;EOMONTH($A140,0)),"")</f>
        <v>1.15162857142857</v>
      </c>
      <c r="F140" s="10" t="n">
        <f aca="false">IFERROR(AVERAGEIFS(FX_Daily!F$15:F$2821,FX_Daily!$A$15:$A$2821,"&gt;="&amp;$A140,FX_Daily!$A$15:$A$2821,"&lt;="&amp;EOMONTH($A140,0)),"")</f>
        <v>6.77582857142857</v>
      </c>
      <c r="G140" s="10" t="n">
        <f aca="false">IFERROR(AVERAGEIFS(FX_Daily!G$15:G$2821,FX_Daily!$A$15:$A$2821,"&gt;="&amp;$A140,FX_Daily!$A$15:$A$2821,"&lt;="&amp;EOMONTH($A140,0)),"")</f>
        <v>5.12405714285714</v>
      </c>
      <c r="H140" s="10" t="n">
        <f aca="false">IFERROR(AVERAGEIFS(FX_Daily!H$15:H$2821,FX_Daily!$A$15:$A$2821,"&gt;="&amp;$A140,FX_Daily!$A$15:$A$2821,"&lt;="&amp;EOMONTH($A140,0)),"")</f>
        <v>160.77</v>
      </c>
      <c r="I140" s="10" t="n">
        <f aca="false">IFERROR(AVERAGEIFS(FX_Daily!I$15:I$2821,FX_Daily!$A$15:$A$2821,"&gt;="&amp;$A140,FX_Daily!$A$15:$A$2821,"&lt;="&amp;EOMONTH($A140,0)),"")</f>
        <v>1.1518</v>
      </c>
      <c r="J140" s="10" t="n">
        <f aca="false">IFERROR(AVERAGEIFS(FX_Daily!J$15:J$2821,FX_Daily!$A$15:$A$2821,"&gt;="&amp;$A140,FX_Daily!$A$15:$A$2821,"&lt;="&amp;EOMONTH($A140,0)),"")</f>
        <v>11.0337954545455</v>
      </c>
      <c r="K140" s="10" t="n">
        <f aca="false">IFERROR(AVERAGEIFS(FX_Daily!K$15:K$2821,FX_Daily!$A$15:$A$2821,"&gt;="&amp;$A140,FX_Daily!$A$15:$A$2821,"&lt;="&amp;EOMONTH($A140,0)),"")</f>
        <v>1762.32363636364</v>
      </c>
      <c r="L140" s="10" t="n">
        <f aca="false">IFERROR(AVERAGEIFS(FX_Daily!L$15:L$2821,FX_Daily!$A$15:$A$2821,"&gt;="&amp;$A140,FX_Daily!$A$15:$A$2821,"&lt;="&amp;EOMONTH($A140,0)),"")</f>
        <v>0.86372</v>
      </c>
      <c r="M140" s="10" t="n">
        <f aca="false">IFERROR(AVERAGEIFS(FX_Daily!M$15:M$2821,FX_Daily!$A$15:$A$2821,"&gt;="&amp;$A140,FX_Daily!$A$15:$A$2821,"&lt;="&amp;EOMONTH($A140,0)),"")</f>
        <v>7.80445909090909</v>
      </c>
      <c r="N140" s="10" t="n">
        <f aca="false">IFERROR(AVERAGEIFS(FX_Daily!N$15:N$2821,FX_Daily!$A$15:$A$2821,"&gt;="&amp;$A140,FX_Daily!$A$15:$A$2821,"&lt;="&amp;EOMONTH($A140,0)),"")</f>
        <v>5.89891818181818</v>
      </c>
      <c r="O140" s="10" t="n">
        <f aca="false">IFERROR(AVERAGEIFS(FX_Daily!O$15:O$2821,FX_Daily!$A$15:$A$2821,"&gt;="&amp;$A140,FX_Daily!$A$15:$A$2821,"&lt;="&amp;EOMONTH($A140,0)),"")</f>
        <v>185.114090909091</v>
      </c>
      <c r="P140" s="10" t="n">
        <f aca="false">IFERROR(AVERAGEIFS(FX_Daily!P$15:P$2821,FX_Daily!$A$15:$A$2821,"&gt;="&amp;$A140,FX_Daily!$A$15:$A$2821,"&lt;="&amp;EOMONTH($A140,0)),"")</f>
        <v>9.58145909090909</v>
      </c>
      <c r="Q140" s="15" t="n">
        <f aca="false">COUNTIFS(FX_Daily!$A$15:$A$2821,"&gt;="&amp;$A140,FX_Daily!$A$15:$A$2821,"&lt;="&amp;EOMONTH($A140,0),FX_Daily!C$15:C$2821,"&gt;0")</f>
        <v>21</v>
      </c>
      <c r="R140" s="16" t="str">
        <f aca="false">IF(EOMONTH($A140,0)&gt;FX_Daily!$C$11,"partial month","complete")</f>
        <v>complete</v>
      </c>
    </row>
    <row r="141" customFormat="false" ht="15" hidden="false" customHeight="false" outlineLevel="0" collapsed="false">
      <c r="A141" s="17" t="n">
        <v>46204</v>
      </c>
      <c r="B141" s="10" t="n">
        <f aca="false">IFERROR(AVERAGEIFS(FX_Daily!B$15:B$2821,FX_Daily!$A$15:$A$2821,"&gt;="&amp;$A141,FX_Daily!$A$15:$A$2821,"&lt;="&amp;EOMONTH($A141,0)),"")</f>
        <v>1486.01318181818</v>
      </c>
      <c r="C141" s="10" t="n">
        <f aca="false">IFERROR(AVERAGEIFS(FX_Daily!C$15:C$2821,FX_Daily!$A$15:$A$2821,"&gt;="&amp;$A141,FX_Daily!$A$15:$A$2821,"&lt;="&amp;EOMONTH($A141,0)),"")</f>
        <v>9.69073636363636</v>
      </c>
      <c r="D141" s="10" t="n">
        <f aca="false">IFERROR(AVERAGEIFS(FX_Daily!D$15:D$2821,FX_Daily!$A$15:$A$2821,"&gt;="&amp;$A141,FX_Daily!$A$15:$A$2821,"&lt;="&amp;EOMONTH($A141,0)),"")</f>
        <v>1.33834090909091</v>
      </c>
      <c r="E141" s="10" t="n">
        <f aca="false">IFERROR(AVERAGEIFS(FX_Daily!E$15:E$2821,FX_Daily!$A$15:$A$2821,"&gt;="&amp;$A141,FX_Daily!$A$15:$A$2821,"&lt;="&amp;EOMONTH($A141,0)),"")</f>
        <v>1.14227272727273</v>
      </c>
      <c r="F141" s="10" t="n">
        <f aca="false">IFERROR(AVERAGEIFS(FX_Daily!F$15:F$2821,FX_Daily!$A$15:$A$2821,"&gt;="&amp;$A141,FX_Daily!$A$15:$A$2821,"&lt;="&amp;EOMONTH($A141,0)),"")</f>
        <v>6.77568636363636</v>
      </c>
      <c r="G141" s="10" t="n">
        <f aca="false">IFERROR(AVERAGEIFS(FX_Daily!G$15:G$2821,FX_Daily!$A$15:$A$2821,"&gt;="&amp;$A141,FX_Daily!$A$15:$A$2821,"&lt;="&amp;EOMONTH($A141,0)),"")</f>
        <v>5.10935909090909</v>
      </c>
      <c r="H141" s="10" t="n">
        <f aca="false">IFERROR(AVERAGEIFS(FX_Daily!H$15:H$2821,FX_Daily!$A$15:$A$2821,"&gt;="&amp;$A141,FX_Daily!$A$15:$A$2821,"&lt;="&amp;EOMONTH($A141,0)),"")</f>
        <v>162.329545454545</v>
      </c>
      <c r="I141" s="10" t="n">
        <f aca="false">IFERROR(AVERAGEIFS(FX_Daily!I$15:I$2821,FX_Daily!$A$15:$A$2821,"&gt;="&amp;$A141,FX_Daily!$A$15:$A$2821,"&lt;="&amp;EOMONTH($A141,0)),"")</f>
        <v>1.14174782608696</v>
      </c>
      <c r="J141" s="10" t="n">
        <f aca="false">IFERROR(AVERAGEIFS(FX_Daily!J$15:J$2821,FX_Daily!$A$15:$A$2821,"&gt;="&amp;$A141,FX_Daily!$A$15:$A$2821,"&lt;="&amp;EOMONTH($A141,0)),"")</f>
        <v>11.0822086956522</v>
      </c>
      <c r="K141" s="10" t="n">
        <f aca="false">IFERROR(AVERAGEIFS(FX_Daily!K$15:K$2821,FX_Daily!$A$15:$A$2821,"&gt;="&amp;$A141,FX_Daily!$A$15:$A$2821,"&lt;="&amp;EOMONTH($A141,0)),"")</f>
        <v>1702.15826086957</v>
      </c>
      <c r="L141" s="10" t="n">
        <f aca="false">IFERROR(AVERAGEIFS(FX_Daily!L$15:L$2821,FX_Daily!$A$15:$A$2821,"&gt;="&amp;$A141,FX_Daily!$A$15:$A$2821,"&lt;="&amp;EOMONTH($A141,0)),"")</f>
        <v>0.853915217391304</v>
      </c>
      <c r="M141" s="10" t="n">
        <f aca="false">IFERROR(AVERAGEIFS(FX_Daily!M$15:M$2821,FX_Daily!$A$15:$A$2821,"&gt;="&amp;$A141,FX_Daily!$A$15:$A$2821,"&lt;="&amp;EOMONTH($A141,0)),"")</f>
        <v>7.73705652173913</v>
      </c>
      <c r="N141" s="10" t="n">
        <f aca="false">IFERROR(AVERAGEIFS(FX_Daily!N$15:N$2821,FX_Daily!$A$15:$A$2821,"&gt;="&amp;$A141,FX_Daily!$A$15:$A$2821,"&lt;="&amp;EOMONTH($A141,0)),"")</f>
        <v>5.84489565217391</v>
      </c>
      <c r="O141" s="10" t="n">
        <f aca="false">IFERROR(AVERAGEIFS(FX_Daily!O$15:O$2821,FX_Daily!$A$15:$A$2821,"&gt;="&amp;$A141,FX_Daily!$A$15:$A$2821,"&lt;="&amp;EOMONTH($A141,0)),"")</f>
        <v>185.539130434783</v>
      </c>
      <c r="P141" s="10" t="n">
        <f aca="false">IFERROR(AVERAGEIFS(FX_Daily!P$15:P$2821,FX_Daily!$A$15:$A$2821,"&gt;="&amp;$A141,FX_Daily!$A$15:$A$2821,"&lt;="&amp;EOMONTH($A141,0)),"")</f>
        <v>9.70641304347826</v>
      </c>
      <c r="Q141" s="15" t="n">
        <f aca="false">COUNTIFS(FX_Daily!$A$15:$A$2821,"&gt;="&amp;$A141,FX_Daily!$A$15:$A$2821,"&lt;="&amp;EOMONTH($A141,0),FX_Daily!C$15:C$2821,"&gt;0")</f>
        <v>22</v>
      </c>
      <c r="R141" s="16" t="str">
        <f aca="false">IF(EOMONTH($A141,0)&gt;FX_Daily!$C$11,"partial month","complete")</f>
        <v>complete</v>
      </c>
    </row>
    <row r="142" customFormat="false" ht="15" hidden="false" customHeight="false" outlineLevel="0" collapsed="false">
      <c r="A142" s="17" t="n">
        <v>46235</v>
      </c>
      <c r="B142" s="10" t="n">
        <f aca="false">IFERROR(AVERAGEIFS(FX_Daily!B$15:B$2821,FX_Daily!$A$15:$A$2821,"&gt;="&amp;$A142,FX_Daily!$A$15:$A$2821,"&lt;="&amp;EOMONTH($A142,0)),"")</f>
        <v>1403.21857142857</v>
      </c>
      <c r="C142" s="10" t="n">
        <f aca="false">IFERROR(AVERAGEIFS(FX_Daily!C$15:C$2821,FX_Daily!$A$15:$A$2821,"&gt;="&amp;$A142,FX_Daily!$A$15:$A$2821,"&lt;="&amp;EOMONTH($A142,0)),"")</f>
        <v>9.42149047619048</v>
      </c>
      <c r="D142" s="10" t="n">
        <f aca="false">IFERROR(AVERAGEIFS(FX_Daily!D$15:D$2821,FX_Daily!$A$15:$A$2821,"&gt;="&amp;$A142,FX_Daily!$A$15:$A$2821,"&lt;="&amp;EOMONTH($A142,0)),"")</f>
        <v>1.35469047619048</v>
      </c>
      <c r="E142" s="10" t="n">
        <f aca="false">IFERROR(AVERAGEIFS(FX_Daily!E$15:E$2821,FX_Daily!$A$15:$A$2821,"&gt;="&amp;$A142,FX_Daily!$A$15:$A$2821,"&lt;="&amp;EOMONTH($A142,0)),"")</f>
        <v>1.1593619047619</v>
      </c>
      <c r="F142" s="10" t="n">
        <f aca="false">IFERROR(AVERAGEIFS(FX_Daily!F$15:F$2821,FX_Daily!$A$15:$A$2821,"&gt;="&amp;$A142,FX_Daily!$A$15:$A$2821,"&lt;="&amp;EOMONTH($A142,0)),"")</f>
        <v>6.73607619047619</v>
      </c>
      <c r="G142" s="10" t="n">
        <f aca="false">IFERROR(AVERAGEIFS(FX_Daily!G$15:G$2821,FX_Daily!$A$15:$A$2821,"&gt;="&amp;$A142,FX_Daily!$A$15:$A$2821,"&lt;="&amp;EOMONTH($A142,0)),"")</f>
        <v>5.1552</v>
      </c>
      <c r="H142" s="10" t="n">
        <f aca="false">IFERROR(AVERAGEIFS(FX_Daily!H$15:H$2821,FX_Daily!$A$15:$A$2821,"&gt;="&amp;$A142,FX_Daily!$A$15:$A$2821,"&lt;="&amp;EOMONTH($A142,0)),"")</f>
        <v>158.847619047619</v>
      </c>
      <c r="I142" s="10" t="n">
        <f aca="false">IFERROR(AVERAGEIFS(FX_Daily!I$15:I$2821,FX_Daily!$A$15:$A$2821,"&gt;="&amp;$A142,FX_Daily!$A$15:$A$2821,"&lt;="&amp;EOMONTH($A142,0)),"")</f>
        <v>1.15930952380952</v>
      </c>
      <c r="J142" s="10" t="n">
        <f aca="false">IFERROR(AVERAGEIFS(FX_Daily!J$15:J$2821,FX_Daily!$A$15:$A$2821,"&gt;="&amp;$A142,FX_Daily!$A$15:$A$2821,"&lt;="&amp;EOMONTH($A142,0)),"")</f>
        <v>10.9273714285714</v>
      </c>
      <c r="K142" s="10" t="n">
        <f aca="false">IFERROR(AVERAGEIFS(FX_Daily!K$15:K$2821,FX_Daily!$A$15:$A$2821,"&gt;="&amp;$A142,FX_Daily!$A$15:$A$2821,"&lt;="&amp;EOMONTH($A142,0)),"")</f>
        <v>1626.40714285714</v>
      </c>
      <c r="L142" s="10" t="n">
        <f aca="false">IFERROR(AVERAGEIFS(FX_Daily!L$15:L$2821,FX_Daily!$A$15:$A$2821,"&gt;="&amp;$A142,FX_Daily!$A$15:$A$2821,"&lt;="&amp;EOMONTH($A142,0)),"")</f>
        <v>0.856055714285714</v>
      </c>
      <c r="M142" s="10" t="n">
        <f aca="false">IFERROR(AVERAGEIFS(FX_Daily!M$15:M$2821,FX_Daily!$A$15:$A$2821,"&gt;="&amp;$A142,FX_Daily!$A$15:$A$2821,"&lt;="&amp;EOMONTH($A142,0)),"")</f>
        <v>7.80915714285714</v>
      </c>
      <c r="N142" s="10" t="n">
        <f aca="false">IFERROR(AVERAGEIFS(FX_Daily!N$15:N$2821,FX_Daily!$A$15:$A$2821,"&gt;="&amp;$A142,FX_Daily!$A$15:$A$2821,"&lt;="&amp;EOMONTH($A142,0)),"")</f>
        <v>5.96840952380952</v>
      </c>
      <c r="O142" s="10" t="n">
        <f aca="false">IFERROR(AVERAGEIFS(FX_Daily!O$15:O$2821,FX_Daily!$A$15:$A$2821,"&gt;="&amp;$A142,FX_Daily!$A$15:$A$2821,"&lt;="&amp;EOMONTH($A142,0)),"")</f>
        <v>184.101904761905</v>
      </c>
      <c r="P142" s="10" t="n">
        <f aca="false">IFERROR(AVERAGEIFS(FX_Daily!P$15:P$2821,FX_Daily!$A$15:$A$2821,"&gt;="&amp;$A142,FX_Daily!$A$15:$A$2821,"&lt;="&amp;EOMONTH($A142,0)),"")</f>
        <v>9.42617619047619</v>
      </c>
      <c r="Q142" s="15" t="n">
        <f aca="false">COUNTIFS(FX_Daily!$A$15:$A$2821,"&gt;="&amp;$A142,FX_Daily!$A$15:$A$2821,"&lt;="&amp;EOMONTH($A142,0),FX_Daily!C$15:C$2821,"&gt;0")</f>
        <v>21</v>
      </c>
      <c r="R142" s="16" t="str">
        <f aca="false">IF(EOMONTH($A142,0)&gt;FX_Daily!$C$11,"partial month","complete")</f>
        <v>complete</v>
      </c>
    </row>
    <row r="143" customFormat="false" ht="15" hidden="false" customHeight="false" outlineLevel="0" collapsed="false">
      <c r="A143" s="17" t="n">
        <v>46266</v>
      </c>
      <c r="B143" s="10" t="n">
        <f aca="false">IFERROR(AVERAGEIFS(FX_Daily!B$15:B$2821,FX_Daily!$A$15:$A$2821,"&gt;="&amp;$A143,FX_Daily!$A$15:$A$2821,"&lt;="&amp;EOMONTH($A143,0)),"")</f>
        <v>1359.20904761905</v>
      </c>
      <c r="C143" s="10" t="n">
        <f aca="false">IFERROR(AVERAGEIFS(FX_Daily!C$15:C$2821,FX_Daily!$A$15:$A$2821,"&gt;="&amp;$A143,FX_Daily!$A$15:$A$2821,"&lt;="&amp;EOMONTH($A143,0)),"")</f>
        <v>9.39131428571429</v>
      </c>
      <c r="D143" s="10" t="n">
        <f aca="false">IFERROR(AVERAGEIFS(FX_Daily!D$15:D$2821,FX_Daily!$A$15:$A$2821,"&gt;="&amp;$A143,FX_Daily!$A$15:$A$2821,"&lt;="&amp;EOMONTH($A143,0)),"")</f>
        <v>1.34061904761905</v>
      </c>
      <c r="E143" s="10" t="n">
        <f aca="false">IFERROR(AVERAGEIFS(FX_Daily!E$15:E$2821,FX_Daily!$A$15:$A$2821,"&gt;="&amp;$A143,FX_Daily!$A$15:$A$2821,"&lt;="&amp;EOMONTH($A143,0)),"")</f>
        <v>1.15048095238095</v>
      </c>
      <c r="F143" s="10" t="n">
        <f aca="false">IFERROR(AVERAGEIFS(FX_Daily!F$15:F$2821,FX_Daily!$A$15:$A$2821,"&gt;="&amp;$A143,FX_Daily!$A$15:$A$2821,"&lt;="&amp;EOMONTH($A143,0)),"")</f>
        <v>6.70837619047619</v>
      </c>
      <c r="G143" s="10" t="n">
        <f aca="false">IFERROR(AVERAGEIFS(FX_Daily!G$15:G$2821,FX_Daily!$A$15:$A$2821,"&gt;="&amp;$A143,FX_Daily!$A$15:$A$2821,"&lt;="&amp;EOMONTH($A143,0)),"")</f>
        <v>5.14330952380952</v>
      </c>
      <c r="H143" s="10" t="n">
        <f aca="false">IFERROR(AVERAGEIFS(FX_Daily!H$15:H$2821,FX_Daily!$A$15:$A$2821,"&gt;="&amp;$A143,FX_Daily!$A$15:$A$2821,"&lt;="&amp;EOMONTH($A143,0)),"")</f>
        <v>156.417142857143</v>
      </c>
      <c r="I143" s="10" t="n">
        <f aca="false">IFERROR(AVERAGEIFS(FX_Daily!I$15:I$2821,FX_Daily!$A$15:$A$2821,"&gt;="&amp;$A143,FX_Daily!$A$15:$A$2821,"&lt;="&amp;EOMONTH($A143,0)),"")</f>
        <v>1.15132272727273</v>
      </c>
      <c r="J143" s="10" t="n">
        <f aca="false">IFERROR(AVERAGEIFS(FX_Daily!J$15:J$2821,FX_Daily!$A$15:$A$2821,"&gt;="&amp;$A143,FX_Daily!$A$15:$A$2821,"&lt;="&amp;EOMONTH($A143,0)),"")</f>
        <v>10.8003318181818</v>
      </c>
      <c r="K143" s="10" t="n">
        <f aca="false">IFERROR(AVERAGEIFS(FX_Daily!K$15:K$2821,FX_Daily!$A$15:$A$2821,"&gt;="&amp;$A143,FX_Daily!$A$15:$A$2821,"&lt;="&amp;EOMONTH($A143,0)),"")</f>
        <v>1563.91772727273</v>
      </c>
      <c r="L143" s="10" t="n">
        <f aca="false">IFERROR(AVERAGEIFS(FX_Daily!L$15:L$2821,FX_Daily!$A$15:$A$2821,"&gt;="&amp;$A143,FX_Daily!$A$15:$A$2821,"&lt;="&amp;EOMONTH($A143,0)),"")</f>
        <v>0.858125</v>
      </c>
      <c r="M143" s="10" t="n">
        <f aca="false">IFERROR(AVERAGEIFS(FX_Daily!M$15:M$2821,FX_Daily!$A$15:$A$2821,"&gt;="&amp;$A143,FX_Daily!$A$15:$A$2821,"&lt;="&amp;EOMONTH($A143,0)),"")</f>
        <v>7.72418636363636</v>
      </c>
      <c r="N143" s="10" t="n">
        <f aca="false">IFERROR(AVERAGEIFS(FX_Daily!N$15:N$2821,FX_Daily!$A$15:$A$2821,"&gt;="&amp;$A143,FX_Daily!$A$15:$A$2821,"&lt;="&amp;EOMONTH($A143,0)),"")</f>
        <v>5.92272272727273</v>
      </c>
      <c r="O143" s="10" t="n">
        <f aca="false">IFERROR(AVERAGEIFS(FX_Daily!O$15:O$2821,FX_Daily!$A$15:$A$2821,"&gt;="&amp;$A143,FX_Daily!$A$15:$A$2821,"&lt;="&amp;EOMONTH($A143,0)),"")</f>
        <v>180.044090909091</v>
      </c>
      <c r="P143" s="10" t="n">
        <f aca="false">IFERROR(AVERAGEIFS(FX_Daily!P$15:P$2821,FX_Daily!$A$15:$A$2821,"&gt;="&amp;$A143,FX_Daily!$A$15:$A$2821,"&lt;="&amp;EOMONTH($A143,0)),"")</f>
        <v>9.38169545454545</v>
      </c>
      <c r="Q143" s="15" t="n">
        <f aca="false">COUNTIFS(FX_Daily!$A$15:$A$2821,"&gt;="&amp;$A143,FX_Daily!$A$15:$A$2821,"&lt;="&amp;EOMONTH($A143,0),FX_Daily!C$15:C$2821,"&gt;0")</f>
        <v>21</v>
      </c>
      <c r="R143" s="16" t="str">
        <f aca="false">IF(EOMONTH($A143,0)&gt;FX_Daily!$C$11,"partial month","complete")</f>
        <v>complete</v>
      </c>
    </row>
    <row r="144" customFormat="false" ht="15" hidden="false" customHeight="false" outlineLevel="0" collapsed="false">
      <c r="A144" s="17" t="n">
        <v>46296</v>
      </c>
      <c r="B144" s="10" t="n">
        <f aca="false">IFERROR(AVERAGEIFS(FX_Daily!B$15:B$2821,FX_Daily!$A$15:$A$2821,"&gt;="&amp;$A144,FX_Daily!$A$15:$A$2821,"&lt;="&amp;EOMONTH($A144,0)),"")</f>
        <v>1355.29</v>
      </c>
      <c r="C144" s="10" t="n">
        <f aca="false">IFERROR(AVERAGEIFS(FX_Daily!C$15:C$2821,FX_Daily!$A$15:$A$2821,"&gt;="&amp;$A144,FX_Daily!$A$15:$A$2821,"&lt;="&amp;EOMONTH($A144,0)),"")</f>
        <v>9.6386</v>
      </c>
      <c r="D144" s="10" t="n">
        <f aca="false">IFERROR(AVERAGEIFS(FX_Daily!D$15:D$2821,FX_Daily!$A$15:$A$2821,"&gt;="&amp;$A144,FX_Daily!$A$15:$A$2821,"&lt;="&amp;EOMONTH($A144,0)),"")</f>
        <v>1.3215</v>
      </c>
      <c r="E144" s="10" t="n">
        <f aca="false">IFERROR(AVERAGEIFS(FX_Daily!E$15:E$2821,FX_Daily!$A$15:$A$2821,"&gt;="&amp;$A144,FX_Daily!$A$15:$A$2821,"&lt;="&amp;EOMONTH($A144,0)),"")</f>
        <v>1.12455</v>
      </c>
      <c r="F144" s="10" t="n">
        <f aca="false">IFERROR(AVERAGEIFS(FX_Daily!F$15:F$2821,FX_Daily!$A$15:$A$2821,"&gt;="&amp;$A144,FX_Daily!$A$15:$A$2821,"&lt;="&amp;EOMONTH($A144,0)),"")</f>
        <v>6.7038</v>
      </c>
      <c r="G144" s="10" t="n">
        <f aca="false">IFERROR(AVERAGEIFS(FX_Daily!G$15:G$2821,FX_Daily!$A$15:$A$2821,"&gt;="&amp;$A144,FX_Daily!$A$15:$A$2821,"&lt;="&amp;EOMONTH($A144,0)),"")</f>
        <v>5.22755</v>
      </c>
      <c r="H144" s="10" t="n">
        <f aca="false">IFERROR(AVERAGEIFS(FX_Daily!H$15:H$2821,FX_Daily!$A$15:$A$2821,"&gt;="&amp;$A144,FX_Daily!$A$15:$A$2821,"&lt;="&amp;EOMONTH($A144,0)),"")</f>
        <v>157.72</v>
      </c>
      <c r="I144" s="10" t="n">
        <f aca="false">IFERROR(AVERAGEIFS(FX_Daily!I$15:I$2821,FX_Daily!$A$15:$A$2821,"&gt;="&amp;$A144,FX_Daily!$A$15:$A$2821,"&lt;="&amp;EOMONTH($A144,0)),"")</f>
        <v>1.1249</v>
      </c>
      <c r="J144" s="10" t="n">
        <f aca="false">IFERROR(AVERAGEIFS(FX_Daily!J$15:J$2821,FX_Daily!$A$15:$A$2821,"&gt;="&amp;$A144,FX_Daily!$A$15:$A$2821,"&lt;="&amp;EOMONTH($A144,0)),"")</f>
        <v>10.8105</v>
      </c>
      <c r="K144" s="10" t="n">
        <f aca="false">IFERROR(AVERAGEIFS(FX_Daily!K$15:K$2821,FX_Daily!$A$15:$A$2821,"&gt;="&amp;$A144,FX_Daily!$A$15:$A$2821,"&lt;="&amp;EOMONTH($A144,0)),"")</f>
        <v>1516.4675</v>
      </c>
      <c r="L144" s="10" t="n">
        <f aca="false">IFERROR(AVERAGEIFS(FX_Daily!L$15:L$2821,FX_Daily!$A$15:$A$2821,"&gt;="&amp;$A144,FX_Daily!$A$15:$A$2821,"&lt;="&amp;EOMONTH($A144,0)),"")</f>
        <v>0.850015</v>
      </c>
      <c r="M144" s="10" t="n">
        <f aca="false">IFERROR(AVERAGEIFS(FX_Daily!M$15:M$2821,FX_Daily!$A$15:$A$2821,"&gt;="&amp;$A144,FX_Daily!$A$15:$A$2821,"&lt;="&amp;EOMONTH($A144,0)),"")</f>
        <v>7.541975</v>
      </c>
      <c r="N144" s="10" t="n">
        <f aca="false">IFERROR(AVERAGEIFS(FX_Daily!N$15:N$2821,FX_Daily!$A$15:$A$2821,"&gt;="&amp;$A144,FX_Daily!$A$15:$A$2821,"&lt;="&amp;EOMONTH($A144,0)),"")</f>
        <v>5.72675</v>
      </c>
      <c r="O144" s="10" t="n">
        <f aca="false">IFERROR(AVERAGEIFS(FX_Daily!O$15:O$2821,FX_Daily!$A$15:$A$2821,"&gt;="&amp;$A144,FX_Daily!$A$15:$A$2821,"&lt;="&amp;EOMONTH($A144,0)),"")</f>
        <v>177.7275</v>
      </c>
      <c r="P144" s="10" t="n">
        <f aca="false">IFERROR(AVERAGEIFS(FX_Daily!P$15:P$2821,FX_Daily!$A$15:$A$2821,"&gt;="&amp;$A144,FX_Daily!$A$15:$A$2821,"&lt;="&amp;EOMONTH($A144,0)),"")</f>
        <v>9.6102</v>
      </c>
      <c r="Q144" s="15" t="n">
        <f aca="false">COUNTIFS(FX_Daily!$A$15:$A$2821,"&gt;="&amp;$A144,FX_Daily!$A$15:$A$2821,"&lt;="&amp;EOMONTH($A144,0),FX_Daily!C$15:C$2821,"&gt;0")</f>
        <v>2</v>
      </c>
      <c r="R144" s="16" t="str">
        <f aca="false">IF(EOMONTH($A144,0)&gt;FX_Daily!$C$11,"partial month","complete")</f>
        <v>partial month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8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9" min="2" style="0" width="11"/>
  </cols>
  <sheetData>
    <row r="1" customFormat="false" ht="16.15" hidden="false" customHeight="false" outlineLevel="0" collapsed="false">
      <c r="A1" s="1" t="s">
        <v>639</v>
      </c>
    </row>
    <row r="2" customFormat="false" ht="15" hidden="false" customHeight="false" outlineLevel="0" collapsed="false">
      <c r="A2" s="2" t="s">
        <v>640</v>
      </c>
    </row>
    <row r="4" customFormat="false" ht="74.6" hidden="false" customHeight="false" outlineLevel="0" collapsed="false">
      <c r="A4" s="7" t="s">
        <v>5</v>
      </c>
      <c r="B4" s="8" t="s">
        <v>108</v>
      </c>
      <c r="C4" s="8" t="s">
        <v>108</v>
      </c>
      <c r="D4" s="8" t="s">
        <v>108</v>
      </c>
      <c r="E4" s="8" t="s">
        <v>55</v>
      </c>
      <c r="F4" s="8" t="s">
        <v>55</v>
      </c>
      <c r="G4" s="8" t="s">
        <v>133</v>
      </c>
      <c r="H4" s="8" t="s">
        <v>133</v>
      </c>
      <c r="I4" s="8" t="s">
        <v>142</v>
      </c>
      <c r="J4" s="8" t="s">
        <v>142</v>
      </c>
      <c r="K4" s="8" t="s">
        <v>142</v>
      </c>
      <c r="L4" s="8" t="s">
        <v>142</v>
      </c>
      <c r="M4" s="8" t="s">
        <v>156</v>
      </c>
      <c r="N4" s="8" t="s">
        <v>156</v>
      </c>
      <c r="O4" s="8" t="s">
        <v>156</v>
      </c>
      <c r="P4" s="8" t="s">
        <v>156</v>
      </c>
      <c r="Q4" s="8" t="s">
        <v>171</v>
      </c>
      <c r="R4" s="8" t="s">
        <v>171</v>
      </c>
      <c r="S4" s="8" t="s">
        <v>180</v>
      </c>
    </row>
    <row r="5" customFormat="false" ht="43.25" hidden="false" customHeight="false" outlineLevel="0" collapsed="false">
      <c r="A5" s="7" t="s">
        <v>6</v>
      </c>
      <c r="B5" s="8" t="s">
        <v>109</v>
      </c>
      <c r="C5" s="8" t="s">
        <v>114</v>
      </c>
      <c r="D5" s="8" t="s">
        <v>118</v>
      </c>
      <c r="E5" s="8" t="s">
        <v>122</v>
      </c>
      <c r="F5" s="8" t="s">
        <v>128</v>
      </c>
      <c r="G5" s="8" t="s">
        <v>134</v>
      </c>
      <c r="H5" s="8" t="s">
        <v>138</v>
      </c>
      <c r="I5" s="8" t="s">
        <v>143</v>
      </c>
      <c r="J5" s="8" t="s">
        <v>147</v>
      </c>
      <c r="K5" s="8" t="s">
        <v>150</v>
      </c>
      <c r="L5" s="8" t="s">
        <v>153</v>
      </c>
      <c r="M5" s="8" t="s">
        <v>157</v>
      </c>
      <c r="N5" s="8" t="s">
        <v>162</v>
      </c>
      <c r="O5" s="8" t="s">
        <v>165</v>
      </c>
      <c r="P5" s="8" t="s">
        <v>168</v>
      </c>
      <c r="Q5" s="8" t="s">
        <v>172</v>
      </c>
      <c r="R5" s="8" t="s">
        <v>176</v>
      </c>
      <c r="S5" s="8" t="s">
        <v>181</v>
      </c>
    </row>
    <row r="6" customFormat="false" ht="60" hidden="false" customHeight="true" outlineLevel="0" collapsed="false">
      <c r="A6" s="7" t="s">
        <v>576</v>
      </c>
      <c r="B6" s="8" t="s">
        <v>110</v>
      </c>
      <c r="C6" s="8" t="s">
        <v>115</v>
      </c>
      <c r="D6" s="8" t="s">
        <v>119</v>
      </c>
      <c r="E6" s="8" t="s">
        <v>123</v>
      </c>
      <c r="F6" s="8" t="s">
        <v>129</v>
      </c>
      <c r="G6" s="8" t="s">
        <v>135</v>
      </c>
      <c r="H6" s="8" t="s">
        <v>139</v>
      </c>
      <c r="I6" s="8" t="s">
        <v>144</v>
      </c>
      <c r="J6" s="8" t="s">
        <v>148</v>
      </c>
      <c r="K6" s="8" t="s">
        <v>151</v>
      </c>
      <c r="L6" s="8" t="s">
        <v>154</v>
      </c>
      <c r="M6" s="8" t="s">
        <v>158</v>
      </c>
      <c r="N6" s="8" t="s">
        <v>163</v>
      </c>
      <c r="O6" s="8" t="s">
        <v>166</v>
      </c>
      <c r="P6" s="8" t="s">
        <v>169</v>
      </c>
      <c r="Q6" s="8" t="s">
        <v>173</v>
      </c>
      <c r="R6" s="8" t="s">
        <v>177</v>
      </c>
      <c r="S6" s="8" t="s">
        <v>182</v>
      </c>
    </row>
    <row r="7" customFormat="false" ht="15" hidden="false" customHeight="false" outlineLevel="0" collapsed="false">
      <c r="A7" s="7" t="s">
        <v>9</v>
      </c>
      <c r="B7" s="8" t="s">
        <v>112</v>
      </c>
      <c r="C7" s="8" t="s">
        <v>112</v>
      </c>
      <c r="D7" s="8" t="s">
        <v>112</v>
      </c>
      <c r="E7" s="8" t="s">
        <v>125</v>
      </c>
      <c r="F7" s="8" t="s">
        <v>125</v>
      </c>
      <c r="G7" s="8" t="s">
        <v>125</v>
      </c>
      <c r="H7" s="8" t="s">
        <v>125</v>
      </c>
      <c r="I7" s="8" t="s">
        <v>125</v>
      </c>
      <c r="J7" s="8" t="s">
        <v>125</v>
      </c>
      <c r="K7" s="8" t="s">
        <v>125</v>
      </c>
      <c r="L7" s="8" t="s">
        <v>125</v>
      </c>
      <c r="M7" s="8" t="s">
        <v>125</v>
      </c>
      <c r="N7" s="8" t="s">
        <v>125</v>
      </c>
      <c r="O7" s="8" t="s">
        <v>125</v>
      </c>
      <c r="P7" s="8" t="s">
        <v>125</v>
      </c>
      <c r="Q7" s="8" t="s">
        <v>125</v>
      </c>
      <c r="R7" s="8" t="s">
        <v>125</v>
      </c>
      <c r="S7" s="8" t="s">
        <v>125</v>
      </c>
    </row>
    <row r="8" customFormat="false" ht="32.8" hidden="false" customHeight="false" outlineLevel="0" collapsed="false">
      <c r="A8" s="7" t="s">
        <v>10</v>
      </c>
      <c r="B8" s="8" t="s">
        <v>22</v>
      </c>
      <c r="C8" s="8" t="s">
        <v>22</v>
      </c>
      <c r="D8" s="8" t="s">
        <v>22</v>
      </c>
      <c r="E8" s="8" t="s">
        <v>126</v>
      </c>
      <c r="F8" s="8" t="s">
        <v>131</v>
      </c>
      <c r="G8" s="8" t="s">
        <v>22</v>
      </c>
      <c r="H8" s="8" t="s">
        <v>22</v>
      </c>
      <c r="I8" s="8" t="s">
        <v>22</v>
      </c>
      <c r="J8" s="8" t="s">
        <v>22</v>
      </c>
      <c r="K8" s="8" t="s">
        <v>22</v>
      </c>
      <c r="L8" s="8" t="s">
        <v>22</v>
      </c>
      <c r="M8" s="8" t="s">
        <v>160</v>
      </c>
      <c r="N8" s="8" t="s">
        <v>160</v>
      </c>
      <c r="O8" s="8" t="s">
        <v>160</v>
      </c>
      <c r="P8" s="8" t="s">
        <v>160</v>
      </c>
      <c r="Q8" s="8" t="s">
        <v>22</v>
      </c>
      <c r="R8" s="8" t="s">
        <v>22</v>
      </c>
      <c r="S8" s="8" t="s">
        <v>22</v>
      </c>
    </row>
    <row r="9" customFormat="false" ht="45" hidden="false" customHeight="true" outlineLevel="0" collapsed="false">
      <c r="A9" s="7" t="s">
        <v>8</v>
      </c>
      <c r="B9" s="8" t="s">
        <v>111</v>
      </c>
      <c r="C9" s="8" t="s">
        <v>116</v>
      </c>
      <c r="D9" s="8" t="s">
        <v>120</v>
      </c>
      <c r="E9" s="8" t="s">
        <v>124</v>
      </c>
      <c r="F9" s="8" t="s">
        <v>130</v>
      </c>
      <c r="G9" s="8" t="s">
        <v>136</v>
      </c>
      <c r="H9" s="8" t="s">
        <v>140</v>
      </c>
      <c r="I9" s="8" t="s">
        <v>145</v>
      </c>
      <c r="J9" s="8" t="s">
        <v>145</v>
      </c>
      <c r="K9" s="8" t="s">
        <v>145</v>
      </c>
      <c r="L9" s="8" t="s">
        <v>145</v>
      </c>
      <c r="M9" s="8" t="s">
        <v>159</v>
      </c>
      <c r="N9" s="8" t="s">
        <v>159</v>
      </c>
      <c r="O9" s="8" t="s">
        <v>159</v>
      </c>
      <c r="P9" s="8" t="s">
        <v>159</v>
      </c>
      <c r="Q9" s="8" t="s">
        <v>174</v>
      </c>
      <c r="R9" s="8" t="s">
        <v>178</v>
      </c>
      <c r="S9" s="8" t="s">
        <v>183</v>
      </c>
    </row>
    <row r="10" customFormat="false" ht="15" hidden="false" customHeight="false" outlineLevel="0" collapsed="false">
      <c r="A10" s="7" t="s">
        <v>577</v>
      </c>
      <c r="B10" s="9" t="n">
        <f aca="false">IFERROR(_xlfn.MINIFS($A$15:$A$2892,B$15:B$2892,"&gt;=-1E+99"),"N/A")</f>
        <v>43193</v>
      </c>
      <c r="C10" s="9" t="n">
        <f aca="false">IFERROR(_xlfn.MINIFS($A$15:$A$2892,C$15:C$2892,"&gt;=-1E+99"),"N/A")</f>
        <v>42370</v>
      </c>
      <c r="D10" s="9" t="n">
        <f aca="false">IFERROR(_xlfn.MINIFS($A$15:$A$2892,D$15:D$2892,"&gt;=-1E+99"),"N/A")</f>
        <v>42370</v>
      </c>
      <c r="E10" s="9" t="n">
        <f aca="false">IFERROR(_xlfn.MINIFS($A$15:$A$2892,E$15:E$2892,"&gt;=-1E+99"),"N/A")</f>
        <v>43739</v>
      </c>
      <c r="F10" s="9" t="n">
        <f aca="false">IFERROR(_xlfn.MINIFS($A$15:$A$2892,F$15:F$2892,"&gt;=-1E+99"),"N/A")</f>
        <v>42370</v>
      </c>
      <c r="G10" s="9" t="n">
        <f aca="false">IFERROR(_xlfn.MINIFS($A$15:$A$2892,G$15:G$2892,"&gt;=-1E+99"),"N/A")</f>
        <v>42373</v>
      </c>
      <c r="H10" s="9" t="n">
        <f aca="false">IFERROR(_xlfn.MINIFS($A$15:$A$2892,H$15:H$2892,"&gt;=-1E+99"),"N/A")</f>
        <v>42373</v>
      </c>
      <c r="I10" s="9" t="n">
        <f aca="false">IFERROR(_xlfn.MINIFS($A$15:$A$2892,I$15:I$2892,"&gt;=-1E+99"),"N/A")</f>
        <v>42373</v>
      </c>
      <c r="J10" s="9" t="n">
        <f aca="false">IFERROR(_xlfn.MINIFS($A$15:$A$2892,J$15:J$2892,"&gt;=-1E+99"),"N/A")</f>
        <v>42373</v>
      </c>
      <c r="K10" s="9" t="n">
        <f aca="false">IFERROR(_xlfn.MINIFS($A$15:$A$2892,K$15:K$2892,"&gt;=-1E+99"),"N/A")</f>
        <v>42373</v>
      </c>
      <c r="L10" s="9" t="n">
        <f aca="false">IFERROR(_xlfn.MINIFS($A$15:$A$2892,L$15:L$2892,"&gt;=-1E+99"),"N/A")</f>
        <v>42373</v>
      </c>
      <c r="M10" s="9" t="n">
        <f aca="false">IFERROR(_xlfn.MINIFS($A$15:$A$2892,M$15:M$2892,"&gt;=-1E+99"),"N/A")</f>
        <v>42373</v>
      </c>
      <c r="N10" s="9" t="n">
        <f aca="false">IFERROR(_xlfn.MINIFS($A$15:$A$2892,N$15:N$2892,"&gt;=-1E+99"),"N/A")</f>
        <v>42373</v>
      </c>
      <c r="O10" s="9" t="n">
        <f aca="false">IFERROR(_xlfn.MINIFS($A$15:$A$2892,O$15:O$2892,"&gt;=-1E+99"),"N/A")</f>
        <v>42373</v>
      </c>
      <c r="P10" s="9" t="n">
        <f aca="false">IFERROR(_xlfn.MINIFS($A$15:$A$2892,P$15:P$2892,"&gt;=-1E+99"),"N/A")</f>
        <v>42373</v>
      </c>
      <c r="Q10" s="9" t="n">
        <f aca="false">IFERROR(_xlfn.MINIFS($A$15:$A$2892,Q$15:Q$2892,"&gt;=-1E+99"),"N/A")</f>
        <v>42373</v>
      </c>
      <c r="R10" s="9" t="n">
        <f aca="false">IFERROR(_xlfn.MINIFS($A$15:$A$2892,R$15:R$2892,"&gt;=-1E+99"),"N/A")</f>
        <v>42373</v>
      </c>
      <c r="S10" s="9" t="n">
        <f aca="false">IFERROR(_xlfn.MINIFS($A$15:$A$2892,S$15:S$2892,"&gt;=-1E+99"),"N/A")</f>
        <v>42370</v>
      </c>
    </row>
    <row r="11" customFormat="false" ht="15" hidden="false" customHeight="false" outlineLevel="0" collapsed="false">
      <c r="A11" s="7" t="s">
        <v>578</v>
      </c>
      <c r="B11" s="9" t="n">
        <f aca="false">IFERROR(_xlfn.MAXIFS($A$15:$A$2892,B$15:B$2892,"&gt;=-1E+99"),"N/A")</f>
        <v>46300</v>
      </c>
      <c r="C11" s="9" t="n">
        <f aca="false">IFERROR(_xlfn.MAXIFS($A$15:$A$2892,C$15:C$2892,"&gt;=-1E+99"),"N/A")</f>
        <v>46301</v>
      </c>
      <c r="D11" s="9" t="n">
        <f aca="false">IFERROR(_xlfn.MAXIFS($A$15:$A$2892,D$15:D$2892,"&gt;=-1E+99"),"N/A")</f>
        <v>46301</v>
      </c>
      <c r="E11" s="9" t="n">
        <f aca="false">IFERROR(_xlfn.MAXIFS($A$15:$A$2892,E$15:E$2892,"&gt;=-1E+99"),"N/A")</f>
        <v>46301</v>
      </c>
      <c r="F11" s="9" t="n">
        <f aca="false">IFERROR(_xlfn.MAXIFS($A$15:$A$2892,F$15:F$2892,"&gt;=-1E+99"),"N/A")</f>
        <v>46302</v>
      </c>
      <c r="G11" s="9" t="n">
        <f aca="false">IFERROR(_xlfn.MAXIFS($A$15:$A$2892,G$15:G$2892,"&gt;=-1E+99"),"N/A")</f>
        <v>46301</v>
      </c>
      <c r="H11" s="9" t="n">
        <f aca="false">IFERROR(_xlfn.MAXIFS($A$15:$A$2892,H$15:H$2892,"&gt;=-1E+99"),"N/A")</f>
        <v>46300</v>
      </c>
      <c r="I11" s="9" t="n">
        <f aca="false">IFERROR(_xlfn.MAXIFS($A$15:$A$2892,I$15:I$2892,"&gt;=-1E+99"),"N/A")</f>
        <v>46300</v>
      </c>
      <c r="J11" s="9" t="n">
        <f aca="false">IFERROR(_xlfn.MAXIFS($A$15:$A$2892,J$15:J$2892,"&gt;=-1E+99"),"N/A")</f>
        <v>46300</v>
      </c>
      <c r="K11" s="9" t="n">
        <f aca="false">IFERROR(_xlfn.MAXIFS($A$15:$A$2892,K$15:K$2892,"&gt;=-1E+99"),"N/A")</f>
        <v>46300</v>
      </c>
      <c r="L11" s="9" t="n">
        <f aca="false">IFERROR(_xlfn.MAXIFS($A$15:$A$2892,L$15:L$2892,"&gt;=-1E+99"),"N/A")</f>
        <v>46300</v>
      </c>
      <c r="M11" s="9" t="n">
        <f aca="false">IFERROR(_xlfn.MAXIFS($A$15:$A$2892,M$15:M$2892,"&gt;=-1E+99"),"N/A")</f>
        <v>46295</v>
      </c>
      <c r="N11" s="9" t="n">
        <f aca="false">IFERROR(_xlfn.MAXIFS($A$15:$A$2892,N$15:N$2892,"&gt;=-1E+99"),"N/A")</f>
        <v>46295</v>
      </c>
      <c r="O11" s="9" t="n">
        <f aca="false">IFERROR(_xlfn.MAXIFS($A$15:$A$2892,O$15:O$2892,"&gt;=-1E+99"),"N/A")</f>
        <v>46295</v>
      </c>
      <c r="P11" s="9" t="n">
        <f aca="false">IFERROR(_xlfn.MAXIFS($A$15:$A$2892,P$15:P$2892,"&gt;=-1E+99"),"N/A")</f>
        <v>46295</v>
      </c>
      <c r="Q11" s="9" t="n">
        <f aca="false">IFERROR(_xlfn.MAXIFS($A$15:$A$2892,Q$15:Q$2892,"&gt;=-1E+99"),"N/A")</f>
        <v>46301</v>
      </c>
      <c r="R11" s="9" t="n">
        <f aca="false">IFERROR(_xlfn.MAXIFS($A$15:$A$2892,R$15:R$2892,"&gt;=-1E+99"),"N/A")</f>
        <v>46301</v>
      </c>
      <c r="S11" s="9" t="n">
        <f aca="false">IFERROR(_xlfn.MAXIFS($A$15:$A$2892,S$15:S$2892,"&gt;=-1E+99"),"N/A")</f>
        <v>46302</v>
      </c>
    </row>
    <row r="12" customFormat="false" ht="15" hidden="false" customHeight="false" outlineLevel="0" collapsed="false">
      <c r="A12" s="7" t="s">
        <v>579</v>
      </c>
      <c r="B12" s="10" t="n">
        <f aca="false">IFERROR(INDEX(B$15:B$2892,MATCH(B11,$A$15:$A$2892,0)),"N/A")</f>
        <v>3.89</v>
      </c>
      <c r="C12" s="10" t="n">
        <f aca="false">IFERROR(INDEX(C$15:C$2892,MATCH(C11,$A$15:$A$2892,0)),"N/A")</f>
        <v>4</v>
      </c>
      <c r="D12" s="10" t="n">
        <f aca="false">IFERROR(INDEX(D$15:D$2892,MATCH(D11,$A$15:$A$2892,0)),"N/A")</f>
        <v>3.75</v>
      </c>
      <c r="E12" s="10" t="n">
        <f aca="false">IFERROR(INDEX(E$15:E$2892,MATCH(E11,$A$15:$A$2892,0)),"N/A")</f>
        <v>2.439</v>
      </c>
      <c r="F12" s="10" t="n">
        <f aca="false">IFERROR(INDEX(F$15:F$2892,MATCH(F11,$A$15:$A$2892,0)),"N/A")</f>
        <v>2.5</v>
      </c>
      <c r="G12" s="10" t="n">
        <f aca="false">IFERROR(INDEX(G$15:G$2892,MATCH(G11,$A$15:$A$2892,0)),"N/A")</f>
        <v>3.75</v>
      </c>
      <c r="H12" s="10" t="n">
        <f aca="false">IFERROR(INDEX(H$15:H$2892,MATCH(H11,$A$15:$A$2892,0)),"N/A")</f>
        <v>3.7323</v>
      </c>
      <c r="I12" s="10" t="n">
        <f aca="false">IFERROR(INDEX(I$15:I$2892,MATCH(I11,$A$15:$A$2892,0)),"N/A")</f>
        <v>3.75017552243246</v>
      </c>
      <c r="J12" s="10" t="n">
        <f aca="false">IFERROR(INDEX(J$15:J$2892,MATCH(J11,$A$15:$A$2892,0)),"N/A")</f>
        <v>3.89728239391897</v>
      </c>
      <c r="K12" s="10" t="n">
        <f aca="false">IFERROR(INDEX(K$15:K$2892,MATCH(K11,$A$15:$A$2892,0)),"N/A")</f>
        <v>4.07608696914918</v>
      </c>
      <c r="L12" s="10" t="n">
        <f aca="false">IFERROR(INDEX(L$15:L$2892,MATCH(L11,$A$15:$A$2892,0)),"N/A")</f>
        <v>4.34376872004637</v>
      </c>
      <c r="M12" s="10" t="n">
        <f aca="false">IFERROR(INDEX(M$15:M$2892,MATCH(M11,$A$15:$A$2892,0)),"N/A")</f>
        <v>1.421</v>
      </c>
      <c r="N12" s="10" t="n">
        <f aca="false">IFERROR(INDEX(N$15:N$2892,MATCH(N11,$A$15:$A$2892,0)),"N/A")</f>
        <v>1.43</v>
      </c>
      <c r="O12" s="10" t="n">
        <f aca="false">IFERROR(INDEX(O$15:O$2892,MATCH(O11,$A$15:$A$2892,0)),"N/A")</f>
        <v>1.45</v>
      </c>
      <c r="P12" s="10" t="n">
        <f aca="false">IFERROR(INDEX(P$15:P$2892,MATCH(P11,$A$15:$A$2892,0)),"N/A")</f>
        <v>1.48</v>
      </c>
      <c r="Q12" s="10" t="n">
        <f aca="false">IFERROR(INDEX(Q$15:Q$2892,MATCH(Q11,$A$15:$A$2892,0)),"N/A")</f>
        <v>4.5</v>
      </c>
      <c r="R12" s="10" t="n">
        <f aca="false">IFERROR(INDEX(R$15:R$2892,MATCH(R11,$A$15:$A$2892,0)),"N/A")</f>
        <v>4.5</v>
      </c>
      <c r="S12" s="10" t="n">
        <f aca="false">IFERROR(INDEX(S$15:S$2892,MATCH(S11,$A$15:$A$2892,0)),"N/A")</f>
        <v>13.75</v>
      </c>
    </row>
    <row r="13" customFormat="false" ht="15" hidden="false" customHeight="false" outlineLevel="0" collapsed="false">
      <c r="A13" s="7" t="s">
        <v>580</v>
      </c>
      <c r="B13" s="11" t="n">
        <f aca="false">COUNT(B$15:B$2892)</f>
        <v>2125</v>
      </c>
      <c r="C13" s="11" t="n">
        <f aca="false">COUNT(C$15:C$2892)</f>
        <v>2877</v>
      </c>
      <c r="D13" s="11" t="n">
        <f aca="false">COUNT(D$15:D$2892)</f>
        <v>2877</v>
      </c>
      <c r="E13" s="11" t="n">
        <f aca="false">COUNT(E$15:E$2892)</f>
        <v>1797</v>
      </c>
      <c r="F13" s="11" t="n">
        <f aca="false">COUNT(F$15:F$2892)</f>
        <v>2878</v>
      </c>
      <c r="G13" s="11" t="n">
        <f aca="false">COUNT(G$15:G$2892)</f>
        <v>2719</v>
      </c>
      <c r="H13" s="11" t="n">
        <f aca="false">COUNT(H$15:H$2892)</f>
        <v>2718</v>
      </c>
      <c r="I13" s="11" t="n">
        <f aca="false">COUNT(I$15:I$2892)</f>
        <v>2718</v>
      </c>
      <c r="J13" s="11" t="n">
        <f aca="false">COUNT(J$15:J$2892)</f>
        <v>2718</v>
      </c>
      <c r="K13" s="11" t="n">
        <f aca="false">COUNT(K$15:K$2892)</f>
        <v>2718</v>
      </c>
      <c r="L13" s="11" t="n">
        <f aca="false">COUNT(L$15:L$2892)</f>
        <v>2718</v>
      </c>
      <c r="M13" s="11" t="n">
        <f aca="false">COUNT(M$15:M$2892)</f>
        <v>2681</v>
      </c>
      <c r="N13" s="11" t="n">
        <f aca="false">COUNT(N$15:N$2892)</f>
        <v>2681</v>
      </c>
      <c r="O13" s="11" t="n">
        <f aca="false">COUNT(O$15:O$2892)</f>
        <v>2681</v>
      </c>
      <c r="P13" s="11" t="n">
        <f aca="false">COUNT(P$15:P$2892)</f>
        <v>2681</v>
      </c>
      <c r="Q13" s="11" t="n">
        <f aca="false">COUNT(Q$15:Q$2892)</f>
        <v>2708</v>
      </c>
      <c r="R13" s="11" t="n">
        <f aca="false">COUNT(R$15:R$2892)</f>
        <v>2708</v>
      </c>
      <c r="S13" s="11" t="n">
        <f aca="false">COUNT(S$15:S$2892)</f>
        <v>2878</v>
      </c>
    </row>
    <row r="14" customFormat="false" ht="42" hidden="false" customHeight="true" outlineLevel="0" collapsed="false">
      <c r="A14" s="3" t="s">
        <v>581</v>
      </c>
      <c r="B14" s="12" t="s">
        <v>641</v>
      </c>
      <c r="C14" s="12" t="s">
        <v>642</v>
      </c>
      <c r="D14" s="12" t="s">
        <v>643</v>
      </c>
      <c r="E14" s="12" t="s">
        <v>644</v>
      </c>
      <c r="F14" s="12" t="s">
        <v>645</v>
      </c>
      <c r="G14" s="12" t="s">
        <v>646</v>
      </c>
      <c r="H14" s="12" t="s">
        <v>647</v>
      </c>
      <c r="I14" s="12" t="s">
        <v>648</v>
      </c>
      <c r="J14" s="12" t="s">
        <v>649</v>
      </c>
      <c r="K14" s="12" t="s">
        <v>650</v>
      </c>
      <c r="L14" s="12" t="s">
        <v>651</v>
      </c>
      <c r="M14" s="12" t="s">
        <v>652</v>
      </c>
      <c r="N14" s="12" t="s">
        <v>653</v>
      </c>
      <c r="O14" s="12" t="s">
        <v>654</v>
      </c>
      <c r="P14" s="12" t="s">
        <v>655</v>
      </c>
      <c r="Q14" s="12" t="s">
        <v>656</v>
      </c>
      <c r="R14" s="12" t="s">
        <v>657</v>
      </c>
      <c r="S14" s="12" t="s">
        <v>658</v>
      </c>
    </row>
    <row r="15" customFormat="false" ht="15" hidden="false" customHeight="false" outlineLevel="0" collapsed="false">
      <c r="A15" s="13" t="n">
        <v>42370</v>
      </c>
      <c r="C15" s="14" t="n">
        <v>0.5</v>
      </c>
      <c r="D15" s="14" t="n">
        <v>0.25</v>
      </c>
      <c r="F15" s="14" t="n">
        <v>-0.3</v>
      </c>
      <c r="S15" s="14" t="n">
        <v>14.25</v>
      </c>
    </row>
    <row r="16" customFormat="false" ht="15" hidden="false" customHeight="false" outlineLevel="0" collapsed="false">
      <c r="A16" s="13" t="n">
        <v>42373</v>
      </c>
      <c r="C16" s="14" t="n">
        <v>0.5</v>
      </c>
      <c r="D16" s="14" t="n">
        <v>0.25</v>
      </c>
      <c r="F16" s="14" t="n">
        <v>-0.3</v>
      </c>
      <c r="G16" s="14" t="n">
        <v>0.5</v>
      </c>
      <c r="H16" s="14" t="n">
        <v>0.4648</v>
      </c>
      <c r="I16" s="14" t="n">
        <v>0.462970833974986</v>
      </c>
      <c r="J16" s="14" t="n">
        <v>0.468217908049133</v>
      </c>
      <c r="K16" s="14" t="n">
        <v>0.485055133960634</v>
      </c>
      <c r="L16" s="14" t="n">
        <v>0.559152299514043</v>
      </c>
      <c r="M16" s="14" t="n">
        <v>3.001</v>
      </c>
      <c r="N16" s="14" t="n">
        <v>3.086</v>
      </c>
      <c r="O16" s="14" t="n">
        <v>3.2</v>
      </c>
      <c r="P16" s="14" t="n">
        <v>3.35</v>
      </c>
      <c r="Q16" s="14" t="n">
        <v>0.75</v>
      </c>
      <c r="R16" s="14" t="n">
        <v>0.74</v>
      </c>
      <c r="S16" s="14" t="n">
        <v>14.25</v>
      </c>
    </row>
    <row r="17" customFormat="false" ht="15" hidden="false" customHeight="false" outlineLevel="0" collapsed="false">
      <c r="A17" s="13" t="n">
        <v>42374</v>
      </c>
      <c r="C17" s="14" t="n">
        <v>0.5</v>
      </c>
      <c r="D17" s="14" t="n">
        <v>0.25</v>
      </c>
      <c r="F17" s="14" t="n">
        <v>-0.3</v>
      </c>
      <c r="G17" s="14" t="n">
        <v>0.5</v>
      </c>
      <c r="H17" s="14" t="n">
        <v>0.4676</v>
      </c>
      <c r="I17" s="14" t="n">
        <v>0.463789688586604</v>
      </c>
      <c r="J17" s="14" t="n">
        <v>0.468429090063221</v>
      </c>
      <c r="K17" s="14" t="n">
        <v>0.481629685185879</v>
      </c>
      <c r="L17" s="14" t="n">
        <v>0.542545272139325</v>
      </c>
      <c r="M17" s="14" t="n">
        <v>3.001</v>
      </c>
      <c r="N17" s="14" t="n">
        <v>3.086</v>
      </c>
      <c r="O17" s="14" t="n">
        <v>3.2</v>
      </c>
      <c r="P17" s="14" t="n">
        <v>3.35</v>
      </c>
      <c r="Q17" s="14" t="n">
        <v>0.75</v>
      </c>
      <c r="R17" s="14" t="n">
        <v>0.74</v>
      </c>
      <c r="S17" s="14" t="n">
        <v>14.25</v>
      </c>
    </row>
    <row r="18" customFormat="false" ht="15" hidden="false" customHeight="false" outlineLevel="0" collapsed="false">
      <c r="A18" s="13" t="n">
        <v>42375</v>
      </c>
      <c r="C18" s="14" t="n">
        <v>0.5</v>
      </c>
      <c r="D18" s="14" t="n">
        <v>0.25</v>
      </c>
      <c r="F18" s="14" t="n">
        <v>-0.3</v>
      </c>
      <c r="G18" s="14" t="n">
        <v>0.5</v>
      </c>
      <c r="H18" s="14" t="n">
        <v>0.4717</v>
      </c>
      <c r="I18" s="14" t="n">
        <v>0.462615689973182</v>
      </c>
      <c r="J18" s="14" t="n">
        <v>0.466627312837894</v>
      </c>
      <c r="K18" s="14" t="n">
        <v>0.475290638616853</v>
      </c>
      <c r="L18" s="14" t="n">
        <v>0.525815881267821</v>
      </c>
      <c r="M18" s="14" t="n">
        <v>3</v>
      </c>
      <c r="N18" s="14" t="n">
        <v>3.082</v>
      </c>
      <c r="O18" s="14" t="n">
        <v>3.194</v>
      </c>
      <c r="P18" s="14" t="n">
        <v>3.347</v>
      </c>
      <c r="Q18" s="14" t="n">
        <v>0.75</v>
      </c>
      <c r="R18" s="14" t="n">
        <v>0.77</v>
      </c>
      <c r="S18" s="14" t="n">
        <v>14.25</v>
      </c>
    </row>
    <row r="19" customFormat="false" ht="15" hidden="false" customHeight="false" outlineLevel="0" collapsed="false">
      <c r="A19" s="13" t="n">
        <v>42376</v>
      </c>
      <c r="C19" s="14" t="n">
        <v>0.5</v>
      </c>
      <c r="D19" s="14" t="n">
        <v>0.25</v>
      </c>
      <c r="F19" s="14" t="n">
        <v>-0.3</v>
      </c>
      <c r="G19" s="14" t="n">
        <v>0.5</v>
      </c>
      <c r="H19" s="14" t="n">
        <v>0.4668</v>
      </c>
      <c r="I19" s="14" t="n">
        <v>0.465326788735823</v>
      </c>
      <c r="J19" s="14" t="n">
        <v>0.46746826530204</v>
      </c>
      <c r="K19" s="14" t="n">
        <v>0.47420844447158</v>
      </c>
      <c r="L19" s="14" t="n">
        <v>0.514902302689714</v>
      </c>
      <c r="M19" s="14" t="n">
        <v>2.9995</v>
      </c>
      <c r="N19" s="14" t="n">
        <v>3.0746</v>
      </c>
      <c r="O19" s="14" t="n">
        <v>3.191</v>
      </c>
      <c r="P19" s="14" t="n">
        <v>3.346</v>
      </c>
      <c r="Q19" s="14" t="n">
        <v>0.75</v>
      </c>
      <c r="R19" s="14" t="n">
        <v>0.74</v>
      </c>
      <c r="S19" s="14" t="n">
        <v>14.25</v>
      </c>
    </row>
    <row r="20" customFormat="false" ht="15" hidden="false" customHeight="false" outlineLevel="0" collapsed="false">
      <c r="A20" s="13" t="n">
        <v>42377</v>
      </c>
      <c r="C20" s="14" t="n">
        <v>0.5</v>
      </c>
      <c r="D20" s="14" t="n">
        <v>0.25</v>
      </c>
      <c r="F20" s="14" t="n">
        <v>-0.3</v>
      </c>
      <c r="G20" s="14" t="n">
        <v>0.5</v>
      </c>
      <c r="H20" s="14" t="n">
        <v>0.466</v>
      </c>
      <c r="I20" s="14" t="n">
        <v>0.463606418300474</v>
      </c>
      <c r="J20" s="14" t="n">
        <v>0.466187785752556</v>
      </c>
      <c r="K20" s="14" t="n">
        <v>0.471302585529298</v>
      </c>
      <c r="L20" s="14" t="n">
        <v>0.503149987984951</v>
      </c>
      <c r="M20" s="14" t="n">
        <v>2.999</v>
      </c>
      <c r="N20" s="14" t="n">
        <v>3.067</v>
      </c>
      <c r="O20" s="14" t="n">
        <v>3.1856</v>
      </c>
      <c r="P20" s="14" t="n">
        <v>3.345</v>
      </c>
      <c r="Q20" s="14" t="n">
        <v>0.75</v>
      </c>
      <c r="R20" s="14" t="n">
        <v>0.73</v>
      </c>
      <c r="S20" s="14" t="n">
        <v>14.25</v>
      </c>
    </row>
    <row r="21" customFormat="false" ht="15" hidden="false" customHeight="false" outlineLevel="0" collapsed="false">
      <c r="A21" s="13" t="n">
        <v>42380</v>
      </c>
      <c r="C21" s="14" t="n">
        <v>0.5</v>
      </c>
      <c r="D21" s="14" t="n">
        <v>0.25</v>
      </c>
      <c r="F21" s="14" t="n">
        <v>-0.3</v>
      </c>
      <c r="G21" s="14" t="n">
        <v>0.5</v>
      </c>
      <c r="H21" s="14" t="n">
        <v>0.4638</v>
      </c>
      <c r="I21" s="14" t="n">
        <v>0.464789611155643</v>
      </c>
      <c r="J21" s="14" t="n">
        <v>0.467719860442259</v>
      </c>
      <c r="K21" s="14" t="n">
        <v>0.472602528158089</v>
      </c>
      <c r="L21" s="14" t="n">
        <v>0.499395951377898</v>
      </c>
      <c r="M21" s="14" t="n">
        <v>2.998</v>
      </c>
      <c r="N21" s="14" t="n">
        <v>3.0585</v>
      </c>
      <c r="O21" s="14" t="n">
        <v>3.1783</v>
      </c>
      <c r="P21" s="14" t="n">
        <v>3.344</v>
      </c>
      <c r="Q21" s="14" t="n">
        <v>0.75</v>
      </c>
      <c r="R21" s="14" t="n">
        <v>0.74</v>
      </c>
      <c r="S21" s="14" t="n">
        <v>14.25</v>
      </c>
    </row>
    <row r="22" customFormat="false" ht="15" hidden="false" customHeight="false" outlineLevel="0" collapsed="false">
      <c r="A22" s="13" t="n">
        <v>42381</v>
      </c>
      <c r="C22" s="14" t="n">
        <v>0.5</v>
      </c>
      <c r="D22" s="14" t="n">
        <v>0.25</v>
      </c>
      <c r="F22" s="14" t="n">
        <v>-0.3</v>
      </c>
      <c r="G22" s="14" t="n">
        <v>0.5</v>
      </c>
      <c r="H22" s="14" t="n">
        <v>0.4636</v>
      </c>
      <c r="I22" s="14" t="n">
        <v>0.46506763135278</v>
      </c>
      <c r="J22" s="14" t="n">
        <v>0.466731480725394</v>
      </c>
      <c r="K22" s="14" t="n">
        <v>0.470066300380466</v>
      </c>
      <c r="L22" s="14" t="n">
        <v>0.490943405880416</v>
      </c>
      <c r="M22" s="14" t="n">
        <v>2.998</v>
      </c>
      <c r="N22" s="14" t="n">
        <v>3.053</v>
      </c>
      <c r="O22" s="14" t="n">
        <v>3.172</v>
      </c>
      <c r="P22" s="14" t="n">
        <v>3.34</v>
      </c>
      <c r="Q22" s="14" t="n">
        <v>0.75</v>
      </c>
      <c r="R22" s="14" t="n">
        <v>0.75</v>
      </c>
      <c r="S22" s="14" t="n">
        <v>14.25</v>
      </c>
    </row>
    <row r="23" customFormat="false" ht="15" hidden="false" customHeight="false" outlineLevel="0" collapsed="false">
      <c r="A23" s="13" t="n">
        <v>42382</v>
      </c>
      <c r="C23" s="14" t="n">
        <v>0.5</v>
      </c>
      <c r="D23" s="14" t="n">
        <v>0.25</v>
      </c>
      <c r="F23" s="14" t="n">
        <v>-0.3</v>
      </c>
      <c r="G23" s="14" t="n">
        <v>0.5</v>
      </c>
      <c r="H23" s="14" t="n">
        <v>0.4636</v>
      </c>
      <c r="I23" s="14" t="n">
        <v>0.464507966348404</v>
      </c>
      <c r="J23" s="14" t="n">
        <v>0.466624874546664</v>
      </c>
      <c r="K23" s="14" t="n">
        <v>0.470587179641822</v>
      </c>
      <c r="L23" s="14" t="n">
        <v>0.496201918258722</v>
      </c>
      <c r="M23" s="14" t="n">
        <v>2.967</v>
      </c>
      <c r="N23" s="14" t="n">
        <v>3.041</v>
      </c>
      <c r="O23" s="14" t="n">
        <v>3.163</v>
      </c>
      <c r="P23" s="14" t="n">
        <v>3.3345</v>
      </c>
      <c r="Q23" s="14" t="n">
        <v>0.75</v>
      </c>
      <c r="R23" s="14" t="n">
        <v>0.73</v>
      </c>
      <c r="S23" s="14" t="n">
        <v>14.25</v>
      </c>
    </row>
    <row r="24" customFormat="false" ht="15" hidden="false" customHeight="false" outlineLevel="0" collapsed="false">
      <c r="A24" s="13" t="n">
        <v>42383</v>
      </c>
      <c r="C24" s="14" t="n">
        <v>0.5</v>
      </c>
      <c r="D24" s="14" t="n">
        <v>0.25</v>
      </c>
      <c r="F24" s="14" t="n">
        <v>-0.3</v>
      </c>
      <c r="G24" s="14" t="n">
        <v>0.5</v>
      </c>
      <c r="H24" s="14" t="n">
        <v>0.4635</v>
      </c>
      <c r="I24" s="14" t="n">
        <v>0.463455469868738</v>
      </c>
      <c r="J24" s="14" t="n">
        <v>0.466395064250459</v>
      </c>
      <c r="K24" s="14" t="n">
        <v>0.470120393569083</v>
      </c>
      <c r="L24" s="14" t="n">
        <v>0.492959189960774</v>
      </c>
      <c r="M24" s="14" t="n">
        <v>2.931</v>
      </c>
      <c r="N24" s="14" t="n">
        <v>3.027</v>
      </c>
      <c r="O24" s="14" t="n">
        <v>3.152</v>
      </c>
      <c r="P24" s="14" t="n">
        <v>3.318</v>
      </c>
      <c r="Q24" s="14" t="n">
        <v>0.75</v>
      </c>
      <c r="R24" s="14" t="n">
        <v>0.75</v>
      </c>
      <c r="S24" s="14" t="n">
        <v>14.25</v>
      </c>
    </row>
    <row r="25" customFormat="false" ht="15" hidden="false" customHeight="false" outlineLevel="0" collapsed="false">
      <c r="A25" s="13" t="n">
        <v>42384</v>
      </c>
      <c r="C25" s="14" t="n">
        <v>0.5</v>
      </c>
      <c r="D25" s="14" t="n">
        <v>0.25</v>
      </c>
      <c r="F25" s="14" t="n">
        <v>-0.3</v>
      </c>
      <c r="G25" s="14" t="n">
        <v>0.5</v>
      </c>
      <c r="H25" s="14" t="n">
        <v>0.468</v>
      </c>
      <c r="I25" s="14" t="n">
        <v>0.462177323332251</v>
      </c>
      <c r="J25" s="14" t="n">
        <v>0.461764781216145</v>
      </c>
      <c r="K25" s="14" t="n">
        <v>0.456200302609493</v>
      </c>
      <c r="L25" s="14" t="n">
        <v>0.450124508170451</v>
      </c>
      <c r="M25" s="14" t="n">
        <v>2.899</v>
      </c>
      <c r="N25" s="14" t="n">
        <v>3.008</v>
      </c>
      <c r="O25" s="14" t="n">
        <v>3.136</v>
      </c>
      <c r="P25" s="14" t="n">
        <v>3.295</v>
      </c>
      <c r="Q25" s="14" t="n">
        <v>0.75</v>
      </c>
      <c r="R25" s="14" t="n">
        <v>0.74</v>
      </c>
      <c r="S25" s="14" t="n">
        <v>14.25</v>
      </c>
    </row>
    <row r="26" customFormat="false" ht="15" hidden="false" customHeight="false" outlineLevel="0" collapsed="false">
      <c r="A26" s="13" t="n">
        <v>42387</v>
      </c>
      <c r="C26" s="14" t="n">
        <v>0.5</v>
      </c>
      <c r="D26" s="14" t="n">
        <v>0.25</v>
      </c>
      <c r="F26" s="14" t="n">
        <v>-0.3</v>
      </c>
      <c r="G26" s="14" t="n">
        <v>0.5</v>
      </c>
      <c r="H26" s="14" t="n">
        <v>0.4644</v>
      </c>
      <c r="I26" s="14" t="n">
        <v>0.462967562006561</v>
      </c>
      <c r="J26" s="14" t="n">
        <v>0.463402935394784</v>
      </c>
      <c r="K26" s="14" t="n">
        <v>0.462828387364562</v>
      </c>
      <c r="L26" s="14" t="n">
        <v>0.471224393846585</v>
      </c>
      <c r="M26" s="14" t="n">
        <v>2.886</v>
      </c>
      <c r="N26" s="14" t="n">
        <v>2.985</v>
      </c>
      <c r="O26" s="14" t="n">
        <v>3.118</v>
      </c>
      <c r="P26" s="14" t="n">
        <v>3.2705</v>
      </c>
      <c r="Q26" s="14" t="n">
        <v>0.75</v>
      </c>
      <c r="R26" s="14" t="n">
        <v>0.74</v>
      </c>
      <c r="S26" s="14" t="n">
        <v>14.25</v>
      </c>
    </row>
    <row r="27" customFormat="false" ht="15" hidden="false" customHeight="false" outlineLevel="0" collapsed="false">
      <c r="A27" s="13" t="n">
        <v>42388</v>
      </c>
      <c r="C27" s="14" t="n">
        <v>0.5</v>
      </c>
      <c r="D27" s="14" t="n">
        <v>0.25</v>
      </c>
      <c r="F27" s="14" t="n">
        <v>-0.3</v>
      </c>
      <c r="G27" s="14" t="n">
        <v>0.5</v>
      </c>
      <c r="H27" s="14" t="n">
        <v>0.4632</v>
      </c>
      <c r="I27" s="14" t="n">
        <v>0.462693367488686</v>
      </c>
      <c r="J27" s="14" t="n">
        <v>0.462568766484907</v>
      </c>
      <c r="K27" s="14" t="n">
        <v>0.461348268546152</v>
      </c>
      <c r="L27" s="14" t="n">
        <v>0.464462936634477</v>
      </c>
      <c r="M27" s="14" t="n">
        <v>2.881</v>
      </c>
      <c r="N27" s="14" t="n">
        <v>2.976</v>
      </c>
      <c r="O27" s="14" t="n">
        <v>3.105</v>
      </c>
      <c r="P27" s="14" t="n">
        <v>3.25</v>
      </c>
      <c r="Q27" s="14" t="n">
        <v>0.75</v>
      </c>
      <c r="R27" s="14" t="n">
        <v>0.75</v>
      </c>
      <c r="S27" s="14" t="n">
        <v>14.25</v>
      </c>
    </row>
    <row r="28" customFormat="false" ht="15" hidden="false" customHeight="false" outlineLevel="0" collapsed="false">
      <c r="A28" s="13" t="n">
        <v>42389</v>
      </c>
      <c r="C28" s="14" t="n">
        <v>0.5</v>
      </c>
      <c r="D28" s="14" t="n">
        <v>0.25</v>
      </c>
      <c r="F28" s="14" t="n">
        <v>-0.3</v>
      </c>
      <c r="G28" s="14" t="n">
        <v>0.5</v>
      </c>
      <c r="H28" s="14" t="n">
        <v>0.4638</v>
      </c>
      <c r="I28" s="14" t="n">
        <v>0.461384748080828</v>
      </c>
      <c r="J28" s="14" t="n">
        <v>0.462328491928077</v>
      </c>
      <c r="K28" s="14" t="n">
        <v>0.459196448523765</v>
      </c>
      <c r="L28" s="14" t="n">
        <v>0.451250424420907</v>
      </c>
      <c r="M28" s="14" t="n">
        <v>2.874</v>
      </c>
      <c r="N28" s="14" t="n">
        <v>2.9705</v>
      </c>
      <c r="O28" s="14" t="n">
        <v>3.104</v>
      </c>
      <c r="P28" s="14" t="n">
        <v>3.253</v>
      </c>
      <c r="Q28" s="14" t="n">
        <v>0.75</v>
      </c>
      <c r="R28" s="14" t="n">
        <v>0.72</v>
      </c>
      <c r="S28" s="14" t="n">
        <v>14.25</v>
      </c>
    </row>
    <row r="29" customFormat="false" ht="15" hidden="false" customHeight="false" outlineLevel="0" collapsed="false">
      <c r="A29" s="13" t="n">
        <v>42390</v>
      </c>
      <c r="C29" s="14" t="n">
        <v>0.5</v>
      </c>
      <c r="D29" s="14" t="n">
        <v>0.25</v>
      </c>
      <c r="F29" s="14" t="n">
        <v>-0.3</v>
      </c>
      <c r="G29" s="14" t="n">
        <v>0.5</v>
      </c>
      <c r="H29" s="14" t="n">
        <v>0.4693</v>
      </c>
      <c r="I29" s="14" t="n">
        <v>0.461063697025552</v>
      </c>
      <c r="J29" s="14" t="n">
        <v>0.46120955250909</v>
      </c>
      <c r="K29" s="14" t="n">
        <v>0.454695152580182</v>
      </c>
      <c r="L29" s="14" t="n">
        <v>0.445226778299854</v>
      </c>
      <c r="M29" s="14" t="n">
        <v>2.918</v>
      </c>
      <c r="N29" s="14" t="n">
        <v>2.986</v>
      </c>
      <c r="O29" s="14" t="n">
        <v>3.103</v>
      </c>
      <c r="P29" s="14" t="n">
        <v>3.253</v>
      </c>
      <c r="Q29" s="14" t="n">
        <v>0.75</v>
      </c>
      <c r="R29" s="14" t="n">
        <v>0.74</v>
      </c>
      <c r="S29" s="14" t="n">
        <v>14.25</v>
      </c>
    </row>
    <row r="30" customFormat="false" ht="15" hidden="false" customHeight="false" outlineLevel="0" collapsed="false">
      <c r="A30" s="13" t="n">
        <v>42391</v>
      </c>
      <c r="C30" s="14" t="n">
        <v>0.5</v>
      </c>
      <c r="D30" s="14" t="n">
        <v>0.25</v>
      </c>
      <c r="F30" s="14" t="n">
        <v>-0.3</v>
      </c>
      <c r="G30" s="14" t="n">
        <v>0.5</v>
      </c>
      <c r="H30" s="14" t="n">
        <v>0.4716</v>
      </c>
      <c r="I30" s="14" t="n">
        <v>0.461271314159538</v>
      </c>
      <c r="J30" s="14" t="n">
        <v>0.460288117932953</v>
      </c>
      <c r="K30" s="14" t="n">
        <v>0.454091009877336</v>
      </c>
      <c r="L30" s="14" t="n">
        <v>0.452193598026921</v>
      </c>
      <c r="M30" s="14" t="n">
        <v>2.99</v>
      </c>
      <c r="N30" s="14" t="n">
        <v>3.031</v>
      </c>
      <c r="O30" s="14" t="n">
        <v>3.113</v>
      </c>
      <c r="P30" s="14" t="n">
        <v>3.256</v>
      </c>
      <c r="Q30" s="14" t="n">
        <v>0.75</v>
      </c>
      <c r="R30" s="14" t="n">
        <v>0.73</v>
      </c>
      <c r="S30" s="14" t="n">
        <v>14.25</v>
      </c>
    </row>
    <row r="31" customFormat="false" ht="15" hidden="false" customHeight="false" outlineLevel="0" collapsed="false">
      <c r="A31" s="13" t="n">
        <v>42394</v>
      </c>
      <c r="C31" s="14" t="n">
        <v>0.5</v>
      </c>
      <c r="D31" s="14" t="n">
        <v>0.25</v>
      </c>
      <c r="F31" s="14" t="n">
        <v>-0.3</v>
      </c>
      <c r="G31" s="14" t="n">
        <v>0.5</v>
      </c>
      <c r="H31" s="14" t="n">
        <v>0.472</v>
      </c>
      <c r="I31" s="14" t="n">
        <v>0.462078187002664</v>
      </c>
      <c r="J31" s="14" t="n">
        <v>0.458539001074969</v>
      </c>
      <c r="K31" s="14" t="n">
        <v>0.450633586761631</v>
      </c>
      <c r="L31" s="14" t="n">
        <v>0.451058804976734</v>
      </c>
      <c r="M31" s="14" t="n">
        <v>3.019</v>
      </c>
      <c r="N31" s="14" t="n">
        <v>3.0415</v>
      </c>
      <c r="O31" s="14" t="n">
        <v>3.118</v>
      </c>
      <c r="P31" s="14" t="n">
        <v>3.259</v>
      </c>
      <c r="Q31" s="14" t="n">
        <v>0.75</v>
      </c>
      <c r="R31" s="14" t="n">
        <v>0.73</v>
      </c>
      <c r="S31" s="14" t="n">
        <v>14.25</v>
      </c>
    </row>
    <row r="32" customFormat="false" ht="15" hidden="false" customHeight="false" outlineLevel="0" collapsed="false">
      <c r="A32" s="13" t="n">
        <v>42395</v>
      </c>
      <c r="C32" s="14" t="n">
        <v>0.5</v>
      </c>
      <c r="D32" s="14" t="n">
        <v>0.25</v>
      </c>
      <c r="F32" s="14" t="n">
        <v>-0.3</v>
      </c>
      <c r="G32" s="14" t="n">
        <v>0.5</v>
      </c>
      <c r="H32" s="14" t="n">
        <v>0.4669</v>
      </c>
      <c r="I32" s="14" t="n">
        <v>0.462336794657811</v>
      </c>
      <c r="J32" s="14" t="n">
        <v>0.459173956957587</v>
      </c>
      <c r="K32" s="14" t="n">
        <v>0.453349231274842</v>
      </c>
      <c r="L32" s="14" t="n">
        <v>0.453201494506182</v>
      </c>
      <c r="M32" s="14" t="n">
        <v>3.057</v>
      </c>
      <c r="N32" s="14" t="n">
        <v>3.073</v>
      </c>
      <c r="O32" s="14" t="n">
        <v>3.1235</v>
      </c>
      <c r="P32" s="14" t="n">
        <v>3.2682</v>
      </c>
      <c r="Q32" s="14" t="n">
        <v>0.75</v>
      </c>
      <c r="R32" s="14" t="n">
        <v>0.74</v>
      </c>
      <c r="S32" s="14" t="n">
        <v>14.25</v>
      </c>
    </row>
    <row r="33" customFormat="false" ht="15" hidden="false" customHeight="false" outlineLevel="0" collapsed="false">
      <c r="A33" s="13" t="n">
        <v>42396</v>
      </c>
      <c r="C33" s="14" t="n">
        <v>0.5</v>
      </c>
      <c r="D33" s="14" t="n">
        <v>0.25</v>
      </c>
      <c r="F33" s="14" t="n">
        <v>-0.3</v>
      </c>
      <c r="G33" s="14" t="n">
        <v>0.5</v>
      </c>
      <c r="H33" s="14" t="n">
        <v>0.468</v>
      </c>
      <c r="I33" s="14" t="n">
        <v>0.462689743178757</v>
      </c>
      <c r="J33" s="14" t="n">
        <v>0.460157452625687</v>
      </c>
      <c r="K33" s="14" t="n">
        <v>0.454964306641623</v>
      </c>
      <c r="L33" s="14" t="n">
        <v>0.459024403875263</v>
      </c>
      <c r="M33" s="14" t="n">
        <v>3.092</v>
      </c>
      <c r="N33" s="14" t="n">
        <v>3.104</v>
      </c>
      <c r="O33" s="14" t="n">
        <v>3.121</v>
      </c>
      <c r="P33" s="14" t="n">
        <v>3.265</v>
      </c>
      <c r="Q33" s="14" t="n">
        <v>0.75</v>
      </c>
      <c r="R33" s="14" t="n">
        <v>0.74</v>
      </c>
      <c r="S33" s="14" t="n">
        <v>14.25</v>
      </c>
    </row>
    <row r="34" customFormat="false" ht="15" hidden="false" customHeight="false" outlineLevel="0" collapsed="false">
      <c r="A34" s="13" t="n">
        <v>42397</v>
      </c>
      <c r="C34" s="14" t="n">
        <v>0.5</v>
      </c>
      <c r="D34" s="14" t="n">
        <v>0.25</v>
      </c>
      <c r="F34" s="14" t="n">
        <v>-0.3</v>
      </c>
      <c r="G34" s="14" t="n">
        <v>0.5</v>
      </c>
      <c r="H34" s="14" t="n">
        <v>0.4668</v>
      </c>
      <c r="I34" s="14" t="n">
        <v>0.46272936808144</v>
      </c>
      <c r="J34" s="14" t="n">
        <v>0.459876087372979</v>
      </c>
      <c r="K34" s="14" t="n">
        <v>0.453114150263726</v>
      </c>
      <c r="L34" s="14" t="n">
        <v>0.451279475572251</v>
      </c>
      <c r="M34" s="14" t="n">
        <v>3.134</v>
      </c>
      <c r="N34" s="14" t="n">
        <v>3.107</v>
      </c>
      <c r="O34" s="14" t="n">
        <v>3.1205</v>
      </c>
      <c r="P34" s="14" t="n">
        <v>3.265</v>
      </c>
      <c r="Q34" s="14" t="n">
        <v>0.75</v>
      </c>
      <c r="R34" s="14" t="n">
        <v>0.74</v>
      </c>
      <c r="S34" s="14" t="n">
        <v>14.25</v>
      </c>
    </row>
    <row r="35" customFormat="false" ht="15" hidden="false" customHeight="false" outlineLevel="0" collapsed="false">
      <c r="A35" s="13" t="n">
        <v>42398</v>
      </c>
      <c r="C35" s="14" t="n">
        <v>0.5</v>
      </c>
      <c r="D35" s="14" t="n">
        <v>0.25</v>
      </c>
      <c r="F35" s="14" t="n">
        <v>-0.3</v>
      </c>
      <c r="G35" s="14" t="n">
        <v>0.5</v>
      </c>
      <c r="H35" s="14" t="n">
        <v>0.4517</v>
      </c>
      <c r="I35" s="14" t="n">
        <v>0.461806927558982</v>
      </c>
      <c r="J35" s="14" t="n">
        <v>0.457429541079174</v>
      </c>
      <c r="K35" s="14" t="n">
        <v>0.440739765065288</v>
      </c>
      <c r="L35" s="14" t="n">
        <v>0.410740942741536</v>
      </c>
      <c r="M35" s="14" t="n">
        <v>3.168</v>
      </c>
      <c r="N35" s="14" t="n">
        <v>3.103</v>
      </c>
      <c r="O35" s="14" t="n">
        <v>3.1225</v>
      </c>
      <c r="P35" s="14" t="n">
        <v>3.265</v>
      </c>
      <c r="Q35" s="14" t="n">
        <v>0.75</v>
      </c>
      <c r="R35" s="14" t="n">
        <v>0.74</v>
      </c>
      <c r="S35" s="14" t="n">
        <v>14.25</v>
      </c>
    </row>
    <row r="36" customFormat="false" ht="15" hidden="false" customHeight="false" outlineLevel="0" collapsed="false">
      <c r="A36" s="13" t="n">
        <v>42401</v>
      </c>
      <c r="C36" s="14" t="n">
        <v>0.5</v>
      </c>
      <c r="D36" s="14" t="n">
        <v>0.25</v>
      </c>
      <c r="F36" s="14" t="n">
        <v>-0.3</v>
      </c>
      <c r="G36" s="14" t="n">
        <v>0.5</v>
      </c>
      <c r="H36" s="14" t="n">
        <v>0.466</v>
      </c>
      <c r="I36" s="14" t="n">
        <v>0.462206268713934</v>
      </c>
      <c r="J36" s="14" t="n">
        <v>0.456844473031954</v>
      </c>
      <c r="K36" s="14" t="n">
        <v>0.443626051509856</v>
      </c>
      <c r="L36" s="14" t="n">
        <v>0.425305534334614</v>
      </c>
      <c r="M36" s="14" t="n">
        <v>3.127</v>
      </c>
      <c r="N36" s="14" t="n">
        <v>3.082</v>
      </c>
      <c r="O36" s="14" t="n">
        <v>3.1188</v>
      </c>
      <c r="P36" s="14" t="n">
        <v>3.265</v>
      </c>
      <c r="Q36" s="14" t="n">
        <v>0.75</v>
      </c>
      <c r="R36" s="14" t="n">
        <v>0.73</v>
      </c>
      <c r="S36" s="14" t="n">
        <v>14.25</v>
      </c>
    </row>
    <row r="37" customFormat="false" ht="15" hidden="false" customHeight="false" outlineLevel="0" collapsed="false">
      <c r="A37" s="13" t="n">
        <v>42402</v>
      </c>
      <c r="C37" s="14" t="n">
        <v>0.5</v>
      </c>
      <c r="D37" s="14" t="n">
        <v>0.25</v>
      </c>
      <c r="F37" s="14" t="n">
        <v>-0.3</v>
      </c>
      <c r="G37" s="14" t="n">
        <v>0.5</v>
      </c>
      <c r="H37" s="14" t="n">
        <v>0.4663</v>
      </c>
      <c r="I37" s="14" t="n">
        <v>0.462089036679128</v>
      </c>
      <c r="J37" s="14" t="n">
        <v>0.457769724718208</v>
      </c>
      <c r="K37" s="14" t="n">
        <v>0.441449070555832</v>
      </c>
      <c r="L37" s="14" t="n">
        <v>0.41613129880443</v>
      </c>
      <c r="M37" s="14" t="n">
        <v>3.101</v>
      </c>
      <c r="N37" s="14" t="n">
        <v>3.081</v>
      </c>
      <c r="O37" s="14" t="n">
        <v>3.1195</v>
      </c>
      <c r="P37" s="14" t="n">
        <v>3.265</v>
      </c>
      <c r="Q37" s="14" t="n">
        <v>0.75</v>
      </c>
      <c r="R37" s="14" t="n">
        <v>0.74</v>
      </c>
      <c r="S37" s="14" t="n">
        <v>14.25</v>
      </c>
    </row>
    <row r="38" customFormat="false" ht="15" hidden="false" customHeight="false" outlineLevel="0" collapsed="false">
      <c r="A38" s="13" t="n">
        <v>42403</v>
      </c>
      <c r="C38" s="14" t="n">
        <v>0.5</v>
      </c>
      <c r="D38" s="14" t="n">
        <v>0.25</v>
      </c>
      <c r="F38" s="14" t="n">
        <v>-0.3</v>
      </c>
      <c r="G38" s="14" t="n">
        <v>0.5</v>
      </c>
      <c r="H38" s="14" t="n">
        <v>0.4671</v>
      </c>
      <c r="I38" s="14" t="n">
        <v>0.457120160871557</v>
      </c>
      <c r="J38" s="14" t="n">
        <v>0.451744209929785</v>
      </c>
      <c r="K38" s="14" t="n">
        <v>0.435026037528958</v>
      </c>
      <c r="L38" s="14" t="n">
        <v>0.40453924522943</v>
      </c>
      <c r="M38" s="14" t="n">
        <v>3.095</v>
      </c>
      <c r="N38" s="14" t="n">
        <v>3.071</v>
      </c>
      <c r="O38" s="14" t="n">
        <v>3.113</v>
      </c>
      <c r="P38" s="14" t="n">
        <v>3.262</v>
      </c>
      <c r="Q38" s="14" t="n">
        <v>0.75</v>
      </c>
      <c r="R38" s="14" t="n">
        <v>0.75</v>
      </c>
      <c r="S38" s="14" t="n">
        <v>14.25</v>
      </c>
    </row>
    <row r="39" customFormat="false" ht="15" hidden="false" customHeight="false" outlineLevel="0" collapsed="false">
      <c r="A39" s="13" t="n">
        <v>42404</v>
      </c>
      <c r="C39" s="14" t="n">
        <v>0.5</v>
      </c>
      <c r="D39" s="14" t="n">
        <v>0.25</v>
      </c>
      <c r="F39" s="14" t="n">
        <v>-0.3</v>
      </c>
      <c r="G39" s="14" t="n">
        <v>0.5</v>
      </c>
      <c r="H39" s="14" t="n">
        <v>0.4686</v>
      </c>
      <c r="I39" s="14" t="n">
        <v>0.463709722285932</v>
      </c>
      <c r="J39" s="14" t="n">
        <v>0.458727063438207</v>
      </c>
      <c r="K39" s="14" t="n">
        <v>0.441308228807554</v>
      </c>
      <c r="L39" s="14" t="n">
        <v>0.41023375945487</v>
      </c>
      <c r="M39" s="14" t="n">
        <v>3.089</v>
      </c>
      <c r="N39" s="14" t="n">
        <v>3.061</v>
      </c>
      <c r="O39" s="14" t="n">
        <v>3.109</v>
      </c>
      <c r="P39" s="14" t="n">
        <v>3.253</v>
      </c>
      <c r="Q39" s="14" t="n">
        <v>0.75</v>
      </c>
      <c r="R39" s="14" t="n">
        <v>0.73</v>
      </c>
      <c r="S39" s="14" t="n">
        <v>14.25</v>
      </c>
    </row>
    <row r="40" customFormat="false" ht="15" hidden="false" customHeight="false" outlineLevel="0" collapsed="false">
      <c r="A40" s="13" t="n">
        <v>42405</v>
      </c>
      <c r="C40" s="14" t="n">
        <v>0.5</v>
      </c>
      <c r="D40" s="14" t="n">
        <v>0.25</v>
      </c>
      <c r="F40" s="14" t="n">
        <v>-0.3</v>
      </c>
      <c r="G40" s="14" t="n">
        <v>0.5</v>
      </c>
      <c r="H40" s="14" t="n">
        <v>0.4672</v>
      </c>
      <c r="I40" s="14" t="n">
        <v>0.462797415557417</v>
      </c>
      <c r="J40" s="14" t="n">
        <v>0.458411860192564</v>
      </c>
      <c r="K40" s="14" t="n">
        <v>0.444910754643753</v>
      </c>
      <c r="L40" s="14" t="n">
        <v>0.417824738256058</v>
      </c>
      <c r="M40" s="14" t="n">
        <v>3.079</v>
      </c>
      <c r="N40" s="14" t="n">
        <v>3.06</v>
      </c>
      <c r="O40" s="14" t="n">
        <v>3.108</v>
      </c>
      <c r="P40" s="14" t="n">
        <v>3.25</v>
      </c>
      <c r="Q40" s="14" t="n">
        <v>0.75</v>
      </c>
      <c r="R40" s="14" t="n">
        <v>0.74</v>
      </c>
      <c r="S40" s="14" t="n">
        <v>14.25</v>
      </c>
    </row>
    <row r="41" customFormat="false" ht="15" hidden="false" customHeight="false" outlineLevel="0" collapsed="false">
      <c r="A41" s="13" t="n">
        <v>42406</v>
      </c>
      <c r="C41" s="14" t="n">
        <v>0.5</v>
      </c>
      <c r="D41" s="14" t="n">
        <v>0.25</v>
      </c>
      <c r="F41" s="14" t="n">
        <v>-0.3</v>
      </c>
      <c r="M41" s="14" t="n">
        <v>3.044</v>
      </c>
      <c r="N41" s="14" t="n">
        <v>3.058</v>
      </c>
      <c r="O41" s="14" t="n">
        <v>3.1075</v>
      </c>
      <c r="P41" s="14" t="n">
        <v>3.251</v>
      </c>
      <c r="S41" s="14" t="n">
        <v>14.25</v>
      </c>
    </row>
    <row r="42" customFormat="false" ht="15" hidden="false" customHeight="false" outlineLevel="0" collapsed="false">
      <c r="A42" s="13" t="n">
        <v>42408</v>
      </c>
      <c r="C42" s="14" t="n">
        <v>0.5</v>
      </c>
      <c r="D42" s="14" t="n">
        <v>0.25</v>
      </c>
      <c r="F42" s="14" t="n">
        <v>-0.3</v>
      </c>
      <c r="G42" s="14" t="n">
        <v>0.5</v>
      </c>
      <c r="H42" s="14" t="n">
        <v>0.4674</v>
      </c>
      <c r="I42" s="14" t="n">
        <v>0.462943090267897</v>
      </c>
      <c r="J42" s="14" t="n">
        <v>0.460562662192574</v>
      </c>
      <c r="K42" s="14" t="n">
        <v>0.447858815917249</v>
      </c>
      <c r="L42" s="14" t="n">
        <v>0.413150639598377</v>
      </c>
      <c r="Q42" s="14" t="n">
        <v>0.75</v>
      </c>
      <c r="R42" s="14" t="n">
        <v>0.74</v>
      </c>
      <c r="S42" s="14" t="n">
        <v>14.25</v>
      </c>
    </row>
    <row r="43" customFormat="false" ht="15" hidden="false" customHeight="false" outlineLevel="0" collapsed="false">
      <c r="A43" s="13" t="n">
        <v>42409</v>
      </c>
      <c r="C43" s="14" t="n">
        <v>0.5</v>
      </c>
      <c r="D43" s="14" t="n">
        <v>0.25</v>
      </c>
      <c r="F43" s="14" t="n">
        <v>-0.3</v>
      </c>
      <c r="G43" s="14" t="n">
        <v>0.5</v>
      </c>
      <c r="H43" s="14" t="n">
        <v>0.4671</v>
      </c>
      <c r="I43" s="14" t="n">
        <v>0.463007960730157</v>
      </c>
      <c r="J43" s="14" t="n">
        <v>0.456399642431498</v>
      </c>
      <c r="K43" s="14" t="n">
        <v>0.433586676748953</v>
      </c>
      <c r="L43" s="14" t="n">
        <v>0.385225430277073</v>
      </c>
      <c r="Q43" s="14" t="n">
        <v>0.75</v>
      </c>
      <c r="R43" s="14" t="n">
        <v>0.73</v>
      </c>
      <c r="S43" s="14" t="n">
        <v>14.25</v>
      </c>
    </row>
    <row r="44" customFormat="false" ht="15" hidden="false" customHeight="false" outlineLevel="0" collapsed="false">
      <c r="A44" s="13" t="n">
        <v>42410</v>
      </c>
      <c r="C44" s="14" t="n">
        <v>0.5</v>
      </c>
      <c r="D44" s="14" t="n">
        <v>0.25</v>
      </c>
      <c r="F44" s="14" t="n">
        <v>-0.3</v>
      </c>
      <c r="G44" s="14" t="n">
        <v>0.5</v>
      </c>
      <c r="H44" s="14" t="n">
        <v>0.4666</v>
      </c>
      <c r="I44" s="14" t="n">
        <v>0.464619589132949</v>
      </c>
      <c r="J44" s="14" t="n">
        <v>0.458989050639813</v>
      </c>
      <c r="K44" s="14" t="n">
        <v>0.44265695961223</v>
      </c>
      <c r="L44" s="14" t="n">
        <v>0.405483211514097</v>
      </c>
      <c r="Q44" s="14" t="n">
        <v>0.75</v>
      </c>
      <c r="R44" s="14" t="n">
        <v>0.74</v>
      </c>
      <c r="S44" s="14" t="n">
        <v>14.25</v>
      </c>
    </row>
    <row r="45" customFormat="false" ht="15" hidden="false" customHeight="false" outlineLevel="0" collapsed="false">
      <c r="A45" s="13" t="n">
        <v>42411</v>
      </c>
      <c r="C45" s="14" t="n">
        <v>0.5</v>
      </c>
      <c r="D45" s="14" t="n">
        <v>0.25</v>
      </c>
      <c r="F45" s="14" t="n">
        <v>-0.3</v>
      </c>
      <c r="G45" s="14" t="n">
        <v>0.5</v>
      </c>
      <c r="H45" s="14" t="n">
        <v>0.467</v>
      </c>
      <c r="I45" s="14" t="n">
        <v>0.462894899468012</v>
      </c>
      <c r="J45" s="14" t="n">
        <v>0.446235358077419</v>
      </c>
      <c r="K45" s="14" t="n">
        <v>0.405342919625945</v>
      </c>
      <c r="L45" s="14" t="n">
        <v>0.337996741603168</v>
      </c>
      <c r="Q45" s="14" t="n">
        <v>0.75</v>
      </c>
      <c r="R45" s="14" t="n">
        <v>0.73</v>
      </c>
      <c r="S45" s="14" t="n">
        <v>14.25</v>
      </c>
    </row>
    <row r="46" customFormat="false" ht="15" hidden="false" customHeight="false" outlineLevel="0" collapsed="false">
      <c r="A46" s="13" t="n">
        <v>42412</v>
      </c>
      <c r="C46" s="14" t="n">
        <v>0.5</v>
      </c>
      <c r="D46" s="14" t="n">
        <v>0.25</v>
      </c>
      <c r="F46" s="14" t="n">
        <v>-0.3</v>
      </c>
      <c r="G46" s="14" t="n">
        <v>0.5</v>
      </c>
      <c r="H46" s="14" t="n">
        <v>0.4678</v>
      </c>
      <c r="I46" s="14" t="n">
        <v>0.463317164423701</v>
      </c>
      <c r="J46" s="14" t="n">
        <v>0.456810037191884</v>
      </c>
      <c r="K46" s="14" t="n">
        <v>0.435456854698932</v>
      </c>
      <c r="L46" s="14" t="n">
        <v>0.388244000156697</v>
      </c>
      <c r="Q46" s="14" t="n">
        <v>0.75</v>
      </c>
      <c r="R46" s="14" t="n">
        <v>0.72</v>
      </c>
      <c r="S46" s="14" t="n">
        <v>14.25</v>
      </c>
    </row>
    <row r="47" customFormat="false" ht="15" hidden="false" customHeight="false" outlineLevel="0" collapsed="false">
      <c r="A47" s="13" t="n">
        <v>42414</v>
      </c>
      <c r="C47" s="14" t="n">
        <v>0.5</v>
      </c>
      <c r="D47" s="14" t="n">
        <v>0.25</v>
      </c>
      <c r="F47" s="14" t="n">
        <v>-0.3</v>
      </c>
      <c r="M47" s="14" t="n">
        <v>2.999</v>
      </c>
      <c r="N47" s="14" t="n">
        <v>3.0495</v>
      </c>
      <c r="O47" s="14" t="n">
        <v>3.1065</v>
      </c>
      <c r="P47" s="14" t="n">
        <v>3.251</v>
      </c>
      <c r="S47" s="14" t="n">
        <v>14.25</v>
      </c>
    </row>
    <row r="48" customFormat="false" ht="15" hidden="false" customHeight="false" outlineLevel="0" collapsed="false">
      <c r="A48" s="13" t="n">
        <v>42415</v>
      </c>
      <c r="C48" s="14" t="n">
        <v>0.5</v>
      </c>
      <c r="D48" s="14" t="n">
        <v>0.25</v>
      </c>
      <c r="F48" s="14" t="n">
        <v>-0.3</v>
      </c>
      <c r="G48" s="14" t="n">
        <v>0.5</v>
      </c>
      <c r="H48" s="14" t="n">
        <v>0.4669</v>
      </c>
      <c r="I48" s="14" t="n">
        <v>0.463272582536824</v>
      </c>
      <c r="J48" s="14" t="n">
        <v>0.458733624814307</v>
      </c>
      <c r="K48" s="14" t="n">
        <v>0.439594007218796</v>
      </c>
      <c r="L48" s="14" t="n">
        <v>0.399627670059226</v>
      </c>
      <c r="M48" s="14" t="n">
        <v>2.979</v>
      </c>
      <c r="N48" s="14" t="n">
        <v>3.041</v>
      </c>
      <c r="O48" s="14" t="n">
        <v>3.104</v>
      </c>
      <c r="P48" s="14" t="n">
        <v>3.25</v>
      </c>
      <c r="Q48" s="14" t="n">
        <v>0.75</v>
      </c>
      <c r="R48" s="14" t="n">
        <v>0.76</v>
      </c>
      <c r="S48" s="14" t="n">
        <v>14.25</v>
      </c>
    </row>
    <row r="49" customFormat="false" ht="15" hidden="false" customHeight="false" outlineLevel="0" collapsed="false">
      <c r="A49" s="13" t="n">
        <v>42416</v>
      </c>
      <c r="C49" s="14" t="n">
        <v>0.5</v>
      </c>
      <c r="D49" s="14" t="n">
        <v>0.25</v>
      </c>
      <c r="F49" s="14" t="n">
        <v>-0.3</v>
      </c>
      <c r="G49" s="14" t="n">
        <v>0.5</v>
      </c>
      <c r="H49" s="14" t="n">
        <v>0.472</v>
      </c>
      <c r="I49" s="14" t="n">
        <v>0.464138928326614</v>
      </c>
      <c r="J49" s="14" t="n">
        <v>0.459768776923567</v>
      </c>
      <c r="K49" s="14" t="n">
        <v>0.441689069753753</v>
      </c>
      <c r="L49" s="14" t="n">
        <v>0.398793511528916</v>
      </c>
      <c r="M49" s="14" t="n">
        <v>2.957</v>
      </c>
      <c r="N49" s="14" t="n">
        <v>3.029</v>
      </c>
      <c r="O49" s="14" t="n">
        <v>3.1</v>
      </c>
      <c r="P49" s="14" t="n">
        <v>3.25</v>
      </c>
      <c r="Q49" s="14" t="n">
        <v>0.75</v>
      </c>
      <c r="R49" s="14" t="n">
        <v>0.74</v>
      </c>
      <c r="S49" s="14" t="n">
        <v>14.25</v>
      </c>
    </row>
    <row r="50" customFormat="false" ht="15" hidden="false" customHeight="false" outlineLevel="0" collapsed="false">
      <c r="A50" s="13" t="n">
        <v>42417</v>
      </c>
      <c r="C50" s="14" t="n">
        <v>0.5</v>
      </c>
      <c r="D50" s="14" t="n">
        <v>0.25</v>
      </c>
      <c r="F50" s="14" t="n">
        <v>-0.3</v>
      </c>
      <c r="G50" s="14" t="n">
        <v>0.5</v>
      </c>
      <c r="H50" s="14" t="n">
        <v>0.4627</v>
      </c>
      <c r="I50" s="14" t="n">
        <v>0.464580760765627</v>
      </c>
      <c r="J50" s="14" t="n">
        <v>0.460303002061104</v>
      </c>
      <c r="K50" s="14" t="n">
        <v>0.445938372067153</v>
      </c>
      <c r="L50" s="14" t="n">
        <v>0.417901485706958</v>
      </c>
      <c r="M50" s="14" t="n">
        <v>2.938</v>
      </c>
      <c r="N50" s="14" t="n">
        <v>3.014</v>
      </c>
      <c r="O50" s="14" t="n">
        <v>3.1</v>
      </c>
      <c r="P50" s="14" t="n">
        <v>3.25</v>
      </c>
      <c r="Q50" s="14" t="n">
        <v>0.75</v>
      </c>
      <c r="R50" s="14" t="n">
        <v>0.74</v>
      </c>
      <c r="S50" s="14" t="n">
        <v>14.25</v>
      </c>
    </row>
    <row r="51" customFormat="false" ht="15" hidden="false" customHeight="false" outlineLevel="0" collapsed="false">
      <c r="A51" s="13" t="n">
        <v>42418</v>
      </c>
      <c r="C51" s="14" t="n">
        <v>0.5</v>
      </c>
      <c r="D51" s="14" t="n">
        <v>0.25</v>
      </c>
      <c r="F51" s="14" t="n">
        <v>-0.3</v>
      </c>
      <c r="G51" s="14" t="n">
        <v>0.5</v>
      </c>
      <c r="H51" s="14" t="n">
        <v>0.4618</v>
      </c>
      <c r="I51" s="14" t="n">
        <v>0.464134496459876</v>
      </c>
      <c r="J51" s="14" t="n">
        <v>0.461350741145179</v>
      </c>
      <c r="K51" s="14" t="n">
        <v>0.447778200918211</v>
      </c>
      <c r="L51" s="14" t="n">
        <v>0.422934992429945</v>
      </c>
      <c r="M51" s="14" t="n">
        <v>2.884</v>
      </c>
      <c r="N51" s="14" t="n">
        <v>3.004</v>
      </c>
      <c r="O51" s="14" t="n">
        <v>3.1</v>
      </c>
      <c r="P51" s="14" t="n">
        <v>3.25</v>
      </c>
      <c r="Q51" s="14" t="n">
        <v>0.75</v>
      </c>
      <c r="R51" s="14" t="n">
        <v>0.74</v>
      </c>
      <c r="S51" s="14" t="n">
        <v>14.25</v>
      </c>
    </row>
    <row r="52" customFormat="false" ht="15" hidden="false" customHeight="false" outlineLevel="0" collapsed="false">
      <c r="A52" s="13" t="n">
        <v>42419</v>
      </c>
      <c r="C52" s="14" t="n">
        <v>0.5</v>
      </c>
      <c r="D52" s="14" t="n">
        <v>0.25</v>
      </c>
      <c r="F52" s="14" t="n">
        <v>-0.3</v>
      </c>
      <c r="G52" s="14" t="n">
        <v>0.5</v>
      </c>
      <c r="H52" s="14" t="n">
        <v>0.4624</v>
      </c>
      <c r="I52" s="14" t="n">
        <v>0.463848270864722</v>
      </c>
      <c r="J52" s="14" t="n">
        <v>0.460569712972223</v>
      </c>
      <c r="K52" s="14" t="n">
        <v>0.448567936362268</v>
      </c>
      <c r="L52" s="14" t="n">
        <v>0.419302887918089</v>
      </c>
      <c r="M52" s="14" t="n">
        <v>2.839</v>
      </c>
      <c r="N52" s="14" t="n">
        <v>2.967</v>
      </c>
      <c r="O52" s="14" t="n">
        <v>3.074</v>
      </c>
      <c r="P52" s="14" t="n">
        <v>3.234</v>
      </c>
      <c r="Q52" s="14" t="n">
        <v>0.75</v>
      </c>
      <c r="R52" s="14" t="n">
        <v>0.75</v>
      </c>
      <c r="S52" s="14" t="n">
        <v>14.25</v>
      </c>
    </row>
    <row r="53" customFormat="false" ht="15" hidden="false" customHeight="false" outlineLevel="0" collapsed="false">
      <c r="A53" s="13" t="n">
        <v>42422</v>
      </c>
      <c r="C53" s="14" t="n">
        <v>0.5</v>
      </c>
      <c r="D53" s="14" t="n">
        <v>0.25</v>
      </c>
      <c r="F53" s="14" t="n">
        <v>-0.3</v>
      </c>
      <c r="G53" s="14" t="n">
        <v>0.5</v>
      </c>
      <c r="H53" s="14" t="n">
        <v>0.4668</v>
      </c>
      <c r="I53" s="14" t="n">
        <v>0.463085428312355</v>
      </c>
      <c r="J53" s="14" t="n">
        <v>0.458857467855996</v>
      </c>
      <c r="K53" s="14" t="n">
        <v>0.446569224234015</v>
      </c>
      <c r="L53" s="14" t="n">
        <v>0.414952400576322</v>
      </c>
      <c r="M53" s="14" t="n">
        <v>2.801</v>
      </c>
      <c r="N53" s="14" t="n">
        <v>2.947</v>
      </c>
      <c r="O53" s="14" t="n">
        <v>3.056</v>
      </c>
      <c r="P53" s="14" t="n">
        <v>3.219</v>
      </c>
      <c r="Q53" s="14" t="n">
        <v>0.75</v>
      </c>
      <c r="R53" s="14" t="n">
        <v>0.75</v>
      </c>
      <c r="S53" s="14" t="n">
        <v>14.25</v>
      </c>
    </row>
    <row r="54" customFormat="false" ht="15" hidden="false" customHeight="false" outlineLevel="0" collapsed="false">
      <c r="A54" s="13" t="n">
        <v>42423</v>
      </c>
      <c r="C54" s="14" t="n">
        <v>0.5</v>
      </c>
      <c r="D54" s="14" t="n">
        <v>0.25</v>
      </c>
      <c r="F54" s="14" t="n">
        <v>-0.3</v>
      </c>
      <c r="G54" s="14" t="n">
        <v>0.5</v>
      </c>
      <c r="H54" s="14" t="n">
        <v>0.4608</v>
      </c>
      <c r="I54" s="14" t="n">
        <v>0.462058302688832</v>
      </c>
      <c r="J54" s="14" t="n">
        <v>0.459159132866998</v>
      </c>
      <c r="K54" s="14" t="n">
        <v>0.449010873685678</v>
      </c>
      <c r="L54" s="14" t="n">
        <v>0.425456047137142</v>
      </c>
      <c r="M54" s="14" t="n">
        <v>2.775</v>
      </c>
      <c r="N54" s="14" t="n">
        <v>2.927</v>
      </c>
      <c r="O54" s="14" t="n">
        <v>3.0402</v>
      </c>
      <c r="P54" s="14" t="n">
        <v>3.21</v>
      </c>
      <c r="Q54" s="14" t="n">
        <v>0.75</v>
      </c>
      <c r="R54" s="14" t="n">
        <v>0.74</v>
      </c>
      <c r="S54" s="14" t="n">
        <v>14.25</v>
      </c>
    </row>
    <row r="55" customFormat="false" ht="15" hidden="false" customHeight="false" outlineLevel="0" collapsed="false">
      <c r="A55" s="13" t="n">
        <v>42424</v>
      </c>
      <c r="C55" s="14" t="n">
        <v>0.5</v>
      </c>
      <c r="D55" s="14" t="n">
        <v>0.25</v>
      </c>
      <c r="F55" s="14" t="n">
        <v>-0.3</v>
      </c>
      <c r="G55" s="14" t="n">
        <v>0.5</v>
      </c>
      <c r="H55" s="14" t="n">
        <v>0.4637</v>
      </c>
      <c r="I55" s="14" t="n">
        <v>0.462833015490479</v>
      </c>
      <c r="J55" s="14" t="n">
        <v>0.459071757010807</v>
      </c>
      <c r="K55" s="14" t="n">
        <v>0.445413579313588</v>
      </c>
      <c r="L55" s="14" t="n">
        <v>0.405203503276093</v>
      </c>
      <c r="M55" s="14" t="n">
        <v>2.759</v>
      </c>
      <c r="N55" s="14" t="n">
        <v>2.901</v>
      </c>
      <c r="O55" s="14" t="n">
        <v>3.0255</v>
      </c>
      <c r="P55" s="14" t="n">
        <v>3.204</v>
      </c>
      <c r="Q55" s="14" t="n">
        <v>0.75</v>
      </c>
      <c r="R55" s="14" t="n">
        <v>0.75</v>
      </c>
      <c r="S55" s="14" t="n">
        <v>14.25</v>
      </c>
    </row>
    <row r="56" customFormat="false" ht="15" hidden="false" customHeight="false" outlineLevel="0" collapsed="false">
      <c r="A56" s="13" t="n">
        <v>42425</v>
      </c>
      <c r="C56" s="14" t="n">
        <v>0.5</v>
      </c>
      <c r="D56" s="14" t="n">
        <v>0.25</v>
      </c>
      <c r="F56" s="14" t="n">
        <v>-0.3</v>
      </c>
      <c r="G56" s="14" t="n">
        <v>0.5</v>
      </c>
      <c r="H56" s="14" t="n">
        <v>0.4632</v>
      </c>
      <c r="I56" s="14" t="n">
        <v>0.461845732079266</v>
      </c>
      <c r="J56" s="14" t="n">
        <v>0.45916575500251</v>
      </c>
      <c r="K56" s="14" t="n">
        <v>0.443657353022729</v>
      </c>
      <c r="L56" s="14" t="n">
        <v>0.392315055015968</v>
      </c>
      <c r="M56" s="14" t="n">
        <v>2.757</v>
      </c>
      <c r="N56" s="14" t="n">
        <v>2.899</v>
      </c>
      <c r="O56" s="14" t="n">
        <v>3.0252</v>
      </c>
      <c r="P56" s="14" t="n">
        <v>3.197</v>
      </c>
      <c r="Q56" s="14" t="n">
        <v>0.75</v>
      </c>
      <c r="R56" s="14" t="n">
        <v>0.73</v>
      </c>
      <c r="S56" s="14" t="n">
        <v>14.25</v>
      </c>
    </row>
    <row r="57" customFormat="false" ht="15" hidden="false" customHeight="false" outlineLevel="0" collapsed="false">
      <c r="A57" s="13" t="n">
        <v>42426</v>
      </c>
      <c r="C57" s="14" t="n">
        <v>0.5</v>
      </c>
      <c r="D57" s="14" t="n">
        <v>0.25</v>
      </c>
      <c r="F57" s="14" t="n">
        <v>-0.3</v>
      </c>
      <c r="G57" s="14" t="n">
        <v>0.5</v>
      </c>
      <c r="H57" s="14" t="n">
        <v>0.4728</v>
      </c>
      <c r="I57" s="14" t="n">
        <v>0.461505561551538</v>
      </c>
      <c r="J57" s="14" t="n">
        <v>0.45927221924104</v>
      </c>
      <c r="K57" s="14" t="n">
        <v>0.446022016930035</v>
      </c>
      <c r="L57" s="14" t="n">
        <v>0.405134155990417</v>
      </c>
      <c r="M57" s="14" t="n">
        <v>2.785</v>
      </c>
      <c r="N57" s="14" t="n">
        <v>2.899</v>
      </c>
      <c r="O57" s="14" t="n">
        <v>3.03</v>
      </c>
      <c r="P57" s="14" t="n">
        <v>3.192</v>
      </c>
      <c r="Q57" s="14" t="n">
        <v>0.75</v>
      </c>
      <c r="R57" s="14" t="n">
        <v>0.74</v>
      </c>
      <c r="S57" s="14" t="n">
        <v>14.25</v>
      </c>
    </row>
    <row r="58" customFormat="false" ht="15" hidden="false" customHeight="false" outlineLevel="0" collapsed="false">
      <c r="A58" s="13" t="n">
        <v>42429</v>
      </c>
      <c r="C58" s="14" t="n">
        <v>0.5</v>
      </c>
      <c r="D58" s="14" t="n">
        <v>0.25</v>
      </c>
      <c r="F58" s="14" t="n">
        <v>-0.3</v>
      </c>
      <c r="G58" s="14" t="n">
        <v>0.5</v>
      </c>
      <c r="H58" s="14" t="n">
        <v>0.4545</v>
      </c>
      <c r="I58" s="14" t="n">
        <v>0.462599793174053</v>
      </c>
      <c r="J58" s="14" t="n">
        <v>0.459396776375569</v>
      </c>
      <c r="K58" s="14" t="n">
        <v>0.44622498859207</v>
      </c>
      <c r="L58" s="14" t="n">
        <v>0.399543178453049</v>
      </c>
      <c r="M58" s="14" t="n">
        <v>2.8</v>
      </c>
      <c r="N58" s="14" t="n">
        <v>2.899</v>
      </c>
      <c r="O58" s="14" t="n">
        <v>3.022</v>
      </c>
      <c r="P58" s="14" t="n">
        <v>3.186</v>
      </c>
      <c r="Q58" s="14" t="n">
        <v>0.75</v>
      </c>
      <c r="R58" s="14" t="n">
        <v>0.74</v>
      </c>
      <c r="S58" s="14" t="n">
        <v>14.25</v>
      </c>
    </row>
    <row r="59" customFormat="false" ht="15" hidden="false" customHeight="false" outlineLevel="0" collapsed="false">
      <c r="A59" s="13" t="n">
        <v>42430</v>
      </c>
      <c r="C59" s="14" t="n">
        <v>0.5</v>
      </c>
      <c r="D59" s="14" t="n">
        <v>0.25</v>
      </c>
      <c r="F59" s="14" t="n">
        <v>-0.3</v>
      </c>
      <c r="G59" s="14" t="n">
        <v>0.5</v>
      </c>
      <c r="H59" s="14" t="n">
        <v>0.4672</v>
      </c>
      <c r="I59" s="14" t="n">
        <v>0.463226351210146</v>
      </c>
      <c r="J59" s="14" t="n">
        <v>0.45871378431667</v>
      </c>
      <c r="K59" s="14" t="n">
        <v>0.443681912745078</v>
      </c>
      <c r="L59" s="14" t="n">
        <v>0.404214085938321</v>
      </c>
      <c r="M59" s="14" t="n">
        <v>2.795</v>
      </c>
      <c r="N59" s="14" t="n">
        <v>2.8835</v>
      </c>
      <c r="O59" s="14" t="n">
        <v>3.01</v>
      </c>
      <c r="P59" s="14" t="n">
        <v>3.1735</v>
      </c>
      <c r="Q59" s="14" t="n">
        <v>0.75</v>
      </c>
      <c r="R59" s="14" t="n">
        <v>0.73</v>
      </c>
      <c r="S59" s="14" t="n">
        <v>14.25</v>
      </c>
    </row>
    <row r="60" customFormat="false" ht="15" hidden="false" customHeight="false" outlineLevel="0" collapsed="false">
      <c r="A60" s="13" t="n">
        <v>42431</v>
      </c>
      <c r="C60" s="14" t="n">
        <v>0.5</v>
      </c>
      <c r="D60" s="14" t="n">
        <v>0.25</v>
      </c>
      <c r="F60" s="14" t="n">
        <v>-0.3</v>
      </c>
      <c r="G60" s="14" t="n">
        <v>0.5</v>
      </c>
      <c r="H60" s="14" t="n">
        <v>0.466</v>
      </c>
      <c r="I60" s="14" t="n">
        <v>0.461972333187058</v>
      </c>
      <c r="J60" s="14" t="n">
        <v>0.455676324690762</v>
      </c>
      <c r="K60" s="14" t="n">
        <v>0.443170071151753</v>
      </c>
      <c r="L60" s="14" t="n">
        <v>0.415403327279039</v>
      </c>
      <c r="M60" s="14" t="n">
        <v>2.738</v>
      </c>
      <c r="N60" s="14" t="n">
        <v>2.857</v>
      </c>
      <c r="O60" s="14" t="n">
        <v>2.996</v>
      </c>
      <c r="P60" s="14" t="n">
        <v>3.145</v>
      </c>
      <c r="Q60" s="14" t="n">
        <v>0.75</v>
      </c>
      <c r="R60" s="14" t="n">
        <v>0.74</v>
      </c>
      <c r="S60" s="14" t="n">
        <v>14.25</v>
      </c>
    </row>
    <row r="61" customFormat="false" ht="15" hidden="false" customHeight="false" outlineLevel="0" collapsed="false">
      <c r="A61" s="13" t="n">
        <v>42432</v>
      </c>
      <c r="C61" s="14" t="n">
        <v>0.5</v>
      </c>
      <c r="D61" s="14" t="n">
        <v>0.25</v>
      </c>
      <c r="F61" s="14" t="n">
        <v>-0.3</v>
      </c>
      <c r="G61" s="14" t="n">
        <v>0.5</v>
      </c>
      <c r="H61" s="14" t="n">
        <v>0.4666</v>
      </c>
      <c r="I61" s="14" t="n">
        <v>0.462001719554065</v>
      </c>
      <c r="J61" s="14" t="n">
        <v>0.460387048794394</v>
      </c>
      <c r="K61" s="14" t="n">
        <v>0.450748860346597</v>
      </c>
      <c r="L61" s="14" t="n">
        <v>0.415944685523327</v>
      </c>
      <c r="M61" s="14" t="n">
        <v>2.716</v>
      </c>
      <c r="N61" s="14" t="n">
        <v>2.84</v>
      </c>
      <c r="O61" s="14" t="n">
        <v>2.993</v>
      </c>
      <c r="P61" s="14" t="n">
        <v>3.134</v>
      </c>
      <c r="Q61" s="14" t="n">
        <v>0.75</v>
      </c>
      <c r="R61" s="14" t="n">
        <v>0.73</v>
      </c>
      <c r="S61" s="14" t="n">
        <v>14.25</v>
      </c>
    </row>
    <row r="62" customFormat="false" ht="15" hidden="false" customHeight="false" outlineLevel="0" collapsed="false">
      <c r="A62" s="13" t="n">
        <v>42433</v>
      </c>
      <c r="C62" s="14" t="n">
        <v>0.5</v>
      </c>
      <c r="D62" s="14" t="n">
        <v>0.25</v>
      </c>
      <c r="F62" s="14" t="n">
        <v>-0.3</v>
      </c>
      <c r="G62" s="14" t="n">
        <v>0.5</v>
      </c>
      <c r="H62" s="14" t="n">
        <v>0.4712</v>
      </c>
      <c r="I62" s="14" t="n">
        <v>0.461786620965679</v>
      </c>
      <c r="J62" s="14" t="n">
        <v>0.45819140721821</v>
      </c>
      <c r="K62" s="14" t="n">
        <v>0.448292309631408</v>
      </c>
      <c r="L62" s="14" t="n">
        <v>0.421123156025426</v>
      </c>
      <c r="M62" s="14" t="n">
        <v>2.703</v>
      </c>
      <c r="N62" s="14" t="n">
        <v>2.832</v>
      </c>
      <c r="O62" s="14" t="n">
        <v>2.989</v>
      </c>
      <c r="P62" s="14" t="n">
        <v>3.125</v>
      </c>
      <c r="Q62" s="14" t="n">
        <v>0.75</v>
      </c>
      <c r="R62" s="14" t="n">
        <v>0.73</v>
      </c>
      <c r="S62" s="14" t="n">
        <v>14.25</v>
      </c>
    </row>
    <row r="63" customFormat="false" ht="15" hidden="false" customHeight="false" outlineLevel="0" collapsed="false">
      <c r="A63" s="13" t="n">
        <v>42436</v>
      </c>
      <c r="C63" s="14" t="n">
        <v>0.5</v>
      </c>
      <c r="D63" s="14" t="n">
        <v>0.25</v>
      </c>
      <c r="F63" s="14" t="n">
        <v>-0.3</v>
      </c>
      <c r="G63" s="14" t="n">
        <v>0.5</v>
      </c>
      <c r="H63" s="14" t="n">
        <v>0.4688</v>
      </c>
      <c r="I63" s="14" t="n">
        <v>0.461242560290641</v>
      </c>
      <c r="J63" s="14" t="n">
        <v>0.459165879968302</v>
      </c>
      <c r="K63" s="14" t="n">
        <v>0.448367029918406</v>
      </c>
      <c r="L63" s="14" t="n">
        <v>0.422560792141195</v>
      </c>
      <c r="M63" s="14" t="n">
        <v>2.696</v>
      </c>
      <c r="N63" s="14" t="n">
        <v>2.823</v>
      </c>
      <c r="O63" s="14" t="n">
        <v>2.98</v>
      </c>
      <c r="P63" s="14" t="n">
        <v>3.121</v>
      </c>
      <c r="Q63" s="14" t="n">
        <v>0.75</v>
      </c>
      <c r="R63" s="14" t="n">
        <v>0.74</v>
      </c>
      <c r="S63" s="14" t="n">
        <v>14.25</v>
      </c>
    </row>
    <row r="64" customFormat="false" ht="15" hidden="false" customHeight="false" outlineLevel="0" collapsed="false">
      <c r="A64" s="13" t="n">
        <v>42437</v>
      </c>
      <c r="C64" s="14" t="n">
        <v>0.5</v>
      </c>
      <c r="D64" s="14" t="n">
        <v>0.25</v>
      </c>
      <c r="F64" s="14" t="n">
        <v>-0.3</v>
      </c>
      <c r="G64" s="14" t="n">
        <v>0.5</v>
      </c>
      <c r="H64" s="14" t="n">
        <v>0.4666</v>
      </c>
      <c r="I64" s="14" t="n">
        <v>0.461438216458741</v>
      </c>
      <c r="J64" s="14" t="n">
        <v>0.458656314515305</v>
      </c>
      <c r="K64" s="14" t="n">
        <v>0.446305740883334</v>
      </c>
      <c r="L64" s="14" t="n">
        <v>0.414546975795654</v>
      </c>
      <c r="M64" s="14" t="n">
        <v>2.689</v>
      </c>
      <c r="N64" s="14" t="n">
        <v>2.814</v>
      </c>
      <c r="O64" s="14" t="n">
        <v>2.976</v>
      </c>
      <c r="P64" s="14" t="n">
        <v>3.112</v>
      </c>
      <c r="Q64" s="14" t="n">
        <v>0.75</v>
      </c>
      <c r="R64" s="14" t="n">
        <v>0.75</v>
      </c>
      <c r="S64" s="14" t="n">
        <v>14.25</v>
      </c>
    </row>
    <row r="65" customFormat="false" ht="15" hidden="false" customHeight="false" outlineLevel="0" collapsed="false">
      <c r="A65" s="13" t="n">
        <v>42438</v>
      </c>
      <c r="C65" s="14" t="n">
        <v>0.5</v>
      </c>
      <c r="D65" s="14" t="n">
        <v>0.25</v>
      </c>
      <c r="F65" s="14" t="n">
        <v>-0.3</v>
      </c>
      <c r="G65" s="14" t="n">
        <v>0.5</v>
      </c>
      <c r="H65" s="14" t="n">
        <v>0.4665</v>
      </c>
      <c r="I65" s="14" t="n">
        <v>0.462521324159654</v>
      </c>
      <c r="J65" s="14" t="n">
        <v>0.461218471779968</v>
      </c>
      <c r="K65" s="14" t="n">
        <v>0.44997029202343</v>
      </c>
      <c r="L65" s="14" t="n">
        <v>0.418588919959798</v>
      </c>
      <c r="M65" s="14" t="n">
        <v>2.683</v>
      </c>
      <c r="N65" s="14" t="n">
        <v>2.807</v>
      </c>
      <c r="O65" s="14" t="n">
        <v>2.972</v>
      </c>
      <c r="P65" s="14" t="n">
        <v>3.106</v>
      </c>
      <c r="Q65" s="14" t="n">
        <v>0.75</v>
      </c>
      <c r="R65" s="14" t="n">
        <v>0.73</v>
      </c>
      <c r="S65" s="14" t="n">
        <v>14.25</v>
      </c>
    </row>
    <row r="66" customFormat="false" ht="15" hidden="false" customHeight="false" outlineLevel="0" collapsed="false">
      <c r="A66" s="13" t="n">
        <v>42439</v>
      </c>
      <c r="C66" s="14" t="n">
        <v>0.5</v>
      </c>
      <c r="D66" s="14" t="n">
        <v>0.25</v>
      </c>
      <c r="F66" s="14" t="n">
        <v>-0.3</v>
      </c>
      <c r="G66" s="14" t="n">
        <v>0.5</v>
      </c>
      <c r="H66" s="14" t="n">
        <v>0.4681</v>
      </c>
      <c r="I66" s="14" t="n">
        <v>0.461870251074577</v>
      </c>
      <c r="J66" s="14" t="n">
        <v>0.461451577283684</v>
      </c>
      <c r="K66" s="14" t="n">
        <v>0.452737465635382</v>
      </c>
      <c r="L66" s="14" t="n">
        <v>0.429060442415438</v>
      </c>
      <c r="M66" s="14" t="n">
        <v>2.678</v>
      </c>
      <c r="N66" s="14" t="n">
        <v>2.804</v>
      </c>
      <c r="O66" s="14" t="n">
        <v>2.959</v>
      </c>
      <c r="P66" s="14" t="n">
        <v>3.101</v>
      </c>
      <c r="Q66" s="14" t="n">
        <v>0.75</v>
      </c>
      <c r="R66" s="14" t="n">
        <v>0.74</v>
      </c>
      <c r="S66" s="14" t="n">
        <v>14.25</v>
      </c>
    </row>
    <row r="67" customFormat="false" ht="15" hidden="false" customHeight="false" outlineLevel="0" collapsed="false">
      <c r="A67" s="13" t="n">
        <v>42440</v>
      </c>
      <c r="C67" s="14" t="n">
        <v>0.5</v>
      </c>
      <c r="D67" s="14" t="n">
        <v>0.25</v>
      </c>
      <c r="F67" s="14" t="n">
        <v>-0.3</v>
      </c>
      <c r="G67" s="14" t="n">
        <v>0.5</v>
      </c>
      <c r="H67" s="14" t="n">
        <v>0.472</v>
      </c>
      <c r="I67" s="14" t="n">
        <v>0.463055962447697</v>
      </c>
      <c r="J67" s="14" t="n">
        <v>0.462852180039838</v>
      </c>
      <c r="K67" s="14" t="n">
        <v>0.46355399293056</v>
      </c>
      <c r="L67" s="14" t="n">
        <v>0.461735329738181</v>
      </c>
      <c r="M67" s="14" t="n">
        <v>2.666</v>
      </c>
      <c r="N67" s="14" t="n">
        <v>2.799</v>
      </c>
      <c r="O67" s="14" t="n">
        <v>2.949</v>
      </c>
      <c r="P67" s="14" t="n">
        <v>3.0955</v>
      </c>
      <c r="Q67" s="14" t="n">
        <v>0.75</v>
      </c>
      <c r="R67" s="14" t="n">
        <v>0.75</v>
      </c>
      <c r="S67" s="14" t="n">
        <v>14.25</v>
      </c>
    </row>
    <row r="68" customFormat="false" ht="15" hidden="false" customHeight="false" outlineLevel="0" collapsed="false">
      <c r="A68" s="13" t="n">
        <v>42443</v>
      </c>
      <c r="C68" s="14" t="n">
        <v>0.5</v>
      </c>
      <c r="D68" s="14" t="n">
        <v>0.25</v>
      </c>
      <c r="F68" s="14" t="n">
        <v>-0.3</v>
      </c>
      <c r="G68" s="14" t="n">
        <v>0.5</v>
      </c>
      <c r="H68" s="14" t="n">
        <v>0.4689</v>
      </c>
      <c r="I68" s="14" t="n">
        <v>0.463958416375857</v>
      </c>
      <c r="J68" s="14" t="n">
        <v>0.462026034827017</v>
      </c>
      <c r="K68" s="14" t="n">
        <v>0.454548949252227</v>
      </c>
      <c r="L68" s="14" t="n">
        <v>0.453323596607953</v>
      </c>
      <c r="M68" s="14" t="n">
        <v>2.659</v>
      </c>
      <c r="N68" s="14" t="n">
        <v>2.793</v>
      </c>
      <c r="O68" s="14" t="n">
        <v>2.94</v>
      </c>
      <c r="P68" s="14" t="n">
        <v>3.093</v>
      </c>
      <c r="Q68" s="14" t="n">
        <v>0.75</v>
      </c>
      <c r="R68" s="14" t="n">
        <v>0.74</v>
      </c>
      <c r="S68" s="14" t="n">
        <v>14.25</v>
      </c>
    </row>
    <row r="69" customFormat="false" ht="15" hidden="false" customHeight="false" outlineLevel="0" collapsed="false">
      <c r="A69" s="13" t="n">
        <v>42444</v>
      </c>
      <c r="C69" s="14" t="n">
        <v>0.5</v>
      </c>
      <c r="D69" s="14" t="n">
        <v>0.25</v>
      </c>
      <c r="F69" s="14" t="n">
        <v>-0.3</v>
      </c>
      <c r="G69" s="14" t="n">
        <v>0.5</v>
      </c>
      <c r="H69" s="14" t="n">
        <v>0.466</v>
      </c>
      <c r="I69" s="14" t="n">
        <v>0.462406765360634</v>
      </c>
      <c r="J69" s="14" t="n">
        <v>0.459724586157745</v>
      </c>
      <c r="K69" s="14" t="n">
        <v>0.452721606880913</v>
      </c>
      <c r="L69" s="14" t="n">
        <v>0.451150155957777</v>
      </c>
      <c r="M69" s="14" t="n">
        <v>2.659</v>
      </c>
      <c r="N69" s="14" t="n">
        <v>2.793</v>
      </c>
      <c r="O69" s="14" t="n">
        <v>2.936</v>
      </c>
      <c r="P69" s="14" t="n">
        <v>3.091</v>
      </c>
      <c r="Q69" s="14" t="n">
        <v>0.75</v>
      </c>
      <c r="R69" s="14" t="n">
        <v>0.78</v>
      </c>
      <c r="S69" s="14" t="n">
        <v>14.25</v>
      </c>
    </row>
    <row r="70" customFormat="false" ht="15" hidden="false" customHeight="false" outlineLevel="0" collapsed="false">
      <c r="A70" s="13" t="n">
        <v>42445</v>
      </c>
      <c r="C70" s="14" t="n">
        <v>0.5</v>
      </c>
      <c r="D70" s="14" t="n">
        <v>0.25</v>
      </c>
      <c r="F70" s="14" t="n">
        <v>-0.4</v>
      </c>
      <c r="G70" s="14" t="n">
        <v>0.5</v>
      </c>
      <c r="H70" s="14" t="n">
        <v>0.467</v>
      </c>
      <c r="I70" s="14" t="n">
        <v>0.462435560310836</v>
      </c>
      <c r="J70" s="14" t="n">
        <v>0.459475505611342</v>
      </c>
      <c r="K70" s="14" t="n">
        <v>0.454074477236051</v>
      </c>
      <c r="L70" s="14" t="n">
        <v>0.455898712739565</v>
      </c>
      <c r="M70" s="14" t="n">
        <v>2.6585</v>
      </c>
      <c r="N70" s="14" t="n">
        <v>2.793</v>
      </c>
      <c r="O70" s="14" t="n">
        <v>2.9302</v>
      </c>
      <c r="P70" s="14" t="n">
        <v>3.09</v>
      </c>
      <c r="Q70" s="14" t="n">
        <v>0.75</v>
      </c>
      <c r="R70" s="14" t="n">
        <v>0.76</v>
      </c>
      <c r="S70" s="14" t="n">
        <v>14.25</v>
      </c>
    </row>
    <row r="71" customFormat="false" ht="15" hidden="false" customHeight="false" outlineLevel="0" collapsed="false">
      <c r="A71" s="13" t="n">
        <v>42446</v>
      </c>
      <c r="C71" s="14" t="n">
        <v>0.5</v>
      </c>
      <c r="D71" s="14" t="n">
        <v>0.25</v>
      </c>
      <c r="F71" s="14" t="n">
        <v>-0.4</v>
      </c>
      <c r="G71" s="14" t="n">
        <v>0.5</v>
      </c>
      <c r="H71" s="14" t="n">
        <v>0.4636</v>
      </c>
      <c r="I71" s="14" t="n">
        <v>0.463895376988034</v>
      </c>
      <c r="J71" s="14" t="n">
        <v>0.459940809287956</v>
      </c>
      <c r="K71" s="14" t="n">
        <v>0.450810881382112</v>
      </c>
      <c r="L71" s="14" t="n">
        <v>0.443832613770684</v>
      </c>
      <c r="M71" s="14" t="n">
        <v>2.662</v>
      </c>
      <c r="N71" s="14" t="n">
        <v>2.791</v>
      </c>
      <c r="O71" s="14" t="n">
        <v>2.916</v>
      </c>
      <c r="P71" s="14" t="n">
        <v>3.078</v>
      </c>
      <c r="Q71" s="14" t="n">
        <v>0.75</v>
      </c>
      <c r="R71" s="14" t="n">
        <v>0.78</v>
      </c>
      <c r="S71" s="14" t="n">
        <v>14.25</v>
      </c>
    </row>
    <row r="72" customFormat="false" ht="15" hidden="false" customHeight="false" outlineLevel="0" collapsed="false">
      <c r="A72" s="13" t="n">
        <v>42447</v>
      </c>
      <c r="C72" s="14" t="n">
        <v>0.5</v>
      </c>
      <c r="D72" s="14" t="n">
        <v>0.25</v>
      </c>
      <c r="F72" s="14" t="n">
        <v>-0.4</v>
      </c>
      <c r="G72" s="14" t="n">
        <v>0.5</v>
      </c>
      <c r="H72" s="14" t="n">
        <v>0.4664</v>
      </c>
      <c r="I72" s="14" t="n">
        <v>0.462261585424692</v>
      </c>
      <c r="J72" s="14" t="n">
        <v>0.458706569711694</v>
      </c>
      <c r="K72" s="14" t="n">
        <v>0.451695836908011</v>
      </c>
      <c r="L72" s="14" t="n">
        <v>0.444515641371142</v>
      </c>
      <c r="M72" s="14" t="n">
        <v>2.662</v>
      </c>
      <c r="N72" s="14" t="n">
        <v>2.793</v>
      </c>
      <c r="O72" s="14" t="n">
        <v>2.902</v>
      </c>
      <c r="P72" s="14" t="n">
        <v>3.0685</v>
      </c>
      <c r="Q72" s="14" t="n">
        <v>0.5</v>
      </c>
      <c r="R72" s="14" t="n">
        <v>0.49</v>
      </c>
      <c r="S72" s="14" t="n">
        <v>14.25</v>
      </c>
    </row>
    <row r="73" customFormat="false" ht="15" hidden="false" customHeight="false" outlineLevel="0" collapsed="false">
      <c r="A73" s="13" t="n">
        <v>42450</v>
      </c>
      <c r="C73" s="14" t="n">
        <v>0.5</v>
      </c>
      <c r="D73" s="14" t="n">
        <v>0.25</v>
      </c>
      <c r="F73" s="14" t="n">
        <v>-0.4</v>
      </c>
      <c r="G73" s="14" t="n">
        <v>0.5</v>
      </c>
      <c r="H73" s="14" t="n">
        <v>0.4685</v>
      </c>
      <c r="I73" s="14" t="n">
        <v>0.462465123000256</v>
      </c>
      <c r="J73" s="14" t="n">
        <v>0.458231119051412</v>
      </c>
      <c r="K73" s="14" t="n">
        <v>0.449314373114697</v>
      </c>
      <c r="L73" s="14" t="n">
        <v>0.445207144585813</v>
      </c>
      <c r="M73" s="14" t="n">
        <v>2.692</v>
      </c>
      <c r="N73" s="14" t="n">
        <v>2.795</v>
      </c>
      <c r="O73" s="14" t="n">
        <v>2.892</v>
      </c>
      <c r="P73" s="14" t="n">
        <v>3.0635</v>
      </c>
      <c r="Q73" s="14" t="n">
        <v>0.5</v>
      </c>
      <c r="R73" s="14" t="n">
        <v>0.49</v>
      </c>
      <c r="S73" s="14" t="n">
        <v>14.25</v>
      </c>
    </row>
    <row r="74" customFormat="false" ht="15" hidden="false" customHeight="false" outlineLevel="0" collapsed="false">
      <c r="A74" s="13" t="n">
        <v>42451</v>
      </c>
      <c r="C74" s="14" t="n">
        <v>0.5</v>
      </c>
      <c r="D74" s="14" t="n">
        <v>0.25</v>
      </c>
      <c r="F74" s="14" t="n">
        <v>-0.4</v>
      </c>
      <c r="G74" s="14" t="n">
        <v>0.5</v>
      </c>
      <c r="H74" s="14" t="n">
        <v>0.464</v>
      </c>
      <c r="I74" s="14" t="n">
        <v>0.462571837894535</v>
      </c>
      <c r="J74" s="14" t="n">
        <v>0.458097884868617</v>
      </c>
      <c r="K74" s="14" t="n">
        <v>0.446825594328242</v>
      </c>
      <c r="L74" s="14" t="n">
        <v>0.437449142169963</v>
      </c>
      <c r="M74" s="14" t="n">
        <v>2.699</v>
      </c>
      <c r="N74" s="14" t="n">
        <v>2.797</v>
      </c>
      <c r="O74" s="14" t="n">
        <v>2.887</v>
      </c>
      <c r="P74" s="14" t="n">
        <v>3.058</v>
      </c>
      <c r="Q74" s="14" t="n">
        <v>0.5</v>
      </c>
      <c r="R74" s="14" t="n">
        <v>0.5</v>
      </c>
      <c r="S74" s="14" t="n">
        <v>14.25</v>
      </c>
    </row>
    <row r="75" customFormat="false" ht="15" hidden="false" customHeight="false" outlineLevel="0" collapsed="false">
      <c r="A75" s="13" t="n">
        <v>42452</v>
      </c>
      <c r="C75" s="14" t="n">
        <v>0.5</v>
      </c>
      <c r="D75" s="14" t="n">
        <v>0.25</v>
      </c>
      <c r="F75" s="14" t="n">
        <v>-0.4</v>
      </c>
      <c r="G75" s="14" t="n">
        <v>0.5</v>
      </c>
      <c r="H75" s="14" t="n">
        <v>0.4694</v>
      </c>
      <c r="I75" s="14" t="n">
        <v>0.462435173170865</v>
      </c>
      <c r="J75" s="14" t="n">
        <v>0.456665149161102</v>
      </c>
      <c r="K75" s="14" t="n">
        <v>0.443339128205303</v>
      </c>
      <c r="L75" s="14" t="n">
        <v>0.428699116469231</v>
      </c>
      <c r="M75" s="14" t="n">
        <v>2.7025</v>
      </c>
      <c r="N75" s="14" t="n">
        <v>2.798</v>
      </c>
      <c r="O75" s="14" t="n">
        <v>2.884</v>
      </c>
      <c r="P75" s="14" t="n">
        <v>3.0555</v>
      </c>
      <c r="Q75" s="14" t="n">
        <v>0.5</v>
      </c>
      <c r="R75" s="14" t="n">
        <v>0.51</v>
      </c>
      <c r="S75" s="14" t="n">
        <v>14.25</v>
      </c>
    </row>
    <row r="76" customFormat="false" ht="15" hidden="false" customHeight="false" outlineLevel="0" collapsed="false">
      <c r="A76" s="13" t="n">
        <v>42453</v>
      </c>
      <c r="C76" s="14" t="n">
        <v>0.5</v>
      </c>
      <c r="D76" s="14" t="n">
        <v>0.25</v>
      </c>
      <c r="F76" s="14" t="n">
        <v>-0.4</v>
      </c>
      <c r="G76" s="14" t="n">
        <v>0.5</v>
      </c>
      <c r="H76" s="14" t="n">
        <v>0.4679</v>
      </c>
      <c r="I76" s="14" t="n">
        <v>0.461586275608127</v>
      </c>
      <c r="J76" s="14" t="n">
        <v>0.454331691622023</v>
      </c>
      <c r="K76" s="14" t="n">
        <v>0.440995252204622</v>
      </c>
      <c r="L76" s="14" t="n">
        <v>0.428375706834602</v>
      </c>
      <c r="M76" s="14" t="n">
        <v>2.704</v>
      </c>
      <c r="N76" s="14" t="n">
        <v>2.799</v>
      </c>
      <c r="O76" s="14" t="n">
        <v>2.8792</v>
      </c>
      <c r="P76" s="14" t="n">
        <v>3.055</v>
      </c>
      <c r="S76" s="14" t="n">
        <v>14.25</v>
      </c>
    </row>
    <row r="77" customFormat="false" ht="15" hidden="false" customHeight="false" outlineLevel="0" collapsed="false">
      <c r="A77" s="13" t="n">
        <v>42454</v>
      </c>
      <c r="C77" s="14" t="n">
        <v>0.5</v>
      </c>
      <c r="D77" s="14" t="n">
        <v>0.25</v>
      </c>
      <c r="F77" s="14" t="n">
        <v>-0.4</v>
      </c>
      <c r="M77" s="14" t="n">
        <v>2.702</v>
      </c>
      <c r="N77" s="14" t="n">
        <v>2.797</v>
      </c>
      <c r="O77" s="14" t="n">
        <v>2.87</v>
      </c>
      <c r="P77" s="14" t="n">
        <v>3.055</v>
      </c>
      <c r="S77" s="14" t="n">
        <v>14.25</v>
      </c>
    </row>
    <row r="78" customFormat="false" ht="15" hidden="false" customHeight="false" outlineLevel="0" collapsed="false">
      <c r="A78" s="13" t="n">
        <v>42457</v>
      </c>
      <c r="C78" s="14" t="n">
        <v>0.5</v>
      </c>
      <c r="D78" s="14" t="n">
        <v>0.25</v>
      </c>
      <c r="F78" s="14" t="n">
        <v>-0.4</v>
      </c>
      <c r="M78" s="14" t="n">
        <v>2.706</v>
      </c>
      <c r="N78" s="14" t="n">
        <v>2.797</v>
      </c>
      <c r="O78" s="14" t="n">
        <v>2.868</v>
      </c>
      <c r="P78" s="14" t="n">
        <v>3.055</v>
      </c>
      <c r="S78" s="14" t="n">
        <v>14.25</v>
      </c>
    </row>
    <row r="79" customFormat="false" ht="15" hidden="false" customHeight="false" outlineLevel="0" collapsed="false">
      <c r="A79" s="13" t="n">
        <v>42458</v>
      </c>
      <c r="C79" s="14" t="n">
        <v>0.5</v>
      </c>
      <c r="D79" s="14" t="n">
        <v>0.25</v>
      </c>
      <c r="F79" s="14" t="n">
        <v>-0.4</v>
      </c>
      <c r="G79" s="14" t="n">
        <v>0.5</v>
      </c>
      <c r="H79" s="14" t="n">
        <v>0.4656</v>
      </c>
      <c r="I79" s="14" t="n">
        <v>0.463028486188283</v>
      </c>
      <c r="J79" s="14" t="n">
        <v>0.454132115560471</v>
      </c>
      <c r="K79" s="14" t="n">
        <v>0.438062507855758</v>
      </c>
      <c r="L79" s="14" t="n">
        <v>0.423351638623001</v>
      </c>
      <c r="M79" s="14" t="n">
        <v>2.729</v>
      </c>
      <c r="N79" s="14" t="n">
        <v>2.8002</v>
      </c>
      <c r="O79" s="14" t="n">
        <v>2.866</v>
      </c>
      <c r="P79" s="14" t="n">
        <v>3.054</v>
      </c>
      <c r="Q79" s="14" t="n">
        <v>0.5</v>
      </c>
      <c r="R79" s="14" t="n">
        <v>0.48</v>
      </c>
      <c r="S79" s="14" t="n">
        <v>14.25</v>
      </c>
    </row>
    <row r="80" customFormat="false" ht="15" hidden="false" customHeight="false" outlineLevel="0" collapsed="false">
      <c r="A80" s="13" t="n">
        <v>42459</v>
      </c>
      <c r="C80" s="14" t="n">
        <v>0.5</v>
      </c>
      <c r="D80" s="14" t="n">
        <v>0.25</v>
      </c>
      <c r="F80" s="14" t="n">
        <v>-0.4</v>
      </c>
      <c r="G80" s="14" t="n">
        <v>0.5</v>
      </c>
      <c r="H80" s="14" t="n">
        <v>0.4638</v>
      </c>
      <c r="I80" s="14" t="n">
        <v>0.465004042809149</v>
      </c>
      <c r="J80" s="14" t="n">
        <v>0.455563556231655</v>
      </c>
      <c r="K80" s="14" t="n">
        <v>0.437493986329229</v>
      </c>
      <c r="L80" s="14" t="n">
        <v>0.424902301784306</v>
      </c>
      <c r="M80" s="14" t="n">
        <v>2.7665</v>
      </c>
      <c r="N80" s="14" t="n">
        <v>2.8115</v>
      </c>
      <c r="O80" s="14" t="n">
        <v>2.869</v>
      </c>
      <c r="P80" s="14" t="n">
        <v>3.052</v>
      </c>
      <c r="Q80" s="14" t="n">
        <v>0.5</v>
      </c>
      <c r="R80" s="14" t="n">
        <v>0.5</v>
      </c>
      <c r="S80" s="14" t="n">
        <v>14.25</v>
      </c>
    </row>
    <row r="81" customFormat="false" ht="15" hidden="false" customHeight="false" outlineLevel="0" collapsed="false">
      <c r="A81" s="13" t="n">
        <v>42460</v>
      </c>
      <c r="C81" s="14" t="n">
        <v>0.5</v>
      </c>
      <c r="D81" s="14" t="n">
        <v>0.25</v>
      </c>
      <c r="F81" s="14" t="n">
        <v>-0.4</v>
      </c>
      <c r="G81" s="14" t="n">
        <v>0.5</v>
      </c>
      <c r="H81" s="14" t="n">
        <v>0.4128</v>
      </c>
      <c r="I81" s="14" t="n">
        <v>0.463729838980191</v>
      </c>
      <c r="J81" s="14" t="n">
        <v>0.455946618862773</v>
      </c>
      <c r="K81" s="14" t="n">
        <v>0.436983100026381</v>
      </c>
      <c r="L81" s="14" t="n">
        <v>0.418894616229056</v>
      </c>
      <c r="M81" s="14" t="n">
        <v>2.807</v>
      </c>
      <c r="N81" s="14" t="n">
        <v>2.8248</v>
      </c>
      <c r="O81" s="14" t="n">
        <v>2.87</v>
      </c>
      <c r="P81" s="14" t="n">
        <v>3.051</v>
      </c>
      <c r="Q81" s="14" t="n">
        <v>0.5</v>
      </c>
      <c r="R81" s="14" t="n">
        <v>0.69</v>
      </c>
      <c r="S81" s="14" t="n">
        <v>14.25</v>
      </c>
    </row>
    <row r="82" customFormat="false" ht="15" hidden="false" customHeight="false" outlineLevel="0" collapsed="false">
      <c r="A82" s="13" t="n">
        <v>42461</v>
      </c>
      <c r="C82" s="14" t="n">
        <v>0.5</v>
      </c>
      <c r="D82" s="14" t="n">
        <v>0.25</v>
      </c>
      <c r="F82" s="14" t="n">
        <v>-0.4</v>
      </c>
      <c r="G82" s="14" t="n">
        <v>0.5</v>
      </c>
      <c r="H82" s="14" t="n">
        <v>0.4651</v>
      </c>
      <c r="I82" s="14" t="n">
        <v>0.463489003923204</v>
      </c>
      <c r="J82" s="14" t="n">
        <v>0.456049841031633</v>
      </c>
      <c r="K82" s="14" t="n">
        <v>0.438057174652911</v>
      </c>
      <c r="L82" s="14" t="n">
        <v>0.417880758776665</v>
      </c>
      <c r="M82" s="14" t="n">
        <v>2.816</v>
      </c>
      <c r="N82" s="14" t="n">
        <v>2.8385</v>
      </c>
      <c r="O82" s="14" t="n">
        <v>2.872</v>
      </c>
      <c r="P82" s="14" t="n">
        <v>3.051</v>
      </c>
      <c r="Q82" s="14" t="n">
        <v>0.5</v>
      </c>
      <c r="R82" s="14" t="n">
        <v>0.47</v>
      </c>
      <c r="S82" s="14" t="n">
        <v>14.25</v>
      </c>
    </row>
    <row r="83" customFormat="false" ht="15" hidden="false" customHeight="false" outlineLevel="0" collapsed="false">
      <c r="A83" s="13" t="n">
        <v>42464</v>
      </c>
      <c r="C83" s="14" t="n">
        <v>0.5</v>
      </c>
      <c r="D83" s="14" t="n">
        <v>0.25</v>
      </c>
      <c r="F83" s="14" t="n">
        <v>-0.4</v>
      </c>
      <c r="G83" s="14" t="n">
        <v>0.5</v>
      </c>
      <c r="H83" s="14" t="n">
        <v>0.4632</v>
      </c>
      <c r="I83" s="14" t="n">
        <v>0.462950881409944</v>
      </c>
      <c r="J83" s="14" t="n">
        <v>0.455359585343246</v>
      </c>
      <c r="K83" s="14" t="n">
        <v>0.436458510056019</v>
      </c>
      <c r="L83" s="14" t="n">
        <v>0.41856449161492</v>
      </c>
      <c r="Q83" s="14" t="n">
        <v>0.5</v>
      </c>
      <c r="R83" s="14" t="n">
        <v>0.48</v>
      </c>
      <c r="S83" s="14" t="n">
        <v>14.25</v>
      </c>
    </row>
    <row r="84" customFormat="false" ht="15" hidden="false" customHeight="false" outlineLevel="0" collapsed="false">
      <c r="A84" s="13" t="n">
        <v>42465</v>
      </c>
      <c r="C84" s="14" t="n">
        <v>0.5</v>
      </c>
      <c r="D84" s="14" t="n">
        <v>0.25</v>
      </c>
      <c r="F84" s="14" t="n">
        <v>-0.4</v>
      </c>
      <c r="G84" s="14" t="n">
        <v>0.5</v>
      </c>
      <c r="H84" s="14" t="n">
        <v>0.4669</v>
      </c>
      <c r="I84" s="14" t="n">
        <v>0.462753228104225</v>
      </c>
      <c r="J84" s="14" t="n">
        <v>0.453490833374722</v>
      </c>
      <c r="K84" s="14" t="n">
        <v>0.431576585553256</v>
      </c>
      <c r="L84" s="14" t="n">
        <v>0.398008897166771</v>
      </c>
      <c r="M84" s="14" t="n">
        <v>2.8212</v>
      </c>
      <c r="N84" s="14" t="n">
        <v>2.846</v>
      </c>
      <c r="O84" s="14" t="n">
        <v>2.878</v>
      </c>
      <c r="P84" s="14" t="n">
        <v>3.05</v>
      </c>
      <c r="Q84" s="14" t="n">
        <v>0.5</v>
      </c>
      <c r="R84" s="14" t="n">
        <v>0.51</v>
      </c>
      <c r="S84" s="14" t="n">
        <v>14.25</v>
      </c>
    </row>
    <row r="85" customFormat="false" ht="15" hidden="false" customHeight="false" outlineLevel="0" collapsed="false">
      <c r="A85" s="13" t="n">
        <v>42466</v>
      </c>
      <c r="C85" s="14" t="n">
        <v>0.5</v>
      </c>
      <c r="D85" s="14" t="n">
        <v>0.25</v>
      </c>
      <c r="F85" s="14" t="n">
        <v>-0.4</v>
      </c>
      <c r="G85" s="14" t="n">
        <v>0.5</v>
      </c>
      <c r="H85" s="14" t="n">
        <v>0.4666</v>
      </c>
      <c r="I85" s="14" t="n">
        <v>0.463246661703757</v>
      </c>
      <c r="J85" s="14" t="n">
        <v>0.453623970876765</v>
      </c>
      <c r="K85" s="14" t="n">
        <v>0.431057862556762</v>
      </c>
      <c r="L85" s="14" t="n">
        <v>0.397359822491784</v>
      </c>
      <c r="M85" s="14" t="n">
        <v>2.8068</v>
      </c>
      <c r="N85" s="14" t="n">
        <v>2.845</v>
      </c>
      <c r="O85" s="14" t="n">
        <v>2.8805</v>
      </c>
      <c r="P85" s="14" t="n">
        <v>3.049</v>
      </c>
      <c r="Q85" s="14" t="n">
        <v>0.5</v>
      </c>
      <c r="R85" s="14" t="n">
        <v>0.48</v>
      </c>
      <c r="S85" s="14" t="n">
        <v>14.25</v>
      </c>
    </row>
    <row r="86" customFormat="false" ht="15" hidden="false" customHeight="false" outlineLevel="0" collapsed="false">
      <c r="A86" s="13" t="n">
        <v>42467</v>
      </c>
      <c r="C86" s="14" t="n">
        <v>0.5</v>
      </c>
      <c r="D86" s="14" t="n">
        <v>0.25</v>
      </c>
      <c r="F86" s="14" t="n">
        <v>-0.4</v>
      </c>
      <c r="G86" s="14" t="n">
        <v>0.5</v>
      </c>
      <c r="H86" s="14" t="n">
        <v>0.4643</v>
      </c>
      <c r="I86" s="14" t="n">
        <v>0.462929279874948</v>
      </c>
      <c r="J86" s="14" t="n">
        <v>0.456823585112803</v>
      </c>
      <c r="K86" s="14" t="n">
        <v>0.434354105069019</v>
      </c>
      <c r="L86" s="14" t="n">
        <v>0.395890277557307</v>
      </c>
      <c r="M86" s="14" t="n">
        <v>2.8</v>
      </c>
      <c r="N86" s="14" t="n">
        <v>2.847</v>
      </c>
      <c r="O86" s="14" t="n">
        <v>2.8825</v>
      </c>
      <c r="P86" s="14" t="n">
        <v>3.048</v>
      </c>
      <c r="Q86" s="14" t="n">
        <v>0.5</v>
      </c>
      <c r="R86" s="14" t="n">
        <v>0.49</v>
      </c>
      <c r="S86" s="14" t="n">
        <v>14.25</v>
      </c>
    </row>
    <row r="87" customFormat="false" ht="15" hidden="false" customHeight="false" outlineLevel="0" collapsed="false">
      <c r="A87" s="13" t="n">
        <v>42468</v>
      </c>
      <c r="C87" s="14" t="n">
        <v>0.5</v>
      </c>
      <c r="D87" s="14" t="n">
        <v>0.25</v>
      </c>
      <c r="F87" s="14" t="n">
        <v>-0.4</v>
      </c>
      <c r="G87" s="14" t="n">
        <v>0.5</v>
      </c>
      <c r="H87" s="14" t="n">
        <v>0.466</v>
      </c>
      <c r="I87" s="14" t="n">
        <v>0.464055272162779</v>
      </c>
      <c r="J87" s="14" t="n">
        <v>0.455133778005274</v>
      </c>
      <c r="K87" s="14" t="n">
        <v>0.428509611170567</v>
      </c>
      <c r="L87" s="14" t="n">
        <v>0.389814426084251</v>
      </c>
      <c r="M87" s="14" t="n">
        <v>2.798</v>
      </c>
      <c r="N87" s="14" t="n">
        <v>2.8455</v>
      </c>
      <c r="O87" s="14" t="n">
        <v>2.8828</v>
      </c>
      <c r="P87" s="14" t="n">
        <v>3.047</v>
      </c>
      <c r="Q87" s="14" t="n">
        <v>0.5</v>
      </c>
      <c r="R87" s="14" t="n">
        <v>0.48</v>
      </c>
      <c r="S87" s="14" t="n">
        <v>14.25</v>
      </c>
    </row>
    <row r="88" customFormat="false" ht="15" hidden="false" customHeight="false" outlineLevel="0" collapsed="false">
      <c r="A88" s="13" t="n">
        <v>42471</v>
      </c>
      <c r="C88" s="14" t="n">
        <v>0.5</v>
      </c>
      <c r="D88" s="14" t="n">
        <v>0.25</v>
      </c>
      <c r="F88" s="14" t="n">
        <v>-0.4</v>
      </c>
      <c r="G88" s="14" t="n">
        <v>0.5</v>
      </c>
      <c r="H88" s="14" t="n">
        <v>0.4665</v>
      </c>
      <c r="I88" s="14" t="n">
        <v>0.463280690524595</v>
      </c>
      <c r="J88" s="14" t="n">
        <v>0.45369914040093</v>
      </c>
      <c r="K88" s="14" t="n">
        <v>0.427895729248231</v>
      </c>
      <c r="L88" s="14" t="n">
        <v>0.394589094621468</v>
      </c>
      <c r="M88" s="14" t="n">
        <v>2.797</v>
      </c>
      <c r="N88" s="14" t="n">
        <v>2.8485</v>
      </c>
      <c r="O88" s="14" t="n">
        <v>2.885</v>
      </c>
      <c r="P88" s="14" t="n">
        <v>3.042</v>
      </c>
      <c r="Q88" s="14" t="n">
        <v>0.5</v>
      </c>
      <c r="R88" s="14" t="n">
        <v>0.52</v>
      </c>
      <c r="S88" s="14" t="n">
        <v>14.25</v>
      </c>
    </row>
    <row r="89" customFormat="false" ht="15" hidden="false" customHeight="false" outlineLevel="0" collapsed="false">
      <c r="A89" s="13" t="n">
        <v>42472</v>
      </c>
      <c r="C89" s="14" t="n">
        <v>0.5</v>
      </c>
      <c r="D89" s="14" t="n">
        <v>0.25</v>
      </c>
      <c r="F89" s="14" t="n">
        <v>-0.4</v>
      </c>
      <c r="G89" s="14" t="n">
        <v>0.5</v>
      </c>
      <c r="H89" s="14" t="n">
        <v>0.4722</v>
      </c>
      <c r="I89" s="14" t="n">
        <v>0.463528576476636</v>
      </c>
      <c r="J89" s="14" t="n">
        <v>0.454312593504612</v>
      </c>
      <c r="K89" s="14" t="n">
        <v>0.430850967848319</v>
      </c>
      <c r="L89" s="14" t="n">
        <v>0.407137705998766</v>
      </c>
      <c r="M89" s="14" t="n">
        <v>2.797</v>
      </c>
      <c r="N89" s="14" t="n">
        <v>2.847</v>
      </c>
      <c r="O89" s="14" t="n">
        <v>2.8875</v>
      </c>
      <c r="P89" s="14" t="n">
        <v>3.043</v>
      </c>
      <c r="Q89" s="14" t="n">
        <v>0.5</v>
      </c>
      <c r="R89" s="14" t="n">
        <v>0.48</v>
      </c>
      <c r="S89" s="14" t="n">
        <v>14.25</v>
      </c>
    </row>
    <row r="90" customFormat="false" ht="15" hidden="false" customHeight="false" outlineLevel="0" collapsed="false">
      <c r="A90" s="13" t="n">
        <v>42473</v>
      </c>
      <c r="C90" s="14" t="n">
        <v>0.5</v>
      </c>
      <c r="D90" s="14" t="n">
        <v>0.25</v>
      </c>
      <c r="F90" s="14" t="n">
        <v>-0.4</v>
      </c>
      <c r="G90" s="14" t="n">
        <v>0.5</v>
      </c>
      <c r="H90" s="14" t="n">
        <v>0.4696</v>
      </c>
      <c r="I90" s="14" t="n">
        <v>0.464879440124316</v>
      </c>
      <c r="J90" s="14" t="n">
        <v>0.457326195582727</v>
      </c>
      <c r="K90" s="14" t="n">
        <v>0.433865301010095</v>
      </c>
      <c r="L90" s="14" t="n">
        <v>0.410909489716283</v>
      </c>
      <c r="M90" s="14" t="n">
        <v>2.799</v>
      </c>
      <c r="N90" s="14" t="n">
        <v>2.8485</v>
      </c>
      <c r="O90" s="14" t="n">
        <v>2.8905</v>
      </c>
      <c r="P90" s="14" t="n">
        <v>3.042</v>
      </c>
      <c r="Q90" s="14" t="n">
        <v>0.5</v>
      </c>
      <c r="R90" s="14" t="n">
        <v>0.48</v>
      </c>
      <c r="S90" s="14" t="n">
        <v>14.25</v>
      </c>
    </row>
    <row r="91" customFormat="false" ht="15" hidden="false" customHeight="false" outlineLevel="0" collapsed="false">
      <c r="A91" s="13" t="n">
        <v>42474</v>
      </c>
      <c r="C91" s="14" t="n">
        <v>0.5</v>
      </c>
      <c r="D91" s="14" t="n">
        <v>0.25</v>
      </c>
      <c r="F91" s="14" t="n">
        <v>-0.4</v>
      </c>
      <c r="G91" s="14" t="n">
        <v>0.5</v>
      </c>
      <c r="H91" s="14" t="n">
        <v>0.4717</v>
      </c>
      <c r="I91" s="14" t="n">
        <v>0.464999480535092</v>
      </c>
      <c r="J91" s="14" t="n">
        <v>0.456950695307815</v>
      </c>
      <c r="K91" s="14" t="n">
        <v>0.436141651749065</v>
      </c>
      <c r="L91" s="14" t="n">
        <v>0.413466646329355</v>
      </c>
      <c r="M91" s="14" t="n">
        <v>2.799</v>
      </c>
      <c r="N91" s="14" t="n">
        <v>2.8487</v>
      </c>
      <c r="O91" s="14" t="n">
        <v>2.8928</v>
      </c>
      <c r="P91" s="14" t="n">
        <v>3.042</v>
      </c>
      <c r="Q91" s="14" t="n">
        <v>0.5</v>
      </c>
      <c r="R91" s="14" t="n">
        <v>0.5</v>
      </c>
      <c r="S91" s="14" t="n">
        <v>14.25</v>
      </c>
    </row>
    <row r="92" customFormat="false" ht="15" hidden="false" customHeight="false" outlineLevel="0" collapsed="false">
      <c r="A92" s="13" t="n">
        <v>42475</v>
      </c>
      <c r="C92" s="14" t="n">
        <v>0.5</v>
      </c>
      <c r="D92" s="14" t="n">
        <v>0.25</v>
      </c>
      <c r="F92" s="14" t="n">
        <v>-0.4</v>
      </c>
      <c r="G92" s="14" t="n">
        <v>0.5</v>
      </c>
      <c r="H92" s="14" t="n">
        <v>0.4719</v>
      </c>
      <c r="I92" s="14" t="n">
        <v>0.46494075844119</v>
      </c>
      <c r="J92" s="14" t="n">
        <v>0.45779745177124</v>
      </c>
      <c r="K92" s="14" t="n">
        <v>0.436090163617417</v>
      </c>
      <c r="L92" s="14" t="n">
        <v>0.411309485315652</v>
      </c>
      <c r="M92" s="14" t="n">
        <v>2.799</v>
      </c>
      <c r="N92" s="14" t="n">
        <v>2.848</v>
      </c>
      <c r="O92" s="14" t="n">
        <v>2.894</v>
      </c>
      <c r="P92" s="14" t="n">
        <v>3.044</v>
      </c>
      <c r="Q92" s="14" t="n">
        <v>0.5</v>
      </c>
      <c r="R92" s="14" t="n">
        <v>0.5</v>
      </c>
      <c r="S92" s="14" t="n">
        <v>14.25</v>
      </c>
    </row>
    <row r="93" customFormat="false" ht="15" hidden="false" customHeight="false" outlineLevel="0" collapsed="false">
      <c r="A93" s="13" t="n">
        <v>42478</v>
      </c>
      <c r="C93" s="14" t="n">
        <v>0.5</v>
      </c>
      <c r="D93" s="14" t="n">
        <v>0.25</v>
      </c>
      <c r="F93" s="14" t="n">
        <v>-0.4</v>
      </c>
      <c r="G93" s="14" t="n">
        <v>0.5</v>
      </c>
      <c r="H93" s="14" t="n">
        <v>0.4699</v>
      </c>
      <c r="I93" s="14" t="n">
        <v>0.464951651963859</v>
      </c>
      <c r="J93" s="14" t="n">
        <v>0.456755792940336</v>
      </c>
      <c r="K93" s="14" t="n">
        <v>0.433676532715086</v>
      </c>
      <c r="L93" s="14" t="n">
        <v>0.413357630704512</v>
      </c>
      <c r="M93" s="14" t="n">
        <v>2.799</v>
      </c>
      <c r="N93" s="14" t="n">
        <v>2.848</v>
      </c>
      <c r="O93" s="14" t="n">
        <v>2.893</v>
      </c>
      <c r="P93" s="14" t="n">
        <v>3.042</v>
      </c>
      <c r="Q93" s="14" t="n">
        <v>0.5</v>
      </c>
      <c r="R93" s="14" t="n">
        <v>0.49</v>
      </c>
      <c r="S93" s="14" t="n">
        <v>14.25</v>
      </c>
    </row>
    <row r="94" customFormat="false" ht="15" hidden="false" customHeight="false" outlineLevel="0" collapsed="false">
      <c r="A94" s="13" t="n">
        <v>42479</v>
      </c>
      <c r="C94" s="14" t="n">
        <v>0.5</v>
      </c>
      <c r="D94" s="14" t="n">
        <v>0.25</v>
      </c>
      <c r="F94" s="14" t="n">
        <v>-0.4</v>
      </c>
      <c r="G94" s="14" t="n">
        <v>0.5</v>
      </c>
      <c r="H94" s="14" t="n">
        <v>0.4706</v>
      </c>
      <c r="I94" s="14" t="n">
        <v>0.464952610869702</v>
      </c>
      <c r="J94" s="14" t="n">
        <v>0.458946170925129</v>
      </c>
      <c r="K94" s="14" t="n">
        <v>0.440426457259147</v>
      </c>
      <c r="L94" s="14" t="n">
        <v>0.429460251455528</v>
      </c>
      <c r="M94" s="14" t="n">
        <v>2.8</v>
      </c>
      <c r="N94" s="14" t="n">
        <v>2.85</v>
      </c>
      <c r="O94" s="14" t="n">
        <v>2.894</v>
      </c>
      <c r="P94" s="14" t="n">
        <v>3.043</v>
      </c>
      <c r="Q94" s="14" t="n">
        <v>0.5</v>
      </c>
      <c r="R94" s="14" t="n">
        <v>0.51</v>
      </c>
      <c r="S94" s="14" t="n">
        <v>14.25</v>
      </c>
    </row>
    <row r="95" customFormat="false" ht="15" hidden="false" customHeight="false" outlineLevel="0" collapsed="false">
      <c r="A95" s="13" t="n">
        <v>42480</v>
      </c>
      <c r="C95" s="14" t="n">
        <v>0.5</v>
      </c>
      <c r="D95" s="14" t="n">
        <v>0.25</v>
      </c>
      <c r="F95" s="14" t="n">
        <v>-0.4</v>
      </c>
      <c r="G95" s="14" t="n">
        <v>0.5</v>
      </c>
      <c r="H95" s="14" t="n">
        <v>0.4646</v>
      </c>
      <c r="I95" s="14" t="n">
        <v>0.465158959672242</v>
      </c>
      <c r="J95" s="14" t="n">
        <v>0.460243043354738</v>
      </c>
      <c r="K95" s="14" t="n">
        <v>0.444077880929382</v>
      </c>
      <c r="L95" s="14" t="n">
        <v>0.437242953973808</v>
      </c>
      <c r="M95" s="14" t="n">
        <v>2.803</v>
      </c>
      <c r="N95" s="14" t="n">
        <v>2.851</v>
      </c>
      <c r="O95" s="14" t="n">
        <v>2.894</v>
      </c>
      <c r="P95" s="14" t="n">
        <v>3.042</v>
      </c>
      <c r="Q95" s="14" t="n">
        <v>0.5</v>
      </c>
      <c r="R95" s="14" t="n">
        <v>0.51</v>
      </c>
      <c r="S95" s="14" t="n">
        <v>14.25</v>
      </c>
    </row>
    <row r="96" customFormat="false" ht="15" hidden="false" customHeight="false" outlineLevel="0" collapsed="false">
      <c r="A96" s="13" t="n">
        <v>42481</v>
      </c>
      <c r="C96" s="14" t="n">
        <v>0.5</v>
      </c>
      <c r="D96" s="14" t="n">
        <v>0.25</v>
      </c>
      <c r="F96" s="14" t="n">
        <v>-0.4</v>
      </c>
      <c r="G96" s="14" t="n">
        <v>0.5</v>
      </c>
      <c r="H96" s="14" t="n">
        <v>0.4641</v>
      </c>
      <c r="I96" s="14" t="n">
        <v>0.465046548169204</v>
      </c>
      <c r="J96" s="14" t="n">
        <v>0.460906997229106</v>
      </c>
      <c r="K96" s="14" t="n">
        <v>0.448016771604223</v>
      </c>
      <c r="L96" s="14" t="n">
        <v>0.450271904864146</v>
      </c>
      <c r="M96" s="14" t="n">
        <v>2.8055</v>
      </c>
      <c r="N96" s="14" t="n">
        <v>2.861</v>
      </c>
      <c r="O96" s="14" t="n">
        <v>2.8965</v>
      </c>
      <c r="P96" s="14" t="n">
        <v>3.042</v>
      </c>
      <c r="Q96" s="14" t="n">
        <v>0.5</v>
      </c>
      <c r="R96" s="14" t="n">
        <v>0.51</v>
      </c>
      <c r="S96" s="14" t="n">
        <v>14.25</v>
      </c>
    </row>
    <row r="97" customFormat="false" ht="15" hidden="false" customHeight="false" outlineLevel="0" collapsed="false">
      <c r="A97" s="13" t="n">
        <v>42482</v>
      </c>
      <c r="C97" s="14" t="n">
        <v>0.5</v>
      </c>
      <c r="D97" s="14" t="n">
        <v>0.25</v>
      </c>
      <c r="F97" s="14" t="n">
        <v>-0.4</v>
      </c>
      <c r="G97" s="14" t="n">
        <v>0.5</v>
      </c>
      <c r="H97" s="14" t="n">
        <v>0.4711</v>
      </c>
      <c r="I97" s="14" t="n">
        <v>0.464122450390265</v>
      </c>
      <c r="J97" s="14" t="n">
        <v>0.459833961676704</v>
      </c>
      <c r="K97" s="14" t="n">
        <v>0.44775459491633</v>
      </c>
      <c r="L97" s="14" t="n">
        <v>0.451062643156988</v>
      </c>
      <c r="M97" s="14" t="n">
        <v>2.8115</v>
      </c>
      <c r="N97" s="14" t="n">
        <v>2.868</v>
      </c>
      <c r="O97" s="14" t="n">
        <v>2.9025</v>
      </c>
      <c r="P97" s="14" t="n">
        <v>3.042</v>
      </c>
      <c r="Q97" s="14" t="n">
        <v>0.5</v>
      </c>
      <c r="R97" s="14" t="n">
        <v>0.5</v>
      </c>
      <c r="S97" s="14" t="n">
        <v>14.25</v>
      </c>
    </row>
    <row r="98" customFormat="false" ht="15" hidden="false" customHeight="false" outlineLevel="0" collapsed="false">
      <c r="A98" s="13" t="n">
        <v>42485</v>
      </c>
      <c r="C98" s="14" t="n">
        <v>0.5</v>
      </c>
      <c r="D98" s="14" t="n">
        <v>0.25</v>
      </c>
      <c r="F98" s="14" t="n">
        <v>-0.4</v>
      </c>
      <c r="G98" s="14" t="n">
        <v>0.5</v>
      </c>
      <c r="H98" s="14" t="n">
        <v>0.4679</v>
      </c>
      <c r="I98" s="14" t="n">
        <v>0.465944020487071</v>
      </c>
      <c r="J98" s="14" t="n">
        <v>0.460315008568506</v>
      </c>
      <c r="K98" s="14" t="n">
        <v>0.446782186713905</v>
      </c>
      <c r="L98" s="14" t="n">
        <v>0.449925664431665</v>
      </c>
      <c r="M98" s="14" t="n">
        <v>2.823</v>
      </c>
      <c r="N98" s="14" t="n">
        <v>2.8735</v>
      </c>
      <c r="O98" s="14" t="n">
        <v>2.904</v>
      </c>
      <c r="P98" s="14" t="n">
        <v>3.042</v>
      </c>
      <c r="Q98" s="14" t="n">
        <v>0.5</v>
      </c>
      <c r="R98" s="14" t="n">
        <v>0.5</v>
      </c>
      <c r="S98" s="14" t="n">
        <v>14.25</v>
      </c>
    </row>
    <row r="99" customFormat="false" ht="15" hidden="false" customHeight="false" outlineLevel="0" collapsed="false">
      <c r="A99" s="13" t="n">
        <v>42486</v>
      </c>
      <c r="C99" s="14" t="n">
        <v>0.5</v>
      </c>
      <c r="D99" s="14" t="n">
        <v>0.25</v>
      </c>
      <c r="F99" s="14" t="n">
        <v>-0.4</v>
      </c>
      <c r="G99" s="14" t="n">
        <v>0.5</v>
      </c>
      <c r="H99" s="14" t="n">
        <v>0.4613</v>
      </c>
      <c r="I99" s="14" t="n">
        <v>0.466162795823142</v>
      </c>
      <c r="J99" s="14" t="n">
        <v>0.460732970414177</v>
      </c>
      <c r="K99" s="14" t="n">
        <v>0.447343353932349</v>
      </c>
      <c r="L99" s="14" t="n">
        <v>0.457756675934058</v>
      </c>
      <c r="M99" s="14" t="n">
        <v>2.829</v>
      </c>
      <c r="N99" s="14" t="n">
        <v>2.8775</v>
      </c>
      <c r="O99" s="14" t="n">
        <v>2.907</v>
      </c>
      <c r="P99" s="14" t="n">
        <v>3.042</v>
      </c>
      <c r="Q99" s="14" t="n">
        <v>0.5</v>
      </c>
      <c r="R99" s="14" t="n">
        <v>0.49</v>
      </c>
      <c r="S99" s="14" t="n">
        <v>14.25</v>
      </c>
    </row>
    <row r="100" customFormat="false" ht="15" hidden="false" customHeight="false" outlineLevel="0" collapsed="false">
      <c r="A100" s="13" t="n">
        <v>42487</v>
      </c>
      <c r="C100" s="14" t="n">
        <v>0.5</v>
      </c>
      <c r="D100" s="14" t="n">
        <v>0.25</v>
      </c>
      <c r="F100" s="14" t="n">
        <v>-0.4</v>
      </c>
      <c r="G100" s="14" t="n">
        <v>0.5</v>
      </c>
      <c r="H100" s="14" t="n">
        <v>0.4594</v>
      </c>
      <c r="I100" s="14" t="n">
        <v>0.464462864446751</v>
      </c>
      <c r="J100" s="14" t="n">
        <v>0.457988160555633</v>
      </c>
      <c r="K100" s="14" t="n">
        <v>0.445067046189794</v>
      </c>
      <c r="L100" s="14" t="n">
        <v>0.456680146337498</v>
      </c>
      <c r="M100" s="14" t="n">
        <v>2.833</v>
      </c>
      <c r="N100" s="14" t="n">
        <v>2.883</v>
      </c>
      <c r="O100" s="14" t="n">
        <v>2.912</v>
      </c>
      <c r="P100" s="14" t="n">
        <v>3.042</v>
      </c>
      <c r="Q100" s="14" t="n">
        <v>0.5</v>
      </c>
      <c r="R100" s="14" t="n">
        <v>0.49</v>
      </c>
      <c r="S100" s="14" t="n">
        <v>14.25</v>
      </c>
    </row>
    <row r="101" customFormat="false" ht="15" hidden="false" customHeight="false" outlineLevel="0" collapsed="false">
      <c r="A101" s="13" t="n">
        <v>42488</v>
      </c>
      <c r="C101" s="14" t="n">
        <v>0.5</v>
      </c>
      <c r="D101" s="14" t="n">
        <v>0.25</v>
      </c>
      <c r="F101" s="14" t="n">
        <v>-0.4</v>
      </c>
      <c r="G101" s="14" t="n">
        <v>0.5</v>
      </c>
      <c r="H101" s="14" t="n">
        <v>0.4616</v>
      </c>
      <c r="I101" s="14" t="n">
        <v>0.465570146291251</v>
      </c>
      <c r="J101" s="14" t="n">
        <v>0.458228307746555</v>
      </c>
      <c r="K101" s="14" t="n">
        <v>0.441740894667291</v>
      </c>
      <c r="L101" s="14" t="n">
        <v>0.447953636006577</v>
      </c>
      <c r="M101" s="14" t="n">
        <v>2.8415</v>
      </c>
      <c r="N101" s="14" t="n">
        <v>2.8925</v>
      </c>
      <c r="O101" s="14" t="n">
        <v>2.9166</v>
      </c>
      <c r="P101" s="14" t="n">
        <v>3.042</v>
      </c>
      <c r="Q101" s="14" t="n">
        <v>0.5</v>
      </c>
      <c r="R101" s="14" t="n">
        <v>0.49</v>
      </c>
      <c r="S101" s="14" t="n">
        <v>14.25</v>
      </c>
    </row>
    <row r="102" customFormat="false" ht="15" hidden="false" customHeight="false" outlineLevel="0" collapsed="false">
      <c r="A102" s="13" t="n">
        <v>42489</v>
      </c>
      <c r="C102" s="14" t="n">
        <v>0.5</v>
      </c>
      <c r="D102" s="14" t="n">
        <v>0.25</v>
      </c>
      <c r="F102" s="14" t="n">
        <v>-0.4</v>
      </c>
      <c r="G102" s="14" t="n">
        <v>0.5</v>
      </c>
      <c r="H102" s="14" t="n">
        <v>0.4584</v>
      </c>
      <c r="I102" s="14" t="n">
        <v>0.463126310164261</v>
      </c>
      <c r="J102" s="14" t="n">
        <v>0.456491925442739</v>
      </c>
      <c r="K102" s="14" t="n">
        <v>0.440251892107295</v>
      </c>
      <c r="L102" s="14" t="n">
        <v>0.445964309244661</v>
      </c>
      <c r="M102" s="14" t="n">
        <v>2.853</v>
      </c>
      <c r="N102" s="14" t="n">
        <v>2.908</v>
      </c>
      <c r="O102" s="14" t="n">
        <v>2.927</v>
      </c>
      <c r="P102" s="14" t="n">
        <v>3.042</v>
      </c>
      <c r="Q102" s="14" t="n">
        <v>0.5</v>
      </c>
      <c r="R102" s="14" t="n">
        <v>0.48</v>
      </c>
      <c r="S102" s="14" t="n">
        <v>14.25</v>
      </c>
    </row>
    <row r="103" customFormat="false" ht="15" hidden="false" customHeight="false" outlineLevel="0" collapsed="false">
      <c r="A103" s="13" t="n">
        <v>42492</v>
      </c>
      <c r="C103" s="14" t="n">
        <v>0.5</v>
      </c>
      <c r="D103" s="14" t="n">
        <v>0.25</v>
      </c>
      <c r="F103" s="14" t="n">
        <v>-0.4</v>
      </c>
      <c r="Q103" s="14" t="n">
        <v>0.5</v>
      </c>
      <c r="R103" s="14" t="n">
        <v>0.49</v>
      </c>
      <c r="S103" s="14" t="n">
        <v>14.25</v>
      </c>
    </row>
    <row r="104" customFormat="false" ht="15" hidden="false" customHeight="false" outlineLevel="0" collapsed="false">
      <c r="A104" s="13" t="n">
        <v>42493</v>
      </c>
      <c r="C104" s="14" t="n">
        <v>0.5</v>
      </c>
      <c r="D104" s="14" t="n">
        <v>0.25</v>
      </c>
      <c r="F104" s="14" t="n">
        <v>-0.4</v>
      </c>
      <c r="G104" s="14" t="n">
        <v>0.5</v>
      </c>
      <c r="H104" s="14" t="n">
        <v>0.4609</v>
      </c>
      <c r="I104" s="14" t="n">
        <v>0.462642012662322</v>
      </c>
      <c r="J104" s="14" t="n">
        <v>0.453896081212266</v>
      </c>
      <c r="K104" s="14" t="n">
        <v>0.435709618896647</v>
      </c>
      <c r="L104" s="14" t="n">
        <v>0.429702244017694</v>
      </c>
      <c r="M104" s="14" t="n">
        <v>2.8489</v>
      </c>
      <c r="N104" s="14" t="n">
        <v>2.9044</v>
      </c>
      <c r="O104" s="14" t="n">
        <v>2.93</v>
      </c>
      <c r="P104" s="14" t="n">
        <v>3.0422</v>
      </c>
      <c r="Q104" s="14" t="n">
        <v>0.5</v>
      </c>
      <c r="R104" s="14" t="n">
        <v>0.48</v>
      </c>
      <c r="S104" s="14" t="n">
        <v>14.25</v>
      </c>
    </row>
    <row r="105" customFormat="false" ht="15" hidden="false" customHeight="false" outlineLevel="0" collapsed="false">
      <c r="A105" s="13" t="n">
        <v>42494</v>
      </c>
      <c r="C105" s="14" t="n">
        <v>0.5</v>
      </c>
      <c r="D105" s="14" t="n">
        <v>0.25</v>
      </c>
      <c r="F105" s="14" t="n">
        <v>-0.4</v>
      </c>
      <c r="G105" s="14" t="n">
        <v>0.5</v>
      </c>
      <c r="H105" s="14" t="n">
        <v>0.4707</v>
      </c>
      <c r="I105" s="14" t="n">
        <v>0.462218476128941</v>
      </c>
      <c r="J105" s="14" t="n">
        <v>0.448815003119877</v>
      </c>
      <c r="K105" s="14" t="n">
        <v>0.424817342738548</v>
      </c>
      <c r="L105" s="14" t="n">
        <v>0.418267260109084</v>
      </c>
      <c r="M105" s="14" t="n">
        <v>2.845</v>
      </c>
      <c r="N105" s="14" t="n">
        <v>2.899</v>
      </c>
      <c r="O105" s="14" t="n">
        <v>2.933</v>
      </c>
      <c r="P105" s="14" t="n">
        <v>3.042</v>
      </c>
      <c r="Q105" s="14" t="n">
        <v>0.5</v>
      </c>
      <c r="R105" s="14" t="n">
        <v>0.47</v>
      </c>
      <c r="S105" s="14" t="n">
        <v>14.25</v>
      </c>
    </row>
    <row r="106" customFormat="false" ht="15" hidden="false" customHeight="false" outlineLevel="0" collapsed="false">
      <c r="A106" s="13" t="n">
        <v>42495</v>
      </c>
      <c r="C106" s="14" t="n">
        <v>0.5</v>
      </c>
      <c r="D106" s="14" t="n">
        <v>0.25</v>
      </c>
      <c r="F106" s="14" t="n">
        <v>-0.4</v>
      </c>
      <c r="G106" s="14" t="n">
        <v>0.5</v>
      </c>
      <c r="H106" s="14" t="n">
        <v>0.4619</v>
      </c>
      <c r="I106" s="14" t="n">
        <v>0.462438377899496</v>
      </c>
      <c r="J106" s="14" t="n">
        <v>0.447309885839728</v>
      </c>
      <c r="K106" s="14" t="n">
        <v>0.420595170904948</v>
      </c>
      <c r="L106" s="14" t="n">
        <v>0.402879379266172</v>
      </c>
      <c r="M106" s="14" t="n">
        <v>2.846</v>
      </c>
      <c r="N106" s="14" t="n">
        <v>2.896</v>
      </c>
      <c r="O106" s="14" t="n">
        <v>2.9345</v>
      </c>
      <c r="P106" s="14" t="n">
        <v>3.042</v>
      </c>
      <c r="S106" s="14" t="n">
        <v>14.25</v>
      </c>
    </row>
    <row r="107" customFormat="false" ht="15" hidden="false" customHeight="false" outlineLevel="0" collapsed="false">
      <c r="A107" s="13" t="n">
        <v>42496</v>
      </c>
      <c r="C107" s="14" t="n">
        <v>0.5</v>
      </c>
      <c r="D107" s="14" t="n">
        <v>0.25</v>
      </c>
      <c r="F107" s="14" t="n">
        <v>-0.4</v>
      </c>
      <c r="G107" s="14" t="n">
        <v>0.5</v>
      </c>
      <c r="H107" s="14" t="n">
        <v>0.4631</v>
      </c>
      <c r="I107" s="14" t="n">
        <v>0.460680504692338</v>
      </c>
      <c r="J107" s="14" t="n">
        <v>0.445020329575506</v>
      </c>
      <c r="K107" s="14" t="n">
        <v>0.41513643717674</v>
      </c>
      <c r="L107" s="14" t="n">
        <v>0.388100162862742</v>
      </c>
      <c r="M107" s="14" t="n">
        <v>2.842</v>
      </c>
      <c r="N107" s="14" t="n">
        <v>2.894</v>
      </c>
      <c r="O107" s="14" t="n">
        <v>2.9335</v>
      </c>
      <c r="P107" s="14" t="n">
        <v>3.042</v>
      </c>
      <c r="Q107" s="14" t="n">
        <v>0.5</v>
      </c>
      <c r="R107" s="14" t="n">
        <v>0.49</v>
      </c>
      <c r="S107" s="14" t="n">
        <v>14.25</v>
      </c>
    </row>
    <row r="108" customFormat="false" ht="15" hidden="false" customHeight="false" outlineLevel="0" collapsed="false">
      <c r="A108" s="13" t="n">
        <v>42499</v>
      </c>
      <c r="C108" s="14" t="n">
        <v>0.5</v>
      </c>
      <c r="D108" s="14" t="n">
        <v>0.25</v>
      </c>
      <c r="F108" s="14" t="n">
        <v>-0.4</v>
      </c>
      <c r="G108" s="14" t="n">
        <v>0.5</v>
      </c>
      <c r="H108" s="14" t="n">
        <v>0.463</v>
      </c>
      <c r="I108" s="14" t="n">
        <v>0.463136509247749</v>
      </c>
      <c r="J108" s="14" t="n">
        <v>0.443144612901052</v>
      </c>
      <c r="K108" s="14" t="n">
        <v>0.406286993441153</v>
      </c>
      <c r="L108" s="14" t="n">
        <v>0.375411190355666</v>
      </c>
      <c r="M108" s="14" t="n">
        <v>2.841</v>
      </c>
      <c r="N108" s="14" t="n">
        <v>2.892</v>
      </c>
      <c r="O108" s="14" t="n">
        <v>2.9325</v>
      </c>
      <c r="P108" s="14" t="n">
        <v>3.042</v>
      </c>
      <c r="Q108" s="14" t="n">
        <v>0.5</v>
      </c>
      <c r="R108" s="14" t="n">
        <v>0.5</v>
      </c>
      <c r="S108" s="14" t="n">
        <v>14.25</v>
      </c>
    </row>
    <row r="109" customFormat="false" ht="15" hidden="false" customHeight="false" outlineLevel="0" collapsed="false">
      <c r="A109" s="13" t="n">
        <v>42500</v>
      </c>
      <c r="C109" s="14" t="n">
        <v>0.5</v>
      </c>
      <c r="D109" s="14" t="n">
        <v>0.25</v>
      </c>
      <c r="F109" s="14" t="n">
        <v>-0.4</v>
      </c>
      <c r="G109" s="14" t="n">
        <v>0.5</v>
      </c>
      <c r="H109" s="14" t="n">
        <v>0.4606</v>
      </c>
      <c r="I109" s="14" t="n">
        <v>0.462827843270684</v>
      </c>
      <c r="J109" s="14" t="n">
        <v>0.443062037645823</v>
      </c>
      <c r="K109" s="14" t="n">
        <v>0.40632029218993</v>
      </c>
      <c r="L109" s="14" t="n">
        <v>0.376972992238709</v>
      </c>
      <c r="M109" s="14" t="n">
        <v>2.841</v>
      </c>
      <c r="N109" s="14" t="n">
        <v>2.892</v>
      </c>
      <c r="O109" s="14" t="n">
        <v>2.9345</v>
      </c>
      <c r="P109" s="14" t="n">
        <v>3.042</v>
      </c>
      <c r="Q109" s="14" t="n">
        <v>0.5</v>
      </c>
      <c r="R109" s="14" t="n">
        <v>0.49</v>
      </c>
      <c r="S109" s="14" t="n">
        <v>14.25</v>
      </c>
    </row>
    <row r="110" customFormat="false" ht="15" hidden="false" customHeight="false" outlineLevel="0" collapsed="false">
      <c r="A110" s="13" t="n">
        <v>42501</v>
      </c>
      <c r="C110" s="14" t="n">
        <v>0.5</v>
      </c>
      <c r="D110" s="14" t="n">
        <v>0.25</v>
      </c>
      <c r="F110" s="14" t="n">
        <v>-0.4</v>
      </c>
      <c r="G110" s="14" t="n">
        <v>0.5</v>
      </c>
      <c r="H110" s="14" t="n">
        <v>0.4609</v>
      </c>
      <c r="I110" s="14" t="n">
        <v>0.4627116529811</v>
      </c>
      <c r="J110" s="14" t="n">
        <v>0.441704703245308</v>
      </c>
      <c r="K110" s="14" t="n">
        <v>0.405162795479448</v>
      </c>
      <c r="L110" s="14" t="n">
        <v>0.378844485007321</v>
      </c>
      <c r="M110" s="14" t="n">
        <v>2.838</v>
      </c>
      <c r="N110" s="14" t="n">
        <v>2.894</v>
      </c>
      <c r="O110" s="14" t="n">
        <v>2.9385</v>
      </c>
      <c r="P110" s="14" t="n">
        <v>3.043</v>
      </c>
      <c r="Q110" s="14" t="n">
        <v>0.5</v>
      </c>
      <c r="R110" s="14" t="n">
        <v>0.49</v>
      </c>
      <c r="S110" s="14" t="n">
        <v>14.25</v>
      </c>
    </row>
    <row r="111" customFormat="false" ht="15" hidden="false" customHeight="false" outlineLevel="0" collapsed="false">
      <c r="A111" s="13" t="n">
        <v>42502</v>
      </c>
      <c r="C111" s="14" t="n">
        <v>0.5</v>
      </c>
      <c r="D111" s="14" t="n">
        <v>0.25</v>
      </c>
      <c r="F111" s="14" t="n">
        <v>-0.4</v>
      </c>
      <c r="G111" s="14" t="n">
        <v>0.5</v>
      </c>
      <c r="H111" s="14" t="n">
        <v>0.461</v>
      </c>
      <c r="I111" s="14" t="n">
        <v>0.463405557847937</v>
      </c>
      <c r="J111" s="14" t="n">
        <v>0.444138486810476</v>
      </c>
      <c r="K111" s="14" t="n">
        <v>0.414739298502501</v>
      </c>
      <c r="L111" s="14" t="n">
        <v>0.399478689572254</v>
      </c>
      <c r="M111" s="14" t="n">
        <v>2.835</v>
      </c>
      <c r="N111" s="14" t="n">
        <v>2.8955</v>
      </c>
      <c r="O111" s="14" t="n">
        <v>2.9418</v>
      </c>
      <c r="P111" s="14" t="n">
        <v>3.044</v>
      </c>
      <c r="Q111" s="14" t="n">
        <v>0.5</v>
      </c>
      <c r="R111" s="14" t="n">
        <v>0.49</v>
      </c>
      <c r="S111" s="14" t="n">
        <v>14.25</v>
      </c>
    </row>
    <row r="112" customFormat="false" ht="15" hidden="false" customHeight="false" outlineLevel="0" collapsed="false">
      <c r="A112" s="13" t="n">
        <v>42503</v>
      </c>
      <c r="C112" s="14" t="n">
        <v>0.5</v>
      </c>
      <c r="D112" s="14" t="n">
        <v>0.25</v>
      </c>
      <c r="F112" s="14" t="n">
        <v>-0.4</v>
      </c>
      <c r="G112" s="14" t="n">
        <v>0.5</v>
      </c>
      <c r="H112" s="14" t="n">
        <v>0.4635</v>
      </c>
      <c r="I112" s="14" t="n">
        <v>0.464169274465669</v>
      </c>
      <c r="J112" s="14" t="n">
        <v>0.445419910367967</v>
      </c>
      <c r="K112" s="14" t="n">
        <v>0.415184654004198</v>
      </c>
      <c r="L112" s="14" t="n">
        <v>0.396772258798383</v>
      </c>
      <c r="M112" s="14" t="n">
        <v>2.834</v>
      </c>
      <c r="N112" s="14" t="n">
        <v>2.9035</v>
      </c>
      <c r="O112" s="14" t="n">
        <v>2.9452</v>
      </c>
      <c r="P112" s="14" t="n">
        <v>3.045</v>
      </c>
      <c r="Q112" s="14" t="n">
        <v>0.5</v>
      </c>
      <c r="R112" s="14" t="n">
        <v>0.49</v>
      </c>
      <c r="S112" s="14" t="n">
        <v>14.25</v>
      </c>
    </row>
    <row r="113" customFormat="false" ht="15" hidden="false" customHeight="false" outlineLevel="0" collapsed="false">
      <c r="A113" s="13" t="n">
        <v>42506</v>
      </c>
      <c r="C113" s="14" t="n">
        <v>0.5</v>
      </c>
      <c r="D113" s="14" t="n">
        <v>0.25</v>
      </c>
      <c r="F113" s="14" t="n">
        <v>-0.4</v>
      </c>
      <c r="G113" s="14" t="n">
        <v>0.5</v>
      </c>
      <c r="H113" s="14" t="n">
        <v>0.4633</v>
      </c>
      <c r="I113" s="14" t="n">
        <v>0.464387580281102</v>
      </c>
      <c r="J113" s="14" t="n">
        <v>0.442229786411051</v>
      </c>
      <c r="K113" s="14" t="n">
        <v>0.410869052010591</v>
      </c>
      <c r="L113" s="14" t="n">
        <v>0.393677421091408</v>
      </c>
      <c r="M113" s="14" t="n">
        <v>2.834</v>
      </c>
      <c r="N113" s="14" t="n">
        <v>2.9075</v>
      </c>
      <c r="O113" s="14" t="n">
        <v>2.9516</v>
      </c>
      <c r="P113" s="14" t="n">
        <v>3.047</v>
      </c>
      <c r="S113" s="14" t="n">
        <v>14.25</v>
      </c>
    </row>
    <row r="114" customFormat="false" ht="15" hidden="false" customHeight="false" outlineLevel="0" collapsed="false">
      <c r="A114" s="13" t="n">
        <v>42507</v>
      </c>
      <c r="C114" s="14" t="n">
        <v>0.5</v>
      </c>
      <c r="D114" s="14" t="n">
        <v>0.25</v>
      </c>
      <c r="F114" s="14" t="n">
        <v>-0.4</v>
      </c>
      <c r="G114" s="14" t="n">
        <v>0.5</v>
      </c>
      <c r="H114" s="14" t="n">
        <v>0.4629</v>
      </c>
      <c r="I114" s="14" t="n">
        <v>0.464214057287365</v>
      </c>
      <c r="J114" s="14" t="n">
        <v>0.444419858896001</v>
      </c>
      <c r="K114" s="14" t="n">
        <v>0.41766933032395</v>
      </c>
      <c r="L114" s="14" t="n">
        <v>0.405437040243603</v>
      </c>
      <c r="M114" s="14" t="n">
        <v>2.835</v>
      </c>
      <c r="N114" s="14" t="n">
        <v>2.9158</v>
      </c>
      <c r="O114" s="14" t="n">
        <v>2.9552</v>
      </c>
      <c r="P114" s="14" t="n">
        <v>3.049</v>
      </c>
      <c r="S114" s="14" t="n">
        <v>14.25</v>
      </c>
    </row>
    <row r="115" customFormat="false" ht="15" hidden="false" customHeight="false" outlineLevel="0" collapsed="false">
      <c r="A115" s="13" t="n">
        <v>42508</v>
      </c>
      <c r="C115" s="14" t="n">
        <v>0.5</v>
      </c>
      <c r="D115" s="14" t="n">
        <v>0.25</v>
      </c>
      <c r="F115" s="14" t="n">
        <v>-0.4</v>
      </c>
      <c r="G115" s="14" t="n">
        <v>0.5</v>
      </c>
      <c r="H115" s="14" t="n">
        <v>0.4648</v>
      </c>
      <c r="I115" s="14" t="n">
        <v>0.465365684268278</v>
      </c>
      <c r="J115" s="14" t="n">
        <v>0.445918892659016</v>
      </c>
      <c r="K115" s="14" t="n">
        <v>0.422885844052216</v>
      </c>
      <c r="L115" s="14" t="n">
        <v>0.418685122896573</v>
      </c>
      <c r="M115" s="14" t="n">
        <v>2.839</v>
      </c>
      <c r="N115" s="14" t="n">
        <v>2.9227</v>
      </c>
      <c r="O115" s="14" t="n">
        <v>2.9636</v>
      </c>
      <c r="P115" s="14" t="n">
        <v>3.05</v>
      </c>
      <c r="Q115" s="14" t="n">
        <v>0.5</v>
      </c>
      <c r="R115" s="14" t="n">
        <v>0.55</v>
      </c>
      <c r="S115" s="14" t="n">
        <v>14.25</v>
      </c>
    </row>
    <row r="116" customFormat="false" ht="15" hidden="false" customHeight="false" outlineLevel="0" collapsed="false">
      <c r="A116" s="13" t="n">
        <v>42509</v>
      </c>
      <c r="C116" s="14" t="n">
        <v>0.5</v>
      </c>
      <c r="D116" s="14" t="n">
        <v>0.25</v>
      </c>
      <c r="F116" s="14" t="n">
        <v>-0.4</v>
      </c>
      <c r="G116" s="14" t="n">
        <v>0.5</v>
      </c>
      <c r="H116" s="14" t="n">
        <v>0.4649</v>
      </c>
      <c r="I116" s="14" t="n">
        <v>0.462793097052137</v>
      </c>
      <c r="J116" s="14" t="n">
        <v>0.446235716943062</v>
      </c>
      <c r="K116" s="14" t="n">
        <v>0.426461684097977</v>
      </c>
      <c r="L116" s="14" t="n">
        <v>0.42547409316809</v>
      </c>
      <c r="M116" s="14" t="n">
        <v>2.837</v>
      </c>
      <c r="N116" s="14" t="n">
        <v>2.9273</v>
      </c>
      <c r="O116" s="14" t="n">
        <v>2.9655</v>
      </c>
      <c r="P116" s="14" t="n">
        <v>3.05</v>
      </c>
      <c r="Q116" s="14" t="n">
        <v>0.5</v>
      </c>
      <c r="R116" s="14" t="n">
        <v>0.53</v>
      </c>
      <c r="S116" s="14" t="n">
        <v>14.25</v>
      </c>
    </row>
    <row r="117" customFormat="false" ht="15" hidden="false" customHeight="false" outlineLevel="0" collapsed="false">
      <c r="A117" s="13" t="n">
        <v>42510</v>
      </c>
      <c r="C117" s="14" t="n">
        <v>0.5</v>
      </c>
      <c r="D117" s="14" t="n">
        <v>0.25</v>
      </c>
      <c r="F117" s="14" t="n">
        <v>-0.4</v>
      </c>
      <c r="G117" s="14" t="n">
        <v>0.5</v>
      </c>
      <c r="H117" s="14" t="n">
        <v>0.4642</v>
      </c>
      <c r="I117" s="14" t="n">
        <v>0.463387152369194</v>
      </c>
      <c r="J117" s="14" t="n">
        <v>0.446422109678013</v>
      </c>
      <c r="K117" s="14" t="n">
        <v>0.425579617705978</v>
      </c>
      <c r="L117" s="14" t="n">
        <v>0.424595907871539</v>
      </c>
      <c r="M117" s="14" t="n">
        <v>2.839</v>
      </c>
      <c r="N117" s="14" t="n">
        <v>2.9288</v>
      </c>
      <c r="O117" s="14" t="n">
        <v>2.9716</v>
      </c>
      <c r="P117" s="14" t="n">
        <v>3.05</v>
      </c>
      <c r="Q117" s="14" t="n">
        <v>0.5</v>
      </c>
      <c r="R117" s="14" t="n">
        <v>0.5</v>
      </c>
      <c r="S117" s="14" t="n">
        <v>14.25</v>
      </c>
    </row>
    <row r="118" customFormat="false" ht="15" hidden="false" customHeight="false" outlineLevel="0" collapsed="false">
      <c r="A118" s="13" t="n">
        <v>42513</v>
      </c>
      <c r="C118" s="14" t="n">
        <v>0.5</v>
      </c>
      <c r="D118" s="14" t="n">
        <v>0.25</v>
      </c>
      <c r="F118" s="14" t="n">
        <v>-0.4</v>
      </c>
      <c r="G118" s="14" t="n">
        <v>0.5</v>
      </c>
      <c r="H118" s="14" t="n">
        <v>0.4623</v>
      </c>
      <c r="I118" s="14" t="n">
        <v>0.462513606281189</v>
      </c>
      <c r="J118" s="14" t="n">
        <v>0.445185540892952</v>
      </c>
      <c r="K118" s="14" t="n">
        <v>0.42522211133268</v>
      </c>
      <c r="L118" s="14" t="n">
        <v>0.423257110751408</v>
      </c>
      <c r="M118" s="14" t="n">
        <v>2.84</v>
      </c>
      <c r="N118" s="14" t="n">
        <v>2.93</v>
      </c>
      <c r="O118" s="14" t="n">
        <v>2.9762</v>
      </c>
      <c r="P118" s="14" t="n">
        <v>3.05</v>
      </c>
      <c r="Q118" s="14" t="n">
        <v>0.5</v>
      </c>
      <c r="R118" s="14" t="n">
        <v>0.48</v>
      </c>
      <c r="S118" s="14" t="n">
        <v>14.25</v>
      </c>
    </row>
    <row r="119" customFormat="false" ht="15" hidden="false" customHeight="false" outlineLevel="0" collapsed="false">
      <c r="A119" s="13" t="n">
        <v>42514</v>
      </c>
      <c r="C119" s="14" t="n">
        <v>0.5</v>
      </c>
      <c r="D119" s="14" t="n">
        <v>0.25</v>
      </c>
      <c r="F119" s="14" t="n">
        <v>-0.4</v>
      </c>
      <c r="G119" s="14" t="n">
        <v>0.5</v>
      </c>
      <c r="H119" s="14" t="n">
        <v>0.4669</v>
      </c>
      <c r="I119" s="14" t="n">
        <v>0.462542624902944</v>
      </c>
      <c r="J119" s="14" t="n">
        <v>0.448815860132166</v>
      </c>
      <c r="K119" s="14" t="n">
        <v>0.434478641856275</v>
      </c>
      <c r="L119" s="14" t="n">
        <v>0.445187865121818</v>
      </c>
      <c r="M119" s="14" t="n">
        <v>2.842</v>
      </c>
      <c r="N119" s="14" t="n">
        <v>2.933</v>
      </c>
      <c r="O119" s="14" t="n">
        <v>2.9807</v>
      </c>
      <c r="P119" s="14" t="n">
        <v>3.05</v>
      </c>
      <c r="Q119" s="14" t="n">
        <v>0.5</v>
      </c>
      <c r="R119" s="14" t="n">
        <v>0.47</v>
      </c>
      <c r="S119" s="14" t="n">
        <v>14.25</v>
      </c>
    </row>
    <row r="120" customFormat="false" ht="15" hidden="false" customHeight="false" outlineLevel="0" collapsed="false">
      <c r="A120" s="13" t="n">
        <v>42515</v>
      </c>
      <c r="C120" s="14" t="n">
        <v>0.5</v>
      </c>
      <c r="D120" s="14" t="n">
        <v>0.25</v>
      </c>
      <c r="F120" s="14" t="n">
        <v>-0.4</v>
      </c>
      <c r="G120" s="14" t="n">
        <v>0.5</v>
      </c>
      <c r="H120" s="14" t="n">
        <v>0.4651</v>
      </c>
      <c r="I120" s="14" t="n">
        <v>0.464941854491483</v>
      </c>
      <c r="J120" s="14" t="n">
        <v>0.4518606612736</v>
      </c>
      <c r="K120" s="14" t="n">
        <v>0.436805319075608</v>
      </c>
      <c r="L120" s="14" t="n">
        <v>0.445741506975805</v>
      </c>
      <c r="M120" s="14" t="n">
        <v>2.842</v>
      </c>
      <c r="N120" s="14" t="n">
        <v>2.9385</v>
      </c>
      <c r="O120" s="14" t="n">
        <v>2.982</v>
      </c>
      <c r="P120" s="14" t="n">
        <v>3.05</v>
      </c>
      <c r="Q120" s="14" t="n">
        <v>0.5</v>
      </c>
      <c r="R120" s="14" t="n">
        <v>0.47</v>
      </c>
      <c r="S120" s="14" t="n">
        <v>14.25</v>
      </c>
    </row>
    <row r="121" customFormat="false" ht="15" hidden="false" customHeight="false" outlineLevel="0" collapsed="false">
      <c r="A121" s="13" t="n">
        <v>42516</v>
      </c>
      <c r="C121" s="14" t="n">
        <v>0.5</v>
      </c>
      <c r="D121" s="14" t="n">
        <v>0.25</v>
      </c>
      <c r="F121" s="14" t="n">
        <v>-0.4</v>
      </c>
      <c r="G121" s="14" t="n">
        <v>0.5</v>
      </c>
      <c r="H121" s="14" t="n">
        <v>0.4653</v>
      </c>
      <c r="I121" s="14" t="n">
        <v>0.462724630834715</v>
      </c>
      <c r="J121" s="14" t="n">
        <v>0.450145270545728</v>
      </c>
      <c r="K121" s="14" t="n">
        <v>0.435256089037867</v>
      </c>
      <c r="L121" s="14" t="n">
        <v>0.440829569660845</v>
      </c>
      <c r="M121" s="14" t="n">
        <v>2.845</v>
      </c>
      <c r="N121" s="14" t="n">
        <v>2.941</v>
      </c>
      <c r="O121" s="14" t="n">
        <v>2.981</v>
      </c>
      <c r="P121" s="14" t="n">
        <v>3.05</v>
      </c>
      <c r="Q121" s="14" t="n">
        <v>0.5</v>
      </c>
      <c r="R121" s="14" t="n">
        <v>0.49</v>
      </c>
      <c r="S121" s="14" t="n">
        <v>14.25</v>
      </c>
    </row>
    <row r="122" customFormat="false" ht="15" hidden="false" customHeight="false" outlineLevel="0" collapsed="false">
      <c r="A122" s="13" t="n">
        <v>42517</v>
      </c>
      <c r="C122" s="14" t="n">
        <v>0.5</v>
      </c>
      <c r="D122" s="14" t="n">
        <v>0.25</v>
      </c>
      <c r="F122" s="14" t="n">
        <v>-0.4</v>
      </c>
      <c r="G122" s="14" t="n">
        <v>0.5</v>
      </c>
      <c r="H122" s="14" t="n">
        <v>0.4666</v>
      </c>
      <c r="I122" s="14" t="n">
        <v>0.46212117987649</v>
      </c>
      <c r="J122" s="14" t="n">
        <v>0.449180750390102</v>
      </c>
      <c r="K122" s="14" t="n">
        <v>0.433500134368511</v>
      </c>
      <c r="L122" s="14" t="n">
        <v>0.437994430715631</v>
      </c>
      <c r="M122" s="14" t="n">
        <v>2.846</v>
      </c>
      <c r="N122" s="14" t="n">
        <v>2.942</v>
      </c>
      <c r="O122" s="14" t="n">
        <v>2.9822</v>
      </c>
      <c r="P122" s="14" t="n">
        <v>3.05</v>
      </c>
      <c r="Q122" s="14" t="n">
        <v>0.5</v>
      </c>
      <c r="R122" s="14" t="n">
        <v>0.48</v>
      </c>
      <c r="S122" s="14" t="n">
        <v>14.25</v>
      </c>
    </row>
    <row r="123" customFormat="false" ht="15" hidden="false" customHeight="false" outlineLevel="0" collapsed="false">
      <c r="A123" s="13" t="n">
        <v>42520</v>
      </c>
      <c r="C123" s="14" t="n">
        <v>0.5</v>
      </c>
      <c r="D123" s="14" t="n">
        <v>0.25</v>
      </c>
      <c r="F123" s="14" t="n">
        <v>-0.4</v>
      </c>
      <c r="M123" s="14" t="n">
        <v>2.846</v>
      </c>
      <c r="N123" s="14" t="n">
        <v>2.9455</v>
      </c>
      <c r="O123" s="14" t="n">
        <v>2.9822</v>
      </c>
      <c r="P123" s="14" t="n">
        <v>3.05</v>
      </c>
      <c r="Q123" s="14" t="n">
        <v>0.5</v>
      </c>
      <c r="R123" s="14" t="n">
        <v>0.49</v>
      </c>
      <c r="S123" s="14" t="n">
        <v>14.25</v>
      </c>
    </row>
    <row r="124" customFormat="false" ht="15" hidden="false" customHeight="false" outlineLevel="0" collapsed="false">
      <c r="A124" s="13" t="n">
        <v>42521</v>
      </c>
      <c r="C124" s="14" t="n">
        <v>0.5</v>
      </c>
      <c r="D124" s="14" t="n">
        <v>0.25</v>
      </c>
      <c r="F124" s="14" t="n">
        <v>-0.4</v>
      </c>
      <c r="G124" s="14" t="n">
        <v>0.5</v>
      </c>
      <c r="H124" s="14" t="n">
        <v>0.4542</v>
      </c>
      <c r="I124" s="14" t="n">
        <v>0.461370334164146</v>
      </c>
      <c r="J124" s="14" t="n">
        <v>0.443905273317504</v>
      </c>
      <c r="K124" s="14" t="n">
        <v>0.423546874112993</v>
      </c>
      <c r="L124" s="14" t="n">
        <v>0.425980924779138</v>
      </c>
      <c r="M124" s="14" t="n">
        <v>2.846</v>
      </c>
      <c r="N124" s="14" t="n">
        <v>2.946</v>
      </c>
      <c r="O124" s="14" t="n">
        <v>2.9822</v>
      </c>
      <c r="P124" s="14" t="n">
        <v>3.05</v>
      </c>
      <c r="Q124" s="14" t="n">
        <v>0.5</v>
      </c>
      <c r="R124" s="14" t="n">
        <v>0.48</v>
      </c>
      <c r="S124" s="14" t="n">
        <v>14.25</v>
      </c>
    </row>
    <row r="125" customFormat="false" ht="15" hidden="false" customHeight="false" outlineLevel="0" collapsed="false">
      <c r="A125" s="13" t="n">
        <v>42522</v>
      </c>
      <c r="C125" s="14" t="n">
        <v>0.5</v>
      </c>
      <c r="D125" s="14" t="n">
        <v>0.25</v>
      </c>
      <c r="F125" s="14" t="n">
        <v>-0.4</v>
      </c>
      <c r="G125" s="14" t="n">
        <v>0.5</v>
      </c>
      <c r="H125" s="14" t="n">
        <v>0.4633</v>
      </c>
      <c r="I125" s="14" t="n">
        <v>0.459787389577456</v>
      </c>
      <c r="J125" s="14" t="n">
        <v>0.437128135895082</v>
      </c>
      <c r="K125" s="14" t="n">
        <v>0.411232271563934</v>
      </c>
      <c r="L125" s="14" t="n">
        <v>0.404780086404912</v>
      </c>
      <c r="M125" s="14" t="n">
        <v>2.842</v>
      </c>
      <c r="N125" s="14" t="n">
        <v>2.946</v>
      </c>
      <c r="O125" s="14" t="n">
        <v>2.9823</v>
      </c>
      <c r="P125" s="14" t="n">
        <v>3.05</v>
      </c>
      <c r="Q125" s="14" t="n">
        <v>0.5</v>
      </c>
      <c r="R125" s="14" t="n">
        <v>0.49</v>
      </c>
      <c r="S125" s="14" t="n">
        <v>14.25</v>
      </c>
    </row>
    <row r="126" customFormat="false" ht="15" hidden="false" customHeight="false" outlineLevel="0" collapsed="false">
      <c r="A126" s="13" t="n">
        <v>42523</v>
      </c>
      <c r="C126" s="14" t="n">
        <v>0.5</v>
      </c>
      <c r="D126" s="14" t="n">
        <v>0.25</v>
      </c>
      <c r="F126" s="14" t="n">
        <v>-0.4</v>
      </c>
      <c r="G126" s="14" t="n">
        <v>0.5</v>
      </c>
      <c r="H126" s="14" t="n">
        <v>0.461</v>
      </c>
      <c r="I126" s="14" t="n">
        <v>0.460531169420235</v>
      </c>
      <c r="J126" s="14" t="n">
        <v>0.437670807253569</v>
      </c>
      <c r="K126" s="14" t="n">
        <v>0.410944685647417</v>
      </c>
      <c r="L126" s="14" t="n">
        <v>0.398005616376987</v>
      </c>
      <c r="M126" s="14" t="n">
        <v>2.838</v>
      </c>
      <c r="N126" s="14" t="n">
        <v>2.946</v>
      </c>
      <c r="O126" s="14" t="n">
        <v>2.9823</v>
      </c>
      <c r="P126" s="14" t="n">
        <v>3.05</v>
      </c>
      <c r="Q126" s="14" t="n">
        <v>0.5</v>
      </c>
      <c r="R126" s="14" t="n">
        <v>0.5</v>
      </c>
      <c r="S126" s="14" t="n">
        <v>14.25</v>
      </c>
    </row>
    <row r="127" customFormat="false" ht="15" hidden="false" customHeight="false" outlineLevel="0" collapsed="false">
      <c r="A127" s="13" t="n">
        <v>42524</v>
      </c>
      <c r="C127" s="14" t="n">
        <v>0.5</v>
      </c>
      <c r="D127" s="14" t="n">
        <v>0.25</v>
      </c>
      <c r="F127" s="14" t="n">
        <v>-0.4</v>
      </c>
      <c r="G127" s="14" t="n">
        <v>0.5</v>
      </c>
      <c r="H127" s="14" t="n">
        <v>0.4651</v>
      </c>
      <c r="I127" s="14" t="n">
        <v>0.459877208404544</v>
      </c>
      <c r="J127" s="14" t="n">
        <v>0.436942744887839</v>
      </c>
      <c r="K127" s="14" t="n">
        <v>0.407518678577681</v>
      </c>
      <c r="L127" s="14" t="n">
        <v>0.376976711004697</v>
      </c>
      <c r="M127" s="14" t="n">
        <v>2.835</v>
      </c>
      <c r="N127" s="14" t="n">
        <v>2.947</v>
      </c>
      <c r="O127" s="14" t="n">
        <v>2.9833</v>
      </c>
      <c r="P127" s="14" t="n">
        <v>3.05</v>
      </c>
      <c r="Q127" s="14" t="n">
        <v>0.5</v>
      </c>
      <c r="R127" s="14" t="n">
        <v>0.48</v>
      </c>
      <c r="S127" s="14" t="n">
        <v>14.25</v>
      </c>
    </row>
    <row r="128" customFormat="false" ht="15" hidden="false" customHeight="false" outlineLevel="0" collapsed="false">
      <c r="A128" s="13" t="n">
        <v>42527</v>
      </c>
      <c r="C128" s="14" t="n">
        <v>0.5</v>
      </c>
      <c r="D128" s="14" t="n">
        <v>0.25</v>
      </c>
      <c r="F128" s="14" t="n">
        <v>-0.4</v>
      </c>
      <c r="G128" s="14" t="n">
        <v>0.5</v>
      </c>
      <c r="H128" s="14" t="n">
        <v>0.4624</v>
      </c>
      <c r="I128" s="14" t="n">
        <v>0.456938527547018</v>
      </c>
      <c r="J128" s="14" t="n">
        <v>0.42696862014464</v>
      </c>
      <c r="K128" s="14" t="n">
        <v>0.395380365961309</v>
      </c>
      <c r="L128" s="14" t="n">
        <v>0.365395373209921</v>
      </c>
      <c r="M128" s="14" t="n">
        <v>2.839</v>
      </c>
      <c r="N128" s="14" t="n">
        <v>2.946</v>
      </c>
      <c r="O128" s="14" t="n">
        <v>2.9833</v>
      </c>
      <c r="P128" s="14" t="n">
        <v>3.05</v>
      </c>
      <c r="Q128" s="14" t="n">
        <v>0.5</v>
      </c>
      <c r="R128" s="14" t="n">
        <v>0.5</v>
      </c>
      <c r="S128" s="14" t="n">
        <v>14.25</v>
      </c>
    </row>
    <row r="129" customFormat="false" ht="15" hidden="false" customHeight="false" outlineLevel="0" collapsed="false">
      <c r="A129" s="13" t="n">
        <v>42528</v>
      </c>
      <c r="C129" s="14" t="n">
        <v>0.5</v>
      </c>
      <c r="D129" s="14" t="n">
        <v>0.25</v>
      </c>
      <c r="F129" s="14" t="n">
        <v>-0.4</v>
      </c>
      <c r="G129" s="14" t="n">
        <v>0.5</v>
      </c>
      <c r="H129" s="14" t="n">
        <v>0.4632</v>
      </c>
      <c r="I129" s="14" t="n">
        <v>0.455567010768484</v>
      </c>
      <c r="J129" s="14" t="n">
        <v>0.42096674541195</v>
      </c>
      <c r="K129" s="14" t="n">
        <v>0.390617966310803</v>
      </c>
      <c r="L129" s="14" t="n">
        <v>0.366632412512273</v>
      </c>
      <c r="M129" s="14" t="n">
        <v>2.838</v>
      </c>
      <c r="N129" s="14" t="n">
        <v>2.946</v>
      </c>
      <c r="O129" s="14" t="n">
        <v>2.9834</v>
      </c>
      <c r="P129" s="14" t="n">
        <v>3.05</v>
      </c>
      <c r="Q129" s="14" t="n">
        <v>0.5</v>
      </c>
      <c r="R129" s="14" t="n">
        <v>0.49</v>
      </c>
      <c r="S129" s="14" t="n">
        <v>14.25</v>
      </c>
    </row>
    <row r="130" customFormat="false" ht="15" hidden="false" customHeight="false" outlineLevel="0" collapsed="false">
      <c r="A130" s="13" t="n">
        <v>42529</v>
      </c>
      <c r="C130" s="14" t="n">
        <v>0.5</v>
      </c>
      <c r="D130" s="14" t="n">
        <v>0.25</v>
      </c>
      <c r="F130" s="14" t="n">
        <v>-0.4</v>
      </c>
      <c r="G130" s="14" t="n">
        <v>0.5</v>
      </c>
      <c r="H130" s="14" t="n">
        <v>0.4607</v>
      </c>
      <c r="I130" s="14" t="n">
        <v>0.455284081960091</v>
      </c>
      <c r="J130" s="14" t="n">
        <v>0.422898869634797</v>
      </c>
      <c r="K130" s="14" t="n">
        <v>0.391304682022233</v>
      </c>
      <c r="L130" s="14" t="n">
        <v>0.366294234893565</v>
      </c>
      <c r="M130" s="14" t="n">
        <v>2.838</v>
      </c>
      <c r="N130" s="14" t="n">
        <v>2.946</v>
      </c>
      <c r="O130" s="14" t="n">
        <v>2.982</v>
      </c>
      <c r="P130" s="14" t="n">
        <v>3.05</v>
      </c>
      <c r="Q130" s="14" t="n">
        <v>0.5</v>
      </c>
      <c r="R130" s="14" t="n">
        <v>0.47</v>
      </c>
      <c r="S130" s="14" t="n">
        <v>14.25</v>
      </c>
    </row>
    <row r="131" customFormat="false" ht="15" hidden="false" customHeight="false" outlineLevel="0" collapsed="false">
      <c r="A131" s="13" t="n">
        <v>42530</v>
      </c>
      <c r="C131" s="14" t="n">
        <v>0.5</v>
      </c>
      <c r="D131" s="14" t="n">
        <v>0.25</v>
      </c>
      <c r="F131" s="14" t="n">
        <v>-0.4</v>
      </c>
      <c r="G131" s="14" t="n">
        <v>0.5</v>
      </c>
      <c r="H131" s="14" t="n">
        <v>0.4612</v>
      </c>
      <c r="I131" s="14" t="n">
        <v>0.456903582644075</v>
      </c>
      <c r="J131" s="14" t="n">
        <v>0.423898714690502</v>
      </c>
      <c r="K131" s="14" t="n">
        <v>0.395081569463414</v>
      </c>
      <c r="L131" s="14" t="n">
        <v>0.376162451630777</v>
      </c>
      <c r="Q131" s="14" t="n">
        <v>0.5</v>
      </c>
      <c r="R131" s="14" t="n">
        <v>0.49</v>
      </c>
      <c r="S131" s="14" t="n">
        <v>14.25</v>
      </c>
    </row>
    <row r="132" customFormat="false" ht="15" hidden="false" customHeight="false" outlineLevel="0" collapsed="false">
      <c r="A132" s="13" t="n">
        <v>42531</v>
      </c>
      <c r="C132" s="14" t="n">
        <v>0.5</v>
      </c>
      <c r="D132" s="14" t="n">
        <v>0.25</v>
      </c>
      <c r="F132" s="14" t="n">
        <v>-0.4</v>
      </c>
      <c r="G132" s="14" t="n">
        <v>0.5</v>
      </c>
      <c r="H132" s="14" t="n">
        <v>0.4607</v>
      </c>
      <c r="I132" s="14" t="n">
        <v>0.455881113818049</v>
      </c>
      <c r="J132" s="14" t="n">
        <v>0.428880216541002</v>
      </c>
      <c r="K132" s="14" t="n">
        <v>0.405732029936878</v>
      </c>
      <c r="L132" s="14" t="n">
        <v>0.39053762432309</v>
      </c>
      <c r="Q132" s="14" t="n">
        <v>0.5</v>
      </c>
      <c r="R132" s="14" t="n">
        <v>0.49</v>
      </c>
      <c r="S132" s="14" t="n">
        <v>14.25</v>
      </c>
    </row>
    <row r="133" customFormat="false" ht="15" hidden="false" customHeight="false" outlineLevel="0" collapsed="false">
      <c r="A133" s="13" t="n">
        <v>42533</v>
      </c>
      <c r="C133" s="14" t="n">
        <v>0.5</v>
      </c>
      <c r="D133" s="14" t="n">
        <v>0.25</v>
      </c>
      <c r="F133" s="14" t="n">
        <v>-0.4</v>
      </c>
      <c r="M133" s="14" t="n">
        <v>2.842</v>
      </c>
      <c r="N133" s="14" t="n">
        <v>2.946</v>
      </c>
      <c r="O133" s="14" t="n">
        <v>2.982</v>
      </c>
      <c r="P133" s="14" t="n">
        <v>3.05</v>
      </c>
      <c r="S133" s="14" t="n">
        <v>14.25</v>
      </c>
    </row>
    <row r="134" customFormat="false" ht="15" hidden="false" customHeight="false" outlineLevel="0" collapsed="false">
      <c r="A134" s="13" t="n">
        <v>42534</v>
      </c>
      <c r="C134" s="14" t="n">
        <v>0.5</v>
      </c>
      <c r="D134" s="14" t="n">
        <v>0.25</v>
      </c>
      <c r="F134" s="14" t="n">
        <v>-0.4</v>
      </c>
      <c r="G134" s="14" t="n">
        <v>0.5</v>
      </c>
      <c r="H134" s="14" t="n">
        <v>0.4578</v>
      </c>
      <c r="I134" s="14" t="n">
        <v>0.454916438856967</v>
      </c>
      <c r="J134" s="14" t="n">
        <v>0.424147321897853</v>
      </c>
      <c r="K134" s="14" t="n">
        <v>0.396165833641638</v>
      </c>
      <c r="L134" s="14" t="n">
        <v>0.371869799998217</v>
      </c>
      <c r="M134" s="14" t="n">
        <v>2.844</v>
      </c>
      <c r="N134" s="14" t="n">
        <v>2.9476</v>
      </c>
      <c r="O134" s="14" t="n">
        <v>2.9833</v>
      </c>
      <c r="P134" s="14" t="n">
        <v>3.05</v>
      </c>
      <c r="Q134" s="14" t="n">
        <v>0.5</v>
      </c>
      <c r="R134" s="14" t="n">
        <v>0.49</v>
      </c>
      <c r="S134" s="14" t="n">
        <v>14.25</v>
      </c>
    </row>
    <row r="135" customFormat="false" ht="15" hidden="false" customHeight="false" outlineLevel="0" collapsed="false">
      <c r="A135" s="13" t="n">
        <v>42535</v>
      </c>
      <c r="C135" s="14" t="n">
        <v>0.5</v>
      </c>
      <c r="D135" s="14" t="n">
        <v>0.25</v>
      </c>
      <c r="F135" s="14" t="n">
        <v>-0.4</v>
      </c>
      <c r="G135" s="14" t="n">
        <v>0.5</v>
      </c>
      <c r="H135" s="14" t="n">
        <v>0.4593</v>
      </c>
      <c r="I135" s="14" t="n">
        <v>0.44757363331189</v>
      </c>
      <c r="J135" s="14" t="n">
        <v>0.406192188782712</v>
      </c>
      <c r="K135" s="14" t="n">
        <v>0.370476268154138</v>
      </c>
      <c r="L135" s="14" t="n">
        <v>0.339870116771678</v>
      </c>
      <c r="M135" s="14" t="n">
        <v>2.844</v>
      </c>
      <c r="N135" s="14" t="n">
        <v>2.9508</v>
      </c>
      <c r="O135" s="14" t="n">
        <v>2.9834</v>
      </c>
      <c r="P135" s="14" t="n">
        <v>3.05</v>
      </c>
      <c r="Q135" s="14" t="n">
        <v>0.5</v>
      </c>
      <c r="R135" s="14" t="n">
        <v>0.49</v>
      </c>
      <c r="S135" s="14" t="n">
        <v>14.25</v>
      </c>
    </row>
    <row r="136" customFormat="false" ht="15" hidden="false" customHeight="false" outlineLevel="0" collapsed="false">
      <c r="A136" s="13" t="n">
        <v>42536</v>
      </c>
      <c r="C136" s="14" t="n">
        <v>0.5</v>
      </c>
      <c r="D136" s="14" t="n">
        <v>0.25</v>
      </c>
      <c r="F136" s="14" t="n">
        <v>-0.4</v>
      </c>
      <c r="G136" s="14" t="n">
        <v>0.5</v>
      </c>
      <c r="H136" s="14" t="n">
        <v>0.4597</v>
      </c>
      <c r="I136" s="14" t="n">
        <v>0.446497412738199</v>
      </c>
      <c r="J136" s="14" t="n">
        <v>0.408774337676489</v>
      </c>
      <c r="K136" s="14" t="n">
        <v>0.375597787818379</v>
      </c>
      <c r="L136" s="14" t="n">
        <v>0.344397335326012</v>
      </c>
      <c r="M136" s="14" t="n">
        <v>2.844</v>
      </c>
      <c r="N136" s="14" t="n">
        <v>2.9521</v>
      </c>
      <c r="O136" s="14" t="n">
        <v>2.9834</v>
      </c>
      <c r="P136" s="14" t="n">
        <v>3.05</v>
      </c>
      <c r="Q136" s="14" t="n">
        <v>0.5</v>
      </c>
      <c r="R136" s="14" t="n">
        <v>0.49</v>
      </c>
      <c r="S136" s="14" t="n">
        <v>14.25</v>
      </c>
    </row>
    <row r="137" customFormat="false" ht="15" hidden="false" customHeight="false" outlineLevel="0" collapsed="false">
      <c r="A137" s="13" t="n">
        <v>42537</v>
      </c>
      <c r="C137" s="14" t="n">
        <v>0.5</v>
      </c>
      <c r="D137" s="14" t="n">
        <v>0.25</v>
      </c>
      <c r="F137" s="14" t="n">
        <v>-0.4</v>
      </c>
      <c r="G137" s="14" t="n">
        <v>0.5</v>
      </c>
      <c r="H137" s="14" t="n">
        <v>0.464</v>
      </c>
      <c r="I137" s="14" t="n">
        <v>0.446522998684157</v>
      </c>
      <c r="J137" s="14" t="n">
        <v>0.406657556353681</v>
      </c>
      <c r="K137" s="14" t="n">
        <v>0.372044170594848</v>
      </c>
      <c r="L137" s="14" t="n">
        <v>0.338743672100464</v>
      </c>
      <c r="M137" s="14" t="n">
        <v>2.8535</v>
      </c>
      <c r="N137" s="14" t="n">
        <v>2.9523</v>
      </c>
      <c r="O137" s="14" t="n">
        <v>2.9834</v>
      </c>
      <c r="P137" s="14" t="n">
        <v>3.05</v>
      </c>
      <c r="Q137" s="14" t="n">
        <v>0.5</v>
      </c>
      <c r="R137" s="14" t="n">
        <v>0.49</v>
      </c>
      <c r="S137" s="14" t="n">
        <v>14.25</v>
      </c>
    </row>
    <row r="138" customFormat="false" ht="15" hidden="false" customHeight="false" outlineLevel="0" collapsed="false">
      <c r="A138" s="13" t="n">
        <v>42538</v>
      </c>
      <c r="C138" s="14" t="n">
        <v>0.5</v>
      </c>
      <c r="D138" s="14" t="n">
        <v>0.25</v>
      </c>
      <c r="F138" s="14" t="n">
        <v>-0.4</v>
      </c>
      <c r="G138" s="14" t="n">
        <v>0.5</v>
      </c>
      <c r="H138" s="14" t="n">
        <v>0.4613</v>
      </c>
      <c r="I138" s="14" t="n">
        <v>0.451857888293336</v>
      </c>
      <c r="J138" s="14" t="n">
        <v>0.420626289463261</v>
      </c>
      <c r="K138" s="14" t="n">
        <v>0.393042670177397</v>
      </c>
      <c r="L138" s="14" t="n">
        <v>0.37270487979139</v>
      </c>
      <c r="M138" s="14" t="n">
        <v>2.859</v>
      </c>
      <c r="N138" s="14" t="n">
        <v>2.9568</v>
      </c>
      <c r="O138" s="14" t="n">
        <v>2.9844</v>
      </c>
      <c r="P138" s="14" t="n">
        <v>3.05</v>
      </c>
      <c r="Q138" s="14" t="n">
        <v>0.5</v>
      </c>
      <c r="R138" s="14" t="n">
        <v>0.49</v>
      </c>
      <c r="S138" s="14" t="n">
        <v>14.25</v>
      </c>
    </row>
    <row r="139" customFormat="false" ht="15" hidden="false" customHeight="false" outlineLevel="0" collapsed="false">
      <c r="A139" s="13" t="n">
        <v>42541</v>
      </c>
      <c r="C139" s="14" t="n">
        <v>0.5</v>
      </c>
      <c r="D139" s="14" t="n">
        <v>0.25</v>
      </c>
      <c r="F139" s="14" t="n">
        <v>-0.4</v>
      </c>
      <c r="G139" s="14" t="n">
        <v>0.5</v>
      </c>
      <c r="H139" s="14" t="n">
        <v>0.4604</v>
      </c>
      <c r="I139" s="14" t="n">
        <v>0.45021962613204</v>
      </c>
      <c r="J139" s="14" t="n">
        <v>0.424832738112114</v>
      </c>
      <c r="K139" s="14" t="n">
        <v>0.410018272822272</v>
      </c>
      <c r="L139" s="14" t="n">
        <v>0.419402702354387</v>
      </c>
      <c r="M139" s="14" t="n">
        <v>2.8675</v>
      </c>
      <c r="N139" s="14" t="n">
        <v>2.9572</v>
      </c>
      <c r="O139" s="14" t="n">
        <v>2.9845</v>
      </c>
      <c r="P139" s="14" t="n">
        <v>3.051</v>
      </c>
      <c r="Q139" s="14" t="n">
        <v>0.5</v>
      </c>
      <c r="R139" s="14" t="n">
        <v>0.48</v>
      </c>
      <c r="S139" s="14" t="n">
        <v>14.25</v>
      </c>
    </row>
    <row r="140" customFormat="false" ht="15" hidden="false" customHeight="false" outlineLevel="0" collapsed="false">
      <c r="A140" s="13" t="n">
        <v>42542</v>
      </c>
      <c r="C140" s="14" t="n">
        <v>0.5</v>
      </c>
      <c r="D140" s="14" t="n">
        <v>0.25</v>
      </c>
      <c r="F140" s="14" t="n">
        <v>-0.4</v>
      </c>
      <c r="G140" s="14" t="n">
        <v>0.5</v>
      </c>
      <c r="H140" s="14" t="n">
        <v>0.4589</v>
      </c>
      <c r="I140" s="14" t="n">
        <v>0.448106330676032</v>
      </c>
      <c r="J140" s="14" t="n">
        <v>0.421791533005776</v>
      </c>
      <c r="K140" s="14" t="n">
        <v>0.403267141475959</v>
      </c>
      <c r="L140" s="14" t="n">
        <v>0.411932020664842</v>
      </c>
      <c r="M140" s="14" t="n">
        <v>2.8728</v>
      </c>
      <c r="N140" s="14" t="n">
        <v>2.9573</v>
      </c>
      <c r="O140" s="14" t="n">
        <v>2.9845</v>
      </c>
      <c r="P140" s="14" t="n">
        <v>3.051</v>
      </c>
      <c r="Q140" s="14" t="n">
        <v>0.5</v>
      </c>
      <c r="R140" s="14" t="n">
        <v>0.49</v>
      </c>
      <c r="S140" s="14" t="n">
        <v>14.25</v>
      </c>
    </row>
    <row r="141" customFormat="false" ht="15" hidden="false" customHeight="false" outlineLevel="0" collapsed="false">
      <c r="A141" s="13" t="n">
        <v>42543</v>
      </c>
      <c r="C141" s="14" t="n">
        <v>0.5</v>
      </c>
      <c r="D141" s="14" t="n">
        <v>0.25</v>
      </c>
      <c r="F141" s="14" t="n">
        <v>-0.4</v>
      </c>
      <c r="G141" s="14" t="n">
        <v>0.5</v>
      </c>
      <c r="H141" s="14" t="n">
        <v>0.4618</v>
      </c>
      <c r="I141" s="14" t="n">
        <v>0.445708655148557</v>
      </c>
      <c r="J141" s="14" t="n">
        <v>0.418976327534872</v>
      </c>
      <c r="K141" s="14" t="n">
        <v>0.400902810137516</v>
      </c>
      <c r="L141" s="14" t="n">
        <v>0.409284469656892</v>
      </c>
      <c r="M141" s="14" t="n">
        <v>2.8768</v>
      </c>
      <c r="N141" s="14" t="n">
        <v>2.9593</v>
      </c>
      <c r="O141" s="14" t="n">
        <v>2.9835</v>
      </c>
      <c r="P141" s="14" t="n">
        <v>3.051</v>
      </c>
      <c r="Q141" s="14" t="n">
        <v>0.5</v>
      </c>
      <c r="R141" s="14" t="n">
        <v>0.5</v>
      </c>
      <c r="S141" s="14" t="n">
        <v>14.25</v>
      </c>
    </row>
    <row r="142" customFormat="false" ht="15" hidden="false" customHeight="false" outlineLevel="0" collapsed="false">
      <c r="A142" s="13" t="n">
        <v>42544</v>
      </c>
      <c r="C142" s="14" t="n">
        <v>0.5</v>
      </c>
      <c r="D142" s="14" t="n">
        <v>0.25</v>
      </c>
      <c r="F142" s="14" t="n">
        <v>-0.4</v>
      </c>
      <c r="G142" s="14" t="n">
        <v>0.5</v>
      </c>
      <c r="H142" s="14" t="n">
        <v>0.4604</v>
      </c>
      <c r="I142" s="14" t="n">
        <v>0.451238244472309</v>
      </c>
      <c r="J142" s="14" t="n">
        <v>0.431705307997859</v>
      </c>
      <c r="K142" s="14" t="n">
        <v>0.418225318706664</v>
      </c>
      <c r="L142" s="14" t="n">
        <v>0.434576286609043</v>
      </c>
      <c r="M142" s="14" t="n">
        <v>2.8813</v>
      </c>
      <c r="N142" s="14" t="n">
        <v>2.9605</v>
      </c>
      <c r="O142" s="14" t="n">
        <v>2.9835</v>
      </c>
      <c r="P142" s="14" t="n">
        <v>3.051</v>
      </c>
      <c r="Q142" s="14" t="n">
        <v>0.5</v>
      </c>
      <c r="R142" s="14" t="n">
        <v>0.48</v>
      </c>
      <c r="S142" s="14" t="n">
        <v>14.25</v>
      </c>
    </row>
    <row r="143" customFormat="false" ht="15" hidden="false" customHeight="false" outlineLevel="0" collapsed="false">
      <c r="A143" s="13" t="n">
        <v>42545</v>
      </c>
      <c r="C143" s="14" t="n">
        <v>0.5</v>
      </c>
      <c r="D143" s="14" t="n">
        <v>0.25</v>
      </c>
      <c r="F143" s="14" t="n">
        <v>-0.4</v>
      </c>
      <c r="G143" s="14" t="n">
        <v>0.5</v>
      </c>
      <c r="H143" s="14" t="n">
        <v>0.4581</v>
      </c>
      <c r="I143" s="14" t="n">
        <v>0.420747475399142</v>
      </c>
      <c r="J143" s="14" t="n">
        <v>0.347350217445436</v>
      </c>
      <c r="K143" s="14" t="n">
        <v>0.293574276332379</v>
      </c>
      <c r="L143" s="14" t="n">
        <v>0.246601117495463</v>
      </c>
      <c r="M143" s="14" t="n">
        <v>2.8852</v>
      </c>
      <c r="N143" s="14" t="n">
        <v>2.9626</v>
      </c>
      <c r="O143" s="14" t="n">
        <v>2.9825</v>
      </c>
      <c r="P143" s="14" t="n">
        <v>3.051</v>
      </c>
      <c r="Q143" s="14" t="n">
        <v>0.5</v>
      </c>
      <c r="R143" s="14" t="n">
        <v>0.49</v>
      </c>
      <c r="S143" s="14" t="n">
        <v>14.25</v>
      </c>
    </row>
    <row r="144" customFormat="false" ht="15" hidden="false" customHeight="false" outlineLevel="0" collapsed="false">
      <c r="A144" s="13" t="n">
        <v>42548</v>
      </c>
      <c r="C144" s="14" t="n">
        <v>0.5</v>
      </c>
      <c r="D144" s="14" t="n">
        <v>0.25</v>
      </c>
      <c r="F144" s="14" t="n">
        <v>-0.4</v>
      </c>
      <c r="G144" s="14" t="n">
        <v>0.5</v>
      </c>
      <c r="H144" s="14" t="n">
        <v>0.4584</v>
      </c>
      <c r="I144" s="14" t="n">
        <v>0.403900361257467</v>
      </c>
      <c r="J144" s="14" t="n">
        <v>0.305850342159199</v>
      </c>
      <c r="K144" s="14" t="n">
        <v>0.243686422367128</v>
      </c>
      <c r="L144" s="14" t="n">
        <v>0.188721656695599</v>
      </c>
      <c r="M144" s="14" t="n">
        <v>2.8886</v>
      </c>
      <c r="N144" s="14" t="n">
        <v>2.9618</v>
      </c>
      <c r="O144" s="14" t="n">
        <v>2.9845</v>
      </c>
      <c r="P144" s="14" t="n">
        <v>3.051</v>
      </c>
      <c r="Q144" s="14" t="n">
        <v>0.5</v>
      </c>
      <c r="R144" s="14" t="n">
        <v>0.5</v>
      </c>
      <c r="S144" s="14" t="n">
        <v>14.25</v>
      </c>
    </row>
    <row r="145" customFormat="false" ht="15" hidden="false" customHeight="false" outlineLevel="0" collapsed="false">
      <c r="A145" s="13" t="n">
        <v>42549</v>
      </c>
      <c r="C145" s="14" t="n">
        <v>0.5</v>
      </c>
      <c r="D145" s="14" t="n">
        <v>0.25</v>
      </c>
      <c r="F145" s="14" t="n">
        <v>-0.4</v>
      </c>
      <c r="G145" s="14" t="n">
        <v>0.5</v>
      </c>
      <c r="H145" s="14" t="n">
        <v>0.4585</v>
      </c>
      <c r="I145" s="14" t="n">
        <v>0.409338418889521</v>
      </c>
      <c r="J145" s="14" t="n">
        <v>0.324514215468956</v>
      </c>
      <c r="K145" s="14" t="n">
        <v>0.271648235950735</v>
      </c>
      <c r="L145" s="14" t="n">
        <v>0.224945816871249</v>
      </c>
      <c r="M145" s="14" t="n">
        <v>2.8899</v>
      </c>
      <c r="N145" s="14" t="n">
        <v>2.9638</v>
      </c>
      <c r="O145" s="14" t="n">
        <v>2.9845</v>
      </c>
      <c r="P145" s="14" t="n">
        <v>3.051</v>
      </c>
      <c r="Q145" s="14" t="n">
        <v>0.5</v>
      </c>
      <c r="R145" s="14" t="n">
        <v>0.49</v>
      </c>
      <c r="S145" s="14" t="n">
        <v>14.25</v>
      </c>
    </row>
    <row r="146" customFormat="false" ht="15" hidden="false" customHeight="false" outlineLevel="0" collapsed="false">
      <c r="A146" s="13" t="n">
        <v>42550</v>
      </c>
      <c r="C146" s="14" t="n">
        <v>0.5</v>
      </c>
      <c r="D146" s="14" t="n">
        <v>0.25</v>
      </c>
      <c r="F146" s="14" t="n">
        <v>-0.4</v>
      </c>
      <c r="G146" s="14" t="n">
        <v>0.5</v>
      </c>
      <c r="H146" s="14" t="n">
        <v>0.4569</v>
      </c>
      <c r="I146" s="14" t="n">
        <v>0.41947099472348</v>
      </c>
      <c r="J146" s="14" t="n">
        <v>0.342092849545505</v>
      </c>
      <c r="K146" s="14" t="n">
        <v>0.286603616671518</v>
      </c>
      <c r="L146" s="14" t="n">
        <v>0.235737497078392</v>
      </c>
      <c r="M146" s="14" t="n">
        <v>2.89</v>
      </c>
      <c r="N146" s="14" t="n">
        <v>2.9639</v>
      </c>
      <c r="O146" s="14" t="n">
        <v>2.9865</v>
      </c>
      <c r="P146" s="14" t="n">
        <v>3.051</v>
      </c>
      <c r="Q146" s="14" t="n">
        <v>0.5</v>
      </c>
      <c r="R146" s="14" t="n">
        <v>0.48</v>
      </c>
      <c r="S146" s="14" t="n">
        <v>14.25</v>
      </c>
    </row>
    <row r="147" customFormat="false" ht="15" hidden="false" customHeight="false" outlineLevel="0" collapsed="false">
      <c r="A147" s="13" t="n">
        <v>42551</v>
      </c>
      <c r="C147" s="14" t="n">
        <v>0.5</v>
      </c>
      <c r="D147" s="14" t="n">
        <v>0.25</v>
      </c>
      <c r="F147" s="14" t="n">
        <v>-0.4</v>
      </c>
      <c r="G147" s="14" t="n">
        <v>0.5</v>
      </c>
      <c r="H147" s="14" t="n">
        <v>0.4416</v>
      </c>
      <c r="I147" s="14" t="n">
        <v>0.388527773100983</v>
      </c>
      <c r="J147" s="14" t="n">
        <v>0.262612441699674</v>
      </c>
      <c r="K147" s="14" t="n">
        <v>0.197200268040941</v>
      </c>
      <c r="L147" s="14" t="n">
        <v>0.149415751914931</v>
      </c>
      <c r="M147" s="14" t="n">
        <v>2.887</v>
      </c>
      <c r="N147" s="14" t="n">
        <v>2.9659</v>
      </c>
      <c r="O147" s="14" t="n">
        <v>2.9887</v>
      </c>
      <c r="P147" s="14" t="n">
        <v>3.05</v>
      </c>
      <c r="Q147" s="14" t="n">
        <v>0.5</v>
      </c>
      <c r="R147" s="14" t="n">
        <v>0.48</v>
      </c>
      <c r="S147" s="14" t="n">
        <v>14.25</v>
      </c>
    </row>
    <row r="148" customFormat="false" ht="15" hidden="false" customHeight="false" outlineLevel="0" collapsed="false">
      <c r="A148" s="13" t="n">
        <v>42552</v>
      </c>
      <c r="C148" s="14" t="n">
        <v>0.5</v>
      </c>
      <c r="D148" s="14" t="n">
        <v>0.25</v>
      </c>
      <c r="F148" s="14" t="n">
        <v>-0.4</v>
      </c>
      <c r="G148" s="14" t="n">
        <v>0.5</v>
      </c>
      <c r="H148" s="14" t="n">
        <v>0.4635</v>
      </c>
      <c r="I148" s="14" t="n">
        <v>0.375870441093205</v>
      </c>
      <c r="J148" s="14" t="n">
        <v>0.242021908366433</v>
      </c>
      <c r="K148" s="14" t="n">
        <v>0.182969030729162</v>
      </c>
      <c r="L148" s="14" t="n">
        <v>0.149243999463604</v>
      </c>
      <c r="M148" s="14" t="n">
        <v>2.877</v>
      </c>
      <c r="N148" s="14" t="n">
        <v>2.9661</v>
      </c>
      <c r="O148" s="14" t="n">
        <v>2.9899</v>
      </c>
      <c r="P148" s="14" t="n">
        <v>3.05</v>
      </c>
      <c r="Q148" s="14" t="n">
        <v>0.5</v>
      </c>
      <c r="R148" s="14" t="n">
        <v>0.48</v>
      </c>
      <c r="S148" s="14" t="n">
        <v>14.25</v>
      </c>
    </row>
    <row r="149" customFormat="false" ht="15" hidden="false" customHeight="false" outlineLevel="0" collapsed="false">
      <c r="A149" s="13" t="n">
        <v>42555</v>
      </c>
      <c r="C149" s="14" t="n">
        <v>0.5</v>
      </c>
      <c r="D149" s="14" t="n">
        <v>0.25</v>
      </c>
      <c r="F149" s="14" t="n">
        <v>-0.4</v>
      </c>
      <c r="G149" s="14" t="n">
        <v>0.5</v>
      </c>
      <c r="H149" s="14" t="n">
        <v>0.4655</v>
      </c>
      <c r="I149" s="14" t="n">
        <v>0.331362982692367</v>
      </c>
      <c r="J149" s="14" t="n">
        <v>0.222406674672929</v>
      </c>
      <c r="K149" s="14" t="n">
        <v>0.165059449090972</v>
      </c>
      <c r="L149" s="14" t="n">
        <v>0.126742278879306</v>
      </c>
      <c r="M149" s="14" t="n">
        <v>2.869</v>
      </c>
      <c r="N149" s="14" t="n">
        <v>2.9672</v>
      </c>
      <c r="O149" s="14" t="n">
        <v>2.99</v>
      </c>
      <c r="P149" s="14" t="n">
        <v>3.05</v>
      </c>
      <c r="Q149" s="14" t="n">
        <v>0.5</v>
      </c>
      <c r="R149" s="14" t="n">
        <v>0.48</v>
      </c>
      <c r="S149" s="14" t="n">
        <v>14.25</v>
      </c>
    </row>
    <row r="150" customFormat="false" ht="15" hidden="false" customHeight="false" outlineLevel="0" collapsed="false">
      <c r="A150" s="13" t="n">
        <v>42556</v>
      </c>
      <c r="C150" s="14" t="n">
        <v>0.5</v>
      </c>
      <c r="D150" s="14" t="n">
        <v>0.25</v>
      </c>
      <c r="F150" s="14" t="n">
        <v>-0.4</v>
      </c>
      <c r="G150" s="14" t="n">
        <v>0.5</v>
      </c>
      <c r="H150" s="14" t="n">
        <v>0.4601</v>
      </c>
      <c r="I150" s="14" t="n">
        <v>0.31594799483397</v>
      </c>
      <c r="J150" s="14" t="n">
        <v>0.211877847114877</v>
      </c>
      <c r="K150" s="14" t="n">
        <v>0.158170150430778</v>
      </c>
      <c r="L150" s="14" t="n">
        <v>0.123395875999066</v>
      </c>
      <c r="M150" s="14" t="n">
        <v>2.86</v>
      </c>
      <c r="N150" s="14" t="n">
        <v>2.9605</v>
      </c>
      <c r="O150" s="14" t="n">
        <v>2.99</v>
      </c>
      <c r="P150" s="14" t="n">
        <v>3.05</v>
      </c>
      <c r="Q150" s="14" t="n">
        <v>0.5</v>
      </c>
      <c r="R150" s="14" t="n">
        <v>0.49</v>
      </c>
      <c r="S150" s="14" t="n">
        <v>14.25</v>
      </c>
    </row>
    <row r="151" customFormat="false" ht="15" hidden="false" customHeight="false" outlineLevel="0" collapsed="false">
      <c r="A151" s="13" t="n">
        <v>42557</v>
      </c>
      <c r="C151" s="14" t="n">
        <v>0.5</v>
      </c>
      <c r="D151" s="14" t="n">
        <v>0.25</v>
      </c>
      <c r="F151" s="14" t="n">
        <v>-0.4</v>
      </c>
      <c r="G151" s="14" t="n">
        <v>0.5</v>
      </c>
      <c r="H151" s="14" t="n">
        <v>0.4608</v>
      </c>
      <c r="I151" s="14" t="n">
        <v>0.308034911524249</v>
      </c>
      <c r="J151" s="14" t="n">
        <v>0.211757860708249</v>
      </c>
      <c r="K151" s="14" t="n">
        <v>0.159323381011026</v>
      </c>
      <c r="L151" s="14" t="n">
        <v>0.124811877497222</v>
      </c>
      <c r="M151" s="14" t="n">
        <v>2.856</v>
      </c>
      <c r="N151" s="14" t="n">
        <v>2.953</v>
      </c>
      <c r="O151" s="14" t="n">
        <v>2.989</v>
      </c>
      <c r="P151" s="14" t="n">
        <v>3.05</v>
      </c>
      <c r="Q151" s="14" t="n">
        <v>0.5</v>
      </c>
      <c r="R151" s="14" t="n">
        <v>0.49</v>
      </c>
      <c r="S151" s="14" t="n">
        <v>14.25</v>
      </c>
    </row>
    <row r="152" customFormat="false" ht="15" hidden="false" customHeight="false" outlineLevel="0" collapsed="false">
      <c r="A152" s="13" t="n">
        <v>42558</v>
      </c>
      <c r="C152" s="14" t="n">
        <v>0.5</v>
      </c>
      <c r="D152" s="14" t="n">
        <v>0.25</v>
      </c>
      <c r="F152" s="14" t="n">
        <v>-0.4</v>
      </c>
      <c r="G152" s="14" t="n">
        <v>0.5</v>
      </c>
      <c r="H152" s="14" t="n">
        <v>0.4612</v>
      </c>
      <c r="I152" s="14" t="n">
        <v>0.302121115741384</v>
      </c>
      <c r="J152" s="14" t="n">
        <v>0.213781647698698</v>
      </c>
      <c r="K152" s="14" t="n">
        <v>0.16289373049387</v>
      </c>
      <c r="L152" s="14" t="n">
        <v>0.128334583086359</v>
      </c>
      <c r="M152" s="14" t="n">
        <v>2.8535</v>
      </c>
      <c r="N152" s="14" t="n">
        <v>2.9455</v>
      </c>
      <c r="O152" s="14" t="n">
        <v>2.987</v>
      </c>
      <c r="P152" s="14" t="n">
        <v>3.05</v>
      </c>
      <c r="Q152" s="14" t="n">
        <v>0.5</v>
      </c>
      <c r="R152" s="14" t="n">
        <v>0.5</v>
      </c>
      <c r="S152" s="14" t="n">
        <v>14.25</v>
      </c>
    </row>
    <row r="153" customFormat="false" ht="15" hidden="false" customHeight="false" outlineLevel="0" collapsed="false">
      <c r="A153" s="13" t="n">
        <v>42559</v>
      </c>
      <c r="C153" s="14" t="n">
        <v>0.5</v>
      </c>
      <c r="D153" s="14" t="n">
        <v>0.25</v>
      </c>
      <c r="F153" s="14" t="n">
        <v>-0.4</v>
      </c>
      <c r="G153" s="14" t="n">
        <v>0.5</v>
      </c>
      <c r="H153" s="14" t="n">
        <v>0.461</v>
      </c>
      <c r="I153" s="14" t="n">
        <v>0.296039386862946</v>
      </c>
      <c r="J153" s="14" t="n">
        <v>0.210906645674223</v>
      </c>
      <c r="K153" s="14" t="n">
        <v>0.156759211438904</v>
      </c>
      <c r="L153" s="14" t="n">
        <v>0.120522793816592</v>
      </c>
      <c r="M153" s="14" t="n">
        <v>2.8495</v>
      </c>
      <c r="N153" s="14" t="n">
        <v>2.936</v>
      </c>
      <c r="O153" s="14" t="n">
        <v>2.983</v>
      </c>
      <c r="P153" s="14" t="n">
        <v>3.05</v>
      </c>
      <c r="Q153" s="14" t="n">
        <v>0.5</v>
      </c>
      <c r="R153" s="14" t="n">
        <v>0.49</v>
      </c>
      <c r="S153" s="14" t="n">
        <v>14.25</v>
      </c>
    </row>
    <row r="154" customFormat="false" ht="15" hidden="false" customHeight="false" outlineLevel="0" collapsed="false">
      <c r="A154" s="13" t="n">
        <v>42562</v>
      </c>
      <c r="C154" s="14" t="n">
        <v>0.5</v>
      </c>
      <c r="D154" s="14" t="n">
        <v>0.25</v>
      </c>
      <c r="F154" s="14" t="n">
        <v>-0.4</v>
      </c>
      <c r="G154" s="14" t="n">
        <v>0.5</v>
      </c>
      <c r="H154" s="14" t="n">
        <v>0.4603</v>
      </c>
      <c r="I154" s="14" t="n">
        <v>0.256529536316374</v>
      </c>
      <c r="J154" s="14" t="n">
        <v>0.184538073695893</v>
      </c>
      <c r="K154" s="14" t="n">
        <v>0.141208477923184</v>
      </c>
      <c r="L154" s="14" t="n">
        <v>0.113124846374247</v>
      </c>
      <c r="M154" s="14" t="n">
        <v>2.845</v>
      </c>
      <c r="N154" s="14" t="n">
        <v>2.931</v>
      </c>
      <c r="O154" s="14" t="n">
        <v>2.9775</v>
      </c>
      <c r="P154" s="14" t="n">
        <v>3.05</v>
      </c>
      <c r="Q154" s="14" t="n">
        <v>0.5</v>
      </c>
      <c r="R154" s="14" t="n">
        <v>0.49</v>
      </c>
      <c r="S154" s="14" t="n">
        <v>14.25</v>
      </c>
    </row>
    <row r="155" customFormat="false" ht="15" hidden="false" customHeight="false" outlineLevel="0" collapsed="false">
      <c r="A155" s="13" t="n">
        <v>42563</v>
      </c>
      <c r="C155" s="14" t="n">
        <v>0.5</v>
      </c>
      <c r="D155" s="14" t="n">
        <v>0.25</v>
      </c>
      <c r="F155" s="14" t="n">
        <v>-0.4</v>
      </c>
      <c r="G155" s="14" t="n">
        <v>0.5</v>
      </c>
      <c r="H155" s="14" t="n">
        <v>0.4598</v>
      </c>
      <c r="I155" s="14" t="n">
        <v>0.247281587694923</v>
      </c>
      <c r="J155" s="14" t="n">
        <v>0.179797324577545</v>
      </c>
      <c r="K155" s="14" t="n">
        <v>0.138128828396168</v>
      </c>
      <c r="L155" s="14" t="n">
        <v>0.111472036858121</v>
      </c>
      <c r="M155" s="14" t="n">
        <v>2.837</v>
      </c>
      <c r="N155" s="14" t="n">
        <v>2.924</v>
      </c>
      <c r="O155" s="14" t="n">
        <v>2.975</v>
      </c>
      <c r="P155" s="14" t="n">
        <v>3.05</v>
      </c>
      <c r="Q155" s="14" t="n">
        <v>0.5</v>
      </c>
      <c r="R155" s="14" t="n">
        <v>0.49</v>
      </c>
      <c r="S155" s="14" t="n">
        <v>14.25</v>
      </c>
    </row>
    <row r="156" customFormat="false" ht="15" hidden="false" customHeight="false" outlineLevel="0" collapsed="false">
      <c r="A156" s="13" t="n">
        <v>42564</v>
      </c>
      <c r="C156" s="14" t="n">
        <v>0.5</v>
      </c>
      <c r="D156" s="14" t="n">
        <v>0.25</v>
      </c>
      <c r="F156" s="14" t="n">
        <v>-0.4</v>
      </c>
      <c r="G156" s="14" t="n">
        <v>0.5</v>
      </c>
      <c r="H156" s="14" t="n">
        <v>0.4593</v>
      </c>
      <c r="I156" s="14" t="n">
        <v>0.245748170380961</v>
      </c>
      <c r="J156" s="14" t="n">
        <v>0.181130988913603</v>
      </c>
      <c r="K156" s="14" t="n">
        <v>0.138778188473094</v>
      </c>
      <c r="L156" s="14" t="n">
        <v>0.113080053598888</v>
      </c>
      <c r="M156" s="14" t="n">
        <v>2.823</v>
      </c>
      <c r="N156" s="14" t="n">
        <v>2.907</v>
      </c>
      <c r="O156" s="14" t="n">
        <v>2.9715</v>
      </c>
      <c r="P156" s="14" t="n">
        <v>3.049</v>
      </c>
      <c r="Q156" s="14" t="n">
        <v>0.5</v>
      </c>
      <c r="R156" s="14" t="n">
        <v>0.49</v>
      </c>
      <c r="S156" s="14" t="n">
        <v>14.25</v>
      </c>
    </row>
    <row r="157" customFormat="false" ht="15" hidden="false" customHeight="false" outlineLevel="0" collapsed="false">
      <c r="A157" s="13" t="n">
        <v>42565</v>
      </c>
      <c r="C157" s="14" t="n">
        <v>0.5</v>
      </c>
      <c r="D157" s="14" t="n">
        <v>0.25</v>
      </c>
      <c r="F157" s="14" t="n">
        <v>-0.4</v>
      </c>
      <c r="G157" s="14" t="n">
        <v>0.5</v>
      </c>
      <c r="H157" s="14" t="n">
        <v>0.3954</v>
      </c>
      <c r="I157" s="14" t="n">
        <v>0.398367070099899</v>
      </c>
      <c r="J157" s="14" t="n">
        <v>0.294863103757612</v>
      </c>
      <c r="K157" s="14" t="n">
        <v>0.234286411267151</v>
      </c>
      <c r="L157" s="14" t="n">
        <v>0.19197539828831</v>
      </c>
      <c r="M157" s="14" t="n">
        <v>2.81</v>
      </c>
      <c r="N157" s="14" t="n">
        <v>2.888</v>
      </c>
      <c r="O157" s="14" t="n">
        <v>2.966</v>
      </c>
      <c r="P157" s="14" t="n">
        <v>3.047</v>
      </c>
      <c r="Q157" s="14" t="n">
        <v>0.5</v>
      </c>
      <c r="R157" s="14" t="n">
        <v>0.49</v>
      </c>
      <c r="S157" s="14" t="n">
        <v>14.25</v>
      </c>
    </row>
    <row r="158" customFormat="false" ht="15" hidden="false" customHeight="false" outlineLevel="0" collapsed="false">
      <c r="A158" s="13" t="n">
        <v>42566</v>
      </c>
      <c r="C158" s="14" t="n">
        <v>0.5</v>
      </c>
      <c r="D158" s="14" t="n">
        <v>0.25</v>
      </c>
      <c r="F158" s="14" t="n">
        <v>-0.4</v>
      </c>
      <c r="G158" s="14" t="n">
        <v>0.5</v>
      </c>
      <c r="H158" s="14" t="n">
        <v>0.4666</v>
      </c>
      <c r="I158" s="14" t="n">
        <v>0.382552994914723</v>
      </c>
      <c r="J158" s="14" t="n">
        <v>0.264218712345487</v>
      </c>
      <c r="K158" s="14" t="n">
        <v>0.201557731188987</v>
      </c>
      <c r="L158" s="14" t="n">
        <v>0.159211719614677</v>
      </c>
      <c r="M158" s="14" t="n">
        <v>2.803</v>
      </c>
      <c r="N158" s="14" t="n">
        <v>2.877</v>
      </c>
      <c r="O158" s="14" t="n">
        <v>2.964</v>
      </c>
      <c r="P158" s="14" t="n">
        <v>3.047</v>
      </c>
      <c r="Q158" s="14" t="n">
        <v>0.5</v>
      </c>
      <c r="R158" s="14" t="n">
        <v>0.51</v>
      </c>
      <c r="S158" s="14" t="n">
        <v>14.25</v>
      </c>
    </row>
    <row r="159" customFormat="false" ht="15" hidden="false" customHeight="false" outlineLevel="0" collapsed="false">
      <c r="A159" s="13" t="n">
        <v>42569</v>
      </c>
      <c r="C159" s="14" t="n">
        <v>0.5</v>
      </c>
      <c r="D159" s="14" t="n">
        <v>0.25</v>
      </c>
      <c r="F159" s="14" t="n">
        <v>-0.4</v>
      </c>
      <c r="G159" s="14" t="n">
        <v>0.5</v>
      </c>
      <c r="H159" s="14" t="n">
        <v>0.4617</v>
      </c>
      <c r="I159" s="14" t="n">
        <v>0.378418483992012</v>
      </c>
      <c r="J159" s="14" t="n">
        <v>0.268119765919953</v>
      </c>
      <c r="K159" s="14" t="n">
        <v>0.2116771688703</v>
      </c>
      <c r="L159" s="14" t="n">
        <v>0.175513096520737</v>
      </c>
      <c r="M159" s="14" t="n">
        <v>2.799</v>
      </c>
      <c r="N159" s="14" t="n">
        <v>2.87</v>
      </c>
      <c r="O159" s="14" t="n">
        <v>2.959</v>
      </c>
      <c r="P159" s="14" t="n">
        <v>3.048</v>
      </c>
      <c r="Q159" s="14" t="n">
        <v>0.5</v>
      </c>
      <c r="R159" s="14" t="n">
        <v>0.49</v>
      </c>
      <c r="S159" s="14" t="n">
        <v>14.25</v>
      </c>
    </row>
    <row r="160" customFormat="false" ht="15" hidden="false" customHeight="false" outlineLevel="0" collapsed="false">
      <c r="A160" s="13" t="n">
        <v>42570</v>
      </c>
      <c r="C160" s="14" t="n">
        <v>0.5</v>
      </c>
      <c r="D160" s="14" t="n">
        <v>0.25</v>
      </c>
      <c r="F160" s="14" t="n">
        <v>-0.4</v>
      </c>
      <c r="G160" s="14" t="n">
        <v>0.5</v>
      </c>
      <c r="H160" s="14" t="n">
        <v>0.4581</v>
      </c>
      <c r="I160" s="14" t="n">
        <v>0.375847842485675</v>
      </c>
      <c r="J160" s="14" t="n">
        <v>0.268826251658677</v>
      </c>
      <c r="K160" s="14" t="n">
        <v>0.213868093773806</v>
      </c>
      <c r="L160" s="14" t="n">
        <v>0.176030923792647</v>
      </c>
      <c r="M160" s="14" t="n">
        <v>2.795</v>
      </c>
      <c r="N160" s="14" t="n">
        <v>2.865</v>
      </c>
      <c r="O160" s="14" t="n">
        <v>2.957</v>
      </c>
      <c r="P160" s="14" t="n">
        <v>3.048</v>
      </c>
      <c r="Q160" s="14" t="n">
        <v>0.5</v>
      </c>
      <c r="R160" s="14" t="n">
        <v>0.5</v>
      </c>
      <c r="S160" s="14" t="n">
        <v>14.25</v>
      </c>
    </row>
    <row r="161" customFormat="false" ht="15" hidden="false" customHeight="false" outlineLevel="0" collapsed="false">
      <c r="A161" s="13" t="n">
        <v>42571</v>
      </c>
      <c r="C161" s="14" t="n">
        <v>0.5</v>
      </c>
      <c r="D161" s="14" t="n">
        <v>0.25</v>
      </c>
      <c r="F161" s="14" t="n">
        <v>-0.4</v>
      </c>
      <c r="G161" s="14" t="n">
        <v>0.5</v>
      </c>
      <c r="H161" s="14" t="n">
        <v>0.4615</v>
      </c>
      <c r="I161" s="14" t="n">
        <v>0.367704200433341</v>
      </c>
      <c r="J161" s="14" t="n">
        <v>0.26162404651397</v>
      </c>
      <c r="K161" s="14" t="n">
        <v>0.21606612057957</v>
      </c>
      <c r="L161" s="14" t="n">
        <v>0.182747892761199</v>
      </c>
      <c r="M161" s="14" t="n">
        <v>2.794</v>
      </c>
      <c r="N161" s="14" t="n">
        <v>2.8615</v>
      </c>
      <c r="O161" s="14" t="n">
        <v>2.956</v>
      </c>
      <c r="P161" s="14" t="n">
        <v>3.045</v>
      </c>
      <c r="Q161" s="14" t="n">
        <v>0.5</v>
      </c>
      <c r="R161" s="14" t="n">
        <v>0.52</v>
      </c>
      <c r="S161" s="14" t="n">
        <v>14.25</v>
      </c>
    </row>
    <row r="162" customFormat="false" ht="15" hidden="false" customHeight="false" outlineLevel="0" collapsed="false">
      <c r="A162" s="13" t="n">
        <v>42572</v>
      </c>
      <c r="C162" s="14" t="n">
        <v>0.5</v>
      </c>
      <c r="D162" s="14" t="n">
        <v>0.25</v>
      </c>
      <c r="F162" s="14" t="n">
        <v>-0.4</v>
      </c>
      <c r="G162" s="14" t="n">
        <v>0.5</v>
      </c>
      <c r="H162" s="14" t="n">
        <v>0.4671</v>
      </c>
      <c r="I162" s="14" t="n">
        <v>0.373689498557141</v>
      </c>
      <c r="J162" s="14" t="n">
        <v>0.278339822759013</v>
      </c>
      <c r="K162" s="14" t="n">
        <v>0.231254065636078</v>
      </c>
      <c r="L162" s="14" t="n">
        <v>0.193442375698713</v>
      </c>
      <c r="M162" s="14" t="n">
        <v>2.786</v>
      </c>
      <c r="N162" s="14" t="n">
        <v>2.8575</v>
      </c>
      <c r="O162" s="14" t="n">
        <v>2.955</v>
      </c>
      <c r="P162" s="14" t="n">
        <v>3.046</v>
      </c>
      <c r="Q162" s="14" t="n">
        <v>0.5</v>
      </c>
      <c r="R162" s="14" t="n">
        <v>0.51</v>
      </c>
      <c r="S162" s="14" t="n">
        <v>14.25</v>
      </c>
    </row>
    <row r="163" customFormat="false" ht="15" hidden="false" customHeight="false" outlineLevel="0" collapsed="false">
      <c r="A163" s="13" t="n">
        <v>42573</v>
      </c>
      <c r="C163" s="14" t="n">
        <v>0.5</v>
      </c>
      <c r="D163" s="14" t="n">
        <v>0.25</v>
      </c>
      <c r="F163" s="14" t="n">
        <v>-0.4</v>
      </c>
      <c r="G163" s="14" t="n">
        <v>0.5</v>
      </c>
      <c r="H163" s="14" t="n">
        <v>0.4632</v>
      </c>
      <c r="I163" s="14" t="n">
        <v>0.36077031691691</v>
      </c>
      <c r="J163" s="14" t="n">
        <v>0.259270625999913</v>
      </c>
      <c r="K163" s="14" t="n">
        <v>0.215487797504304</v>
      </c>
      <c r="L163" s="14" t="n">
        <v>0.17804295185238</v>
      </c>
      <c r="M163" s="14" t="n">
        <v>2.784</v>
      </c>
      <c r="N163" s="14" t="n">
        <v>2.856</v>
      </c>
      <c r="O163" s="14" t="n">
        <v>2.954</v>
      </c>
      <c r="P163" s="14" t="n">
        <v>3.044</v>
      </c>
      <c r="Q163" s="14" t="n">
        <v>0.5</v>
      </c>
      <c r="R163" s="14" t="n">
        <v>0.49</v>
      </c>
      <c r="S163" s="14" t="n">
        <v>14.25</v>
      </c>
    </row>
    <row r="164" customFormat="false" ht="15" hidden="false" customHeight="false" outlineLevel="0" collapsed="false">
      <c r="A164" s="13" t="n">
        <v>42576</v>
      </c>
      <c r="C164" s="14" t="n">
        <v>0.5</v>
      </c>
      <c r="D164" s="14" t="n">
        <v>0.25</v>
      </c>
      <c r="F164" s="14" t="n">
        <v>-0.4</v>
      </c>
      <c r="G164" s="14" t="n">
        <v>0.5</v>
      </c>
      <c r="H164" s="14" t="n">
        <v>0.4565</v>
      </c>
      <c r="I164" s="14" t="n">
        <v>0.313420049284001</v>
      </c>
      <c r="J164" s="14" t="n">
        <v>0.249580906535428</v>
      </c>
      <c r="K164" s="14" t="n">
        <v>0.210731751567778</v>
      </c>
      <c r="L164" s="14" t="n">
        <v>0.174546826455929</v>
      </c>
      <c r="M164" s="14" t="n">
        <v>2.78</v>
      </c>
      <c r="N164" s="14" t="n">
        <v>2.854</v>
      </c>
      <c r="O164" s="14" t="n">
        <v>2.948</v>
      </c>
      <c r="P164" s="14" t="n">
        <v>3.041</v>
      </c>
      <c r="Q164" s="14" t="n">
        <v>0.5</v>
      </c>
      <c r="R164" s="14" t="n">
        <v>0.51</v>
      </c>
      <c r="S164" s="14" t="n">
        <v>14.25</v>
      </c>
    </row>
    <row r="165" customFormat="false" ht="15" hidden="false" customHeight="false" outlineLevel="0" collapsed="false">
      <c r="A165" s="13" t="n">
        <v>42577</v>
      </c>
      <c r="C165" s="14" t="n">
        <v>0.5</v>
      </c>
      <c r="D165" s="14" t="n">
        <v>0.25</v>
      </c>
      <c r="F165" s="14" t="n">
        <v>-0.4</v>
      </c>
      <c r="G165" s="14" t="n">
        <v>0.5</v>
      </c>
      <c r="H165" s="14" t="n">
        <v>0.4603</v>
      </c>
      <c r="I165" s="14" t="n">
        <v>0.28713157903536</v>
      </c>
      <c r="J165" s="14" t="n">
        <v>0.220345008457462</v>
      </c>
      <c r="K165" s="14" t="n">
        <v>0.178554918759081</v>
      </c>
      <c r="L165" s="14" t="n">
        <v>0.146725094841816</v>
      </c>
      <c r="M165" s="14" t="n">
        <v>2.779</v>
      </c>
      <c r="N165" s="14" t="n">
        <v>2.851</v>
      </c>
      <c r="O165" s="14" t="n">
        <v>2.9455</v>
      </c>
      <c r="P165" s="14" t="n">
        <v>3.041</v>
      </c>
      <c r="Q165" s="14" t="n">
        <v>0.5</v>
      </c>
      <c r="R165" s="14" t="n">
        <v>0.49</v>
      </c>
      <c r="S165" s="14" t="n">
        <v>14.25</v>
      </c>
    </row>
    <row r="166" customFormat="false" ht="15" hidden="false" customHeight="false" outlineLevel="0" collapsed="false">
      <c r="A166" s="13" t="n">
        <v>42578</v>
      </c>
      <c r="C166" s="14" t="n">
        <v>0.5</v>
      </c>
      <c r="D166" s="14" t="n">
        <v>0.25</v>
      </c>
      <c r="F166" s="14" t="n">
        <v>-0.4</v>
      </c>
      <c r="G166" s="14" t="n">
        <v>0.5</v>
      </c>
      <c r="H166" s="14" t="n">
        <v>0.4589</v>
      </c>
      <c r="I166" s="14" t="n">
        <v>0.274481591506729</v>
      </c>
      <c r="J166" s="14" t="n">
        <v>0.210572342462545</v>
      </c>
      <c r="K166" s="14" t="n">
        <v>0.168953100206223</v>
      </c>
      <c r="L166" s="14" t="n">
        <v>0.13687946987394</v>
      </c>
      <c r="M166" s="14" t="n">
        <v>2.777</v>
      </c>
      <c r="N166" s="14" t="n">
        <v>2.849</v>
      </c>
      <c r="O166" s="14" t="n">
        <v>2.9446</v>
      </c>
      <c r="P166" s="14" t="n">
        <v>3.041</v>
      </c>
      <c r="Q166" s="14" t="n">
        <v>0.5</v>
      </c>
      <c r="R166" s="14" t="n">
        <v>0.49</v>
      </c>
      <c r="S166" s="14" t="n">
        <v>14.25</v>
      </c>
    </row>
    <row r="167" customFormat="false" ht="15" hidden="false" customHeight="false" outlineLevel="0" collapsed="false">
      <c r="A167" s="13" t="n">
        <v>42579</v>
      </c>
      <c r="C167" s="14" t="n">
        <v>0.5</v>
      </c>
      <c r="D167" s="14" t="n">
        <v>0.25</v>
      </c>
      <c r="F167" s="14" t="n">
        <v>-0.4</v>
      </c>
      <c r="G167" s="14" t="n">
        <v>0.5</v>
      </c>
      <c r="H167" s="14" t="n">
        <v>0.4575</v>
      </c>
      <c r="I167" s="14" t="n">
        <v>0.264884035561392</v>
      </c>
      <c r="J167" s="14" t="n">
        <v>0.205080510528426</v>
      </c>
      <c r="K167" s="14" t="n">
        <v>0.165634618930153</v>
      </c>
      <c r="L167" s="14" t="n">
        <v>0.133370238781193</v>
      </c>
      <c r="M167" s="14" t="n">
        <v>2.775</v>
      </c>
      <c r="N167" s="14" t="n">
        <v>2.8465</v>
      </c>
      <c r="O167" s="14" t="n">
        <v>2.9385</v>
      </c>
      <c r="P167" s="14" t="n">
        <v>3.039</v>
      </c>
      <c r="Q167" s="14" t="n">
        <v>0.5</v>
      </c>
      <c r="R167" s="14" t="n">
        <v>0.49</v>
      </c>
      <c r="S167" s="14" t="n">
        <v>14.25</v>
      </c>
    </row>
    <row r="168" customFormat="false" ht="15" hidden="false" customHeight="false" outlineLevel="0" collapsed="false">
      <c r="A168" s="13" t="n">
        <v>42580</v>
      </c>
      <c r="C168" s="14" t="n">
        <v>0.5</v>
      </c>
      <c r="D168" s="14" t="n">
        <v>0.25</v>
      </c>
      <c r="F168" s="14" t="n">
        <v>-0.4</v>
      </c>
      <c r="G168" s="14" t="n">
        <v>0.5</v>
      </c>
      <c r="H168" s="14" t="n">
        <v>0.4534</v>
      </c>
      <c r="I168" s="14" t="n">
        <v>0.255578928936864</v>
      </c>
      <c r="J168" s="14" t="n">
        <v>0.199941035328269</v>
      </c>
      <c r="K168" s="14" t="n">
        <v>0.162222359956482</v>
      </c>
      <c r="L168" s="14" t="n">
        <v>0.13160849818168</v>
      </c>
      <c r="M168" s="14" t="n">
        <v>2.773</v>
      </c>
      <c r="N168" s="14" t="n">
        <v>2.846</v>
      </c>
      <c r="O168" s="14" t="n">
        <v>2.936</v>
      </c>
      <c r="P168" s="14" t="n">
        <v>3.038</v>
      </c>
      <c r="Q168" s="14" t="n">
        <v>0.5</v>
      </c>
      <c r="R168" s="14" t="n">
        <v>0.48</v>
      </c>
      <c r="S168" s="14" t="n">
        <v>14.25</v>
      </c>
    </row>
    <row r="169" customFormat="false" ht="15" hidden="false" customHeight="false" outlineLevel="0" collapsed="false">
      <c r="A169" s="13" t="n">
        <v>42583</v>
      </c>
      <c r="C169" s="14" t="n">
        <v>0.5</v>
      </c>
      <c r="D169" s="14" t="n">
        <v>0.25</v>
      </c>
      <c r="F169" s="14" t="n">
        <v>-0.4</v>
      </c>
      <c r="G169" s="14" t="n">
        <v>0.5</v>
      </c>
      <c r="H169" s="14" t="n">
        <v>0.457</v>
      </c>
      <c r="I169" s="14" t="n">
        <v>0.233698054287495</v>
      </c>
      <c r="J169" s="14" t="n">
        <v>0.198353011369056</v>
      </c>
      <c r="K169" s="14" t="n">
        <v>0.164530584366611</v>
      </c>
      <c r="L169" s="14" t="n">
        <v>0.135919172708492</v>
      </c>
      <c r="M169" s="14" t="n">
        <v>2.7665</v>
      </c>
      <c r="N169" s="14" t="n">
        <v>2.844</v>
      </c>
      <c r="O169" s="14" t="n">
        <v>2.934</v>
      </c>
      <c r="P169" s="14" t="n">
        <v>3.0378</v>
      </c>
      <c r="Q169" s="14" t="n">
        <v>0.5</v>
      </c>
      <c r="R169" s="14" t="n">
        <v>0.52</v>
      </c>
      <c r="S169" s="14" t="n">
        <v>14.25</v>
      </c>
    </row>
    <row r="170" customFormat="false" ht="15" hidden="false" customHeight="false" outlineLevel="0" collapsed="false">
      <c r="A170" s="13" t="n">
        <v>42584</v>
      </c>
      <c r="C170" s="14" t="n">
        <v>0.5</v>
      </c>
      <c r="D170" s="14" t="n">
        <v>0.25</v>
      </c>
      <c r="F170" s="14" t="n">
        <v>-0.4</v>
      </c>
      <c r="G170" s="14" t="n">
        <v>0.5</v>
      </c>
      <c r="H170" s="14" t="n">
        <v>0.4604</v>
      </c>
      <c r="I170" s="14" t="n">
        <v>0.226959506250698</v>
      </c>
      <c r="J170" s="14" t="n">
        <v>0.200360585129325</v>
      </c>
      <c r="K170" s="14" t="n">
        <v>0.173964817992246</v>
      </c>
      <c r="L170" s="14" t="n">
        <v>0.150851145448059</v>
      </c>
      <c r="M170" s="14" t="n">
        <v>2.761</v>
      </c>
      <c r="N170" s="14" t="n">
        <v>2.839</v>
      </c>
      <c r="O170" s="14" t="n">
        <v>2.928</v>
      </c>
      <c r="P170" s="14" t="n">
        <v>3.0358</v>
      </c>
      <c r="Q170" s="14" t="n">
        <v>0.5</v>
      </c>
      <c r="R170" s="14" t="n">
        <v>0.51</v>
      </c>
      <c r="S170" s="14" t="n">
        <v>14.25</v>
      </c>
    </row>
    <row r="171" customFormat="false" ht="15" hidden="false" customHeight="false" outlineLevel="0" collapsed="false">
      <c r="A171" s="13" t="n">
        <v>42585</v>
      </c>
      <c r="C171" s="14" t="n">
        <v>0.5</v>
      </c>
      <c r="D171" s="14" t="n">
        <v>0.25</v>
      </c>
      <c r="F171" s="14" t="n">
        <v>-0.4</v>
      </c>
      <c r="G171" s="14" t="n">
        <v>0.5</v>
      </c>
      <c r="H171" s="14" t="n">
        <v>0.4565</v>
      </c>
      <c r="I171" s="14" t="n">
        <v>0.214881179119569</v>
      </c>
      <c r="J171" s="14" t="n">
        <v>0.190600453276203</v>
      </c>
      <c r="K171" s="14" t="n">
        <v>0.163727959426422</v>
      </c>
      <c r="L171" s="14" t="n">
        <v>0.139980367635523</v>
      </c>
      <c r="M171" s="14" t="n">
        <v>2.755</v>
      </c>
      <c r="N171" s="14" t="n">
        <v>2.8335</v>
      </c>
      <c r="O171" s="14" t="n">
        <v>2.9225</v>
      </c>
      <c r="P171" s="14" t="n">
        <v>3.0335</v>
      </c>
      <c r="Q171" s="14" t="n">
        <v>0.5</v>
      </c>
      <c r="R171" s="14" t="n">
        <v>0.52</v>
      </c>
      <c r="S171" s="14" t="n">
        <v>14.25</v>
      </c>
    </row>
    <row r="172" customFormat="false" ht="15" hidden="false" customHeight="false" outlineLevel="0" collapsed="false">
      <c r="A172" s="13" t="n">
        <v>42586</v>
      </c>
      <c r="C172" s="14" t="n">
        <v>0.5</v>
      </c>
      <c r="D172" s="14" t="n">
        <v>0.25</v>
      </c>
      <c r="F172" s="14" t="n">
        <v>-0.4</v>
      </c>
      <c r="G172" s="14" t="n">
        <v>0.25</v>
      </c>
      <c r="H172" s="14" t="n">
        <v>0.246</v>
      </c>
      <c r="I172" s="14" t="n">
        <v>0.21175572916479</v>
      </c>
      <c r="J172" s="14" t="n">
        <v>0.187654748344467</v>
      </c>
      <c r="K172" s="14" t="n">
        <v>0.14933441584651</v>
      </c>
      <c r="L172" s="14" t="n">
        <v>0.10892854211293</v>
      </c>
      <c r="M172" s="14" t="n">
        <v>2.739</v>
      </c>
      <c r="N172" s="14" t="n">
        <v>2.822</v>
      </c>
      <c r="O172" s="14" t="n">
        <v>2.917</v>
      </c>
      <c r="P172" s="14" t="n">
        <v>3.03</v>
      </c>
      <c r="Q172" s="14" t="n">
        <v>0.5</v>
      </c>
      <c r="R172" s="14" t="n">
        <v>0.48</v>
      </c>
      <c r="S172" s="14" t="n">
        <v>14.25</v>
      </c>
    </row>
    <row r="173" customFormat="false" ht="15" hidden="false" customHeight="false" outlineLevel="0" collapsed="false">
      <c r="A173" s="13" t="n">
        <v>42587</v>
      </c>
      <c r="C173" s="14" t="n">
        <v>0.5</v>
      </c>
      <c r="D173" s="14" t="n">
        <v>0.25</v>
      </c>
      <c r="F173" s="14" t="n">
        <v>-0.4</v>
      </c>
      <c r="G173" s="14" t="n">
        <v>0.25</v>
      </c>
      <c r="H173" s="14" t="n">
        <v>0.2139</v>
      </c>
      <c r="I173" s="14" t="n">
        <v>0.208638505169042</v>
      </c>
      <c r="J173" s="14" t="n">
        <v>0.191335361279337</v>
      </c>
      <c r="K173" s="14" t="n">
        <v>0.154457673573335</v>
      </c>
      <c r="L173" s="14" t="n">
        <v>0.117878758344079</v>
      </c>
      <c r="M173" s="14" t="n">
        <v>2.729</v>
      </c>
      <c r="N173" s="14" t="n">
        <v>2.8185</v>
      </c>
      <c r="O173" s="14" t="n">
        <v>2.9105</v>
      </c>
      <c r="P173" s="14" t="n">
        <v>3.028</v>
      </c>
      <c r="Q173" s="14" t="n">
        <v>0.5</v>
      </c>
      <c r="R173" s="14" t="n">
        <v>0.51</v>
      </c>
      <c r="S173" s="14" t="n">
        <v>14.25</v>
      </c>
    </row>
    <row r="174" customFormat="false" ht="15" hidden="false" customHeight="false" outlineLevel="0" collapsed="false">
      <c r="A174" s="13" t="n">
        <v>42590</v>
      </c>
      <c r="C174" s="14" t="n">
        <v>0.5</v>
      </c>
      <c r="D174" s="14" t="n">
        <v>0.25</v>
      </c>
      <c r="F174" s="14" t="n">
        <v>-0.4</v>
      </c>
      <c r="G174" s="14" t="n">
        <v>0.25</v>
      </c>
      <c r="H174" s="14" t="n">
        <v>0.2175</v>
      </c>
      <c r="I174" s="14" t="n">
        <v>0.214982112768821</v>
      </c>
      <c r="J174" s="14" t="n">
        <v>0.194141000993099</v>
      </c>
      <c r="K174" s="14" t="n">
        <v>0.154040308041183</v>
      </c>
      <c r="L174" s="14" t="n">
        <v>0.114724840322822</v>
      </c>
      <c r="M174" s="14" t="n">
        <v>2.721</v>
      </c>
      <c r="N174" s="14" t="n">
        <v>2.815</v>
      </c>
      <c r="O174" s="14" t="n">
        <v>2.907</v>
      </c>
      <c r="P174" s="14" t="n">
        <v>3.026</v>
      </c>
      <c r="Q174" s="14" t="n">
        <v>0.5</v>
      </c>
      <c r="R174" s="14" t="n">
        <v>0.49</v>
      </c>
      <c r="S174" s="14" t="n">
        <v>14.25</v>
      </c>
    </row>
    <row r="175" customFormat="false" ht="15" hidden="false" customHeight="false" outlineLevel="0" collapsed="false">
      <c r="A175" s="13" t="n">
        <v>42591</v>
      </c>
      <c r="C175" s="14" t="n">
        <v>0.5</v>
      </c>
      <c r="D175" s="14" t="n">
        <v>0.25</v>
      </c>
      <c r="F175" s="14" t="n">
        <v>-0.4</v>
      </c>
      <c r="G175" s="14" t="n">
        <v>0.25</v>
      </c>
      <c r="H175" s="14" t="n">
        <v>0.2107</v>
      </c>
      <c r="I175" s="14" t="n">
        <v>0.215221822440069</v>
      </c>
      <c r="J175" s="14" t="n">
        <v>0.193447295483185</v>
      </c>
      <c r="K175" s="14" t="n">
        <v>0.152355282863781</v>
      </c>
      <c r="L175" s="14" t="n">
        <v>0.113162231037902</v>
      </c>
      <c r="M175" s="14" t="n">
        <v>2.714</v>
      </c>
      <c r="N175" s="14" t="n">
        <v>2.8105</v>
      </c>
      <c r="O175" s="14" t="n">
        <v>2.9055</v>
      </c>
      <c r="P175" s="14" t="n">
        <v>3.025</v>
      </c>
      <c r="Q175" s="14" t="n">
        <v>0.5</v>
      </c>
      <c r="R175" s="14" t="n">
        <v>0.5</v>
      </c>
      <c r="S175" s="14" t="n">
        <v>14.25</v>
      </c>
    </row>
    <row r="176" customFormat="false" ht="15" hidden="false" customHeight="false" outlineLevel="0" collapsed="false">
      <c r="A176" s="13" t="n">
        <v>42592</v>
      </c>
      <c r="C176" s="14" t="n">
        <v>0.5</v>
      </c>
      <c r="D176" s="14" t="n">
        <v>0.25</v>
      </c>
      <c r="F176" s="14" t="n">
        <v>-0.4</v>
      </c>
      <c r="G176" s="14" t="n">
        <v>0.25</v>
      </c>
      <c r="H176" s="14" t="n">
        <v>0.2122</v>
      </c>
      <c r="I176" s="14" t="n">
        <v>0.213408199142231</v>
      </c>
      <c r="J176" s="14" t="n">
        <v>0.188667769925327</v>
      </c>
      <c r="K176" s="14" t="n">
        <v>0.149572910681135</v>
      </c>
      <c r="L176" s="14" t="n">
        <v>0.110916432332661</v>
      </c>
      <c r="M176" s="14" t="n">
        <v>2.709</v>
      </c>
      <c r="N176" s="14" t="n">
        <v>2.8085</v>
      </c>
      <c r="O176" s="14" t="n">
        <v>2.9045</v>
      </c>
      <c r="P176" s="14" t="n">
        <v>3.026</v>
      </c>
      <c r="Q176" s="14" t="n">
        <v>0.5</v>
      </c>
      <c r="R176" s="14" t="n">
        <v>0.49</v>
      </c>
      <c r="S176" s="14" t="n">
        <v>14.25</v>
      </c>
    </row>
    <row r="177" customFormat="false" ht="15" hidden="false" customHeight="false" outlineLevel="0" collapsed="false">
      <c r="A177" s="13" t="n">
        <v>42593</v>
      </c>
      <c r="C177" s="14" t="n">
        <v>0.5</v>
      </c>
      <c r="D177" s="14" t="n">
        <v>0.25</v>
      </c>
      <c r="F177" s="14" t="n">
        <v>-0.4</v>
      </c>
      <c r="G177" s="14" t="n">
        <v>0.25</v>
      </c>
      <c r="H177" s="14" t="n">
        <v>0.2141</v>
      </c>
      <c r="I177" s="14" t="n">
        <v>0.213729045809333</v>
      </c>
      <c r="J177" s="14" t="n">
        <v>0.191256141046286</v>
      </c>
      <c r="K177" s="14" t="n">
        <v>0.154474390812804</v>
      </c>
      <c r="L177" s="14" t="n">
        <v>0.119925681756898</v>
      </c>
      <c r="M177" s="14" t="n">
        <v>2.705</v>
      </c>
      <c r="N177" s="14" t="n">
        <v>2.805</v>
      </c>
      <c r="O177" s="14" t="n">
        <v>2.901</v>
      </c>
      <c r="P177" s="14" t="n">
        <v>3.027</v>
      </c>
      <c r="Q177" s="14" t="n">
        <v>0.5</v>
      </c>
      <c r="R177" s="14" t="n">
        <v>0.5</v>
      </c>
      <c r="S177" s="14" t="n">
        <v>14.25</v>
      </c>
    </row>
    <row r="178" customFormat="false" ht="15" hidden="false" customHeight="false" outlineLevel="0" collapsed="false">
      <c r="A178" s="13" t="n">
        <v>42594</v>
      </c>
      <c r="C178" s="14" t="n">
        <v>0.5</v>
      </c>
      <c r="D178" s="14" t="n">
        <v>0.25</v>
      </c>
      <c r="F178" s="14" t="n">
        <v>-0.4</v>
      </c>
      <c r="G178" s="14" t="n">
        <v>0.25</v>
      </c>
      <c r="H178" s="14" t="n">
        <v>0.2111</v>
      </c>
      <c r="I178" s="14" t="n">
        <v>0.21319732267895</v>
      </c>
      <c r="J178" s="14" t="n">
        <v>0.188874212956302</v>
      </c>
      <c r="K178" s="14" t="n">
        <v>0.153279217546051</v>
      </c>
      <c r="L178" s="14" t="n">
        <v>0.118388018416314</v>
      </c>
      <c r="M178" s="14" t="n">
        <v>2.705</v>
      </c>
      <c r="N178" s="14" t="n">
        <v>2.8045</v>
      </c>
      <c r="O178" s="14" t="n">
        <v>2.9</v>
      </c>
      <c r="P178" s="14" t="n">
        <v>3.026</v>
      </c>
      <c r="Q178" s="14" t="n">
        <v>0.5</v>
      </c>
      <c r="R178" s="14" t="n">
        <v>0.49</v>
      </c>
      <c r="S178" s="14" t="n">
        <v>14.25</v>
      </c>
    </row>
    <row r="179" customFormat="false" ht="15" hidden="false" customHeight="false" outlineLevel="0" collapsed="false">
      <c r="A179" s="13" t="n">
        <v>42597</v>
      </c>
      <c r="C179" s="14" t="n">
        <v>0.5</v>
      </c>
      <c r="D179" s="14" t="n">
        <v>0.25</v>
      </c>
      <c r="F179" s="14" t="n">
        <v>-0.4</v>
      </c>
      <c r="G179" s="14" t="n">
        <v>0.25</v>
      </c>
      <c r="H179" s="14" t="n">
        <v>0.211</v>
      </c>
      <c r="I179" s="14" t="n">
        <v>0.210321394324913</v>
      </c>
      <c r="J179" s="14" t="n">
        <v>0.184057395535862</v>
      </c>
      <c r="K179" s="14" t="n">
        <v>0.143892839452506</v>
      </c>
      <c r="L179" s="14" t="n">
        <v>0.107593204244852</v>
      </c>
      <c r="M179" s="14" t="n">
        <v>2.7056</v>
      </c>
      <c r="N179" s="14" t="n">
        <v>2.8028</v>
      </c>
      <c r="O179" s="14" t="n">
        <v>2.9</v>
      </c>
      <c r="P179" s="14" t="n">
        <v>3.0278</v>
      </c>
      <c r="Q179" s="14" t="n">
        <v>0.5</v>
      </c>
      <c r="R179" s="14" t="n">
        <v>0.49</v>
      </c>
      <c r="S179" s="14" t="n">
        <v>14.25</v>
      </c>
    </row>
    <row r="180" customFormat="false" ht="15" hidden="false" customHeight="false" outlineLevel="0" collapsed="false">
      <c r="A180" s="13" t="n">
        <v>42598</v>
      </c>
      <c r="C180" s="14" t="n">
        <v>0.5</v>
      </c>
      <c r="D180" s="14" t="n">
        <v>0.25</v>
      </c>
      <c r="F180" s="14" t="n">
        <v>-0.4</v>
      </c>
      <c r="G180" s="14" t="n">
        <v>0.25</v>
      </c>
      <c r="H180" s="14" t="n">
        <v>0.2115</v>
      </c>
      <c r="I180" s="14" t="n">
        <v>0.210666693519754</v>
      </c>
      <c r="J180" s="14" t="n">
        <v>0.186834729307324</v>
      </c>
      <c r="K180" s="14" t="n">
        <v>0.149822946074967</v>
      </c>
      <c r="L180" s="14" t="n">
        <v>0.116009110754758</v>
      </c>
      <c r="M180" s="14" t="n">
        <v>2.702</v>
      </c>
      <c r="N180" s="14" t="n">
        <v>2.7995</v>
      </c>
      <c r="O180" s="14" t="n">
        <v>2.898</v>
      </c>
      <c r="P180" s="14" t="n">
        <v>3.026</v>
      </c>
      <c r="Q180" s="14" t="n">
        <v>0.5</v>
      </c>
      <c r="R180" s="14" t="n">
        <v>0.49</v>
      </c>
      <c r="S180" s="14" t="n">
        <v>14.25</v>
      </c>
    </row>
    <row r="181" customFormat="false" ht="15" hidden="false" customHeight="false" outlineLevel="0" collapsed="false">
      <c r="A181" s="13" t="n">
        <v>42599</v>
      </c>
      <c r="C181" s="14" t="n">
        <v>0.5</v>
      </c>
      <c r="D181" s="14" t="n">
        <v>0.25</v>
      </c>
      <c r="F181" s="14" t="n">
        <v>-0.4</v>
      </c>
      <c r="G181" s="14" t="n">
        <v>0.25</v>
      </c>
      <c r="H181" s="14" t="n">
        <v>0.2098</v>
      </c>
      <c r="I181" s="14" t="n">
        <v>0.209258142910254</v>
      </c>
      <c r="J181" s="14" t="n">
        <v>0.184929599480852</v>
      </c>
      <c r="K181" s="14" t="n">
        <v>0.149203350833713</v>
      </c>
      <c r="L181" s="14" t="n">
        <v>0.120367482908955</v>
      </c>
      <c r="M181" s="14" t="n">
        <v>2.698</v>
      </c>
      <c r="N181" s="14" t="n">
        <v>2.796</v>
      </c>
      <c r="O181" s="14" t="n">
        <v>2.897</v>
      </c>
      <c r="P181" s="14" t="n">
        <v>3.026</v>
      </c>
      <c r="Q181" s="14" t="n">
        <v>0.5</v>
      </c>
      <c r="R181" s="14" t="n">
        <v>0.49</v>
      </c>
      <c r="S181" s="14" t="n">
        <v>14.25</v>
      </c>
    </row>
    <row r="182" customFormat="false" ht="15" hidden="false" customHeight="false" outlineLevel="0" collapsed="false">
      <c r="A182" s="13" t="n">
        <v>42600</v>
      </c>
      <c r="C182" s="14" t="n">
        <v>0.5</v>
      </c>
      <c r="D182" s="14" t="n">
        <v>0.25</v>
      </c>
      <c r="F182" s="14" t="n">
        <v>-0.4</v>
      </c>
      <c r="G182" s="14" t="n">
        <v>0.25</v>
      </c>
      <c r="H182" s="14" t="n">
        <v>0.2118</v>
      </c>
      <c r="I182" s="14" t="n">
        <v>0.209796992645187</v>
      </c>
      <c r="J182" s="14" t="n">
        <v>0.187382565689009</v>
      </c>
      <c r="K182" s="14" t="n">
        <v>0.153065685904899</v>
      </c>
      <c r="L182" s="14" t="n">
        <v>0.123788382593689</v>
      </c>
      <c r="M182" s="14" t="n">
        <v>2.696</v>
      </c>
      <c r="N182" s="14" t="n">
        <v>2.794</v>
      </c>
      <c r="O182" s="14" t="n">
        <v>2.895</v>
      </c>
      <c r="P182" s="14" t="n">
        <v>3.026</v>
      </c>
      <c r="Q182" s="14" t="n">
        <v>0.5</v>
      </c>
      <c r="R182" s="14" t="n">
        <v>0.5</v>
      </c>
      <c r="S182" s="14" t="n">
        <v>14.25</v>
      </c>
    </row>
    <row r="183" customFormat="false" ht="15" hidden="false" customHeight="false" outlineLevel="0" collapsed="false">
      <c r="A183" s="13" t="n">
        <v>42601</v>
      </c>
      <c r="C183" s="14" t="n">
        <v>0.5</v>
      </c>
      <c r="D183" s="14" t="n">
        <v>0.25</v>
      </c>
      <c r="F183" s="14" t="n">
        <v>-0.4</v>
      </c>
      <c r="G183" s="14" t="n">
        <v>0.25</v>
      </c>
      <c r="H183" s="14" t="n">
        <v>0.2146</v>
      </c>
      <c r="I183" s="14" t="n">
        <v>0.286297987963758</v>
      </c>
      <c r="J183" s="14" t="n">
        <v>0.189312137586331</v>
      </c>
      <c r="K183" s="14" t="n">
        <v>0.150465196083628</v>
      </c>
      <c r="L183" s="14" t="n">
        <v>0.126642278580236</v>
      </c>
      <c r="M183" s="14" t="n">
        <v>2.696</v>
      </c>
      <c r="N183" s="14" t="n">
        <v>2.793</v>
      </c>
      <c r="O183" s="14" t="n">
        <v>2.896</v>
      </c>
      <c r="P183" s="14" t="n">
        <v>3.027</v>
      </c>
      <c r="Q183" s="14" t="n">
        <v>0.5</v>
      </c>
      <c r="R183" s="14" t="n">
        <v>0.5</v>
      </c>
      <c r="S183" s="14" t="n">
        <v>14.25</v>
      </c>
    </row>
    <row r="184" customFormat="false" ht="15" hidden="false" customHeight="false" outlineLevel="0" collapsed="false">
      <c r="A184" s="13" t="n">
        <v>42604</v>
      </c>
      <c r="C184" s="14" t="n">
        <v>0.5</v>
      </c>
      <c r="D184" s="14" t="n">
        <v>0.25</v>
      </c>
      <c r="F184" s="14" t="n">
        <v>-0.4</v>
      </c>
      <c r="G184" s="14" t="n">
        <v>0.25</v>
      </c>
      <c r="H184" s="14" t="n">
        <v>0.2133</v>
      </c>
      <c r="I184" s="14" t="n">
        <v>0.20981069248515</v>
      </c>
      <c r="J184" s="14" t="n">
        <v>0.186239834337577</v>
      </c>
      <c r="K184" s="14" t="n">
        <v>0.153168545854818</v>
      </c>
      <c r="L184" s="14" t="n">
        <v>0.122101638739729</v>
      </c>
      <c r="M184" s="14" t="n">
        <v>2.6978</v>
      </c>
      <c r="N184" s="14" t="n">
        <v>2.7944</v>
      </c>
      <c r="O184" s="14" t="n">
        <v>2.8967</v>
      </c>
      <c r="P184" s="14" t="n">
        <v>3.0267</v>
      </c>
      <c r="Q184" s="14" t="n">
        <v>0.5</v>
      </c>
      <c r="R184" s="14" t="n">
        <v>0.5</v>
      </c>
      <c r="S184" s="14" t="n">
        <v>14.25</v>
      </c>
    </row>
    <row r="185" customFormat="false" ht="15" hidden="false" customHeight="false" outlineLevel="0" collapsed="false">
      <c r="A185" s="13" t="n">
        <v>42605</v>
      </c>
      <c r="C185" s="14" t="n">
        <v>0.5</v>
      </c>
      <c r="D185" s="14" t="n">
        <v>0.25</v>
      </c>
      <c r="F185" s="14" t="n">
        <v>-0.4</v>
      </c>
      <c r="G185" s="14" t="n">
        <v>0.25</v>
      </c>
      <c r="H185" s="14" t="n">
        <v>0.2138</v>
      </c>
      <c r="I185" s="14" t="n">
        <v>0.20827771284872</v>
      </c>
      <c r="J185" s="14" t="n">
        <v>0.182955673819083</v>
      </c>
      <c r="K185" s="14" t="n">
        <v>0.149963472675723</v>
      </c>
      <c r="L185" s="14" t="n">
        <v>0.12051683822028</v>
      </c>
      <c r="M185" s="14" t="n">
        <v>2.696</v>
      </c>
      <c r="N185" s="14" t="n">
        <v>2.793</v>
      </c>
      <c r="O185" s="14" t="n">
        <v>2.895</v>
      </c>
      <c r="P185" s="14" t="n">
        <v>3.026</v>
      </c>
      <c r="Q185" s="14" t="n">
        <v>0.5</v>
      </c>
      <c r="R185" s="14" t="n">
        <v>0.52</v>
      </c>
      <c r="S185" s="14" t="n">
        <v>14.25</v>
      </c>
    </row>
    <row r="186" customFormat="false" ht="15" hidden="false" customHeight="false" outlineLevel="0" collapsed="false">
      <c r="A186" s="13" t="n">
        <v>42606</v>
      </c>
      <c r="C186" s="14" t="n">
        <v>0.5</v>
      </c>
      <c r="D186" s="14" t="n">
        <v>0.25</v>
      </c>
      <c r="F186" s="14" t="n">
        <v>-0.4</v>
      </c>
      <c r="G186" s="14" t="n">
        <v>0.25</v>
      </c>
      <c r="H186" s="14" t="n">
        <v>0.2153</v>
      </c>
      <c r="I186" s="14" t="n">
        <v>0.210141649664083</v>
      </c>
      <c r="J186" s="14" t="n">
        <v>0.187705141555439</v>
      </c>
      <c r="K186" s="14" t="n">
        <v>0.157235576509982</v>
      </c>
      <c r="L186" s="14" t="n">
        <v>0.133071684127237</v>
      </c>
      <c r="M186" s="14" t="n">
        <v>2.6976</v>
      </c>
      <c r="N186" s="14" t="n">
        <v>2.794</v>
      </c>
      <c r="O186" s="14" t="n">
        <v>2.896</v>
      </c>
      <c r="P186" s="14" t="n">
        <v>3.027</v>
      </c>
      <c r="Q186" s="14" t="n">
        <v>0.5</v>
      </c>
      <c r="R186" s="14" t="n">
        <v>0.53</v>
      </c>
      <c r="S186" s="14" t="n">
        <v>14.25</v>
      </c>
    </row>
    <row r="187" customFormat="false" ht="15" hidden="false" customHeight="false" outlineLevel="0" collapsed="false">
      <c r="A187" s="13" t="n">
        <v>42607</v>
      </c>
      <c r="C187" s="14" t="n">
        <v>0.5</v>
      </c>
      <c r="D187" s="14" t="n">
        <v>0.25</v>
      </c>
      <c r="F187" s="14" t="n">
        <v>-0.4</v>
      </c>
      <c r="G187" s="14" t="n">
        <v>0.25</v>
      </c>
      <c r="H187" s="14" t="n">
        <v>0.2174</v>
      </c>
      <c r="I187" s="14" t="n">
        <v>0.210815966057803</v>
      </c>
      <c r="J187" s="14" t="n">
        <v>0.188424575167943</v>
      </c>
      <c r="K187" s="14" t="n">
        <v>0.159717833706225</v>
      </c>
      <c r="L187" s="14" t="n">
        <v>0.134815419871996</v>
      </c>
      <c r="M187" s="14" t="n">
        <v>2.6998</v>
      </c>
      <c r="N187" s="14" t="n">
        <v>2.795</v>
      </c>
      <c r="O187" s="14" t="n">
        <v>2.896</v>
      </c>
      <c r="P187" s="14" t="n">
        <v>3.027</v>
      </c>
      <c r="Q187" s="14" t="n">
        <v>0.5</v>
      </c>
      <c r="R187" s="14" t="n">
        <v>0.51</v>
      </c>
      <c r="S187" s="14" t="n">
        <v>14.25</v>
      </c>
    </row>
    <row r="188" customFormat="false" ht="15" hidden="false" customHeight="false" outlineLevel="0" collapsed="false">
      <c r="A188" s="13" t="n">
        <v>42608</v>
      </c>
      <c r="C188" s="14" t="n">
        <v>0.5</v>
      </c>
      <c r="D188" s="14" t="n">
        <v>0.25</v>
      </c>
      <c r="F188" s="14" t="n">
        <v>-0.4</v>
      </c>
      <c r="G188" s="14" t="n">
        <v>0.25</v>
      </c>
      <c r="H188" s="14" t="n">
        <v>0.2152</v>
      </c>
      <c r="I188" s="14" t="n">
        <v>0.210940430793644</v>
      </c>
      <c r="J188" s="14" t="n">
        <v>0.192605602193705</v>
      </c>
      <c r="K188" s="14" t="n">
        <v>0.165942100883814</v>
      </c>
      <c r="L188" s="14" t="n">
        <v>0.13892459579236</v>
      </c>
      <c r="M188" s="14" t="n">
        <v>2.697</v>
      </c>
      <c r="N188" s="14" t="n">
        <v>2.796</v>
      </c>
      <c r="O188" s="14" t="n">
        <v>2.895</v>
      </c>
      <c r="P188" s="14" t="n">
        <v>3.027</v>
      </c>
      <c r="Q188" s="14" t="n">
        <v>0.5</v>
      </c>
      <c r="R188" s="14" t="n">
        <v>0.5</v>
      </c>
      <c r="S188" s="14" t="n">
        <v>14.25</v>
      </c>
    </row>
    <row r="189" customFormat="false" ht="15" hidden="false" customHeight="false" outlineLevel="0" collapsed="false">
      <c r="A189" s="13" t="n">
        <v>42611</v>
      </c>
      <c r="C189" s="14" t="n">
        <v>0.5</v>
      </c>
      <c r="D189" s="14" t="n">
        <v>0.25</v>
      </c>
      <c r="F189" s="14" t="n">
        <v>-0.4</v>
      </c>
      <c r="M189" s="14" t="n">
        <v>2.696</v>
      </c>
      <c r="N189" s="14" t="n">
        <v>2.795</v>
      </c>
      <c r="O189" s="14" t="n">
        <v>2.894</v>
      </c>
      <c r="P189" s="14" t="n">
        <v>3.027</v>
      </c>
      <c r="Q189" s="14" t="n">
        <v>0.5</v>
      </c>
      <c r="R189" s="14" t="n">
        <v>0.51</v>
      </c>
      <c r="S189" s="14" t="n">
        <v>14.25</v>
      </c>
    </row>
    <row r="190" customFormat="false" ht="15" hidden="false" customHeight="false" outlineLevel="0" collapsed="false">
      <c r="A190" s="13" t="n">
        <v>42612</v>
      </c>
      <c r="C190" s="14" t="n">
        <v>0.5</v>
      </c>
      <c r="D190" s="14" t="n">
        <v>0.25</v>
      </c>
      <c r="F190" s="14" t="n">
        <v>-0.4</v>
      </c>
      <c r="G190" s="14" t="n">
        <v>0.25</v>
      </c>
      <c r="H190" s="14" t="n">
        <v>0.2161</v>
      </c>
      <c r="I190" s="14" t="n">
        <v>0.209263833528254</v>
      </c>
      <c r="J190" s="14" t="n">
        <v>0.187958735340052</v>
      </c>
      <c r="K190" s="14" t="n">
        <v>0.160720279952457</v>
      </c>
      <c r="L190" s="14" t="n">
        <v>0.135281186723613</v>
      </c>
      <c r="M190" s="14" t="n">
        <v>2.696</v>
      </c>
      <c r="N190" s="14" t="n">
        <v>2.795</v>
      </c>
      <c r="O190" s="14" t="n">
        <v>2.8915</v>
      </c>
      <c r="P190" s="14" t="n">
        <v>3.025</v>
      </c>
      <c r="Q190" s="14" t="n">
        <v>0.5</v>
      </c>
      <c r="R190" s="14" t="n">
        <v>0.5</v>
      </c>
      <c r="S190" s="14" t="n">
        <v>14.25</v>
      </c>
    </row>
    <row r="191" customFormat="false" ht="15" hidden="false" customHeight="false" outlineLevel="0" collapsed="false">
      <c r="A191" s="13" t="n">
        <v>42613</v>
      </c>
      <c r="C191" s="14" t="n">
        <v>0.5</v>
      </c>
      <c r="D191" s="14" t="n">
        <v>0.25</v>
      </c>
      <c r="F191" s="14" t="n">
        <v>-0.4</v>
      </c>
      <c r="G191" s="14" t="n">
        <v>0.25</v>
      </c>
      <c r="H191" s="14" t="n">
        <v>0.2018</v>
      </c>
      <c r="I191" s="14" t="n">
        <v>0.20815801788791</v>
      </c>
      <c r="J191" s="14" t="n">
        <v>0.183872906957436</v>
      </c>
      <c r="K191" s="14" t="n">
        <v>0.151792528917204</v>
      </c>
      <c r="L191" s="14" t="n">
        <v>0.124779156216278</v>
      </c>
      <c r="M191" s="14" t="n">
        <v>2.696</v>
      </c>
      <c r="N191" s="14" t="n">
        <v>2.794</v>
      </c>
      <c r="O191" s="14" t="n">
        <v>2.8915</v>
      </c>
      <c r="P191" s="14" t="n">
        <v>3.027</v>
      </c>
      <c r="Q191" s="14" t="n">
        <v>0.5</v>
      </c>
      <c r="R191" s="14" t="n">
        <v>0.5</v>
      </c>
      <c r="S191" s="14" t="n">
        <v>14.25</v>
      </c>
    </row>
    <row r="192" customFormat="false" ht="15" hidden="false" customHeight="false" outlineLevel="0" collapsed="false">
      <c r="A192" s="13" t="n">
        <v>42614</v>
      </c>
      <c r="C192" s="14" t="n">
        <v>0.5</v>
      </c>
      <c r="D192" s="14" t="n">
        <v>0.25</v>
      </c>
      <c r="F192" s="14" t="n">
        <v>-0.4</v>
      </c>
      <c r="G192" s="14" t="n">
        <v>0.25</v>
      </c>
      <c r="H192" s="14" t="n">
        <v>0.2144</v>
      </c>
      <c r="I192" s="14" t="n">
        <v>0.207123944143195</v>
      </c>
      <c r="J192" s="14" t="n">
        <v>0.188851477627191</v>
      </c>
      <c r="K192" s="14" t="n">
        <v>0.161451614103578</v>
      </c>
      <c r="L192" s="14" t="n">
        <v>0.137048034994987</v>
      </c>
      <c r="M192" s="14" t="n">
        <v>2.696</v>
      </c>
      <c r="N192" s="14" t="n">
        <v>2.791</v>
      </c>
      <c r="O192" s="14" t="n">
        <v>2.8895</v>
      </c>
      <c r="P192" s="14" t="n">
        <v>3.026</v>
      </c>
      <c r="Q192" s="14" t="n">
        <v>0.5</v>
      </c>
      <c r="R192" s="14" t="n">
        <v>0.5</v>
      </c>
      <c r="S192" s="14" t="n">
        <v>14.25</v>
      </c>
    </row>
    <row r="193" customFormat="false" ht="15" hidden="false" customHeight="false" outlineLevel="0" collapsed="false">
      <c r="A193" s="13" t="n">
        <v>42615</v>
      </c>
      <c r="C193" s="14" t="n">
        <v>0.5</v>
      </c>
      <c r="D193" s="14" t="n">
        <v>0.25</v>
      </c>
      <c r="F193" s="14" t="n">
        <v>-0.4</v>
      </c>
      <c r="G193" s="14" t="n">
        <v>0.25</v>
      </c>
      <c r="H193" s="14" t="n">
        <v>0.214</v>
      </c>
      <c r="I193" s="14" t="n">
        <v>0.208340858016944</v>
      </c>
      <c r="J193" s="14" t="n">
        <v>0.188575953983833</v>
      </c>
      <c r="K193" s="14" t="n">
        <v>0.164231337979807</v>
      </c>
      <c r="L193" s="14" t="n">
        <v>0.141003772015004</v>
      </c>
      <c r="M193" s="14" t="n">
        <v>2.69</v>
      </c>
      <c r="N193" s="14" t="n">
        <v>2.788</v>
      </c>
      <c r="O193" s="14" t="n">
        <v>2.886</v>
      </c>
      <c r="P193" s="14" t="n">
        <v>3.0265</v>
      </c>
      <c r="Q193" s="14" t="n">
        <v>0.5</v>
      </c>
      <c r="R193" s="14" t="n">
        <v>0.52</v>
      </c>
      <c r="S193" s="14" t="n">
        <v>14.25</v>
      </c>
    </row>
    <row r="194" customFormat="false" ht="15" hidden="false" customHeight="false" outlineLevel="0" collapsed="false">
      <c r="A194" s="13" t="n">
        <v>42618</v>
      </c>
      <c r="C194" s="14" t="n">
        <v>0.5</v>
      </c>
      <c r="D194" s="14" t="n">
        <v>0.25</v>
      </c>
      <c r="F194" s="14" t="n">
        <v>-0.4</v>
      </c>
      <c r="G194" s="14" t="n">
        <v>0.25</v>
      </c>
      <c r="H194" s="14" t="n">
        <v>0.2168</v>
      </c>
      <c r="I194" s="14" t="n">
        <v>0.206935471403932</v>
      </c>
      <c r="J194" s="14" t="n">
        <v>0.187948465222817</v>
      </c>
      <c r="K194" s="14" t="n">
        <v>0.165920377066264</v>
      </c>
      <c r="L194" s="14" t="n">
        <v>0.146216080070761</v>
      </c>
      <c r="M194" s="14" t="n">
        <v>2.686</v>
      </c>
      <c r="N194" s="14" t="n">
        <v>2.786</v>
      </c>
      <c r="O194" s="14" t="n">
        <v>2.884</v>
      </c>
      <c r="P194" s="14" t="n">
        <v>3.0255</v>
      </c>
      <c r="Q194" s="14" t="n">
        <v>0.5</v>
      </c>
      <c r="R194" s="14" t="n">
        <v>0.52</v>
      </c>
      <c r="S194" s="14" t="n">
        <v>14.25</v>
      </c>
    </row>
    <row r="195" customFormat="false" ht="15" hidden="false" customHeight="false" outlineLevel="0" collapsed="false">
      <c r="A195" s="13" t="n">
        <v>42619</v>
      </c>
      <c r="C195" s="14" t="n">
        <v>0.5</v>
      </c>
      <c r="D195" s="14" t="n">
        <v>0.25</v>
      </c>
      <c r="F195" s="14" t="n">
        <v>-0.4</v>
      </c>
      <c r="G195" s="14" t="n">
        <v>0.25</v>
      </c>
      <c r="H195" s="14" t="n">
        <v>0.2159</v>
      </c>
      <c r="I195" s="14" t="n">
        <v>0.207311965448684</v>
      </c>
      <c r="J195" s="14" t="n">
        <v>0.18688577050494</v>
      </c>
      <c r="K195" s="14" t="n">
        <v>0.163081157764916</v>
      </c>
      <c r="L195" s="14" t="n">
        <v>0.138584519866399</v>
      </c>
      <c r="M195" s="14" t="n">
        <v>2.682</v>
      </c>
      <c r="N195" s="14" t="n">
        <v>2.7845</v>
      </c>
      <c r="O195" s="14" t="n">
        <v>2.8805</v>
      </c>
      <c r="P195" s="14" t="n">
        <v>3.0265</v>
      </c>
      <c r="Q195" s="14" t="n">
        <v>0.5</v>
      </c>
      <c r="R195" s="14" t="n">
        <v>0.49</v>
      </c>
      <c r="S195" s="14" t="n">
        <v>14.25</v>
      </c>
    </row>
    <row r="196" customFormat="false" ht="15" hidden="false" customHeight="false" outlineLevel="0" collapsed="false">
      <c r="A196" s="13" t="n">
        <v>42620</v>
      </c>
      <c r="C196" s="14" t="n">
        <v>0.5</v>
      </c>
      <c r="D196" s="14" t="n">
        <v>0.25</v>
      </c>
      <c r="F196" s="14" t="n">
        <v>-0.4</v>
      </c>
      <c r="G196" s="14" t="n">
        <v>0.25</v>
      </c>
      <c r="H196" s="14" t="n">
        <v>0.2173</v>
      </c>
      <c r="I196" s="14" t="n">
        <v>0.207403745458464</v>
      </c>
      <c r="J196" s="14" t="n">
        <v>0.188408595818782</v>
      </c>
      <c r="K196" s="14" t="n">
        <v>0.165503417079286</v>
      </c>
      <c r="L196" s="14" t="n">
        <v>0.14213616036288</v>
      </c>
      <c r="M196" s="14" t="n">
        <v>2.677</v>
      </c>
      <c r="N196" s="14" t="n">
        <v>2.781</v>
      </c>
      <c r="O196" s="14" t="n">
        <v>2.879</v>
      </c>
      <c r="P196" s="14" t="n">
        <v>3.0265</v>
      </c>
      <c r="Q196" s="14" t="n">
        <v>0.5</v>
      </c>
      <c r="R196" s="14" t="n">
        <v>0.51</v>
      </c>
      <c r="S196" s="14" t="n">
        <v>14.25</v>
      </c>
    </row>
    <row r="197" customFormat="false" ht="15" hidden="false" customHeight="false" outlineLevel="0" collapsed="false">
      <c r="A197" s="13" t="n">
        <v>42621</v>
      </c>
      <c r="C197" s="14" t="n">
        <v>0.5</v>
      </c>
      <c r="D197" s="14" t="n">
        <v>0.25</v>
      </c>
      <c r="F197" s="14" t="n">
        <v>-0.4</v>
      </c>
      <c r="G197" s="14" t="n">
        <v>0.25</v>
      </c>
      <c r="H197" s="14" t="n">
        <v>0.2189</v>
      </c>
      <c r="I197" s="14" t="n">
        <v>0.209444946682456</v>
      </c>
      <c r="J197" s="14" t="n">
        <v>0.190219461413648</v>
      </c>
      <c r="K197" s="14" t="n">
        <v>0.167410274610867</v>
      </c>
      <c r="L197" s="14" t="n">
        <v>0.148871109715623</v>
      </c>
      <c r="M197" s="14" t="n">
        <v>2.6745</v>
      </c>
      <c r="N197" s="14" t="n">
        <v>2.781</v>
      </c>
      <c r="O197" s="14" t="n">
        <v>2.877</v>
      </c>
      <c r="P197" s="14" t="n">
        <v>3.0255</v>
      </c>
      <c r="Q197" s="14" t="n">
        <v>0.5</v>
      </c>
      <c r="R197" s="14" t="n">
        <v>0.48</v>
      </c>
      <c r="S197" s="14" t="n">
        <v>14.25</v>
      </c>
    </row>
    <row r="198" customFormat="false" ht="15" hidden="false" customHeight="false" outlineLevel="0" collapsed="false">
      <c r="A198" s="13" t="n">
        <v>42622</v>
      </c>
      <c r="C198" s="14" t="n">
        <v>0.5</v>
      </c>
      <c r="D198" s="14" t="n">
        <v>0.25</v>
      </c>
      <c r="F198" s="14" t="n">
        <v>-0.4</v>
      </c>
      <c r="G198" s="14" t="n">
        <v>0.25</v>
      </c>
      <c r="H198" s="14" t="n">
        <v>0.219</v>
      </c>
      <c r="I198" s="14" t="n">
        <v>0.210729011759067</v>
      </c>
      <c r="J198" s="14" t="n">
        <v>0.19167482823928</v>
      </c>
      <c r="K198" s="14" t="n">
        <v>0.169490058266917</v>
      </c>
      <c r="L198" s="14" t="n">
        <v>0.152655565239589</v>
      </c>
      <c r="M198" s="14" t="n">
        <v>2.677</v>
      </c>
      <c r="N198" s="14" t="n">
        <v>2.7831</v>
      </c>
      <c r="O198" s="14" t="n">
        <v>2.879</v>
      </c>
      <c r="P198" s="14" t="n">
        <v>3.0255</v>
      </c>
      <c r="Q198" s="14" t="n">
        <v>0.5</v>
      </c>
      <c r="R198" s="14" t="n">
        <v>0.49</v>
      </c>
      <c r="S198" s="14" t="n">
        <v>14.25</v>
      </c>
    </row>
    <row r="199" customFormat="false" ht="15" hidden="false" customHeight="false" outlineLevel="0" collapsed="false">
      <c r="A199" s="13" t="n">
        <v>42625</v>
      </c>
      <c r="C199" s="14" t="n">
        <v>0.5</v>
      </c>
      <c r="D199" s="14" t="n">
        <v>0.25</v>
      </c>
      <c r="F199" s="14" t="n">
        <v>-0.4</v>
      </c>
      <c r="G199" s="14" t="n">
        <v>0.25</v>
      </c>
      <c r="H199" s="14" t="n">
        <v>0.2198</v>
      </c>
      <c r="I199" s="14" t="n">
        <v>0.209612363637097</v>
      </c>
      <c r="J199" s="14" t="n">
        <v>0.190930559322389</v>
      </c>
      <c r="K199" s="14" t="n">
        <v>0.168758064737266</v>
      </c>
      <c r="L199" s="14" t="n">
        <v>0.151211132571249</v>
      </c>
      <c r="M199" s="14" t="n">
        <v>2.6767</v>
      </c>
      <c r="N199" s="14" t="n">
        <v>2.7849</v>
      </c>
      <c r="O199" s="14" t="n">
        <v>2.8789</v>
      </c>
      <c r="P199" s="14" t="n">
        <v>3.0265</v>
      </c>
      <c r="Q199" s="14" t="n">
        <v>0.5</v>
      </c>
      <c r="R199" s="14" t="n">
        <v>0.51</v>
      </c>
      <c r="S199" s="14" t="n">
        <v>14.25</v>
      </c>
    </row>
    <row r="200" customFormat="false" ht="15" hidden="false" customHeight="false" outlineLevel="0" collapsed="false">
      <c r="A200" s="13" t="n">
        <v>42626</v>
      </c>
      <c r="C200" s="14" t="n">
        <v>0.5</v>
      </c>
      <c r="D200" s="14" t="n">
        <v>0.25</v>
      </c>
      <c r="F200" s="14" t="n">
        <v>-0.4</v>
      </c>
      <c r="G200" s="14" t="n">
        <v>0.25</v>
      </c>
      <c r="H200" s="14" t="n">
        <v>0.22</v>
      </c>
      <c r="I200" s="14" t="n">
        <v>0.208931087837284</v>
      </c>
      <c r="J200" s="14" t="n">
        <v>0.188439630134517</v>
      </c>
      <c r="K200" s="14" t="n">
        <v>0.16838129658791</v>
      </c>
      <c r="L200" s="14" t="n">
        <v>0.15074204241554</v>
      </c>
      <c r="M200" s="14" t="n">
        <v>2.6792</v>
      </c>
      <c r="N200" s="14" t="n">
        <v>2.785</v>
      </c>
      <c r="O200" s="14" t="n">
        <v>2.8789</v>
      </c>
      <c r="P200" s="14" t="n">
        <v>3.0265</v>
      </c>
      <c r="Q200" s="14" t="n">
        <v>0.5</v>
      </c>
      <c r="R200" s="14" t="n">
        <v>0.51</v>
      </c>
      <c r="S200" s="14" t="n">
        <v>14.25</v>
      </c>
    </row>
    <row r="201" customFormat="false" ht="15" hidden="false" customHeight="false" outlineLevel="0" collapsed="false">
      <c r="A201" s="13" t="n">
        <v>42627</v>
      </c>
      <c r="C201" s="14" t="n">
        <v>0.5</v>
      </c>
      <c r="D201" s="14" t="n">
        <v>0.25</v>
      </c>
      <c r="F201" s="14" t="n">
        <v>-0.4</v>
      </c>
      <c r="G201" s="14" t="n">
        <v>0.25</v>
      </c>
      <c r="H201" s="14" t="n">
        <v>0.2197</v>
      </c>
      <c r="I201" s="14" t="n">
        <v>0.211774981780103</v>
      </c>
      <c r="J201" s="14" t="n">
        <v>0.191811749714697</v>
      </c>
      <c r="K201" s="14" t="n">
        <v>0.170003022604438</v>
      </c>
      <c r="L201" s="14" t="n">
        <v>0.151723572746563</v>
      </c>
      <c r="M201" s="14" t="n">
        <v>2.686</v>
      </c>
      <c r="N201" s="14" t="n">
        <v>2.7885</v>
      </c>
      <c r="O201" s="14" t="n">
        <v>2.8794</v>
      </c>
      <c r="P201" s="14" t="n">
        <v>3.0265</v>
      </c>
      <c r="Q201" s="14" t="n">
        <v>0.5</v>
      </c>
      <c r="R201" s="14" t="n">
        <v>0.53</v>
      </c>
      <c r="S201" s="14" t="n">
        <v>14.25</v>
      </c>
    </row>
    <row r="202" customFormat="false" ht="15" hidden="false" customHeight="false" outlineLevel="0" collapsed="false">
      <c r="A202" s="13" t="n">
        <v>42628</v>
      </c>
      <c r="C202" s="14" t="n">
        <v>0.5</v>
      </c>
      <c r="D202" s="14" t="n">
        <v>0.25</v>
      </c>
      <c r="F202" s="14" t="n">
        <v>-0.4</v>
      </c>
      <c r="G202" s="14" t="n">
        <v>0.25</v>
      </c>
      <c r="H202" s="14" t="n">
        <v>0.2156</v>
      </c>
      <c r="I202" s="14" t="n">
        <v>0.216218040325065</v>
      </c>
      <c r="J202" s="14" t="n">
        <v>0.190745735734626</v>
      </c>
      <c r="K202" s="14" t="n">
        <v>0.163051639629784</v>
      </c>
      <c r="L202" s="14" t="n">
        <v>0.141791801038685</v>
      </c>
      <c r="Q202" s="14" t="n">
        <v>0.5</v>
      </c>
      <c r="R202" s="14" t="n">
        <v>0.5</v>
      </c>
      <c r="S202" s="14" t="n">
        <v>14.25</v>
      </c>
    </row>
    <row r="203" customFormat="false" ht="15" hidden="false" customHeight="false" outlineLevel="0" collapsed="false">
      <c r="A203" s="13" t="n">
        <v>42629</v>
      </c>
      <c r="C203" s="14" t="n">
        <v>0.5</v>
      </c>
      <c r="D203" s="14" t="n">
        <v>0.25</v>
      </c>
      <c r="F203" s="14" t="n">
        <v>-0.4</v>
      </c>
      <c r="G203" s="14" t="n">
        <v>0.25</v>
      </c>
      <c r="H203" s="14" t="n">
        <v>0.2141</v>
      </c>
      <c r="I203" s="14" t="n">
        <v>0.213898378656113</v>
      </c>
      <c r="J203" s="14" t="n">
        <v>0.186975864676935</v>
      </c>
      <c r="K203" s="14" t="n">
        <v>0.159534179123603</v>
      </c>
      <c r="L203" s="14" t="n">
        <v>0.138339433648887</v>
      </c>
      <c r="Q203" s="14" t="n">
        <v>0.5</v>
      </c>
      <c r="R203" s="14" t="n">
        <v>0.48</v>
      </c>
      <c r="S203" s="14" t="n">
        <v>14.25</v>
      </c>
    </row>
    <row r="204" customFormat="false" ht="15" hidden="false" customHeight="false" outlineLevel="0" collapsed="false">
      <c r="A204" s="13" t="n">
        <v>42631</v>
      </c>
      <c r="C204" s="14" t="n">
        <v>0.5</v>
      </c>
      <c r="D204" s="14" t="n">
        <v>0.25</v>
      </c>
      <c r="F204" s="14" t="n">
        <v>-0.4</v>
      </c>
      <c r="M204" s="14" t="n">
        <v>2.6896</v>
      </c>
      <c r="N204" s="14" t="n">
        <v>2.7919</v>
      </c>
      <c r="O204" s="14" t="n">
        <v>2.8815</v>
      </c>
      <c r="P204" s="14" t="n">
        <v>3.0275</v>
      </c>
      <c r="S204" s="14" t="n">
        <v>14.25</v>
      </c>
    </row>
    <row r="205" customFormat="false" ht="15" hidden="false" customHeight="false" outlineLevel="0" collapsed="false">
      <c r="A205" s="13" t="n">
        <v>42632</v>
      </c>
      <c r="C205" s="14" t="n">
        <v>0.5</v>
      </c>
      <c r="D205" s="14" t="n">
        <v>0.25</v>
      </c>
      <c r="F205" s="14" t="n">
        <v>-0.4</v>
      </c>
      <c r="G205" s="14" t="n">
        <v>0.25</v>
      </c>
      <c r="H205" s="14" t="n">
        <v>0.2134</v>
      </c>
      <c r="I205" s="14" t="n">
        <v>0.210424424800282</v>
      </c>
      <c r="J205" s="14" t="n">
        <v>0.184360257733055</v>
      </c>
      <c r="K205" s="14" t="n">
        <v>0.154375796826614</v>
      </c>
      <c r="L205" s="14" t="n">
        <v>0.130117444271271</v>
      </c>
      <c r="M205" s="14" t="n">
        <v>2.695</v>
      </c>
      <c r="N205" s="14" t="n">
        <v>2.796</v>
      </c>
      <c r="O205" s="14" t="n">
        <v>2.8822</v>
      </c>
      <c r="P205" s="14" t="n">
        <v>3.0275</v>
      </c>
      <c r="Q205" s="14" t="n">
        <v>0.5</v>
      </c>
      <c r="R205" s="14" t="n">
        <v>0.53</v>
      </c>
      <c r="S205" s="14" t="n">
        <v>14.25</v>
      </c>
    </row>
    <row r="206" customFormat="false" ht="15" hidden="false" customHeight="false" outlineLevel="0" collapsed="false">
      <c r="A206" s="13" t="n">
        <v>42633</v>
      </c>
      <c r="C206" s="14" t="n">
        <v>0.5</v>
      </c>
      <c r="D206" s="14" t="n">
        <v>0.25</v>
      </c>
      <c r="F206" s="14" t="n">
        <v>-0.4</v>
      </c>
      <c r="G206" s="14" t="n">
        <v>0.25</v>
      </c>
      <c r="H206" s="14" t="n">
        <v>0.213</v>
      </c>
      <c r="I206" s="14" t="n">
        <v>0.210447351114567</v>
      </c>
      <c r="J206" s="14" t="n">
        <v>0.184499585104429</v>
      </c>
      <c r="K206" s="14" t="n">
        <v>0.154641104202979</v>
      </c>
      <c r="L206" s="14" t="n">
        <v>0.128638226100871</v>
      </c>
      <c r="M206" s="14" t="n">
        <v>2.699</v>
      </c>
      <c r="N206" s="14" t="n">
        <v>2.799</v>
      </c>
      <c r="O206" s="14" t="n">
        <v>2.8823</v>
      </c>
      <c r="P206" s="14" t="n">
        <v>3.0275</v>
      </c>
      <c r="Q206" s="14" t="n">
        <v>0.5</v>
      </c>
      <c r="R206" s="14" t="n">
        <v>0.52</v>
      </c>
      <c r="S206" s="14" t="n">
        <v>14.25</v>
      </c>
    </row>
    <row r="207" customFormat="false" ht="15" hidden="false" customHeight="false" outlineLevel="0" collapsed="false">
      <c r="A207" s="13" t="n">
        <v>42634</v>
      </c>
      <c r="C207" s="14" t="n">
        <v>0.5</v>
      </c>
      <c r="D207" s="14" t="n">
        <v>0.25</v>
      </c>
      <c r="F207" s="14" t="n">
        <v>-0.4</v>
      </c>
      <c r="G207" s="14" t="n">
        <v>0.25</v>
      </c>
      <c r="H207" s="14" t="n">
        <v>0.2155</v>
      </c>
      <c r="I207" s="14" t="n">
        <v>0.209719903002493</v>
      </c>
      <c r="J207" s="14" t="n">
        <v>0.187189102268425</v>
      </c>
      <c r="K207" s="14" t="n">
        <v>0.162413547855277</v>
      </c>
      <c r="L207" s="14" t="n">
        <v>0.134705157985657</v>
      </c>
      <c r="M207" s="14" t="n">
        <v>2.7069</v>
      </c>
      <c r="N207" s="14" t="n">
        <v>2.8009</v>
      </c>
      <c r="O207" s="14" t="n">
        <v>2.8843</v>
      </c>
      <c r="P207" s="14" t="n">
        <v>3.0275</v>
      </c>
      <c r="Q207" s="14" t="n">
        <v>0.5</v>
      </c>
      <c r="R207" s="14" t="n">
        <v>0.48</v>
      </c>
      <c r="S207" s="14" t="n">
        <v>14.25</v>
      </c>
    </row>
    <row r="208" customFormat="false" ht="15" hidden="false" customHeight="false" outlineLevel="0" collapsed="false">
      <c r="A208" s="13" t="n">
        <v>42635</v>
      </c>
      <c r="C208" s="14" t="n">
        <v>0.5</v>
      </c>
      <c r="D208" s="14" t="n">
        <v>0.25</v>
      </c>
      <c r="F208" s="14" t="n">
        <v>-0.4</v>
      </c>
      <c r="G208" s="14" t="n">
        <v>0.25</v>
      </c>
      <c r="H208" s="14" t="n">
        <v>0.2073</v>
      </c>
      <c r="I208" s="14" t="n">
        <v>0.208844481520621</v>
      </c>
      <c r="J208" s="14" t="n">
        <v>0.186875137275015</v>
      </c>
      <c r="K208" s="14" t="n">
        <v>0.16219319730108</v>
      </c>
      <c r="L208" s="14" t="n">
        <v>0.134663790661412</v>
      </c>
      <c r="M208" s="14" t="n">
        <v>2.7177</v>
      </c>
      <c r="N208" s="14" t="n">
        <v>2.803</v>
      </c>
      <c r="O208" s="14" t="n">
        <v>2.8875</v>
      </c>
      <c r="P208" s="14" t="n">
        <v>3.0275</v>
      </c>
      <c r="Q208" s="14" t="n">
        <v>0.5</v>
      </c>
      <c r="R208" s="14" t="n">
        <v>0.48</v>
      </c>
      <c r="S208" s="14" t="n">
        <v>14.25</v>
      </c>
    </row>
    <row r="209" customFormat="false" ht="15" hidden="false" customHeight="false" outlineLevel="0" collapsed="false">
      <c r="A209" s="13" t="n">
        <v>42636</v>
      </c>
      <c r="C209" s="14" t="n">
        <v>0.5</v>
      </c>
      <c r="D209" s="14" t="n">
        <v>0.25</v>
      </c>
      <c r="F209" s="14" t="n">
        <v>-0.4</v>
      </c>
      <c r="G209" s="14" t="n">
        <v>0.25</v>
      </c>
      <c r="H209" s="14" t="n">
        <v>0.2152</v>
      </c>
      <c r="I209" s="14" t="n">
        <v>0.210770614793095</v>
      </c>
      <c r="J209" s="14" t="n">
        <v>0.187517727525589</v>
      </c>
      <c r="K209" s="14" t="n">
        <v>0.162031500706455</v>
      </c>
      <c r="L209" s="14" t="n">
        <v>0.13490167592021</v>
      </c>
      <c r="M209" s="14" t="n">
        <v>2.7298</v>
      </c>
      <c r="N209" s="14" t="n">
        <v>2.804</v>
      </c>
      <c r="O209" s="14" t="n">
        <v>2.8888</v>
      </c>
      <c r="P209" s="14" t="n">
        <v>3.0275</v>
      </c>
      <c r="Q209" s="14" t="n">
        <v>0.5</v>
      </c>
      <c r="R209" s="14" t="n">
        <v>0.49</v>
      </c>
      <c r="S209" s="14" t="n">
        <v>14.25</v>
      </c>
    </row>
    <row r="210" customFormat="false" ht="15" hidden="false" customHeight="false" outlineLevel="0" collapsed="false">
      <c r="A210" s="13" t="n">
        <v>42639</v>
      </c>
      <c r="C210" s="14" t="n">
        <v>0.5</v>
      </c>
      <c r="D210" s="14" t="n">
        <v>0.25</v>
      </c>
      <c r="F210" s="14" t="n">
        <v>-0.4</v>
      </c>
      <c r="G210" s="14" t="n">
        <v>0.25</v>
      </c>
      <c r="H210" s="14" t="n">
        <v>0.2124</v>
      </c>
      <c r="I210" s="14" t="n">
        <v>0.210875252152856</v>
      </c>
      <c r="J210" s="14" t="n">
        <v>0.185314829471636</v>
      </c>
      <c r="K210" s="14" t="n">
        <v>0.158734265792019</v>
      </c>
      <c r="L210" s="14" t="n">
        <v>0.130457457890663</v>
      </c>
      <c r="M210" s="14" t="n">
        <v>2.733</v>
      </c>
      <c r="N210" s="14" t="n">
        <v>2.804</v>
      </c>
      <c r="O210" s="14" t="n">
        <v>2.8899</v>
      </c>
      <c r="P210" s="14" t="n">
        <v>3.0265</v>
      </c>
      <c r="Q210" s="14" t="n">
        <v>0.5</v>
      </c>
      <c r="R210" s="14" t="n">
        <v>0.51</v>
      </c>
      <c r="S210" s="14" t="n">
        <v>14.25</v>
      </c>
    </row>
    <row r="211" customFormat="false" ht="15" hidden="false" customHeight="false" outlineLevel="0" collapsed="false">
      <c r="A211" s="13" t="n">
        <v>42640</v>
      </c>
      <c r="C211" s="14" t="n">
        <v>0.5</v>
      </c>
      <c r="D211" s="14" t="n">
        <v>0.25</v>
      </c>
      <c r="F211" s="14" t="n">
        <v>-0.4</v>
      </c>
      <c r="G211" s="14" t="n">
        <v>0.25</v>
      </c>
      <c r="H211" s="14" t="n">
        <v>0.2139</v>
      </c>
      <c r="I211" s="14" t="n">
        <v>0.209249198174994</v>
      </c>
      <c r="J211" s="14" t="n">
        <v>0.18392478424969</v>
      </c>
      <c r="K211" s="14" t="n">
        <v>0.156350369296967</v>
      </c>
      <c r="L211" s="14" t="n">
        <v>0.123156691526021</v>
      </c>
      <c r="M211" s="14" t="n">
        <v>2.7353</v>
      </c>
      <c r="N211" s="14" t="n">
        <v>2.8025</v>
      </c>
      <c r="O211" s="14" t="n">
        <v>2.887</v>
      </c>
      <c r="P211" s="14" t="n">
        <v>3.0265</v>
      </c>
      <c r="Q211" s="14" t="n">
        <v>0.5</v>
      </c>
      <c r="R211" s="14" t="n">
        <v>0.51</v>
      </c>
      <c r="S211" s="14" t="n">
        <v>14.25</v>
      </c>
    </row>
    <row r="212" customFormat="false" ht="15" hidden="false" customHeight="false" outlineLevel="0" collapsed="false">
      <c r="A212" s="13" t="n">
        <v>42641</v>
      </c>
      <c r="C212" s="14" t="n">
        <v>0.5</v>
      </c>
      <c r="D212" s="14" t="n">
        <v>0.25</v>
      </c>
      <c r="F212" s="14" t="n">
        <v>-0.4</v>
      </c>
      <c r="G212" s="14" t="n">
        <v>0.25</v>
      </c>
      <c r="H212" s="14" t="n">
        <v>0.2144</v>
      </c>
      <c r="I212" s="14" t="n">
        <v>0.209682910962768</v>
      </c>
      <c r="J212" s="14" t="n">
        <v>0.185725376573257</v>
      </c>
      <c r="K212" s="14" t="n">
        <v>0.159071001213386</v>
      </c>
      <c r="L212" s="14" t="n">
        <v>0.129631174311846</v>
      </c>
      <c r="M212" s="14" t="n">
        <v>2.7396</v>
      </c>
      <c r="N212" s="14" t="n">
        <v>2.8015</v>
      </c>
      <c r="O212" s="14" t="n">
        <v>2.887</v>
      </c>
      <c r="P212" s="14" t="n">
        <v>3.0265</v>
      </c>
      <c r="Q212" s="14" t="n">
        <v>0.5</v>
      </c>
      <c r="R212" s="14" t="n">
        <v>0.49</v>
      </c>
      <c r="S212" s="14" t="n">
        <v>14.25</v>
      </c>
    </row>
    <row r="213" customFormat="false" ht="15" hidden="false" customHeight="false" outlineLevel="0" collapsed="false">
      <c r="A213" s="13" t="n">
        <v>42642</v>
      </c>
      <c r="C213" s="14" t="n">
        <v>0.5</v>
      </c>
      <c r="D213" s="14" t="n">
        <v>0.25</v>
      </c>
      <c r="F213" s="14" t="n">
        <v>-0.4</v>
      </c>
      <c r="G213" s="14" t="n">
        <v>0.25</v>
      </c>
      <c r="H213" s="14" t="n">
        <v>0.2136</v>
      </c>
      <c r="I213" s="14" t="n">
        <v>0.209896019955074</v>
      </c>
      <c r="J213" s="14" t="n">
        <v>0.185248675585349</v>
      </c>
      <c r="K213" s="14" t="n">
        <v>0.162046701421794</v>
      </c>
      <c r="L213" s="14" t="n">
        <v>0.135629807555128</v>
      </c>
      <c r="M213" s="14" t="n">
        <v>2.743</v>
      </c>
      <c r="N213" s="14" t="n">
        <v>2.8015</v>
      </c>
      <c r="O213" s="14" t="n">
        <v>2.887</v>
      </c>
      <c r="P213" s="14" t="n">
        <v>3.0265</v>
      </c>
      <c r="Q213" s="14" t="n">
        <v>0.5</v>
      </c>
      <c r="R213" s="14" t="n">
        <v>0.51</v>
      </c>
      <c r="S213" s="14" t="n">
        <v>14.25</v>
      </c>
    </row>
    <row r="214" customFormat="false" ht="15" hidden="false" customHeight="false" outlineLevel="0" collapsed="false">
      <c r="A214" s="13" t="n">
        <v>42643</v>
      </c>
      <c r="C214" s="14" t="n">
        <v>0.5</v>
      </c>
      <c r="D214" s="14" t="n">
        <v>0.25</v>
      </c>
      <c r="F214" s="14" t="n">
        <v>-0.4</v>
      </c>
      <c r="G214" s="14" t="n">
        <v>0.25</v>
      </c>
      <c r="H214" s="14" t="n">
        <v>0.1624</v>
      </c>
      <c r="I214" s="14" t="n">
        <v>0.210853924589183</v>
      </c>
      <c r="J214" s="14" t="n">
        <v>0.185972377290162</v>
      </c>
      <c r="K214" s="14" t="n">
        <v>0.16148721252641</v>
      </c>
      <c r="L214" s="14" t="n">
        <v>0.136259505646365</v>
      </c>
      <c r="M214" s="14" t="n">
        <v>2.741</v>
      </c>
      <c r="N214" s="14" t="n">
        <v>2.8015</v>
      </c>
      <c r="O214" s="14" t="n">
        <v>2.887</v>
      </c>
      <c r="P214" s="14" t="n">
        <v>3.0265</v>
      </c>
      <c r="Q214" s="14" t="n">
        <v>0.5</v>
      </c>
      <c r="R214" s="14" t="n">
        <v>2.03</v>
      </c>
      <c r="S214" s="14" t="n">
        <v>14.25</v>
      </c>
    </row>
    <row r="215" customFormat="false" ht="15" hidden="false" customHeight="false" outlineLevel="0" collapsed="false">
      <c r="A215" s="13" t="n">
        <v>42646</v>
      </c>
      <c r="C215" s="14" t="n">
        <v>0.5</v>
      </c>
      <c r="D215" s="14" t="n">
        <v>0.25</v>
      </c>
      <c r="F215" s="14" t="n">
        <v>-0.4</v>
      </c>
      <c r="G215" s="14" t="n">
        <v>0.25</v>
      </c>
      <c r="H215" s="14" t="n">
        <v>0.2139</v>
      </c>
      <c r="I215" s="14" t="n">
        <v>0.209688302369959</v>
      </c>
      <c r="J215" s="14" t="n">
        <v>0.185547802516059</v>
      </c>
      <c r="K215" s="14" t="n">
        <v>0.162424152549468</v>
      </c>
      <c r="L215" s="14" t="n">
        <v>0.137480426262962</v>
      </c>
      <c r="Q215" s="14" t="n">
        <v>0.5</v>
      </c>
      <c r="R215" s="14" t="n">
        <v>0.49</v>
      </c>
      <c r="S215" s="14" t="n">
        <v>14.25</v>
      </c>
    </row>
    <row r="216" customFormat="false" ht="15" hidden="false" customHeight="false" outlineLevel="0" collapsed="false">
      <c r="A216" s="13" t="n">
        <v>42647</v>
      </c>
      <c r="C216" s="14" t="n">
        <v>0.5</v>
      </c>
      <c r="D216" s="14" t="n">
        <v>0.25</v>
      </c>
      <c r="F216" s="14" t="n">
        <v>-0.4</v>
      </c>
      <c r="G216" s="14" t="n">
        <v>0.25</v>
      </c>
      <c r="H216" s="14" t="n">
        <v>0.2139</v>
      </c>
      <c r="I216" s="14" t="n">
        <v>0.211522088486174</v>
      </c>
      <c r="J216" s="14" t="n">
        <v>0.189489324826658</v>
      </c>
      <c r="K216" s="14" t="n">
        <v>0.165933544025621</v>
      </c>
      <c r="L216" s="14" t="n">
        <v>0.140251467032665</v>
      </c>
      <c r="Q216" s="14" t="n">
        <v>0.5</v>
      </c>
      <c r="R216" s="14" t="n">
        <v>0.49</v>
      </c>
      <c r="S216" s="14" t="n">
        <v>14.25</v>
      </c>
    </row>
    <row r="217" customFormat="false" ht="15" hidden="false" customHeight="false" outlineLevel="0" collapsed="false">
      <c r="A217" s="13" t="n">
        <v>42648</v>
      </c>
      <c r="C217" s="14" t="n">
        <v>0.5</v>
      </c>
      <c r="D217" s="14" t="n">
        <v>0.25</v>
      </c>
      <c r="F217" s="14" t="n">
        <v>-0.4</v>
      </c>
      <c r="G217" s="14" t="n">
        <v>0.25</v>
      </c>
      <c r="H217" s="14" t="n">
        <v>0.2104</v>
      </c>
      <c r="I217" s="14" t="n">
        <v>0.209281014835078</v>
      </c>
      <c r="J217" s="14" t="n">
        <v>0.19091359681149</v>
      </c>
      <c r="K217" s="14" t="n">
        <v>0.169743446599394</v>
      </c>
      <c r="L217" s="14" t="n">
        <v>0.141956766322083</v>
      </c>
      <c r="Q217" s="14" t="n">
        <v>0.5</v>
      </c>
      <c r="R217" s="14" t="n">
        <v>0.5</v>
      </c>
      <c r="S217" s="14" t="n">
        <v>14.25</v>
      </c>
    </row>
    <row r="218" customFormat="false" ht="15" hidden="false" customHeight="false" outlineLevel="0" collapsed="false">
      <c r="A218" s="13" t="n">
        <v>42649</v>
      </c>
      <c r="C218" s="14" t="n">
        <v>0.5</v>
      </c>
      <c r="D218" s="14" t="n">
        <v>0.25</v>
      </c>
      <c r="F218" s="14" t="n">
        <v>-0.4</v>
      </c>
      <c r="G218" s="14" t="n">
        <v>0.25</v>
      </c>
      <c r="H218" s="14" t="n">
        <v>0.2157</v>
      </c>
      <c r="I218" s="14" t="n">
        <v>0.208071326319477</v>
      </c>
      <c r="J218" s="14" t="n">
        <v>0.190855101227156</v>
      </c>
      <c r="K218" s="14" t="n">
        <v>0.172943525726059</v>
      </c>
      <c r="L218" s="14" t="n">
        <v>0.149312467611629</v>
      </c>
      <c r="Q218" s="14" t="n">
        <v>0.5</v>
      </c>
      <c r="R218" s="14" t="n">
        <v>0.49</v>
      </c>
      <c r="S218" s="14" t="n">
        <v>14.25</v>
      </c>
    </row>
    <row r="219" customFormat="false" ht="15" hidden="false" customHeight="false" outlineLevel="0" collapsed="false">
      <c r="A219" s="13" t="n">
        <v>42650</v>
      </c>
      <c r="C219" s="14" t="n">
        <v>0.5</v>
      </c>
      <c r="D219" s="14" t="n">
        <v>0.25</v>
      </c>
      <c r="F219" s="14" t="n">
        <v>-0.4</v>
      </c>
      <c r="G219" s="14" t="n">
        <v>0.25</v>
      </c>
      <c r="H219" s="14" t="n">
        <v>0.2134</v>
      </c>
      <c r="I219" s="14" t="n">
        <v>0.211167317467324</v>
      </c>
      <c r="J219" s="14" t="n">
        <v>0.197545645135584</v>
      </c>
      <c r="K219" s="14" t="n">
        <v>0.184592196207453</v>
      </c>
      <c r="L219" s="14" t="n">
        <v>0.173340369023161</v>
      </c>
      <c r="Q219" s="14" t="n">
        <v>0.5</v>
      </c>
      <c r="R219" s="14" t="n">
        <v>0.49</v>
      </c>
      <c r="S219" s="14" t="n">
        <v>14.25</v>
      </c>
    </row>
    <row r="220" customFormat="false" ht="15" hidden="false" customHeight="false" outlineLevel="0" collapsed="false">
      <c r="A220" s="13" t="n">
        <v>42651</v>
      </c>
      <c r="C220" s="14" t="n">
        <v>0.5</v>
      </c>
      <c r="D220" s="14" t="n">
        <v>0.25</v>
      </c>
      <c r="F220" s="14" t="n">
        <v>-0.4</v>
      </c>
      <c r="M220" s="14" t="n">
        <v>2.736</v>
      </c>
      <c r="N220" s="14" t="n">
        <v>2.8015</v>
      </c>
      <c r="O220" s="14" t="n">
        <v>2.887</v>
      </c>
      <c r="P220" s="14" t="n">
        <v>3.0275</v>
      </c>
      <c r="S220" s="14" t="n">
        <v>14.25</v>
      </c>
    </row>
    <row r="221" customFormat="false" ht="15" hidden="false" customHeight="false" outlineLevel="0" collapsed="false">
      <c r="A221" s="13" t="n">
        <v>42652</v>
      </c>
      <c r="C221" s="14" t="n">
        <v>0.5</v>
      </c>
      <c r="D221" s="14" t="n">
        <v>0.25</v>
      </c>
      <c r="F221" s="14" t="n">
        <v>-0.4</v>
      </c>
      <c r="M221" s="14" t="n">
        <v>2.73</v>
      </c>
      <c r="N221" s="14" t="n">
        <v>2.8015</v>
      </c>
      <c r="O221" s="14" t="n">
        <v>2.887</v>
      </c>
      <c r="P221" s="14" t="n">
        <v>3.0275</v>
      </c>
      <c r="S221" s="14" t="n">
        <v>14.25</v>
      </c>
    </row>
    <row r="222" customFormat="false" ht="15" hidden="false" customHeight="false" outlineLevel="0" collapsed="false">
      <c r="A222" s="13" t="n">
        <v>42653</v>
      </c>
      <c r="C222" s="14" t="n">
        <v>0.5</v>
      </c>
      <c r="D222" s="14" t="n">
        <v>0.25</v>
      </c>
      <c r="F222" s="14" t="n">
        <v>-0.4</v>
      </c>
      <c r="G222" s="14" t="n">
        <v>0.25</v>
      </c>
      <c r="H222" s="14" t="n">
        <v>0.2166</v>
      </c>
      <c r="I222" s="14" t="n">
        <v>0.209969478323591</v>
      </c>
      <c r="J222" s="14" t="n">
        <v>0.196904620908805</v>
      </c>
      <c r="K222" s="14" t="n">
        <v>0.188865467553798</v>
      </c>
      <c r="L222" s="14" t="n">
        <v>0.186878093825527</v>
      </c>
      <c r="M222" s="14" t="n">
        <v>2.725</v>
      </c>
      <c r="N222" s="14" t="n">
        <v>2.8015</v>
      </c>
      <c r="O222" s="14" t="n">
        <v>2.887</v>
      </c>
      <c r="P222" s="14" t="n">
        <v>3.0275</v>
      </c>
      <c r="Q222" s="14" t="n">
        <v>0.5</v>
      </c>
      <c r="R222" s="14" t="n">
        <v>0.5</v>
      </c>
      <c r="S222" s="14" t="n">
        <v>14.25</v>
      </c>
    </row>
    <row r="223" customFormat="false" ht="15" hidden="false" customHeight="false" outlineLevel="0" collapsed="false">
      <c r="A223" s="13" t="n">
        <v>42654</v>
      </c>
      <c r="C223" s="14" t="n">
        <v>0.5</v>
      </c>
      <c r="D223" s="14" t="n">
        <v>0.25</v>
      </c>
      <c r="F223" s="14" t="n">
        <v>-0.4</v>
      </c>
      <c r="G223" s="14" t="n">
        <v>0.25</v>
      </c>
      <c r="H223" s="14" t="n">
        <v>0.2148</v>
      </c>
      <c r="I223" s="14" t="n">
        <v>0.207394917657534</v>
      </c>
      <c r="J223" s="14" t="n">
        <v>0.194260018592548</v>
      </c>
      <c r="K223" s="14" t="n">
        <v>0.186526272574471</v>
      </c>
      <c r="L223" s="14" t="n">
        <v>0.178108063829294</v>
      </c>
      <c r="M223" s="14" t="n">
        <v>2.718</v>
      </c>
      <c r="N223" s="14" t="n">
        <v>2.8015</v>
      </c>
      <c r="O223" s="14" t="n">
        <v>2.887</v>
      </c>
      <c r="P223" s="14" t="n">
        <v>3.0275</v>
      </c>
      <c r="Q223" s="14" t="n">
        <v>0.5</v>
      </c>
      <c r="R223" s="14" t="n">
        <v>0.5</v>
      </c>
      <c r="S223" s="14" t="n">
        <v>14.25</v>
      </c>
    </row>
    <row r="224" customFormat="false" ht="15" hidden="false" customHeight="false" outlineLevel="0" collapsed="false">
      <c r="A224" s="13" t="n">
        <v>42655</v>
      </c>
      <c r="C224" s="14" t="n">
        <v>0.5</v>
      </c>
      <c r="D224" s="14" t="n">
        <v>0.25</v>
      </c>
      <c r="F224" s="14" t="n">
        <v>-0.4</v>
      </c>
      <c r="G224" s="14" t="n">
        <v>0.25</v>
      </c>
      <c r="H224" s="14" t="n">
        <v>0.2174</v>
      </c>
      <c r="I224" s="14" t="n">
        <v>0.209218861773592</v>
      </c>
      <c r="J224" s="14" t="n">
        <v>0.202067600966754</v>
      </c>
      <c r="K224" s="14" t="n">
        <v>0.197231876996647</v>
      </c>
      <c r="L224" s="14" t="n">
        <v>0.198375240304679</v>
      </c>
      <c r="M224" s="14" t="n">
        <v>2.7148</v>
      </c>
      <c r="N224" s="14" t="n">
        <v>2.8015</v>
      </c>
      <c r="O224" s="14" t="n">
        <v>2.887</v>
      </c>
      <c r="P224" s="14" t="n">
        <v>3.0275</v>
      </c>
      <c r="Q224" s="14" t="n">
        <v>0.5</v>
      </c>
      <c r="R224" s="14" t="n">
        <v>0.49</v>
      </c>
      <c r="S224" s="14" t="n">
        <v>14.25</v>
      </c>
    </row>
    <row r="225" customFormat="false" ht="15" hidden="false" customHeight="false" outlineLevel="0" collapsed="false">
      <c r="A225" s="13" t="n">
        <v>42656</v>
      </c>
      <c r="C225" s="14" t="n">
        <v>0.5</v>
      </c>
      <c r="D225" s="14" t="n">
        <v>0.25</v>
      </c>
      <c r="F225" s="14" t="n">
        <v>-0.4</v>
      </c>
      <c r="G225" s="14" t="n">
        <v>0.25</v>
      </c>
      <c r="H225" s="14" t="n">
        <v>0.214</v>
      </c>
      <c r="I225" s="14" t="n">
        <v>0.210397825472424</v>
      </c>
      <c r="J225" s="14" t="n">
        <v>0.200926043747647</v>
      </c>
      <c r="K225" s="14" t="n">
        <v>0.194092979325239</v>
      </c>
      <c r="L225" s="14" t="n">
        <v>0.192489919248428</v>
      </c>
      <c r="M225" s="14" t="n">
        <v>2.7125</v>
      </c>
      <c r="N225" s="14" t="n">
        <v>2.8025</v>
      </c>
      <c r="O225" s="14" t="n">
        <v>2.8877</v>
      </c>
      <c r="P225" s="14" t="n">
        <v>3.0275</v>
      </c>
      <c r="Q225" s="14" t="n">
        <v>0.5</v>
      </c>
      <c r="R225" s="14" t="n">
        <v>0.49</v>
      </c>
      <c r="S225" s="14" t="n">
        <v>14.25</v>
      </c>
    </row>
    <row r="226" customFormat="false" ht="15" hidden="false" customHeight="false" outlineLevel="0" collapsed="false">
      <c r="A226" s="13" t="n">
        <v>42657</v>
      </c>
      <c r="C226" s="14" t="n">
        <v>0.5</v>
      </c>
      <c r="D226" s="14" t="n">
        <v>0.25</v>
      </c>
      <c r="F226" s="14" t="n">
        <v>-0.4</v>
      </c>
      <c r="G226" s="14" t="n">
        <v>0.25</v>
      </c>
      <c r="H226" s="14" t="n">
        <v>0.2109</v>
      </c>
      <c r="I226" s="14" t="n">
        <v>0.210890516069402</v>
      </c>
      <c r="J226" s="14" t="n">
        <v>0.202929531295406</v>
      </c>
      <c r="K226" s="14" t="n">
        <v>0.196756757769222</v>
      </c>
      <c r="L226" s="14" t="n">
        <v>0.192861845696896</v>
      </c>
      <c r="M226" s="14" t="n">
        <v>2.711</v>
      </c>
      <c r="N226" s="14" t="n">
        <v>2.8025</v>
      </c>
      <c r="O226" s="14" t="n">
        <v>2.887</v>
      </c>
      <c r="P226" s="14" t="n">
        <v>3.0275</v>
      </c>
      <c r="Q226" s="14" t="n">
        <v>0.5</v>
      </c>
      <c r="R226" s="14" t="n">
        <v>0.5</v>
      </c>
      <c r="S226" s="14" t="n">
        <v>14.25</v>
      </c>
    </row>
    <row r="227" customFormat="false" ht="15" hidden="false" customHeight="false" outlineLevel="0" collapsed="false">
      <c r="A227" s="13" t="n">
        <v>42660</v>
      </c>
      <c r="C227" s="14" t="n">
        <v>0.5</v>
      </c>
      <c r="D227" s="14" t="n">
        <v>0.25</v>
      </c>
      <c r="F227" s="14" t="n">
        <v>-0.4</v>
      </c>
      <c r="G227" s="14" t="n">
        <v>0.25</v>
      </c>
      <c r="H227" s="14" t="n">
        <v>0.2113</v>
      </c>
      <c r="I227" s="14" t="n">
        <v>0.206837634036682</v>
      </c>
      <c r="J227" s="14" t="n">
        <v>0.198969378493663</v>
      </c>
      <c r="K227" s="14" t="n">
        <v>0.191724795963582</v>
      </c>
      <c r="L227" s="14" t="n">
        <v>0.185744016476113</v>
      </c>
      <c r="M227" s="14" t="n">
        <v>2.7101</v>
      </c>
      <c r="N227" s="14" t="n">
        <v>2.804</v>
      </c>
      <c r="O227" s="14" t="n">
        <v>2.887</v>
      </c>
      <c r="P227" s="14" t="n">
        <v>3.0275</v>
      </c>
      <c r="Q227" s="14" t="n">
        <v>0.5</v>
      </c>
      <c r="R227" s="14" t="n">
        <v>0.48</v>
      </c>
      <c r="S227" s="14" t="n">
        <v>14.25</v>
      </c>
    </row>
    <row r="228" customFormat="false" ht="15" hidden="false" customHeight="false" outlineLevel="0" collapsed="false">
      <c r="A228" s="13" t="n">
        <v>42661</v>
      </c>
      <c r="C228" s="14" t="n">
        <v>0.5</v>
      </c>
      <c r="D228" s="14" t="n">
        <v>0.25</v>
      </c>
      <c r="F228" s="14" t="n">
        <v>-0.4</v>
      </c>
      <c r="G228" s="14" t="n">
        <v>0.25</v>
      </c>
      <c r="H228" s="14" t="n">
        <v>0.2112</v>
      </c>
      <c r="I228" s="14" t="n">
        <v>0.206126888127424</v>
      </c>
      <c r="J228" s="14" t="n">
        <v>0.197260829105</v>
      </c>
      <c r="K228" s="14" t="n">
        <v>0.18878352909741</v>
      </c>
      <c r="L228" s="14" t="n">
        <v>0.181555154489329</v>
      </c>
      <c r="M228" s="14" t="n">
        <v>2.7121</v>
      </c>
      <c r="N228" s="14" t="n">
        <v>2.804</v>
      </c>
      <c r="O228" s="14" t="n">
        <v>2.887</v>
      </c>
      <c r="P228" s="14" t="n">
        <v>3.0275</v>
      </c>
      <c r="Q228" s="14" t="n">
        <v>0.5</v>
      </c>
      <c r="R228" s="14" t="n">
        <v>0.5</v>
      </c>
      <c r="S228" s="14" t="n">
        <v>14.25</v>
      </c>
    </row>
    <row r="229" customFormat="false" ht="15" hidden="false" customHeight="false" outlineLevel="0" collapsed="false">
      <c r="A229" s="13" t="n">
        <v>42662</v>
      </c>
      <c r="C229" s="14" t="n">
        <v>0.5</v>
      </c>
      <c r="D229" s="14" t="n">
        <v>0.25</v>
      </c>
      <c r="F229" s="14" t="n">
        <v>-0.4</v>
      </c>
      <c r="G229" s="14" t="n">
        <v>0.25</v>
      </c>
      <c r="H229" s="14" t="n">
        <v>0.2136</v>
      </c>
      <c r="I229" s="14" t="n">
        <v>0.206903105654377</v>
      </c>
      <c r="J229" s="14" t="n">
        <v>0.194108963122117</v>
      </c>
      <c r="K229" s="14" t="n">
        <v>0.184336727082132</v>
      </c>
      <c r="L229" s="14" t="n">
        <v>0.177130602610223</v>
      </c>
      <c r="M229" s="14" t="n">
        <v>2.7133</v>
      </c>
      <c r="N229" s="14" t="n">
        <v>2.804</v>
      </c>
      <c r="O229" s="14" t="n">
        <v>2.8887</v>
      </c>
      <c r="P229" s="14" t="n">
        <v>3.028</v>
      </c>
      <c r="Q229" s="14" t="n">
        <v>0.5</v>
      </c>
      <c r="R229" s="14" t="n">
        <v>0.5</v>
      </c>
      <c r="S229" s="14" t="n">
        <v>14.25</v>
      </c>
    </row>
    <row r="230" customFormat="false" ht="15" hidden="false" customHeight="false" outlineLevel="0" collapsed="false">
      <c r="A230" s="13" t="n">
        <v>42663</v>
      </c>
      <c r="C230" s="14" t="n">
        <v>0.5</v>
      </c>
      <c r="D230" s="14" t="n">
        <v>0.25</v>
      </c>
      <c r="F230" s="14" t="n">
        <v>-0.4</v>
      </c>
      <c r="G230" s="14" t="n">
        <v>0.25</v>
      </c>
      <c r="H230" s="14" t="n">
        <v>0.2125</v>
      </c>
      <c r="I230" s="14" t="n">
        <v>0.204109893323926</v>
      </c>
      <c r="J230" s="14" t="n">
        <v>0.194880656133589</v>
      </c>
      <c r="K230" s="14" t="n">
        <v>0.187175165071637</v>
      </c>
      <c r="L230" s="14" t="n">
        <v>0.181665644185252</v>
      </c>
      <c r="M230" s="14" t="n">
        <v>2.7213</v>
      </c>
      <c r="N230" s="14" t="n">
        <v>2.8054</v>
      </c>
      <c r="O230" s="14" t="n">
        <v>2.8889</v>
      </c>
      <c r="P230" s="14" t="n">
        <v>3.028</v>
      </c>
      <c r="Q230" s="14" t="n">
        <v>0.5</v>
      </c>
      <c r="R230" s="14" t="n">
        <v>0.49</v>
      </c>
      <c r="S230" s="14" t="n">
        <v>14</v>
      </c>
    </row>
    <row r="231" customFormat="false" ht="15" hidden="false" customHeight="false" outlineLevel="0" collapsed="false">
      <c r="A231" s="13" t="n">
        <v>42664</v>
      </c>
      <c r="C231" s="14" t="n">
        <v>0.5</v>
      </c>
      <c r="D231" s="14" t="n">
        <v>0.25</v>
      </c>
      <c r="F231" s="14" t="n">
        <v>-0.4</v>
      </c>
      <c r="G231" s="14" t="n">
        <v>0.25</v>
      </c>
      <c r="H231" s="14" t="n">
        <v>0.2112</v>
      </c>
      <c r="I231" s="14" t="n">
        <v>0.202944688118496</v>
      </c>
      <c r="J231" s="14" t="n">
        <v>0.193700526842494</v>
      </c>
      <c r="K231" s="14" t="n">
        <v>0.186622505496403</v>
      </c>
      <c r="L231" s="14" t="n">
        <v>0.179951834199061</v>
      </c>
      <c r="M231" s="14" t="n">
        <v>2.7242</v>
      </c>
      <c r="N231" s="14" t="n">
        <v>2.8096</v>
      </c>
      <c r="O231" s="14" t="n">
        <v>2.8899</v>
      </c>
      <c r="P231" s="14" t="n">
        <v>3.028</v>
      </c>
      <c r="Q231" s="14" t="n">
        <v>0.5</v>
      </c>
      <c r="R231" s="14" t="n">
        <v>0.49</v>
      </c>
      <c r="S231" s="14" t="n">
        <v>14</v>
      </c>
    </row>
    <row r="232" customFormat="false" ht="15" hidden="false" customHeight="false" outlineLevel="0" collapsed="false">
      <c r="A232" s="13" t="n">
        <v>42667</v>
      </c>
      <c r="C232" s="14" t="n">
        <v>0.5</v>
      </c>
      <c r="D232" s="14" t="n">
        <v>0.25</v>
      </c>
      <c r="F232" s="14" t="n">
        <v>-0.4</v>
      </c>
      <c r="G232" s="14" t="n">
        <v>0.25</v>
      </c>
      <c r="H232" s="14" t="n">
        <v>0.2115</v>
      </c>
      <c r="I232" s="14" t="n">
        <v>0.201873312978615</v>
      </c>
      <c r="J232" s="14" t="n">
        <v>0.193956155758148</v>
      </c>
      <c r="K232" s="14" t="n">
        <v>0.185352860585388</v>
      </c>
      <c r="L232" s="14" t="n">
        <v>0.181199301606315</v>
      </c>
      <c r="M232" s="14" t="n">
        <v>2.7245</v>
      </c>
      <c r="N232" s="14" t="n">
        <v>2.813</v>
      </c>
      <c r="O232" s="14" t="n">
        <v>2.891</v>
      </c>
      <c r="P232" s="14" t="n">
        <v>3.029</v>
      </c>
      <c r="Q232" s="14" t="n">
        <v>0.5</v>
      </c>
      <c r="R232" s="14" t="n">
        <v>0.49</v>
      </c>
      <c r="S232" s="14" t="n">
        <v>14</v>
      </c>
    </row>
    <row r="233" customFormat="false" ht="15" hidden="false" customHeight="false" outlineLevel="0" collapsed="false">
      <c r="A233" s="13" t="n">
        <v>42668</v>
      </c>
      <c r="C233" s="14" t="n">
        <v>0.5</v>
      </c>
      <c r="D233" s="14" t="n">
        <v>0.25</v>
      </c>
      <c r="F233" s="14" t="n">
        <v>-0.4</v>
      </c>
      <c r="G233" s="14" t="n">
        <v>0.25</v>
      </c>
      <c r="H233" s="14" t="n">
        <v>0.2117</v>
      </c>
      <c r="I233" s="14" t="n">
        <v>0.201387446252518</v>
      </c>
      <c r="J233" s="14" t="n">
        <v>0.195018339239972</v>
      </c>
      <c r="K233" s="14" t="n">
        <v>0.190077339678233</v>
      </c>
      <c r="L233" s="14" t="n">
        <v>0.191580677049201</v>
      </c>
      <c r="M233" s="14" t="n">
        <v>2.7265</v>
      </c>
      <c r="N233" s="14" t="n">
        <v>2.814</v>
      </c>
      <c r="O233" s="14" t="n">
        <v>2.893</v>
      </c>
      <c r="P233" s="14" t="n">
        <v>3.03</v>
      </c>
      <c r="Q233" s="14" t="n">
        <v>0.5</v>
      </c>
      <c r="R233" s="14" t="n">
        <v>0.49</v>
      </c>
      <c r="S233" s="14" t="n">
        <v>14</v>
      </c>
    </row>
    <row r="234" customFormat="false" ht="15" hidden="false" customHeight="false" outlineLevel="0" collapsed="false">
      <c r="A234" s="13" t="n">
        <v>42669</v>
      </c>
      <c r="C234" s="14" t="n">
        <v>0.5</v>
      </c>
      <c r="D234" s="14" t="n">
        <v>0.25</v>
      </c>
      <c r="F234" s="14" t="n">
        <v>-0.4</v>
      </c>
      <c r="G234" s="14" t="n">
        <v>0.25</v>
      </c>
      <c r="H234" s="14" t="n">
        <v>0.2105</v>
      </c>
      <c r="I234" s="14" t="n">
        <v>0.205968673981215</v>
      </c>
      <c r="J234" s="14" t="n">
        <v>0.202046502736601</v>
      </c>
      <c r="K234" s="14" t="n">
        <v>0.198371855483193</v>
      </c>
      <c r="L234" s="14" t="n">
        <v>0.200103697413791</v>
      </c>
      <c r="M234" s="14" t="n">
        <v>2.7347</v>
      </c>
      <c r="N234" s="14" t="n">
        <v>2.8164</v>
      </c>
      <c r="O234" s="14" t="n">
        <v>2.894</v>
      </c>
      <c r="P234" s="14" t="n">
        <v>3.03</v>
      </c>
      <c r="Q234" s="14" t="n">
        <v>0.5</v>
      </c>
      <c r="R234" s="14" t="n">
        <v>0.5</v>
      </c>
      <c r="S234" s="14" t="n">
        <v>14</v>
      </c>
    </row>
    <row r="235" customFormat="false" ht="15" hidden="false" customHeight="false" outlineLevel="0" collapsed="false">
      <c r="A235" s="13" t="n">
        <v>42670</v>
      </c>
      <c r="C235" s="14" t="n">
        <v>0.5</v>
      </c>
      <c r="D235" s="14" t="n">
        <v>0.25</v>
      </c>
      <c r="F235" s="14" t="n">
        <v>-0.4</v>
      </c>
      <c r="G235" s="14" t="n">
        <v>0.25</v>
      </c>
      <c r="H235" s="14" t="n">
        <v>0.209</v>
      </c>
      <c r="I235" s="14" t="n">
        <v>0.207473807504188</v>
      </c>
      <c r="J235" s="14" t="n">
        <v>0.202533488356926</v>
      </c>
      <c r="K235" s="14" t="n">
        <v>0.19701301536545</v>
      </c>
      <c r="L235" s="14" t="n">
        <v>0.199967710436257</v>
      </c>
      <c r="M235" s="14" t="n">
        <v>2.7365</v>
      </c>
      <c r="N235" s="14" t="n">
        <v>2.8207</v>
      </c>
      <c r="O235" s="14" t="n">
        <v>2.895</v>
      </c>
      <c r="P235" s="14" t="n">
        <v>3.031</v>
      </c>
      <c r="Q235" s="14" t="n">
        <v>0.5</v>
      </c>
      <c r="R235" s="14" t="n">
        <v>0.49</v>
      </c>
      <c r="S235" s="14" t="n">
        <v>14</v>
      </c>
    </row>
    <row r="236" customFormat="false" ht="15" hidden="false" customHeight="false" outlineLevel="0" collapsed="false">
      <c r="A236" s="13" t="n">
        <v>42671</v>
      </c>
      <c r="C236" s="14" t="n">
        <v>0.5</v>
      </c>
      <c r="D236" s="14" t="n">
        <v>0.25</v>
      </c>
      <c r="F236" s="14" t="n">
        <v>-0.4</v>
      </c>
      <c r="G236" s="14" t="n">
        <v>0.25</v>
      </c>
      <c r="H236" s="14" t="n">
        <v>0.2092</v>
      </c>
      <c r="I236" s="14" t="n">
        <v>0.20762212269428</v>
      </c>
      <c r="J236" s="14" t="n">
        <v>0.204252993375697</v>
      </c>
      <c r="K236" s="14" t="n">
        <v>0.20221336738912</v>
      </c>
      <c r="L236" s="14" t="n">
        <v>0.20968534093271</v>
      </c>
      <c r="M236" s="14" t="n">
        <v>2.7427</v>
      </c>
      <c r="N236" s="14" t="n">
        <v>2.8221</v>
      </c>
      <c r="O236" s="14" t="n">
        <v>2.898</v>
      </c>
      <c r="P236" s="14" t="n">
        <v>3.032</v>
      </c>
      <c r="Q236" s="14" t="n">
        <v>0.5</v>
      </c>
      <c r="R236" s="14" t="n">
        <v>0.5</v>
      </c>
      <c r="S236" s="14" t="n">
        <v>14</v>
      </c>
    </row>
    <row r="237" customFormat="false" ht="15" hidden="false" customHeight="false" outlineLevel="0" collapsed="false">
      <c r="A237" s="13" t="n">
        <v>42674</v>
      </c>
      <c r="C237" s="14" t="n">
        <v>0.5</v>
      </c>
      <c r="D237" s="14" t="n">
        <v>0.25</v>
      </c>
      <c r="F237" s="14" t="n">
        <v>-0.4</v>
      </c>
      <c r="G237" s="14" t="n">
        <v>0.25</v>
      </c>
      <c r="H237" s="14" t="n">
        <v>0.1999</v>
      </c>
      <c r="I237" s="14" t="n">
        <v>0.206061291185645</v>
      </c>
      <c r="J237" s="14" t="n">
        <v>0.201892879186231</v>
      </c>
      <c r="K237" s="14" t="n">
        <v>0.199338205557169</v>
      </c>
      <c r="L237" s="14" t="n">
        <v>0.201621868110332</v>
      </c>
      <c r="M237" s="14" t="n">
        <v>2.7453</v>
      </c>
      <c r="N237" s="14" t="n">
        <v>2.8233</v>
      </c>
      <c r="O237" s="14" t="n">
        <v>2.9</v>
      </c>
      <c r="P237" s="14" t="n">
        <v>3.032</v>
      </c>
      <c r="Q237" s="14" t="n">
        <v>0.5</v>
      </c>
      <c r="R237" s="14" t="n">
        <v>0.48</v>
      </c>
      <c r="S237" s="14" t="n">
        <v>14</v>
      </c>
    </row>
    <row r="238" customFormat="false" ht="15" hidden="false" customHeight="false" outlineLevel="0" collapsed="false">
      <c r="A238" s="13" t="n">
        <v>42675</v>
      </c>
      <c r="C238" s="14" t="n">
        <v>0.5</v>
      </c>
      <c r="D238" s="14" t="n">
        <v>0.25</v>
      </c>
      <c r="F238" s="14" t="n">
        <v>-0.4</v>
      </c>
      <c r="G238" s="14" t="n">
        <v>0.25</v>
      </c>
      <c r="H238" s="14" t="n">
        <v>0.2122</v>
      </c>
      <c r="I238" s="14" t="n">
        <v>0.203944923908245</v>
      </c>
      <c r="J238" s="14" t="n">
        <v>0.198925319891574</v>
      </c>
      <c r="K238" s="14" t="n">
        <v>0.192622816715578</v>
      </c>
      <c r="L238" s="14" t="n">
        <v>0.193574463582947</v>
      </c>
      <c r="M238" s="14" t="n">
        <v>2.7486</v>
      </c>
      <c r="N238" s="14" t="n">
        <v>2.8254</v>
      </c>
      <c r="O238" s="14" t="n">
        <v>2.902</v>
      </c>
      <c r="P238" s="14" t="n">
        <v>3.032</v>
      </c>
      <c r="Q238" s="14" t="n">
        <v>0.5</v>
      </c>
      <c r="R238" s="14" t="n">
        <v>0.5</v>
      </c>
      <c r="S238" s="14" t="n">
        <v>14</v>
      </c>
    </row>
    <row r="239" customFormat="false" ht="15" hidden="false" customHeight="false" outlineLevel="0" collapsed="false">
      <c r="A239" s="13" t="n">
        <v>42676</v>
      </c>
      <c r="C239" s="14" t="n">
        <v>0.5</v>
      </c>
      <c r="D239" s="14" t="n">
        <v>0.25</v>
      </c>
      <c r="F239" s="14" t="n">
        <v>-0.4</v>
      </c>
      <c r="G239" s="14" t="n">
        <v>0.25</v>
      </c>
      <c r="H239" s="14" t="n">
        <v>0.2082</v>
      </c>
      <c r="I239" s="14" t="n">
        <v>0.203003832417563</v>
      </c>
      <c r="J239" s="14" t="n">
        <v>0.195891658918288</v>
      </c>
      <c r="K239" s="14" t="n">
        <v>0.18871045286291</v>
      </c>
      <c r="L239" s="14" t="n">
        <v>0.187354681492688</v>
      </c>
      <c r="M239" s="14" t="n">
        <v>2.7509</v>
      </c>
      <c r="N239" s="14" t="n">
        <v>2.8296</v>
      </c>
      <c r="O239" s="14" t="n">
        <v>2.9032</v>
      </c>
      <c r="P239" s="14" t="n">
        <v>3.035</v>
      </c>
      <c r="Q239" s="14" t="n">
        <v>0.5</v>
      </c>
      <c r="R239" s="14" t="n">
        <v>0.49</v>
      </c>
      <c r="S239" s="14" t="n">
        <v>14</v>
      </c>
    </row>
    <row r="240" customFormat="false" ht="15" hidden="false" customHeight="false" outlineLevel="0" collapsed="false">
      <c r="A240" s="13" t="n">
        <v>42677</v>
      </c>
      <c r="C240" s="14" t="n">
        <v>0.5</v>
      </c>
      <c r="D240" s="14" t="n">
        <v>0.25</v>
      </c>
      <c r="F240" s="14" t="n">
        <v>-0.4</v>
      </c>
      <c r="G240" s="14" t="n">
        <v>0.25</v>
      </c>
      <c r="H240" s="14" t="n">
        <v>0.2121</v>
      </c>
      <c r="I240" s="14" t="n">
        <v>0.206572121921272</v>
      </c>
      <c r="J240" s="14" t="n">
        <v>0.20385744595535</v>
      </c>
      <c r="K240" s="14" t="n">
        <v>0.20302286575907</v>
      </c>
      <c r="L240" s="14" t="n">
        <v>0.211140394599781</v>
      </c>
      <c r="M240" s="14" t="n">
        <v>2.749</v>
      </c>
      <c r="N240" s="14" t="n">
        <v>2.838</v>
      </c>
      <c r="O240" s="14" t="n">
        <v>2.9034</v>
      </c>
      <c r="P240" s="14" t="n">
        <v>3.038</v>
      </c>
      <c r="Q240" s="14" t="n">
        <v>0.5</v>
      </c>
      <c r="R240" s="14" t="n">
        <v>0.49</v>
      </c>
      <c r="S240" s="14" t="n">
        <v>14</v>
      </c>
    </row>
    <row r="241" customFormat="false" ht="15" hidden="false" customHeight="false" outlineLevel="0" collapsed="false">
      <c r="A241" s="13" t="n">
        <v>42678</v>
      </c>
      <c r="C241" s="14" t="n">
        <v>0.5</v>
      </c>
      <c r="D241" s="14" t="n">
        <v>0.25</v>
      </c>
      <c r="F241" s="14" t="n">
        <v>-0.4</v>
      </c>
      <c r="G241" s="14" t="n">
        <v>0.25</v>
      </c>
      <c r="H241" s="14" t="n">
        <v>0.2106</v>
      </c>
      <c r="I241" s="14" t="n">
        <v>0.209936677116231</v>
      </c>
      <c r="J241" s="14" t="n">
        <v>0.204051173288514</v>
      </c>
      <c r="K241" s="14" t="n">
        <v>0.199779233956693</v>
      </c>
      <c r="L241" s="14" t="n">
        <v>0.200051444814546</v>
      </c>
      <c r="M241" s="14" t="n">
        <v>2.7489</v>
      </c>
      <c r="N241" s="14" t="n">
        <v>2.8458</v>
      </c>
      <c r="O241" s="14" t="n">
        <v>2.9064</v>
      </c>
      <c r="P241" s="14" t="n">
        <v>3.0408</v>
      </c>
      <c r="Q241" s="14" t="n">
        <v>0.5</v>
      </c>
      <c r="R241" s="14" t="n">
        <v>0.5</v>
      </c>
      <c r="S241" s="14" t="n">
        <v>14</v>
      </c>
    </row>
    <row r="242" customFormat="false" ht="15" hidden="false" customHeight="false" outlineLevel="0" collapsed="false">
      <c r="A242" s="13" t="n">
        <v>42681</v>
      </c>
      <c r="C242" s="14" t="n">
        <v>0.5</v>
      </c>
      <c r="D242" s="14" t="n">
        <v>0.25</v>
      </c>
      <c r="F242" s="14" t="n">
        <v>-0.4</v>
      </c>
      <c r="G242" s="14" t="n">
        <v>0.25</v>
      </c>
      <c r="H242" s="14" t="n">
        <v>0.2108</v>
      </c>
      <c r="I242" s="14" t="n">
        <v>0.209431212613594</v>
      </c>
      <c r="J242" s="14" t="n">
        <v>0.204614670397429</v>
      </c>
      <c r="K242" s="14" t="n">
        <v>0.203636068853062</v>
      </c>
      <c r="L242" s="14" t="n">
        <v>0.210171491837698</v>
      </c>
      <c r="M242" s="14" t="n">
        <v>2.7489</v>
      </c>
      <c r="N242" s="14" t="n">
        <v>2.8576</v>
      </c>
      <c r="O242" s="14" t="n">
        <v>2.9112</v>
      </c>
      <c r="P242" s="14" t="n">
        <v>3.041</v>
      </c>
      <c r="Q242" s="14" t="n">
        <v>0.5</v>
      </c>
      <c r="R242" s="14" t="n">
        <v>0.5</v>
      </c>
      <c r="S242" s="14" t="n">
        <v>14</v>
      </c>
    </row>
    <row r="243" customFormat="false" ht="15" hidden="false" customHeight="false" outlineLevel="0" collapsed="false">
      <c r="A243" s="13" t="n">
        <v>42682</v>
      </c>
      <c r="C243" s="14" t="n">
        <v>0.5</v>
      </c>
      <c r="D243" s="14" t="n">
        <v>0.25</v>
      </c>
      <c r="F243" s="14" t="n">
        <v>-0.4</v>
      </c>
      <c r="G243" s="14" t="n">
        <v>0.25</v>
      </c>
      <c r="H243" s="14" t="n">
        <v>0.2116</v>
      </c>
      <c r="I243" s="14" t="n">
        <v>0.209828023412053</v>
      </c>
      <c r="J243" s="14" t="n">
        <v>0.205218008273104</v>
      </c>
      <c r="K243" s="14" t="n">
        <v>0.204505559741322</v>
      </c>
      <c r="L243" s="14" t="n">
        <v>0.213056269071876</v>
      </c>
      <c r="M243" s="14" t="n">
        <v>2.747</v>
      </c>
      <c r="N243" s="14" t="n">
        <v>2.8648</v>
      </c>
      <c r="O243" s="14" t="n">
        <v>2.9137</v>
      </c>
      <c r="P243" s="14" t="n">
        <v>3.041</v>
      </c>
      <c r="Q243" s="14" t="n">
        <v>0.5</v>
      </c>
      <c r="R243" s="14" t="n">
        <v>0.5</v>
      </c>
      <c r="S243" s="14" t="n">
        <v>14</v>
      </c>
    </row>
    <row r="244" customFormat="false" ht="15" hidden="false" customHeight="false" outlineLevel="0" collapsed="false">
      <c r="A244" s="13" t="n">
        <v>42683</v>
      </c>
      <c r="C244" s="14" t="n">
        <v>0.5</v>
      </c>
      <c r="D244" s="14" t="n">
        <v>0.25</v>
      </c>
      <c r="F244" s="14" t="n">
        <v>-0.4</v>
      </c>
      <c r="G244" s="14" t="n">
        <v>0.25</v>
      </c>
      <c r="H244" s="14" t="n">
        <v>0.2102</v>
      </c>
      <c r="I244" s="14" t="n">
        <v>0.208346914591972</v>
      </c>
      <c r="J244" s="14" t="n">
        <v>0.203772530171027</v>
      </c>
      <c r="K244" s="14" t="n">
        <v>0.201539471332557</v>
      </c>
      <c r="L244" s="14" t="n">
        <v>0.209307476141929</v>
      </c>
      <c r="M244" s="14" t="n">
        <v>2.745</v>
      </c>
      <c r="N244" s="14" t="n">
        <v>2.8655</v>
      </c>
      <c r="O244" s="14" t="n">
        <v>2.9154</v>
      </c>
      <c r="P244" s="14" t="n">
        <v>3.0415</v>
      </c>
      <c r="Q244" s="14" t="n">
        <v>0.5</v>
      </c>
      <c r="R244" s="14" t="n">
        <v>0.52</v>
      </c>
      <c r="S244" s="14" t="n">
        <v>14</v>
      </c>
    </row>
    <row r="245" customFormat="false" ht="15" hidden="false" customHeight="false" outlineLevel="0" collapsed="false">
      <c r="A245" s="13" t="n">
        <v>42684</v>
      </c>
      <c r="C245" s="14" t="n">
        <v>0.5</v>
      </c>
      <c r="D245" s="14" t="n">
        <v>0.25</v>
      </c>
      <c r="F245" s="14" t="n">
        <v>-0.4</v>
      </c>
      <c r="G245" s="14" t="n">
        <v>0.25</v>
      </c>
      <c r="H245" s="14" t="n">
        <v>0.2137</v>
      </c>
      <c r="I245" s="14" t="n">
        <v>0.209039441572096</v>
      </c>
      <c r="J245" s="14" t="n">
        <v>0.204144843888907</v>
      </c>
      <c r="K245" s="14" t="n">
        <v>0.204255981224426</v>
      </c>
      <c r="L245" s="14" t="n">
        <v>0.214160050748417</v>
      </c>
      <c r="M245" s="14" t="n">
        <v>2.746</v>
      </c>
      <c r="N245" s="14" t="n">
        <v>2.8701</v>
      </c>
      <c r="O245" s="14" t="n">
        <v>2.9185</v>
      </c>
      <c r="P245" s="14" t="n">
        <v>3.044</v>
      </c>
      <c r="Q245" s="14" t="n">
        <v>0.5</v>
      </c>
      <c r="R245" s="14" t="n">
        <v>0.49</v>
      </c>
      <c r="S245" s="14" t="n">
        <v>14</v>
      </c>
    </row>
    <row r="246" customFormat="false" ht="15" hidden="false" customHeight="false" outlineLevel="0" collapsed="false">
      <c r="A246" s="13" t="n">
        <v>42685</v>
      </c>
      <c r="C246" s="14" t="n">
        <v>0.5</v>
      </c>
      <c r="D246" s="14" t="n">
        <v>0.25</v>
      </c>
      <c r="F246" s="14" t="n">
        <v>-0.4</v>
      </c>
      <c r="G246" s="14" t="n">
        <v>0.25</v>
      </c>
      <c r="H246" s="14" t="n">
        <v>0.214</v>
      </c>
      <c r="I246" s="14" t="n">
        <v>0.208528676140443</v>
      </c>
      <c r="J246" s="14" t="n">
        <v>0.204618212884503</v>
      </c>
      <c r="K246" s="14" t="n">
        <v>0.204996557497061</v>
      </c>
      <c r="L246" s="14" t="n">
        <v>0.22317190960702</v>
      </c>
      <c r="M246" s="14" t="n">
        <v>2.7476</v>
      </c>
      <c r="N246" s="14" t="n">
        <v>2.8751</v>
      </c>
      <c r="O246" s="14" t="n">
        <v>2.9209</v>
      </c>
      <c r="P246" s="14" t="n">
        <v>3.045</v>
      </c>
      <c r="Q246" s="14" t="n">
        <v>0.5</v>
      </c>
      <c r="R246" s="14" t="n">
        <v>0.51</v>
      </c>
      <c r="S246" s="14" t="n">
        <v>14</v>
      </c>
    </row>
    <row r="247" customFormat="false" ht="15" hidden="false" customHeight="false" outlineLevel="0" collapsed="false">
      <c r="A247" s="13" t="n">
        <v>42688</v>
      </c>
      <c r="C247" s="14" t="n">
        <v>0.5</v>
      </c>
      <c r="D247" s="14" t="n">
        <v>0.25</v>
      </c>
      <c r="F247" s="14" t="n">
        <v>-0.4</v>
      </c>
      <c r="G247" s="14" t="n">
        <v>0.25</v>
      </c>
      <c r="H247" s="14" t="n">
        <v>0.2106</v>
      </c>
      <c r="I247" s="14" t="n">
        <v>0.20922314765371</v>
      </c>
      <c r="J247" s="14" t="n">
        <v>0.202771892983645</v>
      </c>
      <c r="K247" s="14" t="n">
        <v>0.203491760892433</v>
      </c>
      <c r="L247" s="14" t="n">
        <v>0.223113820549297</v>
      </c>
      <c r="M247" s="14" t="n">
        <v>2.7508</v>
      </c>
      <c r="N247" s="14" t="n">
        <v>2.8846</v>
      </c>
      <c r="O247" s="14" t="n">
        <v>2.923</v>
      </c>
      <c r="P247" s="14" t="n">
        <v>3.048</v>
      </c>
      <c r="Q247" s="14" t="n">
        <v>0.5</v>
      </c>
      <c r="R247" s="14" t="n">
        <v>0.51</v>
      </c>
      <c r="S247" s="14" t="n">
        <v>14</v>
      </c>
    </row>
    <row r="248" customFormat="false" ht="15" hidden="false" customHeight="false" outlineLevel="0" collapsed="false">
      <c r="A248" s="13" t="n">
        <v>42689</v>
      </c>
      <c r="C248" s="14" t="n">
        <v>0.5</v>
      </c>
      <c r="D248" s="14" t="n">
        <v>0.25</v>
      </c>
      <c r="F248" s="14" t="n">
        <v>-0.4</v>
      </c>
      <c r="G248" s="14" t="n">
        <v>0.25</v>
      </c>
      <c r="H248" s="14" t="n">
        <v>0.2106</v>
      </c>
      <c r="I248" s="14" t="n">
        <v>0.209180242878345</v>
      </c>
      <c r="J248" s="14" t="n">
        <v>0.204040503093997</v>
      </c>
      <c r="K248" s="14" t="n">
        <v>0.202962214440814</v>
      </c>
      <c r="L248" s="14" t="n">
        <v>0.221276732583471</v>
      </c>
      <c r="M248" s="14" t="n">
        <v>2.7511</v>
      </c>
      <c r="N248" s="14" t="n">
        <v>2.8955</v>
      </c>
      <c r="O248" s="14" t="n">
        <v>2.9303</v>
      </c>
      <c r="P248" s="14" t="n">
        <v>3.049</v>
      </c>
      <c r="Q248" s="14" t="n">
        <v>0.5</v>
      </c>
      <c r="R248" s="14" t="n">
        <v>0.51</v>
      </c>
      <c r="S248" s="14" t="n">
        <v>14</v>
      </c>
    </row>
    <row r="249" customFormat="false" ht="15" hidden="false" customHeight="false" outlineLevel="0" collapsed="false">
      <c r="A249" s="13" t="n">
        <v>42690</v>
      </c>
      <c r="C249" s="14" t="n">
        <v>0.5</v>
      </c>
      <c r="D249" s="14" t="n">
        <v>0.25</v>
      </c>
      <c r="F249" s="14" t="n">
        <v>-0.4</v>
      </c>
      <c r="G249" s="14" t="n">
        <v>0.25</v>
      </c>
      <c r="H249" s="14" t="n">
        <v>0.2103</v>
      </c>
      <c r="I249" s="14" t="n">
        <v>0.208577421582814</v>
      </c>
      <c r="J249" s="14" t="n">
        <v>0.202360817817893</v>
      </c>
      <c r="K249" s="14" t="n">
        <v>0.201018459783054</v>
      </c>
      <c r="L249" s="14" t="n">
        <v>0.215431261668262</v>
      </c>
      <c r="M249" s="14" t="n">
        <v>2.7545</v>
      </c>
      <c r="N249" s="14" t="n">
        <v>2.9125</v>
      </c>
      <c r="O249" s="14" t="n">
        <v>2.938</v>
      </c>
      <c r="P249" s="14" t="n">
        <v>3.054</v>
      </c>
      <c r="Q249" s="14" t="n">
        <v>0.5</v>
      </c>
      <c r="R249" s="14" t="n">
        <v>0.51</v>
      </c>
      <c r="S249" s="14" t="n">
        <v>14</v>
      </c>
    </row>
    <row r="250" customFormat="false" ht="15" hidden="false" customHeight="false" outlineLevel="0" collapsed="false">
      <c r="A250" s="13" t="n">
        <v>42691</v>
      </c>
      <c r="C250" s="14" t="n">
        <v>0.5</v>
      </c>
      <c r="D250" s="14" t="n">
        <v>0.25</v>
      </c>
      <c r="F250" s="14" t="n">
        <v>-0.4</v>
      </c>
      <c r="G250" s="14" t="n">
        <v>0.25</v>
      </c>
      <c r="H250" s="14" t="n">
        <v>0.2101</v>
      </c>
      <c r="I250" s="14" t="n">
        <v>0.209332047453575</v>
      </c>
      <c r="J250" s="14" t="n">
        <v>0.20444615119996</v>
      </c>
      <c r="K250" s="14" t="n">
        <v>0.201111496639872</v>
      </c>
      <c r="L250" s="14" t="n">
        <v>0.213876313132443</v>
      </c>
      <c r="M250" s="14" t="n">
        <v>2.7608</v>
      </c>
      <c r="N250" s="14" t="n">
        <v>2.9325</v>
      </c>
      <c r="O250" s="14" t="n">
        <v>2.9526</v>
      </c>
      <c r="P250" s="14" t="n">
        <v>3.0605</v>
      </c>
      <c r="Q250" s="14" t="n">
        <v>0.5</v>
      </c>
      <c r="R250" s="14" t="n">
        <v>0.51</v>
      </c>
      <c r="S250" s="14" t="n">
        <v>14</v>
      </c>
    </row>
    <row r="251" customFormat="false" ht="15" hidden="false" customHeight="false" outlineLevel="0" collapsed="false">
      <c r="A251" s="13" t="n">
        <v>42692</v>
      </c>
      <c r="C251" s="14" t="n">
        <v>0.5</v>
      </c>
      <c r="D251" s="14" t="n">
        <v>0.25</v>
      </c>
      <c r="F251" s="14" t="n">
        <v>-0.4</v>
      </c>
      <c r="G251" s="14" t="n">
        <v>0.25</v>
      </c>
      <c r="H251" s="14" t="n">
        <v>0.2117</v>
      </c>
      <c r="I251" s="14" t="n">
        <v>0.210642734830424</v>
      </c>
      <c r="J251" s="14" t="n">
        <v>0.202645007593349</v>
      </c>
      <c r="K251" s="14" t="n">
        <v>0.201892895159909</v>
      </c>
      <c r="L251" s="14" t="n">
        <v>0.219288264714521</v>
      </c>
      <c r="M251" s="14" t="n">
        <v>2.7739</v>
      </c>
      <c r="N251" s="14" t="n">
        <v>2.9505</v>
      </c>
      <c r="O251" s="14" t="n">
        <v>2.9715</v>
      </c>
      <c r="P251" s="14" t="n">
        <v>3.0712</v>
      </c>
      <c r="Q251" s="14" t="n">
        <v>0.5</v>
      </c>
      <c r="R251" s="14" t="n">
        <v>0.49</v>
      </c>
      <c r="S251" s="14" t="n">
        <v>14</v>
      </c>
    </row>
    <row r="252" customFormat="false" ht="15" hidden="false" customHeight="false" outlineLevel="0" collapsed="false">
      <c r="A252" s="13" t="n">
        <v>42695</v>
      </c>
      <c r="C252" s="14" t="n">
        <v>0.5</v>
      </c>
      <c r="D252" s="14" t="n">
        <v>0.25</v>
      </c>
      <c r="F252" s="14" t="n">
        <v>-0.4</v>
      </c>
      <c r="G252" s="14" t="n">
        <v>0.25</v>
      </c>
      <c r="H252" s="14" t="n">
        <v>0.2099</v>
      </c>
      <c r="I252" s="14" t="n">
        <v>0.208053800442049</v>
      </c>
      <c r="J252" s="14" t="n">
        <v>0.201701493146185</v>
      </c>
      <c r="K252" s="14" t="n">
        <v>0.197938902360789</v>
      </c>
      <c r="L252" s="14" t="n">
        <v>0.215083778638413</v>
      </c>
      <c r="M252" s="14" t="n">
        <v>2.7894</v>
      </c>
      <c r="N252" s="14" t="n">
        <v>2.9701</v>
      </c>
      <c r="O252" s="14" t="n">
        <v>2.9852</v>
      </c>
      <c r="P252" s="14" t="n">
        <v>3.0782</v>
      </c>
      <c r="Q252" s="14" t="n">
        <v>0.5</v>
      </c>
      <c r="R252" s="14" t="n">
        <v>0.5</v>
      </c>
      <c r="S252" s="14" t="n">
        <v>14</v>
      </c>
    </row>
    <row r="253" customFormat="false" ht="15" hidden="false" customHeight="false" outlineLevel="0" collapsed="false">
      <c r="A253" s="13" t="n">
        <v>42696</v>
      </c>
      <c r="C253" s="14" t="n">
        <v>0.5</v>
      </c>
      <c r="D253" s="14" t="n">
        <v>0.25</v>
      </c>
      <c r="F253" s="14" t="n">
        <v>-0.4</v>
      </c>
      <c r="G253" s="14" t="n">
        <v>0.25</v>
      </c>
      <c r="H253" s="14" t="n">
        <v>0.2108</v>
      </c>
      <c r="I253" s="14" t="n">
        <v>0.20753631584312</v>
      </c>
      <c r="J253" s="14" t="n">
        <v>0.201499342087421</v>
      </c>
      <c r="K253" s="14" t="n">
        <v>0.199945739597989</v>
      </c>
      <c r="L253" s="14" t="n">
        <v>0.214485545848739</v>
      </c>
      <c r="M253" s="14" t="n">
        <v>2.799</v>
      </c>
      <c r="N253" s="14" t="n">
        <v>2.9765</v>
      </c>
      <c r="O253" s="14" t="n">
        <v>2.996</v>
      </c>
      <c r="P253" s="14" t="n">
        <v>3.0825</v>
      </c>
      <c r="Q253" s="14" t="n">
        <v>0.5</v>
      </c>
      <c r="R253" s="14" t="n">
        <v>0.49</v>
      </c>
      <c r="S253" s="14" t="n">
        <v>14</v>
      </c>
    </row>
    <row r="254" customFormat="false" ht="15" hidden="false" customHeight="false" outlineLevel="0" collapsed="false">
      <c r="A254" s="13" t="n">
        <v>42697</v>
      </c>
      <c r="C254" s="14" t="n">
        <v>0.5</v>
      </c>
      <c r="D254" s="14" t="n">
        <v>0.25</v>
      </c>
      <c r="F254" s="14" t="n">
        <v>-0.4</v>
      </c>
      <c r="G254" s="14" t="n">
        <v>0.25</v>
      </c>
      <c r="H254" s="14" t="n">
        <v>0.2119</v>
      </c>
      <c r="I254" s="14" t="n">
        <v>0.208540148950055</v>
      </c>
      <c r="J254" s="14" t="n">
        <v>0.201901114086873</v>
      </c>
      <c r="K254" s="14" t="n">
        <v>0.19915982120126</v>
      </c>
      <c r="L254" s="14" t="n">
        <v>0.214679953056229</v>
      </c>
      <c r="M254" s="14" t="n">
        <v>2.8089</v>
      </c>
      <c r="N254" s="14" t="n">
        <v>2.9857</v>
      </c>
      <c r="O254" s="14" t="n">
        <v>3.0036</v>
      </c>
      <c r="P254" s="14" t="n">
        <v>3.0853</v>
      </c>
      <c r="Q254" s="14" t="n">
        <v>0.5</v>
      </c>
      <c r="R254" s="14" t="n">
        <v>0.49</v>
      </c>
      <c r="S254" s="14" t="n">
        <v>14</v>
      </c>
    </row>
    <row r="255" customFormat="false" ht="15" hidden="false" customHeight="false" outlineLevel="0" collapsed="false">
      <c r="A255" s="13" t="n">
        <v>42698</v>
      </c>
      <c r="C255" s="14" t="n">
        <v>0.5</v>
      </c>
      <c r="D255" s="14" t="n">
        <v>0.25</v>
      </c>
      <c r="F255" s="14" t="n">
        <v>-0.4</v>
      </c>
      <c r="G255" s="14" t="n">
        <v>0.25</v>
      </c>
      <c r="H255" s="14" t="n">
        <v>0.2118</v>
      </c>
      <c r="I255" s="14" t="n">
        <v>0.208624305059375</v>
      </c>
      <c r="J255" s="14" t="n">
        <v>0.202613180922217</v>
      </c>
      <c r="K255" s="14" t="n">
        <v>0.200569138032145</v>
      </c>
      <c r="L255" s="14" t="n">
        <v>0.215921951421421</v>
      </c>
      <c r="M255" s="14" t="n">
        <v>2.8199</v>
      </c>
      <c r="N255" s="14" t="n">
        <v>2.9956</v>
      </c>
      <c r="O255" s="14" t="n">
        <v>3.0104</v>
      </c>
      <c r="P255" s="14" t="n">
        <v>3.0976</v>
      </c>
      <c r="Q255" s="14" t="n">
        <v>0.5</v>
      </c>
      <c r="R255" s="14" t="n">
        <v>0.48</v>
      </c>
      <c r="S255" s="14" t="n">
        <v>14</v>
      </c>
    </row>
    <row r="256" customFormat="false" ht="15" hidden="false" customHeight="false" outlineLevel="0" collapsed="false">
      <c r="A256" s="13" t="n">
        <v>42699</v>
      </c>
      <c r="C256" s="14" t="n">
        <v>0.5</v>
      </c>
      <c r="D256" s="14" t="n">
        <v>0.25</v>
      </c>
      <c r="F256" s="14" t="n">
        <v>-0.4</v>
      </c>
      <c r="G256" s="14" t="n">
        <v>0.25</v>
      </c>
      <c r="H256" s="14" t="n">
        <v>0.2106</v>
      </c>
      <c r="I256" s="14" t="n">
        <v>0.207145099569994</v>
      </c>
      <c r="J256" s="14" t="n">
        <v>0.2018226774885</v>
      </c>
      <c r="K256" s="14" t="n">
        <v>0.20020711075646</v>
      </c>
      <c r="L256" s="14" t="n">
        <v>0.211847826918971</v>
      </c>
      <c r="M256" s="14" t="n">
        <v>2.826</v>
      </c>
      <c r="N256" s="14" t="n">
        <v>3.0026</v>
      </c>
      <c r="O256" s="14" t="n">
        <v>3.0201</v>
      </c>
      <c r="P256" s="14" t="n">
        <v>3.1088</v>
      </c>
      <c r="Q256" s="14" t="n">
        <v>0.5</v>
      </c>
      <c r="R256" s="14" t="n">
        <v>0.49</v>
      </c>
      <c r="S256" s="14" t="n">
        <v>14</v>
      </c>
    </row>
    <row r="257" customFormat="false" ht="15" hidden="false" customHeight="false" outlineLevel="0" collapsed="false">
      <c r="A257" s="13" t="n">
        <v>42702</v>
      </c>
      <c r="C257" s="14" t="n">
        <v>0.5</v>
      </c>
      <c r="D257" s="14" t="n">
        <v>0.25</v>
      </c>
      <c r="F257" s="14" t="n">
        <v>-0.4</v>
      </c>
      <c r="G257" s="14" t="n">
        <v>0.25</v>
      </c>
      <c r="H257" s="14" t="n">
        <v>0.2129</v>
      </c>
      <c r="I257" s="14" t="n">
        <v>0.205763217933897</v>
      </c>
      <c r="J257" s="14" t="n">
        <v>0.200144807672953</v>
      </c>
      <c r="K257" s="14" t="n">
        <v>0.198238190193367</v>
      </c>
      <c r="L257" s="14" t="n">
        <v>0.209495130051864</v>
      </c>
      <c r="M257" s="14" t="n">
        <v>2.8446</v>
      </c>
      <c r="N257" s="14" t="n">
        <v>3.0113</v>
      </c>
      <c r="O257" s="14" t="n">
        <v>3.0331</v>
      </c>
      <c r="P257" s="14" t="n">
        <v>3.1199</v>
      </c>
      <c r="Q257" s="14" t="n">
        <v>0.5</v>
      </c>
      <c r="R257" s="14" t="n">
        <v>0.48</v>
      </c>
      <c r="S257" s="14" t="n">
        <v>14</v>
      </c>
    </row>
    <row r="258" customFormat="false" ht="15" hidden="false" customHeight="false" outlineLevel="0" collapsed="false">
      <c r="A258" s="13" t="n">
        <v>42703</v>
      </c>
      <c r="C258" s="14" t="n">
        <v>0.5</v>
      </c>
      <c r="D258" s="14" t="n">
        <v>0.25</v>
      </c>
      <c r="F258" s="14" t="n">
        <v>-0.4</v>
      </c>
      <c r="G258" s="14" t="n">
        <v>0.25</v>
      </c>
      <c r="H258" s="14" t="n">
        <v>0.2116</v>
      </c>
      <c r="I258" s="14" t="n">
        <v>0.206598882131937</v>
      </c>
      <c r="J258" s="14" t="n">
        <v>0.201394575901266</v>
      </c>
      <c r="K258" s="14" t="n">
        <v>0.200510012258363</v>
      </c>
      <c r="L258" s="14" t="n">
        <v>0.212104032312945</v>
      </c>
      <c r="M258" s="14" t="n">
        <v>2.8565</v>
      </c>
      <c r="N258" s="14" t="n">
        <v>3.0172</v>
      </c>
      <c r="O258" s="14" t="n">
        <v>3.0434</v>
      </c>
      <c r="P258" s="14" t="n">
        <v>3.131</v>
      </c>
      <c r="Q258" s="14" t="n">
        <v>0.5</v>
      </c>
      <c r="R258" s="14" t="n">
        <v>0.49</v>
      </c>
      <c r="S258" s="14" t="n">
        <v>14</v>
      </c>
    </row>
    <row r="259" customFormat="false" ht="15" hidden="false" customHeight="false" outlineLevel="0" collapsed="false">
      <c r="A259" s="13" t="n">
        <v>42704</v>
      </c>
      <c r="C259" s="14" t="n">
        <v>0.5</v>
      </c>
      <c r="D259" s="14" t="n">
        <v>0.25</v>
      </c>
      <c r="F259" s="14" t="n">
        <v>-0.4</v>
      </c>
      <c r="G259" s="14" t="n">
        <v>0.25</v>
      </c>
      <c r="H259" s="14" t="n">
        <v>0.2024</v>
      </c>
      <c r="I259" s="14" t="n">
        <v>0.207940308110121</v>
      </c>
      <c r="J259" s="14" t="n">
        <v>0.201979706253005</v>
      </c>
      <c r="K259" s="14" t="n">
        <v>0.202569049353712</v>
      </c>
      <c r="L259" s="14" t="n">
        <v>0.220868826983285</v>
      </c>
      <c r="M259" s="14" t="n">
        <v>2.8697</v>
      </c>
      <c r="N259" s="14" t="n">
        <v>3.0358</v>
      </c>
      <c r="O259" s="14" t="n">
        <v>3.0604</v>
      </c>
      <c r="P259" s="14" t="n">
        <v>3.1491</v>
      </c>
      <c r="Q259" s="14" t="n">
        <v>0.5</v>
      </c>
      <c r="R259" s="14" t="n">
        <v>0.48</v>
      </c>
      <c r="S259" s="14" t="n">
        <v>14</v>
      </c>
    </row>
    <row r="260" customFormat="false" ht="15" hidden="false" customHeight="false" outlineLevel="0" collapsed="false">
      <c r="A260" s="13" t="n">
        <v>42705</v>
      </c>
      <c r="C260" s="14" t="n">
        <v>0.5</v>
      </c>
      <c r="D260" s="14" t="n">
        <v>0.25</v>
      </c>
      <c r="F260" s="14" t="n">
        <v>-0.4</v>
      </c>
      <c r="G260" s="14" t="n">
        <v>0.25</v>
      </c>
      <c r="H260" s="14" t="n">
        <v>0.2147</v>
      </c>
      <c r="I260" s="14" t="n">
        <v>0.202965229648487</v>
      </c>
      <c r="J260" s="14" t="n">
        <v>0.199916756969694</v>
      </c>
      <c r="K260" s="14" t="n">
        <v>0.202300759412704</v>
      </c>
      <c r="L260" s="14" t="n">
        <v>0.223779158204111</v>
      </c>
      <c r="M260" s="14" t="n">
        <v>2.893</v>
      </c>
      <c r="N260" s="14" t="n">
        <v>3.0556</v>
      </c>
      <c r="O260" s="14" t="n">
        <v>3.0771</v>
      </c>
      <c r="P260" s="14" t="n">
        <v>3.16</v>
      </c>
      <c r="Q260" s="14" t="n">
        <v>0.5</v>
      </c>
      <c r="R260" s="14" t="n">
        <v>0.5</v>
      </c>
      <c r="S260" s="14" t="n">
        <v>13.75</v>
      </c>
    </row>
    <row r="261" customFormat="false" ht="15" hidden="false" customHeight="false" outlineLevel="0" collapsed="false">
      <c r="A261" s="13" t="n">
        <v>42706</v>
      </c>
      <c r="C261" s="14" t="n">
        <v>0.5</v>
      </c>
      <c r="D261" s="14" t="n">
        <v>0.25</v>
      </c>
      <c r="F261" s="14" t="n">
        <v>-0.4</v>
      </c>
      <c r="G261" s="14" t="n">
        <v>0.25</v>
      </c>
      <c r="H261" s="14" t="n">
        <v>0.2115</v>
      </c>
      <c r="I261" s="14" t="n">
        <v>0.203161394114668</v>
      </c>
      <c r="J261" s="14" t="n">
        <v>0.200966487783255</v>
      </c>
      <c r="K261" s="14" t="n">
        <v>0.201981414893015</v>
      </c>
      <c r="L261" s="14" t="n">
        <v>0.21222180463931</v>
      </c>
      <c r="M261" s="14" t="n">
        <v>2.9163</v>
      </c>
      <c r="N261" s="14" t="n">
        <v>3.0686</v>
      </c>
      <c r="O261" s="14" t="n">
        <v>3.0868</v>
      </c>
      <c r="P261" s="14" t="n">
        <v>3.173</v>
      </c>
      <c r="Q261" s="14" t="n">
        <v>0.5</v>
      </c>
      <c r="R261" s="14" t="n">
        <v>0.48</v>
      </c>
      <c r="S261" s="14" t="n">
        <v>13.75</v>
      </c>
    </row>
    <row r="262" customFormat="false" ht="15" hidden="false" customHeight="false" outlineLevel="0" collapsed="false">
      <c r="A262" s="13" t="n">
        <v>42709</v>
      </c>
      <c r="C262" s="14" t="n">
        <v>0.5</v>
      </c>
      <c r="D262" s="14" t="n">
        <v>0.25</v>
      </c>
      <c r="F262" s="14" t="n">
        <v>-0.4</v>
      </c>
      <c r="G262" s="14" t="n">
        <v>0.25</v>
      </c>
      <c r="H262" s="14" t="n">
        <v>0.2134</v>
      </c>
      <c r="I262" s="14" t="n">
        <v>0.204392956547102</v>
      </c>
      <c r="J262" s="14" t="n">
        <v>0.20226512959418</v>
      </c>
      <c r="K262" s="14" t="n">
        <v>0.203123872610534</v>
      </c>
      <c r="L262" s="14" t="n">
        <v>0.21603915695553</v>
      </c>
      <c r="M262" s="14" t="n">
        <v>2.9457</v>
      </c>
      <c r="N262" s="14" t="n">
        <v>3.0889</v>
      </c>
      <c r="O262" s="14" t="n">
        <v>3.1057</v>
      </c>
      <c r="P262" s="14" t="n">
        <v>3.1853</v>
      </c>
      <c r="Q262" s="14" t="n">
        <v>0.5</v>
      </c>
      <c r="R262" s="14" t="n">
        <v>0.5</v>
      </c>
      <c r="S262" s="14" t="n">
        <v>13.75</v>
      </c>
    </row>
    <row r="263" customFormat="false" ht="15" hidden="false" customHeight="false" outlineLevel="0" collapsed="false">
      <c r="A263" s="13" t="n">
        <v>42710</v>
      </c>
      <c r="C263" s="14" t="n">
        <v>0.5</v>
      </c>
      <c r="D263" s="14" t="n">
        <v>0.25</v>
      </c>
      <c r="F263" s="14" t="n">
        <v>-0.4</v>
      </c>
      <c r="G263" s="14" t="n">
        <v>0.25</v>
      </c>
      <c r="H263" s="14" t="n">
        <v>0.2114</v>
      </c>
      <c r="I263" s="14" t="n">
        <v>0.20370349840542</v>
      </c>
      <c r="J263" s="14" t="n">
        <v>0.200990628996656</v>
      </c>
      <c r="K263" s="14" t="n">
        <v>0.203291938132668</v>
      </c>
      <c r="L263" s="14" t="n">
        <v>0.221735230447418</v>
      </c>
      <c r="M263" s="14" t="n">
        <v>2.9756</v>
      </c>
      <c r="N263" s="14" t="n">
        <v>3.1039</v>
      </c>
      <c r="O263" s="14" t="n">
        <v>3.1226</v>
      </c>
      <c r="P263" s="14" t="n">
        <v>3.2066</v>
      </c>
      <c r="Q263" s="14" t="n">
        <v>0.5</v>
      </c>
      <c r="R263" s="14" t="n">
        <v>0.49</v>
      </c>
      <c r="S263" s="14" t="n">
        <v>13.75</v>
      </c>
    </row>
    <row r="264" customFormat="false" ht="15" hidden="false" customHeight="false" outlineLevel="0" collapsed="false">
      <c r="A264" s="13" t="n">
        <v>42711</v>
      </c>
      <c r="C264" s="14" t="n">
        <v>0.5</v>
      </c>
      <c r="D264" s="14" t="n">
        <v>0.25</v>
      </c>
      <c r="F264" s="14" t="n">
        <v>-0.4</v>
      </c>
      <c r="G264" s="14" t="n">
        <v>0.25</v>
      </c>
      <c r="H264" s="14" t="n">
        <v>0.2118</v>
      </c>
      <c r="I264" s="14" t="n">
        <v>0.203728590924033</v>
      </c>
      <c r="J264" s="14" t="n">
        <v>0.201261968655829</v>
      </c>
      <c r="K264" s="14" t="n">
        <v>0.203004378113208</v>
      </c>
      <c r="L264" s="14" t="n">
        <v>0.217485008015319</v>
      </c>
      <c r="M264" s="14" t="n">
        <v>2.9996</v>
      </c>
      <c r="N264" s="14" t="n">
        <v>3.1134</v>
      </c>
      <c r="O264" s="14" t="n">
        <v>3.1383</v>
      </c>
      <c r="P264" s="14" t="n">
        <v>3.2197</v>
      </c>
      <c r="Q264" s="14" t="n">
        <v>0.5</v>
      </c>
      <c r="R264" s="14" t="n">
        <v>0.48</v>
      </c>
      <c r="S264" s="14" t="n">
        <v>13.75</v>
      </c>
    </row>
    <row r="265" customFormat="false" ht="15" hidden="false" customHeight="false" outlineLevel="0" collapsed="false">
      <c r="A265" s="13" t="n">
        <v>42712</v>
      </c>
      <c r="C265" s="14" t="n">
        <v>0.5</v>
      </c>
      <c r="D265" s="14" t="n">
        <v>0.25</v>
      </c>
      <c r="F265" s="14" t="n">
        <v>-0.4</v>
      </c>
      <c r="G265" s="14" t="n">
        <v>0.25</v>
      </c>
      <c r="H265" s="14" t="n">
        <v>0.2161</v>
      </c>
      <c r="I265" s="14" t="n">
        <v>0.203432257235226</v>
      </c>
      <c r="J265" s="14" t="n">
        <v>0.201038740833888</v>
      </c>
      <c r="K265" s="14" t="n">
        <v>0.201369761584826</v>
      </c>
      <c r="L265" s="14" t="n">
        <v>0.215874634949062</v>
      </c>
      <c r="M265" s="14" t="n">
        <v>3.03</v>
      </c>
      <c r="N265" s="14" t="n">
        <v>3.1144</v>
      </c>
      <c r="O265" s="14" t="n">
        <v>3.1399</v>
      </c>
      <c r="P265" s="14" t="n">
        <v>3.231</v>
      </c>
      <c r="Q265" s="14" t="n">
        <v>0.5</v>
      </c>
      <c r="R265" s="14" t="n">
        <v>0.49</v>
      </c>
      <c r="S265" s="14" t="n">
        <v>13.75</v>
      </c>
    </row>
    <row r="266" customFormat="false" ht="15" hidden="false" customHeight="false" outlineLevel="0" collapsed="false">
      <c r="A266" s="13" t="n">
        <v>42713</v>
      </c>
      <c r="C266" s="14" t="n">
        <v>0.5</v>
      </c>
      <c r="D266" s="14" t="n">
        <v>0.25</v>
      </c>
      <c r="F266" s="14" t="n">
        <v>-0.4</v>
      </c>
      <c r="G266" s="14" t="n">
        <v>0.25</v>
      </c>
      <c r="H266" s="14" t="n">
        <v>0.2127</v>
      </c>
      <c r="I266" s="14" t="n">
        <v>0.203488773453589</v>
      </c>
      <c r="J266" s="14" t="n">
        <v>0.202800313334926</v>
      </c>
      <c r="K266" s="14" t="n">
        <v>0.204239834109234</v>
      </c>
      <c r="L266" s="14" t="n">
        <v>0.220466614040842</v>
      </c>
      <c r="M266" s="14" t="n">
        <v>3.056</v>
      </c>
      <c r="N266" s="14" t="n">
        <v>3.1265</v>
      </c>
      <c r="O266" s="14" t="n">
        <v>3.144</v>
      </c>
      <c r="P266" s="14" t="n">
        <v>3.2391</v>
      </c>
      <c r="Q266" s="14" t="n">
        <v>0.5</v>
      </c>
      <c r="R266" s="14" t="n">
        <v>0.49</v>
      </c>
      <c r="S266" s="14" t="n">
        <v>13.75</v>
      </c>
    </row>
    <row r="267" customFormat="false" ht="15" hidden="false" customHeight="false" outlineLevel="0" collapsed="false">
      <c r="A267" s="13" t="n">
        <v>42716</v>
      </c>
      <c r="C267" s="14" t="n">
        <v>0.5</v>
      </c>
      <c r="D267" s="14" t="n">
        <v>0.25</v>
      </c>
      <c r="F267" s="14" t="n">
        <v>-0.4</v>
      </c>
      <c r="G267" s="14" t="n">
        <v>0.25</v>
      </c>
      <c r="H267" s="14" t="n">
        <v>0.2125</v>
      </c>
      <c r="I267" s="14" t="n">
        <v>0.197939881133487</v>
      </c>
      <c r="J267" s="14" t="n">
        <v>0.201689931109001</v>
      </c>
      <c r="K267" s="14" t="n">
        <v>0.205339449078768</v>
      </c>
      <c r="L267" s="14" t="n">
        <v>0.220442913505844</v>
      </c>
      <c r="M267" s="14" t="n">
        <v>3.0756</v>
      </c>
      <c r="N267" s="14" t="n">
        <v>3.1377</v>
      </c>
      <c r="O267" s="14" t="n">
        <v>3.1464</v>
      </c>
      <c r="P267" s="14" t="n">
        <v>3.246</v>
      </c>
      <c r="Q267" s="14" t="n">
        <v>0.5</v>
      </c>
      <c r="R267" s="14" t="n">
        <v>0.51</v>
      </c>
      <c r="S267" s="14" t="n">
        <v>13.75</v>
      </c>
    </row>
    <row r="268" customFormat="false" ht="15" hidden="false" customHeight="false" outlineLevel="0" collapsed="false">
      <c r="A268" s="13" t="n">
        <v>42717</v>
      </c>
      <c r="C268" s="14" t="n">
        <v>0.5</v>
      </c>
      <c r="D268" s="14" t="n">
        <v>0.25</v>
      </c>
      <c r="F268" s="14" t="n">
        <v>-0.4</v>
      </c>
      <c r="G268" s="14" t="n">
        <v>0.25</v>
      </c>
      <c r="H268" s="14" t="n">
        <v>0.2163</v>
      </c>
      <c r="I268" s="14" t="n">
        <v>0.201875624556941</v>
      </c>
      <c r="J268" s="14" t="n">
        <v>0.209058458371337</v>
      </c>
      <c r="K268" s="14" t="n">
        <v>0.212758072319397</v>
      </c>
      <c r="L268" s="14" t="n">
        <v>0.230423044118101</v>
      </c>
      <c r="M268" s="14" t="n">
        <v>3.0916</v>
      </c>
      <c r="N268" s="14" t="n">
        <v>3.1498</v>
      </c>
      <c r="O268" s="14" t="n">
        <v>3.1607</v>
      </c>
      <c r="P268" s="14" t="n">
        <v>3.2606</v>
      </c>
      <c r="Q268" s="14" t="n">
        <v>0.5</v>
      </c>
      <c r="R268" s="14" t="n">
        <v>0.5</v>
      </c>
      <c r="S268" s="14" t="n">
        <v>13.75</v>
      </c>
    </row>
    <row r="269" customFormat="false" ht="15" hidden="false" customHeight="false" outlineLevel="0" collapsed="false">
      <c r="A269" s="13" t="n">
        <v>42718</v>
      </c>
      <c r="C269" s="14" t="n">
        <v>0.75</v>
      </c>
      <c r="D269" s="14" t="n">
        <v>0.5</v>
      </c>
      <c r="F269" s="14" t="n">
        <v>-0.4</v>
      </c>
      <c r="G269" s="14" t="n">
        <v>0.25</v>
      </c>
      <c r="H269" s="14" t="n">
        <v>0.2122</v>
      </c>
      <c r="I269" s="14" t="n">
        <v>0.203214898449971</v>
      </c>
      <c r="J269" s="14" t="n">
        <v>0.210243846490238</v>
      </c>
      <c r="K269" s="14" t="n">
        <v>0.216734234370277</v>
      </c>
      <c r="L269" s="14" t="n">
        <v>0.232815226355948</v>
      </c>
      <c r="M269" s="14" t="n">
        <v>3.1072</v>
      </c>
      <c r="N269" s="14" t="n">
        <v>3.1568</v>
      </c>
      <c r="O269" s="14" t="n">
        <v>3.1731</v>
      </c>
      <c r="P269" s="14" t="n">
        <v>3.2741</v>
      </c>
      <c r="Q269" s="14" t="n">
        <v>0.5</v>
      </c>
      <c r="R269" s="14" t="n">
        <v>0.51</v>
      </c>
      <c r="S269" s="14" t="n">
        <v>13.75</v>
      </c>
    </row>
    <row r="270" customFormat="false" ht="15" hidden="false" customHeight="false" outlineLevel="0" collapsed="false">
      <c r="A270" s="13" t="n">
        <v>42719</v>
      </c>
      <c r="C270" s="14" t="n">
        <v>0.75</v>
      </c>
      <c r="D270" s="14" t="n">
        <v>0.5</v>
      </c>
      <c r="F270" s="14" t="n">
        <v>-0.4</v>
      </c>
      <c r="G270" s="14" t="n">
        <v>0.25</v>
      </c>
      <c r="H270" s="14" t="n">
        <v>0.2201</v>
      </c>
      <c r="I270" s="14" t="n">
        <v>0.205424938430189</v>
      </c>
      <c r="J270" s="14" t="n">
        <v>0.213270945972275</v>
      </c>
      <c r="K270" s="14" t="n">
        <v>0.222698133926145</v>
      </c>
      <c r="L270" s="14" t="n">
        <v>0.247924378774409</v>
      </c>
      <c r="M270" s="14" t="n">
        <v>3.1245</v>
      </c>
      <c r="N270" s="14" t="n">
        <v>3.1635</v>
      </c>
      <c r="O270" s="14" t="n">
        <v>3.1842</v>
      </c>
      <c r="P270" s="14" t="n">
        <v>3.2855</v>
      </c>
      <c r="Q270" s="14" t="n">
        <v>0.5</v>
      </c>
      <c r="R270" s="14" t="n">
        <v>0.49</v>
      </c>
      <c r="S270" s="14" t="n">
        <v>13.75</v>
      </c>
    </row>
    <row r="271" customFormat="false" ht="15" hidden="false" customHeight="false" outlineLevel="0" collapsed="false">
      <c r="A271" s="13" t="n">
        <v>42720</v>
      </c>
      <c r="C271" s="14" t="n">
        <v>0.75</v>
      </c>
      <c r="D271" s="14" t="n">
        <v>0.5</v>
      </c>
      <c r="F271" s="14" t="n">
        <v>-0.4</v>
      </c>
      <c r="G271" s="14" t="n">
        <v>0.25</v>
      </c>
      <c r="H271" s="14" t="n">
        <v>0.2144</v>
      </c>
      <c r="I271" s="14" t="n">
        <v>0.204779286320195</v>
      </c>
      <c r="J271" s="14" t="n">
        <v>0.212404971164427</v>
      </c>
      <c r="K271" s="14" t="n">
        <v>0.221697486872829</v>
      </c>
      <c r="L271" s="14" t="n">
        <v>0.244077348164513</v>
      </c>
      <c r="M271" s="14" t="n">
        <v>3.1545</v>
      </c>
      <c r="N271" s="14" t="n">
        <v>3.1774</v>
      </c>
      <c r="O271" s="14" t="n">
        <v>3.1985</v>
      </c>
      <c r="P271" s="14" t="n">
        <v>3.2986</v>
      </c>
      <c r="Q271" s="14" t="n">
        <v>0.5</v>
      </c>
      <c r="R271" s="14" t="n">
        <v>0.49</v>
      </c>
      <c r="S271" s="14" t="n">
        <v>13.75</v>
      </c>
    </row>
    <row r="272" customFormat="false" ht="15" hidden="false" customHeight="false" outlineLevel="0" collapsed="false">
      <c r="A272" s="13" t="n">
        <v>42723</v>
      </c>
      <c r="C272" s="14" t="n">
        <v>0.75</v>
      </c>
      <c r="D272" s="14" t="n">
        <v>0.5</v>
      </c>
      <c r="F272" s="14" t="n">
        <v>-0.4</v>
      </c>
      <c r="G272" s="14" t="n">
        <v>0.25</v>
      </c>
      <c r="H272" s="14" t="n">
        <v>0.2177</v>
      </c>
      <c r="I272" s="14" t="n">
        <v>0.206450352326625</v>
      </c>
      <c r="J272" s="14" t="n">
        <v>0.214155257566003</v>
      </c>
      <c r="K272" s="14" t="n">
        <v>0.219726161356049</v>
      </c>
      <c r="L272" s="14" t="n">
        <v>0.241709221518806</v>
      </c>
      <c r="M272" s="14" t="n">
        <v>3.1695</v>
      </c>
      <c r="N272" s="14" t="n">
        <v>3.1898</v>
      </c>
      <c r="O272" s="14" t="n">
        <v>3.2099</v>
      </c>
      <c r="P272" s="14" t="n">
        <v>3.3059</v>
      </c>
      <c r="Q272" s="14" t="n">
        <v>0.5</v>
      </c>
      <c r="R272" s="14" t="n">
        <v>0.49</v>
      </c>
      <c r="S272" s="14" t="n">
        <v>13.75</v>
      </c>
    </row>
    <row r="273" customFormat="false" ht="15" hidden="false" customHeight="false" outlineLevel="0" collapsed="false">
      <c r="A273" s="13" t="n">
        <v>42724</v>
      </c>
      <c r="C273" s="14" t="n">
        <v>0.75</v>
      </c>
      <c r="D273" s="14" t="n">
        <v>0.5</v>
      </c>
      <c r="F273" s="14" t="n">
        <v>-0.4</v>
      </c>
      <c r="G273" s="14" t="n">
        <v>0.25</v>
      </c>
      <c r="H273" s="14" t="n">
        <v>0.2207</v>
      </c>
      <c r="I273" s="14" t="n">
        <v>0.207198412887816</v>
      </c>
      <c r="J273" s="14" t="n">
        <v>0.214446162954874</v>
      </c>
      <c r="K273" s="14" t="n">
        <v>0.219940541427044</v>
      </c>
      <c r="L273" s="14" t="n">
        <v>0.242250228634484</v>
      </c>
      <c r="M273" s="14" t="n">
        <v>3.2</v>
      </c>
      <c r="N273" s="14" t="n">
        <v>3.204</v>
      </c>
      <c r="O273" s="14" t="n">
        <v>3.222</v>
      </c>
      <c r="P273" s="14" t="n">
        <v>3.3186</v>
      </c>
      <c r="Q273" s="14" t="n">
        <v>0.5</v>
      </c>
      <c r="R273" s="14" t="n">
        <v>0.5</v>
      </c>
      <c r="S273" s="14" t="n">
        <v>13.75</v>
      </c>
    </row>
    <row r="274" customFormat="false" ht="15" hidden="false" customHeight="false" outlineLevel="0" collapsed="false">
      <c r="A274" s="13" t="n">
        <v>42725</v>
      </c>
      <c r="C274" s="14" t="n">
        <v>0.75</v>
      </c>
      <c r="D274" s="14" t="n">
        <v>0.5</v>
      </c>
      <c r="F274" s="14" t="n">
        <v>-0.4</v>
      </c>
      <c r="G274" s="14" t="n">
        <v>0.25</v>
      </c>
      <c r="H274" s="14" t="n">
        <v>0.2203</v>
      </c>
      <c r="I274" s="14" t="n">
        <v>0.207918686883902</v>
      </c>
      <c r="J274" s="14" t="n">
        <v>0.216606944795481</v>
      </c>
      <c r="K274" s="14" t="n">
        <v>0.223401410594205</v>
      </c>
      <c r="L274" s="14" t="n">
        <v>0.247420869179325</v>
      </c>
      <c r="M274" s="14" t="n">
        <v>3.221</v>
      </c>
      <c r="N274" s="14" t="n">
        <v>3.2164</v>
      </c>
      <c r="O274" s="14" t="n">
        <v>3.2312</v>
      </c>
      <c r="P274" s="14" t="n">
        <v>3.3349</v>
      </c>
      <c r="Q274" s="14" t="n">
        <v>0.5</v>
      </c>
      <c r="R274" s="14" t="n">
        <v>0.48</v>
      </c>
      <c r="S274" s="14" t="n">
        <v>13.75</v>
      </c>
    </row>
    <row r="275" customFormat="false" ht="15" hidden="false" customHeight="false" outlineLevel="0" collapsed="false">
      <c r="A275" s="13" t="n">
        <v>42726</v>
      </c>
      <c r="C275" s="14" t="n">
        <v>0.75</v>
      </c>
      <c r="D275" s="14" t="n">
        <v>0.5</v>
      </c>
      <c r="F275" s="14" t="n">
        <v>-0.4</v>
      </c>
      <c r="G275" s="14" t="n">
        <v>0.25</v>
      </c>
      <c r="H275" s="14" t="n">
        <v>0.2137</v>
      </c>
      <c r="I275" s="14" t="n">
        <v>0.209620768881</v>
      </c>
      <c r="J275" s="14" t="n">
        <v>0.218026744179325</v>
      </c>
      <c r="K275" s="14" t="n">
        <v>0.225821767349275</v>
      </c>
      <c r="L275" s="14" t="n">
        <v>0.250581720416811</v>
      </c>
      <c r="M275" s="14" t="n">
        <v>3.2371</v>
      </c>
      <c r="N275" s="14" t="n">
        <v>3.2267</v>
      </c>
      <c r="O275" s="14" t="n">
        <v>3.2442</v>
      </c>
      <c r="P275" s="14" t="n">
        <v>3.3455</v>
      </c>
      <c r="Q275" s="14" t="n">
        <v>0.5</v>
      </c>
      <c r="R275" s="14" t="n">
        <v>0.48</v>
      </c>
      <c r="S275" s="14" t="n">
        <v>13.75</v>
      </c>
    </row>
    <row r="276" customFormat="false" ht="15" hidden="false" customHeight="false" outlineLevel="0" collapsed="false">
      <c r="A276" s="13" t="n">
        <v>42727</v>
      </c>
      <c r="C276" s="14" t="n">
        <v>0.75</v>
      </c>
      <c r="D276" s="14" t="n">
        <v>0.5</v>
      </c>
      <c r="F276" s="14" t="n">
        <v>-0.4</v>
      </c>
      <c r="G276" s="14" t="n">
        <v>0.25</v>
      </c>
      <c r="H276" s="14" t="n">
        <v>0.2151</v>
      </c>
      <c r="I276" s="14" t="n">
        <v>0.20814139419097</v>
      </c>
      <c r="J276" s="14" t="n">
        <v>0.215380704023579</v>
      </c>
      <c r="K276" s="14" t="n">
        <v>0.223093927734714</v>
      </c>
      <c r="L276" s="14" t="n">
        <v>0.24858641647746</v>
      </c>
      <c r="M276" s="14" t="n">
        <v>3.2558</v>
      </c>
      <c r="N276" s="14" t="n">
        <v>3.2337</v>
      </c>
      <c r="O276" s="14" t="n">
        <v>3.2515</v>
      </c>
      <c r="P276" s="14" t="n">
        <v>3.3546</v>
      </c>
      <c r="Q276" s="14" t="n">
        <v>0.5</v>
      </c>
      <c r="R276" s="14" t="n">
        <v>0.48</v>
      </c>
      <c r="S276" s="14" t="n">
        <v>13.75</v>
      </c>
    </row>
    <row r="277" customFormat="false" ht="15" hidden="false" customHeight="false" outlineLevel="0" collapsed="false">
      <c r="A277" s="13" t="n">
        <v>42730</v>
      </c>
      <c r="C277" s="14" t="n">
        <v>0.75</v>
      </c>
      <c r="D277" s="14" t="n">
        <v>0.5</v>
      </c>
      <c r="F277" s="14" t="n">
        <v>-0.4</v>
      </c>
      <c r="M277" s="14" t="n">
        <v>3.2716</v>
      </c>
      <c r="N277" s="14" t="n">
        <v>3.2414</v>
      </c>
      <c r="O277" s="14" t="n">
        <v>3.2672</v>
      </c>
      <c r="P277" s="14" t="n">
        <v>3.3575</v>
      </c>
      <c r="S277" s="14" t="n">
        <v>13.75</v>
      </c>
    </row>
    <row r="278" customFormat="false" ht="15" hidden="false" customHeight="false" outlineLevel="0" collapsed="false">
      <c r="A278" s="13" t="n">
        <v>42731</v>
      </c>
      <c r="C278" s="14" t="n">
        <v>0.75</v>
      </c>
      <c r="D278" s="14" t="n">
        <v>0.5</v>
      </c>
      <c r="F278" s="14" t="n">
        <v>-0.4</v>
      </c>
      <c r="M278" s="14" t="n">
        <v>3.2842</v>
      </c>
      <c r="N278" s="14" t="n">
        <v>3.2512</v>
      </c>
      <c r="O278" s="14" t="n">
        <v>3.2718</v>
      </c>
      <c r="P278" s="14" t="n">
        <v>3.3598</v>
      </c>
      <c r="Q278" s="14" t="n">
        <v>0.5</v>
      </c>
      <c r="R278" s="14" t="n">
        <v>0.49</v>
      </c>
      <c r="S278" s="14" t="n">
        <v>13.75</v>
      </c>
    </row>
    <row r="279" customFormat="false" ht="15" hidden="false" customHeight="false" outlineLevel="0" collapsed="false">
      <c r="A279" s="13" t="n">
        <v>42732</v>
      </c>
      <c r="C279" s="14" t="n">
        <v>0.75</v>
      </c>
      <c r="D279" s="14" t="n">
        <v>0.5</v>
      </c>
      <c r="F279" s="14" t="n">
        <v>-0.4</v>
      </c>
      <c r="G279" s="14" t="n">
        <v>0.25</v>
      </c>
      <c r="H279" s="14" t="n">
        <v>0.2185</v>
      </c>
      <c r="I279" s="14" t="n">
        <v>0.211260235538221</v>
      </c>
      <c r="J279" s="14" t="n">
        <v>0.215464975509522</v>
      </c>
      <c r="K279" s="14" t="n">
        <v>0.217146517135848</v>
      </c>
      <c r="L279" s="14" t="n">
        <v>0.236033999266523</v>
      </c>
      <c r="M279" s="14" t="n">
        <v>3.2945</v>
      </c>
      <c r="N279" s="14" t="n">
        <v>3.2592</v>
      </c>
      <c r="O279" s="14" t="n">
        <v>3.2762</v>
      </c>
      <c r="P279" s="14" t="n">
        <v>3.361</v>
      </c>
      <c r="Q279" s="14" t="n">
        <v>0.5</v>
      </c>
      <c r="R279" s="14" t="n">
        <v>0.48</v>
      </c>
      <c r="S279" s="14" t="n">
        <v>13.75</v>
      </c>
    </row>
    <row r="280" customFormat="false" ht="15" hidden="false" customHeight="false" outlineLevel="0" collapsed="false">
      <c r="A280" s="13" t="n">
        <v>42733</v>
      </c>
      <c r="C280" s="14" t="n">
        <v>0.75</v>
      </c>
      <c r="D280" s="14" t="n">
        <v>0.5</v>
      </c>
      <c r="F280" s="14" t="n">
        <v>-0.4</v>
      </c>
      <c r="G280" s="14" t="n">
        <v>0.25</v>
      </c>
      <c r="H280" s="14" t="n">
        <v>0.215</v>
      </c>
      <c r="I280" s="14" t="n">
        <v>0.209286793815225</v>
      </c>
      <c r="J280" s="14" t="n">
        <v>0.214270907467404</v>
      </c>
      <c r="K280" s="14" t="n">
        <v>0.220575067521619</v>
      </c>
      <c r="L280" s="14" t="n">
        <v>0.230550101612491</v>
      </c>
      <c r="M280" s="14" t="n">
        <v>3.2988</v>
      </c>
      <c r="N280" s="14" t="n">
        <v>3.2651</v>
      </c>
      <c r="O280" s="14" t="n">
        <v>3.2835</v>
      </c>
      <c r="P280" s="14" t="n">
        <v>3.3675</v>
      </c>
      <c r="Q280" s="14" t="n">
        <v>0.5</v>
      </c>
      <c r="R280" s="14" t="n">
        <v>0.48</v>
      </c>
      <c r="S280" s="14" t="n">
        <v>13.75</v>
      </c>
    </row>
    <row r="281" customFormat="false" ht="15" hidden="false" customHeight="false" outlineLevel="0" collapsed="false">
      <c r="A281" s="13" t="n">
        <v>42734</v>
      </c>
      <c r="C281" s="14" t="n">
        <v>0.75</v>
      </c>
      <c r="D281" s="14" t="n">
        <v>0.5</v>
      </c>
      <c r="F281" s="14" t="n">
        <v>-0.4</v>
      </c>
      <c r="G281" s="14" t="n">
        <v>0.25</v>
      </c>
      <c r="H281" s="14" t="n">
        <v>0.1618</v>
      </c>
      <c r="I281" s="14" t="n">
        <v>0.211312606459352</v>
      </c>
      <c r="J281" s="14" t="n">
        <v>0.215550226172534</v>
      </c>
      <c r="K281" s="14" t="n">
        <v>0.218685499041361</v>
      </c>
      <c r="L281" s="14" t="n">
        <v>0.225528142135719</v>
      </c>
      <c r="M281" s="14" t="n">
        <v>3.3059</v>
      </c>
      <c r="N281" s="14" t="n">
        <v>3.2726</v>
      </c>
      <c r="O281" s="14" t="n">
        <v>3.2864</v>
      </c>
      <c r="P281" s="14" t="n">
        <v>3.3728</v>
      </c>
      <c r="Q281" s="14" t="n">
        <v>0.5</v>
      </c>
      <c r="R281" s="14" t="n">
        <v>0.93</v>
      </c>
      <c r="S281" s="14" t="n">
        <v>13.75</v>
      </c>
    </row>
    <row r="282" customFormat="false" ht="15" hidden="false" customHeight="false" outlineLevel="0" collapsed="false">
      <c r="A282" s="13" t="n">
        <v>42737</v>
      </c>
      <c r="C282" s="14" t="n">
        <v>0.75</v>
      </c>
      <c r="D282" s="14" t="n">
        <v>0.5</v>
      </c>
      <c r="F282" s="14" t="n">
        <v>-0.4</v>
      </c>
      <c r="Q282" s="14" t="n">
        <v>0.5</v>
      </c>
      <c r="R282" s="14" t="n">
        <v>0.48</v>
      </c>
      <c r="S282" s="14" t="n">
        <v>13.75</v>
      </c>
    </row>
    <row r="283" customFormat="false" ht="15" hidden="false" customHeight="false" outlineLevel="0" collapsed="false">
      <c r="A283" s="13" t="n">
        <v>42738</v>
      </c>
      <c r="C283" s="14" t="n">
        <v>0.75</v>
      </c>
      <c r="D283" s="14" t="n">
        <v>0.5</v>
      </c>
      <c r="F283" s="14" t="n">
        <v>-0.4</v>
      </c>
      <c r="G283" s="14" t="n">
        <v>0.25</v>
      </c>
      <c r="H283" s="14" t="n">
        <v>0.2177</v>
      </c>
      <c r="I283" s="14" t="n">
        <v>0.217612739536087</v>
      </c>
      <c r="J283" s="14" t="n">
        <v>0.220847708736918</v>
      </c>
      <c r="K283" s="14" t="n">
        <v>0.225822361952119</v>
      </c>
      <c r="L283" s="14" t="n">
        <v>0.233205940909408</v>
      </c>
      <c r="M283" s="14" t="n">
        <v>3.3126</v>
      </c>
      <c r="N283" s="14" t="n">
        <v>3.2813</v>
      </c>
      <c r="O283" s="14" t="n">
        <v>3.3037</v>
      </c>
      <c r="P283" s="14" t="n">
        <v>3.3833</v>
      </c>
      <c r="Q283" s="14" t="n">
        <v>0.5</v>
      </c>
      <c r="R283" s="14" t="n">
        <v>0.48</v>
      </c>
      <c r="S283" s="14" t="n">
        <v>13.75</v>
      </c>
    </row>
    <row r="284" customFormat="false" ht="15" hidden="false" customHeight="false" outlineLevel="0" collapsed="false">
      <c r="A284" s="13" t="n">
        <v>42739</v>
      </c>
      <c r="C284" s="14" t="n">
        <v>0.75</v>
      </c>
      <c r="D284" s="14" t="n">
        <v>0.5</v>
      </c>
      <c r="F284" s="14" t="n">
        <v>-0.4</v>
      </c>
      <c r="G284" s="14" t="n">
        <v>0.25</v>
      </c>
      <c r="H284" s="14" t="n">
        <v>0.2143</v>
      </c>
      <c r="I284" s="14" t="n">
        <v>0.216835291667713</v>
      </c>
      <c r="J284" s="14" t="n">
        <v>0.221179994665509</v>
      </c>
      <c r="K284" s="14" t="n">
        <v>0.227665752987481</v>
      </c>
      <c r="L284" s="14" t="n">
        <v>0.243573535860498</v>
      </c>
      <c r="M284" s="14" t="n">
        <v>3.3223</v>
      </c>
      <c r="N284" s="14" t="n">
        <v>3.2912</v>
      </c>
      <c r="O284" s="14" t="n">
        <v>3.3094</v>
      </c>
      <c r="P284" s="14" t="n">
        <v>3.3904</v>
      </c>
      <c r="Q284" s="14" t="n">
        <v>0.5</v>
      </c>
      <c r="R284" s="14" t="n">
        <v>0.48</v>
      </c>
      <c r="S284" s="14" t="n">
        <v>13.75</v>
      </c>
    </row>
    <row r="285" customFormat="false" ht="15" hidden="false" customHeight="false" outlineLevel="0" collapsed="false">
      <c r="A285" s="13" t="n">
        <v>42740</v>
      </c>
      <c r="C285" s="14" t="n">
        <v>0.75</v>
      </c>
      <c r="D285" s="14" t="n">
        <v>0.5</v>
      </c>
      <c r="F285" s="14" t="n">
        <v>-0.4</v>
      </c>
      <c r="G285" s="14" t="n">
        <v>0.25</v>
      </c>
      <c r="H285" s="14" t="n">
        <v>0.2132</v>
      </c>
      <c r="I285" s="14" t="n">
        <v>0.216469619518212</v>
      </c>
      <c r="J285" s="14" t="n">
        <v>0.218105331614918</v>
      </c>
      <c r="K285" s="14" t="n">
        <v>0.22150770992735</v>
      </c>
      <c r="L285" s="14" t="n">
        <v>0.231956369926727</v>
      </c>
      <c r="M285" s="14" t="n">
        <v>3.3578</v>
      </c>
      <c r="N285" s="14" t="n">
        <v>3.3384</v>
      </c>
      <c r="O285" s="14" t="n">
        <v>3.345</v>
      </c>
      <c r="P285" s="14" t="n">
        <v>3.4311</v>
      </c>
      <c r="Q285" s="14" t="n">
        <v>0.5</v>
      </c>
      <c r="R285" s="14" t="n">
        <v>0.49</v>
      </c>
      <c r="S285" s="14" t="n">
        <v>13.75</v>
      </c>
    </row>
    <row r="286" customFormat="false" ht="15" hidden="false" customHeight="false" outlineLevel="0" collapsed="false">
      <c r="A286" s="13" t="n">
        <v>42741</v>
      </c>
      <c r="C286" s="14" t="n">
        <v>0.75</v>
      </c>
      <c r="D286" s="14" t="n">
        <v>0.5</v>
      </c>
      <c r="F286" s="14" t="n">
        <v>-0.4</v>
      </c>
      <c r="G286" s="14" t="n">
        <v>0.25</v>
      </c>
      <c r="H286" s="14" t="n">
        <v>0.2126</v>
      </c>
      <c r="I286" s="14" t="n">
        <v>0.216100135865717</v>
      </c>
      <c r="J286" s="14" t="n">
        <v>0.219493293946022</v>
      </c>
      <c r="K286" s="14" t="n">
        <v>0.225400024035518</v>
      </c>
      <c r="L286" s="14" t="n">
        <v>0.243746464517215</v>
      </c>
      <c r="M286" s="14" t="n">
        <v>3.4101</v>
      </c>
      <c r="N286" s="14" t="n">
        <v>3.4388</v>
      </c>
      <c r="O286" s="14" t="n">
        <v>3.438</v>
      </c>
      <c r="P286" s="14" t="n">
        <v>3.4882</v>
      </c>
      <c r="Q286" s="14" t="n">
        <v>0.5</v>
      </c>
      <c r="R286" s="14" t="n">
        <v>0.49</v>
      </c>
      <c r="S286" s="14" t="n">
        <v>13.75</v>
      </c>
    </row>
    <row r="287" customFormat="false" ht="15" hidden="false" customHeight="false" outlineLevel="0" collapsed="false">
      <c r="A287" s="13" t="n">
        <v>42744</v>
      </c>
      <c r="C287" s="14" t="n">
        <v>0.75</v>
      </c>
      <c r="D287" s="14" t="n">
        <v>0.5</v>
      </c>
      <c r="F287" s="14" t="n">
        <v>-0.4</v>
      </c>
      <c r="G287" s="14" t="n">
        <v>0.25</v>
      </c>
      <c r="H287" s="14" t="n">
        <v>0.214</v>
      </c>
      <c r="I287" s="14" t="n">
        <v>0.21630556379872</v>
      </c>
      <c r="J287" s="14" t="n">
        <v>0.219341880925547</v>
      </c>
      <c r="K287" s="14" t="n">
        <v>0.225694943342348</v>
      </c>
      <c r="L287" s="14" t="n">
        <v>0.240524295155724</v>
      </c>
      <c r="M287" s="14" t="n">
        <v>3.4738</v>
      </c>
      <c r="N287" s="14" t="n">
        <v>3.5152</v>
      </c>
      <c r="O287" s="14" t="n">
        <v>3.5093</v>
      </c>
      <c r="P287" s="14" t="n">
        <v>3.5329</v>
      </c>
      <c r="Q287" s="14" t="n">
        <v>0.5</v>
      </c>
      <c r="R287" s="14" t="n">
        <v>0.48</v>
      </c>
      <c r="S287" s="14" t="n">
        <v>13.75</v>
      </c>
    </row>
    <row r="288" customFormat="false" ht="15" hidden="false" customHeight="false" outlineLevel="0" collapsed="false">
      <c r="A288" s="13" t="n">
        <v>42745</v>
      </c>
      <c r="C288" s="14" t="n">
        <v>0.75</v>
      </c>
      <c r="D288" s="14" t="n">
        <v>0.5</v>
      </c>
      <c r="F288" s="14" t="n">
        <v>-0.4</v>
      </c>
      <c r="G288" s="14" t="n">
        <v>0.25</v>
      </c>
      <c r="H288" s="14" t="n">
        <v>0.2122</v>
      </c>
      <c r="I288" s="14" t="n">
        <v>0.215684780172159</v>
      </c>
      <c r="J288" s="14" t="n">
        <v>0.217320826046759</v>
      </c>
      <c r="K288" s="14" t="n">
        <v>0.223493283949081</v>
      </c>
      <c r="L288" s="14" t="n">
        <v>0.240835020229499</v>
      </c>
      <c r="M288" s="14" t="n">
        <v>3.5314</v>
      </c>
      <c r="N288" s="14" t="n">
        <v>3.5526</v>
      </c>
      <c r="O288" s="14" t="n">
        <v>3.5481</v>
      </c>
      <c r="P288" s="14" t="n">
        <v>3.5533</v>
      </c>
      <c r="Q288" s="14" t="n">
        <v>0.5</v>
      </c>
      <c r="R288" s="14" t="n">
        <v>0.48</v>
      </c>
      <c r="S288" s="14" t="n">
        <v>13.75</v>
      </c>
    </row>
    <row r="289" customFormat="false" ht="15" hidden="false" customHeight="false" outlineLevel="0" collapsed="false">
      <c r="A289" s="13" t="n">
        <v>42746</v>
      </c>
      <c r="C289" s="14" t="n">
        <v>0.75</v>
      </c>
      <c r="D289" s="14" t="n">
        <v>0.5</v>
      </c>
      <c r="F289" s="14" t="n">
        <v>-0.4</v>
      </c>
      <c r="G289" s="14" t="n">
        <v>0.25</v>
      </c>
      <c r="H289" s="14" t="n">
        <v>0.2113</v>
      </c>
      <c r="I289" s="14" t="n">
        <v>0.214943558523828</v>
      </c>
      <c r="J289" s="14" t="n">
        <v>0.216593380005539</v>
      </c>
      <c r="K289" s="14" t="n">
        <v>0.221259996185221</v>
      </c>
      <c r="L289" s="14" t="n">
        <v>0.239817477619259</v>
      </c>
      <c r="M289" s="14" t="n">
        <v>3.5662</v>
      </c>
      <c r="N289" s="14" t="n">
        <v>3.5853</v>
      </c>
      <c r="O289" s="14" t="n">
        <v>3.5809</v>
      </c>
      <c r="P289" s="14" t="n">
        <v>3.5674</v>
      </c>
      <c r="Q289" s="14" t="n">
        <v>0.5</v>
      </c>
      <c r="R289" s="14" t="n">
        <v>0.49</v>
      </c>
      <c r="S289" s="14" t="n">
        <v>13.75</v>
      </c>
    </row>
    <row r="290" customFormat="false" ht="15" hidden="false" customHeight="false" outlineLevel="0" collapsed="false">
      <c r="A290" s="13" t="n">
        <v>42747</v>
      </c>
      <c r="C290" s="14" t="n">
        <v>0.75</v>
      </c>
      <c r="D290" s="14" t="n">
        <v>0.5</v>
      </c>
      <c r="F290" s="14" t="n">
        <v>-0.4</v>
      </c>
      <c r="G290" s="14" t="n">
        <v>0.25</v>
      </c>
      <c r="H290" s="14" t="n">
        <v>0.2128</v>
      </c>
      <c r="I290" s="14" t="n">
        <v>0.213359651001602</v>
      </c>
      <c r="J290" s="14" t="n">
        <v>0.215406925260889</v>
      </c>
      <c r="K290" s="14" t="n">
        <v>0.221596835375262</v>
      </c>
      <c r="L290" s="14" t="n">
        <v>0.240312980098917</v>
      </c>
      <c r="M290" s="14" t="n">
        <v>3.6387</v>
      </c>
      <c r="N290" s="14" t="n">
        <v>3.6536</v>
      </c>
      <c r="O290" s="14" t="n">
        <v>3.6201</v>
      </c>
      <c r="P290" s="14" t="n">
        <v>3.5838</v>
      </c>
      <c r="Q290" s="14" t="n">
        <v>0.5</v>
      </c>
      <c r="R290" s="14" t="n">
        <v>0.5</v>
      </c>
      <c r="S290" s="14" t="n">
        <v>13</v>
      </c>
    </row>
    <row r="291" customFormat="false" ht="15" hidden="false" customHeight="false" outlineLevel="0" collapsed="false">
      <c r="A291" s="13" t="n">
        <v>42748</v>
      </c>
      <c r="C291" s="14" t="n">
        <v>0.75</v>
      </c>
      <c r="D291" s="14" t="n">
        <v>0.5</v>
      </c>
      <c r="F291" s="14" t="n">
        <v>-0.4</v>
      </c>
      <c r="G291" s="14" t="n">
        <v>0.25</v>
      </c>
      <c r="H291" s="14" t="n">
        <v>0.2127</v>
      </c>
      <c r="I291" s="14" t="n">
        <v>0.212152465916971</v>
      </c>
      <c r="J291" s="14" t="n">
        <v>0.215860181971077</v>
      </c>
      <c r="K291" s="14" t="n">
        <v>0.223074269451858</v>
      </c>
      <c r="L291" s="14" t="n">
        <v>0.242821090876819</v>
      </c>
      <c r="M291" s="14" t="n">
        <v>3.6718</v>
      </c>
      <c r="N291" s="14" t="n">
        <v>3.6874</v>
      </c>
      <c r="O291" s="14" t="n">
        <v>3.6461</v>
      </c>
      <c r="P291" s="14" t="n">
        <v>3.6014</v>
      </c>
      <c r="Q291" s="14" t="n">
        <v>0.5</v>
      </c>
      <c r="R291" s="14" t="n">
        <v>0.5</v>
      </c>
      <c r="S291" s="14" t="n">
        <v>13</v>
      </c>
    </row>
    <row r="292" customFormat="false" ht="15" hidden="false" customHeight="false" outlineLevel="0" collapsed="false">
      <c r="A292" s="13" t="n">
        <v>42751</v>
      </c>
      <c r="C292" s="14" t="n">
        <v>0.75</v>
      </c>
      <c r="D292" s="14" t="n">
        <v>0.5</v>
      </c>
      <c r="F292" s="14" t="n">
        <v>-0.4</v>
      </c>
      <c r="G292" s="14" t="n">
        <v>0.25</v>
      </c>
      <c r="H292" s="14" t="n">
        <v>0.2125</v>
      </c>
      <c r="I292" s="14" t="n">
        <v>0.213129122811979</v>
      </c>
      <c r="J292" s="14" t="n">
        <v>0.215440928982337</v>
      </c>
      <c r="K292" s="14" t="n">
        <v>0.221371399030209</v>
      </c>
      <c r="L292" s="14" t="n">
        <v>0.243114297071873</v>
      </c>
      <c r="M292" s="14" t="n">
        <v>3.6852</v>
      </c>
      <c r="N292" s="14" t="n">
        <v>3.7018</v>
      </c>
      <c r="O292" s="14" t="n">
        <v>3.6617</v>
      </c>
      <c r="P292" s="14" t="n">
        <v>3.6102</v>
      </c>
      <c r="Q292" s="14" t="n">
        <v>0.5</v>
      </c>
      <c r="R292" s="14" t="n">
        <v>0.49</v>
      </c>
      <c r="S292" s="14" t="n">
        <v>13</v>
      </c>
    </row>
    <row r="293" customFormat="false" ht="15" hidden="false" customHeight="false" outlineLevel="0" collapsed="false">
      <c r="A293" s="13" t="n">
        <v>42752</v>
      </c>
      <c r="C293" s="14" t="n">
        <v>0.75</v>
      </c>
      <c r="D293" s="14" t="n">
        <v>0.5</v>
      </c>
      <c r="F293" s="14" t="n">
        <v>-0.4</v>
      </c>
      <c r="G293" s="14" t="n">
        <v>0.25</v>
      </c>
      <c r="H293" s="14" t="n">
        <v>0.2129</v>
      </c>
      <c r="I293" s="14" t="n">
        <v>0.2161455445521</v>
      </c>
      <c r="J293" s="14" t="n">
        <v>0.220189449223547</v>
      </c>
      <c r="K293" s="14" t="n">
        <v>0.22613417042998</v>
      </c>
      <c r="L293" s="14" t="n">
        <v>0.253376415925816</v>
      </c>
      <c r="M293" s="14" t="n">
        <v>3.7116</v>
      </c>
      <c r="N293" s="14" t="n">
        <v>3.7222</v>
      </c>
      <c r="O293" s="14" t="n">
        <v>3.6812</v>
      </c>
      <c r="P293" s="14" t="n">
        <v>3.6321</v>
      </c>
      <c r="Q293" s="14" t="n">
        <v>0.5</v>
      </c>
      <c r="R293" s="14" t="n">
        <v>0.5</v>
      </c>
      <c r="S293" s="14" t="n">
        <v>13</v>
      </c>
    </row>
    <row r="294" customFormat="false" ht="15" hidden="false" customHeight="false" outlineLevel="0" collapsed="false">
      <c r="A294" s="13" t="n">
        <v>42753</v>
      </c>
      <c r="C294" s="14" t="n">
        <v>0.75</v>
      </c>
      <c r="D294" s="14" t="n">
        <v>0.5</v>
      </c>
      <c r="F294" s="14" t="n">
        <v>-0.4</v>
      </c>
      <c r="G294" s="14" t="n">
        <v>0.25</v>
      </c>
      <c r="H294" s="14" t="n">
        <v>0.2139</v>
      </c>
      <c r="I294" s="14" t="n">
        <v>0.213976018863792</v>
      </c>
      <c r="J294" s="14" t="n">
        <v>0.215665781267232</v>
      </c>
      <c r="K294" s="14" t="n">
        <v>0.222121945881191</v>
      </c>
      <c r="L294" s="14" t="n">
        <v>0.250718060657431</v>
      </c>
      <c r="M294" s="14" t="n">
        <v>3.7502</v>
      </c>
      <c r="N294" s="14" t="n">
        <v>3.7491</v>
      </c>
      <c r="O294" s="14" t="n">
        <v>3.6982</v>
      </c>
      <c r="P294" s="14" t="n">
        <v>3.6513</v>
      </c>
      <c r="Q294" s="14" t="n">
        <v>0.5</v>
      </c>
      <c r="R294" s="14" t="n">
        <v>0.49</v>
      </c>
      <c r="S294" s="14" t="n">
        <v>13</v>
      </c>
    </row>
    <row r="295" customFormat="false" ht="15" hidden="false" customHeight="false" outlineLevel="0" collapsed="false">
      <c r="A295" s="13" t="n">
        <v>42754</v>
      </c>
      <c r="C295" s="14" t="n">
        <v>0.75</v>
      </c>
      <c r="D295" s="14" t="n">
        <v>0.5</v>
      </c>
      <c r="F295" s="14" t="n">
        <v>-0.4</v>
      </c>
      <c r="G295" s="14" t="n">
        <v>0.25</v>
      </c>
      <c r="H295" s="14" t="n">
        <v>0.2139</v>
      </c>
      <c r="I295" s="14" t="n">
        <v>0.21379024180171</v>
      </c>
      <c r="J295" s="14" t="n">
        <v>0.216148622038075</v>
      </c>
      <c r="K295" s="14" t="n">
        <v>0.22545993006744</v>
      </c>
      <c r="L295" s="14" t="n">
        <v>0.260278317996609</v>
      </c>
      <c r="M295" s="14" t="n">
        <v>3.7951</v>
      </c>
      <c r="N295" s="14" t="n">
        <v>3.803</v>
      </c>
      <c r="O295" s="14" t="n">
        <v>3.7369</v>
      </c>
      <c r="P295" s="14" t="n">
        <v>3.6602</v>
      </c>
      <c r="Q295" s="14" t="n">
        <v>0.5</v>
      </c>
      <c r="R295" s="14" t="n">
        <v>0.49</v>
      </c>
      <c r="S295" s="14" t="n">
        <v>13</v>
      </c>
    </row>
    <row r="296" customFormat="false" ht="15" hidden="false" customHeight="false" outlineLevel="0" collapsed="false">
      <c r="A296" s="13" t="n">
        <v>42755</v>
      </c>
      <c r="C296" s="14" t="n">
        <v>0.75</v>
      </c>
      <c r="D296" s="14" t="n">
        <v>0.5</v>
      </c>
      <c r="F296" s="14" t="n">
        <v>-0.4</v>
      </c>
      <c r="G296" s="14" t="n">
        <v>0.25</v>
      </c>
      <c r="H296" s="14" t="n">
        <v>0.2154</v>
      </c>
      <c r="I296" s="14" t="n">
        <v>0.213727419746851</v>
      </c>
      <c r="J296" s="14" t="n">
        <v>0.21696077721236</v>
      </c>
      <c r="K296" s="14" t="n">
        <v>0.230659778442238</v>
      </c>
      <c r="L296" s="14" t="n">
        <v>0.275361540541284</v>
      </c>
      <c r="M296" s="14" t="n">
        <v>3.8196</v>
      </c>
      <c r="N296" s="14" t="n">
        <v>3.8213</v>
      </c>
      <c r="O296" s="14" t="n">
        <v>3.7427</v>
      </c>
      <c r="P296" s="14" t="n">
        <v>3.6691</v>
      </c>
      <c r="Q296" s="14" t="n">
        <v>0.5</v>
      </c>
      <c r="R296" s="14" t="n">
        <v>0.49</v>
      </c>
      <c r="S296" s="14" t="n">
        <v>13</v>
      </c>
    </row>
    <row r="297" customFormat="false" ht="15" hidden="false" customHeight="false" outlineLevel="0" collapsed="false">
      <c r="A297" s="13" t="n">
        <v>42757</v>
      </c>
      <c r="C297" s="14" t="n">
        <v>0.75</v>
      </c>
      <c r="D297" s="14" t="n">
        <v>0.5</v>
      </c>
      <c r="F297" s="14" t="n">
        <v>-0.4</v>
      </c>
      <c r="M297" s="14" t="n">
        <v>3.808</v>
      </c>
      <c r="N297" s="14" t="n">
        <v>3.8301</v>
      </c>
      <c r="O297" s="14" t="n">
        <v>3.7628</v>
      </c>
      <c r="P297" s="14" t="n">
        <v>3.677</v>
      </c>
      <c r="S297" s="14" t="n">
        <v>13</v>
      </c>
    </row>
    <row r="298" customFormat="false" ht="15" hidden="false" customHeight="false" outlineLevel="0" collapsed="false">
      <c r="A298" s="13" t="n">
        <v>42758</v>
      </c>
      <c r="C298" s="14" t="n">
        <v>0.75</v>
      </c>
      <c r="D298" s="14" t="n">
        <v>0.5</v>
      </c>
      <c r="F298" s="14" t="n">
        <v>-0.4</v>
      </c>
      <c r="G298" s="14" t="n">
        <v>0.25</v>
      </c>
      <c r="H298" s="14" t="n">
        <v>0.2152</v>
      </c>
      <c r="I298" s="14" t="n">
        <v>0.214112036106653</v>
      </c>
      <c r="J298" s="14" t="n">
        <v>0.216427836360397</v>
      </c>
      <c r="K298" s="14" t="n">
        <v>0.227712077024164</v>
      </c>
      <c r="L298" s="14" t="n">
        <v>0.26427682964375</v>
      </c>
      <c r="M298" s="14" t="n">
        <v>3.8118</v>
      </c>
      <c r="N298" s="14" t="n">
        <v>3.8401</v>
      </c>
      <c r="O298" s="14" t="n">
        <v>3.774</v>
      </c>
      <c r="P298" s="14" t="n">
        <v>3.6847</v>
      </c>
      <c r="Q298" s="14" t="n">
        <v>0.5</v>
      </c>
      <c r="R298" s="14" t="n">
        <v>0.5</v>
      </c>
      <c r="S298" s="14" t="n">
        <v>13</v>
      </c>
    </row>
    <row r="299" customFormat="false" ht="15" hidden="false" customHeight="false" outlineLevel="0" collapsed="false">
      <c r="A299" s="13" t="n">
        <v>42759</v>
      </c>
      <c r="C299" s="14" t="n">
        <v>0.75</v>
      </c>
      <c r="D299" s="14" t="n">
        <v>0.5</v>
      </c>
      <c r="F299" s="14" t="n">
        <v>-0.4</v>
      </c>
      <c r="G299" s="14" t="n">
        <v>0.25</v>
      </c>
      <c r="H299" s="14" t="n">
        <v>0.2131</v>
      </c>
      <c r="I299" s="14" t="n">
        <v>0.215349690777369</v>
      </c>
      <c r="J299" s="14" t="n">
        <v>0.218101778607033</v>
      </c>
      <c r="K299" s="14" t="n">
        <v>0.228464918961365</v>
      </c>
      <c r="L299" s="14" t="n">
        <v>0.263676754912938</v>
      </c>
      <c r="M299" s="14" t="n">
        <v>3.8142</v>
      </c>
      <c r="N299" s="14" t="n">
        <v>3.8401</v>
      </c>
      <c r="O299" s="14" t="n">
        <v>3.7802</v>
      </c>
      <c r="P299" s="14" t="n">
        <v>3.6905</v>
      </c>
      <c r="Q299" s="14" t="n">
        <v>0.5</v>
      </c>
      <c r="R299" s="14" t="n">
        <v>0.51</v>
      </c>
      <c r="S299" s="14" t="n">
        <v>13</v>
      </c>
    </row>
    <row r="300" customFormat="false" ht="15" hidden="false" customHeight="false" outlineLevel="0" collapsed="false">
      <c r="A300" s="13" t="n">
        <v>42760</v>
      </c>
      <c r="C300" s="14" t="n">
        <v>0.75</v>
      </c>
      <c r="D300" s="14" t="n">
        <v>0.5</v>
      </c>
      <c r="F300" s="14" t="n">
        <v>-0.4</v>
      </c>
      <c r="G300" s="14" t="n">
        <v>0.25</v>
      </c>
      <c r="H300" s="14" t="n">
        <v>0.2138</v>
      </c>
      <c r="I300" s="14" t="n">
        <v>0.21588444503566</v>
      </c>
      <c r="J300" s="14" t="n">
        <v>0.219037939705202</v>
      </c>
      <c r="K300" s="14" t="n">
        <v>0.231387524175125</v>
      </c>
      <c r="L300" s="14" t="n">
        <v>0.273737499523658</v>
      </c>
      <c r="M300" s="14" t="n">
        <v>3.8295</v>
      </c>
      <c r="N300" s="14" t="n">
        <v>3.8551</v>
      </c>
      <c r="O300" s="14" t="n">
        <v>3.8146</v>
      </c>
      <c r="P300" s="14" t="n">
        <v>3.7136</v>
      </c>
      <c r="Q300" s="14" t="n">
        <v>0.5</v>
      </c>
      <c r="R300" s="14" t="n">
        <v>0.5</v>
      </c>
      <c r="S300" s="14" t="n">
        <v>13</v>
      </c>
    </row>
    <row r="301" customFormat="false" ht="15" hidden="false" customHeight="false" outlineLevel="0" collapsed="false">
      <c r="A301" s="13" t="n">
        <v>42761</v>
      </c>
      <c r="C301" s="14" t="n">
        <v>0.75</v>
      </c>
      <c r="D301" s="14" t="n">
        <v>0.5</v>
      </c>
      <c r="F301" s="14" t="n">
        <v>-0.4</v>
      </c>
      <c r="G301" s="14" t="n">
        <v>0.25</v>
      </c>
      <c r="H301" s="14" t="n">
        <v>0.2132</v>
      </c>
      <c r="I301" s="14" t="n">
        <v>0.215629245046116</v>
      </c>
      <c r="J301" s="14" t="n">
        <v>0.218548213235957</v>
      </c>
      <c r="K301" s="14" t="n">
        <v>0.232084329047467</v>
      </c>
      <c r="L301" s="14" t="n">
        <v>0.277471414643211</v>
      </c>
      <c r="M301" s="14" t="n">
        <v>3.851</v>
      </c>
      <c r="N301" s="14" t="n">
        <v>3.8706</v>
      </c>
      <c r="O301" s="14" t="n">
        <v>3.8377</v>
      </c>
      <c r="P301" s="14" t="n">
        <v>3.7396</v>
      </c>
      <c r="Q301" s="14" t="n">
        <v>0.5</v>
      </c>
      <c r="R301" s="14" t="n">
        <v>0.5</v>
      </c>
      <c r="S301" s="14" t="n">
        <v>13</v>
      </c>
    </row>
    <row r="302" customFormat="false" ht="15" hidden="false" customHeight="false" outlineLevel="0" collapsed="false">
      <c r="A302" s="13" t="n">
        <v>42762</v>
      </c>
      <c r="C302" s="14" t="n">
        <v>0.75</v>
      </c>
      <c r="D302" s="14" t="n">
        <v>0.5</v>
      </c>
      <c r="F302" s="14" t="n">
        <v>-0.4</v>
      </c>
      <c r="G302" s="14" t="n">
        <v>0.25</v>
      </c>
      <c r="H302" s="14" t="n">
        <v>0.2162</v>
      </c>
      <c r="I302" s="14" t="n">
        <v>0.216314370740761</v>
      </c>
      <c r="J302" s="14" t="n">
        <v>0.219341353479555</v>
      </c>
      <c r="K302" s="14" t="n">
        <v>0.228634488855927</v>
      </c>
      <c r="L302" s="14" t="n">
        <v>0.270286789917588</v>
      </c>
      <c r="Q302" s="14" t="n">
        <v>0.5</v>
      </c>
      <c r="R302" s="14" t="n">
        <v>0.49</v>
      </c>
      <c r="S302" s="14" t="n">
        <v>13</v>
      </c>
    </row>
    <row r="303" customFormat="false" ht="15" hidden="false" customHeight="false" outlineLevel="0" collapsed="false">
      <c r="A303" s="13" t="n">
        <v>42765</v>
      </c>
      <c r="C303" s="14" t="n">
        <v>0.75</v>
      </c>
      <c r="D303" s="14" t="n">
        <v>0.5</v>
      </c>
      <c r="F303" s="14" t="n">
        <v>-0.4</v>
      </c>
      <c r="G303" s="14" t="n">
        <v>0.25</v>
      </c>
      <c r="H303" s="14" t="n">
        <v>0.215</v>
      </c>
      <c r="I303" s="14" t="n">
        <v>0.215923694371004</v>
      </c>
      <c r="J303" s="14" t="n">
        <v>0.218072400649297</v>
      </c>
      <c r="K303" s="14" t="n">
        <v>0.22910474345325</v>
      </c>
      <c r="L303" s="14" t="n">
        <v>0.271954356717173</v>
      </c>
      <c r="Q303" s="14" t="n">
        <v>0.5</v>
      </c>
      <c r="R303" s="14" t="n">
        <v>0.49</v>
      </c>
      <c r="S303" s="14" t="n">
        <v>13</v>
      </c>
    </row>
    <row r="304" customFormat="false" ht="15" hidden="false" customHeight="false" outlineLevel="0" collapsed="false">
      <c r="A304" s="13" t="n">
        <v>42766</v>
      </c>
      <c r="C304" s="14" t="n">
        <v>0.75</v>
      </c>
      <c r="D304" s="14" t="n">
        <v>0.5</v>
      </c>
      <c r="F304" s="14" t="n">
        <v>-0.4</v>
      </c>
      <c r="G304" s="14" t="n">
        <v>0.25</v>
      </c>
      <c r="H304" s="14" t="n">
        <v>0.2078</v>
      </c>
      <c r="I304" s="14" t="n">
        <v>0.215563516986014</v>
      </c>
      <c r="J304" s="14" t="n">
        <v>0.218778025568131</v>
      </c>
      <c r="K304" s="14" t="n">
        <v>0.229906881719512</v>
      </c>
      <c r="L304" s="14" t="n">
        <v>0.269677165611954</v>
      </c>
      <c r="Q304" s="14" t="n">
        <v>0.5</v>
      </c>
      <c r="R304" s="14" t="n">
        <v>0.5</v>
      </c>
      <c r="S304" s="14" t="n">
        <v>13</v>
      </c>
    </row>
    <row r="305" customFormat="false" ht="15" hidden="false" customHeight="false" outlineLevel="0" collapsed="false">
      <c r="A305" s="13" t="n">
        <v>42767</v>
      </c>
      <c r="C305" s="14" t="n">
        <v>0.75</v>
      </c>
      <c r="D305" s="14" t="n">
        <v>0.5</v>
      </c>
      <c r="F305" s="14" t="n">
        <v>-0.4</v>
      </c>
      <c r="G305" s="14" t="n">
        <v>0.25</v>
      </c>
      <c r="H305" s="14" t="n">
        <v>0.211</v>
      </c>
      <c r="I305" s="14" t="n">
        <v>0.21720264711518</v>
      </c>
      <c r="J305" s="14" t="n">
        <v>0.220827505051311</v>
      </c>
      <c r="K305" s="14" t="n">
        <v>0.234120464040805</v>
      </c>
      <c r="L305" s="14" t="n">
        <v>0.275453448664072</v>
      </c>
      <c r="Q305" s="14" t="n">
        <v>0.5</v>
      </c>
      <c r="R305" s="14" t="n">
        <v>0.49</v>
      </c>
      <c r="S305" s="14" t="n">
        <v>13</v>
      </c>
    </row>
    <row r="306" customFormat="false" ht="15" hidden="false" customHeight="false" outlineLevel="0" collapsed="false">
      <c r="A306" s="13" t="n">
        <v>42768</v>
      </c>
      <c r="C306" s="14" t="n">
        <v>0.75</v>
      </c>
      <c r="D306" s="14" t="n">
        <v>0.5</v>
      </c>
      <c r="F306" s="14" t="n">
        <v>-0.4</v>
      </c>
      <c r="G306" s="14" t="n">
        <v>0.25</v>
      </c>
      <c r="H306" s="14" t="n">
        <v>0.2123</v>
      </c>
      <c r="I306" s="14" t="n">
        <v>0.213388473469086</v>
      </c>
      <c r="J306" s="14" t="n">
        <v>0.214848745275413</v>
      </c>
      <c r="K306" s="14" t="n">
        <v>0.221224408919546</v>
      </c>
      <c r="L306" s="14" t="n">
        <v>0.251746806865598</v>
      </c>
      <c r="Q306" s="14" t="n">
        <v>0.5</v>
      </c>
      <c r="R306" s="14" t="n">
        <v>0.5</v>
      </c>
      <c r="S306" s="14" t="n">
        <v>13</v>
      </c>
    </row>
    <row r="307" customFormat="false" ht="15" hidden="false" customHeight="false" outlineLevel="0" collapsed="false">
      <c r="A307" s="13" t="n">
        <v>42769</v>
      </c>
      <c r="C307" s="14" t="n">
        <v>0.75</v>
      </c>
      <c r="D307" s="14" t="n">
        <v>0.5</v>
      </c>
      <c r="F307" s="14" t="n">
        <v>-0.4</v>
      </c>
      <c r="G307" s="14" t="n">
        <v>0.25</v>
      </c>
      <c r="H307" s="14" t="n">
        <v>0.2118</v>
      </c>
      <c r="I307" s="14" t="n">
        <v>0.212006342374969</v>
      </c>
      <c r="J307" s="14" t="n">
        <v>0.214268331151573</v>
      </c>
      <c r="K307" s="14" t="n">
        <v>0.221503263108136</v>
      </c>
      <c r="L307" s="14" t="n">
        <v>0.245971221373994</v>
      </c>
      <c r="M307" s="14" t="n">
        <v>3.8761</v>
      </c>
      <c r="N307" s="14" t="n">
        <v>3.9175</v>
      </c>
      <c r="O307" s="14" t="n">
        <v>3.878</v>
      </c>
      <c r="P307" s="14" t="n">
        <v>3.786</v>
      </c>
      <c r="Q307" s="14" t="n">
        <v>0.5</v>
      </c>
      <c r="R307" s="14" t="n">
        <v>0.49</v>
      </c>
      <c r="S307" s="14" t="n">
        <v>13</v>
      </c>
    </row>
    <row r="308" customFormat="false" ht="15" hidden="false" customHeight="false" outlineLevel="0" collapsed="false">
      <c r="A308" s="13" t="n">
        <v>42770</v>
      </c>
      <c r="C308" s="14" t="n">
        <v>0.75</v>
      </c>
      <c r="D308" s="14" t="n">
        <v>0.5</v>
      </c>
      <c r="F308" s="14" t="n">
        <v>-0.4</v>
      </c>
      <c r="M308" s="14" t="n">
        <v>3.8907</v>
      </c>
      <c r="N308" s="14" t="n">
        <v>3.9348</v>
      </c>
      <c r="O308" s="14" t="n">
        <v>3.9039</v>
      </c>
      <c r="P308" s="14" t="n">
        <v>3.8214</v>
      </c>
      <c r="S308" s="14" t="n">
        <v>13</v>
      </c>
    </row>
    <row r="309" customFormat="false" ht="15" hidden="false" customHeight="false" outlineLevel="0" collapsed="false">
      <c r="A309" s="13" t="n">
        <v>42772</v>
      </c>
      <c r="C309" s="14" t="n">
        <v>0.75</v>
      </c>
      <c r="D309" s="14" t="n">
        <v>0.5</v>
      </c>
      <c r="F309" s="14" t="n">
        <v>-0.4</v>
      </c>
      <c r="G309" s="14" t="n">
        <v>0.25</v>
      </c>
      <c r="H309" s="14" t="n">
        <v>0.212</v>
      </c>
      <c r="I309" s="14" t="n">
        <v>0.212960586215584</v>
      </c>
      <c r="J309" s="14" t="n">
        <v>0.21505907274699</v>
      </c>
      <c r="K309" s="14" t="n">
        <v>0.221215064634352</v>
      </c>
      <c r="L309" s="14" t="n">
        <v>0.240235237898368</v>
      </c>
      <c r="M309" s="14" t="n">
        <v>3.9031</v>
      </c>
      <c r="N309" s="14" t="n">
        <v>3.9497</v>
      </c>
      <c r="O309" s="14" t="n">
        <v>3.9195</v>
      </c>
      <c r="P309" s="14" t="n">
        <v>3.8542</v>
      </c>
      <c r="Q309" s="14" t="n">
        <v>0.5</v>
      </c>
      <c r="R309" s="14" t="n">
        <v>0.49</v>
      </c>
      <c r="S309" s="14" t="n">
        <v>13</v>
      </c>
    </row>
    <row r="310" customFormat="false" ht="15" hidden="false" customHeight="false" outlineLevel="0" collapsed="false">
      <c r="A310" s="13" t="n">
        <v>42773</v>
      </c>
      <c r="C310" s="14" t="n">
        <v>0.75</v>
      </c>
      <c r="D310" s="14" t="n">
        <v>0.5</v>
      </c>
      <c r="F310" s="14" t="n">
        <v>-0.4</v>
      </c>
      <c r="G310" s="14" t="n">
        <v>0.25</v>
      </c>
      <c r="H310" s="14" t="n">
        <v>0.2103</v>
      </c>
      <c r="I310" s="14" t="n">
        <v>0.213022452229414</v>
      </c>
      <c r="J310" s="14" t="n">
        <v>0.215320398022918</v>
      </c>
      <c r="K310" s="14" t="n">
        <v>0.222880311327619</v>
      </c>
      <c r="L310" s="14" t="n">
        <v>0.243287025904874</v>
      </c>
      <c r="M310" s="14" t="n">
        <v>3.9304</v>
      </c>
      <c r="N310" s="14" t="n">
        <v>4.016</v>
      </c>
      <c r="O310" s="14" t="n">
        <v>3.9429</v>
      </c>
      <c r="P310" s="14" t="n">
        <v>3.882</v>
      </c>
      <c r="Q310" s="14" t="n">
        <v>0.5</v>
      </c>
      <c r="R310" s="14" t="n">
        <v>0.49</v>
      </c>
      <c r="S310" s="14" t="n">
        <v>13</v>
      </c>
    </row>
    <row r="311" customFormat="false" ht="15" hidden="false" customHeight="false" outlineLevel="0" collapsed="false">
      <c r="A311" s="13" t="n">
        <v>42774</v>
      </c>
      <c r="C311" s="14" t="n">
        <v>0.75</v>
      </c>
      <c r="D311" s="14" t="n">
        <v>0.5</v>
      </c>
      <c r="F311" s="14" t="n">
        <v>-0.4</v>
      </c>
      <c r="G311" s="14" t="n">
        <v>0.25</v>
      </c>
      <c r="H311" s="14" t="n">
        <v>0.2105</v>
      </c>
      <c r="I311" s="14" t="n">
        <v>0.212872743100901</v>
      </c>
      <c r="J311" s="14" t="n">
        <v>0.214867365708329</v>
      </c>
      <c r="K311" s="14" t="n">
        <v>0.221310864547842</v>
      </c>
      <c r="L311" s="14" t="n">
        <v>0.2371217111443</v>
      </c>
      <c r="M311" s="14" t="n">
        <v>3.9601</v>
      </c>
      <c r="N311" s="14" t="n">
        <v>4.1094</v>
      </c>
      <c r="O311" s="14" t="n">
        <v>3.9722</v>
      </c>
      <c r="P311" s="14" t="n">
        <v>3.9019</v>
      </c>
      <c r="Q311" s="14" t="n">
        <v>0.5</v>
      </c>
      <c r="R311" s="14" t="n">
        <v>0.49</v>
      </c>
      <c r="S311" s="14" t="n">
        <v>13</v>
      </c>
    </row>
    <row r="312" customFormat="false" ht="15" hidden="false" customHeight="false" outlineLevel="0" collapsed="false">
      <c r="A312" s="13" t="n">
        <v>42775</v>
      </c>
      <c r="C312" s="14" t="n">
        <v>0.75</v>
      </c>
      <c r="D312" s="14" t="n">
        <v>0.5</v>
      </c>
      <c r="F312" s="14" t="n">
        <v>-0.4</v>
      </c>
      <c r="G312" s="14" t="n">
        <v>0.25</v>
      </c>
      <c r="H312" s="14" t="n">
        <v>0.208</v>
      </c>
      <c r="I312" s="14" t="n">
        <v>0.212067232632839</v>
      </c>
      <c r="J312" s="14" t="n">
        <v>0.21404377361407</v>
      </c>
      <c r="K312" s="14" t="n">
        <v>0.222110568684454</v>
      </c>
      <c r="L312" s="14" t="n">
        <v>0.242953853390041</v>
      </c>
      <c r="M312" s="14" t="n">
        <v>3.9839</v>
      </c>
      <c r="N312" s="14" t="n">
        <v>4.144</v>
      </c>
      <c r="O312" s="14" t="n">
        <v>4.0045</v>
      </c>
      <c r="P312" s="14" t="n">
        <v>3.9168</v>
      </c>
      <c r="Q312" s="14" t="n">
        <v>0.5</v>
      </c>
      <c r="R312" s="14" t="n">
        <v>0.49</v>
      </c>
      <c r="S312" s="14" t="n">
        <v>13</v>
      </c>
    </row>
    <row r="313" customFormat="false" ht="15" hidden="false" customHeight="false" outlineLevel="0" collapsed="false">
      <c r="A313" s="13" t="n">
        <v>42776</v>
      </c>
      <c r="C313" s="14" t="n">
        <v>0.75</v>
      </c>
      <c r="D313" s="14" t="n">
        <v>0.5</v>
      </c>
      <c r="F313" s="14" t="n">
        <v>-0.4</v>
      </c>
      <c r="G313" s="14" t="n">
        <v>0.25</v>
      </c>
      <c r="H313" s="14" t="n">
        <v>0.2101</v>
      </c>
      <c r="I313" s="14" t="n">
        <v>0.210846155385986</v>
      </c>
      <c r="J313" s="14" t="n">
        <v>0.211953898869073</v>
      </c>
      <c r="K313" s="14" t="n">
        <v>0.218369044923186</v>
      </c>
      <c r="L313" s="14" t="n">
        <v>0.235935555980408</v>
      </c>
      <c r="M313" s="14" t="n">
        <v>3.9938</v>
      </c>
      <c r="N313" s="14" t="n">
        <v>4.1727</v>
      </c>
      <c r="O313" s="14" t="n">
        <v>4.0217</v>
      </c>
      <c r="P313" s="14" t="n">
        <v>3.9352</v>
      </c>
      <c r="Q313" s="14" t="n">
        <v>0.5</v>
      </c>
      <c r="R313" s="14" t="n">
        <v>0.49</v>
      </c>
      <c r="S313" s="14" t="n">
        <v>13</v>
      </c>
    </row>
    <row r="314" customFormat="false" ht="15" hidden="false" customHeight="false" outlineLevel="0" collapsed="false">
      <c r="A314" s="13" t="n">
        <v>42779</v>
      </c>
      <c r="C314" s="14" t="n">
        <v>0.75</v>
      </c>
      <c r="D314" s="14" t="n">
        <v>0.5</v>
      </c>
      <c r="F314" s="14" t="n">
        <v>-0.4</v>
      </c>
      <c r="G314" s="14" t="n">
        <v>0.25</v>
      </c>
      <c r="H314" s="14" t="n">
        <v>0.209</v>
      </c>
      <c r="I314" s="14" t="n">
        <v>0.210878877146339</v>
      </c>
      <c r="J314" s="14" t="n">
        <v>0.213000798990567</v>
      </c>
      <c r="K314" s="14" t="n">
        <v>0.219757204352536</v>
      </c>
      <c r="L314" s="14" t="n">
        <v>0.241295127684609</v>
      </c>
      <c r="M314" s="14" t="n">
        <v>4.0052</v>
      </c>
      <c r="N314" s="14" t="n">
        <v>4.2029</v>
      </c>
      <c r="O314" s="14" t="n">
        <v>4.07</v>
      </c>
      <c r="P314" s="14" t="n">
        <v>3.953</v>
      </c>
      <c r="Q314" s="14" t="n">
        <v>0.5</v>
      </c>
      <c r="R314" s="14" t="n">
        <v>0.49</v>
      </c>
      <c r="S314" s="14" t="n">
        <v>13</v>
      </c>
    </row>
    <row r="315" customFormat="false" ht="15" hidden="false" customHeight="false" outlineLevel="0" collapsed="false">
      <c r="A315" s="13" t="n">
        <v>42780</v>
      </c>
      <c r="C315" s="14" t="n">
        <v>0.75</v>
      </c>
      <c r="D315" s="14" t="n">
        <v>0.5</v>
      </c>
      <c r="F315" s="14" t="n">
        <v>-0.4</v>
      </c>
      <c r="G315" s="14" t="n">
        <v>0.25</v>
      </c>
      <c r="H315" s="14" t="n">
        <v>0.2097</v>
      </c>
      <c r="I315" s="14" t="n">
        <v>0.21079014973679</v>
      </c>
      <c r="J315" s="14" t="n">
        <v>0.212332248897243</v>
      </c>
      <c r="K315" s="14" t="n">
        <v>0.219228170304869</v>
      </c>
      <c r="L315" s="14" t="n">
        <v>0.23938020965624</v>
      </c>
      <c r="M315" s="14" t="n">
        <v>4.016</v>
      </c>
      <c r="N315" s="14" t="n">
        <v>4.2148</v>
      </c>
      <c r="O315" s="14" t="n">
        <v>4.1012</v>
      </c>
      <c r="P315" s="14" t="n">
        <v>3.968</v>
      </c>
      <c r="Q315" s="14" t="n">
        <v>0.5</v>
      </c>
      <c r="R315" s="14" t="n">
        <v>0.51</v>
      </c>
      <c r="S315" s="14" t="n">
        <v>13</v>
      </c>
    </row>
    <row r="316" customFormat="false" ht="15" hidden="false" customHeight="false" outlineLevel="0" collapsed="false">
      <c r="A316" s="13" t="n">
        <v>42781</v>
      </c>
      <c r="C316" s="14" t="n">
        <v>0.75</v>
      </c>
      <c r="D316" s="14" t="n">
        <v>0.5</v>
      </c>
      <c r="F316" s="14" t="n">
        <v>-0.4</v>
      </c>
      <c r="G316" s="14" t="n">
        <v>0.25</v>
      </c>
      <c r="H316" s="14" t="n">
        <v>0.2083</v>
      </c>
      <c r="I316" s="14" t="n">
        <v>0.210977244280969</v>
      </c>
      <c r="J316" s="14" t="n">
        <v>0.211956355237828</v>
      </c>
      <c r="K316" s="14" t="n">
        <v>0.21740781466977</v>
      </c>
      <c r="L316" s="14" t="n">
        <v>0.236671746492438</v>
      </c>
      <c r="M316" s="14" t="n">
        <v>4.0312</v>
      </c>
      <c r="N316" s="14" t="n">
        <v>4.2394</v>
      </c>
      <c r="O316" s="14" t="n">
        <v>4.1381</v>
      </c>
      <c r="P316" s="14" t="n">
        <v>3.9846</v>
      </c>
      <c r="Q316" s="14" t="n">
        <v>0.5</v>
      </c>
      <c r="R316" s="14" t="n">
        <v>0.49</v>
      </c>
      <c r="S316" s="14" t="n">
        <v>13</v>
      </c>
    </row>
    <row r="317" customFormat="false" ht="15" hidden="false" customHeight="false" outlineLevel="0" collapsed="false">
      <c r="A317" s="13" t="n">
        <v>42782</v>
      </c>
      <c r="C317" s="14" t="n">
        <v>0.75</v>
      </c>
      <c r="D317" s="14" t="n">
        <v>0.5</v>
      </c>
      <c r="F317" s="14" t="n">
        <v>-0.4</v>
      </c>
      <c r="G317" s="14" t="n">
        <v>0.25</v>
      </c>
      <c r="H317" s="14" t="n">
        <v>0.2109</v>
      </c>
      <c r="I317" s="14" t="n">
        <v>0.21069371874445</v>
      </c>
      <c r="J317" s="14" t="n">
        <v>0.212524883936963</v>
      </c>
      <c r="K317" s="14" t="n">
        <v>0.217311328696897</v>
      </c>
      <c r="L317" s="14" t="n">
        <v>0.236710822485254</v>
      </c>
      <c r="M317" s="14" t="n">
        <v>4.0516</v>
      </c>
      <c r="N317" s="14" t="n">
        <v>4.2518</v>
      </c>
      <c r="O317" s="14" t="n">
        <v>4.1463</v>
      </c>
      <c r="P317" s="14" t="n">
        <v>3.9906</v>
      </c>
      <c r="Q317" s="14" t="n">
        <v>0.5</v>
      </c>
      <c r="R317" s="14" t="n">
        <v>0.5</v>
      </c>
      <c r="S317" s="14" t="n">
        <v>13</v>
      </c>
    </row>
    <row r="318" customFormat="false" ht="15" hidden="false" customHeight="false" outlineLevel="0" collapsed="false">
      <c r="A318" s="13" t="n">
        <v>42783</v>
      </c>
      <c r="C318" s="14" t="n">
        <v>0.75</v>
      </c>
      <c r="D318" s="14" t="n">
        <v>0.5</v>
      </c>
      <c r="F318" s="14" t="n">
        <v>-0.4</v>
      </c>
      <c r="G318" s="14" t="n">
        <v>0.25</v>
      </c>
      <c r="H318" s="14" t="n">
        <v>0.2115</v>
      </c>
      <c r="I318" s="14" t="n">
        <v>0.210613377091658</v>
      </c>
      <c r="J318" s="14" t="n">
        <v>0.210838160877231</v>
      </c>
      <c r="K318" s="14" t="n">
        <v>0.213111136421242</v>
      </c>
      <c r="L318" s="14" t="n">
        <v>0.225819614851207</v>
      </c>
      <c r="M318" s="14" t="n">
        <v>4.0652</v>
      </c>
      <c r="N318" s="14" t="n">
        <v>4.2567</v>
      </c>
      <c r="O318" s="14" t="n">
        <v>4.1567</v>
      </c>
      <c r="P318" s="14" t="n">
        <v>4.0005</v>
      </c>
      <c r="Q318" s="14" t="n">
        <v>0.5</v>
      </c>
      <c r="R318" s="14" t="n">
        <v>0.49</v>
      </c>
      <c r="S318" s="14" t="n">
        <v>13</v>
      </c>
    </row>
    <row r="319" customFormat="false" ht="15" hidden="false" customHeight="false" outlineLevel="0" collapsed="false">
      <c r="A319" s="13" t="n">
        <v>42786</v>
      </c>
      <c r="C319" s="14" t="n">
        <v>0.75</v>
      </c>
      <c r="D319" s="14" t="n">
        <v>0.5</v>
      </c>
      <c r="F319" s="14" t="n">
        <v>-0.4</v>
      </c>
      <c r="G319" s="14" t="n">
        <v>0.25</v>
      </c>
      <c r="H319" s="14" t="n">
        <v>0.2112</v>
      </c>
      <c r="I319" s="14" t="n">
        <v>0.210071147516135</v>
      </c>
      <c r="J319" s="14" t="n">
        <v>0.211524672695923</v>
      </c>
      <c r="K319" s="14" t="n">
        <v>0.21430785000163</v>
      </c>
      <c r="L319" s="14" t="n">
        <v>0.226903676487318</v>
      </c>
      <c r="M319" s="14" t="n">
        <v>4.075</v>
      </c>
      <c r="N319" s="14" t="n">
        <v>4.2622</v>
      </c>
      <c r="O319" s="14" t="n">
        <v>4.1665</v>
      </c>
      <c r="P319" s="14" t="n">
        <v>4.0064</v>
      </c>
      <c r="Q319" s="14" t="n">
        <v>0.5</v>
      </c>
      <c r="R319" s="14" t="n">
        <v>0.5</v>
      </c>
      <c r="S319" s="14" t="n">
        <v>13</v>
      </c>
    </row>
    <row r="320" customFormat="false" ht="15" hidden="false" customHeight="false" outlineLevel="0" collapsed="false">
      <c r="A320" s="13" t="n">
        <v>42787</v>
      </c>
      <c r="C320" s="14" t="n">
        <v>0.75</v>
      </c>
      <c r="D320" s="14" t="n">
        <v>0.5</v>
      </c>
      <c r="F320" s="14" t="n">
        <v>-0.4</v>
      </c>
      <c r="G320" s="14" t="n">
        <v>0.25</v>
      </c>
      <c r="H320" s="14" t="n">
        <v>0.2131</v>
      </c>
      <c r="I320" s="14" t="n">
        <v>0.210832962587133</v>
      </c>
      <c r="J320" s="14" t="n">
        <v>0.212438916920745</v>
      </c>
      <c r="K320" s="14" t="n">
        <v>0.216637227297153</v>
      </c>
      <c r="L320" s="14" t="n">
        <v>0.233906373768039</v>
      </c>
      <c r="M320" s="14" t="n">
        <v>4.082</v>
      </c>
      <c r="N320" s="14" t="n">
        <v>4.2704</v>
      </c>
      <c r="O320" s="14" t="n">
        <v>4.1755</v>
      </c>
      <c r="P320" s="14" t="n">
        <v>4.0102</v>
      </c>
      <c r="Q320" s="14" t="n">
        <v>0.5</v>
      </c>
      <c r="R320" s="14" t="n">
        <v>0.49</v>
      </c>
      <c r="S320" s="14" t="n">
        <v>13</v>
      </c>
    </row>
    <row r="321" customFormat="false" ht="15" hidden="false" customHeight="false" outlineLevel="0" collapsed="false">
      <c r="A321" s="13" t="n">
        <v>42788</v>
      </c>
      <c r="C321" s="14" t="n">
        <v>0.75</v>
      </c>
      <c r="D321" s="14" t="n">
        <v>0.5</v>
      </c>
      <c r="F321" s="14" t="n">
        <v>-0.4</v>
      </c>
      <c r="G321" s="14" t="n">
        <v>0.25</v>
      </c>
      <c r="H321" s="14" t="n">
        <v>0.2172</v>
      </c>
      <c r="I321" s="14" t="n">
        <v>0.210273429782264</v>
      </c>
      <c r="J321" s="14" t="n">
        <v>0.210762455198127</v>
      </c>
      <c r="K321" s="14" t="n">
        <v>0.215569676324595</v>
      </c>
      <c r="L321" s="14" t="n">
        <v>0.230757814669396</v>
      </c>
      <c r="M321" s="14" t="n">
        <v>4.085</v>
      </c>
      <c r="N321" s="14" t="n">
        <v>4.2778</v>
      </c>
      <c r="O321" s="14" t="n">
        <v>4.1824</v>
      </c>
      <c r="P321" s="14" t="n">
        <v>4.0225</v>
      </c>
      <c r="Q321" s="14" t="n">
        <v>0.5</v>
      </c>
      <c r="R321" s="14" t="n">
        <v>0.5</v>
      </c>
      <c r="S321" s="14" t="n">
        <v>13</v>
      </c>
    </row>
    <row r="322" customFormat="false" ht="15" hidden="false" customHeight="false" outlineLevel="0" collapsed="false">
      <c r="A322" s="13" t="n">
        <v>42789</v>
      </c>
      <c r="C322" s="14" t="n">
        <v>0.75</v>
      </c>
      <c r="D322" s="14" t="n">
        <v>0.5</v>
      </c>
      <c r="F322" s="14" t="n">
        <v>-0.4</v>
      </c>
      <c r="G322" s="14" t="n">
        <v>0.25</v>
      </c>
      <c r="H322" s="14" t="n">
        <v>0.2099</v>
      </c>
      <c r="I322" s="14" t="n">
        <v>0.210702943968542</v>
      </c>
      <c r="J322" s="14" t="n">
        <v>0.211718808001582</v>
      </c>
      <c r="K322" s="14" t="n">
        <v>0.216979623039388</v>
      </c>
      <c r="L322" s="14" t="n">
        <v>0.232097750512096</v>
      </c>
      <c r="M322" s="14" t="n">
        <v>4.093</v>
      </c>
      <c r="N322" s="14" t="n">
        <v>4.284</v>
      </c>
      <c r="O322" s="14" t="n">
        <v>4.1881</v>
      </c>
      <c r="P322" s="14" t="n">
        <v>4.0305</v>
      </c>
      <c r="Q322" s="14" t="n">
        <v>0.5</v>
      </c>
      <c r="R322" s="14" t="n">
        <v>0.49</v>
      </c>
      <c r="S322" s="14" t="n">
        <v>12.25</v>
      </c>
    </row>
    <row r="323" customFormat="false" ht="15" hidden="false" customHeight="false" outlineLevel="0" collapsed="false">
      <c r="A323" s="13" t="n">
        <v>42790</v>
      </c>
      <c r="C323" s="14" t="n">
        <v>0.75</v>
      </c>
      <c r="D323" s="14" t="n">
        <v>0.5</v>
      </c>
      <c r="F323" s="14" t="n">
        <v>-0.4</v>
      </c>
      <c r="G323" s="14" t="n">
        <v>0.25</v>
      </c>
      <c r="H323" s="14" t="n">
        <v>0.212</v>
      </c>
      <c r="I323" s="14" t="n">
        <v>0.211326581363687</v>
      </c>
      <c r="J323" s="14" t="n">
        <v>0.213033943837166</v>
      </c>
      <c r="K323" s="14" t="n">
        <v>0.216161911600225</v>
      </c>
      <c r="L323" s="14" t="n">
        <v>0.22344505146049</v>
      </c>
      <c r="M323" s="14" t="n">
        <v>4.091</v>
      </c>
      <c r="N323" s="14" t="n">
        <v>4.2829</v>
      </c>
      <c r="O323" s="14" t="n">
        <v>4.19</v>
      </c>
      <c r="P323" s="14" t="n">
        <v>4.0362</v>
      </c>
      <c r="Q323" s="14" t="n">
        <v>0.5</v>
      </c>
      <c r="R323" s="14" t="n">
        <v>0.48</v>
      </c>
      <c r="S323" s="14" t="n">
        <v>12.25</v>
      </c>
    </row>
    <row r="324" customFormat="false" ht="15" hidden="false" customHeight="false" outlineLevel="0" collapsed="false">
      <c r="A324" s="13" t="n">
        <v>42793</v>
      </c>
      <c r="C324" s="14" t="n">
        <v>0.75</v>
      </c>
      <c r="D324" s="14" t="n">
        <v>0.5</v>
      </c>
      <c r="F324" s="14" t="n">
        <v>-0.4</v>
      </c>
      <c r="G324" s="14" t="n">
        <v>0.25</v>
      </c>
      <c r="H324" s="14" t="n">
        <v>0.2111</v>
      </c>
      <c r="I324" s="14" t="n">
        <v>0.210856781333778</v>
      </c>
      <c r="J324" s="14" t="n">
        <v>0.211136326082806</v>
      </c>
      <c r="K324" s="14" t="n">
        <v>0.214976250001489</v>
      </c>
      <c r="L324" s="14" t="n">
        <v>0.222310189022671</v>
      </c>
      <c r="M324" s="14" t="n">
        <v>4.082</v>
      </c>
      <c r="N324" s="14" t="n">
        <v>4.2804</v>
      </c>
      <c r="O324" s="14" t="n">
        <v>4.1922</v>
      </c>
      <c r="P324" s="14" t="n">
        <v>4.0407</v>
      </c>
      <c r="Q324" s="14" t="n">
        <v>0.5</v>
      </c>
      <c r="R324" s="14" t="n">
        <v>0.49</v>
      </c>
      <c r="S324" s="14" t="n">
        <v>12.25</v>
      </c>
    </row>
    <row r="325" customFormat="false" ht="15" hidden="false" customHeight="false" outlineLevel="0" collapsed="false">
      <c r="A325" s="13" t="n">
        <v>42794</v>
      </c>
      <c r="C325" s="14" t="n">
        <v>0.75</v>
      </c>
      <c r="D325" s="14" t="n">
        <v>0.5</v>
      </c>
      <c r="F325" s="14" t="n">
        <v>-0.4</v>
      </c>
      <c r="G325" s="14" t="n">
        <v>0.25</v>
      </c>
      <c r="H325" s="14" t="n">
        <v>0.203</v>
      </c>
      <c r="I325" s="14" t="n">
        <v>0.210615782367187</v>
      </c>
      <c r="J325" s="14" t="n">
        <v>0.212470824261315</v>
      </c>
      <c r="K325" s="14" t="n">
        <v>0.215465746039625</v>
      </c>
      <c r="L325" s="14" t="n">
        <v>0.223369680519023</v>
      </c>
      <c r="M325" s="14" t="n">
        <v>4.08</v>
      </c>
      <c r="N325" s="14" t="n">
        <v>4.2841</v>
      </c>
      <c r="O325" s="14" t="n">
        <v>4.196</v>
      </c>
      <c r="P325" s="14" t="n">
        <v>4.0467</v>
      </c>
      <c r="Q325" s="14" t="n">
        <v>0.5</v>
      </c>
      <c r="R325" s="14" t="n">
        <v>0.5</v>
      </c>
      <c r="S325" s="14" t="n">
        <v>12.25</v>
      </c>
    </row>
    <row r="326" customFormat="false" ht="15" hidden="false" customHeight="false" outlineLevel="0" collapsed="false">
      <c r="A326" s="13" t="n">
        <v>42795</v>
      </c>
      <c r="C326" s="14" t="n">
        <v>0.75</v>
      </c>
      <c r="D326" s="14" t="n">
        <v>0.5</v>
      </c>
      <c r="F326" s="14" t="n">
        <v>-0.4</v>
      </c>
      <c r="G326" s="14" t="n">
        <v>0.25</v>
      </c>
      <c r="H326" s="14" t="n">
        <v>0.2119</v>
      </c>
      <c r="I326" s="14" t="n">
        <v>0.210706912202033</v>
      </c>
      <c r="J326" s="14" t="n">
        <v>0.212002068558788</v>
      </c>
      <c r="K326" s="14" t="n">
        <v>0.216521894378162</v>
      </c>
      <c r="L326" s="14" t="n">
        <v>0.228542086797076</v>
      </c>
      <c r="M326" s="14" t="n">
        <v>4.0763</v>
      </c>
      <c r="N326" s="14" t="n">
        <v>4.2881</v>
      </c>
      <c r="O326" s="14" t="n">
        <v>4.1998</v>
      </c>
      <c r="P326" s="14" t="n">
        <v>4.0497</v>
      </c>
      <c r="Q326" s="14" t="n">
        <v>0.5</v>
      </c>
      <c r="R326" s="14" t="n">
        <v>0.5</v>
      </c>
      <c r="S326" s="14" t="n">
        <v>12.25</v>
      </c>
    </row>
    <row r="327" customFormat="false" ht="15" hidden="false" customHeight="false" outlineLevel="0" collapsed="false">
      <c r="A327" s="13" t="n">
        <v>42796</v>
      </c>
      <c r="C327" s="14" t="n">
        <v>0.75</v>
      </c>
      <c r="D327" s="14" t="n">
        <v>0.5</v>
      </c>
      <c r="F327" s="14" t="n">
        <v>-0.4</v>
      </c>
      <c r="G327" s="14" t="n">
        <v>0.25</v>
      </c>
      <c r="H327" s="14" t="n">
        <v>0.2112</v>
      </c>
      <c r="I327" s="14" t="n">
        <v>0.210738370194677</v>
      </c>
      <c r="J327" s="14" t="n">
        <v>0.211275293101662</v>
      </c>
      <c r="K327" s="14" t="n">
        <v>0.21374801353286</v>
      </c>
      <c r="L327" s="14" t="n">
        <v>0.223236444340124</v>
      </c>
      <c r="M327" s="14" t="n">
        <v>4.083</v>
      </c>
      <c r="N327" s="14" t="n">
        <v>4.2904</v>
      </c>
      <c r="O327" s="14" t="n">
        <v>4.2</v>
      </c>
      <c r="P327" s="14" t="n">
        <v>4.0492</v>
      </c>
      <c r="Q327" s="14" t="n">
        <v>0.5</v>
      </c>
      <c r="R327" s="14" t="n">
        <v>0.49</v>
      </c>
      <c r="S327" s="14" t="n">
        <v>12.25</v>
      </c>
    </row>
    <row r="328" customFormat="false" ht="15" hidden="false" customHeight="false" outlineLevel="0" collapsed="false">
      <c r="A328" s="13" t="n">
        <v>42797</v>
      </c>
      <c r="C328" s="14" t="n">
        <v>0.75</v>
      </c>
      <c r="D328" s="14" t="n">
        <v>0.5</v>
      </c>
      <c r="F328" s="14" t="n">
        <v>-0.4</v>
      </c>
      <c r="G328" s="14" t="n">
        <v>0.25</v>
      </c>
      <c r="H328" s="14" t="n">
        <v>0.2102</v>
      </c>
      <c r="I328" s="14" t="n">
        <v>0.211559097525541</v>
      </c>
      <c r="J328" s="14" t="n">
        <v>0.212080626450821</v>
      </c>
      <c r="K328" s="14" t="n">
        <v>0.216092683146164</v>
      </c>
      <c r="L328" s="14" t="n">
        <v>0.22972700989195</v>
      </c>
      <c r="M328" s="14" t="n">
        <v>4.0851</v>
      </c>
      <c r="N328" s="14" t="n">
        <v>4.2905</v>
      </c>
      <c r="O328" s="14" t="n">
        <v>4.2002</v>
      </c>
      <c r="P328" s="14" t="n">
        <v>4.051</v>
      </c>
      <c r="Q328" s="14" t="n">
        <v>0.5</v>
      </c>
      <c r="R328" s="14" t="n">
        <v>0.52</v>
      </c>
      <c r="S328" s="14" t="n">
        <v>12.25</v>
      </c>
    </row>
    <row r="329" customFormat="false" ht="15" hidden="false" customHeight="false" outlineLevel="0" collapsed="false">
      <c r="A329" s="13" t="n">
        <v>42800</v>
      </c>
      <c r="C329" s="14" t="n">
        <v>0.75</v>
      </c>
      <c r="D329" s="14" t="n">
        <v>0.5</v>
      </c>
      <c r="F329" s="14" t="n">
        <v>-0.4</v>
      </c>
      <c r="G329" s="14" t="n">
        <v>0.25</v>
      </c>
      <c r="H329" s="14" t="n">
        <v>0.2118</v>
      </c>
      <c r="I329" s="14" t="n">
        <v>0.210196070447788</v>
      </c>
      <c r="J329" s="14" t="n">
        <v>0.212163273547186</v>
      </c>
      <c r="K329" s="14" t="n">
        <v>0.217210390575411</v>
      </c>
      <c r="L329" s="14" t="n">
        <v>0.233541254302418</v>
      </c>
      <c r="M329" s="14" t="n">
        <v>4.0951</v>
      </c>
      <c r="N329" s="14" t="n">
        <v>4.2925</v>
      </c>
      <c r="O329" s="14" t="n">
        <v>4.201</v>
      </c>
      <c r="P329" s="14" t="n">
        <v>4.0511</v>
      </c>
      <c r="Q329" s="14" t="n">
        <v>0.5</v>
      </c>
      <c r="R329" s="14" t="n">
        <v>0.5</v>
      </c>
      <c r="S329" s="14" t="n">
        <v>12.25</v>
      </c>
    </row>
    <row r="330" customFormat="false" ht="15" hidden="false" customHeight="false" outlineLevel="0" collapsed="false">
      <c r="A330" s="13" t="n">
        <v>42801</v>
      </c>
      <c r="C330" s="14" t="n">
        <v>0.75</v>
      </c>
      <c r="D330" s="14" t="n">
        <v>0.5</v>
      </c>
      <c r="F330" s="14" t="n">
        <v>-0.4</v>
      </c>
      <c r="G330" s="14" t="n">
        <v>0.25</v>
      </c>
      <c r="H330" s="14" t="n">
        <v>0.2109</v>
      </c>
      <c r="I330" s="14" t="n">
        <v>0.211493957054121</v>
      </c>
      <c r="J330" s="14" t="n">
        <v>0.211594353815922</v>
      </c>
      <c r="K330" s="14" t="n">
        <v>0.216517342890215</v>
      </c>
      <c r="L330" s="14" t="n">
        <v>0.231002748962296</v>
      </c>
      <c r="M330" s="14" t="n">
        <v>4.1016</v>
      </c>
      <c r="N330" s="14" t="n">
        <v>4.2918</v>
      </c>
      <c r="O330" s="14" t="n">
        <v>4.201</v>
      </c>
      <c r="P330" s="14" t="n">
        <v>4.0527</v>
      </c>
      <c r="Q330" s="14" t="n">
        <v>0.5</v>
      </c>
      <c r="R330" s="14" t="n">
        <v>0.48</v>
      </c>
      <c r="S330" s="14" t="n">
        <v>12.25</v>
      </c>
    </row>
    <row r="331" customFormat="false" ht="15" hidden="false" customHeight="false" outlineLevel="0" collapsed="false">
      <c r="A331" s="13" t="n">
        <v>42802</v>
      </c>
      <c r="C331" s="14" t="n">
        <v>0.75</v>
      </c>
      <c r="D331" s="14" t="n">
        <v>0.5</v>
      </c>
      <c r="F331" s="14" t="n">
        <v>-0.4</v>
      </c>
      <c r="G331" s="14" t="n">
        <v>0.25</v>
      </c>
      <c r="H331" s="14" t="n">
        <v>0.2111</v>
      </c>
      <c r="I331" s="14" t="n">
        <v>0.211321655852742</v>
      </c>
      <c r="J331" s="14" t="n">
        <v>0.211210479199405</v>
      </c>
      <c r="K331" s="14" t="n">
        <v>0.216125921610165</v>
      </c>
      <c r="L331" s="14" t="n">
        <v>0.23279138006735</v>
      </c>
      <c r="M331" s="14" t="n">
        <v>4.1052</v>
      </c>
      <c r="N331" s="14" t="n">
        <v>4.2932</v>
      </c>
      <c r="O331" s="14" t="n">
        <v>4.201</v>
      </c>
      <c r="P331" s="14" t="n">
        <v>4.0536</v>
      </c>
      <c r="Q331" s="14" t="n">
        <v>0.5</v>
      </c>
      <c r="R331" s="14" t="n">
        <v>0.48</v>
      </c>
      <c r="S331" s="14" t="n">
        <v>12.25</v>
      </c>
    </row>
    <row r="332" customFormat="false" ht="15" hidden="false" customHeight="false" outlineLevel="0" collapsed="false">
      <c r="A332" s="13" t="n">
        <v>42803</v>
      </c>
      <c r="C332" s="14" t="n">
        <v>0.75</v>
      </c>
      <c r="D332" s="14" t="n">
        <v>0.5</v>
      </c>
      <c r="F332" s="14" t="n">
        <v>-0.4</v>
      </c>
      <c r="G332" s="14" t="n">
        <v>0.25</v>
      </c>
      <c r="H332" s="14" t="n">
        <v>0.2114</v>
      </c>
      <c r="I332" s="14" t="n">
        <v>0.210951036031195</v>
      </c>
      <c r="J332" s="14" t="n">
        <v>0.211482051691266</v>
      </c>
      <c r="K332" s="14" t="n">
        <v>0.217902062216077</v>
      </c>
      <c r="L332" s="14" t="n">
        <v>0.240152203769971</v>
      </c>
      <c r="M332" s="14" t="n">
        <v>4.1126</v>
      </c>
      <c r="N332" s="14" t="n">
        <v>4.2943</v>
      </c>
      <c r="O332" s="14" t="n">
        <v>4.201</v>
      </c>
      <c r="P332" s="14" t="n">
        <v>4.0539</v>
      </c>
      <c r="Q332" s="14" t="n">
        <v>0.5</v>
      </c>
      <c r="R332" s="14" t="n">
        <v>0.48</v>
      </c>
      <c r="S332" s="14" t="n">
        <v>12.25</v>
      </c>
    </row>
    <row r="333" customFormat="false" ht="15" hidden="false" customHeight="false" outlineLevel="0" collapsed="false">
      <c r="A333" s="13" t="n">
        <v>42804</v>
      </c>
      <c r="C333" s="14" t="n">
        <v>0.75</v>
      </c>
      <c r="D333" s="14" t="n">
        <v>0.5</v>
      </c>
      <c r="F333" s="14" t="n">
        <v>-0.4</v>
      </c>
      <c r="G333" s="14" t="n">
        <v>0.25</v>
      </c>
      <c r="H333" s="14" t="n">
        <v>0.213</v>
      </c>
      <c r="I333" s="14" t="n">
        <v>0.210082678776188</v>
      </c>
      <c r="J333" s="14" t="n">
        <v>0.212228026319237</v>
      </c>
      <c r="K333" s="14" t="n">
        <v>0.220944754098002</v>
      </c>
      <c r="L333" s="14" t="n">
        <v>0.249289625264032</v>
      </c>
      <c r="M333" s="14" t="n">
        <v>4.1153</v>
      </c>
      <c r="N333" s="14" t="n">
        <v>4.2942</v>
      </c>
      <c r="O333" s="14" t="n">
        <v>4.2031</v>
      </c>
      <c r="P333" s="14" t="n">
        <v>4.0551</v>
      </c>
      <c r="Q333" s="14" t="n">
        <v>0.5</v>
      </c>
      <c r="R333" s="14" t="n">
        <v>0.49</v>
      </c>
      <c r="S333" s="14" t="n">
        <v>12.25</v>
      </c>
    </row>
    <row r="334" customFormat="false" ht="15" hidden="false" customHeight="false" outlineLevel="0" collapsed="false">
      <c r="A334" s="13" t="n">
        <v>42807</v>
      </c>
      <c r="C334" s="14" t="n">
        <v>0.75</v>
      </c>
      <c r="D334" s="14" t="n">
        <v>0.5</v>
      </c>
      <c r="F334" s="14" t="n">
        <v>-0.4</v>
      </c>
      <c r="G334" s="14" t="n">
        <v>0.25</v>
      </c>
      <c r="H334" s="14" t="n">
        <v>0.2101</v>
      </c>
      <c r="I334" s="14" t="n">
        <v>0.208438047659799</v>
      </c>
      <c r="J334" s="14" t="n">
        <v>0.211495311931051</v>
      </c>
      <c r="K334" s="14" t="n">
        <v>0.218600354756737</v>
      </c>
      <c r="L334" s="14" t="n">
        <v>0.242873287980573</v>
      </c>
      <c r="M334" s="14" t="n">
        <v>4.1226</v>
      </c>
      <c r="N334" s="14" t="n">
        <v>4.2925</v>
      </c>
      <c r="O334" s="14" t="n">
        <v>4.2054</v>
      </c>
      <c r="P334" s="14" t="n">
        <v>4.0614</v>
      </c>
      <c r="Q334" s="14" t="n">
        <v>0.5</v>
      </c>
      <c r="R334" s="14" t="n">
        <v>0.48</v>
      </c>
      <c r="S334" s="14" t="n">
        <v>12.25</v>
      </c>
    </row>
    <row r="335" customFormat="false" ht="15" hidden="false" customHeight="false" outlineLevel="0" collapsed="false">
      <c r="A335" s="13" t="n">
        <v>42808</v>
      </c>
      <c r="C335" s="14" t="n">
        <v>0.75</v>
      </c>
      <c r="D335" s="14" t="n">
        <v>0.5</v>
      </c>
      <c r="F335" s="14" t="n">
        <v>-0.4</v>
      </c>
      <c r="G335" s="14" t="n">
        <v>0.25</v>
      </c>
      <c r="H335" s="14" t="n">
        <v>0.2106</v>
      </c>
      <c r="I335" s="14" t="n">
        <v>0.208478599798125</v>
      </c>
      <c r="J335" s="14" t="n">
        <v>0.211729124223106</v>
      </c>
      <c r="K335" s="14" t="n">
        <v>0.218406081819336</v>
      </c>
      <c r="L335" s="14" t="n">
        <v>0.243514210420205</v>
      </c>
      <c r="M335" s="14" t="n">
        <v>4.1343</v>
      </c>
      <c r="N335" s="14" t="n">
        <v>4.2925</v>
      </c>
      <c r="O335" s="14" t="n">
        <v>4.2146</v>
      </c>
      <c r="P335" s="14" t="n">
        <v>4.0678</v>
      </c>
      <c r="Q335" s="14" t="n">
        <v>0.5</v>
      </c>
      <c r="R335" s="14" t="n">
        <v>0.49</v>
      </c>
      <c r="S335" s="14" t="n">
        <v>12.25</v>
      </c>
    </row>
    <row r="336" customFormat="false" ht="15" hidden="false" customHeight="false" outlineLevel="0" collapsed="false">
      <c r="A336" s="13" t="n">
        <v>42809</v>
      </c>
      <c r="C336" s="14" t="n">
        <v>0.75</v>
      </c>
      <c r="D336" s="14" t="n">
        <v>0.5</v>
      </c>
      <c r="F336" s="14" t="n">
        <v>-0.4</v>
      </c>
      <c r="G336" s="14" t="n">
        <v>0.25</v>
      </c>
      <c r="H336" s="14" t="n">
        <v>0.2105</v>
      </c>
      <c r="I336" s="14" t="n">
        <v>0.210704148452134</v>
      </c>
      <c r="J336" s="14" t="n">
        <v>0.212493861762903</v>
      </c>
      <c r="K336" s="14" t="n">
        <v>0.217962159073346</v>
      </c>
      <c r="L336" s="14" t="n">
        <v>0.237916091060137</v>
      </c>
      <c r="M336" s="14" t="n">
        <v>4.1537</v>
      </c>
      <c r="N336" s="14" t="n">
        <v>4.2933</v>
      </c>
      <c r="O336" s="14" t="n">
        <v>4.2205</v>
      </c>
      <c r="P336" s="14" t="n">
        <v>4.0818</v>
      </c>
      <c r="Q336" s="14" t="n">
        <v>0.5</v>
      </c>
      <c r="R336" s="14" t="n">
        <v>0.5</v>
      </c>
      <c r="S336" s="14" t="n">
        <v>12.25</v>
      </c>
    </row>
    <row r="337" customFormat="false" ht="15" hidden="false" customHeight="false" outlineLevel="0" collapsed="false">
      <c r="A337" s="13" t="n">
        <v>42810</v>
      </c>
      <c r="C337" s="14" t="n">
        <v>1</v>
      </c>
      <c r="D337" s="14" t="n">
        <v>0.75</v>
      </c>
      <c r="F337" s="14" t="n">
        <v>-0.4</v>
      </c>
      <c r="G337" s="14" t="n">
        <v>0.25</v>
      </c>
      <c r="H337" s="14" t="n">
        <v>0.2094</v>
      </c>
      <c r="I337" s="14" t="n">
        <v>0.208772817015086</v>
      </c>
      <c r="J337" s="14" t="n">
        <v>0.213392900816748</v>
      </c>
      <c r="K337" s="14" t="n">
        <v>0.223919625230093</v>
      </c>
      <c r="L337" s="14" t="n">
        <v>0.255133403581204</v>
      </c>
      <c r="M337" s="14" t="n">
        <v>4.2218</v>
      </c>
      <c r="N337" s="14" t="n">
        <v>4.3267</v>
      </c>
      <c r="O337" s="14" t="n">
        <v>4.2581</v>
      </c>
      <c r="P337" s="14" t="n">
        <v>4.1052</v>
      </c>
      <c r="Q337" s="14" t="n">
        <v>0.5</v>
      </c>
      <c r="R337" s="14" t="n">
        <v>0.49</v>
      </c>
      <c r="S337" s="14" t="n">
        <v>12.25</v>
      </c>
    </row>
    <row r="338" customFormat="false" ht="15" hidden="false" customHeight="false" outlineLevel="0" collapsed="false">
      <c r="A338" s="13" t="n">
        <v>42811</v>
      </c>
      <c r="C338" s="14" t="n">
        <v>1</v>
      </c>
      <c r="D338" s="14" t="n">
        <v>0.75</v>
      </c>
      <c r="F338" s="14" t="n">
        <v>-0.4</v>
      </c>
      <c r="G338" s="14" t="n">
        <v>0.25</v>
      </c>
      <c r="H338" s="14" t="n">
        <v>0.2099</v>
      </c>
      <c r="I338" s="14" t="n">
        <v>0.20860227704102</v>
      </c>
      <c r="J338" s="14" t="n">
        <v>0.214328848307344</v>
      </c>
      <c r="K338" s="14" t="n">
        <v>0.227693413465586</v>
      </c>
      <c r="L338" s="14" t="n">
        <v>0.264407953334772</v>
      </c>
      <c r="M338" s="14" t="n">
        <v>4.2775</v>
      </c>
      <c r="N338" s="14" t="n">
        <v>4.3507</v>
      </c>
      <c r="O338" s="14" t="n">
        <v>4.2909</v>
      </c>
      <c r="P338" s="14" t="n">
        <v>4.1246</v>
      </c>
      <c r="Q338" s="14" t="n">
        <v>0.5</v>
      </c>
      <c r="R338" s="14" t="n">
        <v>0.5</v>
      </c>
      <c r="S338" s="14" t="n">
        <v>12.25</v>
      </c>
    </row>
    <row r="339" customFormat="false" ht="15" hidden="false" customHeight="false" outlineLevel="0" collapsed="false">
      <c r="A339" s="13" t="n">
        <v>42814</v>
      </c>
      <c r="C339" s="14" t="n">
        <v>1</v>
      </c>
      <c r="D339" s="14" t="n">
        <v>0.75</v>
      </c>
      <c r="F339" s="14" t="n">
        <v>-0.4</v>
      </c>
      <c r="G339" s="14" t="n">
        <v>0.25</v>
      </c>
      <c r="H339" s="14" t="n">
        <v>0.2109</v>
      </c>
      <c r="I339" s="14" t="n">
        <v>0.209511400055294</v>
      </c>
      <c r="J339" s="14" t="n">
        <v>0.215821413979554</v>
      </c>
      <c r="K339" s="14" t="n">
        <v>0.228421107509171</v>
      </c>
      <c r="L339" s="14" t="n">
        <v>0.264759303857252</v>
      </c>
      <c r="M339" s="14" t="n">
        <v>4.3172</v>
      </c>
      <c r="N339" s="14" t="n">
        <v>4.3711</v>
      </c>
      <c r="O339" s="14" t="n">
        <v>4.3091</v>
      </c>
      <c r="P339" s="14" t="n">
        <v>4.1435</v>
      </c>
      <c r="Q339" s="14" t="n">
        <v>0.5</v>
      </c>
      <c r="R339" s="14" t="n">
        <v>0.49</v>
      </c>
      <c r="S339" s="14" t="n">
        <v>12.25</v>
      </c>
    </row>
    <row r="340" customFormat="false" ht="15" hidden="false" customHeight="false" outlineLevel="0" collapsed="false">
      <c r="A340" s="13" t="n">
        <v>42815</v>
      </c>
      <c r="C340" s="14" t="n">
        <v>1</v>
      </c>
      <c r="D340" s="14" t="n">
        <v>0.75</v>
      </c>
      <c r="F340" s="14" t="n">
        <v>-0.4</v>
      </c>
      <c r="G340" s="14" t="n">
        <v>0.25</v>
      </c>
      <c r="H340" s="14" t="n">
        <v>0.2124</v>
      </c>
      <c r="I340" s="14" t="n">
        <v>0.209990060040315</v>
      </c>
      <c r="J340" s="14" t="n">
        <v>0.218607196320951</v>
      </c>
      <c r="K340" s="14" t="n">
        <v>0.234748909658748</v>
      </c>
      <c r="L340" s="14" t="n">
        <v>0.278758617572259</v>
      </c>
      <c r="M340" s="14" t="n">
        <v>4.3558</v>
      </c>
      <c r="N340" s="14" t="n">
        <v>4.3846</v>
      </c>
      <c r="O340" s="14" t="n">
        <v>4.3218</v>
      </c>
      <c r="P340" s="14" t="n">
        <v>4.1559</v>
      </c>
      <c r="Q340" s="14" t="n">
        <v>0.5</v>
      </c>
      <c r="R340" s="14" t="n">
        <v>0.49</v>
      </c>
      <c r="S340" s="14" t="n">
        <v>12.25</v>
      </c>
    </row>
    <row r="341" customFormat="false" ht="15" hidden="false" customHeight="false" outlineLevel="0" collapsed="false">
      <c r="A341" s="13" t="n">
        <v>42816</v>
      </c>
      <c r="C341" s="14" t="n">
        <v>1</v>
      </c>
      <c r="D341" s="14" t="n">
        <v>0.75</v>
      </c>
      <c r="F341" s="14" t="n">
        <v>-0.4</v>
      </c>
      <c r="G341" s="14" t="n">
        <v>0.25</v>
      </c>
      <c r="H341" s="14" t="n">
        <v>0.2104</v>
      </c>
      <c r="I341" s="14" t="n">
        <v>0.210047439699726</v>
      </c>
      <c r="J341" s="14" t="n">
        <v>0.217380537121239</v>
      </c>
      <c r="K341" s="14" t="n">
        <v>0.229899204841602</v>
      </c>
      <c r="L341" s="14" t="n">
        <v>0.2679937437042</v>
      </c>
      <c r="M341" s="14" t="n">
        <v>4.3959</v>
      </c>
      <c r="N341" s="14" t="n">
        <v>4.4077</v>
      </c>
      <c r="O341" s="14" t="n">
        <v>4.346</v>
      </c>
      <c r="P341" s="14" t="n">
        <v>4.1649</v>
      </c>
      <c r="Q341" s="14" t="n">
        <v>0.5</v>
      </c>
      <c r="R341" s="14" t="n">
        <v>0.49</v>
      </c>
      <c r="S341" s="14" t="n">
        <v>12.25</v>
      </c>
    </row>
    <row r="342" customFormat="false" ht="15" hidden="false" customHeight="false" outlineLevel="0" collapsed="false">
      <c r="A342" s="13" t="n">
        <v>42817</v>
      </c>
      <c r="C342" s="14" t="n">
        <v>1</v>
      </c>
      <c r="D342" s="14" t="n">
        <v>0.75</v>
      </c>
      <c r="F342" s="14" t="n">
        <v>-0.4</v>
      </c>
      <c r="G342" s="14" t="n">
        <v>0.25</v>
      </c>
      <c r="H342" s="14" t="n">
        <v>0.2126</v>
      </c>
      <c r="I342" s="14" t="n">
        <v>0.209693222093288</v>
      </c>
      <c r="J342" s="14" t="n">
        <v>0.217654175520554</v>
      </c>
      <c r="K342" s="14" t="n">
        <v>0.233166356389732</v>
      </c>
      <c r="L342" s="14" t="n">
        <v>0.279321568165681</v>
      </c>
      <c r="M342" s="14" t="n">
        <v>4.4475</v>
      </c>
      <c r="N342" s="14" t="n">
        <v>4.4396</v>
      </c>
      <c r="O342" s="14" t="n">
        <v>4.3592</v>
      </c>
      <c r="P342" s="14" t="n">
        <v>4.1717</v>
      </c>
      <c r="Q342" s="14" t="n">
        <v>0.5</v>
      </c>
      <c r="R342" s="14" t="n">
        <v>0.49</v>
      </c>
      <c r="S342" s="14" t="n">
        <v>12.25</v>
      </c>
    </row>
    <row r="343" customFormat="false" ht="15" hidden="false" customHeight="false" outlineLevel="0" collapsed="false">
      <c r="A343" s="13" t="n">
        <v>42818</v>
      </c>
      <c r="C343" s="14" t="n">
        <v>1</v>
      </c>
      <c r="D343" s="14" t="n">
        <v>0.75</v>
      </c>
      <c r="F343" s="14" t="n">
        <v>-0.4</v>
      </c>
      <c r="G343" s="14" t="n">
        <v>0.25</v>
      </c>
      <c r="H343" s="14" t="n">
        <v>0.2127</v>
      </c>
      <c r="I343" s="14" t="n">
        <v>0.209118176816712</v>
      </c>
      <c r="J343" s="14" t="n">
        <v>0.216487440844055</v>
      </c>
      <c r="K343" s="14" t="n">
        <v>0.232074088197202</v>
      </c>
      <c r="L343" s="14" t="n">
        <v>0.274045812723315</v>
      </c>
      <c r="M343" s="14" t="n">
        <v>4.4581</v>
      </c>
      <c r="N343" s="14" t="n">
        <v>4.4516</v>
      </c>
      <c r="O343" s="14" t="n">
        <v>4.3663</v>
      </c>
      <c r="P343" s="14" t="n">
        <v>4.1835</v>
      </c>
      <c r="Q343" s="14" t="n">
        <v>0.5</v>
      </c>
      <c r="R343" s="14" t="n">
        <v>0.48</v>
      </c>
      <c r="S343" s="14" t="n">
        <v>12.25</v>
      </c>
    </row>
    <row r="344" customFormat="false" ht="15" hidden="false" customHeight="false" outlineLevel="0" collapsed="false">
      <c r="A344" s="13" t="n">
        <v>42821</v>
      </c>
      <c r="C344" s="14" t="n">
        <v>1</v>
      </c>
      <c r="D344" s="14" t="n">
        <v>0.75</v>
      </c>
      <c r="F344" s="14" t="n">
        <v>-0.4</v>
      </c>
      <c r="G344" s="14" t="n">
        <v>0.25</v>
      </c>
      <c r="H344" s="14" t="n">
        <v>0.2092</v>
      </c>
      <c r="I344" s="14" t="n">
        <v>0.21068492028126</v>
      </c>
      <c r="J344" s="14" t="n">
        <v>0.218064851943157</v>
      </c>
      <c r="K344" s="14" t="n">
        <v>0.23303232196885</v>
      </c>
      <c r="L344" s="14" t="n">
        <v>0.275537250444026</v>
      </c>
      <c r="M344" s="14" t="n">
        <v>4.4296</v>
      </c>
      <c r="N344" s="14" t="n">
        <v>4.4364</v>
      </c>
      <c r="O344" s="14" t="n">
        <v>4.3597</v>
      </c>
      <c r="P344" s="14" t="n">
        <v>4.1874</v>
      </c>
      <c r="Q344" s="14" t="n">
        <v>0.5</v>
      </c>
      <c r="R344" s="14" t="n">
        <v>0.49</v>
      </c>
      <c r="S344" s="14" t="n">
        <v>12.25</v>
      </c>
    </row>
    <row r="345" customFormat="false" ht="15" hidden="false" customHeight="false" outlineLevel="0" collapsed="false">
      <c r="A345" s="13" t="n">
        <v>42822</v>
      </c>
      <c r="C345" s="14" t="n">
        <v>1</v>
      </c>
      <c r="D345" s="14" t="n">
        <v>0.75</v>
      </c>
      <c r="F345" s="14" t="n">
        <v>-0.4</v>
      </c>
      <c r="G345" s="14" t="n">
        <v>0.25</v>
      </c>
      <c r="H345" s="14" t="n">
        <v>0.21</v>
      </c>
      <c r="I345" s="14" t="n">
        <v>0.210218838780718</v>
      </c>
      <c r="J345" s="14" t="n">
        <v>0.216928843093318</v>
      </c>
      <c r="K345" s="14" t="n">
        <v>0.232188111077297</v>
      </c>
      <c r="L345" s="14" t="n">
        <v>0.27479170181259</v>
      </c>
      <c r="M345" s="14" t="n">
        <v>4.4105</v>
      </c>
      <c r="N345" s="14" t="n">
        <v>4.423</v>
      </c>
      <c r="O345" s="14" t="n">
        <v>4.356</v>
      </c>
      <c r="P345" s="14" t="n">
        <v>4.1918</v>
      </c>
      <c r="Q345" s="14" t="n">
        <v>0.5</v>
      </c>
      <c r="R345" s="14" t="n">
        <v>0.49</v>
      </c>
      <c r="S345" s="14" t="n">
        <v>12.25</v>
      </c>
    </row>
    <row r="346" customFormat="false" ht="15" hidden="false" customHeight="false" outlineLevel="0" collapsed="false">
      <c r="A346" s="13" t="n">
        <v>42823</v>
      </c>
      <c r="C346" s="14" t="n">
        <v>1</v>
      </c>
      <c r="D346" s="14" t="n">
        <v>0.75</v>
      </c>
      <c r="F346" s="14" t="n">
        <v>-0.4</v>
      </c>
      <c r="G346" s="14" t="n">
        <v>0.25</v>
      </c>
      <c r="H346" s="14" t="n">
        <v>0.2116</v>
      </c>
      <c r="I346" s="14" t="n">
        <v>0.210147035935569</v>
      </c>
      <c r="J346" s="14" t="n">
        <v>0.215546607846356</v>
      </c>
      <c r="K346" s="14" t="n">
        <v>0.228529221247609</v>
      </c>
      <c r="L346" s="14" t="n">
        <v>0.267423233894877</v>
      </c>
      <c r="M346" s="14" t="n">
        <v>4.3955</v>
      </c>
      <c r="N346" s="14" t="n">
        <v>4.4135</v>
      </c>
      <c r="O346" s="14" t="n">
        <v>4.353</v>
      </c>
      <c r="P346" s="14" t="n">
        <v>4.1952</v>
      </c>
      <c r="Q346" s="14" t="n">
        <v>0.5</v>
      </c>
      <c r="R346" s="14" t="n">
        <v>0.48</v>
      </c>
      <c r="S346" s="14" t="n">
        <v>12.25</v>
      </c>
    </row>
    <row r="347" customFormat="false" ht="15" hidden="false" customHeight="false" outlineLevel="0" collapsed="false">
      <c r="A347" s="13" t="n">
        <v>42824</v>
      </c>
      <c r="C347" s="14" t="n">
        <v>1</v>
      </c>
      <c r="D347" s="14" t="n">
        <v>0.75</v>
      </c>
      <c r="F347" s="14" t="n">
        <v>-0.4</v>
      </c>
      <c r="G347" s="14" t="n">
        <v>0.25</v>
      </c>
      <c r="H347" s="14" t="n">
        <v>0.2136</v>
      </c>
      <c r="I347" s="14" t="n">
        <v>0.210119630000429</v>
      </c>
      <c r="J347" s="14" t="n">
        <v>0.215722562691188</v>
      </c>
      <c r="K347" s="14" t="n">
        <v>0.227194090024143</v>
      </c>
      <c r="L347" s="14" t="n">
        <v>0.26290064181671</v>
      </c>
      <c r="M347" s="14" t="n">
        <v>4.3843</v>
      </c>
      <c r="N347" s="14" t="n">
        <v>4.3995</v>
      </c>
      <c r="O347" s="14" t="n">
        <v>4.349</v>
      </c>
      <c r="P347" s="14" t="n">
        <v>4.2006</v>
      </c>
      <c r="Q347" s="14" t="n">
        <v>0.5</v>
      </c>
      <c r="R347" s="14" t="n">
        <v>0.49</v>
      </c>
      <c r="S347" s="14" t="n">
        <v>12.25</v>
      </c>
    </row>
    <row r="348" customFormat="false" ht="15" hidden="false" customHeight="false" outlineLevel="0" collapsed="false">
      <c r="A348" s="13" t="n">
        <v>42825</v>
      </c>
      <c r="C348" s="14" t="n">
        <v>1</v>
      </c>
      <c r="D348" s="14" t="n">
        <v>0.75</v>
      </c>
      <c r="F348" s="14" t="n">
        <v>-0.4</v>
      </c>
      <c r="G348" s="14" t="n">
        <v>0.25</v>
      </c>
      <c r="H348" s="14" t="n">
        <v>0.174</v>
      </c>
      <c r="I348" s="14" t="n">
        <v>0.210501555126403</v>
      </c>
      <c r="J348" s="14" t="n">
        <v>0.215601445766214</v>
      </c>
      <c r="K348" s="14" t="n">
        <v>0.227257869144893</v>
      </c>
      <c r="L348" s="14" t="n">
        <v>0.263667818477381</v>
      </c>
      <c r="M348" s="14" t="n">
        <v>4.3501</v>
      </c>
      <c r="N348" s="14" t="n">
        <v>4.393</v>
      </c>
      <c r="O348" s="14" t="n">
        <v>4.35</v>
      </c>
      <c r="P348" s="14" t="n">
        <v>4.2</v>
      </c>
      <c r="Q348" s="14" t="n">
        <v>0.5</v>
      </c>
      <c r="R348" s="14" t="n">
        <v>0.5</v>
      </c>
      <c r="S348" s="14" t="n">
        <v>12.25</v>
      </c>
    </row>
    <row r="349" customFormat="false" ht="15" hidden="false" customHeight="false" outlineLevel="0" collapsed="false">
      <c r="A349" s="13" t="n">
        <v>42826</v>
      </c>
      <c r="C349" s="14" t="n">
        <v>1</v>
      </c>
      <c r="D349" s="14" t="n">
        <v>0.75</v>
      </c>
      <c r="F349" s="14" t="n">
        <v>-0.4</v>
      </c>
      <c r="M349" s="14" t="n">
        <v>4.317</v>
      </c>
      <c r="N349" s="14" t="n">
        <v>4.3642</v>
      </c>
      <c r="O349" s="14" t="n">
        <v>4.351</v>
      </c>
      <c r="P349" s="14" t="n">
        <v>4.2</v>
      </c>
      <c r="S349" s="14" t="n">
        <v>12.25</v>
      </c>
    </row>
    <row r="350" customFormat="false" ht="15" hidden="false" customHeight="false" outlineLevel="0" collapsed="false">
      <c r="A350" s="13" t="n">
        <v>42828</v>
      </c>
      <c r="C350" s="14" t="n">
        <v>1</v>
      </c>
      <c r="D350" s="14" t="n">
        <v>0.75</v>
      </c>
      <c r="F350" s="14" t="n">
        <v>-0.4</v>
      </c>
      <c r="G350" s="14" t="n">
        <v>0.25</v>
      </c>
      <c r="H350" s="14" t="n">
        <v>0.2107</v>
      </c>
      <c r="I350" s="14" t="n">
        <v>0.211387169286296</v>
      </c>
      <c r="J350" s="14" t="n">
        <v>0.214673295043943</v>
      </c>
      <c r="K350" s="14" t="n">
        <v>0.22360706824005</v>
      </c>
      <c r="L350" s="14" t="n">
        <v>0.248761198090767</v>
      </c>
      <c r="Q350" s="14" t="n">
        <v>0.5</v>
      </c>
      <c r="R350" s="14" t="n">
        <v>0.48</v>
      </c>
      <c r="S350" s="14" t="n">
        <v>12.25</v>
      </c>
    </row>
    <row r="351" customFormat="false" ht="15" hidden="false" customHeight="false" outlineLevel="0" collapsed="false">
      <c r="A351" s="13" t="n">
        <v>42829</v>
      </c>
      <c r="C351" s="14" t="n">
        <v>1</v>
      </c>
      <c r="D351" s="14" t="n">
        <v>0.75</v>
      </c>
      <c r="F351" s="14" t="n">
        <v>-0.4</v>
      </c>
      <c r="G351" s="14" t="n">
        <v>0.25</v>
      </c>
      <c r="H351" s="14" t="n">
        <v>0.2112</v>
      </c>
      <c r="I351" s="14" t="n">
        <v>0.211209636602375</v>
      </c>
      <c r="J351" s="14" t="n">
        <v>0.213703932271967</v>
      </c>
      <c r="K351" s="14" t="n">
        <v>0.222035004816788</v>
      </c>
      <c r="L351" s="14" t="n">
        <v>0.246300686337968</v>
      </c>
      <c r="Q351" s="14" t="n">
        <v>0.5</v>
      </c>
      <c r="R351" s="14" t="n">
        <v>0.49</v>
      </c>
      <c r="S351" s="14" t="n">
        <v>12.25</v>
      </c>
    </row>
    <row r="352" customFormat="false" ht="15" hidden="false" customHeight="false" outlineLevel="0" collapsed="false">
      <c r="A352" s="13" t="n">
        <v>42830</v>
      </c>
      <c r="C352" s="14" t="n">
        <v>1</v>
      </c>
      <c r="D352" s="14" t="n">
        <v>0.75</v>
      </c>
      <c r="F352" s="14" t="n">
        <v>-0.4</v>
      </c>
      <c r="G352" s="14" t="n">
        <v>0.25</v>
      </c>
      <c r="H352" s="14" t="n">
        <v>0.2095</v>
      </c>
      <c r="I352" s="14" t="n">
        <v>0.211585438877269</v>
      </c>
      <c r="J352" s="14" t="n">
        <v>0.213797575174672</v>
      </c>
      <c r="K352" s="14" t="n">
        <v>0.221762239763953</v>
      </c>
      <c r="L352" s="14" t="n">
        <v>0.243681448280413</v>
      </c>
      <c r="M352" s="14" t="n">
        <v>4.2525</v>
      </c>
      <c r="N352" s="14" t="n">
        <v>4.3355</v>
      </c>
      <c r="O352" s="14" t="n">
        <v>4.347</v>
      </c>
      <c r="P352" s="14" t="n">
        <v>4.2</v>
      </c>
      <c r="Q352" s="14" t="n">
        <v>0.5</v>
      </c>
      <c r="R352" s="14" t="n">
        <v>0.48</v>
      </c>
      <c r="S352" s="14" t="n">
        <v>12.25</v>
      </c>
    </row>
    <row r="353" customFormat="false" ht="15" hidden="false" customHeight="false" outlineLevel="0" collapsed="false">
      <c r="A353" s="13" t="n">
        <v>42831</v>
      </c>
      <c r="C353" s="14" t="n">
        <v>1</v>
      </c>
      <c r="D353" s="14" t="n">
        <v>0.75</v>
      </c>
      <c r="F353" s="14" t="n">
        <v>-0.4</v>
      </c>
      <c r="G353" s="14" t="n">
        <v>0.25</v>
      </c>
      <c r="H353" s="14" t="n">
        <v>0.211</v>
      </c>
      <c r="I353" s="14" t="n">
        <v>0.211728523211517</v>
      </c>
      <c r="J353" s="14" t="n">
        <v>0.214202292072932</v>
      </c>
      <c r="K353" s="14" t="n">
        <v>0.22332081247502</v>
      </c>
      <c r="L353" s="14" t="n">
        <v>0.250363498507443</v>
      </c>
      <c r="M353" s="14" t="n">
        <v>4.1783</v>
      </c>
      <c r="N353" s="14" t="n">
        <v>4.3183</v>
      </c>
      <c r="O353" s="14" t="n">
        <v>4.345</v>
      </c>
      <c r="P353" s="14" t="n">
        <v>4.2</v>
      </c>
      <c r="Q353" s="14" t="n">
        <v>0.5</v>
      </c>
      <c r="R353" s="14" t="n">
        <v>0.5</v>
      </c>
      <c r="S353" s="14" t="n">
        <v>12.25</v>
      </c>
    </row>
    <row r="354" customFormat="false" ht="15" hidden="false" customHeight="false" outlineLevel="0" collapsed="false">
      <c r="A354" s="13" t="n">
        <v>42832</v>
      </c>
      <c r="C354" s="14" t="n">
        <v>1</v>
      </c>
      <c r="D354" s="14" t="n">
        <v>0.75</v>
      </c>
      <c r="F354" s="14" t="n">
        <v>-0.4</v>
      </c>
      <c r="G354" s="14" t="n">
        <v>0.25</v>
      </c>
      <c r="H354" s="14" t="n">
        <v>0.2108</v>
      </c>
      <c r="I354" s="14" t="n">
        <v>0.2113122920841</v>
      </c>
      <c r="J354" s="14" t="n">
        <v>0.213656099615433</v>
      </c>
      <c r="K354" s="14" t="n">
        <v>0.221284659942268</v>
      </c>
      <c r="L354" s="14" t="n">
        <v>0.244519863992512</v>
      </c>
      <c r="M354" s="14" t="n">
        <v>4.118</v>
      </c>
      <c r="N354" s="14" t="n">
        <v>4.301</v>
      </c>
      <c r="O354" s="14" t="n">
        <v>4.339</v>
      </c>
      <c r="P354" s="14" t="n">
        <v>4.2</v>
      </c>
      <c r="Q354" s="14" t="n">
        <v>0.5</v>
      </c>
      <c r="R354" s="14" t="n">
        <v>0.49</v>
      </c>
      <c r="S354" s="14" t="n">
        <v>12.25</v>
      </c>
    </row>
    <row r="355" customFormat="false" ht="15" hidden="false" customHeight="false" outlineLevel="0" collapsed="false">
      <c r="A355" s="13" t="n">
        <v>42835</v>
      </c>
      <c r="C355" s="14" t="n">
        <v>1</v>
      </c>
      <c r="D355" s="14" t="n">
        <v>0.75</v>
      </c>
      <c r="F355" s="14" t="n">
        <v>-0.4</v>
      </c>
      <c r="G355" s="14" t="n">
        <v>0.25</v>
      </c>
      <c r="H355" s="14" t="n">
        <v>0.2116</v>
      </c>
      <c r="I355" s="14" t="n">
        <v>0.210691807119677</v>
      </c>
      <c r="J355" s="14" t="n">
        <v>0.214045969737272</v>
      </c>
      <c r="K355" s="14" t="n">
        <v>0.222066050121228</v>
      </c>
      <c r="L355" s="14" t="n">
        <v>0.24112210901926</v>
      </c>
      <c r="M355" s="14" t="n">
        <v>4.0746</v>
      </c>
      <c r="N355" s="14" t="n">
        <v>4.2906</v>
      </c>
      <c r="O355" s="14" t="n">
        <v>4.332</v>
      </c>
      <c r="P355" s="14" t="n">
        <v>4.201</v>
      </c>
      <c r="Q355" s="14" t="n">
        <v>0.5</v>
      </c>
      <c r="R355" s="14" t="n">
        <v>0.49</v>
      </c>
      <c r="S355" s="14" t="n">
        <v>12.25</v>
      </c>
    </row>
    <row r="356" customFormat="false" ht="15" hidden="false" customHeight="false" outlineLevel="0" collapsed="false">
      <c r="A356" s="13" t="n">
        <v>42836</v>
      </c>
      <c r="C356" s="14" t="n">
        <v>1</v>
      </c>
      <c r="D356" s="14" t="n">
        <v>0.75</v>
      </c>
      <c r="F356" s="14" t="n">
        <v>-0.4</v>
      </c>
      <c r="G356" s="14" t="n">
        <v>0.25</v>
      </c>
      <c r="H356" s="14" t="n">
        <v>0.2112</v>
      </c>
      <c r="I356" s="14" t="n">
        <v>0.210721880532515</v>
      </c>
      <c r="J356" s="14" t="n">
        <v>0.213687776018339</v>
      </c>
      <c r="K356" s="14" t="n">
        <v>0.220151375940003</v>
      </c>
      <c r="L356" s="14" t="n">
        <v>0.237498813190761</v>
      </c>
      <c r="M356" s="14" t="n">
        <v>4.0382</v>
      </c>
      <c r="N356" s="14" t="n">
        <v>4.2774</v>
      </c>
      <c r="O356" s="14" t="n">
        <v>4.322</v>
      </c>
      <c r="P356" s="14" t="n">
        <v>4.201</v>
      </c>
      <c r="Q356" s="14" t="n">
        <v>0.5</v>
      </c>
      <c r="R356" s="14" t="n">
        <v>0.5</v>
      </c>
      <c r="S356" s="14" t="n">
        <v>12.25</v>
      </c>
    </row>
    <row r="357" customFormat="false" ht="15" hidden="false" customHeight="false" outlineLevel="0" collapsed="false">
      <c r="A357" s="13" t="n">
        <v>42837</v>
      </c>
      <c r="C357" s="14" t="n">
        <v>1</v>
      </c>
      <c r="D357" s="14" t="n">
        <v>0.75</v>
      </c>
      <c r="F357" s="14" t="n">
        <v>-0.4</v>
      </c>
      <c r="G357" s="14" t="n">
        <v>0.25</v>
      </c>
      <c r="H357" s="14" t="n">
        <v>0.2101</v>
      </c>
      <c r="I357" s="14" t="n">
        <v>0.210448261549802</v>
      </c>
      <c r="J357" s="14" t="n">
        <v>0.212764914538176</v>
      </c>
      <c r="K357" s="14" t="n">
        <v>0.218063124658219</v>
      </c>
      <c r="L357" s="14" t="n">
        <v>0.231559512594488</v>
      </c>
      <c r="M357" s="14" t="n">
        <v>4.0132</v>
      </c>
      <c r="N357" s="14" t="n">
        <v>4.2653</v>
      </c>
      <c r="O357" s="14" t="n">
        <v>4.316</v>
      </c>
      <c r="P357" s="14" t="n">
        <v>4.2011</v>
      </c>
      <c r="Q357" s="14" t="n">
        <v>0.5</v>
      </c>
      <c r="R357" s="14" t="n">
        <v>0.51</v>
      </c>
      <c r="S357" s="14" t="n">
        <v>12.25</v>
      </c>
    </row>
    <row r="358" customFormat="false" ht="15" hidden="false" customHeight="false" outlineLevel="0" collapsed="false">
      <c r="A358" s="13" t="n">
        <v>42838</v>
      </c>
      <c r="C358" s="14" t="n">
        <v>1</v>
      </c>
      <c r="D358" s="14" t="n">
        <v>0.75</v>
      </c>
      <c r="F358" s="14" t="n">
        <v>-0.4</v>
      </c>
      <c r="G358" s="14" t="n">
        <v>0.25</v>
      </c>
      <c r="H358" s="14" t="n">
        <v>0.2122</v>
      </c>
      <c r="I358" s="14" t="n">
        <v>0.210722093574663</v>
      </c>
      <c r="J358" s="14" t="n">
        <v>0.21226977591899</v>
      </c>
      <c r="K358" s="14" t="n">
        <v>0.216466717117255</v>
      </c>
      <c r="L358" s="14" t="n">
        <v>0.227878423230085</v>
      </c>
      <c r="M358" s="14" t="n">
        <v>4.0016</v>
      </c>
      <c r="N358" s="14" t="n">
        <v>4.2631</v>
      </c>
      <c r="O358" s="14" t="n">
        <v>4.3166</v>
      </c>
      <c r="P358" s="14" t="n">
        <v>4.2022</v>
      </c>
      <c r="S358" s="14" t="n">
        <v>11.25</v>
      </c>
    </row>
    <row r="359" customFormat="false" ht="15" hidden="false" customHeight="false" outlineLevel="0" collapsed="false">
      <c r="A359" s="13" t="n">
        <v>42839</v>
      </c>
      <c r="C359" s="14" t="n">
        <v>1</v>
      </c>
      <c r="D359" s="14" t="n">
        <v>0.75</v>
      </c>
      <c r="F359" s="14" t="n">
        <v>-0.4</v>
      </c>
      <c r="M359" s="14" t="n">
        <v>3.9972</v>
      </c>
      <c r="N359" s="14" t="n">
        <v>4.2634</v>
      </c>
      <c r="O359" s="14" t="n">
        <v>4.3177</v>
      </c>
      <c r="P359" s="14" t="n">
        <v>4.2013</v>
      </c>
      <c r="S359" s="14" t="n">
        <v>11.25</v>
      </c>
    </row>
    <row r="360" customFormat="false" ht="15" hidden="false" customHeight="false" outlineLevel="0" collapsed="false">
      <c r="A360" s="13" t="n">
        <v>42842</v>
      </c>
      <c r="C360" s="14" t="n">
        <v>1</v>
      </c>
      <c r="D360" s="14" t="n">
        <v>0.75</v>
      </c>
      <c r="F360" s="14" t="n">
        <v>-0.4</v>
      </c>
      <c r="M360" s="14" t="n">
        <v>3.9972</v>
      </c>
      <c r="N360" s="14" t="n">
        <v>4.2609</v>
      </c>
      <c r="O360" s="14" t="n">
        <v>4.3148</v>
      </c>
      <c r="P360" s="14" t="n">
        <v>4.2022</v>
      </c>
      <c r="S360" s="14" t="n">
        <v>11.25</v>
      </c>
    </row>
    <row r="361" customFormat="false" ht="15" hidden="false" customHeight="false" outlineLevel="0" collapsed="false">
      <c r="A361" s="13" t="n">
        <v>42843</v>
      </c>
      <c r="C361" s="14" t="n">
        <v>1</v>
      </c>
      <c r="D361" s="14" t="n">
        <v>0.75</v>
      </c>
      <c r="F361" s="14" t="n">
        <v>-0.4</v>
      </c>
      <c r="G361" s="14" t="n">
        <v>0.25</v>
      </c>
      <c r="H361" s="14" t="n">
        <v>0.2112</v>
      </c>
      <c r="I361" s="14" t="n">
        <v>0.211277444352513</v>
      </c>
      <c r="J361" s="14" t="n">
        <v>0.214080186756595</v>
      </c>
      <c r="K361" s="14" t="n">
        <v>0.218656498186697</v>
      </c>
      <c r="L361" s="14" t="n">
        <v>0.230366584950359</v>
      </c>
      <c r="M361" s="14" t="n">
        <v>3.9978</v>
      </c>
      <c r="N361" s="14" t="n">
        <v>4.2621</v>
      </c>
      <c r="O361" s="14" t="n">
        <v>4.3145</v>
      </c>
      <c r="P361" s="14" t="n">
        <v>4.2023</v>
      </c>
      <c r="Q361" s="14" t="n">
        <v>0.5</v>
      </c>
      <c r="R361" s="14" t="n">
        <v>0.49</v>
      </c>
      <c r="S361" s="14" t="n">
        <v>11.25</v>
      </c>
    </row>
    <row r="362" customFormat="false" ht="15" hidden="false" customHeight="false" outlineLevel="0" collapsed="false">
      <c r="A362" s="13" t="n">
        <v>42844</v>
      </c>
      <c r="C362" s="14" t="n">
        <v>1</v>
      </c>
      <c r="D362" s="14" t="n">
        <v>0.75</v>
      </c>
      <c r="F362" s="14" t="n">
        <v>-0.4</v>
      </c>
      <c r="G362" s="14" t="n">
        <v>0.25</v>
      </c>
      <c r="H362" s="14" t="n">
        <v>0.2117</v>
      </c>
      <c r="I362" s="14" t="n">
        <v>0.210861711232647</v>
      </c>
      <c r="J362" s="14" t="n">
        <v>0.211857762143465</v>
      </c>
      <c r="K362" s="14" t="n">
        <v>0.21735157025556</v>
      </c>
      <c r="L362" s="14" t="n">
        <v>0.235298369965915</v>
      </c>
      <c r="M362" s="14" t="n">
        <v>4.0008</v>
      </c>
      <c r="N362" s="14" t="n">
        <v>4.2661</v>
      </c>
      <c r="O362" s="14" t="n">
        <v>4.3225</v>
      </c>
      <c r="P362" s="14" t="n">
        <v>4.2113</v>
      </c>
      <c r="Q362" s="14" t="n">
        <v>0.5</v>
      </c>
      <c r="R362" s="14" t="n">
        <v>0.49</v>
      </c>
      <c r="S362" s="14" t="n">
        <v>11.25</v>
      </c>
    </row>
    <row r="363" customFormat="false" ht="15" hidden="false" customHeight="false" outlineLevel="0" collapsed="false">
      <c r="A363" s="13" t="n">
        <v>42845</v>
      </c>
      <c r="C363" s="14" t="n">
        <v>1</v>
      </c>
      <c r="D363" s="14" t="n">
        <v>0.75</v>
      </c>
      <c r="F363" s="14" t="n">
        <v>-0.4</v>
      </c>
      <c r="G363" s="14" t="n">
        <v>0.25</v>
      </c>
      <c r="H363" s="14" t="n">
        <v>0.2124</v>
      </c>
      <c r="I363" s="14" t="n">
        <v>0.211510095513494</v>
      </c>
      <c r="J363" s="14" t="n">
        <v>0.21306975913143</v>
      </c>
      <c r="K363" s="14" t="n">
        <v>0.217517283968152</v>
      </c>
      <c r="L363" s="14" t="n">
        <v>0.232956319720151</v>
      </c>
      <c r="M363" s="14" t="n">
        <v>4.005</v>
      </c>
      <c r="N363" s="14" t="n">
        <v>4.2725</v>
      </c>
      <c r="O363" s="14" t="n">
        <v>4.3242</v>
      </c>
      <c r="P363" s="14" t="n">
        <v>4.2121</v>
      </c>
      <c r="Q363" s="14" t="n">
        <v>0.5</v>
      </c>
      <c r="R363" s="14" t="n">
        <v>0.5</v>
      </c>
      <c r="S363" s="14" t="n">
        <v>11.25</v>
      </c>
    </row>
    <row r="364" customFormat="false" ht="15" hidden="false" customHeight="false" outlineLevel="0" collapsed="false">
      <c r="A364" s="13" t="n">
        <v>42846</v>
      </c>
      <c r="C364" s="14" t="n">
        <v>1</v>
      </c>
      <c r="D364" s="14" t="n">
        <v>0.75</v>
      </c>
      <c r="F364" s="14" t="n">
        <v>-0.4</v>
      </c>
      <c r="G364" s="14" t="n">
        <v>0.25</v>
      </c>
      <c r="H364" s="14" t="n">
        <v>0.2121</v>
      </c>
      <c r="I364" s="14" t="n">
        <v>0.211603463967157</v>
      </c>
      <c r="J364" s="14" t="n">
        <v>0.213409939378042</v>
      </c>
      <c r="K364" s="14" t="n">
        <v>0.216785835354701</v>
      </c>
      <c r="L364" s="14" t="n">
        <v>0.227172956950693</v>
      </c>
      <c r="M364" s="14" t="n">
        <v>4.0095</v>
      </c>
      <c r="N364" s="14" t="n">
        <v>4.2781</v>
      </c>
      <c r="O364" s="14" t="n">
        <v>4.3254</v>
      </c>
      <c r="P364" s="14" t="n">
        <v>4.2145</v>
      </c>
      <c r="Q364" s="14" t="n">
        <v>0.5</v>
      </c>
      <c r="R364" s="14" t="n">
        <v>0.48</v>
      </c>
      <c r="S364" s="14" t="n">
        <v>11.25</v>
      </c>
    </row>
    <row r="365" customFormat="false" ht="15" hidden="false" customHeight="false" outlineLevel="0" collapsed="false">
      <c r="A365" s="13" t="n">
        <v>42849</v>
      </c>
      <c r="C365" s="14" t="n">
        <v>1</v>
      </c>
      <c r="D365" s="14" t="n">
        <v>0.75</v>
      </c>
      <c r="F365" s="14" t="n">
        <v>-0.4</v>
      </c>
      <c r="G365" s="14" t="n">
        <v>0.25</v>
      </c>
      <c r="H365" s="14" t="n">
        <v>0.2118</v>
      </c>
      <c r="I365" s="14" t="n">
        <v>0.211920777295888</v>
      </c>
      <c r="J365" s="14" t="n">
        <v>0.2132843778313</v>
      </c>
      <c r="K365" s="14" t="n">
        <v>0.215621719888516</v>
      </c>
      <c r="L365" s="14" t="n">
        <v>0.22791216518389</v>
      </c>
      <c r="M365" s="14" t="n">
        <v>4.01</v>
      </c>
      <c r="N365" s="14" t="n">
        <v>4.2789</v>
      </c>
      <c r="O365" s="14" t="n">
        <v>4.3276</v>
      </c>
      <c r="P365" s="14" t="n">
        <v>4.2175</v>
      </c>
      <c r="Q365" s="14" t="n">
        <v>0.5</v>
      </c>
      <c r="R365" s="14" t="n">
        <v>0.48</v>
      </c>
      <c r="S365" s="14" t="n">
        <v>11.25</v>
      </c>
    </row>
    <row r="366" customFormat="false" ht="15" hidden="false" customHeight="false" outlineLevel="0" collapsed="false">
      <c r="A366" s="13" t="n">
        <v>42850</v>
      </c>
      <c r="C366" s="14" t="n">
        <v>1</v>
      </c>
      <c r="D366" s="14" t="n">
        <v>0.75</v>
      </c>
      <c r="F366" s="14" t="n">
        <v>-0.4</v>
      </c>
      <c r="G366" s="14" t="n">
        <v>0.25</v>
      </c>
      <c r="H366" s="14" t="n">
        <v>0.2122</v>
      </c>
      <c r="I366" s="14" t="n">
        <v>0.211945730189899</v>
      </c>
      <c r="J366" s="14" t="n">
        <v>0.213446322267824</v>
      </c>
      <c r="K366" s="14" t="n">
        <v>0.218151213779605</v>
      </c>
      <c r="L366" s="14" t="n">
        <v>0.234050106160842</v>
      </c>
      <c r="M366" s="14" t="n">
        <v>4.01</v>
      </c>
      <c r="N366" s="14" t="n">
        <v>4.2839</v>
      </c>
      <c r="O366" s="14" t="n">
        <v>4.3288</v>
      </c>
      <c r="P366" s="14" t="n">
        <v>4.2228</v>
      </c>
      <c r="Q366" s="14" t="n">
        <v>0.5</v>
      </c>
      <c r="R366" s="14" t="n">
        <v>0.48</v>
      </c>
      <c r="S366" s="14" t="n">
        <v>11.25</v>
      </c>
    </row>
    <row r="367" customFormat="false" ht="15" hidden="false" customHeight="false" outlineLevel="0" collapsed="false">
      <c r="A367" s="13" t="n">
        <v>42851</v>
      </c>
      <c r="C367" s="14" t="n">
        <v>1</v>
      </c>
      <c r="D367" s="14" t="n">
        <v>0.75</v>
      </c>
      <c r="F367" s="14" t="n">
        <v>-0.4</v>
      </c>
      <c r="G367" s="14" t="n">
        <v>0.25</v>
      </c>
      <c r="H367" s="14" t="n">
        <v>0.2127</v>
      </c>
      <c r="I367" s="14" t="n">
        <v>0.211857559971643</v>
      </c>
      <c r="J367" s="14" t="n">
        <v>0.213055525158754</v>
      </c>
      <c r="K367" s="14" t="n">
        <v>0.217532708601634</v>
      </c>
      <c r="L367" s="14" t="n">
        <v>0.233056715018907</v>
      </c>
      <c r="M367" s="14" t="n">
        <v>4.011</v>
      </c>
      <c r="N367" s="14" t="n">
        <v>4.2884</v>
      </c>
      <c r="O367" s="14" t="n">
        <v>4.3309</v>
      </c>
      <c r="P367" s="14" t="n">
        <v>4.2243</v>
      </c>
      <c r="Q367" s="14" t="n">
        <v>0.5</v>
      </c>
      <c r="R367" s="14" t="n">
        <v>0.49</v>
      </c>
      <c r="S367" s="14" t="n">
        <v>11.25</v>
      </c>
    </row>
    <row r="368" customFormat="false" ht="15" hidden="false" customHeight="false" outlineLevel="0" collapsed="false">
      <c r="A368" s="13" t="n">
        <v>42852</v>
      </c>
      <c r="C368" s="14" t="n">
        <v>1</v>
      </c>
      <c r="D368" s="14" t="n">
        <v>0.75</v>
      </c>
      <c r="F368" s="14" t="n">
        <v>-0.4</v>
      </c>
      <c r="G368" s="14" t="n">
        <v>0.25</v>
      </c>
      <c r="H368" s="14" t="n">
        <v>0.2111</v>
      </c>
      <c r="I368" s="14" t="n">
        <v>0.211941052803081</v>
      </c>
      <c r="J368" s="14" t="n">
        <v>0.213202876698804</v>
      </c>
      <c r="K368" s="14" t="n">
        <v>0.218616488940695</v>
      </c>
      <c r="L368" s="14" t="n">
        <v>0.236378434473291</v>
      </c>
      <c r="M368" s="14" t="n">
        <v>4.0161</v>
      </c>
      <c r="N368" s="14" t="n">
        <v>4.2917</v>
      </c>
      <c r="O368" s="14" t="n">
        <v>4.3331</v>
      </c>
      <c r="P368" s="14" t="n">
        <v>4.2255</v>
      </c>
      <c r="Q368" s="14" t="n">
        <v>0.5</v>
      </c>
      <c r="R368" s="14" t="n">
        <v>0.48</v>
      </c>
      <c r="S368" s="14" t="n">
        <v>11.25</v>
      </c>
    </row>
    <row r="369" customFormat="false" ht="15" hidden="false" customHeight="false" outlineLevel="0" collapsed="false">
      <c r="A369" s="13" t="n">
        <v>42853</v>
      </c>
      <c r="C369" s="14" t="n">
        <v>1</v>
      </c>
      <c r="D369" s="14" t="n">
        <v>0.75</v>
      </c>
      <c r="F369" s="14" t="n">
        <v>-0.4</v>
      </c>
      <c r="G369" s="14" t="n">
        <v>0.25</v>
      </c>
      <c r="H369" s="14" t="n">
        <v>0.2108</v>
      </c>
      <c r="I369" s="14" t="n">
        <v>0.211697565609528</v>
      </c>
      <c r="J369" s="14" t="n">
        <v>0.213416903016068</v>
      </c>
      <c r="K369" s="14" t="n">
        <v>0.220160424280411</v>
      </c>
      <c r="L369" s="14" t="n">
        <v>0.240513295660354</v>
      </c>
      <c r="M369" s="14" t="n">
        <v>4.0237</v>
      </c>
      <c r="N369" s="14" t="n">
        <v>4.2974</v>
      </c>
      <c r="O369" s="14" t="n">
        <v>4.3364</v>
      </c>
      <c r="P369" s="14" t="n">
        <v>4.2296</v>
      </c>
      <c r="Q369" s="14" t="n">
        <v>0.5</v>
      </c>
      <c r="R369" s="14" t="n">
        <v>0.49</v>
      </c>
      <c r="S369" s="14" t="n">
        <v>11.25</v>
      </c>
    </row>
    <row r="370" customFormat="false" ht="15" hidden="false" customHeight="false" outlineLevel="0" collapsed="false">
      <c r="A370" s="13" t="n">
        <v>42856</v>
      </c>
      <c r="C370" s="14" t="n">
        <v>1</v>
      </c>
      <c r="D370" s="14" t="n">
        <v>0.75</v>
      </c>
      <c r="F370" s="14" t="n">
        <v>-0.4</v>
      </c>
      <c r="S370" s="14" t="n">
        <v>11.25</v>
      </c>
    </row>
    <row r="371" customFormat="false" ht="15" hidden="false" customHeight="false" outlineLevel="0" collapsed="false">
      <c r="A371" s="13" t="n">
        <v>42857</v>
      </c>
      <c r="C371" s="14" t="n">
        <v>1</v>
      </c>
      <c r="D371" s="14" t="n">
        <v>0.75</v>
      </c>
      <c r="F371" s="14" t="n">
        <v>-0.4</v>
      </c>
      <c r="G371" s="14" t="n">
        <v>0.25</v>
      </c>
      <c r="H371" s="14" t="n">
        <v>0.2111</v>
      </c>
      <c r="I371" s="14" t="n">
        <v>0.211430024631922</v>
      </c>
      <c r="J371" s="14" t="n">
        <v>0.213199557057975</v>
      </c>
      <c r="K371" s="14" t="n">
        <v>0.219751546026235</v>
      </c>
      <c r="L371" s="14" t="n">
        <v>0.238622943698649</v>
      </c>
      <c r="M371" s="14" t="n">
        <v>4.027</v>
      </c>
      <c r="N371" s="14" t="n">
        <v>4.3002</v>
      </c>
      <c r="O371" s="14" t="n">
        <v>4.3397</v>
      </c>
      <c r="P371" s="14" t="n">
        <v>4.233</v>
      </c>
      <c r="Q371" s="14" t="n">
        <v>0.5</v>
      </c>
      <c r="R371" s="14" t="n">
        <v>0.49</v>
      </c>
      <c r="S371" s="14" t="n">
        <v>11.25</v>
      </c>
    </row>
    <row r="372" customFormat="false" ht="15" hidden="false" customHeight="false" outlineLevel="0" collapsed="false">
      <c r="A372" s="13" t="n">
        <v>42858</v>
      </c>
      <c r="C372" s="14" t="n">
        <v>1</v>
      </c>
      <c r="D372" s="14" t="n">
        <v>0.75</v>
      </c>
      <c r="F372" s="14" t="n">
        <v>-0.4</v>
      </c>
      <c r="G372" s="14" t="n">
        <v>0.25</v>
      </c>
      <c r="H372" s="14" t="n">
        <v>0.2104</v>
      </c>
      <c r="I372" s="14" t="n">
        <v>0.21071446142483</v>
      </c>
      <c r="J372" s="14" t="n">
        <v>0.211777370127631</v>
      </c>
      <c r="K372" s="14" t="n">
        <v>0.218778509330521</v>
      </c>
      <c r="L372" s="14" t="n">
        <v>0.24076943421234</v>
      </c>
      <c r="M372" s="14" t="n">
        <v>4.0361</v>
      </c>
      <c r="N372" s="14" t="n">
        <v>4.3309</v>
      </c>
      <c r="O372" s="14" t="n">
        <v>4.35</v>
      </c>
      <c r="P372" s="14" t="n">
        <v>4.2453</v>
      </c>
      <c r="Q372" s="14" t="n">
        <v>0.5</v>
      </c>
      <c r="R372" s="14" t="n">
        <v>0.49</v>
      </c>
      <c r="S372" s="14" t="n">
        <v>11.25</v>
      </c>
    </row>
    <row r="373" customFormat="false" ht="15" hidden="false" customHeight="false" outlineLevel="0" collapsed="false">
      <c r="A373" s="13" t="n">
        <v>42859</v>
      </c>
      <c r="C373" s="14" t="n">
        <v>1</v>
      </c>
      <c r="D373" s="14" t="n">
        <v>0.75</v>
      </c>
      <c r="F373" s="14" t="n">
        <v>-0.4</v>
      </c>
      <c r="G373" s="14" t="n">
        <v>0.25</v>
      </c>
      <c r="H373" s="14" t="n">
        <v>0.2106</v>
      </c>
      <c r="I373" s="14" t="n">
        <v>0.212468124232338</v>
      </c>
      <c r="J373" s="14" t="n">
        <v>0.214569726839009</v>
      </c>
      <c r="K373" s="14" t="n">
        <v>0.222445907991274</v>
      </c>
      <c r="L373" s="14" t="n">
        <v>0.247449748784721</v>
      </c>
      <c r="M373" s="14" t="n">
        <v>4.0436</v>
      </c>
      <c r="N373" s="14" t="n">
        <v>4.3476</v>
      </c>
      <c r="O373" s="14" t="n">
        <v>4.3602</v>
      </c>
      <c r="P373" s="14" t="n">
        <v>4.2503</v>
      </c>
      <c r="Q373" s="14" t="n">
        <v>0.5</v>
      </c>
      <c r="R373" s="14" t="n">
        <v>0.48</v>
      </c>
      <c r="S373" s="14" t="n">
        <v>11.25</v>
      </c>
    </row>
    <row r="374" customFormat="false" ht="15" hidden="false" customHeight="false" outlineLevel="0" collapsed="false">
      <c r="A374" s="13" t="n">
        <v>42860</v>
      </c>
      <c r="C374" s="14" t="n">
        <v>1</v>
      </c>
      <c r="D374" s="14" t="n">
        <v>0.75</v>
      </c>
      <c r="F374" s="14" t="n">
        <v>-0.4</v>
      </c>
      <c r="G374" s="14" t="n">
        <v>0.25</v>
      </c>
      <c r="H374" s="14" t="n">
        <v>0.2136</v>
      </c>
      <c r="I374" s="14" t="n">
        <v>0.212959134401652</v>
      </c>
      <c r="J374" s="14" t="n">
        <v>0.216050284633904</v>
      </c>
      <c r="K374" s="14" t="n">
        <v>0.225443580915475</v>
      </c>
      <c r="L374" s="14" t="n">
        <v>0.254639814789924</v>
      </c>
      <c r="M374" s="14" t="n">
        <v>4.0469</v>
      </c>
      <c r="N374" s="14" t="n">
        <v>4.3608</v>
      </c>
      <c r="O374" s="14" t="n">
        <v>4.3664</v>
      </c>
      <c r="P374" s="14" t="n">
        <v>4.2512</v>
      </c>
      <c r="Q374" s="14" t="n">
        <v>0.5</v>
      </c>
      <c r="R374" s="14" t="n">
        <v>0.49</v>
      </c>
      <c r="S374" s="14" t="n">
        <v>11.25</v>
      </c>
    </row>
    <row r="375" customFormat="false" ht="15" hidden="false" customHeight="false" outlineLevel="0" collapsed="false">
      <c r="A375" s="13" t="n">
        <v>42863</v>
      </c>
      <c r="C375" s="14" t="n">
        <v>1</v>
      </c>
      <c r="D375" s="14" t="n">
        <v>0.75</v>
      </c>
      <c r="F375" s="14" t="n">
        <v>-0.4</v>
      </c>
      <c r="G375" s="14" t="n">
        <v>0.25</v>
      </c>
      <c r="H375" s="14" t="n">
        <v>0.2136</v>
      </c>
      <c r="I375" s="14" t="n">
        <v>0.212025391323366</v>
      </c>
      <c r="J375" s="14" t="n">
        <v>0.215401302606364</v>
      </c>
      <c r="K375" s="14" t="n">
        <v>0.226499016188932</v>
      </c>
      <c r="L375" s="14" t="n">
        <v>0.258129315709581</v>
      </c>
      <c r="M375" s="14" t="n">
        <v>4.0447</v>
      </c>
      <c r="N375" s="14" t="n">
        <v>4.3731</v>
      </c>
      <c r="O375" s="14" t="n">
        <v>4.3744</v>
      </c>
      <c r="P375" s="14" t="n">
        <v>4.2555</v>
      </c>
      <c r="Q375" s="14" t="n">
        <v>0.5</v>
      </c>
      <c r="R375" s="14" t="n">
        <v>0.49</v>
      </c>
      <c r="S375" s="14" t="n">
        <v>11.25</v>
      </c>
    </row>
    <row r="376" customFormat="false" ht="15" hidden="false" customHeight="false" outlineLevel="0" collapsed="false">
      <c r="A376" s="13" t="n">
        <v>42864</v>
      </c>
      <c r="C376" s="14" t="n">
        <v>1</v>
      </c>
      <c r="D376" s="14" t="n">
        <v>0.75</v>
      </c>
      <c r="F376" s="14" t="n">
        <v>-0.4</v>
      </c>
      <c r="G376" s="14" t="n">
        <v>0.25</v>
      </c>
      <c r="H376" s="14" t="n">
        <v>0.2142</v>
      </c>
      <c r="I376" s="14" t="n">
        <v>0.2130916545077</v>
      </c>
      <c r="J376" s="14" t="n">
        <v>0.21607228865865</v>
      </c>
      <c r="K376" s="14" t="n">
        <v>0.228030542031977</v>
      </c>
      <c r="L376" s="14" t="n">
        <v>0.261319399776073</v>
      </c>
      <c r="M376" s="14" t="n">
        <v>4.0441</v>
      </c>
      <c r="N376" s="14" t="n">
        <v>4.3848</v>
      </c>
      <c r="O376" s="14" t="n">
        <v>4.3799</v>
      </c>
      <c r="P376" s="14" t="n">
        <v>4.2612</v>
      </c>
      <c r="Q376" s="14" t="n">
        <v>0.5</v>
      </c>
      <c r="R376" s="14" t="n">
        <v>0.51</v>
      </c>
      <c r="S376" s="14" t="n">
        <v>11.25</v>
      </c>
    </row>
    <row r="377" customFormat="false" ht="15" hidden="false" customHeight="false" outlineLevel="0" collapsed="false">
      <c r="A377" s="13" t="n">
        <v>42865</v>
      </c>
      <c r="C377" s="14" t="n">
        <v>1</v>
      </c>
      <c r="D377" s="14" t="n">
        <v>0.75</v>
      </c>
      <c r="F377" s="14" t="n">
        <v>-0.4</v>
      </c>
      <c r="G377" s="14" t="n">
        <v>0.25</v>
      </c>
      <c r="H377" s="14" t="n">
        <v>0.2155</v>
      </c>
      <c r="I377" s="14" t="n">
        <v>0.213273391140723</v>
      </c>
      <c r="J377" s="14" t="n">
        <v>0.217173202664347</v>
      </c>
      <c r="K377" s="14" t="n">
        <v>0.229149742556898</v>
      </c>
      <c r="L377" s="14" t="n">
        <v>0.259624374814342</v>
      </c>
      <c r="M377" s="14" t="n">
        <v>4.0463</v>
      </c>
      <c r="N377" s="14" t="n">
        <v>4.3933</v>
      </c>
      <c r="O377" s="14" t="n">
        <v>4.3857</v>
      </c>
      <c r="P377" s="14" t="n">
        <v>4.2674</v>
      </c>
      <c r="Q377" s="14" t="n">
        <v>0.5</v>
      </c>
      <c r="R377" s="14" t="n">
        <v>0.48</v>
      </c>
      <c r="S377" s="14" t="n">
        <v>11.25</v>
      </c>
    </row>
    <row r="378" customFormat="false" ht="15" hidden="false" customHeight="false" outlineLevel="0" collapsed="false">
      <c r="A378" s="13" t="n">
        <v>42866</v>
      </c>
      <c r="C378" s="14" t="n">
        <v>1</v>
      </c>
      <c r="D378" s="14" t="n">
        <v>0.75</v>
      </c>
      <c r="F378" s="14" t="n">
        <v>-0.4</v>
      </c>
      <c r="G378" s="14" t="n">
        <v>0.25</v>
      </c>
      <c r="H378" s="14" t="n">
        <v>0.2131</v>
      </c>
      <c r="I378" s="14" t="n">
        <v>0.211778636891772</v>
      </c>
      <c r="J378" s="14" t="n">
        <v>0.215927446003071</v>
      </c>
      <c r="K378" s="14" t="n">
        <v>0.224937111416141</v>
      </c>
      <c r="L378" s="14" t="n">
        <v>0.248076139924901</v>
      </c>
      <c r="M378" s="14" t="n">
        <v>4.0507</v>
      </c>
      <c r="N378" s="14" t="n">
        <v>4.4083</v>
      </c>
      <c r="O378" s="14" t="n">
        <v>4.392</v>
      </c>
      <c r="P378" s="14" t="n">
        <v>4.2715</v>
      </c>
      <c r="Q378" s="14" t="n">
        <v>0.5</v>
      </c>
      <c r="R378" s="14" t="n">
        <v>0.49</v>
      </c>
      <c r="S378" s="14" t="n">
        <v>11.25</v>
      </c>
    </row>
    <row r="379" customFormat="false" ht="15" hidden="false" customHeight="false" outlineLevel="0" collapsed="false">
      <c r="A379" s="13" t="n">
        <v>42867</v>
      </c>
      <c r="C379" s="14" t="n">
        <v>1</v>
      </c>
      <c r="D379" s="14" t="n">
        <v>0.75</v>
      </c>
      <c r="F379" s="14" t="n">
        <v>-0.4</v>
      </c>
      <c r="G379" s="14" t="n">
        <v>0.25</v>
      </c>
      <c r="H379" s="14" t="n">
        <v>0.2146</v>
      </c>
      <c r="I379" s="14" t="n">
        <v>0.212946082891657</v>
      </c>
      <c r="J379" s="14" t="n">
        <v>0.21537260896827</v>
      </c>
      <c r="K379" s="14" t="n">
        <v>0.222255221404705</v>
      </c>
      <c r="L379" s="14" t="n">
        <v>0.239887904774424</v>
      </c>
      <c r="M379" s="14" t="n">
        <v>4.0468</v>
      </c>
      <c r="N379" s="14" t="n">
        <v>4.4088</v>
      </c>
      <c r="O379" s="14" t="n">
        <v>4.3952</v>
      </c>
      <c r="P379" s="14" t="n">
        <v>4.2724</v>
      </c>
      <c r="Q379" s="14" t="n">
        <v>0.5</v>
      </c>
      <c r="R379" s="14" t="n">
        <v>0.5</v>
      </c>
      <c r="S379" s="14" t="n">
        <v>11.25</v>
      </c>
    </row>
    <row r="380" customFormat="false" ht="15" hidden="false" customHeight="false" outlineLevel="0" collapsed="false">
      <c r="A380" s="13" t="n">
        <v>42870</v>
      </c>
      <c r="C380" s="14" t="n">
        <v>1</v>
      </c>
      <c r="D380" s="14" t="n">
        <v>0.75</v>
      </c>
      <c r="F380" s="14" t="n">
        <v>-0.4</v>
      </c>
      <c r="G380" s="14" t="n">
        <v>0.25</v>
      </c>
      <c r="H380" s="14" t="n">
        <v>0.2137</v>
      </c>
      <c r="I380" s="14" t="n">
        <v>0.213213305765733</v>
      </c>
      <c r="J380" s="14" t="n">
        <v>0.214261790388901</v>
      </c>
      <c r="K380" s="14" t="n">
        <v>0.221513115358345</v>
      </c>
      <c r="L380" s="14" t="n">
        <v>0.24230230613161</v>
      </c>
      <c r="M380" s="14" t="n">
        <v>4.0462</v>
      </c>
      <c r="N380" s="14" t="n">
        <v>4.4184</v>
      </c>
      <c r="O380" s="14" t="n">
        <v>4.3996</v>
      </c>
      <c r="P380" s="14" t="n">
        <v>4.2739</v>
      </c>
      <c r="Q380" s="14" t="n">
        <v>0.5</v>
      </c>
      <c r="R380" s="14" t="n">
        <v>0.49</v>
      </c>
      <c r="S380" s="14" t="n">
        <v>11.25</v>
      </c>
    </row>
    <row r="381" customFormat="false" ht="15" hidden="false" customHeight="false" outlineLevel="0" collapsed="false">
      <c r="A381" s="13" t="n">
        <v>42871</v>
      </c>
      <c r="C381" s="14" t="n">
        <v>1</v>
      </c>
      <c r="D381" s="14" t="n">
        <v>0.75</v>
      </c>
      <c r="F381" s="14" t="n">
        <v>-0.4</v>
      </c>
      <c r="G381" s="14" t="n">
        <v>0.25</v>
      </c>
      <c r="H381" s="14" t="n">
        <v>0.2142</v>
      </c>
      <c r="I381" s="14" t="n">
        <v>0.212002374887989</v>
      </c>
      <c r="J381" s="14" t="n">
        <v>0.214837414591107</v>
      </c>
      <c r="K381" s="14" t="n">
        <v>0.222626066911473</v>
      </c>
      <c r="L381" s="14" t="n">
        <v>0.244382983661406</v>
      </c>
      <c r="M381" s="14" t="n">
        <v>4.0477</v>
      </c>
      <c r="N381" s="14" t="n">
        <v>4.4278</v>
      </c>
      <c r="O381" s="14" t="n">
        <v>4.402</v>
      </c>
      <c r="P381" s="14" t="n">
        <v>4.2784</v>
      </c>
      <c r="Q381" s="14" t="n">
        <v>0.5</v>
      </c>
      <c r="R381" s="14" t="n">
        <v>0.48</v>
      </c>
      <c r="S381" s="14" t="n">
        <v>11.25</v>
      </c>
    </row>
    <row r="382" customFormat="false" ht="15" hidden="false" customHeight="false" outlineLevel="0" collapsed="false">
      <c r="A382" s="13" t="n">
        <v>42872</v>
      </c>
      <c r="C382" s="14" t="n">
        <v>1</v>
      </c>
      <c r="D382" s="14" t="n">
        <v>0.75</v>
      </c>
      <c r="F382" s="14" t="n">
        <v>-0.4</v>
      </c>
      <c r="G382" s="14" t="n">
        <v>0.25</v>
      </c>
      <c r="H382" s="14" t="n">
        <v>0.2147</v>
      </c>
      <c r="I382" s="14" t="n">
        <v>0.212514131400528</v>
      </c>
      <c r="J382" s="14" t="n">
        <v>0.215590750803745</v>
      </c>
      <c r="K382" s="14" t="n">
        <v>0.222292680564608</v>
      </c>
      <c r="L382" s="14" t="n">
        <v>0.240478065145618</v>
      </c>
      <c r="M382" s="14" t="n">
        <v>4.0495</v>
      </c>
      <c r="N382" s="14" t="n">
        <v>4.4349</v>
      </c>
      <c r="O382" s="14" t="n">
        <v>4.4021</v>
      </c>
      <c r="P382" s="14" t="n">
        <v>4.2831</v>
      </c>
      <c r="S382" s="14" t="n">
        <v>11.25</v>
      </c>
    </row>
    <row r="383" customFormat="false" ht="15" hidden="false" customHeight="false" outlineLevel="0" collapsed="false">
      <c r="A383" s="13" t="n">
        <v>42873</v>
      </c>
      <c r="C383" s="14" t="n">
        <v>1</v>
      </c>
      <c r="D383" s="14" t="n">
        <v>0.75</v>
      </c>
      <c r="F383" s="14" t="n">
        <v>-0.4</v>
      </c>
      <c r="G383" s="14" t="n">
        <v>0.25</v>
      </c>
      <c r="H383" s="14" t="n">
        <v>0.2133</v>
      </c>
      <c r="I383" s="14" t="n">
        <v>0.213388064333302</v>
      </c>
      <c r="J383" s="14" t="n">
        <v>0.21473663057411</v>
      </c>
      <c r="K383" s="14" t="n">
        <v>0.22227000091871</v>
      </c>
      <c r="L383" s="14" t="n">
        <v>0.244038888774154</v>
      </c>
      <c r="M383" s="14" t="n">
        <v>4.0525</v>
      </c>
      <c r="N383" s="14" t="n">
        <v>4.4439</v>
      </c>
      <c r="O383" s="14" t="n">
        <v>4.4043</v>
      </c>
      <c r="P383" s="14" t="n">
        <v>4.2864</v>
      </c>
      <c r="Q383" s="14" t="n">
        <v>0.5</v>
      </c>
      <c r="R383" s="14" t="n">
        <v>0.48</v>
      </c>
      <c r="S383" s="14" t="n">
        <v>11.25</v>
      </c>
    </row>
    <row r="384" customFormat="false" ht="15" hidden="false" customHeight="false" outlineLevel="0" collapsed="false">
      <c r="A384" s="13" t="n">
        <v>42874</v>
      </c>
      <c r="C384" s="14" t="n">
        <v>1</v>
      </c>
      <c r="D384" s="14" t="n">
        <v>0.75</v>
      </c>
      <c r="F384" s="14" t="n">
        <v>-0.4</v>
      </c>
      <c r="G384" s="14" t="n">
        <v>0.25</v>
      </c>
      <c r="H384" s="14" t="n">
        <v>0.2137</v>
      </c>
      <c r="I384" s="14" t="n">
        <v>0.212085362915165</v>
      </c>
      <c r="J384" s="14" t="n">
        <v>0.214831640401642</v>
      </c>
      <c r="K384" s="14" t="n">
        <v>0.22298990824661</v>
      </c>
      <c r="L384" s="14" t="n">
        <v>0.247469618251836</v>
      </c>
      <c r="M384" s="14" t="n">
        <v>4.0571</v>
      </c>
      <c r="N384" s="14" t="n">
        <v>4.4641</v>
      </c>
      <c r="O384" s="14" t="n">
        <v>4.413</v>
      </c>
      <c r="P384" s="14" t="n">
        <v>4.2925</v>
      </c>
      <c r="Q384" s="14" t="n">
        <v>0.5</v>
      </c>
      <c r="R384" s="14" t="n">
        <v>0.49</v>
      </c>
      <c r="S384" s="14" t="n">
        <v>11.25</v>
      </c>
    </row>
    <row r="385" customFormat="false" ht="15" hidden="false" customHeight="false" outlineLevel="0" collapsed="false">
      <c r="A385" s="13" t="n">
        <v>42877</v>
      </c>
      <c r="C385" s="14" t="n">
        <v>1</v>
      </c>
      <c r="D385" s="14" t="n">
        <v>0.75</v>
      </c>
      <c r="F385" s="14" t="n">
        <v>-0.4</v>
      </c>
      <c r="G385" s="14" t="n">
        <v>0.25</v>
      </c>
      <c r="H385" s="14" t="n">
        <v>0.2114</v>
      </c>
      <c r="I385" s="14" t="n">
        <v>0.213890750637834</v>
      </c>
      <c r="J385" s="14" t="n">
        <v>0.216343164327838</v>
      </c>
      <c r="K385" s="14" t="n">
        <v>0.224073745830732</v>
      </c>
      <c r="L385" s="14" t="n">
        <v>0.249575471429315</v>
      </c>
      <c r="M385" s="14" t="n">
        <v>4.061</v>
      </c>
      <c r="N385" s="14" t="n">
        <v>4.4744</v>
      </c>
      <c r="O385" s="14" t="n">
        <v>4.4148</v>
      </c>
      <c r="P385" s="14" t="n">
        <v>4.3024</v>
      </c>
      <c r="Q385" s="14" t="n">
        <v>0.5</v>
      </c>
      <c r="R385" s="14" t="n">
        <v>0.49</v>
      </c>
      <c r="S385" s="14" t="n">
        <v>11.25</v>
      </c>
    </row>
    <row r="386" customFormat="false" ht="15" hidden="false" customHeight="false" outlineLevel="0" collapsed="false">
      <c r="A386" s="13" t="n">
        <v>42878</v>
      </c>
      <c r="C386" s="14" t="n">
        <v>1</v>
      </c>
      <c r="D386" s="14" t="n">
        <v>0.75</v>
      </c>
      <c r="F386" s="14" t="n">
        <v>-0.4</v>
      </c>
      <c r="G386" s="14" t="n">
        <v>0.25</v>
      </c>
      <c r="H386" s="14" t="n">
        <v>0.2112</v>
      </c>
      <c r="I386" s="14" t="n">
        <v>0.213866113614778</v>
      </c>
      <c r="J386" s="14" t="n">
        <v>0.216763429815211</v>
      </c>
      <c r="K386" s="14" t="n">
        <v>0.225285233792333</v>
      </c>
      <c r="L386" s="14" t="n">
        <v>0.249504687061536</v>
      </c>
      <c r="M386" s="14" t="n">
        <v>4.0624</v>
      </c>
      <c r="N386" s="14" t="n">
        <v>4.4956</v>
      </c>
      <c r="O386" s="14" t="n">
        <v>4.4215</v>
      </c>
      <c r="P386" s="14" t="n">
        <v>4.3137</v>
      </c>
      <c r="Q386" s="14" t="n">
        <v>0.5</v>
      </c>
      <c r="R386" s="14" t="n">
        <v>0.49</v>
      </c>
      <c r="S386" s="14" t="n">
        <v>11.25</v>
      </c>
    </row>
    <row r="387" customFormat="false" ht="15" hidden="false" customHeight="false" outlineLevel="0" collapsed="false">
      <c r="A387" s="13" t="n">
        <v>42879</v>
      </c>
      <c r="C387" s="14" t="n">
        <v>1</v>
      </c>
      <c r="D387" s="14" t="n">
        <v>0.75</v>
      </c>
      <c r="F387" s="14" t="n">
        <v>-0.4</v>
      </c>
      <c r="G387" s="14" t="n">
        <v>0.25</v>
      </c>
      <c r="H387" s="14" t="n">
        <v>0.2106</v>
      </c>
      <c r="I387" s="14" t="n">
        <v>0.211681830847483</v>
      </c>
      <c r="J387" s="14" t="n">
        <v>0.213764876794875</v>
      </c>
      <c r="K387" s="14" t="n">
        <v>0.222939054601277</v>
      </c>
      <c r="L387" s="14" t="n">
        <v>0.249765499101571</v>
      </c>
      <c r="M387" s="14" t="n">
        <v>4.0643</v>
      </c>
      <c r="N387" s="14" t="n">
        <v>4.5177</v>
      </c>
      <c r="O387" s="14" t="n">
        <v>4.4262</v>
      </c>
      <c r="P387" s="14" t="n">
        <v>4.322</v>
      </c>
      <c r="Q387" s="14" t="n">
        <v>0.5</v>
      </c>
      <c r="R387" s="14" t="n">
        <v>0.52</v>
      </c>
      <c r="S387" s="14" t="n">
        <v>11.25</v>
      </c>
    </row>
    <row r="388" customFormat="false" ht="15" hidden="false" customHeight="false" outlineLevel="0" collapsed="false">
      <c r="A388" s="13" t="n">
        <v>42880</v>
      </c>
      <c r="C388" s="14" t="n">
        <v>1</v>
      </c>
      <c r="D388" s="14" t="n">
        <v>0.75</v>
      </c>
      <c r="F388" s="14" t="n">
        <v>-0.4</v>
      </c>
      <c r="G388" s="14" t="n">
        <v>0.25</v>
      </c>
      <c r="H388" s="14" t="n">
        <v>0.2122</v>
      </c>
      <c r="I388" s="14" t="n">
        <v>0.212599780671503</v>
      </c>
      <c r="J388" s="14" t="n">
        <v>0.213942223986941</v>
      </c>
      <c r="K388" s="14" t="n">
        <v>0.220705473007697</v>
      </c>
      <c r="L388" s="14" t="n">
        <v>0.244477652360931</v>
      </c>
      <c r="M388" s="14" t="n">
        <v>4.0646</v>
      </c>
      <c r="N388" s="14" t="n">
        <v>4.5338</v>
      </c>
      <c r="O388" s="14" t="n">
        <v>4.4368</v>
      </c>
      <c r="P388" s="14" t="n">
        <v>4.3342</v>
      </c>
      <c r="S388" s="14" t="n">
        <v>11.25</v>
      </c>
    </row>
    <row r="389" customFormat="false" ht="15" hidden="false" customHeight="false" outlineLevel="0" collapsed="false">
      <c r="A389" s="13" t="n">
        <v>42881</v>
      </c>
      <c r="C389" s="14" t="n">
        <v>1</v>
      </c>
      <c r="D389" s="14" t="n">
        <v>0.75</v>
      </c>
      <c r="F389" s="14" t="n">
        <v>-0.4</v>
      </c>
      <c r="G389" s="14" t="n">
        <v>0.25</v>
      </c>
      <c r="H389" s="14" t="n">
        <v>0.213</v>
      </c>
      <c r="I389" s="14" t="n">
        <v>0.212419780496445</v>
      </c>
      <c r="J389" s="14" t="n">
        <v>0.213871599588305</v>
      </c>
      <c r="K389" s="14" t="n">
        <v>0.220406984516636</v>
      </c>
      <c r="L389" s="14" t="n">
        <v>0.239909896575589</v>
      </c>
      <c r="M389" s="14" t="n">
        <v>4.0655</v>
      </c>
      <c r="N389" s="14" t="n">
        <v>4.5424</v>
      </c>
      <c r="O389" s="14" t="n">
        <v>4.4437</v>
      </c>
      <c r="P389" s="14" t="n">
        <v>4.3435</v>
      </c>
      <c r="Q389" s="14" t="n">
        <v>0.5</v>
      </c>
      <c r="R389" s="14" t="n">
        <v>0.49</v>
      </c>
      <c r="S389" s="14" t="n">
        <v>11.25</v>
      </c>
    </row>
    <row r="390" customFormat="false" ht="15" hidden="false" customHeight="false" outlineLevel="0" collapsed="false">
      <c r="A390" s="13" t="n">
        <v>42882</v>
      </c>
      <c r="C390" s="14" t="n">
        <v>1</v>
      </c>
      <c r="D390" s="14" t="n">
        <v>0.75</v>
      </c>
      <c r="F390" s="14" t="n">
        <v>-0.4</v>
      </c>
      <c r="M390" s="14" t="n">
        <v>4.0685</v>
      </c>
      <c r="N390" s="14" t="n">
        <v>4.5528</v>
      </c>
      <c r="O390" s="14" t="n">
        <v>4.4481</v>
      </c>
      <c r="P390" s="14" t="n">
        <v>4.3544</v>
      </c>
      <c r="S390" s="14" t="n">
        <v>11.25</v>
      </c>
    </row>
    <row r="391" customFormat="false" ht="15" hidden="false" customHeight="false" outlineLevel="0" collapsed="false">
      <c r="A391" s="13" t="n">
        <v>42884</v>
      </c>
      <c r="C391" s="14" t="n">
        <v>1</v>
      </c>
      <c r="D391" s="14" t="n">
        <v>0.75</v>
      </c>
      <c r="F391" s="14" t="n">
        <v>-0.4</v>
      </c>
      <c r="Q391" s="14" t="n">
        <v>0.5</v>
      </c>
      <c r="R391" s="14" t="n">
        <v>0.49</v>
      </c>
      <c r="S391" s="14" t="n">
        <v>11.25</v>
      </c>
    </row>
    <row r="392" customFormat="false" ht="15" hidden="false" customHeight="false" outlineLevel="0" collapsed="false">
      <c r="A392" s="13" t="n">
        <v>42885</v>
      </c>
      <c r="C392" s="14" t="n">
        <v>1</v>
      </c>
      <c r="D392" s="14" t="n">
        <v>0.75</v>
      </c>
      <c r="F392" s="14" t="n">
        <v>-0.4</v>
      </c>
      <c r="G392" s="14" t="n">
        <v>0.25</v>
      </c>
      <c r="H392" s="14" t="n">
        <v>0.2119</v>
      </c>
      <c r="I392" s="14" t="n">
        <v>0.212716721371163</v>
      </c>
      <c r="J392" s="14" t="n">
        <v>0.213774733630427</v>
      </c>
      <c r="K392" s="14" t="n">
        <v>0.2196213259617</v>
      </c>
      <c r="L392" s="14" t="n">
        <v>0.236038512451363</v>
      </c>
      <c r="Q392" s="14" t="n">
        <v>0.5</v>
      </c>
      <c r="R392" s="14" t="n">
        <v>0.49</v>
      </c>
      <c r="S392" s="14" t="n">
        <v>11.25</v>
      </c>
    </row>
    <row r="393" customFormat="false" ht="15" hidden="false" customHeight="false" outlineLevel="0" collapsed="false">
      <c r="A393" s="13" t="n">
        <v>42886</v>
      </c>
      <c r="C393" s="14" t="n">
        <v>1</v>
      </c>
      <c r="D393" s="14" t="n">
        <v>0.75</v>
      </c>
      <c r="F393" s="14" t="n">
        <v>-0.4</v>
      </c>
      <c r="G393" s="14" t="n">
        <v>0.25</v>
      </c>
      <c r="H393" s="14" t="n">
        <v>0.2087</v>
      </c>
      <c r="I393" s="14" t="n">
        <v>0.212119667486763</v>
      </c>
      <c r="J393" s="14" t="n">
        <v>0.214257166351081</v>
      </c>
      <c r="K393" s="14" t="n">
        <v>0.221268108164042</v>
      </c>
      <c r="L393" s="14" t="n">
        <v>0.243667245260931</v>
      </c>
      <c r="M393" s="14" t="n">
        <v>4.0763</v>
      </c>
      <c r="N393" s="14" t="n">
        <v>4.5641</v>
      </c>
      <c r="O393" s="14" t="n">
        <v>4.4499</v>
      </c>
      <c r="P393" s="14" t="n">
        <v>4.3579</v>
      </c>
      <c r="Q393" s="14" t="n">
        <v>0.5</v>
      </c>
      <c r="R393" s="14" t="n">
        <v>0.49</v>
      </c>
      <c r="S393" s="14" t="n">
        <v>11.25</v>
      </c>
    </row>
    <row r="394" customFormat="false" ht="15" hidden="false" customHeight="false" outlineLevel="0" collapsed="false">
      <c r="A394" s="13" t="n">
        <v>42887</v>
      </c>
      <c r="C394" s="14" t="n">
        <v>1</v>
      </c>
      <c r="D394" s="14" t="n">
        <v>0.75</v>
      </c>
      <c r="F394" s="14" t="n">
        <v>-0.4</v>
      </c>
      <c r="G394" s="14" t="n">
        <v>0.25</v>
      </c>
      <c r="H394" s="14" t="n">
        <v>0.2131</v>
      </c>
      <c r="I394" s="14" t="n">
        <v>0.21222952290154</v>
      </c>
      <c r="J394" s="14" t="n">
        <v>0.214225603207343</v>
      </c>
      <c r="K394" s="14" t="n">
        <v>0.223002801455808</v>
      </c>
      <c r="L394" s="14" t="n">
        <v>0.246723902313554</v>
      </c>
      <c r="M394" s="14" t="n">
        <v>4.1013</v>
      </c>
      <c r="N394" s="14" t="n">
        <v>4.5779</v>
      </c>
      <c r="O394" s="14" t="n">
        <v>4.451</v>
      </c>
      <c r="P394" s="14" t="n">
        <v>4.37</v>
      </c>
      <c r="Q394" s="14" t="n">
        <v>0.5</v>
      </c>
      <c r="R394" s="14" t="n">
        <v>0.5</v>
      </c>
      <c r="S394" s="14" t="n">
        <v>10.25</v>
      </c>
    </row>
    <row r="395" customFormat="false" ht="15" hidden="false" customHeight="false" outlineLevel="0" collapsed="false">
      <c r="A395" s="13" t="n">
        <v>42888</v>
      </c>
      <c r="C395" s="14" t="n">
        <v>1</v>
      </c>
      <c r="D395" s="14" t="n">
        <v>0.75</v>
      </c>
      <c r="F395" s="14" t="n">
        <v>-0.4</v>
      </c>
      <c r="G395" s="14" t="n">
        <v>0.25</v>
      </c>
      <c r="H395" s="14" t="n">
        <v>0.213</v>
      </c>
      <c r="I395" s="14" t="n">
        <v>0.211265739636187</v>
      </c>
      <c r="J395" s="14" t="n">
        <v>0.213823822241252</v>
      </c>
      <c r="K395" s="14" t="n">
        <v>0.220066794483628</v>
      </c>
      <c r="L395" s="14" t="n">
        <v>0.241140142854077</v>
      </c>
      <c r="M395" s="14" t="n">
        <v>4.1892</v>
      </c>
      <c r="N395" s="14" t="n">
        <v>4.6012</v>
      </c>
      <c r="O395" s="14" t="n">
        <v>4.449</v>
      </c>
      <c r="P395" s="14" t="n">
        <v>4.3773</v>
      </c>
      <c r="Q395" s="14" t="n">
        <v>0.5</v>
      </c>
      <c r="R395" s="14" t="n">
        <v>0.49</v>
      </c>
      <c r="S395" s="14" t="n">
        <v>10.25</v>
      </c>
    </row>
    <row r="396" customFormat="false" ht="15" hidden="false" customHeight="false" outlineLevel="0" collapsed="false">
      <c r="A396" s="13" t="n">
        <v>42891</v>
      </c>
      <c r="C396" s="14" t="n">
        <v>1</v>
      </c>
      <c r="D396" s="14" t="n">
        <v>0.75</v>
      </c>
      <c r="F396" s="14" t="n">
        <v>-0.4</v>
      </c>
      <c r="G396" s="14" t="n">
        <v>0.25</v>
      </c>
      <c r="H396" s="14" t="n">
        <v>0.2114</v>
      </c>
      <c r="I396" s="14" t="n">
        <v>0.21198635116924</v>
      </c>
      <c r="J396" s="14" t="n">
        <v>0.213940591690132</v>
      </c>
      <c r="K396" s="14" t="n">
        <v>0.220153306702263</v>
      </c>
      <c r="L396" s="14" t="n">
        <v>0.240704179621736</v>
      </c>
      <c r="M396" s="14" t="n">
        <v>4.283</v>
      </c>
      <c r="N396" s="14" t="n">
        <v>4.6225</v>
      </c>
      <c r="O396" s="14" t="n">
        <v>4.4542</v>
      </c>
      <c r="P396" s="14" t="n">
        <v>4.3862</v>
      </c>
      <c r="S396" s="14" t="n">
        <v>10.25</v>
      </c>
    </row>
    <row r="397" customFormat="false" ht="15" hidden="false" customHeight="false" outlineLevel="0" collapsed="false">
      <c r="A397" s="13" t="n">
        <v>42892</v>
      </c>
      <c r="C397" s="14" t="n">
        <v>1</v>
      </c>
      <c r="D397" s="14" t="n">
        <v>0.75</v>
      </c>
      <c r="F397" s="14" t="n">
        <v>-0.4</v>
      </c>
      <c r="G397" s="14" t="n">
        <v>0.25</v>
      </c>
      <c r="H397" s="14" t="n">
        <v>0.2122</v>
      </c>
      <c r="I397" s="14" t="n">
        <v>0.211914662667615</v>
      </c>
      <c r="J397" s="14" t="n">
        <v>0.214512236462914</v>
      </c>
      <c r="K397" s="14" t="n">
        <v>0.219496457320365</v>
      </c>
      <c r="L397" s="14" t="n">
        <v>0.238520003010624</v>
      </c>
      <c r="M397" s="14" t="n">
        <v>4.3633</v>
      </c>
      <c r="N397" s="14" t="n">
        <v>4.6577</v>
      </c>
      <c r="O397" s="14" t="n">
        <v>4.4631</v>
      </c>
      <c r="P397" s="14" t="n">
        <v>4.3922</v>
      </c>
      <c r="Q397" s="14" t="n">
        <v>0.5</v>
      </c>
      <c r="R397" s="14" t="n">
        <v>0.5</v>
      </c>
      <c r="S397" s="14" t="n">
        <v>10.25</v>
      </c>
    </row>
    <row r="398" customFormat="false" ht="15" hidden="false" customHeight="false" outlineLevel="0" collapsed="false">
      <c r="A398" s="13" t="n">
        <v>42893</v>
      </c>
      <c r="C398" s="14" t="n">
        <v>1</v>
      </c>
      <c r="D398" s="14" t="n">
        <v>0.75</v>
      </c>
      <c r="F398" s="14" t="n">
        <v>-0.4</v>
      </c>
      <c r="G398" s="14" t="n">
        <v>0.25</v>
      </c>
      <c r="H398" s="14" t="n">
        <v>0.2114</v>
      </c>
      <c r="I398" s="14" t="n">
        <v>0.211915407025465</v>
      </c>
      <c r="J398" s="14" t="n">
        <v>0.213622320887094</v>
      </c>
      <c r="K398" s="14" t="n">
        <v>0.219765191460608</v>
      </c>
      <c r="L398" s="14" t="n">
        <v>0.241293252948935</v>
      </c>
      <c r="M398" s="14" t="n">
        <v>4.4304</v>
      </c>
      <c r="N398" s="14" t="n">
        <v>4.6988</v>
      </c>
      <c r="O398" s="14" t="n">
        <v>4.4844</v>
      </c>
      <c r="P398" s="14" t="n">
        <v>4.3991</v>
      </c>
      <c r="Q398" s="14" t="n">
        <v>0.5</v>
      </c>
      <c r="R398" s="14" t="n">
        <v>0.5</v>
      </c>
      <c r="S398" s="14" t="n">
        <v>10.25</v>
      </c>
    </row>
    <row r="399" customFormat="false" ht="15" hidden="false" customHeight="false" outlineLevel="0" collapsed="false">
      <c r="A399" s="13" t="n">
        <v>42894</v>
      </c>
      <c r="C399" s="14" t="n">
        <v>1</v>
      </c>
      <c r="D399" s="14" t="n">
        <v>0.75</v>
      </c>
      <c r="F399" s="14" t="n">
        <v>-0.4</v>
      </c>
      <c r="G399" s="14" t="n">
        <v>0.25</v>
      </c>
      <c r="H399" s="14" t="n">
        <v>0.2118</v>
      </c>
      <c r="I399" s="14" t="n">
        <v>0.21255215828934</v>
      </c>
      <c r="J399" s="14" t="n">
        <v>0.213778169598098</v>
      </c>
      <c r="K399" s="14" t="n">
        <v>0.219631644062189</v>
      </c>
      <c r="L399" s="14" t="n">
        <v>0.245083231403789</v>
      </c>
      <c r="M399" s="14" t="n">
        <v>4.5146</v>
      </c>
      <c r="N399" s="14" t="n">
        <v>4.7306</v>
      </c>
      <c r="O399" s="14" t="n">
        <v>4.4955</v>
      </c>
      <c r="P399" s="14" t="n">
        <v>4.406</v>
      </c>
      <c r="Q399" s="14" t="n">
        <v>0.5</v>
      </c>
      <c r="R399" s="14" t="n">
        <v>0.5</v>
      </c>
      <c r="S399" s="14" t="n">
        <v>10.25</v>
      </c>
    </row>
    <row r="400" customFormat="false" ht="15" hidden="false" customHeight="false" outlineLevel="0" collapsed="false">
      <c r="A400" s="13" t="n">
        <v>42895</v>
      </c>
      <c r="C400" s="14" t="n">
        <v>1</v>
      </c>
      <c r="D400" s="14" t="n">
        <v>0.75</v>
      </c>
      <c r="F400" s="14" t="n">
        <v>-0.4</v>
      </c>
      <c r="G400" s="14" t="n">
        <v>0.25</v>
      </c>
      <c r="H400" s="14" t="n">
        <v>0.2116</v>
      </c>
      <c r="I400" s="14" t="n">
        <v>0.211785613674641</v>
      </c>
      <c r="J400" s="14" t="n">
        <v>0.214051203702109</v>
      </c>
      <c r="K400" s="14" t="n">
        <v>0.219464569817857</v>
      </c>
      <c r="L400" s="14" t="n">
        <v>0.232543583580551</v>
      </c>
      <c r="M400" s="14" t="n">
        <v>4.5854</v>
      </c>
      <c r="N400" s="14" t="n">
        <v>4.7555</v>
      </c>
      <c r="O400" s="14" t="n">
        <v>4.5056</v>
      </c>
      <c r="P400" s="14" t="n">
        <v>4.4116</v>
      </c>
      <c r="Q400" s="14" t="n">
        <v>0.5</v>
      </c>
      <c r="R400" s="14" t="n">
        <v>0.49</v>
      </c>
      <c r="S400" s="14" t="n">
        <v>10.25</v>
      </c>
    </row>
    <row r="401" customFormat="false" ht="15" hidden="false" customHeight="false" outlineLevel="0" collapsed="false">
      <c r="A401" s="13" t="n">
        <v>42898</v>
      </c>
      <c r="C401" s="14" t="n">
        <v>1</v>
      </c>
      <c r="D401" s="14" t="n">
        <v>0.75</v>
      </c>
      <c r="F401" s="14" t="n">
        <v>-0.4</v>
      </c>
      <c r="G401" s="14" t="n">
        <v>0.25</v>
      </c>
      <c r="H401" s="14" t="n">
        <v>0.2108</v>
      </c>
      <c r="I401" s="14" t="n">
        <v>0.209899588924596</v>
      </c>
      <c r="J401" s="14" t="n">
        <v>0.213314401332343</v>
      </c>
      <c r="K401" s="14" t="n">
        <v>0.21558582724324</v>
      </c>
      <c r="L401" s="14" t="n">
        <v>0.226618553892039</v>
      </c>
      <c r="M401" s="14" t="n">
        <v>4.6273</v>
      </c>
      <c r="N401" s="14" t="n">
        <v>4.7763</v>
      </c>
      <c r="O401" s="14" t="n">
        <v>4.5176</v>
      </c>
      <c r="P401" s="14" t="n">
        <v>4.4172</v>
      </c>
      <c r="Q401" s="14" t="n">
        <v>0.5</v>
      </c>
      <c r="R401" s="14" t="n">
        <v>0.49</v>
      </c>
      <c r="S401" s="14" t="n">
        <v>10.25</v>
      </c>
    </row>
    <row r="402" customFormat="false" ht="15" hidden="false" customHeight="false" outlineLevel="0" collapsed="false">
      <c r="A402" s="13" t="n">
        <v>42899</v>
      </c>
      <c r="C402" s="14" t="n">
        <v>1</v>
      </c>
      <c r="D402" s="14" t="n">
        <v>0.75</v>
      </c>
      <c r="F402" s="14" t="n">
        <v>-0.4</v>
      </c>
      <c r="G402" s="14" t="n">
        <v>0.25</v>
      </c>
      <c r="H402" s="14" t="n">
        <v>0.2122</v>
      </c>
      <c r="I402" s="14" t="n">
        <v>0.209083465806694</v>
      </c>
      <c r="J402" s="14" t="n">
        <v>0.212729589279916</v>
      </c>
      <c r="K402" s="14" t="n">
        <v>0.220190240068763</v>
      </c>
      <c r="L402" s="14" t="n">
        <v>0.239170764734289</v>
      </c>
      <c r="M402" s="14" t="n">
        <v>4.6529</v>
      </c>
      <c r="N402" s="14" t="n">
        <v>4.7827</v>
      </c>
      <c r="O402" s="14" t="n">
        <v>4.5258</v>
      </c>
      <c r="P402" s="14" t="n">
        <v>4.4208</v>
      </c>
      <c r="Q402" s="14" t="n">
        <v>0.5</v>
      </c>
      <c r="R402" s="14" t="n">
        <v>0.49</v>
      </c>
      <c r="S402" s="14" t="n">
        <v>10.25</v>
      </c>
    </row>
    <row r="403" customFormat="false" ht="15" hidden="false" customHeight="false" outlineLevel="0" collapsed="false">
      <c r="A403" s="13" t="n">
        <v>42900</v>
      </c>
      <c r="C403" s="14" t="n">
        <v>1</v>
      </c>
      <c r="D403" s="14" t="n">
        <v>0.75</v>
      </c>
      <c r="F403" s="14" t="n">
        <v>-0.4</v>
      </c>
      <c r="G403" s="14" t="n">
        <v>0.25</v>
      </c>
      <c r="H403" s="14" t="n">
        <v>0.2123</v>
      </c>
      <c r="I403" s="14" t="n">
        <v>0.210242298593636</v>
      </c>
      <c r="J403" s="14" t="n">
        <v>0.213004421657263</v>
      </c>
      <c r="K403" s="14" t="n">
        <v>0.216850778858608</v>
      </c>
      <c r="L403" s="14" t="n">
        <v>0.225141227595449</v>
      </c>
      <c r="M403" s="14" t="n">
        <v>4.6826</v>
      </c>
      <c r="N403" s="14" t="n">
        <v>4.7827</v>
      </c>
      <c r="O403" s="14" t="n">
        <v>4.5326</v>
      </c>
      <c r="P403" s="14" t="n">
        <v>4.4231</v>
      </c>
      <c r="Q403" s="14" t="n">
        <v>0.5</v>
      </c>
      <c r="R403" s="14" t="n">
        <v>0.48</v>
      </c>
      <c r="S403" s="14" t="n">
        <v>10.25</v>
      </c>
    </row>
    <row r="404" customFormat="false" ht="15" hidden="false" customHeight="false" outlineLevel="0" collapsed="false">
      <c r="A404" s="13" t="n">
        <v>42901</v>
      </c>
      <c r="C404" s="14" t="n">
        <v>1.25</v>
      </c>
      <c r="D404" s="14" t="n">
        <v>1</v>
      </c>
      <c r="F404" s="14" t="n">
        <v>-0.4</v>
      </c>
      <c r="G404" s="14" t="n">
        <v>0.25</v>
      </c>
      <c r="H404" s="14" t="n">
        <v>0.2123</v>
      </c>
      <c r="I404" s="14" t="n">
        <v>0.211314140831336</v>
      </c>
      <c r="J404" s="14" t="n">
        <v>0.226636207471163</v>
      </c>
      <c r="K404" s="14" t="n">
        <v>0.24714997270339</v>
      </c>
      <c r="L404" s="14" t="n">
        <v>0.284484571593575</v>
      </c>
      <c r="M404" s="14" t="n">
        <v>4.6946</v>
      </c>
      <c r="N404" s="14" t="n">
        <v>4.7723</v>
      </c>
      <c r="O404" s="14" t="n">
        <v>4.5353</v>
      </c>
      <c r="P404" s="14" t="n">
        <v>4.4264</v>
      </c>
      <c r="Q404" s="14" t="n">
        <v>0.5</v>
      </c>
      <c r="R404" s="14" t="n">
        <v>0.49</v>
      </c>
      <c r="S404" s="14" t="n">
        <v>10.25</v>
      </c>
    </row>
    <row r="405" customFormat="false" ht="15" hidden="false" customHeight="false" outlineLevel="0" collapsed="false">
      <c r="A405" s="13" t="n">
        <v>42902</v>
      </c>
      <c r="C405" s="14" t="n">
        <v>1.25</v>
      </c>
      <c r="D405" s="14" t="n">
        <v>1</v>
      </c>
      <c r="F405" s="14" t="n">
        <v>-0.4</v>
      </c>
      <c r="G405" s="14" t="n">
        <v>0.25</v>
      </c>
      <c r="H405" s="14" t="n">
        <v>0.2124</v>
      </c>
      <c r="I405" s="14" t="n">
        <v>0.210921665609757</v>
      </c>
      <c r="J405" s="14" t="n">
        <v>0.227042973152136</v>
      </c>
      <c r="K405" s="14" t="n">
        <v>0.248473131228842</v>
      </c>
      <c r="L405" s="14" t="n">
        <v>0.279760668582489</v>
      </c>
      <c r="M405" s="14" t="n">
        <v>4.699</v>
      </c>
      <c r="N405" s="14" t="n">
        <v>4.7613</v>
      </c>
      <c r="O405" s="14" t="n">
        <v>4.5416</v>
      </c>
      <c r="P405" s="14" t="n">
        <v>4.4297</v>
      </c>
      <c r="Q405" s="14" t="n">
        <v>0.5</v>
      </c>
      <c r="R405" s="14" t="n">
        <v>0.51</v>
      </c>
      <c r="S405" s="14" t="n">
        <v>10.25</v>
      </c>
    </row>
    <row r="406" customFormat="false" ht="15" hidden="false" customHeight="false" outlineLevel="0" collapsed="false">
      <c r="A406" s="13" t="n">
        <v>42905</v>
      </c>
      <c r="C406" s="14" t="n">
        <v>1.25</v>
      </c>
      <c r="D406" s="14" t="n">
        <v>1</v>
      </c>
      <c r="F406" s="14" t="n">
        <v>-0.4</v>
      </c>
      <c r="G406" s="14" t="n">
        <v>0.25</v>
      </c>
      <c r="H406" s="14" t="n">
        <v>0.213</v>
      </c>
      <c r="I406" s="14" t="n">
        <v>0.211809973936062</v>
      </c>
      <c r="J406" s="14" t="n">
        <v>0.235612825665024</v>
      </c>
      <c r="K406" s="14" t="n">
        <v>0.263127804231748</v>
      </c>
      <c r="L406" s="14" t="n">
        <v>0.302705794470105</v>
      </c>
      <c r="M406" s="14" t="n">
        <v>4.6979</v>
      </c>
      <c r="N406" s="14" t="n">
        <v>4.747</v>
      </c>
      <c r="O406" s="14" t="n">
        <v>4.543</v>
      </c>
      <c r="P406" s="14" t="n">
        <v>4.431</v>
      </c>
      <c r="Q406" s="14" t="n">
        <v>0.5</v>
      </c>
      <c r="R406" s="14" t="n">
        <v>0.49</v>
      </c>
      <c r="S406" s="14" t="n">
        <v>10.25</v>
      </c>
    </row>
    <row r="407" customFormat="false" ht="15" hidden="false" customHeight="false" outlineLevel="0" collapsed="false">
      <c r="A407" s="13" t="n">
        <v>42906</v>
      </c>
      <c r="C407" s="14" t="n">
        <v>1.25</v>
      </c>
      <c r="D407" s="14" t="n">
        <v>1</v>
      </c>
      <c r="F407" s="14" t="n">
        <v>-0.4</v>
      </c>
      <c r="G407" s="14" t="n">
        <v>0.25</v>
      </c>
      <c r="H407" s="14" t="n">
        <v>0.2173</v>
      </c>
      <c r="I407" s="14" t="n">
        <v>0.210606403220847</v>
      </c>
      <c r="J407" s="14" t="n">
        <v>0.21820888196158</v>
      </c>
      <c r="K407" s="14" t="n">
        <v>0.230824177576622</v>
      </c>
      <c r="L407" s="14" t="n">
        <v>0.259377162001435</v>
      </c>
      <c r="M407" s="14" t="n">
        <v>4.6584</v>
      </c>
      <c r="N407" s="14" t="n">
        <v>4.7141</v>
      </c>
      <c r="O407" s="14" t="n">
        <v>4.5389</v>
      </c>
      <c r="P407" s="14" t="n">
        <v>4.4368</v>
      </c>
      <c r="Q407" s="14" t="n">
        <v>0.5</v>
      </c>
      <c r="R407" s="14" t="n">
        <v>0.48</v>
      </c>
      <c r="S407" s="14" t="n">
        <v>10.25</v>
      </c>
    </row>
    <row r="408" customFormat="false" ht="15" hidden="false" customHeight="false" outlineLevel="0" collapsed="false">
      <c r="A408" s="13" t="n">
        <v>42907</v>
      </c>
      <c r="C408" s="14" t="n">
        <v>1.25</v>
      </c>
      <c r="D408" s="14" t="n">
        <v>1</v>
      </c>
      <c r="F408" s="14" t="n">
        <v>-0.4</v>
      </c>
      <c r="G408" s="14" t="n">
        <v>0.25</v>
      </c>
      <c r="H408" s="14" t="n">
        <v>0.2149</v>
      </c>
      <c r="I408" s="14" t="n">
        <v>0.213693294163728</v>
      </c>
      <c r="J408" s="14" t="n">
        <v>0.238525952163614</v>
      </c>
      <c r="K408" s="14" t="n">
        <v>0.275404636494816</v>
      </c>
      <c r="L408" s="14" t="n">
        <v>0.322815258730934</v>
      </c>
      <c r="M408" s="14" t="n">
        <v>4.6322</v>
      </c>
      <c r="N408" s="14" t="n">
        <v>4.688</v>
      </c>
      <c r="O408" s="14" t="n">
        <v>4.5349</v>
      </c>
      <c r="P408" s="14" t="n">
        <v>4.4359</v>
      </c>
      <c r="Q408" s="14" t="n">
        <v>0.5</v>
      </c>
      <c r="R408" s="14" t="n">
        <v>0.49</v>
      </c>
      <c r="S408" s="14" t="n">
        <v>10.25</v>
      </c>
    </row>
    <row r="409" customFormat="false" ht="15" hidden="false" customHeight="false" outlineLevel="0" collapsed="false">
      <c r="A409" s="13" t="n">
        <v>42908</v>
      </c>
      <c r="C409" s="14" t="n">
        <v>1.25</v>
      </c>
      <c r="D409" s="14" t="n">
        <v>1</v>
      </c>
      <c r="F409" s="14" t="n">
        <v>-0.4</v>
      </c>
      <c r="G409" s="14" t="n">
        <v>0.25</v>
      </c>
      <c r="H409" s="14" t="n">
        <v>0.2147</v>
      </c>
      <c r="I409" s="14" t="n">
        <v>0.213728413642263</v>
      </c>
      <c r="J409" s="14" t="n">
        <v>0.240095450042189</v>
      </c>
      <c r="K409" s="14" t="n">
        <v>0.27378731391053</v>
      </c>
      <c r="L409" s="14" t="n">
        <v>0.325718191505841</v>
      </c>
      <c r="M409" s="14" t="n">
        <v>4.607</v>
      </c>
      <c r="N409" s="14" t="n">
        <v>4.6521</v>
      </c>
      <c r="O409" s="14" t="n">
        <v>4.5306</v>
      </c>
      <c r="P409" s="14" t="n">
        <v>4.4342</v>
      </c>
      <c r="Q409" s="14" t="n">
        <v>0.5</v>
      </c>
      <c r="R409" s="14" t="n">
        <v>0.49</v>
      </c>
      <c r="S409" s="14" t="n">
        <v>10.25</v>
      </c>
    </row>
    <row r="410" customFormat="false" ht="15" hidden="false" customHeight="false" outlineLevel="0" collapsed="false">
      <c r="A410" s="13" t="n">
        <v>42909</v>
      </c>
      <c r="C410" s="14" t="n">
        <v>1.25</v>
      </c>
      <c r="D410" s="14" t="n">
        <v>1</v>
      </c>
      <c r="F410" s="14" t="n">
        <v>-0.4</v>
      </c>
      <c r="G410" s="14" t="n">
        <v>0.25</v>
      </c>
      <c r="H410" s="14" t="n">
        <v>0.2157</v>
      </c>
      <c r="I410" s="14" t="n">
        <v>0.216179829760139</v>
      </c>
      <c r="J410" s="14" t="n">
        <v>0.245315475307506</v>
      </c>
      <c r="K410" s="14" t="n">
        <v>0.279794647301496</v>
      </c>
      <c r="L410" s="14" t="n">
        <v>0.330409888797988</v>
      </c>
      <c r="M410" s="14" t="n">
        <v>4.589</v>
      </c>
      <c r="N410" s="14" t="n">
        <v>4.63</v>
      </c>
      <c r="O410" s="14" t="n">
        <v>4.5277</v>
      </c>
      <c r="P410" s="14" t="n">
        <v>4.4345</v>
      </c>
      <c r="Q410" s="14" t="n">
        <v>0.5</v>
      </c>
      <c r="R410" s="14" t="n">
        <v>0.48</v>
      </c>
      <c r="S410" s="14" t="n">
        <v>10.25</v>
      </c>
    </row>
    <row r="411" customFormat="false" ht="15" hidden="false" customHeight="false" outlineLevel="0" collapsed="false">
      <c r="A411" s="13" t="n">
        <v>42912</v>
      </c>
      <c r="C411" s="14" t="n">
        <v>1.25</v>
      </c>
      <c r="D411" s="14" t="n">
        <v>1</v>
      </c>
      <c r="F411" s="14" t="n">
        <v>-0.4</v>
      </c>
      <c r="G411" s="14" t="n">
        <v>0.25</v>
      </c>
      <c r="H411" s="14" t="n">
        <v>0.2131</v>
      </c>
      <c r="I411" s="14" t="n">
        <v>0.215730684486424</v>
      </c>
      <c r="J411" s="14" t="n">
        <v>0.237470139365104</v>
      </c>
      <c r="K411" s="14" t="n">
        <v>0.269655053451566</v>
      </c>
      <c r="L411" s="14" t="n">
        <v>0.321211274037294</v>
      </c>
      <c r="M411" s="14" t="n">
        <v>4.5738</v>
      </c>
      <c r="N411" s="14" t="n">
        <v>4.6125</v>
      </c>
      <c r="O411" s="14" t="n">
        <v>4.521</v>
      </c>
      <c r="P411" s="14" t="n">
        <v>4.4369</v>
      </c>
      <c r="Q411" s="14" t="n">
        <v>0.5</v>
      </c>
      <c r="R411" s="14" t="n">
        <v>0.49</v>
      </c>
      <c r="S411" s="14" t="n">
        <v>10.25</v>
      </c>
    </row>
    <row r="412" customFormat="false" ht="15" hidden="false" customHeight="false" outlineLevel="0" collapsed="false">
      <c r="A412" s="13" t="n">
        <v>42913</v>
      </c>
      <c r="C412" s="14" t="n">
        <v>1.25</v>
      </c>
      <c r="D412" s="14" t="n">
        <v>1</v>
      </c>
      <c r="F412" s="14" t="n">
        <v>-0.4</v>
      </c>
      <c r="G412" s="14" t="n">
        <v>0.25</v>
      </c>
      <c r="H412" s="14" t="n">
        <v>0.2139</v>
      </c>
      <c r="I412" s="14" t="n">
        <v>0.216275712235356</v>
      </c>
      <c r="J412" s="14" t="n">
        <v>0.243298284236844</v>
      </c>
      <c r="K412" s="14" t="n">
        <v>0.281532274856072</v>
      </c>
      <c r="L412" s="14" t="n">
        <v>0.336009253542352</v>
      </c>
      <c r="M412" s="14" t="n">
        <v>4.548</v>
      </c>
      <c r="N412" s="14" t="n">
        <v>4.5833</v>
      </c>
      <c r="O412" s="14" t="n">
        <v>4.5134</v>
      </c>
      <c r="P412" s="14" t="n">
        <v>4.433</v>
      </c>
      <c r="Q412" s="14" t="n">
        <v>0.5</v>
      </c>
      <c r="R412" s="14" t="n">
        <v>0.49</v>
      </c>
      <c r="S412" s="14" t="n">
        <v>10.25</v>
      </c>
    </row>
    <row r="413" customFormat="false" ht="15" hidden="false" customHeight="false" outlineLevel="0" collapsed="false">
      <c r="A413" s="13" t="n">
        <v>42914</v>
      </c>
      <c r="C413" s="14" t="n">
        <v>1.25</v>
      </c>
      <c r="D413" s="14" t="n">
        <v>1</v>
      </c>
      <c r="F413" s="14" t="n">
        <v>-0.4</v>
      </c>
      <c r="G413" s="14" t="n">
        <v>0.25</v>
      </c>
      <c r="H413" s="14" t="n">
        <v>0.2116</v>
      </c>
      <c r="I413" s="14" t="n">
        <v>0.216661243716641</v>
      </c>
      <c r="J413" s="14" t="n">
        <v>0.247201319696374</v>
      </c>
      <c r="K413" s="14" t="n">
        <v>0.288297742574316</v>
      </c>
      <c r="L413" s="14" t="n">
        <v>0.358183536324425</v>
      </c>
      <c r="M413" s="14" t="n">
        <v>4.5219</v>
      </c>
      <c r="N413" s="14" t="n">
        <v>4.5522</v>
      </c>
      <c r="O413" s="14" t="n">
        <v>4.4998</v>
      </c>
      <c r="P413" s="14" t="n">
        <v>4.4299</v>
      </c>
      <c r="Q413" s="14" t="n">
        <v>0.5</v>
      </c>
      <c r="R413" s="14" t="n">
        <v>0.5</v>
      </c>
      <c r="S413" s="14" t="n">
        <v>10.25</v>
      </c>
    </row>
    <row r="414" customFormat="false" ht="15" hidden="false" customHeight="false" outlineLevel="0" collapsed="false">
      <c r="A414" s="13" t="n">
        <v>42915</v>
      </c>
      <c r="C414" s="14" t="n">
        <v>1.25</v>
      </c>
      <c r="D414" s="14" t="n">
        <v>1</v>
      </c>
      <c r="F414" s="14" t="n">
        <v>-0.4</v>
      </c>
      <c r="G414" s="14" t="n">
        <v>0.25</v>
      </c>
      <c r="H414" s="14" t="n">
        <v>0.2129</v>
      </c>
      <c r="I414" s="14" t="n">
        <v>0.21804190812925</v>
      </c>
      <c r="J414" s="14" t="n">
        <v>0.253632566374066</v>
      </c>
      <c r="K414" s="14" t="n">
        <v>0.29920652971275</v>
      </c>
      <c r="L414" s="14" t="n">
        <v>0.377747179943479</v>
      </c>
      <c r="M414" s="14" t="n">
        <v>4.4955</v>
      </c>
      <c r="N414" s="14" t="n">
        <v>4.5211</v>
      </c>
      <c r="O414" s="14" t="n">
        <v>4.4833</v>
      </c>
      <c r="P414" s="14" t="n">
        <v>4.4193</v>
      </c>
      <c r="Q414" s="14" t="n">
        <v>0.5</v>
      </c>
      <c r="R414" s="14" t="n">
        <v>0.5</v>
      </c>
      <c r="S414" s="14" t="n">
        <v>10.25</v>
      </c>
    </row>
    <row r="415" customFormat="false" ht="15" hidden="false" customHeight="false" outlineLevel="0" collapsed="false">
      <c r="A415" s="13" t="n">
        <v>42916</v>
      </c>
      <c r="C415" s="14" t="n">
        <v>1.25</v>
      </c>
      <c r="D415" s="14" t="n">
        <v>1</v>
      </c>
      <c r="F415" s="14" t="n">
        <v>-0.4</v>
      </c>
      <c r="G415" s="14" t="n">
        <v>0.25</v>
      </c>
      <c r="H415" s="14" t="n">
        <v>0.194</v>
      </c>
      <c r="I415" s="14" t="n">
        <v>0.217994084099476</v>
      </c>
      <c r="J415" s="14" t="n">
        <v>0.252123646398552</v>
      </c>
      <c r="K415" s="14" t="n">
        <v>0.296858742316732</v>
      </c>
      <c r="L415" s="14" t="n">
        <v>0.371721530402598</v>
      </c>
      <c r="M415" s="14" t="n">
        <v>4.4608</v>
      </c>
      <c r="N415" s="14" t="n">
        <v>4.5009</v>
      </c>
      <c r="O415" s="14" t="n">
        <v>4.4743</v>
      </c>
      <c r="P415" s="14" t="n">
        <v>4.4203</v>
      </c>
      <c r="Q415" s="14" t="n">
        <v>0.5</v>
      </c>
      <c r="R415" s="14" t="n">
        <v>0.49</v>
      </c>
      <c r="S415" s="14" t="n">
        <v>10.25</v>
      </c>
    </row>
    <row r="416" customFormat="false" ht="15" hidden="false" customHeight="false" outlineLevel="0" collapsed="false">
      <c r="A416" s="13" t="n">
        <v>42919</v>
      </c>
      <c r="C416" s="14" t="n">
        <v>1.25</v>
      </c>
      <c r="D416" s="14" t="n">
        <v>1</v>
      </c>
      <c r="F416" s="14" t="n">
        <v>-0.4</v>
      </c>
      <c r="G416" s="14" t="n">
        <v>0.25</v>
      </c>
      <c r="H416" s="14" t="n">
        <v>0.2137</v>
      </c>
      <c r="I416" s="14" t="n">
        <v>0.219931293564046</v>
      </c>
      <c r="J416" s="14" t="n">
        <v>0.256079703656914</v>
      </c>
      <c r="K416" s="14" t="n">
        <v>0.301348843853026</v>
      </c>
      <c r="L416" s="14" t="n">
        <v>0.376898409986922</v>
      </c>
      <c r="M416" s="14" t="n">
        <v>4.4252</v>
      </c>
      <c r="N416" s="14" t="n">
        <v>4.4857</v>
      </c>
      <c r="O416" s="14" t="n">
        <v>4.47</v>
      </c>
      <c r="P416" s="14" t="n">
        <v>4.4193</v>
      </c>
      <c r="Q416" s="14" t="n">
        <v>0.5</v>
      </c>
      <c r="R416" s="14" t="n">
        <v>0.49</v>
      </c>
      <c r="S416" s="14" t="n">
        <v>10.25</v>
      </c>
    </row>
    <row r="417" customFormat="false" ht="15" hidden="false" customHeight="false" outlineLevel="0" collapsed="false">
      <c r="A417" s="13" t="n">
        <v>42920</v>
      </c>
      <c r="C417" s="14" t="n">
        <v>1.25</v>
      </c>
      <c r="D417" s="14" t="n">
        <v>1</v>
      </c>
      <c r="F417" s="14" t="n">
        <v>-0.4</v>
      </c>
      <c r="G417" s="14" t="n">
        <v>0.25</v>
      </c>
      <c r="H417" s="14" t="n">
        <v>0.2118</v>
      </c>
      <c r="I417" s="14" t="n">
        <v>0.220603385436841</v>
      </c>
      <c r="J417" s="14" t="n">
        <v>0.251876898999758</v>
      </c>
      <c r="K417" s="14" t="n">
        <v>0.291543835734737</v>
      </c>
      <c r="L417" s="14" t="n">
        <v>0.361473336836069</v>
      </c>
      <c r="M417" s="14" t="n">
        <v>4.3987</v>
      </c>
      <c r="N417" s="14" t="n">
        <v>4.4606</v>
      </c>
      <c r="O417" s="14" t="n">
        <v>4.4569</v>
      </c>
      <c r="P417" s="14" t="n">
        <v>4.4162</v>
      </c>
      <c r="Q417" s="14" t="n">
        <v>0.5</v>
      </c>
      <c r="R417" s="14" t="n">
        <v>0.54</v>
      </c>
      <c r="S417" s="14" t="n">
        <v>10.25</v>
      </c>
    </row>
    <row r="418" customFormat="false" ht="15" hidden="false" customHeight="false" outlineLevel="0" collapsed="false">
      <c r="A418" s="13" t="n">
        <v>42921</v>
      </c>
      <c r="C418" s="14" t="n">
        <v>1.25</v>
      </c>
      <c r="D418" s="14" t="n">
        <v>1</v>
      </c>
      <c r="F418" s="14" t="n">
        <v>-0.4</v>
      </c>
      <c r="G418" s="14" t="n">
        <v>0.25</v>
      </c>
      <c r="H418" s="14" t="n">
        <v>0.212</v>
      </c>
      <c r="I418" s="14" t="n">
        <v>0.220750038974025</v>
      </c>
      <c r="J418" s="14" t="n">
        <v>0.249472223683703</v>
      </c>
      <c r="K418" s="14" t="n">
        <v>0.291082118170872</v>
      </c>
      <c r="L418" s="14" t="n">
        <v>0.360603505015582</v>
      </c>
      <c r="M418" s="14" t="n">
        <v>4.338</v>
      </c>
      <c r="N418" s="14" t="n">
        <v>4.4285</v>
      </c>
      <c r="O418" s="14" t="n">
        <v>4.4431</v>
      </c>
      <c r="P418" s="14" t="n">
        <v>4.413</v>
      </c>
      <c r="Q418" s="14" t="n">
        <v>0.5</v>
      </c>
      <c r="R418" s="14" t="n">
        <v>0.5</v>
      </c>
      <c r="S418" s="14" t="n">
        <v>10.25</v>
      </c>
    </row>
    <row r="419" customFormat="false" ht="15" hidden="false" customHeight="false" outlineLevel="0" collapsed="false">
      <c r="A419" s="13" t="n">
        <v>42922</v>
      </c>
      <c r="C419" s="14" t="n">
        <v>1.25</v>
      </c>
      <c r="D419" s="14" t="n">
        <v>1</v>
      </c>
      <c r="F419" s="14" t="n">
        <v>-0.4</v>
      </c>
      <c r="G419" s="14" t="n">
        <v>0.25</v>
      </c>
      <c r="H419" s="14" t="n">
        <v>0.2129</v>
      </c>
      <c r="I419" s="14" t="n">
        <v>0.221909600713198</v>
      </c>
      <c r="J419" s="14" t="n">
        <v>0.255345057044691</v>
      </c>
      <c r="K419" s="14" t="n">
        <v>0.30123261271965</v>
      </c>
      <c r="L419" s="14" t="n">
        <v>0.376825618124694</v>
      </c>
      <c r="M419" s="14" t="n">
        <v>4.2762</v>
      </c>
      <c r="N419" s="14" t="n">
        <v>4.3876</v>
      </c>
      <c r="O419" s="14" t="n">
        <v>4.4274</v>
      </c>
      <c r="P419" s="14" t="n">
        <v>4.4108</v>
      </c>
      <c r="Q419" s="14" t="n">
        <v>0.5</v>
      </c>
      <c r="R419" s="14" t="n">
        <v>0.5</v>
      </c>
      <c r="S419" s="14" t="n">
        <v>10.25</v>
      </c>
    </row>
    <row r="420" customFormat="false" ht="15" hidden="false" customHeight="false" outlineLevel="0" collapsed="false">
      <c r="A420" s="13" t="n">
        <v>42923</v>
      </c>
      <c r="C420" s="14" t="n">
        <v>1.25</v>
      </c>
      <c r="D420" s="14" t="n">
        <v>1</v>
      </c>
      <c r="F420" s="14" t="n">
        <v>-0.4</v>
      </c>
      <c r="G420" s="14" t="n">
        <v>0.25</v>
      </c>
      <c r="H420" s="14" t="n">
        <v>0.2143</v>
      </c>
      <c r="I420" s="14" t="n">
        <v>0.221569852547416</v>
      </c>
      <c r="J420" s="14" t="n">
        <v>0.249164140697915</v>
      </c>
      <c r="K420" s="14" t="n">
        <v>0.289464370201746</v>
      </c>
      <c r="L420" s="14" t="n">
        <v>0.363392882821574</v>
      </c>
      <c r="M420" s="14" t="n">
        <v>4.215</v>
      </c>
      <c r="N420" s="14" t="n">
        <v>4.3607</v>
      </c>
      <c r="O420" s="14" t="n">
        <v>4.41</v>
      </c>
      <c r="P420" s="14" t="n">
        <v>4.4091</v>
      </c>
      <c r="Q420" s="14" t="n">
        <v>0.5</v>
      </c>
      <c r="R420" s="14" t="n">
        <v>0.48</v>
      </c>
      <c r="S420" s="14" t="n">
        <v>10.25</v>
      </c>
    </row>
    <row r="421" customFormat="false" ht="15" hidden="false" customHeight="false" outlineLevel="0" collapsed="false">
      <c r="A421" s="13" t="n">
        <v>42926</v>
      </c>
      <c r="C421" s="14" t="n">
        <v>1.25</v>
      </c>
      <c r="D421" s="14" t="n">
        <v>1</v>
      </c>
      <c r="F421" s="14" t="n">
        <v>-0.4</v>
      </c>
      <c r="G421" s="14" t="n">
        <v>0.25</v>
      </c>
      <c r="H421" s="14" t="n">
        <v>0.2124</v>
      </c>
      <c r="I421" s="14" t="n">
        <v>0.222982306145971</v>
      </c>
      <c r="J421" s="14" t="n">
        <v>0.248443279271691</v>
      </c>
      <c r="K421" s="14" t="n">
        <v>0.28770784739877</v>
      </c>
      <c r="L421" s="14" t="n">
        <v>0.362104501984589</v>
      </c>
      <c r="M421" s="14" t="n">
        <v>4.161</v>
      </c>
      <c r="N421" s="14" t="n">
        <v>4.3421</v>
      </c>
      <c r="O421" s="14" t="n">
        <v>4.4006</v>
      </c>
      <c r="P421" s="14" t="n">
        <v>4.4073</v>
      </c>
      <c r="Q421" s="14" t="n">
        <v>0.5</v>
      </c>
      <c r="R421" s="14" t="n">
        <v>0.5</v>
      </c>
      <c r="S421" s="14" t="n">
        <v>10.25</v>
      </c>
    </row>
    <row r="422" customFormat="false" ht="15" hidden="false" customHeight="false" outlineLevel="0" collapsed="false">
      <c r="A422" s="13" t="n">
        <v>42927</v>
      </c>
      <c r="C422" s="14" t="n">
        <v>1.25</v>
      </c>
      <c r="D422" s="14" t="n">
        <v>1</v>
      </c>
      <c r="F422" s="14" t="n">
        <v>-0.4</v>
      </c>
      <c r="G422" s="14" t="n">
        <v>0.25</v>
      </c>
      <c r="H422" s="14" t="n">
        <v>0.2142</v>
      </c>
      <c r="I422" s="14" t="n">
        <v>0.222166564132075</v>
      </c>
      <c r="J422" s="14" t="n">
        <v>0.247259798619392</v>
      </c>
      <c r="K422" s="14" t="n">
        <v>0.284071736371736</v>
      </c>
      <c r="L422" s="14" t="n">
        <v>0.352146435802961</v>
      </c>
      <c r="M422" s="14" t="n">
        <v>4.1205</v>
      </c>
      <c r="N422" s="14" t="n">
        <v>4.3212</v>
      </c>
      <c r="O422" s="14" t="n">
        <v>4.3995</v>
      </c>
      <c r="P422" s="14" t="n">
        <v>4.4075</v>
      </c>
      <c r="Q422" s="14" t="n">
        <v>0.5</v>
      </c>
      <c r="R422" s="14" t="n">
        <v>0.52</v>
      </c>
      <c r="S422" s="14" t="n">
        <v>10.25</v>
      </c>
    </row>
    <row r="423" customFormat="false" ht="15" hidden="false" customHeight="false" outlineLevel="0" collapsed="false">
      <c r="A423" s="13" t="n">
        <v>42928</v>
      </c>
      <c r="C423" s="14" t="n">
        <v>1.25</v>
      </c>
      <c r="D423" s="14" t="n">
        <v>1</v>
      </c>
      <c r="F423" s="14" t="n">
        <v>-0.4</v>
      </c>
      <c r="G423" s="14" t="n">
        <v>0.25</v>
      </c>
      <c r="H423" s="14" t="n">
        <v>0.2148</v>
      </c>
      <c r="I423" s="14" t="n">
        <v>0.221079283646157</v>
      </c>
      <c r="J423" s="14" t="n">
        <v>0.244587058579816</v>
      </c>
      <c r="K423" s="14" t="n">
        <v>0.287819562264173</v>
      </c>
      <c r="L423" s="14" t="n">
        <v>0.364139144744249</v>
      </c>
      <c r="M423" s="14" t="n">
        <v>4.0848</v>
      </c>
      <c r="N423" s="14" t="n">
        <v>4.3088</v>
      </c>
      <c r="O423" s="14" t="n">
        <v>4.3909</v>
      </c>
      <c r="P423" s="14" t="n">
        <v>4.4066</v>
      </c>
      <c r="Q423" s="14" t="n">
        <v>0.5</v>
      </c>
      <c r="R423" s="14" t="n">
        <v>0.53</v>
      </c>
      <c r="S423" s="14" t="n">
        <v>10.25</v>
      </c>
    </row>
    <row r="424" customFormat="false" ht="15" hidden="false" customHeight="false" outlineLevel="0" collapsed="false">
      <c r="A424" s="13" t="n">
        <v>42929</v>
      </c>
      <c r="C424" s="14" t="n">
        <v>1.25</v>
      </c>
      <c r="D424" s="14" t="n">
        <v>1</v>
      </c>
      <c r="F424" s="14" t="n">
        <v>-0.4</v>
      </c>
      <c r="G424" s="14" t="n">
        <v>0.25</v>
      </c>
      <c r="H424" s="14" t="n">
        <v>0.2145</v>
      </c>
      <c r="I424" s="14" t="n">
        <v>0.221708772029973</v>
      </c>
      <c r="J424" s="14" t="n">
        <v>0.246991447497559</v>
      </c>
      <c r="K424" s="14" t="n">
        <v>0.291451693651974</v>
      </c>
      <c r="L424" s="14" t="n">
        <v>0.364244479823105</v>
      </c>
      <c r="M424" s="14" t="n">
        <v>4.0675</v>
      </c>
      <c r="N424" s="14" t="n">
        <v>4.29</v>
      </c>
      <c r="O424" s="14" t="n">
        <v>4.3879</v>
      </c>
      <c r="P424" s="14" t="n">
        <v>4.4074</v>
      </c>
      <c r="Q424" s="14" t="n">
        <v>0.5</v>
      </c>
      <c r="R424" s="14" t="n">
        <v>0.53</v>
      </c>
      <c r="S424" s="14" t="n">
        <v>10.25</v>
      </c>
    </row>
    <row r="425" customFormat="false" ht="15" hidden="false" customHeight="false" outlineLevel="0" collapsed="false">
      <c r="A425" s="13" t="n">
        <v>42930</v>
      </c>
      <c r="C425" s="14" t="n">
        <v>1.25</v>
      </c>
      <c r="D425" s="14" t="n">
        <v>1</v>
      </c>
      <c r="F425" s="14" t="n">
        <v>-0.4</v>
      </c>
      <c r="G425" s="14" t="n">
        <v>0.25</v>
      </c>
      <c r="H425" s="14" t="n">
        <v>0.2144</v>
      </c>
      <c r="I425" s="14" t="n">
        <v>0.223173948564835</v>
      </c>
      <c r="J425" s="14" t="n">
        <v>0.247907749410862</v>
      </c>
      <c r="K425" s="14" t="n">
        <v>0.291799899608291</v>
      </c>
      <c r="L425" s="14" t="n">
        <v>0.366138057094663</v>
      </c>
      <c r="M425" s="14" t="n">
        <v>4.0397</v>
      </c>
      <c r="N425" s="14" t="n">
        <v>4.281</v>
      </c>
      <c r="O425" s="14" t="n">
        <v>4.385</v>
      </c>
      <c r="P425" s="14" t="n">
        <v>4.4051</v>
      </c>
      <c r="Q425" s="14" t="n">
        <v>0.5</v>
      </c>
      <c r="R425" s="14" t="n">
        <v>0.51</v>
      </c>
      <c r="S425" s="14" t="n">
        <v>10.25</v>
      </c>
    </row>
    <row r="426" customFormat="false" ht="15" hidden="false" customHeight="false" outlineLevel="0" collapsed="false">
      <c r="A426" s="13" t="n">
        <v>42933</v>
      </c>
      <c r="C426" s="14" t="n">
        <v>1.25</v>
      </c>
      <c r="D426" s="14" t="n">
        <v>1</v>
      </c>
      <c r="F426" s="14" t="n">
        <v>-0.4</v>
      </c>
      <c r="G426" s="14" t="n">
        <v>0.25</v>
      </c>
      <c r="H426" s="14" t="n">
        <v>0.2134</v>
      </c>
      <c r="I426" s="14" t="n">
        <v>0.228209455920256</v>
      </c>
      <c r="J426" s="14" t="n">
        <v>0.252991939434038</v>
      </c>
      <c r="K426" s="14" t="n">
        <v>0.293368184248715</v>
      </c>
      <c r="L426" s="14" t="n">
        <v>0.361111834573658</v>
      </c>
      <c r="M426" s="14" t="n">
        <v>4.012</v>
      </c>
      <c r="N426" s="14" t="n">
        <v>4.2706</v>
      </c>
      <c r="O426" s="14" t="n">
        <v>4.379</v>
      </c>
      <c r="P426" s="14" t="n">
        <v>4.405</v>
      </c>
      <c r="Q426" s="14" t="n">
        <v>0.5</v>
      </c>
      <c r="R426" s="14" t="n">
        <v>0.48</v>
      </c>
      <c r="S426" s="14" t="n">
        <v>10.25</v>
      </c>
    </row>
    <row r="427" customFormat="false" ht="15" hidden="false" customHeight="false" outlineLevel="0" collapsed="false">
      <c r="A427" s="13" t="n">
        <v>42934</v>
      </c>
      <c r="C427" s="14" t="n">
        <v>1.25</v>
      </c>
      <c r="D427" s="14" t="n">
        <v>1</v>
      </c>
      <c r="F427" s="14" t="n">
        <v>-0.4</v>
      </c>
      <c r="G427" s="14" t="n">
        <v>0.25</v>
      </c>
      <c r="H427" s="14" t="n">
        <v>0.2117</v>
      </c>
      <c r="I427" s="14" t="n">
        <v>0.22311086176561</v>
      </c>
      <c r="J427" s="14" t="n">
        <v>0.240550468233299</v>
      </c>
      <c r="K427" s="14" t="n">
        <v>0.273598725613108</v>
      </c>
      <c r="L427" s="14" t="n">
        <v>0.330738791700776</v>
      </c>
      <c r="M427" s="14" t="n">
        <v>3.9989</v>
      </c>
      <c r="N427" s="14" t="n">
        <v>4.2666</v>
      </c>
      <c r="O427" s="14" t="n">
        <v>4.3692</v>
      </c>
      <c r="P427" s="14" t="n">
        <v>4.4034</v>
      </c>
      <c r="Q427" s="14" t="n">
        <v>0.5</v>
      </c>
      <c r="R427" s="14" t="n">
        <v>0.49</v>
      </c>
      <c r="S427" s="14" t="n">
        <v>10.25</v>
      </c>
    </row>
    <row r="428" customFormat="false" ht="15" hidden="false" customHeight="false" outlineLevel="0" collapsed="false">
      <c r="A428" s="13" t="n">
        <v>42935</v>
      </c>
      <c r="C428" s="14" t="n">
        <v>1.25</v>
      </c>
      <c r="D428" s="14" t="n">
        <v>1</v>
      </c>
      <c r="F428" s="14" t="n">
        <v>-0.4</v>
      </c>
      <c r="G428" s="14" t="n">
        <v>0.25</v>
      </c>
      <c r="H428" s="14" t="n">
        <v>0.2103</v>
      </c>
      <c r="I428" s="14" t="n">
        <v>0.223854113250203</v>
      </c>
      <c r="J428" s="14" t="n">
        <v>0.241070412150935</v>
      </c>
      <c r="K428" s="14" t="n">
        <v>0.272162984277185</v>
      </c>
      <c r="L428" s="14" t="n">
        <v>0.326174795174459</v>
      </c>
      <c r="M428" s="14" t="n">
        <v>3.992</v>
      </c>
      <c r="N428" s="14" t="n">
        <v>4.26</v>
      </c>
      <c r="O428" s="14" t="n">
        <v>4.3685</v>
      </c>
      <c r="P428" s="14" t="n">
        <v>4.4008</v>
      </c>
      <c r="Q428" s="14" t="n">
        <v>0.5</v>
      </c>
      <c r="R428" s="14" t="n">
        <v>0.49</v>
      </c>
      <c r="S428" s="14" t="n">
        <v>10.25</v>
      </c>
    </row>
    <row r="429" customFormat="false" ht="15" hidden="false" customHeight="false" outlineLevel="0" collapsed="false">
      <c r="A429" s="13" t="n">
        <v>42936</v>
      </c>
      <c r="C429" s="14" t="n">
        <v>1.25</v>
      </c>
      <c r="D429" s="14" t="n">
        <v>1</v>
      </c>
      <c r="F429" s="14" t="n">
        <v>-0.4</v>
      </c>
      <c r="G429" s="14" t="n">
        <v>0.25</v>
      </c>
      <c r="H429" s="14" t="n">
        <v>0.2119</v>
      </c>
      <c r="I429" s="14" t="n">
        <v>0.226176670363511</v>
      </c>
      <c r="J429" s="14" t="n">
        <v>0.243317204887987</v>
      </c>
      <c r="K429" s="14" t="n">
        <v>0.275050636544804</v>
      </c>
      <c r="L429" s="14" t="n">
        <v>0.326305054771044</v>
      </c>
      <c r="M429" s="14" t="n">
        <v>3.9792</v>
      </c>
      <c r="N429" s="14" t="n">
        <v>4.2551</v>
      </c>
      <c r="O429" s="14" t="n">
        <v>4.3597</v>
      </c>
      <c r="P429" s="14" t="n">
        <v>4.3976</v>
      </c>
      <c r="Q429" s="14" t="n">
        <v>0.5</v>
      </c>
      <c r="R429" s="14" t="n">
        <v>0.49</v>
      </c>
      <c r="S429" s="14" t="n">
        <v>10.25</v>
      </c>
    </row>
    <row r="430" customFormat="false" ht="15" hidden="false" customHeight="false" outlineLevel="0" collapsed="false">
      <c r="A430" s="13" t="n">
        <v>42937</v>
      </c>
      <c r="C430" s="14" t="n">
        <v>1.25</v>
      </c>
      <c r="D430" s="14" t="n">
        <v>1</v>
      </c>
      <c r="F430" s="14" t="n">
        <v>-0.4</v>
      </c>
      <c r="G430" s="14" t="n">
        <v>0.25</v>
      </c>
      <c r="H430" s="14" t="n">
        <v>0.2142</v>
      </c>
      <c r="I430" s="14" t="n">
        <v>0.226376153272821</v>
      </c>
      <c r="J430" s="14" t="n">
        <v>0.242630761714439</v>
      </c>
      <c r="K430" s="14" t="n">
        <v>0.274337710967884</v>
      </c>
      <c r="L430" s="14" t="n">
        <v>0.325095457684174</v>
      </c>
      <c r="M430" s="14" t="n">
        <v>3.9497</v>
      </c>
      <c r="N430" s="14" t="n">
        <v>4.255</v>
      </c>
      <c r="O430" s="14" t="n">
        <v>4.3517</v>
      </c>
      <c r="P430" s="14" t="n">
        <v>4.3977</v>
      </c>
      <c r="Q430" s="14" t="n">
        <v>0.5</v>
      </c>
      <c r="R430" s="14" t="n">
        <v>0.49</v>
      </c>
      <c r="S430" s="14" t="n">
        <v>10.25</v>
      </c>
    </row>
    <row r="431" customFormat="false" ht="15" hidden="false" customHeight="false" outlineLevel="0" collapsed="false">
      <c r="A431" s="13" t="n">
        <v>42940</v>
      </c>
      <c r="C431" s="14" t="n">
        <v>1.25</v>
      </c>
      <c r="D431" s="14" t="n">
        <v>1</v>
      </c>
      <c r="F431" s="14" t="n">
        <v>-0.4</v>
      </c>
      <c r="G431" s="14" t="n">
        <v>0.25</v>
      </c>
      <c r="H431" s="14" t="n">
        <v>0.2123</v>
      </c>
      <c r="I431" s="14" t="n">
        <v>0.229839561942857</v>
      </c>
      <c r="J431" s="14" t="n">
        <v>0.246642693075479</v>
      </c>
      <c r="K431" s="14" t="n">
        <v>0.278560106297812</v>
      </c>
      <c r="L431" s="14" t="n">
        <v>0.329031572362731</v>
      </c>
      <c r="M431" s="14" t="n">
        <v>3.93</v>
      </c>
      <c r="N431" s="14" t="n">
        <v>4.255</v>
      </c>
      <c r="O431" s="14" t="n">
        <v>4.3453</v>
      </c>
      <c r="P431" s="14" t="n">
        <v>4.396</v>
      </c>
      <c r="Q431" s="14" t="n">
        <v>0.5</v>
      </c>
      <c r="R431" s="14" t="n">
        <v>0.49</v>
      </c>
      <c r="S431" s="14" t="n">
        <v>10.25</v>
      </c>
    </row>
    <row r="432" customFormat="false" ht="15" hidden="false" customHeight="false" outlineLevel="0" collapsed="false">
      <c r="A432" s="13" t="n">
        <v>42941</v>
      </c>
      <c r="C432" s="14" t="n">
        <v>1.25</v>
      </c>
      <c r="D432" s="14" t="n">
        <v>1</v>
      </c>
      <c r="F432" s="14" t="n">
        <v>-0.4</v>
      </c>
      <c r="G432" s="14" t="n">
        <v>0.25</v>
      </c>
      <c r="H432" s="14" t="n">
        <v>0.2119</v>
      </c>
      <c r="I432" s="14" t="n">
        <v>0.230363600403184</v>
      </c>
      <c r="J432" s="14" t="n">
        <v>0.246705695073112</v>
      </c>
      <c r="K432" s="14" t="n">
        <v>0.279424530695818</v>
      </c>
      <c r="L432" s="14" t="n">
        <v>0.336578288706433</v>
      </c>
      <c r="M432" s="14" t="n">
        <v>3.9205</v>
      </c>
      <c r="N432" s="14" t="n">
        <v>4.254</v>
      </c>
      <c r="O432" s="14" t="n">
        <v>4.3444</v>
      </c>
      <c r="P432" s="14" t="n">
        <v>4.3935</v>
      </c>
      <c r="Q432" s="14" t="n">
        <v>0.5</v>
      </c>
      <c r="R432" s="14" t="n">
        <v>0.49</v>
      </c>
      <c r="S432" s="14" t="n">
        <v>10.25</v>
      </c>
    </row>
    <row r="433" customFormat="false" ht="15" hidden="false" customHeight="false" outlineLevel="0" collapsed="false">
      <c r="A433" s="13" t="n">
        <v>42942</v>
      </c>
      <c r="C433" s="14" t="n">
        <v>1.25</v>
      </c>
      <c r="D433" s="14" t="n">
        <v>1</v>
      </c>
      <c r="F433" s="14" t="n">
        <v>-0.4</v>
      </c>
      <c r="G433" s="14" t="n">
        <v>0.25</v>
      </c>
      <c r="H433" s="14" t="n">
        <v>0.2121</v>
      </c>
      <c r="I433" s="14" t="n">
        <v>0.226106793393032</v>
      </c>
      <c r="J433" s="14" t="n">
        <v>0.241728059083316</v>
      </c>
      <c r="K433" s="14" t="n">
        <v>0.273836497912237</v>
      </c>
      <c r="L433" s="14" t="n">
        <v>0.325497417338329</v>
      </c>
      <c r="M433" s="14" t="n">
        <v>3.9086</v>
      </c>
      <c r="N433" s="14" t="n">
        <v>4.251</v>
      </c>
      <c r="O433" s="14" t="n">
        <v>4.3434</v>
      </c>
      <c r="P433" s="14" t="n">
        <v>4.3904</v>
      </c>
      <c r="Q433" s="14" t="n">
        <v>0.5</v>
      </c>
      <c r="R433" s="14" t="n">
        <v>0.49</v>
      </c>
      <c r="S433" s="14" t="n">
        <v>10.25</v>
      </c>
    </row>
    <row r="434" customFormat="false" ht="15" hidden="false" customHeight="false" outlineLevel="0" collapsed="false">
      <c r="A434" s="13" t="n">
        <v>42943</v>
      </c>
      <c r="C434" s="14" t="n">
        <v>1.25</v>
      </c>
      <c r="D434" s="14" t="n">
        <v>1</v>
      </c>
      <c r="F434" s="14" t="n">
        <v>-0.4</v>
      </c>
      <c r="G434" s="14" t="n">
        <v>0.25</v>
      </c>
      <c r="H434" s="14" t="n">
        <v>0.2115</v>
      </c>
      <c r="I434" s="14" t="n">
        <v>0.221398210700478</v>
      </c>
      <c r="J434" s="14" t="n">
        <v>0.235118700533816</v>
      </c>
      <c r="K434" s="14" t="n">
        <v>0.265608393235616</v>
      </c>
      <c r="L434" s="14" t="n">
        <v>0.311752734505805</v>
      </c>
      <c r="M434" s="14" t="n">
        <v>3.8994</v>
      </c>
      <c r="N434" s="14" t="n">
        <v>4.25</v>
      </c>
      <c r="O434" s="14" t="n">
        <v>4.3432</v>
      </c>
      <c r="P434" s="14" t="n">
        <v>4.3908</v>
      </c>
      <c r="Q434" s="14" t="n">
        <v>0.5</v>
      </c>
      <c r="R434" s="14" t="n">
        <v>0.5</v>
      </c>
      <c r="S434" s="14" t="n">
        <v>9.25</v>
      </c>
    </row>
    <row r="435" customFormat="false" ht="15" hidden="false" customHeight="false" outlineLevel="0" collapsed="false">
      <c r="A435" s="13" t="n">
        <v>42944</v>
      </c>
      <c r="C435" s="14" t="n">
        <v>1.25</v>
      </c>
      <c r="D435" s="14" t="n">
        <v>1</v>
      </c>
      <c r="F435" s="14" t="n">
        <v>-0.4</v>
      </c>
      <c r="G435" s="14" t="n">
        <v>0.25</v>
      </c>
      <c r="H435" s="14" t="n">
        <v>0.212</v>
      </c>
      <c r="I435" s="14" t="n">
        <v>0.22320991310379</v>
      </c>
      <c r="J435" s="14" t="n">
        <v>0.236137144525636</v>
      </c>
      <c r="K435" s="14" t="n">
        <v>0.269807087955828</v>
      </c>
      <c r="L435" s="14" t="n">
        <v>0.320376087525982</v>
      </c>
      <c r="M435" s="14" t="n">
        <v>3.8915</v>
      </c>
      <c r="N435" s="14" t="n">
        <v>4.2514</v>
      </c>
      <c r="O435" s="14" t="n">
        <v>4.3481</v>
      </c>
      <c r="P435" s="14" t="n">
        <v>4.3892</v>
      </c>
      <c r="Q435" s="14" t="n">
        <v>0.5</v>
      </c>
      <c r="R435" s="14" t="n">
        <v>0.5</v>
      </c>
      <c r="S435" s="14" t="n">
        <v>9.25</v>
      </c>
    </row>
    <row r="436" customFormat="false" ht="15" hidden="false" customHeight="false" outlineLevel="0" collapsed="false">
      <c r="A436" s="13" t="n">
        <v>42947</v>
      </c>
      <c r="C436" s="14" t="n">
        <v>1.25</v>
      </c>
      <c r="D436" s="14" t="n">
        <v>1</v>
      </c>
      <c r="F436" s="14" t="n">
        <v>-0.4</v>
      </c>
      <c r="G436" s="14" t="n">
        <v>0.25</v>
      </c>
      <c r="H436" s="14" t="n">
        <v>0.2034</v>
      </c>
      <c r="I436" s="14" t="n">
        <v>0.224629156474296</v>
      </c>
      <c r="J436" s="14" t="n">
        <v>0.238441872249184</v>
      </c>
      <c r="K436" s="14" t="n">
        <v>0.272958982575095</v>
      </c>
      <c r="L436" s="14" t="n">
        <v>0.331173826335609</v>
      </c>
      <c r="M436" s="14" t="n">
        <v>3.889</v>
      </c>
      <c r="N436" s="14" t="n">
        <v>4.2561</v>
      </c>
      <c r="O436" s="14" t="n">
        <v>4.3493</v>
      </c>
      <c r="P436" s="14" t="n">
        <v>4.3881</v>
      </c>
      <c r="Q436" s="14" t="n">
        <v>0.5</v>
      </c>
      <c r="R436" s="14" t="n">
        <v>0.49</v>
      </c>
      <c r="S436" s="14" t="n">
        <v>9.25</v>
      </c>
    </row>
    <row r="437" customFormat="false" ht="15" hidden="false" customHeight="false" outlineLevel="0" collapsed="false">
      <c r="A437" s="13" t="n">
        <v>42948</v>
      </c>
      <c r="C437" s="14" t="n">
        <v>1.25</v>
      </c>
      <c r="D437" s="14" t="n">
        <v>1</v>
      </c>
      <c r="F437" s="14" t="n">
        <v>-0.4</v>
      </c>
      <c r="G437" s="14" t="n">
        <v>0.25</v>
      </c>
      <c r="H437" s="14" t="n">
        <v>0.2115</v>
      </c>
      <c r="I437" s="14" t="n">
        <v>0.22941111045817</v>
      </c>
      <c r="J437" s="14" t="n">
        <v>0.24489788632923</v>
      </c>
      <c r="K437" s="14" t="n">
        <v>0.281322422064295</v>
      </c>
      <c r="L437" s="14" t="n">
        <v>0.339399499741005</v>
      </c>
      <c r="M437" s="14" t="n">
        <v>3.8886</v>
      </c>
      <c r="N437" s="14" t="n">
        <v>4.2631</v>
      </c>
      <c r="O437" s="14" t="n">
        <v>4.3518</v>
      </c>
      <c r="P437" s="14" t="n">
        <v>4.3931</v>
      </c>
      <c r="Q437" s="14" t="n">
        <v>0.5</v>
      </c>
      <c r="R437" s="14" t="n">
        <v>0.49</v>
      </c>
      <c r="S437" s="14" t="n">
        <v>9.25</v>
      </c>
    </row>
    <row r="438" customFormat="false" ht="15" hidden="false" customHeight="false" outlineLevel="0" collapsed="false">
      <c r="A438" s="13" t="n">
        <v>42949</v>
      </c>
      <c r="C438" s="14" t="n">
        <v>1.25</v>
      </c>
      <c r="D438" s="14" t="n">
        <v>1</v>
      </c>
      <c r="F438" s="14" t="n">
        <v>-0.4</v>
      </c>
      <c r="G438" s="14" t="n">
        <v>0.25</v>
      </c>
      <c r="H438" s="14" t="n">
        <v>0.2143</v>
      </c>
      <c r="I438" s="14" t="n">
        <v>0.232050366132624</v>
      </c>
      <c r="J438" s="14" t="n">
        <v>0.247293469543369</v>
      </c>
      <c r="K438" s="14" t="n">
        <v>0.28432159412425</v>
      </c>
      <c r="L438" s="14" t="n">
        <v>0.342746183559678</v>
      </c>
      <c r="M438" s="14" t="n">
        <v>3.8875</v>
      </c>
      <c r="N438" s="14" t="n">
        <v>4.2681</v>
      </c>
      <c r="O438" s="14" t="n">
        <v>4.3521</v>
      </c>
      <c r="P438" s="14" t="n">
        <v>4.3961</v>
      </c>
      <c r="Q438" s="14" t="n">
        <v>0.5</v>
      </c>
      <c r="R438" s="14" t="n">
        <v>0.48</v>
      </c>
      <c r="S438" s="14" t="n">
        <v>9.25</v>
      </c>
    </row>
    <row r="439" customFormat="false" ht="15" hidden="false" customHeight="false" outlineLevel="0" collapsed="false">
      <c r="A439" s="13" t="n">
        <v>42950</v>
      </c>
      <c r="C439" s="14" t="n">
        <v>1.25</v>
      </c>
      <c r="D439" s="14" t="n">
        <v>1</v>
      </c>
      <c r="F439" s="14" t="n">
        <v>-0.4</v>
      </c>
      <c r="G439" s="14" t="n">
        <v>0.25</v>
      </c>
      <c r="H439" s="14" t="n">
        <v>0.2143</v>
      </c>
      <c r="I439" s="14" t="n">
        <v>0.211049501982877</v>
      </c>
      <c r="J439" s="14" t="n">
        <v>0.223561422805204</v>
      </c>
      <c r="K439" s="14" t="n">
        <v>0.257448382880915</v>
      </c>
      <c r="L439" s="14" t="n">
        <v>0.30542757217019</v>
      </c>
      <c r="M439" s="14" t="n">
        <v>3.8884</v>
      </c>
      <c r="N439" s="14" t="n">
        <v>4.2704</v>
      </c>
      <c r="O439" s="14" t="n">
        <v>4.3563</v>
      </c>
      <c r="P439" s="14" t="n">
        <v>4.3982</v>
      </c>
      <c r="Q439" s="14" t="n">
        <v>0.5</v>
      </c>
      <c r="R439" s="14" t="n">
        <v>0.5</v>
      </c>
      <c r="S439" s="14" t="n">
        <v>9.25</v>
      </c>
    </row>
    <row r="440" customFormat="false" ht="15" hidden="false" customHeight="false" outlineLevel="0" collapsed="false">
      <c r="A440" s="13" t="n">
        <v>42951</v>
      </c>
      <c r="C440" s="14" t="n">
        <v>1.25</v>
      </c>
      <c r="D440" s="14" t="n">
        <v>1</v>
      </c>
      <c r="F440" s="14" t="n">
        <v>-0.4</v>
      </c>
      <c r="G440" s="14" t="n">
        <v>0.25</v>
      </c>
      <c r="H440" s="14" t="n">
        <v>0.2129</v>
      </c>
      <c r="I440" s="14" t="n">
        <v>0.211126957887612</v>
      </c>
      <c r="J440" s="14" t="n">
        <v>0.223363217025577</v>
      </c>
      <c r="K440" s="14" t="n">
        <v>0.254809217020126</v>
      </c>
      <c r="L440" s="14" t="n">
        <v>0.309209755164154</v>
      </c>
      <c r="M440" s="14" t="n">
        <v>3.8828</v>
      </c>
      <c r="N440" s="14" t="n">
        <v>4.2724</v>
      </c>
      <c r="O440" s="14" t="n">
        <v>4.3562</v>
      </c>
      <c r="P440" s="14" t="n">
        <v>4.3979</v>
      </c>
      <c r="Q440" s="14" t="n">
        <v>0.5</v>
      </c>
      <c r="R440" s="14" t="n">
        <v>0.49</v>
      </c>
      <c r="S440" s="14" t="n">
        <v>9.25</v>
      </c>
    </row>
    <row r="441" customFormat="false" ht="15" hidden="false" customHeight="false" outlineLevel="0" collapsed="false">
      <c r="A441" s="13" t="n">
        <v>42954</v>
      </c>
      <c r="C441" s="14" t="n">
        <v>1.25</v>
      </c>
      <c r="D441" s="14" t="n">
        <v>1</v>
      </c>
      <c r="F441" s="14" t="n">
        <v>-0.4</v>
      </c>
      <c r="G441" s="14" t="n">
        <v>0.25</v>
      </c>
      <c r="H441" s="14" t="n">
        <v>0.2125</v>
      </c>
      <c r="I441" s="14" t="n">
        <v>0.211493152809293</v>
      </c>
      <c r="J441" s="14" t="n">
        <v>0.222590494987286</v>
      </c>
      <c r="K441" s="14" t="n">
        <v>0.250813135274877</v>
      </c>
      <c r="L441" s="14" t="n">
        <v>0.297911602499879</v>
      </c>
      <c r="M441" s="14" t="n">
        <v>3.8781</v>
      </c>
      <c r="N441" s="14" t="n">
        <v>4.2733</v>
      </c>
      <c r="O441" s="14" t="n">
        <v>4.3573</v>
      </c>
      <c r="P441" s="14" t="n">
        <v>4.398</v>
      </c>
      <c r="Q441" s="14" t="n">
        <v>0.5</v>
      </c>
      <c r="R441" s="14" t="n">
        <v>0.49</v>
      </c>
      <c r="S441" s="14" t="n">
        <v>9.25</v>
      </c>
    </row>
    <row r="442" customFormat="false" ht="15" hidden="false" customHeight="false" outlineLevel="0" collapsed="false">
      <c r="A442" s="13" t="n">
        <v>42955</v>
      </c>
      <c r="C442" s="14" t="n">
        <v>1.25</v>
      </c>
      <c r="D442" s="14" t="n">
        <v>1</v>
      </c>
      <c r="F442" s="14" t="n">
        <v>-0.4</v>
      </c>
      <c r="G442" s="14" t="n">
        <v>0.25</v>
      </c>
      <c r="H442" s="14" t="n">
        <v>0.2159</v>
      </c>
      <c r="I442" s="14" t="n">
        <v>0.211689388932608</v>
      </c>
      <c r="J442" s="14" t="n">
        <v>0.221829639069923</v>
      </c>
      <c r="K442" s="14" t="n">
        <v>0.249701243407002</v>
      </c>
      <c r="L442" s="14" t="n">
        <v>0.300435905498417</v>
      </c>
      <c r="M442" s="14" t="n">
        <v>3.8755</v>
      </c>
      <c r="N442" s="14" t="n">
        <v>4.2735</v>
      </c>
      <c r="O442" s="14" t="n">
        <v>4.3614</v>
      </c>
      <c r="P442" s="14" t="n">
        <v>4.397</v>
      </c>
      <c r="Q442" s="14" t="n">
        <v>0.5</v>
      </c>
      <c r="R442" s="14" t="n">
        <v>0.49</v>
      </c>
      <c r="S442" s="14" t="n">
        <v>9.25</v>
      </c>
    </row>
    <row r="443" customFormat="false" ht="15" hidden="false" customHeight="false" outlineLevel="0" collapsed="false">
      <c r="A443" s="13" t="n">
        <v>42956</v>
      </c>
      <c r="C443" s="14" t="n">
        <v>1.25</v>
      </c>
      <c r="D443" s="14" t="n">
        <v>1</v>
      </c>
      <c r="F443" s="14" t="n">
        <v>-0.4</v>
      </c>
      <c r="G443" s="14" t="n">
        <v>0.25</v>
      </c>
      <c r="H443" s="14" t="n">
        <v>0.2148</v>
      </c>
      <c r="I443" s="14" t="n">
        <v>0.211394755275589</v>
      </c>
      <c r="J443" s="14" t="n">
        <v>0.222415546692978</v>
      </c>
      <c r="K443" s="14" t="n">
        <v>0.250111781323632</v>
      </c>
      <c r="L443" s="14" t="n">
        <v>0.294929707951914</v>
      </c>
      <c r="M443" s="14" t="n">
        <v>3.8756</v>
      </c>
      <c r="N443" s="14" t="n">
        <v>4.2818</v>
      </c>
      <c r="O443" s="14" t="n">
        <v>4.3633</v>
      </c>
      <c r="P443" s="14" t="n">
        <v>4.398</v>
      </c>
      <c r="Q443" s="14" t="n">
        <v>0.5</v>
      </c>
      <c r="R443" s="14" t="n">
        <v>0.49</v>
      </c>
      <c r="S443" s="14" t="n">
        <v>9.25</v>
      </c>
    </row>
    <row r="444" customFormat="false" ht="15" hidden="false" customHeight="false" outlineLevel="0" collapsed="false">
      <c r="A444" s="13" t="n">
        <v>42957</v>
      </c>
      <c r="C444" s="14" t="n">
        <v>1.25</v>
      </c>
      <c r="D444" s="14" t="n">
        <v>1</v>
      </c>
      <c r="F444" s="14" t="n">
        <v>-0.4</v>
      </c>
      <c r="G444" s="14" t="n">
        <v>0.25</v>
      </c>
      <c r="H444" s="14" t="n">
        <v>0.2126</v>
      </c>
      <c r="I444" s="14" t="n">
        <v>0.211371329113551</v>
      </c>
      <c r="J444" s="14" t="n">
        <v>0.222352303425334</v>
      </c>
      <c r="K444" s="14" t="n">
        <v>0.248114066417198</v>
      </c>
      <c r="L444" s="14" t="n">
        <v>0.288262842751376</v>
      </c>
      <c r="M444" s="14" t="n">
        <v>3.8691</v>
      </c>
      <c r="N444" s="14" t="n">
        <v>4.2867</v>
      </c>
      <c r="O444" s="14" t="n">
        <v>4.3636</v>
      </c>
      <c r="P444" s="14" t="n">
        <v>4.3985</v>
      </c>
      <c r="Q444" s="14" t="n">
        <v>0.5</v>
      </c>
      <c r="R444" s="14" t="n">
        <v>0.5</v>
      </c>
      <c r="S444" s="14" t="n">
        <v>9.25</v>
      </c>
    </row>
    <row r="445" customFormat="false" ht="15" hidden="false" customHeight="false" outlineLevel="0" collapsed="false">
      <c r="A445" s="13" t="n">
        <v>42958</v>
      </c>
      <c r="C445" s="14" t="n">
        <v>1.25</v>
      </c>
      <c r="D445" s="14" t="n">
        <v>1</v>
      </c>
      <c r="F445" s="14" t="n">
        <v>-0.4</v>
      </c>
      <c r="G445" s="14" t="n">
        <v>0.25</v>
      </c>
      <c r="H445" s="14" t="n">
        <v>0.2133</v>
      </c>
      <c r="I445" s="14" t="n">
        <v>0.210966902596679</v>
      </c>
      <c r="J445" s="14" t="n">
        <v>0.222769346984789</v>
      </c>
      <c r="K445" s="14" t="n">
        <v>0.247052267391497</v>
      </c>
      <c r="L445" s="14" t="n">
        <v>0.284237606073651</v>
      </c>
      <c r="M445" s="14" t="n">
        <v>3.8627</v>
      </c>
      <c r="N445" s="14" t="n">
        <v>4.2979</v>
      </c>
      <c r="O445" s="14" t="n">
        <v>4.3673</v>
      </c>
      <c r="P445" s="14" t="n">
        <v>4.3985</v>
      </c>
      <c r="Q445" s="14" t="n">
        <v>0.5</v>
      </c>
      <c r="R445" s="14" t="n">
        <v>0.5</v>
      </c>
      <c r="S445" s="14" t="n">
        <v>9.25</v>
      </c>
    </row>
    <row r="446" customFormat="false" ht="15" hidden="false" customHeight="false" outlineLevel="0" collapsed="false">
      <c r="A446" s="13" t="n">
        <v>42961</v>
      </c>
      <c r="C446" s="14" t="n">
        <v>1.25</v>
      </c>
      <c r="D446" s="14" t="n">
        <v>1</v>
      </c>
      <c r="F446" s="14" t="n">
        <v>-0.4</v>
      </c>
      <c r="G446" s="14" t="n">
        <v>0.25</v>
      </c>
      <c r="H446" s="14" t="n">
        <v>0.2123</v>
      </c>
      <c r="I446" s="14" t="n">
        <v>0.210719678308696</v>
      </c>
      <c r="J446" s="14" t="n">
        <v>0.224216016671501</v>
      </c>
      <c r="K446" s="14" t="n">
        <v>0.25091953213179</v>
      </c>
      <c r="L446" s="14" t="n">
        <v>0.290717128802418</v>
      </c>
      <c r="M446" s="14" t="n">
        <v>3.8512</v>
      </c>
      <c r="N446" s="14" t="n">
        <v>4.3148</v>
      </c>
      <c r="O446" s="14" t="n">
        <v>4.3763</v>
      </c>
      <c r="P446" s="14" t="n">
        <v>4.3981</v>
      </c>
      <c r="Q446" s="14" t="n">
        <v>0.5</v>
      </c>
      <c r="R446" s="14" t="n">
        <v>0.49</v>
      </c>
      <c r="S446" s="14" t="n">
        <v>9.25</v>
      </c>
    </row>
    <row r="447" customFormat="false" ht="15" hidden="false" customHeight="false" outlineLevel="0" collapsed="false">
      <c r="A447" s="13" t="n">
        <v>42962</v>
      </c>
      <c r="C447" s="14" t="n">
        <v>1.25</v>
      </c>
      <c r="D447" s="14" t="n">
        <v>1</v>
      </c>
      <c r="F447" s="14" t="n">
        <v>-0.4</v>
      </c>
      <c r="G447" s="14" t="n">
        <v>0.25</v>
      </c>
      <c r="H447" s="14" t="n">
        <v>0.213</v>
      </c>
      <c r="I447" s="14" t="n">
        <v>0.21119527175384</v>
      </c>
      <c r="J447" s="14" t="n">
        <v>0.224103796923055</v>
      </c>
      <c r="K447" s="14" t="n">
        <v>0.248020145041086</v>
      </c>
      <c r="L447" s="14" t="n">
        <v>0.287594366737616</v>
      </c>
      <c r="M447" s="14" t="n">
        <v>3.848</v>
      </c>
      <c r="N447" s="14" t="n">
        <v>4.3268</v>
      </c>
      <c r="O447" s="14" t="n">
        <v>4.3795</v>
      </c>
      <c r="P447" s="14" t="n">
        <v>4.3999</v>
      </c>
      <c r="Q447" s="14" t="n">
        <v>0.5</v>
      </c>
      <c r="R447" s="14" t="n">
        <v>0.52</v>
      </c>
      <c r="S447" s="14" t="n">
        <v>9.25</v>
      </c>
    </row>
    <row r="448" customFormat="false" ht="15" hidden="false" customHeight="false" outlineLevel="0" collapsed="false">
      <c r="A448" s="13" t="n">
        <v>42963</v>
      </c>
      <c r="C448" s="14" t="n">
        <v>1.25</v>
      </c>
      <c r="D448" s="14" t="n">
        <v>1</v>
      </c>
      <c r="F448" s="14" t="n">
        <v>-0.4</v>
      </c>
      <c r="G448" s="14" t="n">
        <v>0.25</v>
      </c>
      <c r="H448" s="14" t="n">
        <v>0.2137</v>
      </c>
      <c r="I448" s="14" t="n">
        <v>0.211789295106271</v>
      </c>
      <c r="J448" s="14" t="n">
        <v>0.224711382037989</v>
      </c>
      <c r="K448" s="14" t="n">
        <v>0.249101525875613</v>
      </c>
      <c r="L448" s="14" t="n">
        <v>0.295299771486753</v>
      </c>
      <c r="M448" s="14" t="n">
        <v>3.85</v>
      </c>
      <c r="N448" s="14" t="n">
        <v>4.3363</v>
      </c>
      <c r="O448" s="14" t="n">
        <v>4.3787</v>
      </c>
      <c r="P448" s="14" t="n">
        <v>4.4</v>
      </c>
      <c r="Q448" s="14" t="n">
        <v>0.5</v>
      </c>
      <c r="R448" s="14" t="n">
        <v>0.49</v>
      </c>
      <c r="S448" s="14" t="n">
        <v>9.25</v>
      </c>
    </row>
    <row r="449" customFormat="false" ht="15" hidden="false" customHeight="false" outlineLevel="0" collapsed="false">
      <c r="A449" s="13" t="n">
        <v>42964</v>
      </c>
      <c r="C449" s="14" t="n">
        <v>1.25</v>
      </c>
      <c r="D449" s="14" t="n">
        <v>1</v>
      </c>
      <c r="F449" s="14" t="n">
        <v>-0.4</v>
      </c>
      <c r="G449" s="14" t="n">
        <v>0.25</v>
      </c>
      <c r="H449" s="14" t="n">
        <v>0.2156</v>
      </c>
      <c r="I449" s="14" t="n">
        <v>0.212125844178916</v>
      </c>
      <c r="J449" s="14" t="n">
        <v>0.225403897773653</v>
      </c>
      <c r="K449" s="14" t="n">
        <v>0.250155944594083</v>
      </c>
      <c r="L449" s="14" t="n">
        <v>0.293316038295717</v>
      </c>
      <c r="M449" s="14" t="n">
        <v>3.8582</v>
      </c>
      <c r="N449" s="14" t="n">
        <v>4.3417</v>
      </c>
      <c r="O449" s="14" t="n">
        <v>4.3818</v>
      </c>
      <c r="P449" s="14" t="n">
        <v>4.4</v>
      </c>
      <c r="Q449" s="14" t="n">
        <v>0.5</v>
      </c>
      <c r="R449" s="14" t="n">
        <v>0.49</v>
      </c>
      <c r="S449" s="14" t="n">
        <v>9.25</v>
      </c>
    </row>
    <row r="450" customFormat="false" ht="15" hidden="false" customHeight="false" outlineLevel="0" collapsed="false">
      <c r="A450" s="13" t="n">
        <v>42965</v>
      </c>
      <c r="C450" s="14" t="n">
        <v>1.25</v>
      </c>
      <c r="D450" s="14" t="n">
        <v>1</v>
      </c>
      <c r="F450" s="14" t="n">
        <v>-0.4</v>
      </c>
      <c r="G450" s="14" t="n">
        <v>0.25</v>
      </c>
      <c r="H450" s="14" t="n">
        <v>0.2123</v>
      </c>
      <c r="I450" s="14" t="n">
        <v>0.212291177694549</v>
      </c>
      <c r="J450" s="14" t="n">
        <v>0.224584958795361</v>
      </c>
      <c r="K450" s="14" t="n">
        <v>0.248915498943062</v>
      </c>
      <c r="L450" s="14" t="n">
        <v>0.29352192210717</v>
      </c>
      <c r="M450" s="14" t="n">
        <v>3.8644</v>
      </c>
      <c r="N450" s="14" t="n">
        <v>4.344</v>
      </c>
      <c r="O450" s="14" t="n">
        <v>4.3836</v>
      </c>
      <c r="P450" s="14" t="n">
        <v>4.401</v>
      </c>
      <c r="Q450" s="14" t="n">
        <v>0.5</v>
      </c>
      <c r="R450" s="14" t="n">
        <v>0.5</v>
      </c>
      <c r="S450" s="14" t="n">
        <v>9.25</v>
      </c>
    </row>
    <row r="451" customFormat="false" ht="15" hidden="false" customHeight="false" outlineLevel="0" collapsed="false">
      <c r="A451" s="13" t="n">
        <v>42968</v>
      </c>
      <c r="C451" s="14" t="n">
        <v>1.25</v>
      </c>
      <c r="D451" s="14" t="n">
        <v>1</v>
      </c>
      <c r="F451" s="14" t="n">
        <v>-0.4</v>
      </c>
      <c r="G451" s="14" t="n">
        <v>0.25</v>
      </c>
      <c r="H451" s="14" t="n">
        <v>0.2115</v>
      </c>
      <c r="I451" s="14" t="n">
        <v>0.212573911615779</v>
      </c>
      <c r="J451" s="14" t="n">
        <v>0.226637257217706</v>
      </c>
      <c r="K451" s="14" t="n">
        <v>0.251647778387769</v>
      </c>
      <c r="L451" s="14" t="n">
        <v>0.294247527407852</v>
      </c>
      <c r="M451" s="14" t="n">
        <v>3.8671</v>
      </c>
      <c r="N451" s="14" t="n">
        <v>4.3464</v>
      </c>
      <c r="O451" s="14" t="n">
        <v>4.3847</v>
      </c>
      <c r="P451" s="14" t="n">
        <v>4.402</v>
      </c>
      <c r="Q451" s="14" t="n">
        <v>0.5</v>
      </c>
      <c r="R451" s="14" t="n">
        <v>0.51</v>
      </c>
      <c r="S451" s="14" t="n">
        <v>9.25</v>
      </c>
    </row>
    <row r="452" customFormat="false" ht="15" hidden="false" customHeight="false" outlineLevel="0" collapsed="false">
      <c r="A452" s="13" t="n">
        <v>42969</v>
      </c>
      <c r="C452" s="14" t="n">
        <v>1.25</v>
      </c>
      <c r="D452" s="14" t="n">
        <v>1</v>
      </c>
      <c r="F452" s="14" t="n">
        <v>-0.4</v>
      </c>
      <c r="G452" s="14" t="n">
        <v>0.25</v>
      </c>
      <c r="H452" s="14" t="n">
        <v>0.2116</v>
      </c>
      <c r="I452" s="14" t="n">
        <v>0.212752533838637</v>
      </c>
      <c r="J452" s="14" t="n">
        <v>0.227101607374315</v>
      </c>
      <c r="K452" s="14" t="n">
        <v>0.25224944090666</v>
      </c>
      <c r="L452" s="14" t="n">
        <v>0.29665696786637</v>
      </c>
      <c r="M452" s="14" t="n">
        <v>3.8712</v>
      </c>
      <c r="N452" s="14" t="n">
        <v>4.3505</v>
      </c>
      <c r="O452" s="14" t="n">
        <v>4.3872</v>
      </c>
      <c r="P452" s="14" t="n">
        <v>4.4032</v>
      </c>
      <c r="Q452" s="14" t="n">
        <v>0.5</v>
      </c>
      <c r="R452" s="14" t="n">
        <v>0.49</v>
      </c>
      <c r="S452" s="14" t="n">
        <v>9.25</v>
      </c>
    </row>
    <row r="453" customFormat="false" ht="15" hidden="false" customHeight="false" outlineLevel="0" collapsed="false">
      <c r="A453" s="13" t="n">
        <v>42970</v>
      </c>
      <c r="C453" s="14" t="n">
        <v>1.25</v>
      </c>
      <c r="D453" s="14" t="n">
        <v>1</v>
      </c>
      <c r="F453" s="14" t="n">
        <v>-0.4</v>
      </c>
      <c r="G453" s="14" t="n">
        <v>0.25</v>
      </c>
      <c r="H453" s="14" t="n">
        <v>0.212</v>
      </c>
      <c r="I453" s="14" t="n">
        <v>0.212885682364365</v>
      </c>
      <c r="J453" s="14" t="n">
        <v>0.227642989449901</v>
      </c>
      <c r="K453" s="14" t="n">
        <v>0.254003854593025</v>
      </c>
      <c r="L453" s="14" t="n">
        <v>0.302686171869778</v>
      </c>
      <c r="M453" s="14" t="n">
        <v>3.8757</v>
      </c>
      <c r="N453" s="14" t="n">
        <v>4.3571</v>
      </c>
      <c r="O453" s="14" t="n">
        <v>4.3892</v>
      </c>
      <c r="P453" s="14" t="n">
        <v>4.4041</v>
      </c>
      <c r="Q453" s="14" t="n">
        <v>0.5</v>
      </c>
      <c r="R453" s="14" t="n">
        <v>0.48</v>
      </c>
      <c r="S453" s="14" t="n">
        <v>9.25</v>
      </c>
    </row>
    <row r="454" customFormat="false" ht="15" hidden="false" customHeight="false" outlineLevel="0" collapsed="false">
      <c r="A454" s="13" t="n">
        <v>42971</v>
      </c>
      <c r="C454" s="14" t="n">
        <v>1.25</v>
      </c>
      <c r="D454" s="14" t="n">
        <v>1</v>
      </c>
      <c r="F454" s="14" t="n">
        <v>-0.4</v>
      </c>
      <c r="G454" s="14" t="n">
        <v>0.25</v>
      </c>
      <c r="H454" s="14" t="n">
        <v>0.211</v>
      </c>
      <c r="I454" s="14" t="n">
        <v>0.213367753522717</v>
      </c>
      <c r="J454" s="14" t="n">
        <v>0.230208441487376</v>
      </c>
      <c r="K454" s="14" t="n">
        <v>0.257315911710629</v>
      </c>
      <c r="L454" s="14" t="n">
        <v>0.301095798546828</v>
      </c>
      <c r="M454" s="14" t="n">
        <v>3.8839</v>
      </c>
      <c r="N454" s="14" t="n">
        <v>4.3619</v>
      </c>
      <c r="O454" s="14" t="n">
        <v>4.3896</v>
      </c>
      <c r="P454" s="14" t="n">
        <v>4.4051</v>
      </c>
      <c r="Q454" s="14" t="n">
        <v>0.5</v>
      </c>
      <c r="R454" s="14" t="n">
        <v>0.5</v>
      </c>
      <c r="S454" s="14" t="n">
        <v>9.25</v>
      </c>
    </row>
    <row r="455" customFormat="false" ht="15" hidden="false" customHeight="false" outlineLevel="0" collapsed="false">
      <c r="A455" s="13" t="n">
        <v>42972</v>
      </c>
      <c r="C455" s="14" t="n">
        <v>1.25</v>
      </c>
      <c r="D455" s="14" t="n">
        <v>1</v>
      </c>
      <c r="F455" s="14" t="n">
        <v>-0.4</v>
      </c>
      <c r="G455" s="14" t="n">
        <v>0.25</v>
      </c>
      <c r="H455" s="14" t="n">
        <v>0.2159</v>
      </c>
      <c r="I455" s="14" t="n">
        <v>0.213573108611083</v>
      </c>
      <c r="J455" s="14" t="n">
        <v>0.230444359919989</v>
      </c>
      <c r="K455" s="14" t="n">
        <v>0.258104918095312</v>
      </c>
      <c r="L455" s="14" t="n">
        <v>0.303959996283368</v>
      </c>
      <c r="M455" s="14" t="n">
        <v>3.8872</v>
      </c>
      <c r="N455" s="14" t="n">
        <v>4.3689</v>
      </c>
      <c r="O455" s="14" t="n">
        <v>4.3898</v>
      </c>
      <c r="P455" s="14" t="n">
        <v>4.4068</v>
      </c>
      <c r="Q455" s="14" t="n">
        <v>0.5</v>
      </c>
      <c r="R455" s="14" t="n">
        <v>0.49</v>
      </c>
      <c r="S455" s="14" t="n">
        <v>9.25</v>
      </c>
    </row>
    <row r="456" customFormat="false" ht="15" hidden="false" customHeight="false" outlineLevel="0" collapsed="false">
      <c r="A456" s="13" t="n">
        <v>42975</v>
      </c>
      <c r="C456" s="14" t="n">
        <v>1.25</v>
      </c>
      <c r="D456" s="14" t="n">
        <v>1</v>
      </c>
      <c r="F456" s="14" t="n">
        <v>-0.4</v>
      </c>
      <c r="M456" s="14" t="n">
        <v>3.8915</v>
      </c>
      <c r="N456" s="14" t="n">
        <v>4.374</v>
      </c>
      <c r="O456" s="14" t="n">
        <v>4.3924</v>
      </c>
      <c r="P456" s="14" t="n">
        <v>4.4078</v>
      </c>
      <c r="Q456" s="14" t="n">
        <v>0.5</v>
      </c>
      <c r="R456" s="14" t="n">
        <v>0.48</v>
      </c>
      <c r="S456" s="14" t="n">
        <v>9.25</v>
      </c>
    </row>
    <row r="457" customFormat="false" ht="15" hidden="false" customHeight="false" outlineLevel="0" collapsed="false">
      <c r="A457" s="13" t="n">
        <v>42976</v>
      </c>
      <c r="C457" s="14" t="n">
        <v>1.25</v>
      </c>
      <c r="D457" s="14" t="n">
        <v>1</v>
      </c>
      <c r="F457" s="14" t="n">
        <v>-0.4</v>
      </c>
      <c r="G457" s="14" t="n">
        <v>0.25</v>
      </c>
      <c r="H457" s="14" t="n">
        <v>0.2142</v>
      </c>
      <c r="I457" s="14" t="n">
        <v>0.214341298392735</v>
      </c>
      <c r="J457" s="14" t="n">
        <v>0.229340703761782</v>
      </c>
      <c r="K457" s="14" t="n">
        <v>0.25276390399412</v>
      </c>
      <c r="L457" s="14" t="n">
        <v>0.289868148735579</v>
      </c>
      <c r="M457" s="14" t="n">
        <v>3.8962</v>
      </c>
      <c r="N457" s="14" t="n">
        <v>4.3765</v>
      </c>
      <c r="O457" s="14" t="n">
        <v>4.3937</v>
      </c>
      <c r="P457" s="14" t="n">
        <v>4.4107</v>
      </c>
      <c r="Q457" s="14" t="n">
        <v>0.5</v>
      </c>
      <c r="R457" s="14" t="n">
        <v>0.49</v>
      </c>
      <c r="S457" s="14" t="n">
        <v>9.25</v>
      </c>
    </row>
    <row r="458" customFormat="false" ht="15" hidden="false" customHeight="false" outlineLevel="0" collapsed="false">
      <c r="A458" s="13" t="n">
        <v>42977</v>
      </c>
      <c r="C458" s="14" t="n">
        <v>1.25</v>
      </c>
      <c r="D458" s="14" t="n">
        <v>1</v>
      </c>
      <c r="F458" s="14" t="n">
        <v>-0.4</v>
      </c>
      <c r="G458" s="14" t="n">
        <v>0.25</v>
      </c>
      <c r="H458" s="14" t="n">
        <v>0.2133</v>
      </c>
      <c r="I458" s="14" t="n">
        <v>0.214555631769125</v>
      </c>
      <c r="J458" s="14" t="n">
        <v>0.228355188769429</v>
      </c>
      <c r="K458" s="14" t="n">
        <v>0.253586154453036</v>
      </c>
      <c r="L458" s="14" t="n">
        <v>0.297296791123711</v>
      </c>
      <c r="M458" s="14" t="n">
        <v>3.9055</v>
      </c>
      <c r="N458" s="14" t="n">
        <v>4.3867</v>
      </c>
      <c r="O458" s="14" t="n">
        <v>4.3968</v>
      </c>
      <c r="P458" s="14" t="n">
        <v>4.4133</v>
      </c>
      <c r="Q458" s="14" t="n">
        <v>0.5</v>
      </c>
      <c r="R458" s="14" t="n">
        <v>0.48</v>
      </c>
      <c r="S458" s="14" t="n">
        <v>9.25</v>
      </c>
    </row>
    <row r="459" customFormat="false" ht="15" hidden="false" customHeight="false" outlineLevel="0" collapsed="false">
      <c r="A459" s="13" t="n">
        <v>42978</v>
      </c>
      <c r="C459" s="14" t="n">
        <v>1.25</v>
      </c>
      <c r="D459" s="14" t="n">
        <v>1</v>
      </c>
      <c r="F459" s="14" t="n">
        <v>-0.4</v>
      </c>
      <c r="G459" s="14" t="n">
        <v>0.25</v>
      </c>
      <c r="H459" s="14" t="n">
        <v>0.2109</v>
      </c>
      <c r="I459" s="14" t="n">
        <v>0.21445225347007</v>
      </c>
      <c r="J459" s="14" t="n">
        <v>0.229894114523639</v>
      </c>
      <c r="K459" s="14" t="n">
        <v>0.254907507777445</v>
      </c>
      <c r="L459" s="14" t="n">
        <v>0.294886908296256</v>
      </c>
      <c r="M459" s="14" t="n">
        <v>3.892</v>
      </c>
      <c r="N459" s="14" t="n">
        <v>4.3728</v>
      </c>
      <c r="O459" s="14" t="n">
        <v>4.3884</v>
      </c>
      <c r="P459" s="14" t="n">
        <v>4.4038</v>
      </c>
      <c r="Q459" s="14" t="n">
        <v>0.5</v>
      </c>
      <c r="R459" s="14" t="n">
        <v>0.49</v>
      </c>
      <c r="S459" s="14" t="n">
        <v>9.25</v>
      </c>
    </row>
    <row r="460" customFormat="false" ht="15" hidden="false" customHeight="false" outlineLevel="0" collapsed="false">
      <c r="A460" s="13" t="n">
        <v>42979</v>
      </c>
      <c r="C460" s="14" t="n">
        <v>1.25</v>
      </c>
      <c r="D460" s="14" t="n">
        <v>1</v>
      </c>
      <c r="F460" s="14" t="n">
        <v>-0.4</v>
      </c>
      <c r="G460" s="14" t="n">
        <v>0.25</v>
      </c>
      <c r="H460" s="14" t="n">
        <v>0.2123</v>
      </c>
      <c r="I460" s="14" t="n">
        <v>0.214292592840144</v>
      </c>
      <c r="J460" s="14" t="n">
        <v>0.231178856725969</v>
      </c>
      <c r="K460" s="14" t="n">
        <v>0.259846214767008</v>
      </c>
      <c r="L460" s="14" t="n">
        <v>0.303208540320894</v>
      </c>
      <c r="M460" s="14" t="n">
        <v>3.892</v>
      </c>
      <c r="N460" s="14" t="n">
        <v>4.3741</v>
      </c>
      <c r="O460" s="14" t="n">
        <v>4.3861</v>
      </c>
      <c r="P460" s="14" t="n">
        <v>4.4023</v>
      </c>
      <c r="Q460" s="14" t="n">
        <v>0.5</v>
      </c>
      <c r="R460" s="14" t="n">
        <v>0.51</v>
      </c>
      <c r="S460" s="14" t="n">
        <v>9.25</v>
      </c>
    </row>
    <row r="461" customFormat="false" ht="15" hidden="false" customHeight="false" outlineLevel="0" collapsed="false">
      <c r="A461" s="13" t="n">
        <v>42982</v>
      </c>
      <c r="C461" s="14" t="n">
        <v>1.25</v>
      </c>
      <c r="D461" s="14" t="n">
        <v>1</v>
      </c>
      <c r="F461" s="14" t="n">
        <v>-0.4</v>
      </c>
      <c r="G461" s="14" t="n">
        <v>0.25</v>
      </c>
      <c r="H461" s="14" t="n">
        <v>0.2122</v>
      </c>
      <c r="I461" s="14" t="n">
        <v>0.214951309599868</v>
      </c>
      <c r="J461" s="14" t="n">
        <v>0.232980779909866</v>
      </c>
      <c r="K461" s="14" t="n">
        <v>0.260747016516943</v>
      </c>
      <c r="L461" s="14" t="n">
        <v>0.305364541331955</v>
      </c>
      <c r="M461" s="14" t="n">
        <v>3.9032</v>
      </c>
      <c r="N461" s="14" t="n">
        <v>4.4023</v>
      </c>
      <c r="O461" s="14" t="n">
        <v>4.3919</v>
      </c>
      <c r="P461" s="14" t="n">
        <v>4.4017</v>
      </c>
      <c r="Q461" s="14" t="n">
        <v>0.5</v>
      </c>
      <c r="R461" s="14" t="n">
        <v>0.52</v>
      </c>
      <c r="S461" s="14" t="n">
        <v>9.25</v>
      </c>
    </row>
    <row r="462" customFormat="false" ht="15" hidden="false" customHeight="false" outlineLevel="0" collapsed="false">
      <c r="A462" s="13" t="n">
        <v>42983</v>
      </c>
      <c r="C462" s="14" t="n">
        <v>1.25</v>
      </c>
      <c r="D462" s="14" t="n">
        <v>1</v>
      </c>
      <c r="F462" s="14" t="n">
        <v>-0.4</v>
      </c>
      <c r="G462" s="14" t="n">
        <v>0.25</v>
      </c>
      <c r="H462" s="14" t="n">
        <v>0.2118</v>
      </c>
      <c r="I462" s="14" t="n">
        <v>0.214612538250621</v>
      </c>
      <c r="J462" s="14" t="n">
        <v>0.231920297727787</v>
      </c>
      <c r="K462" s="14" t="n">
        <v>0.256991624822638</v>
      </c>
      <c r="L462" s="14" t="n">
        <v>0.293126316908952</v>
      </c>
      <c r="M462" s="14" t="n">
        <v>3.9094</v>
      </c>
      <c r="N462" s="14" t="n">
        <v>4.4173</v>
      </c>
      <c r="O462" s="14" t="n">
        <v>4.3961</v>
      </c>
      <c r="P462" s="14" t="n">
        <v>4.4032</v>
      </c>
      <c r="Q462" s="14" t="n">
        <v>0.5</v>
      </c>
      <c r="R462" s="14" t="n">
        <v>0.49</v>
      </c>
      <c r="S462" s="14" t="n">
        <v>9.25</v>
      </c>
    </row>
    <row r="463" customFormat="false" ht="15" hidden="false" customHeight="false" outlineLevel="0" collapsed="false">
      <c r="A463" s="13" t="n">
        <v>42984</v>
      </c>
      <c r="C463" s="14" t="n">
        <v>1.25</v>
      </c>
      <c r="D463" s="14" t="n">
        <v>1</v>
      </c>
      <c r="F463" s="14" t="n">
        <v>-0.4</v>
      </c>
      <c r="G463" s="14" t="n">
        <v>0.25</v>
      </c>
      <c r="H463" s="14" t="n">
        <v>0.2112</v>
      </c>
      <c r="I463" s="14" t="n">
        <v>0.214867513516989</v>
      </c>
      <c r="J463" s="14" t="n">
        <v>0.23277533950362</v>
      </c>
      <c r="K463" s="14" t="n">
        <v>0.260126102987655</v>
      </c>
      <c r="L463" s="14" t="n">
        <v>0.301555073947181</v>
      </c>
      <c r="M463" s="14" t="n">
        <v>3.919</v>
      </c>
      <c r="N463" s="14" t="n">
        <v>4.4271</v>
      </c>
      <c r="O463" s="14" t="n">
        <v>4.3981</v>
      </c>
      <c r="P463" s="14" t="n">
        <v>4.4034</v>
      </c>
      <c r="Q463" s="14" t="n">
        <v>0.5</v>
      </c>
      <c r="R463" s="14" t="n">
        <v>0.51</v>
      </c>
      <c r="S463" s="14" t="n">
        <v>9.25</v>
      </c>
    </row>
    <row r="464" customFormat="false" ht="15" hidden="false" customHeight="false" outlineLevel="0" collapsed="false">
      <c r="A464" s="13" t="n">
        <v>42985</v>
      </c>
      <c r="C464" s="14" t="n">
        <v>1.25</v>
      </c>
      <c r="D464" s="14" t="n">
        <v>1</v>
      </c>
      <c r="F464" s="14" t="n">
        <v>-0.4</v>
      </c>
      <c r="G464" s="14" t="n">
        <v>0.25</v>
      </c>
      <c r="H464" s="14" t="n">
        <v>0.2108</v>
      </c>
      <c r="I464" s="14" t="n">
        <v>0.214785406763522</v>
      </c>
      <c r="J464" s="14" t="n">
        <v>0.233525817228289</v>
      </c>
      <c r="K464" s="14" t="n">
        <v>0.259666411989589</v>
      </c>
      <c r="L464" s="14" t="n">
        <v>0.295797800576048</v>
      </c>
      <c r="M464" s="14" t="n">
        <v>3.9335</v>
      </c>
      <c r="N464" s="14" t="n">
        <v>4.4348</v>
      </c>
      <c r="O464" s="14" t="n">
        <v>4.4014</v>
      </c>
      <c r="P464" s="14" t="n">
        <v>4.4055</v>
      </c>
      <c r="Q464" s="14" t="n">
        <v>0.5</v>
      </c>
      <c r="R464" s="14" t="n">
        <v>0.49</v>
      </c>
      <c r="S464" s="14" t="n">
        <v>9.25</v>
      </c>
    </row>
    <row r="465" customFormat="false" ht="15" hidden="false" customHeight="false" outlineLevel="0" collapsed="false">
      <c r="A465" s="13" t="n">
        <v>42986</v>
      </c>
      <c r="C465" s="14" t="n">
        <v>1.25</v>
      </c>
      <c r="D465" s="14" t="n">
        <v>1</v>
      </c>
      <c r="F465" s="14" t="n">
        <v>-0.4</v>
      </c>
      <c r="G465" s="14" t="n">
        <v>0.25</v>
      </c>
      <c r="H465" s="14" t="n">
        <v>0.2144</v>
      </c>
      <c r="I465" s="14" t="n">
        <v>0.21636859817865</v>
      </c>
      <c r="J465" s="14" t="n">
        <v>0.234236626465487</v>
      </c>
      <c r="K465" s="14" t="n">
        <v>0.260765218508801</v>
      </c>
      <c r="L465" s="14" t="n">
        <v>0.306910809478195</v>
      </c>
      <c r="M465" s="14" t="n">
        <v>3.937</v>
      </c>
      <c r="N465" s="14" t="n">
        <v>4.4281</v>
      </c>
      <c r="O465" s="14" t="n">
        <v>4.4019</v>
      </c>
      <c r="P465" s="14" t="n">
        <v>4.4059</v>
      </c>
      <c r="Q465" s="14" t="n">
        <v>0.5</v>
      </c>
      <c r="R465" s="14" t="n">
        <v>0.48</v>
      </c>
      <c r="S465" s="14" t="n">
        <v>8.25</v>
      </c>
    </row>
    <row r="466" customFormat="false" ht="15" hidden="false" customHeight="false" outlineLevel="0" collapsed="false">
      <c r="A466" s="13" t="n">
        <v>42989</v>
      </c>
      <c r="C466" s="14" t="n">
        <v>1.25</v>
      </c>
      <c r="D466" s="14" t="n">
        <v>1</v>
      </c>
      <c r="F466" s="14" t="n">
        <v>-0.4</v>
      </c>
      <c r="G466" s="14" t="n">
        <v>0.25</v>
      </c>
      <c r="H466" s="14" t="n">
        <v>0.2132</v>
      </c>
      <c r="I466" s="14" t="n">
        <v>0.216578067051359</v>
      </c>
      <c r="J466" s="14" t="n">
        <v>0.238643261842381</v>
      </c>
      <c r="K466" s="14" t="n">
        <v>0.272489404823473</v>
      </c>
      <c r="L466" s="14" t="n">
        <v>0.331871884653826</v>
      </c>
      <c r="M466" s="14" t="n">
        <v>3.9339</v>
      </c>
      <c r="N466" s="14" t="n">
        <v>4.4034</v>
      </c>
      <c r="O466" s="14" t="n">
        <v>4.3974</v>
      </c>
      <c r="P466" s="14" t="n">
        <v>4.4033</v>
      </c>
      <c r="Q466" s="14" t="n">
        <v>0.5</v>
      </c>
      <c r="R466" s="14" t="n">
        <v>0.48</v>
      </c>
      <c r="S466" s="14" t="n">
        <v>8.25</v>
      </c>
    </row>
    <row r="467" customFormat="false" ht="15" hidden="false" customHeight="false" outlineLevel="0" collapsed="false">
      <c r="A467" s="13" t="n">
        <v>42990</v>
      </c>
      <c r="C467" s="14" t="n">
        <v>1.25</v>
      </c>
      <c r="D467" s="14" t="n">
        <v>1</v>
      </c>
      <c r="F467" s="14" t="n">
        <v>-0.4</v>
      </c>
      <c r="G467" s="14" t="n">
        <v>0.25</v>
      </c>
      <c r="H467" s="14" t="n">
        <v>0.2146</v>
      </c>
      <c r="I467" s="14" t="n">
        <v>0.229186017880811</v>
      </c>
      <c r="J467" s="14" t="n">
        <v>0.265909011230192</v>
      </c>
      <c r="K467" s="14" t="n">
        <v>0.318825457006452</v>
      </c>
      <c r="L467" s="14" t="n">
        <v>0.393712163242265</v>
      </c>
      <c r="M467" s="14" t="n">
        <v>3.9354</v>
      </c>
      <c r="N467" s="14" t="n">
        <v>4.3768</v>
      </c>
      <c r="O467" s="14" t="n">
        <v>4.3908</v>
      </c>
      <c r="P467" s="14" t="n">
        <v>4.4009</v>
      </c>
      <c r="Q467" s="14" t="n">
        <v>0.5</v>
      </c>
      <c r="R467" s="14" t="n">
        <v>0.5</v>
      </c>
      <c r="S467" s="14" t="n">
        <v>8.25</v>
      </c>
    </row>
    <row r="468" customFormat="false" ht="15" hidden="false" customHeight="false" outlineLevel="0" collapsed="false">
      <c r="A468" s="13" t="n">
        <v>42991</v>
      </c>
      <c r="C468" s="14" t="n">
        <v>1.25</v>
      </c>
      <c r="D468" s="14" t="n">
        <v>1</v>
      </c>
      <c r="F468" s="14" t="n">
        <v>-0.4</v>
      </c>
      <c r="G468" s="14" t="n">
        <v>0.25</v>
      </c>
      <c r="H468" s="14" t="n">
        <v>0.2148</v>
      </c>
      <c r="I468" s="14" t="n">
        <v>0.226417745588087</v>
      </c>
      <c r="J468" s="14" t="n">
        <v>0.262568831049797</v>
      </c>
      <c r="K468" s="14" t="n">
        <v>0.313615241052553</v>
      </c>
      <c r="L468" s="14" t="n">
        <v>0.385461771570839</v>
      </c>
      <c r="M468" s="14" t="n">
        <v>3.9305</v>
      </c>
      <c r="N468" s="14" t="n">
        <v>4.3711</v>
      </c>
      <c r="O468" s="14" t="n">
        <v>4.3891</v>
      </c>
      <c r="P468" s="14" t="n">
        <v>4.401</v>
      </c>
      <c r="Q468" s="14" t="n">
        <v>0.5</v>
      </c>
      <c r="R468" s="14" t="n">
        <v>0.48</v>
      </c>
      <c r="S468" s="14" t="n">
        <v>8.25</v>
      </c>
    </row>
    <row r="469" customFormat="false" ht="15" hidden="false" customHeight="false" outlineLevel="0" collapsed="false">
      <c r="A469" s="13" t="n">
        <v>42992</v>
      </c>
      <c r="C469" s="14" t="n">
        <v>1.25</v>
      </c>
      <c r="D469" s="14" t="n">
        <v>1</v>
      </c>
      <c r="F469" s="14" t="n">
        <v>-0.4</v>
      </c>
      <c r="G469" s="14" t="n">
        <v>0.25</v>
      </c>
      <c r="H469" s="14" t="n">
        <v>0.2148</v>
      </c>
      <c r="I469" s="14" t="n">
        <v>0.21517318529693</v>
      </c>
      <c r="J469" s="14" t="n">
        <v>0.289406473589846</v>
      </c>
      <c r="K469" s="14" t="n">
        <v>0.366037112344732</v>
      </c>
      <c r="L469" s="14" t="n">
        <v>0.459736832569514</v>
      </c>
      <c r="M469" s="14" t="n">
        <v>3.9361</v>
      </c>
      <c r="N469" s="14" t="n">
        <v>4.3675</v>
      </c>
      <c r="O469" s="14" t="n">
        <v>4.3874</v>
      </c>
      <c r="P469" s="14" t="n">
        <v>4.399</v>
      </c>
      <c r="Q469" s="14" t="n">
        <v>0.5</v>
      </c>
      <c r="R469" s="14" t="n">
        <v>0.51</v>
      </c>
      <c r="S469" s="14" t="n">
        <v>8.25</v>
      </c>
    </row>
    <row r="470" customFormat="false" ht="15" hidden="false" customHeight="false" outlineLevel="0" collapsed="false">
      <c r="A470" s="13" t="n">
        <v>42993</v>
      </c>
      <c r="C470" s="14" t="n">
        <v>1.25</v>
      </c>
      <c r="D470" s="14" t="n">
        <v>1</v>
      </c>
      <c r="F470" s="14" t="n">
        <v>-0.4</v>
      </c>
      <c r="G470" s="14" t="n">
        <v>0.25</v>
      </c>
      <c r="H470" s="14" t="n">
        <v>0.2169</v>
      </c>
      <c r="I470" s="14" t="n">
        <v>0.218602574507626</v>
      </c>
      <c r="J470" s="14" t="n">
        <v>0.297342854500769</v>
      </c>
      <c r="K470" s="14" t="n">
        <v>0.384289974819038</v>
      </c>
      <c r="L470" s="14" t="n">
        <v>0.498597695582688</v>
      </c>
      <c r="M470" s="14" t="n">
        <v>3.951</v>
      </c>
      <c r="N470" s="14" t="n">
        <v>4.3647</v>
      </c>
      <c r="O470" s="14" t="n">
        <v>4.387</v>
      </c>
      <c r="P470" s="14" t="n">
        <v>4.4015</v>
      </c>
      <c r="Q470" s="14" t="n">
        <v>0.5</v>
      </c>
      <c r="R470" s="14" t="n">
        <v>0.5</v>
      </c>
      <c r="S470" s="14" t="n">
        <v>8.25</v>
      </c>
    </row>
    <row r="471" customFormat="false" ht="15" hidden="false" customHeight="false" outlineLevel="0" collapsed="false">
      <c r="A471" s="13" t="n">
        <v>42996</v>
      </c>
      <c r="C471" s="14" t="n">
        <v>1.25</v>
      </c>
      <c r="D471" s="14" t="n">
        <v>1</v>
      </c>
      <c r="F471" s="14" t="n">
        <v>-0.4</v>
      </c>
      <c r="G471" s="14" t="n">
        <v>0.25</v>
      </c>
      <c r="H471" s="14" t="n">
        <v>0.2151</v>
      </c>
      <c r="I471" s="14" t="n">
        <v>0.222594235691152</v>
      </c>
      <c r="J471" s="14" t="n">
        <v>0.303090804624273</v>
      </c>
      <c r="K471" s="14" t="n">
        <v>0.387017760597982</v>
      </c>
      <c r="L471" s="14" t="n">
        <v>0.494304335250169</v>
      </c>
      <c r="M471" s="14" t="n">
        <v>3.9667</v>
      </c>
      <c r="N471" s="14" t="n">
        <v>4.3643</v>
      </c>
      <c r="O471" s="14" t="n">
        <v>4.3874</v>
      </c>
      <c r="P471" s="14" t="n">
        <v>4.4012</v>
      </c>
      <c r="Q471" s="14" t="n">
        <v>0.5</v>
      </c>
      <c r="R471" s="14" t="n">
        <v>0.49</v>
      </c>
      <c r="S471" s="14" t="n">
        <v>8.25</v>
      </c>
    </row>
    <row r="472" customFormat="false" ht="15" hidden="false" customHeight="false" outlineLevel="0" collapsed="false">
      <c r="A472" s="13" t="n">
        <v>42997</v>
      </c>
      <c r="C472" s="14" t="n">
        <v>1.25</v>
      </c>
      <c r="D472" s="14" t="n">
        <v>1</v>
      </c>
      <c r="F472" s="14" t="n">
        <v>-0.4</v>
      </c>
      <c r="G472" s="14" t="n">
        <v>0.25</v>
      </c>
      <c r="H472" s="14" t="n">
        <v>0.2152</v>
      </c>
      <c r="I472" s="14" t="n">
        <v>0.223287501351468</v>
      </c>
      <c r="J472" s="14" t="n">
        <v>0.310686949528469</v>
      </c>
      <c r="K472" s="14" t="n">
        <v>0.399150289155852</v>
      </c>
      <c r="L472" s="14" t="n">
        <v>0.51191500540128</v>
      </c>
      <c r="M472" s="14" t="n">
        <v>3.9815</v>
      </c>
      <c r="N472" s="14" t="n">
        <v>4.3638</v>
      </c>
      <c r="O472" s="14" t="n">
        <v>4.3903</v>
      </c>
      <c r="P472" s="14" t="n">
        <v>4.4032</v>
      </c>
      <c r="Q472" s="14" t="n">
        <v>0.5</v>
      </c>
      <c r="R472" s="14" t="n">
        <v>0.49</v>
      </c>
      <c r="S472" s="14" t="n">
        <v>8.25</v>
      </c>
    </row>
    <row r="473" customFormat="false" ht="15" hidden="false" customHeight="false" outlineLevel="0" collapsed="false">
      <c r="A473" s="13" t="n">
        <v>42998</v>
      </c>
      <c r="C473" s="14" t="n">
        <v>1.25</v>
      </c>
      <c r="D473" s="14" t="n">
        <v>1</v>
      </c>
      <c r="F473" s="14" t="n">
        <v>-0.4</v>
      </c>
      <c r="G473" s="14" t="n">
        <v>0.25</v>
      </c>
      <c r="H473" s="14" t="n">
        <v>0.2172</v>
      </c>
      <c r="I473" s="14" t="n">
        <v>0.224619600717244</v>
      </c>
      <c r="J473" s="14" t="n">
        <v>0.308568859199828</v>
      </c>
      <c r="K473" s="14" t="n">
        <v>0.398657181193584</v>
      </c>
      <c r="L473" s="14" t="n">
        <v>0.510348837367119</v>
      </c>
      <c r="M473" s="14" t="n">
        <v>3.9854</v>
      </c>
      <c r="N473" s="14" t="n">
        <v>4.367</v>
      </c>
      <c r="O473" s="14" t="n">
        <v>4.3918</v>
      </c>
      <c r="P473" s="14" t="n">
        <v>4.404</v>
      </c>
      <c r="Q473" s="14" t="n">
        <v>0.5</v>
      </c>
      <c r="R473" s="14" t="n">
        <v>0.49</v>
      </c>
      <c r="S473" s="14" t="n">
        <v>8.25</v>
      </c>
    </row>
    <row r="474" customFormat="false" ht="15" hidden="false" customHeight="false" outlineLevel="0" collapsed="false">
      <c r="A474" s="13" t="n">
        <v>42999</v>
      </c>
      <c r="C474" s="14" t="n">
        <v>1.25</v>
      </c>
      <c r="D474" s="14" t="n">
        <v>1</v>
      </c>
      <c r="F474" s="14" t="n">
        <v>-0.4</v>
      </c>
      <c r="G474" s="14" t="n">
        <v>0.25</v>
      </c>
      <c r="H474" s="14" t="n">
        <v>0.2145</v>
      </c>
      <c r="I474" s="14" t="n">
        <v>0.225253883623441</v>
      </c>
      <c r="J474" s="14" t="n">
        <v>0.317353397259839</v>
      </c>
      <c r="K474" s="14" t="n">
        <v>0.404368231473966</v>
      </c>
      <c r="L474" s="14" t="n">
        <v>0.520178057749979</v>
      </c>
      <c r="M474" s="14" t="n">
        <v>3.9897</v>
      </c>
      <c r="N474" s="14" t="n">
        <v>4.3675</v>
      </c>
      <c r="O474" s="14" t="n">
        <v>4.3919</v>
      </c>
      <c r="P474" s="14" t="n">
        <v>4.4031</v>
      </c>
      <c r="Q474" s="14" t="n">
        <v>0.5</v>
      </c>
      <c r="R474" s="14" t="n">
        <v>0.5</v>
      </c>
      <c r="S474" s="14" t="n">
        <v>8.25</v>
      </c>
    </row>
    <row r="475" customFormat="false" ht="15" hidden="false" customHeight="false" outlineLevel="0" collapsed="false">
      <c r="A475" s="13" t="n">
        <v>43000</v>
      </c>
      <c r="C475" s="14" t="n">
        <v>1.25</v>
      </c>
      <c r="D475" s="14" t="n">
        <v>1</v>
      </c>
      <c r="F475" s="14" t="n">
        <v>-0.4</v>
      </c>
      <c r="G475" s="14" t="n">
        <v>0.25</v>
      </c>
      <c r="H475" s="14" t="n">
        <v>0.2113</v>
      </c>
      <c r="I475" s="14" t="n">
        <v>0.227612064792157</v>
      </c>
      <c r="J475" s="14" t="n">
        <v>0.323422966965744</v>
      </c>
      <c r="K475" s="14" t="n">
        <v>0.409178089553426</v>
      </c>
      <c r="L475" s="14" t="n">
        <v>0.514880225408173</v>
      </c>
      <c r="M475" s="14" t="n">
        <v>3.9908</v>
      </c>
      <c r="N475" s="14" t="n">
        <v>4.3611</v>
      </c>
      <c r="O475" s="14" t="n">
        <v>4.39</v>
      </c>
      <c r="P475" s="14" t="n">
        <v>4.4028</v>
      </c>
      <c r="Q475" s="14" t="n">
        <v>0.5</v>
      </c>
      <c r="R475" s="14" t="n">
        <v>0.48</v>
      </c>
      <c r="S475" s="14" t="n">
        <v>8.25</v>
      </c>
    </row>
    <row r="476" customFormat="false" ht="15" hidden="false" customHeight="false" outlineLevel="0" collapsed="false">
      <c r="A476" s="13" t="n">
        <v>43003</v>
      </c>
      <c r="C476" s="14" t="n">
        <v>1.25</v>
      </c>
      <c r="D476" s="14" t="n">
        <v>1</v>
      </c>
      <c r="F476" s="14" t="n">
        <v>-0.4</v>
      </c>
      <c r="G476" s="14" t="n">
        <v>0.25</v>
      </c>
      <c r="H476" s="14" t="n">
        <v>0.2106</v>
      </c>
      <c r="I476" s="14" t="n">
        <v>0.228671782748443</v>
      </c>
      <c r="J476" s="14" t="n">
        <v>0.320549596109189</v>
      </c>
      <c r="K476" s="14" t="n">
        <v>0.401295802975039</v>
      </c>
      <c r="L476" s="14" t="n">
        <v>0.511054138940939</v>
      </c>
      <c r="M476" s="14" t="n">
        <v>3.9941</v>
      </c>
      <c r="N476" s="14" t="n">
        <v>4.3578</v>
      </c>
      <c r="O476" s="14" t="n">
        <v>4.3884</v>
      </c>
      <c r="P476" s="14" t="n">
        <v>4.4033</v>
      </c>
      <c r="Q476" s="14" t="n">
        <v>0.5</v>
      </c>
      <c r="R476" s="14" t="n">
        <v>0.49</v>
      </c>
      <c r="S476" s="14" t="n">
        <v>8.25</v>
      </c>
    </row>
    <row r="477" customFormat="false" ht="15" hidden="false" customHeight="false" outlineLevel="0" collapsed="false">
      <c r="A477" s="13" t="n">
        <v>43004</v>
      </c>
      <c r="C477" s="14" t="n">
        <v>1.25</v>
      </c>
      <c r="D477" s="14" t="n">
        <v>1</v>
      </c>
      <c r="F477" s="14" t="n">
        <v>-0.4</v>
      </c>
      <c r="G477" s="14" t="n">
        <v>0.25</v>
      </c>
      <c r="H477" s="14" t="n">
        <v>0.2097</v>
      </c>
      <c r="I477" s="14" t="n">
        <v>0.230345024507479</v>
      </c>
      <c r="J477" s="14" t="n">
        <v>0.326060131915961</v>
      </c>
      <c r="K477" s="14" t="n">
        <v>0.409822242456808</v>
      </c>
      <c r="L477" s="14" t="n">
        <v>0.522356796717663</v>
      </c>
      <c r="M477" s="14" t="n">
        <v>4.0062</v>
      </c>
      <c r="N477" s="14" t="n">
        <v>4.3558</v>
      </c>
      <c r="O477" s="14" t="n">
        <v>4.3875</v>
      </c>
      <c r="P477" s="14" t="n">
        <v>4.404</v>
      </c>
      <c r="Q477" s="14" t="n">
        <v>0.5</v>
      </c>
      <c r="R477" s="14" t="n">
        <v>0.48</v>
      </c>
      <c r="S477" s="14" t="n">
        <v>8.25</v>
      </c>
    </row>
    <row r="478" customFormat="false" ht="15" hidden="false" customHeight="false" outlineLevel="0" collapsed="false">
      <c r="A478" s="13" t="n">
        <v>43005</v>
      </c>
      <c r="C478" s="14" t="n">
        <v>1.25</v>
      </c>
      <c r="D478" s="14" t="n">
        <v>1</v>
      </c>
      <c r="F478" s="14" t="n">
        <v>-0.4</v>
      </c>
      <c r="G478" s="14" t="n">
        <v>0.25</v>
      </c>
      <c r="H478" s="14" t="n">
        <v>0.2094</v>
      </c>
      <c r="I478" s="14" t="n">
        <v>0.231397376193628</v>
      </c>
      <c r="J478" s="14" t="n">
        <v>0.332455067837376</v>
      </c>
      <c r="K478" s="14" t="n">
        <v>0.416729555343728</v>
      </c>
      <c r="L478" s="14" t="n">
        <v>0.529346224413779</v>
      </c>
      <c r="M478" s="14" t="n">
        <v>4.0174</v>
      </c>
      <c r="N478" s="14" t="n">
        <v>4.3565</v>
      </c>
      <c r="O478" s="14" t="n">
        <v>4.3875</v>
      </c>
      <c r="P478" s="14" t="n">
        <v>4.4048</v>
      </c>
      <c r="Q478" s="14" t="n">
        <v>0.5</v>
      </c>
      <c r="R478" s="14" t="n">
        <v>0.49</v>
      </c>
      <c r="S478" s="14" t="n">
        <v>8.25</v>
      </c>
    </row>
    <row r="479" customFormat="false" ht="15" hidden="false" customHeight="false" outlineLevel="0" collapsed="false">
      <c r="A479" s="13" t="n">
        <v>43006</v>
      </c>
      <c r="C479" s="14" t="n">
        <v>1.25</v>
      </c>
      <c r="D479" s="14" t="n">
        <v>1</v>
      </c>
      <c r="F479" s="14" t="n">
        <v>-0.4</v>
      </c>
      <c r="G479" s="14" t="n">
        <v>0.25</v>
      </c>
      <c r="H479" s="14" t="n">
        <v>0.2101</v>
      </c>
      <c r="I479" s="14" t="n">
        <v>0.230991465125821</v>
      </c>
      <c r="J479" s="14" t="n">
        <v>0.336899957747009</v>
      </c>
      <c r="K479" s="14" t="n">
        <v>0.422976713468479</v>
      </c>
      <c r="L479" s="14" t="n">
        <v>0.534835792586575</v>
      </c>
      <c r="M479" s="14" t="n">
        <v>4.0565</v>
      </c>
      <c r="N479" s="14" t="n">
        <v>4.356</v>
      </c>
      <c r="O479" s="14" t="n">
        <v>4.3866</v>
      </c>
      <c r="P479" s="14" t="n">
        <v>4.4049</v>
      </c>
      <c r="Q479" s="14" t="n">
        <v>0.5</v>
      </c>
      <c r="R479" s="14" t="n">
        <v>0.49</v>
      </c>
      <c r="S479" s="14" t="n">
        <v>8.25</v>
      </c>
    </row>
    <row r="480" customFormat="false" ht="15" hidden="false" customHeight="false" outlineLevel="0" collapsed="false">
      <c r="A480" s="13" t="n">
        <v>43007</v>
      </c>
      <c r="C480" s="14" t="n">
        <v>1.25</v>
      </c>
      <c r="D480" s="14" t="n">
        <v>1</v>
      </c>
      <c r="F480" s="14" t="n">
        <v>-0.4</v>
      </c>
      <c r="G480" s="14" t="n">
        <v>0.25</v>
      </c>
      <c r="H480" s="14" t="n">
        <v>0.1991</v>
      </c>
      <c r="I480" s="14" t="n">
        <v>0.233681987122459</v>
      </c>
      <c r="J480" s="14" t="n">
        <v>0.338767103808568</v>
      </c>
      <c r="K480" s="14" t="n">
        <v>0.421856845148557</v>
      </c>
      <c r="L480" s="14" t="n">
        <v>0.531104640955487</v>
      </c>
      <c r="M480" s="14" t="n">
        <v>4.0743</v>
      </c>
      <c r="N480" s="14" t="n">
        <v>4.3561</v>
      </c>
      <c r="O480" s="14" t="n">
        <v>4.3865</v>
      </c>
      <c r="P480" s="14" t="n">
        <v>4.4043</v>
      </c>
      <c r="Q480" s="14" t="n">
        <v>0.5</v>
      </c>
      <c r="R480" s="14" t="n">
        <v>0.94</v>
      </c>
      <c r="S480" s="14" t="n">
        <v>8.25</v>
      </c>
    </row>
    <row r="481" customFormat="false" ht="15" hidden="false" customHeight="false" outlineLevel="0" collapsed="false">
      <c r="A481" s="13" t="n">
        <v>43008</v>
      </c>
      <c r="C481" s="14" t="n">
        <v>1.25</v>
      </c>
      <c r="D481" s="14" t="n">
        <v>1</v>
      </c>
      <c r="F481" s="14" t="n">
        <v>-0.4</v>
      </c>
      <c r="M481" s="14" t="n">
        <v>4.0693</v>
      </c>
      <c r="N481" s="14" t="n">
        <v>4.3565</v>
      </c>
      <c r="O481" s="14" t="n">
        <v>4.3863</v>
      </c>
      <c r="P481" s="14" t="n">
        <v>4.404</v>
      </c>
      <c r="S481" s="14" t="n">
        <v>8.25</v>
      </c>
    </row>
    <row r="482" customFormat="false" ht="15" hidden="false" customHeight="false" outlineLevel="0" collapsed="false">
      <c r="A482" s="13" t="n">
        <v>43010</v>
      </c>
      <c r="C482" s="14" t="n">
        <v>1.25</v>
      </c>
      <c r="D482" s="14" t="n">
        <v>1</v>
      </c>
      <c r="F482" s="14" t="n">
        <v>-0.4</v>
      </c>
      <c r="G482" s="14" t="n">
        <v>0.25</v>
      </c>
      <c r="H482" s="14" t="n">
        <v>0.2108</v>
      </c>
      <c r="I482" s="14" t="n">
        <v>0.235220024776186</v>
      </c>
      <c r="J482" s="14" t="n">
        <v>0.342794199568855</v>
      </c>
      <c r="K482" s="14" t="n">
        <v>0.426131104465144</v>
      </c>
      <c r="L482" s="14" t="n">
        <v>0.534352768500758</v>
      </c>
      <c r="Q482" s="14" t="n">
        <v>0.5</v>
      </c>
      <c r="R482" s="14" t="n">
        <v>0.49</v>
      </c>
      <c r="S482" s="14" t="n">
        <v>8.25</v>
      </c>
    </row>
    <row r="483" customFormat="false" ht="15" hidden="false" customHeight="false" outlineLevel="0" collapsed="false">
      <c r="A483" s="13" t="n">
        <v>43011</v>
      </c>
      <c r="C483" s="14" t="n">
        <v>1.25</v>
      </c>
      <c r="D483" s="14" t="n">
        <v>1</v>
      </c>
      <c r="F483" s="14" t="n">
        <v>-0.4</v>
      </c>
      <c r="G483" s="14" t="n">
        <v>0.25</v>
      </c>
      <c r="H483" s="14" t="n">
        <v>0.2094</v>
      </c>
      <c r="I483" s="14" t="n">
        <v>0.239439099061545</v>
      </c>
      <c r="J483" s="14" t="n">
        <v>0.346943854118895</v>
      </c>
      <c r="K483" s="14" t="n">
        <v>0.428376105766057</v>
      </c>
      <c r="L483" s="14" t="n">
        <v>0.534097298093084</v>
      </c>
      <c r="Q483" s="14" t="n">
        <v>0.5</v>
      </c>
      <c r="R483" s="14" t="n">
        <v>0.49</v>
      </c>
      <c r="S483" s="14" t="n">
        <v>8.25</v>
      </c>
    </row>
    <row r="484" customFormat="false" ht="15" hidden="false" customHeight="false" outlineLevel="0" collapsed="false">
      <c r="A484" s="13" t="n">
        <v>43012</v>
      </c>
      <c r="C484" s="14" t="n">
        <v>1.25</v>
      </c>
      <c r="D484" s="14" t="n">
        <v>1</v>
      </c>
      <c r="F484" s="14" t="n">
        <v>-0.4</v>
      </c>
      <c r="G484" s="14" t="n">
        <v>0.25</v>
      </c>
      <c r="H484" s="14" t="n">
        <v>0.2085</v>
      </c>
      <c r="I484" s="14" t="n">
        <v>0.246543479560512</v>
      </c>
      <c r="J484" s="14" t="n">
        <v>0.351795519999305</v>
      </c>
      <c r="K484" s="14" t="n">
        <v>0.431427628017314</v>
      </c>
      <c r="L484" s="14" t="n">
        <v>0.537929933144084</v>
      </c>
      <c r="Q484" s="14" t="n">
        <v>0.5</v>
      </c>
      <c r="R484" s="14" t="n">
        <v>0.48</v>
      </c>
      <c r="S484" s="14" t="n">
        <v>8.25</v>
      </c>
    </row>
    <row r="485" customFormat="false" ht="15" hidden="false" customHeight="false" outlineLevel="0" collapsed="false">
      <c r="A485" s="13" t="n">
        <v>43013</v>
      </c>
      <c r="C485" s="14" t="n">
        <v>1.25</v>
      </c>
      <c r="D485" s="14" t="n">
        <v>1</v>
      </c>
      <c r="F485" s="14" t="n">
        <v>-0.4</v>
      </c>
      <c r="G485" s="14" t="n">
        <v>0.25</v>
      </c>
      <c r="H485" s="14" t="n">
        <v>0.2093</v>
      </c>
      <c r="I485" s="14" t="n">
        <v>0.248508173344878</v>
      </c>
      <c r="J485" s="14" t="n">
        <v>0.353093147217482</v>
      </c>
      <c r="K485" s="14" t="n">
        <v>0.431667440714634</v>
      </c>
      <c r="L485" s="14" t="n">
        <v>0.537748228434267</v>
      </c>
      <c r="Q485" s="14" t="n">
        <v>0.5</v>
      </c>
      <c r="R485" s="14" t="n">
        <v>0.48</v>
      </c>
      <c r="S485" s="14" t="n">
        <v>8.25</v>
      </c>
    </row>
    <row r="486" customFormat="false" ht="15" hidden="false" customHeight="false" outlineLevel="0" collapsed="false">
      <c r="A486" s="13" t="n">
        <v>43014</v>
      </c>
      <c r="C486" s="14" t="n">
        <v>1.25</v>
      </c>
      <c r="D486" s="14" t="n">
        <v>1</v>
      </c>
      <c r="F486" s="14" t="n">
        <v>-0.4</v>
      </c>
      <c r="G486" s="14" t="n">
        <v>0.25</v>
      </c>
      <c r="H486" s="14" t="n">
        <v>0.2078</v>
      </c>
      <c r="I486" s="14" t="n">
        <v>0.248988962097803</v>
      </c>
      <c r="J486" s="14" t="n">
        <v>0.352464280492493</v>
      </c>
      <c r="K486" s="14" t="n">
        <v>0.427445065584161</v>
      </c>
      <c r="L486" s="14" t="n">
        <v>0.527280631056983</v>
      </c>
      <c r="Q486" s="14" t="n">
        <v>0.5</v>
      </c>
      <c r="R486" s="14" t="n">
        <v>0.49</v>
      </c>
      <c r="S486" s="14" t="n">
        <v>8.25</v>
      </c>
    </row>
    <row r="487" customFormat="false" ht="15" hidden="false" customHeight="false" outlineLevel="0" collapsed="false">
      <c r="A487" s="13" t="n">
        <v>43017</v>
      </c>
      <c r="C487" s="14" t="n">
        <v>1.25</v>
      </c>
      <c r="D487" s="14" t="n">
        <v>1</v>
      </c>
      <c r="F487" s="14" t="n">
        <v>-0.4</v>
      </c>
      <c r="G487" s="14" t="n">
        <v>0.25</v>
      </c>
      <c r="H487" s="14" t="n">
        <v>0.2099</v>
      </c>
      <c r="I487" s="14" t="n">
        <v>0.26365646361359</v>
      </c>
      <c r="J487" s="14" t="n">
        <v>0.368994361647095</v>
      </c>
      <c r="K487" s="14" t="n">
        <v>0.441566836299161</v>
      </c>
      <c r="L487" s="14" t="n">
        <v>0.540202945398532</v>
      </c>
      <c r="M487" s="14" t="n">
        <v>4.0614</v>
      </c>
      <c r="N487" s="14" t="n">
        <v>4.3502</v>
      </c>
      <c r="O487" s="14" t="n">
        <v>4.3878</v>
      </c>
      <c r="P487" s="14" t="n">
        <v>4.403</v>
      </c>
      <c r="Q487" s="14" t="n">
        <v>0.5</v>
      </c>
      <c r="R487" s="14" t="n">
        <v>0.51</v>
      </c>
      <c r="S487" s="14" t="n">
        <v>8.25</v>
      </c>
    </row>
    <row r="488" customFormat="false" ht="15" hidden="false" customHeight="false" outlineLevel="0" collapsed="false">
      <c r="A488" s="13" t="n">
        <v>43018</v>
      </c>
      <c r="C488" s="14" t="n">
        <v>1.25</v>
      </c>
      <c r="D488" s="14" t="n">
        <v>1</v>
      </c>
      <c r="F488" s="14" t="n">
        <v>-0.4</v>
      </c>
      <c r="G488" s="14" t="n">
        <v>0.25</v>
      </c>
      <c r="H488" s="14" t="n">
        <v>0.2065</v>
      </c>
      <c r="I488" s="14" t="n">
        <v>0.269293732620926</v>
      </c>
      <c r="J488" s="14" t="n">
        <v>0.376201456636396</v>
      </c>
      <c r="K488" s="14" t="n">
        <v>0.448527842226955</v>
      </c>
      <c r="L488" s="14" t="n">
        <v>0.549711857023085</v>
      </c>
      <c r="M488" s="14" t="n">
        <v>4.056</v>
      </c>
      <c r="N488" s="14" t="n">
        <v>4.3541</v>
      </c>
      <c r="O488" s="14" t="n">
        <v>4.3868</v>
      </c>
      <c r="P488" s="14" t="n">
        <v>4.403</v>
      </c>
      <c r="Q488" s="14" t="n">
        <v>0.5</v>
      </c>
      <c r="R488" s="14" t="n">
        <v>0.5</v>
      </c>
      <c r="S488" s="14" t="n">
        <v>8.25</v>
      </c>
    </row>
    <row r="489" customFormat="false" ht="15" hidden="false" customHeight="false" outlineLevel="0" collapsed="false">
      <c r="A489" s="13" t="n">
        <v>43019</v>
      </c>
      <c r="C489" s="14" t="n">
        <v>1.25</v>
      </c>
      <c r="D489" s="14" t="n">
        <v>1</v>
      </c>
      <c r="F489" s="14" t="n">
        <v>-0.4</v>
      </c>
      <c r="G489" s="14" t="n">
        <v>0.25</v>
      </c>
      <c r="H489" s="14" t="n">
        <v>0.2086</v>
      </c>
      <c r="I489" s="14" t="n">
        <v>0.273437012807525</v>
      </c>
      <c r="J489" s="14" t="n">
        <v>0.377626098721174</v>
      </c>
      <c r="K489" s="14" t="n">
        <v>0.447731503925678</v>
      </c>
      <c r="L489" s="14" t="n">
        <v>0.551354362964729</v>
      </c>
      <c r="M489" s="14" t="n">
        <v>4.052</v>
      </c>
      <c r="N489" s="14" t="n">
        <v>4.3555</v>
      </c>
      <c r="O489" s="14" t="n">
        <v>4.3872</v>
      </c>
      <c r="P489" s="14" t="n">
        <v>4.4025</v>
      </c>
      <c r="Q489" s="14" t="n">
        <v>0.5</v>
      </c>
      <c r="R489" s="14" t="n">
        <v>0.49</v>
      </c>
      <c r="S489" s="14" t="n">
        <v>8.25</v>
      </c>
    </row>
    <row r="490" customFormat="false" ht="15" hidden="false" customHeight="false" outlineLevel="0" collapsed="false">
      <c r="A490" s="13" t="n">
        <v>43020</v>
      </c>
      <c r="C490" s="14" t="n">
        <v>1.25</v>
      </c>
      <c r="D490" s="14" t="n">
        <v>1</v>
      </c>
      <c r="F490" s="14" t="n">
        <v>-0.4</v>
      </c>
      <c r="G490" s="14" t="n">
        <v>0.25</v>
      </c>
      <c r="H490" s="14" t="n">
        <v>0.2072</v>
      </c>
      <c r="I490" s="14" t="n">
        <v>0.276191112871233</v>
      </c>
      <c r="J490" s="14" t="n">
        <v>0.377540012701243</v>
      </c>
      <c r="K490" s="14" t="n">
        <v>0.447642431405708</v>
      </c>
      <c r="L490" s="14" t="n">
        <v>0.553646512766862</v>
      </c>
      <c r="M490" s="14" t="n">
        <v>4.0512</v>
      </c>
      <c r="N490" s="14" t="n">
        <v>4.3581</v>
      </c>
      <c r="O490" s="14" t="n">
        <v>4.3877</v>
      </c>
      <c r="P490" s="14" t="n">
        <v>4.401</v>
      </c>
      <c r="Q490" s="14" t="n">
        <v>0.5</v>
      </c>
      <c r="R490" s="14" t="n">
        <v>0.49</v>
      </c>
      <c r="S490" s="14" t="n">
        <v>8.25</v>
      </c>
    </row>
    <row r="491" customFormat="false" ht="15" hidden="false" customHeight="false" outlineLevel="0" collapsed="false">
      <c r="A491" s="13" t="n">
        <v>43021</v>
      </c>
      <c r="C491" s="14" t="n">
        <v>1.25</v>
      </c>
      <c r="D491" s="14" t="n">
        <v>1</v>
      </c>
      <c r="F491" s="14" t="n">
        <v>-0.4</v>
      </c>
      <c r="G491" s="14" t="n">
        <v>0.25</v>
      </c>
      <c r="H491" s="14" t="n">
        <v>0.2082</v>
      </c>
      <c r="I491" s="14" t="n">
        <v>0.28098237367066</v>
      </c>
      <c r="J491" s="14" t="n">
        <v>0.382321146286301</v>
      </c>
      <c r="K491" s="14" t="n">
        <v>0.451138437168781</v>
      </c>
      <c r="L491" s="14" t="n">
        <v>0.557867793445595</v>
      </c>
      <c r="M491" s="14" t="n">
        <v>4.049</v>
      </c>
      <c r="N491" s="14" t="n">
        <v>4.3599</v>
      </c>
      <c r="O491" s="14" t="n">
        <v>4.3868</v>
      </c>
      <c r="P491" s="14" t="n">
        <v>4.4017</v>
      </c>
      <c r="Q491" s="14" t="n">
        <v>0.5</v>
      </c>
      <c r="R491" s="14" t="n">
        <v>0.5</v>
      </c>
      <c r="S491" s="14" t="n">
        <v>8.25</v>
      </c>
    </row>
    <row r="492" customFormat="false" ht="15" hidden="false" customHeight="false" outlineLevel="0" collapsed="false">
      <c r="A492" s="13" t="n">
        <v>43024</v>
      </c>
      <c r="C492" s="14" t="n">
        <v>1.25</v>
      </c>
      <c r="D492" s="14" t="n">
        <v>1</v>
      </c>
      <c r="F492" s="14" t="n">
        <v>-0.4</v>
      </c>
      <c r="G492" s="14" t="n">
        <v>0.25</v>
      </c>
      <c r="H492" s="14" t="n">
        <v>0.2093</v>
      </c>
      <c r="I492" s="14" t="n">
        <v>0.303181147506197</v>
      </c>
      <c r="J492" s="14" t="n">
        <v>0.392850563039627</v>
      </c>
      <c r="K492" s="14" t="n">
        <v>0.458089567025917</v>
      </c>
      <c r="L492" s="14" t="n">
        <v>0.567561352603591</v>
      </c>
      <c r="M492" s="14" t="n">
        <v>4.0427</v>
      </c>
      <c r="N492" s="14" t="n">
        <v>4.3668</v>
      </c>
      <c r="O492" s="14" t="n">
        <v>4.3875</v>
      </c>
      <c r="P492" s="14" t="n">
        <v>4.4012</v>
      </c>
      <c r="Q492" s="14" t="n">
        <v>0.5</v>
      </c>
      <c r="R492" s="14" t="n">
        <v>0.5</v>
      </c>
      <c r="S492" s="14" t="n">
        <v>8.25</v>
      </c>
    </row>
    <row r="493" customFormat="false" ht="15" hidden="false" customHeight="false" outlineLevel="0" collapsed="false">
      <c r="A493" s="13" t="n">
        <v>43025</v>
      </c>
      <c r="C493" s="14" t="n">
        <v>1.25</v>
      </c>
      <c r="D493" s="14" t="n">
        <v>1</v>
      </c>
      <c r="F493" s="14" t="n">
        <v>-0.4</v>
      </c>
      <c r="G493" s="14" t="n">
        <v>0.25</v>
      </c>
      <c r="H493" s="14" t="n">
        <v>0.2118</v>
      </c>
      <c r="I493" s="14" t="n">
        <v>0.307262778224589</v>
      </c>
      <c r="J493" s="14" t="n">
        <v>0.388418006655174</v>
      </c>
      <c r="K493" s="14" t="n">
        <v>0.447560265553258</v>
      </c>
      <c r="L493" s="14" t="n">
        <v>0.547022587404074</v>
      </c>
      <c r="M493" s="14" t="n">
        <v>4.0356</v>
      </c>
      <c r="N493" s="14" t="n">
        <v>4.3711</v>
      </c>
      <c r="O493" s="14" t="n">
        <v>4.388</v>
      </c>
      <c r="P493" s="14" t="n">
        <v>4.4015</v>
      </c>
      <c r="Q493" s="14" t="n">
        <v>0.5</v>
      </c>
      <c r="R493" s="14" t="n">
        <v>0.49</v>
      </c>
      <c r="S493" s="14" t="n">
        <v>8.25</v>
      </c>
    </row>
    <row r="494" customFormat="false" ht="15" hidden="false" customHeight="false" outlineLevel="0" collapsed="false">
      <c r="A494" s="13" t="n">
        <v>43026</v>
      </c>
      <c r="C494" s="14" t="n">
        <v>1.25</v>
      </c>
      <c r="D494" s="14" t="n">
        <v>1</v>
      </c>
      <c r="F494" s="14" t="n">
        <v>-0.4</v>
      </c>
      <c r="G494" s="14" t="n">
        <v>0.25</v>
      </c>
      <c r="H494" s="14" t="n">
        <v>0.2128</v>
      </c>
      <c r="I494" s="14" t="n">
        <v>0.315208702277343</v>
      </c>
      <c r="J494" s="14" t="n">
        <v>0.395598605079635</v>
      </c>
      <c r="K494" s="14" t="n">
        <v>0.454970692167286</v>
      </c>
      <c r="L494" s="14" t="n">
        <v>0.557170798839036</v>
      </c>
      <c r="M494" s="14" t="n">
        <v>4.0342</v>
      </c>
      <c r="N494" s="14" t="n">
        <v>4.3729</v>
      </c>
      <c r="O494" s="14" t="n">
        <v>4.3887</v>
      </c>
      <c r="P494" s="14" t="n">
        <v>4.4018</v>
      </c>
      <c r="Q494" s="14" t="n">
        <v>0.5</v>
      </c>
      <c r="R494" s="14" t="n">
        <v>0.48</v>
      </c>
      <c r="S494" s="14" t="n">
        <v>8.25</v>
      </c>
    </row>
    <row r="495" customFormat="false" ht="15" hidden="false" customHeight="false" outlineLevel="0" collapsed="false">
      <c r="A495" s="13" t="n">
        <v>43027</v>
      </c>
      <c r="C495" s="14" t="n">
        <v>1.25</v>
      </c>
      <c r="D495" s="14" t="n">
        <v>1</v>
      </c>
      <c r="F495" s="14" t="n">
        <v>-0.4</v>
      </c>
      <c r="G495" s="14" t="n">
        <v>0.25</v>
      </c>
      <c r="H495" s="14" t="n">
        <v>0.2141</v>
      </c>
      <c r="I495" s="14" t="n">
        <v>0.318533088554186</v>
      </c>
      <c r="J495" s="14" t="n">
        <v>0.394269902409275</v>
      </c>
      <c r="K495" s="14" t="n">
        <v>0.447640947072944</v>
      </c>
      <c r="L495" s="14" t="n">
        <v>0.537203749534764</v>
      </c>
      <c r="M495" s="14" t="n">
        <v>4.0285</v>
      </c>
      <c r="N495" s="14" t="n">
        <v>4.3737</v>
      </c>
      <c r="O495" s="14" t="n">
        <v>4.3892</v>
      </c>
      <c r="P495" s="14" t="n">
        <v>4.4016</v>
      </c>
      <c r="Q495" s="14" t="n">
        <v>0.5</v>
      </c>
      <c r="R495" s="14" t="n">
        <v>0.49</v>
      </c>
      <c r="S495" s="14" t="n">
        <v>8.25</v>
      </c>
    </row>
    <row r="496" customFormat="false" ht="15" hidden="false" customHeight="false" outlineLevel="0" collapsed="false">
      <c r="A496" s="13" t="n">
        <v>43028</v>
      </c>
      <c r="C496" s="14" t="n">
        <v>1.25</v>
      </c>
      <c r="D496" s="14" t="n">
        <v>1</v>
      </c>
      <c r="F496" s="14" t="n">
        <v>-0.4</v>
      </c>
      <c r="G496" s="14" t="n">
        <v>0.25</v>
      </c>
      <c r="H496" s="14" t="n">
        <v>0.2141</v>
      </c>
      <c r="I496" s="14" t="n">
        <v>0.328059282167952</v>
      </c>
      <c r="J496" s="14" t="n">
        <v>0.399618705182595</v>
      </c>
      <c r="K496" s="14" t="n">
        <v>0.453331862727924</v>
      </c>
      <c r="L496" s="14" t="n">
        <v>0.550380680113354</v>
      </c>
      <c r="M496" s="14" t="n">
        <v>4.0235</v>
      </c>
      <c r="N496" s="14" t="n">
        <v>4.3758</v>
      </c>
      <c r="O496" s="14" t="n">
        <v>4.3883</v>
      </c>
      <c r="P496" s="14" t="n">
        <v>4.4032</v>
      </c>
      <c r="Q496" s="14" t="n">
        <v>0.5</v>
      </c>
      <c r="R496" s="14" t="n">
        <v>0.48</v>
      </c>
      <c r="S496" s="14" t="n">
        <v>8.25</v>
      </c>
    </row>
    <row r="497" customFormat="false" ht="15" hidden="false" customHeight="false" outlineLevel="0" collapsed="false">
      <c r="A497" s="13" t="n">
        <v>43031</v>
      </c>
      <c r="C497" s="14" t="n">
        <v>1.25</v>
      </c>
      <c r="D497" s="14" t="n">
        <v>1</v>
      </c>
      <c r="F497" s="14" t="n">
        <v>-0.4</v>
      </c>
      <c r="G497" s="14" t="n">
        <v>0.25</v>
      </c>
      <c r="H497" s="14" t="n">
        <v>0.2131</v>
      </c>
      <c r="I497" s="14" t="n">
        <v>0.347492845607176</v>
      </c>
      <c r="J497" s="14" t="n">
        <v>0.406167466122242</v>
      </c>
      <c r="K497" s="14" t="n">
        <v>0.458427123856721</v>
      </c>
      <c r="L497" s="14" t="n">
        <v>0.548870732572978</v>
      </c>
      <c r="M497" s="14" t="n">
        <v>4.02</v>
      </c>
      <c r="N497" s="14" t="n">
        <v>4.3793</v>
      </c>
      <c r="O497" s="14" t="n">
        <v>4.3888</v>
      </c>
      <c r="P497" s="14" t="n">
        <v>4.4032</v>
      </c>
      <c r="Q497" s="14" t="n">
        <v>0.5</v>
      </c>
      <c r="R497" s="14" t="n">
        <v>0.48</v>
      </c>
      <c r="S497" s="14" t="n">
        <v>8.25</v>
      </c>
    </row>
    <row r="498" customFormat="false" ht="15" hidden="false" customHeight="false" outlineLevel="0" collapsed="false">
      <c r="A498" s="13" t="n">
        <v>43032</v>
      </c>
      <c r="C498" s="14" t="n">
        <v>1.25</v>
      </c>
      <c r="D498" s="14" t="n">
        <v>1</v>
      </c>
      <c r="F498" s="14" t="n">
        <v>-0.4</v>
      </c>
      <c r="G498" s="14" t="n">
        <v>0.25</v>
      </c>
      <c r="H498" s="14" t="n">
        <v>0.2126</v>
      </c>
      <c r="I498" s="14" t="n">
        <v>0.355164642130432</v>
      </c>
      <c r="J498" s="14" t="n">
        <v>0.411845553640929</v>
      </c>
      <c r="K498" s="14" t="n">
        <v>0.464650388463906</v>
      </c>
      <c r="L498" s="14" t="n">
        <v>0.556484040578233</v>
      </c>
      <c r="M498" s="14" t="n">
        <v>4.0186</v>
      </c>
      <c r="N498" s="14" t="n">
        <v>4.3803</v>
      </c>
      <c r="O498" s="14" t="n">
        <v>4.3892</v>
      </c>
      <c r="P498" s="14" t="n">
        <v>4.4017</v>
      </c>
      <c r="Q498" s="14" t="n">
        <v>0.5</v>
      </c>
      <c r="R498" s="14" t="n">
        <v>0.48</v>
      </c>
      <c r="S498" s="14" t="n">
        <v>8.25</v>
      </c>
    </row>
    <row r="499" customFormat="false" ht="15" hidden="false" customHeight="false" outlineLevel="0" collapsed="false">
      <c r="A499" s="13" t="n">
        <v>43033</v>
      </c>
      <c r="C499" s="14" t="n">
        <v>1.25</v>
      </c>
      <c r="D499" s="14" t="n">
        <v>1</v>
      </c>
      <c r="F499" s="14" t="n">
        <v>-0.4</v>
      </c>
      <c r="G499" s="14" t="n">
        <v>0.25</v>
      </c>
      <c r="H499" s="14" t="n">
        <v>0.2147</v>
      </c>
      <c r="I499" s="14" t="n">
        <v>0.374033252007899</v>
      </c>
      <c r="J499" s="14" t="n">
        <v>0.426090254955162</v>
      </c>
      <c r="K499" s="14" t="n">
        <v>0.478855125787145</v>
      </c>
      <c r="L499" s="14" t="n">
        <v>0.57140228615049</v>
      </c>
      <c r="M499" s="14" t="n">
        <v>4.0188</v>
      </c>
      <c r="N499" s="14" t="n">
        <v>4.383</v>
      </c>
      <c r="O499" s="14" t="n">
        <v>4.3891</v>
      </c>
      <c r="P499" s="14" t="n">
        <v>4.4029</v>
      </c>
      <c r="Q499" s="14" t="n">
        <v>0.5</v>
      </c>
      <c r="R499" s="14" t="n">
        <v>0.49</v>
      </c>
      <c r="S499" s="14" t="n">
        <v>8.25</v>
      </c>
    </row>
    <row r="500" customFormat="false" ht="15" hidden="false" customHeight="false" outlineLevel="0" collapsed="false">
      <c r="A500" s="13" t="n">
        <v>43034</v>
      </c>
      <c r="C500" s="14" t="n">
        <v>1.25</v>
      </c>
      <c r="D500" s="14" t="n">
        <v>1</v>
      </c>
      <c r="F500" s="14" t="n">
        <v>-0.4</v>
      </c>
      <c r="G500" s="14" t="n">
        <v>0.25</v>
      </c>
      <c r="H500" s="14" t="n">
        <v>0.214</v>
      </c>
      <c r="I500" s="14" t="n">
        <v>0.381672503667959</v>
      </c>
      <c r="J500" s="14" t="n">
        <v>0.428633767051651</v>
      </c>
      <c r="K500" s="14" t="n">
        <v>0.480637677622903</v>
      </c>
      <c r="L500" s="14" t="n">
        <v>0.57333358062276</v>
      </c>
      <c r="M500" s="14" t="n">
        <v>4.019</v>
      </c>
      <c r="N500" s="14" t="n">
        <v>4.3845</v>
      </c>
      <c r="O500" s="14" t="n">
        <v>4.3916</v>
      </c>
      <c r="P500" s="14" t="n">
        <v>4.4049</v>
      </c>
      <c r="Q500" s="14" t="n">
        <v>0.5</v>
      </c>
      <c r="R500" s="14" t="n">
        <v>0.49</v>
      </c>
      <c r="S500" s="14" t="n">
        <v>7.5</v>
      </c>
    </row>
    <row r="501" customFormat="false" ht="15" hidden="false" customHeight="false" outlineLevel="0" collapsed="false">
      <c r="A501" s="13" t="n">
        <v>43035</v>
      </c>
      <c r="C501" s="14" t="n">
        <v>1.25</v>
      </c>
      <c r="D501" s="14" t="n">
        <v>1</v>
      </c>
      <c r="F501" s="14" t="n">
        <v>-0.4</v>
      </c>
      <c r="G501" s="14" t="n">
        <v>0.25</v>
      </c>
      <c r="H501" s="14" t="n">
        <v>0.2131</v>
      </c>
      <c r="I501" s="14" t="n">
        <v>0.389228234129726</v>
      </c>
      <c r="J501" s="14" t="n">
        <v>0.430122227195307</v>
      </c>
      <c r="K501" s="14" t="n">
        <v>0.479087691702395</v>
      </c>
      <c r="L501" s="14" t="n">
        <v>0.56498358577456</v>
      </c>
      <c r="M501" s="14" t="n">
        <v>4.0194</v>
      </c>
      <c r="N501" s="14" t="n">
        <v>4.3901</v>
      </c>
      <c r="O501" s="14" t="n">
        <v>4.3926</v>
      </c>
      <c r="P501" s="14" t="n">
        <v>4.4045</v>
      </c>
      <c r="Q501" s="14" t="n">
        <v>0.5</v>
      </c>
      <c r="R501" s="14" t="n">
        <v>0.5</v>
      </c>
      <c r="S501" s="14" t="n">
        <v>7.5</v>
      </c>
    </row>
    <row r="502" customFormat="false" ht="15" hidden="false" customHeight="false" outlineLevel="0" collapsed="false">
      <c r="A502" s="13" t="n">
        <v>43038</v>
      </c>
      <c r="C502" s="14" t="n">
        <v>1.25</v>
      </c>
      <c r="D502" s="14" t="n">
        <v>1</v>
      </c>
      <c r="F502" s="14" t="n">
        <v>-0.4</v>
      </c>
      <c r="G502" s="14" t="n">
        <v>0.25</v>
      </c>
      <c r="H502" s="14" t="n">
        <v>0.216</v>
      </c>
      <c r="I502" s="14" t="n">
        <v>0.410812866375115</v>
      </c>
      <c r="J502" s="14" t="n">
        <v>0.438779525822107</v>
      </c>
      <c r="K502" s="14" t="n">
        <v>0.484447728526748</v>
      </c>
      <c r="L502" s="14" t="n">
        <v>0.569768115950573</v>
      </c>
      <c r="M502" s="14" t="n">
        <v>4.02</v>
      </c>
      <c r="N502" s="14" t="n">
        <v>4.3926</v>
      </c>
      <c r="O502" s="14" t="n">
        <v>4.3936</v>
      </c>
      <c r="P502" s="14" t="n">
        <v>4.4107</v>
      </c>
      <c r="Q502" s="14" t="n">
        <v>0.5</v>
      </c>
      <c r="R502" s="14" t="n">
        <v>0.5</v>
      </c>
      <c r="S502" s="14" t="n">
        <v>7.5</v>
      </c>
    </row>
    <row r="503" customFormat="false" ht="15" hidden="false" customHeight="false" outlineLevel="0" collapsed="false">
      <c r="A503" s="13" t="n">
        <v>43039</v>
      </c>
      <c r="C503" s="14" t="n">
        <v>1.25</v>
      </c>
      <c r="D503" s="14" t="n">
        <v>1</v>
      </c>
      <c r="F503" s="14" t="n">
        <v>-0.4</v>
      </c>
      <c r="G503" s="14" t="n">
        <v>0.25</v>
      </c>
      <c r="H503" s="14" t="n">
        <v>0.2096</v>
      </c>
      <c r="I503" s="14" t="n">
        <v>0.419937087925684</v>
      </c>
      <c r="J503" s="14" t="n">
        <v>0.443571554790024</v>
      </c>
      <c r="K503" s="14" t="n">
        <v>0.490690168880063</v>
      </c>
      <c r="L503" s="14" t="n">
        <v>0.579088011581757</v>
      </c>
      <c r="M503" s="14" t="n">
        <v>4.027</v>
      </c>
      <c r="N503" s="14" t="n">
        <v>4.3954</v>
      </c>
      <c r="O503" s="14" t="n">
        <v>4.3978</v>
      </c>
      <c r="P503" s="14" t="n">
        <v>4.4176</v>
      </c>
      <c r="Q503" s="14" t="n">
        <v>0.5</v>
      </c>
      <c r="R503" s="14" t="n">
        <v>0.48</v>
      </c>
      <c r="S503" s="14" t="n">
        <v>7.5</v>
      </c>
    </row>
    <row r="504" customFormat="false" ht="15" hidden="false" customHeight="false" outlineLevel="0" collapsed="false">
      <c r="A504" s="13" t="n">
        <v>43040</v>
      </c>
      <c r="C504" s="14" t="n">
        <v>1.25</v>
      </c>
      <c r="D504" s="14" t="n">
        <v>1</v>
      </c>
      <c r="F504" s="14" t="n">
        <v>-0.4</v>
      </c>
      <c r="G504" s="14" t="n">
        <v>0.25</v>
      </c>
      <c r="H504" s="14" t="n">
        <v>0.2145</v>
      </c>
      <c r="I504" s="14" t="n">
        <v>0.431251539332509</v>
      </c>
      <c r="J504" s="14" t="n">
        <v>0.450791840837409</v>
      </c>
      <c r="K504" s="14" t="n">
        <v>0.501852927688841</v>
      </c>
      <c r="L504" s="14" t="n">
        <v>0.601094900323052</v>
      </c>
      <c r="M504" s="14" t="n">
        <v>4.029</v>
      </c>
      <c r="N504" s="14" t="n">
        <v>4.408</v>
      </c>
      <c r="O504" s="14" t="n">
        <v>4.4034</v>
      </c>
      <c r="P504" s="14" t="n">
        <v>4.4223</v>
      </c>
      <c r="Q504" s="14" t="n">
        <v>0.5</v>
      </c>
      <c r="R504" s="14" t="n">
        <v>0.48</v>
      </c>
      <c r="S504" s="14" t="n">
        <v>7.5</v>
      </c>
    </row>
    <row r="505" customFormat="false" ht="15" hidden="false" customHeight="false" outlineLevel="0" collapsed="false">
      <c r="A505" s="13" t="n">
        <v>43041</v>
      </c>
      <c r="C505" s="14" t="n">
        <v>1.25</v>
      </c>
      <c r="D505" s="14" t="n">
        <v>1</v>
      </c>
      <c r="F505" s="14" t="n">
        <v>-0.4</v>
      </c>
      <c r="G505" s="14" t="n">
        <v>0.5</v>
      </c>
      <c r="H505" s="14" t="n">
        <v>0.4055</v>
      </c>
      <c r="I505" s="14" t="n">
        <v>0.460097445576957</v>
      </c>
      <c r="J505" s="14" t="n">
        <v>0.464477893449166</v>
      </c>
      <c r="K505" s="14" t="n">
        <v>0.489625056746738</v>
      </c>
      <c r="L505" s="14" t="n">
        <v>0.553933145846768</v>
      </c>
      <c r="M505" s="14" t="n">
        <v>4.0289</v>
      </c>
      <c r="N505" s="14" t="n">
        <v>4.4099</v>
      </c>
      <c r="O505" s="14" t="n">
        <v>4.4101</v>
      </c>
      <c r="P505" s="14" t="n">
        <v>4.4287</v>
      </c>
      <c r="Q505" s="14" t="n">
        <v>0.5</v>
      </c>
      <c r="R505" s="14" t="n">
        <v>0.48</v>
      </c>
      <c r="S505" s="14" t="n">
        <v>7.5</v>
      </c>
    </row>
    <row r="506" customFormat="false" ht="15" hidden="false" customHeight="false" outlineLevel="0" collapsed="false">
      <c r="A506" s="13" t="n">
        <v>43042</v>
      </c>
      <c r="C506" s="14" t="n">
        <v>1.25</v>
      </c>
      <c r="D506" s="14" t="n">
        <v>1</v>
      </c>
      <c r="F506" s="14" t="n">
        <v>-0.4</v>
      </c>
      <c r="G506" s="14" t="n">
        <v>0.5</v>
      </c>
      <c r="H506" s="14" t="n">
        <v>0.4628</v>
      </c>
      <c r="I506" s="14" t="n">
        <v>0.458617047243934</v>
      </c>
      <c r="J506" s="14" t="n">
        <v>0.460819785321502</v>
      </c>
      <c r="K506" s="14" t="n">
        <v>0.484306650784596</v>
      </c>
      <c r="L506" s="14" t="n">
        <v>0.55177849393548</v>
      </c>
      <c r="M506" s="14" t="n">
        <v>4.0133</v>
      </c>
      <c r="N506" s="14" t="n">
        <v>4.4217</v>
      </c>
      <c r="O506" s="14" t="n">
        <v>4.4165</v>
      </c>
      <c r="P506" s="14" t="n">
        <v>4.4338</v>
      </c>
      <c r="Q506" s="14" t="n">
        <v>0.5</v>
      </c>
      <c r="R506" s="14" t="n">
        <v>0.48</v>
      </c>
      <c r="S506" s="14" t="n">
        <v>7.5</v>
      </c>
    </row>
    <row r="507" customFormat="false" ht="15" hidden="false" customHeight="false" outlineLevel="0" collapsed="false">
      <c r="A507" s="13" t="n">
        <v>43045</v>
      </c>
      <c r="C507" s="14" t="n">
        <v>1.25</v>
      </c>
      <c r="D507" s="14" t="n">
        <v>1</v>
      </c>
      <c r="F507" s="14" t="n">
        <v>-0.4</v>
      </c>
      <c r="G507" s="14" t="n">
        <v>0.5</v>
      </c>
      <c r="H507" s="14" t="n">
        <v>0.4649</v>
      </c>
      <c r="I507" s="14" t="n">
        <v>0.459186921717112</v>
      </c>
      <c r="J507" s="14" t="n">
        <v>0.462552171154959</v>
      </c>
      <c r="K507" s="14" t="n">
        <v>0.483136268209662</v>
      </c>
      <c r="L507" s="14" t="n">
        <v>0.544512357896982</v>
      </c>
      <c r="M507" s="14" t="n">
        <v>4.0059</v>
      </c>
      <c r="N507" s="14" t="n">
        <v>4.4294</v>
      </c>
      <c r="O507" s="14" t="n">
        <v>4.4297</v>
      </c>
      <c r="P507" s="14" t="n">
        <v>4.4364</v>
      </c>
      <c r="Q507" s="14" t="n">
        <v>0.5</v>
      </c>
      <c r="R507" s="14" t="n">
        <v>0.48</v>
      </c>
      <c r="S507" s="14" t="n">
        <v>7.5</v>
      </c>
    </row>
    <row r="508" customFormat="false" ht="15" hidden="false" customHeight="false" outlineLevel="0" collapsed="false">
      <c r="A508" s="13" t="n">
        <v>43046</v>
      </c>
      <c r="C508" s="14" t="n">
        <v>1.25</v>
      </c>
      <c r="D508" s="14" t="n">
        <v>1</v>
      </c>
      <c r="F508" s="14" t="n">
        <v>-0.4</v>
      </c>
      <c r="G508" s="14" t="n">
        <v>0.5</v>
      </c>
      <c r="H508" s="14" t="n">
        <v>0.4624</v>
      </c>
      <c r="I508" s="14" t="n">
        <v>0.459768883131146</v>
      </c>
      <c r="J508" s="14" t="n">
        <v>0.461702870171268</v>
      </c>
      <c r="K508" s="14" t="n">
        <v>0.481516684626079</v>
      </c>
      <c r="L508" s="14" t="n">
        <v>0.540686084427804</v>
      </c>
      <c r="M508" s="14" t="n">
        <v>3.9975</v>
      </c>
      <c r="N508" s="14" t="n">
        <v>4.4314</v>
      </c>
      <c r="O508" s="14" t="n">
        <v>4.4319</v>
      </c>
      <c r="P508" s="14" t="n">
        <v>4.4402</v>
      </c>
      <c r="Q508" s="14" t="n">
        <v>0.5</v>
      </c>
      <c r="R508" s="14" t="n">
        <v>0.48</v>
      </c>
      <c r="S508" s="14" t="n">
        <v>7.5</v>
      </c>
    </row>
    <row r="509" customFormat="false" ht="15" hidden="false" customHeight="false" outlineLevel="0" collapsed="false">
      <c r="A509" s="13" t="n">
        <v>43047</v>
      </c>
      <c r="C509" s="14" t="n">
        <v>1.25</v>
      </c>
      <c r="D509" s="14" t="n">
        <v>1</v>
      </c>
      <c r="F509" s="14" t="n">
        <v>-0.4</v>
      </c>
      <c r="G509" s="14" t="n">
        <v>0.5</v>
      </c>
      <c r="H509" s="14" t="n">
        <v>0.4632</v>
      </c>
      <c r="I509" s="14" t="n">
        <v>0.459062973219837</v>
      </c>
      <c r="J509" s="14" t="n">
        <v>0.461478949283579</v>
      </c>
      <c r="K509" s="14" t="n">
        <v>0.481807181382979</v>
      </c>
      <c r="L509" s="14" t="n">
        <v>0.543577721982284</v>
      </c>
      <c r="M509" s="14" t="n">
        <v>3.9935</v>
      </c>
      <c r="N509" s="14" t="n">
        <v>4.4377</v>
      </c>
      <c r="O509" s="14" t="n">
        <v>4.439</v>
      </c>
      <c r="P509" s="14" t="n">
        <v>4.4422</v>
      </c>
      <c r="Q509" s="14" t="n">
        <v>0.5</v>
      </c>
      <c r="R509" s="14" t="n">
        <v>0.49</v>
      </c>
      <c r="S509" s="14" t="n">
        <v>7.5</v>
      </c>
    </row>
    <row r="510" customFormat="false" ht="15" hidden="false" customHeight="false" outlineLevel="0" collapsed="false">
      <c r="A510" s="13" t="n">
        <v>43048</v>
      </c>
      <c r="C510" s="14" t="n">
        <v>1.25</v>
      </c>
      <c r="D510" s="14" t="n">
        <v>1</v>
      </c>
      <c r="F510" s="14" t="n">
        <v>-0.4</v>
      </c>
      <c r="G510" s="14" t="n">
        <v>0.5</v>
      </c>
      <c r="H510" s="14" t="n">
        <v>0.4628</v>
      </c>
      <c r="I510" s="14" t="n">
        <v>0.459456164850618</v>
      </c>
      <c r="J510" s="14" t="n">
        <v>0.462272426918094</v>
      </c>
      <c r="K510" s="14" t="n">
        <v>0.483006958489556</v>
      </c>
      <c r="L510" s="14" t="n">
        <v>0.547322541920593</v>
      </c>
      <c r="M510" s="14" t="n">
        <v>4.0034</v>
      </c>
      <c r="N510" s="14" t="n">
        <v>4.4568</v>
      </c>
      <c r="O510" s="14" t="n">
        <v>4.4489</v>
      </c>
      <c r="P510" s="14" t="n">
        <v>4.4497</v>
      </c>
      <c r="Q510" s="14" t="n">
        <v>0.5</v>
      </c>
      <c r="R510" s="14" t="n">
        <v>0.49</v>
      </c>
      <c r="S510" s="14" t="n">
        <v>7.5</v>
      </c>
    </row>
    <row r="511" customFormat="false" ht="15" hidden="false" customHeight="false" outlineLevel="0" collapsed="false">
      <c r="A511" s="13" t="n">
        <v>43049</v>
      </c>
      <c r="C511" s="14" t="n">
        <v>1.25</v>
      </c>
      <c r="D511" s="14" t="n">
        <v>1</v>
      </c>
      <c r="F511" s="14" t="n">
        <v>-0.4</v>
      </c>
      <c r="G511" s="14" t="n">
        <v>0.5</v>
      </c>
      <c r="H511" s="14" t="n">
        <v>0.4622</v>
      </c>
      <c r="I511" s="14" t="n">
        <v>0.460647656892881</v>
      </c>
      <c r="J511" s="14" t="n">
        <v>0.46401384649354</v>
      </c>
      <c r="K511" s="14" t="n">
        <v>0.486944033713555</v>
      </c>
      <c r="L511" s="14" t="n">
        <v>0.559472591427239</v>
      </c>
      <c r="M511" s="14" t="n">
        <v>4.0104</v>
      </c>
      <c r="N511" s="14" t="n">
        <v>4.4747</v>
      </c>
      <c r="O511" s="14" t="n">
        <v>4.4569</v>
      </c>
      <c r="P511" s="14" t="n">
        <v>4.4573</v>
      </c>
      <c r="Q511" s="14" t="n">
        <v>0.5</v>
      </c>
      <c r="R511" s="14" t="n">
        <v>0.48</v>
      </c>
      <c r="S511" s="14" t="n">
        <v>7.5</v>
      </c>
    </row>
    <row r="512" customFormat="false" ht="15" hidden="false" customHeight="false" outlineLevel="0" collapsed="false">
      <c r="A512" s="13" t="n">
        <v>43052</v>
      </c>
      <c r="C512" s="14" t="n">
        <v>1.25</v>
      </c>
      <c r="D512" s="14" t="n">
        <v>1</v>
      </c>
      <c r="F512" s="14" t="n">
        <v>-0.4</v>
      </c>
      <c r="G512" s="14" t="n">
        <v>0.5</v>
      </c>
      <c r="H512" s="14" t="n">
        <v>0.4662</v>
      </c>
      <c r="I512" s="14" t="n">
        <v>0.459461885405532</v>
      </c>
      <c r="J512" s="14" t="n">
        <v>0.464054545110855</v>
      </c>
      <c r="K512" s="14" t="n">
        <v>0.488676718004895</v>
      </c>
      <c r="L512" s="14" t="n">
        <v>0.56040289025067</v>
      </c>
      <c r="M512" s="14" t="n">
        <v>4.0132</v>
      </c>
      <c r="N512" s="14" t="n">
        <v>4.5155</v>
      </c>
      <c r="O512" s="14" t="n">
        <v>4.4675</v>
      </c>
      <c r="P512" s="14" t="n">
        <v>4.4661</v>
      </c>
      <c r="Q512" s="14" t="n">
        <v>0.5</v>
      </c>
      <c r="R512" s="14" t="n">
        <v>0.48</v>
      </c>
      <c r="S512" s="14" t="n">
        <v>7.5</v>
      </c>
    </row>
    <row r="513" customFormat="false" ht="15" hidden="false" customHeight="false" outlineLevel="0" collapsed="false">
      <c r="A513" s="13" t="n">
        <v>43053</v>
      </c>
      <c r="C513" s="14" t="n">
        <v>1.25</v>
      </c>
      <c r="D513" s="14" t="n">
        <v>1</v>
      </c>
      <c r="F513" s="14" t="n">
        <v>-0.4</v>
      </c>
      <c r="G513" s="14" t="n">
        <v>0.5</v>
      </c>
      <c r="H513" s="14" t="n">
        <v>0.4644</v>
      </c>
      <c r="I513" s="14" t="n">
        <v>0.460440510887207</v>
      </c>
      <c r="J513" s="14" t="n">
        <v>0.463486240786627</v>
      </c>
      <c r="K513" s="14" t="n">
        <v>0.486663262140584</v>
      </c>
      <c r="L513" s="14" t="n">
        <v>0.558452647360791</v>
      </c>
      <c r="M513" s="14" t="n">
        <v>4.0144</v>
      </c>
      <c r="N513" s="14" t="n">
        <v>4.5346</v>
      </c>
      <c r="O513" s="14" t="n">
        <v>4.4968</v>
      </c>
      <c r="P513" s="14" t="n">
        <v>4.4778</v>
      </c>
      <c r="Q513" s="14" t="n">
        <v>0.5</v>
      </c>
      <c r="R513" s="14" t="n">
        <v>0.48</v>
      </c>
      <c r="S513" s="14" t="n">
        <v>7.5</v>
      </c>
    </row>
    <row r="514" customFormat="false" ht="15" hidden="false" customHeight="false" outlineLevel="0" collapsed="false">
      <c r="A514" s="13" t="n">
        <v>43054</v>
      </c>
      <c r="C514" s="14" t="n">
        <v>1.25</v>
      </c>
      <c r="D514" s="14" t="n">
        <v>1</v>
      </c>
      <c r="F514" s="14" t="n">
        <v>-0.4</v>
      </c>
      <c r="G514" s="14" t="n">
        <v>0.5</v>
      </c>
      <c r="H514" s="14" t="n">
        <v>0.4632</v>
      </c>
      <c r="I514" s="14" t="n">
        <v>0.460598479871747</v>
      </c>
      <c r="J514" s="14" t="n">
        <v>0.464667057606859</v>
      </c>
      <c r="K514" s="14" t="n">
        <v>0.487481217895507</v>
      </c>
      <c r="L514" s="14" t="n">
        <v>0.555908088890877</v>
      </c>
      <c r="M514" s="14" t="n">
        <v>4.0164</v>
      </c>
      <c r="N514" s="14" t="n">
        <v>4.5455</v>
      </c>
      <c r="O514" s="14" t="n">
        <v>4.5227</v>
      </c>
      <c r="P514" s="14" t="n">
        <v>4.5018</v>
      </c>
      <c r="Q514" s="14" t="n">
        <v>0.5</v>
      </c>
      <c r="R514" s="14" t="n">
        <v>0.48</v>
      </c>
      <c r="S514" s="14" t="n">
        <v>7.5</v>
      </c>
    </row>
    <row r="515" customFormat="false" ht="15" hidden="false" customHeight="false" outlineLevel="0" collapsed="false">
      <c r="A515" s="13" t="n">
        <v>43055</v>
      </c>
      <c r="C515" s="14" t="n">
        <v>1.25</v>
      </c>
      <c r="D515" s="14" t="n">
        <v>1</v>
      </c>
      <c r="F515" s="14" t="n">
        <v>-0.4</v>
      </c>
      <c r="G515" s="14" t="n">
        <v>0.5</v>
      </c>
      <c r="H515" s="14" t="n">
        <v>0.4622</v>
      </c>
      <c r="I515" s="14" t="n">
        <v>0.460622453410964</v>
      </c>
      <c r="J515" s="14" t="n">
        <v>0.464681764451118</v>
      </c>
      <c r="K515" s="14" t="n">
        <v>0.491465219435346</v>
      </c>
      <c r="L515" s="14" t="n">
        <v>0.566917079366383</v>
      </c>
      <c r="M515" s="14" t="n">
        <v>4.027</v>
      </c>
      <c r="N515" s="14" t="n">
        <v>4.5656</v>
      </c>
      <c r="O515" s="14" t="n">
        <v>4.5437</v>
      </c>
      <c r="P515" s="14" t="n">
        <v>4.5432</v>
      </c>
      <c r="Q515" s="14" t="n">
        <v>0.5</v>
      </c>
      <c r="R515" s="14" t="n">
        <v>0.49</v>
      </c>
      <c r="S515" s="14" t="n">
        <v>7.5</v>
      </c>
    </row>
    <row r="516" customFormat="false" ht="15" hidden="false" customHeight="false" outlineLevel="0" collapsed="false">
      <c r="A516" s="13" t="n">
        <v>43056</v>
      </c>
      <c r="C516" s="14" t="n">
        <v>1.25</v>
      </c>
      <c r="D516" s="14" t="n">
        <v>1</v>
      </c>
      <c r="F516" s="14" t="n">
        <v>-0.4</v>
      </c>
      <c r="G516" s="14" t="n">
        <v>0.5</v>
      </c>
      <c r="H516" s="14" t="n">
        <v>0.4638</v>
      </c>
      <c r="I516" s="14" t="n">
        <v>0.461342996053665</v>
      </c>
      <c r="J516" s="14" t="n">
        <v>0.465000486268641</v>
      </c>
      <c r="K516" s="14" t="n">
        <v>0.488757499345156</v>
      </c>
      <c r="L516" s="14" t="n">
        <v>0.561206361793466</v>
      </c>
      <c r="M516" s="14" t="n">
        <v>4.0307</v>
      </c>
      <c r="N516" s="14" t="n">
        <v>4.6016</v>
      </c>
      <c r="O516" s="14" t="n">
        <v>4.5804</v>
      </c>
      <c r="P516" s="14" t="n">
        <v>4.5704</v>
      </c>
      <c r="Q516" s="14" t="n">
        <v>0.5</v>
      </c>
      <c r="R516" s="14" t="n">
        <v>0.49</v>
      </c>
      <c r="S516" s="14" t="n">
        <v>7.5</v>
      </c>
    </row>
    <row r="517" customFormat="false" ht="15" hidden="false" customHeight="false" outlineLevel="0" collapsed="false">
      <c r="A517" s="13" t="n">
        <v>43059</v>
      </c>
      <c r="C517" s="14" t="n">
        <v>1.25</v>
      </c>
      <c r="D517" s="14" t="n">
        <v>1</v>
      </c>
      <c r="F517" s="14" t="n">
        <v>-0.4</v>
      </c>
      <c r="G517" s="14" t="n">
        <v>0.5</v>
      </c>
      <c r="H517" s="14" t="n">
        <v>0.4623</v>
      </c>
      <c r="I517" s="14" t="n">
        <v>0.461441092177878</v>
      </c>
      <c r="J517" s="14" t="n">
        <v>0.46651723667934</v>
      </c>
      <c r="K517" s="14" t="n">
        <v>0.494280653530701</v>
      </c>
      <c r="L517" s="14" t="n">
        <v>0.571322650111912</v>
      </c>
      <c r="M517" s="14" t="n">
        <v>4.0301</v>
      </c>
      <c r="N517" s="14" t="n">
        <v>4.6222</v>
      </c>
      <c r="O517" s="14" t="n">
        <v>4.606</v>
      </c>
      <c r="P517" s="14" t="n">
        <v>4.575</v>
      </c>
      <c r="Q517" s="14" t="n">
        <v>0.5</v>
      </c>
      <c r="R517" s="14" t="n">
        <v>0.48</v>
      </c>
      <c r="S517" s="14" t="n">
        <v>7.5</v>
      </c>
    </row>
    <row r="518" customFormat="false" ht="15" hidden="false" customHeight="false" outlineLevel="0" collapsed="false">
      <c r="A518" s="13" t="n">
        <v>43060</v>
      </c>
      <c r="C518" s="14" t="n">
        <v>1.25</v>
      </c>
      <c r="D518" s="14" t="n">
        <v>1</v>
      </c>
      <c r="F518" s="14" t="n">
        <v>-0.4</v>
      </c>
      <c r="G518" s="14" t="n">
        <v>0.5</v>
      </c>
      <c r="H518" s="14" t="n">
        <v>0.4617</v>
      </c>
      <c r="I518" s="14" t="n">
        <v>0.461291028320844</v>
      </c>
      <c r="J518" s="14" t="n">
        <v>0.465989018311878</v>
      </c>
      <c r="K518" s="14" t="n">
        <v>0.492147025765435</v>
      </c>
      <c r="L518" s="14" t="n">
        <v>0.568014450207297</v>
      </c>
      <c r="M518" s="14" t="n">
        <v>4.0351</v>
      </c>
      <c r="N518" s="14" t="n">
        <v>4.6243</v>
      </c>
      <c r="O518" s="14" t="n">
        <v>4.6086</v>
      </c>
      <c r="P518" s="14" t="n">
        <v>4.5835</v>
      </c>
      <c r="Q518" s="14" t="n">
        <v>0.5</v>
      </c>
      <c r="R518" s="14" t="n">
        <v>0.48</v>
      </c>
      <c r="S518" s="14" t="n">
        <v>7.5</v>
      </c>
    </row>
    <row r="519" customFormat="false" ht="15" hidden="false" customHeight="false" outlineLevel="0" collapsed="false">
      <c r="A519" s="13" t="n">
        <v>43061</v>
      </c>
      <c r="C519" s="14" t="n">
        <v>1.25</v>
      </c>
      <c r="D519" s="14" t="n">
        <v>1</v>
      </c>
      <c r="F519" s="14" t="n">
        <v>-0.4</v>
      </c>
      <c r="G519" s="14" t="n">
        <v>0.5</v>
      </c>
      <c r="H519" s="14" t="n">
        <v>0.4622</v>
      </c>
      <c r="I519" s="14" t="n">
        <v>0.460671559319883</v>
      </c>
      <c r="J519" s="14" t="n">
        <v>0.466357502542366</v>
      </c>
      <c r="K519" s="14" t="n">
        <v>0.491390055390059</v>
      </c>
      <c r="L519" s="14" t="n">
        <v>0.563676589418934</v>
      </c>
      <c r="M519" s="14" t="n">
        <v>4.0376</v>
      </c>
      <c r="N519" s="14" t="n">
        <v>4.6375</v>
      </c>
      <c r="O519" s="14" t="n">
        <v>4.6159</v>
      </c>
      <c r="P519" s="14" t="n">
        <v>4.5904</v>
      </c>
      <c r="Q519" s="14" t="n">
        <v>0.5</v>
      </c>
      <c r="R519" s="14" t="n">
        <v>0.49</v>
      </c>
      <c r="S519" s="14" t="n">
        <v>7.5</v>
      </c>
    </row>
    <row r="520" customFormat="false" ht="15" hidden="false" customHeight="false" outlineLevel="0" collapsed="false">
      <c r="A520" s="13" t="n">
        <v>43062</v>
      </c>
      <c r="C520" s="14" t="n">
        <v>1.25</v>
      </c>
      <c r="D520" s="14" t="n">
        <v>1</v>
      </c>
      <c r="F520" s="14" t="n">
        <v>-0.4</v>
      </c>
      <c r="G520" s="14" t="n">
        <v>0.5</v>
      </c>
      <c r="H520" s="14" t="n">
        <v>0.4624</v>
      </c>
      <c r="I520" s="14" t="n">
        <v>0.46101996222218</v>
      </c>
      <c r="J520" s="14" t="n">
        <v>0.465572430914125</v>
      </c>
      <c r="K520" s="14" t="n">
        <v>0.49139014369509</v>
      </c>
      <c r="L520" s="14" t="n">
        <v>0.56610831394237</v>
      </c>
      <c r="M520" s="14" t="n">
        <v>4.0388</v>
      </c>
      <c r="N520" s="14" t="n">
        <v>4.6518</v>
      </c>
      <c r="O520" s="14" t="n">
        <v>4.6236</v>
      </c>
      <c r="P520" s="14" t="n">
        <v>4.5971</v>
      </c>
      <c r="Q520" s="14" t="n">
        <v>0.5</v>
      </c>
      <c r="R520" s="14" t="n">
        <v>0.49</v>
      </c>
      <c r="S520" s="14" t="n">
        <v>7.5</v>
      </c>
    </row>
    <row r="521" customFormat="false" ht="15" hidden="false" customHeight="false" outlineLevel="0" collapsed="false">
      <c r="A521" s="13" t="n">
        <v>43063</v>
      </c>
      <c r="C521" s="14" t="n">
        <v>1.25</v>
      </c>
      <c r="D521" s="14" t="n">
        <v>1</v>
      </c>
      <c r="F521" s="14" t="n">
        <v>-0.4</v>
      </c>
      <c r="G521" s="14" t="n">
        <v>0.5</v>
      </c>
      <c r="H521" s="14" t="n">
        <v>0.4635</v>
      </c>
      <c r="I521" s="14" t="n">
        <v>0.460425661312944</v>
      </c>
      <c r="J521" s="14" t="n">
        <v>0.465515121662854</v>
      </c>
      <c r="K521" s="14" t="n">
        <v>0.492410791210786</v>
      </c>
      <c r="L521" s="14" t="n">
        <v>0.568560475965491</v>
      </c>
      <c r="M521" s="14" t="n">
        <v>4.0379</v>
      </c>
      <c r="N521" s="14" t="n">
        <v>4.6722</v>
      </c>
      <c r="O521" s="14" t="n">
        <v>4.6344</v>
      </c>
      <c r="P521" s="14" t="n">
        <v>4.6018</v>
      </c>
      <c r="Q521" s="14" t="n">
        <v>0.5</v>
      </c>
      <c r="R521" s="14" t="n">
        <v>0.49</v>
      </c>
      <c r="S521" s="14" t="n">
        <v>7.5</v>
      </c>
    </row>
    <row r="522" customFormat="false" ht="15" hidden="false" customHeight="false" outlineLevel="0" collapsed="false">
      <c r="A522" s="13" t="n">
        <v>43066</v>
      </c>
      <c r="C522" s="14" t="n">
        <v>1.25</v>
      </c>
      <c r="D522" s="14" t="n">
        <v>1</v>
      </c>
      <c r="F522" s="14" t="n">
        <v>-0.4</v>
      </c>
      <c r="G522" s="14" t="n">
        <v>0.5</v>
      </c>
      <c r="H522" s="14" t="n">
        <v>0.4618</v>
      </c>
      <c r="I522" s="14" t="n">
        <v>0.461141769734246</v>
      </c>
      <c r="J522" s="14" t="n">
        <v>0.467402950410295</v>
      </c>
      <c r="K522" s="14" t="n">
        <v>0.492301627394893</v>
      </c>
      <c r="L522" s="14" t="n">
        <v>0.566502367131936</v>
      </c>
      <c r="M522" s="14" t="n">
        <v>4.0368</v>
      </c>
      <c r="N522" s="14" t="n">
        <v>4.7103</v>
      </c>
      <c r="O522" s="14" t="n">
        <v>4.6495</v>
      </c>
      <c r="P522" s="14" t="n">
        <v>4.6072</v>
      </c>
      <c r="Q522" s="14" t="n">
        <v>0.5</v>
      </c>
      <c r="R522" s="14" t="n">
        <v>0.49</v>
      </c>
      <c r="S522" s="14" t="n">
        <v>7.5</v>
      </c>
    </row>
    <row r="523" customFormat="false" ht="15" hidden="false" customHeight="false" outlineLevel="0" collapsed="false">
      <c r="A523" s="13" t="n">
        <v>43067</v>
      </c>
      <c r="C523" s="14" t="n">
        <v>1.25</v>
      </c>
      <c r="D523" s="14" t="n">
        <v>1</v>
      </c>
      <c r="F523" s="14" t="n">
        <v>-0.4</v>
      </c>
      <c r="G523" s="14" t="n">
        <v>0.5</v>
      </c>
      <c r="H523" s="14" t="n">
        <v>0.4634</v>
      </c>
      <c r="I523" s="14" t="n">
        <v>0.462220425769954</v>
      </c>
      <c r="J523" s="14" t="n">
        <v>0.471253297798971</v>
      </c>
      <c r="K523" s="14" t="n">
        <v>0.504838396136864</v>
      </c>
      <c r="L523" s="14" t="n">
        <v>0.589067257698664</v>
      </c>
      <c r="M523" s="14" t="n">
        <v>4.0367</v>
      </c>
      <c r="N523" s="14" t="n">
        <v>4.728</v>
      </c>
      <c r="O523" s="14" t="n">
        <v>4.666</v>
      </c>
      <c r="P523" s="14" t="n">
        <v>4.6138</v>
      </c>
      <c r="Q523" s="14" t="n">
        <v>0.5</v>
      </c>
      <c r="R523" s="14" t="n">
        <v>0.49</v>
      </c>
      <c r="S523" s="14" t="n">
        <v>7.5</v>
      </c>
    </row>
    <row r="524" customFormat="false" ht="15" hidden="false" customHeight="false" outlineLevel="0" collapsed="false">
      <c r="A524" s="13" t="n">
        <v>43068</v>
      </c>
      <c r="C524" s="14" t="n">
        <v>1.25</v>
      </c>
      <c r="D524" s="14" t="n">
        <v>1</v>
      </c>
      <c r="F524" s="14" t="n">
        <v>-0.4</v>
      </c>
      <c r="G524" s="14" t="n">
        <v>0.5</v>
      </c>
      <c r="H524" s="14" t="n">
        <v>0.4663</v>
      </c>
      <c r="I524" s="14" t="n">
        <v>0.460555305282167</v>
      </c>
      <c r="J524" s="14" t="n">
        <v>0.469325761929006</v>
      </c>
      <c r="K524" s="14" t="n">
        <v>0.503337311593925</v>
      </c>
      <c r="L524" s="14" t="n">
        <v>0.593264899546527</v>
      </c>
      <c r="M524" s="14" t="n">
        <v>4.037</v>
      </c>
      <c r="N524" s="14" t="n">
        <v>4.7438</v>
      </c>
      <c r="O524" s="14" t="n">
        <v>4.6796</v>
      </c>
      <c r="P524" s="14" t="n">
        <v>4.6194</v>
      </c>
      <c r="Q524" s="14" t="n">
        <v>0.5</v>
      </c>
      <c r="R524" s="14" t="n">
        <v>0.5</v>
      </c>
      <c r="S524" s="14" t="n">
        <v>7.5</v>
      </c>
    </row>
    <row r="525" customFormat="false" ht="15" hidden="false" customHeight="false" outlineLevel="0" collapsed="false">
      <c r="A525" s="13" t="n">
        <v>43069</v>
      </c>
      <c r="C525" s="14" t="n">
        <v>1.25</v>
      </c>
      <c r="D525" s="14" t="n">
        <v>1</v>
      </c>
      <c r="F525" s="14" t="n">
        <v>-0.4</v>
      </c>
      <c r="G525" s="14" t="n">
        <v>0.5</v>
      </c>
      <c r="H525" s="14" t="n">
        <v>0.4623</v>
      </c>
      <c r="I525" s="14" t="n">
        <v>0.462166016989808</v>
      </c>
      <c r="J525" s="14" t="n">
        <v>0.470453255546934</v>
      </c>
      <c r="K525" s="14" t="n">
        <v>0.503231597456585</v>
      </c>
      <c r="L525" s="14" t="n">
        <v>0.59274973546669</v>
      </c>
      <c r="M525" s="14" t="n">
        <v>4.072</v>
      </c>
      <c r="N525" s="14" t="n">
        <v>4.7594</v>
      </c>
      <c r="O525" s="14" t="n">
        <v>4.703</v>
      </c>
      <c r="P525" s="14" t="n">
        <v>4.629</v>
      </c>
      <c r="Q525" s="14" t="n">
        <v>0.5</v>
      </c>
      <c r="R525" s="14" t="n">
        <v>0.49</v>
      </c>
      <c r="S525" s="14" t="n">
        <v>7.5</v>
      </c>
    </row>
    <row r="526" customFormat="false" ht="15" hidden="false" customHeight="false" outlineLevel="0" collapsed="false">
      <c r="A526" s="13" t="n">
        <v>43070</v>
      </c>
      <c r="C526" s="14" t="n">
        <v>1.25</v>
      </c>
      <c r="D526" s="14" t="n">
        <v>1</v>
      </c>
      <c r="F526" s="14" t="n">
        <v>-0.4</v>
      </c>
      <c r="G526" s="14" t="n">
        <v>0.5</v>
      </c>
      <c r="H526" s="14" t="n">
        <v>0.4661</v>
      </c>
      <c r="I526" s="14" t="n">
        <v>0.460936169104578</v>
      </c>
      <c r="J526" s="14" t="n">
        <v>0.472330458614544</v>
      </c>
      <c r="K526" s="14" t="n">
        <v>0.504253129287533</v>
      </c>
      <c r="L526" s="14" t="n">
        <v>0.584540395140517</v>
      </c>
      <c r="M526" s="14" t="n">
        <v>4.1632</v>
      </c>
      <c r="N526" s="14" t="n">
        <v>4.7639</v>
      </c>
      <c r="O526" s="14" t="n">
        <v>4.7093</v>
      </c>
      <c r="P526" s="14" t="n">
        <v>4.6329</v>
      </c>
      <c r="Q526" s="14" t="n">
        <v>0.5</v>
      </c>
      <c r="R526" s="14" t="n">
        <v>0.5</v>
      </c>
      <c r="S526" s="14" t="n">
        <v>7.5</v>
      </c>
    </row>
    <row r="527" customFormat="false" ht="15" hidden="false" customHeight="false" outlineLevel="0" collapsed="false">
      <c r="A527" s="13" t="n">
        <v>43073</v>
      </c>
      <c r="C527" s="14" t="n">
        <v>1.25</v>
      </c>
      <c r="D527" s="14" t="n">
        <v>1</v>
      </c>
      <c r="F527" s="14" t="n">
        <v>-0.4</v>
      </c>
      <c r="G527" s="14" t="n">
        <v>0.5</v>
      </c>
      <c r="H527" s="14" t="n">
        <v>0.4667</v>
      </c>
      <c r="I527" s="14" t="n">
        <v>0.461032139773823</v>
      </c>
      <c r="J527" s="14" t="n">
        <v>0.473229869954148</v>
      </c>
      <c r="K527" s="14" t="n">
        <v>0.506391506003843</v>
      </c>
      <c r="L527" s="14" t="n">
        <v>0.588641377175663</v>
      </c>
      <c r="M527" s="14" t="n">
        <v>4.2384</v>
      </c>
      <c r="N527" s="14" t="n">
        <v>4.7804</v>
      </c>
      <c r="O527" s="14" t="n">
        <v>4.722</v>
      </c>
      <c r="P527" s="14" t="n">
        <v>4.6383</v>
      </c>
      <c r="Q527" s="14" t="n">
        <v>0.5</v>
      </c>
      <c r="R527" s="14" t="n">
        <v>0.5</v>
      </c>
      <c r="S527" s="14" t="n">
        <v>7.5</v>
      </c>
    </row>
    <row r="528" customFormat="false" ht="15" hidden="false" customHeight="false" outlineLevel="0" collapsed="false">
      <c r="A528" s="13" t="n">
        <v>43074</v>
      </c>
      <c r="C528" s="14" t="n">
        <v>1.25</v>
      </c>
      <c r="D528" s="14" t="n">
        <v>1</v>
      </c>
      <c r="F528" s="14" t="n">
        <v>-0.4</v>
      </c>
      <c r="G528" s="14" t="n">
        <v>0.5</v>
      </c>
      <c r="H528" s="14" t="n">
        <v>0.4655</v>
      </c>
      <c r="I528" s="14" t="n">
        <v>0.461439834774729</v>
      </c>
      <c r="J528" s="14" t="n">
        <v>0.473628173313438</v>
      </c>
      <c r="K528" s="14" t="n">
        <v>0.506668452943576</v>
      </c>
      <c r="L528" s="14" t="n">
        <v>0.585324876006019</v>
      </c>
      <c r="M528" s="14" t="n">
        <v>4.3039</v>
      </c>
      <c r="N528" s="14" t="n">
        <v>4.7901</v>
      </c>
      <c r="O528" s="14" t="n">
        <v>4.7312</v>
      </c>
      <c r="P528" s="14" t="n">
        <v>4.6459</v>
      </c>
      <c r="Q528" s="14" t="n">
        <v>0.5</v>
      </c>
      <c r="R528" s="14" t="n">
        <v>0.49</v>
      </c>
      <c r="S528" s="14" t="n">
        <v>7.5</v>
      </c>
    </row>
    <row r="529" customFormat="false" ht="15" hidden="false" customHeight="false" outlineLevel="0" collapsed="false">
      <c r="A529" s="13" t="n">
        <v>43075</v>
      </c>
      <c r="C529" s="14" t="n">
        <v>1.25</v>
      </c>
      <c r="D529" s="14" t="n">
        <v>1</v>
      </c>
      <c r="F529" s="14" t="n">
        <v>-0.4</v>
      </c>
      <c r="G529" s="14" t="n">
        <v>0.5</v>
      </c>
      <c r="H529" s="14" t="n">
        <v>0.4594</v>
      </c>
      <c r="I529" s="14" t="n">
        <v>0.461921332949505</v>
      </c>
      <c r="J529" s="14" t="n">
        <v>0.47343052482708</v>
      </c>
      <c r="K529" s="14" t="n">
        <v>0.504598334340687</v>
      </c>
      <c r="L529" s="14" t="n">
        <v>0.5816395462624</v>
      </c>
      <c r="M529" s="14" t="n">
        <v>4.3394</v>
      </c>
      <c r="N529" s="14" t="n">
        <v>4.783</v>
      </c>
      <c r="O529" s="14" t="n">
        <v>4.7322</v>
      </c>
      <c r="P529" s="14" t="n">
        <v>4.6486</v>
      </c>
      <c r="Q529" s="14" t="n">
        <v>0.5</v>
      </c>
      <c r="R529" s="14" t="n">
        <v>0.49</v>
      </c>
      <c r="S529" s="14" t="n">
        <v>7.5</v>
      </c>
    </row>
    <row r="530" customFormat="false" ht="15" hidden="false" customHeight="false" outlineLevel="0" collapsed="false">
      <c r="A530" s="13" t="n">
        <v>43076</v>
      </c>
      <c r="C530" s="14" t="n">
        <v>1.25</v>
      </c>
      <c r="D530" s="14" t="n">
        <v>1</v>
      </c>
      <c r="F530" s="14" t="n">
        <v>-0.4</v>
      </c>
      <c r="G530" s="14" t="n">
        <v>0.5</v>
      </c>
      <c r="H530" s="14" t="n">
        <v>0.4664</v>
      </c>
      <c r="I530" s="14" t="n">
        <v>0.459838106499025</v>
      </c>
      <c r="J530" s="14" t="n">
        <v>0.472511004677526</v>
      </c>
      <c r="K530" s="14" t="n">
        <v>0.505746554433365</v>
      </c>
      <c r="L530" s="14" t="n">
        <v>0.584918262940237</v>
      </c>
      <c r="M530" s="14" t="n">
        <v>4.395</v>
      </c>
      <c r="N530" s="14" t="n">
        <v>4.7873</v>
      </c>
      <c r="O530" s="14" t="n">
        <v>4.7343</v>
      </c>
      <c r="P530" s="14" t="n">
        <v>4.6519</v>
      </c>
      <c r="Q530" s="14" t="n">
        <v>0.5</v>
      </c>
      <c r="R530" s="14" t="n">
        <v>0.51</v>
      </c>
      <c r="S530" s="14" t="n">
        <v>7</v>
      </c>
    </row>
    <row r="531" customFormat="false" ht="15" hidden="false" customHeight="false" outlineLevel="0" collapsed="false">
      <c r="A531" s="13" t="n">
        <v>43077</v>
      </c>
      <c r="C531" s="14" t="n">
        <v>1.25</v>
      </c>
      <c r="D531" s="14" t="n">
        <v>1</v>
      </c>
      <c r="F531" s="14" t="n">
        <v>-0.4</v>
      </c>
      <c r="G531" s="14" t="n">
        <v>0.5</v>
      </c>
      <c r="H531" s="14" t="n">
        <v>0.4629</v>
      </c>
      <c r="I531" s="14" t="n">
        <v>0.460943735388209</v>
      </c>
      <c r="J531" s="14" t="n">
        <v>0.472696652196274</v>
      </c>
      <c r="K531" s="14" t="n">
        <v>0.502314556704378</v>
      </c>
      <c r="L531" s="14" t="n">
        <v>0.580122897463434</v>
      </c>
      <c r="M531" s="14" t="n">
        <v>4.4335</v>
      </c>
      <c r="N531" s="14" t="n">
        <v>4.7918</v>
      </c>
      <c r="O531" s="14" t="n">
        <v>4.7485</v>
      </c>
      <c r="P531" s="14" t="n">
        <v>4.6562</v>
      </c>
      <c r="Q531" s="14" t="n">
        <v>0.5</v>
      </c>
      <c r="R531" s="14" t="n">
        <v>0.5</v>
      </c>
      <c r="S531" s="14" t="n">
        <v>7</v>
      </c>
    </row>
    <row r="532" customFormat="false" ht="15" hidden="false" customHeight="false" outlineLevel="0" collapsed="false">
      <c r="A532" s="13" t="n">
        <v>43080</v>
      </c>
      <c r="C532" s="14" t="n">
        <v>1.25</v>
      </c>
      <c r="D532" s="14" t="n">
        <v>1</v>
      </c>
      <c r="F532" s="14" t="n">
        <v>-0.4</v>
      </c>
      <c r="G532" s="14" t="n">
        <v>0.5</v>
      </c>
      <c r="H532" s="14" t="n">
        <v>0.4623</v>
      </c>
      <c r="I532" s="14" t="n">
        <v>0.45807377543264</v>
      </c>
      <c r="J532" s="14" t="n">
        <v>0.473386310638789</v>
      </c>
      <c r="K532" s="14" t="n">
        <v>0.501322525334227</v>
      </c>
      <c r="L532" s="14" t="n">
        <v>0.571386533509121</v>
      </c>
      <c r="M532" s="14" t="n">
        <v>4.4574</v>
      </c>
      <c r="N532" s="14" t="n">
        <v>4.7992</v>
      </c>
      <c r="O532" s="14" t="n">
        <v>4.7629</v>
      </c>
      <c r="P532" s="14" t="n">
        <v>4.6607</v>
      </c>
      <c r="Q532" s="14" t="n">
        <v>0.5</v>
      </c>
      <c r="R532" s="14" t="n">
        <v>0.49</v>
      </c>
      <c r="S532" s="14" t="n">
        <v>7</v>
      </c>
    </row>
    <row r="533" customFormat="false" ht="15" hidden="false" customHeight="false" outlineLevel="0" collapsed="false">
      <c r="A533" s="13" t="n">
        <v>43081</v>
      </c>
      <c r="C533" s="14" t="n">
        <v>1.25</v>
      </c>
      <c r="D533" s="14" t="n">
        <v>1</v>
      </c>
      <c r="F533" s="14" t="n">
        <v>-0.4</v>
      </c>
      <c r="G533" s="14" t="n">
        <v>0.5</v>
      </c>
      <c r="H533" s="14" t="n">
        <v>0.4612</v>
      </c>
      <c r="I533" s="14" t="n">
        <v>0.458508574221514</v>
      </c>
      <c r="J533" s="14" t="n">
        <v>0.471158803439264</v>
      </c>
      <c r="K533" s="14" t="n">
        <v>0.498138553546081</v>
      </c>
      <c r="L533" s="14" t="n">
        <v>0.57036263306053</v>
      </c>
      <c r="M533" s="14" t="n">
        <v>4.4898</v>
      </c>
      <c r="N533" s="14" t="n">
        <v>4.799</v>
      </c>
      <c r="O533" s="14" t="n">
        <v>4.7703</v>
      </c>
      <c r="P533" s="14" t="n">
        <v>4.6651</v>
      </c>
      <c r="Q533" s="14" t="n">
        <v>0.5</v>
      </c>
      <c r="R533" s="14" t="n">
        <v>0.49</v>
      </c>
      <c r="S533" s="14" t="n">
        <v>7</v>
      </c>
    </row>
    <row r="534" customFormat="false" ht="15" hidden="false" customHeight="false" outlineLevel="0" collapsed="false">
      <c r="A534" s="13" t="n">
        <v>43082</v>
      </c>
      <c r="C534" s="14" t="n">
        <v>1.25</v>
      </c>
      <c r="D534" s="14" t="n">
        <v>1</v>
      </c>
      <c r="F534" s="14" t="n">
        <v>-0.4</v>
      </c>
      <c r="G534" s="14" t="n">
        <v>0.5</v>
      </c>
      <c r="H534" s="14" t="n">
        <v>0.4627</v>
      </c>
      <c r="I534" s="14" t="n">
        <v>0.461920936940727</v>
      </c>
      <c r="J534" s="14" t="n">
        <v>0.473634805655435</v>
      </c>
      <c r="K534" s="14" t="n">
        <v>0.501317890673995</v>
      </c>
      <c r="L534" s="14" t="n">
        <v>0.574772789113127</v>
      </c>
      <c r="M534" s="14" t="n">
        <v>4.524</v>
      </c>
      <c r="N534" s="14" t="n">
        <v>4.8039</v>
      </c>
      <c r="O534" s="14" t="n">
        <v>4.7821</v>
      </c>
      <c r="P534" s="14" t="n">
        <v>4.6716</v>
      </c>
      <c r="Q534" s="14" t="n">
        <v>0.5</v>
      </c>
      <c r="R534" s="14" t="n">
        <v>0.49</v>
      </c>
      <c r="S534" s="14" t="n">
        <v>7</v>
      </c>
    </row>
    <row r="535" customFormat="false" ht="15" hidden="false" customHeight="false" outlineLevel="0" collapsed="false">
      <c r="A535" s="13" t="n">
        <v>43083</v>
      </c>
      <c r="C535" s="14" t="n">
        <v>1.5</v>
      </c>
      <c r="D535" s="14" t="n">
        <v>1.25</v>
      </c>
      <c r="F535" s="14" t="n">
        <v>-0.4</v>
      </c>
      <c r="G535" s="14" t="n">
        <v>0.5</v>
      </c>
      <c r="H535" s="14" t="n">
        <v>0.4624</v>
      </c>
      <c r="I535" s="14" t="n">
        <v>0.45764043722859</v>
      </c>
      <c r="J535" s="14" t="n">
        <v>0.464420420667741</v>
      </c>
      <c r="K535" s="14" t="n">
        <v>0.489174278401779</v>
      </c>
      <c r="L535" s="14" t="n">
        <v>0.559537216569222</v>
      </c>
      <c r="M535" s="14" t="n">
        <v>4.5534</v>
      </c>
      <c r="N535" s="14" t="n">
        <v>4.8144</v>
      </c>
      <c r="O535" s="14" t="n">
        <v>4.7963</v>
      </c>
      <c r="P535" s="14" t="n">
        <v>4.6862</v>
      </c>
      <c r="Q535" s="14" t="n">
        <v>0.5</v>
      </c>
      <c r="R535" s="14" t="n">
        <v>0.48</v>
      </c>
      <c r="S535" s="14" t="n">
        <v>7</v>
      </c>
    </row>
    <row r="536" customFormat="false" ht="15" hidden="false" customHeight="false" outlineLevel="0" collapsed="false">
      <c r="A536" s="13" t="n">
        <v>43084</v>
      </c>
      <c r="C536" s="14" t="n">
        <v>1.5</v>
      </c>
      <c r="D536" s="14" t="n">
        <v>1.25</v>
      </c>
      <c r="F536" s="14" t="n">
        <v>-0.4</v>
      </c>
      <c r="G536" s="14" t="n">
        <v>0.5</v>
      </c>
      <c r="H536" s="14" t="n">
        <v>0.4637</v>
      </c>
      <c r="I536" s="14" t="n">
        <v>0.457876440795577</v>
      </c>
      <c r="J536" s="14" t="n">
        <v>0.465744141726496</v>
      </c>
      <c r="K536" s="14" t="n">
        <v>0.489862018892129</v>
      </c>
      <c r="L536" s="14" t="n">
        <v>0.557303312121094</v>
      </c>
      <c r="M536" s="14" t="n">
        <v>4.5814</v>
      </c>
      <c r="N536" s="14" t="n">
        <v>4.8175</v>
      </c>
      <c r="O536" s="14" t="n">
        <v>4.8067</v>
      </c>
      <c r="P536" s="14" t="n">
        <v>4.6997</v>
      </c>
      <c r="Q536" s="14" t="n">
        <v>0.5</v>
      </c>
      <c r="R536" s="14" t="n">
        <v>0.49</v>
      </c>
      <c r="S536" s="14" t="n">
        <v>7</v>
      </c>
    </row>
    <row r="537" customFormat="false" ht="15" hidden="false" customHeight="false" outlineLevel="0" collapsed="false">
      <c r="A537" s="13" t="n">
        <v>43087</v>
      </c>
      <c r="C537" s="14" t="n">
        <v>1.5</v>
      </c>
      <c r="D537" s="14" t="n">
        <v>1.25</v>
      </c>
      <c r="F537" s="14" t="n">
        <v>-0.4</v>
      </c>
      <c r="G537" s="14" t="n">
        <v>0.5</v>
      </c>
      <c r="H537" s="14" t="n">
        <v>0.4659</v>
      </c>
      <c r="I537" s="14" t="n">
        <v>0.456429217061649</v>
      </c>
      <c r="J537" s="14" t="n">
        <v>0.465149940302635</v>
      </c>
      <c r="K537" s="14" t="n">
        <v>0.48831542954759</v>
      </c>
      <c r="L537" s="14" t="n">
        <v>0.553465144666491</v>
      </c>
      <c r="M537" s="14" t="n">
        <v>4.6382</v>
      </c>
      <c r="N537" s="14" t="n">
        <v>4.8348</v>
      </c>
      <c r="O537" s="14" t="n">
        <v>4.8097</v>
      </c>
      <c r="P537" s="14" t="n">
        <v>4.697</v>
      </c>
      <c r="Q537" s="14" t="n">
        <v>0.5</v>
      </c>
      <c r="R537" s="14" t="n">
        <v>0.49</v>
      </c>
      <c r="S537" s="14" t="n">
        <v>7</v>
      </c>
    </row>
    <row r="538" customFormat="false" ht="15" hidden="false" customHeight="false" outlineLevel="0" collapsed="false">
      <c r="A538" s="13" t="n">
        <v>43088</v>
      </c>
      <c r="C538" s="14" t="n">
        <v>1.5</v>
      </c>
      <c r="D538" s="14" t="n">
        <v>1.25</v>
      </c>
      <c r="F538" s="14" t="n">
        <v>-0.4</v>
      </c>
      <c r="G538" s="14" t="n">
        <v>0.5</v>
      </c>
      <c r="H538" s="14" t="n">
        <v>0.469</v>
      </c>
      <c r="I538" s="14" t="n">
        <v>0.459717722716485</v>
      </c>
      <c r="J538" s="14" t="n">
        <v>0.467849113558819</v>
      </c>
      <c r="K538" s="14" t="n">
        <v>0.491394554926197</v>
      </c>
      <c r="L538" s="14" t="n">
        <v>0.559217706226384</v>
      </c>
      <c r="M538" s="14" t="n">
        <v>4.6869</v>
      </c>
      <c r="N538" s="14" t="n">
        <v>4.8385</v>
      </c>
      <c r="O538" s="14" t="n">
        <v>4.812</v>
      </c>
      <c r="P538" s="14" t="n">
        <v>4.6987</v>
      </c>
      <c r="Q538" s="14" t="n">
        <v>0.5</v>
      </c>
      <c r="R538" s="14" t="n">
        <v>0.49</v>
      </c>
      <c r="S538" s="14" t="n">
        <v>7</v>
      </c>
    </row>
    <row r="539" customFormat="false" ht="15" hidden="false" customHeight="false" outlineLevel="0" collapsed="false">
      <c r="A539" s="13" t="n">
        <v>43089</v>
      </c>
      <c r="C539" s="14" t="n">
        <v>1.5</v>
      </c>
      <c r="D539" s="14" t="n">
        <v>1.25</v>
      </c>
      <c r="F539" s="14" t="n">
        <v>-0.4</v>
      </c>
      <c r="G539" s="14" t="n">
        <v>0.5</v>
      </c>
      <c r="H539" s="14" t="n">
        <v>0.4684</v>
      </c>
      <c r="I539" s="14" t="n">
        <v>0.456437400148192</v>
      </c>
      <c r="J539" s="14" t="n">
        <v>0.468825369017704</v>
      </c>
      <c r="K539" s="14" t="n">
        <v>0.49862217841836</v>
      </c>
      <c r="L539" s="14" t="n">
        <v>0.570530947382558</v>
      </c>
      <c r="M539" s="14" t="n">
        <v>4.7377</v>
      </c>
      <c r="N539" s="14" t="n">
        <v>4.8559</v>
      </c>
      <c r="O539" s="14" t="n">
        <v>4.8322</v>
      </c>
      <c r="P539" s="14" t="n">
        <v>4.7219</v>
      </c>
      <c r="Q539" s="14" t="n">
        <v>0.5</v>
      </c>
      <c r="R539" s="14" t="n">
        <v>0.49</v>
      </c>
      <c r="S539" s="14" t="n">
        <v>7</v>
      </c>
    </row>
    <row r="540" customFormat="false" ht="15" hidden="false" customHeight="false" outlineLevel="0" collapsed="false">
      <c r="A540" s="13" t="n">
        <v>43090</v>
      </c>
      <c r="C540" s="14" t="n">
        <v>1.5</v>
      </c>
      <c r="D540" s="14" t="n">
        <v>1.25</v>
      </c>
      <c r="F540" s="14" t="n">
        <v>-0.4</v>
      </c>
      <c r="G540" s="14" t="n">
        <v>0.5</v>
      </c>
      <c r="H540" s="14" t="n">
        <v>0.4643</v>
      </c>
      <c r="I540" s="14" t="n">
        <v>0.456461441991799</v>
      </c>
      <c r="J540" s="14" t="n">
        <v>0.468691983390065</v>
      </c>
      <c r="K540" s="14" t="n">
        <v>0.499342264455058</v>
      </c>
      <c r="L540" s="14" t="n">
        <v>0.575225590074353</v>
      </c>
      <c r="M540" s="14" t="n">
        <v>4.7718</v>
      </c>
      <c r="N540" s="14" t="n">
        <v>4.8676</v>
      </c>
      <c r="O540" s="14" t="n">
        <v>4.8473</v>
      </c>
      <c r="P540" s="14" t="n">
        <v>4.7382</v>
      </c>
      <c r="Q540" s="14" t="n">
        <v>0.5</v>
      </c>
      <c r="R540" s="14" t="n">
        <v>0.48</v>
      </c>
      <c r="S540" s="14" t="n">
        <v>7</v>
      </c>
    </row>
    <row r="541" customFormat="false" ht="15" hidden="false" customHeight="false" outlineLevel="0" collapsed="false">
      <c r="A541" s="13" t="n">
        <v>43091</v>
      </c>
      <c r="C541" s="14" t="n">
        <v>1.5</v>
      </c>
      <c r="D541" s="14" t="n">
        <v>1.25</v>
      </c>
      <c r="F541" s="14" t="n">
        <v>-0.4</v>
      </c>
      <c r="G541" s="14" t="n">
        <v>0.5</v>
      </c>
      <c r="H541" s="14" t="n">
        <v>0.4647</v>
      </c>
      <c r="I541" s="14" t="n">
        <v>0.46066925884024</v>
      </c>
      <c r="J541" s="14" t="n">
        <v>0.468538459635199</v>
      </c>
      <c r="K541" s="14" t="n">
        <v>0.496574536965772</v>
      </c>
      <c r="L541" s="14" t="n">
        <v>0.577821900517306</v>
      </c>
      <c r="M541" s="14" t="n">
        <v>4.8402</v>
      </c>
      <c r="N541" s="14" t="n">
        <v>4.8908</v>
      </c>
      <c r="O541" s="14" t="n">
        <v>4.8698</v>
      </c>
      <c r="P541" s="14" t="n">
        <v>4.7489</v>
      </c>
      <c r="Q541" s="14" t="n">
        <v>0.5</v>
      </c>
      <c r="R541" s="14" t="n">
        <v>0.48</v>
      </c>
      <c r="S541" s="14" t="n">
        <v>7</v>
      </c>
    </row>
    <row r="542" customFormat="false" ht="15" hidden="false" customHeight="false" outlineLevel="0" collapsed="false">
      <c r="A542" s="13" t="n">
        <v>43094</v>
      </c>
      <c r="C542" s="14" t="n">
        <v>1.5</v>
      </c>
      <c r="D542" s="14" t="n">
        <v>1.25</v>
      </c>
      <c r="F542" s="14" t="n">
        <v>-0.4</v>
      </c>
      <c r="M542" s="14" t="n">
        <v>4.9162</v>
      </c>
      <c r="N542" s="14" t="n">
        <v>4.9092</v>
      </c>
      <c r="O542" s="14" t="n">
        <v>4.8885</v>
      </c>
      <c r="P542" s="14" t="n">
        <v>4.7605</v>
      </c>
      <c r="S542" s="14" t="n">
        <v>7</v>
      </c>
    </row>
    <row r="543" customFormat="false" ht="15" hidden="false" customHeight="false" outlineLevel="0" collapsed="false">
      <c r="A543" s="13" t="n">
        <v>43095</v>
      </c>
      <c r="C543" s="14" t="n">
        <v>1.5</v>
      </c>
      <c r="D543" s="14" t="n">
        <v>1.25</v>
      </c>
      <c r="F543" s="14" t="n">
        <v>-0.4</v>
      </c>
      <c r="M543" s="14" t="n">
        <v>4.9277</v>
      </c>
      <c r="N543" s="14" t="n">
        <v>4.909</v>
      </c>
      <c r="O543" s="14" t="n">
        <v>4.8839</v>
      </c>
      <c r="P543" s="14" t="n">
        <v>4.7631</v>
      </c>
      <c r="S543" s="14" t="n">
        <v>7</v>
      </c>
    </row>
    <row r="544" customFormat="false" ht="15" hidden="false" customHeight="false" outlineLevel="0" collapsed="false">
      <c r="A544" s="13" t="n">
        <v>43096</v>
      </c>
      <c r="C544" s="14" t="n">
        <v>1.5</v>
      </c>
      <c r="D544" s="14" t="n">
        <v>1.25</v>
      </c>
      <c r="F544" s="14" t="n">
        <v>-0.4</v>
      </c>
      <c r="G544" s="14" t="n">
        <v>0.5</v>
      </c>
      <c r="H544" s="14" t="n">
        <v>0.466</v>
      </c>
      <c r="I544" s="14" t="n">
        <v>0.462073724791176</v>
      </c>
      <c r="J544" s="14" t="n">
        <v>0.462606354386329</v>
      </c>
      <c r="K544" s="14" t="n">
        <v>0.493755202265878</v>
      </c>
      <c r="L544" s="14" t="n">
        <v>0.568325297548588</v>
      </c>
      <c r="M544" s="14" t="n">
        <v>4.93</v>
      </c>
      <c r="N544" s="14" t="n">
        <v>4.9129</v>
      </c>
      <c r="O544" s="14" t="n">
        <v>4.8804</v>
      </c>
      <c r="P544" s="14" t="n">
        <v>4.7594</v>
      </c>
      <c r="Q544" s="14" t="n">
        <v>0.5</v>
      </c>
      <c r="R544" s="14" t="n">
        <v>0.48</v>
      </c>
      <c r="S544" s="14" t="n">
        <v>7</v>
      </c>
    </row>
    <row r="545" customFormat="false" ht="15" hidden="false" customHeight="false" outlineLevel="0" collapsed="false">
      <c r="A545" s="13" t="n">
        <v>43097</v>
      </c>
      <c r="C545" s="14" t="n">
        <v>1.5</v>
      </c>
      <c r="D545" s="14" t="n">
        <v>1.25</v>
      </c>
      <c r="F545" s="14" t="n">
        <v>-0.4</v>
      </c>
      <c r="G545" s="14" t="n">
        <v>0.5</v>
      </c>
      <c r="H545" s="14" t="n">
        <v>0.4665</v>
      </c>
      <c r="I545" s="14" t="n">
        <v>0.462220012524548</v>
      </c>
      <c r="J545" s="14" t="n">
        <v>0.464281132970985</v>
      </c>
      <c r="K545" s="14" t="n">
        <v>0.49624770602102</v>
      </c>
      <c r="L545" s="14" t="n">
        <v>0.570172127747771</v>
      </c>
      <c r="M545" s="14" t="n">
        <v>4.932</v>
      </c>
      <c r="N545" s="14" t="n">
        <v>4.9123</v>
      </c>
      <c r="O545" s="14" t="n">
        <v>4.8821</v>
      </c>
      <c r="P545" s="14" t="n">
        <v>4.761</v>
      </c>
      <c r="Q545" s="14" t="n">
        <v>0.5</v>
      </c>
      <c r="R545" s="14" t="n">
        <v>0.49</v>
      </c>
      <c r="S545" s="14" t="n">
        <v>7</v>
      </c>
    </row>
    <row r="546" customFormat="false" ht="15" hidden="false" customHeight="false" outlineLevel="0" collapsed="false">
      <c r="A546" s="13" t="n">
        <v>43098</v>
      </c>
      <c r="C546" s="14" t="n">
        <v>1.5</v>
      </c>
      <c r="D546" s="14" t="n">
        <v>1.25</v>
      </c>
      <c r="F546" s="14" t="n">
        <v>-0.4</v>
      </c>
      <c r="G546" s="14" t="n">
        <v>0.5</v>
      </c>
      <c r="H546" s="14" t="n">
        <v>0.4123</v>
      </c>
      <c r="I546" s="14" t="n">
        <v>0.456671981462422</v>
      </c>
      <c r="J546" s="14" t="n">
        <v>0.471168720796957</v>
      </c>
      <c r="K546" s="14" t="n">
        <v>0.495616428825026</v>
      </c>
      <c r="L546" s="14" t="n">
        <v>0.564127109961628</v>
      </c>
      <c r="M546" s="14" t="n">
        <v>4.9352</v>
      </c>
      <c r="N546" s="14" t="n">
        <v>4.9133</v>
      </c>
      <c r="O546" s="14" t="n">
        <v>4.8823</v>
      </c>
      <c r="P546" s="14" t="n">
        <v>4.7581</v>
      </c>
      <c r="Q546" s="14" t="n">
        <v>0.5</v>
      </c>
      <c r="R546" s="14" t="n">
        <v>0.48</v>
      </c>
      <c r="S546" s="14" t="n">
        <v>7</v>
      </c>
    </row>
    <row r="547" customFormat="false" ht="15" hidden="false" customHeight="false" outlineLevel="0" collapsed="false">
      <c r="A547" s="13" t="n">
        <v>43101</v>
      </c>
      <c r="C547" s="14" t="n">
        <v>1.5</v>
      </c>
      <c r="D547" s="14" t="n">
        <v>1.25</v>
      </c>
      <c r="F547" s="14" t="n">
        <v>-0.4</v>
      </c>
      <c r="S547" s="14" t="n">
        <v>7</v>
      </c>
    </row>
    <row r="548" customFormat="false" ht="15" hidden="false" customHeight="false" outlineLevel="0" collapsed="false">
      <c r="A548" s="13" t="n">
        <v>43102</v>
      </c>
      <c r="C548" s="14" t="n">
        <v>1.5</v>
      </c>
      <c r="D548" s="14" t="n">
        <v>1.25</v>
      </c>
      <c r="F548" s="14" t="n">
        <v>-0.4</v>
      </c>
      <c r="G548" s="14" t="n">
        <v>0.5</v>
      </c>
      <c r="H548" s="14" t="n">
        <v>0.4622</v>
      </c>
      <c r="I548" s="14" t="n">
        <v>0.4666200773991</v>
      </c>
      <c r="J548" s="14" t="n">
        <v>0.47366694465716</v>
      </c>
      <c r="K548" s="14" t="n">
        <v>0.499699985278689</v>
      </c>
      <c r="L548" s="14" t="n">
        <v>0.571280413002529</v>
      </c>
      <c r="M548" s="14" t="n">
        <v>4.743</v>
      </c>
      <c r="N548" s="14" t="n">
        <v>4.804</v>
      </c>
      <c r="O548" s="14" t="n">
        <v>4.831</v>
      </c>
      <c r="P548" s="14" t="n">
        <v>4.747</v>
      </c>
      <c r="Q548" s="14" t="n">
        <v>0.5</v>
      </c>
      <c r="R548" s="14" t="n">
        <v>0.48</v>
      </c>
      <c r="S548" s="14" t="n">
        <v>7</v>
      </c>
    </row>
    <row r="549" customFormat="false" ht="15" hidden="false" customHeight="false" outlineLevel="0" collapsed="false">
      <c r="A549" s="13" t="n">
        <v>43103</v>
      </c>
      <c r="C549" s="14" t="n">
        <v>1.5</v>
      </c>
      <c r="D549" s="14" t="n">
        <v>1.25</v>
      </c>
      <c r="F549" s="14" t="n">
        <v>-0.4</v>
      </c>
      <c r="G549" s="14" t="n">
        <v>0.5</v>
      </c>
      <c r="H549" s="14" t="n">
        <v>0.4642</v>
      </c>
      <c r="I549" s="14" t="n">
        <v>0.4642685809967</v>
      </c>
      <c r="J549" s="14" t="n">
        <v>0.47191309290759</v>
      </c>
      <c r="K549" s="14" t="n">
        <v>0.496951919338536</v>
      </c>
      <c r="L549" s="14" t="n">
        <v>0.561065857331093</v>
      </c>
      <c r="M549" s="14" t="n">
        <v>4.622</v>
      </c>
      <c r="N549" s="14" t="n">
        <v>4.73</v>
      </c>
      <c r="O549" s="14" t="n">
        <v>4.783</v>
      </c>
      <c r="P549" s="14" t="n">
        <v>4.736</v>
      </c>
      <c r="Q549" s="14" t="n">
        <v>0.5</v>
      </c>
      <c r="R549" s="14" t="n">
        <v>0.51</v>
      </c>
      <c r="S549" s="14" t="n">
        <v>7</v>
      </c>
    </row>
    <row r="550" customFormat="false" ht="15" hidden="false" customHeight="false" outlineLevel="0" collapsed="false">
      <c r="A550" s="13" t="n">
        <v>43104</v>
      </c>
      <c r="C550" s="14" t="n">
        <v>1.5</v>
      </c>
      <c r="D550" s="14" t="n">
        <v>1.25</v>
      </c>
      <c r="F550" s="14" t="n">
        <v>-0.4</v>
      </c>
      <c r="G550" s="14" t="n">
        <v>0.5</v>
      </c>
      <c r="H550" s="14" t="n">
        <v>0.4618</v>
      </c>
      <c r="I550" s="14" t="n">
        <v>0.457829760295796</v>
      </c>
      <c r="J550" s="14" t="n">
        <v>0.466310560597835</v>
      </c>
      <c r="K550" s="14" t="n">
        <v>0.490802956906365</v>
      </c>
      <c r="L550" s="14" t="n">
        <v>0.559052589738074</v>
      </c>
      <c r="M550" s="14" t="n">
        <v>4.476</v>
      </c>
      <c r="N550" s="14" t="n">
        <v>4.687</v>
      </c>
      <c r="O550" s="14" t="n">
        <v>4.738</v>
      </c>
      <c r="P550" s="14" t="n">
        <v>4.7286</v>
      </c>
      <c r="Q550" s="14" t="n">
        <v>0.5</v>
      </c>
      <c r="R550" s="14" t="n">
        <v>0.51</v>
      </c>
      <c r="S550" s="14" t="n">
        <v>7</v>
      </c>
    </row>
    <row r="551" customFormat="false" ht="15" hidden="false" customHeight="false" outlineLevel="0" collapsed="false">
      <c r="A551" s="13" t="n">
        <v>43105</v>
      </c>
      <c r="C551" s="14" t="n">
        <v>1.5</v>
      </c>
      <c r="D551" s="14" t="n">
        <v>1.25</v>
      </c>
      <c r="F551" s="14" t="n">
        <v>-0.4</v>
      </c>
      <c r="G551" s="14" t="n">
        <v>0.5</v>
      </c>
      <c r="H551" s="14" t="n">
        <v>0.4625</v>
      </c>
      <c r="I551" s="14" t="n">
        <v>0.462267916303678</v>
      </c>
      <c r="J551" s="14" t="n">
        <v>0.470803985661357</v>
      </c>
      <c r="K551" s="14" t="n">
        <v>0.500901535274543</v>
      </c>
      <c r="L551" s="14" t="n">
        <v>0.573132747006423</v>
      </c>
      <c r="M551" s="14" t="n">
        <v>4.3756</v>
      </c>
      <c r="N551" s="14" t="n">
        <v>4.6637</v>
      </c>
      <c r="O551" s="14" t="n">
        <v>4.7118</v>
      </c>
      <c r="P551" s="14" t="n">
        <v>4.7249</v>
      </c>
      <c r="Q551" s="14" t="n">
        <v>0.5</v>
      </c>
      <c r="R551" s="14" t="n">
        <v>0.48</v>
      </c>
      <c r="S551" s="14" t="n">
        <v>7</v>
      </c>
    </row>
    <row r="552" customFormat="false" ht="15" hidden="false" customHeight="false" outlineLevel="0" collapsed="false">
      <c r="A552" s="13" t="n">
        <v>43108</v>
      </c>
      <c r="C552" s="14" t="n">
        <v>1.5</v>
      </c>
      <c r="D552" s="14" t="n">
        <v>1.25</v>
      </c>
      <c r="F552" s="14" t="n">
        <v>-0.4</v>
      </c>
      <c r="G552" s="14" t="n">
        <v>0.5</v>
      </c>
      <c r="H552" s="14" t="n">
        <v>0.4632</v>
      </c>
      <c r="I552" s="14" t="n">
        <v>0.456393888617606</v>
      </c>
      <c r="J552" s="14" t="n">
        <v>0.468403942052028</v>
      </c>
      <c r="K552" s="14" t="n">
        <v>0.504155630705174</v>
      </c>
      <c r="L552" s="14" t="n">
        <v>0.581421709633169</v>
      </c>
      <c r="M552" s="14" t="n">
        <v>4.2886</v>
      </c>
      <c r="N552" s="14" t="n">
        <v>4.6594</v>
      </c>
      <c r="O552" s="14" t="n">
        <v>4.7052</v>
      </c>
      <c r="P552" s="14" t="n">
        <v>4.72</v>
      </c>
      <c r="Q552" s="14" t="n">
        <v>0.5</v>
      </c>
      <c r="R552" s="14" t="n">
        <v>0.49</v>
      </c>
      <c r="S552" s="14" t="n">
        <v>7</v>
      </c>
    </row>
    <row r="553" customFormat="false" ht="15" hidden="false" customHeight="false" outlineLevel="0" collapsed="false">
      <c r="A553" s="13" t="n">
        <v>43109</v>
      </c>
      <c r="C553" s="14" t="n">
        <v>1.5</v>
      </c>
      <c r="D553" s="14" t="n">
        <v>1.25</v>
      </c>
      <c r="F553" s="14" t="n">
        <v>-0.4</v>
      </c>
      <c r="G553" s="14" t="n">
        <v>0.5</v>
      </c>
      <c r="H553" s="14" t="n">
        <v>0.4627</v>
      </c>
      <c r="I553" s="14" t="n">
        <v>0.466789739012244</v>
      </c>
      <c r="J553" s="14" t="n">
        <v>0.471095833821999</v>
      </c>
      <c r="K553" s="14" t="n">
        <v>0.503614932508024</v>
      </c>
      <c r="L553" s="14" t="n">
        <v>0.58559676502033</v>
      </c>
      <c r="M553" s="14" t="n">
        <v>4.2209</v>
      </c>
      <c r="N553" s="14" t="n">
        <v>4.657</v>
      </c>
      <c r="O553" s="14" t="n">
        <v>4.7026</v>
      </c>
      <c r="P553" s="14" t="n">
        <v>4.72</v>
      </c>
      <c r="Q553" s="14" t="n">
        <v>0.5</v>
      </c>
      <c r="R553" s="14" t="n">
        <v>0.48</v>
      </c>
      <c r="S553" s="14" t="n">
        <v>7</v>
      </c>
    </row>
    <row r="554" customFormat="false" ht="15" hidden="false" customHeight="false" outlineLevel="0" collapsed="false">
      <c r="A554" s="13" t="n">
        <v>43110</v>
      </c>
      <c r="C554" s="14" t="n">
        <v>1.5</v>
      </c>
      <c r="D554" s="14" t="n">
        <v>1.25</v>
      </c>
      <c r="F554" s="14" t="n">
        <v>-0.4</v>
      </c>
      <c r="G554" s="14" t="n">
        <v>0.5</v>
      </c>
      <c r="H554" s="14" t="n">
        <v>0.4647</v>
      </c>
      <c r="I554" s="14" t="n">
        <v>0.455713985985791</v>
      </c>
      <c r="J554" s="14" t="n">
        <v>0.466272961350602</v>
      </c>
      <c r="K554" s="14" t="n">
        <v>0.502339912241092</v>
      </c>
      <c r="L554" s="14" t="n">
        <v>0.584826181955084</v>
      </c>
      <c r="M554" s="14" t="n">
        <v>4.1821</v>
      </c>
      <c r="N554" s="14" t="n">
        <v>4.6607</v>
      </c>
      <c r="O554" s="14" t="n">
        <v>4.699</v>
      </c>
      <c r="P554" s="14" t="n">
        <v>4.72</v>
      </c>
      <c r="Q554" s="14" t="n">
        <v>0.5</v>
      </c>
      <c r="R554" s="14" t="n">
        <v>0.48</v>
      </c>
      <c r="S554" s="14" t="n">
        <v>7</v>
      </c>
    </row>
    <row r="555" customFormat="false" ht="15" hidden="false" customHeight="false" outlineLevel="0" collapsed="false">
      <c r="A555" s="13" t="n">
        <v>43111</v>
      </c>
      <c r="C555" s="14" t="n">
        <v>1.5</v>
      </c>
      <c r="D555" s="14" t="n">
        <v>1.25</v>
      </c>
      <c r="F555" s="14" t="n">
        <v>-0.4</v>
      </c>
      <c r="G555" s="14" t="n">
        <v>0.5</v>
      </c>
      <c r="H555" s="14" t="n">
        <v>0.4655</v>
      </c>
      <c r="I555" s="14" t="n">
        <v>0.463880182982815</v>
      </c>
      <c r="J555" s="14" t="n">
        <v>0.471600868342446</v>
      </c>
      <c r="K555" s="14" t="n">
        <v>0.506438265924969</v>
      </c>
      <c r="L555" s="14" t="n">
        <v>0.595612918056599</v>
      </c>
      <c r="M555" s="14" t="n">
        <v>4.1632</v>
      </c>
      <c r="N555" s="14" t="n">
        <v>4.6701</v>
      </c>
      <c r="O555" s="14" t="n">
        <v>4.7049</v>
      </c>
      <c r="P555" s="14" t="n">
        <v>4.723</v>
      </c>
      <c r="Q555" s="14" t="n">
        <v>0.5</v>
      </c>
      <c r="R555" s="14" t="n">
        <v>0.49</v>
      </c>
      <c r="S555" s="14" t="n">
        <v>7</v>
      </c>
    </row>
    <row r="556" customFormat="false" ht="15" hidden="false" customHeight="false" outlineLevel="0" collapsed="false">
      <c r="A556" s="13" t="n">
        <v>43112</v>
      </c>
      <c r="C556" s="14" t="n">
        <v>1.5</v>
      </c>
      <c r="D556" s="14" t="n">
        <v>1.25</v>
      </c>
      <c r="F556" s="14" t="n">
        <v>-0.4</v>
      </c>
      <c r="G556" s="14" t="n">
        <v>0.5</v>
      </c>
      <c r="H556" s="14" t="n">
        <v>0.468</v>
      </c>
      <c r="I556" s="14" t="n">
        <v>0.466736285373847</v>
      </c>
      <c r="J556" s="14" t="n">
        <v>0.47298359146323</v>
      </c>
      <c r="K556" s="14" t="n">
        <v>0.509689484682507</v>
      </c>
      <c r="L556" s="14" t="n">
        <v>0.604873149639317</v>
      </c>
      <c r="M556" s="14" t="n">
        <v>4.1134</v>
      </c>
      <c r="N556" s="14" t="n">
        <v>4.6791</v>
      </c>
      <c r="O556" s="14" t="n">
        <v>4.7085</v>
      </c>
      <c r="P556" s="14" t="n">
        <v>4.7233</v>
      </c>
      <c r="Q556" s="14" t="n">
        <v>0.5</v>
      </c>
      <c r="R556" s="14" t="n">
        <v>0.51</v>
      </c>
      <c r="S556" s="14" t="n">
        <v>7</v>
      </c>
    </row>
    <row r="557" customFormat="false" ht="15" hidden="false" customHeight="false" outlineLevel="0" collapsed="false">
      <c r="A557" s="13" t="n">
        <v>43115</v>
      </c>
      <c r="C557" s="14" t="n">
        <v>1.5</v>
      </c>
      <c r="D557" s="14" t="n">
        <v>1.25</v>
      </c>
      <c r="F557" s="14" t="n">
        <v>-0.4</v>
      </c>
      <c r="G557" s="14" t="n">
        <v>0.5</v>
      </c>
      <c r="H557" s="14" t="n">
        <v>0.4638</v>
      </c>
      <c r="I557" s="14" t="n">
        <v>0.465571890544573</v>
      </c>
      <c r="J557" s="14" t="n">
        <v>0.474080087425562</v>
      </c>
      <c r="K557" s="14" t="n">
        <v>0.512651404277621</v>
      </c>
      <c r="L557" s="14" t="n">
        <v>0.606703112326767</v>
      </c>
      <c r="M557" s="14" t="n">
        <v>4.0904</v>
      </c>
      <c r="N557" s="14" t="n">
        <v>4.683</v>
      </c>
      <c r="O557" s="14" t="n">
        <v>4.7139</v>
      </c>
      <c r="P557" s="14" t="n">
        <v>4.7253</v>
      </c>
      <c r="Q557" s="14" t="n">
        <v>0.5</v>
      </c>
      <c r="R557" s="14" t="n">
        <v>0.51</v>
      </c>
      <c r="S557" s="14" t="n">
        <v>7</v>
      </c>
    </row>
    <row r="558" customFormat="false" ht="15" hidden="false" customHeight="false" outlineLevel="0" collapsed="false">
      <c r="A558" s="13" t="n">
        <v>43116</v>
      </c>
      <c r="C558" s="14" t="n">
        <v>1.5</v>
      </c>
      <c r="D558" s="14" t="n">
        <v>1.25</v>
      </c>
      <c r="F558" s="14" t="n">
        <v>-0.4</v>
      </c>
      <c r="G558" s="14" t="n">
        <v>0.5</v>
      </c>
      <c r="H558" s="14" t="n">
        <v>0.4605</v>
      </c>
      <c r="I558" s="14" t="n">
        <v>0.456840943971335</v>
      </c>
      <c r="J558" s="14" t="n">
        <v>0.46975942173781</v>
      </c>
      <c r="K558" s="14" t="n">
        <v>0.505790352446353</v>
      </c>
      <c r="L558" s="14" t="n">
        <v>0.591898246728614</v>
      </c>
      <c r="M558" s="14" t="n">
        <v>4.0941</v>
      </c>
      <c r="N558" s="14" t="n">
        <v>4.6843</v>
      </c>
      <c r="O558" s="14" t="n">
        <v>4.7124</v>
      </c>
      <c r="P558" s="14" t="n">
        <v>4.7296</v>
      </c>
      <c r="Q558" s="14" t="n">
        <v>0.5</v>
      </c>
      <c r="R558" s="14" t="n">
        <v>0.5</v>
      </c>
      <c r="S558" s="14" t="n">
        <v>7</v>
      </c>
    </row>
    <row r="559" customFormat="false" ht="15" hidden="false" customHeight="false" outlineLevel="0" collapsed="false">
      <c r="A559" s="13" t="n">
        <v>43117</v>
      </c>
      <c r="C559" s="14" t="n">
        <v>1.5</v>
      </c>
      <c r="D559" s="14" t="n">
        <v>1.25</v>
      </c>
      <c r="F559" s="14" t="n">
        <v>-0.4</v>
      </c>
      <c r="G559" s="14" t="n">
        <v>0.5</v>
      </c>
      <c r="H559" s="14" t="n">
        <v>0.4615</v>
      </c>
      <c r="I559" s="14" t="n">
        <v>0.463122359670769</v>
      </c>
      <c r="J559" s="14" t="n">
        <v>0.472980910643231</v>
      </c>
      <c r="K559" s="14" t="n">
        <v>0.509261113079966</v>
      </c>
      <c r="L559" s="14" t="n">
        <v>0.595573627669033</v>
      </c>
      <c r="M559" s="14" t="n">
        <v>4.0905</v>
      </c>
      <c r="N559" s="14" t="n">
        <v>4.6935</v>
      </c>
      <c r="O559" s="14" t="n">
        <v>4.7133</v>
      </c>
      <c r="P559" s="14" t="n">
        <v>4.732</v>
      </c>
      <c r="Q559" s="14" t="n">
        <v>0.5</v>
      </c>
      <c r="R559" s="14" t="n">
        <v>0.49</v>
      </c>
      <c r="S559" s="14" t="n">
        <v>7</v>
      </c>
    </row>
    <row r="560" customFormat="false" ht="15" hidden="false" customHeight="false" outlineLevel="0" collapsed="false">
      <c r="A560" s="13" t="n">
        <v>43118</v>
      </c>
      <c r="C560" s="14" t="n">
        <v>1.5</v>
      </c>
      <c r="D560" s="14" t="n">
        <v>1.25</v>
      </c>
      <c r="F560" s="14" t="n">
        <v>-0.4</v>
      </c>
      <c r="G560" s="14" t="n">
        <v>0.5</v>
      </c>
      <c r="H560" s="14" t="n">
        <v>0.4619</v>
      </c>
      <c r="I560" s="14" t="n">
        <v>0.463349085501179</v>
      </c>
      <c r="J560" s="14" t="n">
        <v>0.474024091125765</v>
      </c>
      <c r="K560" s="14" t="n">
        <v>0.509894384626768</v>
      </c>
      <c r="L560" s="14" t="n">
        <v>0.600581353620271</v>
      </c>
      <c r="M560" s="14" t="n">
        <v>4.0921</v>
      </c>
      <c r="N560" s="14" t="n">
        <v>4.7044</v>
      </c>
      <c r="O560" s="14" t="n">
        <v>4.7154</v>
      </c>
      <c r="P560" s="14" t="n">
        <v>4.7332</v>
      </c>
      <c r="Q560" s="14" t="n">
        <v>0.5</v>
      </c>
      <c r="R560" s="14" t="n">
        <v>0.49</v>
      </c>
      <c r="S560" s="14" t="n">
        <v>7</v>
      </c>
    </row>
    <row r="561" customFormat="false" ht="15" hidden="false" customHeight="false" outlineLevel="0" collapsed="false">
      <c r="A561" s="13" t="n">
        <v>43119</v>
      </c>
      <c r="C561" s="14" t="n">
        <v>1.5</v>
      </c>
      <c r="D561" s="14" t="n">
        <v>1.25</v>
      </c>
      <c r="F561" s="14" t="n">
        <v>-0.4</v>
      </c>
      <c r="G561" s="14" t="n">
        <v>0.5</v>
      </c>
      <c r="H561" s="14" t="n">
        <v>0.4634</v>
      </c>
      <c r="I561" s="14" t="n">
        <v>0.456250351068192</v>
      </c>
      <c r="J561" s="14" t="n">
        <v>0.46950926746492</v>
      </c>
      <c r="K561" s="14" t="n">
        <v>0.505530972772191</v>
      </c>
      <c r="L561" s="14" t="n">
        <v>0.595071351636108</v>
      </c>
      <c r="M561" s="14" t="n">
        <v>4.1113</v>
      </c>
      <c r="N561" s="14" t="n">
        <v>4.7115</v>
      </c>
      <c r="O561" s="14" t="n">
        <v>4.7216</v>
      </c>
      <c r="P561" s="14" t="n">
        <v>4.7384</v>
      </c>
      <c r="Q561" s="14" t="n">
        <v>0.5</v>
      </c>
      <c r="R561" s="14" t="n">
        <v>0.49</v>
      </c>
      <c r="S561" s="14" t="n">
        <v>7</v>
      </c>
    </row>
    <row r="562" customFormat="false" ht="15" hidden="false" customHeight="false" outlineLevel="0" collapsed="false">
      <c r="A562" s="13" t="n">
        <v>43122</v>
      </c>
      <c r="C562" s="14" t="n">
        <v>1.5</v>
      </c>
      <c r="D562" s="14" t="n">
        <v>1.25</v>
      </c>
      <c r="F562" s="14" t="n">
        <v>-0.4</v>
      </c>
      <c r="G562" s="14" t="n">
        <v>0.5</v>
      </c>
      <c r="H562" s="14" t="n">
        <v>0.463</v>
      </c>
      <c r="I562" s="14" t="n">
        <v>0.460599469018072</v>
      </c>
      <c r="J562" s="14" t="n">
        <v>0.470818343697255</v>
      </c>
      <c r="K562" s="14" t="n">
        <v>0.511497002072831</v>
      </c>
      <c r="L562" s="14" t="n">
        <v>0.608074312044832</v>
      </c>
      <c r="M562" s="14" t="n">
        <v>4.1122</v>
      </c>
      <c r="N562" s="14" t="n">
        <v>4.7122</v>
      </c>
      <c r="O562" s="14" t="n">
        <v>4.7272</v>
      </c>
      <c r="P562" s="14" t="n">
        <v>4.7429</v>
      </c>
      <c r="Q562" s="14" t="n">
        <v>0.5</v>
      </c>
      <c r="R562" s="14" t="n">
        <v>0.49</v>
      </c>
      <c r="S562" s="14" t="n">
        <v>7</v>
      </c>
    </row>
    <row r="563" customFormat="false" ht="15" hidden="false" customHeight="false" outlineLevel="0" collapsed="false">
      <c r="A563" s="13" t="n">
        <v>43123</v>
      </c>
      <c r="C563" s="14" t="n">
        <v>1.5</v>
      </c>
      <c r="D563" s="14" t="n">
        <v>1.25</v>
      </c>
      <c r="F563" s="14" t="n">
        <v>-0.4</v>
      </c>
      <c r="G563" s="14" t="n">
        <v>0.5</v>
      </c>
      <c r="H563" s="14" t="n">
        <v>0.4619</v>
      </c>
      <c r="I563" s="14" t="n">
        <v>0.459538805803681</v>
      </c>
      <c r="J563" s="14" t="n">
        <v>0.471779486903701</v>
      </c>
      <c r="K563" s="14" t="n">
        <v>0.511426750522801</v>
      </c>
      <c r="L563" s="14" t="n">
        <v>0.603845251114932</v>
      </c>
      <c r="M563" s="14" t="n">
        <v>4.1123</v>
      </c>
      <c r="N563" s="14" t="n">
        <v>4.7163</v>
      </c>
      <c r="O563" s="14" t="n">
        <v>4.7278</v>
      </c>
      <c r="P563" s="14" t="n">
        <v>4.7423</v>
      </c>
      <c r="Q563" s="14" t="n">
        <v>0.5</v>
      </c>
      <c r="R563" s="14" t="n">
        <v>0.49</v>
      </c>
      <c r="S563" s="14" t="n">
        <v>7</v>
      </c>
    </row>
    <row r="564" customFormat="false" ht="15" hidden="false" customHeight="false" outlineLevel="0" collapsed="false">
      <c r="A564" s="13" t="n">
        <v>43124</v>
      </c>
      <c r="C564" s="14" t="n">
        <v>1.5</v>
      </c>
      <c r="D564" s="14" t="n">
        <v>1.25</v>
      </c>
      <c r="F564" s="14" t="n">
        <v>-0.4</v>
      </c>
      <c r="G564" s="14" t="n">
        <v>0.5</v>
      </c>
      <c r="H564" s="14" t="n">
        <v>0.462</v>
      </c>
      <c r="I564" s="14" t="n">
        <v>0.457198828729075</v>
      </c>
      <c r="J564" s="14" t="n">
        <v>0.475989862302777</v>
      </c>
      <c r="K564" s="14" t="n">
        <v>0.522494777624628</v>
      </c>
      <c r="L564" s="14" t="n">
        <v>0.622384236791736</v>
      </c>
      <c r="M564" s="14" t="n">
        <v>4.1183</v>
      </c>
      <c r="N564" s="14" t="n">
        <v>4.7267</v>
      </c>
      <c r="O564" s="14" t="n">
        <v>4.7268</v>
      </c>
      <c r="P564" s="14" t="n">
        <v>4.7423</v>
      </c>
      <c r="Q564" s="14" t="n">
        <v>0.5</v>
      </c>
      <c r="R564" s="14" t="n">
        <v>0.49</v>
      </c>
      <c r="S564" s="14" t="n">
        <v>7</v>
      </c>
    </row>
    <row r="565" customFormat="false" ht="15" hidden="false" customHeight="false" outlineLevel="0" collapsed="false">
      <c r="A565" s="13" t="n">
        <v>43125</v>
      </c>
      <c r="C565" s="14" t="n">
        <v>1.5</v>
      </c>
      <c r="D565" s="14" t="n">
        <v>1.25</v>
      </c>
      <c r="F565" s="14" t="n">
        <v>-0.4</v>
      </c>
      <c r="G565" s="14" t="n">
        <v>0.5</v>
      </c>
      <c r="H565" s="14" t="n">
        <v>0.4618</v>
      </c>
      <c r="I565" s="14" t="n">
        <v>0.458895686853266</v>
      </c>
      <c r="J565" s="14" t="n">
        <v>0.478520847535042</v>
      </c>
      <c r="K565" s="14" t="n">
        <v>0.523491612733688</v>
      </c>
      <c r="L565" s="14" t="n">
        <v>0.620800642069275</v>
      </c>
      <c r="M565" s="14" t="n">
        <v>4.1269</v>
      </c>
      <c r="N565" s="14" t="n">
        <v>4.7317</v>
      </c>
      <c r="O565" s="14" t="n">
        <v>4.7297</v>
      </c>
      <c r="P565" s="14" t="n">
        <v>4.7423</v>
      </c>
      <c r="Q565" s="14" t="n">
        <v>0.5</v>
      </c>
      <c r="R565" s="14" t="n">
        <v>0.5</v>
      </c>
      <c r="S565" s="14" t="n">
        <v>7</v>
      </c>
    </row>
    <row r="566" customFormat="false" ht="15" hidden="false" customHeight="false" outlineLevel="0" collapsed="false">
      <c r="A566" s="13" t="n">
        <v>43126</v>
      </c>
      <c r="C566" s="14" t="n">
        <v>1.5</v>
      </c>
      <c r="D566" s="14" t="n">
        <v>1.25</v>
      </c>
      <c r="F566" s="14" t="n">
        <v>-0.4</v>
      </c>
      <c r="G566" s="14" t="n">
        <v>0.5</v>
      </c>
      <c r="H566" s="14" t="n">
        <v>0.4633</v>
      </c>
      <c r="I566" s="14" t="n">
        <v>0.457319139935299</v>
      </c>
      <c r="J566" s="14" t="n">
        <v>0.476620139421422</v>
      </c>
      <c r="K566" s="14" t="n">
        <v>0.523933411853593</v>
      </c>
      <c r="L566" s="14" t="n">
        <v>0.626245071227434</v>
      </c>
      <c r="M566" s="14" t="n">
        <v>4.1257</v>
      </c>
      <c r="N566" s="14" t="n">
        <v>4.7292</v>
      </c>
      <c r="O566" s="14" t="n">
        <v>4.727</v>
      </c>
      <c r="P566" s="14" t="n">
        <v>4.7423</v>
      </c>
      <c r="Q566" s="14" t="n">
        <v>0.5</v>
      </c>
      <c r="R566" s="14" t="n">
        <v>0.5</v>
      </c>
      <c r="S566" s="14" t="n">
        <v>7</v>
      </c>
    </row>
    <row r="567" customFormat="false" ht="15" hidden="false" customHeight="false" outlineLevel="0" collapsed="false">
      <c r="A567" s="13" t="n">
        <v>43129</v>
      </c>
      <c r="C567" s="14" t="n">
        <v>1.5</v>
      </c>
      <c r="D567" s="14" t="n">
        <v>1.25</v>
      </c>
      <c r="F567" s="14" t="n">
        <v>-0.4</v>
      </c>
      <c r="G567" s="14" t="n">
        <v>0.5</v>
      </c>
      <c r="H567" s="14" t="n">
        <v>0.4613</v>
      </c>
      <c r="I567" s="14" t="n">
        <v>0.467503391559074</v>
      </c>
      <c r="J567" s="14" t="n">
        <v>0.48391113161832</v>
      </c>
      <c r="K567" s="14" t="n">
        <v>0.528622623804813</v>
      </c>
      <c r="L567" s="14" t="n">
        <v>0.630265305375526</v>
      </c>
      <c r="M567" s="14" t="n">
        <v>4.1276</v>
      </c>
      <c r="N567" s="14" t="n">
        <v>4.727</v>
      </c>
      <c r="O567" s="14" t="n">
        <v>4.7287</v>
      </c>
      <c r="P567" s="14" t="n">
        <v>4.7423</v>
      </c>
      <c r="Q567" s="14" t="n">
        <v>0.5</v>
      </c>
      <c r="R567" s="14" t="n">
        <v>0.49</v>
      </c>
      <c r="S567" s="14" t="n">
        <v>7</v>
      </c>
    </row>
    <row r="568" customFormat="false" ht="15" hidden="false" customHeight="false" outlineLevel="0" collapsed="false">
      <c r="A568" s="13" t="n">
        <v>43130</v>
      </c>
      <c r="C568" s="14" t="n">
        <v>1.5</v>
      </c>
      <c r="D568" s="14" t="n">
        <v>1.25</v>
      </c>
      <c r="F568" s="14" t="n">
        <v>-0.4</v>
      </c>
      <c r="G568" s="14" t="n">
        <v>0.5</v>
      </c>
      <c r="H568" s="14" t="n">
        <v>0.4627</v>
      </c>
      <c r="I568" s="14" t="n">
        <v>0.464558044731893</v>
      </c>
      <c r="J568" s="14" t="n">
        <v>0.479925933111616</v>
      </c>
      <c r="K568" s="14" t="n">
        <v>0.528226633986227</v>
      </c>
      <c r="L568" s="14" t="n">
        <v>0.632708511279716</v>
      </c>
      <c r="M568" s="14" t="n">
        <v>4.1288</v>
      </c>
      <c r="N568" s="14" t="n">
        <v>4.7267</v>
      </c>
      <c r="O568" s="14" t="n">
        <v>4.7299</v>
      </c>
      <c r="P568" s="14" t="n">
        <v>4.7423</v>
      </c>
      <c r="Q568" s="14" t="n">
        <v>0.5</v>
      </c>
      <c r="R568" s="14" t="n">
        <v>0.49</v>
      </c>
      <c r="S568" s="14" t="n">
        <v>7</v>
      </c>
    </row>
    <row r="569" customFormat="false" ht="15" hidden="false" customHeight="false" outlineLevel="0" collapsed="false">
      <c r="A569" s="13" t="n">
        <v>43131</v>
      </c>
      <c r="C569" s="14" t="n">
        <v>1.5</v>
      </c>
      <c r="D569" s="14" t="n">
        <v>1.25</v>
      </c>
      <c r="F569" s="14" t="n">
        <v>-0.4</v>
      </c>
      <c r="G569" s="14" t="n">
        <v>0.5</v>
      </c>
      <c r="H569" s="14" t="n">
        <v>0.4668</v>
      </c>
      <c r="I569" s="14" t="n">
        <v>0.46007790289468</v>
      </c>
      <c r="J569" s="14" t="n">
        <v>0.481372482663312</v>
      </c>
      <c r="K569" s="14" t="n">
        <v>0.532481381042071</v>
      </c>
      <c r="L569" s="14" t="n">
        <v>0.642967770175499</v>
      </c>
      <c r="M569" s="14" t="n">
        <v>4.1289</v>
      </c>
      <c r="N569" s="14" t="n">
        <v>4.7257</v>
      </c>
      <c r="O569" s="14" t="n">
        <v>4.73</v>
      </c>
      <c r="P569" s="14" t="n">
        <v>4.7423</v>
      </c>
      <c r="Q569" s="14" t="n">
        <v>0.5</v>
      </c>
      <c r="R569" s="14" t="n">
        <v>0.49</v>
      </c>
      <c r="S569" s="14" t="n">
        <v>7</v>
      </c>
    </row>
    <row r="570" customFormat="false" ht="15" hidden="false" customHeight="false" outlineLevel="0" collapsed="false">
      <c r="A570" s="13" t="n">
        <v>43132</v>
      </c>
      <c r="C570" s="14" t="n">
        <v>1.5</v>
      </c>
      <c r="D570" s="14" t="n">
        <v>1.25</v>
      </c>
      <c r="F570" s="14" t="n">
        <v>-0.4</v>
      </c>
      <c r="G570" s="14" t="n">
        <v>0.5</v>
      </c>
      <c r="H570" s="14" t="n">
        <v>0.4636</v>
      </c>
      <c r="I570" s="14" t="n">
        <v>0.454009868752468</v>
      </c>
      <c r="J570" s="14" t="n">
        <v>0.480621111791579</v>
      </c>
      <c r="K570" s="14" t="n">
        <v>0.535895765800458</v>
      </c>
      <c r="L570" s="14" t="n">
        <v>0.643652465118203</v>
      </c>
      <c r="M570" s="14" t="n">
        <v>4.1329</v>
      </c>
      <c r="N570" s="14" t="n">
        <v>4.7276</v>
      </c>
      <c r="O570" s="14" t="n">
        <v>4.732</v>
      </c>
      <c r="P570" s="14" t="n">
        <v>4.7463</v>
      </c>
      <c r="Q570" s="14" t="n">
        <v>0.5</v>
      </c>
      <c r="R570" s="14" t="n">
        <v>0.49</v>
      </c>
      <c r="S570" s="14" t="n">
        <v>7</v>
      </c>
    </row>
    <row r="571" customFormat="false" ht="15" hidden="false" customHeight="false" outlineLevel="0" collapsed="false">
      <c r="A571" s="13" t="n">
        <v>43133</v>
      </c>
      <c r="C571" s="14" t="n">
        <v>1.5</v>
      </c>
      <c r="D571" s="14" t="n">
        <v>1.25</v>
      </c>
      <c r="F571" s="14" t="n">
        <v>-0.4</v>
      </c>
      <c r="G571" s="14" t="n">
        <v>0.5</v>
      </c>
      <c r="H571" s="14" t="n">
        <v>0.4632</v>
      </c>
      <c r="I571" s="14" t="n">
        <v>0.462002498825406</v>
      </c>
      <c r="J571" s="14" t="n">
        <v>0.485850408111469</v>
      </c>
      <c r="K571" s="14" t="n">
        <v>0.542606097482685</v>
      </c>
      <c r="L571" s="14" t="n">
        <v>0.651881822435355</v>
      </c>
      <c r="M571" s="14" t="n">
        <v>4.1293</v>
      </c>
      <c r="N571" s="14" t="n">
        <v>4.7278</v>
      </c>
      <c r="O571" s="14" t="n">
        <v>4.7322</v>
      </c>
      <c r="P571" s="14" t="n">
        <v>4.7457</v>
      </c>
      <c r="Q571" s="14" t="n">
        <v>0.5</v>
      </c>
      <c r="R571" s="14" t="n">
        <v>0.49</v>
      </c>
      <c r="S571" s="14" t="n">
        <v>7</v>
      </c>
    </row>
    <row r="572" customFormat="false" ht="15" hidden="false" customHeight="false" outlineLevel="0" collapsed="false">
      <c r="A572" s="13" t="n">
        <v>43136</v>
      </c>
      <c r="C572" s="14" t="n">
        <v>1.5</v>
      </c>
      <c r="D572" s="14" t="n">
        <v>1.25</v>
      </c>
      <c r="F572" s="14" t="n">
        <v>-0.4</v>
      </c>
      <c r="G572" s="14" t="n">
        <v>0.5</v>
      </c>
      <c r="H572" s="14" t="n">
        <v>0.4619</v>
      </c>
      <c r="I572" s="14" t="n">
        <v>0.459430586532262</v>
      </c>
      <c r="J572" s="14" t="n">
        <v>0.482438074207682</v>
      </c>
      <c r="K572" s="14" t="n">
        <v>0.539933810160001</v>
      </c>
      <c r="L572" s="14" t="n">
        <v>0.641512750488539</v>
      </c>
      <c r="M572" s="14" t="n">
        <v>4.107</v>
      </c>
      <c r="N572" s="14" t="n">
        <v>4.7258</v>
      </c>
      <c r="O572" s="14" t="n">
        <v>4.7323</v>
      </c>
      <c r="P572" s="14" t="n">
        <v>4.7446</v>
      </c>
      <c r="Q572" s="14" t="n">
        <v>0.5</v>
      </c>
      <c r="R572" s="14" t="n">
        <v>0.49</v>
      </c>
      <c r="S572" s="14" t="n">
        <v>7</v>
      </c>
    </row>
    <row r="573" customFormat="false" ht="15" hidden="false" customHeight="false" outlineLevel="0" collapsed="false">
      <c r="A573" s="13" t="n">
        <v>43137</v>
      </c>
      <c r="C573" s="14" t="n">
        <v>1.5</v>
      </c>
      <c r="D573" s="14" t="n">
        <v>1.25</v>
      </c>
      <c r="F573" s="14" t="n">
        <v>-0.4</v>
      </c>
      <c r="G573" s="14" t="n">
        <v>0.5</v>
      </c>
      <c r="H573" s="14" t="n">
        <v>0.4626</v>
      </c>
      <c r="I573" s="14" t="n">
        <v>0.459190496389662</v>
      </c>
      <c r="J573" s="14" t="n">
        <v>0.479942980108795</v>
      </c>
      <c r="K573" s="14" t="n">
        <v>0.533295452879907</v>
      </c>
      <c r="L573" s="14" t="n">
        <v>0.630274843700053</v>
      </c>
      <c r="M573" s="14" t="n">
        <v>4.0887</v>
      </c>
      <c r="N573" s="14" t="n">
        <v>4.7206</v>
      </c>
      <c r="O573" s="14" t="n">
        <v>4.7313</v>
      </c>
      <c r="P573" s="14" t="n">
        <v>4.7465</v>
      </c>
      <c r="Q573" s="14" t="n">
        <v>0.5</v>
      </c>
      <c r="R573" s="14" t="n">
        <v>0.49</v>
      </c>
      <c r="S573" s="14" t="n">
        <v>7</v>
      </c>
    </row>
    <row r="574" customFormat="false" ht="15" hidden="false" customHeight="false" outlineLevel="0" collapsed="false">
      <c r="A574" s="13" t="n">
        <v>43138</v>
      </c>
      <c r="C574" s="14" t="n">
        <v>1.5</v>
      </c>
      <c r="D574" s="14" t="n">
        <v>1.25</v>
      </c>
      <c r="F574" s="14" t="n">
        <v>-0.4</v>
      </c>
      <c r="G574" s="14" t="n">
        <v>0.5</v>
      </c>
      <c r="H574" s="14" t="n">
        <v>0.4618</v>
      </c>
      <c r="I574" s="14" t="n">
        <v>0.462225430153228</v>
      </c>
      <c r="J574" s="14" t="n">
        <v>0.480553995229538</v>
      </c>
      <c r="K574" s="14" t="n">
        <v>0.53323062190038</v>
      </c>
      <c r="L574" s="14" t="n">
        <v>0.633223264069402</v>
      </c>
      <c r="M574" s="14" t="n">
        <v>4.0809</v>
      </c>
      <c r="N574" s="14" t="n">
        <v>4.707</v>
      </c>
      <c r="O574" s="14" t="n">
        <v>4.7302</v>
      </c>
      <c r="P574" s="14" t="n">
        <v>4.745</v>
      </c>
      <c r="Q574" s="14" t="n">
        <v>0.5</v>
      </c>
      <c r="R574" s="14" t="n">
        <v>0.48</v>
      </c>
      <c r="S574" s="14" t="n">
        <v>7</v>
      </c>
    </row>
    <row r="575" customFormat="false" ht="15" hidden="false" customHeight="false" outlineLevel="0" collapsed="false">
      <c r="A575" s="13" t="n">
        <v>43139</v>
      </c>
      <c r="C575" s="14" t="n">
        <v>1.5</v>
      </c>
      <c r="D575" s="14" t="n">
        <v>1.25</v>
      </c>
      <c r="F575" s="14" t="n">
        <v>-0.4</v>
      </c>
      <c r="G575" s="14" t="n">
        <v>0.5</v>
      </c>
      <c r="H575" s="14" t="n">
        <v>0.4624</v>
      </c>
      <c r="I575" s="14" t="n">
        <v>0.457031842883842</v>
      </c>
      <c r="J575" s="14" t="n">
        <v>0.48965734279813</v>
      </c>
      <c r="K575" s="14" t="n">
        <v>0.564582778077169</v>
      </c>
      <c r="L575" s="14" t="n">
        <v>0.677440872334353</v>
      </c>
      <c r="M575" s="14" t="n">
        <v>4.078</v>
      </c>
      <c r="N575" s="14" t="n">
        <v>4.696</v>
      </c>
      <c r="O575" s="14" t="n">
        <v>4.7291</v>
      </c>
      <c r="P575" s="14" t="n">
        <v>4.7455</v>
      </c>
      <c r="Q575" s="14" t="n">
        <v>0.5</v>
      </c>
      <c r="R575" s="14" t="n">
        <v>0.49</v>
      </c>
      <c r="S575" s="14" t="n">
        <v>6.75</v>
      </c>
    </row>
    <row r="576" customFormat="false" ht="15" hidden="false" customHeight="false" outlineLevel="0" collapsed="false">
      <c r="A576" s="13" t="n">
        <v>43140</v>
      </c>
      <c r="C576" s="14" t="n">
        <v>1.5</v>
      </c>
      <c r="D576" s="14" t="n">
        <v>1.25</v>
      </c>
      <c r="F576" s="14" t="n">
        <v>-0.4</v>
      </c>
      <c r="G576" s="14" t="n">
        <v>0.5</v>
      </c>
      <c r="H576" s="14" t="n">
        <v>0.4634</v>
      </c>
      <c r="I576" s="14" t="n">
        <v>0.457627033861549</v>
      </c>
      <c r="J576" s="14" t="n">
        <v>0.489997468167219</v>
      </c>
      <c r="K576" s="14" t="n">
        <v>0.563842724625156</v>
      </c>
      <c r="L576" s="14" t="n">
        <v>0.675690427278898</v>
      </c>
      <c r="M576" s="14" t="n">
        <v>4.074</v>
      </c>
      <c r="N576" s="14" t="n">
        <v>4.6936</v>
      </c>
      <c r="O576" s="14" t="n">
        <v>4.729</v>
      </c>
      <c r="P576" s="14" t="n">
        <v>4.7456</v>
      </c>
      <c r="Q576" s="14" t="n">
        <v>0.5</v>
      </c>
      <c r="R576" s="14" t="n">
        <v>0.49</v>
      </c>
      <c r="S576" s="14" t="n">
        <v>6.75</v>
      </c>
    </row>
    <row r="577" customFormat="false" ht="15" hidden="false" customHeight="false" outlineLevel="0" collapsed="false">
      <c r="A577" s="13" t="n">
        <v>43142</v>
      </c>
      <c r="C577" s="14" t="n">
        <v>1.5</v>
      </c>
      <c r="D577" s="14" t="n">
        <v>1.25</v>
      </c>
      <c r="F577" s="14" t="n">
        <v>-0.4</v>
      </c>
      <c r="M577" s="14" t="n">
        <v>4.0694</v>
      </c>
      <c r="N577" s="14" t="n">
        <v>4.6974</v>
      </c>
      <c r="O577" s="14" t="n">
        <v>4.7289</v>
      </c>
      <c r="P577" s="14" t="n">
        <v>4.7456</v>
      </c>
      <c r="S577" s="14" t="n">
        <v>6.75</v>
      </c>
    </row>
    <row r="578" customFormat="false" ht="15" hidden="false" customHeight="false" outlineLevel="0" collapsed="false">
      <c r="A578" s="13" t="n">
        <v>43143</v>
      </c>
      <c r="C578" s="14" t="n">
        <v>1.5</v>
      </c>
      <c r="D578" s="14" t="n">
        <v>1.25</v>
      </c>
      <c r="F578" s="14" t="n">
        <v>-0.4</v>
      </c>
      <c r="G578" s="14" t="n">
        <v>0.5</v>
      </c>
      <c r="H578" s="14" t="n">
        <v>0.463</v>
      </c>
      <c r="I578" s="14" t="n">
        <v>0.458105989747107</v>
      </c>
      <c r="J578" s="14" t="n">
        <v>0.49327982961313</v>
      </c>
      <c r="K578" s="14" t="n">
        <v>0.570558285748644</v>
      </c>
      <c r="L578" s="14" t="n">
        <v>0.688111639218192</v>
      </c>
      <c r="M578" s="14" t="n">
        <v>4.075</v>
      </c>
      <c r="N578" s="14" t="n">
        <v>4.696</v>
      </c>
      <c r="O578" s="14" t="n">
        <v>4.7269</v>
      </c>
      <c r="P578" s="14" t="n">
        <v>4.7456</v>
      </c>
      <c r="Q578" s="14" t="n">
        <v>0.5</v>
      </c>
      <c r="R578" s="14" t="n">
        <v>0.5</v>
      </c>
      <c r="S578" s="14" t="n">
        <v>6.75</v>
      </c>
    </row>
    <row r="579" customFormat="false" ht="15" hidden="false" customHeight="false" outlineLevel="0" collapsed="false">
      <c r="A579" s="13" t="n">
        <v>43144</v>
      </c>
      <c r="C579" s="14" t="n">
        <v>1.5</v>
      </c>
      <c r="D579" s="14" t="n">
        <v>1.25</v>
      </c>
      <c r="F579" s="14" t="n">
        <v>-0.4</v>
      </c>
      <c r="G579" s="14" t="n">
        <v>0.5</v>
      </c>
      <c r="H579" s="14" t="n">
        <v>0.4636</v>
      </c>
      <c r="I579" s="14" t="n">
        <v>0.460353803589779</v>
      </c>
      <c r="J579" s="14" t="n">
        <v>0.501799353307034</v>
      </c>
      <c r="K579" s="14" t="n">
        <v>0.575219421850187</v>
      </c>
      <c r="L579" s="14" t="n">
        <v>0.691301817324948</v>
      </c>
      <c r="M579" s="14" t="n">
        <v>4.0705</v>
      </c>
      <c r="N579" s="14" t="n">
        <v>4.7006</v>
      </c>
      <c r="O579" s="14" t="n">
        <v>4.7287</v>
      </c>
      <c r="P579" s="14" t="n">
        <v>4.7456</v>
      </c>
      <c r="Q579" s="14" t="n">
        <v>0.5</v>
      </c>
      <c r="R579" s="14" t="n">
        <v>0.49</v>
      </c>
      <c r="S579" s="14" t="n">
        <v>6.75</v>
      </c>
    </row>
    <row r="580" customFormat="false" ht="15" hidden="false" customHeight="false" outlineLevel="0" collapsed="false">
      <c r="A580" s="13" t="n">
        <v>43145</v>
      </c>
      <c r="C580" s="14" t="n">
        <v>1.5</v>
      </c>
      <c r="D580" s="14" t="n">
        <v>1.25</v>
      </c>
      <c r="F580" s="14" t="n">
        <v>-0.4</v>
      </c>
      <c r="G580" s="14" t="n">
        <v>0.5</v>
      </c>
      <c r="H580" s="14" t="n">
        <v>0.4651</v>
      </c>
      <c r="I580" s="14" t="n">
        <v>0.456095356009909</v>
      </c>
      <c r="J580" s="14" t="n">
        <v>0.495582929741549</v>
      </c>
      <c r="K580" s="14" t="n">
        <v>0.578385293615947</v>
      </c>
      <c r="L580" s="14" t="n">
        <v>0.702034962944511</v>
      </c>
      <c r="M580" s="14" t="n">
        <v>4.0751</v>
      </c>
      <c r="N580" s="14" t="n">
        <v>4.7031</v>
      </c>
      <c r="O580" s="14" t="n">
        <v>4.728</v>
      </c>
      <c r="P580" s="14" t="n">
        <v>4.744</v>
      </c>
      <c r="Q580" s="14" t="n">
        <v>0.5</v>
      </c>
      <c r="R580" s="14" t="n">
        <v>0.49</v>
      </c>
      <c r="S580" s="14" t="n">
        <v>6.75</v>
      </c>
    </row>
    <row r="581" customFormat="false" ht="15" hidden="false" customHeight="false" outlineLevel="0" collapsed="false">
      <c r="A581" s="13" t="n">
        <v>43146</v>
      </c>
      <c r="C581" s="14" t="n">
        <v>1.5</v>
      </c>
      <c r="D581" s="14" t="n">
        <v>1.25</v>
      </c>
      <c r="F581" s="14" t="n">
        <v>-0.4</v>
      </c>
      <c r="G581" s="14" t="n">
        <v>0.5</v>
      </c>
      <c r="H581" s="14" t="n">
        <v>0.4642</v>
      </c>
      <c r="I581" s="14" t="n">
        <v>0.45778753417839</v>
      </c>
      <c r="J581" s="14" t="n">
        <v>0.49831854683082</v>
      </c>
      <c r="K581" s="14" t="n">
        <v>0.58037324202994</v>
      </c>
      <c r="L581" s="14" t="n">
        <v>0.701538769058814</v>
      </c>
      <c r="Q581" s="14" t="n">
        <v>0.5</v>
      </c>
      <c r="R581" s="14" t="n">
        <v>0.5</v>
      </c>
      <c r="S581" s="14" t="n">
        <v>6.75</v>
      </c>
    </row>
    <row r="582" customFormat="false" ht="15" hidden="false" customHeight="false" outlineLevel="0" collapsed="false">
      <c r="A582" s="13" t="n">
        <v>43147</v>
      </c>
      <c r="C582" s="14" t="n">
        <v>1.5</v>
      </c>
      <c r="D582" s="14" t="n">
        <v>1.25</v>
      </c>
      <c r="F582" s="14" t="n">
        <v>-0.4</v>
      </c>
      <c r="G582" s="14" t="n">
        <v>0.5</v>
      </c>
      <c r="H582" s="14" t="n">
        <v>0.4637</v>
      </c>
      <c r="I582" s="14" t="n">
        <v>0.457890453109508</v>
      </c>
      <c r="J582" s="14" t="n">
        <v>0.499662430444459</v>
      </c>
      <c r="K582" s="14" t="n">
        <v>0.579531218246224</v>
      </c>
      <c r="L582" s="14" t="n">
        <v>0.694088198687256</v>
      </c>
      <c r="Q582" s="14" t="n">
        <v>0.5</v>
      </c>
      <c r="R582" s="14" t="n">
        <v>0.49</v>
      </c>
      <c r="S582" s="14" t="n">
        <v>6.75</v>
      </c>
    </row>
    <row r="583" customFormat="false" ht="15" hidden="false" customHeight="false" outlineLevel="0" collapsed="false">
      <c r="A583" s="13" t="n">
        <v>43150</v>
      </c>
      <c r="C583" s="14" t="n">
        <v>1.5</v>
      </c>
      <c r="D583" s="14" t="n">
        <v>1.25</v>
      </c>
      <c r="F583" s="14" t="n">
        <v>-0.4</v>
      </c>
      <c r="G583" s="14" t="n">
        <v>0.5</v>
      </c>
      <c r="H583" s="14" t="n">
        <v>0.462</v>
      </c>
      <c r="I583" s="14" t="n">
        <v>0.457484242133007</v>
      </c>
      <c r="J583" s="14" t="n">
        <v>0.507050571171007</v>
      </c>
      <c r="K583" s="14" t="n">
        <v>0.592143211099171</v>
      </c>
      <c r="L583" s="14" t="n">
        <v>0.705035091989704</v>
      </c>
      <c r="Q583" s="14" t="n">
        <v>0.5</v>
      </c>
      <c r="R583" s="14" t="n">
        <v>0.49</v>
      </c>
      <c r="S583" s="14" t="n">
        <v>6.75</v>
      </c>
    </row>
    <row r="584" customFormat="false" ht="15" hidden="false" customHeight="false" outlineLevel="0" collapsed="false">
      <c r="A584" s="13" t="n">
        <v>43151</v>
      </c>
      <c r="C584" s="14" t="n">
        <v>1.5</v>
      </c>
      <c r="D584" s="14" t="n">
        <v>1.25</v>
      </c>
      <c r="F584" s="14" t="n">
        <v>-0.4</v>
      </c>
      <c r="G584" s="14" t="n">
        <v>0.5</v>
      </c>
      <c r="H584" s="14" t="n">
        <v>0.4636</v>
      </c>
      <c r="I584" s="14" t="n">
        <v>0.458864401057852</v>
      </c>
      <c r="J584" s="14" t="n">
        <v>0.505035914700321</v>
      </c>
      <c r="K584" s="14" t="n">
        <v>0.588726539432984</v>
      </c>
      <c r="L584" s="14" t="n">
        <v>0.710658446379522</v>
      </c>
      <c r="Q584" s="14" t="n">
        <v>0.5</v>
      </c>
      <c r="R584" s="14" t="n">
        <v>0.49</v>
      </c>
      <c r="S584" s="14" t="n">
        <v>6.75</v>
      </c>
    </row>
    <row r="585" customFormat="false" ht="15" hidden="false" customHeight="false" outlineLevel="0" collapsed="false">
      <c r="A585" s="13" t="n">
        <v>43152</v>
      </c>
      <c r="C585" s="14" t="n">
        <v>1.5</v>
      </c>
      <c r="D585" s="14" t="n">
        <v>1.25</v>
      </c>
      <c r="F585" s="14" t="n">
        <v>-0.4</v>
      </c>
      <c r="G585" s="14" t="n">
        <v>0.5</v>
      </c>
      <c r="H585" s="14" t="n">
        <v>0.4629</v>
      </c>
      <c r="I585" s="14" t="n">
        <v>0.45808285670319</v>
      </c>
      <c r="J585" s="14" t="n">
        <v>0.510563254085029</v>
      </c>
      <c r="K585" s="14" t="n">
        <v>0.600071978891613</v>
      </c>
      <c r="L585" s="14" t="n">
        <v>0.722756029805473</v>
      </c>
      <c r="Q585" s="14" t="n">
        <v>0.5</v>
      </c>
      <c r="R585" s="14" t="n">
        <v>0.5</v>
      </c>
      <c r="S585" s="14" t="n">
        <v>6.75</v>
      </c>
    </row>
    <row r="586" customFormat="false" ht="15" hidden="false" customHeight="false" outlineLevel="0" collapsed="false">
      <c r="A586" s="13" t="n">
        <v>43153</v>
      </c>
      <c r="C586" s="14" t="n">
        <v>1.5</v>
      </c>
      <c r="D586" s="14" t="n">
        <v>1.25</v>
      </c>
      <c r="F586" s="14" t="n">
        <v>-0.4</v>
      </c>
      <c r="G586" s="14" t="n">
        <v>0.5</v>
      </c>
      <c r="H586" s="14" t="n">
        <v>0.4637</v>
      </c>
      <c r="I586" s="14" t="n">
        <v>0.457252643748802</v>
      </c>
      <c r="J586" s="14" t="n">
        <v>0.509806715724269</v>
      </c>
      <c r="K586" s="14" t="n">
        <v>0.597778007004418</v>
      </c>
      <c r="L586" s="14" t="n">
        <v>0.71306024415176</v>
      </c>
      <c r="M586" s="14" t="n">
        <v>4.0666</v>
      </c>
      <c r="N586" s="14" t="n">
        <v>4.7054</v>
      </c>
      <c r="O586" s="14" t="n">
        <v>4.7268</v>
      </c>
      <c r="P586" s="14" t="n">
        <v>4.7434</v>
      </c>
      <c r="Q586" s="14" t="n">
        <v>0.5</v>
      </c>
      <c r="R586" s="14" t="n">
        <v>0.51</v>
      </c>
      <c r="S586" s="14" t="n">
        <v>6.75</v>
      </c>
    </row>
    <row r="587" customFormat="false" ht="15" hidden="false" customHeight="false" outlineLevel="0" collapsed="false">
      <c r="A587" s="13" t="n">
        <v>43154</v>
      </c>
      <c r="C587" s="14" t="n">
        <v>1.5</v>
      </c>
      <c r="D587" s="14" t="n">
        <v>1.25</v>
      </c>
      <c r="F587" s="14" t="n">
        <v>-0.4</v>
      </c>
      <c r="G587" s="14" t="n">
        <v>0.5</v>
      </c>
      <c r="H587" s="14" t="n">
        <v>0.4668</v>
      </c>
      <c r="I587" s="14" t="n">
        <v>0.46029917600467</v>
      </c>
      <c r="J587" s="14" t="n">
        <v>0.514701690329931</v>
      </c>
      <c r="K587" s="14" t="n">
        <v>0.600842544018566</v>
      </c>
      <c r="L587" s="14" t="n">
        <v>0.712028092859629</v>
      </c>
      <c r="M587" s="14" t="n">
        <v>4.0557</v>
      </c>
      <c r="N587" s="14" t="n">
        <v>4.7076</v>
      </c>
      <c r="O587" s="14" t="n">
        <v>4.7307</v>
      </c>
      <c r="P587" s="14" t="n">
        <v>4.742</v>
      </c>
      <c r="Q587" s="14" t="n">
        <v>0.5</v>
      </c>
      <c r="R587" s="14" t="n">
        <v>0.5</v>
      </c>
      <c r="S587" s="14" t="n">
        <v>6.75</v>
      </c>
    </row>
    <row r="588" customFormat="false" ht="15" hidden="false" customHeight="false" outlineLevel="0" collapsed="false">
      <c r="A588" s="13" t="n">
        <v>43155</v>
      </c>
      <c r="C588" s="14" t="n">
        <v>1.5</v>
      </c>
      <c r="D588" s="14" t="n">
        <v>1.25</v>
      </c>
      <c r="F588" s="14" t="n">
        <v>-0.4</v>
      </c>
      <c r="M588" s="14" t="n">
        <v>4.0526</v>
      </c>
      <c r="N588" s="14" t="n">
        <v>4.7078</v>
      </c>
      <c r="O588" s="14" t="n">
        <v>4.7291</v>
      </c>
      <c r="P588" s="14" t="n">
        <v>4.742</v>
      </c>
      <c r="S588" s="14" t="n">
        <v>6.75</v>
      </c>
    </row>
    <row r="589" customFormat="false" ht="15" hidden="false" customHeight="false" outlineLevel="0" collapsed="false">
      <c r="A589" s="13" t="n">
        <v>43157</v>
      </c>
      <c r="C589" s="14" t="n">
        <v>1.5</v>
      </c>
      <c r="D589" s="14" t="n">
        <v>1.25</v>
      </c>
      <c r="F589" s="14" t="n">
        <v>-0.4</v>
      </c>
      <c r="G589" s="14" t="n">
        <v>0.5</v>
      </c>
      <c r="H589" s="14" t="n">
        <v>0.4639</v>
      </c>
      <c r="I589" s="14" t="n">
        <v>0.464219345458526</v>
      </c>
      <c r="J589" s="14" t="n">
        <v>0.520949143365284</v>
      </c>
      <c r="K589" s="14" t="n">
        <v>0.60553814786341</v>
      </c>
      <c r="L589" s="14" t="n">
        <v>0.719127971464183</v>
      </c>
      <c r="M589" s="14" t="n">
        <v>4.0443</v>
      </c>
      <c r="N589" s="14" t="n">
        <v>4.7128</v>
      </c>
      <c r="O589" s="14" t="n">
        <v>4.729</v>
      </c>
      <c r="P589" s="14" t="n">
        <v>4.742</v>
      </c>
      <c r="Q589" s="14" t="n">
        <v>0.5</v>
      </c>
      <c r="R589" s="14" t="n">
        <v>0.49</v>
      </c>
      <c r="S589" s="14" t="n">
        <v>6.75</v>
      </c>
    </row>
    <row r="590" customFormat="false" ht="15" hidden="false" customHeight="false" outlineLevel="0" collapsed="false">
      <c r="A590" s="13" t="n">
        <v>43158</v>
      </c>
      <c r="C590" s="14" t="n">
        <v>1.5</v>
      </c>
      <c r="D590" s="14" t="n">
        <v>1.25</v>
      </c>
      <c r="F590" s="14" t="n">
        <v>-0.4</v>
      </c>
      <c r="G590" s="14" t="n">
        <v>0.5</v>
      </c>
      <c r="H590" s="14" t="n">
        <v>0.4656</v>
      </c>
      <c r="I590" s="14" t="n">
        <v>0.464250146514361</v>
      </c>
      <c r="J590" s="14" t="n">
        <v>0.521301541550395</v>
      </c>
      <c r="K590" s="14" t="n">
        <v>0.608831783783056</v>
      </c>
      <c r="L590" s="14" t="n">
        <v>0.728486575029764</v>
      </c>
      <c r="M590" s="14" t="n">
        <v>4.038</v>
      </c>
      <c r="N590" s="14" t="n">
        <v>4.7103</v>
      </c>
      <c r="O590" s="14" t="n">
        <v>4.727</v>
      </c>
      <c r="P590" s="14" t="n">
        <v>4.7422</v>
      </c>
      <c r="Q590" s="14" t="n">
        <v>0.5</v>
      </c>
      <c r="R590" s="14" t="n">
        <v>0.5</v>
      </c>
      <c r="S590" s="14" t="n">
        <v>6.75</v>
      </c>
    </row>
    <row r="591" customFormat="false" ht="15" hidden="false" customHeight="false" outlineLevel="0" collapsed="false">
      <c r="A591" s="13" t="n">
        <v>43159</v>
      </c>
      <c r="C591" s="14" t="n">
        <v>1.5</v>
      </c>
      <c r="D591" s="14" t="n">
        <v>1.25</v>
      </c>
      <c r="F591" s="14" t="n">
        <v>-0.4</v>
      </c>
      <c r="G591" s="14" t="n">
        <v>0.5</v>
      </c>
      <c r="H591" s="14" t="n">
        <v>0.4612</v>
      </c>
      <c r="I591" s="14" t="n">
        <v>0.462616614431904</v>
      </c>
      <c r="J591" s="14" t="n">
        <v>0.517629840742737</v>
      </c>
      <c r="K591" s="14" t="n">
        <v>0.604090492086379</v>
      </c>
      <c r="L591" s="14" t="n">
        <v>0.720302162395091</v>
      </c>
      <c r="M591" s="14" t="n">
        <v>4.0428</v>
      </c>
      <c r="N591" s="14" t="n">
        <v>4.7131</v>
      </c>
      <c r="O591" s="14" t="n">
        <v>4.7287</v>
      </c>
      <c r="P591" s="14" t="n">
        <v>4.742</v>
      </c>
      <c r="Q591" s="14" t="n">
        <v>0.5</v>
      </c>
      <c r="R591" s="14" t="n">
        <v>0.49</v>
      </c>
      <c r="S591" s="14" t="n">
        <v>6.75</v>
      </c>
    </row>
    <row r="592" customFormat="false" ht="15" hidden="false" customHeight="false" outlineLevel="0" collapsed="false">
      <c r="A592" s="13" t="n">
        <v>43160</v>
      </c>
      <c r="C592" s="14" t="n">
        <v>1.5</v>
      </c>
      <c r="D592" s="14" t="n">
        <v>1.25</v>
      </c>
      <c r="F592" s="14" t="n">
        <v>-0.4</v>
      </c>
      <c r="G592" s="14" t="n">
        <v>0.5</v>
      </c>
      <c r="H592" s="14" t="n">
        <v>0.4646</v>
      </c>
      <c r="I592" s="14" t="n">
        <v>0.461771630343628</v>
      </c>
      <c r="J592" s="14" t="n">
        <v>0.517637988591778</v>
      </c>
      <c r="K592" s="14" t="n">
        <v>0.602583084434594</v>
      </c>
      <c r="L592" s="14" t="n">
        <v>0.717848196977114</v>
      </c>
      <c r="M592" s="14" t="n">
        <v>4.0403</v>
      </c>
      <c r="N592" s="14" t="n">
        <v>4.7154</v>
      </c>
      <c r="O592" s="14" t="n">
        <v>4.7289</v>
      </c>
      <c r="P592" s="14" t="n">
        <v>4.742</v>
      </c>
      <c r="Q592" s="14" t="n">
        <v>0.5</v>
      </c>
      <c r="R592" s="14" t="n">
        <v>0.49</v>
      </c>
      <c r="S592" s="14" t="n">
        <v>6.75</v>
      </c>
    </row>
    <row r="593" customFormat="false" ht="15" hidden="false" customHeight="false" outlineLevel="0" collapsed="false">
      <c r="A593" s="13" t="n">
        <v>43161</v>
      </c>
      <c r="C593" s="14" t="n">
        <v>1.5</v>
      </c>
      <c r="D593" s="14" t="n">
        <v>1.25</v>
      </c>
      <c r="F593" s="14" t="n">
        <v>-0.4</v>
      </c>
      <c r="G593" s="14" t="n">
        <v>0.5</v>
      </c>
      <c r="H593" s="14" t="n">
        <v>0.4655</v>
      </c>
      <c r="I593" s="14" t="n">
        <v>0.462192715156587</v>
      </c>
      <c r="J593" s="14" t="n">
        <v>0.516512157694062</v>
      </c>
      <c r="K593" s="14" t="n">
        <v>0.600301439750385</v>
      </c>
      <c r="L593" s="14" t="n">
        <v>0.712049984171303</v>
      </c>
      <c r="M593" s="14" t="n">
        <v>4.0451</v>
      </c>
      <c r="N593" s="14" t="n">
        <v>4.7191</v>
      </c>
      <c r="O593" s="14" t="n">
        <v>4.7319</v>
      </c>
      <c r="P593" s="14" t="n">
        <v>4.742</v>
      </c>
      <c r="Q593" s="14" t="n">
        <v>0.5</v>
      </c>
      <c r="R593" s="14" t="n">
        <v>0.5</v>
      </c>
      <c r="S593" s="14" t="n">
        <v>6.75</v>
      </c>
    </row>
    <row r="594" customFormat="false" ht="15" hidden="false" customHeight="false" outlineLevel="0" collapsed="false">
      <c r="A594" s="13" t="n">
        <v>43164</v>
      </c>
      <c r="C594" s="14" t="n">
        <v>1.5</v>
      </c>
      <c r="D594" s="14" t="n">
        <v>1.25</v>
      </c>
      <c r="F594" s="14" t="n">
        <v>-0.4</v>
      </c>
      <c r="G594" s="14" t="n">
        <v>0.5</v>
      </c>
      <c r="H594" s="14" t="n">
        <v>0.4643</v>
      </c>
      <c r="I594" s="14" t="n">
        <v>0.461316744359461</v>
      </c>
      <c r="J594" s="14" t="n">
        <v>0.521745291270612</v>
      </c>
      <c r="K594" s="14" t="n">
        <v>0.611039226427929</v>
      </c>
      <c r="L594" s="14" t="n">
        <v>0.723281736391672</v>
      </c>
      <c r="M594" s="14" t="n">
        <v>4.0726</v>
      </c>
      <c r="N594" s="14" t="n">
        <v>4.722</v>
      </c>
      <c r="O594" s="14" t="n">
        <v>4.7332</v>
      </c>
      <c r="P594" s="14" t="n">
        <v>4.742</v>
      </c>
      <c r="Q594" s="14" t="n">
        <v>0.5</v>
      </c>
      <c r="R594" s="14" t="n">
        <v>0.49</v>
      </c>
      <c r="S594" s="14" t="n">
        <v>6.75</v>
      </c>
    </row>
    <row r="595" customFormat="false" ht="15" hidden="false" customHeight="false" outlineLevel="0" collapsed="false">
      <c r="A595" s="13" t="n">
        <v>43165</v>
      </c>
      <c r="C595" s="14" t="n">
        <v>1.5</v>
      </c>
      <c r="D595" s="14" t="n">
        <v>1.25</v>
      </c>
      <c r="F595" s="14" t="n">
        <v>-0.4</v>
      </c>
      <c r="G595" s="14" t="n">
        <v>0.5</v>
      </c>
      <c r="H595" s="14" t="n">
        <v>0.4647</v>
      </c>
      <c r="I595" s="14" t="n">
        <v>0.464383977877283</v>
      </c>
      <c r="J595" s="14" t="n">
        <v>0.524676210910994</v>
      </c>
      <c r="K595" s="14" t="n">
        <v>0.613450730696706</v>
      </c>
      <c r="L595" s="14" t="n">
        <v>0.727582766010768</v>
      </c>
      <c r="M595" s="14" t="n">
        <v>4.1453</v>
      </c>
      <c r="N595" s="14" t="n">
        <v>4.7332</v>
      </c>
      <c r="O595" s="14" t="n">
        <v>4.7334</v>
      </c>
      <c r="P595" s="14" t="n">
        <v>4.742</v>
      </c>
      <c r="Q595" s="14" t="n">
        <v>0.5</v>
      </c>
      <c r="R595" s="14" t="n">
        <v>0.49</v>
      </c>
      <c r="S595" s="14" t="n">
        <v>6.75</v>
      </c>
    </row>
    <row r="596" customFormat="false" ht="15" hidden="false" customHeight="false" outlineLevel="0" collapsed="false">
      <c r="A596" s="13" t="n">
        <v>43166</v>
      </c>
      <c r="C596" s="14" t="n">
        <v>1.5</v>
      </c>
      <c r="D596" s="14" t="n">
        <v>1.25</v>
      </c>
      <c r="F596" s="14" t="n">
        <v>-0.4</v>
      </c>
      <c r="G596" s="14" t="n">
        <v>0.5</v>
      </c>
      <c r="H596" s="14" t="n">
        <v>0.4648</v>
      </c>
      <c r="I596" s="14" t="n">
        <v>0.465267131298436</v>
      </c>
      <c r="J596" s="14" t="n">
        <v>0.52376676399215</v>
      </c>
      <c r="K596" s="14" t="n">
        <v>0.609364296533708</v>
      </c>
      <c r="L596" s="14" t="n">
        <v>0.720497537960201</v>
      </c>
      <c r="M596" s="14" t="n">
        <v>4.1936</v>
      </c>
      <c r="N596" s="14" t="n">
        <v>4.7364</v>
      </c>
      <c r="O596" s="14" t="n">
        <v>4.7404</v>
      </c>
      <c r="P596" s="14" t="n">
        <v>4.742</v>
      </c>
      <c r="Q596" s="14" t="n">
        <v>0.5</v>
      </c>
      <c r="R596" s="14" t="n">
        <v>0.49</v>
      </c>
      <c r="S596" s="14" t="n">
        <v>6.75</v>
      </c>
    </row>
    <row r="597" customFormat="false" ht="15" hidden="false" customHeight="false" outlineLevel="0" collapsed="false">
      <c r="A597" s="13" t="n">
        <v>43167</v>
      </c>
      <c r="C597" s="14" t="n">
        <v>1.5</v>
      </c>
      <c r="D597" s="14" t="n">
        <v>1.25</v>
      </c>
      <c r="F597" s="14" t="n">
        <v>-0.4</v>
      </c>
      <c r="G597" s="14" t="n">
        <v>0.5</v>
      </c>
      <c r="H597" s="14" t="n">
        <v>0.4645</v>
      </c>
      <c r="I597" s="14" t="n">
        <v>0.462667232515162</v>
      </c>
      <c r="J597" s="14" t="n">
        <v>0.523888247724809</v>
      </c>
      <c r="K597" s="14" t="n">
        <v>0.611627750976223</v>
      </c>
      <c r="L597" s="14" t="n">
        <v>0.720512630871907</v>
      </c>
      <c r="M597" s="14" t="n">
        <v>4.2544</v>
      </c>
      <c r="N597" s="14" t="n">
        <v>4.7407</v>
      </c>
      <c r="O597" s="14" t="n">
        <v>4.7468</v>
      </c>
      <c r="P597" s="14" t="n">
        <v>4.7418</v>
      </c>
      <c r="Q597" s="14" t="n">
        <v>0.5</v>
      </c>
      <c r="R597" s="14" t="n">
        <v>0.49</v>
      </c>
      <c r="S597" s="14" t="n">
        <v>6.75</v>
      </c>
    </row>
    <row r="598" customFormat="false" ht="15" hidden="false" customHeight="false" outlineLevel="0" collapsed="false">
      <c r="A598" s="13" t="n">
        <v>43168</v>
      </c>
      <c r="C598" s="14" t="n">
        <v>1.5</v>
      </c>
      <c r="D598" s="14" t="n">
        <v>1.25</v>
      </c>
      <c r="F598" s="14" t="n">
        <v>-0.4</v>
      </c>
      <c r="G598" s="14" t="n">
        <v>0.5</v>
      </c>
      <c r="H598" s="14" t="n">
        <v>0.4627</v>
      </c>
      <c r="I598" s="14" t="n">
        <v>0.471907453474501</v>
      </c>
      <c r="J598" s="14" t="n">
        <v>0.528707463402636</v>
      </c>
      <c r="K598" s="14" t="n">
        <v>0.610886901595534</v>
      </c>
      <c r="L598" s="14" t="n">
        <v>0.722609573293296</v>
      </c>
      <c r="M598" s="14" t="n">
        <v>4.3265</v>
      </c>
      <c r="N598" s="14" t="n">
        <v>4.741</v>
      </c>
      <c r="O598" s="14" t="n">
        <v>4.7508</v>
      </c>
      <c r="P598" s="14" t="n">
        <v>4.7418</v>
      </c>
      <c r="Q598" s="14" t="n">
        <v>0.5</v>
      </c>
      <c r="R598" s="14" t="n">
        <v>0.49</v>
      </c>
      <c r="S598" s="14" t="n">
        <v>6.75</v>
      </c>
    </row>
    <row r="599" customFormat="false" ht="15" hidden="false" customHeight="false" outlineLevel="0" collapsed="false">
      <c r="A599" s="13" t="n">
        <v>43171</v>
      </c>
      <c r="C599" s="14" t="n">
        <v>1.5</v>
      </c>
      <c r="D599" s="14" t="n">
        <v>1.25</v>
      </c>
      <c r="F599" s="14" t="n">
        <v>-0.4</v>
      </c>
      <c r="G599" s="14" t="n">
        <v>0.5</v>
      </c>
      <c r="H599" s="14" t="n">
        <v>0.465</v>
      </c>
      <c r="I599" s="14" t="n">
        <v>0.467473817635613</v>
      </c>
      <c r="J599" s="14" t="n">
        <v>0.533039387640993</v>
      </c>
      <c r="K599" s="14" t="n">
        <v>0.618836897868439</v>
      </c>
      <c r="L599" s="14" t="n">
        <v>0.733325682884218</v>
      </c>
      <c r="M599" s="14" t="n">
        <v>4.3707</v>
      </c>
      <c r="N599" s="14" t="n">
        <v>4.735</v>
      </c>
      <c r="O599" s="14" t="n">
        <v>4.7518</v>
      </c>
      <c r="P599" s="14" t="n">
        <v>4.7418</v>
      </c>
      <c r="Q599" s="14" t="n">
        <v>0.5</v>
      </c>
      <c r="R599" s="14" t="n">
        <v>0.49</v>
      </c>
      <c r="S599" s="14" t="n">
        <v>6.75</v>
      </c>
    </row>
    <row r="600" customFormat="false" ht="15" hidden="false" customHeight="false" outlineLevel="0" collapsed="false">
      <c r="A600" s="13" t="n">
        <v>43172</v>
      </c>
      <c r="C600" s="14" t="n">
        <v>1.5</v>
      </c>
      <c r="D600" s="14" t="n">
        <v>1.25</v>
      </c>
      <c r="F600" s="14" t="n">
        <v>-0.4</v>
      </c>
      <c r="G600" s="14" t="n">
        <v>0.5</v>
      </c>
      <c r="H600" s="14" t="n">
        <v>0.4637</v>
      </c>
      <c r="I600" s="14" t="n">
        <v>0.467407695828898</v>
      </c>
      <c r="J600" s="14" t="n">
        <v>0.534117887204739</v>
      </c>
      <c r="K600" s="14" t="n">
        <v>0.618367414027108</v>
      </c>
      <c r="L600" s="14" t="n">
        <v>0.726720385806771</v>
      </c>
      <c r="M600" s="14" t="n">
        <v>4.4071</v>
      </c>
      <c r="N600" s="14" t="n">
        <v>4.725</v>
      </c>
      <c r="O600" s="14" t="n">
        <v>4.7518</v>
      </c>
      <c r="P600" s="14" t="n">
        <v>4.7418</v>
      </c>
      <c r="Q600" s="14" t="n">
        <v>0.5</v>
      </c>
      <c r="R600" s="14" t="n">
        <v>0.48</v>
      </c>
      <c r="S600" s="14" t="n">
        <v>6.75</v>
      </c>
    </row>
    <row r="601" customFormat="false" ht="15" hidden="false" customHeight="false" outlineLevel="0" collapsed="false">
      <c r="A601" s="13" t="n">
        <v>43173</v>
      </c>
      <c r="C601" s="14" t="n">
        <v>1.5</v>
      </c>
      <c r="D601" s="14" t="n">
        <v>1.25</v>
      </c>
      <c r="F601" s="14" t="n">
        <v>-0.4</v>
      </c>
      <c r="G601" s="14" t="n">
        <v>0.5</v>
      </c>
      <c r="H601" s="14" t="n">
        <v>0.4637</v>
      </c>
      <c r="I601" s="14" t="n">
        <v>0.46613835845936</v>
      </c>
      <c r="J601" s="14" t="n">
        <v>0.535414097732199</v>
      </c>
      <c r="K601" s="14" t="n">
        <v>0.62060518796017</v>
      </c>
      <c r="L601" s="14" t="n">
        <v>0.72704655327777</v>
      </c>
      <c r="M601" s="14" t="n">
        <v>4.4578</v>
      </c>
      <c r="N601" s="14" t="n">
        <v>4.719</v>
      </c>
      <c r="O601" s="14" t="n">
        <v>4.7568</v>
      </c>
      <c r="P601" s="14" t="n">
        <v>4.7418</v>
      </c>
      <c r="Q601" s="14" t="n">
        <v>0.5</v>
      </c>
      <c r="R601" s="14" t="n">
        <v>0.49</v>
      </c>
      <c r="S601" s="14" t="n">
        <v>6.75</v>
      </c>
    </row>
    <row r="602" customFormat="false" ht="15" hidden="false" customHeight="false" outlineLevel="0" collapsed="false">
      <c r="A602" s="13" t="n">
        <v>43174</v>
      </c>
      <c r="C602" s="14" t="n">
        <v>1.5</v>
      </c>
      <c r="D602" s="14" t="n">
        <v>1.25</v>
      </c>
      <c r="F602" s="14" t="n">
        <v>-0.4</v>
      </c>
      <c r="G602" s="14" t="n">
        <v>0.5</v>
      </c>
      <c r="H602" s="14" t="n">
        <v>0.4659</v>
      </c>
      <c r="I602" s="14" t="n">
        <v>0.467450590377797</v>
      </c>
      <c r="J602" s="14" t="n">
        <v>0.538534836745762</v>
      </c>
      <c r="K602" s="14" t="n">
        <v>0.623099167407151</v>
      </c>
      <c r="L602" s="14" t="n">
        <v>0.727459033840879</v>
      </c>
      <c r="M602" s="14" t="n">
        <v>4.4908</v>
      </c>
      <c r="N602" s="14" t="n">
        <v>4.7139</v>
      </c>
      <c r="O602" s="14" t="n">
        <v>4.7588</v>
      </c>
      <c r="P602" s="14" t="n">
        <v>4.7418</v>
      </c>
      <c r="Q602" s="14" t="n">
        <v>0.5</v>
      </c>
      <c r="R602" s="14" t="n">
        <v>0.48</v>
      </c>
      <c r="S602" s="14" t="n">
        <v>6.75</v>
      </c>
    </row>
    <row r="603" customFormat="false" ht="15" hidden="false" customHeight="false" outlineLevel="0" collapsed="false">
      <c r="A603" s="13" t="n">
        <v>43175</v>
      </c>
      <c r="C603" s="14" t="n">
        <v>1.5</v>
      </c>
      <c r="D603" s="14" t="n">
        <v>1.25</v>
      </c>
      <c r="F603" s="14" t="n">
        <v>-0.4</v>
      </c>
      <c r="G603" s="14" t="n">
        <v>0.5</v>
      </c>
      <c r="H603" s="14" t="n">
        <v>0.4644</v>
      </c>
      <c r="I603" s="14" t="n">
        <v>0.470075843283252</v>
      </c>
      <c r="J603" s="14" t="n">
        <v>0.540496291816698</v>
      </c>
      <c r="K603" s="14" t="n">
        <v>0.62546546962299</v>
      </c>
      <c r="L603" s="14" t="n">
        <v>0.7301951961354</v>
      </c>
      <c r="M603" s="14" t="n">
        <v>4.5101</v>
      </c>
      <c r="N603" s="14" t="n">
        <v>4.712</v>
      </c>
      <c r="O603" s="14" t="n">
        <v>4.7488</v>
      </c>
      <c r="P603" s="14" t="n">
        <v>4.7418</v>
      </c>
      <c r="Q603" s="14" t="n">
        <v>0.5</v>
      </c>
      <c r="R603" s="14" t="n">
        <v>0.48</v>
      </c>
      <c r="S603" s="14" t="n">
        <v>6.75</v>
      </c>
    </row>
    <row r="604" customFormat="false" ht="15" hidden="false" customHeight="false" outlineLevel="0" collapsed="false">
      <c r="A604" s="13" t="n">
        <v>43178</v>
      </c>
      <c r="C604" s="14" t="n">
        <v>1.5</v>
      </c>
      <c r="D604" s="14" t="n">
        <v>1.25</v>
      </c>
      <c r="F604" s="14" t="n">
        <v>-0.4</v>
      </c>
      <c r="G604" s="14" t="n">
        <v>0.5</v>
      </c>
      <c r="H604" s="14" t="n">
        <v>0.4633</v>
      </c>
      <c r="I604" s="14" t="n">
        <v>0.475193479549963</v>
      </c>
      <c r="J604" s="14" t="n">
        <v>0.549827032794367</v>
      </c>
      <c r="K604" s="14" t="n">
        <v>0.632831218046205</v>
      </c>
      <c r="L604" s="14" t="n">
        <v>0.735457795857437</v>
      </c>
      <c r="M604" s="14" t="n">
        <v>4.5121</v>
      </c>
      <c r="N604" s="14" t="n">
        <v>4.704</v>
      </c>
      <c r="O604" s="14" t="n">
        <v>4.7418</v>
      </c>
      <c r="P604" s="14" t="n">
        <v>4.7418</v>
      </c>
      <c r="Q604" s="14" t="n">
        <v>0.5</v>
      </c>
      <c r="R604" s="14" t="n">
        <v>0.49</v>
      </c>
      <c r="S604" s="14" t="n">
        <v>6.75</v>
      </c>
    </row>
    <row r="605" customFormat="false" ht="15" hidden="false" customHeight="false" outlineLevel="0" collapsed="false">
      <c r="A605" s="13" t="n">
        <v>43179</v>
      </c>
      <c r="C605" s="14" t="n">
        <v>1.5</v>
      </c>
      <c r="D605" s="14" t="n">
        <v>1.25</v>
      </c>
      <c r="F605" s="14" t="n">
        <v>-0.4</v>
      </c>
      <c r="G605" s="14" t="n">
        <v>0.5</v>
      </c>
      <c r="H605" s="14" t="n">
        <v>0.4636</v>
      </c>
      <c r="I605" s="14" t="n">
        <v>0.480335481327932</v>
      </c>
      <c r="J605" s="14" t="n">
        <v>0.554247827129717</v>
      </c>
      <c r="K605" s="14" t="n">
        <v>0.639528671499974</v>
      </c>
      <c r="L605" s="14" t="n">
        <v>0.748427476183925</v>
      </c>
      <c r="M605" s="14" t="n">
        <v>4.5093</v>
      </c>
      <c r="N605" s="14" t="n">
        <v>4.685</v>
      </c>
      <c r="O605" s="14" t="n">
        <v>4.734</v>
      </c>
      <c r="P605" s="14" t="n">
        <v>4.7418</v>
      </c>
      <c r="Q605" s="14" t="n">
        <v>0.5</v>
      </c>
      <c r="R605" s="14" t="n">
        <v>0.5</v>
      </c>
      <c r="S605" s="14" t="n">
        <v>6.75</v>
      </c>
    </row>
    <row r="606" customFormat="false" ht="15" hidden="false" customHeight="false" outlineLevel="0" collapsed="false">
      <c r="A606" s="13" t="n">
        <v>43180</v>
      </c>
      <c r="C606" s="14" t="n">
        <v>1.5</v>
      </c>
      <c r="D606" s="14" t="n">
        <v>1.25</v>
      </c>
      <c r="F606" s="14" t="n">
        <v>-0.4</v>
      </c>
      <c r="G606" s="14" t="n">
        <v>0.5</v>
      </c>
      <c r="H606" s="14" t="n">
        <v>0.4667</v>
      </c>
      <c r="I606" s="14" t="n">
        <v>0.475282403962082</v>
      </c>
      <c r="J606" s="14" t="n">
        <v>0.559119640641477</v>
      </c>
      <c r="K606" s="14" t="n">
        <v>0.648036293921017</v>
      </c>
      <c r="L606" s="14" t="n">
        <v>0.761433832499404</v>
      </c>
      <c r="M606" s="14" t="n">
        <v>4.5042</v>
      </c>
      <c r="N606" s="14" t="n">
        <v>4.6751</v>
      </c>
      <c r="O606" s="14" t="n">
        <v>4.7185</v>
      </c>
      <c r="P606" s="14" t="n">
        <v>4.7418</v>
      </c>
      <c r="Q606" s="14" t="n">
        <v>0.5</v>
      </c>
      <c r="R606" s="14" t="n">
        <v>0.49</v>
      </c>
      <c r="S606" s="14" t="n">
        <v>6.75</v>
      </c>
    </row>
    <row r="607" customFormat="false" ht="15" hidden="false" customHeight="false" outlineLevel="0" collapsed="false">
      <c r="A607" s="13" t="n">
        <v>43181</v>
      </c>
      <c r="C607" s="14" t="n">
        <v>1.75</v>
      </c>
      <c r="D607" s="14" t="n">
        <v>1.5</v>
      </c>
      <c r="F607" s="14" t="n">
        <v>-0.4</v>
      </c>
      <c r="G607" s="14" t="n">
        <v>0.5</v>
      </c>
      <c r="H607" s="14" t="n">
        <v>0.4634</v>
      </c>
      <c r="I607" s="14" t="n">
        <v>0.456908347746704</v>
      </c>
      <c r="J607" s="14" t="n">
        <v>0.550458851761114</v>
      </c>
      <c r="K607" s="14" t="n">
        <v>0.643035414581974</v>
      </c>
      <c r="L607" s="14" t="n">
        <v>0.749989642857148</v>
      </c>
      <c r="M607" s="14" t="n">
        <v>4.4662</v>
      </c>
      <c r="N607" s="14" t="n">
        <v>4.6621</v>
      </c>
      <c r="O607" s="14" t="n">
        <v>4.7095</v>
      </c>
      <c r="P607" s="14" t="n">
        <v>4.737</v>
      </c>
      <c r="Q607" s="14" t="n">
        <v>0.5</v>
      </c>
      <c r="R607" s="14" t="n">
        <v>0.48</v>
      </c>
      <c r="S607" s="14" t="n">
        <v>6.5</v>
      </c>
    </row>
    <row r="608" customFormat="false" ht="15" hidden="false" customHeight="false" outlineLevel="0" collapsed="false">
      <c r="A608" s="13" t="n">
        <v>43182</v>
      </c>
      <c r="C608" s="14" t="n">
        <v>1.75</v>
      </c>
      <c r="D608" s="14" t="n">
        <v>1.5</v>
      </c>
      <c r="F608" s="14" t="n">
        <v>-0.4</v>
      </c>
      <c r="G608" s="14" t="n">
        <v>0.5</v>
      </c>
      <c r="H608" s="14" t="n">
        <v>0.468</v>
      </c>
      <c r="I608" s="14" t="n">
        <v>0.458843184110255</v>
      </c>
      <c r="J608" s="14" t="n">
        <v>0.549158100248289</v>
      </c>
      <c r="K608" s="14" t="n">
        <v>0.637441902710488</v>
      </c>
      <c r="L608" s="14" t="n">
        <v>0.742129284320058</v>
      </c>
      <c r="M608" s="14" t="n">
        <v>4.4364</v>
      </c>
      <c r="N608" s="14" t="n">
        <v>4.6489</v>
      </c>
      <c r="O608" s="14" t="n">
        <v>4.7005</v>
      </c>
      <c r="P608" s="14" t="n">
        <v>4.7248</v>
      </c>
      <c r="Q608" s="14" t="n">
        <v>0.5</v>
      </c>
      <c r="R608" s="14" t="n">
        <v>0.49</v>
      </c>
      <c r="S608" s="14" t="n">
        <v>6.5</v>
      </c>
    </row>
    <row r="609" customFormat="false" ht="15" hidden="false" customHeight="false" outlineLevel="0" collapsed="false">
      <c r="A609" s="13" t="n">
        <v>43185</v>
      </c>
      <c r="C609" s="14" t="n">
        <v>1.75</v>
      </c>
      <c r="D609" s="14" t="n">
        <v>1.5</v>
      </c>
      <c r="F609" s="14" t="n">
        <v>-0.4</v>
      </c>
      <c r="G609" s="14" t="n">
        <v>0.5</v>
      </c>
      <c r="H609" s="14" t="n">
        <v>0.4666</v>
      </c>
      <c r="I609" s="14" t="n">
        <v>0.458213851299583</v>
      </c>
      <c r="J609" s="14" t="n">
        <v>0.559876220409062</v>
      </c>
      <c r="K609" s="14" t="n">
        <v>0.643980635196286</v>
      </c>
      <c r="L609" s="14" t="n">
        <v>0.7485735356679</v>
      </c>
      <c r="M609" s="14" t="n">
        <v>4.4094</v>
      </c>
      <c r="N609" s="14" t="n">
        <v>4.6351</v>
      </c>
      <c r="O609" s="14" t="n">
        <v>4.6925</v>
      </c>
      <c r="P609" s="14" t="n">
        <v>4.7233</v>
      </c>
      <c r="Q609" s="14" t="n">
        <v>0.5</v>
      </c>
      <c r="R609" s="14" t="n">
        <v>0.49</v>
      </c>
      <c r="S609" s="14" t="n">
        <v>6.5</v>
      </c>
    </row>
    <row r="610" customFormat="false" ht="15" hidden="false" customHeight="false" outlineLevel="0" collapsed="false">
      <c r="A610" s="13" t="n">
        <v>43186</v>
      </c>
      <c r="C610" s="14" t="n">
        <v>1.75</v>
      </c>
      <c r="D610" s="14" t="n">
        <v>1.5</v>
      </c>
      <c r="F610" s="14" t="n">
        <v>-0.4</v>
      </c>
      <c r="G610" s="14" t="n">
        <v>0.5</v>
      </c>
      <c r="H610" s="14" t="n">
        <v>0.4652</v>
      </c>
      <c r="I610" s="14" t="n">
        <v>0.466915604895817</v>
      </c>
      <c r="J610" s="14" t="n">
        <v>0.564130655464857</v>
      </c>
      <c r="K610" s="14" t="n">
        <v>0.645638259176936</v>
      </c>
      <c r="L610" s="14" t="n">
        <v>0.745390092272737</v>
      </c>
      <c r="M610" s="14" t="n">
        <v>4.3906</v>
      </c>
      <c r="N610" s="14" t="n">
        <v>4.6239</v>
      </c>
      <c r="O610" s="14" t="n">
        <v>4.6606</v>
      </c>
      <c r="P610" s="14" t="n">
        <v>4.7188</v>
      </c>
      <c r="Q610" s="14" t="n">
        <v>0.5</v>
      </c>
      <c r="R610" s="14" t="n">
        <v>0.49</v>
      </c>
      <c r="S610" s="14" t="n">
        <v>6.5</v>
      </c>
    </row>
    <row r="611" customFormat="false" ht="15" hidden="false" customHeight="false" outlineLevel="0" collapsed="false">
      <c r="A611" s="13" t="n">
        <v>43187</v>
      </c>
      <c r="C611" s="14" t="n">
        <v>1.75</v>
      </c>
      <c r="D611" s="14" t="n">
        <v>1.5</v>
      </c>
      <c r="F611" s="14" t="n">
        <v>-0.4</v>
      </c>
      <c r="G611" s="14" t="n">
        <v>0.5</v>
      </c>
      <c r="H611" s="14" t="n">
        <v>0.4638</v>
      </c>
      <c r="I611" s="14" t="n">
        <v>0.458061608699783</v>
      </c>
      <c r="J611" s="14" t="n">
        <v>0.559195046886708</v>
      </c>
      <c r="K611" s="14" t="n">
        <v>0.642514141795774</v>
      </c>
      <c r="L611" s="14" t="n">
        <v>0.738975771883988</v>
      </c>
      <c r="M611" s="14" t="n">
        <v>4.3421</v>
      </c>
      <c r="N611" s="14" t="n">
        <v>4.6174</v>
      </c>
      <c r="O611" s="14" t="n">
        <v>4.6656</v>
      </c>
      <c r="P611" s="14" t="n">
        <v>4.7148</v>
      </c>
      <c r="Q611" s="14" t="n">
        <v>0.5</v>
      </c>
      <c r="R611" s="14" t="n">
        <v>0.54</v>
      </c>
      <c r="S611" s="14" t="n">
        <v>6.5</v>
      </c>
    </row>
    <row r="612" customFormat="false" ht="15" hidden="false" customHeight="false" outlineLevel="0" collapsed="false">
      <c r="A612" s="13" t="n">
        <v>43188</v>
      </c>
      <c r="C612" s="14" t="n">
        <v>1.75</v>
      </c>
      <c r="D612" s="14" t="n">
        <v>1.5</v>
      </c>
      <c r="F612" s="14" t="n">
        <v>-0.4</v>
      </c>
      <c r="G612" s="14" t="n">
        <v>0.5</v>
      </c>
      <c r="H612" s="14" t="n">
        <v>0.4435</v>
      </c>
      <c r="I612" s="14" t="n">
        <v>0.458527222218072</v>
      </c>
      <c r="J612" s="14" t="n">
        <v>0.562522343642618</v>
      </c>
      <c r="K612" s="14" t="n">
        <v>0.647409129032376</v>
      </c>
      <c r="L612" s="14" t="n">
        <v>0.739088513535995</v>
      </c>
      <c r="M612" s="14" t="n">
        <v>4.3133</v>
      </c>
      <c r="N612" s="14" t="n">
        <v>4.5247</v>
      </c>
      <c r="O612" s="14" t="n">
        <v>4.6053</v>
      </c>
      <c r="P612" s="14" t="n">
        <v>4.678</v>
      </c>
      <c r="S612" s="14" t="n">
        <v>6.5</v>
      </c>
    </row>
    <row r="613" customFormat="false" ht="15" hidden="false" customHeight="false" outlineLevel="0" collapsed="false">
      <c r="A613" s="13" t="n">
        <v>43189</v>
      </c>
      <c r="C613" s="14" t="n">
        <v>1.75</v>
      </c>
      <c r="D613" s="14" t="n">
        <v>1.5</v>
      </c>
      <c r="F613" s="14" t="n">
        <v>-0.4</v>
      </c>
      <c r="M613" s="14" t="n">
        <v>4.2884</v>
      </c>
      <c r="N613" s="14" t="n">
        <v>4.4615</v>
      </c>
      <c r="O613" s="14" t="n">
        <v>4.5686</v>
      </c>
      <c r="P613" s="14" t="n">
        <v>4.6508</v>
      </c>
      <c r="S613" s="14" t="n">
        <v>6.5</v>
      </c>
    </row>
    <row r="614" customFormat="false" ht="15" hidden="false" customHeight="false" outlineLevel="0" collapsed="false">
      <c r="A614" s="13" t="n">
        <v>43192</v>
      </c>
      <c r="C614" s="14" t="n">
        <v>1.75</v>
      </c>
      <c r="D614" s="14" t="n">
        <v>1.5</v>
      </c>
      <c r="F614" s="14" t="n">
        <v>-0.4</v>
      </c>
      <c r="M614" s="14" t="n">
        <v>4.1879</v>
      </c>
      <c r="N614" s="14" t="n">
        <v>4.4052</v>
      </c>
      <c r="O614" s="14" t="n">
        <v>4.5309</v>
      </c>
      <c r="P614" s="14" t="n">
        <v>4.625</v>
      </c>
      <c r="S614" s="14" t="n">
        <v>6.5</v>
      </c>
    </row>
    <row r="615" customFormat="false" ht="15" hidden="false" customHeight="false" outlineLevel="0" collapsed="false">
      <c r="A615" s="13" t="n">
        <v>43193</v>
      </c>
      <c r="B615" s="14" t="n">
        <v>1.83</v>
      </c>
      <c r="C615" s="14" t="n">
        <v>1.75</v>
      </c>
      <c r="D615" s="14" t="n">
        <v>1.5</v>
      </c>
      <c r="F615" s="14" t="n">
        <v>-0.4</v>
      </c>
      <c r="G615" s="14" t="n">
        <v>0.5</v>
      </c>
      <c r="H615" s="14" t="n">
        <v>0.4652</v>
      </c>
      <c r="I615" s="14" t="n">
        <v>0.465009637071966</v>
      </c>
      <c r="J615" s="14" t="n">
        <v>0.572565954952654</v>
      </c>
      <c r="K615" s="14" t="n">
        <v>0.655081692567331</v>
      </c>
      <c r="L615" s="14" t="n">
        <v>0.747241758442701</v>
      </c>
      <c r="M615" s="14" t="n">
        <v>4.1268</v>
      </c>
      <c r="N615" s="14" t="n">
        <v>4.3506</v>
      </c>
      <c r="O615" s="14" t="n">
        <v>4.4931</v>
      </c>
      <c r="P615" s="14" t="n">
        <v>4.6033</v>
      </c>
      <c r="Q615" s="14" t="n">
        <v>0.5</v>
      </c>
      <c r="R615" s="14" t="n">
        <v>0.51</v>
      </c>
      <c r="S615" s="14" t="n">
        <v>6.5</v>
      </c>
    </row>
    <row r="616" customFormat="false" ht="15" hidden="false" customHeight="false" outlineLevel="0" collapsed="false">
      <c r="A616" s="13" t="n">
        <v>43194</v>
      </c>
      <c r="B616" s="14" t="n">
        <v>1.74</v>
      </c>
      <c r="C616" s="14" t="n">
        <v>1.75</v>
      </c>
      <c r="D616" s="14" t="n">
        <v>1.5</v>
      </c>
      <c r="F616" s="14" t="n">
        <v>-0.4</v>
      </c>
      <c r="G616" s="14" t="n">
        <v>0.5</v>
      </c>
      <c r="H616" s="14" t="n">
        <v>0.4624</v>
      </c>
      <c r="I616" s="14" t="n">
        <v>0.463682278098511</v>
      </c>
      <c r="J616" s="14" t="n">
        <v>0.576320919878592</v>
      </c>
      <c r="K616" s="14" t="n">
        <v>0.656976079105332</v>
      </c>
      <c r="L616" s="14" t="n">
        <v>0.742611726290239</v>
      </c>
      <c r="M616" s="14" t="n">
        <v>4.0597</v>
      </c>
      <c r="N616" s="14" t="n">
        <v>4.3101</v>
      </c>
      <c r="O616" s="14" t="n">
        <v>4.474</v>
      </c>
      <c r="P616" s="14" t="n">
        <v>4.58</v>
      </c>
      <c r="Q616" s="14" t="n">
        <v>0.5</v>
      </c>
      <c r="R616" s="14" t="n">
        <v>0.49</v>
      </c>
      <c r="S616" s="14" t="n">
        <v>6.5</v>
      </c>
    </row>
    <row r="617" customFormat="false" ht="15" hidden="false" customHeight="false" outlineLevel="0" collapsed="false">
      <c r="A617" s="13" t="n">
        <v>43195</v>
      </c>
      <c r="B617" s="14" t="n">
        <v>1.75</v>
      </c>
      <c r="C617" s="14" t="n">
        <v>1.75</v>
      </c>
      <c r="D617" s="14" t="n">
        <v>1.5</v>
      </c>
      <c r="F617" s="14" t="n">
        <v>-0.4</v>
      </c>
      <c r="G617" s="14" t="n">
        <v>0.5</v>
      </c>
      <c r="H617" s="14" t="n">
        <v>0.4653</v>
      </c>
      <c r="I617" s="14" t="n">
        <v>0.46260955942978</v>
      </c>
      <c r="J617" s="14" t="n">
        <v>0.581409990163926</v>
      </c>
      <c r="K617" s="14" t="n">
        <v>0.66138752172408</v>
      </c>
      <c r="L617" s="14" t="n">
        <v>0.754384651223978</v>
      </c>
      <c r="Q617" s="14" t="n">
        <v>0.5</v>
      </c>
      <c r="R617" s="14" t="n">
        <v>0.5</v>
      </c>
      <c r="S617" s="14" t="n">
        <v>6.5</v>
      </c>
    </row>
    <row r="618" customFormat="false" ht="15" hidden="false" customHeight="false" outlineLevel="0" collapsed="false">
      <c r="A618" s="13" t="n">
        <v>43196</v>
      </c>
      <c r="B618" s="14" t="n">
        <v>1.75</v>
      </c>
      <c r="C618" s="14" t="n">
        <v>1.75</v>
      </c>
      <c r="D618" s="14" t="n">
        <v>1.5</v>
      </c>
      <c r="F618" s="14" t="n">
        <v>-0.4</v>
      </c>
      <c r="G618" s="14" t="n">
        <v>0.5</v>
      </c>
      <c r="H618" s="14" t="n">
        <v>0.4666</v>
      </c>
      <c r="I618" s="14" t="n">
        <v>0.465966822537551</v>
      </c>
      <c r="J618" s="14" t="n">
        <v>0.576328993821023</v>
      </c>
      <c r="K618" s="14" t="n">
        <v>0.651266083104081</v>
      </c>
      <c r="L618" s="14" t="n">
        <v>0.750312670545968</v>
      </c>
      <c r="Q618" s="14" t="n">
        <v>0.5</v>
      </c>
      <c r="R618" s="14" t="n">
        <v>0.49</v>
      </c>
      <c r="S618" s="14" t="n">
        <v>6.5</v>
      </c>
    </row>
    <row r="619" customFormat="false" ht="15" hidden="false" customHeight="false" outlineLevel="0" collapsed="false">
      <c r="A619" s="13" t="n">
        <v>43198</v>
      </c>
      <c r="C619" s="14" t="n">
        <v>1.75</v>
      </c>
      <c r="D619" s="14" t="n">
        <v>1.5</v>
      </c>
      <c r="F619" s="14" t="n">
        <v>-0.4</v>
      </c>
      <c r="M619" s="14" t="n">
        <v>4.011</v>
      </c>
      <c r="N619" s="14" t="n">
        <v>4.2781</v>
      </c>
      <c r="O619" s="14" t="n">
        <v>4.4424</v>
      </c>
      <c r="P619" s="14" t="n">
        <v>4.559</v>
      </c>
      <c r="S619" s="14" t="n">
        <v>6.5</v>
      </c>
    </row>
    <row r="620" customFormat="false" ht="15" hidden="false" customHeight="false" outlineLevel="0" collapsed="false">
      <c r="A620" s="13" t="n">
        <v>43199</v>
      </c>
      <c r="B620" s="14" t="n">
        <v>1.75</v>
      </c>
      <c r="C620" s="14" t="n">
        <v>1.75</v>
      </c>
      <c r="D620" s="14" t="n">
        <v>1.5</v>
      </c>
      <c r="F620" s="14" t="n">
        <v>-0.4</v>
      </c>
      <c r="G620" s="14" t="n">
        <v>0.5</v>
      </c>
      <c r="H620" s="14" t="n">
        <v>0.4651</v>
      </c>
      <c r="I620" s="14" t="n">
        <v>0.478746727847065</v>
      </c>
      <c r="J620" s="14" t="n">
        <v>0.594080951894052</v>
      </c>
      <c r="K620" s="14" t="n">
        <v>0.665123317046215</v>
      </c>
      <c r="L620" s="14" t="n">
        <v>0.75084041876082</v>
      </c>
      <c r="M620" s="14" t="n">
        <v>3.9701</v>
      </c>
      <c r="N620" s="14" t="n">
        <v>4.2579</v>
      </c>
      <c r="O620" s="14" t="n">
        <v>4.414</v>
      </c>
      <c r="P620" s="14" t="n">
        <v>4.5489</v>
      </c>
      <c r="Q620" s="14" t="n">
        <v>0.5</v>
      </c>
      <c r="R620" s="14" t="n">
        <v>0.51</v>
      </c>
      <c r="S620" s="14" t="n">
        <v>6.5</v>
      </c>
    </row>
    <row r="621" customFormat="false" ht="15" hidden="false" customHeight="false" outlineLevel="0" collapsed="false">
      <c r="A621" s="13" t="n">
        <v>43200</v>
      </c>
      <c r="B621" s="14" t="n">
        <v>1.75</v>
      </c>
      <c r="C621" s="14" t="n">
        <v>1.75</v>
      </c>
      <c r="D621" s="14" t="n">
        <v>1.5</v>
      </c>
      <c r="F621" s="14" t="n">
        <v>-0.4</v>
      </c>
      <c r="G621" s="14" t="n">
        <v>0.5</v>
      </c>
      <c r="H621" s="14" t="n">
        <v>0.4666</v>
      </c>
      <c r="I621" s="14" t="n">
        <v>0.473438562644559</v>
      </c>
      <c r="J621" s="14" t="n">
        <v>0.59809363572236</v>
      </c>
      <c r="K621" s="14" t="n">
        <v>0.669611639649179</v>
      </c>
      <c r="L621" s="14" t="n">
        <v>0.75425252331628</v>
      </c>
      <c r="M621" s="14" t="n">
        <v>3.915</v>
      </c>
      <c r="N621" s="14" t="n">
        <v>4.229</v>
      </c>
      <c r="O621" s="14" t="n">
        <v>4.394</v>
      </c>
      <c r="P621" s="14" t="n">
        <v>4.542</v>
      </c>
      <c r="Q621" s="14" t="n">
        <v>0.5</v>
      </c>
      <c r="R621" s="14" t="n">
        <v>0.49</v>
      </c>
      <c r="S621" s="14" t="n">
        <v>6.5</v>
      </c>
    </row>
    <row r="622" customFormat="false" ht="15" hidden="false" customHeight="false" outlineLevel="0" collapsed="false">
      <c r="A622" s="13" t="n">
        <v>43201</v>
      </c>
      <c r="B622" s="14" t="n">
        <v>1.76</v>
      </c>
      <c r="C622" s="14" t="n">
        <v>1.75</v>
      </c>
      <c r="D622" s="14" t="n">
        <v>1.5</v>
      </c>
      <c r="F622" s="14" t="n">
        <v>-0.4</v>
      </c>
      <c r="G622" s="14" t="n">
        <v>0.5</v>
      </c>
      <c r="H622" s="14" t="n">
        <v>0.4633</v>
      </c>
      <c r="I622" s="14" t="n">
        <v>0.487723577873536</v>
      </c>
      <c r="J622" s="14" t="n">
        <v>0.599811858508434</v>
      </c>
      <c r="K622" s="14" t="n">
        <v>0.668446581721486</v>
      </c>
      <c r="L622" s="14" t="n">
        <v>0.753296998704302</v>
      </c>
      <c r="M622" s="14" t="n">
        <v>3.871</v>
      </c>
      <c r="N622" s="14" t="n">
        <v>4.209</v>
      </c>
      <c r="O622" s="14" t="n">
        <v>4.38</v>
      </c>
      <c r="P622" s="14" t="n">
        <v>4.538</v>
      </c>
      <c r="Q622" s="14" t="n">
        <v>0.5</v>
      </c>
      <c r="R622" s="14" t="n">
        <v>0.49</v>
      </c>
      <c r="S622" s="14" t="n">
        <v>6.5</v>
      </c>
    </row>
    <row r="623" customFormat="false" ht="15" hidden="false" customHeight="false" outlineLevel="0" collapsed="false">
      <c r="A623" s="13" t="n">
        <v>43202</v>
      </c>
      <c r="B623" s="14" t="n">
        <v>1.73</v>
      </c>
      <c r="C623" s="14" t="n">
        <v>1.75</v>
      </c>
      <c r="D623" s="14" t="n">
        <v>1.5</v>
      </c>
      <c r="F623" s="14" t="n">
        <v>-0.4</v>
      </c>
      <c r="G623" s="14" t="n">
        <v>0.5</v>
      </c>
      <c r="H623" s="14" t="n">
        <v>0.4637</v>
      </c>
      <c r="I623" s="14" t="n">
        <v>0.489661227893971</v>
      </c>
      <c r="J623" s="14" t="n">
        <v>0.60623461420562</v>
      </c>
      <c r="K623" s="14" t="n">
        <v>0.676096457257236</v>
      </c>
      <c r="L623" s="14" t="n">
        <v>0.767490321154407</v>
      </c>
      <c r="M623" s="14" t="n">
        <v>3.842</v>
      </c>
      <c r="N623" s="14" t="n">
        <v>4.199</v>
      </c>
      <c r="O623" s="14" t="n">
        <v>4.367</v>
      </c>
      <c r="P623" s="14" t="n">
        <v>4.536</v>
      </c>
      <c r="Q623" s="14" t="n">
        <v>0.5</v>
      </c>
      <c r="R623" s="14" t="n">
        <v>0.49</v>
      </c>
      <c r="S623" s="14" t="n">
        <v>6.5</v>
      </c>
    </row>
    <row r="624" customFormat="false" ht="15" hidden="false" customHeight="false" outlineLevel="0" collapsed="false">
      <c r="A624" s="13" t="n">
        <v>43203</v>
      </c>
      <c r="B624" s="14" t="n">
        <v>1.72</v>
      </c>
      <c r="C624" s="14" t="n">
        <v>1.75</v>
      </c>
      <c r="D624" s="14" t="n">
        <v>1.5</v>
      </c>
      <c r="F624" s="14" t="n">
        <v>-0.4</v>
      </c>
      <c r="G624" s="14" t="n">
        <v>0.5</v>
      </c>
      <c r="H624" s="14" t="n">
        <v>0.4657</v>
      </c>
      <c r="I624" s="14" t="n">
        <v>0.489849033584227</v>
      </c>
      <c r="J624" s="14" t="n">
        <v>0.608800101919178</v>
      </c>
      <c r="K624" s="14" t="n">
        <v>0.677290948988874</v>
      </c>
      <c r="L624" s="14" t="n">
        <v>0.765985499278287</v>
      </c>
      <c r="M624" s="14" t="n">
        <v>3.825</v>
      </c>
      <c r="N624" s="14" t="n">
        <v>4.179</v>
      </c>
      <c r="O624" s="14" t="n">
        <v>4.356</v>
      </c>
      <c r="P624" s="14" t="n">
        <v>4.535</v>
      </c>
      <c r="Q624" s="14" t="n">
        <v>0.5</v>
      </c>
      <c r="R624" s="14" t="n">
        <v>0.5</v>
      </c>
      <c r="S624" s="14" t="n">
        <v>6.5</v>
      </c>
    </row>
    <row r="625" customFormat="false" ht="15" hidden="false" customHeight="false" outlineLevel="0" collapsed="false">
      <c r="A625" s="13" t="n">
        <v>43206</v>
      </c>
      <c r="B625" s="14" t="n">
        <v>1.77</v>
      </c>
      <c r="C625" s="14" t="n">
        <v>1.75</v>
      </c>
      <c r="D625" s="14" t="n">
        <v>1.5</v>
      </c>
      <c r="F625" s="14" t="n">
        <v>-0.4</v>
      </c>
      <c r="G625" s="14" t="n">
        <v>0.5</v>
      </c>
      <c r="H625" s="14" t="n">
        <v>0.4659</v>
      </c>
      <c r="I625" s="14" t="n">
        <v>0.49585504324847</v>
      </c>
      <c r="J625" s="14" t="n">
        <v>0.614142907146858</v>
      </c>
      <c r="K625" s="14" t="n">
        <v>0.680896473205369</v>
      </c>
      <c r="L625" s="14" t="n">
        <v>0.772729402634885</v>
      </c>
      <c r="M625" s="14" t="n">
        <v>3.821</v>
      </c>
      <c r="N625" s="14" t="n">
        <v>4.173</v>
      </c>
      <c r="O625" s="14" t="n">
        <v>4.351</v>
      </c>
      <c r="P625" s="14" t="n">
        <v>4.534</v>
      </c>
      <c r="Q625" s="14" t="n">
        <v>0.5</v>
      </c>
      <c r="R625" s="14" t="n">
        <v>0.49</v>
      </c>
      <c r="S625" s="14" t="n">
        <v>6.5</v>
      </c>
    </row>
    <row r="626" customFormat="false" ht="15" hidden="false" customHeight="false" outlineLevel="0" collapsed="false">
      <c r="A626" s="13" t="n">
        <v>43207</v>
      </c>
      <c r="B626" s="14" t="n">
        <v>1.76</v>
      </c>
      <c r="C626" s="14" t="n">
        <v>1.75</v>
      </c>
      <c r="D626" s="14" t="n">
        <v>1.5</v>
      </c>
      <c r="F626" s="14" t="n">
        <v>-0.4</v>
      </c>
      <c r="G626" s="14" t="n">
        <v>0.5</v>
      </c>
      <c r="H626" s="14" t="n">
        <v>0.4664</v>
      </c>
      <c r="I626" s="14" t="n">
        <v>0.503861846059327</v>
      </c>
      <c r="J626" s="14" t="n">
        <v>0.610466262491065</v>
      </c>
      <c r="K626" s="14" t="n">
        <v>0.671027144096116</v>
      </c>
      <c r="L626" s="14" t="n">
        <v>0.7595878716977</v>
      </c>
      <c r="M626" s="14" t="n">
        <v>3.834</v>
      </c>
      <c r="N626" s="14" t="n">
        <v>4.174</v>
      </c>
      <c r="O626" s="14" t="n">
        <v>4.351</v>
      </c>
      <c r="P626" s="14" t="n">
        <v>4.537</v>
      </c>
      <c r="Q626" s="14" t="n">
        <v>0.5</v>
      </c>
      <c r="R626" s="14" t="n">
        <v>0.5</v>
      </c>
      <c r="S626" s="14" t="n">
        <v>6.5</v>
      </c>
    </row>
    <row r="627" customFormat="false" ht="15" hidden="false" customHeight="false" outlineLevel="0" collapsed="false">
      <c r="A627" s="13" t="n">
        <v>43208</v>
      </c>
      <c r="B627" s="14" t="n">
        <v>1.75</v>
      </c>
      <c r="C627" s="14" t="n">
        <v>1.75</v>
      </c>
      <c r="D627" s="14" t="n">
        <v>1.5</v>
      </c>
      <c r="F627" s="14" t="n">
        <v>-0.4</v>
      </c>
      <c r="G627" s="14" t="n">
        <v>0.5</v>
      </c>
      <c r="H627" s="14" t="n">
        <v>0.467</v>
      </c>
      <c r="I627" s="14" t="n">
        <v>0.515668936432375</v>
      </c>
      <c r="J627" s="14" t="n">
        <v>0.615884721434668</v>
      </c>
      <c r="K627" s="14" t="n">
        <v>0.671921420743092</v>
      </c>
      <c r="L627" s="14" t="n">
        <v>0.750674306540601</v>
      </c>
      <c r="M627" s="14" t="n">
        <v>3.821</v>
      </c>
      <c r="N627" s="14" t="n">
        <v>4.103</v>
      </c>
      <c r="O627" s="14" t="n">
        <v>4.313</v>
      </c>
      <c r="P627" s="14" t="n">
        <v>4.5</v>
      </c>
      <c r="Q627" s="14" t="n">
        <v>0.5</v>
      </c>
      <c r="R627" s="14" t="n">
        <v>0.49</v>
      </c>
      <c r="S627" s="14" t="n">
        <v>6.5</v>
      </c>
    </row>
    <row r="628" customFormat="false" ht="15" hidden="false" customHeight="false" outlineLevel="0" collapsed="false">
      <c r="A628" s="13" t="n">
        <v>43209</v>
      </c>
      <c r="B628" s="14" t="n">
        <v>1.73</v>
      </c>
      <c r="C628" s="14" t="n">
        <v>1.75</v>
      </c>
      <c r="D628" s="14" t="n">
        <v>1.5</v>
      </c>
      <c r="F628" s="14" t="n">
        <v>-0.4</v>
      </c>
      <c r="G628" s="14" t="n">
        <v>0.5</v>
      </c>
      <c r="H628" s="14" t="n">
        <v>0.4651</v>
      </c>
      <c r="I628" s="14" t="n">
        <v>0.516655578060851</v>
      </c>
      <c r="J628" s="14" t="n">
        <v>0.619883361879743</v>
      </c>
      <c r="K628" s="14" t="n">
        <v>0.675158233477637</v>
      </c>
      <c r="L628" s="14" t="n">
        <v>0.75724840850405</v>
      </c>
      <c r="M628" s="14" t="n">
        <v>3.791</v>
      </c>
      <c r="N628" s="14" t="n">
        <v>4.05</v>
      </c>
      <c r="O628" s="14" t="n">
        <v>4.275</v>
      </c>
      <c r="P628" s="14" t="n">
        <v>4.448</v>
      </c>
      <c r="Q628" s="14" t="n">
        <v>0.5</v>
      </c>
      <c r="R628" s="14" t="n">
        <v>0.49</v>
      </c>
      <c r="S628" s="14" t="n">
        <v>6.5</v>
      </c>
    </row>
    <row r="629" customFormat="false" ht="15" hidden="false" customHeight="false" outlineLevel="0" collapsed="false">
      <c r="A629" s="13" t="n">
        <v>43210</v>
      </c>
      <c r="B629" s="14" t="n">
        <v>1.72</v>
      </c>
      <c r="C629" s="14" t="n">
        <v>1.75</v>
      </c>
      <c r="D629" s="14" t="n">
        <v>1.5</v>
      </c>
      <c r="F629" s="14" t="n">
        <v>-0.4</v>
      </c>
      <c r="G629" s="14" t="n">
        <v>0.5</v>
      </c>
      <c r="H629" s="14" t="n">
        <v>0.4646</v>
      </c>
      <c r="I629" s="14" t="n">
        <v>0.498589455188162</v>
      </c>
      <c r="J629" s="14" t="n">
        <v>0.55280050344467</v>
      </c>
      <c r="K629" s="14" t="n">
        <v>0.603484686600547</v>
      </c>
      <c r="L629" s="14" t="n">
        <v>0.692201002306333</v>
      </c>
      <c r="M629" s="14" t="n">
        <v>3.761</v>
      </c>
      <c r="N629" s="14" t="n">
        <v>4.017</v>
      </c>
      <c r="O629" s="14" t="n">
        <v>4.238</v>
      </c>
      <c r="P629" s="14" t="n">
        <v>4.419</v>
      </c>
      <c r="Q629" s="14" t="n">
        <v>0.5</v>
      </c>
      <c r="R629" s="14" t="n">
        <v>0.49</v>
      </c>
      <c r="S629" s="14" t="n">
        <v>6.5</v>
      </c>
    </row>
    <row r="630" customFormat="false" ht="15" hidden="false" customHeight="false" outlineLevel="0" collapsed="false">
      <c r="A630" s="13" t="n">
        <v>43213</v>
      </c>
      <c r="B630" s="14" t="n">
        <v>1.7</v>
      </c>
      <c r="C630" s="14" t="n">
        <v>1.75</v>
      </c>
      <c r="D630" s="14" t="n">
        <v>1.5</v>
      </c>
      <c r="F630" s="14" t="n">
        <v>-0.4</v>
      </c>
      <c r="G630" s="14" t="n">
        <v>0.5</v>
      </c>
      <c r="H630" s="14" t="n">
        <v>0.4529</v>
      </c>
      <c r="I630" s="14" t="n">
        <v>0.503568652991941</v>
      </c>
      <c r="J630" s="14" t="n">
        <v>0.559215120946434</v>
      </c>
      <c r="K630" s="14" t="n">
        <v>0.611977067128911</v>
      </c>
      <c r="L630" s="14" t="n">
        <v>0.704516299731255</v>
      </c>
      <c r="M630" s="14" t="n">
        <v>3.751</v>
      </c>
      <c r="N630" s="14" t="n">
        <v>4.004</v>
      </c>
      <c r="O630" s="14" t="n">
        <v>4.211</v>
      </c>
      <c r="P630" s="14" t="n">
        <v>4.409</v>
      </c>
      <c r="Q630" s="14" t="n">
        <v>0.5</v>
      </c>
      <c r="R630" s="14" t="n">
        <v>0.49</v>
      </c>
      <c r="S630" s="14" t="n">
        <v>6.5</v>
      </c>
    </row>
    <row r="631" customFormat="false" ht="15" hidden="false" customHeight="false" outlineLevel="0" collapsed="false">
      <c r="A631" s="13" t="n">
        <v>43214</v>
      </c>
      <c r="B631" s="14" t="n">
        <v>1.71</v>
      </c>
      <c r="C631" s="14" t="n">
        <v>1.75</v>
      </c>
      <c r="D631" s="14" t="n">
        <v>1.5</v>
      </c>
      <c r="F631" s="14" t="n">
        <v>-0.4</v>
      </c>
      <c r="G631" s="14" t="n">
        <v>0.5</v>
      </c>
      <c r="H631" s="14" t="n">
        <v>0.4537</v>
      </c>
      <c r="I631" s="14" t="n">
        <v>0.515817304733947</v>
      </c>
      <c r="J631" s="14" t="n">
        <v>0.577053765243213</v>
      </c>
      <c r="K631" s="14" t="n">
        <v>0.629056204646807</v>
      </c>
      <c r="L631" s="14" t="n">
        <v>0.719178924443513</v>
      </c>
      <c r="M631" s="14" t="n">
        <v>3.748</v>
      </c>
      <c r="N631" s="14" t="n">
        <v>3.991</v>
      </c>
      <c r="O631" s="14" t="n">
        <v>4.193</v>
      </c>
      <c r="P631" s="14" t="n">
        <v>4.394</v>
      </c>
      <c r="Q631" s="14" t="n">
        <v>0.5</v>
      </c>
      <c r="R631" s="14" t="n">
        <v>0.49</v>
      </c>
      <c r="S631" s="14" t="n">
        <v>6.5</v>
      </c>
    </row>
    <row r="632" customFormat="false" ht="15" hidden="false" customHeight="false" outlineLevel="0" collapsed="false">
      <c r="A632" s="13" t="n">
        <v>43215</v>
      </c>
      <c r="B632" s="14" t="n">
        <v>1.71</v>
      </c>
      <c r="C632" s="14" t="n">
        <v>1.75</v>
      </c>
      <c r="D632" s="14" t="n">
        <v>1.5</v>
      </c>
      <c r="F632" s="14" t="n">
        <v>-0.4</v>
      </c>
      <c r="G632" s="14" t="n">
        <v>0.5</v>
      </c>
      <c r="H632" s="14" t="n">
        <v>0.454</v>
      </c>
      <c r="I632" s="14" t="n">
        <v>0.513659246714036</v>
      </c>
      <c r="J632" s="14" t="n">
        <v>0.561774492588149</v>
      </c>
      <c r="K632" s="14" t="n">
        <v>0.608448773601335</v>
      </c>
      <c r="L632" s="14" t="n">
        <v>0.697610094619034</v>
      </c>
      <c r="M632" s="14" t="n">
        <v>3.78</v>
      </c>
      <c r="N632" s="14" t="n">
        <v>3.984</v>
      </c>
      <c r="O632" s="14" t="n">
        <v>4.185</v>
      </c>
      <c r="P632" s="14" t="n">
        <v>4.38</v>
      </c>
      <c r="Q632" s="14" t="n">
        <v>0.5</v>
      </c>
      <c r="R632" s="14" t="n">
        <v>0.49</v>
      </c>
      <c r="S632" s="14" t="n">
        <v>6.5</v>
      </c>
    </row>
    <row r="633" customFormat="false" ht="15" hidden="false" customHeight="false" outlineLevel="0" collapsed="false">
      <c r="A633" s="13" t="n">
        <v>43216</v>
      </c>
      <c r="B633" s="14" t="n">
        <v>1.72</v>
      </c>
      <c r="C633" s="14" t="n">
        <v>1.75</v>
      </c>
      <c r="D633" s="14" t="n">
        <v>1.5</v>
      </c>
      <c r="F633" s="14" t="n">
        <v>-0.4</v>
      </c>
      <c r="G633" s="14" t="n">
        <v>0.5</v>
      </c>
      <c r="H633" s="14" t="n">
        <v>0.4549</v>
      </c>
      <c r="I633" s="14" t="n">
        <v>0.524572071160657</v>
      </c>
      <c r="J633" s="14" t="n">
        <v>0.583218088373413</v>
      </c>
      <c r="K633" s="14" t="n">
        <v>0.630631588607285</v>
      </c>
      <c r="L633" s="14" t="n">
        <v>0.715734746716316</v>
      </c>
      <c r="M633" s="14" t="n">
        <v>3.865</v>
      </c>
      <c r="N633" s="14" t="n">
        <v>3.992</v>
      </c>
      <c r="O633" s="14" t="n">
        <v>4.183</v>
      </c>
      <c r="P633" s="14" t="n">
        <v>4.383</v>
      </c>
      <c r="Q633" s="14" t="n">
        <v>0.5</v>
      </c>
      <c r="R633" s="14" t="n">
        <v>0.49</v>
      </c>
      <c r="S633" s="14" t="n">
        <v>6.5</v>
      </c>
    </row>
    <row r="634" customFormat="false" ht="15" hidden="false" customHeight="false" outlineLevel="0" collapsed="false">
      <c r="A634" s="13" t="n">
        <v>43217</v>
      </c>
      <c r="B634" s="14" t="n">
        <v>1.72</v>
      </c>
      <c r="C634" s="14" t="n">
        <v>1.75</v>
      </c>
      <c r="D634" s="14" t="n">
        <v>1.5</v>
      </c>
      <c r="F634" s="14" t="n">
        <v>-0.4</v>
      </c>
      <c r="G634" s="14" t="n">
        <v>0.5</v>
      </c>
      <c r="H634" s="14" t="n">
        <v>0.4548</v>
      </c>
      <c r="I634" s="14" t="n">
        <v>0.480649743868783</v>
      </c>
      <c r="J634" s="14" t="n">
        <v>0.516429375751364</v>
      </c>
      <c r="K634" s="14" t="n">
        <v>0.566778197966671</v>
      </c>
      <c r="L634" s="14" t="n">
        <v>0.657270954810623</v>
      </c>
      <c r="M634" s="14" t="n">
        <v>3.899</v>
      </c>
      <c r="N634" s="14" t="n">
        <v>4.007</v>
      </c>
      <c r="O634" s="14" t="n">
        <v>4.184</v>
      </c>
      <c r="P634" s="14" t="n">
        <v>4.385</v>
      </c>
      <c r="Q634" s="14" t="n">
        <v>0.5</v>
      </c>
      <c r="R634" s="14" t="n">
        <v>0.5</v>
      </c>
      <c r="S634" s="14" t="n">
        <v>6.5</v>
      </c>
    </row>
    <row r="635" customFormat="false" ht="15" hidden="false" customHeight="false" outlineLevel="0" collapsed="false">
      <c r="A635" s="13" t="n">
        <v>43218</v>
      </c>
      <c r="C635" s="14" t="n">
        <v>1.75</v>
      </c>
      <c r="D635" s="14" t="n">
        <v>1.5</v>
      </c>
      <c r="F635" s="14" t="n">
        <v>-0.4</v>
      </c>
      <c r="M635" s="14" t="n">
        <v>3.9</v>
      </c>
      <c r="N635" s="14" t="n">
        <v>4.005</v>
      </c>
      <c r="O635" s="14" t="n">
        <v>4.18</v>
      </c>
      <c r="P635" s="14" t="n">
        <v>4.382</v>
      </c>
      <c r="S635" s="14" t="n">
        <v>6.5</v>
      </c>
    </row>
    <row r="636" customFormat="false" ht="15" hidden="false" customHeight="false" outlineLevel="0" collapsed="false">
      <c r="A636" s="13" t="n">
        <v>43220</v>
      </c>
      <c r="B636" s="14" t="n">
        <v>1.77</v>
      </c>
      <c r="C636" s="14" t="n">
        <v>1.75</v>
      </c>
      <c r="D636" s="14" t="n">
        <v>1.5</v>
      </c>
      <c r="F636" s="14" t="n">
        <v>-0.4</v>
      </c>
      <c r="G636" s="14" t="n">
        <v>0.5</v>
      </c>
      <c r="H636" s="14" t="n">
        <v>0.4507</v>
      </c>
      <c r="I636" s="14" t="n">
        <v>0.476230950356676</v>
      </c>
      <c r="J636" s="14" t="n">
        <v>0.499918465618915</v>
      </c>
      <c r="K636" s="14" t="n">
        <v>0.551682874784817</v>
      </c>
      <c r="L636" s="14" t="n">
        <v>0.638235844087743</v>
      </c>
      <c r="Q636" s="14" t="n">
        <v>0.5</v>
      </c>
      <c r="R636" s="14" t="n">
        <v>0.52</v>
      </c>
      <c r="S636" s="14" t="n">
        <v>6.5</v>
      </c>
    </row>
    <row r="637" customFormat="false" ht="15" hidden="false" customHeight="false" outlineLevel="0" collapsed="false">
      <c r="A637" s="13" t="n">
        <v>43221</v>
      </c>
      <c r="B637" s="14" t="n">
        <v>1.76</v>
      </c>
      <c r="C637" s="14" t="n">
        <v>1.75</v>
      </c>
      <c r="D637" s="14" t="n">
        <v>1.5</v>
      </c>
      <c r="F637" s="14" t="n">
        <v>-0.4</v>
      </c>
      <c r="G637" s="14" t="n">
        <v>0.5</v>
      </c>
      <c r="H637" s="14" t="n">
        <v>0.4497</v>
      </c>
      <c r="I637" s="14" t="n">
        <v>0.479270957389973</v>
      </c>
      <c r="J637" s="14" t="n">
        <v>0.508841030567374</v>
      </c>
      <c r="K637" s="14" t="n">
        <v>0.55878274936685</v>
      </c>
      <c r="L637" s="14" t="n">
        <v>0.641057465263637</v>
      </c>
      <c r="S637" s="14" t="n">
        <v>6.5</v>
      </c>
    </row>
    <row r="638" customFormat="false" ht="15" hidden="false" customHeight="false" outlineLevel="0" collapsed="false">
      <c r="A638" s="13" t="n">
        <v>43222</v>
      </c>
      <c r="B638" s="14" t="n">
        <v>1.75</v>
      </c>
      <c r="C638" s="14" t="n">
        <v>1.75</v>
      </c>
      <c r="D638" s="14" t="n">
        <v>1.5</v>
      </c>
      <c r="F638" s="14" t="n">
        <v>-0.4</v>
      </c>
      <c r="G638" s="14" t="n">
        <v>0.5</v>
      </c>
      <c r="H638" s="14" t="n">
        <v>0.4515</v>
      </c>
      <c r="I638" s="14" t="n">
        <v>0.481558132130716</v>
      </c>
      <c r="J638" s="14" t="n">
        <v>0.517604958506058</v>
      </c>
      <c r="K638" s="14" t="n">
        <v>0.575043083512818</v>
      </c>
      <c r="L638" s="14" t="n">
        <v>0.666410458932701</v>
      </c>
      <c r="M638" s="14" t="n">
        <v>3.893</v>
      </c>
      <c r="N638" s="14" t="n">
        <v>4.003</v>
      </c>
      <c r="O638" s="14" t="n">
        <v>4.174</v>
      </c>
      <c r="P638" s="14" t="n">
        <v>4.376</v>
      </c>
      <c r="Q638" s="14" t="n">
        <v>0.5</v>
      </c>
      <c r="R638" s="14" t="n">
        <v>0.51</v>
      </c>
      <c r="S638" s="14" t="n">
        <v>6.5</v>
      </c>
    </row>
    <row r="639" customFormat="false" ht="15" hidden="false" customHeight="false" outlineLevel="0" collapsed="false">
      <c r="A639" s="13" t="n">
        <v>43223</v>
      </c>
      <c r="B639" s="14" t="n">
        <v>1.74</v>
      </c>
      <c r="C639" s="14" t="n">
        <v>1.75</v>
      </c>
      <c r="D639" s="14" t="n">
        <v>1.5</v>
      </c>
      <c r="F639" s="14" t="n">
        <v>-0.4</v>
      </c>
      <c r="G639" s="14" t="n">
        <v>0.5</v>
      </c>
      <c r="H639" s="14" t="n">
        <v>0.4527</v>
      </c>
      <c r="I639" s="14" t="n">
        <v>0.465990225783913</v>
      </c>
      <c r="J639" s="14" t="n">
        <v>0.479497662992394</v>
      </c>
      <c r="K639" s="14" t="n">
        <v>0.531483857014066</v>
      </c>
      <c r="L639" s="14" t="n">
        <v>0.617411789950421</v>
      </c>
      <c r="M639" s="14" t="n">
        <v>3.87</v>
      </c>
      <c r="N639" s="14" t="n">
        <v>3.993</v>
      </c>
      <c r="O639" s="14" t="n">
        <v>4.162</v>
      </c>
      <c r="P639" s="14" t="n">
        <v>4.364</v>
      </c>
      <c r="Q639" s="14" t="n">
        <v>0.5</v>
      </c>
      <c r="R639" s="14" t="n">
        <v>0.49</v>
      </c>
      <c r="S639" s="14" t="n">
        <v>6.5</v>
      </c>
    </row>
    <row r="640" customFormat="false" ht="15" hidden="false" customHeight="false" outlineLevel="0" collapsed="false">
      <c r="A640" s="13" t="n">
        <v>43224</v>
      </c>
      <c r="B640" s="14" t="n">
        <v>1.72</v>
      </c>
      <c r="C640" s="14" t="n">
        <v>1.75</v>
      </c>
      <c r="D640" s="14" t="n">
        <v>1.5</v>
      </c>
      <c r="F640" s="14" t="n">
        <v>-0.4</v>
      </c>
      <c r="G640" s="14" t="n">
        <v>0.5</v>
      </c>
      <c r="H640" s="14" t="n">
        <v>0.4556</v>
      </c>
      <c r="I640" s="14" t="n">
        <v>0.467948567777425</v>
      </c>
      <c r="J640" s="14" t="n">
        <v>0.48316247040975</v>
      </c>
      <c r="K640" s="14" t="n">
        <v>0.537568363616383</v>
      </c>
      <c r="L640" s="14" t="n">
        <v>0.625396204681954</v>
      </c>
      <c r="M640" s="14" t="n">
        <v>3.851</v>
      </c>
      <c r="N640" s="14" t="n">
        <v>3.993</v>
      </c>
      <c r="O640" s="14" t="n">
        <v>4.154</v>
      </c>
      <c r="P640" s="14" t="n">
        <v>4.357</v>
      </c>
      <c r="Q640" s="14" t="n">
        <v>0.5</v>
      </c>
      <c r="R640" s="14" t="n">
        <v>0.5</v>
      </c>
      <c r="S640" s="14" t="n">
        <v>6.5</v>
      </c>
    </row>
    <row r="641" customFormat="false" ht="15" hidden="false" customHeight="false" outlineLevel="0" collapsed="false">
      <c r="A641" s="13" t="n">
        <v>43227</v>
      </c>
      <c r="B641" s="14" t="n">
        <v>1.71</v>
      </c>
      <c r="C641" s="14" t="n">
        <v>1.75</v>
      </c>
      <c r="D641" s="14" t="n">
        <v>1.5</v>
      </c>
      <c r="F641" s="14" t="n">
        <v>-0.4</v>
      </c>
      <c r="M641" s="14" t="n">
        <v>3.84</v>
      </c>
      <c r="N641" s="14" t="n">
        <v>3.9943</v>
      </c>
      <c r="O641" s="14" t="n">
        <v>4.15</v>
      </c>
      <c r="P641" s="14" t="n">
        <v>4.349</v>
      </c>
      <c r="Q641" s="14" t="n">
        <v>0.5</v>
      </c>
      <c r="R641" s="14" t="n">
        <v>0.49</v>
      </c>
      <c r="S641" s="14" t="n">
        <v>6.5</v>
      </c>
    </row>
    <row r="642" customFormat="false" ht="15" hidden="false" customHeight="false" outlineLevel="0" collapsed="false">
      <c r="A642" s="13" t="n">
        <v>43228</v>
      </c>
      <c r="B642" s="14" t="n">
        <v>1.72</v>
      </c>
      <c r="C642" s="14" t="n">
        <v>1.75</v>
      </c>
      <c r="D642" s="14" t="n">
        <v>1.5</v>
      </c>
      <c r="F642" s="14" t="n">
        <v>-0.4</v>
      </c>
      <c r="G642" s="14" t="n">
        <v>0.5</v>
      </c>
      <c r="H642" s="14" t="n">
        <v>0.4542</v>
      </c>
      <c r="I642" s="14" t="n">
        <v>0.472209694132471</v>
      </c>
      <c r="J642" s="14" t="n">
        <v>0.497205061796264</v>
      </c>
      <c r="K642" s="14" t="n">
        <v>0.552618960854796</v>
      </c>
      <c r="L642" s="14" t="n">
        <v>0.639328127481005</v>
      </c>
      <c r="M642" s="14" t="n">
        <v>3.829</v>
      </c>
      <c r="N642" s="14" t="n">
        <v>3.9994</v>
      </c>
      <c r="O642" s="14" t="n">
        <v>4.151</v>
      </c>
      <c r="P642" s="14" t="n">
        <v>4.348</v>
      </c>
      <c r="Q642" s="14" t="n">
        <v>0.5</v>
      </c>
      <c r="R642" s="14" t="n">
        <v>0.49</v>
      </c>
      <c r="S642" s="14" t="n">
        <v>6.5</v>
      </c>
    </row>
    <row r="643" customFormat="false" ht="15" hidden="false" customHeight="false" outlineLevel="0" collapsed="false">
      <c r="A643" s="13" t="n">
        <v>43229</v>
      </c>
      <c r="B643" s="14" t="n">
        <v>1.72</v>
      </c>
      <c r="C643" s="14" t="n">
        <v>1.75</v>
      </c>
      <c r="D643" s="14" t="n">
        <v>1.5</v>
      </c>
      <c r="F643" s="14" t="n">
        <v>-0.4</v>
      </c>
      <c r="G643" s="14" t="n">
        <v>0.5</v>
      </c>
      <c r="H643" s="14" t="n">
        <v>0.4553</v>
      </c>
      <c r="I643" s="14" t="n">
        <v>0.482954234093959</v>
      </c>
      <c r="J643" s="14" t="n">
        <v>0.517051425620724</v>
      </c>
      <c r="K643" s="14" t="n">
        <v>0.575408086903922</v>
      </c>
      <c r="L643" s="14" t="n">
        <v>0.665912692541471</v>
      </c>
      <c r="M643" s="14" t="n">
        <v>3.816</v>
      </c>
      <c r="N643" s="14" t="n">
        <v>4.013</v>
      </c>
      <c r="O643" s="14" t="n">
        <v>4.152</v>
      </c>
      <c r="P643" s="14" t="n">
        <v>4.346</v>
      </c>
      <c r="Q643" s="14" t="n">
        <v>0.5</v>
      </c>
      <c r="R643" s="14" t="n">
        <v>0.48</v>
      </c>
      <c r="S643" s="14" t="n">
        <v>6.5</v>
      </c>
    </row>
    <row r="644" customFormat="false" ht="15" hidden="false" customHeight="false" outlineLevel="0" collapsed="false">
      <c r="A644" s="13" t="n">
        <v>43230</v>
      </c>
      <c r="B644" s="14" t="n">
        <v>1.73</v>
      </c>
      <c r="C644" s="14" t="n">
        <v>1.75</v>
      </c>
      <c r="D644" s="14" t="n">
        <v>1.5</v>
      </c>
      <c r="F644" s="14" t="n">
        <v>-0.4</v>
      </c>
      <c r="G644" s="14" t="n">
        <v>0.5</v>
      </c>
      <c r="H644" s="14" t="n">
        <v>0.4539</v>
      </c>
      <c r="I644" s="14" t="n">
        <v>0.467204925818277</v>
      </c>
      <c r="J644" s="14" t="n">
        <v>0.483510168230821</v>
      </c>
      <c r="K644" s="14" t="n">
        <v>0.535580119030568</v>
      </c>
      <c r="L644" s="14" t="n">
        <v>0.625361526260176</v>
      </c>
      <c r="M644" s="14" t="n">
        <v>3.806</v>
      </c>
      <c r="N644" s="14" t="n">
        <v>4.034</v>
      </c>
      <c r="O644" s="14" t="n">
        <v>4.152</v>
      </c>
      <c r="P644" s="14" t="n">
        <v>4.346</v>
      </c>
      <c r="S644" s="14" t="n">
        <v>6.5</v>
      </c>
    </row>
    <row r="645" customFormat="false" ht="15" hidden="false" customHeight="false" outlineLevel="0" collapsed="false">
      <c r="A645" s="13" t="n">
        <v>43231</v>
      </c>
      <c r="B645" s="14" t="n">
        <v>1.73</v>
      </c>
      <c r="C645" s="14" t="n">
        <v>1.75</v>
      </c>
      <c r="D645" s="14" t="n">
        <v>1.5</v>
      </c>
      <c r="F645" s="14" t="n">
        <v>-0.4</v>
      </c>
      <c r="G645" s="14" t="n">
        <v>0.5</v>
      </c>
      <c r="H645" s="14" t="n">
        <v>0.4542</v>
      </c>
      <c r="I645" s="14" t="n">
        <v>0.447900118741394</v>
      </c>
      <c r="J645" s="14" t="n">
        <v>0.463513704613896</v>
      </c>
      <c r="K645" s="14" t="n">
        <v>0.518588031755261</v>
      </c>
      <c r="L645" s="14" t="n">
        <v>0.615363051008995</v>
      </c>
      <c r="M645" s="14" t="n">
        <v>3.799</v>
      </c>
      <c r="N645" s="14" t="n">
        <v>4.05</v>
      </c>
      <c r="O645" s="14" t="n">
        <v>4.155</v>
      </c>
      <c r="P645" s="14" t="n">
        <v>4.348</v>
      </c>
      <c r="Q645" s="14" t="n">
        <v>0.5</v>
      </c>
      <c r="R645" s="14" t="n">
        <v>0.49</v>
      </c>
      <c r="S645" s="14" t="n">
        <v>6.5</v>
      </c>
    </row>
    <row r="646" customFormat="false" ht="15" hidden="false" customHeight="false" outlineLevel="0" collapsed="false">
      <c r="A646" s="13" t="n">
        <v>43234</v>
      </c>
      <c r="B646" s="14" t="n">
        <v>1.75</v>
      </c>
      <c r="C646" s="14" t="n">
        <v>1.75</v>
      </c>
      <c r="D646" s="14" t="n">
        <v>1.5</v>
      </c>
      <c r="F646" s="14" t="n">
        <v>-0.4</v>
      </c>
      <c r="G646" s="14" t="n">
        <v>0.5</v>
      </c>
      <c r="H646" s="14" t="n">
        <v>0.4513</v>
      </c>
      <c r="I646" s="14" t="n">
        <v>0.45540864455168</v>
      </c>
      <c r="J646" s="14" t="n">
        <v>0.48425602655045</v>
      </c>
      <c r="K646" s="14" t="n">
        <v>0.54144357832625</v>
      </c>
      <c r="L646" s="14" t="n">
        <v>0.634611649869198</v>
      </c>
      <c r="M646" s="14" t="n">
        <v>3.801</v>
      </c>
      <c r="N646" s="14" t="n">
        <v>4.06</v>
      </c>
      <c r="O646" s="14" t="n">
        <v>4.162</v>
      </c>
      <c r="P646" s="14" t="n">
        <v>4.353</v>
      </c>
      <c r="Q646" s="14" t="n">
        <v>0.5</v>
      </c>
      <c r="R646" s="14" t="n">
        <v>0.49</v>
      </c>
      <c r="S646" s="14" t="n">
        <v>6.5</v>
      </c>
    </row>
    <row r="647" customFormat="false" ht="15" hidden="false" customHeight="false" outlineLevel="0" collapsed="false">
      <c r="A647" s="13" t="n">
        <v>43235</v>
      </c>
      <c r="B647" s="14" t="n">
        <v>1.79</v>
      </c>
      <c r="C647" s="14" t="n">
        <v>1.75</v>
      </c>
      <c r="D647" s="14" t="n">
        <v>1.5</v>
      </c>
      <c r="F647" s="14" t="n">
        <v>-0.4</v>
      </c>
      <c r="G647" s="14" t="n">
        <v>0.5</v>
      </c>
      <c r="H647" s="14" t="n">
        <v>0.4511</v>
      </c>
      <c r="I647" s="14" t="n">
        <v>0.452812702704301</v>
      </c>
      <c r="J647" s="14" t="n">
        <v>0.485633143054841</v>
      </c>
      <c r="K647" s="14" t="n">
        <v>0.545016379435641</v>
      </c>
      <c r="L647" s="14" t="n">
        <v>0.643426814205309</v>
      </c>
      <c r="M647" s="14" t="n">
        <v>3.813</v>
      </c>
      <c r="N647" s="14" t="n">
        <v>4.072</v>
      </c>
      <c r="O647" s="14" t="n">
        <v>4.172</v>
      </c>
      <c r="P647" s="14" t="n">
        <v>4.355</v>
      </c>
      <c r="Q647" s="14" t="n">
        <v>0.5</v>
      </c>
      <c r="R647" s="14" t="n">
        <v>0.51</v>
      </c>
      <c r="S647" s="14" t="n">
        <v>6.5</v>
      </c>
    </row>
    <row r="648" customFormat="false" ht="15" hidden="false" customHeight="false" outlineLevel="0" collapsed="false">
      <c r="A648" s="13" t="n">
        <v>43236</v>
      </c>
      <c r="B648" s="14" t="n">
        <v>1.75</v>
      </c>
      <c r="C648" s="14" t="n">
        <v>1.75</v>
      </c>
      <c r="D648" s="14" t="n">
        <v>1.5</v>
      </c>
      <c r="F648" s="14" t="n">
        <v>-0.4</v>
      </c>
      <c r="G648" s="14" t="n">
        <v>0.5</v>
      </c>
      <c r="H648" s="14" t="n">
        <v>0.4528</v>
      </c>
      <c r="I648" s="14" t="n">
        <v>0.451682003488669</v>
      </c>
      <c r="J648" s="14" t="n">
        <v>0.480402216264638</v>
      </c>
      <c r="K648" s="14" t="n">
        <v>0.53763331250064</v>
      </c>
      <c r="L648" s="14" t="n">
        <v>0.638391735704386</v>
      </c>
      <c r="M648" s="14" t="n">
        <v>3.825</v>
      </c>
      <c r="N648" s="14" t="n">
        <v>4.082</v>
      </c>
      <c r="O648" s="14" t="n">
        <v>4.188</v>
      </c>
      <c r="P648" s="14" t="n">
        <v>4.363</v>
      </c>
      <c r="Q648" s="14" t="n">
        <v>0.5</v>
      </c>
      <c r="R648" s="14" t="n">
        <v>0.5</v>
      </c>
      <c r="S648" s="14" t="n">
        <v>6.5</v>
      </c>
    </row>
    <row r="649" customFormat="false" ht="15" hidden="false" customHeight="false" outlineLevel="0" collapsed="false">
      <c r="A649" s="13" t="n">
        <v>43237</v>
      </c>
      <c r="B649" s="14" t="n">
        <v>1.74</v>
      </c>
      <c r="C649" s="14" t="n">
        <v>1.75</v>
      </c>
      <c r="D649" s="14" t="n">
        <v>1.5</v>
      </c>
      <c r="F649" s="14" t="n">
        <v>-0.4</v>
      </c>
      <c r="G649" s="14" t="n">
        <v>0.5</v>
      </c>
      <c r="H649" s="14" t="n">
        <v>0.4533</v>
      </c>
      <c r="I649" s="14" t="n">
        <v>0.451703477140458</v>
      </c>
      <c r="J649" s="14" t="n">
        <v>0.479709427095243</v>
      </c>
      <c r="K649" s="14" t="n">
        <v>0.540825082963777</v>
      </c>
      <c r="L649" s="14" t="n">
        <v>0.643432417948785</v>
      </c>
      <c r="M649" s="14" t="n">
        <v>3.831</v>
      </c>
      <c r="N649" s="14" t="n">
        <v>4.101</v>
      </c>
      <c r="O649" s="14" t="n">
        <v>4.194</v>
      </c>
      <c r="P649" s="14" t="n">
        <v>4.366</v>
      </c>
      <c r="S649" s="14" t="n">
        <v>6.5</v>
      </c>
    </row>
    <row r="650" customFormat="false" ht="15" hidden="false" customHeight="false" outlineLevel="0" collapsed="false">
      <c r="A650" s="13" t="n">
        <v>43238</v>
      </c>
      <c r="B650" s="14" t="n">
        <v>1.73</v>
      </c>
      <c r="C650" s="14" t="n">
        <v>1.75</v>
      </c>
      <c r="D650" s="14" t="n">
        <v>1.5</v>
      </c>
      <c r="F650" s="14" t="n">
        <v>-0.4</v>
      </c>
      <c r="G650" s="14" t="n">
        <v>0.5</v>
      </c>
      <c r="H650" s="14" t="n">
        <v>0.454</v>
      </c>
      <c r="I650" s="14" t="n">
        <v>0.448390476901588</v>
      </c>
      <c r="J650" s="14" t="n">
        <v>0.470351607723856</v>
      </c>
      <c r="K650" s="14" t="n">
        <v>0.526836556163865</v>
      </c>
      <c r="L650" s="14" t="n">
        <v>0.624754314475412</v>
      </c>
      <c r="M650" s="14" t="n">
        <v>3.833</v>
      </c>
      <c r="N650" s="14" t="n">
        <v>4.147</v>
      </c>
      <c r="O650" s="14" t="n">
        <v>4.202</v>
      </c>
      <c r="P650" s="14" t="n">
        <v>4.37</v>
      </c>
      <c r="Q650" s="14" t="n">
        <v>0.5</v>
      </c>
      <c r="R650" s="14" t="n">
        <v>0.5</v>
      </c>
      <c r="S650" s="14" t="n">
        <v>6.5</v>
      </c>
    </row>
    <row r="651" customFormat="false" ht="15" hidden="false" customHeight="false" outlineLevel="0" collapsed="false">
      <c r="A651" s="13" t="n">
        <v>43241</v>
      </c>
      <c r="B651" s="14" t="n">
        <v>1.69</v>
      </c>
      <c r="C651" s="14" t="n">
        <v>1.75</v>
      </c>
      <c r="D651" s="14" t="n">
        <v>1.5</v>
      </c>
      <c r="F651" s="14" t="n">
        <v>-0.4</v>
      </c>
      <c r="G651" s="14" t="n">
        <v>0.5</v>
      </c>
      <c r="H651" s="14" t="n">
        <v>0.4527</v>
      </c>
      <c r="I651" s="14" t="n">
        <v>0.449433528844021</v>
      </c>
      <c r="J651" s="14" t="n">
        <v>0.474772003713687</v>
      </c>
      <c r="K651" s="14" t="n">
        <v>0.529881199423986</v>
      </c>
      <c r="L651" s="14" t="n">
        <v>0.626295957165662</v>
      </c>
      <c r="M651" s="14" t="n">
        <v>3.832</v>
      </c>
      <c r="N651" s="14" t="n">
        <v>4.151</v>
      </c>
      <c r="O651" s="14" t="n">
        <v>4.207</v>
      </c>
      <c r="P651" s="14" t="n">
        <v>4.371</v>
      </c>
      <c r="S651" s="14" t="n">
        <v>6.5</v>
      </c>
    </row>
    <row r="652" customFormat="false" ht="15" hidden="false" customHeight="false" outlineLevel="0" collapsed="false">
      <c r="A652" s="13" t="n">
        <v>43242</v>
      </c>
      <c r="B652" s="14" t="n">
        <v>1.65</v>
      </c>
      <c r="C652" s="14" t="n">
        <v>1.75</v>
      </c>
      <c r="D652" s="14" t="n">
        <v>1.5</v>
      </c>
      <c r="F652" s="14" t="n">
        <v>-0.4</v>
      </c>
      <c r="G652" s="14" t="n">
        <v>0.5</v>
      </c>
      <c r="H652" s="14" t="n">
        <v>0.4521</v>
      </c>
      <c r="I652" s="14" t="n">
        <v>0.452893166790211</v>
      </c>
      <c r="J652" s="14" t="n">
        <v>0.484686937664434</v>
      </c>
      <c r="K652" s="14" t="n">
        <v>0.539314356140081</v>
      </c>
      <c r="L652" s="14" t="n">
        <v>0.638695751431386</v>
      </c>
      <c r="M652" s="14" t="n">
        <v>3.838</v>
      </c>
      <c r="N652" s="14" t="n">
        <v>4.16</v>
      </c>
      <c r="O652" s="14" t="n">
        <v>4.207</v>
      </c>
      <c r="P652" s="14" t="n">
        <v>4.371</v>
      </c>
      <c r="Q652" s="14" t="n">
        <v>0.5</v>
      </c>
      <c r="R652" s="14" t="n">
        <v>0.5</v>
      </c>
      <c r="S652" s="14" t="n">
        <v>6.5</v>
      </c>
    </row>
    <row r="653" customFormat="false" ht="15" hidden="false" customHeight="false" outlineLevel="0" collapsed="false">
      <c r="A653" s="13" t="n">
        <v>43243</v>
      </c>
      <c r="B653" s="14" t="n">
        <v>1.67</v>
      </c>
      <c r="C653" s="14" t="n">
        <v>1.75</v>
      </c>
      <c r="D653" s="14" t="n">
        <v>1.5</v>
      </c>
      <c r="F653" s="14" t="n">
        <v>-0.4</v>
      </c>
      <c r="G653" s="14" t="n">
        <v>0.5</v>
      </c>
      <c r="H653" s="14" t="n">
        <v>0.4533</v>
      </c>
      <c r="I653" s="14" t="n">
        <v>0.452316544779958</v>
      </c>
      <c r="J653" s="14" t="n">
        <v>0.480419267091898</v>
      </c>
      <c r="K653" s="14" t="n">
        <v>0.530974153248382</v>
      </c>
      <c r="L653" s="14" t="n">
        <v>0.61755291615809</v>
      </c>
      <c r="M653" s="14" t="n">
        <v>3.841</v>
      </c>
      <c r="N653" s="14" t="n">
        <v>4.173</v>
      </c>
      <c r="O653" s="14" t="n">
        <v>4.211</v>
      </c>
      <c r="P653" s="14" t="n">
        <v>4.373</v>
      </c>
      <c r="Q653" s="14" t="n">
        <v>0.5</v>
      </c>
      <c r="R653" s="14" t="n">
        <v>0.49</v>
      </c>
      <c r="S653" s="14" t="n">
        <v>6.5</v>
      </c>
    </row>
    <row r="654" customFormat="false" ht="15" hidden="false" customHeight="false" outlineLevel="0" collapsed="false">
      <c r="A654" s="13" t="n">
        <v>43244</v>
      </c>
      <c r="B654" s="14" t="n">
        <v>1.74</v>
      </c>
      <c r="C654" s="14" t="n">
        <v>1.75</v>
      </c>
      <c r="D654" s="14" t="n">
        <v>1.5</v>
      </c>
      <c r="F654" s="14" t="n">
        <v>-0.4</v>
      </c>
      <c r="G654" s="14" t="n">
        <v>0.5</v>
      </c>
      <c r="H654" s="14" t="n">
        <v>0.4532</v>
      </c>
      <c r="I654" s="14" t="n">
        <v>0.449487869799835</v>
      </c>
      <c r="J654" s="14" t="n">
        <v>0.475839816609117</v>
      </c>
      <c r="K654" s="14" t="n">
        <v>0.523049269986166</v>
      </c>
      <c r="L654" s="14" t="n">
        <v>0.611563542237948</v>
      </c>
      <c r="M654" s="14" t="n">
        <v>3.845</v>
      </c>
      <c r="N654" s="14" t="n">
        <v>4.193</v>
      </c>
      <c r="O654" s="14" t="n">
        <v>4.215</v>
      </c>
      <c r="P654" s="14" t="n">
        <v>4.371</v>
      </c>
      <c r="Q654" s="14" t="n">
        <v>0.5</v>
      </c>
      <c r="R654" s="14" t="n">
        <v>0.49</v>
      </c>
      <c r="S654" s="14" t="n">
        <v>6.5</v>
      </c>
    </row>
    <row r="655" customFormat="false" ht="15" hidden="false" customHeight="false" outlineLevel="0" collapsed="false">
      <c r="A655" s="13" t="n">
        <v>43245</v>
      </c>
      <c r="B655" s="14" t="n">
        <v>1.73</v>
      </c>
      <c r="C655" s="14" t="n">
        <v>1.75</v>
      </c>
      <c r="D655" s="14" t="n">
        <v>1.5</v>
      </c>
      <c r="F655" s="14" t="n">
        <v>-0.4</v>
      </c>
      <c r="G655" s="14" t="n">
        <v>0.5</v>
      </c>
      <c r="H655" s="14" t="n">
        <v>0.4533</v>
      </c>
      <c r="I655" s="14" t="n">
        <v>0.449557432033776</v>
      </c>
      <c r="J655" s="14" t="n">
        <v>0.474884207513548</v>
      </c>
      <c r="K655" s="14" t="n">
        <v>0.519967267553259</v>
      </c>
      <c r="L655" s="14" t="n">
        <v>0.598766783227947</v>
      </c>
      <c r="M655" s="14" t="n">
        <v>3.847</v>
      </c>
      <c r="N655" s="14" t="n">
        <v>4.215</v>
      </c>
      <c r="O655" s="14" t="n">
        <v>4.229</v>
      </c>
      <c r="P655" s="14" t="n">
        <v>4.373</v>
      </c>
      <c r="Q655" s="14" t="n">
        <v>0.5</v>
      </c>
      <c r="R655" s="14" t="n">
        <v>0.49</v>
      </c>
      <c r="S655" s="14" t="n">
        <v>6.5</v>
      </c>
    </row>
    <row r="656" customFormat="false" ht="15" hidden="false" customHeight="false" outlineLevel="0" collapsed="false">
      <c r="A656" s="13" t="n">
        <v>43248</v>
      </c>
      <c r="C656" s="14" t="n">
        <v>1.75</v>
      </c>
      <c r="D656" s="14" t="n">
        <v>1.5</v>
      </c>
      <c r="F656" s="14" t="n">
        <v>-0.4</v>
      </c>
      <c r="M656" s="14" t="n">
        <v>3.84</v>
      </c>
      <c r="N656" s="14" t="n">
        <v>4.242</v>
      </c>
      <c r="O656" s="14" t="n">
        <v>4.243</v>
      </c>
      <c r="P656" s="14" t="n">
        <v>4.376</v>
      </c>
      <c r="Q656" s="14" t="n">
        <v>0.5</v>
      </c>
      <c r="R656" s="14" t="n">
        <v>0.5</v>
      </c>
      <c r="S656" s="14" t="n">
        <v>6.5</v>
      </c>
    </row>
    <row r="657" customFormat="false" ht="15" hidden="false" customHeight="false" outlineLevel="0" collapsed="false">
      <c r="A657" s="13" t="n">
        <v>43249</v>
      </c>
      <c r="B657" s="14" t="n">
        <v>1.72</v>
      </c>
      <c r="C657" s="14" t="n">
        <v>1.75</v>
      </c>
      <c r="D657" s="14" t="n">
        <v>1.5</v>
      </c>
      <c r="F657" s="14" t="n">
        <v>-0.4</v>
      </c>
      <c r="G657" s="14" t="n">
        <v>0.5</v>
      </c>
      <c r="H657" s="14" t="n">
        <v>0.4537</v>
      </c>
      <c r="I657" s="14" t="n">
        <v>0.45032664658164</v>
      </c>
      <c r="J657" s="14" t="n">
        <v>0.470116914963089</v>
      </c>
      <c r="K657" s="14" t="n">
        <v>0.505487281008074</v>
      </c>
      <c r="L657" s="14" t="n">
        <v>0.56370349892431</v>
      </c>
      <c r="M657" s="14" t="n">
        <v>3.85</v>
      </c>
      <c r="N657" s="14" t="n">
        <v>4.282</v>
      </c>
      <c r="O657" s="14" t="n">
        <v>4.265</v>
      </c>
      <c r="P657" s="14" t="n">
        <v>4.381</v>
      </c>
      <c r="Q657" s="14" t="n">
        <v>0.5</v>
      </c>
      <c r="R657" s="14" t="n">
        <v>0.48</v>
      </c>
      <c r="S657" s="14" t="n">
        <v>6.5</v>
      </c>
    </row>
    <row r="658" customFormat="false" ht="15" hidden="false" customHeight="false" outlineLevel="0" collapsed="false">
      <c r="A658" s="13" t="n">
        <v>43250</v>
      </c>
      <c r="B658" s="14" t="n">
        <v>1.72</v>
      </c>
      <c r="C658" s="14" t="n">
        <v>1.75</v>
      </c>
      <c r="D658" s="14" t="n">
        <v>1.5</v>
      </c>
      <c r="F658" s="14" t="n">
        <v>-0.4</v>
      </c>
      <c r="G658" s="14" t="n">
        <v>0.5</v>
      </c>
      <c r="H658" s="14" t="n">
        <v>0.4519</v>
      </c>
      <c r="I658" s="14" t="n">
        <v>0.451919601451287</v>
      </c>
      <c r="J658" s="14" t="n">
        <v>0.474856207559157</v>
      </c>
      <c r="K658" s="14" t="n">
        <v>0.513697843341024</v>
      </c>
      <c r="L658" s="14" t="n">
        <v>0.581651084304768</v>
      </c>
      <c r="M658" s="14" t="n">
        <v>3.872</v>
      </c>
      <c r="N658" s="14" t="n">
        <v>4.312</v>
      </c>
      <c r="O658" s="14" t="n">
        <v>4.289</v>
      </c>
      <c r="P658" s="14" t="n">
        <v>4.385</v>
      </c>
      <c r="Q658" s="14" t="n">
        <v>0.5</v>
      </c>
      <c r="R658" s="14" t="n">
        <v>0.49</v>
      </c>
      <c r="S658" s="14" t="n">
        <v>6.5</v>
      </c>
    </row>
    <row r="659" customFormat="false" ht="15" hidden="false" customHeight="false" outlineLevel="0" collapsed="false">
      <c r="A659" s="13" t="n">
        <v>43251</v>
      </c>
      <c r="B659" s="14" t="n">
        <v>1.81</v>
      </c>
      <c r="C659" s="14" t="n">
        <v>1.75</v>
      </c>
      <c r="D659" s="14" t="n">
        <v>1.5</v>
      </c>
      <c r="F659" s="14" t="n">
        <v>-0.4</v>
      </c>
      <c r="G659" s="14" t="n">
        <v>0.5</v>
      </c>
      <c r="H659" s="14" t="n">
        <v>0.4503</v>
      </c>
      <c r="I659" s="14" t="n">
        <v>0.453114523606679</v>
      </c>
      <c r="J659" s="14" t="n">
        <v>0.480321176399391</v>
      </c>
      <c r="K659" s="14" t="n">
        <v>0.524315461813525</v>
      </c>
      <c r="L659" s="14" t="n">
        <v>0.593278508405556</v>
      </c>
      <c r="M659" s="14" t="n">
        <v>3.905</v>
      </c>
      <c r="N659" s="14" t="n">
        <v>4.329</v>
      </c>
      <c r="O659" s="14" t="n">
        <v>4.296</v>
      </c>
      <c r="P659" s="14" t="n">
        <v>4.388</v>
      </c>
      <c r="Q659" s="14" t="n">
        <v>0.5</v>
      </c>
      <c r="R659" s="14" t="n">
        <v>0.49</v>
      </c>
      <c r="S659" s="14" t="n">
        <v>6.5</v>
      </c>
    </row>
    <row r="660" customFormat="false" ht="15" hidden="false" customHeight="false" outlineLevel="0" collapsed="false">
      <c r="A660" s="13" t="n">
        <v>43252</v>
      </c>
      <c r="B660" s="14" t="n">
        <v>1.81</v>
      </c>
      <c r="C660" s="14" t="n">
        <v>1.75</v>
      </c>
      <c r="D660" s="14" t="n">
        <v>1.5</v>
      </c>
      <c r="F660" s="14" t="n">
        <v>-0.4</v>
      </c>
      <c r="G660" s="14" t="n">
        <v>0.5</v>
      </c>
      <c r="H660" s="14" t="n">
        <v>0.4544</v>
      </c>
      <c r="I660" s="14" t="n">
        <v>0.455644135345762</v>
      </c>
      <c r="J660" s="14" t="n">
        <v>0.48773001604391</v>
      </c>
      <c r="K660" s="14" t="n">
        <v>0.534710849787152</v>
      </c>
      <c r="L660" s="14" t="n">
        <v>0.608958802918029</v>
      </c>
      <c r="M660" s="14" t="n">
        <v>3.966</v>
      </c>
      <c r="N660" s="14" t="n">
        <v>4.339</v>
      </c>
      <c r="O660" s="14" t="n">
        <v>4.304</v>
      </c>
      <c r="P660" s="14" t="n">
        <v>4.391</v>
      </c>
      <c r="Q660" s="14" t="n">
        <v>0.5</v>
      </c>
      <c r="R660" s="14" t="n">
        <v>0.49</v>
      </c>
      <c r="S660" s="14" t="n">
        <v>6.5</v>
      </c>
    </row>
    <row r="661" customFormat="false" ht="15" hidden="false" customHeight="false" outlineLevel="0" collapsed="false">
      <c r="A661" s="13" t="n">
        <v>43255</v>
      </c>
      <c r="B661" s="14" t="n">
        <v>1.8</v>
      </c>
      <c r="C661" s="14" t="n">
        <v>1.75</v>
      </c>
      <c r="D661" s="14" t="n">
        <v>1.5</v>
      </c>
      <c r="F661" s="14" t="n">
        <v>-0.4</v>
      </c>
      <c r="G661" s="14" t="n">
        <v>0.5</v>
      </c>
      <c r="H661" s="14" t="n">
        <v>0.4522</v>
      </c>
      <c r="I661" s="14" t="n">
        <v>0.456399488876821</v>
      </c>
      <c r="J661" s="14" t="n">
        <v>0.492393206270471</v>
      </c>
      <c r="K661" s="14" t="n">
        <v>0.542938392730112</v>
      </c>
      <c r="L661" s="14" t="n">
        <v>0.621007816373893</v>
      </c>
      <c r="M661" s="14" t="n">
        <v>3.993</v>
      </c>
      <c r="N661" s="14" t="n">
        <v>4.341</v>
      </c>
      <c r="O661" s="14" t="n">
        <v>4.307</v>
      </c>
      <c r="P661" s="14" t="n">
        <v>4.393</v>
      </c>
      <c r="Q661" s="14" t="n">
        <v>0.5</v>
      </c>
      <c r="R661" s="14" t="n">
        <v>0.49</v>
      </c>
      <c r="S661" s="14" t="n">
        <v>6.5</v>
      </c>
    </row>
    <row r="662" customFormat="false" ht="15" hidden="false" customHeight="false" outlineLevel="0" collapsed="false">
      <c r="A662" s="13" t="n">
        <v>43256</v>
      </c>
      <c r="B662" s="14" t="n">
        <v>1.75</v>
      </c>
      <c r="C662" s="14" t="n">
        <v>1.75</v>
      </c>
      <c r="D662" s="14" t="n">
        <v>1.5</v>
      </c>
      <c r="F662" s="14" t="n">
        <v>-0.4</v>
      </c>
      <c r="G662" s="14" t="n">
        <v>0.5</v>
      </c>
      <c r="H662" s="14" t="n">
        <v>0.4525</v>
      </c>
      <c r="I662" s="14" t="n">
        <v>0.453272261246467</v>
      </c>
      <c r="J662" s="14" t="n">
        <v>0.498049925774949</v>
      </c>
      <c r="K662" s="14" t="n">
        <v>0.555871232721882</v>
      </c>
      <c r="L662" s="14" t="n">
        <v>0.631879761634089</v>
      </c>
      <c r="M662" s="14" t="n">
        <v>4.025</v>
      </c>
      <c r="N662" s="14" t="n">
        <v>4.346</v>
      </c>
      <c r="O662" s="14" t="n">
        <v>4.308</v>
      </c>
      <c r="P662" s="14" t="n">
        <v>4.394</v>
      </c>
      <c r="Q662" s="14" t="n">
        <v>0.5</v>
      </c>
      <c r="R662" s="14" t="n">
        <v>0.49</v>
      </c>
      <c r="S662" s="14" t="n">
        <v>6.5</v>
      </c>
    </row>
    <row r="663" customFormat="false" ht="15" hidden="false" customHeight="false" outlineLevel="0" collapsed="false">
      <c r="A663" s="13" t="n">
        <v>43257</v>
      </c>
      <c r="B663" s="14" t="n">
        <v>1.73</v>
      </c>
      <c r="C663" s="14" t="n">
        <v>1.75</v>
      </c>
      <c r="D663" s="14" t="n">
        <v>1.5</v>
      </c>
      <c r="F663" s="14" t="n">
        <v>-0.4</v>
      </c>
      <c r="G663" s="14" t="n">
        <v>0.5</v>
      </c>
      <c r="H663" s="14" t="n">
        <v>0.4519</v>
      </c>
      <c r="I663" s="14" t="n">
        <v>0.468077380332514</v>
      </c>
      <c r="J663" s="14" t="n">
        <v>0.519576206550116</v>
      </c>
      <c r="K663" s="14" t="n">
        <v>0.578221657964056</v>
      </c>
      <c r="L663" s="14" t="n">
        <v>0.659381594146795</v>
      </c>
      <c r="M663" s="14" t="n">
        <v>4.042</v>
      </c>
      <c r="N663" s="14" t="n">
        <v>4.354</v>
      </c>
      <c r="O663" s="14" t="n">
        <v>4.307</v>
      </c>
      <c r="P663" s="14" t="n">
        <v>4.394</v>
      </c>
      <c r="Q663" s="14" t="n">
        <v>0.5</v>
      </c>
      <c r="R663" s="14" t="n">
        <v>0.49</v>
      </c>
      <c r="S663" s="14" t="n">
        <v>6.5</v>
      </c>
    </row>
    <row r="664" customFormat="false" ht="15" hidden="false" customHeight="false" outlineLevel="0" collapsed="false">
      <c r="A664" s="13" t="n">
        <v>43258</v>
      </c>
      <c r="B664" s="14" t="n">
        <v>1.71</v>
      </c>
      <c r="C664" s="14" t="n">
        <v>1.75</v>
      </c>
      <c r="D664" s="14" t="n">
        <v>1.5</v>
      </c>
      <c r="F664" s="14" t="n">
        <v>-0.4</v>
      </c>
      <c r="G664" s="14" t="n">
        <v>0.5</v>
      </c>
      <c r="H664" s="14" t="n">
        <v>0.4531</v>
      </c>
      <c r="I664" s="14" t="n">
        <v>0.456863581796459</v>
      </c>
      <c r="J664" s="14" t="n">
        <v>0.514671170069595</v>
      </c>
      <c r="K664" s="14" t="n">
        <v>0.582408905754653</v>
      </c>
      <c r="L664" s="14" t="n">
        <v>0.668497186116645</v>
      </c>
      <c r="M664" s="14" t="n">
        <v>4.05</v>
      </c>
      <c r="N664" s="14" t="n">
        <v>4.35</v>
      </c>
      <c r="O664" s="14" t="n">
        <v>4.307</v>
      </c>
      <c r="P664" s="14" t="n">
        <v>4.395</v>
      </c>
      <c r="Q664" s="14" t="n">
        <v>0.5</v>
      </c>
      <c r="R664" s="14" t="n">
        <v>0.49</v>
      </c>
      <c r="S664" s="14" t="n">
        <v>6.5</v>
      </c>
    </row>
    <row r="665" customFormat="false" ht="15" hidden="false" customHeight="false" outlineLevel="0" collapsed="false">
      <c r="A665" s="13" t="n">
        <v>43259</v>
      </c>
      <c r="B665" s="14" t="n">
        <v>1.69</v>
      </c>
      <c r="C665" s="14" t="n">
        <v>1.75</v>
      </c>
      <c r="D665" s="14" t="n">
        <v>1.5</v>
      </c>
      <c r="F665" s="14" t="n">
        <v>-0.4</v>
      </c>
      <c r="G665" s="14" t="n">
        <v>0.5</v>
      </c>
      <c r="H665" s="14" t="n">
        <v>0.4535</v>
      </c>
      <c r="I665" s="14" t="n">
        <v>0.464991917359015</v>
      </c>
      <c r="J665" s="14" t="n">
        <v>0.510599189247831</v>
      </c>
      <c r="K665" s="14" t="n">
        <v>0.565566899311772</v>
      </c>
      <c r="L665" s="14" t="n">
        <v>0.646825402678896</v>
      </c>
      <c r="M665" s="14" t="n">
        <v>4.054</v>
      </c>
      <c r="N665" s="14" t="n">
        <v>4.351</v>
      </c>
      <c r="O665" s="14" t="n">
        <v>4.311</v>
      </c>
      <c r="P665" s="14" t="n">
        <v>4.397</v>
      </c>
      <c r="Q665" s="14" t="n">
        <v>0.5</v>
      </c>
      <c r="R665" s="14" t="n">
        <v>0.5</v>
      </c>
      <c r="S665" s="14" t="n">
        <v>6.5</v>
      </c>
    </row>
    <row r="666" customFormat="false" ht="15" hidden="false" customHeight="false" outlineLevel="0" collapsed="false">
      <c r="A666" s="13" t="n">
        <v>43262</v>
      </c>
      <c r="B666" s="14" t="n">
        <v>1.69</v>
      </c>
      <c r="C666" s="14" t="n">
        <v>1.75</v>
      </c>
      <c r="D666" s="14" t="n">
        <v>1.5</v>
      </c>
      <c r="F666" s="14" t="n">
        <v>-0.4</v>
      </c>
      <c r="G666" s="14" t="n">
        <v>0.5</v>
      </c>
      <c r="H666" s="14" t="n">
        <v>0.4514</v>
      </c>
      <c r="I666" s="14" t="n">
        <v>0.469543438091128</v>
      </c>
      <c r="J666" s="14" t="n">
        <v>0.516618156186504</v>
      </c>
      <c r="K666" s="14" t="n">
        <v>0.571235234724443</v>
      </c>
      <c r="L666" s="14" t="n">
        <v>0.650309246933411</v>
      </c>
      <c r="M666" s="14" t="n">
        <v>4.083</v>
      </c>
      <c r="N666" s="14" t="n">
        <v>4.353</v>
      </c>
      <c r="O666" s="14" t="n">
        <v>4.313</v>
      </c>
      <c r="P666" s="14" t="n">
        <v>4.398</v>
      </c>
      <c r="Q666" s="14" t="n">
        <v>0.5</v>
      </c>
      <c r="R666" s="14" t="n">
        <v>0.5</v>
      </c>
      <c r="S666" s="14" t="n">
        <v>6.5</v>
      </c>
    </row>
    <row r="667" customFormat="false" ht="15" hidden="false" customHeight="false" outlineLevel="0" collapsed="false">
      <c r="A667" s="13" t="n">
        <v>43263</v>
      </c>
      <c r="B667" s="14" t="n">
        <v>1.67</v>
      </c>
      <c r="C667" s="14" t="n">
        <v>1.75</v>
      </c>
      <c r="D667" s="14" t="n">
        <v>1.5</v>
      </c>
      <c r="F667" s="14" t="n">
        <v>-0.4</v>
      </c>
      <c r="G667" s="14" t="n">
        <v>0.5</v>
      </c>
      <c r="H667" s="14" t="n">
        <v>0.4501</v>
      </c>
      <c r="I667" s="14" t="n">
        <v>0.470274826174416</v>
      </c>
      <c r="J667" s="14" t="n">
        <v>0.516759973251377</v>
      </c>
      <c r="K667" s="14" t="n">
        <v>0.573654435742165</v>
      </c>
      <c r="L667" s="14" t="n">
        <v>0.656291720798622</v>
      </c>
      <c r="M667" s="14" t="n">
        <v>4.087</v>
      </c>
      <c r="N667" s="14" t="n">
        <v>4.352</v>
      </c>
      <c r="O667" s="14" t="n">
        <v>4.317</v>
      </c>
      <c r="P667" s="14" t="n">
        <v>4.399</v>
      </c>
      <c r="Q667" s="14" t="n">
        <v>0.5</v>
      </c>
      <c r="R667" s="14" t="n">
        <v>0.49</v>
      </c>
      <c r="S667" s="14" t="n">
        <v>6.5</v>
      </c>
    </row>
    <row r="668" customFormat="false" ht="15" hidden="false" customHeight="false" outlineLevel="0" collapsed="false">
      <c r="A668" s="13" t="n">
        <v>43264</v>
      </c>
      <c r="B668" s="14" t="n">
        <v>1.71</v>
      </c>
      <c r="C668" s="14" t="n">
        <v>1.75</v>
      </c>
      <c r="D668" s="14" t="n">
        <v>1.5</v>
      </c>
      <c r="F668" s="14" t="n">
        <v>-0.4</v>
      </c>
      <c r="G668" s="14" t="n">
        <v>0.5</v>
      </c>
      <c r="H668" s="14" t="n">
        <v>0.4489</v>
      </c>
      <c r="I668" s="14" t="n">
        <v>0.45783942677234</v>
      </c>
      <c r="J668" s="14" t="n">
        <v>0.508679633809648</v>
      </c>
      <c r="K668" s="14" t="n">
        <v>0.567687864041203</v>
      </c>
      <c r="L668" s="14" t="n">
        <v>0.65264952701501</v>
      </c>
      <c r="M668" s="14" t="n">
        <v>4.101</v>
      </c>
      <c r="N668" s="14" t="n">
        <v>4.351</v>
      </c>
      <c r="O668" s="14" t="n">
        <v>4.321</v>
      </c>
      <c r="P668" s="14" t="n">
        <v>4.4</v>
      </c>
      <c r="Q668" s="14" t="n">
        <v>0.5</v>
      </c>
      <c r="R668" s="14" t="n">
        <v>0.49</v>
      </c>
      <c r="S668" s="14" t="n">
        <v>6.5</v>
      </c>
    </row>
    <row r="669" customFormat="false" ht="15" hidden="false" customHeight="false" outlineLevel="0" collapsed="false">
      <c r="A669" s="13" t="n">
        <v>43265</v>
      </c>
      <c r="B669" s="14" t="n">
        <v>1.9</v>
      </c>
      <c r="C669" s="14" t="n">
        <v>2</v>
      </c>
      <c r="D669" s="14" t="n">
        <v>1.75</v>
      </c>
      <c r="F669" s="14" t="n">
        <v>-0.4</v>
      </c>
      <c r="G669" s="14" t="n">
        <v>0.5</v>
      </c>
      <c r="H669" s="14" t="n">
        <v>0.4512</v>
      </c>
      <c r="I669" s="14" t="n">
        <v>0.464953546543795</v>
      </c>
      <c r="J669" s="14" t="n">
        <v>0.512867916053385</v>
      </c>
      <c r="K669" s="14" t="n">
        <v>0.567311732482454</v>
      </c>
      <c r="L669" s="14" t="n">
        <v>0.648613646882694</v>
      </c>
      <c r="M669" s="14" t="n">
        <v>4.107</v>
      </c>
      <c r="N669" s="14" t="n">
        <v>4.351</v>
      </c>
      <c r="O669" s="14" t="n">
        <v>4.323</v>
      </c>
      <c r="P669" s="14" t="n">
        <v>4.4</v>
      </c>
      <c r="Q669" s="14" t="n">
        <v>0.5</v>
      </c>
      <c r="R669" s="14" t="n">
        <v>0.5</v>
      </c>
      <c r="S669" s="14" t="n">
        <v>6.5</v>
      </c>
    </row>
    <row r="670" customFormat="false" ht="15" hidden="false" customHeight="false" outlineLevel="0" collapsed="false">
      <c r="A670" s="13" t="n">
        <v>43266</v>
      </c>
      <c r="B670" s="14" t="n">
        <v>1.91</v>
      </c>
      <c r="C670" s="14" t="n">
        <v>2</v>
      </c>
      <c r="D670" s="14" t="n">
        <v>1.75</v>
      </c>
      <c r="F670" s="14" t="n">
        <v>-0.4</v>
      </c>
      <c r="G670" s="14" t="n">
        <v>0.5</v>
      </c>
      <c r="H670" s="14" t="n">
        <v>0.4505</v>
      </c>
      <c r="I670" s="14" t="n">
        <v>0.457430487645964</v>
      </c>
      <c r="J670" s="14" t="n">
        <v>0.508543694575588</v>
      </c>
      <c r="K670" s="14" t="n">
        <v>0.565734012335754</v>
      </c>
      <c r="L670" s="14" t="n">
        <v>0.643585154284671</v>
      </c>
      <c r="M670" s="14" t="n">
        <v>4.126</v>
      </c>
      <c r="N670" s="14" t="n">
        <v>4.352</v>
      </c>
      <c r="O670" s="14" t="n">
        <v>4.332</v>
      </c>
      <c r="P670" s="14" t="n">
        <v>4.399</v>
      </c>
      <c r="Q670" s="14" t="n">
        <v>0.5</v>
      </c>
      <c r="R670" s="14" t="n">
        <v>0.49</v>
      </c>
      <c r="S670" s="14" t="n">
        <v>6.5</v>
      </c>
    </row>
    <row r="671" customFormat="false" ht="15" hidden="false" customHeight="false" outlineLevel="0" collapsed="false">
      <c r="A671" s="13" t="n">
        <v>43269</v>
      </c>
      <c r="B671" s="14" t="n">
        <v>1.9</v>
      </c>
      <c r="C671" s="14" t="n">
        <v>2</v>
      </c>
      <c r="D671" s="14" t="n">
        <v>1.75</v>
      </c>
      <c r="F671" s="14" t="n">
        <v>-0.4</v>
      </c>
      <c r="G671" s="14" t="n">
        <v>0.5</v>
      </c>
      <c r="H671" s="14" t="n">
        <v>0.4515</v>
      </c>
      <c r="I671" s="14" t="n">
        <v>0.462437760974263</v>
      </c>
      <c r="J671" s="14" t="n">
        <v>0.511638541916569</v>
      </c>
      <c r="K671" s="14" t="n">
        <v>0.566045528202101</v>
      </c>
      <c r="L671" s="14" t="n">
        <v>0.652328933223871</v>
      </c>
      <c r="Q671" s="14" t="n">
        <v>0.5</v>
      </c>
      <c r="R671" s="14" t="n">
        <v>0.5</v>
      </c>
      <c r="S671" s="14" t="n">
        <v>6.5</v>
      </c>
    </row>
    <row r="672" customFormat="false" ht="15" hidden="false" customHeight="false" outlineLevel="0" collapsed="false">
      <c r="A672" s="13" t="n">
        <v>43270</v>
      </c>
      <c r="B672" s="14" t="n">
        <v>1.88</v>
      </c>
      <c r="C672" s="14" t="n">
        <v>2</v>
      </c>
      <c r="D672" s="14" t="n">
        <v>1.75</v>
      </c>
      <c r="F672" s="14" t="n">
        <v>-0.4</v>
      </c>
      <c r="G672" s="14" t="n">
        <v>0.5</v>
      </c>
      <c r="H672" s="14" t="n">
        <v>0.4507</v>
      </c>
      <c r="I672" s="14" t="n">
        <v>0.459912438569157</v>
      </c>
      <c r="J672" s="14" t="n">
        <v>0.509712165517094</v>
      </c>
      <c r="K672" s="14" t="n">
        <v>0.559639895324902</v>
      </c>
      <c r="L672" s="14" t="n">
        <v>0.637553875192821</v>
      </c>
      <c r="M672" s="14" t="n">
        <v>4.144</v>
      </c>
      <c r="N672" s="14" t="n">
        <v>4.346</v>
      </c>
      <c r="O672" s="14" t="n">
        <v>4.324</v>
      </c>
      <c r="P672" s="14" t="n">
        <v>4.4</v>
      </c>
      <c r="Q672" s="14" t="n">
        <v>0.5</v>
      </c>
      <c r="R672" s="14" t="n">
        <v>0.49</v>
      </c>
      <c r="S672" s="14" t="n">
        <v>6.5</v>
      </c>
    </row>
    <row r="673" customFormat="false" ht="15" hidden="false" customHeight="false" outlineLevel="0" collapsed="false">
      <c r="A673" s="13" t="n">
        <v>43271</v>
      </c>
      <c r="B673" s="14" t="n">
        <v>1.87</v>
      </c>
      <c r="C673" s="14" t="n">
        <v>2</v>
      </c>
      <c r="D673" s="14" t="n">
        <v>1.75</v>
      </c>
      <c r="F673" s="14" t="n">
        <v>-0.4</v>
      </c>
      <c r="G673" s="14" t="n">
        <v>0.5</v>
      </c>
      <c r="H673" s="14" t="n">
        <v>0.4495</v>
      </c>
      <c r="I673" s="14" t="n">
        <v>0.46064605339492</v>
      </c>
      <c r="J673" s="14" t="n">
        <v>0.510427924270044</v>
      </c>
      <c r="K673" s="14" t="n">
        <v>0.563805349949329</v>
      </c>
      <c r="L673" s="14" t="n">
        <v>0.650900160858973</v>
      </c>
      <c r="M673" s="14" t="n">
        <v>4.157</v>
      </c>
      <c r="N673" s="14" t="n">
        <v>4.334</v>
      </c>
      <c r="O673" s="14" t="n">
        <v>4.326</v>
      </c>
      <c r="P673" s="14" t="n">
        <v>4.4</v>
      </c>
      <c r="Q673" s="14" t="n">
        <v>0.5</v>
      </c>
      <c r="R673" s="14" t="n">
        <v>0.53</v>
      </c>
      <c r="S673" s="14" t="n">
        <v>6.5</v>
      </c>
    </row>
    <row r="674" customFormat="false" ht="15" hidden="false" customHeight="false" outlineLevel="0" collapsed="false">
      <c r="A674" s="13" t="n">
        <v>43272</v>
      </c>
      <c r="B674" s="14" t="n">
        <v>1.87</v>
      </c>
      <c r="C674" s="14" t="n">
        <v>2</v>
      </c>
      <c r="D674" s="14" t="n">
        <v>1.75</v>
      </c>
      <c r="F674" s="14" t="n">
        <v>-0.4</v>
      </c>
      <c r="G674" s="14" t="n">
        <v>0.5</v>
      </c>
      <c r="H674" s="14" t="n">
        <v>0.4513</v>
      </c>
      <c r="I674" s="14" t="n">
        <v>0.456731277360894</v>
      </c>
      <c r="J674" s="14" t="n">
        <v>0.532024573208672</v>
      </c>
      <c r="K674" s="14" t="n">
        <v>0.596831266545644</v>
      </c>
      <c r="L674" s="14" t="n">
        <v>0.671805316719474</v>
      </c>
      <c r="M674" s="14" t="n">
        <v>4.157</v>
      </c>
      <c r="N674" s="14" t="n">
        <v>4.329</v>
      </c>
      <c r="O674" s="14" t="n">
        <v>4.322</v>
      </c>
      <c r="P674" s="14" t="n">
        <v>4.4</v>
      </c>
      <c r="Q674" s="14" t="n">
        <v>0.5</v>
      </c>
      <c r="R674" s="14" t="n">
        <v>0.5</v>
      </c>
      <c r="S674" s="14" t="n">
        <v>6.5</v>
      </c>
    </row>
    <row r="675" customFormat="false" ht="15" hidden="false" customHeight="false" outlineLevel="0" collapsed="false">
      <c r="A675" s="13" t="n">
        <v>43273</v>
      </c>
      <c r="B675" s="14" t="n">
        <v>1.92</v>
      </c>
      <c r="C675" s="14" t="n">
        <v>2</v>
      </c>
      <c r="D675" s="14" t="n">
        <v>1.75</v>
      </c>
      <c r="F675" s="14" t="n">
        <v>-0.4</v>
      </c>
      <c r="G675" s="14" t="n">
        <v>0.5</v>
      </c>
      <c r="H675" s="14" t="n">
        <v>0.4491</v>
      </c>
      <c r="I675" s="14" t="n">
        <v>0.461028693231265</v>
      </c>
      <c r="J675" s="14" t="n">
        <v>0.539770479962125</v>
      </c>
      <c r="K675" s="14" t="n">
        <v>0.603196245479538</v>
      </c>
      <c r="L675" s="14" t="n">
        <v>0.681568484720468</v>
      </c>
      <c r="M675" s="14" t="n">
        <v>4.151</v>
      </c>
      <c r="N675" s="14" t="n">
        <v>4.305</v>
      </c>
      <c r="O675" s="14" t="n">
        <v>4.312</v>
      </c>
      <c r="P675" s="14" t="n">
        <v>4.398</v>
      </c>
      <c r="Q675" s="14" t="n">
        <v>0.5</v>
      </c>
      <c r="R675" s="14" t="n">
        <v>0.51</v>
      </c>
      <c r="S675" s="14" t="n">
        <v>6.5</v>
      </c>
    </row>
    <row r="676" customFormat="false" ht="15" hidden="false" customHeight="false" outlineLevel="0" collapsed="false">
      <c r="A676" s="13" t="n">
        <v>43276</v>
      </c>
      <c r="B676" s="14" t="n">
        <v>1.91</v>
      </c>
      <c r="C676" s="14" t="n">
        <v>2</v>
      </c>
      <c r="D676" s="14" t="n">
        <v>1.75</v>
      </c>
      <c r="F676" s="14" t="n">
        <v>-0.4</v>
      </c>
      <c r="G676" s="14" t="n">
        <v>0.5</v>
      </c>
      <c r="H676" s="14" t="n">
        <v>0.4512</v>
      </c>
      <c r="I676" s="14" t="n">
        <v>0.461036828007073</v>
      </c>
      <c r="J676" s="14" t="n">
        <v>0.539185127778672</v>
      </c>
      <c r="K676" s="14" t="n">
        <v>0.598881517724422</v>
      </c>
      <c r="L676" s="14" t="n">
        <v>0.669990803084396</v>
      </c>
      <c r="M676" s="14" t="n">
        <v>4.134</v>
      </c>
      <c r="N676" s="14" t="n">
        <v>4.272</v>
      </c>
      <c r="O676" s="14" t="n">
        <v>4.3</v>
      </c>
      <c r="P676" s="14" t="n">
        <v>4.385</v>
      </c>
      <c r="Q676" s="14" t="n">
        <v>0.5</v>
      </c>
      <c r="R676" s="14" t="n">
        <v>0.49</v>
      </c>
      <c r="S676" s="14" t="n">
        <v>6.5</v>
      </c>
    </row>
    <row r="677" customFormat="false" ht="15" hidden="false" customHeight="false" outlineLevel="0" collapsed="false">
      <c r="A677" s="13" t="n">
        <v>43277</v>
      </c>
      <c r="B677" s="14" t="n">
        <v>1.9</v>
      </c>
      <c r="C677" s="14" t="n">
        <v>2</v>
      </c>
      <c r="D677" s="14" t="n">
        <v>1.75</v>
      </c>
      <c r="F677" s="14" t="n">
        <v>-0.4</v>
      </c>
      <c r="G677" s="14" t="n">
        <v>0.5</v>
      </c>
      <c r="H677" s="14" t="n">
        <v>0.4498</v>
      </c>
      <c r="I677" s="14" t="n">
        <v>0.463891471978597</v>
      </c>
      <c r="J677" s="14" t="n">
        <v>0.542722286623215</v>
      </c>
      <c r="K677" s="14" t="n">
        <v>0.599928738415357</v>
      </c>
      <c r="L677" s="14" t="n">
        <v>0.674398319660456</v>
      </c>
      <c r="M677" s="14" t="n">
        <v>4.125</v>
      </c>
      <c r="N677" s="14" t="n">
        <v>4.261</v>
      </c>
      <c r="O677" s="14" t="n">
        <v>4.296</v>
      </c>
      <c r="P677" s="14" t="n">
        <v>4.381</v>
      </c>
      <c r="Q677" s="14" t="n">
        <v>0.5</v>
      </c>
      <c r="R677" s="14" t="n">
        <v>0.49</v>
      </c>
      <c r="S677" s="14" t="n">
        <v>6.5</v>
      </c>
    </row>
    <row r="678" customFormat="false" ht="15" hidden="false" customHeight="false" outlineLevel="0" collapsed="false">
      <c r="A678" s="13" t="n">
        <v>43278</v>
      </c>
      <c r="B678" s="14" t="n">
        <v>1.9</v>
      </c>
      <c r="C678" s="14" t="n">
        <v>2</v>
      </c>
      <c r="D678" s="14" t="n">
        <v>1.75</v>
      </c>
      <c r="F678" s="14" t="n">
        <v>-0.4</v>
      </c>
      <c r="G678" s="14" t="n">
        <v>0.5</v>
      </c>
      <c r="H678" s="14" t="n">
        <v>0.4495</v>
      </c>
      <c r="I678" s="14" t="n">
        <v>0.464227552583313</v>
      </c>
      <c r="J678" s="14" t="n">
        <v>0.538362791090955</v>
      </c>
      <c r="K678" s="14" t="n">
        <v>0.592897027930777</v>
      </c>
      <c r="L678" s="14" t="n">
        <v>0.661907855236084</v>
      </c>
      <c r="M678" s="14" t="n">
        <v>4.097</v>
      </c>
      <c r="N678" s="14" t="n">
        <v>4.242</v>
      </c>
      <c r="O678" s="14" t="n">
        <v>4.274</v>
      </c>
      <c r="P678" s="14" t="n">
        <v>4.37</v>
      </c>
      <c r="Q678" s="14" t="n">
        <v>0.5</v>
      </c>
      <c r="R678" s="14" t="n">
        <v>0.49</v>
      </c>
      <c r="S678" s="14" t="n">
        <v>6.5</v>
      </c>
    </row>
    <row r="679" customFormat="false" ht="15" hidden="false" customHeight="false" outlineLevel="0" collapsed="false">
      <c r="A679" s="13" t="n">
        <v>43279</v>
      </c>
      <c r="B679" s="14" t="n">
        <v>1.93</v>
      </c>
      <c r="C679" s="14" t="n">
        <v>2</v>
      </c>
      <c r="D679" s="14" t="n">
        <v>1.75</v>
      </c>
      <c r="F679" s="14" t="n">
        <v>-0.4</v>
      </c>
      <c r="G679" s="14" t="n">
        <v>0.5</v>
      </c>
      <c r="H679" s="14" t="n">
        <v>0.4515</v>
      </c>
      <c r="I679" s="14" t="n">
        <v>0.463515116475305</v>
      </c>
      <c r="J679" s="14" t="n">
        <v>0.541898995248196</v>
      </c>
      <c r="K679" s="14" t="n">
        <v>0.594152130090727</v>
      </c>
      <c r="L679" s="14" t="n">
        <v>0.657626661013808</v>
      </c>
      <c r="M679" s="14" t="n">
        <v>4.064</v>
      </c>
      <c r="N679" s="14" t="n">
        <v>4.192</v>
      </c>
      <c r="O679" s="14" t="n">
        <v>4.241</v>
      </c>
      <c r="P679" s="14" t="n">
        <v>4.352</v>
      </c>
      <c r="Q679" s="14" t="n">
        <v>0.5</v>
      </c>
      <c r="R679" s="14" t="n">
        <v>0.49</v>
      </c>
      <c r="S679" s="14" t="n">
        <v>6.5</v>
      </c>
    </row>
    <row r="680" customFormat="false" ht="15" hidden="false" customHeight="false" outlineLevel="0" collapsed="false">
      <c r="A680" s="13" t="n">
        <v>43280</v>
      </c>
      <c r="B680" s="14" t="n">
        <v>2.12</v>
      </c>
      <c r="C680" s="14" t="n">
        <v>2</v>
      </c>
      <c r="D680" s="14" t="n">
        <v>1.75</v>
      </c>
      <c r="F680" s="14" t="n">
        <v>-0.4</v>
      </c>
      <c r="G680" s="14" t="n">
        <v>0.5</v>
      </c>
      <c r="H680" s="14" t="n">
        <v>0.4399</v>
      </c>
      <c r="I680" s="14" t="n">
        <v>0.457632042754232</v>
      </c>
      <c r="J680" s="14" t="n">
        <v>0.548048184318731</v>
      </c>
      <c r="K680" s="14" t="n">
        <v>0.610186447601204</v>
      </c>
      <c r="L680" s="14" t="n">
        <v>0.67759265634718</v>
      </c>
      <c r="M680" s="14" t="n">
        <v>4.031</v>
      </c>
      <c r="N680" s="14" t="n">
        <v>4.155</v>
      </c>
      <c r="O680" s="14" t="n">
        <v>4.223</v>
      </c>
      <c r="P680" s="14" t="n">
        <v>4.331</v>
      </c>
      <c r="Q680" s="14" t="n">
        <v>0.5</v>
      </c>
      <c r="R680" s="14" t="n">
        <v>0.49</v>
      </c>
      <c r="S680" s="14" t="n">
        <v>6.5</v>
      </c>
    </row>
    <row r="681" customFormat="false" ht="15" hidden="false" customHeight="false" outlineLevel="0" collapsed="false">
      <c r="A681" s="13" t="n">
        <v>43283</v>
      </c>
      <c r="B681" s="14" t="n">
        <v>2.04</v>
      </c>
      <c r="C681" s="14" t="n">
        <v>2</v>
      </c>
      <c r="D681" s="14" t="n">
        <v>1.75</v>
      </c>
      <c r="F681" s="14" t="n">
        <v>-0.4</v>
      </c>
      <c r="G681" s="14" t="n">
        <v>0.5</v>
      </c>
      <c r="H681" s="14" t="n">
        <v>0.4531</v>
      </c>
      <c r="I681" s="14" t="n">
        <v>0.466814090860427</v>
      </c>
      <c r="J681" s="14" t="n">
        <v>0.554004117419405</v>
      </c>
      <c r="K681" s="14" t="n">
        <v>0.608547689259069</v>
      </c>
      <c r="L681" s="14" t="n">
        <v>0.668580412435552</v>
      </c>
      <c r="M681" s="14" t="n">
        <v>4.004</v>
      </c>
      <c r="N681" s="14" t="n">
        <v>4.104</v>
      </c>
      <c r="O681" s="14" t="n">
        <v>4.193</v>
      </c>
      <c r="P681" s="14" t="n">
        <v>4.298</v>
      </c>
      <c r="Q681" s="14" t="n">
        <v>0.5</v>
      </c>
      <c r="R681" s="14" t="n">
        <v>0.5</v>
      </c>
      <c r="S681" s="14" t="n">
        <v>6.5</v>
      </c>
    </row>
    <row r="682" customFormat="false" ht="15" hidden="false" customHeight="false" outlineLevel="0" collapsed="false">
      <c r="A682" s="13" t="n">
        <v>43284</v>
      </c>
      <c r="B682" s="14" t="n">
        <v>2</v>
      </c>
      <c r="C682" s="14" t="n">
        <v>2</v>
      </c>
      <c r="D682" s="14" t="n">
        <v>1.75</v>
      </c>
      <c r="F682" s="14" t="n">
        <v>-0.4</v>
      </c>
      <c r="G682" s="14" t="n">
        <v>0.5</v>
      </c>
      <c r="H682" s="14" t="n">
        <v>0.4543</v>
      </c>
      <c r="I682" s="14" t="n">
        <v>0.472531094994886</v>
      </c>
      <c r="J682" s="14" t="n">
        <v>0.55664090943195</v>
      </c>
      <c r="K682" s="14" t="n">
        <v>0.607338055913536</v>
      </c>
      <c r="L682" s="14" t="n">
        <v>0.667781934285847</v>
      </c>
      <c r="M682" s="14" t="n">
        <v>3.8824</v>
      </c>
      <c r="N682" s="14" t="n">
        <v>3.9944</v>
      </c>
      <c r="O682" s="14" t="n">
        <v>4.1253</v>
      </c>
      <c r="P682" s="14" t="n">
        <v>4.2238</v>
      </c>
      <c r="Q682" s="14" t="n">
        <v>0.5</v>
      </c>
      <c r="R682" s="14" t="n">
        <v>0.51</v>
      </c>
      <c r="S682" s="14" t="n">
        <v>6.5</v>
      </c>
    </row>
    <row r="683" customFormat="false" ht="15" hidden="false" customHeight="false" outlineLevel="0" collapsed="false">
      <c r="A683" s="13" t="n">
        <v>43285</v>
      </c>
      <c r="C683" s="14" t="n">
        <v>2</v>
      </c>
      <c r="D683" s="14" t="n">
        <v>1.75</v>
      </c>
      <c r="F683" s="14" t="n">
        <v>-0.4</v>
      </c>
      <c r="G683" s="14" t="n">
        <v>0.5</v>
      </c>
      <c r="H683" s="14" t="n">
        <v>0.4546</v>
      </c>
      <c r="I683" s="14" t="n">
        <v>0.476021079548158</v>
      </c>
      <c r="J683" s="14" t="n">
        <v>0.573832419584964</v>
      </c>
      <c r="K683" s="14" t="n">
        <v>0.631576655442813</v>
      </c>
      <c r="L683" s="14" t="n">
        <v>0.700494533080354</v>
      </c>
      <c r="M683" s="14" t="n">
        <v>3.732</v>
      </c>
      <c r="N683" s="14" t="n">
        <v>3.919</v>
      </c>
      <c r="O683" s="14" t="n">
        <v>4.051</v>
      </c>
      <c r="P683" s="14" t="n">
        <v>4.149</v>
      </c>
      <c r="Q683" s="14" t="n">
        <v>0.5</v>
      </c>
      <c r="R683" s="14" t="n">
        <v>0.5</v>
      </c>
      <c r="S683" s="14" t="n">
        <v>6.5</v>
      </c>
    </row>
    <row r="684" customFormat="false" ht="15" hidden="false" customHeight="false" outlineLevel="0" collapsed="false">
      <c r="A684" s="13" t="n">
        <v>43286</v>
      </c>
      <c r="B684" s="14" t="n">
        <v>1.97</v>
      </c>
      <c r="C684" s="14" t="n">
        <v>2</v>
      </c>
      <c r="D684" s="14" t="n">
        <v>1.75</v>
      </c>
      <c r="F684" s="14" t="n">
        <v>-0.4</v>
      </c>
      <c r="G684" s="14" t="n">
        <v>0.5</v>
      </c>
      <c r="H684" s="14" t="n">
        <v>0.4563</v>
      </c>
      <c r="I684" s="14" t="n">
        <v>0.487462419205626</v>
      </c>
      <c r="J684" s="14" t="n">
        <v>0.585164528939331</v>
      </c>
      <c r="K684" s="14" t="n">
        <v>0.638027428746708</v>
      </c>
      <c r="L684" s="14" t="n">
        <v>0.704606345887174</v>
      </c>
      <c r="M684" s="14" t="n">
        <v>3.571</v>
      </c>
      <c r="N684" s="14" t="n">
        <v>3.818</v>
      </c>
      <c r="O684" s="14" t="n">
        <v>3.97</v>
      </c>
      <c r="P684" s="14" t="n">
        <v>4.082</v>
      </c>
      <c r="Q684" s="14" t="n">
        <v>0.5</v>
      </c>
      <c r="R684" s="14" t="n">
        <v>0.48</v>
      </c>
      <c r="S684" s="14" t="n">
        <v>6.5</v>
      </c>
    </row>
    <row r="685" customFormat="false" ht="15" hidden="false" customHeight="false" outlineLevel="0" collapsed="false">
      <c r="A685" s="13" t="n">
        <v>43287</v>
      </c>
      <c r="B685" s="14" t="n">
        <v>1.93</v>
      </c>
      <c r="C685" s="14" t="n">
        <v>2</v>
      </c>
      <c r="D685" s="14" t="n">
        <v>1.75</v>
      </c>
      <c r="F685" s="14" t="n">
        <v>-0.4</v>
      </c>
      <c r="G685" s="14" t="n">
        <v>0.5</v>
      </c>
      <c r="H685" s="14" t="n">
        <v>0.458</v>
      </c>
      <c r="I685" s="14" t="n">
        <v>0.493833360984447</v>
      </c>
      <c r="J685" s="14" t="n">
        <v>0.589681167775406</v>
      </c>
      <c r="K685" s="14" t="n">
        <v>0.641705786712112</v>
      </c>
      <c r="L685" s="14" t="n">
        <v>0.708905483739918</v>
      </c>
      <c r="M685" s="14" t="n">
        <v>3.446</v>
      </c>
      <c r="N685" s="14" t="n">
        <v>3.74</v>
      </c>
      <c r="O685" s="14" t="n">
        <v>3.904</v>
      </c>
      <c r="P685" s="14" t="n">
        <v>4.039</v>
      </c>
      <c r="Q685" s="14" t="n">
        <v>0.5</v>
      </c>
      <c r="R685" s="14" t="n">
        <v>0.5</v>
      </c>
      <c r="S685" s="14" t="n">
        <v>6.5</v>
      </c>
    </row>
    <row r="686" customFormat="false" ht="15" hidden="false" customHeight="false" outlineLevel="0" collapsed="false">
      <c r="A686" s="13" t="n">
        <v>43290</v>
      </c>
      <c r="B686" s="14" t="n">
        <v>1.89</v>
      </c>
      <c r="C686" s="14" t="n">
        <v>2</v>
      </c>
      <c r="D686" s="14" t="n">
        <v>1.75</v>
      </c>
      <c r="F686" s="14" t="n">
        <v>-0.4</v>
      </c>
      <c r="G686" s="14" t="n">
        <v>0.5</v>
      </c>
      <c r="H686" s="14" t="n">
        <v>0.4567</v>
      </c>
      <c r="I686" s="14" t="n">
        <v>0.4934756844763</v>
      </c>
      <c r="J686" s="14" t="n">
        <v>0.580698791809906</v>
      </c>
      <c r="K686" s="14" t="n">
        <v>0.626593631988042</v>
      </c>
      <c r="L686" s="14" t="n">
        <v>0.688044726785625</v>
      </c>
      <c r="M686" s="14" t="n">
        <v>3.34</v>
      </c>
      <c r="N686" s="14" t="n">
        <v>3.682</v>
      </c>
      <c r="O686" s="14" t="n">
        <v>3.87</v>
      </c>
      <c r="P686" s="14" t="n">
        <v>4.009</v>
      </c>
      <c r="Q686" s="14" t="n">
        <v>0.5</v>
      </c>
      <c r="R686" s="14" t="n">
        <v>0.51</v>
      </c>
      <c r="S686" s="14" t="n">
        <v>6.5</v>
      </c>
    </row>
    <row r="687" customFormat="false" ht="15" hidden="false" customHeight="false" outlineLevel="0" collapsed="false">
      <c r="A687" s="13" t="n">
        <v>43291</v>
      </c>
      <c r="B687" s="14" t="n">
        <v>1.89</v>
      </c>
      <c r="C687" s="14" t="n">
        <v>2</v>
      </c>
      <c r="D687" s="14" t="n">
        <v>1.75</v>
      </c>
      <c r="F687" s="14" t="n">
        <v>-0.4</v>
      </c>
      <c r="G687" s="14" t="n">
        <v>0.5</v>
      </c>
      <c r="H687" s="14" t="n">
        <v>0.4549</v>
      </c>
      <c r="I687" s="14" t="n">
        <v>0.504099379788211</v>
      </c>
      <c r="J687" s="14" t="n">
        <v>0.599958875292539</v>
      </c>
      <c r="K687" s="14" t="n">
        <v>0.649762411764059</v>
      </c>
      <c r="L687" s="14" t="n">
        <v>0.71485238898827</v>
      </c>
      <c r="M687" s="14" t="n">
        <v>3.285</v>
      </c>
      <c r="N687" s="14" t="n">
        <v>3.649</v>
      </c>
      <c r="O687" s="14" t="n">
        <v>3.847</v>
      </c>
      <c r="P687" s="14" t="n">
        <v>3.994</v>
      </c>
      <c r="Q687" s="14" t="n">
        <v>0.5</v>
      </c>
      <c r="R687" s="14" t="n">
        <v>0.5</v>
      </c>
      <c r="S687" s="14" t="n">
        <v>6.5</v>
      </c>
    </row>
    <row r="688" customFormat="false" ht="15" hidden="false" customHeight="false" outlineLevel="0" collapsed="false">
      <c r="A688" s="13" t="n">
        <v>43292</v>
      </c>
      <c r="B688" s="14" t="n">
        <v>1.89</v>
      </c>
      <c r="C688" s="14" t="n">
        <v>2</v>
      </c>
      <c r="D688" s="14" t="n">
        <v>1.75</v>
      </c>
      <c r="F688" s="14" t="n">
        <v>-0.4</v>
      </c>
      <c r="G688" s="14" t="n">
        <v>0.5</v>
      </c>
      <c r="H688" s="14" t="n">
        <v>0.4544</v>
      </c>
      <c r="I688" s="14" t="n">
        <v>0.510246966762262</v>
      </c>
      <c r="J688" s="14" t="n">
        <v>0.601595379295122</v>
      </c>
      <c r="K688" s="14" t="n">
        <v>0.651055008897763</v>
      </c>
      <c r="L688" s="14" t="n">
        <v>0.715289034404845</v>
      </c>
      <c r="M688" s="14" t="n">
        <v>3.241</v>
      </c>
      <c r="N688" s="14" t="n">
        <v>3.632</v>
      </c>
      <c r="O688" s="14" t="n">
        <v>3.82</v>
      </c>
      <c r="P688" s="14" t="n">
        <v>3.976</v>
      </c>
      <c r="Q688" s="14" t="n">
        <v>0.5</v>
      </c>
      <c r="R688" s="14" t="n">
        <v>0.5</v>
      </c>
      <c r="S688" s="14" t="n">
        <v>6.5</v>
      </c>
    </row>
    <row r="689" customFormat="false" ht="15" hidden="false" customHeight="false" outlineLevel="0" collapsed="false">
      <c r="A689" s="13" t="n">
        <v>43293</v>
      </c>
      <c r="B689" s="14" t="n">
        <v>1.9</v>
      </c>
      <c r="C689" s="14" t="n">
        <v>2</v>
      </c>
      <c r="D689" s="14" t="n">
        <v>1.75</v>
      </c>
      <c r="F689" s="14" t="n">
        <v>-0.4</v>
      </c>
      <c r="G689" s="14" t="n">
        <v>0.5</v>
      </c>
      <c r="H689" s="14" t="n">
        <v>0.4563</v>
      </c>
      <c r="I689" s="14" t="n">
        <v>0.51239914660194</v>
      </c>
      <c r="J689" s="14" t="n">
        <v>0.603326708052506</v>
      </c>
      <c r="K689" s="14" t="n">
        <v>0.648798221182932</v>
      </c>
      <c r="L689" s="14" t="n">
        <v>0.710339650768645</v>
      </c>
      <c r="M689" s="14" t="n">
        <v>3.222</v>
      </c>
      <c r="N689" s="14" t="n">
        <v>3.626</v>
      </c>
      <c r="O689" s="14" t="n">
        <v>3.805</v>
      </c>
      <c r="P689" s="14" t="n">
        <v>3.969</v>
      </c>
      <c r="Q689" s="14" t="n">
        <v>0.5</v>
      </c>
      <c r="R689" s="14" t="n">
        <v>0.5</v>
      </c>
      <c r="S689" s="14" t="n">
        <v>6.5</v>
      </c>
    </row>
    <row r="690" customFormat="false" ht="15" hidden="false" customHeight="false" outlineLevel="0" collapsed="false">
      <c r="A690" s="13" t="n">
        <v>43294</v>
      </c>
      <c r="B690" s="14" t="n">
        <v>1.9</v>
      </c>
      <c r="C690" s="14" t="n">
        <v>2</v>
      </c>
      <c r="D690" s="14" t="n">
        <v>1.75</v>
      </c>
      <c r="F690" s="14" t="n">
        <v>-0.4</v>
      </c>
      <c r="G690" s="14" t="n">
        <v>0.5</v>
      </c>
      <c r="H690" s="14" t="n">
        <v>0.4565</v>
      </c>
      <c r="I690" s="14" t="n">
        <v>0.518840297256507</v>
      </c>
      <c r="J690" s="14" t="n">
        <v>0.613380306044223</v>
      </c>
      <c r="K690" s="14" t="n">
        <v>0.657682782907798</v>
      </c>
      <c r="L690" s="14" t="n">
        <v>0.716802251535016</v>
      </c>
      <c r="M690" s="14" t="n">
        <v>3.208</v>
      </c>
      <c r="N690" s="14" t="n">
        <v>3.613</v>
      </c>
      <c r="O690" s="14" t="n">
        <v>3.799</v>
      </c>
      <c r="P690" s="14" t="n">
        <v>3.961</v>
      </c>
      <c r="Q690" s="14" t="n">
        <v>0.5</v>
      </c>
      <c r="R690" s="14" t="n">
        <v>0.51</v>
      </c>
      <c r="S690" s="14" t="n">
        <v>6.5</v>
      </c>
    </row>
    <row r="691" customFormat="false" ht="15" hidden="false" customHeight="false" outlineLevel="0" collapsed="false">
      <c r="A691" s="13" t="n">
        <v>43297</v>
      </c>
      <c r="B691" s="14" t="n">
        <v>1.95</v>
      </c>
      <c r="C691" s="14" t="n">
        <v>2</v>
      </c>
      <c r="D691" s="14" t="n">
        <v>1.75</v>
      </c>
      <c r="F691" s="14" t="n">
        <v>-0.4</v>
      </c>
      <c r="G691" s="14" t="n">
        <v>0.5</v>
      </c>
      <c r="H691" s="14" t="n">
        <v>0.4552</v>
      </c>
      <c r="I691" s="14" t="n">
        <v>0.544897680413096</v>
      </c>
      <c r="J691" s="14" t="n">
        <v>0.621789891253136</v>
      </c>
      <c r="K691" s="14" t="n">
        <v>0.657301383192204</v>
      </c>
      <c r="L691" s="14" t="n">
        <v>0.715722946649197</v>
      </c>
      <c r="M691" s="14" t="n">
        <v>3.21</v>
      </c>
      <c r="N691" s="14" t="n">
        <v>3.608</v>
      </c>
      <c r="O691" s="14" t="n">
        <v>3.8</v>
      </c>
      <c r="P691" s="14" t="n">
        <v>3.962</v>
      </c>
      <c r="Q691" s="14" t="n">
        <v>0.5</v>
      </c>
      <c r="R691" s="14" t="n">
        <v>0.5</v>
      </c>
      <c r="S691" s="14" t="n">
        <v>6.5</v>
      </c>
    </row>
    <row r="692" customFormat="false" ht="15" hidden="false" customHeight="false" outlineLevel="0" collapsed="false">
      <c r="A692" s="13" t="n">
        <v>43298</v>
      </c>
      <c r="B692" s="14" t="n">
        <v>1.92</v>
      </c>
      <c r="C692" s="14" t="n">
        <v>2</v>
      </c>
      <c r="D692" s="14" t="n">
        <v>1.75</v>
      </c>
      <c r="F692" s="14" t="n">
        <v>-0.4</v>
      </c>
      <c r="G692" s="14" t="n">
        <v>0.5</v>
      </c>
      <c r="H692" s="14" t="n">
        <v>0.4541</v>
      </c>
      <c r="I692" s="14" t="n">
        <v>0.554626536723751</v>
      </c>
      <c r="J692" s="14" t="n">
        <v>0.629834598282805</v>
      </c>
      <c r="K692" s="14" t="n">
        <v>0.66268258762672</v>
      </c>
      <c r="L692" s="14" t="n">
        <v>0.719639098834268</v>
      </c>
      <c r="M692" s="14" t="n">
        <v>3.2151</v>
      </c>
      <c r="N692" s="14" t="n">
        <v>3.601</v>
      </c>
      <c r="O692" s="14" t="n">
        <v>3.8</v>
      </c>
      <c r="P692" s="14" t="n">
        <v>3.969</v>
      </c>
      <c r="Q692" s="14" t="n">
        <v>0.5</v>
      </c>
      <c r="R692" s="14" t="n">
        <v>0.49</v>
      </c>
      <c r="S692" s="14" t="n">
        <v>6.5</v>
      </c>
    </row>
    <row r="693" customFormat="false" ht="15" hidden="false" customHeight="false" outlineLevel="0" collapsed="false">
      <c r="A693" s="13" t="n">
        <v>43299</v>
      </c>
      <c r="B693" s="14" t="n">
        <v>1.9</v>
      </c>
      <c r="C693" s="14" t="n">
        <v>2</v>
      </c>
      <c r="D693" s="14" t="n">
        <v>1.75</v>
      </c>
      <c r="F693" s="14" t="n">
        <v>-0.4</v>
      </c>
      <c r="G693" s="14" t="n">
        <v>0.5</v>
      </c>
      <c r="H693" s="14" t="n">
        <v>0.4543</v>
      </c>
      <c r="I693" s="14" t="n">
        <v>0.552678839423306</v>
      </c>
      <c r="J693" s="14" t="n">
        <v>0.623534799876788</v>
      </c>
      <c r="K693" s="14" t="n">
        <v>0.655570838128594</v>
      </c>
      <c r="L693" s="14" t="n">
        <v>0.705913423667155</v>
      </c>
      <c r="M693" s="14" t="n">
        <v>3.214</v>
      </c>
      <c r="N693" s="14" t="n">
        <v>3.588</v>
      </c>
      <c r="O693" s="14" t="n">
        <v>3.793</v>
      </c>
      <c r="P693" s="14" t="n">
        <v>3.969</v>
      </c>
      <c r="Q693" s="14" t="n">
        <v>0.5</v>
      </c>
      <c r="R693" s="14" t="n">
        <v>0.49</v>
      </c>
      <c r="S693" s="14" t="n">
        <v>6.5</v>
      </c>
    </row>
    <row r="694" customFormat="false" ht="15" hidden="false" customHeight="false" outlineLevel="0" collapsed="false">
      <c r="A694" s="13" t="n">
        <v>43300</v>
      </c>
      <c r="B694" s="14" t="n">
        <v>1.9</v>
      </c>
      <c r="C694" s="14" t="n">
        <v>2</v>
      </c>
      <c r="D694" s="14" t="n">
        <v>1.75</v>
      </c>
      <c r="F694" s="14" t="n">
        <v>-0.4</v>
      </c>
      <c r="G694" s="14" t="n">
        <v>0.5</v>
      </c>
      <c r="H694" s="14" t="n">
        <v>0.4538</v>
      </c>
      <c r="I694" s="14" t="n">
        <v>0.557237274720271</v>
      </c>
      <c r="J694" s="14" t="n">
        <v>0.620422366045236</v>
      </c>
      <c r="K694" s="14" t="n">
        <v>0.647799536991459</v>
      </c>
      <c r="L694" s="14" t="n">
        <v>0.698894551399933</v>
      </c>
      <c r="M694" s="14" t="n">
        <v>3.198</v>
      </c>
      <c r="N694" s="14" t="n">
        <v>3.561</v>
      </c>
      <c r="O694" s="14" t="n">
        <v>3.776</v>
      </c>
      <c r="P694" s="14" t="n">
        <v>3.962</v>
      </c>
      <c r="Q694" s="14" t="n">
        <v>0.5</v>
      </c>
      <c r="R694" s="14" t="n">
        <v>0.49</v>
      </c>
      <c r="S694" s="14" t="n">
        <v>6.5</v>
      </c>
    </row>
    <row r="695" customFormat="false" ht="15" hidden="false" customHeight="false" outlineLevel="0" collapsed="false">
      <c r="A695" s="13" t="n">
        <v>43301</v>
      </c>
      <c r="B695" s="14" t="n">
        <v>1.88</v>
      </c>
      <c r="C695" s="14" t="n">
        <v>2</v>
      </c>
      <c r="D695" s="14" t="n">
        <v>1.75</v>
      </c>
      <c r="F695" s="14" t="n">
        <v>-0.4</v>
      </c>
      <c r="G695" s="14" t="n">
        <v>0.5</v>
      </c>
      <c r="H695" s="14" t="n">
        <v>0.4557</v>
      </c>
      <c r="I695" s="14" t="n">
        <v>0.568815154325414</v>
      </c>
      <c r="J695" s="14" t="n">
        <v>0.635764867692074</v>
      </c>
      <c r="K695" s="14" t="n">
        <v>0.666375343991501</v>
      </c>
      <c r="L695" s="14" t="n">
        <v>0.720328505843395</v>
      </c>
      <c r="M695" s="14" t="n">
        <v>3.183</v>
      </c>
      <c r="N695" s="14" t="n">
        <v>3.536</v>
      </c>
      <c r="O695" s="14" t="n">
        <v>3.748</v>
      </c>
      <c r="P695" s="14" t="n">
        <v>3.953</v>
      </c>
      <c r="Q695" s="14" t="n">
        <v>0.5</v>
      </c>
      <c r="R695" s="14" t="n">
        <v>0.49</v>
      </c>
      <c r="S695" s="14" t="n">
        <v>6.5</v>
      </c>
    </row>
    <row r="696" customFormat="false" ht="15" hidden="false" customHeight="false" outlineLevel="0" collapsed="false">
      <c r="A696" s="13" t="n">
        <v>43304</v>
      </c>
      <c r="B696" s="14" t="n">
        <v>1.87</v>
      </c>
      <c r="C696" s="14" t="n">
        <v>2</v>
      </c>
      <c r="D696" s="14" t="n">
        <v>1.75</v>
      </c>
      <c r="F696" s="14" t="n">
        <v>-0.4</v>
      </c>
      <c r="G696" s="14" t="n">
        <v>0.5</v>
      </c>
      <c r="H696" s="14" t="n">
        <v>0.4537</v>
      </c>
      <c r="I696" s="14" t="n">
        <v>0.59262838103972</v>
      </c>
      <c r="J696" s="14" t="n">
        <v>0.64077990296564</v>
      </c>
      <c r="K696" s="14" t="n">
        <v>0.669653828086936</v>
      </c>
      <c r="L696" s="14" t="n">
        <v>0.727217339593713</v>
      </c>
      <c r="M696" s="14" t="n">
        <v>3.162</v>
      </c>
      <c r="N696" s="14" t="n">
        <v>3.503</v>
      </c>
      <c r="O696" s="14" t="n">
        <v>3.724</v>
      </c>
      <c r="P696" s="14" t="n">
        <v>3.923</v>
      </c>
      <c r="Q696" s="14" t="n">
        <v>0.5</v>
      </c>
      <c r="R696" s="14" t="n">
        <v>0.5</v>
      </c>
      <c r="S696" s="14" t="n">
        <v>6.5</v>
      </c>
    </row>
    <row r="697" customFormat="false" ht="15" hidden="false" customHeight="false" outlineLevel="0" collapsed="false">
      <c r="A697" s="13" t="n">
        <v>43305</v>
      </c>
      <c r="B697" s="14" t="n">
        <v>1.9</v>
      </c>
      <c r="C697" s="14" t="n">
        <v>2</v>
      </c>
      <c r="D697" s="14" t="n">
        <v>1.75</v>
      </c>
      <c r="F697" s="14" t="n">
        <v>-0.4</v>
      </c>
      <c r="G697" s="14" t="n">
        <v>0.5</v>
      </c>
      <c r="H697" s="14" t="n">
        <v>0.4548</v>
      </c>
      <c r="I697" s="14" t="n">
        <v>0.609074018438753</v>
      </c>
      <c r="J697" s="14" t="n">
        <v>0.657467916614585</v>
      </c>
      <c r="K697" s="14" t="n">
        <v>0.686031746102845</v>
      </c>
      <c r="L697" s="14" t="n">
        <v>0.743427911052485</v>
      </c>
      <c r="M697" s="14" t="n">
        <v>3.121</v>
      </c>
      <c r="N697" s="14" t="n">
        <v>3.475</v>
      </c>
      <c r="O697" s="14" t="n">
        <v>3.69</v>
      </c>
      <c r="P697" s="14" t="n">
        <v>3.897</v>
      </c>
      <c r="Q697" s="14" t="n">
        <v>0.5</v>
      </c>
      <c r="R697" s="14" t="n">
        <v>0.49</v>
      </c>
      <c r="S697" s="14" t="n">
        <v>6.5</v>
      </c>
    </row>
    <row r="698" customFormat="false" ht="15" hidden="false" customHeight="false" outlineLevel="0" collapsed="false">
      <c r="A698" s="13" t="n">
        <v>43306</v>
      </c>
      <c r="B698" s="14" t="n">
        <v>1.87</v>
      </c>
      <c r="C698" s="14" t="n">
        <v>2</v>
      </c>
      <c r="D698" s="14" t="n">
        <v>1.75</v>
      </c>
      <c r="F698" s="14" t="n">
        <v>-0.4</v>
      </c>
      <c r="G698" s="14" t="n">
        <v>0.5</v>
      </c>
      <c r="H698" s="14" t="n">
        <v>0.454</v>
      </c>
      <c r="I698" s="14" t="n">
        <v>0.61683077058325</v>
      </c>
      <c r="J698" s="14" t="n">
        <v>0.66197981226395</v>
      </c>
      <c r="K698" s="14" t="n">
        <v>0.688975486119732</v>
      </c>
      <c r="L698" s="14" t="n">
        <v>0.749825006130495</v>
      </c>
      <c r="M698" s="14" t="n">
        <v>3.103</v>
      </c>
      <c r="N698" s="14" t="n">
        <v>3.419</v>
      </c>
      <c r="O698" s="14" t="n">
        <v>3.634</v>
      </c>
      <c r="P698" s="14" t="n">
        <v>3.851</v>
      </c>
      <c r="Q698" s="14" t="n">
        <v>0.5</v>
      </c>
      <c r="R698" s="14" t="n">
        <v>0.5</v>
      </c>
      <c r="S698" s="14" t="n">
        <v>6.5</v>
      </c>
    </row>
    <row r="699" customFormat="false" ht="15" hidden="false" customHeight="false" outlineLevel="0" collapsed="false">
      <c r="A699" s="13" t="n">
        <v>43307</v>
      </c>
      <c r="B699" s="14" t="n">
        <v>1.9</v>
      </c>
      <c r="C699" s="14" t="n">
        <v>2</v>
      </c>
      <c r="D699" s="14" t="n">
        <v>1.75</v>
      </c>
      <c r="F699" s="14" t="n">
        <v>-0.4</v>
      </c>
      <c r="G699" s="14" t="n">
        <v>0.5</v>
      </c>
      <c r="H699" s="14" t="n">
        <v>0.4532</v>
      </c>
      <c r="I699" s="14" t="n">
        <v>0.625225826931148</v>
      </c>
      <c r="J699" s="14" t="n">
        <v>0.666893500634355</v>
      </c>
      <c r="K699" s="14" t="n">
        <v>0.693167741848346</v>
      </c>
      <c r="L699" s="14" t="n">
        <v>0.752440745631047</v>
      </c>
      <c r="M699" s="14" t="n">
        <v>3.071</v>
      </c>
      <c r="N699" s="14" t="n">
        <v>3.363</v>
      </c>
      <c r="O699" s="14" t="n">
        <v>3.556</v>
      </c>
      <c r="P699" s="14" t="n">
        <v>3.812</v>
      </c>
      <c r="Q699" s="14" t="n">
        <v>0.5</v>
      </c>
      <c r="R699" s="14" t="n">
        <v>0.5</v>
      </c>
      <c r="S699" s="14" t="n">
        <v>6.5</v>
      </c>
    </row>
    <row r="700" customFormat="false" ht="15" hidden="false" customHeight="false" outlineLevel="0" collapsed="false">
      <c r="A700" s="13" t="n">
        <v>43308</v>
      </c>
      <c r="B700" s="14" t="n">
        <v>1.88</v>
      </c>
      <c r="C700" s="14" t="n">
        <v>2</v>
      </c>
      <c r="D700" s="14" t="n">
        <v>1.75</v>
      </c>
      <c r="F700" s="14" t="n">
        <v>-0.4</v>
      </c>
      <c r="G700" s="14" t="n">
        <v>0.5</v>
      </c>
      <c r="H700" s="14" t="n">
        <v>0.4532</v>
      </c>
      <c r="I700" s="14" t="n">
        <v>0.629743995011628</v>
      </c>
      <c r="J700" s="14" t="n">
        <v>0.664759284755124</v>
      </c>
      <c r="K700" s="14" t="n">
        <v>0.688109293171926</v>
      </c>
      <c r="L700" s="14" t="n">
        <v>0.74359172408969</v>
      </c>
      <c r="M700" s="14" t="n">
        <v>3.035</v>
      </c>
      <c r="N700" s="14" t="n">
        <v>3.303</v>
      </c>
      <c r="O700" s="14" t="n">
        <v>3.514</v>
      </c>
      <c r="P700" s="14" t="n">
        <v>3.781</v>
      </c>
      <c r="Q700" s="14" t="n">
        <v>0.5</v>
      </c>
      <c r="R700" s="14" t="n">
        <v>0.5</v>
      </c>
      <c r="S700" s="14" t="n">
        <v>6.5</v>
      </c>
    </row>
    <row r="701" customFormat="false" ht="15" hidden="false" customHeight="false" outlineLevel="0" collapsed="false">
      <c r="A701" s="13" t="n">
        <v>43311</v>
      </c>
      <c r="B701" s="14" t="n">
        <v>1.88</v>
      </c>
      <c r="C701" s="14" t="n">
        <v>2</v>
      </c>
      <c r="D701" s="14" t="n">
        <v>1.75</v>
      </c>
      <c r="F701" s="14" t="n">
        <v>-0.4</v>
      </c>
      <c r="G701" s="14" t="n">
        <v>0.5</v>
      </c>
      <c r="H701" s="14" t="n">
        <v>0.4523</v>
      </c>
      <c r="I701" s="14" t="n">
        <v>0.652597518368435</v>
      </c>
      <c r="J701" s="14" t="n">
        <v>0.675952100999506</v>
      </c>
      <c r="K701" s="14" t="n">
        <v>0.69751255309436</v>
      </c>
      <c r="L701" s="14" t="n">
        <v>0.759155119917589</v>
      </c>
      <c r="M701" s="14" t="n">
        <v>2.994</v>
      </c>
      <c r="N701" s="14" t="n">
        <v>3.233</v>
      </c>
      <c r="O701" s="14" t="n">
        <v>3.433</v>
      </c>
      <c r="P701" s="14" t="n">
        <v>3.737</v>
      </c>
      <c r="Q701" s="14" t="n">
        <v>0.5</v>
      </c>
      <c r="R701" s="14" t="n">
        <v>0.49</v>
      </c>
      <c r="S701" s="14" t="n">
        <v>6.5</v>
      </c>
    </row>
    <row r="702" customFormat="false" ht="15" hidden="false" customHeight="false" outlineLevel="0" collapsed="false">
      <c r="A702" s="13" t="n">
        <v>43312</v>
      </c>
      <c r="B702" s="14" t="n">
        <v>1.93</v>
      </c>
      <c r="C702" s="14" t="n">
        <v>2</v>
      </c>
      <c r="D702" s="14" t="n">
        <v>1.75</v>
      </c>
      <c r="F702" s="14" t="n">
        <v>-0.4</v>
      </c>
      <c r="G702" s="14" t="n">
        <v>0.5</v>
      </c>
      <c r="H702" s="14" t="n">
        <v>0.4503</v>
      </c>
      <c r="I702" s="14" t="n">
        <v>0.667676427028303</v>
      </c>
      <c r="J702" s="14" t="n">
        <v>0.681261134452034</v>
      </c>
      <c r="K702" s="14" t="n">
        <v>0.701411574933187</v>
      </c>
      <c r="L702" s="14" t="n">
        <v>0.762125492499065</v>
      </c>
      <c r="M702" s="14" t="n">
        <v>2.965</v>
      </c>
      <c r="N702" s="14" t="n">
        <v>3.174</v>
      </c>
      <c r="O702" s="14" t="n">
        <v>3.38</v>
      </c>
      <c r="P702" s="14" t="n">
        <v>3.712</v>
      </c>
      <c r="Q702" s="14" t="n">
        <v>0.5</v>
      </c>
      <c r="R702" s="14" t="n">
        <v>0.49</v>
      </c>
      <c r="S702" s="14" t="n">
        <v>6.5</v>
      </c>
    </row>
    <row r="703" customFormat="false" ht="15" hidden="false" customHeight="false" outlineLevel="0" collapsed="false">
      <c r="A703" s="13" t="n">
        <v>43313</v>
      </c>
      <c r="B703" s="14" t="n">
        <v>1.88</v>
      </c>
      <c r="C703" s="14" t="n">
        <v>2</v>
      </c>
      <c r="D703" s="14" t="n">
        <v>1.75</v>
      </c>
      <c r="F703" s="14" t="n">
        <v>-0.4</v>
      </c>
      <c r="G703" s="14" t="n">
        <v>0.5</v>
      </c>
      <c r="H703" s="14" t="n">
        <v>0.4522</v>
      </c>
      <c r="I703" s="14" t="n">
        <v>0.670677743655294</v>
      </c>
      <c r="J703" s="14" t="n">
        <v>0.682145789103848</v>
      </c>
      <c r="K703" s="14" t="n">
        <v>0.704994137013777</v>
      </c>
      <c r="L703" s="14" t="n">
        <v>0.769809229957826</v>
      </c>
      <c r="M703" s="14" t="n">
        <v>2.935</v>
      </c>
      <c r="N703" s="14" t="n">
        <v>3.119</v>
      </c>
      <c r="O703" s="14" t="n">
        <v>3.333</v>
      </c>
      <c r="P703" s="14" t="n">
        <v>3.682</v>
      </c>
      <c r="Q703" s="14" t="n">
        <v>0.5</v>
      </c>
      <c r="R703" s="14" t="n">
        <v>0.49</v>
      </c>
      <c r="S703" s="14" t="n">
        <v>6.5</v>
      </c>
    </row>
    <row r="704" customFormat="false" ht="15" hidden="false" customHeight="false" outlineLevel="0" collapsed="false">
      <c r="A704" s="13" t="n">
        <v>43314</v>
      </c>
      <c r="B704" s="14" t="n">
        <v>1.91</v>
      </c>
      <c r="C704" s="14" t="n">
        <v>2</v>
      </c>
      <c r="D704" s="14" t="n">
        <v>1.75</v>
      </c>
      <c r="F704" s="14" t="n">
        <v>-0.4</v>
      </c>
      <c r="G704" s="14" t="n">
        <v>0.75</v>
      </c>
      <c r="H704" s="14" t="n">
        <v>0.6897</v>
      </c>
      <c r="I704" s="14" t="n">
        <v>0.701164385024599</v>
      </c>
      <c r="J704" s="14" t="n">
        <v>0.703645472794401</v>
      </c>
      <c r="K704" s="14" t="n">
        <v>0.716910459444494</v>
      </c>
      <c r="L704" s="14" t="n">
        <v>0.771594860395845</v>
      </c>
      <c r="M704" s="14" t="n">
        <v>2.884</v>
      </c>
      <c r="N704" s="14" t="n">
        <v>3.056</v>
      </c>
      <c r="O704" s="14" t="n">
        <v>3.269</v>
      </c>
      <c r="P704" s="14" t="n">
        <v>3.626</v>
      </c>
      <c r="Q704" s="14" t="n">
        <v>0.5</v>
      </c>
      <c r="R704" s="14" t="n">
        <v>0.49</v>
      </c>
      <c r="S704" s="14" t="n">
        <v>6.5</v>
      </c>
    </row>
    <row r="705" customFormat="false" ht="15" hidden="false" customHeight="false" outlineLevel="0" collapsed="false">
      <c r="A705" s="13" t="n">
        <v>43315</v>
      </c>
      <c r="B705" s="14" t="n">
        <v>1.86</v>
      </c>
      <c r="C705" s="14" t="n">
        <v>2</v>
      </c>
      <c r="D705" s="14" t="n">
        <v>1.75</v>
      </c>
      <c r="F705" s="14" t="n">
        <v>-0.4</v>
      </c>
      <c r="G705" s="14" t="n">
        <v>0.75</v>
      </c>
      <c r="H705" s="14" t="n">
        <v>0.7028</v>
      </c>
      <c r="I705" s="14" t="n">
        <v>0.701070440365272</v>
      </c>
      <c r="J705" s="14" t="n">
        <v>0.698442543568539</v>
      </c>
      <c r="K705" s="14" t="n">
        <v>0.710232860287325</v>
      </c>
      <c r="L705" s="14" t="n">
        <v>0.76340600819671</v>
      </c>
      <c r="M705" s="14" t="n">
        <v>2.837</v>
      </c>
      <c r="N705" s="14" t="n">
        <v>3.003</v>
      </c>
      <c r="O705" s="14" t="n">
        <v>3.213</v>
      </c>
      <c r="P705" s="14" t="n">
        <v>3.551</v>
      </c>
      <c r="Q705" s="14" t="n">
        <v>0.5</v>
      </c>
      <c r="R705" s="14" t="n">
        <v>0.49</v>
      </c>
      <c r="S705" s="14" t="n">
        <v>6.5</v>
      </c>
    </row>
    <row r="706" customFormat="false" ht="15" hidden="false" customHeight="false" outlineLevel="0" collapsed="false">
      <c r="A706" s="13" t="n">
        <v>43318</v>
      </c>
      <c r="B706" s="14" t="n">
        <v>1.86</v>
      </c>
      <c r="C706" s="14" t="n">
        <v>2</v>
      </c>
      <c r="D706" s="14" t="n">
        <v>1.75</v>
      </c>
      <c r="F706" s="14" t="n">
        <v>-0.4</v>
      </c>
      <c r="G706" s="14" t="n">
        <v>0.75</v>
      </c>
      <c r="H706" s="14" t="n">
        <v>0.7006</v>
      </c>
      <c r="I706" s="14" t="n">
        <v>0.701103308143393</v>
      </c>
      <c r="J706" s="14" t="n">
        <v>0.698443745237939</v>
      </c>
      <c r="K706" s="14" t="n">
        <v>0.709793101974305</v>
      </c>
      <c r="L706" s="14" t="n">
        <v>0.759801572689448</v>
      </c>
      <c r="M706" s="14" t="n">
        <v>2.791</v>
      </c>
      <c r="N706" s="14" t="n">
        <v>2.954</v>
      </c>
      <c r="O706" s="14" t="n">
        <v>3.144</v>
      </c>
      <c r="P706" s="14" t="n">
        <v>3.475</v>
      </c>
      <c r="Q706" s="14" t="n">
        <v>0.5</v>
      </c>
      <c r="R706" s="14" t="n">
        <v>0.49</v>
      </c>
      <c r="S706" s="14" t="n">
        <v>6.5</v>
      </c>
    </row>
    <row r="707" customFormat="false" ht="15" hidden="false" customHeight="false" outlineLevel="0" collapsed="false">
      <c r="A707" s="13" t="n">
        <v>43319</v>
      </c>
      <c r="B707" s="14" t="n">
        <v>1.87</v>
      </c>
      <c r="C707" s="14" t="n">
        <v>2</v>
      </c>
      <c r="D707" s="14" t="n">
        <v>1.75</v>
      </c>
      <c r="F707" s="14" t="n">
        <v>-0.4</v>
      </c>
      <c r="G707" s="14" t="n">
        <v>0.75</v>
      </c>
      <c r="H707" s="14" t="n">
        <v>0.7011</v>
      </c>
      <c r="I707" s="14" t="n">
        <v>0.702905457068917</v>
      </c>
      <c r="J707" s="14" t="n">
        <v>0.701496204231968</v>
      </c>
      <c r="K707" s="14" t="n">
        <v>0.711339600895813</v>
      </c>
      <c r="L707" s="14" t="n">
        <v>0.763946012402904</v>
      </c>
      <c r="M707" s="14" t="n">
        <v>2.728</v>
      </c>
      <c r="N707" s="14" t="n">
        <v>2.895</v>
      </c>
      <c r="O707" s="14" t="n">
        <v>3.068</v>
      </c>
      <c r="P707" s="14" t="n">
        <v>3.395</v>
      </c>
      <c r="Q707" s="14" t="n">
        <v>0.5</v>
      </c>
      <c r="R707" s="14" t="n">
        <v>0.49</v>
      </c>
      <c r="S707" s="14" t="n">
        <v>6.5</v>
      </c>
    </row>
    <row r="708" customFormat="false" ht="15" hidden="false" customHeight="false" outlineLevel="0" collapsed="false">
      <c r="A708" s="13" t="n">
        <v>43320</v>
      </c>
      <c r="B708" s="14" t="n">
        <v>1.88</v>
      </c>
      <c r="C708" s="14" t="n">
        <v>2</v>
      </c>
      <c r="D708" s="14" t="n">
        <v>1.75</v>
      </c>
      <c r="F708" s="14" t="n">
        <v>-0.4</v>
      </c>
      <c r="G708" s="14" t="n">
        <v>0.75</v>
      </c>
      <c r="H708" s="14" t="n">
        <v>0.7028</v>
      </c>
      <c r="I708" s="14" t="n">
        <v>0.698224333056942</v>
      </c>
      <c r="J708" s="14" t="n">
        <v>0.698312509049495</v>
      </c>
      <c r="K708" s="14" t="n">
        <v>0.708722433235542</v>
      </c>
      <c r="L708" s="14" t="n">
        <v>0.763067379449566</v>
      </c>
      <c r="M708" s="14" t="n">
        <v>2.678</v>
      </c>
      <c r="N708" s="14" t="n">
        <v>2.842</v>
      </c>
      <c r="O708" s="14" t="n">
        <v>2.995</v>
      </c>
      <c r="P708" s="14" t="n">
        <v>3.314</v>
      </c>
      <c r="Q708" s="14" t="n">
        <v>0.5</v>
      </c>
      <c r="R708" s="14" t="n">
        <v>0.5</v>
      </c>
      <c r="S708" s="14" t="n">
        <v>6.5</v>
      </c>
    </row>
    <row r="709" customFormat="false" ht="15" hidden="false" customHeight="false" outlineLevel="0" collapsed="false">
      <c r="A709" s="13" t="n">
        <v>43321</v>
      </c>
      <c r="B709" s="14" t="n">
        <v>1.91</v>
      </c>
      <c r="C709" s="14" t="n">
        <v>2</v>
      </c>
      <c r="D709" s="14" t="n">
        <v>1.75</v>
      </c>
      <c r="F709" s="14" t="n">
        <v>-0.4</v>
      </c>
      <c r="G709" s="14" t="n">
        <v>0.75</v>
      </c>
      <c r="H709" s="14" t="n">
        <v>0.7019</v>
      </c>
      <c r="I709" s="14" t="n">
        <v>0.702163632650414</v>
      </c>
      <c r="J709" s="14" t="n">
        <v>0.703292236595337</v>
      </c>
      <c r="K709" s="14" t="n">
        <v>0.711484917421933</v>
      </c>
      <c r="L709" s="14" t="n">
        <v>0.76229708481321</v>
      </c>
      <c r="M709" s="14" t="n">
        <v>2.643</v>
      </c>
      <c r="N709" s="14" t="n">
        <v>2.816</v>
      </c>
      <c r="O709" s="14" t="n">
        <v>2.954</v>
      </c>
      <c r="P709" s="14" t="n">
        <v>3.256</v>
      </c>
      <c r="Q709" s="14" t="n">
        <v>0.5</v>
      </c>
      <c r="R709" s="14" t="n">
        <v>0.49</v>
      </c>
      <c r="S709" s="14" t="n">
        <v>6.5</v>
      </c>
    </row>
    <row r="710" customFormat="false" ht="15" hidden="false" customHeight="false" outlineLevel="0" collapsed="false">
      <c r="A710" s="13" t="n">
        <v>43322</v>
      </c>
      <c r="B710" s="14" t="n">
        <v>1.9</v>
      </c>
      <c r="C710" s="14" t="n">
        <v>2</v>
      </c>
      <c r="D710" s="14" t="n">
        <v>1.75</v>
      </c>
      <c r="F710" s="14" t="n">
        <v>-0.4</v>
      </c>
      <c r="G710" s="14" t="n">
        <v>0.75</v>
      </c>
      <c r="H710" s="14" t="n">
        <v>0.7035</v>
      </c>
      <c r="I710" s="14" t="n">
        <v>0.700053314394029</v>
      </c>
      <c r="J710" s="14" t="n">
        <v>0.697937393224014</v>
      </c>
      <c r="K710" s="14" t="n">
        <v>0.706598592434752</v>
      </c>
      <c r="L710" s="14" t="n">
        <v>0.743169828254253</v>
      </c>
      <c r="M710" s="14" t="n">
        <v>2.616</v>
      </c>
      <c r="N710" s="14" t="n">
        <v>2.801</v>
      </c>
      <c r="O710" s="14" t="n">
        <v>2.925</v>
      </c>
      <c r="P710" s="14" t="n">
        <v>3.244</v>
      </c>
      <c r="Q710" s="14" t="n">
        <v>0.5</v>
      </c>
      <c r="R710" s="14" t="n">
        <v>0.49</v>
      </c>
      <c r="S710" s="14" t="n">
        <v>6.5</v>
      </c>
    </row>
    <row r="711" customFormat="false" ht="15" hidden="false" customHeight="false" outlineLevel="0" collapsed="false">
      <c r="A711" s="13" t="n">
        <v>43325</v>
      </c>
      <c r="B711" s="14" t="n">
        <v>1.91</v>
      </c>
      <c r="C711" s="14" t="n">
        <v>2</v>
      </c>
      <c r="D711" s="14" t="n">
        <v>1.75</v>
      </c>
      <c r="F711" s="14" t="n">
        <v>-0.4</v>
      </c>
      <c r="G711" s="14" t="n">
        <v>0.75</v>
      </c>
      <c r="H711" s="14" t="n">
        <v>0.7037</v>
      </c>
      <c r="I711" s="14" t="n">
        <v>0.699189306794933</v>
      </c>
      <c r="J711" s="14" t="n">
        <v>0.703087187575525</v>
      </c>
      <c r="K711" s="14" t="n">
        <v>0.710942612153058</v>
      </c>
      <c r="L711" s="14" t="n">
        <v>0.747350104271474</v>
      </c>
      <c r="M711" s="14" t="n">
        <v>2.603</v>
      </c>
      <c r="N711" s="14" t="n">
        <v>2.791</v>
      </c>
      <c r="O711" s="14" t="n">
        <v>2.915</v>
      </c>
      <c r="P711" s="14" t="n">
        <v>3.235</v>
      </c>
      <c r="Q711" s="14" t="n">
        <v>0.5</v>
      </c>
      <c r="R711" s="14" t="n">
        <v>0.49</v>
      </c>
      <c r="S711" s="14" t="n">
        <v>6.5</v>
      </c>
    </row>
    <row r="712" customFormat="false" ht="15" hidden="false" customHeight="false" outlineLevel="0" collapsed="false">
      <c r="A712" s="13" t="n">
        <v>43326</v>
      </c>
      <c r="B712" s="14" t="n">
        <v>1.93</v>
      </c>
      <c r="C712" s="14" t="n">
        <v>2</v>
      </c>
      <c r="D712" s="14" t="n">
        <v>1.75</v>
      </c>
      <c r="F712" s="14" t="n">
        <v>-0.4</v>
      </c>
      <c r="G712" s="14" t="n">
        <v>0.75</v>
      </c>
      <c r="H712" s="14" t="n">
        <v>0.7021</v>
      </c>
      <c r="I712" s="14" t="n">
        <v>0.699882863485122</v>
      </c>
      <c r="J712" s="14" t="n">
        <v>0.698506428583773</v>
      </c>
      <c r="K712" s="14" t="n">
        <v>0.706338347433373</v>
      </c>
      <c r="L712" s="14" t="n">
        <v>0.748725332341952</v>
      </c>
      <c r="M712" s="14" t="n">
        <v>2.613</v>
      </c>
      <c r="N712" s="14" t="n">
        <v>2.799</v>
      </c>
      <c r="O712" s="14" t="n">
        <v>2.925</v>
      </c>
      <c r="P712" s="14" t="n">
        <v>3.265</v>
      </c>
      <c r="Q712" s="14" t="n">
        <v>0.5</v>
      </c>
      <c r="R712" s="14" t="n">
        <v>0.49</v>
      </c>
      <c r="S712" s="14" t="n">
        <v>6.5</v>
      </c>
    </row>
    <row r="713" customFormat="false" ht="15" hidden="false" customHeight="false" outlineLevel="0" collapsed="false">
      <c r="A713" s="13" t="n">
        <v>43327</v>
      </c>
      <c r="B713" s="14" t="n">
        <v>1.98</v>
      </c>
      <c r="C713" s="14" t="n">
        <v>2</v>
      </c>
      <c r="D713" s="14" t="n">
        <v>1.75</v>
      </c>
      <c r="F713" s="14" t="n">
        <v>-0.4</v>
      </c>
      <c r="G713" s="14" t="n">
        <v>0.75</v>
      </c>
      <c r="H713" s="14" t="n">
        <v>0.7018</v>
      </c>
      <c r="I713" s="14" t="n">
        <v>0.698662937324728</v>
      </c>
      <c r="J713" s="14" t="n">
        <v>0.698668719598718</v>
      </c>
      <c r="K713" s="14" t="n">
        <v>0.704653667111844</v>
      </c>
      <c r="L713" s="14" t="n">
        <v>0.742412989023028</v>
      </c>
      <c r="M713" s="14" t="n">
        <v>2.631</v>
      </c>
      <c r="N713" s="14" t="n">
        <v>2.807</v>
      </c>
      <c r="O713" s="14" t="n">
        <v>2.93</v>
      </c>
      <c r="P713" s="14" t="n">
        <v>3.285</v>
      </c>
      <c r="Q713" s="14" t="n">
        <v>0.5</v>
      </c>
      <c r="R713" s="14" t="n">
        <v>0.5</v>
      </c>
      <c r="S713" s="14" t="n">
        <v>6.5</v>
      </c>
    </row>
    <row r="714" customFormat="false" ht="15" hidden="false" customHeight="false" outlineLevel="0" collapsed="false">
      <c r="A714" s="13" t="n">
        <v>43328</v>
      </c>
      <c r="B714" s="14" t="n">
        <v>1.99</v>
      </c>
      <c r="C714" s="14" t="n">
        <v>2</v>
      </c>
      <c r="D714" s="14" t="n">
        <v>1.75</v>
      </c>
      <c r="F714" s="14" t="n">
        <v>-0.4</v>
      </c>
      <c r="G714" s="14" t="n">
        <v>0.75</v>
      </c>
      <c r="H714" s="14" t="n">
        <v>0.7024</v>
      </c>
      <c r="I714" s="14" t="n">
        <v>0.698289744331</v>
      </c>
      <c r="J714" s="14" t="n">
        <v>0.699030110481163</v>
      </c>
      <c r="K714" s="14" t="n">
        <v>0.706893503769279</v>
      </c>
      <c r="L714" s="14" t="n">
        <v>0.750413200779548</v>
      </c>
      <c r="M714" s="14" t="n">
        <v>2.639</v>
      </c>
      <c r="N714" s="14" t="n">
        <v>2.813</v>
      </c>
      <c r="O714" s="14" t="n">
        <v>2.946</v>
      </c>
      <c r="P714" s="14" t="n">
        <v>3.329</v>
      </c>
      <c r="Q714" s="14" t="n">
        <v>0.5</v>
      </c>
      <c r="R714" s="14" t="n">
        <v>0.49</v>
      </c>
      <c r="S714" s="14" t="n">
        <v>6.5</v>
      </c>
    </row>
    <row r="715" customFormat="false" ht="15" hidden="false" customHeight="false" outlineLevel="0" collapsed="false">
      <c r="A715" s="13" t="n">
        <v>43329</v>
      </c>
      <c r="B715" s="14" t="n">
        <v>1.9</v>
      </c>
      <c r="C715" s="14" t="n">
        <v>2</v>
      </c>
      <c r="D715" s="14" t="n">
        <v>1.75</v>
      </c>
      <c r="F715" s="14" t="n">
        <v>-0.4</v>
      </c>
      <c r="G715" s="14" t="n">
        <v>0.75</v>
      </c>
      <c r="H715" s="14" t="n">
        <v>0.703</v>
      </c>
      <c r="I715" s="14" t="n">
        <v>0.69744570069166</v>
      </c>
      <c r="J715" s="14" t="n">
        <v>0.699338626986889</v>
      </c>
      <c r="K715" s="14" t="n">
        <v>0.712168123823664</v>
      </c>
      <c r="L715" s="14" t="n">
        <v>0.750136179855288</v>
      </c>
      <c r="M715" s="14" t="n">
        <v>2.653</v>
      </c>
      <c r="N715" s="14" t="n">
        <v>2.817</v>
      </c>
      <c r="O715" s="14" t="n">
        <v>2.971</v>
      </c>
      <c r="P715" s="14" t="n">
        <v>3.364</v>
      </c>
      <c r="Q715" s="14" t="n">
        <v>0.5</v>
      </c>
      <c r="R715" s="14" t="n">
        <v>0.5</v>
      </c>
      <c r="S715" s="14" t="n">
        <v>6.5</v>
      </c>
    </row>
    <row r="716" customFormat="false" ht="15" hidden="false" customHeight="false" outlineLevel="0" collapsed="false">
      <c r="A716" s="13" t="n">
        <v>43332</v>
      </c>
      <c r="B716" s="14" t="n">
        <v>1.9</v>
      </c>
      <c r="C716" s="14" t="n">
        <v>2</v>
      </c>
      <c r="D716" s="14" t="n">
        <v>1.75</v>
      </c>
      <c r="F716" s="14" t="n">
        <v>-0.4</v>
      </c>
      <c r="G716" s="14" t="n">
        <v>0.75</v>
      </c>
      <c r="H716" s="14" t="n">
        <v>0.7039</v>
      </c>
      <c r="I716" s="14" t="n">
        <v>0.701781544436319</v>
      </c>
      <c r="J716" s="14" t="n">
        <v>0.70366858205748</v>
      </c>
      <c r="K716" s="14" t="n">
        <v>0.711118592946825</v>
      </c>
      <c r="L716" s="14" t="n">
        <v>0.750669129105837</v>
      </c>
      <c r="M716" s="14" t="n">
        <v>2.676</v>
      </c>
      <c r="N716" s="14" t="n">
        <v>2.83</v>
      </c>
      <c r="O716" s="14" t="n">
        <v>2.997</v>
      </c>
      <c r="P716" s="14" t="n">
        <v>3.406</v>
      </c>
      <c r="Q716" s="14" t="n">
        <v>0.5</v>
      </c>
      <c r="R716" s="14" t="n">
        <v>0.52</v>
      </c>
      <c r="S716" s="14" t="n">
        <v>6.5</v>
      </c>
    </row>
    <row r="717" customFormat="false" ht="15" hidden="false" customHeight="false" outlineLevel="0" collapsed="false">
      <c r="A717" s="13" t="n">
        <v>43333</v>
      </c>
      <c r="B717" s="14" t="n">
        <v>1.9</v>
      </c>
      <c r="C717" s="14" t="n">
        <v>2</v>
      </c>
      <c r="D717" s="14" t="n">
        <v>1.75</v>
      </c>
      <c r="F717" s="14" t="n">
        <v>-0.4</v>
      </c>
      <c r="G717" s="14" t="n">
        <v>0.75</v>
      </c>
      <c r="H717" s="14" t="n">
        <v>0.7037</v>
      </c>
      <c r="I717" s="14" t="n">
        <v>0.69951803075207</v>
      </c>
      <c r="J717" s="14" t="n">
        <v>0.699629216328669</v>
      </c>
      <c r="K717" s="14" t="n">
        <v>0.708903715108724</v>
      </c>
      <c r="L717" s="14" t="n">
        <v>0.757031340177952</v>
      </c>
      <c r="M717" s="14" t="n">
        <v>2.694</v>
      </c>
      <c r="N717" s="14" t="n">
        <v>2.856</v>
      </c>
      <c r="O717" s="14" t="n">
        <v>3.053</v>
      </c>
      <c r="P717" s="14" t="n">
        <v>3.446</v>
      </c>
      <c r="Q717" s="14" t="n">
        <v>0.5</v>
      </c>
      <c r="R717" s="14" t="n">
        <v>0.49</v>
      </c>
      <c r="S717" s="14" t="n">
        <v>6.5</v>
      </c>
    </row>
    <row r="718" customFormat="false" ht="15" hidden="false" customHeight="false" outlineLevel="0" collapsed="false">
      <c r="A718" s="13" t="n">
        <v>43334</v>
      </c>
      <c r="B718" s="14" t="n">
        <v>1.9</v>
      </c>
      <c r="C718" s="14" t="n">
        <v>2</v>
      </c>
      <c r="D718" s="14" t="n">
        <v>1.75</v>
      </c>
      <c r="F718" s="14" t="n">
        <v>-0.4</v>
      </c>
      <c r="G718" s="14" t="n">
        <v>0.75</v>
      </c>
      <c r="H718" s="14" t="n">
        <v>0.7028</v>
      </c>
      <c r="I718" s="14" t="n">
        <v>0.703547534432988</v>
      </c>
      <c r="J718" s="14" t="n">
        <v>0.70705255044086</v>
      </c>
      <c r="K718" s="14" t="n">
        <v>0.71603852171666</v>
      </c>
      <c r="L718" s="14" t="n">
        <v>0.75747533046073</v>
      </c>
      <c r="M718" s="14" t="n">
        <v>2.701</v>
      </c>
      <c r="N718" s="14" t="n">
        <v>2.878</v>
      </c>
      <c r="O718" s="14" t="n">
        <v>3.076</v>
      </c>
      <c r="P718" s="14" t="n">
        <v>3.491</v>
      </c>
      <c r="Q718" s="14" t="n">
        <v>0.5</v>
      </c>
      <c r="R718" s="14" t="n">
        <v>0.5</v>
      </c>
      <c r="S718" s="14" t="n">
        <v>6.5</v>
      </c>
    </row>
    <row r="719" customFormat="false" ht="15" hidden="false" customHeight="false" outlineLevel="0" collapsed="false">
      <c r="A719" s="13" t="n">
        <v>43335</v>
      </c>
      <c r="B719" s="14" t="n">
        <v>1.94</v>
      </c>
      <c r="C719" s="14" t="n">
        <v>2</v>
      </c>
      <c r="D719" s="14" t="n">
        <v>1.75</v>
      </c>
      <c r="F719" s="14" t="n">
        <v>-0.4</v>
      </c>
      <c r="G719" s="14" t="n">
        <v>0.75</v>
      </c>
      <c r="H719" s="14" t="n">
        <v>0.7035</v>
      </c>
      <c r="I719" s="14" t="n">
        <v>0.696991555787429</v>
      </c>
      <c r="J719" s="14" t="n">
        <v>0.69810588561062</v>
      </c>
      <c r="K719" s="14" t="n">
        <v>0.707077454337279</v>
      </c>
      <c r="L719" s="14" t="n">
        <v>0.754079306816155</v>
      </c>
      <c r="M719" s="14" t="n">
        <v>2.731</v>
      </c>
      <c r="N719" s="14" t="n">
        <v>2.887</v>
      </c>
      <c r="O719" s="14" t="n">
        <v>3.128</v>
      </c>
      <c r="P719" s="14" t="n">
        <v>3.512</v>
      </c>
      <c r="Q719" s="14" t="n">
        <v>0.5</v>
      </c>
      <c r="R719" s="14" t="n">
        <v>0.5</v>
      </c>
      <c r="S719" s="14" t="n">
        <v>6.5</v>
      </c>
    </row>
    <row r="720" customFormat="false" ht="15" hidden="false" customHeight="false" outlineLevel="0" collapsed="false">
      <c r="A720" s="13" t="n">
        <v>43336</v>
      </c>
      <c r="B720" s="14" t="n">
        <v>1.95</v>
      </c>
      <c r="C720" s="14" t="n">
        <v>2</v>
      </c>
      <c r="D720" s="14" t="n">
        <v>1.75</v>
      </c>
      <c r="F720" s="14" t="n">
        <v>-0.4</v>
      </c>
      <c r="G720" s="14" t="n">
        <v>0.75</v>
      </c>
      <c r="H720" s="14" t="n">
        <v>0.7036</v>
      </c>
      <c r="I720" s="14" t="n">
        <v>0.696620341626964</v>
      </c>
      <c r="J720" s="14" t="n">
        <v>0.700705694763656</v>
      </c>
      <c r="K720" s="14" t="n">
        <v>0.711342070197546</v>
      </c>
      <c r="L720" s="14" t="n">
        <v>0.755316246208568</v>
      </c>
      <c r="M720" s="14" t="n">
        <v>2.738</v>
      </c>
      <c r="N720" s="14" t="n">
        <v>2.889</v>
      </c>
      <c r="O720" s="14" t="n">
        <v>3.156</v>
      </c>
      <c r="P720" s="14" t="n">
        <v>3.511</v>
      </c>
      <c r="Q720" s="14" t="n">
        <v>0.5</v>
      </c>
      <c r="R720" s="14" t="n">
        <v>0.48</v>
      </c>
      <c r="S720" s="14" t="n">
        <v>6.5</v>
      </c>
    </row>
    <row r="721" customFormat="false" ht="15" hidden="false" customHeight="false" outlineLevel="0" collapsed="false">
      <c r="A721" s="13" t="n">
        <v>43339</v>
      </c>
      <c r="B721" s="14" t="n">
        <v>1.95</v>
      </c>
      <c r="C721" s="14" t="n">
        <v>2</v>
      </c>
      <c r="D721" s="14" t="n">
        <v>1.75</v>
      </c>
      <c r="F721" s="14" t="n">
        <v>-0.4</v>
      </c>
      <c r="M721" s="14" t="n">
        <v>2.751</v>
      </c>
      <c r="N721" s="14" t="n">
        <v>2.895</v>
      </c>
      <c r="O721" s="14" t="n">
        <v>3.172</v>
      </c>
      <c r="P721" s="14" t="n">
        <v>3.512</v>
      </c>
      <c r="Q721" s="14" t="n">
        <v>0.5</v>
      </c>
      <c r="R721" s="14" t="n">
        <v>0.49</v>
      </c>
      <c r="S721" s="14" t="n">
        <v>6.5</v>
      </c>
    </row>
    <row r="722" customFormat="false" ht="15" hidden="false" customHeight="false" outlineLevel="0" collapsed="false">
      <c r="A722" s="13" t="n">
        <v>43340</v>
      </c>
      <c r="B722" s="14" t="n">
        <v>1.95</v>
      </c>
      <c r="C722" s="14" t="n">
        <v>2</v>
      </c>
      <c r="D722" s="14" t="n">
        <v>1.75</v>
      </c>
      <c r="F722" s="14" t="n">
        <v>-0.4</v>
      </c>
      <c r="G722" s="14" t="n">
        <v>0.75</v>
      </c>
      <c r="H722" s="14" t="n">
        <v>0.7032</v>
      </c>
      <c r="I722" s="14" t="n">
        <v>0.703256387773276</v>
      </c>
      <c r="J722" s="14" t="n">
        <v>0.70619141128437</v>
      </c>
      <c r="K722" s="14" t="n">
        <v>0.718772653504057</v>
      </c>
      <c r="L722" s="14" t="n">
        <v>0.770731865437353</v>
      </c>
      <c r="M722" s="14" t="n">
        <v>2.75</v>
      </c>
      <c r="N722" s="14" t="n">
        <v>2.899</v>
      </c>
      <c r="O722" s="14" t="n">
        <v>3.195</v>
      </c>
      <c r="P722" s="14" t="n">
        <v>3.514</v>
      </c>
      <c r="Q722" s="14" t="n">
        <v>0.5</v>
      </c>
      <c r="R722" s="14" t="n">
        <v>0.49</v>
      </c>
      <c r="S722" s="14" t="n">
        <v>6.5</v>
      </c>
    </row>
    <row r="723" customFormat="false" ht="15" hidden="false" customHeight="false" outlineLevel="0" collapsed="false">
      <c r="A723" s="13" t="n">
        <v>43341</v>
      </c>
      <c r="B723" s="14" t="n">
        <v>1.93</v>
      </c>
      <c r="C723" s="14" t="n">
        <v>2</v>
      </c>
      <c r="D723" s="14" t="n">
        <v>1.75</v>
      </c>
      <c r="F723" s="14" t="n">
        <v>-0.4</v>
      </c>
      <c r="G723" s="14" t="n">
        <v>0.75</v>
      </c>
      <c r="H723" s="14" t="n">
        <v>0.7048</v>
      </c>
      <c r="I723" s="14" t="n">
        <v>0.698686371461435</v>
      </c>
      <c r="J723" s="14" t="n">
        <v>0.701262127057066</v>
      </c>
      <c r="K723" s="14" t="n">
        <v>0.717515313718593</v>
      </c>
      <c r="L723" s="14" t="n">
        <v>0.780185806543769</v>
      </c>
      <c r="M723" s="14" t="n">
        <v>2.742</v>
      </c>
      <c r="N723" s="14" t="n">
        <v>2.897</v>
      </c>
      <c r="O723" s="14" t="n">
        <v>3.207</v>
      </c>
      <c r="P723" s="14" t="n">
        <v>3.509</v>
      </c>
      <c r="Q723" s="14" t="n">
        <v>0.5</v>
      </c>
      <c r="R723" s="14" t="n">
        <v>0.49</v>
      </c>
      <c r="S723" s="14" t="n">
        <v>6.5</v>
      </c>
    </row>
    <row r="724" customFormat="false" ht="15" hidden="false" customHeight="false" outlineLevel="0" collapsed="false">
      <c r="A724" s="13" t="n">
        <v>43342</v>
      </c>
      <c r="B724" s="14" t="n">
        <v>1.93</v>
      </c>
      <c r="C724" s="14" t="n">
        <v>2</v>
      </c>
      <c r="D724" s="14" t="n">
        <v>1.75</v>
      </c>
      <c r="F724" s="14" t="n">
        <v>-0.4</v>
      </c>
      <c r="G724" s="14" t="n">
        <v>0.75</v>
      </c>
      <c r="H724" s="14" t="n">
        <v>0.7058</v>
      </c>
      <c r="I724" s="14" t="n">
        <v>0.705159962138035</v>
      </c>
      <c r="J724" s="14" t="n">
        <v>0.707709108150047</v>
      </c>
      <c r="K724" s="14" t="n">
        <v>0.719927770621155</v>
      </c>
      <c r="L724" s="14" t="n">
        <v>0.780427635308957</v>
      </c>
      <c r="M724" s="14" t="n">
        <v>2.727</v>
      </c>
      <c r="N724" s="14" t="n">
        <v>2.894</v>
      </c>
      <c r="O724" s="14" t="n">
        <v>3.209</v>
      </c>
      <c r="P724" s="14" t="n">
        <v>3.506</v>
      </c>
      <c r="Q724" s="14" t="n">
        <v>0.5</v>
      </c>
      <c r="R724" s="14" t="n">
        <v>0.49</v>
      </c>
      <c r="S724" s="14" t="n">
        <v>6.5</v>
      </c>
    </row>
    <row r="725" customFormat="false" ht="15" hidden="false" customHeight="false" outlineLevel="0" collapsed="false">
      <c r="A725" s="13" t="n">
        <v>43343</v>
      </c>
      <c r="B725" s="14" t="n">
        <v>1.97</v>
      </c>
      <c r="C725" s="14" t="n">
        <v>2</v>
      </c>
      <c r="D725" s="14" t="n">
        <v>1.75</v>
      </c>
      <c r="F725" s="14" t="n">
        <v>-0.4</v>
      </c>
      <c r="G725" s="14" t="n">
        <v>0.75</v>
      </c>
      <c r="H725" s="14" t="n">
        <v>0.7042</v>
      </c>
      <c r="I725" s="14" t="n">
        <v>0.696234214893498</v>
      </c>
      <c r="J725" s="14" t="n">
        <v>0.699617881927546</v>
      </c>
      <c r="K725" s="14" t="n">
        <v>0.715317643721271</v>
      </c>
      <c r="L725" s="14" t="n">
        <v>0.774351198496309</v>
      </c>
      <c r="M725" s="14" t="n">
        <v>2.72</v>
      </c>
      <c r="N725" s="14" t="n">
        <v>2.894</v>
      </c>
      <c r="O725" s="14" t="n">
        <v>3.207</v>
      </c>
      <c r="P725" s="14" t="n">
        <v>3.503</v>
      </c>
      <c r="Q725" s="14" t="n">
        <v>0.5</v>
      </c>
      <c r="R725" s="14" t="n">
        <v>0.49</v>
      </c>
      <c r="S725" s="14" t="n">
        <v>6.5</v>
      </c>
    </row>
    <row r="726" customFormat="false" ht="15" hidden="false" customHeight="false" outlineLevel="0" collapsed="false">
      <c r="A726" s="13" t="n">
        <v>43346</v>
      </c>
      <c r="C726" s="14" t="n">
        <v>2</v>
      </c>
      <c r="D726" s="14" t="n">
        <v>1.75</v>
      </c>
      <c r="F726" s="14" t="n">
        <v>-0.4</v>
      </c>
      <c r="G726" s="14" t="n">
        <v>0.75</v>
      </c>
      <c r="H726" s="14" t="n">
        <v>0.702</v>
      </c>
      <c r="I726" s="14" t="n">
        <v>0.706152151905746</v>
      </c>
      <c r="J726" s="14" t="n">
        <v>0.70844888949799</v>
      </c>
      <c r="K726" s="14" t="n">
        <v>0.719828933131679</v>
      </c>
      <c r="L726" s="14" t="n">
        <v>0.77141841141468</v>
      </c>
      <c r="M726" s="14" t="n">
        <v>2.716</v>
      </c>
      <c r="N726" s="14" t="n">
        <v>2.887</v>
      </c>
      <c r="O726" s="14" t="n">
        <v>3.207</v>
      </c>
      <c r="P726" s="14" t="n">
        <v>3.502</v>
      </c>
      <c r="Q726" s="14" t="n">
        <v>0.5</v>
      </c>
      <c r="R726" s="14" t="n">
        <v>0.49</v>
      </c>
      <c r="S726" s="14" t="n">
        <v>6.5</v>
      </c>
    </row>
    <row r="727" customFormat="false" ht="15" hidden="false" customHeight="false" outlineLevel="0" collapsed="false">
      <c r="A727" s="13" t="n">
        <v>43347</v>
      </c>
      <c r="B727" s="14" t="n">
        <v>1.95</v>
      </c>
      <c r="C727" s="14" t="n">
        <v>2</v>
      </c>
      <c r="D727" s="14" t="n">
        <v>1.75</v>
      </c>
      <c r="F727" s="14" t="n">
        <v>-0.4</v>
      </c>
      <c r="G727" s="14" t="n">
        <v>0.75</v>
      </c>
      <c r="H727" s="14" t="n">
        <v>0.7046</v>
      </c>
      <c r="I727" s="14" t="n">
        <v>0.694607163011948</v>
      </c>
      <c r="J727" s="14" t="n">
        <v>0.700918632077689</v>
      </c>
      <c r="K727" s="14" t="n">
        <v>0.715750806269748</v>
      </c>
      <c r="L727" s="14" t="n">
        <v>0.770884375964724</v>
      </c>
      <c r="M727" s="14" t="n">
        <v>2.706</v>
      </c>
      <c r="N727" s="14" t="n">
        <v>2.878</v>
      </c>
      <c r="O727" s="14" t="n">
        <v>3.205</v>
      </c>
      <c r="P727" s="14" t="n">
        <v>3.5</v>
      </c>
      <c r="Q727" s="14" t="n">
        <v>0.5</v>
      </c>
      <c r="R727" s="14" t="n">
        <v>0.49</v>
      </c>
      <c r="S727" s="14" t="n">
        <v>6.5</v>
      </c>
    </row>
    <row r="728" customFormat="false" ht="15" hidden="false" customHeight="false" outlineLevel="0" collapsed="false">
      <c r="A728" s="13" t="n">
        <v>43348</v>
      </c>
      <c r="B728" s="14" t="n">
        <v>1.95</v>
      </c>
      <c r="C728" s="14" t="n">
        <v>2</v>
      </c>
      <c r="D728" s="14" t="n">
        <v>1.75</v>
      </c>
      <c r="F728" s="14" t="n">
        <v>-0.4</v>
      </c>
      <c r="G728" s="14" t="n">
        <v>0.75</v>
      </c>
      <c r="H728" s="14" t="n">
        <v>0.7022</v>
      </c>
      <c r="I728" s="14" t="n">
        <v>0.706024777727558</v>
      </c>
      <c r="J728" s="14" t="n">
        <v>0.70730995252851</v>
      </c>
      <c r="K728" s="14" t="n">
        <v>0.718636105409828</v>
      </c>
      <c r="L728" s="14" t="n">
        <v>0.769594739854568</v>
      </c>
      <c r="M728" s="14" t="n">
        <v>2.696</v>
      </c>
      <c r="N728" s="14" t="n">
        <v>2.85</v>
      </c>
      <c r="O728" s="14" t="n">
        <v>3.2</v>
      </c>
      <c r="P728" s="14" t="n">
        <v>3.5</v>
      </c>
      <c r="Q728" s="14" t="n">
        <v>0.5</v>
      </c>
      <c r="R728" s="14" t="n">
        <v>0.49</v>
      </c>
      <c r="S728" s="14" t="n">
        <v>6.5</v>
      </c>
    </row>
    <row r="729" customFormat="false" ht="15" hidden="false" customHeight="false" outlineLevel="0" collapsed="false">
      <c r="A729" s="13" t="n">
        <v>43349</v>
      </c>
      <c r="B729" s="14" t="n">
        <v>1.94</v>
      </c>
      <c r="C729" s="14" t="n">
        <v>2</v>
      </c>
      <c r="D729" s="14" t="n">
        <v>1.75</v>
      </c>
      <c r="F729" s="14" t="n">
        <v>-0.4</v>
      </c>
      <c r="G729" s="14" t="n">
        <v>0.75</v>
      </c>
      <c r="H729" s="14" t="n">
        <v>0.7032</v>
      </c>
      <c r="I729" s="14" t="n">
        <v>0.700341043543547</v>
      </c>
      <c r="J729" s="14" t="n">
        <v>0.705191061393213</v>
      </c>
      <c r="K729" s="14" t="n">
        <v>0.715983304868347</v>
      </c>
      <c r="L729" s="14" t="n">
        <v>0.767347261775507</v>
      </c>
      <c r="M729" s="14" t="n">
        <v>2.7</v>
      </c>
      <c r="N729" s="14" t="n">
        <v>2.845</v>
      </c>
      <c r="O729" s="14" t="n">
        <v>3.201</v>
      </c>
      <c r="P729" s="14" t="n">
        <v>3.5</v>
      </c>
      <c r="Q729" s="14" t="n">
        <v>0.5</v>
      </c>
      <c r="R729" s="14" t="n">
        <v>0.5</v>
      </c>
      <c r="S729" s="14" t="n">
        <v>6.5</v>
      </c>
    </row>
    <row r="730" customFormat="false" ht="15" hidden="false" customHeight="false" outlineLevel="0" collapsed="false">
      <c r="A730" s="13" t="n">
        <v>43350</v>
      </c>
      <c r="B730" s="14" t="n">
        <v>1.94</v>
      </c>
      <c r="C730" s="14" t="n">
        <v>2</v>
      </c>
      <c r="D730" s="14" t="n">
        <v>1.75</v>
      </c>
      <c r="F730" s="14" t="n">
        <v>-0.4</v>
      </c>
      <c r="G730" s="14" t="n">
        <v>0.75</v>
      </c>
      <c r="H730" s="14" t="n">
        <v>0.7028</v>
      </c>
      <c r="I730" s="14" t="n">
        <v>0.697852971761592</v>
      </c>
      <c r="J730" s="14" t="n">
        <v>0.702502472803119</v>
      </c>
      <c r="K730" s="14" t="n">
        <v>0.716602899985637</v>
      </c>
      <c r="L730" s="14" t="n">
        <v>0.772030143081406</v>
      </c>
      <c r="M730" s="14" t="n">
        <v>2.712</v>
      </c>
      <c r="N730" s="14" t="n">
        <v>2.851</v>
      </c>
      <c r="O730" s="14" t="n">
        <v>3.202</v>
      </c>
      <c r="P730" s="14" t="n">
        <v>3.5</v>
      </c>
      <c r="Q730" s="14" t="n">
        <v>0.5</v>
      </c>
      <c r="R730" s="14" t="n">
        <v>0.49</v>
      </c>
      <c r="S730" s="14" t="n">
        <v>6.5</v>
      </c>
    </row>
    <row r="731" customFormat="false" ht="15" hidden="false" customHeight="false" outlineLevel="0" collapsed="false">
      <c r="A731" s="13" t="n">
        <v>43353</v>
      </c>
      <c r="B731" s="14" t="n">
        <v>1.94</v>
      </c>
      <c r="C731" s="14" t="n">
        <v>2</v>
      </c>
      <c r="D731" s="14" t="n">
        <v>1.75</v>
      </c>
      <c r="F731" s="14" t="n">
        <v>-0.4</v>
      </c>
      <c r="G731" s="14" t="n">
        <v>0.75</v>
      </c>
      <c r="H731" s="14" t="n">
        <v>0.7016</v>
      </c>
      <c r="I731" s="14" t="n">
        <v>0.698325386907831</v>
      </c>
      <c r="J731" s="14" t="n">
        <v>0.703715793563063</v>
      </c>
      <c r="K731" s="14" t="n">
        <v>0.718173818034892</v>
      </c>
      <c r="L731" s="14" t="n">
        <v>0.778146365860357</v>
      </c>
      <c r="M731" s="14" t="n">
        <v>2.723</v>
      </c>
      <c r="N731" s="14" t="n">
        <v>2.842</v>
      </c>
      <c r="O731" s="14" t="n">
        <v>3.209</v>
      </c>
      <c r="P731" s="14" t="n">
        <v>3.5</v>
      </c>
      <c r="Q731" s="14" t="n">
        <v>0.5</v>
      </c>
      <c r="R731" s="14" t="n">
        <v>0.49</v>
      </c>
      <c r="S731" s="14" t="n">
        <v>6.5</v>
      </c>
    </row>
    <row r="732" customFormat="false" ht="15" hidden="false" customHeight="false" outlineLevel="0" collapsed="false">
      <c r="A732" s="13" t="n">
        <v>43354</v>
      </c>
      <c r="B732" s="14" t="n">
        <v>1.94</v>
      </c>
      <c r="C732" s="14" t="n">
        <v>2</v>
      </c>
      <c r="D732" s="14" t="n">
        <v>1.75</v>
      </c>
      <c r="F732" s="14" t="n">
        <v>-0.4</v>
      </c>
      <c r="G732" s="14" t="n">
        <v>0.75</v>
      </c>
      <c r="H732" s="14" t="n">
        <v>0.7003</v>
      </c>
      <c r="I732" s="14" t="n">
        <v>0.703707869325967</v>
      </c>
      <c r="J732" s="14" t="n">
        <v>0.707381096436912</v>
      </c>
      <c r="K732" s="14" t="n">
        <v>0.721705042931708</v>
      </c>
      <c r="L732" s="14" t="n">
        <v>0.784531242447563</v>
      </c>
      <c r="M732" s="14" t="n">
        <v>2.735</v>
      </c>
      <c r="N732" s="14" t="n">
        <v>2.848</v>
      </c>
      <c r="O732" s="14" t="n">
        <v>3.213</v>
      </c>
      <c r="P732" s="14" t="n">
        <v>3.501</v>
      </c>
      <c r="Q732" s="14" t="n">
        <v>0.5</v>
      </c>
      <c r="R732" s="14" t="n">
        <v>0.49</v>
      </c>
      <c r="S732" s="14" t="n">
        <v>6.5</v>
      </c>
    </row>
    <row r="733" customFormat="false" ht="15" hidden="false" customHeight="false" outlineLevel="0" collapsed="false">
      <c r="A733" s="13" t="n">
        <v>43355</v>
      </c>
      <c r="B733" s="14" t="n">
        <v>1.94</v>
      </c>
      <c r="C733" s="14" t="n">
        <v>2</v>
      </c>
      <c r="D733" s="14" t="n">
        <v>1.75</v>
      </c>
      <c r="F733" s="14" t="n">
        <v>-0.4</v>
      </c>
      <c r="G733" s="14" t="n">
        <v>0.75</v>
      </c>
      <c r="H733" s="14" t="n">
        <v>0.7025</v>
      </c>
      <c r="I733" s="14" t="n">
        <v>0.698085708347564</v>
      </c>
      <c r="J733" s="14" t="n">
        <v>0.703878395057122</v>
      </c>
      <c r="K733" s="14" t="n">
        <v>0.719327363000031</v>
      </c>
      <c r="L733" s="14" t="n">
        <v>0.785349640606589</v>
      </c>
      <c r="M733" s="14" t="n">
        <v>2.751</v>
      </c>
      <c r="N733" s="14" t="n">
        <v>2.846</v>
      </c>
      <c r="O733" s="14" t="n">
        <v>3.216</v>
      </c>
      <c r="P733" s="14" t="n">
        <v>3.513</v>
      </c>
      <c r="Q733" s="14" t="n">
        <v>0.5</v>
      </c>
      <c r="R733" s="14" t="n">
        <v>0.49</v>
      </c>
      <c r="S733" s="14" t="n">
        <v>6.5</v>
      </c>
    </row>
    <row r="734" customFormat="false" ht="15" hidden="false" customHeight="false" outlineLevel="0" collapsed="false">
      <c r="A734" s="13" t="n">
        <v>43356</v>
      </c>
      <c r="B734" s="14" t="n">
        <v>1.94</v>
      </c>
      <c r="C734" s="14" t="n">
        <v>2</v>
      </c>
      <c r="D734" s="14" t="n">
        <v>1.75</v>
      </c>
      <c r="F734" s="14" t="n">
        <v>-0.4</v>
      </c>
      <c r="G734" s="14" t="n">
        <v>0.75</v>
      </c>
      <c r="H734" s="14" t="n">
        <v>0.7024</v>
      </c>
      <c r="I734" s="14" t="n">
        <v>0.696503048196509</v>
      </c>
      <c r="J734" s="14" t="n">
        <v>0.70209207943802</v>
      </c>
      <c r="K734" s="14" t="n">
        <v>0.719230869884089</v>
      </c>
      <c r="L734" s="14" t="n">
        <v>0.787707298567552</v>
      </c>
      <c r="M734" s="14" t="n">
        <v>2.76</v>
      </c>
      <c r="N734" s="14" t="n">
        <v>2.843</v>
      </c>
      <c r="O734" s="14" t="n">
        <v>3.222</v>
      </c>
      <c r="P734" s="14" t="n">
        <v>3.521</v>
      </c>
      <c r="Q734" s="14" t="n">
        <v>0.5</v>
      </c>
      <c r="R734" s="14" t="n">
        <v>0.49</v>
      </c>
      <c r="S734" s="14" t="n">
        <v>6.5</v>
      </c>
    </row>
    <row r="735" customFormat="false" ht="15" hidden="false" customHeight="false" outlineLevel="0" collapsed="false">
      <c r="A735" s="13" t="n">
        <v>43357</v>
      </c>
      <c r="B735" s="14" t="n">
        <v>1.95</v>
      </c>
      <c r="C735" s="14" t="n">
        <v>2</v>
      </c>
      <c r="D735" s="14" t="n">
        <v>1.75</v>
      </c>
      <c r="F735" s="14" t="n">
        <v>-0.4</v>
      </c>
      <c r="G735" s="14" t="n">
        <v>0.75</v>
      </c>
      <c r="H735" s="14" t="n">
        <v>0.7016</v>
      </c>
      <c r="I735" s="14" t="n">
        <v>0.697410145786262</v>
      </c>
      <c r="J735" s="14" t="n">
        <v>0.700635677676887</v>
      </c>
      <c r="K735" s="14" t="n">
        <v>0.717443773965477</v>
      </c>
      <c r="L735" s="14" t="n">
        <v>0.785780327031307</v>
      </c>
      <c r="M735" s="14" t="n">
        <v>2.756</v>
      </c>
      <c r="N735" s="14" t="n">
        <v>2.83</v>
      </c>
      <c r="O735" s="14" t="n">
        <v>3.224</v>
      </c>
      <c r="P735" s="14" t="n">
        <v>3.5225</v>
      </c>
      <c r="Q735" s="14" t="n">
        <v>0.5</v>
      </c>
      <c r="R735" s="14" t="n">
        <v>0.49</v>
      </c>
      <c r="S735" s="14" t="n">
        <v>6.5</v>
      </c>
    </row>
    <row r="736" customFormat="false" ht="15" hidden="false" customHeight="false" outlineLevel="0" collapsed="false">
      <c r="A736" s="13" t="n">
        <v>43360</v>
      </c>
      <c r="B736" s="14" t="n">
        <v>2</v>
      </c>
      <c r="C736" s="14" t="n">
        <v>2</v>
      </c>
      <c r="D736" s="14" t="n">
        <v>1.75</v>
      </c>
      <c r="F736" s="14" t="n">
        <v>-0.4</v>
      </c>
      <c r="G736" s="14" t="n">
        <v>0.75</v>
      </c>
      <c r="H736" s="14" t="n">
        <v>0.7013</v>
      </c>
      <c r="I736" s="14" t="n">
        <v>0.704189809165061</v>
      </c>
      <c r="J736" s="14" t="n">
        <v>0.708018004142208</v>
      </c>
      <c r="K736" s="14" t="n">
        <v>0.72326205136403</v>
      </c>
      <c r="L736" s="14" t="n">
        <v>0.789765035510459</v>
      </c>
      <c r="M736" s="14" t="n">
        <v>2.749</v>
      </c>
      <c r="N736" s="14" t="n">
        <v>2.822</v>
      </c>
      <c r="O736" s="14" t="n">
        <v>3.227</v>
      </c>
      <c r="P736" s="14" t="n">
        <v>3.516</v>
      </c>
      <c r="Q736" s="14" t="n">
        <v>0.5</v>
      </c>
      <c r="R736" s="14" t="n">
        <v>0.51</v>
      </c>
      <c r="S736" s="14" t="n">
        <v>6.5</v>
      </c>
    </row>
    <row r="737" customFormat="false" ht="15" hidden="false" customHeight="false" outlineLevel="0" collapsed="false">
      <c r="A737" s="13" t="n">
        <v>43361</v>
      </c>
      <c r="B737" s="14" t="n">
        <v>1.94</v>
      </c>
      <c r="C737" s="14" t="n">
        <v>2</v>
      </c>
      <c r="D737" s="14" t="n">
        <v>1.75</v>
      </c>
      <c r="F737" s="14" t="n">
        <v>-0.4</v>
      </c>
      <c r="G737" s="14" t="n">
        <v>0.75</v>
      </c>
      <c r="H737" s="14" t="n">
        <v>0.7015</v>
      </c>
      <c r="I737" s="14" t="n">
        <v>0.702050626189296</v>
      </c>
      <c r="J737" s="14" t="n">
        <v>0.705452444440995</v>
      </c>
      <c r="K737" s="14" t="n">
        <v>0.719369192843872</v>
      </c>
      <c r="L737" s="14" t="n">
        <v>0.786542065554681</v>
      </c>
      <c r="M737" s="14" t="n">
        <v>2.753</v>
      </c>
      <c r="N737" s="14" t="n">
        <v>2.82</v>
      </c>
      <c r="O737" s="14" t="n">
        <v>3.233</v>
      </c>
      <c r="P737" s="14" t="n">
        <v>3.514</v>
      </c>
      <c r="Q737" s="14" t="n">
        <v>0.5</v>
      </c>
      <c r="R737" s="14" t="n">
        <v>0.49</v>
      </c>
      <c r="S737" s="14" t="n">
        <v>6.5</v>
      </c>
    </row>
    <row r="738" customFormat="false" ht="15" hidden="false" customHeight="false" outlineLevel="0" collapsed="false">
      <c r="A738" s="13" t="n">
        <v>43362</v>
      </c>
      <c r="B738" s="14" t="n">
        <v>1.92</v>
      </c>
      <c r="C738" s="14" t="n">
        <v>2</v>
      </c>
      <c r="D738" s="14" t="n">
        <v>1.75</v>
      </c>
      <c r="F738" s="14" t="n">
        <v>-0.4</v>
      </c>
      <c r="G738" s="14" t="n">
        <v>0.75</v>
      </c>
      <c r="H738" s="14" t="n">
        <v>0.7005</v>
      </c>
      <c r="I738" s="14" t="n">
        <v>0.702061481179891</v>
      </c>
      <c r="J738" s="14" t="n">
        <v>0.706221501469643</v>
      </c>
      <c r="K738" s="14" t="n">
        <v>0.725935978906053</v>
      </c>
      <c r="L738" s="14" t="n">
        <v>0.80535301048269</v>
      </c>
      <c r="M738" s="14" t="n">
        <v>2.751</v>
      </c>
      <c r="N738" s="14" t="n">
        <v>2.818</v>
      </c>
      <c r="O738" s="14" t="n">
        <v>3.235</v>
      </c>
      <c r="P738" s="14" t="n">
        <v>3.513</v>
      </c>
      <c r="Q738" s="14" t="n">
        <v>0.5</v>
      </c>
      <c r="R738" s="14" t="n">
        <v>0.49</v>
      </c>
      <c r="S738" s="14" t="n">
        <v>6.5</v>
      </c>
    </row>
    <row r="739" customFormat="false" ht="15" hidden="false" customHeight="false" outlineLevel="0" collapsed="false">
      <c r="A739" s="13" t="n">
        <v>43363</v>
      </c>
      <c r="B739" s="14" t="n">
        <v>1.92</v>
      </c>
      <c r="C739" s="14" t="n">
        <v>2</v>
      </c>
      <c r="D739" s="14" t="n">
        <v>1.75</v>
      </c>
      <c r="F739" s="14" t="n">
        <v>-0.4</v>
      </c>
      <c r="G739" s="14" t="n">
        <v>0.75</v>
      </c>
      <c r="H739" s="14" t="n">
        <v>0.6999</v>
      </c>
      <c r="I739" s="14" t="n">
        <v>0.70190675371074</v>
      </c>
      <c r="J739" s="14" t="n">
        <v>0.70663383475347</v>
      </c>
      <c r="K739" s="14" t="n">
        <v>0.72941252539286</v>
      </c>
      <c r="L739" s="14" t="n">
        <v>0.811440985972821</v>
      </c>
      <c r="M739" s="14" t="n">
        <v>2.753</v>
      </c>
      <c r="N739" s="14" t="n">
        <v>2.812</v>
      </c>
      <c r="O739" s="14" t="n">
        <v>3.241</v>
      </c>
      <c r="P739" s="14" t="n">
        <v>3.512</v>
      </c>
      <c r="Q739" s="14" t="n">
        <v>0.5</v>
      </c>
      <c r="R739" s="14" t="n">
        <v>0.52</v>
      </c>
      <c r="S739" s="14" t="n">
        <v>6.5</v>
      </c>
    </row>
    <row r="740" customFormat="false" ht="15" hidden="false" customHeight="false" outlineLevel="0" collapsed="false">
      <c r="A740" s="13" t="n">
        <v>43364</v>
      </c>
      <c r="B740" s="14" t="n">
        <v>1.92</v>
      </c>
      <c r="C740" s="14" t="n">
        <v>2</v>
      </c>
      <c r="D740" s="14" t="n">
        <v>1.75</v>
      </c>
      <c r="F740" s="14" t="n">
        <v>-0.4</v>
      </c>
      <c r="G740" s="14" t="n">
        <v>0.75</v>
      </c>
      <c r="H740" s="14" t="n">
        <v>0.7003</v>
      </c>
      <c r="I740" s="14" t="n">
        <v>0.701503692829302</v>
      </c>
      <c r="J740" s="14" t="n">
        <v>0.705923586885166</v>
      </c>
      <c r="K740" s="14" t="n">
        <v>0.724279274447385</v>
      </c>
      <c r="L740" s="14" t="n">
        <v>0.79420697020339</v>
      </c>
      <c r="M740" s="14" t="n">
        <v>2.754</v>
      </c>
      <c r="N740" s="14" t="n">
        <v>2.815</v>
      </c>
      <c r="O740" s="14" t="n">
        <v>3.248</v>
      </c>
      <c r="P740" s="14" t="n">
        <v>3.516</v>
      </c>
      <c r="Q740" s="14" t="n">
        <v>0.75</v>
      </c>
      <c r="R740" s="14" t="n">
        <v>0.75</v>
      </c>
      <c r="S740" s="14" t="n">
        <v>6.5</v>
      </c>
    </row>
    <row r="741" customFormat="false" ht="15" hidden="false" customHeight="false" outlineLevel="0" collapsed="false">
      <c r="A741" s="13" t="n">
        <v>43367</v>
      </c>
      <c r="B741" s="14" t="n">
        <v>1.95</v>
      </c>
      <c r="C741" s="14" t="n">
        <v>2</v>
      </c>
      <c r="D741" s="14" t="n">
        <v>1.75</v>
      </c>
      <c r="F741" s="14" t="n">
        <v>-0.4</v>
      </c>
      <c r="G741" s="14" t="n">
        <v>0.75</v>
      </c>
      <c r="H741" s="14" t="n">
        <v>0.701</v>
      </c>
      <c r="I741" s="14" t="n">
        <v>0.701989235226856</v>
      </c>
      <c r="J741" s="14" t="n">
        <v>0.706319572680861</v>
      </c>
      <c r="K741" s="14" t="n">
        <v>0.725281209424483</v>
      </c>
      <c r="L741" s="14" t="n">
        <v>0.800727549694297</v>
      </c>
      <c r="Q741" s="14" t="n">
        <v>0.75</v>
      </c>
      <c r="R741" s="14" t="n">
        <v>0.75</v>
      </c>
      <c r="S741" s="14" t="n">
        <v>6.5</v>
      </c>
    </row>
    <row r="742" customFormat="false" ht="15" hidden="false" customHeight="false" outlineLevel="0" collapsed="false">
      <c r="A742" s="13" t="n">
        <v>43368</v>
      </c>
      <c r="B742" s="14" t="n">
        <v>1.93</v>
      </c>
      <c r="C742" s="14" t="n">
        <v>2</v>
      </c>
      <c r="D742" s="14" t="n">
        <v>1.75</v>
      </c>
      <c r="F742" s="14" t="n">
        <v>-0.4</v>
      </c>
      <c r="G742" s="14" t="n">
        <v>0.75</v>
      </c>
      <c r="H742" s="14" t="n">
        <v>0.6995</v>
      </c>
      <c r="I742" s="14" t="n">
        <v>0.701903687916977</v>
      </c>
      <c r="J742" s="14" t="n">
        <v>0.708109631308777</v>
      </c>
      <c r="K742" s="14" t="n">
        <v>0.72903950274668</v>
      </c>
      <c r="L742" s="14" t="n">
        <v>0.807844129829803</v>
      </c>
      <c r="M742" s="14" t="n">
        <v>2.771</v>
      </c>
      <c r="N742" s="14" t="n">
        <v>2.827</v>
      </c>
      <c r="O742" s="14" t="n">
        <v>3.257</v>
      </c>
      <c r="P742" s="14" t="n">
        <v>3.52</v>
      </c>
      <c r="Q742" s="14" t="n">
        <v>0.75</v>
      </c>
      <c r="R742" s="14" t="n">
        <v>0.74</v>
      </c>
      <c r="S742" s="14" t="n">
        <v>6.5</v>
      </c>
    </row>
    <row r="743" customFormat="false" ht="15" hidden="false" customHeight="false" outlineLevel="0" collapsed="false">
      <c r="A743" s="13" t="n">
        <v>43369</v>
      </c>
      <c r="B743" s="14" t="n">
        <v>1.92</v>
      </c>
      <c r="C743" s="14" t="n">
        <v>2</v>
      </c>
      <c r="D743" s="14" t="n">
        <v>1.75</v>
      </c>
      <c r="F743" s="14" t="n">
        <v>-0.4</v>
      </c>
      <c r="G743" s="14" t="n">
        <v>0.75</v>
      </c>
      <c r="H743" s="14" t="n">
        <v>0.699</v>
      </c>
      <c r="I743" s="14" t="n">
        <v>0.701994839699196</v>
      </c>
      <c r="J743" s="14" t="n">
        <v>0.706201154780137</v>
      </c>
      <c r="K743" s="14" t="n">
        <v>0.725788401405659</v>
      </c>
      <c r="L743" s="14" t="n">
        <v>0.80200355677192</v>
      </c>
      <c r="M743" s="14" t="n">
        <v>2.785</v>
      </c>
      <c r="N743" s="14" t="n">
        <v>2.83</v>
      </c>
      <c r="O743" s="14" t="n">
        <v>3.267</v>
      </c>
      <c r="P743" s="14" t="n">
        <v>3.523</v>
      </c>
      <c r="Q743" s="14" t="n">
        <v>0.75</v>
      </c>
      <c r="R743" s="14" t="n">
        <v>0.74</v>
      </c>
      <c r="S743" s="14" t="n">
        <v>6.5</v>
      </c>
    </row>
    <row r="744" customFormat="false" ht="15" hidden="false" customHeight="false" outlineLevel="0" collapsed="false">
      <c r="A744" s="13" t="n">
        <v>43370</v>
      </c>
      <c r="B744" s="14" t="n">
        <v>2.16</v>
      </c>
      <c r="C744" s="14" t="n">
        <v>2.25</v>
      </c>
      <c r="D744" s="14" t="n">
        <v>2</v>
      </c>
      <c r="F744" s="14" t="n">
        <v>-0.4</v>
      </c>
      <c r="G744" s="14" t="n">
        <v>0.75</v>
      </c>
      <c r="H744" s="14" t="n">
        <v>0.7015</v>
      </c>
      <c r="I744" s="14" t="n">
        <v>0.701422890526243</v>
      </c>
      <c r="J744" s="14" t="n">
        <v>0.707314716878146</v>
      </c>
      <c r="K744" s="14" t="n">
        <v>0.729988402904419</v>
      </c>
      <c r="L744" s="14" t="n">
        <v>0.811320560090403</v>
      </c>
      <c r="M744" s="14" t="n">
        <v>2.799</v>
      </c>
      <c r="N744" s="14" t="n">
        <v>2.838</v>
      </c>
      <c r="O744" s="14" t="n">
        <v>3.275</v>
      </c>
      <c r="P744" s="14" t="n">
        <v>3.526</v>
      </c>
      <c r="Q744" s="14" t="n">
        <v>0.75</v>
      </c>
      <c r="R744" s="14" t="n">
        <v>0.74</v>
      </c>
      <c r="S744" s="14" t="n">
        <v>6.5</v>
      </c>
    </row>
    <row r="745" customFormat="false" ht="15" hidden="false" customHeight="false" outlineLevel="0" collapsed="false">
      <c r="A745" s="13" t="n">
        <v>43371</v>
      </c>
      <c r="B745" s="14" t="n">
        <v>2.25</v>
      </c>
      <c r="C745" s="14" t="n">
        <v>2.25</v>
      </c>
      <c r="D745" s="14" t="n">
        <v>2</v>
      </c>
      <c r="F745" s="14" t="n">
        <v>-0.4</v>
      </c>
      <c r="G745" s="14" t="n">
        <v>0.75</v>
      </c>
      <c r="H745" s="14" t="n">
        <v>0.6964</v>
      </c>
      <c r="I745" s="14" t="n">
        <v>0.700664770340104</v>
      </c>
      <c r="J745" s="14" t="n">
        <v>0.706537563391702</v>
      </c>
      <c r="K745" s="14" t="n">
        <v>0.729503245352277</v>
      </c>
      <c r="L745" s="14" t="n">
        <v>0.806892136852323</v>
      </c>
      <c r="M745" s="14" t="n">
        <v>2.8</v>
      </c>
      <c r="N745" s="14" t="n">
        <v>2.843</v>
      </c>
      <c r="O745" s="14" t="n">
        <v>3.282</v>
      </c>
      <c r="P745" s="14" t="n">
        <v>3.527</v>
      </c>
      <c r="Q745" s="14" t="n">
        <v>0.75</v>
      </c>
      <c r="R745" s="14" t="n">
        <v>1.13</v>
      </c>
      <c r="S745" s="14" t="n">
        <v>6.5</v>
      </c>
    </row>
    <row r="746" customFormat="false" ht="15" hidden="false" customHeight="false" outlineLevel="0" collapsed="false">
      <c r="A746" s="13" t="n">
        <v>43372</v>
      </c>
      <c r="C746" s="14" t="n">
        <v>2.25</v>
      </c>
      <c r="D746" s="14" t="n">
        <v>2</v>
      </c>
      <c r="F746" s="14" t="n">
        <v>-0.4</v>
      </c>
      <c r="M746" s="14" t="n">
        <v>2.802</v>
      </c>
      <c r="N746" s="14" t="n">
        <v>2.846</v>
      </c>
      <c r="O746" s="14" t="n">
        <v>3.285</v>
      </c>
      <c r="P746" s="14" t="n">
        <v>3.521</v>
      </c>
      <c r="S746" s="14" t="n">
        <v>6.5</v>
      </c>
    </row>
    <row r="747" customFormat="false" ht="15" hidden="false" customHeight="false" outlineLevel="0" collapsed="false">
      <c r="A747" s="13" t="n">
        <v>43373</v>
      </c>
      <c r="C747" s="14" t="n">
        <v>2.25</v>
      </c>
      <c r="D747" s="14" t="n">
        <v>2</v>
      </c>
      <c r="F747" s="14" t="n">
        <v>-0.4</v>
      </c>
      <c r="M747" s="14" t="n">
        <v>2.802</v>
      </c>
      <c r="N747" s="14" t="n">
        <v>2.847</v>
      </c>
      <c r="O747" s="14" t="n">
        <v>3.287</v>
      </c>
      <c r="P747" s="14" t="n">
        <v>3.521</v>
      </c>
      <c r="S747" s="14" t="n">
        <v>6.5</v>
      </c>
    </row>
    <row r="748" customFormat="false" ht="15" hidden="false" customHeight="false" outlineLevel="0" collapsed="false">
      <c r="A748" s="13" t="n">
        <v>43374</v>
      </c>
      <c r="B748" s="14" t="n">
        <v>2.22</v>
      </c>
      <c r="C748" s="14" t="n">
        <v>2.25</v>
      </c>
      <c r="D748" s="14" t="n">
        <v>2</v>
      </c>
      <c r="F748" s="14" t="n">
        <v>-0.4</v>
      </c>
      <c r="G748" s="14" t="n">
        <v>0.75</v>
      </c>
      <c r="H748" s="14" t="n">
        <v>0.7021</v>
      </c>
      <c r="I748" s="14" t="n">
        <v>0.701540699034563</v>
      </c>
      <c r="J748" s="14" t="n">
        <v>0.70662174045087</v>
      </c>
      <c r="K748" s="14" t="n">
        <v>0.733128585132929</v>
      </c>
      <c r="L748" s="14" t="n">
        <v>0.813147445835673</v>
      </c>
      <c r="Q748" s="14" t="n">
        <v>0.75</v>
      </c>
      <c r="R748" s="14" t="n">
        <v>0.75</v>
      </c>
      <c r="S748" s="14" t="n">
        <v>6.5</v>
      </c>
    </row>
    <row r="749" customFormat="false" ht="15" hidden="false" customHeight="false" outlineLevel="0" collapsed="false">
      <c r="A749" s="13" t="n">
        <v>43375</v>
      </c>
      <c r="B749" s="14" t="n">
        <v>2.2</v>
      </c>
      <c r="C749" s="14" t="n">
        <v>2.25</v>
      </c>
      <c r="D749" s="14" t="n">
        <v>2</v>
      </c>
      <c r="F749" s="14" t="n">
        <v>-0.4</v>
      </c>
      <c r="G749" s="14" t="n">
        <v>0.75</v>
      </c>
      <c r="H749" s="14" t="n">
        <v>0.7026</v>
      </c>
      <c r="I749" s="14" t="n">
        <v>0.700930911675669</v>
      </c>
      <c r="J749" s="14" t="n">
        <v>0.705162488668919</v>
      </c>
      <c r="K749" s="14" t="n">
        <v>0.729579722450198</v>
      </c>
      <c r="L749" s="14" t="n">
        <v>0.805557831360927</v>
      </c>
      <c r="Q749" s="14" t="n">
        <v>0.75</v>
      </c>
      <c r="R749" s="14" t="n">
        <v>0.74</v>
      </c>
      <c r="S749" s="14" t="n">
        <v>6.5</v>
      </c>
    </row>
    <row r="750" customFormat="false" ht="15" hidden="false" customHeight="false" outlineLevel="0" collapsed="false">
      <c r="A750" s="13" t="n">
        <v>43376</v>
      </c>
      <c r="B750" s="14" t="n">
        <v>2.2</v>
      </c>
      <c r="C750" s="14" t="n">
        <v>2.25</v>
      </c>
      <c r="D750" s="14" t="n">
        <v>2</v>
      </c>
      <c r="F750" s="14" t="n">
        <v>-0.4</v>
      </c>
      <c r="G750" s="14" t="n">
        <v>0.75</v>
      </c>
      <c r="H750" s="14" t="n">
        <v>0.7015</v>
      </c>
      <c r="I750" s="14" t="n">
        <v>0.702573622476276</v>
      </c>
      <c r="J750" s="14" t="n">
        <v>0.706264698954706</v>
      </c>
      <c r="K750" s="14" t="n">
        <v>0.729928234336388</v>
      </c>
      <c r="L750" s="14" t="n">
        <v>0.809200644107147</v>
      </c>
      <c r="Q750" s="14" t="n">
        <v>0.75</v>
      </c>
      <c r="R750" s="14" t="n">
        <v>0.74</v>
      </c>
      <c r="S750" s="14" t="n">
        <v>6.5</v>
      </c>
    </row>
    <row r="751" customFormat="false" ht="15" hidden="false" customHeight="false" outlineLevel="0" collapsed="false">
      <c r="A751" s="13" t="n">
        <v>43377</v>
      </c>
      <c r="B751" s="14" t="n">
        <v>2.18</v>
      </c>
      <c r="C751" s="14" t="n">
        <v>2.25</v>
      </c>
      <c r="D751" s="14" t="n">
        <v>2</v>
      </c>
      <c r="F751" s="14" t="n">
        <v>-0.4</v>
      </c>
      <c r="G751" s="14" t="n">
        <v>0.75</v>
      </c>
      <c r="H751" s="14" t="n">
        <v>0.7023</v>
      </c>
      <c r="I751" s="14" t="n">
        <v>0.703081524452056</v>
      </c>
      <c r="J751" s="14" t="n">
        <v>0.707842726417757</v>
      </c>
      <c r="K751" s="14" t="n">
        <v>0.736988910616121</v>
      </c>
      <c r="L751" s="14" t="n">
        <v>0.827250228209534</v>
      </c>
      <c r="Q751" s="14" t="n">
        <v>0.75</v>
      </c>
      <c r="R751" s="14" t="n">
        <v>0.75</v>
      </c>
      <c r="S751" s="14" t="n">
        <v>6.5</v>
      </c>
    </row>
    <row r="752" customFormat="false" ht="15" hidden="false" customHeight="false" outlineLevel="0" collapsed="false">
      <c r="A752" s="13" t="n">
        <v>43378</v>
      </c>
      <c r="B752" s="14" t="n">
        <v>2.16</v>
      </c>
      <c r="C752" s="14" t="n">
        <v>2.25</v>
      </c>
      <c r="D752" s="14" t="n">
        <v>2</v>
      </c>
      <c r="F752" s="14" t="n">
        <v>-0.4</v>
      </c>
      <c r="G752" s="14" t="n">
        <v>0.75</v>
      </c>
      <c r="H752" s="14" t="n">
        <v>0.701</v>
      </c>
      <c r="I752" s="14" t="n">
        <v>0.70320416491937</v>
      </c>
      <c r="J752" s="14" t="n">
        <v>0.709321060477772</v>
      </c>
      <c r="K752" s="14" t="n">
        <v>0.743211563434197</v>
      </c>
      <c r="L752" s="14" t="n">
        <v>0.840815714136275</v>
      </c>
      <c r="Q752" s="14" t="n">
        <v>0.75</v>
      </c>
      <c r="R752" s="14" t="n">
        <v>0.75</v>
      </c>
      <c r="S752" s="14" t="n">
        <v>6.5</v>
      </c>
    </row>
    <row r="753" customFormat="false" ht="15" hidden="false" customHeight="false" outlineLevel="0" collapsed="false">
      <c r="A753" s="13" t="n">
        <v>43381</v>
      </c>
      <c r="C753" s="14" t="n">
        <v>2.25</v>
      </c>
      <c r="D753" s="14" t="n">
        <v>2</v>
      </c>
      <c r="F753" s="14" t="n">
        <v>-0.4</v>
      </c>
      <c r="G753" s="14" t="n">
        <v>0.75</v>
      </c>
      <c r="H753" s="14" t="n">
        <v>0.7021</v>
      </c>
      <c r="I753" s="14" t="n">
        <v>0.703104610617593</v>
      </c>
      <c r="J753" s="14" t="n">
        <v>0.710182194076076</v>
      </c>
      <c r="K753" s="14" t="n">
        <v>0.742135361244174</v>
      </c>
      <c r="L753" s="14" t="n">
        <v>0.834053938056607</v>
      </c>
      <c r="M753" s="14" t="n">
        <v>2.781</v>
      </c>
      <c r="N753" s="14" t="n">
        <v>2.836</v>
      </c>
      <c r="O753" s="14" t="n">
        <v>3.269</v>
      </c>
      <c r="P753" s="14" t="n">
        <v>3.512</v>
      </c>
      <c r="Q753" s="14" t="n">
        <v>0.75</v>
      </c>
      <c r="R753" s="14" t="n">
        <v>0.75</v>
      </c>
      <c r="S753" s="14" t="n">
        <v>6.5</v>
      </c>
    </row>
    <row r="754" customFormat="false" ht="15" hidden="false" customHeight="false" outlineLevel="0" collapsed="false">
      <c r="A754" s="13" t="n">
        <v>43382</v>
      </c>
      <c r="B754" s="14" t="n">
        <v>2.15</v>
      </c>
      <c r="C754" s="14" t="n">
        <v>2.25</v>
      </c>
      <c r="D754" s="14" t="n">
        <v>2</v>
      </c>
      <c r="F754" s="14" t="n">
        <v>-0.4</v>
      </c>
      <c r="G754" s="14" t="n">
        <v>0.75</v>
      </c>
      <c r="H754" s="14" t="n">
        <v>0.7019</v>
      </c>
      <c r="I754" s="14" t="n">
        <v>0.704007181415802</v>
      </c>
      <c r="J754" s="14" t="n">
        <v>0.712611920170442</v>
      </c>
      <c r="K754" s="14" t="n">
        <v>0.747759922276663</v>
      </c>
      <c r="L754" s="14" t="n">
        <v>0.845092911851408</v>
      </c>
      <c r="M754" s="14" t="n">
        <v>2.734</v>
      </c>
      <c r="N754" s="14" t="n">
        <v>2.816</v>
      </c>
      <c r="O754" s="14" t="n">
        <v>3.258</v>
      </c>
      <c r="P754" s="14" t="n">
        <v>3.504</v>
      </c>
      <c r="Q754" s="14" t="n">
        <v>0.75</v>
      </c>
      <c r="R754" s="14" t="n">
        <v>0.75</v>
      </c>
      <c r="S754" s="14" t="n">
        <v>6.5</v>
      </c>
    </row>
    <row r="755" customFormat="false" ht="15" hidden="false" customHeight="false" outlineLevel="0" collapsed="false">
      <c r="A755" s="13" t="n">
        <v>43383</v>
      </c>
      <c r="B755" s="14" t="n">
        <v>2.15</v>
      </c>
      <c r="C755" s="14" t="n">
        <v>2.25</v>
      </c>
      <c r="D755" s="14" t="n">
        <v>2</v>
      </c>
      <c r="F755" s="14" t="n">
        <v>-0.4</v>
      </c>
      <c r="G755" s="14" t="n">
        <v>0.75</v>
      </c>
      <c r="H755" s="14" t="n">
        <v>0.6997</v>
      </c>
      <c r="I755" s="14" t="n">
        <v>0.702777478253663</v>
      </c>
      <c r="J755" s="14" t="n">
        <v>0.712512078949149</v>
      </c>
      <c r="K755" s="14" t="n">
        <v>0.748083515086659</v>
      </c>
      <c r="L755" s="14" t="n">
        <v>0.845570831895789</v>
      </c>
      <c r="M755" s="14" t="n">
        <v>2.705</v>
      </c>
      <c r="N755" s="14" t="n">
        <v>2.81</v>
      </c>
      <c r="O755" s="14" t="n">
        <v>3.253</v>
      </c>
      <c r="P755" s="14" t="n">
        <v>3.502</v>
      </c>
      <c r="Q755" s="14" t="n">
        <v>0.75</v>
      </c>
      <c r="R755" s="14" t="n">
        <v>0.75</v>
      </c>
      <c r="S755" s="14" t="n">
        <v>6.5</v>
      </c>
    </row>
    <row r="756" customFormat="false" ht="15" hidden="false" customHeight="false" outlineLevel="0" collapsed="false">
      <c r="A756" s="13" t="n">
        <v>43384</v>
      </c>
      <c r="B756" s="14" t="n">
        <v>2.17</v>
      </c>
      <c r="C756" s="14" t="n">
        <v>2.25</v>
      </c>
      <c r="D756" s="14" t="n">
        <v>2</v>
      </c>
      <c r="F756" s="14" t="n">
        <v>-0.4</v>
      </c>
      <c r="G756" s="14" t="n">
        <v>0.75</v>
      </c>
      <c r="H756" s="14" t="n">
        <v>0.6999</v>
      </c>
      <c r="I756" s="14" t="n">
        <v>0.707177231702045</v>
      </c>
      <c r="J756" s="14" t="n">
        <v>0.715035090917952</v>
      </c>
      <c r="K756" s="14" t="n">
        <v>0.749361512792419</v>
      </c>
      <c r="L756" s="14" t="n">
        <v>0.843922496510561</v>
      </c>
      <c r="M756" s="14" t="n">
        <v>2.692</v>
      </c>
      <c r="N756" s="14" t="n">
        <v>2.801</v>
      </c>
      <c r="O756" s="14" t="n">
        <v>3.251</v>
      </c>
      <c r="P756" s="14" t="n">
        <v>3.506</v>
      </c>
      <c r="Q756" s="14" t="n">
        <v>0.75</v>
      </c>
      <c r="R756" s="14" t="n">
        <v>0.75</v>
      </c>
      <c r="S756" s="14" t="n">
        <v>6.5</v>
      </c>
    </row>
    <row r="757" customFormat="false" ht="15" hidden="false" customHeight="false" outlineLevel="0" collapsed="false">
      <c r="A757" s="13" t="n">
        <v>43385</v>
      </c>
      <c r="B757" s="14" t="n">
        <v>2.18</v>
      </c>
      <c r="C757" s="14" t="n">
        <v>2.25</v>
      </c>
      <c r="D757" s="14" t="n">
        <v>2</v>
      </c>
      <c r="F757" s="14" t="n">
        <v>-0.4</v>
      </c>
      <c r="G757" s="14" t="n">
        <v>0.75</v>
      </c>
      <c r="H757" s="14" t="n">
        <v>0.7012</v>
      </c>
      <c r="I757" s="14" t="n">
        <v>0.707257919408397</v>
      </c>
      <c r="J757" s="14" t="n">
        <v>0.712190552271565</v>
      </c>
      <c r="K757" s="14" t="n">
        <v>0.745108603583592</v>
      </c>
      <c r="L757" s="14" t="n">
        <v>0.833002202930524</v>
      </c>
      <c r="M757" s="14" t="n">
        <v>2.682</v>
      </c>
      <c r="N757" s="14" t="n">
        <v>2.8</v>
      </c>
      <c r="O757" s="14" t="n">
        <v>3.25</v>
      </c>
      <c r="P757" s="14" t="n">
        <v>3.505</v>
      </c>
      <c r="Q757" s="14" t="n">
        <v>0.75</v>
      </c>
      <c r="R757" s="14" t="n">
        <v>0.74</v>
      </c>
      <c r="S757" s="14" t="n">
        <v>6.5</v>
      </c>
    </row>
    <row r="758" customFormat="false" ht="15" hidden="false" customHeight="false" outlineLevel="0" collapsed="false">
      <c r="A758" s="13" t="n">
        <v>43388</v>
      </c>
      <c r="B758" s="14" t="n">
        <v>2.21</v>
      </c>
      <c r="C758" s="14" t="n">
        <v>2.25</v>
      </c>
      <c r="D758" s="14" t="n">
        <v>2</v>
      </c>
      <c r="F758" s="14" t="n">
        <v>-0.4</v>
      </c>
      <c r="G758" s="14" t="n">
        <v>0.75</v>
      </c>
      <c r="H758" s="14" t="n">
        <v>0.701</v>
      </c>
      <c r="I758" s="14" t="n">
        <v>0.705122698992125</v>
      </c>
      <c r="J758" s="14" t="n">
        <v>0.71120858951509</v>
      </c>
      <c r="K758" s="14" t="n">
        <v>0.740216624439274</v>
      </c>
      <c r="L758" s="14" t="n">
        <v>0.820924843170528</v>
      </c>
      <c r="M758" s="14" t="n">
        <v>2.668</v>
      </c>
      <c r="N758" s="14" t="n">
        <v>2.801</v>
      </c>
      <c r="O758" s="14" t="n">
        <v>3.253</v>
      </c>
      <c r="P758" s="14" t="n">
        <v>3.505</v>
      </c>
      <c r="Q758" s="14" t="n">
        <v>0.75</v>
      </c>
      <c r="R758" s="14" t="n">
        <v>0.74</v>
      </c>
      <c r="S758" s="14" t="n">
        <v>6.5</v>
      </c>
    </row>
    <row r="759" customFormat="false" ht="15" hidden="false" customHeight="false" outlineLevel="0" collapsed="false">
      <c r="A759" s="13" t="n">
        <v>43389</v>
      </c>
      <c r="B759" s="14" t="n">
        <v>2.18</v>
      </c>
      <c r="C759" s="14" t="n">
        <v>2.25</v>
      </c>
      <c r="D759" s="14" t="n">
        <v>2</v>
      </c>
      <c r="F759" s="14" t="n">
        <v>-0.4</v>
      </c>
      <c r="G759" s="14" t="n">
        <v>0.75</v>
      </c>
      <c r="H759" s="14" t="n">
        <v>0.7012</v>
      </c>
      <c r="I759" s="14" t="n">
        <v>0.704106577109186</v>
      </c>
      <c r="J759" s="14" t="n">
        <v>0.712558133896895</v>
      </c>
      <c r="K759" s="14" t="n">
        <v>0.743894851352384</v>
      </c>
      <c r="L759" s="14" t="n">
        <v>0.825237866446332</v>
      </c>
      <c r="M759" s="14" t="n">
        <v>2.658</v>
      </c>
      <c r="N759" s="14" t="n">
        <v>2.8</v>
      </c>
      <c r="O759" s="14" t="n">
        <v>3.253</v>
      </c>
      <c r="P759" s="14" t="n">
        <v>3.505</v>
      </c>
      <c r="Q759" s="14" t="n">
        <v>0.75</v>
      </c>
      <c r="R759" s="14" t="n">
        <v>0.74</v>
      </c>
      <c r="S759" s="14" t="n">
        <v>6.5</v>
      </c>
    </row>
    <row r="760" customFormat="false" ht="15" hidden="false" customHeight="false" outlineLevel="0" collapsed="false">
      <c r="A760" s="13" t="n">
        <v>43390</v>
      </c>
      <c r="B760" s="14" t="n">
        <v>2.18</v>
      </c>
      <c r="C760" s="14" t="n">
        <v>2.25</v>
      </c>
      <c r="D760" s="14" t="n">
        <v>2</v>
      </c>
      <c r="F760" s="14" t="n">
        <v>-0.4</v>
      </c>
      <c r="G760" s="14" t="n">
        <v>0.75</v>
      </c>
      <c r="H760" s="14" t="n">
        <v>0.7016</v>
      </c>
      <c r="I760" s="14" t="n">
        <v>0.706179952438305</v>
      </c>
      <c r="J760" s="14" t="n">
        <v>0.710591586514768</v>
      </c>
      <c r="K760" s="14" t="n">
        <v>0.738510787287211</v>
      </c>
      <c r="L760" s="14" t="n">
        <v>0.816289755997112</v>
      </c>
      <c r="M760" s="14" t="n">
        <v>2.651</v>
      </c>
      <c r="N760" s="14" t="n">
        <v>2.818</v>
      </c>
      <c r="O760" s="14" t="n">
        <v>3.254</v>
      </c>
      <c r="P760" s="14" t="n">
        <v>3.505</v>
      </c>
      <c r="Q760" s="14" t="n">
        <v>0.75</v>
      </c>
      <c r="R760" s="14" t="n">
        <v>0.74</v>
      </c>
      <c r="S760" s="14" t="n">
        <v>6.5</v>
      </c>
    </row>
    <row r="761" customFormat="false" ht="15" hidden="false" customHeight="false" outlineLevel="0" collapsed="false">
      <c r="A761" s="13" t="n">
        <v>43391</v>
      </c>
      <c r="B761" s="14" t="n">
        <v>2.19</v>
      </c>
      <c r="C761" s="14" t="n">
        <v>2.25</v>
      </c>
      <c r="D761" s="14" t="n">
        <v>2</v>
      </c>
      <c r="F761" s="14" t="n">
        <v>-0.4</v>
      </c>
      <c r="G761" s="14" t="n">
        <v>0.75</v>
      </c>
      <c r="H761" s="14" t="n">
        <v>0.7017</v>
      </c>
      <c r="I761" s="14" t="n">
        <v>0.704653872205865</v>
      </c>
      <c r="J761" s="14" t="n">
        <v>0.711545572884175</v>
      </c>
      <c r="K761" s="14" t="n">
        <v>0.741876036056278</v>
      </c>
      <c r="L761" s="14" t="n">
        <v>0.816438810354472</v>
      </c>
      <c r="M761" s="14" t="n">
        <v>2.651</v>
      </c>
      <c r="N761" s="14" t="n">
        <v>2.832</v>
      </c>
      <c r="O761" s="14" t="n">
        <v>3.26</v>
      </c>
      <c r="P761" s="14" t="n">
        <v>3.504</v>
      </c>
      <c r="Q761" s="14" t="n">
        <v>0.75</v>
      </c>
      <c r="R761" s="14" t="n">
        <v>0.74</v>
      </c>
      <c r="S761" s="14" t="n">
        <v>6.5</v>
      </c>
    </row>
    <row r="762" customFormat="false" ht="15" hidden="false" customHeight="false" outlineLevel="0" collapsed="false">
      <c r="A762" s="13" t="n">
        <v>43392</v>
      </c>
      <c r="B762" s="14" t="n">
        <v>2.19</v>
      </c>
      <c r="C762" s="14" t="n">
        <v>2.25</v>
      </c>
      <c r="D762" s="14" t="n">
        <v>2</v>
      </c>
      <c r="F762" s="14" t="n">
        <v>-0.4</v>
      </c>
      <c r="G762" s="14" t="n">
        <v>0.75</v>
      </c>
      <c r="H762" s="14" t="n">
        <v>0.6999</v>
      </c>
      <c r="I762" s="14" t="n">
        <v>0.704224229322877</v>
      </c>
      <c r="J762" s="14" t="n">
        <v>0.710724818693717</v>
      </c>
      <c r="K762" s="14" t="n">
        <v>0.741295831126616</v>
      </c>
      <c r="L762" s="14" t="n">
        <v>0.812250313979139</v>
      </c>
      <c r="M762" s="14" t="n">
        <v>2.655</v>
      </c>
      <c r="N762" s="14" t="n">
        <v>2.842</v>
      </c>
      <c r="O762" s="14" t="n">
        <v>3.267</v>
      </c>
      <c r="P762" s="14" t="n">
        <v>3.507</v>
      </c>
      <c r="Q762" s="14" t="n">
        <v>0.75</v>
      </c>
      <c r="R762" s="14" t="n">
        <v>0.75</v>
      </c>
      <c r="S762" s="14" t="n">
        <v>6.5</v>
      </c>
    </row>
    <row r="763" customFormat="false" ht="15" hidden="false" customHeight="false" outlineLevel="0" collapsed="false">
      <c r="A763" s="13" t="n">
        <v>43395</v>
      </c>
      <c r="B763" s="14" t="n">
        <v>2.18</v>
      </c>
      <c r="C763" s="14" t="n">
        <v>2.25</v>
      </c>
      <c r="D763" s="14" t="n">
        <v>2</v>
      </c>
      <c r="F763" s="14" t="n">
        <v>-0.4</v>
      </c>
      <c r="G763" s="14" t="n">
        <v>0.75</v>
      </c>
      <c r="H763" s="14" t="n">
        <v>0.699</v>
      </c>
      <c r="I763" s="14" t="n">
        <v>0.705470984711711</v>
      </c>
      <c r="J763" s="14" t="n">
        <v>0.711617740713387</v>
      </c>
      <c r="K763" s="14" t="n">
        <v>0.737909783626268</v>
      </c>
      <c r="L763" s="14" t="n">
        <v>0.797533482579813</v>
      </c>
      <c r="M763" s="14" t="n">
        <v>2.663</v>
      </c>
      <c r="N763" s="14" t="n">
        <v>2.871</v>
      </c>
      <c r="O763" s="14" t="n">
        <v>3.277</v>
      </c>
      <c r="P763" s="14" t="n">
        <v>3.516</v>
      </c>
      <c r="Q763" s="14" t="n">
        <v>0.75</v>
      </c>
      <c r="R763" s="14" t="n">
        <v>0.75</v>
      </c>
      <c r="S763" s="14" t="n">
        <v>6.5</v>
      </c>
    </row>
    <row r="764" customFormat="false" ht="15" hidden="false" customHeight="false" outlineLevel="0" collapsed="false">
      <c r="A764" s="13" t="n">
        <v>43396</v>
      </c>
      <c r="B764" s="14" t="n">
        <v>2.17</v>
      </c>
      <c r="C764" s="14" t="n">
        <v>2.25</v>
      </c>
      <c r="D764" s="14" t="n">
        <v>2</v>
      </c>
      <c r="F764" s="14" t="n">
        <v>-0.4</v>
      </c>
      <c r="G764" s="14" t="n">
        <v>0.75</v>
      </c>
      <c r="H764" s="14" t="n">
        <v>0.7004</v>
      </c>
      <c r="I764" s="14" t="n">
        <v>0.703248831584426</v>
      </c>
      <c r="J764" s="14" t="n">
        <v>0.70932585848316</v>
      </c>
      <c r="K764" s="14" t="n">
        <v>0.734465736884562</v>
      </c>
      <c r="L764" s="14" t="n">
        <v>0.790640738105129</v>
      </c>
      <c r="M764" s="14" t="n">
        <v>2.672</v>
      </c>
      <c r="N764" s="14" t="n">
        <v>2.903</v>
      </c>
      <c r="O764" s="14" t="n">
        <v>3.289</v>
      </c>
      <c r="P764" s="14" t="n">
        <v>3.532</v>
      </c>
      <c r="Q764" s="14" t="n">
        <v>0.75</v>
      </c>
      <c r="R764" s="14" t="n">
        <v>0.74</v>
      </c>
      <c r="S764" s="14" t="n">
        <v>6.5</v>
      </c>
    </row>
    <row r="765" customFormat="false" ht="15" hidden="false" customHeight="false" outlineLevel="0" collapsed="false">
      <c r="A765" s="13" t="n">
        <v>43397</v>
      </c>
      <c r="B765" s="14" t="n">
        <v>2.18</v>
      </c>
      <c r="C765" s="14" t="n">
        <v>2.25</v>
      </c>
      <c r="D765" s="14" t="n">
        <v>2</v>
      </c>
      <c r="F765" s="14" t="n">
        <v>-0.4</v>
      </c>
      <c r="G765" s="14" t="n">
        <v>0.75</v>
      </c>
      <c r="H765" s="14" t="n">
        <v>0.7023</v>
      </c>
      <c r="I765" s="14" t="n">
        <v>0.705572245473173</v>
      </c>
      <c r="J765" s="14" t="n">
        <v>0.710140213953922</v>
      </c>
      <c r="K765" s="14" t="n">
        <v>0.735620000475222</v>
      </c>
      <c r="L765" s="14" t="n">
        <v>0.792818032944612</v>
      </c>
      <c r="M765" s="14" t="n">
        <v>2.675</v>
      </c>
      <c r="N765" s="14" t="n">
        <v>2.924</v>
      </c>
      <c r="O765" s="14" t="n">
        <v>3.296</v>
      </c>
      <c r="P765" s="14" t="n">
        <v>3.544</v>
      </c>
      <c r="Q765" s="14" t="n">
        <v>0.75</v>
      </c>
      <c r="R765" s="14" t="n">
        <v>0.75</v>
      </c>
      <c r="S765" s="14" t="n">
        <v>6.5</v>
      </c>
    </row>
    <row r="766" customFormat="false" ht="15" hidden="false" customHeight="false" outlineLevel="0" collapsed="false">
      <c r="A766" s="13" t="n">
        <v>43398</v>
      </c>
      <c r="B766" s="14" t="n">
        <v>2.19</v>
      </c>
      <c r="C766" s="14" t="n">
        <v>2.25</v>
      </c>
      <c r="D766" s="14" t="n">
        <v>2</v>
      </c>
      <c r="F766" s="14" t="n">
        <v>-0.4</v>
      </c>
      <c r="G766" s="14" t="n">
        <v>0.75</v>
      </c>
      <c r="H766" s="14" t="n">
        <v>0.6988</v>
      </c>
      <c r="I766" s="14" t="n">
        <v>0.704689010679984</v>
      </c>
      <c r="J766" s="14" t="n">
        <v>0.712409288504665</v>
      </c>
      <c r="K766" s="14" t="n">
        <v>0.735275037601218</v>
      </c>
      <c r="L766" s="14" t="n">
        <v>0.789850010841311</v>
      </c>
      <c r="M766" s="14" t="n">
        <v>2.675</v>
      </c>
      <c r="N766" s="14" t="n">
        <v>2.948</v>
      </c>
      <c r="O766" s="14" t="n">
        <v>3.297</v>
      </c>
      <c r="P766" s="14" t="n">
        <v>3.552</v>
      </c>
      <c r="Q766" s="14" t="n">
        <v>0.75</v>
      </c>
      <c r="R766" s="14" t="n">
        <v>0.75</v>
      </c>
      <c r="S766" s="14" t="n">
        <v>6.5</v>
      </c>
    </row>
    <row r="767" customFormat="false" ht="15" hidden="false" customHeight="false" outlineLevel="0" collapsed="false">
      <c r="A767" s="13" t="n">
        <v>43399</v>
      </c>
      <c r="B767" s="14" t="n">
        <v>2.19</v>
      </c>
      <c r="C767" s="14" t="n">
        <v>2.25</v>
      </c>
      <c r="D767" s="14" t="n">
        <v>2</v>
      </c>
      <c r="F767" s="14" t="n">
        <v>-0.4</v>
      </c>
      <c r="G767" s="14" t="n">
        <v>0.75</v>
      </c>
      <c r="H767" s="14" t="n">
        <v>0.7021</v>
      </c>
      <c r="I767" s="14" t="n">
        <v>0.704243319704883</v>
      </c>
      <c r="J767" s="14" t="n">
        <v>0.711059221523616</v>
      </c>
      <c r="K767" s="14" t="n">
        <v>0.731101726615877</v>
      </c>
      <c r="L767" s="14" t="n">
        <v>0.777848741224978</v>
      </c>
      <c r="M767" s="14" t="n">
        <v>2.673</v>
      </c>
      <c r="N767" s="14" t="n">
        <v>2.952</v>
      </c>
      <c r="O767" s="14" t="n">
        <v>3.297</v>
      </c>
      <c r="P767" s="14" t="n">
        <v>3.55</v>
      </c>
      <c r="Q767" s="14" t="n">
        <v>0.75</v>
      </c>
      <c r="R767" s="14" t="n">
        <v>0.74</v>
      </c>
      <c r="S767" s="14" t="n">
        <v>6.5</v>
      </c>
    </row>
    <row r="768" customFormat="false" ht="15" hidden="false" customHeight="false" outlineLevel="0" collapsed="false">
      <c r="A768" s="13" t="n">
        <v>43402</v>
      </c>
      <c r="B768" s="14" t="n">
        <v>2.18</v>
      </c>
      <c r="C768" s="14" t="n">
        <v>2.25</v>
      </c>
      <c r="D768" s="14" t="n">
        <v>2</v>
      </c>
      <c r="F768" s="14" t="n">
        <v>-0.4</v>
      </c>
      <c r="G768" s="14" t="n">
        <v>0.75</v>
      </c>
      <c r="H768" s="14" t="n">
        <v>0.7011</v>
      </c>
      <c r="I768" s="14" t="n">
        <v>0.70774786763376</v>
      </c>
      <c r="J768" s="14" t="n">
        <v>0.712452381684132</v>
      </c>
      <c r="K768" s="14" t="n">
        <v>0.730849773629342</v>
      </c>
      <c r="L768" s="14" t="n">
        <v>0.778571600654115</v>
      </c>
      <c r="M768" s="14" t="n">
        <v>2.672</v>
      </c>
      <c r="N768" s="14" t="n">
        <v>2.958</v>
      </c>
      <c r="O768" s="14" t="n">
        <v>3.297</v>
      </c>
      <c r="P768" s="14" t="n">
        <v>3.55</v>
      </c>
      <c r="Q768" s="14" t="n">
        <v>0.75</v>
      </c>
      <c r="R768" s="14" t="n">
        <v>0.74</v>
      </c>
      <c r="S768" s="14" t="n">
        <v>6.5</v>
      </c>
    </row>
    <row r="769" customFormat="false" ht="15" hidden="false" customHeight="false" outlineLevel="0" collapsed="false">
      <c r="A769" s="13" t="n">
        <v>43403</v>
      </c>
      <c r="B769" s="14" t="n">
        <v>2.18</v>
      </c>
      <c r="C769" s="14" t="n">
        <v>2.25</v>
      </c>
      <c r="D769" s="14" t="n">
        <v>2</v>
      </c>
      <c r="F769" s="14" t="n">
        <v>-0.4</v>
      </c>
      <c r="G769" s="14" t="n">
        <v>0.75</v>
      </c>
      <c r="H769" s="14" t="n">
        <v>0.7013</v>
      </c>
      <c r="I769" s="14" t="n">
        <v>0.707124564850086</v>
      </c>
      <c r="J769" s="14" t="n">
        <v>0.71163905513116</v>
      </c>
      <c r="K769" s="14" t="n">
        <v>0.732694264961335</v>
      </c>
      <c r="L769" s="14" t="n">
        <v>0.780833765139108</v>
      </c>
      <c r="M769" s="14" t="n">
        <v>2.663</v>
      </c>
      <c r="N769" s="14" t="n">
        <v>2.957</v>
      </c>
      <c r="O769" s="14" t="n">
        <v>3.295</v>
      </c>
      <c r="P769" s="14" t="n">
        <v>3.55</v>
      </c>
      <c r="Q769" s="14" t="n">
        <v>0.75</v>
      </c>
      <c r="R769" s="14" t="n">
        <v>0.74</v>
      </c>
      <c r="S769" s="14" t="n">
        <v>6.5</v>
      </c>
    </row>
    <row r="770" customFormat="false" ht="15" hidden="false" customHeight="false" outlineLevel="0" collapsed="false">
      <c r="A770" s="13" t="n">
        <v>43404</v>
      </c>
      <c r="B770" s="14" t="n">
        <v>2.22</v>
      </c>
      <c r="C770" s="14" t="n">
        <v>2.25</v>
      </c>
      <c r="D770" s="14" t="n">
        <v>2</v>
      </c>
      <c r="F770" s="14" t="n">
        <v>-0.4</v>
      </c>
      <c r="G770" s="14" t="n">
        <v>0.75</v>
      </c>
      <c r="H770" s="14" t="n">
        <v>0.7002</v>
      </c>
      <c r="I770" s="14" t="n">
        <v>0.703037769946199</v>
      </c>
      <c r="J770" s="14" t="n">
        <v>0.709731249587065</v>
      </c>
      <c r="K770" s="14" t="n">
        <v>0.737290438049464</v>
      </c>
      <c r="L770" s="14" t="n">
        <v>0.802233366764373</v>
      </c>
      <c r="M770" s="14" t="n">
        <v>2.689</v>
      </c>
      <c r="N770" s="14" t="n">
        <v>2.963</v>
      </c>
      <c r="O770" s="14" t="n">
        <v>3.298</v>
      </c>
      <c r="P770" s="14" t="n">
        <v>3.55</v>
      </c>
      <c r="Q770" s="14" t="n">
        <v>0.75</v>
      </c>
      <c r="R770" s="14" t="n">
        <v>0.73</v>
      </c>
      <c r="S770" s="14" t="n">
        <v>6.5</v>
      </c>
    </row>
    <row r="771" customFormat="false" ht="15" hidden="false" customHeight="false" outlineLevel="0" collapsed="false">
      <c r="A771" s="13" t="n">
        <v>43405</v>
      </c>
      <c r="B771" s="14" t="n">
        <v>2.22</v>
      </c>
      <c r="C771" s="14" t="n">
        <v>2.25</v>
      </c>
      <c r="D771" s="14" t="n">
        <v>2</v>
      </c>
      <c r="F771" s="14" t="n">
        <v>-0.4</v>
      </c>
      <c r="G771" s="14" t="n">
        <v>0.75</v>
      </c>
      <c r="H771" s="14" t="n">
        <v>0.7006</v>
      </c>
      <c r="I771" s="14" t="n">
        <v>0.69952399568884</v>
      </c>
      <c r="J771" s="14" t="n">
        <v>0.709385159701389</v>
      </c>
      <c r="K771" s="14" t="n">
        <v>0.74195791517884</v>
      </c>
      <c r="L771" s="14" t="n">
        <v>0.809883761403602</v>
      </c>
      <c r="M771" s="14" t="n">
        <v>2.696</v>
      </c>
      <c r="N771" s="14" t="n">
        <v>2.976</v>
      </c>
      <c r="O771" s="14" t="n">
        <v>3.297</v>
      </c>
      <c r="P771" s="14" t="n">
        <v>3.55</v>
      </c>
      <c r="Q771" s="14" t="n">
        <v>0.75</v>
      </c>
      <c r="R771" s="14" t="n">
        <v>0.73</v>
      </c>
      <c r="S771" s="14" t="n">
        <v>6.5</v>
      </c>
    </row>
    <row r="772" customFormat="false" ht="15" hidden="false" customHeight="false" outlineLevel="0" collapsed="false">
      <c r="A772" s="13" t="n">
        <v>43406</v>
      </c>
      <c r="B772" s="14" t="n">
        <v>2.25</v>
      </c>
      <c r="C772" s="14" t="n">
        <v>2.25</v>
      </c>
      <c r="D772" s="14" t="n">
        <v>2</v>
      </c>
      <c r="F772" s="14" t="n">
        <v>-0.4</v>
      </c>
      <c r="G772" s="14" t="n">
        <v>0.75</v>
      </c>
      <c r="H772" s="14" t="n">
        <v>0.7005</v>
      </c>
      <c r="I772" s="14" t="n">
        <v>0.697777098988278</v>
      </c>
      <c r="J772" s="14" t="n">
        <v>0.706296760754931</v>
      </c>
      <c r="K772" s="14" t="n">
        <v>0.743072368613373</v>
      </c>
      <c r="L772" s="14" t="n">
        <v>0.81404074985559</v>
      </c>
      <c r="M772" s="14" t="n">
        <v>2.694</v>
      </c>
      <c r="N772" s="14" t="n">
        <v>2.981</v>
      </c>
      <c r="O772" s="14" t="n">
        <v>3.296</v>
      </c>
      <c r="P772" s="14" t="n">
        <v>3.55</v>
      </c>
      <c r="Q772" s="14" t="n">
        <v>0.75</v>
      </c>
      <c r="R772" s="14" t="n">
        <v>0.73</v>
      </c>
      <c r="S772" s="14" t="n">
        <v>6.5</v>
      </c>
    </row>
    <row r="773" customFormat="false" ht="15" hidden="false" customHeight="false" outlineLevel="0" collapsed="false">
      <c r="A773" s="13" t="n">
        <v>43409</v>
      </c>
      <c r="B773" s="14" t="n">
        <v>2.24</v>
      </c>
      <c r="C773" s="14" t="n">
        <v>2.25</v>
      </c>
      <c r="D773" s="14" t="n">
        <v>2</v>
      </c>
      <c r="F773" s="14" t="n">
        <v>-0.4</v>
      </c>
      <c r="G773" s="14" t="n">
        <v>0.75</v>
      </c>
      <c r="H773" s="14" t="n">
        <v>0.7009</v>
      </c>
      <c r="I773" s="14" t="n">
        <v>0.697701244418127</v>
      </c>
      <c r="J773" s="14" t="n">
        <v>0.706019822527417</v>
      </c>
      <c r="K773" s="14" t="n">
        <v>0.74326400514428</v>
      </c>
      <c r="L773" s="14" t="n">
        <v>0.816449538446813</v>
      </c>
      <c r="M773" s="14" t="n">
        <v>2.691</v>
      </c>
      <c r="N773" s="14" t="n">
        <v>2.986</v>
      </c>
      <c r="O773" s="14" t="n">
        <v>3.294</v>
      </c>
      <c r="P773" s="14" t="n">
        <v>3.55</v>
      </c>
      <c r="Q773" s="14" t="n">
        <v>0.75</v>
      </c>
      <c r="R773" s="14" t="n">
        <v>0.73</v>
      </c>
      <c r="S773" s="14" t="n">
        <v>6.5</v>
      </c>
    </row>
    <row r="774" customFormat="false" ht="15" hidden="false" customHeight="false" outlineLevel="0" collapsed="false">
      <c r="A774" s="13" t="n">
        <v>43410</v>
      </c>
      <c r="B774" s="14" t="n">
        <v>2.22</v>
      </c>
      <c r="C774" s="14" t="n">
        <v>2.25</v>
      </c>
      <c r="D774" s="14" t="n">
        <v>2</v>
      </c>
      <c r="F774" s="14" t="n">
        <v>-0.4</v>
      </c>
      <c r="G774" s="14" t="n">
        <v>0.75</v>
      </c>
      <c r="H774" s="14" t="n">
        <v>0.7017</v>
      </c>
      <c r="I774" s="14" t="n">
        <v>0.699076240294352</v>
      </c>
      <c r="J774" s="14" t="n">
        <v>0.707693674514642</v>
      </c>
      <c r="K774" s="14" t="n">
        <v>0.745627741890719</v>
      </c>
      <c r="L774" s="14" t="n">
        <v>0.820864139362408</v>
      </c>
      <c r="M774" s="14" t="n">
        <v>2.684</v>
      </c>
      <c r="N774" s="14" t="n">
        <v>2.991</v>
      </c>
      <c r="O774" s="14" t="n">
        <v>3.294</v>
      </c>
      <c r="P774" s="14" t="n">
        <v>3.55</v>
      </c>
      <c r="Q774" s="14" t="n">
        <v>0.75</v>
      </c>
      <c r="R774" s="14" t="n">
        <v>0.75</v>
      </c>
      <c r="S774" s="14" t="n">
        <v>6.5</v>
      </c>
    </row>
    <row r="775" customFormat="false" ht="15" hidden="false" customHeight="false" outlineLevel="0" collapsed="false">
      <c r="A775" s="13" t="n">
        <v>43411</v>
      </c>
      <c r="B775" s="14" t="n">
        <v>2.18</v>
      </c>
      <c r="C775" s="14" t="n">
        <v>2.25</v>
      </c>
      <c r="D775" s="14" t="n">
        <v>2</v>
      </c>
      <c r="F775" s="14" t="n">
        <v>-0.4</v>
      </c>
      <c r="G775" s="14" t="n">
        <v>0.75</v>
      </c>
      <c r="H775" s="14" t="n">
        <v>0.7031</v>
      </c>
      <c r="I775" s="14" t="n">
        <v>0.700441512226296</v>
      </c>
      <c r="J775" s="14" t="n">
        <v>0.708392182195882</v>
      </c>
      <c r="K775" s="14" t="n">
        <v>0.743532662664801</v>
      </c>
      <c r="L775" s="14" t="n">
        <v>0.819951049945224</v>
      </c>
      <c r="M775" s="14" t="n">
        <v>2.68</v>
      </c>
      <c r="N775" s="14" t="n">
        <v>2.997</v>
      </c>
      <c r="O775" s="14" t="n">
        <v>3.297</v>
      </c>
      <c r="P775" s="14" t="n">
        <v>3.551</v>
      </c>
      <c r="Q775" s="14" t="n">
        <v>0.75</v>
      </c>
      <c r="R775" s="14" t="n">
        <v>0.74</v>
      </c>
      <c r="S775" s="14" t="n">
        <v>6.5</v>
      </c>
    </row>
    <row r="776" customFormat="false" ht="15" hidden="false" customHeight="false" outlineLevel="0" collapsed="false">
      <c r="A776" s="13" t="n">
        <v>43412</v>
      </c>
      <c r="B776" s="14" t="n">
        <v>2.21</v>
      </c>
      <c r="C776" s="14" t="n">
        <v>2.25</v>
      </c>
      <c r="D776" s="14" t="n">
        <v>2</v>
      </c>
      <c r="F776" s="14" t="n">
        <v>-0.4</v>
      </c>
      <c r="G776" s="14" t="n">
        <v>0.75</v>
      </c>
      <c r="H776" s="14" t="n">
        <v>0.7023</v>
      </c>
      <c r="I776" s="14" t="n">
        <v>0.699410943085675</v>
      </c>
      <c r="J776" s="14" t="n">
        <v>0.712005425888213</v>
      </c>
      <c r="K776" s="14" t="n">
        <v>0.75596695893018</v>
      </c>
      <c r="L776" s="14" t="n">
        <v>0.839022826380968</v>
      </c>
      <c r="M776" s="14" t="n">
        <v>2.678</v>
      </c>
      <c r="N776" s="14" t="n">
        <v>3</v>
      </c>
      <c r="O776" s="14" t="n">
        <v>3.299</v>
      </c>
      <c r="P776" s="14" t="n">
        <v>3.55</v>
      </c>
      <c r="Q776" s="14" t="n">
        <v>0.75</v>
      </c>
      <c r="R776" s="14" t="n">
        <v>0.74</v>
      </c>
      <c r="S776" s="14" t="n">
        <v>6.5</v>
      </c>
    </row>
    <row r="777" customFormat="false" ht="15" hidden="false" customHeight="false" outlineLevel="0" collapsed="false">
      <c r="A777" s="13" t="n">
        <v>43413</v>
      </c>
      <c r="B777" s="14" t="n">
        <v>2.2</v>
      </c>
      <c r="C777" s="14" t="n">
        <v>2.25</v>
      </c>
      <c r="D777" s="14" t="n">
        <v>2</v>
      </c>
      <c r="F777" s="14" t="n">
        <v>-0.4</v>
      </c>
      <c r="G777" s="14" t="n">
        <v>0.75</v>
      </c>
      <c r="H777" s="14" t="n">
        <v>0.7028</v>
      </c>
      <c r="I777" s="14" t="n">
        <v>0.699111791783669</v>
      </c>
      <c r="J777" s="14" t="n">
        <v>0.711587207844212</v>
      </c>
      <c r="K777" s="14" t="n">
        <v>0.752590845639628</v>
      </c>
      <c r="L777" s="14" t="n">
        <v>0.830273429837491</v>
      </c>
      <c r="M777" s="14" t="n">
        <v>2.671</v>
      </c>
      <c r="N777" s="14" t="n">
        <v>3.001</v>
      </c>
      <c r="O777" s="14" t="n">
        <v>3.3</v>
      </c>
      <c r="P777" s="14" t="n">
        <v>3.552</v>
      </c>
      <c r="Q777" s="14" t="n">
        <v>0.75</v>
      </c>
      <c r="R777" s="14" t="n">
        <v>0.75</v>
      </c>
      <c r="S777" s="14" t="n">
        <v>6.5</v>
      </c>
    </row>
    <row r="778" customFormat="false" ht="15" hidden="false" customHeight="false" outlineLevel="0" collapsed="false">
      <c r="A778" s="13" t="n">
        <v>43416</v>
      </c>
      <c r="C778" s="14" t="n">
        <v>2.25</v>
      </c>
      <c r="D778" s="14" t="n">
        <v>2</v>
      </c>
      <c r="F778" s="14" t="n">
        <v>-0.4</v>
      </c>
      <c r="G778" s="14" t="n">
        <v>0.75</v>
      </c>
      <c r="H778" s="14" t="n">
        <v>0.7023</v>
      </c>
      <c r="I778" s="14" t="n">
        <v>0.698156975807672</v>
      </c>
      <c r="J778" s="14" t="n">
        <v>0.703971005535844</v>
      </c>
      <c r="K778" s="14" t="n">
        <v>0.735975746017531</v>
      </c>
      <c r="L778" s="14" t="n">
        <v>0.801523188940833</v>
      </c>
      <c r="M778" s="14" t="n">
        <v>2.675</v>
      </c>
      <c r="N778" s="14" t="n">
        <v>3.001</v>
      </c>
      <c r="O778" s="14" t="n">
        <v>3.3</v>
      </c>
      <c r="P778" s="14" t="n">
        <v>3.553</v>
      </c>
      <c r="Q778" s="14" t="n">
        <v>0.75</v>
      </c>
      <c r="R778" s="14" t="n">
        <v>0.76</v>
      </c>
      <c r="S778" s="14" t="n">
        <v>6.5</v>
      </c>
    </row>
    <row r="779" customFormat="false" ht="15" hidden="false" customHeight="false" outlineLevel="0" collapsed="false">
      <c r="A779" s="13" t="n">
        <v>43417</v>
      </c>
      <c r="B779" s="14" t="n">
        <v>2.2</v>
      </c>
      <c r="C779" s="14" t="n">
        <v>2.25</v>
      </c>
      <c r="D779" s="14" t="n">
        <v>2</v>
      </c>
      <c r="F779" s="14" t="n">
        <v>-0.4</v>
      </c>
      <c r="G779" s="14" t="n">
        <v>0.75</v>
      </c>
      <c r="H779" s="14" t="n">
        <v>0.7025</v>
      </c>
      <c r="I779" s="14" t="n">
        <v>0.698550688897127</v>
      </c>
      <c r="J779" s="14" t="n">
        <v>0.711612629423763</v>
      </c>
      <c r="K779" s="14" t="n">
        <v>0.74960932789502</v>
      </c>
      <c r="L779" s="14" t="n">
        <v>0.830593529541279</v>
      </c>
      <c r="M779" s="14" t="n">
        <v>2.685</v>
      </c>
      <c r="N779" s="14" t="n">
        <v>3.004</v>
      </c>
      <c r="O779" s="14" t="n">
        <v>3.3</v>
      </c>
      <c r="P779" s="14" t="n">
        <v>3.558</v>
      </c>
      <c r="Q779" s="14" t="n">
        <v>0.75</v>
      </c>
      <c r="R779" s="14" t="n">
        <v>0.74</v>
      </c>
      <c r="S779" s="14" t="n">
        <v>6.5</v>
      </c>
    </row>
    <row r="780" customFormat="false" ht="15" hidden="false" customHeight="false" outlineLevel="0" collapsed="false">
      <c r="A780" s="13" t="n">
        <v>43418</v>
      </c>
      <c r="B780" s="14" t="n">
        <v>2.2</v>
      </c>
      <c r="C780" s="14" t="n">
        <v>2.25</v>
      </c>
      <c r="D780" s="14" t="n">
        <v>2</v>
      </c>
      <c r="F780" s="14" t="n">
        <v>-0.4</v>
      </c>
      <c r="G780" s="14" t="n">
        <v>0.75</v>
      </c>
      <c r="H780" s="14" t="n">
        <v>0.7013</v>
      </c>
      <c r="I780" s="14" t="n">
        <v>0.698087078001175</v>
      </c>
      <c r="J780" s="14" t="n">
        <v>0.709672166059707</v>
      </c>
      <c r="K780" s="14" t="n">
        <v>0.747301883937519</v>
      </c>
      <c r="L780" s="14" t="n">
        <v>0.819953236151444</v>
      </c>
      <c r="M780" s="14" t="n">
        <v>2.685</v>
      </c>
      <c r="N780" s="14" t="n">
        <v>3.008</v>
      </c>
      <c r="O780" s="14" t="n">
        <v>3.298</v>
      </c>
      <c r="P780" s="14" t="n">
        <v>3.554</v>
      </c>
      <c r="Q780" s="14" t="n">
        <v>0.75</v>
      </c>
      <c r="R780" s="14" t="n">
        <v>0.75</v>
      </c>
      <c r="S780" s="14" t="n">
        <v>6.5</v>
      </c>
    </row>
    <row r="781" customFormat="false" ht="15" hidden="false" customHeight="false" outlineLevel="0" collapsed="false">
      <c r="A781" s="13" t="n">
        <v>43419</v>
      </c>
      <c r="B781" s="14" t="n">
        <v>2.28</v>
      </c>
      <c r="C781" s="14" t="n">
        <v>2.25</v>
      </c>
      <c r="D781" s="14" t="n">
        <v>2</v>
      </c>
      <c r="F781" s="14" t="n">
        <v>-0.4</v>
      </c>
      <c r="G781" s="14" t="n">
        <v>0.75</v>
      </c>
      <c r="H781" s="14" t="n">
        <v>0.7019</v>
      </c>
      <c r="I781" s="14" t="n">
        <v>0.701100506933337</v>
      </c>
      <c r="J781" s="14" t="n">
        <v>0.704958338068524</v>
      </c>
      <c r="K781" s="14" t="n">
        <v>0.719720943663365</v>
      </c>
      <c r="L781" s="14" t="n">
        <v>0.761371713233522</v>
      </c>
      <c r="M781" s="14" t="n">
        <v>2.685</v>
      </c>
      <c r="N781" s="14" t="n">
        <v>3.01</v>
      </c>
      <c r="O781" s="14" t="n">
        <v>3.296</v>
      </c>
      <c r="P781" s="14" t="n">
        <v>3.55</v>
      </c>
      <c r="Q781" s="14" t="n">
        <v>0.75</v>
      </c>
      <c r="R781" s="14" t="n">
        <v>0.74</v>
      </c>
      <c r="S781" s="14" t="n">
        <v>6.5</v>
      </c>
    </row>
    <row r="782" customFormat="false" ht="15" hidden="false" customHeight="false" outlineLevel="0" collapsed="false">
      <c r="A782" s="13" t="n">
        <v>43420</v>
      </c>
      <c r="B782" s="14" t="n">
        <v>2.26</v>
      </c>
      <c r="C782" s="14" t="n">
        <v>2.25</v>
      </c>
      <c r="D782" s="14" t="n">
        <v>2</v>
      </c>
      <c r="F782" s="14" t="n">
        <v>-0.4</v>
      </c>
      <c r="G782" s="14" t="n">
        <v>0.75</v>
      </c>
      <c r="H782" s="14" t="n">
        <v>0.7007</v>
      </c>
      <c r="I782" s="14" t="n">
        <v>0.699814534018037</v>
      </c>
      <c r="J782" s="14" t="n">
        <v>0.708192924825887</v>
      </c>
      <c r="K782" s="14" t="n">
        <v>0.73036223904954</v>
      </c>
      <c r="L782" s="14" t="n">
        <v>0.784123571285406</v>
      </c>
      <c r="M782" s="14" t="n">
        <v>2.684</v>
      </c>
      <c r="N782" s="14" t="n">
        <v>3.023</v>
      </c>
      <c r="O782" s="14" t="n">
        <v>3.297</v>
      </c>
      <c r="P782" s="14" t="n">
        <v>3.553</v>
      </c>
      <c r="Q782" s="14" t="n">
        <v>0.75</v>
      </c>
      <c r="R782" s="14" t="n">
        <v>0.75</v>
      </c>
      <c r="S782" s="14" t="n">
        <v>6.5</v>
      </c>
    </row>
    <row r="783" customFormat="false" ht="15" hidden="false" customHeight="false" outlineLevel="0" collapsed="false">
      <c r="A783" s="13" t="n">
        <v>43423</v>
      </c>
      <c r="B783" s="14" t="n">
        <v>2.24</v>
      </c>
      <c r="C783" s="14" t="n">
        <v>2.25</v>
      </c>
      <c r="D783" s="14" t="n">
        <v>2</v>
      </c>
      <c r="F783" s="14" t="n">
        <v>-0.4</v>
      </c>
      <c r="G783" s="14" t="n">
        <v>0.75</v>
      </c>
      <c r="H783" s="14" t="n">
        <v>0.7006</v>
      </c>
      <c r="I783" s="14" t="n">
        <v>0.698955369599215</v>
      </c>
      <c r="J783" s="14" t="n">
        <v>0.704838950221878</v>
      </c>
      <c r="K783" s="14" t="n">
        <v>0.726686711794273</v>
      </c>
      <c r="L783" s="14" t="n">
        <v>0.771263507062762</v>
      </c>
      <c r="M783" s="14" t="n">
        <v>2.686</v>
      </c>
      <c r="N783" s="14" t="n">
        <v>3.035</v>
      </c>
      <c r="O783" s="14" t="n">
        <v>3.293</v>
      </c>
      <c r="P783" s="14" t="n">
        <v>3.551</v>
      </c>
      <c r="Q783" s="14" t="n">
        <v>0.75</v>
      </c>
      <c r="R783" s="14" t="n">
        <v>0.76</v>
      </c>
      <c r="S783" s="14" t="n">
        <v>6.5</v>
      </c>
    </row>
    <row r="784" customFormat="false" ht="15" hidden="false" customHeight="false" outlineLevel="0" collapsed="false">
      <c r="A784" s="13" t="n">
        <v>43424</v>
      </c>
      <c r="B784" s="14" t="n">
        <v>2.2</v>
      </c>
      <c r="C784" s="14" t="n">
        <v>2.25</v>
      </c>
      <c r="D784" s="14" t="n">
        <v>2</v>
      </c>
      <c r="F784" s="14" t="n">
        <v>-0.4</v>
      </c>
      <c r="G784" s="14" t="n">
        <v>0.75</v>
      </c>
      <c r="H784" s="14" t="n">
        <v>0.7013</v>
      </c>
      <c r="I784" s="14" t="n">
        <v>0.699343886979333</v>
      </c>
      <c r="J784" s="14" t="n">
        <v>0.705688527282473</v>
      </c>
      <c r="K784" s="14" t="n">
        <v>0.728541337427253</v>
      </c>
      <c r="L784" s="14" t="n">
        <v>0.777351856424094</v>
      </c>
      <c r="M784" s="14" t="n">
        <v>2.696</v>
      </c>
      <c r="N784" s="14" t="n">
        <v>3.053</v>
      </c>
      <c r="O784" s="14" t="n">
        <v>3.294</v>
      </c>
      <c r="P784" s="14" t="n">
        <v>3.543</v>
      </c>
      <c r="Q784" s="14" t="n">
        <v>0.75</v>
      </c>
      <c r="R784" s="14" t="n">
        <v>0.75</v>
      </c>
      <c r="S784" s="14" t="n">
        <v>6.5</v>
      </c>
    </row>
    <row r="785" customFormat="false" ht="15" hidden="false" customHeight="false" outlineLevel="0" collapsed="false">
      <c r="A785" s="13" t="n">
        <v>43425</v>
      </c>
      <c r="B785" s="14" t="n">
        <v>2.18</v>
      </c>
      <c r="C785" s="14" t="n">
        <v>2.25</v>
      </c>
      <c r="D785" s="14" t="n">
        <v>2</v>
      </c>
      <c r="F785" s="14" t="n">
        <v>-0.4</v>
      </c>
      <c r="G785" s="14" t="n">
        <v>0.75</v>
      </c>
      <c r="H785" s="14" t="n">
        <v>0.7028</v>
      </c>
      <c r="I785" s="14" t="n">
        <v>0.699714497932314</v>
      </c>
      <c r="J785" s="14" t="n">
        <v>0.707505435695534</v>
      </c>
      <c r="K785" s="14" t="n">
        <v>0.731949410179971</v>
      </c>
      <c r="L785" s="14" t="n">
        <v>0.782562591828701</v>
      </c>
      <c r="M785" s="14" t="n">
        <v>2.697</v>
      </c>
      <c r="N785" s="14" t="n">
        <v>3.06</v>
      </c>
      <c r="O785" s="14" t="n">
        <v>3.287</v>
      </c>
      <c r="P785" s="14" t="n">
        <v>3.544</v>
      </c>
      <c r="Q785" s="14" t="n">
        <v>0.75</v>
      </c>
      <c r="R785" s="14" t="n">
        <v>0.74</v>
      </c>
      <c r="S785" s="14" t="n">
        <v>6.5</v>
      </c>
    </row>
    <row r="786" customFormat="false" ht="15" hidden="false" customHeight="false" outlineLevel="0" collapsed="false">
      <c r="A786" s="13" t="n">
        <v>43426</v>
      </c>
      <c r="C786" s="14" t="n">
        <v>2.25</v>
      </c>
      <c r="D786" s="14" t="n">
        <v>2</v>
      </c>
      <c r="F786" s="14" t="n">
        <v>-0.4</v>
      </c>
      <c r="G786" s="14" t="n">
        <v>0.75</v>
      </c>
      <c r="H786" s="14" t="n">
        <v>0.7031</v>
      </c>
      <c r="I786" s="14" t="n">
        <v>0.700173642551921</v>
      </c>
      <c r="J786" s="14" t="n">
        <v>0.708628557478011</v>
      </c>
      <c r="K786" s="14" t="n">
        <v>0.735776445779558</v>
      </c>
      <c r="L786" s="14" t="n">
        <v>0.795110147825478</v>
      </c>
      <c r="M786" s="14" t="n">
        <v>2.697</v>
      </c>
      <c r="N786" s="14" t="n">
        <v>3.064</v>
      </c>
      <c r="O786" s="14" t="n">
        <v>3.281</v>
      </c>
      <c r="P786" s="14" t="n">
        <v>3.535</v>
      </c>
      <c r="Q786" s="14" t="n">
        <v>0.75</v>
      </c>
      <c r="R786" s="14" t="n">
        <v>0.76</v>
      </c>
      <c r="S786" s="14" t="n">
        <v>6.5</v>
      </c>
    </row>
    <row r="787" customFormat="false" ht="15" hidden="false" customHeight="false" outlineLevel="0" collapsed="false">
      <c r="A787" s="13" t="n">
        <v>43427</v>
      </c>
      <c r="B787" s="14" t="n">
        <v>2.23</v>
      </c>
      <c r="C787" s="14" t="n">
        <v>2.25</v>
      </c>
      <c r="D787" s="14" t="n">
        <v>2</v>
      </c>
      <c r="F787" s="14" t="n">
        <v>-0.4</v>
      </c>
      <c r="G787" s="14" t="n">
        <v>0.75</v>
      </c>
      <c r="H787" s="14" t="n">
        <v>0.7032</v>
      </c>
      <c r="I787" s="14" t="n">
        <v>0.698267963591961</v>
      </c>
      <c r="J787" s="14" t="n">
        <v>0.705696707675529</v>
      </c>
      <c r="K787" s="14" t="n">
        <v>0.730472751076689</v>
      </c>
      <c r="L787" s="14" t="n">
        <v>0.781819345856075</v>
      </c>
      <c r="M787" s="14" t="n">
        <v>2.691</v>
      </c>
      <c r="N787" s="14" t="n">
        <v>3.073</v>
      </c>
      <c r="O787" s="14" t="n">
        <v>3.275</v>
      </c>
      <c r="P787" s="14" t="n">
        <v>3.529</v>
      </c>
      <c r="Q787" s="14" t="n">
        <v>0.75</v>
      </c>
      <c r="R787" s="14" t="n">
        <v>0.75</v>
      </c>
      <c r="S787" s="14" t="n">
        <v>6.5</v>
      </c>
    </row>
    <row r="788" customFormat="false" ht="15" hidden="false" customHeight="false" outlineLevel="0" collapsed="false">
      <c r="A788" s="13" t="n">
        <v>43430</v>
      </c>
      <c r="B788" s="14" t="n">
        <v>2.2</v>
      </c>
      <c r="C788" s="14" t="n">
        <v>2.25</v>
      </c>
      <c r="D788" s="14" t="n">
        <v>2</v>
      </c>
      <c r="F788" s="14" t="n">
        <v>-0.4</v>
      </c>
      <c r="G788" s="14" t="n">
        <v>0.75</v>
      </c>
      <c r="H788" s="14" t="n">
        <v>0.701</v>
      </c>
      <c r="I788" s="14" t="n">
        <v>0.700731772039681</v>
      </c>
      <c r="J788" s="14" t="n">
        <v>0.710477580969487</v>
      </c>
      <c r="K788" s="14" t="n">
        <v>0.738612829938609</v>
      </c>
      <c r="L788" s="14" t="n">
        <v>0.797100545660786</v>
      </c>
      <c r="M788" s="14" t="n">
        <v>2.693</v>
      </c>
      <c r="N788" s="14" t="n">
        <v>3.085</v>
      </c>
      <c r="O788" s="14" t="n">
        <v>3.277</v>
      </c>
      <c r="P788" s="14" t="n">
        <v>3.525</v>
      </c>
      <c r="Q788" s="14" t="n">
        <v>0.75</v>
      </c>
      <c r="R788" s="14" t="n">
        <v>0.74</v>
      </c>
      <c r="S788" s="14" t="n">
        <v>6.5</v>
      </c>
    </row>
    <row r="789" customFormat="false" ht="15" hidden="false" customHeight="false" outlineLevel="0" collapsed="false">
      <c r="A789" s="13" t="n">
        <v>43431</v>
      </c>
      <c r="B789" s="14" t="n">
        <v>2.19</v>
      </c>
      <c r="C789" s="14" t="n">
        <v>2.25</v>
      </c>
      <c r="D789" s="14" t="n">
        <v>2</v>
      </c>
      <c r="F789" s="14" t="n">
        <v>-0.4</v>
      </c>
      <c r="G789" s="14" t="n">
        <v>0.75</v>
      </c>
      <c r="H789" s="14" t="n">
        <v>0.7018</v>
      </c>
      <c r="I789" s="14" t="n">
        <v>0.697167697471508</v>
      </c>
      <c r="J789" s="14" t="n">
        <v>0.704728635223103</v>
      </c>
      <c r="K789" s="14" t="n">
        <v>0.73247262091242</v>
      </c>
      <c r="L789" s="14" t="n">
        <v>0.786563270896419</v>
      </c>
      <c r="M789" s="14" t="n">
        <v>2.697</v>
      </c>
      <c r="N789" s="14" t="n">
        <v>3.096</v>
      </c>
      <c r="O789" s="14" t="n">
        <v>3.278</v>
      </c>
      <c r="P789" s="14" t="n">
        <v>3.527</v>
      </c>
      <c r="Q789" s="14" t="n">
        <v>0.75</v>
      </c>
      <c r="R789" s="14" t="n">
        <v>0.75</v>
      </c>
      <c r="S789" s="14" t="n">
        <v>6.5</v>
      </c>
    </row>
    <row r="790" customFormat="false" ht="15" hidden="false" customHeight="false" outlineLevel="0" collapsed="false">
      <c r="A790" s="13" t="n">
        <v>43432</v>
      </c>
      <c r="B790" s="14" t="n">
        <v>2.19</v>
      </c>
      <c r="C790" s="14" t="n">
        <v>2.25</v>
      </c>
      <c r="D790" s="14" t="n">
        <v>2</v>
      </c>
      <c r="F790" s="14" t="n">
        <v>-0.4</v>
      </c>
      <c r="G790" s="14" t="n">
        <v>0.75</v>
      </c>
      <c r="H790" s="14" t="n">
        <v>0.701</v>
      </c>
      <c r="I790" s="14" t="n">
        <v>0.701795138767841</v>
      </c>
      <c r="J790" s="14" t="n">
        <v>0.707850283238171</v>
      </c>
      <c r="K790" s="14" t="n">
        <v>0.730995061042513</v>
      </c>
      <c r="L790" s="14" t="n">
        <v>0.787080149802999</v>
      </c>
      <c r="M790" s="14" t="n">
        <v>2.699</v>
      </c>
      <c r="N790" s="14" t="n">
        <v>3.104</v>
      </c>
      <c r="O790" s="14" t="n">
        <v>3.277</v>
      </c>
      <c r="P790" s="14" t="n">
        <v>3.528</v>
      </c>
      <c r="Q790" s="14" t="n">
        <v>0.75</v>
      </c>
      <c r="R790" s="14" t="n">
        <v>0.74</v>
      </c>
      <c r="S790" s="14" t="n">
        <v>6.5</v>
      </c>
    </row>
    <row r="791" customFormat="false" ht="15" hidden="false" customHeight="false" outlineLevel="0" collapsed="false">
      <c r="A791" s="13" t="n">
        <v>43433</v>
      </c>
      <c r="B791" s="14" t="n">
        <v>2.24</v>
      </c>
      <c r="C791" s="14" t="n">
        <v>2.25</v>
      </c>
      <c r="D791" s="14" t="n">
        <v>2</v>
      </c>
      <c r="F791" s="14" t="n">
        <v>-0.4</v>
      </c>
      <c r="G791" s="14" t="n">
        <v>0.75</v>
      </c>
      <c r="H791" s="14" t="n">
        <v>0.7017</v>
      </c>
      <c r="I791" s="14" t="n">
        <v>0.70199515083098</v>
      </c>
      <c r="J791" s="14" t="n">
        <v>0.712092304412993</v>
      </c>
      <c r="K791" s="14" t="n">
        <v>0.738981902015368</v>
      </c>
      <c r="L791" s="14" t="n">
        <v>0.79601212218123</v>
      </c>
      <c r="M791" s="14" t="n">
        <v>2.6969</v>
      </c>
      <c r="N791" s="14" t="n">
        <v>3.1094</v>
      </c>
      <c r="O791" s="14" t="n">
        <v>3.2767</v>
      </c>
      <c r="P791" s="14" t="n">
        <v>3.5278</v>
      </c>
      <c r="Q791" s="14" t="n">
        <v>0.75</v>
      </c>
      <c r="R791" s="14" t="n">
        <v>0.75</v>
      </c>
      <c r="S791" s="14" t="n">
        <v>6.5</v>
      </c>
    </row>
    <row r="792" customFormat="false" ht="15" hidden="false" customHeight="false" outlineLevel="0" collapsed="false">
      <c r="A792" s="13" t="n">
        <v>43434</v>
      </c>
      <c r="B792" s="14" t="n">
        <v>2.28</v>
      </c>
      <c r="C792" s="14" t="n">
        <v>2.25</v>
      </c>
      <c r="D792" s="14" t="n">
        <v>2</v>
      </c>
      <c r="F792" s="14" t="n">
        <v>-0.4</v>
      </c>
      <c r="G792" s="14" t="n">
        <v>0.75</v>
      </c>
      <c r="H792" s="14" t="n">
        <v>0.7002</v>
      </c>
      <c r="I792" s="14" t="n">
        <v>0.698897773263513</v>
      </c>
      <c r="J792" s="14" t="n">
        <v>0.706057356395191</v>
      </c>
      <c r="K792" s="14" t="n">
        <v>0.732871736602136</v>
      </c>
      <c r="L792" s="14" t="n">
        <v>0.794689019609449</v>
      </c>
      <c r="M792" s="14" t="n">
        <v>2.701</v>
      </c>
      <c r="N792" s="14" t="n">
        <v>3.113</v>
      </c>
      <c r="O792" s="14" t="n">
        <v>3.279</v>
      </c>
      <c r="P792" s="14" t="n">
        <v>3.527</v>
      </c>
      <c r="Q792" s="14" t="n">
        <v>0.75</v>
      </c>
      <c r="R792" s="14" t="n">
        <v>0.74</v>
      </c>
      <c r="S792" s="14" t="n">
        <v>6.5</v>
      </c>
    </row>
    <row r="793" customFormat="false" ht="15" hidden="false" customHeight="false" outlineLevel="0" collapsed="false">
      <c r="A793" s="13" t="n">
        <v>43437</v>
      </c>
      <c r="B793" s="14" t="n">
        <v>2.23</v>
      </c>
      <c r="C793" s="14" t="n">
        <v>2.25</v>
      </c>
      <c r="D793" s="14" t="n">
        <v>2</v>
      </c>
      <c r="F793" s="14" t="n">
        <v>-0.4</v>
      </c>
      <c r="G793" s="14" t="n">
        <v>0.75</v>
      </c>
      <c r="H793" s="14" t="n">
        <v>0.7019</v>
      </c>
      <c r="I793" s="14" t="n">
        <v>0.693339641261892</v>
      </c>
      <c r="J793" s="14" t="n">
        <v>0.704976805467042</v>
      </c>
      <c r="K793" s="14" t="n">
        <v>0.731398689022125</v>
      </c>
      <c r="L793" s="14" t="n">
        <v>0.782994539834093</v>
      </c>
      <c r="M793" s="14" t="n">
        <v>2.714</v>
      </c>
      <c r="N793" s="14" t="n">
        <v>3.117</v>
      </c>
      <c r="O793" s="14" t="n">
        <v>3.275</v>
      </c>
      <c r="P793" s="14" t="n">
        <v>3.527</v>
      </c>
      <c r="Q793" s="14" t="n">
        <v>0.75</v>
      </c>
      <c r="R793" s="14" t="n">
        <v>0.74</v>
      </c>
      <c r="S793" s="14" t="n">
        <v>6.5</v>
      </c>
    </row>
    <row r="794" customFormat="false" ht="15" hidden="false" customHeight="false" outlineLevel="0" collapsed="false">
      <c r="A794" s="13" t="n">
        <v>43438</v>
      </c>
      <c r="B794" s="14" t="n">
        <v>2.27</v>
      </c>
      <c r="C794" s="14" t="n">
        <v>2.25</v>
      </c>
      <c r="D794" s="14" t="n">
        <v>2</v>
      </c>
      <c r="F794" s="14" t="n">
        <v>-0.4</v>
      </c>
      <c r="G794" s="14" t="n">
        <v>0.75</v>
      </c>
      <c r="H794" s="14" t="n">
        <v>0.7014</v>
      </c>
      <c r="I794" s="14" t="n">
        <v>0.688395942723118</v>
      </c>
      <c r="J794" s="14" t="n">
        <v>0.697910077781273</v>
      </c>
      <c r="K794" s="14" t="n">
        <v>0.723071256100255</v>
      </c>
      <c r="L794" s="14" t="n">
        <v>0.773620585687563</v>
      </c>
      <c r="M794" s="14" t="n">
        <v>2.745</v>
      </c>
      <c r="N794" s="14" t="n">
        <v>3.126</v>
      </c>
      <c r="O794" s="14" t="n">
        <v>3.275</v>
      </c>
      <c r="P794" s="14" t="n">
        <v>3.527</v>
      </c>
      <c r="Q794" s="14" t="n">
        <v>0.75</v>
      </c>
      <c r="R794" s="14" t="n">
        <v>0.75</v>
      </c>
      <c r="S794" s="14" t="n">
        <v>6.5</v>
      </c>
    </row>
    <row r="795" customFormat="false" ht="15" hidden="false" customHeight="false" outlineLevel="0" collapsed="false">
      <c r="A795" s="13" t="n">
        <v>43439</v>
      </c>
      <c r="C795" s="14" t="n">
        <v>2.25</v>
      </c>
      <c r="D795" s="14" t="n">
        <v>2</v>
      </c>
      <c r="F795" s="14" t="n">
        <v>-0.4</v>
      </c>
      <c r="G795" s="14" t="n">
        <v>0.75</v>
      </c>
      <c r="H795" s="14" t="n">
        <v>0.701</v>
      </c>
      <c r="I795" s="14" t="n">
        <v>0.694875681508538</v>
      </c>
      <c r="J795" s="14" t="n">
        <v>0.706924822232239</v>
      </c>
      <c r="K795" s="14" t="n">
        <v>0.734359771058615</v>
      </c>
      <c r="L795" s="14" t="n">
        <v>0.791349574805766</v>
      </c>
      <c r="M795" s="14" t="n">
        <v>2.782</v>
      </c>
      <c r="N795" s="14" t="n">
        <v>3.133</v>
      </c>
      <c r="O795" s="14" t="n">
        <v>3.276</v>
      </c>
      <c r="P795" s="14" t="n">
        <v>3.526</v>
      </c>
      <c r="Q795" s="14" t="n">
        <v>0.75</v>
      </c>
      <c r="R795" s="14" t="n">
        <v>0.74</v>
      </c>
      <c r="S795" s="14" t="n">
        <v>6.5</v>
      </c>
    </row>
    <row r="796" customFormat="false" ht="15" hidden="false" customHeight="false" outlineLevel="0" collapsed="false">
      <c r="A796" s="13" t="n">
        <v>43440</v>
      </c>
      <c r="B796" s="14" t="n">
        <v>2.34</v>
      </c>
      <c r="C796" s="14" t="n">
        <v>2.25</v>
      </c>
      <c r="D796" s="14" t="n">
        <v>2</v>
      </c>
      <c r="F796" s="14" t="n">
        <v>-0.4</v>
      </c>
      <c r="G796" s="14" t="n">
        <v>0.75</v>
      </c>
      <c r="H796" s="14" t="n">
        <v>0.7021</v>
      </c>
      <c r="I796" s="14" t="n">
        <v>0.693757945654186</v>
      </c>
      <c r="J796" s="14" t="n">
        <v>0.706029002923415</v>
      </c>
      <c r="K796" s="14" t="n">
        <v>0.733135584735922</v>
      </c>
      <c r="L796" s="14" t="n">
        <v>0.78814797871693</v>
      </c>
      <c r="M796" s="14" t="n">
        <v>2.81</v>
      </c>
      <c r="N796" s="14" t="n">
        <v>3.133</v>
      </c>
      <c r="O796" s="14" t="n">
        <v>3.275</v>
      </c>
      <c r="P796" s="14" t="n">
        <v>3.525</v>
      </c>
      <c r="Q796" s="14" t="n">
        <v>0.75</v>
      </c>
      <c r="R796" s="14" t="n">
        <v>0.74</v>
      </c>
      <c r="S796" s="14" t="n">
        <v>6.5</v>
      </c>
    </row>
    <row r="797" customFormat="false" ht="15" hidden="false" customHeight="false" outlineLevel="0" collapsed="false">
      <c r="A797" s="13" t="n">
        <v>43441</v>
      </c>
      <c r="B797" s="14" t="n">
        <v>2.3</v>
      </c>
      <c r="C797" s="14" t="n">
        <v>2.25</v>
      </c>
      <c r="D797" s="14" t="n">
        <v>2</v>
      </c>
      <c r="F797" s="14" t="n">
        <v>-0.4</v>
      </c>
      <c r="G797" s="14" t="n">
        <v>0.75</v>
      </c>
      <c r="H797" s="14" t="n">
        <v>0.702</v>
      </c>
      <c r="I797" s="14" t="n">
        <v>0.691826727707649</v>
      </c>
      <c r="J797" s="14" t="n">
        <v>0.703616927273195</v>
      </c>
      <c r="K797" s="14" t="n">
        <v>0.728537643650555</v>
      </c>
      <c r="L797" s="14" t="n">
        <v>0.779025502752115</v>
      </c>
      <c r="M797" s="14" t="n">
        <v>2.828</v>
      </c>
      <c r="N797" s="14" t="n">
        <v>3.136</v>
      </c>
      <c r="O797" s="14" t="n">
        <v>3.277</v>
      </c>
      <c r="P797" s="14" t="n">
        <v>3.525</v>
      </c>
      <c r="Q797" s="14" t="n">
        <v>0.75</v>
      </c>
      <c r="R797" s="14" t="n">
        <v>0.74</v>
      </c>
      <c r="S797" s="14" t="n">
        <v>6.5</v>
      </c>
    </row>
    <row r="798" customFormat="false" ht="15" hidden="false" customHeight="false" outlineLevel="0" collapsed="false">
      <c r="A798" s="13" t="n">
        <v>43444</v>
      </c>
      <c r="B798" s="14" t="n">
        <v>2.22</v>
      </c>
      <c r="C798" s="14" t="n">
        <v>2.25</v>
      </c>
      <c r="D798" s="14" t="n">
        <v>2</v>
      </c>
      <c r="F798" s="14" t="n">
        <v>-0.4</v>
      </c>
      <c r="G798" s="14" t="n">
        <v>0.75</v>
      </c>
      <c r="H798" s="14" t="n">
        <v>0.7028</v>
      </c>
      <c r="I798" s="14" t="n">
        <v>0.699724200532675</v>
      </c>
      <c r="J798" s="14" t="n">
        <v>0.700010467567533</v>
      </c>
      <c r="K798" s="14" t="n">
        <v>0.710972876449682</v>
      </c>
      <c r="L798" s="14" t="n">
        <v>0.75350918226598</v>
      </c>
      <c r="M798" s="14" t="n">
        <v>2.838</v>
      </c>
      <c r="N798" s="14" t="n">
        <v>3.142</v>
      </c>
      <c r="O798" s="14" t="n">
        <v>3.277</v>
      </c>
      <c r="P798" s="14" t="n">
        <v>3.526</v>
      </c>
      <c r="Q798" s="14" t="n">
        <v>0.75</v>
      </c>
      <c r="R798" s="14" t="n">
        <v>0.75</v>
      </c>
      <c r="S798" s="14" t="n">
        <v>6.5</v>
      </c>
    </row>
    <row r="799" customFormat="false" ht="15" hidden="false" customHeight="false" outlineLevel="0" collapsed="false">
      <c r="A799" s="13" t="n">
        <v>43445</v>
      </c>
      <c r="B799" s="14" t="n">
        <v>2.19</v>
      </c>
      <c r="C799" s="14" t="n">
        <v>2.25</v>
      </c>
      <c r="D799" s="14" t="n">
        <v>2</v>
      </c>
      <c r="F799" s="14" t="n">
        <v>-0.4</v>
      </c>
      <c r="G799" s="14" t="n">
        <v>0.75</v>
      </c>
      <c r="H799" s="14" t="n">
        <v>0.7027</v>
      </c>
      <c r="I799" s="14" t="n">
        <v>0.683712683129355</v>
      </c>
      <c r="J799" s="14" t="n">
        <v>0.698353910197438</v>
      </c>
      <c r="K799" s="14" t="n">
        <v>0.71466259282609</v>
      </c>
      <c r="L799" s="14" t="n">
        <v>0.750177275984782</v>
      </c>
      <c r="M799" s="14" t="n">
        <v>2.848</v>
      </c>
      <c r="N799" s="14" t="n">
        <v>3.145</v>
      </c>
      <c r="O799" s="14" t="n">
        <v>3.274</v>
      </c>
      <c r="P799" s="14" t="n">
        <v>3.521</v>
      </c>
      <c r="Q799" s="14" t="n">
        <v>0.75</v>
      </c>
      <c r="R799" s="14" t="n">
        <v>0.74</v>
      </c>
      <c r="S799" s="14" t="n">
        <v>6.5</v>
      </c>
    </row>
    <row r="800" customFormat="false" ht="15" hidden="false" customHeight="false" outlineLevel="0" collapsed="false">
      <c r="A800" s="13" t="n">
        <v>43446</v>
      </c>
      <c r="B800" s="14" t="n">
        <v>2.2</v>
      </c>
      <c r="C800" s="14" t="n">
        <v>2.25</v>
      </c>
      <c r="D800" s="14" t="n">
        <v>2</v>
      </c>
      <c r="F800" s="14" t="n">
        <v>-0.4</v>
      </c>
      <c r="G800" s="14" t="n">
        <v>0.75</v>
      </c>
      <c r="H800" s="14" t="n">
        <v>0.7017</v>
      </c>
      <c r="I800" s="14" t="n">
        <v>0.690226511713829</v>
      </c>
      <c r="J800" s="14" t="n">
        <v>0.708231856057359</v>
      </c>
      <c r="K800" s="14" t="n">
        <v>0.728673414771785</v>
      </c>
      <c r="L800" s="14" t="n">
        <v>0.779591383588195</v>
      </c>
      <c r="M800" s="14" t="n">
        <v>2.874</v>
      </c>
      <c r="N800" s="14" t="n">
        <v>3.147</v>
      </c>
      <c r="O800" s="14" t="n">
        <v>3.274</v>
      </c>
      <c r="P800" s="14" t="n">
        <v>3.522</v>
      </c>
      <c r="Q800" s="14" t="n">
        <v>0.75</v>
      </c>
      <c r="R800" s="14" t="n">
        <v>0.75</v>
      </c>
      <c r="S800" s="14" t="n">
        <v>6.5</v>
      </c>
    </row>
    <row r="801" customFormat="false" ht="15" hidden="false" customHeight="false" outlineLevel="0" collapsed="false">
      <c r="A801" s="13" t="n">
        <v>43447</v>
      </c>
      <c r="B801" s="14" t="n">
        <v>2.21</v>
      </c>
      <c r="C801" s="14" t="n">
        <v>2.25</v>
      </c>
      <c r="D801" s="14" t="n">
        <v>2</v>
      </c>
      <c r="F801" s="14" t="n">
        <v>-0.4</v>
      </c>
      <c r="G801" s="14" t="n">
        <v>0.75</v>
      </c>
      <c r="H801" s="14" t="n">
        <v>0.701</v>
      </c>
      <c r="I801" s="14" t="n">
        <v>0.689793005381423</v>
      </c>
      <c r="J801" s="14" t="n">
        <v>0.706115928174546</v>
      </c>
      <c r="K801" s="14" t="n">
        <v>0.731619451025771</v>
      </c>
      <c r="L801" s="14" t="n">
        <v>0.791191735915316</v>
      </c>
      <c r="M801" s="14" t="n">
        <v>2.9</v>
      </c>
      <c r="N801" s="14" t="n">
        <v>3.149</v>
      </c>
      <c r="O801" s="14" t="n">
        <v>3.273</v>
      </c>
      <c r="P801" s="14" t="n">
        <v>3.52</v>
      </c>
      <c r="Q801" s="14" t="n">
        <v>0.75</v>
      </c>
      <c r="R801" s="14" t="n">
        <v>0.75</v>
      </c>
      <c r="S801" s="14" t="n">
        <v>6.5</v>
      </c>
    </row>
    <row r="802" customFormat="false" ht="15" hidden="false" customHeight="false" outlineLevel="0" collapsed="false">
      <c r="A802" s="13" t="n">
        <v>43448</v>
      </c>
      <c r="B802" s="14" t="n">
        <v>2.21</v>
      </c>
      <c r="C802" s="14" t="n">
        <v>2.25</v>
      </c>
      <c r="D802" s="14" t="n">
        <v>2</v>
      </c>
      <c r="F802" s="14" t="n">
        <v>-0.4</v>
      </c>
      <c r="G802" s="14" t="n">
        <v>0.75</v>
      </c>
      <c r="H802" s="14" t="n">
        <v>0.7028</v>
      </c>
      <c r="I802" s="14" t="n">
        <v>0.698214094900338</v>
      </c>
      <c r="J802" s="14" t="n">
        <v>0.703706770564382</v>
      </c>
      <c r="K802" s="14" t="n">
        <v>0.723041891204414</v>
      </c>
      <c r="L802" s="14" t="n">
        <v>0.781071733378926</v>
      </c>
      <c r="M802" s="14" t="n">
        <v>2.966</v>
      </c>
      <c r="N802" s="14" t="n">
        <v>3.156</v>
      </c>
      <c r="O802" s="14" t="n">
        <v>3.274</v>
      </c>
      <c r="P802" s="14" t="n">
        <v>3.52</v>
      </c>
      <c r="Q802" s="14" t="n">
        <v>0.75</v>
      </c>
      <c r="R802" s="14" t="n">
        <v>0.74</v>
      </c>
      <c r="S802" s="14" t="n">
        <v>6.5</v>
      </c>
    </row>
    <row r="803" customFormat="false" ht="15" hidden="false" customHeight="false" outlineLevel="0" collapsed="false">
      <c r="A803" s="13" t="n">
        <v>43451</v>
      </c>
      <c r="B803" s="14" t="n">
        <v>2.31</v>
      </c>
      <c r="C803" s="14" t="n">
        <v>2.25</v>
      </c>
      <c r="D803" s="14" t="n">
        <v>2</v>
      </c>
      <c r="F803" s="14" t="n">
        <v>-0.4</v>
      </c>
      <c r="G803" s="14" t="n">
        <v>0.75</v>
      </c>
      <c r="H803" s="14" t="n">
        <v>0.7003</v>
      </c>
      <c r="I803" s="14" t="n">
        <v>0.703306474265358</v>
      </c>
      <c r="J803" s="14" t="n">
        <v>0.713239365947972</v>
      </c>
      <c r="K803" s="14" t="n">
        <v>0.733590397513131</v>
      </c>
      <c r="L803" s="14" t="n">
        <v>0.787048428200063</v>
      </c>
      <c r="M803" s="14" t="n">
        <v>3.002</v>
      </c>
      <c r="N803" s="14" t="n">
        <v>3.164</v>
      </c>
      <c r="O803" s="14" t="n">
        <v>3.275</v>
      </c>
      <c r="P803" s="14" t="n">
        <v>3.52</v>
      </c>
      <c r="Q803" s="14" t="n">
        <v>0.75</v>
      </c>
      <c r="R803" s="14" t="n">
        <v>0.74</v>
      </c>
      <c r="S803" s="14" t="n">
        <v>6.5</v>
      </c>
    </row>
    <row r="804" customFormat="false" ht="15" hidden="false" customHeight="false" outlineLevel="0" collapsed="false">
      <c r="A804" s="13" t="n">
        <v>43452</v>
      </c>
      <c r="B804" s="14" t="n">
        <v>2.32</v>
      </c>
      <c r="C804" s="14" t="n">
        <v>2.25</v>
      </c>
      <c r="D804" s="14" t="n">
        <v>2</v>
      </c>
      <c r="F804" s="14" t="n">
        <v>-0.4</v>
      </c>
      <c r="G804" s="14" t="n">
        <v>0.75</v>
      </c>
      <c r="H804" s="14" t="n">
        <v>0.7019</v>
      </c>
      <c r="I804" s="14" t="n">
        <v>0.699337712963898</v>
      </c>
      <c r="J804" s="14" t="n">
        <v>0.706284687191789</v>
      </c>
      <c r="K804" s="14" t="n">
        <v>0.728068158716991</v>
      </c>
      <c r="L804" s="14" t="n">
        <v>0.786032341937986</v>
      </c>
      <c r="M804" s="14" t="n">
        <v>3.034</v>
      </c>
      <c r="N804" s="14" t="n">
        <v>3.174</v>
      </c>
      <c r="O804" s="14" t="n">
        <v>3.278</v>
      </c>
      <c r="P804" s="14" t="n">
        <v>3.522</v>
      </c>
      <c r="Q804" s="14" t="n">
        <v>0.75</v>
      </c>
      <c r="R804" s="14" t="n">
        <v>0.75</v>
      </c>
      <c r="S804" s="14" t="n">
        <v>6.5</v>
      </c>
    </row>
    <row r="805" customFormat="false" ht="15" hidden="false" customHeight="false" outlineLevel="0" collapsed="false">
      <c r="A805" s="13" t="n">
        <v>43453</v>
      </c>
      <c r="B805" s="14" t="n">
        <v>2.3</v>
      </c>
      <c r="C805" s="14" t="n">
        <v>2.25</v>
      </c>
      <c r="D805" s="14" t="n">
        <v>2</v>
      </c>
      <c r="F805" s="14" t="n">
        <v>-0.4</v>
      </c>
      <c r="G805" s="14" t="n">
        <v>0.75</v>
      </c>
      <c r="H805" s="14" t="n">
        <v>0.7039</v>
      </c>
      <c r="I805" s="14" t="n">
        <v>0.69956280342725</v>
      </c>
      <c r="J805" s="14" t="n">
        <v>0.705685816267695</v>
      </c>
      <c r="K805" s="14" t="n">
        <v>0.727697055900569</v>
      </c>
      <c r="L805" s="14" t="n">
        <v>0.775705206258268</v>
      </c>
      <c r="M805" s="14" t="n">
        <v>3.047</v>
      </c>
      <c r="N805" s="14" t="n">
        <v>3.181</v>
      </c>
      <c r="O805" s="14" t="n">
        <v>3.278</v>
      </c>
      <c r="P805" s="14" t="n">
        <v>3.524</v>
      </c>
      <c r="Q805" s="14" t="n">
        <v>0.75</v>
      </c>
      <c r="R805" s="14" t="n">
        <v>0.74</v>
      </c>
      <c r="S805" s="14" t="n">
        <v>6.5</v>
      </c>
    </row>
    <row r="806" customFormat="false" ht="15" hidden="false" customHeight="false" outlineLevel="0" collapsed="false">
      <c r="A806" s="13" t="n">
        <v>43454</v>
      </c>
      <c r="B806" s="14" t="n">
        <v>2.41</v>
      </c>
      <c r="C806" s="14" t="n">
        <v>2.5</v>
      </c>
      <c r="D806" s="14" t="n">
        <v>2.25</v>
      </c>
      <c r="F806" s="14" t="n">
        <v>-0.4</v>
      </c>
      <c r="G806" s="14" t="n">
        <v>0.75</v>
      </c>
      <c r="H806" s="14" t="n">
        <v>0.7032</v>
      </c>
      <c r="I806" s="14" t="n">
        <v>0.699539796569078</v>
      </c>
      <c r="J806" s="14" t="n">
        <v>0.709556779713546</v>
      </c>
      <c r="K806" s="14" t="n">
        <v>0.727108807758628</v>
      </c>
      <c r="L806" s="14" t="n">
        <v>0.766610544258734</v>
      </c>
      <c r="M806" s="14" t="n">
        <v>3.112</v>
      </c>
      <c r="N806" s="14" t="n">
        <v>3.199</v>
      </c>
      <c r="O806" s="14" t="n">
        <v>3.282</v>
      </c>
      <c r="P806" s="14" t="n">
        <v>3.524</v>
      </c>
      <c r="Q806" s="14" t="n">
        <v>0.75</v>
      </c>
      <c r="R806" s="14" t="n">
        <v>0.74</v>
      </c>
      <c r="S806" s="14" t="n">
        <v>6.5</v>
      </c>
    </row>
    <row r="807" customFormat="false" ht="15" hidden="false" customHeight="false" outlineLevel="0" collapsed="false">
      <c r="A807" s="13" t="n">
        <v>43455</v>
      </c>
      <c r="B807" s="14" t="n">
        <v>2.4</v>
      </c>
      <c r="C807" s="14" t="n">
        <v>2.5</v>
      </c>
      <c r="D807" s="14" t="n">
        <v>2.25</v>
      </c>
      <c r="F807" s="14" t="n">
        <v>-0.4</v>
      </c>
      <c r="G807" s="14" t="n">
        <v>0.75</v>
      </c>
      <c r="H807" s="14" t="n">
        <v>0.7054</v>
      </c>
      <c r="I807" s="14" t="n">
        <v>0.699620351615613</v>
      </c>
      <c r="J807" s="14" t="n">
        <v>0.710154372064267</v>
      </c>
      <c r="K807" s="14" t="n">
        <v>0.736700614851368</v>
      </c>
      <c r="L807" s="14" t="n">
        <v>0.787184968749076</v>
      </c>
      <c r="M807" s="14" t="n">
        <v>3.154</v>
      </c>
      <c r="N807" s="14" t="n">
        <v>3.209</v>
      </c>
      <c r="O807" s="14" t="n">
        <v>3.284</v>
      </c>
      <c r="P807" s="14" t="n">
        <v>3.517</v>
      </c>
      <c r="Q807" s="14" t="n">
        <v>0.75</v>
      </c>
      <c r="R807" s="14" t="n">
        <v>0.75</v>
      </c>
      <c r="S807" s="14" t="n">
        <v>6.5</v>
      </c>
    </row>
    <row r="808" customFormat="false" ht="15" hidden="false" customHeight="false" outlineLevel="0" collapsed="false">
      <c r="A808" s="13" t="n">
        <v>43458</v>
      </c>
      <c r="B808" s="14" t="n">
        <v>2.41</v>
      </c>
      <c r="C808" s="14" t="n">
        <v>2.5</v>
      </c>
      <c r="D808" s="14" t="n">
        <v>2.25</v>
      </c>
      <c r="F808" s="14" t="n">
        <v>-0.4</v>
      </c>
      <c r="G808" s="14" t="n">
        <v>0.75</v>
      </c>
      <c r="H808" s="14" t="n">
        <v>0.7051</v>
      </c>
      <c r="I808" s="14" t="n">
        <v>0.698346303294028</v>
      </c>
      <c r="J808" s="14" t="n">
        <v>0.704976846540238</v>
      </c>
      <c r="K808" s="14" t="n">
        <v>0.724571177295067</v>
      </c>
      <c r="L808" s="14" t="n">
        <v>0.778562014914595</v>
      </c>
      <c r="M808" s="14" t="n">
        <v>3.232</v>
      </c>
      <c r="N808" s="14" t="n">
        <v>3.23</v>
      </c>
      <c r="O808" s="14" t="n">
        <v>3.286</v>
      </c>
      <c r="P808" s="14" t="n">
        <v>3.517</v>
      </c>
      <c r="S808" s="14" t="n">
        <v>6.5</v>
      </c>
    </row>
    <row r="809" customFormat="false" ht="15" hidden="false" customHeight="false" outlineLevel="0" collapsed="false">
      <c r="A809" s="13" t="n">
        <v>43459</v>
      </c>
      <c r="C809" s="14" t="n">
        <v>2.5</v>
      </c>
      <c r="D809" s="14" t="n">
        <v>2.25</v>
      </c>
      <c r="F809" s="14" t="n">
        <v>-0.4</v>
      </c>
      <c r="M809" s="14" t="n">
        <v>3.302</v>
      </c>
      <c r="N809" s="14" t="n">
        <v>3.273</v>
      </c>
      <c r="O809" s="14" t="n">
        <v>3.289</v>
      </c>
      <c r="P809" s="14" t="n">
        <v>3.518</v>
      </c>
      <c r="S809" s="14" t="n">
        <v>6.5</v>
      </c>
    </row>
    <row r="810" customFormat="false" ht="15" hidden="false" customHeight="false" outlineLevel="0" collapsed="false">
      <c r="A810" s="13" t="n">
        <v>43460</v>
      </c>
      <c r="B810" s="14" t="n">
        <v>2.44</v>
      </c>
      <c r="C810" s="14" t="n">
        <v>2.5</v>
      </c>
      <c r="D810" s="14" t="n">
        <v>2.25</v>
      </c>
      <c r="F810" s="14" t="n">
        <v>-0.4</v>
      </c>
      <c r="M810" s="14" t="n">
        <v>3.397</v>
      </c>
      <c r="N810" s="14" t="n">
        <v>3.309</v>
      </c>
      <c r="O810" s="14" t="n">
        <v>3.291</v>
      </c>
      <c r="P810" s="14" t="n">
        <v>3.52</v>
      </c>
      <c r="S810" s="14" t="n">
        <v>6.5</v>
      </c>
    </row>
    <row r="811" customFormat="false" ht="15" hidden="false" customHeight="false" outlineLevel="0" collapsed="false">
      <c r="A811" s="13" t="n">
        <v>43461</v>
      </c>
      <c r="B811" s="14" t="n">
        <v>2.44</v>
      </c>
      <c r="C811" s="14" t="n">
        <v>2.5</v>
      </c>
      <c r="D811" s="14" t="n">
        <v>2.25</v>
      </c>
      <c r="F811" s="14" t="n">
        <v>-0.4</v>
      </c>
      <c r="G811" s="14" t="n">
        <v>0.75</v>
      </c>
      <c r="H811" s="14" t="n">
        <v>0.706</v>
      </c>
      <c r="I811" s="14" t="n">
        <v>0.699013772227091</v>
      </c>
      <c r="J811" s="14" t="n">
        <v>0.706431977869889</v>
      </c>
      <c r="K811" s="14" t="n">
        <v>0.730587011115626</v>
      </c>
      <c r="L811" s="14" t="n">
        <v>0.785102044385001</v>
      </c>
      <c r="M811" s="14" t="n">
        <v>3.47</v>
      </c>
      <c r="N811" s="14" t="n">
        <v>3.339</v>
      </c>
      <c r="O811" s="14" t="n">
        <v>3.294</v>
      </c>
      <c r="P811" s="14" t="n">
        <v>3.52</v>
      </c>
      <c r="Q811" s="14" t="n">
        <v>0.75</v>
      </c>
      <c r="R811" s="14" t="n">
        <v>0.75</v>
      </c>
      <c r="S811" s="14" t="n">
        <v>6.5</v>
      </c>
    </row>
    <row r="812" customFormat="false" ht="15" hidden="false" customHeight="false" outlineLevel="0" collapsed="false">
      <c r="A812" s="13" t="n">
        <v>43462</v>
      </c>
      <c r="B812" s="14" t="n">
        <v>2.46</v>
      </c>
      <c r="C812" s="14" t="n">
        <v>2.5</v>
      </c>
      <c r="D812" s="14" t="n">
        <v>2.25</v>
      </c>
      <c r="F812" s="14" t="n">
        <v>-0.4</v>
      </c>
      <c r="G812" s="14" t="n">
        <v>0.75</v>
      </c>
      <c r="H812" s="14" t="n">
        <v>0.7047</v>
      </c>
      <c r="I812" s="14" t="n">
        <v>0.699929857451108</v>
      </c>
      <c r="J812" s="14" t="n">
        <v>0.70733478486704</v>
      </c>
      <c r="K812" s="14" t="n">
        <v>0.730128293053585</v>
      </c>
      <c r="L812" s="14" t="n">
        <v>0.782980242856768</v>
      </c>
      <c r="M812" s="14" t="n">
        <v>3.492</v>
      </c>
      <c r="N812" s="14" t="n">
        <v>3.357</v>
      </c>
      <c r="O812" s="14" t="n">
        <v>3.297</v>
      </c>
      <c r="P812" s="14" t="n">
        <v>3.521</v>
      </c>
      <c r="Q812" s="14" t="n">
        <v>0.75</v>
      </c>
      <c r="R812" s="14" t="n">
        <v>0.76</v>
      </c>
      <c r="S812" s="14" t="n">
        <v>6.5</v>
      </c>
    </row>
    <row r="813" customFormat="false" ht="15" hidden="false" customHeight="false" outlineLevel="0" collapsed="false">
      <c r="A813" s="13" t="n">
        <v>43463</v>
      </c>
      <c r="C813" s="14" t="n">
        <v>2.5</v>
      </c>
      <c r="D813" s="14" t="n">
        <v>2.25</v>
      </c>
      <c r="F813" s="14" t="n">
        <v>-0.4</v>
      </c>
      <c r="M813" s="14" t="n">
        <v>3.472</v>
      </c>
      <c r="N813" s="14" t="n">
        <v>3.346</v>
      </c>
      <c r="O813" s="14" t="n">
        <v>3.299</v>
      </c>
      <c r="P813" s="14" t="n">
        <v>3.518</v>
      </c>
      <c r="S813" s="14" t="n">
        <v>6.5</v>
      </c>
    </row>
    <row r="814" customFormat="false" ht="15" hidden="false" customHeight="false" outlineLevel="0" collapsed="false">
      <c r="A814" s="13" t="n">
        <v>43465</v>
      </c>
      <c r="B814" s="14" t="n">
        <v>3</v>
      </c>
      <c r="C814" s="14" t="n">
        <v>2.5</v>
      </c>
      <c r="D814" s="14" t="n">
        <v>2.25</v>
      </c>
      <c r="F814" s="14" t="n">
        <v>-0.4</v>
      </c>
      <c r="G814" s="14" t="n">
        <v>0.75</v>
      </c>
      <c r="H814" s="14" t="n">
        <v>0.6998</v>
      </c>
      <c r="I814" s="14" t="n">
        <v>0.698685543296293</v>
      </c>
      <c r="J814" s="14" t="n">
        <v>0.706799476280967</v>
      </c>
      <c r="K814" s="14" t="n">
        <v>0.731899858015624</v>
      </c>
      <c r="L814" s="14" t="n">
        <v>0.790952995479178</v>
      </c>
      <c r="Q814" s="14" t="n">
        <v>0.75</v>
      </c>
      <c r="R814" s="14" t="n">
        <v>3.72</v>
      </c>
      <c r="S814" s="14" t="n">
        <v>6.5</v>
      </c>
    </row>
    <row r="815" customFormat="false" ht="15" hidden="false" customHeight="false" outlineLevel="0" collapsed="false">
      <c r="A815" s="13" t="n">
        <v>43466</v>
      </c>
      <c r="C815" s="14" t="n">
        <v>2.5</v>
      </c>
      <c r="D815" s="14" t="n">
        <v>2.25</v>
      </c>
      <c r="F815" s="14" t="n">
        <v>-0.4</v>
      </c>
      <c r="S815" s="14" t="n">
        <v>6.5</v>
      </c>
    </row>
    <row r="816" customFormat="false" ht="15" hidden="false" customHeight="false" outlineLevel="0" collapsed="false">
      <c r="A816" s="13" t="n">
        <v>43467</v>
      </c>
      <c r="B816" s="14" t="n">
        <v>3.15</v>
      </c>
      <c r="C816" s="14" t="n">
        <v>2.5</v>
      </c>
      <c r="D816" s="14" t="n">
        <v>2.25</v>
      </c>
      <c r="F816" s="14" t="n">
        <v>-0.4</v>
      </c>
      <c r="G816" s="14" t="n">
        <v>0.75</v>
      </c>
      <c r="H816" s="14" t="n">
        <v>0.7044</v>
      </c>
      <c r="I816" s="14" t="n">
        <v>0.701833851763461</v>
      </c>
      <c r="J816" s="14" t="n">
        <v>0.707116008466169</v>
      </c>
      <c r="K816" s="14" t="n">
        <v>0.725858403294121</v>
      </c>
      <c r="L816" s="14" t="n">
        <v>0.767335849134425</v>
      </c>
      <c r="M816" s="14" t="n">
        <v>3.2</v>
      </c>
      <c r="N816" s="14" t="n">
        <v>3.285</v>
      </c>
      <c r="O816" s="14" t="n">
        <v>3.292</v>
      </c>
      <c r="P816" s="14" t="n">
        <v>3.511</v>
      </c>
      <c r="Q816" s="14" t="n">
        <v>0.75</v>
      </c>
      <c r="R816" s="14" t="n">
        <v>0.75</v>
      </c>
      <c r="S816" s="14" t="n">
        <v>6.5</v>
      </c>
    </row>
    <row r="817" customFormat="false" ht="15" hidden="false" customHeight="false" outlineLevel="0" collapsed="false">
      <c r="A817" s="13" t="n">
        <v>43468</v>
      </c>
      <c r="B817" s="14" t="n">
        <v>2.7</v>
      </c>
      <c r="C817" s="14" t="n">
        <v>2.5</v>
      </c>
      <c r="D817" s="14" t="n">
        <v>2.25</v>
      </c>
      <c r="F817" s="14" t="n">
        <v>-0.4</v>
      </c>
      <c r="G817" s="14" t="n">
        <v>0.75</v>
      </c>
      <c r="H817" s="14" t="n">
        <v>0.7048</v>
      </c>
      <c r="I817" s="14" t="n">
        <v>0.701306407138317</v>
      </c>
      <c r="J817" s="14" t="n">
        <v>0.709176569551109</v>
      </c>
      <c r="K817" s="14" t="n">
        <v>0.722686078474416</v>
      </c>
      <c r="L817" s="14" t="n">
        <v>0.751355828348601</v>
      </c>
      <c r="M817" s="14" t="n">
        <v>3.084</v>
      </c>
      <c r="N817" s="14" t="n">
        <v>3.246</v>
      </c>
      <c r="O817" s="14" t="n">
        <v>3.286</v>
      </c>
      <c r="P817" s="14" t="n">
        <v>3.507</v>
      </c>
      <c r="Q817" s="14" t="n">
        <v>0.75</v>
      </c>
      <c r="R817" s="14" t="n">
        <v>0.74</v>
      </c>
      <c r="S817" s="14" t="n">
        <v>6.5</v>
      </c>
    </row>
    <row r="818" customFormat="false" ht="15" hidden="false" customHeight="false" outlineLevel="0" collapsed="false">
      <c r="A818" s="13" t="n">
        <v>43469</v>
      </c>
      <c r="B818" s="14" t="n">
        <v>2.45</v>
      </c>
      <c r="C818" s="14" t="n">
        <v>2.5</v>
      </c>
      <c r="D818" s="14" t="n">
        <v>2.25</v>
      </c>
      <c r="F818" s="14" t="n">
        <v>-0.4</v>
      </c>
      <c r="G818" s="14" t="n">
        <v>0.75</v>
      </c>
      <c r="H818" s="14" t="n">
        <v>0.7046</v>
      </c>
      <c r="I818" s="14" t="n">
        <v>0.700053808165108</v>
      </c>
      <c r="J818" s="14" t="n">
        <v>0.706395532133755</v>
      </c>
      <c r="K818" s="14" t="n">
        <v>0.726777057771382</v>
      </c>
      <c r="L818" s="14" t="n">
        <v>0.771250525113675</v>
      </c>
      <c r="M818" s="14" t="n">
        <v>3.01</v>
      </c>
      <c r="N818" s="14" t="n">
        <v>3.215</v>
      </c>
      <c r="O818" s="14" t="n">
        <v>3.27</v>
      </c>
      <c r="P818" s="14" t="n">
        <v>3.497</v>
      </c>
      <c r="Q818" s="14" t="n">
        <v>0.75</v>
      </c>
      <c r="R818" s="14" t="n">
        <v>0.74</v>
      </c>
      <c r="S818" s="14" t="n">
        <v>6.5</v>
      </c>
    </row>
    <row r="819" customFormat="false" ht="15" hidden="false" customHeight="false" outlineLevel="0" collapsed="false">
      <c r="A819" s="13" t="n">
        <v>43472</v>
      </c>
      <c r="B819" s="14" t="n">
        <v>2.41</v>
      </c>
      <c r="C819" s="14" t="n">
        <v>2.5</v>
      </c>
      <c r="D819" s="14" t="n">
        <v>2.25</v>
      </c>
      <c r="F819" s="14" t="n">
        <v>-0.4</v>
      </c>
      <c r="G819" s="14" t="n">
        <v>0.75</v>
      </c>
      <c r="H819" s="14" t="n">
        <v>0.7052</v>
      </c>
      <c r="I819" s="14" t="n">
        <v>0.701252376189439</v>
      </c>
      <c r="J819" s="14" t="n">
        <v>0.706436833407797</v>
      </c>
      <c r="K819" s="14" t="n">
        <v>0.72318388856592</v>
      </c>
      <c r="L819" s="14" t="n">
        <v>0.767616936001652</v>
      </c>
      <c r="M819" s="14" t="n">
        <v>2.909</v>
      </c>
      <c r="N819" s="14" t="n">
        <v>3.141</v>
      </c>
      <c r="O819" s="14" t="n">
        <v>3.233</v>
      </c>
      <c r="P819" s="14" t="n">
        <v>3.466</v>
      </c>
      <c r="Q819" s="14" t="n">
        <v>0.75</v>
      </c>
      <c r="R819" s="14" t="n">
        <v>0.74</v>
      </c>
      <c r="S819" s="14" t="n">
        <v>6.5</v>
      </c>
    </row>
    <row r="820" customFormat="false" ht="15" hidden="false" customHeight="false" outlineLevel="0" collapsed="false">
      <c r="A820" s="13" t="n">
        <v>43473</v>
      </c>
      <c r="B820" s="14" t="n">
        <v>2.42</v>
      </c>
      <c r="C820" s="14" t="n">
        <v>2.5</v>
      </c>
      <c r="D820" s="14" t="n">
        <v>2.25</v>
      </c>
      <c r="F820" s="14" t="n">
        <v>-0.4</v>
      </c>
      <c r="G820" s="14" t="n">
        <v>0.75</v>
      </c>
      <c r="H820" s="14" t="n">
        <v>0.7052</v>
      </c>
      <c r="I820" s="14" t="n">
        <v>0.70248353505522</v>
      </c>
      <c r="J820" s="14" t="n">
        <v>0.71369040402449</v>
      </c>
      <c r="K820" s="14" t="n">
        <v>0.734245551564616</v>
      </c>
      <c r="L820" s="14" t="n">
        <v>0.774891496535532</v>
      </c>
      <c r="M820" s="14" t="n">
        <v>2.825</v>
      </c>
      <c r="N820" s="14" t="n">
        <v>3.093</v>
      </c>
      <c r="O820" s="14" t="n">
        <v>3.206</v>
      </c>
      <c r="P820" s="14" t="n">
        <v>3.431</v>
      </c>
      <c r="Q820" s="14" t="n">
        <v>0.75</v>
      </c>
      <c r="R820" s="14" t="n">
        <v>0.74</v>
      </c>
      <c r="S820" s="14" t="n">
        <v>6.5</v>
      </c>
    </row>
    <row r="821" customFormat="false" ht="15" hidden="false" customHeight="false" outlineLevel="0" collapsed="false">
      <c r="A821" s="13" t="n">
        <v>43474</v>
      </c>
      <c r="B821" s="14" t="n">
        <v>2.45</v>
      </c>
      <c r="C821" s="14" t="n">
        <v>2.5</v>
      </c>
      <c r="D821" s="14" t="n">
        <v>2.25</v>
      </c>
      <c r="F821" s="14" t="n">
        <v>-0.4</v>
      </c>
      <c r="G821" s="14" t="n">
        <v>0.75</v>
      </c>
      <c r="H821" s="14" t="n">
        <v>0.7063</v>
      </c>
      <c r="I821" s="14" t="n">
        <v>0.706337544091464</v>
      </c>
      <c r="J821" s="14" t="n">
        <v>0.714615343739588</v>
      </c>
      <c r="K821" s="14" t="n">
        <v>0.736316054485552</v>
      </c>
      <c r="L821" s="14" t="n">
        <v>0.782345217019353</v>
      </c>
      <c r="M821" s="14" t="n">
        <v>2.79</v>
      </c>
      <c r="N821" s="14" t="n">
        <v>3.065</v>
      </c>
      <c r="O821" s="14" t="n">
        <v>3.184</v>
      </c>
      <c r="P821" s="14" t="n">
        <v>3.401</v>
      </c>
      <c r="Q821" s="14" t="n">
        <v>0.75</v>
      </c>
      <c r="R821" s="14" t="n">
        <v>0.74</v>
      </c>
      <c r="S821" s="14" t="n">
        <v>6.5</v>
      </c>
    </row>
    <row r="822" customFormat="false" ht="15" hidden="false" customHeight="false" outlineLevel="0" collapsed="false">
      <c r="A822" s="13" t="n">
        <v>43475</v>
      </c>
      <c r="B822" s="14" t="n">
        <v>2.43</v>
      </c>
      <c r="C822" s="14" t="n">
        <v>2.5</v>
      </c>
      <c r="D822" s="14" t="n">
        <v>2.25</v>
      </c>
      <c r="F822" s="14" t="n">
        <v>-0.4</v>
      </c>
      <c r="G822" s="14" t="n">
        <v>0.75</v>
      </c>
      <c r="H822" s="14" t="n">
        <v>0.7067</v>
      </c>
      <c r="I822" s="14" t="n">
        <v>0.706386016178232</v>
      </c>
      <c r="J822" s="14" t="n">
        <v>0.713387876154336</v>
      </c>
      <c r="K822" s="14" t="n">
        <v>0.739668003703083</v>
      </c>
      <c r="L822" s="14" t="n">
        <v>0.794383644588941</v>
      </c>
      <c r="M822" s="14" t="n">
        <v>2.781</v>
      </c>
      <c r="N822" s="14" t="n">
        <v>3.031</v>
      </c>
      <c r="O822" s="14" t="n">
        <v>3.149</v>
      </c>
      <c r="P822" s="14" t="n">
        <v>3.377</v>
      </c>
      <c r="Q822" s="14" t="n">
        <v>0.75</v>
      </c>
      <c r="R822" s="14" t="n">
        <v>0.74</v>
      </c>
      <c r="S822" s="14" t="n">
        <v>6.5</v>
      </c>
    </row>
    <row r="823" customFormat="false" ht="15" hidden="false" customHeight="false" outlineLevel="0" collapsed="false">
      <c r="A823" s="13" t="n">
        <v>43476</v>
      </c>
      <c r="B823" s="14" t="n">
        <v>2.41</v>
      </c>
      <c r="C823" s="14" t="n">
        <v>2.5</v>
      </c>
      <c r="D823" s="14" t="n">
        <v>2.25</v>
      </c>
      <c r="F823" s="14" t="n">
        <v>-0.4</v>
      </c>
      <c r="G823" s="14" t="n">
        <v>0.75</v>
      </c>
      <c r="H823" s="14" t="n">
        <v>0.7072</v>
      </c>
      <c r="I823" s="14" t="n">
        <v>0.701642666284622</v>
      </c>
      <c r="J823" s="14" t="n">
        <v>0.714516281311857</v>
      </c>
      <c r="K823" s="14" t="n">
        <v>0.743784639917882</v>
      </c>
      <c r="L823" s="14" t="n">
        <v>0.803750479862778</v>
      </c>
      <c r="M823" s="14" t="n">
        <v>2.772</v>
      </c>
      <c r="N823" s="14" t="n">
        <v>3.007</v>
      </c>
      <c r="O823" s="14" t="n">
        <v>3.12</v>
      </c>
      <c r="P823" s="14" t="n">
        <v>3.35</v>
      </c>
      <c r="Q823" s="14" t="n">
        <v>0.75</v>
      </c>
      <c r="R823" s="14" t="n">
        <v>0.74</v>
      </c>
      <c r="S823" s="14" t="n">
        <v>6.5</v>
      </c>
    </row>
    <row r="824" customFormat="false" ht="15" hidden="false" customHeight="false" outlineLevel="0" collapsed="false">
      <c r="A824" s="13" t="n">
        <v>43479</v>
      </c>
      <c r="B824" s="14" t="n">
        <v>2.4</v>
      </c>
      <c r="C824" s="14" t="n">
        <v>2.5</v>
      </c>
      <c r="D824" s="14" t="n">
        <v>2.25</v>
      </c>
      <c r="F824" s="14" t="n">
        <v>-0.4</v>
      </c>
      <c r="G824" s="14" t="n">
        <v>0.75</v>
      </c>
      <c r="H824" s="14" t="n">
        <v>0.7067</v>
      </c>
      <c r="I824" s="14" t="n">
        <v>0.703926685439593</v>
      </c>
      <c r="J824" s="14" t="n">
        <v>0.71454850477139</v>
      </c>
      <c r="K824" s="14" t="n">
        <v>0.745137902739356</v>
      </c>
      <c r="L824" s="14" t="n">
        <v>0.80438556970186</v>
      </c>
      <c r="M824" s="14" t="n">
        <v>2.775</v>
      </c>
      <c r="N824" s="14" t="n">
        <v>2.984</v>
      </c>
      <c r="O824" s="14" t="n">
        <v>3.106</v>
      </c>
      <c r="P824" s="14" t="n">
        <v>3.337</v>
      </c>
      <c r="Q824" s="14" t="n">
        <v>0.75</v>
      </c>
      <c r="R824" s="14" t="n">
        <v>0.74</v>
      </c>
      <c r="S824" s="14" t="n">
        <v>6.5</v>
      </c>
    </row>
    <row r="825" customFormat="false" ht="15" hidden="false" customHeight="false" outlineLevel="0" collapsed="false">
      <c r="A825" s="13" t="n">
        <v>43480</v>
      </c>
      <c r="B825" s="14" t="n">
        <v>2.46</v>
      </c>
      <c r="C825" s="14" t="n">
        <v>2.5</v>
      </c>
      <c r="D825" s="14" t="n">
        <v>2.25</v>
      </c>
      <c r="F825" s="14" t="n">
        <v>-0.4</v>
      </c>
      <c r="G825" s="14" t="n">
        <v>0.75</v>
      </c>
      <c r="H825" s="14" t="n">
        <v>0.7057</v>
      </c>
      <c r="I825" s="14" t="n">
        <v>0.706292198219742</v>
      </c>
      <c r="J825" s="14" t="n">
        <v>0.71289898169172</v>
      </c>
      <c r="K825" s="14" t="n">
        <v>0.739403177399236</v>
      </c>
      <c r="L825" s="14" t="n">
        <v>0.801494284788739</v>
      </c>
      <c r="M825" s="14" t="n">
        <v>2.777</v>
      </c>
      <c r="N825" s="14" t="n">
        <v>2.962</v>
      </c>
      <c r="O825" s="14" t="n">
        <v>3.094</v>
      </c>
      <c r="P825" s="14" t="n">
        <v>3.324</v>
      </c>
      <c r="Q825" s="14" t="n">
        <v>0.75</v>
      </c>
      <c r="R825" s="14" t="n">
        <v>0.75</v>
      </c>
      <c r="S825" s="14" t="n">
        <v>6.5</v>
      </c>
    </row>
    <row r="826" customFormat="false" ht="15" hidden="false" customHeight="false" outlineLevel="0" collapsed="false">
      <c r="A826" s="13" t="n">
        <v>43481</v>
      </c>
      <c r="B826" s="14" t="n">
        <v>2.43</v>
      </c>
      <c r="C826" s="14" t="n">
        <v>2.5</v>
      </c>
      <c r="D826" s="14" t="n">
        <v>2.25</v>
      </c>
      <c r="F826" s="14" t="n">
        <v>-0.4</v>
      </c>
      <c r="G826" s="14" t="n">
        <v>0.75</v>
      </c>
      <c r="H826" s="14" t="n">
        <v>0.7059</v>
      </c>
      <c r="I826" s="14" t="n">
        <v>0.705274481317893</v>
      </c>
      <c r="J826" s="14" t="n">
        <v>0.711525151887912</v>
      </c>
      <c r="K826" s="14" t="n">
        <v>0.73522464258098</v>
      </c>
      <c r="L826" s="14" t="n">
        <v>0.797618720228383</v>
      </c>
      <c r="M826" s="14" t="n">
        <v>2.777</v>
      </c>
      <c r="N826" s="14" t="n">
        <v>2.942</v>
      </c>
      <c r="O826" s="14" t="n">
        <v>3.079</v>
      </c>
      <c r="P826" s="14" t="n">
        <v>3.314</v>
      </c>
      <c r="Q826" s="14" t="n">
        <v>0.75</v>
      </c>
      <c r="R826" s="14" t="n">
        <v>0.74</v>
      </c>
      <c r="S826" s="14" t="n">
        <v>6.5</v>
      </c>
    </row>
    <row r="827" customFormat="false" ht="15" hidden="false" customHeight="false" outlineLevel="0" collapsed="false">
      <c r="A827" s="13" t="n">
        <v>43482</v>
      </c>
      <c r="B827" s="14" t="n">
        <v>2.41</v>
      </c>
      <c r="C827" s="14" t="n">
        <v>2.5</v>
      </c>
      <c r="D827" s="14" t="n">
        <v>2.25</v>
      </c>
      <c r="F827" s="14" t="n">
        <v>-0.4</v>
      </c>
      <c r="G827" s="14" t="n">
        <v>0.75</v>
      </c>
      <c r="H827" s="14" t="n">
        <v>0.7055</v>
      </c>
      <c r="I827" s="14" t="n">
        <v>0.704320118542659</v>
      </c>
      <c r="J827" s="14" t="n">
        <v>0.70994770906369</v>
      </c>
      <c r="K827" s="14" t="n">
        <v>0.730791219931061</v>
      </c>
      <c r="L827" s="14" t="n">
        <v>0.786535322375677</v>
      </c>
      <c r="M827" s="14" t="n">
        <v>2.777</v>
      </c>
      <c r="N827" s="14" t="n">
        <v>2.93</v>
      </c>
      <c r="O827" s="14" t="n">
        <v>3.066</v>
      </c>
      <c r="P827" s="14" t="n">
        <v>3.304</v>
      </c>
      <c r="Q827" s="14" t="n">
        <v>0.75</v>
      </c>
      <c r="R827" s="14" t="n">
        <v>0.73</v>
      </c>
      <c r="S827" s="14" t="n">
        <v>6.5</v>
      </c>
    </row>
    <row r="828" customFormat="false" ht="15" hidden="false" customHeight="false" outlineLevel="0" collapsed="false">
      <c r="A828" s="13" t="n">
        <v>43483</v>
      </c>
      <c r="B828" s="14" t="n">
        <v>2.42</v>
      </c>
      <c r="C828" s="14" t="n">
        <v>2.5</v>
      </c>
      <c r="D828" s="14" t="n">
        <v>2.25</v>
      </c>
      <c r="F828" s="14" t="n">
        <v>-0.4</v>
      </c>
      <c r="G828" s="14" t="n">
        <v>0.75</v>
      </c>
      <c r="H828" s="14" t="n">
        <v>0.7059</v>
      </c>
      <c r="I828" s="14" t="n">
        <v>0.706466805930575</v>
      </c>
      <c r="J828" s="14" t="n">
        <v>0.712826981708435</v>
      </c>
      <c r="K828" s="14" t="n">
        <v>0.731590366117434</v>
      </c>
      <c r="L828" s="14" t="n">
        <v>0.781929380133749</v>
      </c>
      <c r="M828" s="14" t="n">
        <v>2.777</v>
      </c>
      <c r="N828" s="14" t="n">
        <v>2.918</v>
      </c>
      <c r="O828" s="14" t="n">
        <v>3.061</v>
      </c>
      <c r="P828" s="14" t="n">
        <v>3.302</v>
      </c>
      <c r="Q828" s="14" t="n">
        <v>0.75</v>
      </c>
      <c r="R828" s="14" t="n">
        <v>0.75</v>
      </c>
      <c r="S828" s="14" t="n">
        <v>6.5</v>
      </c>
    </row>
    <row r="829" customFormat="false" ht="15" hidden="false" customHeight="false" outlineLevel="0" collapsed="false">
      <c r="A829" s="13" t="n">
        <v>43486</v>
      </c>
      <c r="C829" s="14" t="n">
        <v>2.5</v>
      </c>
      <c r="D829" s="14" t="n">
        <v>2.25</v>
      </c>
      <c r="F829" s="14" t="n">
        <v>-0.4</v>
      </c>
      <c r="G829" s="14" t="n">
        <v>0.75</v>
      </c>
      <c r="H829" s="14" t="n">
        <v>0.7055</v>
      </c>
      <c r="I829" s="14" t="n">
        <v>0.706134599475261</v>
      </c>
      <c r="J829" s="14" t="n">
        <v>0.711119557807505</v>
      </c>
      <c r="K829" s="14" t="n">
        <v>0.726395652759591</v>
      </c>
      <c r="L829" s="14" t="n">
        <v>0.771209044322964</v>
      </c>
      <c r="M829" s="14" t="n">
        <v>2.786</v>
      </c>
      <c r="N829" s="14" t="n">
        <v>2.915</v>
      </c>
      <c r="O829" s="14" t="n">
        <v>3.055</v>
      </c>
      <c r="P829" s="14" t="n">
        <v>3.3</v>
      </c>
      <c r="Q829" s="14" t="n">
        <v>0.75</v>
      </c>
      <c r="R829" s="14" t="n">
        <v>0.77</v>
      </c>
      <c r="S829" s="14" t="n">
        <v>6.5</v>
      </c>
    </row>
    <row r="830" customFormat="false" ht="15" hidden="false" customHeight="false" outlineLevel="0" collapsed="false">
      <c r="A830" s="13" t="n">
        <v>43487</v>
      </c>
      <c r="B830" s="14" t="n">
        <v>2.41</v>
      </c>
      <c r="C830" s="14" t="n">
        <v>2.5</v>
      </c>
      <c r="D830" s="14" t="n">
        <v>2.25</v>
      </c>
      <c r="F830" s="14" t="n">
        <v>-0.4</v>
      </c>
      <c r="G830" s="14" t="n">
        <v>0.75</v>
      </c>
      <c r="H830" s="14" t="n">
        <v>0.7047</v>
      </c>
      <c r="I830" s="14" t="n">
        <v>0.705613840479093</v>
      </c>
      <c r="J830" s="14" t="n">
        <v>0.710751021756164</v>
      </c>
      <c r="K830" s="14" t="n">
        <v>0.730285694637866</v>
      </c>
      <c r="L830" s="14" t="n">
        <v>0.783384588635657</v>
      </c>
      <c r="M830" s="14" t="n">
        <v>2.797</v>
      </c>
      <c r="N830" s="14" t="n">
        <v>2.914</v>
      </c>
      <c r="O830" s="14" t="n">
        <v>3.054</v>
      </c>
      <c r="P830" s="14" t="n">
        <v>3.3</v>
      </c>
      <c r="Q830" s="14" t="n">
        <v>0.75</v>
      </c>
      <c r="R830" s="14" t="n">
        <v>0.75</v>
      </c>
      <c r="S830" s="14" t="n">
        <v>6.5</v>
      </c>
    </row>
    <row r="831" customFormat="false" ht="15" hidden="false" customHeight="false" outlineLevel="0" collapsed="false">
      <c r="A831" s="13" t="n">
        <v>43488</v>
      </c>
      <c r="B831" s="14" t="n">
        <v>2.4</v>
      </c>
      <c r="C831" s="14" t="n">
        <v>2.5</v>
      </c>
      <c r="D831" s="14" t="n">
        <v>2.25</v>
      </c>
      <c r="F831" s="14" t="n">
        <v>-0.4</v>
      </c>
      <c r="G831" s="14" t="n">
        <v>0.75</v>
      </c>
      <c r="H831" s="14" t="n">
        <v>0.7053</v>
      </c>
      <c r="I831" s="14" t="n">
        <v>0.705282531939622</v>
      </c>
      <c r="J831" s="14" t="n">
        <v>0.71441620526167</v>
      </c>
      <c r="K831" s="14" t="n">
        <v>0.736997126015539</v>
      </c>
      <c r="L831" s="14" t="n">
        <v>0.789767306449166</v>
      </c>
      <c r="M831" s="14" t="n">
        <v>2.806</v>
      </c>
      <c r="N831" s="14" t="n">
        <v>2.909</v>
      </c>
      <c r="O831" s="14" t="n">
        <v>3.052</v>
      </c>
      <c r="P831" s="14" t="n">
        <v>3.3</v>
      </c>
      <c r="Q831" s="14" t="n">
        <v>0.75</v>
      </c>
      <c r="R831" s="14" t="n">
        <v>0.74</v>
      </c>
      <c r="S831" s="14" t="n">
        <v>6.5</v>
      </c>
    </row>
    <row r="832" customFormat="false" ht="15" hidden="false" customHeight="false" outlineLevel="0" collapsed="false">
      <c r="A832" s="13" t="n">
        <v>43489</v>
      </c>
      <c r="B832" s="14" t="n">
        <v>2.41</v>
      </c>
      <c r="C832" s="14" t="n">
        <v>2.5</v>
      </c>
      <c r="D832" s="14" t="n">
        <v>2.25</v>
      </c>
      <c r="F832" s="14" t="n">
        <v>-0.4</v>
      </c>
      <c r="G832" s="14" t="n">
        <v>0.75</v>
      </c>
      <c r="H832" s="14" t="n">
        <v>0.7057</v>
      </c>
      <c r="I832" s="14" t="n">
        <v>0.706858946983789</v>
      </c>
      <c r="J832" s="14" t="n">
        <v>0.716047959706504</v>
      </c>
      <c r="K832" s="14" t="n">
        <v>0.736498940152687</v>
      </c>
      <c r="L832" s="14" t="n">
        <v>0.780662608486561</v>
      </c>
      <c r="M832" s="14" t="n">
        <v>2.811</v>
      </c>
      <c r="N832" s="14" t="n">
        <v>2.904</v>
      </c>
      <c r="O832" s="14" t="n">
        <v>3.044</v>
      </c>
      <c r="P832" s="14" t="n">
        <v>3.3</v>
      </c>
      <c r="Q832" s="14" t="n">
        <v>0.75</v>
      </c>
      <c r="R832" s="14" t="n">
        <v>0.73</v>
      </c>
      <c r="S832" s="14" t="n">
        <v>6.5</v>
      </c>
    </row>
    <row r="833" customFormat="false" ht="15" hidden="false" customHeight="false" outlineLevel="0" collapsed="false">
      <c r="A833" s="13" t="n">
        <v>43490</v>
      </c>
      <c r="B833" s="14" t="n">
        <v>2.4</v>
      </c>
      <c r="C833" s="14" t="n">
        <v>2.5</v>
      </c>
      <c r="D833" s="14" t="n">
        <v>2.25</v>
      </c>
      <c r="F833" s="14" t="n">
        <v>-0.4</v>
      </c>
      <c r="G833" s="14" t="n">
        <v>0.75</v>
      </c>
      <c r="H833" s="14" t="n">
        <v>0.7045</v>
      </c>
      <c r="I833" s="14" t="n">
        <v>0.704232581302541</v>
      </c>
      <c r="J833" s="14" t="n">
        <v>0.712592647192758</v>
      </c>
      <c r="K833" s="14" t="n">
        <v>0.737819219061508</v>
      </c>
      <c r="L833" s="14" t="n">
        <v>0.793557370751007</v>
      </c>
      <c r="M833" s="14" t="n">
        <v>2.819</v>
      </c>
      <c r="N833" s="14" t="n">
        <v>2.902</v>
      </c>
      <c r="O833" s="14" t="n">
        <v>3.037</v>
      </c>
      <c r="P833" s="14" t="n">
        <v>3.294</v>
      </c>
      <c r="Q833" s="14" t="n">
        <v>0.75</v>
      </c>
      <c r="R833" s="14" t="n">
        <v>0.75</v>
      </c>
      <c r="S833" s="14" t="n">
        <v>6.5</v>
      </c>
    </row>
    <row r="834" customFormat="false" ht="15" hidden="false" customHeight="false" outlineLevel="0" collapsed="false">
      <c r="A834" s="13" t="n">
        <v>43493</v>
      </c>
      <c r="B834" s="14" t="n">
        <v>2.39</v>
      </c>
      <c r="C834" s="14" t="n">
        <v>2.5</v>
      </c>
      <c r="D834" s="14" t="n">
        <v>2.25</v>
      </c>
      <c r="F834" s="14" t="n">
        <v>-0.4</v>
      </c>
      <c r="G834" s="14" t="n">
        <v>0.75</v>
      </c>
      <c r="H834" s="14" t="n">
        <v>0.7054</v>
      </c>
      <c r="I834" s="14" t="n">
        <v>0.708691122646137</v>
      </c>
      <c r="J834" s="14" t="n">
        <v>0.714704636019436</v>
      </c>
      <c r="K834" s="14" t="n">
        <v>0.734058167728251</v>
      </c>
      <c r="L834" s="14" t="n">
        <v>0.777764262855306</v>
      </c>
      <c r="M834" s="14" t="n">
        <v>2.828</v>
      </c>
      <c r="N834" s="14" t="n">
        <v>2.901</v>
      </c>
      <c r="O834" s="14" t="n">
        <v>3.031</v>
      </c>
      <c r="P834" s="14" t="n">
        <v>3.291</v>
      </c>
      <c r="Q834" s="14" t="n">
        <v>0.75</v>
      </c>
      <c r="R834" s="14" t="n">
        <v>0.74</v>
      </c>
      <c r="S834" s="14" t="n">
        <v>6.5</v>
      </c>
    </row>
    <row r="835" customFormat="false" ht="15" hidden="false" customHeight="false" outlineLevel="0" collapsed="false">
      <c r="A835" s="13" t="n">
        <v>43494</v>
      </c>
      <c r="B835" s="14" t="n">
        <v>2.4</v>
      </c>
      <c r="C835" s="14" t="n">
        <v>2.5</v>
      </c>
      <c r="D835" s="14" t="n">
        <v>2.25</v>
      </c>
      <c r="F835" s="14" t="n">
        <v>-0.4</v>
      </c>
      <c r="G835" s="14" t="n">
        <v>0.75</v>
      </c>
      <c r="H835" s="14" t="n">
        <v>0.7036</v>
      </c>
      <c r="I835" s="14" t="n">
        <v>0.706808341597259</v>
      </c>
      <c r="J835" s="14" t="n">
        <v>0.715440945170689</v>
      </c>
      <c r="K835" s="14" t="n">
        <v>0.73364698928124</v>
      </c>
      <c r="L835" s="14" t="n">
        <v>0.772862100580708</v>
      </c>
      <c r="M835" s="14" t="n">
        <v>2.835</v>
      </c>
      <c r="N835" s="14" t="n">
        <v>2.9</v>
      </c>
      <c r="O835" s="14" t="n">
        <v>3.027</v>
      </c>
      <c r="P835" s="14" t="n">
        <v>3.282</v>
      </c>
      <c r="Q835" s="14" t="n">
        <v>0.75</v>
      </c>
      <c r="R835" s="14" t="n">
        <v>0.74</v>
      </c>
      <c r="S835" s="14" t="n">
        <v>6.5</v>
      </c>
    </row>
    <row r="836" customFormat="false" ht="15" hidden="false" customHeight="false" outlineLevel="0" collapsed="false">
      <c r="A836" s="13" t="n">
        <v>43495</v>
      </c>
      <c r="B836" s="14" t="n">
        <v>2.39</v>
      </c>
      <c r="C836" s="14" t="n">
        <v>2.5</v>
      </c>
      <c r="D836" s="14" t="n">
        <v>2.25</v>
      </c>
      <c r="F836" s="14" t="n">
        <v>-0.4</v>
      </c>
      <c r="G836" s="14" t="n">
        <v>0.75</v>
      </c>
      <c r="H836" s="14" t="n">
        <v>0.7034</v>
      </c>
      <c r="I836" s="14" t="n">
        <v>0.706179393950679</v>
      </c>
      <c r="J836" s="14" t="n">
        <v>0.714112237846326</v>
      </c>
      <c r="K836" s="14" t="n">
        <v>0.733156798915069</v>
      </c>
      <c r="L836" s="14" t="n">
        <v>0.774713072981314</v>
      </c>
      <c r="M836" s="14" t="n">
        <v>2.84</v>
      </c>
      <c r="N836" s="14" t="n">
        <v>2.901</v>
      </c>
      <c r="O836" s="14" t="n">
        <v>3.026</v>
      </c>
      <c r="P836" s="14" t="n">
        <v>3.271</v>
      </c>
      <c r="Q836" s="14" t="n">
        <v>0.75</v>
      </c>
      <c r="R836" s="14" t="n">
        <v>0.75</v>
      </c>
      <c r="S836" s="14" t="n">
        <v>6.5</v>
      </c>
    </row>
    <row r="837" customFormat="false" ht="15" hidden="false" customHeight="false" outlineLevel="0" collapsed="false">
      <c r="A837" s="13" t="n">
        <v>43496</v>
      </c>
      <c r="B837" s="14" t="n">
        <v>2.58</v>
      </c>
      <c r="C837" s="14" t="n">
        <v>2.5</v>
      </c>
      <c r="D837" s="14" t="n">
        <v>2.25</v>
      </c>
      <c r="F837" s="14" t="n">
        <v>-0.4</v>
      </c>
      <c r="G837" s="14" t="n">
        <v>0.75</v>
      </c>
      <c r="H837" s="14" t="n">
        <v>0.7034</v>
      </c>
      <c r="I837" s="14" t="n">
        <v>0.70338094656957</v>
      </c>
      <c r="J837" s="14" t="n">
        <v>0.706592523031178</v>
      </c>
      <c r="K837" s="14" t="n">
        <v>0.723686961693789</v>
      </c>
      <c r="L837" s="14" t="n">
        <v>0.764275829608028</v>
      </c>
      <c r="M837" s="14" t="n">
        <v>2.839</v>
      </c>
      <c r="N837" s="14" t="n">
        <v>2.9</v>
      </c>
      <c r="O837" s="14" t="n">
        <v>3.021</v>
      </c>
      <c r="P837" s="14" t="n">
        <v>3.252</v>
      </c>
      <c r="Q837" s="14" t="n">
        <v>0.75</v>
      </c>
      <c r="R837" s="14" t="n">
        <v>0.75</v>
      </c>
      <c r="S837" s="14" t="n">
        <v>6.5</v>
      </c>
    </row>
    <row r="838" customFormat="false" ht="15" hidden="false" customHeight="false" outlineLevel="0" collapsed="false">
      <c r="A838" s="13" t="n">
        <v>43497</v>
      </c>
      <c r="B838" s="14" t="n">
        <v>2.47</v>
      </c>
      <c r="C838" s="14" t="n">
        <v>2.5</v>
      </c>
      <c r="D838" s="14" t="n">
        <v>2.25</v>
      </c>
      <c r="F838" s="14" t="n">
        <v>-0.4</v>
      </c>
      <c r="G838" s="14" t="n">
        <v>0.75</v>
      </c>
      <c r="H838" s="14" t="n">
        <v>0.7025</v>
      </c>
      <c r="I838" s="14" t="n">
        <v>0.704281509520889</v>
      </c>
      <c r="J838" s="14" t="n">
        <v>0.709134617482661</v>
      </c>
      <c r="K838" s="14" t="n">
        <v>0.727320204962268</v>
      </c>
      <c r="L838" s="14" t="n">
        <v>0.767295865088906</v>
      </c>
      <c r="M838" s="14" t="n">
        <v>2.835</v>
      </c>
      <c r="N838" s="14" t="n">
        <v>2.9</v>
      </c>
      <c r="O838" s="14" t="n">
        <v>3.017</v>
      </c>
      <c r="P838" s="14" t="n">
        <v>3.241</v>
      </c>
      <c r="Q838" s="14" t="n">
        <v>0.75</v>
      </c>
      <c r="R838" s="14" t="n">
        <v>0.75</v>
      </c>
      <c r="S838" s="14" t="n">
        <v>6.5</v>
      </c>
    </row>
    <row r="839" customFormat="false" ht="15" hidden="false" customHeight="false" outlineLevel="0" collapsed="false">
      <c r="A839" s="13" t="n">
        <v>43498</v>
      </c>
      <c r="C839" s="14" t="n">
        <v>2.5</v>
      </c>
      <c r="D839" s="14" t="n">
        <v>2.25</v>
      </c>
      <c r="F839" s="14" t="n">
        <v>-0.4</v>
      </c>
      <c r="M839" s="14" t="n">
        <v>2.819</v>
      </c>
      <c r="N839" s="14" t="n">
        <v>2.9</v>
      </c>
      <c r="O839" s="14" t="n">
        <v>3.011</v>
      </c>
      <c r="P839" s="14" t="n">
        <v>3.218</v>
      </c>
      <c r="S839" s="14" t="n">
        <v>6.5</v>
      </c>
    </row>
    <row r="840" customFormat="false" ht="15" hidden="false" customHeight="false" outlineLevel="0" collapsed="false">
      <c r="A840" s="13" t="n">
        <v>43499</v>
      </c>
      <c r="C840" s="14" t="n">
        <v>2.5</v>
      </c>
      <c r="D840" s="14" t="n">
        <v>2.25</v>
      </c>
      <c r="F840" s="14" t="n">
        <v>-0.4</v>
      </c>
      <c r="M840" s="14" t="n">
        <v>2.808</v>
      </c>
      <c r="N840" s="14" t="n">
        <v>2.9</v>
      </c>
      <c r="O840" s="14" t="n">
        <v>3.006</v>
      </c>
      <c r="P840" s="14" t="n">
        <v>3.202</v>
      </c>
      <c r="S840" s="14" t="n">
        <v>6.5</v>
      </c>
    </row>
    <row r="841" customFormat="false" ht="15" hidden="false" customHeight="false" outlineLevel="0" collapsed="false">
      <c r="A841" s="13" t="n">
        <v>43500</v>
      </c>
      <c r="B841" s="14" t="n">
        <v>2.4</v>
      </c>
      <c r="C841" s="14" t="n">
        <v>2.5</v>
      </c>
      <c r="D841" s="14" t="n">
        <v>2.25</v>
      </c>
      <c r="F841" s="14" t="n">
        <v>-0.4</v>
      </c>
      <c r="G841" s="14" t="n">
        <v>0.75</v>
      </c>
      <c r="H841" s="14" t="n">
        <v>0.7051</v>
      </c>
      <c r="I841" s="14" t="n">
        <v>0.710803276278122</v>
      </c>
      <c r="J841" s="14" t="n">
        <v>0.716921572155641</v>
      </c>
      <c r="K841" s="14" t="n">
        <v>0.736110021757217</v>
      </c>
      <c r="L841" s="14" t="n">
        <v>0.780047370906343</v>
      </c>
      <c r="Q841" s="14" t="n">
        <v>0.75</v>
      </c>
      <c r="R841" s="14" t="n">
        <v>0.75</v>
      </c>
      <c r="S841" s="14" t="n">
        <v>6.5</v>
      </c>
    </row>
    <row r="842" customFormat="false" ht="15" hidden="false" customHeight="false" outlineLevel="0" collapsed="false">
      <c r="A842" s="13" t="n">
        <v>43501</v>
      </c>
      <c r="B842" s="14" t="n">
        <v>2.4</v>
      </c>
      <c r="C842" s="14" t="n">
        <v>2.5</v>
      </c>
      <c r="D842" s="14" t="n">
        <v>2.25</v>
      </c>
      <c r="F842" s="14" t="n">
        <v>-0.4</v>
      </c>
      <c r="G842" s="14" t="n">
        <v>0.75</v>
      </c>
      <c r="H842" s="14" t="n">
        <v>0.7048</v>
      </c>
      <c r="I842" s="14" t="n">
        <v>0.707809708743037</v>
      </c>
      <c r="J842" s="14" t="n">
        <v>0.714000257783664</v>
      </c>
      <c r="K842" s="14" t="n">
        <v>0.731630066548724</v>
      </c>
      <c r="L842" s="14" t="n">
        <v>0.772093587838555</v>
      </c>
      <c r="Q842" s="14" t="n">
        <v>0.75</v>
      </c>
      <c r="R842" s="14" t="n">
        <v>0.74</v>
      </c>
      <c r="S842" s="14" t="n">
        <v>6.5</v>
      </c>
    </row>
    <row r="843" customFormat="false" ht="15" hidden="false" customHeight="false" outlineLevel="0" collapsed="false">
      <c r="A843" s="13" t="n">
        <v>43502</v>
      </c>
      <c r="B843" s="14" t="n">
        <v>2.38</v>
      </c>
      <c r="C843" s="14" t="n">
        <v>2.5</v>
      </c>
      <c r="D843" s="14" t="n">
        <v>2.25</v>
      </c>
      <c r="F843" s="14" t="n">
        <v>-0.4</v>
      </c>
      <c r="G843" s="14" t="n">
        <v>0.75</v>
      </c>
      <c r="H843" s="14" t="n">
        <v>0.7066</v>
      </c>
      <c r="I843" s="14" t="n">
        <v>0.705945046621559</v>
      </c>
      <c r="J843" s="14" t="n">
        <v>0.710774187334697</v>
      </c>
      <c r="K843" s="14" t="n">
        <v>0.729634844076884</v>
      </c>
      <c r="L843" s="14" t="n">
        <v>0.773112968709745</v>
      </c>
      <c r="Q843" s="14" t="n">
        <v>0.75</v>
      </c>
      <c r="R843" s="14" t="n">
        <v>0.74</v>
      </c>
      <c r="S843" s="14" t="n">
        <v>6.5</v>
      </c>
    </row>
    <row r="844" customFormat="false" ht="15" hidden="false" customHeight="false" outlineLevel="0" collapsed="false">
      <c r="A844" s="13" t="n">
        <v>43503</v>
      </c>
      <c r="B844" s="14" t="n">
        <v>2.38</v>
      </c>
      <c r="C844" s="14" t="n">
        <v>2.5</v>
      </c>
      <c r="D844" s="14" t="n">
        <v>2.25</v>
      </c>
      <c r="F844" s="14" t="n">
        <v>-0.4</v>
      </c>
      <c r="G844" s="14" t="n">
        <v>0.75</v>
      </c>
      <c r="H844" s="14" t="n">
        <v>0.7065</v>
      </c>
      <c r="I844" s="14" t="n">
        <v>0.70382982055189</v>
      </c>
      <c r="J844" s="14" t="n">
        <v>0.706507224574164</v>
      </c>
      <c r="K844" s="14" t="n">
        <v>0.718332742471138</v>
      </c>
      <c r="L844" s="14" t="n">
        <v>0.748992868290667</v>
      </c>
      <c r="Q844" s="14" t="n">
        <v>0.75</v>
      </c>
      <c r="R844" s="14" t="n">
        <v>0.74</v>
      </c>
      <c r="S844" s="14" t="n">
        <v>6.5</v>
      </c>
    </row>
    <row r="845" customFormat="false" ht="15" hidden="false" customHeight="false" outlineLevel="0" collapsed="false">
      <c r="A845" s="13" t="n">
        <v>43504</v>
      </c>
      <c r="B845" s="14" t="n">
        <v>2.37</v>
      </c>
      <c r="C845" s="14" t="n">
        <v>2.5</v>
      </c>
      <c r="D845" s="14" t="n">
        <v>2.25</v>
      </c>
      <c r="F845" s="14" t="n">
        <v>-0.4</v>
      </c>
      <c r="G845" s="14" t="n">
        <v>0.75</v>
      </c>
      <c r="H845" s="14" t="n">
        <v>0.7056</v>
      </c>
      <c r="I845" s="14" t="n">
        <v>0.705233620916573</v>
      </c>
      <c r="J845" s="14" t="n">
        <v>0.704822829891386</v>
      </c>
      <c r="K845" s="14" t="n">
        <v>0.712844927207012</v>
      </c>
      <c r="L845" s="14" t="n">
        <v>0.736550342354182</v>
      </c>
      <c r="Q845" s="14" t="n">
        <v>0.75</v>
      </c>
      <c r="R845" s="14" t="n">
        <v>0.74</v>
      </c>
      <c r="S845" s="14" t="n">
        <v>6.5</v>
      </c>
    </row>
    <row r="846" customFormat="false" ht="15" hidden="false" customHeight="false" outlineLevel="0" collapsed="false">
      <c r="A846" s="13" t="n">
        <v>43507</v>
      </c>
      <c r="B846" s="14" t="n">
        <v>2.4</v>
      </c>
      <c r="C846" s="14" t="n">
        <v>2.5</v>
      </c>
      <c r="D846" s="14" t="n">
        <v>2.25</v>
      </c>
      <c r="F846" s="14" t="n">
        <v>-0.4</v>
      </c>
      <c r="G846" s="14" t="n">
        <v>0.75</v>
      </c>
      <c r="H846" s="14" t="n">
        <v>0.7059</v>
      </c>
      <c r="I846" s="14" t="n">
        <v>0.705622397305923</v>
      </c>
      <c r="J846" s="14" t="n">
        <v>0.70626433303689</v>
      </c>
      <c r="K846" s="14" t="n">
        <v>0.716737979896434</v>
      </c>
      <c r="L846" s="14" t="n">
        <v>0.747642088383326</v>
      </c>
      <c r="M846" s="14" t="n">
        <v>2.785</v>
      </c>
      <c r="N846" s="14" t="n">
        <v>2.898</v>
      </c>
      <c r="O846" s="14" t="n">
        <v>2.995</v>
      </c>
      <c r="P846" s="14" t="n">
        <v>3.198</v>
      </c>
      <c r="Q846" s="14" t="n">
        <v>0.75</v>
      </c>
      <c r="R846" s="14" t="n">
        <v>0.75</v>
      </c>
      <c r="S846" s="14" t="n">
        <v>6.5</v>
      </c>
    </row>
    <row r="847" customFormat="false" ht="15" hidden="false" customHeight="false" outlineLevel="0" collapsed="false">
      <c r="A847" s="13" t="n">
        <v>43508</v>
      </c>
      <c r="B847" s="14" t="n">
        <v>2.39</v>
      </c>
      <c r="C847" s="14" t="n">
        <v>2.5</v>
      </c>
      <c r="D847" s="14" t="n">
        <v>2.25</v>
      </c>
      <c r="F847" s="14" t="n">
        <v>-0.4</v>
      </c>
      <c r="G847" s="14" t="n">
        <v>0.75</v>
      </c>
      <c r="H847" s="14" t="n">
        <v>0.705</v>
      </c>
      <c r="I847" s="14" t="n">
        <v>0.701736859548702</v>
      </c>
      <c r="J847" s="14" t="n">
        <v>0.703321448473476</v>
      </c>
      <c r="K847" s="14" t="n">
        <v>0.714264690850707</v>
      </c>
      <c r="L847" s="14" t="n">
        <v>0.737754133228879</v>
      </c>
      <c r="M847" s="14" t="n">
        <v>2.76</v>
      </c>
      <c r="N847" s="14" t="n">
        <v>2.872</v>
      </c>
      <c r="O847" s="14" t="n">
        <v>2.961</v>
      </c>
      <c r="P847" s="14" t="n">
        <v>3.172</v>
      </c>
      <c r="Q847" s="14" t="n">
        <v>0.75</v>
      </c>
      <c r="R847" s="14" t="n">
        <v>0.75</v>
      </c>
      <c r="S847" s="14" t="n">
        <v>6.5</v>
      </c>
    </row>
    <row r="848" customFormat="false" ht="15" hidden="false" customHeight="false" outlineLevel="0" collapsed="false">
      <c r="A848" s="13" t="n">
        <v>43509</v>
      </c>
      <c r="B848" s="14" t="n">
        <v>2.38</v>
      </c>
      <c r="C848" s="14" t="n">
        <v>2.5</v>
      </c>
      <c r="D848" s="14" t="n">
        <v>2.25</v>
      </c>
      <c r="F848" s="14" t="n">
        <v>-0.4</v>
      </c>
      <c r="G848" s="14" t="n">
        <v>0.75</v>
      </c>
      <c r="H848" s="14" t="n">
        <v>0.7069</v>
      </c>
      <c r="I848" s="14" t="n">
        <v>0.704675660630214</v>
      </c>
      <c r="J848" s="14" t="n">
        <v>0.7041169395848</v>
      </c>
      <c r="K848" s="14" t="n">
        <v>0.715874243485909</v>
      </c>
      <c r="L848" s="14" t="n">
        <v>0.744018967914298</v>
      </c>
      <c r="M848" s="14" t="n">
        <v>2.732</v>
      </c>
      <c r="N848" s="14" t="n">
        <v>2.852</v>
      </c>
      <c r="O848" s="14" t="n">
        <v>2.938</v>
      </c>
      <c r="P848" s="14" t="n">
        <v>3.146</v>
      </c>
      <c r="Q848" s="14" t="n">
        <v>0.75</v>
      </c>
      <c r="R848" s="14" t="n">
        <v>0.74</v>
      </c>
      <c r="S848" s="14" t="n">
        <v>6.5</v>
      </c>
    </row>
    <row r="849" customFormat="false" ht="15" hidden="false" customHeight="false" outlineLevel="0" collapsed="false">
      <c r="A849" s="13" t="n">
        <v>43510</v>
      </c>
      <c r="B849" s="14" t="n">
        <v>2.39</v>
      </c>
      <c r="C849" s="14" t="n">
        <v>2.5</v>
      </c>
      <c r="D849" s="14" t="n">
        <v>2.25</v>
      </c>
      <c r="F849" s="14" t="n">
        <v>-0.4</v>
      </c>
      <c r="G849" s="14" t="n">
        <v>0.75</v>
      </c>
      <c r="H849" s="14" t="n">
        <v>0.7063</v>
      </c>
      <c r="I849" s="14" t="n">
        <v>0.703615101745157</v>
      </c>
      <c r="J849" s="14" t="n">
        <v>0.700047582720763</v>
      </c>
      <c r="K849" s="14" t="n">
        <v>0.709819699517303</v>
      </c>
      <c r="L849" s="14" t="n">
        <v>0.733411613188733</v>
      </c>
      <c r="M849" s="14" t="n">
        <v>2.714</v>
      </c>
      <c r="N849" s="14" t="n">
        <v>2.83</v>
      </c>
      <c r="O849" s="14" t="n">
        <v>2.908</v>
      </c>
      <c r="P849" s="14" t="n">
        <v>3.119</v>
      </c>
      <c r="Q849" s="14" t="n">
        <v>0.75</v>
      </c>
      <c r="R849" s="14" t="n">
        <v>0.75</v>
      </c>
      <c r="S849" s="14" t="n">
        <v>6.5</v>
      </c>
    </row>
    <row r="850" customFormat="false" ht="15" hidden="false" customHeight="false" outlineLevel="0" collapsed="false">
      <c r="A850" s="13" t="n">
        <v>43511</v>
      </c>
      <c r="B850" s="14" t="n">
        <v>2.43</v>
      </c>
      <c r="C850" s="14" t="n">
        <v>2.5</v>
      </c>
      <c r="D850" s="14" t="n">
        <v>2.25</v>
      </c>
      <c r="F850" s="14" t="n">
        <v>-0.4</v>
      </c>
      <c r="G850" s="14" t="n">
        <v>0.75</v>
      </c>
      <c r="H850" s="14" t="n">
        <v>0.7061</v>
      </c>
      <c r="I850" s="14" t="n">
        <v>0.704207704628607</v>
      </c>
      <c r="J850" s="14" t="n">
        <v>0.70542036628774</v>
      </c>
      <c r="K850" s="14" t="n">
        <v>0.712691140231498</v>
      </c>
      <c r="L850" s="14" t="n">
        <v>0.741960552859189</v>
      </c>
      <c r="M850" s="14" t="n">
        <v>2.698</v>
      </c>
      <c r="N850" s="14" t="n">
        <v>2.802</v>
      </c>
      <c r="O850" s="14" t="n">
        <v>2.898</v>
      </c>
      <c r="P850" s="14" t="n">
        <v>3.095</v>
      </c>
      <c r="Q850" s="14" t="n">
        <v>0.75</v>
      </c>
      <c r="R850" s="14" t="n">
        <v>0.75</v>
      </c>
      <c r="S850" s="14" t="n">
        <v>6.5</v>
      </c>
    </row>
    <row r="851" customFormat="false" ht="15" hidden="false" customHeight="false" outlineLevel="0" collapsed="false">
      <c r="A851" s="13" t="n">
        <v>43514</v>
      </c>
      <c r="C851" s="14" t="n">
        <v>2.5</v>
      </c>
      <c r="D851" s="14" t="n">
        <v>2.25</v>
      </c>
      <c r="F851" s="14" t="n">
        <v>-0.4</v>
      </c>
      <c r="G851" s="14" t="n">
        <v>0.75</v>
      </c>
      <c r="H851" s="14" t="n">
        <v>0.7055</v>
      </c>
      <c r="I851" s="14" t="n">
        <v>0.702962353300546</v>
      </c>
      <c r="J851" s="14" t="n">
        <v>0.699438885791002</v>
      </c>
      <c r="K851" s="14" t="n">
        <v>0.709533607507181</v>
      </c>
      <c r="L851" s="14" t="n">
        <v>0.735330498894133</v>
      </c>
      <c r="M851" s="14" t="n">
        <v>2.687</v>
      </c>
      <c r="N851" s="14" t="n">
        <v>2.797</v>
      </c>
      <c r="O851" s="14" t="n">
        <v>2.885</v>
      </c>
      <c r="P851" s="14" t="n">
        <v>3.081</v>
      </c>
      <c r="Q851" s="14" t="n">
        <v>0.75</v>
      </c>
      <c r="R851" s="14" t="n">
        <v>0.77</v>
      </c>
      <c r="S851" s="14" t="n">
        <v>6.5</v>
      </c>
    </row>
    <row r="852" customFormat="false" ht="15" hidden="false" customHeight="false" outlineLevel="0" collapsed="false">
      <c r="A852" s="13" t="n">
        <v>43515</v>
      </c>
      <c r="B852" s="14" t="n">
        <v>2.4</v>
      </c>
      <c r="C852" s="14" t="n">
        <v>2.5</v>
      </c>
      <c r="D852" s="14" t="n">
        <v>2.25</v>
      </c>
      <c r="F852" s="14" t="n">
        <v>-0.4</v>
      </c>
      <c r="G852" s="14" t="n">
        <v>0.75</v>
      </c>
      <c r="H852" s="14" t="n">
        <v>0.706</v>
      </c>
      <c r="I852" s="14" t="n">
        <v>0.700732306021438</v>
      </c>
      <c r="J852" s="14" t="n">
        <v>0.698547548546392</v>
      </c>
      <c r="K852" s="14" t="n">
        <v>0.710323019646794</v>
      </c>
      <c r="L852" s="14" t="n">
        <v>0.740164729280189</v>
      </c>
      <c r="M852" s="14" t="n">
        <v>2.676</v>
      </c>
      <c r="N852" s="14" t="n">
        <v>2.778</v>
      </c>
      <c r="O852" s="14" t="n">
        <v>2.876</v>
      </c>
      <c r="P852" s="14" t="n">
        <v>3.073</v>
      </c>
      <c r="Q852" s="14" t="n">
        <v>0.75</v>
      </c>
      <c r="R852" s="14" t="n">
        <v>0.75</v>
      </c>
      <c r="S852" s="14" t="n">
        <v>6.5</v>
      </c>
    </row>
    <row r="853" customFormat="false" ht="15" hidden="false" customHeight="false" outlineLevel="0" collapsed="false">
      <c r="A853" s="13" t="n">
        <v>43516</v>
      </c>
      <c r="B853" s="14" t="n">
        <v>2.39</v>
      </c>
      <c r="C853" s="14" t="n">
        <v>2.5</v>
      </c>
      <c r="D853" s="14" t="n">
        <v>2.25</v>
      </c>
      <c r="F853" s="14" t="n">
        <v>-0.4</v>
      </c>
      <c r="G853" s="14" t="n">
        <v>0.75</v>
      </c>
      <c r="H853" s="14" t="n">
        <v>0.7077</v>
      </c>
      <c r="I853" s="14" t="n">
        <v>0.703911968433372</v>
      </c>
      <c r="J853" s="14" t="n">
        <v>0.702416849144655</v>
      </c>
      <c r="K853" s="14" t="n">
        <v>0.714285434544697</v>
      </c>
      <c r="L853" s="14" t="n">
        <v>0.751627563640977</v>
      </c>
      <c r="M853" s="14" t="n">
        <v>2.655</v>
      </c>
      <c r="N853" s="14" t="n">
        <v>2.759</v>
      </c>
      <c r="O853" s="14" t="n">
        <v>2.864</v>
      </c>
      <c r="P853" s="14" t="n">
        <v>3.069</v>
      </c>
      <c r="Q853" s="14" t="n">
        <v>0.75</v>
      </c>
      <c r="R853" s="14" t="n">
        <v>0.76</v>
      </c>
      <c r="S853" s="14" t="n">
        <v>6.5</v>
      </c>
    </row>
    <row r="854" customFormat="false" ht="15" hidden="false" customHeight="false" outlineLevel="0" collapsed="false">
      <c r="A854" s="13" t="n">
        <v>43517</v>
      </c>
      <c r="B854" s="14" t="n">
        <v>2.39</v>
      </c>
      <c r="C854" s="14" t="n">
        <v>2.5</v>
      </c>
      <c r="D854" s="14" t="n">
        <v>2.25</v>
      </c>
      <c r="F854" s="14" t="n">
        <v>-0.4</v>
      </c>
      <c r="G854" s="14" t="n">
        <v>0.75</v>
      </c>
      <c r="H854" s="14" t="n">
        <v>0.7072</v>
      </c>
      <c r="I854" s="14" t="n">
        <v>0.706273808693105</v>
      </c>
      <c r="J854" s="14" t="n">
        <v>0.703311674444369</v>
      </c>
      <c r="K854" s="14" t="n">
        <v>0.717549591387013</v>
      </c>
      <c r="L854" s="14" t="n">
        <v>0.759521377305251</v>
      </c>
      <c r="M854" s="14" t="n">
        <v>2.651</v>
      </c>
      <c r="N854" s="14" t="n">
        <v>2.749</v>
      </c>
      <c r="O854" s="14" t="n">
        <v>2.858</v>
      </c>
      <c r="P854" s="14" t="n">
        <v>3.063</v>
      </c>
      <c r="Q854" s="14" t="n">
        <v>0.75</v>
      </c>
      <c r="R854" s="14" t="n">
        <v>0.74</v>
      </c>
      <c r="S854" s="14" t="n">
        <v>6.5</v>
      </c>
    </row>
    <row r="855" customFormat="false" ht="15" hidden="false" customHeight="false" outlineLevel="0" collapsed="false">
      <c r="A855" s="13" t="n">
        <v>43518</v>
      </c>
      <c r="B855" s="14" t="n">
        <v>2.4</v>
      </c>
      <c r="C855" s="14" t="n">
        <v>2.5</v>
      </c>
      <c r="D855" s="14" t="n">
        <v>2.25</v>
      </c>
      <c r="F855" s="14" t="n">
        <v>-0.4</v>
      </c>
      <c r="G855" s="14" t="n">
        <v>0.75</v>
      </c>
      <c r="H855" s="14" t="n">
        <v>0.7083</v>
      </c>
      <c r="I855" s="14" t="n">
        <v>0.703227953233053</v>
      </c>
      <c r="J855" s="14" t="n">
        <v>0.698801007698691</v>
      </c>
      <c r="K855" s="14" t="n">
        <v>0.712442139758603</v>
      </c>
      <c r="L855" s="14" t="n">
        <v>0.750253544270703</v>
      </c>
      <c r="M855" s="14" t="n">
        <v>2.656</v>
      </c>
      <c r="N855" s="14" t="n">
        <v>2.749</v>
      </c>
      <c r="O855" s="14" t="n">
        <v>2.854</v>
      </c>
      <c r="P855" s="14" t="n">
        <v>3.063</v>
      </c>
      <c r="Q855" s="14" t="n">
        <v>0.75</v>
      </c>
      <c r="R855" s="14" t="n">
        <v>0.74</v>
      </c>
      <c r="S855" s="14" t="n">
        <v>6.5</v>
      </c>
    </row>
    <row r="856" customFormat="false" ht="15" hidden="false" customHeight="false" outlineLevel="0" collapsed="false">
      <c r="A856" s="13" t="n">
        <v>43521</v>
      </c>
      <c r="B856" s="14" t="n">
        <v>2.38</v>
      </c>
      <c r="C856" s="14" t="n">
        <v>2.5</v>
      </c>
      <c r="D856" s="14" t="n">
        <v>2.25</v>
      </c>
      <c r="F856" s="14" t="n">
        <v>-0.4</v>
      </c>
      <c r="G856" s="14" t="n">
        <v>0.75</v>
      </c>
      <c r="H856" s="14" t="n">
        <v>0.708</v>
      </c>
      <c r="I856" s="14" t="n">
        <v>0.702308561400435</v>
      </c>
      <c r="J856" s="14" t="n">
        <v>0.699952861029825</v>
      </c>
      <c r="K856" s="14" t="n">
        <v>0.715336574474062</v>
      </c>
      <c r="L856" s="14" t="n">
        <v>0.753057176472613</v>
      </c>
      <c r="M856" s="14" t="n">
        <v>2.659</v>
      </c>
      <c r="N856" s="14" t="n">
        <v>2.752</v>
      </c>
      <c r="O856" s="14" t="n">
        <v>2.85</v>
      </c>
      <c r="P856" s="14" t="n">
        <v>3.059</v>
      </c>
      <c r="Q856" s="14" t="n">
        <v>0.75</v>
      </c>
      <c r="R856" s="14" t="n">
        <v>0.74</v>
      </c>
      <c r="S856" s="14" t="n">
        <v>6.5</v>
      </c>
    </row>
    <row r="857" customFormat="false" ht="15" hidden="false" customHeight="false" outlineLevel="0" collapsed="false">
      <c r="A857" s="13" t="n">
        <v>43522</v>
      </c>
      <c r="B857" s="14" t="n">
        <v>2.38</v>
      </c>
      <c r="C857" s="14" t="n">
        <v>2.5</v>
      </c>
      <c r="D857" s="14" t="n">
        <v>2.25</v>
      </c>
      <c r="F857" s="14" t="n">
        <v>-0.4</v>
      </c>
      <c r="G857" s="14" t="n">
        <v>0.75</v>
      </c>
      <c r="H857" s="14" t="n">
        <v>0.7074</v>
      </c>
      <c r="I857" s="14" t="n">
        <v>0.701828253713123</v>
      </c>
      <c r="J857" s="14" t="n">
        <v>0.700970107237063</v>
      </c>
      <c r="K857" s="14" t="n">
        <v>0.718742516545118</v>
      </c>
      <c r="L857" s="14" t="n">
        <v>0.764020891495506</v>
      </c>
      <c r="M857" s="14" t="n">
        <v>2.681</v>
      </c>
      <c r="N857" s="14" t="n">
        <v>2.756</v>
      </c>
      <c r="O857" s="14" t="n">
        <v>2.851</v>
      </c>
      <c r="P857" s="14" t="n">
        <v>3.059</v>
      </c>
      <c r="Q857" s="14" t="n">
        <v>0.75</v>
      </c>
      <c r="R857" s="14" t="n">
        <v>0.74</v>
      </c>
      <c r="S857" s="14" t="n">
        <v>6.5</v>
      </c>
    </row>
    <row r="858" customFormat="false" ht="15" hidden="false" customHeight="false" outlineLevel="0" collapsed="false">
      <c r="A858" s="13" t="n">
        <v>43523</v>
      </c>
      <c r="B858" s="14" t="n">
        <v>2.37</v>
      </c>
      <c r="C858" s="14" t="n">
        <v>2.5</v>
      </c>
      <c r="D858" s="14" t="n">
        <v>2.25</v>
      </c>
      <c r="F858" s="14" t="n">
        <v>-0.4</v>
      </c>
      <c r="G858" s="14" t="n">
        <v>0.75</v>
      </c>
      <c r="H858" s="14" t="n">
        <v>0.7065</v>
      </c>
      <c r="I858" s="14" t="n">
        <v>0.702618900136202</v>
      </c>
      <c r="J858" s="14" t="n">
        <v>0.702988308500947</v>
      </c>
      <c r="K858" s="14" t="n">
        <v>0.723150710204117</v>
      </c>
      <c r="L858" s="14" t="n">
        <v>0.77668176487643</v>
      </c>
      <c r="M858" s="14" t="n">
        <v>2.686</v>
      </c>
      <c r="N858" s="14" t="n">
        <v>2.756</v>
      </c>
      <c r="O858" s="14" t="n">
        <v>2.852</v>
      </c>
      <c r="P858" s="14" t="n">
        <v>3.061</v>
      </c>
      <c r="Q858" s="14" t="n">
        <v>0.75</v>
      </c>
      <c r="R858" s="14" t="n">
        <v>0.75</v>
      </c>
      <c r="S858" s="14" t="n">
        <v>6.5</v>
      </c>
    </row>
    <row r="859" customFormat="false" ht="15" hidden="false" customHeight="false" outlineLevel="0" collapsed="false">
      <c r="A859" s="13" t="n">
        <v>43524</v>
      </c>
      <c r="B859" s="14" t="n">
        <v>2.58</v>
      </c>
      <c r="C859" s="14" t="n">
        <v>2.5</v>
      </c>
      <c r="D859" s="14" t="n">
        <v>2.25</v>
      </c>
      <c r="F859" s="14" t="n">
        <v>-0.4</v>
      </c>
      <c r="G859" s="14" t="n">
        <v>0.75</v>
      </c>
      <c r="H859" s="14" t="n">
        <v>0.705</v>
      </c>
      <c r="I859" s="14" t="n">
        <v>0.708209397823199</v>
      </c>
      <c r="J859" s="14" t="n">
        <v>0.708651725751868</v>
      </c>
      <c r="K859" s="14" t="n">
        <v>0.723021274467014</v>
      </c>
      <c r="L859" s="14" t="n">
        <v>0.776630352333702</v>
      </c>
      <c r="M859" s="14" t="n">
        <v>2.694</v>
      </c>
      <c r="N859" s="14" t="n">
        <v>2.751</v>
      </c>
      <c r="O859" s="14" t="n">
        <v>2.85</v>
      </c>
      <c r="P859" s="14" t="n">
        <v>3.06</v>
      </c>
      <c r="Q859" s="14" t="n">
        <v>0.75</v>
      </c>
      <c r="R859" s="14" t="n">
        <v>0.76</v>
      </c>
      <c r="S859" s="14" t="n">
        <v>6.5</v>
      </c>
    </row>
    <row r="860" customFormat="false" ht="15" hidden="false" customHeight="false" outlineLevel="0" collapsed="false">
      <c r="A860" s="13" t="n">
        <v>43525</v>
      </c>
      <c r="B860" s="14" t="n">
        <v>2.38</v>
      </c>
      <c r="C860" s="14" t="n">
        <v>2.5</v>
      </c>
      <c r="D860" s="14" t="n">
        <v>2.25</v>
      </c>
      <c r="F860" s="14" t="n">
        <v>-0.4</v>
      </c>
      <c r="G860" s="14" t="n">
        <v>0.75</v>
      </c>
      <c r="H860" s="14" t="n">
        <v>0.7057</v>
      </c>
      <c r="I860" s="14" t="n">
        <v>0.697909008300443</v>
      </c>
      <c r="J860" s="14" t="n">
        <v>0.701373361661525</v>
      </c>
      <c r="K860" s="14" t="n">
        <v>0.722029154538012</v>
      </c>
      <c r="L860" s="14" t="n">
        <v>0.774170795959252</v>
      </c>
      <c r="M860" s="14" t="n">
        <v>2.7</v>
      </c>
      <c r="N860" s="14" t="n">
        <v>2.75</v>
      </c>
      <c r="O860" s="14" t="n">
        <v>2.85</v>
      </c>
      <c r="P860" s="14" t="n">
        <v>3.059</v>
      </c>
      <c r="Q860" s="14" t="n">
        <v>0.75</v>
      </c>
      <c r="R860" s="14" t="n">
        <v>0.75</v>
      </c>
      <c r="S860" s="14" t="n">
        <v>6.5</v>
      </c>
    </row>
    <row r="861" customFormat="false" ht="15" hidden="false" customHeight="false" outlineLevel="0" collapsed="false">
      <c r="A861" s="13" t="n">
        <v>43528</v>
      </c>
      <c r="B861" s="14" t="n">
        <v>2.38</v>
      </c>
      <c r="C861" s="14" t="n">
        <v>2.5</v>
      </c>
      <c r="D861" s="14" t="n">
        <v>2.25</v>
      </c>
      <c r="F861" s="14" t="n">
        <v>-0.4</v>
      </c>
      <c r="G861" s="14" t="n">
        <v>0.75</v>
      </c>
      <c r="H861" s="14" t="n">
        <v>0.7069</v>
      </c>
      <c r="I861" s="14" t="n">
        <v>0.695944495606221</v>
      </c>
      <c r="J861" s="14" t="n">
        <v>0.699781770272948</v>
      </c>
      <c r="K861" s="14" t="n">
        <v>0.718644883541886</v>
      </c>
      <c r="L861" s="14" t="n">
        <v>0.77038850993938</v>
      </c>
      <c r="M861" s="14" t="n">
        <v>2.696</v>
      </c>
      <c r="N861" s="14" t="n">
        <v>2.75</v>
      </c>
      <c r="O861" s="14" t="n">
        <v>2.85</v>
      </c>
      <c r="P861" s="14" t="n">
        <v>3.058</v>
      </c>
      <c r="Q861" s="14" t="n">
        <v>0.75</v>
      </c>
      <c r="R861" s="14" t="n">
        <v>0.74</v>
      </c>
      <c r="S861" s="14" t="n">
        <v>6.5</v>
      </c>
    </row>
    <row r="862" customFormat="false" ht="15" hidden="false" customHeight="false" outlineLevel="0" collapsed="false">
      <c r="A862" s="13" t="n">
        <v>43529</v>
      </c>
      <c r="B862" s="14" t="n">
        <v>2.38</v>
      </c>
      <c r="C862" s="14" t="n">
        <v>2.5</v>
      </c>
      <c r="D862" s="14" t="n">
        <v>2.25</v>
      </c>
      <c r="F862" s="14" t="n">
        <v>-0.4</v>
      </c>
      <c r="G862" s="14" t="n">
        <v>0.75</v>
      </c>
      <c r="H862" s="14" t="n">
        <v>0.7065</v>
      </c>
      <c r="I862" s="14" t="n">
        <v>0.693368180996859</v>
      </c>
      <c r="J862" s="14" t="n">
        <v>0.699538317791736</v>
      </c>
      <c r="K862" s="14" t="n">
        <v>0.721542481883028</v>
      </c>
      <c r="L862" s="14" t="n">
        <v>0.775818571888644</v>
      </c>
      <c r="M862" s="14" t="n">
        <v>2.699</v>
      </c>
      <c r="N862" s="14" t="n">
        <v>2.75</v>
      </c>
      <c r="O862" s="14" t="n">
        <v>2.85</v>
      </c>
      <c r="P862" s="14" t="n">
        <v>3.055</v>
      </c>
      <c r="Q862" s="14" t="n">
        <v>0.75</v>
      </c>
      <c r="R862" s="14" t="n">
        <v>0.75</v>
      </c>
      <c r="S862" s="14" t="n">
        <v>6.5</v>
      </c>
    </row>
    <row r="863" customFormat="false" ht="15" hidden="false" customHeight="false" outlineLevel="0" collapsed="false">
      <c r="A863" s="13" t="n">
        <v>43530</v>
      </c>
      <c r="B863" s="14" t="n">
        <v>2.38</v>
      </c>
      <c r="C863" s="14" t="n">
        <v>2.5</v>
      </c>
      <c r="D863" s="14" t="n">
        <v>2.25</v>
      </c>
      <c r="F863" s="14" t="n">
        <v>-0.4</v>
      </c>
      <c r="G863" s="14" t="n">
        <v>0.75</v>
      </c>
      <c r="H863" s="14" t="n">
        <v>0.7066</v>
      </c>
      <c r="I863" s="14" t="n">
        <v>0.704709588379593</v>
      </c>
      <c r="J863" s="14" t="n">
        <v>0.710167381297728</v>
      </c>
      <c r="K863" s="14" t="n">
        <v>0.722883443718319</v>
      </c>
      <c r="L863" s="14" t="n">
        <v>0.769641778008311</v>
      </c>
      <c r="M863" s="14" t="n">
        <v>2.703</v>
      </c>
      <c r="N863" s="14" t="n">
        <v>2.75</v>
      </c>
      <c r="O863" s="14" t="n">
        <v>2.85</v>
      </c>
      <c r="P863" s="14" t="n">
        <v>3.053</v>
      </c>
      <c r="Q863" s="14" t="n">
        <v>0.75</v>
      </c>
      <c r="R863" s="14" t="n">
        <v>0.74</v>
      </c>
      <c r="S863" s="14" t="n">
        <v>6.5</v>
      </c>
    </row>
    <row r="864" customFormat="false" ht="15" hidden="false" customHeight="false" outlineLevel="0" collapsed="false">
      <c r="A864" s="13" t="n">
        <v>43531</v>
      </c>
      <c r="B864" s="14" t="n">
        <v>2.38</v>
      </c>
      <c r="C864" s="14" t="n">
        <v>2.5</v>
      </c>
      <c r="D864" s="14" t="n">
        <v>2.25</v>
      </c>
      <c r="F864" s="14" t="n">
        <v>-0.4</v>
      </c>
      <c r="G864" s="14" t="n">
        <v>0.75</v>
      </c>
      <c r="H864" s="14" t="n">
        <v>0.7055</v>
      </c>
      <c r="I864" s="14" t="n">
        <v>0.690525485930708</v>
      </c>
      <c r="J864" s="14" t="n">
        <v>0.69705159330875</v>
      </c>
      <c r="K864" s="14" t="n">
        <v>0.713159222760689</v>
      </c>
      <c r="L864" s="14" t="n">
        <v>0.749041623978918</v>
      </c>
      <c r="M864" s="14" t="n">
        <v>2.705</v>
      </c>
      <c r="N864" s="14" t="n">
        <v>2.751</v>
      </c>
      <c r="O864" s="14" t="n">
        <v>2.85</v>
      </c>
      <c r="P864" s="14" t="n">
        <v>3.054</v>
      </c>
      <c r="Q864" s="14" t="n">
        <v>0.75</v>
      </c>
      <c r="R864" s="14" t="n">
        <v>0.76</v>
      </c>
      <c r="S864" s="14" t="n">
        <v>6.5</v>
      </c>
    </row>
    <row r="865" customFormat="false" ht="15" hidden="false" customHeight="false" outlineLevel="0" collapsed="false">
      <c r="A865" s="13" t="n">
        <v>43532</v>
      </c>
      <c r="B865" s="14" t="n">
        <v>2.39</v>
      </c>
      <c r="C865" s="14" t="n">
        <v>2.5</v>
      </c>
      <c r="D865" s="14" t="n">
        <v>2.25</v>
      </c>
      <c r="F865" s="14" t="n">
        <v>-0.4</v>
      </c>
      <c r="G865" s="14" t="n">
        <v>0.75</v>
      </c>
      <c r="H865" s="14" t="n">
        <v>0.7049</v>
      </c>
      <c r="I865" s="14" t="n">
        <v>0.707492793803301</v>
      </c>
      <c r="J865" s="14" t="n">
        <v>0.709636617632205</v>
      </c>
      <c r="K865" s="14" t="n">
        <v>0.719103755390698</v>
      </c>
      <c r="L865" s="14" t="n">
        <v>0.755419785057906</v>
      </c>
      <c r="M865" s="14" t="n">
        <v>2.712</v>
      </c>
      <c r="N865" s="14" t="n">
        <v>2.755</v>
      </c>
      <c r="O865" s="14" t="n">
        <v>2.85</v>
      </c>
      <c r="P865" s="14" t="n">
        <v>3.057</v>
      </c>
      <c r="Q865" s="14" t="n">
        <v>0.75</v>
      </c>
      <c r="R865" s="14" t="n">
        <v>0.74</v>
      </c>
      <c r="S865" s="14" t="n">
        <v>6.5</v>
      </c>
    </row>
    <row r="866" customFormat="false" ht="15" hidden="false" customHeight="false" outlineLevel="0" collapsed="false">
      <c r="A866" s="13" t="n">
        <v>43535</v>
      </c>
      <c r="B866" s="14" t="n">
        <v>2.38</v>
      </c>
      <c r="C866" s="14" t="n">
        <v>2.5</v>
      </c>
      <c r="D866" s="14" t="n">
        <v>2.25</v>
      </c>
      <c r="F866" s="14" t="n">
        <v>-0.4</v>
      </c>
      <c r="G866" s="14" t="n">
        <v>0.75</v>
      </c>
      <c r="H866" s="14" t="n">
        <v>0.7046</v>
      </c>
      <c r="I866" s="14" t="n">
        <v>0.684809327726888</v>
      </c>
      <c r="J866" s="14" t="n">
        <v>0.696976383222986</v>
      </c>
      <c r="K866" s="14" t="n">
        <v>0.715466103105047</v>
      </c>
      <c r="L866" s="14" t="n">
        <v>0.750529281641106</v>
      </c>
      <c r="M866" s="14" t="n">
        <v>2.7172</v>
      </c>
      <c r="N866" s="14" t="n">
        <v>2.7565</v>
      </c>
      <c r="O866" s="14" t="n">
        <v>2.85</v>
      </c>
      <c r="P866" s="14" t="n">
        <v>3.06</v>
      </c>
      <c r="Q866" s="14" t="n">
        <v>0.75</v>
      </c>
      <c r="R866" s="14" t="n">
        <v>0.75</v>
      </c>
      <c r="S866" s="14" t="n">
        <v>6.5</v>
      </c>
    </row>
    <row r="867" customFormat="false" ht="15" hidden="false" customHeight="false" outlineLevel="0" collapsed="false">
      <c r="A867" s="13" t="n">
        <v>43536</v>
      </c>
      <c r="B867" s="14" t="n">
        <v>2.39</v>
      </c>
      <c r="C867" s="14" t="n">
        <v>2.5</v>
      </c>
      <c r="D867" s="14" t="n">
        <v>2.25</v>
      </c>
      <c r="F867" s="14" t="n">
        <v>-0.4</v>
      </c>
      <c r="G867" s="14" t="n">
        <v>0.75</v>
      </c>
      <c r="H867" s="14" t="n">
        <v>0.7061</v>
      </c>
      <c r="I867" s="14" t="n">
        <v>0.707808902170427</v>
      </c>
      <c r="J867" s="14" t="n">
        <v>0.708049935955306</v>
      </c>
      <c r="K867" s="14" t="n">
        <v>0.71606585769421</v>
      </c>
      <c r="L867" s="14" t="n">
        <v>0.750645341656762</v>
      </c>
      <c r="M867" s="14" t="n">
        <v>2.732</v>
      </c>
      <c r="N867" s="14" t="n">
        <v>2.761</v>
      </c>
      <c r="O867" s="14" t="n">
        <v>2.851</v>
      </c>
      <c r="P867" s="14" t="n">
        <v>3.066</v>
      </c>
      <c r="Q867" s="14" t="n">
        <v>0.75</v>
      </c>
      <c r="R867" s="14" t="n">
        <v>0.74</v>
      </c>
      <c r="S867" s="14" t="n">
        <v>6.5</v>
      </c>
    </row>
    <row r="868" customFormat="false" ht="15" hidden="false" customHeight="false" outlineLevel="0" collapsed="false">
      <c r="A868" s="13" t="n">
        <v>43537</v>
      </c>
      <c r="B868" s="14" t="n">
        <v>2.4</v>
      </c>
      <c r="C868" s="14" t="n">
        <v>2.5</v>
      </c>
      <c r="D868" s="14" t="n">
        <v>2.25</v>
      </c>
      <c r="F868" s="14" t="n">
        <v>-0.4</v>
      </c>
      <c r="G868" s="14" t="n">
        <v>0.75</v>
      </c>
      <c r="H868" s="14" t="n">
        <v>0.7055</v>
      </c>
      <c r="I868" s="14" t="n">
        <v>0.707904520635127</v>
      </c>
      <c r="J868" s="14" t="n">
        <v>0.708388626286394</v>
      </c>
      <c r="K868" s="14" t="n">
        <v>0.71712682645953</v>
      </c>
      <c r="L868" s="14" t="n">
        <v>0.755996416946697</v>
      </c>
      <c r="M868" s="14" t="n">
        <v>2.754</v>
      </c>
      <c r="N868" s="14" t="n">
        <v>2.768</v>
      </c>
      <c r="O868" s="14" t="n">
        <v>2.851</v>
      </c>
      <c r="P868" s="14" t="n">
        <v>3.066</v>
      </c>
      <c r="Q868" s="14" t="n">
        <v>0.75</v>
      </c>
      <c r="R868" s="14" t="n">
        <v>0.77</v>
      </c>
      <c r="S868" s="14" t="n">
        <v>6.5</v>
      </c>
    </row>
    <row r="869" customFormat="false" ht="15" hidden="false" customHeight="false" outlineLevel="0" collapsed="false">
      <c r="A869" s="13" t="n">
        <v>43538</v>
      </c>
      <c r="B869" s="14" t="n">
        <v>2.42</v>
      </c>
      <c r="C869" s="14" t="n">
        <v>2.5</v>
      </c>
      <c r="D869" s="14" t="n">
        <v>2.25</v>
      </c>
      <c r="F869" s="14" t="n">
        <v>-0.4</v>
      </c>
      <c r="G869" s="14" t="n">
        <v>0.75</v>
      </c>
      <c r="H869" s="14" t="n">
        <v>0.7039</v>
      </c>
      <c r="I869" s="14" t="n">
        <v>0.707572620406748</v>
      </c>
      <c r="J869" s="14" t="n">
        <v>0.70879782136425</v>
      </c>
      <c r="K869" s="14" t="n">
        <v>0.719262746449913</v>
      </c>
      <c r="L869" s="14" t="n">
        <v>0.760128532421637</v>
      </c>
      <c r="M869" s="14" t="n">
        <v>2.774</v>
      </c>
      <c r="N869" s="14" t="n">
        <v>2.777</v>
      </c>
      <c r="O869" s="14" t="n">
        <v>2.854</v>
      </c>
      <c r="P869" s="14" t="n">
        <v>3.072</v>
      </c>
      <c r="Q869" s="14" t="n">
        <v>0.75</v>
      </c>
      <c r="R869" s="14" t="n">
        <v>0.74</v>
      </c>
      <c r="S869" s="14" t="n">
        <v>6.5</v>
      </c>
    </row>
    <row r="870" customFormat="false" ht="15" hidden="false" customHeight="false" outlineLevel="0" collapsed="false">
      <c r="A870" s="13" t="n">
        <v>43539</v>
      </c>
      <c r="B870" s="14" t="n">
        <v>2.46</v>
      </c>
      <c r="C870" s="14" t="n">
        <v>2.5</v>
      </c>
      <c r="D870" s="14" t="n">
        <v>2.25</v>
      </c>
      <c r="F870" s="14" t="n">
        <v>-0.4</v>
      </c>
      <c r="G870" s="14" t="n">
        <v>0.75</v>
      </c>
      <c r="H870" s="14" t="n">
        <v>0.7046</v>
      </c>
      <c r="I870" s="14" t="n">
        <v>0.706460941014624</v>
      </c>
      <c r="J870" s="14" t="n">
        <v>0.709060875117223</v>
      </c>
      <c r="K870" s="14" t="n">
        <v>0.72106695052608</v>
      </c>
      <c r="L870" s="14" t="n">
        <v>0.762384543517496</v>
      </c>
      <c r="M870" s="14" t="n">
        <v>2.81</v>
      </c>
      <c r="N870" s="14" t="n">
        <v>2.799</v>
      </c>
      <c r="O870" s="14" t="n">
        <v>2.858</v>
      </c>
      <c r="P870" s="14" t="n">
        <v>3.077</v>
      </c>
      <c r="Q870" s="14" t="n">
        <v>0.75</v>
      </c>
      <c r="R870" s="14" t="n">
        <v>0.75</v>
      </c>
      <c r="S870" s="14" t="n">
        <v>6.5</v>
      </c>
    </row>
    <row r="871" customFormat="false" ht="15" hidden="false" customHeight="false" outlineLevel="0" collapsed="false">
      <c r="A871" s="13" t="n">
        <v>43542</v>
      </c>
      <c r="B871" s="14" t="n">
        <v>2.41</v>
      </c>
      <c r="C871" s="14" t="n">
        <v>2.5</v>
      </c>
      <c r="D871" s="14" t="n">
        <v>2.25</v>
      </c>
      <c r="F871" s="14" t="n">
        <v>-0.4</v>
      </c>
      <c r="G871" s="14" t="n">
        <v>0.75</v>
      </c>
      <c r="H871" s="14" t="n">
        <v>0.7056</v>
      </c>
      <c r="I871" s="14" t="n">
        <v>0.708103634544237</v>
      </c>
      <c r="J871" s="14" t="n">
        <v>0.706933089819807</v>
      </c>
      <c r="K871" s="14" t="n">
        <v>0.718949181294995</v>
      </c>
      <c r="L871" s="14" t="n">
        <v>0.757038204102939</v>
      </c>
      <c r="M871" s="14" t="n">
        <v>2.832</v>
      </c>
      <c r="N871" s="14" t="n">
        <v>2.814</v>
      </c>
      <c r="O871" s="14" t="n">
        <v>2.86</v>
      </c>
      <c r="P871" s="14" t="n">
        <v>3.082</v>
      </c>
      <c r="Q871" s="14" t="n">
        <v>0.75</v>
      </c>
      <c r="R871" s="14" t="n">
        <v>0.75</v>
      </c>
      <c r="S871" s="14" t="n">
        <v>6.5</v>
      </c>
    </row>
    <row r="872" customFormat="false" ht="15" hidden="false" customHeight="false" outlineLevel="0" collapsed="false">
      <c r="A872" s="13" t="n">
        <v>43543</v>
      </c>
      <c r="B872" s="14" t="n">
        <v>2.42</v>
      </c>
      <c r="C872" s="14" t="n">
        <v>2.5</v>
      </c>
      <c r="D872" s="14" t="n">
        <v>2.25</v>
      </c>
      <c r="F872" s="14" t="n">
        <v>-0.4</v>
      </c>
      <c r="G872" s="14" t="n">
        <v>0.75</v>
      </c>
      <c r="H872" s="14" t="n">
        <v>0.705</v>
      </c>
      <c r="I872" s="14" t="n">
        <v>0.707443924501723</v>
      </c>
      <c r="J872" s="14" t="n">
        <v>0.708141760199292</v>
      </c>
      <c r="K872" s="14" t="n">
        <v>0.718630248329302</v>
      </c>
      <c r="L872" s="14" t="n">
        <v>0.752515941526809</v>
      </c>
      <c r="M872" s="14" t="n">
        <v>2.852</v>
      </c>
      <c r="N872" s="14" t="n">
        <v>2.823</v>
      </c>
      <c r="O872" s="14" t="n">
        <v>2.865</v>
      </c>
      <c r="P872" s="14" t="n">
        <v>3.086</v>
      </c>
      <c r="Q872" s="14" t="n">
        <v>0.75</v>
      </c>
      <c r="R872" s="14" t="n">
        <v>0.76</v>
      </c>
      <c r="S872" s="14" t="n">
        <v>6.5</v>
      </c>
    </row>
    <row r="873" customFormat="false" ht="15" hidden="false" customHeight="false" outlineLevel="0" collapsed="false">
      <c r="A873" s="13" t="n">
        <v>43544</v>
      </c>
      <c r="B873" s="14" t="n">
        <v>2.47</v>
      </c>
      <c r="C873" s="14" t="n">
        <v>2.5</v>
      </c>
      <c r="D873" s="14" t="n">
        <v>2.25</v>
      </c>
      <c r="F873" s="14" t="n">
        <v>-0.4</v>
      </c>
      <c r="G873" s="14" t="n">
        <v>0.75</v>
      </c>
      <c r="H873" s="14" t="n">
        <v>0.7054</v>
      </c>
      <c r="I873" s="14" t="n">
        <v>0.704963089754367</v>
      </c>
      <c r="J873" s="14" t="n">
        <v>0.705862408770052</v>
      </c>
      <c r="K873" s="14" t="n">
        <v>0.709811071881547</v>
      </c>
      <c r="L873" s="14" t="n">
        <v>0.735196887943824</v>
      </c>
      <c r="M873" s="14" t="n">
        <v>2.875</v>
      </c>
      <c r="N873" s="14" t="n">
        <v>2.833</v>
      </c>
      <c r="O873" s="14" t="n">
        <v>2.865</v>
      </c>
      <c r="P873" s="14" t="n">
        <v>3.088</v>
      </c>
      <c r="Q873" s="14" t="n">
        <v>0.75</v>
      </c>
      <c r="R873" s="14" t="n">
        <v>0.74</v>
      </c>
      <c r="S873" s="14" t="n">
        <v>6.5</v>
      </c>
    </row>
    <row r="874" customFormat="false" ht="15" hidden="false" customHeight="false" outlineLevel="0" collapsed="false">
      <c r="A874" s="13" t="n">
        <v>43545</v>
      </c>
      <c r="B874" s="14" t="n">
        <v>2.44</v>
      </c>
      <c r="C874" s="14" t="n">
        <v>2.5</v>
      </c>
      <c r="D874" s="14" t="n">
        <v>2.25</v>
      </c>
      <c r="F874" s="14" t="n">
        <v>-0.4</v>
      </c>
      <c r="G874" s="14" t="n">
        <v>0.75</v>
      </c>
      <c r="H874" s="14" t="n">
        <v>0.705</v>
      </c>
      <c r="I874" s="14" t="n">
        <v>0.701146263113422</v>
      </c>
      <c r="J874" s="14" t="n">
        <v>0.693916634643247</v>
      </c>
      <c r="K874" s="14" t="n">
        <v>0.688378917364036</v>
      </c>
      <c r="L874" s="14" t="n">
        <v>0.695525536893747</v>
      </c>
      <c r="M874" s="14" t="n">
        <v>2.884</v>
      </c>
      <c r="N874" s="14" t="n">
        <v>2.838</v>
      </c>
      <c r="O874" s="14" t="n">
        <v>2.864</v>
      </c>
      <c r="P874" s="14" t="n">
        <v>3.091</v>
      </c>
      <c r="Q874" s="14" t="n">
        <v>0.75</v>
      </c>
      <c r="R874" s="14" t="n">
        <v>0.74</v>
      </c>
      <c r="S874" s="14" t="n">
        <v>6.5</v>
      </c>
    </row>
    <row r="875" customFormat="false" ht="15" hidden="false" customHeight="false" outlineLevel="0" collapsed="false">
      <c r="A875" s="13" t="n">
        <v>43546</v>
      </c>
      <c r="B875" s="14" t="n">
        <v>2.4</v>
      </c>
      <c r="C875" s="14" t="n">
        <v>2.5</v>
      </c>
      <c r="D875" s="14" t="n">
        <v>2.25</v>
      </c>
      <c r="F875" s="14" t="n">
        <v>-0.4</v>
      </c>
      <c r="G875" s="14" t="n">
        <v>0.75</v>
      </c>
      <c r="H875" s="14" t="n">
        <v>0.7053</v>
      </c>
      <c r="I875" s="14" t="n">
        <v>0.705332730623335</v>
      </c>
      <c r="J875" s="14" t="n">
        <v>0.695059251312328</v>
      </c>
      <c r="K875" s="14" t="n">
        <v>0.682885912715057</v>
      </c>
      <c r="L875" s="14" t="n">
        <v>0.67823055783633</v>
      </c>
      <c r="M875" s="14" t="n">
        <v>2.884</v>
      </c>
      <c r="N875" s="14" t="n">
        <v>2.837</v>
      </c>
      <c r="O875" s="14" t="n">
        <v>2.862</v>
      </c>
      <c r="P875" s="14" t="n">
        <v>3.092</v>
      </c>
      <c r="Q875" s="14" t="n">
        <v>1</v>
      </c>
      <c r="R875" s="14" t="n">
        <v>0.99</v>
      </c>
      <c r="S875" s="14" t="n">
        <v>6.5</v>
      </c>
    </row>
    <row r="876" customFormat="false" ht="15" hidden="false" customHeight="false" outlineLevel="0" collapsed="false">
      <c r="A876" s="13" t="n">
        <v>43549</v>
      </c>
      <c r="B876" s="14" t="n">
        <v>2.4</v>
      </c>
      <c r="C876" s="14" t="n">
        <v>2.5</v>
      </c>
      <c r="D876" s="14" t="n">
        <v>2.25</v>
      </c>
      <c r="F876" s="14" t="n">
        <v>-0.4</v>
      </c>
      <c r="G876" s="14" t="n">
        <v>0.75</v>
      </c>
      <c r="H876" s="14" t="n">
        <v>0.7046</v>
      </c>
      <c r="I876" s="14" t="n">
        <v>0.703504724667292</v>
      </c>
      <c r="J876" s="14" t="n">
        <v>0.689856529837818</v>
      </c>
      <c r="K876" s="14" t="n">
        <v>0.676446710357138</v>
      </c>
      <c r="L876" s="14" t="n">
        <v>0.663501944903165</v>
      </c>
      <c r="M876" s="14" t="n">
        <v>2.879</v>
      </c>
      <c r="N876" s="14" t="n">
        <v>2.836</v>
      </c>
      <c r="O876" s="14" t="n">
        <v>2.861</v>
      </c>
      <c r="P876" s="14" t="n">
        <v>3.086</v>
      </c>
      <c r="Q876" s="14" t="n">
        <v>1</v>
      </c>
      <c r="R876" s="14" t="n">
        <v>0.99</v>
      </c>
      <c r="S876" s="14" t="n">
        <v>6.5</v>
      </c>
    </row>
    <row r="877" customFormat="false" ht="15" hidden="false" customHeight="false" outlineLevel="0" collapsed="false">
      <c r="A877" s="13" t="n">
        <v>43550</v>
      </c>
      <c r="B877" s="14" t="n">
        <v>2.4</v>
      </c>
      <c r="C877" s="14" t="n">
        <v>2.5</v>
      </c>
      <c r="D877" s="14" t="n">
        <v>2.25</v>
      </c>
      <c r="F877" s="14" t="n">
        <v>-0.4</v>
      </c>
      <c r="G877" s="14" t="n">
        <v>0.75</v>
      </c>
      <c r="H877" s="14" t="n">
        <v>0.7059</v>
      </c>
      <c r="I877" s="14" t="n">
        <v>0.704230674893816</v>
      </c>
      <c r="J877" s="14" t="n">
        <v>0.697351512951915</v>
      </c>
      <c r="K877" s="14" t="n">
        <v>0.693898028089617</v>
      </c>
      <c r="L877" s="14" t="n">
        <v>0.693681260608402</v>
      </c>
      <c r="M877" s="14" t="n">
        <v>2.862</v>
      </c>
      <c r="N877" s="14" t="n">
        <v>2.828</v>
      </c>
      <c r="O877" s="14" t="n">
        <v>2.859</v>
      </c>
      <c r="P877" s="14" t="n">
        <v>3.08</v>
      </c>
      <c r="Q877" s="14" t="n">
        <v>1</v>
      </c>
      <c r="R877" s="14" t="n">
        <v>0.99</v>
      </c>
      <c r="S877" s="14" t="n">
        <v>6.5</v>
      </c>
    </row>
    <row r="878" customFormat="false" ht="15" hidden="false" customHeight="false" outlineLevel="0" collapsed="false">
      <c r="A878" s="13" t="n">
        <v>43551</v>
      </c>
      <c r="B878" s="14" t="n">
        <v>2.4</v>
      </c>
      <c r="C878" s="14" t="n">
        <v>2.5</v>
      </c>
      <c r="D878" s="14" t="n">
        <v>2.25</v>
      </c>
      <c r="F878" s="14" t="n">
        <v>-0.4</v>
      </c>
      <c r="G878" s="14" t="n">
        <v>0.75</v>
      </c>
      <c r="H878" s="14" t="n">
        <v>0.7047</v>
      </c>
      <c r="I878" s="14" t="n">
        <v>0.705203679114403</v>
      </c>
      <c r="J878" s="14" t="n">
        <v>0.697995679846799</v>
      </c>
      <c r="K878" s="14" t="n">
        <v>0.69482751616503</v>
      </c>
      <c r="L878" s="14" t="n">
        <v>0.693964819149011</v>
      </c>
      <c r="M878" s="14" t="n">
        <v>2.843</v>
      </c>
      <c r="N878" s="14" t="n">
        <v>2.819</v>
      </c>
      <c r="O878" s="14" t="n">
        <v>2.857</v>
      </c>
      <c r="P878" s="14" t="n">
        <v>3.074</v>
      </c>
      <c r="Q878" s="14" t="n">
        <v>1</v>
      </c>
      <c r="R878" s="14" t="n">
        <v>0.99</v>
      </c>
      <c r="S878" s="14" t="n">
        <v>6.5</v>
      </c>
    </row>
    <row r="879" customFormat="false" ht="15" hidden="false" customHeight="false" outlineLevel="0" collapsed="false">
      <c r="A879" s="13" t="n">
        <v>43552</v>
      </c>
      <c r="B879" s="14" t="n">
        <v>2.43</v>
      </c>
      <c r="C879" s="14" t="n">
        <v>2.5</v>
      </c>
      <c r="D879" s="14" t="n">
        <v>2.25</v>
      </c>
      <c r="F879" s="14" t="n">
        <v>-0.4</v>
      </c>
      <c r="G879" s="14" t="n">
        <v>0.75</v>
      </c>
      <c r="H879" s="14" t="n">
        <v>0.7051</v>
      </c>
      <c r="I879" s="14" t="n">
        <v>0.703245050037402</v>
      </c>
      <c r="J879" s="14" t="n">
        <v>0.698133543418358</v>
      </c>
      <c r="K879" s="14" t="n">
        <v>0.696042152713565</v>
      </c>
      <c r="L879" s="14" t="n">
        <v>0.690691005627988</v>
      </c>
      <c r="M879" s="14" t="n">
        <v>2.825</v>
      </c>
      <c r="N879" s="14" t="n">
        <v>2.807</v>
      </c>
      <c r="O879" s="14" t="n">
        <v>2.848</v>
      </c>
      <c r="P879" s="14" t="n">
        <v>3.062</v>
      </c>
      <c r="Q879" s="14" t="n">
        <v>1</v>
      </c>
      <c r="R879" s="14" t="n">
        <v>0.99</v>
      </c>
      <c r="S879" s="14" t="n">
        <v>6.5</v>
      </c>
    </row>
    <row r="880" customFormat="false" ht="15" hidden="false" customHeight="false" outlineLevel="0" collapsed="false">
      <c r="A880" s="13" t="n">
        <v>43553</v>
      </c>
      <c r="B880" s="14" t="n">
        <v>2.65</v>
      </c>
      <c r="C880" s="14" t="n">
        <v>2.5</v>
      </c>
      <c r="D880" s="14" t="n">
        <v>2.25</v>
      </c>
      <c r="F880" s="14" t="n">
        <v>-0.4</v>
      </c>
      <c r="G880" s="14" t="n">
        <v>0.75</v>
      </c>
      <c r="H880" s="14" t="n">
        <v>0.7036</v>
      </c>
      <c r="I880" s="14" t="n">
        <v>0.703068900450964</v>
      </c>
      <c r="J880" s="14" t="n">
        <v>0.695164919547572</v>
      </c>
      <c r="K880" s="14" t="n">
        <v>0.690886900240427</v>
      </c>
      <c r="L880" s="14" t="n">
        <v>0.684401476403325</v>
      </c>
      <c r="M880" s="14" t="n">
        <v>2.819</v>
      </c>
      <c r="N880" s="14" t="n">
        <v>2.801</v>
      </c>
      <c r="O880" s="14" t="n">
        <v>2.841</v>
      </c>
      <c r="P880" s="14" t="n">
        <v>3.051</v>
      </c>
      <c r="Q880" s="14" t="n">
        <v>1</v>
      </c>
      <c r="R880" s="14" t="n">
        <v>1.64</v>
      </c>
      <c r="S880" s="14" t="n">
        <v>6.5</v>
      </c>
    </row>
    <row r="881" customFormat="false" ht="15" hidden="false" customHeight="false" outlineLevel="0" collapsed="false">
      <c r="A881" s="13" t="n">
        <v>43556</v>
      </c>
      <c r="B881" s="14" t="n">
        <v>2.46</v>
      </c>
      <c r="C881" s="14" t="n">
        <v>2.5</v>
      </c>
      <c r="D881" s="14" t="n">
        <v>2.25</v>
      </c>
      <c r="F881" s="14" t="n">
        <v>-0.4</v>
      </c>
      <c r="G881" s="14" t="n">
        <v>0.75</v>
      </c>
      <c r="H881" s="14" t="n">
        <v>0.7055</v>
      </c>
      <c r="I881" s="14" t="n">
        <v>0.703484323324753</v>
      </c>
      <c r="J881" s="14" t="n">
        <v>0.694973552176377</v>
      </c>
      <c r="K881" s="14" t="n">
        <v>0.693084308525073</v>
      </c>
      <c r="L881" s="14" t="n">
        <v>0.69406716956155</v>
      </c>
      <c r="M881" s="14" t="n">
        <v>2.782</v>
      </c>
      <c r="N881" s="14" t="n">
        <v>2.795</v>
      </c>
      <c r="O881" s="14" t="n">
        <v>2.835</v>
      </c>
      <c r="P881" s="14" t="n">
        <v>3.047</v>
      </c>
      <c r="Q881" s="14" t="n">
        <v>1</v>
      </c>
      <c r="R881" s="14" t="n">
        <v>1</v>
      </c>
      <c r="S881" s="14" t="n">
        <v>6.5</v>
      </c>
    </row>
    <row r="882" customFormat="false" ht="15" hidden="false" customHeight="false" outlineLevel="0" collapsed="false">
      <c r="A882" s="13" t="n">
        <v>43557</v>
      </c>
      <c r="B882" s="14" t="n">
        <v>2.46</v>
      </c>
      <c r="C882" s="14" t="n">
        <v>2.5</v>
      </c>
      <c r="D882" s="14" t="n">
        <v>2.25</v>
      </c>
      <c r="F882" s="14" t="n">
        <v>-0.4</v>
      </c>
      <c r="G882" s="14" t="n">
        <v>0.75</v>
      </c>
      <c r="H882" s="14" t="n">
        <v>0.7055</v>
      </c>
      <c r="I882" s="14" t="n">
        <v>0.703133699399372</v>
      </c>
      <c r="J882" s="14" t="n">
        <v>0.689506674113786</v>
      </c>
      <c r="K882" s="14" t="n">
        <v>0.67899967512817</v>
      </c>
      <c r="L882" s="14" t="n">
        <v>0.672080874250931</v>
      </c>
      <c r="M882" s="14" t="n">
        <v>2.745</v>
      </c>
      <c r="N882" s="14" t="n">
        <v>2.786</v>
      </c>
      <c r="O882" s="14" t="n">
        <v>2.825</v>
      </c>
      <c r="P882" s="14" t="n">
        <v>3.042</v>
      </c>
      <c r="Q882" s="14" t="n">
        <v>1</v>
      </c>
      <c r="R882" s="14" t="n">
        <v>0.99</v>
      </c>
      <c r="S882" s="14" t="n">
        <v>6.5</v>
      </c>
    </row>
    <row r="883" customFormat="false" ht="15" hidden="false" customHeight="false" outlineLevel="0" collapsed="false">
      <c r="A883" s="13" t="n">
        <v>43558</v>
      </c>
      <c r="B883" s="14" t="n">
        <v>2.47</v>
      </c>
      <c r="C883" s="14" t="n">
        <v>2.5</v>
      </c>
      <c r="D883" s="14" t="n">
        <v>2.25</v>
      </c>
      <c r="F883" s="14" t="n">
        <v>-0.4</v>
      </c>
      <c r="G883" s="14" t="n">
        <v>0.75</v>
      </c>
      <c r="H883" s="14" t="n">
        <v>0.7064</v>
      </c>
      <c r="I883" s="14" t="n">
        <v>0.704040683409222</v>
      </c>
      <c r="J883" s="14" t="n">
        <v>0.695368963062791</v>
      </c>
      <c r="K883" s="14" t="n">
        <v>0.693183166615339</v>
      </c>
      <c r="L883" s="14" t="n">
        <v>0.703997772535479</v>
      </c>
      <c r="M883" s="14" t="n">
        <v>2.697</v>
      </c>
      <c r="N883" s="14" t="n">
        <v>2.767</v>
      </c>
      <c r="O883" s="14" t="n">
        <v>2.818</v>
      </c>
      <c r="P883" s="14" t="n">
        <v>3.044</v>
      </c>
      <c r="Q883" s="14" t="n">
        <v>1</v>
      </c>
      <c r="R883" s="14" t="n">
        <v>1</v>
      </c>
      <c r="S883" s="14" t="n">
        <v>6.5</v>
      </c>
    </row>
    <row r="884" customFormat="false" ht="15" hidden="false" customHeight="false" outlineLevel="0" collapsed="false">
      <c r="A884" s="13" t="n">
        <v>43559</v>
      </c>
      <c r="B884" s="14" t="n">
        <v>2.46</v>
      </c>
      <c r="C884" s="14" t="n">
        <v>2.5</v>
      </c>
      <c r="D884" s="14" t="n">
        <v>2.25</v>
      </c>
      <c r="F884" s="14" t="n">
        <v>-0.4</v>
      </c>
      <c r="G884" s="14" t="n">
        <v>0.75</v>
      </c>
      <c r="H884" s="14" t="n">
        <v>0.7068</v>
      </c>
      <c r="I884" s="14" t="n">
        <v>0.70415110685032</v>
      </c>
      <c r="J884" s="14" t="n">
        <v>0.698883496272845</v>
      </c>
      <c r="K884" s="14" t="n">
        <v>0.696822551120683</v>
      </c>
      <c r="L884" s="14" t="n">
        <v>0.703972191950725</v>
      </c>
      <c r="M884" s="14" t="n">
        <v>2.664</v>
      </c>
      <c r="N884" s="14" t="n">
        <v>2.758</v>
      </c>
      <c r="O884" s="14" t="n">
        <v>2.815</v>
      </c>
      <c r="P884" s="14" t="n">
        <v>3.047</v>
      </c>
      <c r="Q884" s="14" t="n">
        <v>1</v>
      </c>
      <c r="R884" s="14" t="n">
        <v>1</v>
      </c>
      <c r="S884" s="14" t="n">
        <v>6.5</v>
      </c>
    </row>
    <row r="885" customFormat="false" ht="15" hidden="false" customHeight="false" outlineLevel="0" collapsed="false">
      <c r="A885" s="13" t="n">
        <v>43560</v>
      </c>
      <c r="B885" s="14" t="n">
        <v>2.46</v>
      </c>
      <c r="C885" s="14" t="n">
        <v>2.5</v>
      </c>
      <c r="D885" s="14" t="n">
        <v>2.25</v>
      </c>
      <c r="F885" s="14" t="n">
        <v>-0.4</v>
      </c>
      <c r="G885" s="14" t="n">
        <v>0.75</v>
      </c>
      <c r="H885" s="14" t="n">
        <v>0.7076</v>
      </c>
      <c r="I885" s="14" t="n">
        <v>0.703969090534356</v>
      </c>
      <c r="J885" s="14" t="n">
        <v>0.696498048309472</v>
      </c>
      <c r="K885" s="14" t="n">
        <v>0.694574321582695</v>
      </c>
      <c r="L885" s="14" t="n">
        <v>0.705753129762497</v>
      </c>
      <c r="Q885" s="14" t="n">
        <v>1</v>
      </c>
      <c r="R885" s="14" t="n">
        <v>0.99</v>
      </c>
      <c r="S885" s="14" t="n">
        <v>6.5</v>
      </c>
    </row>
    <row r="886" customFormat="false" ht="15" hidden="false" customHeight="false" outlineLevel="0" collapsed="false">
      <c r="A886" s="13" t="n">
        <v>43563</v>
      </c>
      <c r="B886" s="14" t="n">
        <v>2.46</v>
      </c>
      <c r="C886" s="14" t="n">
        <v>2.5</v>
      </c>
      <c r="D886" s="14" t="n">
        <v>2.25</v>
      </c>
      <c r="F886" s="14" t="n">
        <v>-0.4</v>
      </c>
      <c r="G886" s="14" t="n">
        <v>0.75</v>
      </c>
      <c r="H886" s="14" t="n">
        <v>0.7079</v>
      </c>
      <c r="I886" s="14" t="n">
        <v>0.703852476560686</v>
      </c>
      <c r="J886" s="14" t="n">
        <v>0.69448145637125</v>
      </c>
      <c r="K886" s="14" t="n">
        <v>0.692541846313919</v>
      </c>
      <c r="L886" s="14" t="n">
        <v>0.704693270189641</v>
      </c>
      <c r="M886" s="14" t="n">
        <v>2.65</v>
      </c>
      <c r="N886" s="14" t="n">
        <v>2.754</v>
      </c>
      <c r="O886" s="14" t="n">
        <v>2.816</v>
      </c>
      <c r="P886" s="14" t="n">
        <v>3.047</v>
      </c>
      <c r="Q886" s="14" t="n">
        <v>1</v>
      </c>
      <c r="R886" s="14" t="n">
        <v>0.99</v>
      </c>
      <c r="S886" s="14" t="n">
        <v>6.5</v>
      </c>
    </row>
    <row r="887" customFormat="false" ht="15" hidden="false" customHeight="false" outlineLevel="0" collapsed="false">
      <c r="A887" s="13" t="n">
        <v>43564</v>
      </c>
      <c r="B887" s="14" t="n">
        <v>2.45</v>
      </c>
      <c r="C887" s="14" t="n">
        <v>2.5</v>
      </c>
      <c r="D887" s="14" t="n">
        <v>2.25</v>
      </c>
      <c r="F887" s="14" t="n">
        <v>-0.4</v>
      </c>
      <c r="G887" s="14" t="n">
        <v>0.75</v>
      </c>
      <c r="H887" s="14" t="n">
        <v>0.7072</v>
      </c>
      <c r="I887" s="14" t="n">
        <v>0.702833291474469</v>
      </c>
      <c r="J887" s="14" t="n">
        <v>0.695643570023591</v>
      </c>
      <c r="K887" s="14" t="n">
        <v>0.694569411966289</v>
      </c>
      <c r="L887" s="14" t="n">
        <v>0.704191038719984</v>
      </c>
      <c r="M887" s="14" t="n">
        <v>2.646</v>
      </c>
      <c r="N887" s="14" t="n">
        <v>2.751</v>
      </c>
      <c r="O887" s="14" t="n">
        <v>2.824</v>
      </c>
      <c r="P887" s="14" t="n">
        <v>3.047</v>
      </c>
      <c r="Q887" s="14" t="n">
        <v>1</v>
      </c>
      <c r="R887" s="14" t="n">
        <v>0.99</v>
      </c>
      <c r="S887" s="14" t="n">
        <v>6.5</v>
      </c>
    </row>
    <row r="888" customFormat="false" ht="15" hidden="false" customHeight="false" outlineLevel="0" collapsed="false">
      <c r="A888" s="13" t="n">
        <v>43565</v>
      </c>
      <c r="B888" s="14" t="n">
        <v>2.45</v>
      </c>
      <c r="C888" s="14" t="n">
        <v>2.5</v>
      </c>
      <c r="D888" s="14" t="n">
        <v>2.25</v>
      </c>
      <c r="F888" s="14" t="n">
        <v>-0.4</v>
      </c>
      <c r="G888" s="14" t="n">
        <v>0.75</v>
      </c>
      <c r="H888" s="14" t="n">
        <v>0.7081</v>
      </c>
      <c r="I888" s="14" t="n">
        <v>0.703509297957155</v>
      </c>
      <c r="J888" s="14" t="n">
        <v>0.696136035559476</v>
      </c>
      <c r="K888" s="14" t="n">
        <v>0.69507844960296</v>
      </c>
      <c r="L888" s="14" t="n">
        <v>0.705537972499081</v>
      </c>
      <c r="M888" s="14" t="n">
        <v>2.655</v>
      </c>
      <c r="N888" s="14" t="n">
        <v>2.755</v>
      </c>
      <c r="O888" s="14" t="n">
        <v>2.833</v>
      </c>
      <c r="P888" s="14" t="n">
        <v>3.053</v>
      </c>
      <c r="Q888" s="14" t="n">
        <v>1</v>
      </c>
      <c r="R888" s="14" t="n">
        <v>1.02</v>
      </c>
      <c r="S888" s="14" t="n">
        <v>6.5</v>
      </c>
    </row>
    <row r="889" customFormat="false" ht="15" hidden="false" customHeight="false" outlineLevel="0" collapsed="false">
      <c r="A889" s="13" t="n">
        <v>43566</v>
      </c>
      <c r="B889" s="14" t="n">
        <v>2.44</v>
      </c>
      <c r="C889" s="14" t="n">
        <v>2.5</v>
      </c>
      <c r="D889" s="14" t="n">
        <v>2.25</v>
      </c>
      <c r="F889" s="14" t="n">
        <v>-0.4</v>
      </c>
      <c r="G889" s="14" t="n">
        <v>0.75</v>
      </c>
      <c r="H889" s="14" t="n">
        <v>0.7075</v>
      </c>
      <c r="I889" s="14" t="n">
        <v>0.704405524367003</v>
      </c>
      <c r="J889" s="14" t="n">
        <v>0.699498529618718</v>
      </c>
      <c r="K889" s="14" t="n">
        <v>0.706686419213649</v>
      </c>
      <c r="L889" s="14" t="n">
        <v>0.72802708977034</v>
      </c>
      <c r="M889" s="14" t="n">
        <v>2.669</v>
      </c>
      <c r="N889" s="14" t="n">
        <v>2.76</v>
      </c>
      <c r="O889" s="14" t="n">
        <v>2.838</v>
      </c>
      <c r="P889" s="14" t="n">
        <v>3.06</v>
      </c>
      <c r="Q889" s="14" t="n">
        <v>1</v>
      </c>
      <c r="R889" s="14" t="n">
        <v>1</v>
      </c>
      <c r="S889" s="14" t="n">
        <v>6.5</v>
      </c>
    </row>
    <row r="890" customFormat="false" ht="15" hidden="false" customHeight="false" outlineLevel="0" collapsed="false">
      <c r="A890" s="13" t="n">
        <v>43567</v>
      </c>
      <c r="B890" s="14" t="n">
        <v>2.44</v>
      </c>
      <c r="C890" s="14" t="n">
        <v>2.5</v>
      </c>
      <c r="D890" s="14" t="n">
        <v>2.25</v>
      </c>
      <c r="F890" s="14" t="n">
        <v>-0.4</v>
      </c>
      <c r="G890" s="14" t="n">
        <v>0.75</v>
      </c>
      <c r="H890" s="14" t="n">
        <v>0.7074</v>
      </c>
      <c r="I890" s="14" t="n">
        <v>0.707593400042517</v>
      </c>
      <c r="J890" s="14" t="n">
        <v>0.709125707163331</v>
      </c>
      <c r="K890" s="14" t="n">
        <v>0.717907255946736</v>
      </c>
      <c r="L890" s="14" t="n">
        <v>0.746491468588378</v>
      </c>
      <c r="M890" s="14" t="n">
        <v>2.686</v>
      </c>
      <c r="N890" s="14" t="n">
        <v>2.761</v>
      </c>
      <c r="O890" s="14" t="n">
        <v>2.842</v>
      </c>
      <c r="P890" s="14" t="n">
        <v>3.067</v>
      </c>
      <c r="Q890" s="14" t="n">
        <v>1</v>
      </c>
      <c r="R890" s="14" t="n">
        <v>1.02</v>
      </c>
      <c r="S890" s="14" t="n">
        <v>6.5</v>
      </c>
    </row>
    <row r="891" customFormat="false" ht="15" hidden="false" customHeight="false" outlineLevel="0" collapsed="false">
      <c r="A891" s="13" t="n">
        <v>43570</v>
      </c>
      <c r="B891" s="14" t="n">
        <v>2.47</v>
      </c>
      <c r="C891" s="14" t="n">
        <v>2.5</v>
      </c>
      <c r="D891" s="14" t="n">
        <v>2.25</v>
      </c>
      <c r="F891" s="14" t="n">
        <v>-0.4</v>
      </c>
      <c r="G891" s="14" t="n">
        <v>0.75</v>
      </c>
      <c r="H891" s="14" t="n">
        <v>0.7082</v>
      </c>
      <c r="I891" s="14" t="n">
        <v>0.706095161599258</v>
      </c>
      <c r="J891" s="14" t="n">
        <v>0.70454361937355</v>
      </c>
      <c r="K891" s="14" t="n">
        <v>0.714211891025312</v>
      </c>
      <c r="L891" s="14" t="n">
        <v>0.746664146556845</v>
      </c>
      <c r="M891" s="14" t="n">
        <v>2.717</v>
      </c>
      <c r="N891" s="14" t="n">
        <v>2.768</v>
      </c>
      <c r="O891" s="14" t="n">
        <v>2.85</v>
      </c>
      <c r="P891" s="14" t="n">
        <v>3.072</v>
      </c>
      <c r="Q891" s="14" t="n">
        <v>1</v>
      </c>
      <c r="R891" s="14" t="n">
        <v>1.04</v>
      </c>
      <c r="S891" s="14" t="n">
        <v>6.5</v>
      </c>
    </row>
    <row r="892" customFormat="false" ht="15" hidden="false" customHeight="false" outlineLevel="0" collapsed="false">
      <c r="A892" s="13" t="n">
        <v>43571</v>
      </c>
      <c r="B892" s="14" t="n">
        <v>2.47</v>
      </c>
      <c r="C892" s="14" t="n">
        <v>2.5</v>
      </c>
      <c r="D892" s="14" t="n">
        <v>2.25</v>
      </c>
      <c r="F892" s="14" t="n">
        <v>-0.4</v>
      </c>
      <c r="G892" s="14" t="n">
        <v>0.75</v>
      </c>
      <c r="H892" s="14" t="n">
        <v>0.7081</v>
      </c>
      <c r="I892" s="14" t="n">
        <v>0.706431769909761</v>
      </c>
      <c r="J892" s="14" t="n">
        <v>0.707888326369777</v>
      </c>
      <c r="K892" s="14" t="n">
        <v>0.719004735900361</v>
      </c>
      <c r="L892" s="14" t="n">
        <v>0.753438991985097</v>
      </c>
      <c r="M892" s="14" t="n">
        <v>2.759</v>
      </c>
      <c r="N892" s="14" t="n">
        <v>2.774</v>
      </c>
      <c r="O892" s="14" t="n">
        <v>2.853</v>
      </c>
      <c r="P892" s="14" t="n">
        <v>3.077</v>
      </c>
      <c r="Q892" s="14" t="n">
        <v>1</v>
      </c>
      <c r="R892" s="14" t="n">
        <v>1.04</v>
      </c>
      <c r="S892" s="14" t="n">
        <v>6.5</v>
      </c>
    </row>
    <row r="893" customFormat="false" ht="15" hidden="false" customHeight="false" outlineLevel="0" collapsed="false">
      <c r="A893" s="13" t="n">
        <v>43572</v>
      </c>
      <c r="B893" s="14" t="n">
        <v>2.5</v>
      </c>
      <c r="C893" s="14" t="n">
        <v>2.5</v>
      </c>
      <c r="D893" s="14" t="n">
        <v>2.25</v>
      </c>
      <c r="F893" s="14" t="n">
        <v>-0.4</v>
      </c>
      <c r="G893" s="14" t="n">
        <v>0.75</v>
      </c>
      <c r="H893" s="14" t="n">
        <v>0.7084</v>
      </c>
      <c r="I893" s="14" t="n">
        <v>0.707169782368691</v>
      </c>
      <c r="J893" s="14" t="n">
        <v>0.70904044566064</v>
      </c>
      <c r="K893" s="14" t="n">
        <v>0.721596901917423</v>
      </c>
      <c r="L893" s="14" t="n">
        <v>0.76032094701739</v>
      </c>
      <c r="M893" s="14" t="n">
        <v>2.779</v>
      </c>
      <c r="N893" s="14" t="n">
        <v>2.787</v>
      </c>
      <c r="O893" s="14" t="n">
        <v>2.861</v>
      </c>
      <c r="P893" s="14" t="n">
        <v>3.091</v>
      </c>
      <c r="Q893" s="14" t="n">
        <v>1</v>
      </c>
      <c r="R893" s="14" t="n">
        <v>1</v>
      </c>
      <c r="S893" s="14" t="n">
        <v>6.5</v>
      </c>
    </row>
    <row r="894" customFormat="false" ht="15" hidden="false" customHeight="false" outlineLevel="0" collapsed="false">
      <c r="A894" s="13" t="n">
        <v>43573</v>
      </c>
      <c r="B894" s="14" t="n">
        <v>2.5</v>
      </c>
      <c r="C894" s="14" t="n">
        <v>2.5</v>
      </c>
      <c r="D894" s="14" t="n">
        <v>2.25</v>
      </c>
      <c r="F894" s="14" t="n">
        <v>-0.4</v>
      </c>
      <c r="G894" s="14" t="n">
        <v>0.75</v>
      </c>
      <c r="H894" s="14" t="n">
        <v>0.7087</v>
      </c>
      <c r="I894" s="14" t="n">
        <v>0.707667382945777</v>
      </c>
      <c r="J894" s="14" t="n">
        <v>0.709163379715515</v>
      </c>
      <c r="K894" s="14" t="n">
        <v>0.719972810691786</v>
      </c>
      <c r="L894" s="14" t="n">
        <v>0.753816486206445</v>
      </c>
      <c r="M894" s="14" t="n">
        <v>2.795</v>
      </c>
      <c r="N894" s="14" t="n">
        <v>2.806</v>
      </c>
      <c r="O894" s="14" t="n">
        <v>2.864</v>
      </c>
      <c r="P894" s="14" t="n">
        <v>3.096</v>
      </c>
      <c r="S894" s="14" t="n">
        <v>6.5</v>
      </c>
    </row>
    <row r="895" customFormat="false" ht="15" hidden="false" customHeight="false" outlineLevel="0" collapsed="false">
      <c r="A895" s="13" t="n">
        <v>43574</v>
      </c>
      <c r="C895" s="14" t="n">
        <v>2.5</v>
      </c>
      <c r="D895" s="14" t="n">
        <v>2.25</v>
      </c>
      <c r="F895" s="14" t="n">
        <v>-0.4</v>
      </c>
      <c r="M895" s="14" t="n">
        <v>2.79</v>
      </c>
      <c r="N895" s="14" t="n">
        <v>2.817</v>
      </c>
      <c r="O895" s="14" t="n">
        <v>2.869</v>
      </c>
      <c r="P895" s="14" t="n">
        <v>3.095</v>
      </c>
      <c r="S895" s="14" t="n">
        <v>6.5</v>
      </c>
    </row>
    <row r="896" customFormat="false" ht="15" hidden="false" customHeight="false" outlineLevel="0" collapsed="false">
      <c r="A896" s="13" t="n">
        <v>43577</v>
      </c>
      <c r="B896" s="14" t="n">
        <v>2.46</v>
      </c>
      <c r="C896" s="14" t="n">
        <v>2.5</v>
      </c>
      <c r="D896" s="14" t="n">
        <v>2.25</v>
      </c>
      <c r="F896" s="14" t="n">
        <v>-0.4</v>
      </c>
      <c r="M896" s="14" t="n">
        <v>2.791</v>
      </c>
      <c r="N896" s="14" t="n">
        <v>2.822</v>
      </c>
      <c r="O896" s="14" t="n">
        <v>2.872</v>
      </c>
      <c r="P896" s="14" t="n">
        <v>3.101</v>
      </c>
      <c r="S896" s="14" t="n">
        <v>6.5</v>
      </c>
    </row>
    <row r="897" customFormat="false" ht="15" hidden="false" customHeight="false" outlineLevel="0" collapsed="false">
      <c r="A897" s="13" t="n">
        <v>43578</v>
      </c>
      <c r="B897" s="14" t="n">
        <v>2.46</v>
      </c>
      <c r="C897" s="14" t="n">
        <v>2.5</v>
      </c>
      <c r="D897" s="14" t="n">
        <v>2.25</v>
      </c>
      <c r="F897" s="14" t="n">
        <v>-0.4</v>
      </c>
      <c r="G897" s="14" t="n">
        <v>0.75</v>
      </c>
      <c r="H897" s="14" t="n">
        <v>0.7092</v>
      </c>
      <c r="I897" s="14" t="n">
        <v>0.706735252345483</v>
      </c>
      <c r="J897" s="14" t="n">
        <v>0.712532953694653</v>
      </c>
      <c r="K897" s="14" t="n">
        <v>0.731404211741084</v>
      </c>
      <c r="L897" s="14" t="n">
        <v>0.773111013514279</v>
      </c>
      <c r="M897" s="14" t="n">
        <v>2.824</v>
      </c>
      <c r="N897" s="14" t="n">
        <v>2.833</v>
      </c>
      <c r="O897" s="14" t="n">
        <v>2.885</v>
      </c>
      <c r="P897" s="14" t="n">
        <v>3.106</v>
      </c>
      <c r="Q897" s="14" t="n">
        <v>1</v>
      </c>
      <c r="R897" s="14" t="n">
        <v>1</v>
      </c>
      <c r="S897" s="14" t="n">
        <v>6.5</v>
      </c>
    </row>
    <row r="898" customFormat="false" ht="15" hidden="false" customHeight="false" outlineLevel="0" collapsed="false">
      <c r="A898" s="13" t="n">
        <v>43579</v>
      </c>
      <c r="B898" s="14" t="n">
        <v>2.44</v>
      </c>
      <c r="C898" s="14" t="n">
        <v>2.5</v>
      </c>
      <c r="D898" s="14" t="n">
        <v>2.25</v>
      </c>
      <c r="F898" s="14" t="n">
        <v>-0.4</v>
      </c>
      <c r="G898" s="14" t="n">
        <v>0.75</v>
      </c>
      <c r="H898" s="14" t="n">
        <v>0.7087</v>
      </c>
      <c r="I898" s="14" t="n">
        <v>0.708027383679495</v>
      </c>
      <c r="J898" s="14" t="n">
        <v>0.709142944533991</v>
      </c>
      <c r="K898" s="14" t="n">
        <v>0.721597645164701</v>
      </c>
      <c r="L898" s="14" t="n">
        <v>0.751824926521213</v>
      </c>
      <c r="M898" s="14" t="n">
        <v>2.838</v>
      </c>
      <c r="N898" s="14" t="n">
        <v>2.855</v>
      </c>
      <c r="O898" s="14" t="n">
        <v>2.903</v>
      </c>
      <c r="P898" s="14" t="n">
        <v>3.108</v>
      </c>
      <c r="Q898" s="14" t="n">
        <v>1</v>
      </c>
      <c r="R898" s="14" t="n">
        <v>0.99</v>
      </c>
      <c r="S898" s="14" t="n">
        <v>6.5</v>
      </c>
    </row>
    <row r="899" customFormat="false" ht="15" hidden="false" customHeight="false" outlineLevel="0" collapsed="false">
      <c r="A899" s="13" t="n">
        <v>43580</v>
      </c>
      <c r="B899" s="14" t="n">
        <v>2.45</v>
      </c>
      <c r="C899" s="14" t="n">
        <v>2.5</v>
      </c>
      <c r="D899" s="14" t="n">
        <v>2.25</v>
      </c>
      <c r="F899" s="14" t="n">
        <v>-0.4</v>
      </c>
      <c r="G899" s="14" t="n">
        <v>0.75</v>
      </c>
      <c r="H899" s="14" t="n">
        <v>0.7096</v>
      </c>
      <c r="I899" s="14" t="n">
        <v>0.708703289282027</v>
      </c>
      <c r="J899" s="14" t="n">
        <v>0.710480500805653</v>
      </c>
      <c r="K899" s="14" t="n">
        <v>0.723236257488463</v>
      </c>
      <c r="L899" s="14" t="n">
        <v>0.750142908804873</v>
      </c>
      <c r="M899" s="14" t="n">
        <v>2.851</v>
      </c>
      <c r="N899" s="14" t="n">
        <v>2.88</v>
      </c>
      <c r="O899" s="14" t="n">
        <v>2.917</v>
      </c>
      <c r="P899" s="14" t="n">
        <v>3.119</v>
      </c>
      <c r="Q899" s="14" t="n">
        <v>1</v>
      </c>
      <c r="R899" s="14" t="n">
        <v>0.99</v>
      </c>
      <c r="S899" s="14" t="n">
        <v>6.5</v>
      </c>
    </row>
    <row r="900" customFormat="false" ht="15" hidden="false" customHeight="false" outlineLevel="0" collapsed="false">
      <c r="A900" s="13" t="n">
        <v>43581</v>
      </c>
      <c r="B900" s="14" t="n">
        <v>2.46</v>
      </c>
      <c r="C900" s="14" t="n">
        <v>2.5</v>
      </c>
      <c r="D900" s="14" t="n">
        <v>2.25</v>
      </c>
      <c r="F900" s="14" t="n">
        <v>-0.4</v>
      </c>
      <c r="G900" s="14" t="n">
        <v>0.75</v>
      </c>
      <c r="H900" s="14" t="n">
        <v>0.7107</v>
      </c>
      <c r="I900" s="14" t="n">
        <v>0.709703528911881</v>
      </c>
      <c r="J900" s="14" t="n">
        <v>0.714218032234973</v>
      </c>
      <c r="K900" s="14" t="n">
        <v>0.729899542060048</v>
      </c>
      <c r="L900" s="14" t="n">
        <v>0.753575508273884</v>
      </c>
      <c r="M900" s="14" t="n">
        <v>2.859</v>
      </c>
      <c r="N900" s="14" t="n">
        <v>2.896</v>
      </c>
      <c r="O900" s="14" t="n">
        <v>2.932</v>
      </c>
      <c r="P900" s="14" t="n">
        <v>3.129</v>
      </c>
      <c r="Q900" s="14" t="n">
        <v>1</v>
      </c>
      <c r="R900" s="14" t="n">
        <v>0.99</v>
      </c>
      <c r="S900" s="14" t="n">
        <v>6.5</v>
      </c>
    </row>
    <row r="901" customFormat="false" ht="15" hidden="false" customHeight="false" outlineLevel="0" collapsed="false">
      <c r="A901" s="13" t="n">
        <v>43583</v>
      </c>
      <c r="C901" s="14" t="n">
        <v>2.5</v>
      </c>
      <c r="D901" s="14" t="n">
        <v>2.25</v>
      </c>
      <c r="F901" s="14" t="n">
        <v>-0.4</v>
      </c>
      <c r="M901" s="14" t="n">
        <v>2.857</v>
      </c>
      <c r="N901" s="14" t="n">
        <v>2.909</v>
      </c>
      <c r="O901" s="14" t="n">
        <v>2.946</v>
      </c>
      <c r="P901" s="14" t="n">
        <v>3.142</v>
      </c>
      <c r="S901" s="14" t="n">
        <v>6.5</v>
      </c>
    </row>
    <row r="902" customFormat="false" ht="15" hidden="false" customHeight="false" outlineLevel="0" collapsed="false">
      <c r="A902" s="13" t="n">
        <v>43584</v>
      </c>
      <c r="B902" s="14" t="n">
        <v>2.48</v>
      </c>
      <c r="C902" s="14" t="n">
        <v>2.5</v>
      </c>
      <c r="D902" s="14" t="n">
        <v>2.25</v>
      </c>
      <c r="F902" s="14" t="n">
        <v>-0.4</v>
      </c>
      <c r="G902" s="14" t="n">
        <v>0.75</v>
      </c>
      <c r="H902" s="14" t="n">
        <v>0.7097</v>
      </c>
      <c r="I902" s="14" t="n">
        <v>0.709007329253568</v>
      </c>
      <c r="J902" s="14" t="n">
        <v>0.714883589934926</v>
      </c>
      <c r="K902" s="14" t="n">
        <v>0.729353507975618</v>
      </c>
      <c r="L902" s="14" t="n">
        <v>0.755414281060539</v>
      </c>
      <c r="M902" s="14" t="n">
        <v>2.857</v>
      </c>
      <c r="N902" s="14" t="n">
        <v>2.923</v>
      </c>
      <c r="O902" s="14" t="n">
        <v>2.955</v>
      </c>
      <c r="P902" s="14" t="n">
        <v>3.147</v>
      </c>
      <c r="Q902" s="14" t="n">
        <v>1</v>
      </c>
      <c r="R902" s="14" t="n">
        <v>0.99</v>
      </c>
      <c r="S902" s="14" t="n">
        <v>6.5</v>
      </c>
    </row>
    <row r="903" customFormat="false" ht="15" hidden="false" customHeight="false" outlineLevel="0" collapsed="false">
      <c r="A903" s="13" t="n">
        <v>43585</v>
      </c>
      <c r="B903" s="14" t="n">
        <v>2.76</v>
      </c>
      <c r="C903" s="14" t="n">
        <v>2.5</v>
      </c>
      <c r="D903" s="14" t="n">
        <v>2.25</v>
      </c>
      <c r="F903" s="14" t="n">
        <v>-0.4</v>
      </c>
      <c r="G903" s="14" t="n">
        <v>0.75</v>
      </c>
      <c r="H903" s="14" t="n">
        <v>0.7109</v>
      </c>
      <c r="I903" s="14" t="n">
        <v>0.709722061750362</v>
      </c>
      <c r="J903" s="14" t="n">
        <v>0.715871422633777</v>
      </c>
      <c r="K903" s="14" t="n">
        <v>0.734267102844883</v>
      </c>
      <c r="L903" s="14" t="n">
        <v>0.770854025217139</v>
      </c>
      <c r="M903" s="14" t="n">
        <v>2.856</v>
      </c>
      <c r="N903" s="14" t="n">
        <v>2.93</v>
      </c>
      <c r="O903" s="14" t="n">
        <v>2.963</v>
      </c>
      <c r="P903" s="14" t="n">
        <v>3.159</v>
      </c>
      <c r="Q903" s="14" t="n">
        <v>1</v>
      </c>
      <c r="R903" s="14" t="n">
        <v>0.99</v>
      </c>
      <c r="S903" s="14" t="n">
        <v>6.5</v>
      </c>
    </row>
    <row r="904" customFormat="false" ht="15" hidden="false" customHeight="false" outlineLevel="0" collapsed="false">
      <c r="A904" s="13" t="n">
        <v>43586</v>
      </c>
      <c r="B904" s="14" t="n">
        <v>2.54</v>
      </c>
      <c r="C904" s="14" t="n">
        <v>2.5</v>
      </c>
      <c r="D904" s="14" t="n">
        <v>2.25</v>
      </c>
      <c r="F904" s="14" t="n">
        <v>-0.4</v>
      </c>
      <c r="G904" s="14" t="n">
        <v>0.75</v>
      </c>
      <c r="H904" s="14" t="n">
        <v>0.7103</v>
      </c>
      <c r="I904" s="14" t="n">
        <v>0.710113642718529</v>
      </c>
      <c r="J904" s="14" t="n">
        <v>0.717619013753997</v>
      </c>
      <c r="K904" s="14" t="n">
        <v>0.739396666814745</v>
      </c>
      <c r="L904" s="14" t="n">
        <v>0.772091924109522</v>
      </c>
      <c r="S904" s="14" t="n">
        <v>6.5</v>
      </c>
    </row>
    <row r="905" customFormat="false" ht="15" hidden="false" customHeight="false" outlineLevel="0" collapsed="false">
      <c r="A905" s="13" t="n">
        <v>43587</v>
      </c>
      <c r="B905" s="14" t="n">
        <v>2.5</v>
      </c>
      <c r="C905" s="14" t="n">
        <v>2.5</v>
      </c>
      <c r="D905" s="14" t="n">
        <v>2.25</v>
      </c>
      <c r="F905" s="14" t="n">
        <v>-0.4</v>
      </c>
      <c r="G905" s="14" t="n">
        <v>0.75</v>
      </c>
      <c r="H905" s="14" t="n">
        <v>0.7107</v>
      </c>
      <c r="I905" s="14" t="n">
        <v>0.710176121526995</v>
      </c>
      <c r="J905" s="14" t="n">
        <v>0.715172938504534</v>
      </c>
      <c r="K905" s="14" t="n">
        <v>0.730894432481983</v>
      </c>
      <c r="L905" s="14" t="n">
        <v>0.768116001540891</v>
      </c>
      <c r="Q905" s="14" t="n">
        <v>1</v>
      </c>
      <c r="R905" s="14" t="n">
        <v>0.99</v>
      </c>
      <c r="S905" s="14" t="n">
        <v>6.5</v>
      </c>
    </row>
    <row r="906" customFormat="false" ht="15" hidden="false" customHeight="false" outlineLevel="0" collapsed="false">
      <c r="A906" s="13" t="n">
        <v>43588</v>
      </c>
      <c r="B906" s="14" t="n">
        <v>2.43</v>
      </c>
      <c r="C906" s="14" t="n">
        <v>2.5</v>
      </c>
      <c r="D906" s="14" t="n">
        <v>2.25</v>
      </c>
      <c r="F906" s="14" t="n">
        <v>-0.4</v>
      </c>
      <c r="G906" s="14" t="n">
        <v>0.75</v>
      </c>
      <c r="H906" s="14" t="n">
        <v>0.7098</v>
      </c>
      <c r="I906" s="14" t="n">
        <v>0.709967069449527</v>
      </c>
      <c r="J906" s="14" t="n">
        <v>0.714904931316686</v>
      </c>
      <c r="K906" s="14" t="n">
        <v>0.733089370780459</v>
      </c>
      <c r="L906" s="14" t="n">
        <v>0.778516059276224</v>
      </c>
      <c r="Q906" s="14" t="n">
        <v>1</v>
      </c>
      <c r="R906" s="14" t="n">
        <v>0.99</v>
      </c>
      <c r="S906" s="14" t="n">
        <v>6.5</v>
      </c>
    </row>
    <row r="907" customFormat="false" ht="15" hidden="false" customHeight="false" outlineLevel="0" collapsed="false">
      <c r="A907" s="13" t="n">
        <v>43590</v>
      </c>
      <c r="C907" s="14" t="n">
        <v>2.5</v>
      </c>
      <c r="D907" s="14" t="n">
        <v>2.25</v>
      </c>
      <c r="F907" s="14" t="n">
        <v>-0.4</v>
      </c>
      <c r="M907" s="14" t="n">
        <v>2.833</v>
      </c>
      <c r="N907" s="14" t="n">
        <v>2.935</v>
      </c>
      <c r="O907" s="14" t="n">
        <v>2.962</v>
      </c>
      <c r="P907" s="14" t="n">
        <v>3.159</v>
      </c>
      <c r="S907" s="14" t="n">
        <v>6.5</v>
      </c>
    </row>
    <row r="908" customFormat="false" ht="15" hidden="false" customHeight="false" outlineLevel="0" collapsed="false">
      <c r="A908" s="13" t="n">
        <v>43591</v>
      </c>
      <c r="B908" s="14" t="n">
        <v>2.42</v>
      </c>
      <c r="C908" s="14" t="n">
        <v>2.5</v>
      </c>
      <c r="D908" s="14" t="n">
        <v>2.25</v>
      </c>
      <c r="F908" s="14" t="n">
        <v>-0.4</v>
      </c>
      <c r="M908" s="14" t="n">
        <v>2.811</v>
      </c>
      <c r="N908" s="14" t="n">
        <v>2.934</v>
      </c>
      <c r="O908" s="14" t="n">
        <v>2.956</v>
      </c>
      <c r="P908" s="14" t="n">
        <v>3.156</v>
      </c>
      <c r="Q908" s="14" t="n">
        <v>1</v>
      </c>
      <c r="R908" s="14" t="n">
        <v>1</v>
      </c>
      <c r="S908" s="14" t="n">
        <v>6.5</v>
      </c>
    </row>
    <row r="909" customFormat="false" ht="15" hidden="false" customHeight="false" outlineLevel="0" collapsed="false">
      <c r="A909" s="13" t="n">
        <v>43592</v>
      </c>
      <c r="B909" s="14" t="n">
        <v>2.44</v>
      </c>
      <c r="C909" s="14" t="n">
        <v>2.5</v>
      </c>
      <c r="D909" s="14" t="n">
        <v>2.25</v>
      </c>
      <c r="F909" s="14" t="n">
        <v>-0.4</v>
      </c>
      <c r="G909" s="14" t="n">
        <v>0.75</v>
      </c>
      <c r="H909" s="14" t="n">
        <v>0.7094</v>
      </c>
      <c r="I909" s="14" t="n">
        <v>0.709871526726718</v>
      </c>
      <c r="J909" s="14" t="n">
        <v>0.714156213099027</v>
      </c>
      <c r="K909" s="14" t="n">
        <v>0.727664704944186</v>
      </c>
      <c r="L909" s="14" t="n">
        <v>0.758673398179406</v>
      </c>
      <c r="M909" s="14" t="n">
        <v>2.773</v>
      </c>
      <c r="N909" s="14" t="n">
        <v>2.922</v>
      </c>
      <c r="O909" s="14" t="n">
        <v>2.951</v>
      </c>
      <c r="P909" s="14" t="n">
        <v>3.154</v>
      </c>
      <c r="Q909" s="14" t="n">
        <v>1</v>
      </c>
      <c r="R909" s="14" t="n">
        <v>1</v>
      </c>
      <c r="S909" s="14" t="n">
        <v>6.5</v>
      </c>
    </row>
    <row r="910" customFormat="false" ht="15" hidden="false" customHeight="false" outlineLevel="0" collapsed="false">
      <c r="A910" s="13" t="n">
        <v>43593</v>
      </c>
      <c r="B910" s="14" t="n">
        <v>2.43</v>
      </c>
      <c r="C910" s="14" t="n">
        <v>2.5</v>
      </c>
      <c r="D910" s="14" t="n">
        <v>2.25</v>
      </c>
      <c r="F910" s="14" t="n">
        <v>-0.4</v>
      </c>
      <c r="G910" s="14" t="n">
        <v>0.75</v>
      </c>
      <c r="H910" s="14" t="n">
        <v>0.7092</v>
      </c>
      <c r="I910" s="14" t="n">
        <v>0.710168361688371</v>
      </c>
      <c r="J910" s="14" t="n">
        <v>0.712601192455808</v>
      </c>
      <c r="K910" s="14" t="n">
        <v>0.722353658868803</v>
      </c>
      <c r="L910" s="14" t="n">
        <v>0.750445411794631</v>
      </c>
      <c r="M910" s="14" t="n">
        <v>2.741</v>
      </c>
      <c r="N910" s="14" t="n">
        <v>2.91</v>
      </c>
      <c r="O910" s="14" t="n">
        <v>2.947</v>
      </c>
      <c r="P910" s="14" t="n">
        <v>3.151</v>
      </c>
      <c r="Q910" s="14" t="n">
        <v>1</v>
      </c>
      <c r="R910" s="14" t="n">
        <v>0.99</v>
      </c>
      <c r="S910" s="14" t="n">
        <v>6.5</v>
      </c>
    </row>
    <row r="911" customFormat="false" ht="15" hidden="false" customHeight="false" outlineLevel="0" collapsed="false">
      <c r="A911" s="13" t="n">
        <v>43594</v>
      </c>
      <c r="B911" s="14" t="n">
        <v>2.41</v>
      </c>
      <c r="C911" s="14" t="n">
        <v>2.5</v>
      </c>
      <c r="D911" s="14" t="n">
        <v>2.25</v>
      </c>
      <c r="F911" s="14" t="n">
        <v>-0.4</v>
      </c>
      <c r="G911" s="14" t="n">
        <v>0.75</v>
      </c>
      <c r="H911" s="14" t="n">
        <v>0.7103</v>
      </c>
      <c r="I911" s="14" t="n">
        <v>0.71035065844332</v>
      </c>
      <c r="J911" s="14" t="n">
        <v>0.714302709467255</v>
      </c>
      <c r="K911" s="14" t="n">
        <v>0.721660709093173</v>
      </c>
      <c r="L911" s="14" t="n">
        <v>0.743115010017313</v>
      </c>
      <c r="M911" s="14" t="n">
        <v>2.728</v>
      </c>
      <c r="N911" s="14" t="n">
        <v>2.903</v>
      </c>
      <c r="O911" s="14" t="n">
        <v>2.946</v>
      </c>
      <c r="P911" s="14" t="n">
        <v>3.151</v>
      </c>
      <c r="Q911" s="14" t="n">
        <v>1</v>
      </c>
      <c r="R911" s="14" t="n">
        <v>0.99</v>
      </c>
      <c r="S911" s="14" t="n">
        <v>6.5</v>
      </c>
    </row>
    <row r="912" customFormat="false" ht="15" hidden="false" customHeight="false" outlineLevel="0" collapsed="false">
      <c r="A912" s="13" t="n">
        <v>43595</v>
      </c>
      <c r="B912" s="14" t="n">
        <v>2.4</v>
      </c>
      <c r="C912" s="14" t="n">
        <v>2.5</v>
      </c>
      <c r="D912" s="14" t="n">
        <v>2.25</v>
      </c>
      <c r="F912" s="14" t="n">
        <v>-0.4</v>
      </c>
      <c r="G912" s="14" t="n">
        <v>0.75</v>
      </c>
      <c r="H912" s="14" t="n">
        <v>0.7098</v>
      </c>
      <c r="I912" s="14" t="n">
        <v>0.710056483979062</v>
      </c>
      <c r="J912" s="14" t="n">
        <v>0.712773673189768</v>
      </c>
      <c r="K912" s="14" t="n">
        <v>0.719568243171137</v>
      </c>
      <c r="L912" s="14" t="n">
        <v>0.74175158230171</v>
      </c>
      <c r="M912" s="14" t="n">
        <v>2.72</v>
      </c>
      <c r="N912" s="14" t="n">
        <v>2.895</v>
      </c>
      <c r="O912" s="14" t="n">
        <v>2.948</v>
      </c>
      <c r="P912" s="14" t="n">
        <v>3.151</v>
      </c>
      <c r="Q912" s="14" t="n">
        <v>1</v>
      </c>
      <c r="R912" s="14" t="n">
        <v>0.99</v>
      </c>
      <c r="S912" s="14" t="n">
        <v>6.5</v>
      </c>
    </row>
    <row r="913" customFormat="false" ht="15" hidden="false" customHeight="false" outlineLevel="0" collapsed="false">
      <c r="A913" s="13" t="n">
        <v>43598</v>
      </c>
      <c r="B913" s="14" t="n">
        <v>2.38</v>
      </c>
      <c r="C913" s="14" t="n">
        <v>2.5</v>
      </c>
      <c r="D913" s="14" t="n">
        <v>2.25</v>
      </c>
      <c r="F913" s="14" t="n">
        <v>-0.4</v>
      </c>
      <c r="G913" s="14" t="n">
        <v>0.75</v>
      </c>
      <c r="H913" s="14" t="n">
        <v>0.7096</v>
      </c>
      <c r="I913" s="14" t="n">
        <v>0.710220181732876</v>
      </c>
      <c r="J913" s="14" t="n">
        <v>0.71451598870021</v>
      </c>
      <c r="K913" s="14" t="n">
        <v>0.723972414373145</v>
      </c>
      <c r="L913" s="14" t="n">
        <v>0.742855530165653</v>
      </c>
      <c r="M913" s="14" t="n">
        <v>2.715</v>
      </c>
      <c r="N913" s="14" t="n">
        <v>2.889</v>
      </c>
      <c r="O913" s="14" t="n">
        <v>2.948</v>
      </c>
      <c r="P913" s="14" t="n">
        <v>3.152</v>
      </c>
      <c r="Q913" s="14" t="n">
        <v>1</v>
      </c>
      <c r="R913" s="14" t="n">
        <v>0.99</v>
      </c>
      <c r="S913" s="14" t="n">
        <v>6.5</v>
      </c>
    </row>
    <row r="914" customFormat="false" ht="15" hidden="false" customHeight="false" outlineLevel="0" collapsed="false">
      <c r="A914" s="13" t="n">
        <v>43599</v>
      </c>
      <c r="B914" s="14" t="n">
        <v>2.39</v>
      </c>
      <c r="C914" s="14" t="n">
        <v>2.5</v>
      </c>
      <c r="D914" s="14" t="n">
        <v>2.25</v>
      </c>
      <c r="F914" s="14" t="n">
        <v>-0.4</v>
      </c>
      <c r="G914" s="14" t="n">
        <v>0.75</v>
      </c>
      <c r="H914" s="14" t="n">
        <v>0.7095</v>
      </c>
      <c r="I914" s="14" t="n">
        <v>0.710341072219748</v>
      </c>
      <c r="J914" s="14" t="n">
        <v>0.714807558091318</v>
      </c>
      <c r="K914" s="14" t="n">
        <v>0.72480719278673</v>
      </c>
      <c r="L914" s="14" t="n">
        <v>0.745415516618797</v>
      </c>
      <c r="M914" s="14" t="n">
        <v>2.717</v>
      </c>
      <c r="N914" s="14" t="n">
        <v>2.891</v>
      </c>
      <c r="O914" s="14" t="n">
        <v>2.948</v>
      </c>
      <c r="P914" s="14" t="n">
        <v>3.153</v>
      </c>
      <c r="Q914" s="14" t="n">
        <v>1</v>
      </c>
      <c r="R914" s="14" t="n">
        <v>0.99</v>
      </c>
      <c r="S914" s="14" t="n">
        <v>6.5</v>
      </c>
    </row>
    <row r="915" customFormat="false" ht="15" hidden="false" customHeight="false" outlineLevel="0" collapsed="false">
      <c r="A915" s="13" t="n">
        <v>43600</v>
      </c>
      <c r="B915" s="14" t="n">
        <v>2.48</v>
      </c>
      <c r="C915" s="14" t="n">
        <v>2.5</v>
      </c>
      <c r="D915" s="14" t="n">
        <v>2.25</v>
      </c>
      <c r="F915" s="14" t="n">
        <v>-0.4</v>
      </c>
      <c r="G915" s="14" t="n">
        <v>0.75</v>
      </c>
      <c r="H915" s="14" t="n">
        <v>0.7096</v>
      </c>
      <c r="I915" s="14" t="n">
        <v>0.709249742916115</v>
      </c>
      <c r="J915" s="14" t="n">
        <v>0.712478882466469</v>
      </c>
      <c r="K915" s="14" t="n">
        <v>0.720607533471634</v>
      </c>
      <c r="L915" s="14" t="n">
        <v>0.738165349938365</v>
      </c>
      <c r="M915" s="14" t="n">
        <v>2.713</v>
      </c>
      <c r="N915" s="14" t="n">
        <v>2.893</v>
      </c>
      <c r="O915" s="14" t="n">
        <v>2.948</v>
      </c>
      <c r="P915" s="14" t="n">
        <v>3.153</v>
      </c>
      <c r="Q915" s="14" t="n">
        <v>1</v>
      </c>
      <c r="R915" s="14" t="n">
        <v>0.99</v>
      </c>
      <c r="S915" s="14" t="n">
        <v>6.5</v>
      </c>
    </row>
    <row r="916" customFormat="false" ht="15" hidden="false" customHeight="false" outlineLevel="0" collapsed="false">
      <c r="A916" s="13" t="n">
        <v>43601</v>
      </c>
      <c r="B916" s="14" t="n">
        <v>2.43</v>
      </c>
      <c r="C916" s="14" t="n">
        <v>2.5</v>
      </c>
      <c r="D916" s="14" t="n">
        <v>2.25</v>
      </c>
      <c r="F916" s="14" t="n">
        <v>-0.4</v>
      </c>
      <c r="G916" s="14" t="n">
        <v>0.75</v>
      </c>
      <c r="H916" s="14" t="n">
        <v>0.71</v>
      </c>
      <c r="I916" s="14" t="n">
        <v>0.709796655894149</v>
      </c>
      <c r="J916" s="14" t="n">
        <v>0.7141469699524</v>
      </c>
      <c r="K916" s="14" t="n">
        <v>0.721971334887948</v>
      </c>
      <c r="L916" s="14" t="n">
        <v>0.737184042811561</v>
      </c>
      <c r="M916" s="14" t="n">
        <v>2.708</v>
      </c>
      <c r="N916" s="14" t="n">
        <v>2.896</v>
      </c>
      <c r="O916" s="14" t="n">
        <v>2.947</v>
      </c>
      <c r="P916" s="14" t="n">
        <v>3.157</v>
      </c>
      <c r="Q916" s="14" t="n">
        <v>1</v>
      </c>
      <c r="R916" s="14" t="n">
        <v>0.99</v>
      </c>
      <c r="S916" s="14" t="n">
        <v>6.5</v>
      </c>
    </row>
    <row r="917" customFormat="false" ht="15" hidden="false" customHeight="false" outlineLevel="0" collapsed="false">
      <c r="A917" s="13" t="n">
        <v>43602</v>
      </c>
      <c r="B917" s="14" t="n">
        <v>2.42</v>
      </c>
      <c r="C917" s="14" t="n">
        <v>2.5</v>
      </c>
      <c r="D917" s="14" t="n">
        <v>2.25</v>
      </c>
      <c r="F917" s="14" t="n">
        <v>-0.4</v>
      </c>
      <c r="G917" s="14" t="n">
        <v>0.75</v>
      </c>
      <c r="H917" s="14" t="n">
        <v>0.7094</v>
      </c>
      <c r="I917" s="14" t="n">
        <v>0.710747287923049</v>
      </c>
      <c r="J917" s="14" t="n">
        <v>0.711875191898793</v>
      </c>
      <c r="K917" s="14" t="n">
        <v>0.713718871500434</v>
      </c>
      <c r="L917" s="14" t="n">
        <v>0.720803022536885</v>
      </c>
      <c r="M917" s="14" t="n">
        <v>2.705</v>
      </c>
      <c r="N917" s="14" t="n">
        <v>2.9</v>
      </c>
      <c r="O917" s="14" t="n">
        <v>2.95</v>
      </c>
      <c r="P917" s="14" t="n">
        <v>3.162</v>
      </c>
      <c r="S917" s="14" t="n">
        <v>6.5</v>
      </c>
    </row>
    <row r="918" customFormat="false" ht="15" hidden="false" customHeight="false" outlineLevel="0" collapsed="false">
      <c r="A918" s="13" t="n">
        <v>43605</v>
      </c>
      <c r="B918" s="14" t="n">
        <v>2.39</v>
      </c>
      <c r="C918" s="14" t="n">
        <v>2.5</v>
      </c>
      <c r="D918" s="14" t="n">
        <v>2.25</v>
      </c>
      <c r="F918" s="14" t="n">
        <v>-0.4</v>
      </c>
      <c r="G918" s="14" t="n">
        <v>0.75</v>
      </c>
      <c r="H918" s="14" t="n">
        <v>0.7096</v>
      </c>
      <c r="I918" s="14" t="n">
        <v>0.710858535052633</v>
      </c>
      <c r="J918" s="14" t="n">
        <v>0.712756942673471</v>
      </c>
      <c r="K918" s="14" t="n">
        <v>0.716965470173836</v>
      </c>
      <c r="L918" s="14" t="n">
        <v>0.730527405153919</v>
      </c>
      <c r="M918" s="14" t="n">
        <v>2.717</v>
      </c>
      <c r="N918" s="14" t="n">
        <v>2.9</v>
      </c>
      <c r="O918" s="14" t="n">
        <v>2.95</v>
      </c>
      <c r="P918" s="14" t="n">
        <v>3.167</v>
      </c>
      <c r="Q918" s="14" t="n">
        <v>1</v>
      </c>
      <c r="R918" s="14" t="n">
        <v>1</v>
      </c>
      <c r="S918" s="14" t="n">
        <v>6.5</v>
      </c>
    </row>
    <row r="919" customFormat="false" ht="15" hidden="false" customHeight="false" outlineLevel="0" collapsed="false">
      <c r="A919" s="13" t="n">
        <v>43606</v>
      </c>
      <c r="B919" s="14" t="n">
        <v>2.38</v>
      </c>
      <c r="C919" s="14" t="n">
        <v>2.5</v>
      </c>
      <c r="D919" s="14" t="n">
        <v>2.25</v>
      </c>
      <c r="F919" s="14" t="n">
        <v>-0.4</v>
      </c>
      <c r="G919" s="14" t="n">
        <v>0.75</v>
      </c>
      <c r="H919" s="14" t="n">
        <v>0.7093</v>
      </c>
      <c r="I919" s="14" t="n">
        <v>0.710078572957105</v>
      </c>
      <c r="J919" s="14" t="n">
        <v>0.712602259121081</v>
      </c>
      <c r="K919" s="14" t="n">
        <v>0.718303837236935</v>
      </c>
      <c r="L919" s="14" t="n">
        <v>0.735913764349907</v>
      </c>
      <c r="M919" s="14" t="n">
        <v>2.756</v>
      </c>
      <c r="N919" s="14" t="n">
        <v>2.9</v>
      </c>
      <c r="O919" s="14" t="n">
        <v>2.95</v>
      </c>
      <c r="P919" s="14" t="n">
        <v>3.177</v>
      </c>
      <c r="Q919" s="14" t="n">
        <v>1</v>
      </c>
      <c r="R919" s="14" t="n">
        <v>1</v>
      </c>
      <c r="S919" s="14" t="n">
        <v>6.5</v>
      </c>
    </row>
    <row r="920" customFormat="false" ht="15" hidden="false" customHeight="false" outlineLevel="0" collapsed="false">
      <c r="A920" s="13" t="n">
        <v>43607</v>
      </c>
      <c r="B920" s="14" t="n">
        <v>2.37</v>
      </c>
      <c r="C920" s="14" t="n">
        <v>2.5</v>
      </c>
      <c r="D920" s="14" t="n">
        <v>2.25</v>
      </c>
      <c r="F920" s="14" t="n">
        <v>-0.4</v>
      </c>
      <c r="G920" s="14" t="n">
        <v>0.75</v>
      </c>
      <c r="H920" s="14" t="n">
        <v>0.7106</v>
      </c>
      <c r="I920" s="14" t="n">
        <v>0.710459475543447</v>
      </c>
      <c r="J920" s="14" t="n">
        <v>0.713084440697538</v>
      </c>
      <c r="K920" s="14" t="n">
        <v>0.717005698536019</v>
      </c>
      <c r="L920" s="14" t="n">
        <v>0.724232363656907</v>
      </c>
      <c r="M920" s="14" t="n">
        <v>2.77</v>
      </c>
      <c r="N920" s="14" t="n">
        <v>2.903</v>
      </c>
      <c r="O920" s="14" t="n">
        <v>2.95</v>
      </c>
      <c r="P920" s="14" t="n">
        <v>3.185</v>
      </c>
      <c r="Q920" s="14" t="n">
        <v>1</v>
      </c>
      <c r="R920" s="14" t="n">
        <v>0.99</v>
      </c>
      <c r="S920" s="14" t="n">
        <v>6.5</v>
      </c>
    </row>
    <row r="921" customFormat="false" ht="15" hidden="false" customHeight="false" outlineLevel="0" collapsed="false">
      <c r="A921" s="13" t="n">
        <v>43608</v>
      </c>
      <c r="B921" s="14" t="n">
        <v>2.37</v>
      </c>
      <c r="C921" s="14" t="n">
        <v>2.5</v>
      </c>
      <c r="D921" s="14" t="n">
        <v>2.25</v>
      </c>
      <c r="F921" s="14" t="n">
        <v>-0.4</v>
      </c>
      <c r="G921" s="14" t="n">
        <v>0.75</v>
      </c>
      <c r="H921" s="14" t="n">
        <v>0.71</v>
      </c>
      <c r="I921" s="14" t="n">
        <v>0.710492688835243</v>
      </c>
      <c r="J921" s="14" t="n">
        <v>0.709277137831869</v>
      </c>
      <c r="K921" s="14" t="n">
        <v>0.702968388618414</v>
      </c>
      <c r="L921" s="14" t="n">
        <v>0.690893092019106</v>
      </c>
      <c r="M921" s="14" t="n">
        <v>2.784</v>
      </c>
      <c r="N921" s="14" t="n">
        <v>2.901</v>
      </c>
      <c r="O921" s="14" t="n">
        <v>2.951</v>
      </c>
      <c r="P921" s="14" t="n">
        <v>3.19</v>
      </c>
      <c r="Q921" s="14" t="n">
        <v>1</v>
      </c>
      <c r="R921" s="14" t="n">
        <v>0.99</v>
      </c>
      <c r="S921" s="14" t="n">
        <v>6.5</v>
      </c>
    </row>
    <row r="922" customFormat="false" ht="15" hidden="false" customHeight="false" outlineLevel="0" collapsed="false">
      <c r="A922" s="13" t="n">
        <v>43609</v>
      </c>
      <c r="B922" s="14" t="n">
        <v>2.37</v>
      </c>
      <c r="C922" s="14" t="n">
        <v>2.5</v>
      </c>
      <c r="D922" s="14" t="n">
        <v>2.25</v>
      </c>
      <c r="F922" s="14" t="n">
        <v>-0.4</v>
      </c>
      <c r="G922" s="14" t="n">
        <v>0.75</v>
      </c>
      <c r="H922" s="14" t="n">
        <v>0.7086</v>
      </c>
      <c r="I922" s="14" t="n">
        <v>0.710392590655558</v>
      </c>
      <c r="J922" s="14" t="n">
        <v>0.711249854194103</v>
      </c>
      <c r="K922" s="14" t="n">
        <v>0.710938936279773</v>
      </c>
      <c r="L922" s="14" t="n">
        <v>0.704163221647252</v>
      </c>
      <c r="M922" s="14" t="n">
        <v>2.779</v>
      </c>
      <c r="N922" s="14" t="n">
        <v>2.902</v>
      </c>
      <c r="O922" s="14" t="n">
        <v>2.953</v>
      </c>
      <c r="P922" s="14" t="n">
        <v>3.198</v>
      </c>
      <c r="Q922" s="14" t="n">
        <v>1</v>
      </c>
      <c r="R922" s="14" t="n">
        <v>0.99</v>
      </c>
      <c r="S922" s="14" t="n">
        <v>6.5</v>
      </c>
    </row>
    <row r="923" customFormat="false" ht="15" hidden="false" customHeight="false" outlineLevel="0" collapsed="false">
      <c r="A923" s="13" t="n">
        <v>43612</v>
      </c>
      <c r="C923" s="14" t="n">
        <v>2.5</v>
      </c>
      <c r="D923" s="14" t="n">
        <v>2.25</v>
      </c>
      <c r="F923" s="14" t="n">
        <v>-0.4</v>
      </c>
      <c r="M923" s="14" t="n">
        <v>2.792</v>
      </c>
      <c r="N923" s="14" t="n">
        <v>2.904</v>
      </c>
      <c r="O923" s="14" t="n">
        <v>2.956</v>
      </c>
      <c r="P923" s="14" t="n">
        <v>3.202</v>
      </c>
      <c r="Q923" s="14" t="n">
        <v>1</v>
      </c>
      <c r="R923" s="14" t="n">
        <v>0.99</v>
      </c>
      <c r="S923" s="14" t="n">
        <v>6.5</v>
      </c>
    </row>
    <row r="924" customFormat="false" ht="15" hidden="false" customHeight="false" outlineLevel="0" collapsed="false">
      <c r="A924" s="13" t="n">
        <v>43613</v>
      </c>
      <c r="B924" s="14" t="n">
        <v>2.41</v>
      </c>
      <c r="C924" s="14" t="n">
        <v>2.5</v>
      </c>
      <c r="D924" s="14" t="n">
        <v>2.25</v>
      </c>
      <c r="F924" s="14" t="n">
        <v>-0.4</v>
      </c>
      <c r="G924" s="14" t="n">
        <v>0.75</v>
      </c>
      <c r="H924" s="14" t="n">
        <v>0.7082</v>
      </c>
      <c r="I924" s="14" t="n">
        <v>0.710436971571288</v>
      </c>
      <c r="J924" s="14" t="n">
        <v>0.708073483978397</v>
      </c>
      <c r="K924" s="14" t="n">
        <v>0.701742792717427</v>
      </c>
      <c r="L924" s="14" t="n">
        <v>0.691141299733608</v>
      </c>
      <c r="M924" s="14" t="n">
        <v>2.816</v>
      </c>
      <c r="N924" s="14" t="n">
        <v>2.915</v>
      </c>
      <c r="O924" s="14" t="n">
        <v>2.965</v>
      </c>
      <c r="P924" s="14" t="n">
        <v>3.205</v>
      </c>
      <c r="Q924" s="14" t="n">
        <v>1</v>
      </c>
      <c r="R924" s="14" t="n">
        <v>1.01</v>
      </c>
      <c r="S924" s="14" t="n">
        <v>6.5</v>
      </c>
    </row>
    <row r="925" customFormat="false" ht="15" hidden="false" customHeight="false" outlineLevel="0" collapsed="false">
      <c r="A925" s="13" t="n">
        <v>43614</v>
      </c>
      <c r="B925" s="14" t="n">
        <v>2.4</v>
      </c>
      <c r="C925" s="14" t="n">
        <v>2.5</v>
      </c>
      <c r="D925" s="14" t="n">
        <v>2.25</v>
      </c>
      <c r="F925" s="14" t="n">
        <v>-0.4</v>
      </c>
      <c r="G925" s="14" t="n">
        <v>0.75</v>
      </c>
      <c r="H925" s="14" t="n">
        <v>0.7073</v>
      </c>
      <c r="I925" s="14" t="n">
        <v>0.709605385992651</v>
      </c>
      <c r="J925" s="14" t="n">
        <v>0.708623274057955</v>
      </c>
      <c r="K925" s="14" t="n">
        <v>0.70437934633237</v>
      </c>
      <c r="L925" s="14" t="n">
        <v>0.689646317725109</v>
      </c>
      <c r="M925" s="14" t="n">
        <v>2.818</v>
      </c>
      <c r="N925" s="14" t="n">
        <v>2.917</v>
      </c>
      <c r="O925" s="14" t="n">
        <v>2.966</v>
      </c>
      <c r="P925" s="14" t="n">
        <v>3.206</v>
      </c>
      <c r="Q925" s="14" t="n">
        <v>1</v>
      </c>
      <c r="R925" s="14" t="n">
        <v>1</v>
      </c>
      <c r="S925" s="14" t="n">
        <v>6.5</v>
      </c>
    </row>
    <row r="926" customFormat="false" ht="15" hidden="false" customHeight="false" outlineLevel="0" collapsed="false">
      <c r="A926" s="13" t="n">
        <v>43615</v>
      </c>
      <c r="B926" s="14" t="n">
        <v>2.4</v>
      </c>
      <c r="C926" s="14" t="n">
        <v>2.5</v>
      </c>
      <c r="D926" s="14" t="n">
        <v>2.25</v>
      </c>
      <c r="F926" s="14" t="n">
        <v>-0.4</v>
      </c>
      <c r="G926" s="14" t="n">
        <v>0.75</v>
      </c>
      <c r="H926" s="14" t="n">
        <v>0.7085</v>
      </c>
      <c r="I926" s="14" t="n">
        <v>0.709757901225419</v>
      </c>
      <c r="J926" s="14" t="n">
        <v>0.70788313708077</v>
      </c>
      <c r="K926" s="14" t="n">
        <v>0.701807603360687</v>
      </c>
      <c r="L926" s="14" t="n">
        <v>0.688671081113284</v>
      </c>
      <c r="M926" s="14" t="n">
        <v>2.813</v>
      </c>
      <c r="N926" s="14" t="n">
        <v>2.916</v>
      </c>
      <c r="O926" s="14" t="n">
        <v>2.964</v>
      </c>
      <c r="P926" s="14" t="n">
        <v>3.205</v>
      </c>
      <c r="S926" s="14" t="n">
        <v>6.5</v>
      </c>
    </row>
    <row r="927" customFormat="false" ht="15" hidden="false" customHeight="false" outlineLevel="0" collapsed="false">
      <c r="A927" s="13" t="n">
        <v>43616</v>
      </c>
      <c r="B927" s="14" t="n">
        <v>2.49</v>
      </c>
      <c r="C927" s="14" t="n">
        <v>2.5</v>
      </c>
      <c r="D927" s="14" t="n">
        <v>2.25</v>
      </c>
      <c r="F927" s="14" t="n">
        <v>-0.4</v>
      </c>
      <c r="G927" s="14" t="n">
        <v>0.75</v>
      </c>
      <c r="H927" s="14" t="n">
        <v>0.7078</v>
      </c>
      <c r="I927" s="14" t="n">
        <v>0.708952390971379</v>
      </c>
      <c r="J927" s="14" t="n">
        <v>0.707275899763791</v>
      </c>
      <c r="K927" s="14" t="n">
        <v>0.702858765866452</v>
      </c>
      <c r="L927" s="14" t="n">
        <v>0.687690886225332</v>
      </c>
      <c r="M927" s="14" t="n">
        <v>2.816</v>
      </c>
      <c r="N927" s="14" t="n">
        <v>2.912</v>
      </c>
      <c r="O927" s="14" t="n">
        <v>2.963</v>
      </c>
      <c r="P927" s="14" t="n">
        <v>3.206</v>
      </c>
      <c r="Q927" s="14" t="n">
        <v>1</v>
      </c>
      <c r="R927" s="14" t="n">
        <v>1.03</v>
      </c>
      <c r="S927" s="14" t="n">
        <v>6.5</v>
      </c>
    </row>
    <row r="928" customFormat="false" ht="15" hidden="false" customHeight="false" outlineLevel="0" collapsed="false">
      <c r="A928" s="13" t="n">
        <v>43619</v>
      </c>
      <c r="B928" s="14" t="n">
        <v>2.4</v>
      </c>
      <c r="C928" s="14" t="n">
        <v>2.5</v>
      </c>
      <c r="D928" s="14" t="n">
        <v>2.25</v>
      </c>
      <c r="F928" s="14" t="n">
        <v>-0.4</v>
      </c>
      <c r="G928" s="14" t="n">
        <v>0.75</v>
      </c>
      <c r="H928" s="14" t="n">
        <v>0.7084</v>
      </c>
      <c r="I928" s="14" t="n">
        <v>0.709870214073195</v>
      </c>
      <c r="J928" s="14" t="n">
        <v>0.707193607994683</v>
      </c>
      <c r="K928" s="14" t="n">
        <v>0.693471229410076</v>
      </c>
      <c r="L928" s="14" t="n">
        <v>0.665208060672492</v>
      </c>
      <c r="M928" s="14" t="n">
        <v>2.809</v>
      </c>
      <c r="N928" s="14" t="n">
        <v>2.904</v>
      </c>
      <c r="O928" s="14" t="n">
        <v>2.957</v>
      </c>
      <c r="P928" s="14" t="n">
        <v>3.208</v>
      </c>
      <c r="Q928" s="14" t="n">
        <v>1</v>
      </c>
      <c r="R928" s="14" t="n">
        <v>1</v>
      </c>
      <c r="S928" s="14" t="n">
        <v>6.5</v>
      </c>
    </row>
    <row r="929" customFormat="false" ht="15" hidden="false" customHeight="false" outlineLevel="0" collapsed="false">
      <c r="A929" s="13" t="n">
        <v>43620</v>
      </c>
      <c r="B929" s="14" t="n">
        <v>2.39</v>
      </c>
      <c r="C929" s="14" t="n">
        <v>2.5</v>
      </c>
      <c r="D929" s="14" t="n">
        <v>2.25</v>
      </c>
      <c r="F929" s="14" t="n">
        <v>-0.4</v>
      </c>
      <c r="G929" s="14" t="n">
        <v>0.75</v>
      </c>
      <c r="H929" s="14" t="n">
        <v>0.7084</v>
      </c>
      <c r="I929" s="14" t="n">
        <v>0.707871633079105</v>
      </c>
      <c r="J929" s="14" t="n">
        <v>0.708053277929447</v>
      </c>
      <c r="K929" s="14" t="n">
        <v>0.704801299555427</v>
      </c>
      <c r="L929" s="14" t="n">
        <v>0.684057539890632</v>
      </c>
      <c r="M929" s="14" t="n">
        <v>2.821</v>
      </c>
      <c r="N929" s="14" t="n">
        <v>2.902</v>
      </c>
      <c r="O929" s="14" t="n">
        <v>2.953</v>
      </c>
      <c r="P929" s="14" t="n">
        <v>3.208</v>
      </c>
      <c r="Q929" s="14" t="n">
        <v>1</v>
      </c>
      <c r="R929" s="14" t="n">
        <v>0.99</v>
      </c>
      <c r="S929" s="14" t="n">
        <v>6.5</v>
      </c>
    </row>
    <row r="930" customFormat="false" ht="15" hidden="false" customHeight="false" outlineLevel="0" collapsed="false">
      <c r="A930" s="13" t="n">
        <v>43621</v>
      </c>
      <c r="B930" s="14" t="n">
        <v>2.4</v>
      </c>
      <c r="C930" s="14" t="n">
        <v>2.5</v>
      </c>
      <c r="D930" s="14" t="n">
        <v>2.25</v>
      </c>
      <c r="F930" s="14" t="n">
        <v>-0.4</v>
      </c>
      <c r="G930" s="14" t="n">
        <v>0.75</v>
      </c>
      <c r="H930" s="14" t="n">
        <v>0.7094</v>
      </c>
      <c r="I930" s="14" t="n">
        <v>0.707960105657998</v>
      </c>
      <c r="J930" s="14" t="n">
        <v>0.70769890250315</v>
      </c>
      <c r="K930" s="14" t="n">
        <v>0.700717370533582</v>
      </c>
      <c r="L930" s="14" t="n">
        <v>0.666655513485858</v>
      </c>
      <c r="M930" s="14" t="n">
        <v>2.832</v>
      </c>
      <c r="N930" s="14" t="n">
        <v>2.916</v>
      </c>
      <c r="O930" s="14" t="n">
        <v>2.952</v>
      </c>
      <c r="P930" s="14" t="n">
        <v>3.209</v>
      </c>
      <c r="Q930" s="14" t="n">
        <v>1</v>
      </c>
      <c r="R930" s="14" t="n">
        <v>1.01</v>
      </c>
      <c r="S930" s="14" t="n">
        <v>6.5</v>
      </c>
    </row>
    <row r="931" customFormat="false" ht="15" hidden="false" customHeight="false" outlineLevel="0" collapsed="false">
      <c r="A931" s="13" t="n">
        <v>43622</v>
      </c>
      <c r="B931" s="14" t="n">
        <v>2.4</v>
      </c>
      <c r="C931" s="14" t="n">
        <v>2.5</v>
      </c>
      <c r="D931" s="14" t="n">
        <v>2.25</v>
      </c>
      <c r="F931" s="14" t="n">
        <v>-0.4</v>
      </c>
      <c r="G931" s="14" t="n">
        <v>0.75</v>
      </c>
      <c r="H931" s="14" t="n">
        <v>0.7092</v>
      </c>
      <c r="I931" s="14" t="n">
        <v>0.707109557168802</v>
      </c>
      <c r="J931" s="14" t="n">
        <v>0.704936242494068</v>
      </c>
      <c r="K931" s="14" t="n">
        <v>0.691354945334829</v>
      </c>
      <c r="L931" s="14" t="n">
        <v>0.646251825145127</v>
      </c>
      <c r="M931" s="14" t="n">
        <v>2.841</v>
      </c>
      <c r="N931" s="14" t="n">
        <v>2.924</v>
      </c>
      <c r="O931" s="14" t="n">
        <v>2.953</v>
      </c>
      <c r="P931" s="14" t="n">
        <v>3.212</v>
      </c>
      <c r="Q931" s="14" t="n">
        <v>1</v>
      </c>
      <c r="R931" s="14" t="n">
        <v>1</v>
      </c>
      <c r="S931" s="14" t="n">
        <v>6.5</v>
      </c>
    </row>
    <row r="932" customFormat="false" ht="15" hidden="false" customHeight="false" outlineLevel="0" collapsed="false">
      <c r="A932" s="13" t="n">
        <v>43623</v>
      </c>
      <c r="B932" s="14" t="n">
        <v>2.39</v>
      </c>
      <c r="C932" s="14" t="n">
        <v>2.5</v>
      </c>
      <c r="D932" s="14" t="n">
        <v>2.25</v>
      </c>
      <c r="F932" s="14" t="n">
        <v>-0.4</v>
      </c>
      <c r="G932" s="14" t="n">
        <v>0.75</v>
      </c>
      <c r="H932" s="14" t="n">
        <v>0.709</v>
      </c>
      <c r="I932" s="14" t="n">
        <v>0.706348694621958</v>
      </c>
      <c r="J932" s="14" t="n">
        <v>0.703153895737197</v>
      </c>
      <c r="K932" s="14" t="n">
        <v>0.68723162129431</v>
      </c>
      <c r="L932" s="14" t="n">
        <v>0.643007983816556</v>
      </c>
      <c r="Q932" s="14" t="n">
        <v>1</v>
      </c>
      <c r="R932" s="14" t="n">
        <v>1</v>
      </c>
      <c r="S932" s="14" t="n">
        <v>6.5</v>
      </c>
    </row>
    <row r="933" customFormat="false" ht="15" hidden="false" customHeight="false" outlineLevel="0" collapsed="false">
      <c r="A933" s="13" t="n">
        <v>43626</v>
      </c>
      <c r="B933" s="14" t="n">
        <v>2.39</v>
      </c>
      <c r="C933" s="14" t="n">
        <v>2.5</v>
      </c>
      <c r="D933" s="14" t="n">
        <v>2.25</v>
      </c>
      <c r="F933" s="14" t="n">
        <v>-0.4</v>
      </c>
      <c r="G933" s="14" t="n">
        <v>0.75</v>
      </c>
      <c r="H933" s="14" t="n">
        <v>0.7082</v>
      </c>
      <c r="I933" s="14" t="n">
        <v>0.705351513717845</v>
      </c>
      <c r="J933" s="14" t="n">
        <v>0.700747079845795</v>
      </c>
      <c r="K933" s="14" t="n">
        <v>0.687837472602106</v>
      </c>
      <c r="L933" s="14" t="n">
        <v>0.657608542114761</v>
      </c>
      <c r="M933" s="14" t="n">
        <v>2.853</v>
      </c>
      <c r="N933" s="14" t="n">
        <v>2.932</v>
      </c>
      <c r="O933" s="14" t="n">
        <v>2.958</v>
      </c>
      <c r="P933" s="14" t="n">
        <v>3.215</v>
      </c>
      <c r="S933" s="14" t="n">
        <v>6.5</v>
      </c>
    </row>
    <row r="934" customFormat="false" ht="15" hidden="false" customHeight="false" outlineLevel="0" collapsed="false">
      <c r="A934" s="13" t="n">
        <v>43627</v>
      </c>
      <c r="B934" s="14" t="n">
        <v>2.38</v>
      </c>
      <c r="C934" s="14" t="n">
        <v>2.5</v>
      </c>
      <c r="D934" s="14" t="n">
        <v>2.25</v>
      </c>
      <c r="F934" s="14" t="n">
        <v>-0.4</v>
      </c>
      <c r="G934" s="14" t="n">
        <v>0.75</v>
      </c>
      <c r="H934" s="14" t="n">
        <v>0.7082</v>
      </c>
      <c r="I934" s="14" t="n">
        <v>0.712360586322098</v>
      </c>
      <c r="J934" s="14" t="n">
        <v>0.712574999931461</v>
      </c>
      <c r="K934" s="14" t="n">
        <v>0.707492021369174</v>
      </c>
      <c r="L934" s="14" t="n">
        <v>0.687593893515514</v>
      </c>
      <c r="M934" s="14" t="n">
        <v>2.859</v>
      </c>
      <c r="N934" s="14" t="n">
        <v>2.94</v>
      </c>
      <c r="O934" s="14" t="n">
        <v>2.973</v>
      </c>
      <c r="P934" s="14" t="n">
        <v>3.213</v>
      </c>
      <c r="Q934" s="14" t="n">
        <v>1</v>
      </c>
      <c r="R934" s="14" t="n">
        <v>1</v>
      </c>
      <c r="S934" s="14" t="n">
        <v>6.5</v>
      </c>
    </row>
    <row r="935" customFormat="false" ht="15" hidden="false" customHeight="false" outlineLevel="0" collapsed="false">
      <c r="A935" s="13" t="n">
        <v>43628</v>
      </c>
      <c r="B935" s="14" t="n">
        <v>2.37</v>
      </c>
      <c r="C935" s="14" t="n">
        <v>2.5</v>
      </c>
      <c r="D935" s="14" t="n">
        <v>2.25</v>
      </c>
      <c r="F935" s="14" t="n">
        <v>-0.4</v>
      </c>
      <c r="G935" s="14" t="n">
        <v>0.75</v>
      </c>
      <c r="H935" s="14" t="n">
        <v>0.7086</v>
      </c>
      <c r="I935" s="14" t="n">
        <v>0.708835599455623</v>
      </c>
      <c r="J935" s="14" t="n">
        <v>0.709723176895883</v>
      </c>
      <c r="K935" s="14" t="n">
        <v>0.705079393344372</v>
      </c>
      <c r="L935" s="14" t="n">
        <v>0.689328182672479</v>
      </c>
      <c r="M935" s="14" t="n">
        <v>2.865</v>
      </c>
      <c r="N935" s="14" t="n">
        <v>2.943</v>
      </c>
      <c r="O935" s="14" t="n">
        <v>2.976</v>
      </c>
      <c r="P935" s="14" t="n">
        <v>3.217</v>
      </c>
      <c r="Q935" s="14" t="n">
        <v>1</v>
      </c>
      <c r="R935" s="14" t="n">
        <v>0.99</v>
      </c>
      <c r="S935" s="14" t="n">
        <v>6.5</v>
      </c>
    </row>
    <row r="936" customFormat="false" ht="15" hidden="false" customHeight="false" outlineLevel="0" collapsed="false">
      <c r="A936" s="13" t="n">
        <v>43629</v>
      </c>
      <c r="B936" s="14" t="n">
        <v>2.35</v>
      </c>
      <c r="C936" s="14" t="n">
        <v>2.5</v>
      </c>
      <c r="D936" s="14" t="n">
        <v>2.25</v>
      </c>
      <c r="F936" s="14" t="n">
        <v>-0.4</v>
      </c>
      <c r="G936" s="14" t="n">
        <v>0.75</v>
      </c>
      <c r="H936" s="14" t="n">
        <v>0.7083</v>
      </c>
      <c r="I936" s="14" t="n">
        <v>0.70896680783449</v>
      </c>
      <c r="J936" s="14" t="n">
        <v>0.710070690740667</v>
      </c>
      <c r="K936" s="14" t="n">
        <v>0.704143043476787</v>
      </c>
      <c r="L936" s="14" t="n">
        <v>0.686073493496341</v>
      </c>
      <c r="M936" s="14" t="n">
        <v>2.878</v>
      </c>
      <c r="N936" s="14" t="n">
        <v>2.944</v>
      </c>
      <c r="O936" s="14" t="n">
        <v>2.982</v>
      </c>
      <c r="P936" s="14" t="n">
        <v>3.22</v>
      </c>
      <c r="Q936" s="14" t="n">
        <v>1</v>
      </c>
      <c r="R936" s="14" t="n">
        <v>1</v>
      </c>
      <c r="S936" s="14" t="n">
        <v>6.5</v>
      </c>
    </row>
    <row r="937" customFormat="false" ht="15" hidden="false" customHeight="false" outlineLevel="0" collapsed="false">
      <c r="A937" s="13" t="n">
        <v>43630</v>
      </c>
      <c r="B937" s="14" t="n">
        <v>2.35</v>
      </c>
      <c r="C937" s="14" t="n">
        <v>2.5</v>
      </c>
      <c r="D937" s="14" t="n">
        <v>2.25</v>
      </c>
      <c r="F937" s="14" t="n">
        <v>-0.4</v>
      </c>
      <c r="G937" s="14" t="n">
        <v>0.75</v>
      </c>
      <c r="H937" s="14" t="n">
        <v>0.7078</v>
      </c>
      <c r="I937" s="14" t="n">
        <v>0.708841171165048</v>
      </c>
      <c r="J937" s="14" t="n">
        <v>0.711656701395187</v>
      </c>
      <c r="K937" s="14" t="n">
        <v>0.707098466833844</v>
      </c>
      <c r="L937" s="14" t="n">
        <v>0.687189835592981</v>
      </c>
      <c r="M937" s="14" t="n">
        <v>2.898</v>
      </c>
      <c r="N937" s="14" t="n">
        <v>2.947</v>
      </c>
      <c r="O937" s="14" t="n">
        <v>2.986</v>
      </c>
      <c r="P937" s="14" t="n">
        <v>3.225</v>
      </c>
      <c r="Q937" s="14" t="n">
        <v>1</v>
      </c>
      <c r="R937" s="14" t="n">
        <v>1.01</v>
      </c>
      <c r="S937" s="14" t="n">
        <v>6.5</v>
      </c>
    </row>
    <row r="938" customFormat="false" ht="15" hidden="false" customHeight="false" outlineLevel="0" collapsed="false">
      <c r="A938" s="13" t="n">
        <v>43633</v>
      </c>
      <c r="B938" s="14" t="n">
        <v>2.41</v>
      </c>
      <c r="C938" s="14" t="n">
        <v>2.5</v>
      </c>
      <c r="D938" s="14" t="n">
        <v>2.25</v>
      </c>
      <c r="F938" s="14" t="n">
        <v>-0.4</v>
      </c>
      <c r="G938" s="14" t="n">
        <v>0.75</v>
      </c>
      <c r="H938" s="14" t="n">
        <v>0.708</v>
      </c>
      <c r="I938" s="14" t="n">
        <v>0.710844131425055</v>
      </c>
      <c r="J938" s="14" t="n">
        <v>0.711277632408831</v>
      </c>
      <c r="K938" s="14" t="n">
        <v>0.703606057694504</v>
      </c>
      <c r="L938" s="14" t="n">
        <v>0.681946352712295</v>
      </c>
      <c r="M938" s="14" t="n">
        <v>2.898</v>
      </c>
      <c r="N938" s="14" t="n">
        <v>2.947</v>
      </c>
      <c r="O938" s="14" t="n">
        <v>2.991</v>
      </c>
      <c r="P938" s="14" t="n">
        <v>3.228</v>
      </c>
      <c r="Q938" s="14" t="n">
        <v>1</v>
      </c>
      <c r="R938" s="14" t="n">
        <v>0.99</v>
      </c>
      <c r="S938" s="14" t="n">
        <v>6.5</v>
      </c>
    </row>
    <row r="939" customFormat="false" ht="15" hidden="false" customHeight="false" outlineLevel="0" collapsed="false">
      <c r="A939" s="13" t="n">
        <v>43634</v>
      </c>
      <c r="B939" s="14" t="n">
        <v>2.39</v>
      </c>
      <c r="C939" s="14" t="n">
        <v>2.5</v>
      </c>
      <c r="D939" s="14" t="n">
        <v>2.25</v>
      </c>
      <c r="F939" s="14" t="n">
        <v>-0.4</v>
      </c>
      <c r="G939" s="14" t="n">
        <v>0.75</v>
      </c>
      <c r="H939" s="14" t="n">
        <v>0.7082</v>
      </c>
      <c r="I939" s="14" t="n">
        <v>0.709900326540606</v>
      </c>
      <c r="J939" s="14" t="n">
        <v>0.71132193860928</v>
      </c>
      <c r="K939" s="14" t="n">
        <v>0.699854950804006</v>
      </c>
      <c r="L939" s="14" t="n">
        <v>0.667198400723722</v>
      </c>
      <c r="M939" s="14" t="n">
        <v>2.897</v>
      </c>
      <c r="N939" s="14" t="n">
        <v>2.943</v>
      </c>
      <c r="O939" s="14" t="n">
        <v>2.98</v>
      </c>
      <c r="P939" s="14" t="n">
        <v>3.231</v>
      </c>
      <c r="Q939" s="14" t="n">
        <v>1</v>
      </c>
      <c r="R939" s="14" t="n">
        <v>1</v>
      </c>
      <c r="S939" s="14" t="n">
        <v>6.5</v>
      </c>
    </row>
    <row r="940" customFormat="false" ht="15" hidden="false" customHeight="false" outlineLevel="0" collapsed="false">
      <c r="A940" s="13" t="n">
        <v>43635</v>
      </c>
      <c r="B940" s="14" t="n">
        <v>2.36</v>
      </c>
      <c r="C940" s="14" t="n">
        <v>2.5</v>
      </c>
      <c r="D940" s="14" t="n">
        <v>2.25</v>
      </c>
      <c r="F940" s="14" t="n">
        <v>-0.4</v>
      </c>
      <c r="G940" s="14" t="n">
        <v>0.75</v>
      </c>
      <c r="H940" s="14" t="n">
        <v>0.7089</v>
      </c>
      <c r="I940" s="14" t="n">
        <v>0.710314620862374</v>
      </c>
      <c r="J940" s="14" t="n">
        <v>0.715507094936716</v>
      </c>
      <c r="K940" s="14" t="n">
        <v>0.711367850454113</v>
      </c>
      <c r="L940" s="14" t="n">
        <v>0.694253717395879</v>
      </c>
      <c r="M940" s="14" t="n">
        <v>2.891</v>
      </c>
      <c r="N940" s="14" t="n">
        <v>2.929</v>
      </c>
      <c r="O940" s="14" t="n">
        <v>2.967</v>
      </c>
      <c r="P940" s="14" t="n">
        <v>3.218</v>
      </c>
      <c r="Q940" s="14" t="n">
        <v>1</v>
      </c>
      <c r="R940" s="14" t="n">
        <v>0.99</v>
      </c>
      <c r="S940" s="14" t="n">
        <v>6.5</v>
      </c>
    </row>
    <row r="941" customFormat="false" ht="15" hidden="false" customHeight="false" outlineLevel="0" collapsed="false">
      <c r="A941" s="13" t="n">
        <v>43636</v>
      </c>
      <c r="B941" s="14" t="n">
        <v>2.36</v>
      </c>
      <c r="C941" s="14" t="n">
        <v>2.5</v>
      </c>
      <c r="D941" s="14" t="n">
        <v>2.25</v>
      </c>
      <c r="F941" s="14" t="n">
        <v>-0.4</v>
      </c>
      <c r="G941" s="14" t="n">
        <v>0.75</v>
      </c>
      <c r="H941" s="14" t="n">
        <v>0.7092</v>
      </c>
      <c r="I941" s="14" t="n">
        <v>0.709569196837978</v>
      </c>
      <c r="J941" s="14" t="n">
        <v>0.708469120139166</v>
      </c>
      <c r="K941" s="14" t="n">
        <v>0.69335558456759</v>
      </c>
      <c r="L941" s="14" t="n">
        <v>0.654857350315687</v>
      </c>
      <c r="M941" s="14" t="n">
        <v>2.876</v>
      </c>
      <c r="N941" s="14" t="n">
        <v>2.911</v>
      </c>
      <c r="O941" s="14" t="n">
        <v>2.958</v>
      </c>
      <c r="P941" s="14" t="n">
        <v>3.207</v>
      </c>
      <c r="Q941" s="14" t="n">
        <v>1</v>
      </c>
      <c r="R941" s="14" t="n">
        <v>0.99</v>
      </c>
      <c r="S941" s="14" t="n">
        <v>6.5</v>
      </c>
    </row>
    <row r="942" customFormat="false" ht="15" hidden="false" customHeight="false" outlineLevel="0" collapsed="false">
      <c r="A942" s="13" t="n">
        <v>43637</v>
      </c>
      <c r="B942" s="14" t="n">
        <v>2.37</v>
      </c>
      <c r="C942" s="14" t="n">
        <v>2.5</v>
      </c>
      <c r="D942" s="14" t="n">
        <v>2.25</v>
      </c>
      <c r="F942" s="14" t="n">
        <v>-0.4</v>
      </c>
      <c r="G942" s="14" t="n">
        <v>0.75</v>
      </c>
      <c r="H942" s="14" t="n">
        <v>0.7094</v>
      </c>
      <c r="I942" s="14" t="n">
        <v>0.709668515498601</v>
      </c>
      <c r="J942" s="14" t="n">
        <v>0.708450755286454</v>
      </c>
      <c r="K942" s="14" t="n">
        <v>0.696505179612139</v>
      </c>
      <c r="L942" s="14" t="n">
        <v>0.671443260587721</v>
      </c>
      <c r="M942" s="14" t="n">
        <v>2.852</v>
      </c>
      <c r="N942" s="14" t="n">
        <v>2.895</v>
      </c>
      <c r="O942" s="14" t="n">
        <v>2.938</v>
      </c>
      <c r="P942" s="14" t="n">
        <v>3.19</v>
      </c>
      <c r="Q942" s="14" t="n">
        <v>1.25</v>
      </c>
      <c r="R942" s="14" t="n">
        <v>1.25</v>
      </c>
      <c r="S942" s="14" t="n">
        <v>6.5</v>
      </c>
    </row>
    <row r="943" customFormat="false" ht="15" hidden="false" customHeight="false" outlineLevel="0" collapsed="false">
      <c r="A943" s="13" t="n">
        <v>43640</v>
      </c>
      <c r="B943" s="14" t="n">
        <v>2.39</v>
      </c>
      <c r="C943" s="14" t="n">
        <v>2.5</v>
      </c>
      <c r="D943" s="14" t="n">
        <v>2.25</v>
      </c>
      <c r="F943" s="14" t="n">
        <v>-0.4</v>
      </c>
      <c r="G943" s="14" t="n">
        <v>0.75</v>
      </c>
      <c r="H943" s="14" t="n">
        <v>0.7085</v>
      </c>
      <c r="I943" s="14" t="n">
        <v>0.709334820554667</v>
      </c>
      <c r="J943" s="14" t="n">
        <v>0.709313704960556</v>
      </c>
      <c r="K943" s="14" t="n">
        <v>0.696923612914983</v>
      </c>
      <c r="L943" s="14" t="n">
        <v>0.668265769553111</v>
      </c>
      <c r="M943" s="14" t="n">
        <v>2.805</v>
      </c>
      <c r="N943" s="14" t="n">
        <v>2.859</v>
      </c>
      <c r="O943" s="14" t="n">
        <v>2.906</v>
      </c>
      <c r="P943" s="14" t="n">
        <v>3.17</v>
      </c>
      <c r="Q943" s="14" t="n">
        <v>1.25</v>
      </c>
      <c r="R943" s="14" t="n">
        <v>1.24</v>
      </c>
      <c r="S943" s="14" t="n">
        <v>6.5</v>
      </c>
    </row>
    <row r="944" customFormat="false" ht="15" hidden="false" customHeight="false" outlineLevel="0" collapsed="false">
      <c r="A944" s="13" t="n">
        <v>43641</v>
      </c>
      <c r="B944" s="14" t="n">
        <v>2.41</v>
      </c>
      <c r="C944" s="14" t="n">
        <v>2.5</v>
      </c>
      <c r="D944" s="14" t="n">
        <v>2.25</v>
      </c>
      <c r="F944" s="14" t="n">
        <v>-0.4</v>
      </c>
      <c r="G944" s="14" t="n">
        <v>0.75</v>
      </c>
      <c r="H944" s="14" t="n">
        <v>0.71</v>
      </c>
      <c r="I944" s="14" t="n">
        <v>0.709436637461715</v>
      </c>
      <c r="J944" s="14" t="n">
        <v>0.709688111893599</v>
      </c>
      <c r="K944" s="14" t="n">
        <v>0.696932304890455</v>
      </c>
      <c r="L944" s="14" t="n">
        <v>0.664938152315689</v>
      </c>
      <c r="M944" s="14" t="n">
        <v>2.76</v>
      </c>
      <c r="N944" s="14" t="n">
        <v>2.809</v>
      </c>
      <c r="O944" s="14" t="n">
        <v>2.878</v>
      </c>
      <c r="P944" s="14" t="n">
        <v>3.138</v>
      </c>
      <c r="Q944" s="14" t="n">
        <v>1.25</v>
      </c>
      <c r="R944" s="14" t="n">
        <v>1.27</v>
      </c>
      <c r="S944" s="14" t="n">
        <v>6.5</v>
      </c>
    </row>
    <row r="945" customFormat="false" ht="15" hidden="false" customHeight="false" outlineLevel="0" collapsed="false">
      <c r="A945" s="13" t="n">
        <v>43642</v>
      </c>
      <c r="B945" s="14" t="n">
        <v>2.43</v>
      </c>
      <c r="C945" s="14" t="n">
        <v>2.5</v>
      </c>
      <c r="D945" s="14" t="n">
        <v>2.25</v>
      </c>
      <c r="F945" s="14" t="n">
        <v>-0.4</v>
      </c>
      <c r="G945" s="14" t="n">
        <v>0.75</v>
      </c>
      <c r="H945" s="14" t="n">
        <v>0.7084</v>
      </c>
      <c r="I945" s="14" t="n">
        <v>0.709570871973785</v>
      </c>
      <c r="J945" s="14" t="n">
        <v>0.709641096202194</v>
      </c>
      <c r="K945" s="14" t="n">
        <v>0.697463439334961</v>
      </c>
      <c r="L945" s="14" t="n">
        <v>0.668485235138173</v>
      </c>
      <c r="M945" s="14" t="n">
        <v>2.731</v>
      </c>
      <c r="N945" s="14" t="n">
        <v>2.758</v>
      </c>
      <c r="O945" s="14" t="n">
        <v>2.847</v>
      </c>
      <c r="P945" s="14" t="n">
        <v>3.112</v>
      </c>
      <c r="Q945" s="14" t="n">
        <v>1.25</v>
      </c>
      <c r="R945" s="14" t="n">
        <v>1.27</v>
      </c>
      <c r="S945" s="14" t="n">
        <v>6.5</v>
      </c>
    </row>
    <row r="946" customFormat="false" ht="15" hidden="false" customHeight="false" outlineLevel="0" collapsed="false">
      <c r="A946" s="13" t="n">
        <v>43643</v>
      </c>
      <c r="B946" s="14" t="n">
        <v>2.42</v>
      </c>
      <c r="C946" s="14" t="n">
        <v>2.5</v>
      </c>
      <c r="D946" s="14" t="n">
        <v>2.25</v>
      </c>
      <c r="F946" s="14" t="n">
        <v>-0.4</v>
      </c>
      <c r="G946" s="14" t="n">
        <v>0.75</v>
      </c>
      <c r="H946" s="14" t="n">
        <v>0.7086</v>
      </c>
      <c r="I946" s="14" t="n">
        <v>0.711404094544505</v>
      </c>
      <c r="J946" s="14" t="n">
        <v>0.709671815866355</v>
      </c>
      <c r="K946" s="14" t="n">
        <v>0.694547213792504</v>
      </c>
      <c r="L946" s="14" t="n">
        <v>0.659271537568492</v>
      </c>
      <c r="M946" s="14" t="n">
        <v>2.703</v>
      </c>
      <c r="N946" s="14" t="n">
        <v>2.722</v>
      </c>
      <c r="O946" s="14" t="n">
        <v>2.824</v>
      </c>
      <c r="P946" s="14" t="n">
        <v>3.105</v>
      </c>
      <c r="Q946" s="14" t="n">
        <v>1.25</v>
      </c>
      <c r="R946" s="14" t="n">
        <v>1.26</v>
      </c>
      <c r="S946" s="14" t="n">
        <v>6.5</v>
      </c>
    </row>
    <row r="947" customFormat="false" ht="15" hidden="false" customHeight="false" outlineLevel="0" collapsed="false">
      <c r="A947" s="13" t="n">
        <v>43644</v>
      </c>
      <c r="B947" s="14" t="n">
        <v>2.5</v>
      </c>
      <c r="C947" s="14" t="n">
        <v>2.5</v>
      </c>
      <c r="D947" s="14" t="n">
        <v>2.25</v>
      </c>
      <c r="F947" s="14" t="n">
        <v>-0.4</v>
      </c>
      <c r="G947" s="14" t="n">
        <v>0.75</v>
      </c>
      <c r="H947" s="14" t="n">
        <v>0.706</v>
      </c>
      <c r="I947" s="14" t="n">
        <v>0.7095774636557</v>
      </c>
      <c r="J947" s="14" t="n">
        <v>0.709499465649021</v>
      </c>
      <c r="K947" s="14" t="n">
        <v>0.696497188183914</v>
      </c>
      <c r="L947" s="14" t="n">
        <v>0.6630236432478</v>
      </c>
      <c r="M947" s="14" t="n">
        <v>2.684</v>
      </c>
      <c r="N947" s="14" t="n">
        <v>2.708</v>
      </c>
      <c r="O947" s="14" t="n">
        <v>2.803</v>
      </c>
      <c r="P947" s="14" t="n">
        <v>3.103</v>
      </c>
      <c r="Q947" s="14" t="n">
        <v>1.25</v>
      </c>
      <c r="R947" s="14" t="n">
        <v>3.16</v>
      </c>
      <c r="S947" s="14" t="n">
        <v>6.5</v>
      </c>
    </row>
    <row r="948" customFormat="false" ht="15" hidden="false" customHeight="false" outlineLevel="0" collapsed="false">
      <c r="A948" s="13" t="n">
        <v>43647</v>
      </c>
      <c r="B948" s="14" t="n">
        <v>2.42</v>
      </c>
      <c r="C948" s="14" t="n">
        <v>2.5</v>
      </c>
      <c r="D948" s="14" t="n">
        <v>2.25</v>
      </c>
      <c r="F948" s="14" t="n">
        <v>-0.4</v>
      </c>
      <c r="G948" s="14" t="n">
        <v>0.75</v>
      </c>
      <c r="H948" s="14" t="n">
        <v>0.7093</v>
      </c>
      <c r="I948" s="14" t="n">
        <v>0.709470578637636</v>
      </c>
      <c r="J948" s="14" t="n">
        <v>0.711563931629838</v>
      </c>
      <c r="K948" s="14" t="n">
        <v>0.697403130020649</v>
      </c>
      <c r="L948" s="14" t="n">
        <v>0.659749772551126</v>
      </c>
      <c r="M948" s="14" t="n">
        <v>2.603</v>
      </c>
      <c r="N948" s="14" t="n">
        <v>2.681</v>
      </c>
      <c r="O948" s="14" t="n">
        <v>2.779</v>
      </c>
      <c r="P948" s="14" t="n">
        <v>3.099</v>
      </c>
      <c r="Q948" s="14" t="n">
        <v>1.25</v>
      </c>
      <c r="R948" s="14" t="n">
        <v>1.25</v>
      </c>
      <c r="S948" s="14" t="n">
        <v>6.5</v>
      </c>
    </row>
    <row r="949" customFormat="false" ht="15" hidden="false" customHeight="false" outlineLevel="0" collapsed="false">
      <c r="A949" s="13" t="n">
        <v>43648</v>
      </c>
      <c r="B949" s="14" t="n">
        <v>2.51</v>
      </c>
      <c r="C949" s="14" t="n">
        <v>2.5</v>
      </c>
      <c r="D949" s="14" t="n">
        <v>2.25</v>
      </c>
      <c r="F949" s="14" t="n">
        <v>-0.4</v>
      </c>
      <c r="G949" s="14" t="n">
        <v>0.75</v>
      </c>
      <c r="H949" s="14" t="n">
        <v>0.7082</v>
      </c>
      <c r="I949" s="14" t="n">
        <v>0.708301084289811</v>
      </c>
      <c r="J949" s="14" t="n">
        <v>0.689079578870392</v>
      </c>
      <c r="K949" s="14" t="n">
        <v>0.650159191921468</v>
      </c>
      <c r="L949" s="14" t="n">
        <v>0.587477267929919</v>
      </c>
      <c r="M949" s="14" t="n">
        <v>2.534</v>
      </c>
      <c r="N949" s="14" t="n">
        <v>2.657</v>
      </c>
      <c r="O949" s="14" t="n">
        <v>2.76</v>
      </c>
      <c r="P949" s="14" t="n">
        <v>3.096</v>
      </c>
      <c r="Q949" s="14" t="n">
        <v>1.25</v>
      </c>
      <c r="R949" s="14" t="n">
        <v>1.24</v>
      </c>
      <c r="S949" s="14" t="n">
        <v>6.5</v>
      </c>
    </row>
    <row r="950" customFormat="false" ht="15" hidden="false" customHeight="false" outlineLevel="0" collapsed="false">
      <c r="A950" s="13" t="n">
        <v>43649</v>
      </c>
      <c r="B950" s="14" t="n">
        <v>2.56</v>
      </c>
      <c r="C950" s="14" t="n">
        <v>2.5</v>
      </c>
      <c r="D950" s="14" t="n">
        <v>2.25</v>
      </c>
      <c r="F950" s="14" t="n">
        <v>-0.4</v>
      </c>
      <c r="G950" s="14" t="n">
        <v>0.75</v>
      </c>
      <c r="H950" s="14" t="n">
        <v>0.7089</v>
      </c>
      <c r="I950" s="14" t="n">
        <v>0.707698308660921</v>
      </c>
      <c r="J950" s="14" t="n">
        <v>0.688850331590225</v>
      </c>
      <c r="K950" s="14" t="n">
        <v>0.649227865895824</v>
      </c>
      <c r="L950" s="14" t="n">
        <v>0.583257017475985</v>
      </c>
      <c r="M950" s="14" t="n">
        <v>2.492</v>
      </c>
      <c r="N950" s="14" t="n">
        <v>2.641</v>
      </c>
      <c r="O950" s="14" t="n">
        <v>2.751</v>
      </c>
      <c r="P950" s="14" t="n">
        <v>3.096</v>
      </c>
      <c r="Q950" s="14" t="n">
        <v>1.25</v>
      </c>
      <c r="R950" s="14" t="n">
        <v>1.24</v>
      </c>
      <c r="S950" s="14" t="n">
        <v>6.5</v>
      </c>
    </row>
    <row r="951" customFormat="false" ht="15" hidden="false" customHeight="false" outlineLevel="0" collapsed="false">
      <c r="A951" s="13" t="n">
        <v>43650</v>
      </c>
      <c r="C951" s="14" t="n">
        <v>2.5</v>
      </c>
      <c r="D951" s="14" t="n">
        <v>2.25</v>
      </c>
      <c r="F951" s="14" t="n">
        <v>-0.4</v>
      </c>
      <c r="G951" s="14" t="n">
        <v>0.75</v>
      </c>
      <c r="H951" s="14" t="n">
        <v>0.7093</v>
      </c>
      <c r="I951" s="14" t="n">
        <v>0.707075236131228</v>
      </c>
      <c r="J951" s="14" t="n">
        <v>0.691646527736371</v>
      </c>
      <c r="K951" s="14" t="n">
        <v>0.652518061973797</v>
      </c>
      <c r="L951" s="14" t="n">
        <v>0.583417809128031</v>
      </c>
      <c r="M951" s="14" t="n">
        <v>2.465</v>
      </c>
      <c r="N951" s="14" t="n">
        <v>2.627</v>
      </c>
      <c r="O951" s="14" t="n">
        <v>2.733</v>
      </c>
      <c r="P951" s="14" t="n">
        <v>3.094</v>
      </c>
      <c r="Q951" s="14" t="n">
        <v>1.25</v>
      </c>
      <c r="R951" s="14" t="n">
        <v>1.3</v>
      </c>
      <c r="S951" s="14" t="n">
        <v>6.5</v>
      </c>
    </row>
    <row r="952" customFormat="false" ht="15" hidden="false" customHeight="false" outlineLevel="0" collapsed="false">
      <c r="A952" s="13" t="n">
        <v>43651</v>
      </c>
      <c r="B952" s="14" t="n">
        <v>2.59</v>
      </c>
      <c r="C952" s="14" t="n">
        <v>2.5</v>
      </c>
      <c r="D952" s="14" t="n">
        <v>2.25</v>
      </c>
      <c r="F952" s="14" t="n">
        <v>-0.4</v>
      </c>
      <c r="G952" s="14" t="n">
        <v>0.75</v>
      </c>
      <c r="H952" s="14" t="n">
        <v>0.7077</v>
      </c>
      <c r="I952" s="14" t="n">
        <v>0.709264819875617</v>
      </c>
      <c r="J952" s="14" t="n">
        <v>0.694912188565599</v>
      </c>
      <c r="K952" s="14" t="n">
        <v>0.659252654345021</v>
      </c>
      <c r="L952" s="14" t="n">
        <v>0.600852660878562</v>
      </c>
      <c r="M952" s="14" t="n">
        <v>2.463</v>
      </c>
      <c r="N952" s="14" t="n">
        <v>2.606</v>
      </c>
      <c r="O952" s="14" t="n">
        <v>2.712</v>
      </c>
      <c r="P952" s="14" t="n">
        <v>3.084</v>
      </c>
      <c r="Q952" s="14" t="n">
        <v>1.25</v>
      </c>
      <c r="R952" s="14" t="n">
        <v>1.25</v>
      </c>
      <c r="S952" s="14" t="n">
        <v>6.5</v>
      </c>
    </row>
    <row r="953" customFormat="false" ht="15" hidden="false" customHeight="false" outlineLevel="0" collapsed="false">
      <c r="A953" s="13" t="n">
        <v>43654</v>
      </c>
      <c r="B953" s="14" t="n">
        <v>2.48</v>
      </c>
      <c r="C953" s="14" t="n">
        <v>2.5</v>
      </c>
      <c r="D953" s="14" t="n">
        <v>2.25</v>
      </c>
      <c r="F953" s="14" t="n">
        <v>-0.4</v>
      </c>
      <c r="G953" s="14" t="n">
        <v>0.75</v>
      </c>
      <c r="H953" s="14" t="n">
        <v>0.7088</v>
      </c>
      <c r="I953" s="14" t="n">
        <v>0.706543535000232</v>
      </c>
      <c r="J953" s="14" t="n">
        <v>0.692047069219383</v>
      </c>
      <c r="K953" s="14" t="n">
        <v>0.656283172615414</v>
      </c>
      <c r="L953" s="14" t="n">
        <v>0.588886775483045</v>
      </c>
      <c r="M953" s="14" t="n">
        <v>2.467</v>
      </c>
      <c r="N953" s="14" t="n">
        <v>2.603</v>
      </c>
      <c r="O953" s="14" t="n">
        <v>2.707</v>
      </c>
      <c r="P953" s="14" t="n">
        <v>3.086</v>
      </c>
      <c r="Q953" s="14" t="n">
        <v>1.25</v>
      </c>
      <c r="R953" s="14" t="n">
        <v>1.25</v>
      </c>
      <c r="S953" s="14" t="n">
        <v>6.5</v>
      </c>
    </row>
    <row r="954" customFormat="false" ht="15" hidden="false" customHeight="false" outlineLevel="0" collapsed="false">
      <c r="A954" s="13" t="n">
        <v>43655</v>
      </c>
      <c r="B954" s="14" t="n">
        <v>2.45</v>
      </c>
      <c r="C954" s="14" t="n">
        <v>2.5</v>
      </c>
      <c r="D954" s="14" t="n">
        <v>2.25</v>
      </c>
      <c r="F954" s="14" t="n">
        <v>-0.4</v>
      </c>
      <c r="G954" s="14" t="n">
        <v>0.75</v>
      </c>
      <c r="H954" s="14" t="n">
        <v>0.7089</v>
      </c>
      <c r="I954" s="14" t="n">
        <v>0.707475153690082</v>
      </c>
      <c r="J954" s="14" t="n">
        <v>0.694685157763852</v>
      </c>
      <c r="K954" s="14" t="n">
        <v>0.662014183592061</v>
      </c>
      <c r="L954" s="14" t="n">
        <v>0.598844724899354</v>
      </c>
      <c r="M954" s="14" t="n">
        <v>2.484</v>
      </c>
      <c r="N954" s="14" t="n">
        <v>2.601</v>
      </c>
      <c r="O954" s="14" t="n">
        <v>2.702</v>
      </c>
      <c r="P954" s="14" t="n">
        <v>3.087</v>
      </c>
      <c r="Q954" s="14" t="n">
        <v>1.25</v>
      </c>
      <c r="R954" s="14" t="n">
        <v>1.24</v>
      </c>
      <c r="S954" s="14" t="n">
        <v>6.5</v>
      </c>
    </row>
    <row r="955" customFormat="false" ht="15" hidden="false" customHeight="false" outlineLevel="0" collapsed="false">
      <c r="A955" s="13" t="n">
        <v>43656</v>
      </c>
      <c r="B955" s="14" t="n">
        <v>2.46</v>
      </c>
      <c r="C955" s="14" t="n">
        <v>2.5</v>
      </c>
      <c r="D955" s="14" t="n">
        <v>2.25</v>
      </c>
      <c r="F955" s="14" t="n">
        <v>-0.4</v>
      </c>
      <c r="G955" s="14" t="n">
        <v>0.75</v>
      </c>
      <c r="H955" s="14" t="n">
        <v>0.709</v>
      </c>
      <c r="I955" s="14" t="n">
        <v>0.707684519506263</v>
      </c>
      <c r="J955" s="14" t="n">
        <v>0.6967979424262</v>
      </c>
      <c r="K955" s="14" t="n">
        <v>0.665073331918747</v>
      </c>
      <c r="L955" s="14" t="n">
        <v>0.603618985186031</v>
      </c>
      <c r="M955" s="14" t="n">
        <v>2.486</v>
      </c>
      <c r="N955" s="14" t="n">
        <v>2.6</v>
      </c>
      <c r="O955" s="14" t="n">
        <v>2.7</v>
      </c>
      <c r="P955" s="14" t="n">
        <v>3.089</v>
      </c>
      <c r="Q955" s="14" t="n">
        <v>1.25</v>
      </c>
      <c r="R955" s="14" t="n">
        <v>1.28</v>
      </c>
      <c r="S955" s="14" t="n">
        <v>6.5</v>
      </c>
    </row>
    <row r="956" customFormat="false" ht="15" hidden="false" customHeight="false" outlineLevel="0" collapsed="false">
      <c r="A956" s="13" t="n">
        <v>43657</v>
      </c>
      <c r="B956" s="14" t="n">
        <v>2.41</v>
      </c>
      <c r="C956" s="14" t="n">
        <v>2.5</v>
      </c>
      <c r="D956" s="14" t="n">
        <v>2.25</v>
      </c>
      <c r="F956" s="14" t="n">
        <v>-0.4</v>
      </c>
      <c r="G956" s="14" t="n">
        <v>0.75</v>
      </c>
      <c r="H956" s="14" t="n">
        <v>0.709</v>
      </c>
      <c r="I956" s="14" t="n">
        <v>0.707856942986928</v>
      </c>
      <c r="J956" s="14" t="n">
        <v>0.695419939037903</v>
      </c>
      <c r="K956" s="14" t="n">
        <v>0.664290383196832</v>
      </c>
      <c r="L956" s="14" t="n">
        <v>0.614961396091015</v>
      </c>
      <c r="M956" s="14" t="n">
        <v>2.483</v>
      </c>
      <c r="N956" s="14" t="n">
        <v>2.6</v>
      </c>
      <c r="O956" s="14" t="n">
        <v>2.7</v>
      </c>
      <c r="P956" s="14" t="n">
        <v>3.088</v>
      </c>
      <c r="Q956" s="14" t="n">
        <v>1.25</v>
      </c>
      <c r="R956" s="14" t="n">
        <v>1.26</v>
      </c>
      <c r="S956" s="14" t="n">
        <v>6.5</v>
      </c>
    </row>
    <row r="957" customFormat="false" ht="15" hidden="false" customHeight="false" outlineLevel="0" collapsed="false">
      <c r="A957" s="13" t="n">
        <v>43658</v>
      </c>
      <c r="B957" s="14" t="n">
        <v>2.36</v>
      </c>
      <c r="C957" s="14" t="n">
        <v>2.5</v>
      </c>
      <c r="D957" s="14" t="n">
        <v>2.25</v>
      </c>
      <c r="F957" s="14" t="n">
        <v>-0.4</v>
      </c>
      <c r="G957" s="14" t="n">
        <v>0.75</v>
      </c>
      <c r="H957" s="14" t="n">
        <v>0.71</v>
      </c>
      <c r="I957" s="14" t="n">
        <v>0.706844558224854</v>
      </c>
      <c r="J957" s="14" t="n">
        <v>0.694917561799128</v>
      </c>
      <c r="K957" s="14" t="n">
        <v>0.662772880108321</v>
      </c>
      <c r="L957" s="14" t="n">
        <v>0.610634756438744</v>
      </c>
      <c r="M957" s="14" t="n">
        <v>2.487</v>
      </c>
      <c r="N957" s="14" t="n">
        <v>2.6</v>
      </c>
      <c r="O957" s="14" t="n">
        <v>2.7</v>
      </c>
      <c r="P957" s="14" t="n">
        <v>3.091</v>
      </c>
      <c r="Q957" s="14" t="n">
        <v>1.25</v>
      </c>
      <c r="R957" s="14" t="n">
        <v>1.26</v>
      </c>
      <c r="S957" s="14" t="n">
        <v>6.5</v>
      </c>
    </row>
    <row r="958" customFormat="false" ht="15" hidden="false" customHeight="false" outlineLevel="0" collapsed="false">
      <c r="A958" s="13" t="n">
        <v>43661</v>
      </c>
      <c r="B958" s="14" t="n">
        <v>2.46</v>
      </c>
      <c r="C958" s="14" t="n">
        <v>2.5</v>
      </c>
      <c r="D958" s="14" t="n">
        <v>2.25</v>
      </c>
      <c r="F958" s="14" t="n">
        <v>-0.4</v>
      </c>
      <c r="G958" s="14" t="n">
        <v>0.75</v>
      </c>
      <c r="H958" s="14" t="n">
        <v>0.7095</v>
      </c>
      <c r="I958" s="14" t="n">
        <v>0.70701326128835</v>
      </c>
      <c r="J958" s="14" t="n">
        <v>0.695074659170836</v>
      </c>
      <c r="K958" s="14" t="n">
        <v>0.660379805369912</v>
      </c>
      <c r="L958" s="14" t="n">
        <v>0.602729912669801</v>
      </c>
      <c r="M958" s="14" t="n">
        <v>2.498</v>
      </c>
      <c r="N958" s="14" t="n">
        <v>2.6</v>
      </c>
      <c r="O958" s="14" t="n">
        <v>2.7</v>
      </c>
      <c r="P958" s="14" t="n">
        <v>3.093</v>
      </c>
      <c r="Q958" s="14" t="n">
        <v>1.25</v>
      </c>
      <c r="R958" s="14" t="n">
        <v>1.25</v>
      </c>
      <c r="S958" s="14" t="n">
        <v>6.5</v>
      </c>
    </row>
    <row r="959" customFormat="false" ht="15" hidden="false" customHeight="false" outlineLevel="0" collapsed="false">
      <c r="A959" s="13" t="n">
        <v>43662</v>
      </c>
      <c r="B959" s="14" t="n">
        <v>2.47</v>
      </c>
      <c r="C959" s="14" t="n">
        <v>2.5</v>
      </c>
      <c r="D959" s="14" t="n">
        <v>2.25</v>
      </c>
      <c r="F959" s="14" t="n">
        <v>-0.4</v>
      </c>
      <c r="G959" s="14" t="n">
        <v>0.75</v>
      </c>
      <c r="H959" s="14" t="n">
        <v>0.7087</v>
      </c>
      <c r="I959" s="14" t="n">
        <v>0.705802364615628</v>
      </c>
      <c r="J959" s="14" t="n">
        <v>0.692925235415935</v>
      </c>
      <c r="K959" s="14" t="n">
        <v>0.65563339725095</v>
      </c>
      <c r="L959" s="14" t="n">
        <v>0.596312309583096</v>
      </c>
      <c r="M959" s="14" t="n">
        <v>2.532</v>
      </c>
      <c r="N959" s="14" t="n">
        <v>2.609</v>
      </c>
      <c r="O959" s="14" t="n">
        <v>2.702</v>
      </c>
      <c r="P959" s="14" t="n">
        <v>3.096</v>
      </c>
      <c r="Q959" s="14" t="n">
        <v>1.25</v>
      </c>
      <c r="R959" s="14" t="n">
        <v>1.25</v>
      </c>
      <c r="S959" s="14" t="n">
        <v>6.5</v>
      </c>
    </row>
    <row r="960" customFormat="false" ht="15" hidden="false" customHeight="false" outlineLevel="0" collapsed="false">
      <c r="A960" s="13" t="n">
        <v>43663</v>
      </c>
      <c r="B960" s="14" t="n">
        <v>2.47</v>
      </c>
      <c r="C960" s="14" t="n">
        <v>2.5</v>
      </c>
      <c r="D960" s="14" t="n">
        <v>2.25</v>
      </c>
      <c r="F960" s="14" t="n">
        <v>-0.4</v>
      </c>
      <c r="G960" s="14" t="n">
        <v>0.75</v>
      </c>
      <c r="H960" s="14" t="n">
        <v>0.7093</v>
      </c>
      <c r="I960" s="14" t="n">
        <v>0.706648602094419</v>
      </c>
      <c r="J960" s="14" t="n">
        <v>0.693941981446765</v>
      </c>
      <c r="K960" s="14" t="n">
        <v>0.650272531066831</v>
      </c>
      <c r="L960" s="14" t="n">
        <v>0.579539753957067</v>
      </c>
      <c r="M960" s="14" t="n">
        <v>2.557</v>
      </c>
      <c r="N960" s="14" t="n">
        <v>2.613</v>
      </c>
      <c r="O960" s="14" t="n">
        <v>2.704</v>
      </c>
      <c r="P960" s="14" t="n">
        <v>3.099</v>
      </c>
      <c r="Q960" s="14" t="n">
        <v>1.25</v>
      </c>
      <c r="R960" s="14" t="n">
        <v>1.24</v>
      </c>
      <c r="S960" s="14" t="n">
        <v>6.5</v>
      </c>
    </row>
    <row r="961" customFormat="false" ht="15" hidden="false" customHeight="false" outlineLevel="0" collapsed="false">
      <c r="A961" s="13" t="n">
        <v>43664</v>
      </c>
      <c r="B961" s="14" t="n">
        <v>2.46</v>
      </c>
      <c r="C961" s="14" t="n">
        <v>2.5</v>
      </c>
      <c r="D961" s="14" t="n">
        <v>2.25</v>
      </c>
      <c r="F961" s="14" t="n">
        <v>-0.4</v>
      </c>
      <c r="G961" s="14" t="n">
        <v>0.75</v>
      </c>
      <c r="H961" s="14" t="n">
        <v>0.7096</v>
      </c>
      <c r="I961" s="14" t="n">
        <v>0.708324022757777</v>
      </c>
      <c r="J961" s="14" t="n">
        <v>0.693872539528167</v>
      </c>
      <c r="K961" s="14" t="n">
        <v>0.646643179993655</v>
      </c>
      <c r="L961" s="14" t="n">
        <v>0.568384614444318</v>
      </c>
      <c r="M961" s="14" t="n">
        <v>2.577</v>
      </c>
      <c r="N961" s="14" t="n">
        <v>2.623</v>
      </c>
      <c r="O961" s="14" t="n">
        <v>2.704</v>
      </c>
      <c r="P961" s="14" t="n">
        <v>3.101</v>
      </c>
      <c r="Q961" s="14" t="n">
        <v>1.25</v>
      </c>
      <c r="R961" s="14" t="n">
        <v>1.26</v>
      </c>
      <c r="S961" s="14" t="n">
        <v>6.5</v>
      </c>
    </row>
    <row r="962" customFormat="false" ht="15" hidden="false" customHeight="false" outlineLevel="0" collapsed="false">
      <c r="A962" s="13" t="n">
        <v>43665</v>
      </c>
      <c r="B962" s="14" t="n">
        <v>2.41</v>
      </c>
      <c r="C962" s="14" t="n">
        <v>2.5</v>
      </c>
      <c r="D962" s="14" t="n">
        <v>2.25</v>
      </c>
      <c r="F962" s="14" t="n">
        <v>-0.4</v>
      </c>
      <c r="G962" s="14" t="n">
        <v>0.75</v>
      </c>
      <c r="H962" s="14" t="n">
        <v>0.7094</v>
      </c>
      <c r="I962" s="14" t="n">
        <v>0.706202851357725</v>
      </c>
      <c r="J962" s="14" t="n">
        <v>0.694539418074013</v>
      </c>
      <c r="K962" s="14" t="n">
        <v>0.647671299254161</v>
      </c>
      <c r="L962" s="14" t="n">
        <v>0.566256667145856</v>
      </c>
      <c r="M962" s="14" t="n">
        <v>2.591</v>
      </c>
      <c r="N962" s="14" t="n">
        <v>2.631</v>
      </c>
      <c r="O962" s="14" t="n">
        <v>2.705</v>
      </c>
      <c r="P962" s="14" t="n">
        <v>3.101</v>
      </c>
      <c r="Q962" s="14" t="n">
        <v>1.25</v>
      </c>
      <c r="R962" s="14" t="n">
        <v>1.25</v>
      </c>
      <c r="S962" s="14" t="n">
        <v>6.5</v>
      </c>
    </row>
    <row r="963" customFormat="false" ht="15" hidden="false" customHeight="false" outlineLevel="0" collapsed="false">
      <c r="A963" s="13" t="n">
        <v>43668</v>
      </c>
      <c r="B963" s="14" t="n">
        <v>2.4</v>
      </c>
      <c r="C963" s="14" t="n">
        <v>2.5</v>
      </c>
      <c r="D963" s="14" t="n">
        <v>2.25</v>
      </c>
      <c r="F963" s="14" t="n">
        <v>-0.4</v>
      </c>
      <c r="G963" s="14" t="n">
        <v>0.75</v>
      </c>
      <c r="H963" s="14" t="n">
        <v>0.7076</v>
      </c>
      <c r="I963" s="14" t="n">
        <v>0.704638926357337</v>
      </c>
      <c r="J963" s="14" t="n">
        <v>0.691230653227783</v>
      </c>
      <c r="K963" s="14" t="n">
        <v>0.643290291655022</v>
      </c>
      <c r="L963" s="14" t="n">
        <v>0.560329484185887</v>
      </c>
      <c r="M963" s="14" t="n">
        <v>2.592</v>
      </c>
      <c r="N963" s="14" t="n">
        <v>2.628</v>
      </c>
      <c r="O963" s="14" t="n">
        <v>2.704</v>
      </c>
      <c r="P963" s="14" t="n">
        <v>3.1</v>
      </c>
      <c r="Q963" s="14" t="n">
        <v>1.25</v>
      </c>
      <c r="R963" s="14" t="n">
        <v>1.25</v>
      </c>
      <c r="S963" s="14" t="n">
        <v>6.5</v>
      </c>
    </row>
    <row r="964" customFormat="false" ht="15" hidden="false" customHeight="false" outlineLevel="0" collapsed="false">
      <c r="A964" s="13" t="n">
        <v>43669</v>
      </c>
      <c r="B964" s="14" t="n">
        <v>2.4</v>
      </c>
      <c r="C964" s="14" t="n">
        <v>2.5</v>
      </c>
      <c r="D964" s="14" t="n">
        <v>2.25</v>
      </c>
      <c r="F964" s="14" t="n">
        <v>-0.4</v>
      </c>
      <c r="G964" s="14" t="n">
        <v>0.75</v>
      </c>
      <c r="H964" s="14" t="n">
        <v>0.7095</v>
      </c>
      <c r="I964" s="14" t="n">
        <v>0.707488436301134</v>
      </c>
      <c r="J964" s="14" t="n">
        <v>0.693859481082759</v>
      </c>
      <c r="K964" s="14" t="n">
        <v>0.647457579704811</v>
      </c>
      <c r="L964" s="14" t="n">
        <v>0.564210890003837</v>
      </c>
      <c r="M964" s="14" t="n">
        <v>2.591</v>
      </c>
      <c r="N964" s="14" t="n">
        <v>2.628</v>
      </c>
      <c r="O964" s="14" t="n">
        <v>2.703</v>
      </c>
      <c r="P964" s="14" t="n">
        <v>3.097</v>
      </c>
      <c r="Q964" s="14" t="n">
        <v>1.25</v>
      </c>
      <c r="R964" s="14" t="n">
        <v>1.25</v>
      </c>
      <c r="S964" s="14" t="n">
        <v>6.5</v>
      </c>
    </row>
    <row r="965" customFormat="false" ht="15" hidden="false" customHeight="false" outlineLevel="0" collapsed="false">
      <c r="A965" s="13" t="n">
        <v>43670</v>
      </c>
      <c r="B965" s="14" t="n">
        <v>2.41</v>
      </c>
      <c r="C965" s="14" t="n">
        <v>2.5</v>
      </c>
      <c r="D965" s="14" t="n">
        <v>2.25</v>
      </c>
      <c r="F965" s="14" t="n">
        <v>-0.4</v>
      </c>
      <c r="G965" s="14" t="n">
        <v>0.75</v>
      </c>
      <c r="H965" s="14" t="n">
        <v>0.7095</v>
      </c>
      <c r="I965" s="14" t="n">
        <v>0.70258922701121</v>
      </c>
      <c r="J965" s="14" t="n">
        <v>0.689050659890174</v>
      </c>
      <c r="K965" s="14" t="n">
        <v>0.641888170813484</v>
      </c>
      <c r="L965" s="14" t="n">
        <v>0.555770148054464</v>
      </c>
      <c r="M965" s="14" t="n">
        <v>2.59</v>
      </c>
      <c r="N965" s="14" t="n">
        <v>2.625</v>
      </c>
      <c r="O965" s="14" t="n">
        <v>2.703</v>
      </c>
      <c r="P965" s="14" t="n">
        <v>3.096</v>
      </c>
      <c r="Q965" s="14" t="n">
        <v>1.25</v>
      </c>
      <c r="R965" s="14" t="n">
        <v>1.24</v>
      </c>
      <c r="S965" s="14" t="n">
        <v>6.5</v>
      </c>
    </row>
    <row r="966" customFormat="false" ht="15" hidden="false" customHeight="false" outlineLevel="0" collapsed="false">
      <c r="A966" s="13" t="n">
        <v>43671</v>
      </c>
      <c r="B966" s="14" t="n">
        <v>2.42</v>
      </c>
      <c r="C966" s="14" t="n">
        <v>2.5</v>
      </c>
      <c r="D966" s="14" t="n">
        <v>2.25</v>
      </c>
      <c r="F966" s="14" t="n">
        <v>-0.4</v>
      </c>
      <c r="G966" s="14" t="n">
        <v>0.75</v>
      </c>
      <c r="H966" s="14" t="n">
        <v>0.7091</v>
      </c>
      <c r="I966" s="14" t="n">
        <v>0.705249224660668</v>
      </c>
      <c r="J966" s="14" t="n">
        <v>0.693364810310211</v>
      </c>
      <c r="K966" s="14" t="n">
        <v>0.647041709717924</v>
      </c>
      <c r="L966" s="14" t="n">
        <v>0.563934294784239</v>
      </c>
      <c r="M966" s="14" t="n">
        <v>2.594</v>
      </c>
      <c r="N966" s="14" t="n">
        <v>2.625</v>
      </c>
      <c r="O966" s="14" t="n">
        <v>2.704</v>
      </c>
      <c r="P966" s="14" t="n">
        <v>3.096</v>
      </c>
      <c r="Q966" s="14" t="n">
        <v>1.25</v>
      </c>
      <c r="R966" s="14" t="n">
        <v>1.25</v>
      </c>
      <c r="S966" s="14" t="n">
        <v>6.5</v>
      </c>
    </row>
    <row r="967" customFormat="false" ht="15" hidden="false" customHeight="false" outlineLevel="0" collapsed="false">
      <c r="A967" s="13" t="n">
        <v>43672</v>
      </c>
      <c r="B967" s="14" t="n">
        <v>2.41</v>
      </c>
      <c r="C967" s="14" t="n">
        <v>2.5</v>
      </c>
      <c r="D967" s="14" t="n">
        <v>2.25</v>
      </c>
      <c r="F967" s="14" t="n">
        <v>-0.4</v>
      </c>
      <c r="G967" s="14" t="n">
        <v>0.75</v>
      </c>
      <c r="H967" s="14" t="n">
        <v>0.7097</v>
      </c>
      <c r="I967" s="14" t="n">
        <v>0.705249636167372</v>
      </c>
      <c r="J967" s="14" t="n">
        <v>0.693255774942795</v>
      </c>
      <c r="K967" s="14" t="n">
        <v>0.646343597544436</v>
      </c>
      <c r="L967" s="14" t="n">
        <v>0.559298342231431</v>
      </c>
      <c r="M967" s="14" t="n">
        <v>2.597</v>
      </c>
      <c r="N967" s="14" t="n">
        <v>2.629</v>
      </c>
      <c r="O967" s="14" t="n">
        <v>2.704</v>
      </c>
      <c r="P967" s="14" t="n">
        <v>3.096</v>
      </c>
      <c r="Q967" s="14" t="n">
        <v>1.25</v>
      </c>
      <c r="R967" s="14" t="n">
        <v>1.24</v>
      </c>
      <c r="S967" s="14" t="n">
        <v>6.5</v>
      </c>
    </row>
    <row r="968" customFormat="false" ht="15" hidden="false" customHeight="false" outlineLevel="0" collapsed="false">
      <c r="A968" s="13" t="n">
        <v>43675</v>
      </c>
      <c r="B968" s="14" t="n">
        <v>2.4</v>
      </c>
      <c r="C968" s="14" t="n">
        <v>2.5</v>
      </c>
      <c r="D968" s="14" t="n">
        <v>2.25</v>
      </c>
      <c r="F968" s="14" t="n">
        <v>-0.4</v>
      </c>
      <c r="G968" s="14" t="n">
        <v>0.75</v>
      </c>
      <c r="H968" s="14" t="n">
        <v>0.7087</v>
      </c>
      <c r="I968" s="14" t="n">
        <v>0.711249860873492</v>
      </c>
      <c r="J968" s="14" t="n">
        <v>0.694694639395182</v>
      </c>
      <c r="K968" s="14" t="n">
        <v>0.639948000286482</v>
      </c>
      <c r="L968" s="14" t="n">
        <v>0.543992062161705</v>
      </c>
      <c r="M968" s="14" t="n">
        <v>2.6</v>
      </c>
      <c r="N968" s="14" t="n">
        <v>2.631</v>
      </c>
      <c r="O968" s="14" t="n">
        <v>2.706</v>
      </c>
      <c r="P968" s="14" t="n">
        <v>3.098</v>
      </c>
      <c r="Q968" s="14" t="n">
        <v>1.25</v>
      </c>
      <c r="R968" s="14" t="n">
        <v>1.26</v>
      </c>
      <c r="S968" s="14" t="n">
        <v>6.5</v>
      </c>
    </row>
    <row r="969" customFormat="false" ht="15" hidden="false" customHeight="false" outlineLevel="0" collapsed="false">
      <c r="A969" s="13" t="n">
        <v>43676</v>
      </c>
      <c r="B969" s="14" t="n">
        <v>2.39</v>
      </c>
      <c r="C969" s="14" t="n">
        <v>2.5</v>
      </c>
      <c r="D969" s="14" t="n">
        <v>2.25</v>
      </c>
      <c r="F969" s="14" t="n">
        <v>-0.4</v>
      </c>
      <c r="G969" s="14" t="n">
        <v>0.75</v>
      </c>
      <c r="H969" s="14" t="n">
        <v>0.7092</v>
      </c>
      <c r="I969" s="14" t="n">
        <v>0.713416329368268</v>
      </c>
      <c r="J969" s="14" t="n">
        <v>0.696806929742885</v>
      </c>
      <c r="K969" s="14" t="n">
        <v>0.640906297473427</v>
      </c>
      <c r="L969" s="14" t="n">
        <v>0.543446823993483</v>
      </c>
      <c r="M969" s="14" t="n">
        <v>2.602</v>
      </c>
      <c r="N969" s="14" t="n">
        <v>2.636</v>
      </c>
      <c r="O969" s="14" t="n">
        <v>2.708</v>
      </c>
      <c r="P969" s="14" t="n">
        <v>3.098</v>
      </c>
      <c r="Q969" s="14" t="n">
        <v>1.25</v>
      </c>
      <c r="R969" s="14" t="n">
        <v>1.25</v>
      </c>
      <c r="S969" s="14" t="n">
        <v>6.5</v>
      </c>
    </row>
    <row r="970" customFormat="false" ht="15" hidden="false" customHeight="false" outlineLevel="0" collapsed="false">
      <c r="A970" s="13" t="n">
        <v>43677</v>
      </c>
      <c r="B970" s="14" t="n">
        <v>2.55</v>
      </c>
      <c r="C970" s="14" t="n">
        <v>2.5</v>
      </c>
      <c r="D970" s="14" t="n">
        <v>2.25</v>
      </c>
      <c r="F970" s="14" t="n">
        <v>-0.4</v>
      </c>
      <c r="G970" s="14" t="n">
        <v>0.75</v>
      </c>
      <c r="H970" s="14" t="n">
        <v>0.7081</v>
      </c>
      <c r="I970" s="14" t="n">
        <v>0.709414778209661</v>
      </c>
      <c r="J970" s="14" t="n">
        <v>0.69379991180796</v>
      </c>
      <c r="K970" s="14" t="n">
        <v>0.639912478083637</v>
      </c>
      <c r="L970" s="14" t="n">
        <v>0.542296809475958</v>
      </c>
      <c r="M970" s="14" t="n">
        <v>2.606</v>
      </c>
      <c r="N970" s="14" t="n">
        <v>2.644</v>
      </c>
      <c r="O970" s="14" t="n">
        <v>2.708</v>
      </c>
      <c r="P970" s="14" t="n">
        <v>3.098</v>
      </c>
      <c r="Q970" s="14" t="n">
        <v>1.25</v>
      </c>
      <c r="R970" s="14" t="n">
        <v>1.25</v>
      </c>
      <c r="S970" s="14" t="n">
        <v>6.5</v>
      </c>
    </row>
    <row r="971" customFormat="false" ht="15" hidden="false" customHeight="false" outlineLevel="0" collapsed="false">
      <c r="A971" s="13" t="n">
        <v>43678</v>
      </c>
      <c r="B971" s="14" t="n">
        <v>2.19</v>
      </c>
      <c r="C971" s="14" t="n">
        <v>2.25</v>
      </c>
      <c r="D971" s="14" t="n">
        <v>2</v>
      </c>
      <c r="F971" s="14" t="n">
        <v>-0.4</v>
      </c>
      <c r="G971" s="14" t="n">
        <v>0.75</v>
      </c>
      <c r="H971" s="14" t="n">
        <v>0.7087</v>
      </c>
      <c r="I971" s="14" t="n">
        <v>0.70875614135721</v>
      </c>
      <c r="J971" s="14" t="n">
        <v>0.697368778850757</v>
      </c>
      <c r="K971" s="14" t="n">
        <v>0.647249054513089</v>
      </c>
      <c r="L971" s="14" t="n">
        <v>0.54671648326142</v>
      </c>
      <c r="M971" s="14" t="n">
        <v>2.6</v>
      </c>
      <c r="N971" s="14" t="n">
        <v>2.646</v>
      </c>
      <c r="O971" s="14" t="n">
        <v>2.708</v>
      </c>
      <c r="P971" s="14" t="n">
        <v>3.096</v>
      </c>
      <c r="Q971" s="14" t="n">
        <v>1.25</v>
      </c>
      <c r="R971" s="14" t="n">
        <v>1.24</v>
      </c>
      <c r="S971" s="14" t="n">
        <v>6</v>
      </c>
    </row>
    <row r="972" customFormat="false" ht="15" hidden="false" customHeight="false" outlineLevel="0" collapsed="false">
      <c r="A972" s="13" t="n">
        <v>43679</v>
      </c>
      <c r="B972" s="14" t="n">
        <v>2.19</v>
      </c>
      <c r="C972" s="14" t="n">
        <v>2.25</v>
      </c>
      <c r="D972" s="14" t="n">
        <v>2</v>
      </c>
      <c r="F972" s="14" t="n">
        <v>-0.4</v>
      </c>
      <c r="G972" s="14" t="n">
        <v>0.75</v>
      </c>
      <c r="H972" s="14" t="n">
        <v>0.7083</v>
      </c>
      <c r="I972" s="14" t="n">
        <v>0.710948723668749</v>
      </c>
      <c r="J972" s="14" t="n">
        <v>0.698689990449729</v>
      </c>
      <c r="K972" s="14" t="n">
        <v>0.64624114827086</v>
      </c>
      <c r="L972" s="14" t="n">
        <v>0.546890858060245</v>
      </c>
      <c r="M972" s="14" t="n">
        <v>2.6</v>
      </c>
      <c r="N972" s="14" t="n">
        <v>2.649</v>
      </c>
      <c r="O972" s="14" t="n">
        <v>2.707</v>
      </c>
      <c r="P972" s="14" t="n">
        <v>3.096</v>
      </c>
      <c r="Q972" s="14" t="n">
        <v>1.25</v>
      </c>
      <c r="R972" s="14" t="n">
        <v>1.24</v>
      </c>
      <c r="S972" s="14" t="n">
        <v>6</v>
      </c>
    </row>
    <row r="973" customFormat="false" ht="15" hidden="false" customHeight="false" outlineLevel="0" collapsed="false">
      <c r="A973" s="13" t="n">
        <v>43682</v>
      </c>
      <c r="B973" s="14" t="n">
        <v>2.13</v>
      </c>
      <c r="C973" s="14" t="n">
        <v>2.25</v>
      </c>
      <c r="D973" s="14" t="n">
        <v>2</v>
      </c>
      <c r="F973" s="14" t="n">
        <v>-0.4</v>
      </c>
      <c r="G973" s="14" t="n">
        <v>0.75</v>
      </c>
      <c r="H973" s="14" t="n">
        <v>0.7092</v>
      </c>
      <c r="I973" s="14" t="n">
        <v>0.708824824334095</v>
      </c>
      <c r="J973" s="14" t="n">
        <v>0.686385470430798</v>
      </c>
      <c r="K973" s="14" t="n">
        <v>0.62702808316744</v>
      </c>
      <c r="L973" s="14" t="n">
        <v>0.528273134848135</v>
      </c>
      <c r="M973" s="14" t="n">
        <v>2.594</v>
      </c>
      <c r="N973" s="14" t="n">
        <v>2.646</v>
      </c>
      <c r="O973" s="14" t="n">
        <v>2.706</v>
      </c>
      <c r="P973" s="14" t="n">
        <v>3.094</v>
      </c>
      <c r="Q973" s="14" t="n">
        <v>1.25</v>
      </c>
      <c r="R973" s="14" t="n">
        <v>1.25</v>
      </c>
      <c r="S973" s="14" t="n">
        <v>6</v>
      </c>
    </row>
    <row r="974" customFormat="false" ht="15" hidden="false" customHeight="false" outlineLevel="0" collapsed="false">
      <c r="A974" s="13" t="n">
        <v>43683</v>
      </c>
      <c r="B974" s="14" t="n">
        <v>2.11</v>
      </c>
      <c r="C974" s="14" t="n">
        <v>2.25</v>
      </c>
      <c r="D974" s="14" t="n">
        <v>2</v>
      </c>
      <c r="F974" s="14" t="n">
        <v>-0.4</v>
      </c>
      <c r="G974" s="14" t="n">
        <v>0.75</v>
      </c>
      <c r="H974" s="14" t="n">
        <v>0.7096</v>
      </c>
      <c r="I974" s="14" t="n">
        <v>0.708778702146889</v>
      </c>
      <c r="J974" s="14" t="n">
        <v>0.689217363789069</v>
      </c>
      <c r="K974" s="14" t="n">
        <v>0.633279576122216</v>
      </c>
      <c r="L974" s="14" t="n">
        <v>0.538424958851263</v>
      </c>
      <c r="M974" s="14" t="n">
        <v>2.584</v>
      </c>
      <c r="N974" s="14" t="n">
        <v>2.635</v>
      </c>
      <c r="O974" s="14" t="n">
        <v>2.703</v>
      </c>
      <c r="P974" s="14" t="n">
        <v>3.087</v>
      </c>
      <c r="Q974" s="14" t="n">
        <v>1.25</v>
      </c>
      <c r="R974" s="14" t="n">
        <v>1.25</v>
      </c>
      <c r="S974" s="14" t="n">
        <v>6</v>
      </c>
    </row>
    <row r="975" customFormat="false" ht="15" hidden="false" customHeight="false" outlineLevel="0" collapsed="false">
      <c r="A975" s="13" t="n">
        <v>43684</v>
      </c>
      <c r="B975" s="14" t="n">
        <v>2.1</v>
      </c>
      <c r="C975" s="14" t="n">
        <v>2.25</v>
      </c>
      <c r="D975" s="14" t="n">
        <v>2</v>
      </c>
      <c r="F975" s="14" t="n">
        <v>-0.4</v>
      </c>
      <c r="G975" s="14" t="n">
        <v>0.75</v>
      </c>
      <c r="H975" s="14" t="n">
        <v>0.7098</v>
      </c>
      <c r="I975" s="14" t="n">
        <v>0.711258326661967</v>
      </c>
      <c r="J975" s="14" t="n">
        <v>0.69331137294481</v>
      </c>
      <c r="K975" s="14" t="n">
        <v>0.632203523725688</v>
      </c>
      <c r="L975" s="14" t="n">
        <v>0.534894198547504</v>
      </c>
      <c r="M975" s="14" t="n">
        <v>2.564</v>
      </c>
      <c r="N975" s="14" t="n">
        <v>2.623</v>
      </c>
      <c r="O975" s="14" t="n">
        <v>2.701</v>
      </c>
      <c r="P975" s="14" t="n">
        <v>3.083</v>
      </c>
      <c r="Q975" s="14" t="n">
        <v>1.25</v>
      </c>
      <c r="R975" s="14" t="n">
        <v>1.25</v>
      </c>
      <c r="S975" s="14" t="n">
        <v>6</v>
      </c>
    </row>
    <row r="976" customFormat="false" ht="15" hidden="false" customHeight="false" outlineLevel="0" collapsed="false">
      <c r="A976" s="13" t="n">
        <v>43685</v>
      </c>
      <c r="B976" s="14" t="n">
        <v>2.09</v>
      </c>
      <c r="C976" s="14" t="n">
        <v>2.25</v>
      </c>
      <c r="D976" s="14" t="n">
        <v>2</v>
      </c>
      <c r="F976" s="14" t="n">
        <v>-0.4</v>
      </c>
      <c r="G976" s="14" t="n">
        <v>0.75</v>
      </c>
      <c r="H976" s="14" t="n">
        <v>0.7092</v>
      </c>
      <c r="I976" s="14" t="n">
        <v>0.710024785062191</v>
      </c>
      <c r="J976" s="14" t="n">
        <v>0.690449647306996</v>
      </c>
      <c r="K976" s="14" t="n">
        <v>0.626807040842245</v>
      </c>
      <c r="L976" s="14" t="n">
        <v>0.530456363757609</v>
      </c>
      <c r="M976" s="14" t="n">
        <v>2.562</v>
      </c>
      <c r="N976" s="14" t="n">
        <v>2.618</v>
      </c>
      <c r="O976" s="14" t="n">
        <v>2.701</v>
      </c>
      <c r="P976" s="14" t="n">
        <v>3.0805</v>
      </c>
      <c r="Q976" s="14" t="n">
        <v>1.25</v>
      </c>
      <c r="R976" s="14" t="n">
        <v>1.25</v>
      </c>
      <c r="S976" s="14" t="n">
        <v>6</v>
      </c>
    </row>
    <row r="977" customFormat="false" ht="15" hidden="false" customHeight="false" outlineLevel="0" collapsed="false">
      <c r="A977" s="13" t="n">
        <v>43686</v>
      </c>
      <c r="B977" s="14" t="n">
        <v>2.11</v>
      </c>
      <c r="C977" s="14" t="n">
        <v>2.25</v>
      </c>
      <c r="D977" s="14" t="n">
        <v>2</v>
      </c>
      <c r="F977" s="14" t="n">
        <v>-0.4</v>
      </c>
      <c r="G977" s="14" t="n">
        <v>0.75</v>
      </c>
      <c r="H977" s="14" t="n">
        <v>0.7099</v>
      </c>
      <c r="I977" s="14" t="n">
        <v>0.709817495351471</v>
      </c>
      <c r="J977" s="14" t="n">
        <v>0.68609987847698</v>
      </c>
      <c r="K977" s="14" t="n">
        <v>0.620695970502744</v>
      </c>
      <c r="L977" s="14" t="n">
        <v>0.51360138573502</v>
      </c>
      <c r="M977" s="14" t="n">
        <v>2.571</v>
      </c>
      <c r="N977" s="14" t="n">
        <v>2.618</v>
      </c>
      <c r="O977" s="14" t="n">
        <v>2.706</v>
      </c>
      <c r="P977" s="14" t="n">
        <v>3.0785</v>
      </c>
      <c r="Q977" s="14" t="n">
        <v>1.25</v>
      </c>
      <c r="R977" s="14" t="n">
        <v>1.24</v>
      </c>
      <c r="S977" s="14" t="n">
        <v>6</v>
      </c>
    </row>
    <row r="978" customFormat="false" ht="15" hidden="false" customHeight="false" outlineLevel="0" collapsed="false">
      <c r="A978" s="13" t="n">
        <v>43689</v>
      </c>
      <c r="B978" s="14" t="n">
        <v>2.12</v>
      </c>
      <c r="C978" s="14" t="n">
        <v>2.25</v>
      </c>
      <c r="D978" s="14" t="n">
        <v>2</v>
      </c>
      <c r="F978" s="14" t="n">
        <v>-0.4</v>
      </c>
      <c r="G978" s="14" t="n">
        <v>0.75</v>
      </c>
      <c r="H978" s="14" t="n">
        <v>0.709</v>
      </c>
      <c r="I978" s="14" t="n">
        <v>0.708519415813544</v>
      </c>
      <c r="J978" s="14" t="n">
        <v>0.682408623136622</v>
      </c>
      <c r="K978" s="14" t="n">
        <v>0.615529164634002</v>
      </c>
      <c r="L978" s="14" t="n">
        <v>0.5090501697752</v>
      </c>
      <c r="M978" s="14" t="n">
        <v>2.588</v>
      </c>
      <c r="N978" s="14" t="n">
        <v>2.625</v>
      </c>
      <c r="O978" s="14" t="n">
        <v>2.71</v>
      </c>
      <c r="P978" s="14" t="n">
        <v>3.0755</v>
      </c>
      <c r="Q978" s="14" t="n">
        <v>1.25</v>
      </c>
      <c r="R978" s="14" t="n">
        <v>1.24</v>
      </c>
      <c r="S978" s="14" t="n">
        <v>6</v>
      </c>
    </row>
    <row r="979" customFormat="false" ht="15" hidden="false" customHeight="false" outlineLevel="0" collapsed="false">
      <c r="A979" s="13" t="n">
        <v>43690</v>
      </c>
      <c r="B979" s="14" t="n">
        <v>2.16</v>
      </c>
      <c r="C979" s="14" t="n">
        <v>2.25</v>
      </c>
      <c r="D979" s="14" t="n">
        <v>2</v>
      </c>
      <c r="F979" s="14" t="n">
        <v>-0.4</v>
      </c>
      <c r="G979" s="14" t="n">
        <v>0.75</v>
      </c>
      <c r="H979" s="14" t="n">
        <v>0.7094</v>
      </c>
      <c r="I979" s="14" t="n">
        <v>0.709447510007098</v>
      </c>
      <c r="J979" s="14" t="n">
        <v>0.68545759459712</v>
      </c>
      <c r="K979" s="14" t="n">
        <v>0.625330925343291</v>
      </c>
      <c r="L979" s="14" t="n">
        <v>0.537815671599357</v>
      </c>
      <c r="M979" s="14" t="n">
        <v>2.613</v>
      </c>
      <c r="N979" s="14" t="n">
        <v>2.644</v>
      </c>
      <c r="O979" s="14" t="n">
        <v>2.713</v>
      </c>
      <c r="P979" s="14" t="n">
        <v>3.0785</v>
      </c>
      <c r="Q979" s="14" t="n">
        <v>1.25</v>
      </c>
      <c r="R979" s="14" t="n">
        <v>1.24</v>
      </c>
      <c r="S979" s="14" t="n">
        <v>6</v>
      </c>
    </row>
    <row r="980" customFormat="false" ht="15" hidden="false" customHeight="false" outlineLevel="0" collapsed="false">
      <c r="A980" s="13" t="n">
        <v>43691</v>
      </c>
      <c r="B980" s="14" t="n">
        <v>2.13</v>
      </c>
      <c r="C980" s="14" t="n">
        <v>2.25</v>
      </c>
      <c r="D980" s="14" t="n">
        <v>2</v>
      </c>
      <c r="F980" s="14" t="n">
        <v>-0.4</v>
      </c>
      <c r="G980" s="14" t="n">
        <v>0.75</v>
      </c>
      <c r="H980" s="14" t="n">
        <v>0.71</v>
      </c>
      <c r="I980" s="14" t="n">
        <v>0.709481673336489</v>
      </c>
      <c r="J980" s="14" t="n">
        <v>0.690013084457535</v>
      </c>
      <c r="K980" s="14" t="n">
        <v>0.631125519071374</v>
      </c>
      <c r="L980" s="14" t="n">
        <v>0.539236918881995</v>
      </c>
      <c r="M980" s="14" t="n">
        <v>2.636</v>
      </c>
      <c r="N980" s="14" t="n">
        <v>2.656</v>
      </c>
      <c r="O980" s="14" t="n">
        <v>2.72</v>
      </c>
      <c r="P980" s="14" t="n">
        <v>3.083</v>
      </c>
      <c r="Q980" s="14" t="n">
        <v>1.25</v>
      </c>
      <c r="R980" s="14" t="n">
        <v>1.24</v>
      </c>
      <c r="S980" s="14" t="n">
        <v>6</v>
      </c>
    </row>
    <row r="981" customFormat="false" ht="15" hidden="false" customHeight="false" outlineLevel="0" collapsed="false">
      <c r="A981" s="13" t="n">
        <v>43692</v>
      </c>
      <c r="B981" s="14" t="n">
        <v>2.18</v>
      </c>
      <c r="C981" s="14" t="n">
        <v>2.25</v>
      </c>
      <c r="D981" s="14" t="n">
        <v>2</v>
      </c>
      <c r="F981" s="14" t="n">
        <v>-0.4</v>
      </c>
      <c r="G981" s="14" t="n">
        <v>0.75</v>
      </c>
      <c r="H981" s="14" t="n">
        <v>0.7098</v>
      </c>
      <c r="I981" s="14" t="n">
        <v>0.709747897521696</v>
      </c>
      <c r="J981" s="14" t="n">
        <v>0.689002431756813</v>
      </c>
      <c r="K981" s="14" t="n">
        <v>0.630503505256383</v>
      </c>
      <c r="L981" s="14" t="n">
        <v>0.540209124312641</v>
      </c>
      <c r="M981" s="14" t="n">
        <v>2.649</v>
      </c>
      <c r="N981" s="14" t="n">
        <v>2.661</v>
      </c>
      <c r="O981" s="14" t="n">
        <v>2.726</v>
      </c>
      <c r="P981" s="14" t="n">
        <v>3.0825</v>
      </c>
      <c r="Q981" s="14" t="n">
        <v>1.25</v>
      </c>
      <c r="R981" s="14" t="n">
        <v>1.25</v>
      </c>
      <c r="S981" s="14" t="n">
        <v>6</v>
      </c>
    </row>
    <row r="982" customFormat="false" ht="15" hidden="false" customHeight="false" outlineLevel="0" collapsed="false">
      <c r="A982" s="13" t="n">
        <v>43693</v>
      </c>
      <c r="B982" s="14" t="n">
        <v>2.13</v>
      </c>
      <c r="C982" s="14" t="n">
        <v>2.25</v>
      </c>
      <c r="D982" s="14" t="n">
        <v>2</v>
      </c>
      <c r="F982" s="14" t="n">
        <v>-0.4</v>
      </c>
      <c r="G982" s="14" t="n">
        <v>0.75</v>
      </c>
      <c r="H982" s="14" t="n">
        <v>0.7112</v>
      </c>
      <c r="I982" s="14" t="n">
        <v>0.710535476924617</v>
      </c>
      <c r="J982" s="14" t="n">
        <v>0.693130644061946</v>
      </c>
      <c r="K982" s="14" t="n">
        <v>0.639066475571533</v>
      </c>
      <c r="L982" s="14" t="n">
        <v>0.565168197511242</v>
      </c>
      <c r="M982" s="14" t="n">
        <v>2.653</v>
      </c>
      <c r="N982" s="14" t="n">
        <v>2.666</v>
      </c>
      <c r="O982" s="14" t="n">
        <v>2.728</v>
      </c>
      <c r="P982" s="14" t="n">
        <v>3.0775</v>
      </c>
      <c r="Q982" s="14" t="n">
        <v>1.25</v>
      </c>
      <c r="R982" s="14" t="n">
        <v>1.24</v>
      </c>
      <c r="S982" s="14" t="n">
        <v>6</v>
      </c>
    </row>
    <row r="983" customFormat="false" ht="15" hidden="false" customHeight="false" outlineLevel="0" collapsed="false">
      <c r="A983" s="13" t="n">
        <v>43696</v>
      </c>
      <c r="B983" s="14" t="n">
        <v>2.11</v>
      </c>
      <c r="C983" s="14" t="n">
        <v>2.25</v>
      </c>
      <c r="D983" s="14" t="n">
        <v>2</v>
      </c>
      <c r="F983" s="14" t="n">
        <v>-0.4</v>
      </c>
      <c r="G983" s="14" t="n">
        <v>0.75</v>
      </c>
      <c r="H983" s="14" t="n">
        <v>0.71</v>
      </c>
      <c r="I983" s="14" t="n">
        <v>0.71137308520237</v>
      </c>
      <c r="J983" s="14" t="n">
        <v>0.690985202506055</v>
      </c>
      <c r="K983" s="14" t="n">
        <v>0.632165910912501</v>
      </c>
      <c r="L983" s="14" t="n">
        <v>0.55081574412282</v>
      </c>
      <c r="M983" s="14" t="n">
        <v>2.656</v>
      </c>
      <c r="N983" s="14" t="n">
        <v>2.669</v>
      </c>
      <c r="O983" s="14" t="n">
        <v>2.729</v>
      </c>
      <c r="P983" s="14" t="n">
        <v>3.074</v>
      </c>
      <c r="Q983" s="14" t="n">
        <v>1.25</v>
      </c>
      <c r="R983" s="14" t="n">
        <v>1.24</v>
      </c>
      <c r="S983" s="14" t="n">
        <v>6</v>
      </c>
    </row>
    <row r="984" customFormat="false" ht="15" hidden="false" customHeight="false" outlineLevel="0" collapsed="false">
      <c r="A984" s="13" t="n">
        <v>43697</v>
      </c>
      <c r="B984" s="14" t="n">
        <v>2.13</v>
      </c>
      <c r="C984" s="14" t="n">
        <v>2.25</v>
      </c>
      <c r="D984" s="14" t="n">
        <v>2</v>
      </c>
      <c r="F984" s="14" t="n">
        <v>-0.4</v>
      </c>
      <c r="G984" s="14" t="n">
        <v>0.75</v>
      </c>
      <c r="H984" s="14" t="n">
        <v>0.7102</v>
      </c>
      <c r="I984" s="14" t="n">
        <v>0.711093191926118</v>
      </c>
      <c r="J984" s="14" t="n">
        <v>0.691465371814319</v>
      </c>
      <c r="K984" s="14" t="n">
        <v>0.634650039991061</v>
      </c>
      <c r="L984" s="14" t="n">
        <v>0.553233732515872</v>
      </c>
      <c r="M984" s="14" t="n">
        <v>2.656</v>
      </c>
      <c r="N984" s="14" t="n">
        <v>2.671</v>
      </c>
      <c r="O984" s="14" t="n">
        <v>2.73</v>
      </c>
      <c r="P984" s="14" t="n">
        <v>3.068</v>
      </c>
      <c r="Q984" s="14" t="n">
        <v>1.25</v>
      </c>
      <c r="R984" s="14" t="n">
        <v>1.24</v>
      </c>
      <c r="S984" s="14" t="n">
        <v>6</v>
      </c>
    </row>
    <row r="985" customFormat="false" ht="15" hidden="false" customHeight="false" outlineLevel="0" collapsed="false">
      <c r="A985" s="13" t="n">
        <v>43698</v>
      </c>
      <c r="B985" s="14" t="n">
        <v>2.1</v>
      </c>
      <c r="C985" s="14" t="n">
        <v>2.25</v>
      </c>
      <c r="D985" s="14" t="n">
        <v>2</v>
      </c>
      <c r="F985" s="14" t="n">
        <v>-0.4</v>
      </c>
      <c r="G985" s="14" t="n">
        <v>0.75</v>
      </c>
      <c r="H985" s="14" t="n">
        <v>0.7127</v>
      </c>
      <c r="I985" s="14" t="n">
        <v>0.709725320279454</v>
      </c>
      <c r="J985" s="14" t="n">
        <v>0.688449036535811</v>
      </c>
      <c r="K985" s="14" t="n">
        <v>0.633357268959902</v>
      </c>
      <c r="L985" s="14" t="n">
        <v>0.552499386066112</v>
      </c>
      <c r="M985" s="14" t="n">
        <v>2.655</v>
      </c>
      <c r="N985" s="14" t="n">
        <v>2.674</v>
      </c>
      <c r="O985" s="14" t="n">
        <v>2.734</v>
      </c>
      <c r="P985" s="14" t="n">
        <v>3.064</v>
      </c>
      <c r="Q985" s="14" t="n">
        <v>1.25</v>
      </c>
      <c r="R985" s="14" t="n">
        <v>1.24</v>
      </c>
      <c r="S985" s="14" t="n">
        <v>6</v>
      </c>
    </row>
    <row r="986" customFormat="false" ht="15" hidden="false" customHeight="false" outlineLevel="0" collapsed="false">
      <c r="A986" s="13" t="n">
        <v>43699</v>
      </c>
      <c r="B986" s="14" t="n">
        <v>2.09</v>
      </c>
      <c r="C986" s="14" t="n">
        <v>2.25</v>
      </c>
      <c r="D986" s="14" t="n">
        <v>2</v>
      </c>
      <c r="F986" s="14" t="n">
        <v>-0.4</v>
      </c>
      <c r="G986" s="14" t="n">
        <v>0.75</v>
      </c>
      <c r="H986" s="14" t="n">
        <v>0.711</v>
      </c>
      <c r="I986" s="14" t="n">
        <v>0.712275370276746</v>
      </c>
      <c r="J986" s="14" t="n">
        <v>0.691631778507304</v>
      </c>
      <c r="K986" s="14" t="n">
        <v>0.635966770399413</v>
      </c>
      <c r="L986" s="14" t="n">
        <v>0.563733195657615</v>
      </c>
      <c r="M986" s="14" t="n">
        <v>2.656</v>
      </c>
      <c r="N986" s="14" t="n">
        <v>2.682</v>
      </c>
      <c r="O986" s="14" t="n">
        <v>2.741</v>
      </c>
      <c r="P986" s="14" t="n">
        <v>3.059</v>
      </c>
      <c r="Q986" s="14" t="n">
        <v>1.25</v>
      </c>
      <c r="R986" s="14" t="n">
        <v>1.25</v>
      </c>
      <c r="S986" s="14" t="n">
        <v>6</v>
      </c>
    </row>
    <row r="987" customFormat="false" ht="15" hidden="false" customHeight="false" outlineLevel="0" collapsed="false">
      <c r="A987" s="13" t="n">
        <v>43700</v>
      </c>
      <c r="B987" s="14" t="n">
        <v>2.1</v>
      </c>
      <c r="C987" s="14" t="n">
        <v>2.25</v>
      </c>
      <c r="D987" s="14" t="n">
        <v>2</v>
      </c>
      <c r="F987" s="14" t="n">
        <v>-0.4</v>
      </c>
      <c r="G987" s="14" t="n">
        <v>0.75</v>
      </c>
      <c r="H987" s="14" t="n">
        <v>0.7116</v>
      </c>
      <c r="I987" s="14" t="n">
        <v>0.712864270749783</v>
      </c>
      <c r="J987" s="14" t="n">
        <v>0.685285685621421</v>
      </c>
      <c r="K987" s="14" t="n">
        <v>0.625322808437615</v>
      </c>
      <c r="L987" s="14" t="n">
        <v>0.543078864914788</v>
      </c>
      <c r="M987" s="14" t="n">
        <v>2.663</v>
      </c>
      <c r="N987" s="14" t="n">
        <v>2.69</v>
      </c>
      <c r="O987" s="14" t="n">
        <v>2.748</v>
      </c>
      <c r="P987" s="14" t="n">
        <v>3.056</v>
      </c>
      <c r="Q987" s="14" t="n">
        <v>1.25</v>
      </c>
      <c r="R987" s="14" t="n">
        <v>1.25</v>
      </c>
      <c r="S987" s="14" t="n">
        <v>6</v>
      </c>
    </row>
    <row r="988" customFormat="false" ht="15" hidden="false" customHeight="false" outlineLevel="0" collapsed="false">
      <c r="A988" s="13" t="n">
        <v>43703</v>
      </c>
      <c r="B988" s="14" t="n">
        <v>2.1</v>
      </c>
      <c r="C988" s="14" t="n">
        <v>2.25</v>
      </c>
      <c r="D988" s="14" t="n">
        <v>2</v>
      </c>
      <c r="F988" s="14" t="n">
        <v>-0.4</v>
      </c>
      <c r="M988" s="14" t="n">
        <v>2.66</v>
      </c>
      <c r="N988" s="14" t="n">
        <v>2.694</v>
      </c>
      <c r="O988" s="14" t="n">
        <v>2.751</v>
      </c>
      <c r="P988" s="14" t="n">
        <v>3.055</v>
      </c>
      <c r="Q988" s="14" t="n">
        <v>1.25</v>
      </c>
      <c r="R988" s="14" t="n">
        <v>1.24</v>
      </c>
      <c r="S988" s="14" t="n">
        <v>6</v>
      </c>
    </row>
    <row r="989" customFormat="false" ht="15" hidden="false" customHeight="false" outlineLevel="0" collapsed="false">
      <c r="A989" s="13" t="n">
        <v>43704</v>
      </c>
      <c r="B989" s="14" t="n">
        <v>2.15</v>
      </c>
      <c r="C989" s="14" t="n">
        <v>2.25</v>
      </c>
      <c r="D989" s="14" t="n">
        <v>2</v>
      </c>
      <c r="F989" s="14" t="n">
        <v>-0.4</v>
      </c>
      <c r="G989" s="14" t="n">
        <v>0.75</v>
      </c>
      <c r="H989" s="14" t="n">
        <v>0.7107</v>
      </c>
      <c r="I989" s="14" t="n">
        <v>0.711562140093182</v>
      </c>
      <c r="J989" s="14" t="n">
        <v>0.681919266189215</v>
      </c>
      <c r="K989" s="14" t="n">
        <v>0.621262933932032</v>
      </c>
      <c r="L989" s="14" t="n">
        <v>0.537626344025893</v>
      </c>
      <c r="M989" s="14" t="n">
        <v>2.662</v>
      </c>
      <c r="N989" s="14" t="n">
        <v>2.7</v>
      </c>
      <c r="O989" s="14" t="n">
        <v>2.753</v>
      </c>
      <c r="P989" s="14" t="n">
        <v>3.055</v>
      </c>
      <c r="Q989" s="14" t="n">
        <v>1.25</v>
      </c>
      <c r="R989" s="14" t="n">
        <v>1.25</v>
      </c>
      <c r="S989" s="14" t="n">
        <v>6</v>
      </c>
    </row>
    <row r="990" customFormat="false" ht="15" hidden="false" customHeight="false" outlineLevel="0" collapsed="false">
      <c r="A990" s="13" t="n">
        <v>43705</v>
      </c>
      <c r="B990" s="14" t="n">
        <v>2.12</v>
      </c>
      <c r="C990" s="14" t="n">
        <v>2.25</v>
      </c>
      <c r="D990" s="14" t="n">
        <v>2</v>
      </c>
      <c r="F990" s="14" t="n">
        <v>-0.4</v>
      </c>
      <c r="G990" s="14" t="n">
        <v>0.75</v>
      </c>
      <c r="H990" s="14" t="n">
        <v>0.7113</v>
      </c>
      <c r="I990" s="14" t="n">
        <v>0.712833642694354</v>
      </c>
      <c r="J990" s="14" t="n">
        <v>0.681161754477527</v>
      </c>
      <c r="K990" s="14" t="n">
        <v>0.611378188343114</v>
      </c>
      <c r="L990" s="14" t="n">
        <v>0.518563205943918</v>
      </c>
      <c r="M990" s="14" t="n">
        <v>2.661</v>
      </c>
      <c r="N990" s="14" t="n">
        <v>2.702</v>
      </c>
      <c r="O990" s="14" t="n">
        <v>2.753</v>
      </c>
      <c r="P990" s="14" t="n">
        <v>3.055</v>
      </c>
      <c r="Q990" s="14" t="n">
        <v>1.25</v>
      </c>
      <c r="R990" s="14" t="n">
        <v>1.25</v>
      </c>
      <c r="S990" s="14" t="n">
        <v>6</v>
      </c>
    </row>
    <row r="991" customFormat="false" ht="15" hidden="false" customHeight="false" outlineLevel="0" collapsed="false">
      <c r="A991" s="13" t="n">
        <v>43706</v>
      </c>
      <c r="B991" s="14" t="n">
        <v>2.12</v>
      </c>
      <c r="C991" s="14" t="n">
        <v>2.25</v>
      </c>
      <c r="D991" s="14" t="n">
        <v>2</v>
      </c>
      <c r="F991" s="14" t="n">
        <v>-0.4</v>
      </c>
      <c r="G991" s="14" t="n">
        <v>0.75</v>
      </c>
      <c r="H991" s="14" t="n">
        <v>0.7101</v>
      </c>
      <c r="I991" s="14" t="n">
        <v>0.712991831654023</v>
      </c>
      <c r="J991" s="14" t="n">
        <v>0.680410208974135</v>
      </c>
      <c r="K991" s="14" t="n">
        <v>0.610069128531823</v>
      </c>
      <c r="L991" s="14" t="n">
        <v>0.516990616795954</v>
      </c>
      <c r="M991" s="14" t="n">
        <v>2.6611</v>
      </c>
      <c r="N991" s="14" t="n">
        <v>2.7002</v>
      </c>
      <c r="O991" s="14" t="n">
        <v>2.7513</v>
      </c>
      <c r="P991" s="14" t="n">
        <v>3.0545</v>
      </c>
      <c r="Q991" s="14" t="n">
        <v>1.25</v>
      </c>
      <c r="R991" s="14" t="n">
        <v>1.25</v>
      </c>
      <c r="S991" s="14" t="n">
        <v>6</v>
      </c>
    </row>
    <row r="992" customFormat="false" ht="15" hidden="false" customHeight="false" outlineLevel="0" collapsed="false">
      <c r="A992" s="13" t="n">
        <v>43707</v>
      </c>
      <c r="B992" s="14" t="n">
        <v>2.16</v>
      </c>
      <c r="C992" s="14" t="n">
        <v>2.25</v>
      </c>
      <c r="D992" s="14" t="n">
        <v>2</v>
      </c>
      <c r="F992" s="14" t="n">
        <v>-0.4</v>
      </c>
      <c r="G992" s="14" t="n">
        <v>0.75</v>
      </c>
      <c r="H992" s="14" t="n">
        <v>0.7103</v>
      </c>
      <c r="I992" s="14" t="n">
        <v>0.712257874861254</v>
      </c>
      <c r="J992" s="14" t="n">
        <v>0.680611667455101</v>
      </c>
      <c r="K992" s="14" t="n">
        <v>0.608335170668323</v>
      </c>
      <c r="L992" s="14" t="n">
        <v>0.5171995421029</v>
      </c>
      <c r="M992" s="14" t="n">
        <v>2.661</v>
      </c>
      <c r="N992" s="14" t="n">
        <v>2.701</v>
      </c>
      <c r="O992" s="14" t="n">
        <v>2.7525</v>
      </c>
      <c r="P992" s="14" t="n">
        <v>3.051</v>
      </c>
      <c r="Q992" s="14" t="n">
        <v>1.25</v>
      </c>
      <c r="R992" s="14" t="n">
        <v>1.28</v>
      </c>
      <c r="S992" s="14" t="n">
        <v>6</v>
      </c>
    </row>
    <row r="993" customFormat="false" ht="15" hidden="false" customHeight="false" outlineLevel="0" collapsed="false">
      <c r="A993" s="13" t="n">
        <v>43710</v>
      </c>
      <c r="C993" s="14" t="n">
        <v>2.25</v>
      </c>
      <c r="D993" s="14" t="n">
        <v>2</v>
      </c>
      <c r="F993" s="14" t="n">
        <v>-0.4</v>
      </c>
      <c r="G993" s="14" t="n">
        <v>0.75</v>
      </c>
      <c r="H993" s="14" t="n">
        <v>0.7091</v>
      </c>
      <c r="I993" s="14" t="n">
        <v>0.713572181082469</v>
      </c>
      <c r="J993" s="14" t="n">
        <v>0.67450126788345</v>
      </c>
      <c r="K993" s="14" t="n">
        <v>0.597717465075268</v>
      </c>
      <c r="L993" s="14" t="n">
        <v>0.497024240509813</v>
      </c>
      <c r="M993" s="14" t="n">
        <v>2.661</v>
      </c>
      <c r="N993" s="14" t="n">
        <v>2.7</v>
      </c>
      <c r="O993" s="14" t="n">
        <v>2.754</v>
      </c>
      <c r="P993" s="14" t="n">
        <v>3.05</v>
      </c>
      <c r="Q993" s="14" t="n">
        <v>1.25</v>
      </c>
      <c r="R993" s="14" t="n">
        <v>1.26</v>
      </c>
      <c r="S993" s="14" t="n">
        <v>6</v>
      </c>
    </row>
    <row r="994" customFormat="false" ht="15" hidden="false" customHeight="false" outlineLevel="0" collapsed="false">
      <c r="A994" s="13" t="n">
        <v>43711</v>
      </c>
      <c r="B994" s="14" t="n">
        <v>2.17</v>
      </c>
      <c r="C994" s="14" t="n">
        <v>2.25</v>
      </c>
      <c r="D994" s="14" t="n">
        <v>2</v>
      </c>
      <c r="F994" s="14" t="n">
        <v>-0.4</v>
      </c>
      <c r="G994" s="14" t="n">
        <v>0.75</v>
      </c>
      <c r="H994" s="14" t="n">
        <v>0.7099</v>
      </c>
      <c r="I994" s="14" t="n">
        <v>0.711187865609154</v>
      </c>
      <c r="J994" s="14" t="n">
        <v>0.669546671700972</v>
      </c>
      <c r="K994" s="14" t="n">
        <v>0.592954483162396</v>
      </c>
      <c r="L994" s="14" t="n">
        <v>0.490727515017359</v>
      </c>
      <c r="M994" s="14" t="n">
        <v>2.664</v>
      </c>
      <c r="N994" s="14" t="n">
        <v>2.701</v>
      </c>
      <c r="O994" s="14" t="n">
        <v>2.757</v>
      </c>
      <c r="P994" s="14" t="n">
        <v>3.052</v>
      </c>
      <c r="Q994" s="14" t="n">
        <v>1.25</v>
      </c>
      <c r="R994" s="14" t="n">
        <v>1.24</v>
      </c>
      <c r="S994" s="14" t="n">
        <v>6</v>
      </c>
    </row>
    <row r="995" customFormat="false" ht="15" hidden="false" customHeight="false" outlineLevel="0" collapsed="false">
      <c r="A995" s="13" t="n">
        <v>43712</v>
      </c>
      <c r="B995" s="14" t="n">
        <v>2.21</v>
      </c>
      <c r="C995" s="14" t="n">
        <v>2.25</v>
      </c>
      <c r="D995" s="14" t="n">
        <v>2</v>
      </c>
      <c r="F995" s="14" t="n">
        <v>-0.4</v>
      </c>
      <c r="G995" s="14" t="n">
        <v>0.75</v>
      </c>
      <c r="H995" s="14" t="n">
        <v>0.7095</v>
      </c>
      <c r="I995" s="14" t="n">
        <v>0.710343711491393</v>
      </c>
      <c r="J995" s="14" t="n">
        <v>0.674417270718566</v>
      </c>
      <c r="K995" s="14" t="n">
        <v>0.608679815698862</v>
      </c>
      <c r="L995" s="14" t="n">
        <v>0.520154705796296</v>
      </c>
      <c r="M995" s="14" t="n">
        <v>2.662</v>
      </c>
      <c r="N995" s="14" t="n">
        <v>2.702</v>
      </c>
      <c r="O995" s="14" t="n">
        <v>2.758</v>
      </c>
      <c r="P995" s="14" t="n">
        <v>3.051</v>
      </c>
      <c r="Q995" s="14" t="n">
        <v>1.25</v>
      </c>
      <c r="R995" s="14" t="n">
        <v>1.24</v>
      </c>
      <c r="S995" s="14" t="n">
        <v>6</v>
      </c>
    </row>
    <row r="996" customFormat="false" ht="15" hidden="false" customHeight="false" outlineLevel="0" collapsed="false">
      <c r="A996" s="13" t="n">
        <v>43713</v>
      </c>
      <c r="B996" s="14" t="n">
        <v>2.21</v>
      </c>
      <c r="C996" s="14" t="n">
        <v>2.25</v>
      </c>
      <c r="D996" s="14" t="n">
        <v>2</v>
      </c>
      <c r="F996" s="14" t="n">
        <v>-0.4</v>
      </c>
      <c r="G996" s="14" t="n">
        <v>0.75</v>
      </c>
      <c r="H996" s="14" t="n">
        <v>0.7099</v>
      </c>
      <c r="I996" s="14" t="n">
        <v>0.708846827960127</v>
      </c>
      <c r="J996" s="14" t="n">
        <v>0.683270766920932</v>
      </c>
      <c r="K996" s="14" t="n">
        <v>0.636731939297274</v>
      </c>
      <c r="L996" s="14" t="n">
        <v>0.56829438574201</v>
      </c>
      <c r="M996" s="14" t="n">
        <v>2.665</v>
      </c>
      <c r="N996" s="14" t="n">
        <v>2.704</v>
      </c>
      <c r="O996" s="14" t="n">
        <v>2.761</v>
      </c>
      <c r="P996" s="14" t="n">
        <v>3.052</v>
      </c>
      <c r="Q996" s="14" t="n">
        <v>1.25</v>
      </c>
      <c r="R996" s="14" t="n">
        <v>1.25</v>
      </c>
      <c r="S996" s="14" t="n">
        <v>6</v>
      </c>
    </row>
    <row r="997" customFormat="false" ht="15" hidden="false" customHeight="false" outlineLevel="0" collapsed="false">
      <c r="A997" s="13" t="n">
        <v>43714</v>
      </c>
      <c r="B997" s="14" t="n">
        <v>2.15</v>
      </c>
      <c r="C997" s="14" t="n">
        <v>2.25</v>
      </c>
      <c r="D997" s="14" t="n">
        <v>2</v>
      </c>
      <c r="F997" s="14" t="n">
        <v>-0.4</v>
      </c>
      <c r="G997" s="14" t="n">
        <v>0.75</v>
      </c>
      <c r="H997" s="14" t="n">
        <v>0.7098</v>
      </c>
      <c r="I997" s="14" t="n">
        <v>0.708744672517161</v>
      </c>
      <c r="J997" s="14" t="n">
        <v>0.683164793620815</v>
      </c>
      <c r="K997" s="14" t="n">
        <v>0.635391678418025</v>
      </c>
      <c r="L997" s="14" t="n">
        <v>0.55911627263911</v>
      </c>
      <c r="M997" s="14" t="n">
        <v>2.681</v>
      </c>
      <c r="N997" s="14" t="n">
        <v>2.708</v>
      </c>
      <c r="O997" s="14" t="n">
        <v>2.768</v>
      </c>
      <c r="P997" s="14" t="n">
        <v>3.052</v>
      </c>
      <c r="Q997" s="14" t="n">
        <v>1.25</v>
      </c>
      <c r="R997" s="14" t="n">
        <v>1.26</v>
      </c>
      <c r="S997" s="14" t="n">
        <v>6</v>
      </c>
    </row>
    <row r="998" customFormat="false" ht="15" hidden="false" customHeight="false" outlineLevel="0" collapsed="false">
      <c r="A998" s="13" t="n">
        <v>43717</v>
      </c>
      <c r="B998" s="14" t="n">
        <v>2.12</v>
      </c>
      <c r="C998" s="14" t="n">
        <v>2.25</v>
      </c>
      <c r="D998" s="14" t="n">
        <v>2</v>
      </c>
      <c r="F998" s="14" t="n">
        <v>-0.4</v>
      </c>
      <c r="G998" s="14" t="n">
        <v>0.75</v>
      </c>
      <c r="H998" s="14" t="n">
        <v>0.7096</v>
      </c>
      <c r="I998" s="14" t="n">
        <v>0.709405380591536</v>
      </c>
      <c r="J998" s="14" t="n">
        <v>0.693431022261307</v>
      </c>
      <c r="K998" s="14" t="n">
        <v>0.65199232862332</v>
      </c>
      <c r="L998" s="14" t="n">
        <v>0.586468021985426</v>
      </c>
      <c r="M998" s="14" t="n">
        <v>2.688</v>
      </c>
      <c r="N998" s="14" t="n">
        <v>2.707</v>
      </c>
      <c r="O998" s="14" t="n">
        <v>2.768</v>
      </c>
      <c r="P998" s="14" t="n">
        <v>3.051</v>
      </c>
      <c r="Q998" s="14" t="n">
        <v>1.25</v>
      </c>
      <c r="R998" s="14" t="n">
        <v>1.24</v>
      </c>
      <c r="S998" s="14" t="n">
        <v>6</v>
      </c>
    </row>
    <row r="999" customFormat="false" ht="15" hidden="false" customHeight="false" outlineLevel="0" collapsed="false">
      <c r="A999" s="13" t="n">
        <v>43718</v>
      </c>
      <c r="B999" s="14" t="n">
        <v>2.14</v>
      </c>
      <c r="C999" s="14" t="n">
        <v>2.25</v>
      </c>
      <c r="D999" s="14" t="n">
        <v>2</v>
      </c>
      <c r="F999" s="14" t="n">
        <v>-0.4</v>
      </c>
      <c r="G999" s="14" t="n">
        <v>0.75</v>
      </c>
      <c r="H999" s="14" t="n">
        <v>0.7087</v>
      </c>
      <c r="I999" s="14" t="n">
        <v>0.709119544259956</v>
      </c>
      <c r="J999" s="14" t="n">
        <v>0.698056132999988</v>
      </c>
      <c r="K999" s="14" t="n">
        <v>0.66571758372924</v>
      </c>
      <c r="L999" s="14" t="n">
        <v>0.60852010906629</v>
      </c>
      <c r="M999" s="14" t="n">
        <v>2.677</v>
      </c>
      <c r="N999" s="14" t="n">
        <v>2.707</v>
      </c>
      <c r="O999" s="14" t="n">
        <v>2.772</v>
      </c>
      <c r="P999" s="14" t="n">
        <v>3.046</v>
      </c>
      <c r="Q999" s="14" t="n">
        <v>1.25</v>
      </c>
      <c r="R999" s="14" t="n">
        <v>1.24</v>
      </c>
      <c r="S999" s="14" t="n">
        <v>6</v>
      </c>
    </row>
    <row r="1000" customFormat="false" ht="15" hidden="false" customHeight="false" outlineLevel="0" collapsed="false">
      <c r="A1000" s="13" t="n">
        <v>43719</v>
      </c>
      <c r="B1000" s="14" t="n">
        <v>2.15</v>
      </c>
      <c r="C1000" s="14" t="n">
        <v>2.25</v>
      </c>
      <c r="D1000" s="14" t="n">
        <v>2</v>
      </c>
      <c r="F1000" s="14" t="n">
        <v>-0.4</v>
      </c>
      <c r="G1000" s="14" t="n">
        <v>0.75</v>
      </c>
      <c r="H1000" s="14" t="n">
        <v>0.7091</v>
      </c>
      <c r="I1000" s="14" t="n">
        <v>0.710376454842731</v>
      </c>
      <c r="J1000" s="14" t="n">
        <v>0.692813479368746</v>
      </c>
      <c r="K1000" s="14" t="n">
        <v>0.662963998884084</v>
      </c>
      <c r="L1000" s="14" t="n">
        <v>0.615976516504059</v>
      </c>
      <c r="M1000" s="14" t="n">
        <v>2.679</v>
      </c>
      <c r="N1000" s="14" t="n">
        <v>2.707</v>
      </c>
      <c r="O1000" s="14" t="n">
        <v>2.778</v>
      </c>
      <c r="P1000" s="14" t="n">
        <v>3.043</v>
      </c>
      <c r="Q1000" s="14" t="n">
        <v>1.25</v>
      </c>
      <c r="R1000" s="14" t="n">
        <v>1.25</v>
      </c>
      <c r="S1000" s="14" t="n">
        <v>6</v>
      </c>
    </row>
    <row r="1001" customFormat="false" ht="15" hidden="false" customHeight="false" outlineLevel="0" collapsed="false">
      <c r="A1001" s="13" t="n">
        <v>43720</v>
      </c>
      <c r="B1001" s="14" t="n">
        <v>2.2</v>
      </c>
      <c r="C1001" s="14" t="n">
        <v>2.25</v>
      </c>
      <c r="D1001" s="14" t="n">
        <v>2</v>
      </c>
      <c r="F1001" s="14" t="n">
        <v>-0.4</v>
      </c>
      <c r="G1001" s="14" t="n">
        <v>0.75</v>
      </c>
      <c r="H1001" s="14" t="n">
        <v>0.7096</v>
      </c>
      <c r="I1001" s="14" t="n">
        <v>0.708494993878651</v>
      </c>
      <c r="J1001" s="14" t="n">
        <v>0.69447402957389</v>
      </c>
      <c r="K1001" s="14" t="n">
        <v>0.674235514472519</v>
      </c>
      <c r="L1001" s="14" t="n">
        <v>0.641115945463636</v>
      </c>
      <c r="M1001" s="14" t="n">
        <v>2.682</v>
      </c>
      <c r="N1001" s="14" t="n">
        <v>2.709</v>
      </c>
      <c r="O1001" s="14" t="n">
        <v>2.787</v>
      </c>
      <c r="P1001" s="14" t="n">
        <v>3.042</v>
      </c>
      <c r="Q1001" s="14" t="n">
        <v>1.25</v>
      </c>
      <c r="R1001" s="14" t="n">
        <v>1.26</v>
      </c>
      <c r="S1001" s="14" t="n">
        <v>6</v>
      </c>
    </row>
    <row r="1002" customFormat="false" ht="15" hidden="false" customHeight="false" outlineLevel="0" collapsed="false">
      <c r="A1002" s="13" t="n">
        <v>43721</v>
      </c>
      <c r="B1002" s="14" t="n">
        <v>2.2</v>
      </c>
      <c r="C1002" s="14" t="n">
        <v>2.25</v>
      </c>
      <c r="D1002" s="14" t="n">
        <v>2</v>
      </c>
      <c r="F1002" s="14" t="n">
        <v>-0.4</v>
      </c>
      <c r="G1002" s="14" t="n">
        <v>0.75</v>
      </c>
      <c r="H1002" s="14" t="n">
        <v>0.708</v>
      </c>
      <c r="I1002" s="14" t="n">
        <v>0.708133060170286</v>
      </c>
      <c r="J1002" s="14" t="n">
        <v>0.695754097345384</v>
      </c>
      <c r="K1002" s="14" t="n">
        <v>0.681060308630527</v>
      </c>
      <c r="L1002" s="14" t="n">
        <v>0.659427527640708</v>
      </c>
      <c r="Q1002" s="14" t="n">
        <v>1.25</v>
      </c>
      <c r="R1002" s="14" t="n">
        <v>1.25</v>
      </c>
      <c r="S1002" s="14" t="n">
        <v>6</v>
      </c>
    </row>
    <row r="1003" customFormat="false" ht="15" hidden="false" customHeight="false" outlineLevel="0" collapsed="false">
      <c r="A1003" s="13" t="n">
        <v>43724</v>
      </c>
      <c r="B1003" s="14" t="n">
        <v>2.43</v>
      </c>
      <c r="C1003" s="14" t="n">
        <v>2.25</v>
      </c>
      <c r="D1003" s="14" t="n">
        <v>2</v>
      </c>
      <c r="F1003" s="14" t="n">
        <v>-0.4</v>
      </c>
      <c r="G1003" s="14" t="n">
        <v>0.75</v>
      </c>
      <c r="H1003" s="14" t="n">
        <v>0.7099</v>
      </c>
      <c r="I1003" s="14" t="n">
        <v>0.709018145578466</v>
      </c>
      <c r="J1003" s="14" t="n">
        <v>0.69191578862875</v>
      </c>
      <c r="K1003" s="14" t="n">
        <v>0.67146496722615</v>
      </c>
      <c r="L1003" s="14" t="n">
        <v>0.642344874903583</v>
      </c>
      <c r="M1003" s="14" t="n">
        <v>2.682</v>
      </c>
      <c r="N1003" s="14" t="n">
        <v>2.71</v>
      </c>
      <c r="O1003" s="14" t="n">
        <v>2.792</v>
      </c>
      <c r="P1003" s="14" t="n">
        <v>3.043</v>
      </c>
      <c r="Q1003" s="14" t="n">
        <v>1.25</v>
      </c>
      <c r="R1003" s="14" t="n">
        <v>1.25</v>
      </c>
      <c r="S1003" s="14" t="n">
        <v>6</v>
      </c>
    </row>
    <row r="1004" customFormat="false" ht="15" hidden="false" customHeight="false" outlineLevel="0" collapsed="false">
      <c r="A1004" s="13" t="n">
        <v>43725</v>
      </c>
      <c r="B1004" s="14" t="n">
        <v>5.25</v>
      </c>
      <c r="C1004" s="14" t="n">
        <v>2.25</v>
      </c>
      <c r="D1004" s="14" t="n">
        <v>2</v>
      </c>
      <c r="F1004" s="14" t="n">
        <v>-0.4</v>
      </c>
      <c r="G1004" s="14" t="n">
        <v>0.75</v>
      </c>
      <c r="H1004" s="14" t="n">
        <v>0.711</v>
      </c>
      <c r="I1004" s="14" t="n">
        <v>0.708088624824508</v>
      </c>
      <c r="J1004" s="14" t="n">
        <v>0.69270557750296</v>
      </c>
      <c r="K1004" s="14" t="n">
        <v>0.667761334496384</v>
      </c>
      <c r="L1004" s="14" t="n">
        <v>0.635011146495832</v>
      </c>
      <c r="M1004" s="14" t="n">
        <v>2.685</v>
      </c>
      <c r="N1004" s="14" t="n">
        <v>2.708</v>
      </c>
      <c r="O1004" s="14" t="n">
        <v>2.795</v>
      </c>
      <c r="P1004" s="14" t="n">
        <v>3.043</v>
      </c>
      <c r="Q1004" s="14" t="n">
        <v>1.25</v>
      </c>
      <c r="R1004" s="14" t="n">
        <v>1.25</v>
      </c>
      <c r="S1004" s="14" t="n">
        <v>6</v>
      </c>
    </row>
    <row r="1005" customFormat="false" ht="15" hidden="false" customHeight="false" outlineLevel="0" collapsed="false">
      <c r="A1005" s="13" t="n">
        <v>43726</v>
      </c>
      <c r="B1005" s="14" t="n">
        <v>2.55</v>
      </c>
      <c r="C1005" s="14" t="n">
        <v>2.25</v>
      </c>
      <c r="D1005" s="14" t="n">
        <v>2</v>
      </c>
      <c r="F1005" s="14" t="n">
        <v>-0.5</v>
      </c>
      <c r="G1005" s="14" t="n">
        <v>0.75</v>
      </c>
      <c r="H1005" s="14" t="n">
        <v>0.7104</v>
      </c>
      <c r="I1005" s="14" t="n">
        <v>0.706876566373116</v>
      </c>
      <c r="J1005" s="14" t="n">
        <v>0.684148650014269</v>
      </c>
      <c r="K1005" s="14" t="n">
        <v>0.653337316338186</v>
      </c>
      <c r="L1005" s="14" t="n">
        <v>0.6114807906372</v>
      </c>
      <c r="M1005" s="14" t="n">
        <v>2.692</v>
      </c>
      <c r="N1005" s="14" t="n">
        <v>2.706</v>
      </c>
      <c r="O1005" s="14" t="n">
        <v>2.798</v>
      </c>
      <c r="P1005" s="14" t="n">
        <v>3.044</v>
      </c>
      <c r="Q1005" s="14" t="n">
        <v>1.25</v>
      </c>
      <c r="R1005" s="14" t="n">
        <v>1.26</v>
      </c>
      <c r="S1005" s="14" t="n">
        <v>6</v>
      </c>
    </row>
    <row r="1006" customFormat="false" ht="15" hidden="false" customHeight="false" outlineLevel="0" collapsed="false">
      <c r="A1006" s="13" t="n">
        <v>43727</v>
      </c>
      <c r="B1006" s="14" t="n">
        <v>1.95</v>
      </c>
      <c r="C1006" s="14" t="n">
        <v>2</v>
      </c>
      <c r="D1006" s="14" t="n">
        <v>1.75</v>
      </c>
      <c r="F1006" s="14" t="n">
        <v>-0.5</v>
      </c>
      <c r="G1006" s="14" t="n">
        <v>0.75</v>
      </c>
      <c r="H1006" s="14" t="n">
        <v>0.7104</v>
      </c>
      <c r="I1006" s="14" t="n">
        <v>0.711331200688877</v>
      </c>
      <c r="J1006" s="14" t="n">
        <v>0.68832669105083</v>
      </c>
      <c r="K1006" s="14" t="n">
        <v>0.656101386646914</v>
      </c>
      <c r="L1006" s="14" t="n">
        <v>0.612297720471189</v>
      </c>
      <c r="M1006" s="14" t="n">
        <v>2.704</v>
      </c>
      <c r="N1006" s="14" t="n">
        <v>2.709</v>
      </c>
      <c r="O1006" s="14" t="n">
        <v>2.8</v>
      </c>
      <c r="P1006" s="14" t="n">
        <v>3.045</v>
      </c>
      <c r="Q1006" s="14" t="n">
        <v>1.25</v>
      </c>
      <c r="R1006" s="14" t="n">
        <v>1.26</v>
      </c>
      <c r="S1006" s="14" t="n">
        <v>5.5</v>
      </c>
    </row>
    <row r="1007" customFormat="false" ht="15" hidden="false" customHeight="false" outlineLevel="0" collapsed="false">
      <c r="A1007" s="13" t="n">
        <v>43728</v>
      </c>
      <c r="B1007" s="14" t="n">
        <v>1.86</v>
      </c>
      <c r="C1007" s="14" t="n">
        <v>2</v>
      </c>
      <c r="D1007" s="14" t="n">
        <v>1.75</v>
      </c>
      <c r="F1007" s="14" t="n">
        <v>-0.5</v>
      </c>
      <c r="G1007" s="14" t="n">
        <v>0.75</v>
      </c>
      <c r="H1007" s="14" t="n">
        <v>0.7093</v>
      </c>
      <c r="I1007" s="14" t="n">
        <v>0.712298284854863</v>
      </c>
      <c r="J1007" s="14" t="n">
        <v>0.692667151620972</v>
      </c>
      <c r="K1007" s="14" t="n">
        <v>0.663602561206137</v>
      </c>
      <c r="L1007" s="14" t="n">
        <v>0.625292798844344</v>
      </c>
      <c r="M1007" s="14" t="n">
        <v>2.719</v>
      </c>
      <c r="N1007" s="14" t="n">
        <v>2.717</v>
      </c>
      <c r="O1007" s="14" t="n">
        <v>2.808</v>
      </c>
      <c r="P1007" s="14" t="n">
        <v>3.046</v>
      </c>
      <c r="Q1007" s="14" t="n">
        <v>1.5</v>
      </c>
      <c r="R1007" s="14" t="n">
        <v>1.5</v>
      </c>
      <c r="S1007" s="14" t="n">
        <v>5.5</v>
      </c>
    </row>
    <row r="1008" customFormat="false" ht="15" hidden="false" customHeight="false" outlineLevel="0" collapsed="false">
      <c r="A1008" s="13" t="n">
        <v>43731</v>
      </c>
      <c r="B1008" s="14" t="n">
        <v>1.85</v>
      </c>
      <c r="C1008" s="14" t="n">
        <v>2</v>
      </c>
      <c r="D1008" s="14" t="n">
        <v>1.75</v>
      </c>
      <c r="F1008" s="14" t="n">
        <v>-0.5</v>
      </c>
      <c r="G1008" s="14" t="n">
        <v>0.75</v>
      </c>
      <c r="H1008" s="14" t="n">
        <v>0.7099</v>
      </c>
      <c r="I1008" s="14" t="n">
        <v>0.711254960495304</v>
      </c>
      <c r="J1008" s="14" t="n">
        <v>0.689150279489997</v>
      </c>
      <c r="K1008" s="14" t="n">
        <v>0.657402677685333</v>
      </c>
      <c r="L1008" s="14" t="n">
        <v>0.610795635428045</v>
      </c>
      <c r="M1008" s="14" t="n">
        <v>2.737</v>
      </c>
      <c r="N1008" s="14" t="n">
        <v>2.725</v>
      </c>
      <c r="O1008" s="14" t="n">
        <v>2.813</v>
      </c>
      <c r="P1008" s="14" t="n">
        <v>3.048</v>
      </c>
      <c r="Q1008" s="14" t="n">
        <v>1.5</v>
      </c>
      <c r="R1008" s="14" t="n">
        <v>1.49</v>
      </c>
      <c r="S1008" s="14" t="n">
        <v>5.5</v>
      </c>
    </row>
    <row r="1009" customFormat="false" ht="15" hidden="false" customHeight="false" outlineLevel="0" collapsed="false">
      <c r="A1009" s="13" t="n">
        <v>43732</v>
      </c>
      <c r="B1009" s="14" t="n">
        <v>1.96</v>
      </c>
      <c r="C1009" s="14" t="n">
        <v>2</v>
      </c>
      <c r="D1009" s="14" t="n">
        <v>1.75</v>
      </c>
      <c r="F1009" s="14" t="n">
        <v>-0.5</v>
      </c>
      <c r="G1009" s="14" t="n">
        <v>0.75</v>
      </c>
      <c r="H1009" s="14" t="n">
        <v>0.7105</v>
      </c>
      <c r="I1009" s="14" t="n">
        <v>0.708183277228896</v>
      </c>
      <c r="J1009" s="14" t="n">
        <v>0.685610640385251</v>
      </c>
      <c r="K1009" s="14" t="n">
        <v>0.653809245414385</v>
      </c>
      <c r="L1009" s="14" t="n">
        <v>0.600682948631765</v>
      </c>
      <c r="M1009" s="14" t="n">
        <v>2.751</v>
      </c>
      <c r="N1009" s="14" t="n">
        <v>2.729</v>
      </c>
      <c r="O1009" s="14" t="n">
        <v>2.813</v>
      </c>
      <c r="P1009" s="14" t="n">
        <v>3.048</v>
      </c>
      <c r="Q1009" s="14" t="n">
        <v>1.5</v>
      </c>
      <c r="R1009" s="14" t="n">
        <v>1.49</v>
      </c>
      <c r="S1009" s="14" t="n">
        <v>5.5</v>
      </c>
    </row>
    <row r="1010" customFormat="false" ht="15" hidden="false" customHeight="false" outlineLevel="0" collapsed="false">
      <c r="A1010" s="13" t="n">
        <v>43733</v>
      </c>
      <c r="B1010" s="14" t="n">
        <v>2.01</v>
      </c>
      <c r="C1010" s="14" t="n">
        <v>2</v>
      </c>
      <c r="D1010" s="14" t="n">
        <v>1.75</v>
      </c>
      <c r="F1010" s="14" t="n">
        <v>-0.5</v>
      </c>
      <c r="G1010" s="14" t="n">
        <v>0.75</v>
      </c>
      <c r="H1010" s="14" t="n">
        <v>0.7099</v>
      </c>
      <c r="I1010" s="14" t="n">
        <v>0.708534285638454</v>
      </c>
      <c r="J1010" s="14" t="n">
        <v>0.690235342614633</v>
      </c>
      <c r="K1010" s="14" t="n">
        <v>0.660536093552582</v>
      </c>
      <c r="L1010" s="14" t="n">
        <v>0.607438597515296</v>
      </c>
      <c r="M1010" s="14" t="n">
        <v>2.75</v>
      </c>
      <c r="N1010" s="14" t="n">
        <v>2.729</v>
      </c>
      <c r="O1010" s="14" t="n">
        <v>2.815</v>
      </c>
      <c r="P1010" s="14" t="n">
        <v>3.047</v>
      </c>
      <c r="Q1010" s="14" t="n">
        <v>1.5</v>
      </c>
      <c r="R1010" s="14" t="n">
        <v>1.49</v>
      </c>
      <c r="S1010" s="14" t="n">
        <v>5.5</v>
      </c>
    </row>
    <row r="1011" customFormat="false" ht="15" hidden="false" customHeight="false" outlineLevel="0" collapsed="false">
      <c r="A1011" s="13" t="n">
        <v>43734</v>
      </c>
      <c r="B1011" s="14" t="n">
        <v>1.85</v>
      </c>
      <c r="C1011" s="14" t="n">
        <v>2</v>
      </c>
      <c r="D1011" s="14" t="n">
        <v>1.75</v>
      </c>
      <c r="F1011" s="14" t="n">
        <v>-0.5</v>
      </c>
      <c r="G1011" s="14" t="n">
        <v>0.75</v>
      </c>
      <c r="H1011" s="14" t="n">
        <v>0.7109</v>
      </c>
      <c r="I1011" s="14" t="n">
        <v>0.709411610820861</v>
      </c>
      <c r="J1011" s="14" t="n">
        <v>0.691387719807939</v>
      </c>
      <c r="K1011" s="14" t="n">
        <v>0.658443434370108</v>
      </c>
      <c r="L1011" s="14" t="n">
        <v>0.597240220703236</v>
      </c>
      <c r="M1011" s="14" t="n">
        <v>2.749</v>
      </c>
      <c r="N1011" s="14" t="n">
        <v>2.732</v>
      </c>
      <c r="O1011" s="14" t="n">
        <v>2.815</v>
      </c>
      <c r="P1011" s="14" t="n">
        <v>3.048</v>
      </c>
      <c r="Q1011" s="14" t="n">
        <v>1.5</v>
      </c>
      <c r="R1011" s="14" t="n">
        <v>1.51</v>
      </c>
      <c r="S1011" s="14" t="n">
        <v>5.5</v>
      </c>
    </row>
    <row r="1012" customFormat="false" ht="15" hidden="false" customHeight="false" outlineLevel="0" collapsed="false">
      <c r="A1012" s="13" t="n">
        <v>43735</v>
      </c>
      <c r="B1012" s="14" t="n">
        <v>1.82</v>
      </c>
      <c r="C1012" s="14" t="n">
        <v>2</v>
      </c>
      <c r="D1012" s="14" t="n">
        <v>1.75</v>
      </c>
      <c r="F1012" s="14" t="n">
        <v>-0.5</v>
      </c>
      <c r="G1012" s="14" t="n">
        <v>0.75</v>
      </c>
      <c r="H1012" s="14" t="n">
        <v>0.7109</v>
      </c>
      <c r="I1012" s="14" t="n">
        <v>0.713455695875613</v>
      </c>
      <c r="J1012" s="14" t="n">
        <v>0.679027661614863</v>
      </c>
      <c r="K1012" s="14" t="n">
        <v>0.631535362423682</v>
      </c>
      <c r="L1012" s="14" t="n">
        <v>0.551570891519461</v>
      </c>
      <c r="M1012" s="14" t="n">
        <v>2.75</v>
      </c>
      <c r="N1012" s="14" t="n">
        <v>2.726</v>
      </c>
      <c r="O1012" s="14" t="n">
        <v>2.816</v>
      </c>
      <c r="P1012" s="14" t="n">
        <v>3.048</v>
      </c>
      <c r="Q1012" s="14" t="n">
        <v>1.5</v>
      </c>
      <c r="R1012" s="14" t="n">
        <v>1.5</v>
      </c>
      <c r="S1012" s="14" t="n">
        <v>5.5</v>
      </c>
    </row>
    <row r="1013" customFormat="false" ht="15" hidden="false" customHeight="false" outlineLevel="0" collapsed="false">
      <c r="A1013" s="13" t="n">
        <v>43737</v>
      </c>
      <c r="C1013" s="14" t="n">
        <v>2</v>
      </c>
      <c r="D1013" s="14" t="n">
        <v>1.75</v>
      </c>
      <c r="F1013" s="14" t="n">
        <v>-0.5</v>
      </c>
      <c r="M1013" s="14" t="n">
        <v>2.751</v>
      </c>
      <c r="N1013" s="14" t="n">
        <v>2.727</v>
      </c>
      <c r="O1013" s="14" t="n">
        <v>2.815</v>
      </c>
      <c r="P1013" s="14" t="n">
        <v>3.047</v>
      </c>
      <c r="S1013" s="14" t="n">
        <v>5.5</v>
      </c>
    </row>
    <row r="1014" customFormat="false" ht="15" hidden="false" customHeight="false" outlineLevel="0" collapsed="false">
      <c r="A1014" s="13" t="n">
        <v>43738</v>
      </c>
      <c r="B1014" s="14" t="n">
        <v>2.35</v>
      </c>
      <c r="C1014" s="14" t="n">
        <v>2</v>
      </c>
      <c r="D1014" s="14" t="n">
        <v>1.75</v>
      </c>
      <c r="F1014" s="14" t="n">
        <v>-0.5</v>
      </c>
      <c r="G1014" s="14" t="n">
        <v>0.75</v>
      </c>
      <c r="H1014" s="14" t="n">
        <v>0.7101</v>
      </c>
      <c r="I1014" s="14" t="n">
        <v>0.711389555805374</v>
      </c>
      <c r="J1014" s="14" t="n">
        <v>0.673916807149289</v>
      </c>
      <c r="K1014" s="14" t="n">
        <v>0.622439721553893</v>
      </c>
      <c r="L1014" s="14" t="n">
        <v>0.540173131528103</v>
      </c>
      <c r="M1014" s="14" t="n">
        <v>2.762</v>
      </c>
      <c r="N1014" s="14" t="n">
        <v>2.728</v>
      </c>
      <c r="O1014" s="14" t="n">
        <v>2.819</v>
      </c>
      <c r="P1014" s="14" t="n">
        <v>3.048</v>
      </c>
      <c r="Q1014" s="14" t="n">
        <v>1.5</v>
      </c>
      <c r="R1014" s="14" t="n">
        <v>1.84</v>
      </c>
      <c r="S1014" s="14" t="n">
        <v>5.5</v>
      </c>
    </row>
    <row r="1015" customFormat="false" ht="15" hidden="false" customHeight="false" outlineLevel="0" collapsed="false">
      <c r="A1015" s="13" t="n">
        <v>43739</v>
      </c>
      <c r="B1015" s="14" t="n">
        <v>1.88</v>
      </c>
      <c r="C1015" s="14" t="n">
        <v>2</v>
      </c>
      <c r="D1015" s="14" t="n">
        <v>1.75</v>
      </c>
      <c r="E1015" s="14" t="n">
        <v>-0.549</v>
      </c>
      <c r="F1015" s="14" t="n">
        <v>-0.5</v>
      </c>
      <c r="G1015" s="14" t="n">
        <v>0.75</v>
      </c>
      <c r="H1015" s="14" t="n">
        <v>0.7108</v>
      </c>
      <c r="I1015" s="14" t="n">
        <v>0.710284634173399</v>
      </c>
      <c r="J1015" s="14" t="n">
        <v>0.673614016378548</v>
      </c>
      <c r="K1015" s="14" t="n">
        <v>0.62014868905731</v>
      </c>
      <c r="L1015" s="14" t="n">
        <v>0.535019584350711</v>
      </c>
      <c r="Q1015" s="14" t="n">
        <v>1.5</v>
      </c>
      <c r="R1015" s="14" t="n">
        <v>1.5</v>
      </c>
      <c r="S1015" s="14" t="n">
        <v>5.5</v>
      </c>
    </row>
    <row r="1016" customFormat="false" ht="15" hidden="false" customHeight="false" outlineLevel="0" collapsed="false">
      <c r="A1016" s="13" t="n">
        <v>43740</v>
      </c>
      <c r="B1016" s="14" t="n">
        <v>1.85</v>
      </c>
      <c r="C1016" s="14" t="n">
        <v>2</v>
      </c>
      <c r="D1016" s="14" t="n">
        <v>1.75</v>
      </c>
      <c r="E1016" s="14" t="n">
        <v>-0.551</v>
      </c>
      <c r="F1016" s="14" t="n">
        <v>-0.5</v>
      </c>
      <c r="G1016" s="14" t="n">
        <v>0.75</v>
      </c>
      <c r="H1016" s="14" t="n">
        <v>0.7098</v>
      </c>
      <c r="I1016" s="14" t="n">
        <v>0.710736000124929</v>
      </c>
      <c r="J1016" s="14" t="n">
        <v>0.67269825446471</v>
      </c>
      <c r="K1016" s="14" t="n">
        <v>0.618615387572566</v>
      </c>
      <c r="L1016" s="14" t="n">
        <v>0.535828392152815</v>
      </c>
      <c r="Q1016" s="14" t="n">
        <v>1.5</v>
      </c>
      <c r="R1016" s="14" t="n">
        <v>1.52</v>
      </c>
      <c r="S1016" s="14" t="n">
        <v>5.5</v>
      </c>
    </row>
    <row r="1017" customFormat="false" ht="15" hidden="false" customHeight="false" outlineLevel="0" collapsed="false">
      <c r="A1017" s="13" t="n">
        <v>43741</v>
      </c>
      <c r="B1017" s="14" t="n">
        <v>1.84</v>
      </c>
      <c r="C1017" s="14" t="n">
        <v>2</v>
      </c>
      <c r="D1017" s="14" t="n">
        <v>1.75</v>
      </c>
      <c r="E1017" s="14" t="n">
        <v>-0.555</v>
      </c>
      <c r="F1017" s="14" t="n">
        <v>-0.5</v>
      </c>
      <c r="G1017" s="14" t="n">
        <v>0.75</v>
      </c>
      <c r="H1017" s="14" t="n">
        <v>0.7098</v>
      </c>
      <c r="I1017" s="14" t="n">
        <v>0.710675799320187</v>
      </c>
      <c r="J1017" s="14" t="n">
        <v>0.668102066836673</v>
      </c>
      <c r="K1017" s="14" t="n">
        <v>0.607457137871904</v>
      </c>
      <c r="L1017" s="14" t="n">
        <v>0.513642140362554</v>
      </c>
      <c r="Q1017" s="14" t="n">
        <v>1.5</v>
      </c>
      <c r="R1017" s="14" t="n">
        <v>1.5</v>
      </c>
      <c r="S1017" s="14" t="n">
        <v>5.5</v>
      </c>
    </row>
    <row r="1018" customFormat="false" ht="15" hidden="false" customHeight="false" outlineLevel="0" collapsed="false">
      <c r="A1018" s="13" t="n">
        <v>43742</v>
      </c>
      <c r="B1018" s="14" t="n">
        <v>1.82</v>
      </c>
      <c r="C1018" s="14" t="n">
        <v>2</v>
      </c>
      <c r="D1018" s="14" t="n">
        <v>1.75</v>
      </c>
      <c r="E1018" s="14" t="n">
        <v>-0.553</v>
      </c>
      <c r="F1018" s="14" t="n">
        <v>-0.5</v>
      </c>
      <c r="G1018" s="14" t="n">
        <v>0.75</v>
      </c>
      <c r="H1018" s="14" t="n">
        <v>0.7118</v>
      </c>
      <c r="I1018" s="14" t="n">
        <v>0.70943798066175</v>
      </c>
      <c r="J1018" s="14" t="n">
        <v>0.667783539701808</v>
      </c>
      <c r="K1018" s="14" t="n">
        <v>0.605698709896726</v>
      </c>
      <c r="L1018" s="14" t="n">
        <v>0.505985590188646</v>
      </c>
      <c r="Q1018" s="14" t="n">
        <v>1.5</v>
      </c>
      <c r="R1018" s="14" t="n">
        <v>1.49</v>
      </c>
      <c r="S1018" s="14" t="n">
        <v>5.5</v>
      </c>
    </row>
    <row r="1019" customFormat="false" ht="15" hidden="false" customHeight="false" outlineLevel="0" collapsed="false">
      <c r="A1019" s="13" t="n">
        <v>43745</v>
      </c>
      <c r="B1019" s="14" t="n">
        <v>1.83</v>
      </c>
      <c r="C1019" s="14" t="n">
        <v>2</v>
      </c>
      <c r="D1019" s="14" t="n">
        <v>1.75</v>
      </c>
      <c r="E1019" s="14" t="n">
        <v>-0.554</v>
      </c>
      <c r="F1019" s="14" t="n">
        <v>-0.5</v>
      </c>
      <c r="G1019" s="14" t="n">
        <v>0.75</v>
      </c>
      <c r="H1019" s="14" t="n">
        <v>0.7111</v>
      </c>
      <c r="I1019" s="14" t="n">
        <v>0.706726895610935</v>
      </c>
      <c r="J1019" s="14" t="n">
        <v>0.660425190035706</v>
      </c>
      <c r="K1019" s="14" t="n">
        <v>0.599072394085719</v>
      </c>
      <c r="L1019" s="14" t="n">
        <v>0.501171222189997</v>
      </c>
      <c r="Q1019" s="14" t="n">
        <v>1.5</v>
      </c>
      <c r="R1019" s="14" t="n">
        <v>1.5</v>
      </c>
      <c r="S1019" s="14" t="n">
        <v>5.5</v>
      </c>
    </row>
    <row r="1020" customFormat="false" ht="15" hidden="false" customHeight="false" outlineLevel="0" collapsed="false">
      <c r="A1020" s="13" t="n">
        <v>43746</v>
      </c>
      <c r="B1020" s="14" t="n">
        <v>1.85</v>
      </c>
      <c r="C1020" s="14" t="n">
        <v>2</v>
      </c>
      <c r="D1020" s="14" t="n">
        <v>1.75</v>
      </c>
      <c r="E1020" s="14" t="n">
        <v>-0.552</v>
      </c>
      <c r="F1020" s="14" t="n">
        <v>-0.5</v>
      </c>
      <c r="G1020" s="14" t="n">
        <v>0.75</v>
      </c>
      <c r="H1020" s="14" t="n">
        <v>0.7107</v>
      </c>
      <c r="I1020" s="14" t="n">
        <v>0.704325485245603</v>
      </c>
      <c r="J1020" s="14" t="n">
        <v>0.651657769483293</v>
      </c>
      <c r="K1020" s="14" t="n">
        <v>0.585565494404216</v>
      </c>
      <c r="L1020" s="14" t="n">
        <v>0.485253933903086</v>
      </c>
      <c r="M1020" s="14" t="n">
        <v>2.754</v>
      </c>
      <c r="N1020" s="14" t="n">
        <v>2.724</v>
      </c>
      <c r="O1020" s="14" t="n">
        <v>2.817</v>
      </c>
      <c r="P1020" s="14" t="n">
        <v>3.048</v>
      </c>
      <c r="Q1020" s="14" t="n">
        <v>1.5</v>
      </c>
      <c r="R1020" s="14" t="n">
        <v>1.5</v>
      </c>
      <c r="S1020" s="14" t="n">
        <v>5.5</v>
      </c>
    </row>
    <row r="1021" customFormat="false" ht="15" hidden="false" customHeight="false" outlineLevel="0" collapsed="false">
      <c r="A1021" s="13" t="n">
        <v>43747</v>
      </c>
      <c r="B1021" s="14" t="n">
        <v>1.85</v>
      </c>
      <c r="C1021" s="14" t="n">
        <v>2</v>
      </c>
      <c r="D1021" s="14" t="n">
        <v>1.75</v>
      </c>
      <c r="E1021" s="14" t="n">
        <v>-0.552</v>
      </c>
      <c r="F1021" s="14" t="n">
        <v>-0.5</v>
      </c>
      <c r="G1021" s="14" t="n">
        <v>0.75</v>
      </c>
      <c r="H1021" s="14" t="n">
        <v>0.7112</v>
      </c>
      <c r="I1021" s="14" t="n">
        <v>0.705579343995364</v>
      </c>
      <c r="J1021" s="14" t="n">
        <v>0.652532696544825</v>
      </c>
      <c r="K1021" s="14" t="n">
        <v>0.583989836775788</v>
      </c>
      <c r="L1021" s="14" t="n">
        <v>0.488563663656016</v>
      </c>
      <c r="M1021" s="14" t="n">
        <v>2.728</v>
      </c>
      <c r="N1021" s="14" t="n">
        <v>2.72</v>
      </c>
      <c r="O1021" s="14" t="n">
        <v>2.813</v>
      </c>
      <c r="P1021" s="14" t="n">
        <v>3.047</v>
      </c>
      <c r="Q1021" s="14" t="n">
        <v>1.5</v>
      </c>
      <c r="R1021" s="14" t="n">
        <v>1.5</v>
      </c>
      <c r="S1021" s="14" t="n">
        <v>5.5</v>
      </c>
    </row>
    <row r="1022" customFormat="false" ht="15" hidden="false" customHeight="false" outlineLevel="0" collapsed="false">
      <c r="A1022" s="13" t="n">
        <v>43748</v>
      </c>
      <c r="B1022" s="14" t="n">
        <v>1.85</v>
      </c>
      <c r="C1022" s="14" t="n">
        <v>2</v>
      </c>
      <c r="D1022" s="14" t="n">
        <v>1.75</v>
      </c>
      <c r="E1022" s="14" t="n">
        <v>-0.552</v>
      </c>
      <c r="F1022" s="14" t="n">
        <v>-0.5</v>
      </c>
      <c r="G1022" s="14" t="n">
        <v>0.75</v>
      </c>
      <c r="H1022" s="14" t="n">
        <v>0.7115</v>
      </c>
      <c r="I1022" s="14" t="n">
        <v>0.706479142089365</v>
      </c>
      <c r="J1022" s="14" t="n">
        <v>0.670598067293263</v>
      </c>
      <c r="K1022" s="14" t="n">
        <v>0.624145487219507</v>
      </c>
      <c r="L1022" s="14" t="n">
        <v>0.563458203131673</v>
      </c>
      <c r="M1022" s="14" t="n">
        <v>2.7085</v>
      </c>
      <c r="N1022" s="14" t="n">
        <v>2.718</v>
      </c>
      <c r="O1022" s="14" t="n">
        <v>2.814</v>
      </c>
      <c r="P1022" s="14" t="n">
        <v>3.049</v>
      </c>
      <c r="Q1022" s="14" t="n">
        <v>1.5</v>
      </c>
      <c r="R1022" s="14" t="n">
        <v>1.5</v>
      </c>
      <c r="S1022" s="14" t="n">
        <v>5.5</v>
      </c>
    </row>
    <row r="1023" customFormat="false" ht="15" hidden="false" customHeight="false" outlineLevel="0" collapsed="false">
      <c r="A1023" s="13" t="n">
        <v>43749</v>
      </c>
      <c r="B1023" s="14" t="n">
        <v>1.85</v>
      </c>
      <c r="C1023" s="14" t="n">
        <v>2</v>
      </c>
      <c r="D1023" s="14" t="n">
        <v>1.75</v>
      </c>
      <c r="E1023" s="14" t="n">
        <v>-0.55</v>
      </c>
      <c r="F1023" s="14" t="n">
        <v>-0.5</v>
      </c>
      <c r="G1023" s="14" t="n">
        <v>0.75</v>
      </c>
      <c r="H1023" s="14" t="n">
        <v>0.7108</v>
      </c>
      <c r="I1023" s="14" t="n">
        <v>0.704749833033368</v>
      </c>
      <c r="J1023" s="14" t="n">
        <v>0.679322678580008</v>
      </c>
      <c r="K1023" s="14" t="n">
        <v>0.649510673137917</v>
      </c>
      <c r="L1023" s="14" t="n">
        <v>0.612667398286862</v>
      </c>
      <c r="M1023" s="14" t="n">
        <v>2.703</v>
      </c>
      <c r="N1023" s="14" t="n">
        <v>2.718</v>
      </c>
      <c r="O1023" s="14" t="n">
        <v>2.813</v>
      </c>
      <c r="P1023" s="14" t="n">
        <v>3.05</v>
      </c>
      <c r="Q1023" s="14" t="n">
        <v>1.5</v>
      </c>
      <c r="R1023" s="14" t="n">
        <v>1.5</v>
      </c>
      <c r="S1023" s="14" t="n">
        <v>5.5</v>
      </c>
    </row>
    <row r="1024" customFormat="false" ht="15" hidden="false" customHeight="false" outlineLevel="0" collapsed="false">
      <c r="A1024" s="13" t="n">
        <v>43750</v>
      </c>
      <c r="C1024" s="14" t="n">
        <v>2</v>
      </c>
      <c r="D1024" s="14" t="n">
        <v>1.75</v>
      </c>
      <c r="F1024" s="14" t="n">
        <v>-0.5</v>
      </c>
      <c r="M1024" s="14" t="n">
        <v>2.699</v>
      </c>
      <c r="N1024" s="14" t="n">
        <v>2.719</v>
      </c>
      <c r="O1024" s="14" t="n">
        <v>2.816</v>
      </c>
      <c r="P1024" s="14" t="n">
        <v>3.047</v>
      </c>
      <c r="S1024" s="14" t="n">
        <v>5.5</v>
      </c>
    </row>
    <row r="1025" customFormat="false" ht="15" hidden="false" customHeight="false" outlineLevel="0" collapsed="false">
      <c r="A1025" s="13" t="n">
        <v>43752</v>
      </c>
      <c r="C1025" s="14" t="n">
        <v>2</v>
      </c>
      <c r="D1025" s="14" t="n">
        <v>1.75</v>
      </c>
      <c r="E1025" s="14" t="n">
        <v>-0.549</v>
      </c>
      <c r="F1025" s="14" t="n">
        <v>-0.5</v>
      </c>
      <c r="G1025" s="14" t="n">
        <v>0.75</v>
      </c>
      <c r="H1025" s="14" t="n">
        <v>0.7106</v>
      </c>
      <c r="I1025" s="14" t="n">
        <v>0.704958696601351</v>
      </c>
      <c r="J1025" s="14" t="n">
        <v>0.673305489742487</v>
      </c>
      <c r="K1025" s="14" t="n">
        <v>0.633974417615123</v>
      </c>
      <c r="L1025" s="14" t="n">
        <v>0.578310141873008</v>
      </c>
      <c r="M1025" s="14" t="n">
        <v>2.699</v>
      </c>
      <c r="N1025" s="14" t="n">
        <v>2.722</v>
      </c>
      <c r="O1025" s="14" t="n">
        <v>2.816</v>
      </c>
      <c r="P1025" s="14" t="n">
        <v>3.049</v>
      </c>
      <c r="Q1025" s="14" t="n">
        <v>1.5</v>
      </c>
      <c r="R1025" s="14" t="n">
        <v>1.49</v>
      </c>
      <c r="S1025" s="14" t="n">
        <v>5.5</v>
      </c>
    </row>
    <row r="1026" customFormat="false" ht="15" hidden="false" customHeight="false" outlineLevel="0" collapsed="false">
      <c r="A1026" s="13" t="n">
        <v>43753</v>
      </c>
      <c r="B1026" s="14" t="n">
        <v>2</v>
      </c>
      <c r="C1026" s="14" t="n">
        <v>2</v>
      </c>
      <c r="D1026" s="14" t="n">
        <v>1.75</v>
      </c>
      <c r="E1026" s="14" t="n">
        <v>-0.551</v>
      </c>
      <c r="F1026" s="14" t="n">
        <v>-0.5</v>
      </c>
      <c r="G1026" s="14" t="n">
        <v>0.75</v>
      </c>
      <c r="H1026" s="14" t="n">
        <v>0.7111</v>
      </c>
      <c r="I1026" s="14" t="n">
        <v>0.703948939067718</v>
      </c>
      <c r="J1026" s="14" t="n">
        <v>0.675768159051705</v>
      </c>
      <c r="K1026" s="14" t="n">
        <v>0.644406263343826</v>
      </c>
      <c r="L1026" s="14" t="n">
        <v>0.597717669970151</v>
      </c>
      <c r="M1026" s="14" t="n">
        <v>2.703</v>
      </c>
      <c r="N1026" s="14" t="n">
        <v>2.731</v>
      </c>
      <c r="O1026" s="14" t="n">
        <v>2.821</v>
      </c>
      <c r="P1026" s="14" t="n">
        <v>3.049</v>
      </c>
      <c r="Q1026" s="14" t="n">
        <v>1.5</v>
      </c>
      <c r="R1026" s="14" t="n">
        <v>1.5</v>
      </c>
      <c r="S1026" s="14" t="n">
        <v>5.5</v>
      </c>
    </row>
    <row r="1027" customFormat="false" ht="15" hidden="false" customHeight="false" outlineLevel="0" collapsed="false">
      <c r="A1027" s="13" t="n">
        <v>43754</v>
      </c>
      <c r="B1027" s="14" t="n">
        <v>2.05</v>
      </c>
      <c r="C1027" s="14" t="n">
        <v>2</v>
      </c>
      <c r="D1027" s="14" t="n">
        <v>1.75</v>
      </c>
      <c r="E1027" s="14" t="n">
        <v>-0.548</v>
      </c>
      <c r="F1027" s="14" t="n">
        <v>-0.5</v>
      </c>
      <c r="G1027" s="14" t="n">
        <v>0.75</v>
      </c>
      <c r="H1027" s="14" t="n">
        <v>0.7109</v>
      </c>
      <c r="I1027" s="14" t="n">
        <v>0.706066500451865</v>
      </c>
      <c r="J1027" s="14" t="n">
        <v>0.687425769886505</v>
      </c>
      <c r="K1027" s="14" t="n">
        <v>0.661891878120142</v>
      </c>
      <c r="L1027" s="14" t="n">
        <v>0.625727952330021</v>
      </c>
      <c r="M1027" s="14" t="n">
        <v>2.704</v>
      </c>
      <c r="N1027" s="14" t="n">
        <v>2.732</v>
      </c>
      <c r="O1027" s="14" t="n">
        <v>2.822</v>
      </c>
      <c r="P1027" s="14" t="n">
        <v>3.048</v>
      </c>
      <c r="Q1027" s="14" t="n">
        <v>1.5</v>
      </c>
      <c r="R1027" s="14" t="n">
        <v>1.5</v>
      </c>
      <c r="S1027" s="14" t="n">
        <v>5.5</v>
      </c>
    </row>
    <row r="1028" customFormat="false" ht="15" hidden="false" customHeight="false" outlineLevel="0" collapsed="false">
      <c r="A1028" s="13" t="n">
        <v>43755</v>
      </c>
      <c r="B1028" s="14" t="n">
        <v>1.95</v>
      </c>
      <c r="C1028" s="14" t="n">
        <v>2</v>
      </c>
      <c r="D1028" s="14" t="n">
        <v>1.75</v>
      </c>
      <c r="E1028" s="14" t="n">
        <v>-0.548</v>
      </c>
      <c r="F1028" s="14" t="n">
        <v>-0.5</v>
      </c>
      <c r="G1028" s="14" t="n">
        <v>0.75</v>
      </c>
      <c r="H1028" s="14" t="n">
        <v>0.7107</v>
      </c>
      <c r="I1028" s="14" t="n">
        <v>0.705592727407733</v>
      </c>
      <c r="J1028" s="14" t="n">
        <v>0.681266980692532</v>
      </c>
      <c r="K1028" s="14" t="n">
        <v>0.652600156041175</v>
      </c>
      <c r="L1028" s="14" t="n">
        <v>0.61216536943811</v>
      </c>
      <c r="M1028" s="14" t="n">
        <v>2.709</v>
      </c>
      <c r="N1028" s="14" t="n">
        <v>2.736</v>
      </c>
      <c r="O1028" s="14" t="n">
        <v>2.825</v>
      </c>
      <c r="P1028" s="14" t="n">
        <v>3.05</v>
      </c>
      <c r="Q1028" s="14" t="n">
        <v>1.5</v>
      </c>
      <c r="R1028" s="14" t="n">
        <v>1.5</v>
      </c>
      <c r="S1028" s="14" t="n">
        <v>5.5</v>
      </c>
    </row>
    <row r="1029" customFormat="false" ht="15" hidden="false" customHeight="false" outlineLevel="0" collapsed="false">
      <c r="A1029" s="13" t="n">
        <v>43756</v>
      </c>
      <c r="B1029" s="14" t="n">
        <v>1.88</v>
      </c>
      <c r="C1029" s="14" t="n">
        <v>2</v>
      </c>
      <c r="D1029" s="14" t="n">
        <v>1.75</v>
      </c>
      <c r="E1029" s="14" t="n">
        <v>-0.547</v>
      </c>
      <c r="F1029" s="14" t="n">
        <v>-0.5</v>
      </c>
      <c r="G1029" s="14" t="n">
        <v>0.75</v>
      </c>
      <c r="H1029" s="14" t="n">
        <v>0.7101</v>
      </c>
      <c r="I1029" s="14" t="n">
        <v>0.704090267531751</v>
      </c>
      <c r="J1029" s="14" t="n">
        <v>0.677961227828403</v>
      </c>
      <c r="K1029" s="14" t="n">
        <v>0.649769510206916</v>
      </c>
      <c r="L1029" s="14" t="n">
        <v>0.61415186757262</v>
      </c>
      <c r="M1029" s="14" t="n">
        <v>2.713</v>
      </c>
      <c r="N1029" s="14" t="n">
        <v>2.746</v>
      </c>
      <c r="O1029" s="14" t="n">
        <v>2.834</v>
      </c>
      <c r="P1029" s="14" t="n">
        <v>3.051</v>
      </c>
      <c r="Q1029" s="14" t="n">
        <v>1.5</v>
      </c>
      <c r="R1029" s="14" t="n">
        <v>1.49</v>
      </c>
      <c r="S1029" s="14" t="n">
        <v>5.5</v>
      </c>
    </row>
    <row r="1030" customFormat="false" ht="15" hidden="false" customHeight="false" outlineLevel="0" collapsed="false">
      <c r="A1030" s="13" t="n">
        <v>43759</v>
      </c>
      <c r="B1030" s="14" t="n">
        <v>1.86</v>
      </c>
      <c r="C1030" s="14" t="n">
        <v>2</v>
      </c>
      <c r="D1030" s="14" t="n">
        <v>1.75</v>
      </c>
      <c r="E1030" s="14" t="n">
        <v>-0.549</v>
      </c>
      <c r="F1030" s="14" t="n">
        <v>-0.5</v>
      </c>
      <c r="G1030" s="14" t="n">
        <v>0.75</v>
      </c>
      <c r="H1030" s="14" t="n">
        <v>0.7111</v>
      </c>
      <c r="I1030" s="14" t="n">
        <v>0.703569277086635</v>
      </c>
      <c r="J1030" s="14" t="n">
        <v>0.680618633797674</v>
      </c>
      <c r="K1030" s="14" t="n">
        <v>0.653382242762677</v>
      </c>
      <c r="L1030" s="14" t="n">
        <v>0.624069671084021</v>
      </c>
      <c r="M1030" s="14" t="n">
        <v>2.723</v>
      </c>
      <c r="N1030" s="14" t="n">
        <v>2.763</v>
      </c>
      <c r="O1030" s="14" t="n">
        <v>2.841</v>
      </c>
      <c r="P1030" s="14" t="n">
        <v>3.054</v>
      </c>
      <c r="Q1030" s="14" t="n">
        <v>1.5</v>
      </c>
      <c r="R1030" s="14" t="n">
        <v>1.5</v>
      </c>
      <c r="S1030" s="14" t="n">
        <v>5.5</v>
      </c>
    </row>
    <row r="1031" customFormat="false" ht="15" hidden="false" customHeight="false" outlineLevel="0" collapsed="false">
      <c r="A1031" s="13" t="n">
        <v>43760</v>
      </c>
      <c r="B1031" s="14" t="n">
        <v>1.87</v>
      </c>
      <c r="C1031" s="14" t="n">
        <v>2</v>
      </c>
      <c r="D1031" s="14" t="n">
        <v>1.75</v>
      </c>
      <c r="E1031" s="14" t="n">
        <v>-0.548</v>
      </c>
      <c r="F1031" s="14" t="n">
        <v>-0.5</v>
      </c>
      <c r="G1031" s="14" t="n">
        <v>0.75</v>
      </c>
      <c r="H1031" s="14" t="n">
        <v>0.7116</v>
      </c>
      <c r="I1031" s="14" t="n">
        <v>0.702014559350344</v>
      </c>
      <c r="J1031" s="14" t="n">
        <v>0.67659937143521</v>
      </c>
      <c r="K1031" s="14" t="n">
        <v>0.646800214052239</v>
      </c>
      <c r="L1031" s="14" t="n">
        <v>0.61280715054769</v>
      </c>
      <c r="M1031" s="14" t="n">
        <v>2.75</v>
      </c>
      <c r="N1031" s="14" t="n">
        <v>2.793</v>
      </c>
      <c r="O1031" s="14" t="n">
        <v>2.851</v>
      </c>
      <c r="P1031" s="14" t="n">
        <v>3.057</v>
      </c>
      <c r="Q1031" s="14" t="n">
        <v>1.5</v>
      </c>
      <c r="R1031" s="14" t="n">
        <v>1.49</v>
      </c>
      <c r="S1031" s="14" t="n">
        <v>5.5</v>
      </c>
    </row>
    <row r="1032" customFormat="false" ht="15" hidden="false" customHeight="false" outlineLevel="0" collapsed="false">
      <c r="A1032" s="13" t="n">
        <v>43761</v>
      </c>
      <c r="B1032" s="14" t="n">
        <v>1.87</v>
      </c>
      <c r="C1032" s="14" t="n">
        <v>2</v>
      </c>
      <c r="D1032" s="14" t="n">
        <v>1.75</v>
      </c>
      <c r="E1032" s="14" t="n">
        <v>-0.547</v>
      </c>
      <c r="F1032" s="14" t="n">
        <v>-0.5</v>
      </c>
      <c r="G1032" s="14" t="n">
        <v>0.75</v>
      </c>
      <c r="H1032" s="14" t="n">
        <v>0.7124</v>
      </c>
      <c r="I1032" s="14" t="n">
        <v>0.703173116778669</v>
      </c>
      <c r="J1032" s="14" t="n">
        <v>0.680978435433824</v>
      </c>
      <c r="K1032" s="14" t="n">
        <v>0.652122933482677</v>
      </c>
      <c r="L1032" s="14" t="n">
        <v>0.612289281829653</v>
      </c>
      <c r="M1032" s="14" t="n">
        <v>2.761</v>
      </c>
      <c r="N1032" s="14" t="n">
        <v>2.808</v>
      </c>
      <c r="O1032" s="14" t="n">
        <v>2.86</v>
      </c>
      <c r="P1032" s="14" t="n">
        <v>3.061</v>
      </c>
      <c r="Q1032" s="14" t="n">
        <v>1.5</v>
      </c>
      <c r="R1032" s="14" t="n">
        <v>1.49</v>
      </c>
      <c r="S1032" s="14" t="n">
        <v>5.5</v>
      </c>
    </row>
    <row r="1033" customFormat="false" ht="15" hidden="false" customHeight="false" outlineLevel="0" collapsed="false">
      <c r="A1033" s="13" t="n">
        <v>43762</v>
      </c>
      <c r="B1033" s="14" t="n">
        <v>1.86</v>
      </c>
      <c r="C1033" s="14" t="n">
        <v>2</v>
      </c>
      <c r="D1033" s="14" t="n">
        <v>1.75</v>
      </c>
      <c r="E1033" s="14" t="n">
        <v>-0.548</v>
      </c>
      <c r="F1033" s="14" t="n">
        <v>-0.5</v>
      </c>
      <c r="G1033" s="14" t="n">
        <v>0.75</v>
      </c>
      <c r="H1033" s="14" t="n">
        <v>0.7108</v>
      </c>
      <c r="I1033" s="14" t="n">
        <v>0.703892477707694</v>
      </c>
      <c r="J1033" s="14" t="n">
        <v>0.680754910147617</v>
      </c>
      <c r="K1033" s="14" t="n">
        <v>0.648720532701538</v>
      </c>
      <c r="L1033" s="14" t="n">
        <v>0.59388718476508</v>
      </c>
      <c r="M1033" s="14" t="n">
        <v>2.769</v>
      </c>
      <c r="N1033" s="14" t="n">
        <v>2.824</v>
      </c>
      <c r="O1033" s="14" t="n">
        <v>2.865</v>
      </c>
      <c r="P1033" s="14" t="n">
        <v>3.061</v>
      </c>
      <c r="Q1033" s="14" t="n">
        <v>1.5</v>
      </c>
      <c r="R1033" s="14" t="n">
        <v>1.51</v>
      </c>
      <c r="S1033" s="14" t="n">
        <v>5.5</v>
      </c>
    </row>
    <row r="1034" customFormat="false" ht="15" hidden="false" customHeight="false" outlineLevel="0" collapsed="false">
      <c r="A1034" s="13" t="n">
        <v>43763</v>
      </c>
      <c r="B1034" s="14" t="n">
        <v>1.84</v>
      </c>
      <c r="C1034" s="14" t="n">
        <v>2</v>
      </c>
      <c r="D1034" s="14" t="n">
        <v>1.75</v>
      </c>
      <c r="E1034" s="14" t="n">
        <v>-0.548</v>
      </c>
      <c r="F1034" s="14" t="n">
        <v>-0.5</v>
      </c>
      <c r="G1034" s="14" t="n">
        <v>0.75</v>
      </c>
      <c r="H1034" s="14" t="n">
        <v>0.7097</v>
      </c>
      <c r="I1034" s="14" t="n">
        <v>0.7028459840824</v>
      </c>
      <c r="J1034" s="14" t="n">
        <v>0.68160528157971</v>
      </c>
      <c r="K1034" s="14" t="n">
        <v>0.652926339729519</v>
      </c>
      <c r="L1034" s="14" t="n">
        <v>0.607455678674313</v>
      </c>
      <c r="M1034" s="14" t="n">
        <v>2.774</v>
      </c>
      <c r="N1034" s="14" t="n">
        <v>2.831</v>
      </c>
      <c r="O1034" s="14" t="n">
        <v>2.873</v>
      </c>
      <c r="P1034" s="14" t="n">
        <v>3.063</v>
      </c>
      <c r="Q1034" s="14" t="n">
        <v>1.5</v>
      </c>
      <c r="R1034" s="14" t="n">
        <v>1.54</v>
      </c>
      <c r="S1034" s="14" t="n">
        <v>5.5</v>
      </c>
    </row>
    <row r="1035" customFormat="false" ht="15" hidden="false" customHeight="false" outlineLevel="0" collapsed="false">
      <c r="A1035" s="13" t="n">
        <v>43766</v>
      </c>
      <c r="B1035" s="14" t="n">
        <v>1.82</v>
      </c>
      <c r="C1035" s="14" t="n">
        <v>2</v>
      </c>
      <c r="D1035" s="14" t="n">
        <v>1.75</v>
      </c>
      <c r="E1035" s="14" t="n">
        <v>-0.548</v>
      </c>
      <c r="F1035" s="14" t="n">
        <v>-0.5</v>
      </c>
      <c r="G1035" s="14" t="n">
        <v>0.75</v>
      </c>
      <c r="H1035" s="14" t="n">
        <v>0.7106</v>
      </c>
      <c r="I1035" s="14" t="n">
        <v>0.704227760416037</v>
      </c>
      <c r="J1035" s="14" t="n">
        <v>0.683709261474339</v>
      </c>
      <c r="K1035" s="14" t="n">
        <v>0.654863698590022</v>
      </c>
      <c r="L1035" s="14" t="n">
        <v>0.612966599010196</v>
      </c>
      <c r="M1035" s="14" t="n">
        <v>2.773</v>
      </c>
      <c r="N1035" s="14" t="n">
        <v>2.84</v>
      </c>
      <c r="O1035" s="14" t="n">
        <v>2.875</v>
      </c>
      <c r="P1035" s="14" t="n">
        <v>3.063</v>
      </c>
      <c r="Q1035" s="14" t="n">
        <v>1.5</v>
      </c>
      <c r="R1035" s="14" t="n">
        <v>1.54</v>
      </c>
      <c r="S1035" s="14" t="n">
        <v>5.5</v>
      </c>
    </row>
    <row r="1036" customFormat="false" ht="15" hidden="false" customHeight="false" outlineLevel="0" collapsed="false">
      <c r="A1036" s="13" t="n">
        <v>43767</v>
      </c>
      <c r="B1036" s="14" t="n">
        <v>1.81</v>
      </c>
      <c r="C1036" s="14" t="n">
        <v>2</v>
      </c>
      <c r="D1036" s="14" t="n">
        <v>1.75</v>
      </c>
      <c r="E1036" s="14" t="n">
        <v>-0.545</v>
      </c>
      <c r="F1036" s="14" t="n">
        <v>-0.5</v>
      </c>
      <c r="G1036" s="14" t="n">
        <v>0.75</v>
      </c>
      <c r="H1036" s="14" t="n">
        <v>0.7107</v>
      </c>
      <c r="I1036" s="14" t="n">
        <v>0.704526028213595</v>
      </c>
      <c r="J1036" s="14" t="n">
        <v>0.688644896647278</v>
      </c>
      <c r="K1036" s="14" t="n">
        <v>0.666170616469601</v>
      </c>
      <c r="L1036" s="14" t="n">
        <v>0.628191007328114</v>
      </c>
      <c r="M1036" s="14" t="n">
        <v>2.773</v>
      </c>
      <c r="N1036" s="14" t="n">
        <v>2.847</v>
      </c>
      <c r="O1036" s="14" t="n">
        <v>2.881</v>
      </c>
      <c r="P1036" s="14" t="n">
        <v>3.067</v>
      </c>
      <c r="Q1036" s="14" t="n">
        <v>1.5</v>
      </c>
      <c r="R1036" s="14" t="n">
        <v>1.5</v>
      </c>
      <c r="S1036" s="14" t="n">
        <v>5.5</v>
      </c>
    </row>
    <row r="1037" customFormat="false" ht="15" hidden="false" customHeight="false" outlineLevel="0" collapsed="false">
      <c r="A1037" s="13" t="n">
        <v>43768</v>
      </c>
      <c r="B1037" s="14" t="n">
        <v>1.82</v>
      </c>
      <c r="C1037" s="14" t="n">
        <v>2</v>
      </c>
      <c r="D1037" s="14" t="n">
        <v>1.75</v>
      </c>
      <c r="E1037" s="14" t="n">
        <v>-0.545</v>
      </c>
      <c r="F1037" s="14" t="n">
        <v>-0.5</v>
      </c>
      <c r="G1037" s="14" t="n">
        <v>0.75</v>
      </c>
      <c r="H1037" s="14" t="n">
        <v>0.7107</v>
      </c>
      <c r="I1037" s="14" t="n">
        <v>0.704489705993991</v>
      </c>
      <c r="J1037" s="14" t="n">
        <v>0.687883008311444</v>
      </c>
      <c r="K1037" s="14" t="n">
        <v>0.662626862440057</v>
      </c>
      <c r="L1037" s="14" t="n">
        <v>0.61848908356942</v>
      </c>
      <c r="M1037" s="14" t="n">
        <v>2.771</v>
      </c>
      <c r="N1037" s="14" t="n">
        <v>2.864</v>
      </c>
      <c r="O1037" s="14" t="n">
        <v>2.893</v>
      </c>
      <c r="P1037" s="14" t="n">
        <v>3.074</v>
      </c>
      <c r="Q1037" s="14" t="n">
        <v>1.5</v>
      </c>
      <c r="R1037" s="14" t="n">
        <v>1.5</v>
      </c>
      <c r="S1037" s="14" t="n">
        <v>5.5</v>
      </c>
    </row>
    <row r="1038" customFormat="false" ht="15" hidden="false" customHeight="false" outlineLevel="0" collapsed="false">
      <c r="A1038" s="13" t="n">
        <v>43769</v>
      </c>
      <c r="B1038" s="14" t="n">
        <v>1.76</v>
      </c>
      <c r="C1038" s="14" t="n">
        <v>1.75</v>
      </c>
      <c r="D1038" s="14" t="n">
        <v>1.5</v>
      </c>
      <c r="E1038" s="14" t="n">
        <v>-0.543</v>
      </c>
      <c r="F1038" s="14" t="n">
        <v>-0.5</v>
      </c>
      <c r="G1038" s="14" t="n">
        <v>0.75</v>
      </c>
      <c r="H1038" s="14" t="n">
        <v>0.7106</v>
      </c>
      <c r="I1038" s="14" t="n">
        <v>0.70700463112349</v>
      </c>
      <c r="J1038" s="14" t="n">
        <v>0.690214732016339</v>
      </c>
      <c r="K1038" s="14" t="n">
        <v>0.662290879352523</v>
      </c>
      <c r="L1038" s="14" t="n">
        <v>0.609963597243537</v>
      </c>
      <c r="M1038" s="14" t="n">
        <v>2.775</v>
      </c>
      <c r="N1038" s="14" t="n">
        <v>2.887</v>
      </c>
      <c r="O1038" s="14" t="n">
        <v>2.903</v>
      </c>
      <c r="P1038" s="14" t="n">
        <v>3.076</v>
      </c>
      <c r="Q1038" s="14" t="n">
        <v>1.5</v>
      </c>
      <c r="R1038" s="14" t="n">
        <v>1.52</v>
      </c>
      <c r="S1038" s="14" t="n">
        <v>5</v>
      </c>
    </row>
    <row r="1039" customFormat="false" ht="15" hidden="false" customHeight="false" outlineLevel="0" collapsed="false">
      <c r="A1039" s="13" t="n">
        <v>43770</v>
      </c>
      <c r="B1039" s="14" t="n">
        <v>1.58</v>
      </c>
      <c r="C1039" s="14" t="n">
        <v>1.75</v>
      </c>
      <c r="D1039" s="14" t="n">
        <v>1.5</v>
      </c>
      <c r="E1039" s="14" t="n">
        <v>-0.549</v>
      </c>
      <c r="F1039" s="14" t="n">
        <v>-0.5</v>
      </c>
      <c r="G1039" s="14" t="n">
        <v>0.75</v>
      </c>
      <c r="H1039" s="14" t="n">
        <v>0.7119</v>
      </c>
      <c r="I1039" s="14" t="n">
        <v>0.701505270455178</v>
      </c>
      <c r="J1039" s="14" t="n">
        <v>0.689735763057036</v>
      </c>
      <c r="K1039" s="14" t="n">
        <v>0.672433216704278</v>
      </c>
      <c r="L1039" s="14" t="n">
        <v>0.624517830730932</v>
      </c>
      <c r="M1039" s="14" t="n">
        <v>2.775</v>
      </c>
      <c r="N1039" s="14" t="n">
        <v>2.897</v>
      </c>
      <c r="O1039" s="14" t="n">
        <v>2.91</v>
      </c>
      <c r="P1039" s="14" t="n">
        <v>3.079</v>
      </c>
      <c r="Q1039" s="14" t="n">
        <v>1.5</v>
      </c>
      <c r="R1039" s="14" t="n">
        <v>1.5</v>
      </c>
      <c r="S1039" s="14" t="n">
        <v>5</v>
      </c>
    </row>
    <row r="1040" customFormat="false" ht="15" hidden="false" customHeight="false" outlineLevel="0" collapsed="false">
      <c r="A1040" s="13" t="n">
        <v>43773</v>
      </c>
      <c r="B1040" s="14" t="n">
        <v>1.56</v>
      </c>
      <c r="C1040" s="14" t="n">
        <v>1.75</v>
      </c>
      <c r="D1040" s="14" t="n">
        <v>1.5</v>
      </c>
      <c r="E1040" s="14" t="n">
        <v>-0.536</v>
      </c>
      <c r="F1040" s="14" t="n">
        <v>-0.5</v>
      </c>
      <c r="G1040" s="14" t="n">
        <v>0.75</v>
      </c>
      <c r="H1040" s="14" t="n">
        <v>0.7117</v>
      </c>
      <c r="I1040" s="14" t="n">
        <v>0.708370856203879</v>
      </c>
      <c r="J1040" s="14" t="n">
        <v>0.695267578881072</v>
      </c>
      <c r="K1040" s="14" t="n">
        <v>0.672141618240033</v>
      </c>
      <c r="L1040" s="14" t="n">
        <v>0.633150305261739</v>
      </c>
      <c r="M1040" s="14" t="n">
        <v>2.77</v>
      </c>
      <c r="N1040" s="14" t="n">
        <v>2.919</v>
      </c>
      <c r="O1040" s="14" t="n">
        <v>2.929</v>
      </c>
      <c r="P1040" s="14" t="n">
        <v>3.084</v>
      </c>
      <c r="Q1040" s="14" t="n">
        <v>1.5</v>
      </c>
      <c r="R1040" s="14" t="n">
        <v>1.5</v>
      </c>
      <c r="S1040" s="14" t="n">
        <v>5</v>
      </c>
    </row>
    <row r="1041" customFormat="false" ht="15" hidden="false" customHeight="false" outlineLevel="0" collapsed="false">
      <c r="A1041" s="13" t="n">
        <v>43774</v>
      </c>
      <c r="B1041" s="14" t="n">
        <v>1.58</v>
      </c>
      <c r="C1041" s="14" t="n">
        <v>1.75</v>
      </c>
      <c r="D1041" s="14" t="n">
        <v>1.5</v>
      </c>
      <c r="E1041" s="14" t="n">
        <v>-0.541</v>
      </c>
      <c r="F1041" s="14" t="n">
        <v>-0.5</v>
      </c>
      <c r="G1041" s="14" t="n">
        <v>0.75</v>
      </c>
      <c r="H1041" s="14" t="n">
        <v>0.7105</v>
      </c>
      <c r="I1041" s="14" t="n">
        <v>0.705573800208302</v>
      </c>
      <c r="J1041" s="14" t="n">
        <v>0.68926548960302</v>
      </c>
      <c r="K1041" s="14" t="n">
        <v>0.674225938648756</v>
      </c>
      <c r="L1041" s="14" t="n">
        <v>0.643911559891244</v>
      </c>
      <c r="M1041" s="14" t="n">
        <v>2.759</v>
      </c>
      <c r="N1041" s="14" t="n">
        <v>2.933</v>
      </c>
      <c r="O1041" s="14" t="n">
        <v>2.938</v>
      </c>
      <c r="P1041" s="14" t="n">
        <v>3.086</v>
      </c>
      <c r="Q1041" s="14" t="n">
        <v>1.5</v>
      </c>
      <c r="R1041" s="14" t="n">
        <v>1.49</v>
      </c>
      <c r="S1041" s="14" t="n">
        <v>5</v>
      </c>
    </row>
    <row r="1042" customFormat="false" ht="15" hidden="false" customHeight="false" outlineLevel="0" collapsed="false">
      <c r="A1042" s="13" t="n">
        <v>43775</v>
      </c>
      <c r="B1042" s="14" t="n">
        <v>1.57</v>
      </c>
      <c r="C1042" s="14" t="n">
        <v>1.75</v>
      </c>
      <c r="D1042" s="14" t="n">
        <v>1.5</v>
      </c>
      <c r="E1042" s="14" t="n">
        <v>-0.539</v>
      </c>
      <c r="F1042" s="14" t="n">
        <v>-0.5</v>
      </c>
      <c r="G1042" s="14" t="n">
        <v>0.75</v>
      </c>
      <c r="H1042" s="14" t="n">
        <v>0.7115</v>
      </c>
      <c r="I1042" s="14" t="n">
        <v>0.700555163732332</v>
      </c>
      <c r="J1042" s="14" t="n">
        <v>0.683655564358972</v>
      </c>
      <c r="K1042" s="14" t="n">
        <v>0.667586550079776</v>
      </c>
      <c r="L1042" s="14" t="n">
        <v>0.630942059946948</v>
      </c>
      <c r="M1042" s="14" t="n">
        <v>2.756</v>
      </c>
      <c r="N1042" s="14" t="n">
        <v>2.948</v>
      </c>
      <c r="O1042" s="14" t="n">
        <v>2.955</v>
      </c>
      <c r="P1042" s="14" t="n">
        <v>3.088</v>
      </c>
      <c r="Q1042" s="14" t="n">
        <v>1.5</v>
      </c>
      <c r="R1042" s="14" t="n">
        <v>1.49</v>
      </c>
      <c r="S1042" s="14" t="n">
        <v>5</v>
      </c>
    </row>
    <row r="1043" customFormat="false" ht="15" hidden="false" customHeight="false" outlineLevel="0" collapsed="false">
      <c r="A1043" s="13" t="n">
        <v>43776</v>
      </c>
      <c r="B1043" s="14" t="n">
        <v>1.56</v>
      </c>
      <c r="C1043" s="14" t="n">
        <v>1.75</v>
      </c>
      <c r="D1043" s="14" t="n">
        <v>1.5</v>
      </c>
      <c r="E1043" s="14" t="n">
        <v>-0.537</v>
      </c>
      <c r="F1043" s="14" t="n">
        <v>-0.5</v>
      </c>
      <c r="G1043" s="14" t="n">
        <v>0.75</v>
      </c>
      <c r="H1043" s="14" t="n">
        <v>0.7108</v>
      </c>
      <c r="I1043" s="14" t="n">
        <v>0.702084629962989</v>
      </c>
      <c r="J1043" s="14" t="n">
        <v>0.677892478370456</v>
      </c>
      <c r="K1043" s="14" t="n">
        <v>0.647850786963844</v>
      </c>
      <c r="L1043" s="14" t="n">
        <v>0.605768432697997</v>
      </c>
      <c r="M1043" s="14" t="n">
        <v>2.758</v>
      </c>
      <c r="N1043" s="14" t="n">
        <v>2.953</v>
      </c>
      <c r="O1043" s="14" t="n">
        <v>2.97</v>
      </c>
      <c r="P1043" s="14" t="n">
        <v>3.09</v>
      </c>
      <c r="Q1043" s="14" t="n">
        <v>1.5</v>
      </c>
      <c r="R1043" s="14" t="n">
        <v>1.49</v>
      </c>
      <c r="S1043" s="14" t="n">
        <v>5</v>
      </c>
    </row>
    <row r="1044" customFormat="false" ht="15" hidden="false" customHeight="false" outlineLevel="0" collapsed="false">
      <c r="A1044" s="13" t="n">
        <v>43777</v>
      </c>
      <c r="B1044" s="14" t="n">
        <v>1.56</v>
      </c>
      <c r="C1044" s="14" t="n">
        <v>1.75</v>
      </c>
      <c r="D1044" s="14" t="n">
        <v>1.5</v>
      </c>
      <c r="E1044" s="14" t="n">
        <v>-0.54</v>
      </c>
      <c r="F1044" s="14" t="n">
        <v>-0.5</v>
      </c>
      <c r="G1044" s="14" t="n">
        <v>0.75</v>
      </c>
      <c r="H1044" s="14" t="n">
        <v>0.71</v>
      </c>
      <c r="I1044" s="14" t="n">
        <v>0.706177190773803</v>
      </c>
      <c r="J1044" s="14" t="n">
        <v>0.677731884225802</v>
      </c>
      <c r="K1044" s="14" t="n">
        <v>0.646598977438047</v>
      </c>
      <c r="L1044" s="14" t="n">
        <v>0.611828496703384</v>
      </c>
      <c r="M1044" s="14" t="n">
        <v>2.759</v>
      </c>
      <c r="N1044" s="14" t="n">
        <v>2.953</v>
      </c>
      <c r="O1044" s="14" t="n">
        <v>2.984</v>
      </c>
      <c r="P1044" s="14" t="n">
        <v>3.093</v>
      </c>
      <c r="Q1044" s="14" t="n">
        <v>1.5</v>
      </c>
      <c r="R1044" s="14" t="n">
        <v>1.5</v>
      </c>
      <c r="S1044" s="14" t="n">
        <v>5</v>
      </c>
    </row>
    <row r="1045" customFormat="false" ht="15" hidden="false" customHeight="false" outlineLevel="0" collapsed="false">
      <c r="A1045" s="13" t="n">
        <v>43780</v>
      </c>
      <c r="C1045" s="14" t="n">
        <v>1.75</v>
      </c>
      <c r="D1045" s="14" t="n">
        <v>1.5</v>
      </c>
      <c r="E1045" s="14" t="n">
        <v>-0.541</v>
      </c>
      <c r="F1045" s="14" t="n">
        <v>-0.5</v>
      </c>
      <c r="G1045" s="14" t="n">
        <v>0.75</v>
      </c>
      <c r="H1045" s="14" t="n">
        <v>0.7112</v>
      </c>
      <c r="I1045" s="14" t="n">
        <v>0.70870377773941</v>
      </c>
      <c r="J1045" s="14" t="n">
        <v>0.685591007988357</v>
      </c>
      <c r="K1045" s="14" t="n">
        <v>0.655420363990792</v>
      </c>
      <c r="L1045" s="14" t="n">
        <v>0.623266988326856</v>
      </c>
      <c r="M1045" s="14" t="n">
        <v>2.759</v>
      </c>
      <c r="N1045" s="14" t="n">
        <v>2.955</v>
      </c>
      <c r="O1045" s="14" t="n">
        <v>2.989</v>
      </c>
      <c r="P1045" s="14" t="n">
        <v>3.094</v>
      </c>
      <c r="Q1045" s="14" t="n">
        <v>1.5</v>
      </c>
      <c r="R1045" s="14" t="n">
        <v>1.5</v>
      </c>
      <c r="S1045" s="14" t="n">
        <v>5</v>
      </c>
    </row>
    <row r="1046" customFormat="false" ht="15" hidden="false" customHeight="false" outlineLevel="0" collapsed="false">
      <c r="A1046" s="13" t="n">
        <v>43781</v>
      </c>
      <c r="B1046" s="14" t="n">
        <v>1.57</v>
      </c>
      <c r="C1046" s="14" t="n">
        <v>1.75</v>
      </c>
      <c r="D1046" s="14" t="n">
        <v>1.5</v>
      </c>
      <c r="E1046" s="14" t="n">
        <v>-0.537</v>
      </c>
      <c r="F1046" s="14" t="n">
        <v>-0.5</v>
      </c>
      <c r="G1046" s="14" t="n">
        <v>0.75</v>
      </c>
      <c r="H1046" s="14" t="n">
        <v>0.7103</v>
      </c>
      <c r="I1046" s="14" t="n">
        <v>0.707853122827653</v>
      </c>
      <c r="J1046" s="14" t="n">
        <v>0.686767437862879</v>
      </c>
      <c r="K1046" s="14" t="n">
        <v>0.658402792188247</v>
      </c>
      <c r="L1046" s="14" t="n">
        <v>0.621327365944032</v>
      </c>
      <c r="M1046" s="14" t="n">
        <v>2.762</v>
      </c>
      <c r="N1046" s="14" t="n">
        <v>2.965</v>
      </c>
      <c r="O1046" s="14" t="n">
        <v>2.996</v>
      </c>
      <c r="P1046" s="14" t="n">
        <v>3.099</v>
      </c>
      <c r="Q1046" s="14" t="n">
        <v>1.5</v>
      </c>
      <c r="R1046" s="14" t="n">
        <v>1.5</v>
      </c>
      <c r="S1046" s="14" t="n">
        <v>5</v>
      </c>
    </row>
    <row r="1047" customFormat="false" ht="15" hidden="false" customHeight="false" outlineLevel="0" collapsed="false">
      <c r="A1047" s="13" t="n">
        <v>43782</v>
      </c>
      <c r="B1047" s="14" t="n">
        <v>1.57</v>
      </c>
      <c r="C1047" s="14" t="n">
        <v>1.75</v>
      </c>
      <c r="D1047" s="14" t="n">
        <v>1.5</v>
      </c>
      <c r="E1047" s="14" t="n">
        <v>-0.531</v>
      </c>
      <c r="F1047" s="14" t="n">
        <v>-0.5</v>
      </c>
      <c r="G1047" s="14" t="n">
        <v>0.75</v>
      </c>
      <c r="H1047" s="14" t="n">
        <v>0.7109</v>
      </c>
      <c r="I1047" s="14" t="n">
        <v>0.707683787708397</v>
      </c>
      <c r="J1047" s="14" t="n">
        <v>0.684824204217983</v>
      </c>
      <c r="K1047" s="14" t="n">
        <v>0.652819502089679</v>
      </c>
      <c r="L1047" s="14" t="n">
        <v>0.611130643165535</v>
      </c>
      <c r="M1047" s="14" t="n">
        <v>2.766</v>
      </c>
      <c r="N1047" s="14" t="n">
        <v>2.981</v>
      </c>
      <c r="O1047" s="14" t="n">
        <v>3.012</v>
      </c>
      <c r="P1047" s="14" t="n">
        <v>3.101</v>
      </c>
      <c r="Q1047" s="14" t="n">
        <v>1.5</v>
      </c>
      <c r="R1047" s="14" t="n">
        <v>1.5</v>
      </c>
      <c r="S1047" s="14" t="n">
        <v>5</v>
      </c>
    </row>
    <row r="1048" customFormat="false" ht="15" hidden="false" customHeight="false" outlineLevel="0" collapsed="false">
      <c r="A1048" s="13" t="n">
        <v>43783</v>
      </c>
      <c r="B1048" s="14" t="n">
        <v>1.58</v>
      </c>
      <c r="C1048" s="14" t="n">
        <v>1.75</v>
      </c>
      <c r="D1048" s="14" t="n">
        <v>1.5</v>
      </c>
      <c r="E1048" s="14" t="n">
        <v>-0.536</v>
      </c>
      <c r="F1048" s="14" t="n">
        <v>-0.5</v>
      </c>
      <c r="G1048" s="14" t="n">
        <v>0.75</v>
      </c>
      <c r="H1048" s="14" t="n">
        <v>0.7091</v>
      </c>
      <c r="I1048" s="14" t="n">
        <v>0.707895357676614</v>
      </c>
      <c r="J1048" s="14" t="n">
        <v>0.680944424169739</v>
      </c>
      <c r="K1048" s="14" t="n">
        <v>0.64356109872511</v>
      </c>
      <c r="L1048" s="14" t="n">
        <v>0.590570533260157</v>
      </c>
      <c r="M1048" s="14" t="n">
        <v>2.776</v>
      </c>
      <c r="N1048" s="14" t="n">
        <v>3</v>
      </c>
      <c r="O1048" s="14" t="n">
        <v>3.032</v>
      </c>
      <c r="P1048" s="14" t="n">
        <v>3.108</v>
      </c>
      <c r="Q1048" s="14" t="n">
        <v>1.5</v>
      </c>
      <c r="R1048" s="14" t="n">
        <v>1.5</v>
      </c>
      <c r="S1048" s="14" t="n">
        <v>5</v>
      </c>
    </row>
    <row r="1049" customFormat="false" ht="15" hidden="false" customHeight="false" outlineLevel="0" collapsed="false">
      <c r="A1049" s="13" t="n">
        <v>43784</v>
      </c>
      <c r="B1049" s="14" t="n">
        <v>1.59</v>
      </c>
      <c r="C1049" s="14" t="n">
        <v>1.75</v>
      </c>
      <c r="D1049" s="14" t="n">
        <v>1.5</v>
      </c>
      <c r="E1049" s="14" t="n">
        <v>-0.541</v>
      </c>
      <c r="F1049" s="14" t="n">
        <v>-0.5</v>
      </c>
      <c r="G1049" s="14" t="n">
        <v>0.75</v>
      </c>
      <c r="H1049" s="14" t="n">
        <v>0.7085</v>
      </c>
      <c r="I1049" s="14" t="n">
        <v>0.707571101913278</v>
      </c>
      <c r="J1049" s="14" t="n">
        <v>0.682220261913501</v>
      </c>
      <c r="K1049" s="14" t="n">
        <v>0.649002783178825</v>
      </c>
      <c r="L1049" s="14" t="n">
        <v>0.606348415240861</v>
      </c>
      <c r="M1049" s="14" t="n">
        <v>2.788</v>
      </c>
      <c r="N1049" s="14" t="n">
        <v>3.02</v>
      </c>
      <c r="O1049" s="14" t="n">
        <v>3.051</v>
      </c>
      <c r="P1049" s="14" t="n">
        <v>3.116</v>
      </c>
      <c r="Q1049" s="14" t="n">
        <v>1.5</v>
      </c>
      <c r="R1049" s="14" t="n">
        <v>1.5</v>
      </c>
      <c r="S1049" s="14" t="n">
        <v>5</v>
      </c>
    </row>
    <row r="1050" customFormat="false" ht="15" hidden="false" customHeight="false" outlineLevel="0" collapsed="false">
      <c r="A1050" s="13" t="n">
        <v>43787</v>
      </c>
      <c r="B1050" s="14" t="n">
        <v>1.56</v>
      </c>
      <c r="C1050" s="14" t="n">
        <v>1.75</v>
      </c>
      <c r="D1050" s="14" t="n">
        <v>1.5</v>
      </c>
      <c r="E1050" s="14" t="n">
        <v>-0.541</v>
      </c>
      <c r="F1050" s="14" t="n">
        <v>-0.5</v>
      </c>
      <c r="G1050" s="14" t="n">
        <v>0.75</v>
      </c>
      <c r="H1050" s="14" t="n">
        <v>0.7099</v>
      </c>
      <c r="I1050" s="14" t="n">
        <v>0.708247955656201</v>
      </c>
      <c r="J1050" s="14" t="n">
        <v>0.683956744798336</v>
      </c>
      <c r="K1050" s="14" t="n">
        <v>0.652388302596582</v>
      </c>
      <c r="L1050" s="14" t="n">
        <v>0.613767961377286</v>
      </c>
      <c r="M1050" s="14" t="n">
        <v>2.794</v>
      </c>
      <c r="N1050" s="14" t="n">
        <v>3.032</v>
      </c>
      <c r="O1050" s="14" t="n">
        <v>3.055</v>
      </c>
      <c r="P1050" s="14" t="n">
        <v>3.119</v>
      </c>
      <c r="Q1050" s="14" t="n">
        <v>1.5</v>
      </c>
      <c r="R1050" s="14" t="n">
        <v>1.5</v>
      </c>
      <c r="S1050" s="14" t="n">
        <v>5</v>
      </c>
    </row>
    <row r="1051" customFormat="false" ht="15" hidden="false" customHeight="false" outlineLevel="0" collapsed="false">
      <c r="A1051" s="13" t="n">
        <v>43788</v>
      </c>
      <c r="B1051" s="14" t="n">
        <v>1.57</v>
      </c>
      <c r="C1051" s="14" t="n">
        <v>1.75</v>
      </c>
      <c r="D1051" s="14" t="n">
        <v>1.5</v>
      </c>
      <c r="E1051" s="14" t="n">
        <v>-0.542</v>
      </c>
      <c r="F1051" s="14" t="n">
        <v>-0.5</v>
      </c>
      <c r="G1051" s="14" t="n">
        <v>0.75</v>
      </c>
      <c r="H1051" s="14" t="n">
        <v>0.7106</v>
      </c>
      <c r="I1051" s="14" t="n">
        <v>0.707434946637571</v>
      </c>
      <c r="J1051" s="14" t="n">
        <v>0.682126371787612</v>
      </c>
      <c r="K1051" s="14" t="n">
        <v>0.648201960720727</v>
      </c>
      <c r="L1051" s="14" t="n">
        <v>0.603515825471715</v>
      </c>
      <c r="M1051" s="14" t="n">
        <v>2.791</v>
      </c>
      <c r="N1051" s="14" t="n">
        <v>3.033</v>
      </c>
      <c r="O1051" s="14" t="n">
        <v>3.053</v>
      </c>
      <c r="P1051" s="14" t="n">
        <v>3.119</v>
      </c>
      <c r="Q1051" s="14" t="n">
        <v>1.5</v>
      </c>
      <c r="R1051" s="14" t="n">
        <v>1.5</v>
      </c>
      <c r="S1051" s="14" t="n">
        <v>5</v>
      </c>
    </row>
    <row r="1052" customFormat="false" ht="15" hidden="false" customHeight="false" outlineLevel="0" collapsed="false">
      <c r="A1052" s="13" t="n">
        <v>43789</v>
      </c>
      <c r="B1052" s="14" t="n">
        <v>1.57</v>
      </c>
      <c r="C1052" s="14" t="n">
        <v>1.75</v>
      </c>
      <c r="D1052" s="14" t="n">
        <v>1.5</v>
      </c>
      <c r="E1052" s="14" t="n">
        <v>-0.511</v>
      </c>
      <c r="F1052" s="14" t="n">
        <v>-0.5</v>
      </c>
      <c r="G1052" s="14" t="n">
        <v>0.75</v>
      </c>
      <c r="H1052" s="14" t="n">
        <v>0.7108</v>
      </c>
      <c r="I1052" s="14" t="n">
        <v>0.708324203513316</v>
      </c>
      <c r="J1052" s="14" t="n">
        <v>0.684998125836842</v>
      </c>
      <c r="K1052" s="14" t="n">
        <v>0.651285954333232</v>
      </c>
      <c r="L1052" s="14" t="n">
        <v>0.608516415529808</v>
      </c>
      <c r="M1052" s="14" t="n">
        <v>2.795</v>
      </c>
      <c r="N1052" s="14" t="n">
        <v>3.032</v>
      </c>
      <c r="O1052" s="14" t="n">
        <v>3.051</v>
      </c>
      <c r="P1052" s="14" t="n">
        <v>3.125</v>
      </c>
      <c r="Q1052" s="14" t="n">
        <v>1.5</v>
      </c>
      <c r="R1052" s="14" t="n">
        <v>1.49</v>
      </c>
      <c r="S1052" s="14" t="n">
        <v>5</v>
      </c>
    </row>
    <row r="1053" customFormat="false" ht="15" hidden="false" customHeight="false" outlineLevel="0" collapsed="false">
      <c r="A1053" s="13" t="n">
        <v>43790</v>
      </c>
      <c r="B1053" s="14" t="n">
        <v>1.58</v>
      </c>
      <c r="C1053" s="14" t="n">
        <v>1.75</v>
      </c>
      <c r="D1053" s="14" t="n">
        <v>1.5</v>
      </c>
      <c r="E1053" s="14" t="n">
        <v>-0.542</v>
      </c>
      <c r="F1053" s="14" t="n">
        <v>-0.5</v>
      </c>
      <c r="G1053" s="14" t="n">
        <v>0.75</v>
      </c>
      <c r="H1053" s="14" t="n">
        <v>0.7107</v>
      </c>
      <c r="I1053" s="14" t="n">
        <v>0.710047764781654</v>
      </c>
      <c r="J1053" s="14" t="n">
        <v>0.686322595375213</v>
      </c>
      <c r="K1053" s="14" t="n">
        <v>0.652531254896486</v>
      </c>
      <c r="L1053" s="14" t="n">
        <v>0.610147485234483</v>
      </c>
      <c r="M1053" s="14" t="n">
        <v>2.7945</v>
      </c>
      <c r="N1053" s="14" t="n">
        <v>3.034</v>
      </c>
      <c r="O1053" s="14" t="n">
        <v>3.05</v>
      </c>
      <c r="P1053" s="14" t="n">
        <v>3.127</v>
      </c>
      <c r="Q1053" s="14" t="n">
        <v>1.5</v>
      </c>
      <c r="R1053" s="14" t="n">
        <v>1.5</v>
      </c>
      <c r="S1053" s="14" t="n">
        <v>5</v>
      </c>
    </row>
    <row r="1054" customFormat="false" ht="15" hidden="false" customHeight="false" outlineLevel="0" collapsed="false">
      <c r="A1054" s="13" t="n">
        <v>43791</v>
      </c>
      <c r="B1054" s="14" t="n">
        <v>1.58</v>
      </c>
      <c r="C1054" s="14" t="n">
        <v>1.75</v>
      </c>
      <c r="D1054" s="14" t="n">
        <v>1.5</v>
      </c>
      <c r="E1054" s="14" t="n">
        <v>-0.536</v>
      </c>
      <c r="F1054" s="14" t="n">
        <v>-0.5</v>
      </c>
      <c r="G1054" s="14" t="n">
        <v>0.75</v>
      </c>
      <c r="H1054" s="14" t="n">
        <v>0.7104</v>
      </c>
      <c r="I1054" s="14" t="n">
        <v>0.708172676522695</v>
      </c>
      <c r="J1054" s="14" t="n">
        <v>0.674817063387906</v>
      </c>
      <c r="K1054" s="14" t="n">
        <v>0.627707454946635</v>
      </c>
      <c r="L1054" s="14" t="n">
        <v>0.567597199122526</v>
      </c>
      <c r="M1054" s="14" t="n">
        <v>2.7925</v>
      </c>
      <c r="N1054" s="14" t="n">
        <v>3.037</v>
      </c>
      <c r="O1054" s="14" t="n">
        <v>3.05</v>
      </c>
      <c r="P1054" s="14" t="n">
        <v>3.121</v>
      </c>
      <c r="Q1054" s="14" t="n">
        <v>1.5</v>
      </c>
      <c r="R1054" s="14" t="n">
        <v>1.49</v>
      </c>
      <c r="S1054" s="14" t="n">
        <v>5</v>
      </c>
    </row>
    <row r="1055" customFormat="false" ht="15" hidden="false" customHeight="false" outlineLevel="0" collapsed="false">
      <c r="A1055" s="13" t="n">
        <v>43794</v>
      </c>
      <c r="B1055" s="14" t="n">
        <v>1.56</v>
      </c>
      <c r="C1055" s="14" t="n">
        <v>1.75</v>
      </c>
      <c r="D1055" s="14" t="n">
        <v>1.5</v>
      </c>
      <c r="E1055" s="14" t="n">
        <v>-0.533</v>
      </c>
      <c r="F1055" s="14" t="n">
        <v>-0.5</v>
      </c>
      <c r="G1055" s="14" t="n">
        <v>0.75</v>
      </c>
      <c r="H1055" s="14" t="n">
        <v>0.7097</v>
      </c>
      <c r="I1055" s="14" t="n">
        <v>0.708882433577512</v>
      </c>
      <c r="J1055" s="14" t="n">
        <v>0.676561788580873</v>
      </c>
      <c r="K1055" s="14" t="n">
        <v>0.633245333101246</v>
      </c>
      <c r="L1055" s="14" t="n">
        <v>0.577143191037616</v>
      </c>
      <c r="M1055" s="14" t="n">
        <v>2.7875</v>
      </c>
      <c r="N1055" s="14" t="n">
        <v>3.029</v>
      </c>
      <c r="O1055" s="14" t="n">
        <v>3.05</v>
      </c>
      <c r="P1055" s="14" t="n">
        <v>3.119</v>
      </c>
      <c r="Q1055" s="14" t="n">
        <v>1.5</v>
      </c>
      <c r="R1055" s="14" t="n">
        <v>1.49</v>
      </c>
      <c r="S1055" s="14" t="n">
        <v>5</v>
      </c>
    </row>
    <row r="1056" customFormat="false" ht="15" hidden="false" customHeight="false" outlineLevel="0" collapsed="false">
      <c r="A1056" s="13" t="n">
        <v>43795</v>
      </c>
      <c r="B1056" s="14" t="n">
        <v>1.54</v>
      </c>
      <c r="C1056" s="14" t="n">
        <v>1.75</v>
      </c>
      <c r="D1056" s="14" t="n">
        <v>1.5</v>
      </c>
      <c r="E1056" s="14" t="n">
        <v>-0.533</v>
      </c>
      <c r="F1056" s="14" t="n">
        <v>-0.5</v>
      </c>
      <c r="G1056" s="14" t="n">
        <v>0.75</v>
      </c>
      <c r="H1056" s="14" t="n">
        <v>0.7097</v>
      </c>
      <c r="I1056" s="14" t="n">
        <v>0.706621989747191</v>
      </c>
      <c r="J1056" s="14" t="n">
        <v>0.673274308272405</v>
      </c>
      <c r="K1056" s="14" t="n">
        <v>0.631994225518713</v>
      </c>
      <c r="L1056" s="14" t="n">
        <v>0.57463518605883</v>
      </c>
      <c r="M1056" s="14" t="n">
        <v>2.7835</v>
      </c>
      <c r="N1056" s="14" t="n">
        <v>3.02</v>
      </c>
      <c r="O1056" s="14" t="n">
        <v>3.047</v>
      </c>
      <c r="P1056" s="14" t="n">
        <v>3.118</v>
      </c>
      <c r="Q1056" s="14" t="n">
        <v>1.5</v>
      </c>
      <c r="R1056" s="14" t="n">
        <v>1.49</v>
      </c>
      <c r="S1056" s="14" t="n">
        <v>5</v>
      </c>
    </row>
    <row r="1057" customFormat="false" ht="15" hidden="false" customHeight="false" outlineLevel="0" collapsed="false">
      <c r="A1057" s="13" t="n">
        <v>43796</v>
      </c>
      <c r="B1057" s="14" t="n">
        <v>1.55</v>
      </c>
      <c r="C1057" s="14" t="n">
        <v>1.75</v>
      </c>
      <c r="D1057" s="14" t="n">
        <v>1.5</v>
      </c>
      <c r="E1057" s="14" t="n">
        <v>-0.533</v>
      </c>
      <c r="F1057" s="14" t="n">
        <v>-0.5</v>
      </c>
      <c r="G1057" s="14" t="n">
        <v>0.75</v>
      </c>
      <c r="H1057" s="14" t="n">
        <v>0.7105</v>
      </c>
      <c r="I1057" s="14" t="n">
        <v>0.70588585442089</v>
      </c>
      <c r="J1057" s="14" t="n">
        <v>0.673594387827311</v>
      </c>
      <c r="K1057" s="14" t="n">
        <v>0.636292155347243</v>
      </c>
      <c r="L1057" s="14" t="n">
        <v>0.586164885328943</v>
      </c>
      <c r="M1057" s="14" t="n">
        <v>2.7815</v>
      </c>
      <c r="N1057" s="14" t="n">
        <v>3.019</v>
      </c>
      <c r="O1057" s="14" t="n">
        <v>3.05</v>
      </c>
      <c r="P1057" s="14" t="n">
        <v>3.119</v>
      </c>
      <c r="Q1057" s="14" t="n">
        <v>1.5</v>
      </c>
      <c r="R1057" s="14" t="n">
        <v>1.49</v>
      </c>
      <c r="S1057" s="14" t="n">
        <v>5</v>
      </c>
    </row>
    <row r="1058" customFormat="false" ht="15" hidden="false" customHeight="false" outlineLevel="0" collapsed="false">
      <c r="A1058" s="13" t="n">
        <v>43797</v>
      </c>
      <c r="C1058" s="14" t="n">
        <v>1.75</v>
      </c>
      <c r="D1058" s="14" t="n">
        <v>1.5</v>
      </c>
      <c r="E1058" s="14" t="n">
        <v>-0.531</v>
      </c>
      <c r="F1058" s="14" t="n">
        <v>-0.5</v>
      </c>
      <c r="G1058" s="14" t="n">
        <v>0.75</v>
      </c>
      <c r="H1058" s="14" t="n">
        <v>0.71</v>
      </c>
      <c r="I1058" s="14" t="n">
        <v>0.705832765736858</v>
      </c>
      <c r="J1058" s="14" t="n">
        <v>0.674529073239601</v>
      </c>
      <c r="K1058" s="14" t="n">
        <v>0.638182936584545</v>
      </c>
      <c r="L1058" s="14" t="n">
        <v>0.58975405505467</v>
      </c>
      <c r="M1058" s="14" t="n">
        <v>2.7795</v>
      </c>
      <c r="N1058" s="14" t="n">
        <v>3.016</v>
      </c>
      <c r="O1058" s="14" t="n">
        <v>3.05</v>
      </c>
      <c r="P1058" s="14" t="n">
        <v>3.119</v>
      </c>
      <c r="Q1058" s="14" t="n">
        <v>1.5</v>
      </c>
      <c r="R1058" s="14" t="n">
        <v>1.5</v>
      </c>
      <c r="S1058" s="14" t="n">
        <v>5</v>
      </c>
    </row>
    <row r="1059" customFormat="false" ht="15" hidden="false" customHeight="false" outlineLevel="0" collapsed="false">
      <c r="A1059" s="13" t="n">
        <v>43798</v>
      </c>
      <c r="B1059" s="14" t="n">
        <v>1.65</v>
      </c>
      <c r="C1059" s="14" t="n">
        <v>1.75</v>
      </c>
      <c r="D1059" s="14" t="n">
        <v>1.5</v>
      </c>
      <c r="E1059" s="14" t="n">
        <v>-0.532</v>
      </c>
      <c r="F1059" s="14" t="n">
        <v>-0.5</v>
      </c>
      <c r="G1059" s="14" t="n">
        <v>0.75</v>
      </c>
      <c r="H1059" s="14" t="n">
        <v>0.7123</v>
      </c>
      <c r="I1059" s="14" t="n">
        <v>0.705456392606616</v>
      </c>
      <c r="J1059" s="14" t="n">
        <v>0.676288322109432</v>
      </c>
      <c r="K1059" s="14" t="n">
        <v>0.646626469662449</v>
      </c>
      <c r="L1059" s="14" t="n">
        <v>0.60879180568728</v>
      </c>
      <c r="M1059" s="14" t="n">
        <v>2.783</v>
      </c>
      <c r="N1059" s="14" t="n">
        <v>3.017</v>
      </c>
      <c r="O1059" s="14" t="n">
        <v>3.05</v>
      </c>
      <c r="P1059" s="14" t="n">
        <v>3.122</v>
      </c>
      <c r="Q1059" s="14" t="n">
        <v>1.5</v>
      </c>
      <c r="R1059" s="14" t="n">
        <v>1.51</v>
      </c>
      <c r="S1059" s="14" t="n">
        <v>5</v>
      </c>
    </row>
    <row r="1060" customFormat="false" ht="15" hidden="false" customHeight="false" outlineLevel="0" collapsed="false">
      <c r="A1060" s="13" t="n">
        <v>43801</v>
      </c>
      <c r="B1060" s="14" t="n">
        <v>1.63</v>
      </c>
      <c r="C1060" s="14" t="n">
        <v>1.75</v>
      </c>
      <c r="D1060" s="14" t="n">
        <v>1.5</v>
      </c>
      <c r="E1060" s="14" t="n">
        <v>-0.541</v>
      </c>
      <c r="F1060" s="14" t="n">
        <v>-0.5</v>
      </c>
      <c r="G1060" s="14" t="n">
        <v>0.75</v>
      </c>
      <c r="H1060" s="14" t="n">
        <v>0.7091</v>
      </c>
      <c r="I1060" s="14" t="n">
        <v>0.690328974306284</v>
      </c>
      <c r="J1060" s="14" t="n">
        <v>0.670472015404896</v>
      </c>
      <c r="K1060" s="14" t="n">
        <v>0.645346000634327</v>
      </c>
      <c r="L1060" s="14" t="n">
        <v>0.611027844145721</v>
      </c>
      <c r="M1060" s="14" t="n">
        <v>2.779</v>
      </c>
      <c r="N1060" s="14" t="n">
        <v>3.017</v>
      </c>
      <c r="O1060" s="14" t="n">
        <v>3.05</v>
      </c>
      <c r="P1060" s="14" t="n">
        <v>3.122</v>
      </c>
      <c r="Q1060" s="14" t="n">
        <v>1.5</v>
      </c>
      <c r="R1060" s="14" t="n">
        <v>1.5</v>
      </c>
      <c r="S1060" s="14" t="n">
        <v>5</v>
      </c>
    </row>
    <row r="1061" customFormat="false" ht="15" hidden="false" customHeight="false" outlineLevel="0" collapsed="false">
      <c r="A1061" s="13" t="n">
        <v>43802</v>
      </c>
      <c r="B1061" s="14" t="n">
        <v>1.55</v>
      </c>
      <c r="C1061" s="14" t="n">
        <v>1.75</v>
      </c>
      <c r="D1061" s="14" t="n">
        <v>1.5</v>
      </c>
      <c r="E1061" s="14" t="n">
        <v>-0.539</v>
      </c>
      <c r="F1061" s="14" t="n">
        <v>-0.5</v>
      </c>
      <c r="G1061" s="14" t="n">
        <v>0.75</v>
      </c>
      <c r="H1061" s="14" t="n">
        <v>0.7092</v>
      </c>
      <c r="I1061" s="14" t="n">
        <v>0.690682275790751</v>
      </c>
      <c r="J1061" s="14" t="n">
        <v>0.666471672152213</v>
      </c>
      <c r="K1061" s="14" t="n">
        <v>0.635810651546732</v>
      </c>
      <c r="L1061" s="14" t="n">
        <v>0.588703947097034</v>
      </c>
      <c r="M1061" s="14" t="n">
        <v>2.785</v>
      </c>
      <c r="N1061" s="14" t="n">
        <v>3.015</v>
      </c>
      <c r="O1061" s="14" t="n">
        <v>3.05</v>
      </c>
      <c r="P1061" s="14" t="n">
        <v>3.122</v>
      </c>
      <c r="Q1061" s="14" t="n">
        <v>1.5</v>
      </c>
      <c r="R1061" s="14" t="n">
        <v>1.49</v>
      </c>
      <c r="S1061" s="14" t="n">
        <v>5</v>
      </c>
    </row>
    <row r="1062" customFormat="false" ht="15" hidden="false" customHeight="false" outlineLevel="0" collapsed="false">
      <c r="A1062" s="13" t="n">
        <v>43803</v>
      </c>
      <c r="B1062" s="14" t="n">
        <v>1.54</v>
      </c>
      <c r="C1062" s="14" t="n">
        <v>1.75</v>
      </c>
      <c r="D1062" s="14" t="n">
        <v>1.5</v>
      </c>
      <c r="E1062" s="14" t="n">
        <v>-0.54</v>
      </c>
      <c r="F1062" s="14" t="n">
        <v>-0.5</v>
      </c>
      <c r="G1062" s="14" t="n">
        <v>0.75</v>
      </c>
      <c r="H1062" s="14" t="n">
        <v>0.7091</v>
      </c>
      <c r="I1062" s="14" t="n">
        <v>0.690843942514887</v>
      </c>
      <c r="J1062" s="14" t="n">
        <v>0.669095482862746</v>
      </c>
      <c r="K1062" s="14" t="n">
        <v>0.648227370188255</v>
      </c>
      <c r="L1062" s="14" t="n">
        <v>0.614756299092512</v>
      </c>
      <c r="M1062" s="14" t="n">
        <v>2.799</v>
      </c>
      <c r="N1062" s="14" t="n">
        <v>3.019</v>
      </c>
      <c r="O1062" s="14" t="n">
        <v>3.05</v>
      </c>
      <c r="P1062" s="14" t="n">
        <v>3.121</v>
      </c>
      <c r="Q1062" s="14" t="n">
        <v>1.5</v>
      </c>
      <c r="R1062" s="14" t="n">
        <v>1.49</v>
      </c>
      <c r="S1062" s="14" t="n">
        <v>5</v>
      </c>
    </row>
    <row r="1063" customFormat="false" ht="15" hidden="false" customHeight="false" outlineLevel="0" collapsed="false">
      <c r="A1063" s="13" t="n">
        <v>43804</v>
      </c>
      <c r="B1063" s="14" t="n">
        <v>1.55</v>
      </c>
      <c r="C1063" s="14" t="n">
        <v>1.75</v>
      </c>
      <c r="D1063" s="14" t="n">
        <v>1.5</v>
      </c>
      <c r="E1063" s="14" t="n">
        <v>-0.54</v>
      </c>
      <c r="F1063" s="14" t="n">
        <v>-0.5</v>
      </c>
      <c r="G1063" s="14" t="n">
        <v>0.75</v>
      </c>
      <c r="H1063" s="14" t="n">
        <v>0.7097</v>
      </c>
      <c r="I1063" s="14" t="n">
        <v>0.68930717161904</v>
      </c>
      <c r="J1063" s="14" t="n">
        <v>0.667487991305873</v>
      </c>
      <c r="K1063" s="14" t="n">
        <v>0.648475835592859</v>
      </c>
      <c r="L1063" s="14" t="n">
        <v>0.6198380783564</v>
      </c>
      <c r="M1063" s="14" t="n">
        <v>2.811</v>
      </c>
      <c r="N1063" s="14" t="n">
        <v>3.022</v>
      </c>
      <c r="O1063" s="14" t="n">
        <v>3.05</v>
      </c>
      <c r="P1063" s="14" t="n">
        <v>3.121</v>
      </c>
      <c r="Q1063" s="14" t="n">
        <v>1.5</v>
      </c>
      <c r="R1063" s="14" t="n">
        <v>1.5</v>
      </c>
      <c r="S1063" s="14" t="n">
        <v>5</v>
      </c>
    </row>
    <row r="1064" customFormat="false" ht="15" hidden="false" customHeight="false" outlineLevel="0" collapsed="false">
      <c r="A1064" s="13" t="n">
        <v>43805</v>
      </c>
      <c r="B1064" s="14" t="n">
        <v>1.55</v>
      </c>
      <c r="C1064" s="14" t="n">
        <v>1.75</v>
      </c>
      <c r="D1064" s="14" t="n">
        <v>1.5</v>
      </c>
      <c r="E1064" s="14" t="n">
        <v>-0.541</v>
      </c>
      <c r="F1064" s="14" t="n">
        <v>-0.5</v>
      </c>
      <c r="G1064" s="14" t="n">
        <v>0.75</v>
      </c>
      <c r="H1064" s="14" t="n">
        <v>0.7086</v>
      </c>
      <c r="I1064" s="14" t="n">
        <v>0.687644855309235</v>
      </c>
      <c r="J1064" s="14" t="n">
        <v>0.667495323482013</v>
      </c>
      <c r="K1064" s="14" t="n">
        <v>0.648964956468361</v>
      </c>
      <c r="L1064" s="14" t="n">
        <v>0.621021107248397</v>
      </c>
      <c r="M1064" s="14" t="n">
        <v>2.83</v>
      </c>
      <c r="N1064" s="14" t="n">
        <v>3.0245</v>
      </c>
      <c r="O1064" s="14" t="n">
        <v>3.05</v>
      </c>
      <c r="P1064" s="14" t="n">
        <v>3.121</v>
      </c>
      <c r="Q1064" s="14" t="n">
        <v>1.5</v>
      </c>
      <c r="R1064" s="14" t="n">
        <v>1.49</v>
      </c>
      <c r="S1064" s="14" t="n">
        <v>5</v>
      </c>
    </row>
    <row r="1065" customFormat="false" ht="15" hidden="false" customHeight="false" outlineLevel="0" collapsed="false">
      <c r="A1065" s="13" t="n">
        <v>43808</v>
      </c>
      <c r="B1065" s="14" t="n">
        <v>1.56</v>
      </c>
      <c r="C1065" s="14" t="n">
        <v>1.75</v>
      </c>
      <c r="D1065" s="14" t="n">
        <v>1.5</v>
      </c>
      <c r="E1065" s="14" t="n">
        <v>-0.541</v>
      </c>
      <c r="F1065" s="14" t="n">
        <v>-0.5</v>
      </c>
      <c r="G1065" s="14" t="n">
        <v>0.75</v>
      </c>
      <c r="H1065" s="14" t="n">
        <v>0.7095</v>
      </c>
      <c r="I1065" s="14" t="n">
        <v>0.686086729714531</v>
      </c>
      <c r="J1065" s="14" t="n">
        <v>0.671602934958227</v>
      </c>
      <c r="K1065" s="14" t="n">
        <v>0.652633602831321</v>
      </c>
      <c r="L1065" s="14" t="n">
        <v>0.622837525213031</v>
      </c>
      <c r="M1065" s="14" t="n">
        <v>2.841</v>
      </c>
      <c r="N1065" s="14" t="n">
        <v>3.025</v>
      </c>
      <c r="O1065" s="14" t="n">
        <v>3.05</v>
      </c>
      <c r="P1065" s="14" t="n">
        <v>3.123</v>
      </c>
      <c r="Q1065" s="14" t="n">
        <v>1.5</v>
      </c>
      <c r="R1065" s="14" t="n">
        <v>1.49</v>
      </c>
      <c r="S1065" s="14" t="n">
        <v>5</v>
      </c>
    </row>
    <row r="1066" customFormat="false" ht="15" hidden="false" customHeight="false" outlineLevel="0" collapsed="false">
      <c r="A1066" s="13" t="n">
        <v>43809</v>
      </c>
      <c r="B1066" s="14" t="n">
        <v>1.55</v>
      </c>
      <c r="C1066" s="14" t="n">
        <v>1.75</v>
      </c>
      <c r="D1066" s="14" t="n">
        <v>1.5</v>
      </c>
      <c r="E1066" s="14" t="n">
        <v>-0.544</v>
      </c>
      <c r="F1066" s="14" t="n">
        <v>-0.5</v>
      </c>
      <c r="G1066" s="14" t="n">
        <v>0.75</v>
      </c>
      <c r="H1066" s="14" t="n">
        <v>0.7103</v>
      </c>
      <c r="I1066" s="14" t="n">
        <v>0.689825682987029</v>
      </c>
      <c r="J1066" s="14" t="n">
        <v>0.672511365340365</v>
      </c>
      <c r="K1066" s="14" t="n">
        <v>0.655195438241549</v>
      </c>
      <c r="L1066" s="14" t="n">
        <v>0.630843162666718</v>
      </c>
      <c r="M1066" s="14" t="n">
        <v>2.858</v>
      </c>
      <c r="N1066" s="14" t="n">
        <v>3.028</v>
      </c>
      <c r="O1066" s="14" t="n">
        <v>3.05</v>
      </c>
      <c r="P1066" s="14" t="n">
        <v>3.122</v>
      </c>
      <c r="Q1066" s="14" t="n">
        <v>1.5</v>
      </c>
      <c r="R1066" s="14" t="n">
        <v>1.49</v>
      </c>
      <c r="S1066" s="14" t="n">
        <v>5</v>
      </c>
    </row>
    <row r="1067" customFormat="false" ht="15" hidden="false" customHeight="false" outlineLevel="0" collapsed="false">
      <c r="A1067" s="13" t="n">
        <v>43810</v>
      </c>
      <c r="B1067" s="14" t="n">
        <v>1.54</v>
      </c>
      <c r="C1067" s="14" t="n">
        <v>1.75</v>
      </c>
      <c r="D1067" s="14" t="n">
        <v>1.5</v>
      </c>
      <c r="E1067" s="14" t="n">
        <v>-0.544</v>
      </c>
      <c r="F1067" s="14" t="n">
        <v>-0.5</v>
      </c>
      <c r="G1067" s="14" t="n">
        <v>0.75</v>
      </c>
      <c r="H1067" s="14" t="n">
        <v>0.7098</v>
      </c>
      <c r="I1067" s="14" t="n">
        <v>0.681884842143771</v>
      </c>
      <c r="J1067" s="14" t="n">
        <v>0.664891751098037</v>
      </c>
      <c r="K1067" s="14" t="n">
        <v>0.639315815421596</v>
      </c>
      <c r="L1067" s="14" t="n">
        <v>0.608352993666801</v>
      </c>
      <c r="M1067" s="14" t="n">
        <v>2.871</v>
      </c>
      <c r="N1067" s="14" t="n">
        <v>3.03</v>
      </c>
      <c r="O1067" s="14" t="n">
        <v>3.05</v>
      </c>
      <c r="P1067" s="14" t="n">
        <v>3.123</v>
      </c>
      <c r="Q1067" s="14" t="n">
        <v>1.5</v>
      </c>
      <c r="R1067" s="14" t="n">
        <v>1.51</v>
      </c>
      <c r="S1067" s="14" t="n">
        <v>5</v>
      </c>
    </row>
    <row r="1068" customFormat="false" ht="15" hidden="false" customHeight="false" outlineLevel="0" collapsed="false">
      <c r="A1068" s="13" t="n">
        <v>43811</v>
      </c>
      <c r="B1068" s="14" t="n">
        <v>1.53</v>
      </c>
      <c r="C1068" s="14" t="n">
        <v>1.75</v>
      </c>
      <c r="D1068" s="14" t="n">
        <v>1.5</v>
      </c>
      <c r="E1068" s="14" t="n">
        <v>-0.544</v>
      </c>
      <c r="F1068" s="14" t="n">
        <v>-0.5</v>
      </c>
      <c r="G1068" s="14" t="n">
        <v>0.75</v>
      </c>
      <c r="H1068" s="14" t="n">
        <v>0.7104</v>
      </c>
      <c r="I1068" s="14" t="n">
        <v>0.680783137866372</v>
      </c>
      <c r="J1068" s="14" t="n">
        <v>0.661857143651305</v>
      </c>
      <c r="K1068" s="14" t="n">
        <v>0.633324553036085</v>
      </c>
      <c r="L1068" s="14" t="n">
        <v>0.601794478209975</v>
      </c>
      <c r="M1068" s="14" t="n">
        <v>2.891</v>
      </c>
      <c r="N1068" s="14" t="n">
        <v>3.0305</v>
      </c>
      <c r="O1068" s="14" t="n">
        <v>3.05</v>
      </c>
      <c r="P1068" s="14" t="n">
        <v>3.122</v>
      </c>
      <c r="Q1068" s="14" t="n">
        <v>1.5</v>
      </c>
      <c r="R1068" s="14" t="n">
        <v>1.5</v>
      </c>
      <c r="S1068" s="14" t="n">
        <v>4.5</v>
      </c>
    </row>
    <row r="1069" customFormat="false" ht="15" hidden="false" customHeight="false" outlineLevel="0" collapsed="false">
      <c r="A1069" s="13" t="n">
        <v>43812</v>
      </c>
      <c r="B1069" s="14" t="n">
        <v>1.54</v>
      </c>
      <c r="C1069" s="14" t="n">
        <v>1.75</v>
      </c>
      <c r="D1069" s="14" t="n">
        <v>1.5</v>
      </c>
      <c r="E1069" s="14" t="n">
        <v>-0.543</v>
      </c>
      <c r="F1069" s="14" t="n">
        <v>-0.5</v>
      </c>
      <c r="G1069" s="14" t="n">
        <v>0.75</v>
      </c>
      <c r="H1069" s="14" t="n">
        <v>0.7113</v>
      </c>
      <c r="I1069" s="14" t="n">
        <v>0.697246375982122</v>
      </c>
      <c r="J1069" s="14" t="n">
        <v>0.694063706288813</v>
      </c>
      <c r="K1069" s="14" t="n">
        <v>0.669929887318726</v>
      </c>
      <c r="L1069" s="14" t="n">
        <v>0.633817405376769</v>
      </c>
      <c r="M1069" s="14" t="n">
        <v>2.913</v>
      </c>
      <c r="N1069" s="14" t="n">
        <v>3.0325</v>
      </c>
      <c r="O1069" s="14" t="n">
        <v>3.051</v>
      </c>
      <c r="P1069" s="14" t="n">
        <v>3.122</v>
      </c>
      <c r="Q1069" s="14" t="n">
        <v>1.5</v>
      </c>
      <c r="R1069" s="14" t="n">
        <v>1.49</v>
      </c>
      <c r="S1069" s="14" t="n">
        <v>4.5</v>
      </c>
    </row>
    <row r="1070" customFormat="false" ht="15" hidden="false" customHeight="false" outlineLevel="0" collapsed="false">
      <c r="A1070" s="13" t="n">
        <v>43815</v>
      </c>
      <c r="B1070" s="14" t="n">
        <v>1.62</v>
      </c>
      <c r="C1070" s="14" t="n">
        <v>1.75</v>
      </c>
      <c r="D1070" s="14" t="n">
        <v>1.5</v>
      </c>
      <c r="E1070" s="14" t="n">
        <v>-0.543</v>
      </c>
      <c r="F1070" s="14" t="n">
        <v>-0.5</v>
      </c>
      <c r="G1070" s="14" t="n">
        <v>0.75</v>
      </c>
      <c r="H1070" s="14" t="n">
        <v>0.7111</v>
      </c>
      <c r="I1070" s="14" t="n">
        <v>0.699564369461282</v>
      </c>
      <c r="J1070" s="14" t="n">
        <v>0.693977928272066</v>
      </c>
      <c r="K1070" s="14" t="n">
        <v>0.672788568090956</v>
      </c>
      <c r="L1070" s="14" t="n">
        <v>0.638174435240394</v>
      </c>
      <c r="M1070" s="14" t="n">
        <v>2.9304</v>
      </c>
      <c r="N1070" s="14" t="n">
        <v>3.0324</v>
      </c>
      <c r="O1070" s="14" t="n">
        <v>3.0534</v>
      </c>
      <c r="P1070" s="14" t="n">
        <v>3.122</v>
      </c>
      <c r="Q1070" s="14" t="n">
        <v>1.5</v>
      </c>
      <c r="R1070" s="14" t="n">
        <v>1.5</v>
      </c>
      <c r="S1070" s="14" t="n">
        <v>4.5</v>
      </c>
    </row>
    <row r="1071" customFormat="false" ht="15" hidden="false" customHeight="false" outlineLevel="0" collapsed="false">
      <c r="A1071" s="13" t="n">
        <v>43816</v>
      </c>
      <c r="B1071" s="14" t="n">
        <v>1.54</v>
      </c>
      <c r="C1071" s="14" t="n">
        <v>1.75</v>
      </c>
      <c r="D1071" s="14" t="n">
        <v>1.5</v>
      </c>
      <c r="E1071" s="14" t="n">
        <v>-0.536</v>
      </c>
      <c r="F1071" s="14" t="n">
        <v>-0.5</v>
      </c>
      <c r="G1071" s="14" t="n">
        <v>0.75</v>
      </c>
      <c r="H1071" s="14" t="n">
        <v>0.7104</v>
      </c>
      <c r="I1071" s="14" t="n">
        <v>0.698551100312746</v>
      </c>
      <c r="J1071" s="14" t="n">
        <v>0.686375915668468</v>
      </c>
      <c r="K1071" s="14" t="n">
        <v>0.648784301394358</v>
      </c>
      <c r="L1071" s="14" t="n">
        <v>0.5927199153476</v>
      </c>
      <c r="M1071" s="14" t="n">
        <v>2.942</v>
      </c>
      <c r="N1071" s="14" t="n">
        <v>3.036</v>
      </c>
      <c r="O1071" s="14" t="n">
        <v>3.056</v>
      </c>
      <c r="P1071" s="14" t="n">
        <v>3.123</v>
      </c>
      <c r="Q1071" s="14" t="n">
        <v>1.5</v>
      </c>
      <c r="R1071" s="14" t="n">
        <v>1.5</v>
      </c>
      <c r="S1071" s="14" t="n">
        <v>4.5</v>
      </c>
    </row>
    <row r="1072" customFormat="false" ht="15" hidden="false" customHeight="false" outlineLevel="0" collapsed="false">
      <c r="A1072" s="13" t="n">
        <v>43817</v>
      </c>
      <c r="B1072" s="14" t="n">
        <v>1.53</v>
      </c>
      <c r="C1072" s="14" t="n">
        <v>1.75</v>
      </c>
      <c r="D1072" s="14" t="n">
        <v>1.5</v>
      </c>
      <c r="E1072" s="14" t="n">
        <v>-0.54</v>
      </c>
      <c r="F1072" s="14" t="n">
        <v>-0.5</v>
      </c>
      <c r="G1072" s="14" t="n">
        <v>0.75</v>
      </c>
      <c r="H1072" s="14" t="n">
        <v>0.7106</v>
      </c>
      <c r="I1072" s="14" t="n">
        <v>0.699220593949417</v>
      </c>
      <c r="J1072" s="14" t="n">
        <v>0.685084010749118</v>
      </c>
      <c r="K1072" s="14" t="n">
        <v>0.642995314139053</v>
      </c>
      <c r="L1072" s="14" t="n">
        <v>0.589081155032143</v>
      </c>
      <c r="M1072" s="14" t="n">
        <v>2.959</v>
      </c>
      <c r="N1072" s="14" t="n">
        <v>3.04</v>
      </c>
      <c r="O1072" s="14" t="n">
        <v>3.059</v>
      </c>
      <c r="P1072" s="14" t="n">
        <v>3.124</v>
      </c>
      <c r="Q1072" s="14" t="n">
        <v>1.5</v>
      </c>
      <c r="R1072" s="14" t="n">
        <v>1.49</v>
      </c>
      <c r="S1072" s="14" t="n">
        <v>4.5</v>
      </c>
    </row>
    <row r="1073" customFormat="false" ht="15" hidden="false" customHeight="false" outlineLevel="0" collapsed="false">
      <c r="A1073" s="13" t="n">
        <v>43818</v>
      </c>
      <c r="B1073" s="14" t="n">
        <v>1.53</v>
      </c>
      <c r="C1073" s="14" t="n">
        <v>1.75</v>
      </c>
      <c r="D1073" s="14" t="n">
        <v>1.5</v>
      </c>
      <c r="E1073" s="14" t="n">
        <v>-0.54</v>
      </c>
      <c r="F1073" s="14" t="n">
        <v>-0.5</v>
      </c>
      <c r="G1073" s="14" t="n">
        <v>0.75</v>
      </c>
      <c r="H1073" s="14" t="n">
        <v>0.7113</v>
      </c>
      <c r="I1073" s="14" t="n">
        <v>0.70524888419202</v>
      </c>
      <c r="J1073" s="14" t="n">
        <v>0.694585063851959</v>
      </c>
      <c r="K1073" s="14" t="n">
        <v>0.662511820327399</v>
      </c>
      <c r="L1073" s="14" t="n">
        <v>0.613414760236959</v>
      </c>
      <c r="M1073" s="14" t="n">
        <v>2.976</v>
      </c>
      <c r="N1073" s="14" t="n">
        <v>3.043</v>
      </c>
      <c r="O1073" s="14" t="n">
        <v>3.06</v>
      </c>
      <c r="P1073" s="14" t="n">
        <v>3.124</v>
      </c>
      <c r="Q1073" s="14" t="n">
        <v>1.5</v>
      </c>
      <c r="R1073" s="14" t="n">
        <v>1.5</v>
      </c>
      <c r="S1073" s="14" t="n">
        <v>4.5</v>
      </c>
    </row>
    <row r="1074" customFormat="false" ht="15" hidden="false" customHeight="false" outlineLevel="0" collapsed="false">
      <c r="A1074" s="13" t="n">
        <v>43819</v>
      </c>
      <c r="B1074" s="14" t="n">
        <v>1.53</v>
      </c>
      <c r="C1074" s="14" t="n">
        <v>1.75</v>
      </c>
      <c r="D1074" s="14" t="n">
        <v>1.5</v>
      </c>
      <c r="E1074" s="14" t="n">
        <v>-0.54</v>
      </c>
      <c r="F1074" s="14" t="n">
        <v>-0.5</v>
      </c>
      <c r="G1074" s="14" t="n">
        <v>0.75</v>
      </c>
      <c r="H1074" s="14" t="n">
        <v>0.7108</v>
      </c>
      <c r="I1074" s="14" t="n">
        <v>0.705589830953594</v>
      </c>
      <c r="J1074" s="14" t="n">
        <v>0.699712977360787</v>
      </c>
      <c r="K1074" s="14" t="n">
        <v>0.673383744825283</v>
      </c>
      <c r="L1074" s="14" t="n">
        <v>0.623499315369661</v>
      </c>
      <c r="M1074" s="14" t="n">
        <v>2.997</v>
      </c>
      <c r="N1074" s="14" t="n">
        <v>3.041</v>
      </c>
      <c r="O1074" s="14" t="n">
        <v>3.059</v>
      </c>
      <c r="P1074" s="14" t="n">
        <v>3.122</v>
      </c>
      <c r="Q1074" s="14" t="n">
        <v>1.5</v>
      </c>
      <c r="R1074" s="14" t="n">
        <v>1.5</v>
      </c>
      <c r="S1074" s="14" t="n">
        <v>4.5</v>
      </c>
    </row>
    <row r="1075" customFormat="false" ht="15" hidden="false" customHeight="false" outlineLevel="0" collapsed="false">
      <c r="A1075" s="13" t="n">
        <v>43822</v>
      </c>
      <c r="B1075" s="14" t="n">
        <v>1.52</v>
      </c>
      <c r="C1075" s="14" t="n">
        <v>1.75</v>
      </c>
      <c r="D1075" s="14" t="n">
        <v>1.5</v>
      </c>
      <c r="E1075" s="14" t="n">
        <v>-0.545</v>
      </c>
      <c r="F1075" s="14" t="n">
        <v>-0.5</v>
      </c>
      <c r="G1075" s="14" t="n">
        <v>0.75</v>
      </c>
      <c r="H1075" s="14" t="n">
        <v>0.7102</v>
      </c>
      <c r="I1075" s="14" t="n">
        <v>0.708543408465094</v>
      </c>
      <c r="J1075" s="14" t="n">
        <v>0.699935532199594</v>
      </c>
      <c r="K1075" s="14" t="n">
        <v>0.677356286022745</v>
      </c>
      <c r="L1075" s="14" t="n">
        <v>0.63111765342546</v>
      </c>
      <c r="M1075" s="14" t="n">
        <v>2.998</v>
      </c>
      <c r="N1075" s="14" t="n">
        <v>3.04</v>
      </c>
      <c r="O1075" s="14" t="n">
        <v>3.057</v>
      </c>
      <c r="P1075" s="14" t="n">
        <v>3.12</v>
      </c>
      <c r="Q1075" s="14" t="n">
        <v>1.5</v>
      </c>
      <c r="R1075" s="14" t="n">
        <v>1.49</v>
      </c>
      <c r="S1075" s="14" t="n">
        <v>4.5</v>
      </c>
    </row>
    <row r="1076" customFormat="false" ht="15" hidden="false" customHeight="false" outlineLevel="0" collapsed="false">
      <c r="A1076" s="13" t="n">
        <v>43823</v>
      </c>
      <c r="B1076" s="14" t="n">
        <v>1.52</v>
      </c>
      <c r="C1076" s="14" t="n">
        <v>1.75</v>
      </c>
      <c r="D1076" s="14" t="n">
        <v>1.5</v>
      </c>
      <c r="E1076" s="14" t="n">
        <v>-0.549</v>
      </c>
      <c r="F1076" s="14" t="n">
        <v>-0.5</v>
      </c>
      <c r="G1076" s="14" t="n">
        <v>0.75</v>
      </c>
      <c r="H1076" s="14" t="n">
        <v>0.7094</v>
      </c>
      <c r="I1076" s="14" t="n">
        <v>0.70504887378709</v>
      </c>
      <c r="J1076" s="14" t="n">
        <v>0.698578644258869</v>
      </c>
      <c r="K1076" s="14" t="n">
        <v>0.676871839036054</v>
      </c>
      <c r="L1076" s="14" t="n">
        <v>0.634054601057593</v>
      </c>
      <c r="M1076" s="14" t="n">
        <v>2.996</v>
      </c>
      <c r="N1076" s="14" t="n">
        <v>3.0335</v>
      </c>
      <c r="O1076" s="14" t="n">
        <v>3.0555</v>
      </c>
      <c r="P1076" s="14" t="n">
        <v>3.1145</v>
      </c>
      <c r="S1076" s="14" t="n">
        <v>4.5</v>
      </c>
    </row>
    <row r="1077" customFormat="false" ht="15" hidden="false" customHeight="false" outlineLevel="0" collapsed="false">
      <c r="A1077" s="13" t="n">
        <v>43824</v>
      </c>
      <c r="C1077" s="14" t="n">
        <v>1.75</v>
      </c>
      <c r="D1077" s="14" t="n">
        <v>1.5</v>
      </c>
      <c r="F1077" s="14" t="n">
        <v>-0.5</v>
      </c>
      <c r="M1077" s="14" t="n">
        <v>2.9985</v>
      </c>
      <c r="N1077" s="14" t="n">
        <v>3.0325</v>
      </c>
      <c r="O1077" s="14" t="n">
        <v>3.054</v>
      </c>
      <c r="P1077" s="14" t="n">
        <v>3.114</v>
      </c>
      <c r="S1077" s="14" t="n">
        <v>4.5</v>
      </c>
    </row>
    <row r="1078" customFormat="false" ht="15" hidden="false" customHeight="false" outlineLevel="0" collapsed="false">
      <c r="A1078" s="13" t="n">
        <v>43825</v>
      </c>
      <c r="B1078" s="14" t="n">
        <v>1.52</v>
      </c>
      <c r="C1078" s="14" t="n">
        <v>1.75</v>
      </c>
      <c r="D1078" s="14" t="n">
        <v>1.5</v>
      </c>
      <c r="F1078" s="14" t="n">
        <v>-0.5</v>
      </c>
      <c r="M1078" s="14" t="n">
        <v>2.9955</v>
      </c>
      <c r="N1078" s="14" t="n">
        <v>3.0295</v>
      </c>
      <c r="O1078" s="14" t="n">
        <v>3.049</v>
      </c>
      <c r="P1078" s="14" t="n">
        <v>3.111</v>
      </c>
      <c r="S1078" s="14" t="n">
        <v>4.5</v>
      </c>
    </row>
    <row r="1079" customFormat="false" ht="15" hidden="false" customHeight="false" outlineLevel="0" collapsed="false">
      <c r="A1079" s="13" t="n">
        <v>43826</v>
      </c>
      <c r="B1079" s="14" t="n">
        <v>1.53</v>
      </c>
      <c r="C1079" s="14" t="n">
        <v>1.75</v>
      </c>
      <c r="D1079" s="14" t="n">
        <v>1.5</v>
      </c>
      <c r="E1079" s="14" t="n">
        <v>-0.542</v>
      </c>
      <c r="F1079" s="14" t="n">
        <v>-0.5</v>
      </c>
      <c r="G1079" s="14" t="n">
        <v>0.75</v>
      </c>
      <c r="H1079" s="14" t="n">
        <v>0.71</v>
      </c>
      <c r="I1079" s="14" t="n">
        <v>0.704744328474299</v>
      </c>
      <c r="J1079" s="14" t="n">
        <v>0.698809456499964</v>
      </c>
      <c r="K1079" s="14" t="n">
        <v>0.678885834166815</v>
      </c>
      <c r="L1079" s="14" t="n">
        <v>0.646380075674921</v>
      </c>
      <c r="M1079" s="14" t="n">
        <v>2.991</v>
      </c>
      <c r="N1079" s="14" t="n">
        <v>3.0255</v>
      </c>
      <c r="O1079" s="14" t="n">
        <v>3.048</v>
      </c>
      <c r="P1079" s="14" t="n">
        <v>3.105</v>
      </c>
      <c r="Q1079" s="14" t="n">
        <v>1.5</v>
      </c>
      <c r="R1079" s="14" t="n">
        <v>1.5</v>
      </c>
      <c r="S1079" s="14" t="n">
        <v>4.5</v>
      </c>
    </row>
    <row r="1080" customFormat="false" ht="15" hidden="false" customHeight="false" outlineLevel="0" collapsed="false">
      <c r="A1080" s="13" t="n">
        <v>43829</v>
      </c>
      <c r="B1080" s="14" t="n">
        <v>1.54</v>
      </c>
      <c r="C1080" s="14" t="n">
        <v>1.75</v>
      </c>
      <c r="D1080" s="14" t="n">
        <v>1.5</v>
      </c>
      <c r="E1080" s="14" t="n">
        <v>-0.541</v>
      </c>
      <c r="F1080" s="14" t="n">
        <v>-0.5</v>
      </c>
      <c r="G1080" s="14" t="n">
        <v>0.75</v>
      </c>
      <c r="H1080" s="14" t="n">
        <v>0.7107</v>
      </c>
      <c r="I1080" s="14" t="n">
        <v>0.704680392628448</v>
      </c>
      <c r="J1080" s="14" t="n">
        <v>0.697848423610136</v>
      </c>
      <c r="K1080" s="14" t="n">
        <v>0.678213865217793</v>
      </c>
      <c r="L1080" s="14" t="n">
        <v>0.650906943857357</v>
      </c>
      <c r="M1080" s="14" t="n">
        <v>2.9755</v>
      </c>
      <c r="N1080" s="14" t="n">
        <v>3.021</v>
      </c>
      <c r="O1080" s="14" t="n">
        <v>3.046</v>
      </c>
      <c r="P1080" s="14" t="n">
        <v>3.1015</v>
      </c>
      <c r="Q1080" s="14" t="n">
        <v>1.5</v>
      </c>
      <c r="R1080" s="14" t="n">
        <v>1.49</v>
      </c>
      <c r="S1080" s="14" t="n">
        <v>4.5</v>
      </c>
    </row>
    <row r="1081" customFormat="false" ht="15" hidden="false" customHeight="false" outlineLevel="0" collapsed="false">
      <c r="A1081" s="13" t="n">
        <v>43830</v>
      </c>
      <c r="B1081" s="14" t="n">
        <v>1.55</v>
      </c>
      <c r="C1081" s="14" t="n">
        <v>1.75</v>
      </c>
      <c r="D1081" s="14" t="n">
        <v>1.5</v>
      </c>
      <c r="E1081" s="14" t="n">
        <v>-0.531</v>
      </c>
      <c r="F1081" s="14" t="n">
        <v>-0.5</v>
      </c>
      <c r="G1081" s="14" t="n">
        <v>0.75</v>
      </c>
      <c r="H1081" s="14" t="n">
        <v>0.7098</v>
      </c>
      <c r="I1081" s="14" t="n">
        <v>0.708216231123573</v>
      </c>
      <c r="J1081" s="14" t="n">
        <v>0.695949485643052</v>
      </c>
      <c r="K1081" s="14" t="n">
        <v>0.672446314817215</v>
      </c>
      <c r="L1081" s="14" t="n">
        <v>0.633020930702765</v>
      </c>
      <c r="M1081" s="14" t="n">
        <v>2.9785</v>
      </c>
      <c r="N1081" s="14" t="n">
        <v>3.02</v>
      </c>
      <c r="O1081" s="14" t="n">
        <v>3.046</v>
      </c>
      <c r="P1081" s="14" t="n">
        <v>3.1005</v>
      </c>
      <c r="Q1081" s="14" t="n">
        <v>1.5</v>
      </c>
      <c r="R1081" s="14" t="n">
        <v>2.07</v>
      </c>
      <c r="S1081" s="14" t="n">
        <v>4.5</v>
      </c>
    </row>
    <row r="1082" customFormat="false" ht="15" hidden="false" customHeight="false" outlineLevel="0" collapsed="false">
      <c r="A1082" s="13" t="n">
        <v>43831</v>
      </c>
      <c r="C1082" s="14" t="n">
        <v>1.75</v>
      </c>
      <c r="D1082" s="14" t="n">
        <v>1.5</v>
      </c>
      <c r="F1082" s="14" t="n">
        <v>-0.5</v>
      </c>
      <c r="S1082" s="14" t="n">
        <v>4.5</v>
      </c>
    </row>
    <row r="1083" customFormat="false" ht="15" hidden="false" customHeight="false" outlineLevel="0" collapsed="false">
      <c r="A1083" s="13" t="n">
        <v>43832</v>
      </c>
      <c r="B1083" s="14" t="n">
        <v>1.54</v>
      </c>
      <c r="C1083" s="14" t="n">
        <v>1.75</v>
      </c>
      <c r="D1083" s="14" t="n">
        <v>1.5</v>
      </c>
      <c r="E1083" s="14" t="n">
        <v>-0.539</v>
      </c>
      <c r="F1083" s="14" t="n">
        <v>-0.5</v>
      </c>
      <c r="G1083" s="14" t="n">
        <v>0.75</v>
      </c>
      <c r="H1083" s="14" t="n">
        <v>0.7125</v>
      </c>
      <c r="I1083" s="14" t="n">
        <v>0.708661447648607</v>
      </c>
      <c r="J1083" s="14" t="n">
        <v>0.696414890633508</v>
      </c>
      <c r="K1083" s="14" t="n">
        <v>0.671192848745436</v>
      </c>
      <c r="L1083" s="14" t="n">
        <v>0.6303931526985</v>
      </c>
      <c r="M1083" s="14" t="n">
        <v>2.8975</v>
      </c>
      <c r="N1083" s="14" t="n">
        <v>2.994</v>
      </c>
      <c r="O1083" s="14" t="n">
        <v>3.019</v>
      </c>
      <c r="P1083" s="14" t="n">
        <v>3.086</v>
      </c>
      <c r="Q1083" s="14" t="n">
        <v>1.5</v>
      </c>
      <c r="R1083" s="14" t="n">
        <v>1.49</v>
      </c>
      <c r="S1083" s="14" t="n">
        <v>4.5</v>
      </c>
    </row>
    <row r="1084" customFormat="false" ht="15" hidden="false" customHeight="false" outlineLevel="0" collapsed="false">
      <c r="A1084" s="13" t="n">
        <v>43833</v>
      </c>
      <c r="B1084" s="14" t="n">
        <v>1.55</v>
      </c>
      <c r="C1084" s="14" t="n">
        <v>1.75</v>
      </c>
      <c r="D1084" s="14" t="n">
        <v>1.5</v>
      </c>
      <c r="E1084" s="14" t="n">
        <v>-0.537</v>
      </c>
      <c r="F1084" s="14" t="n">
        <v>-0.5</v>
      </c>
      <c r="G1084" s="14" t="n">
        <v>0.75</v>
      </c>
      <c r="H1084" s="14" t="n">
        <v>0.711</v>
      </c>
      <c r="I1084" s="14" t="n">
        <v>0.706864693397727</v>
      </c>
      <c r="J1084" s="14" t="n">
        <v>0.691362366216966</v>
      </c>
      <c r="K1084" s="14" t="n">
        <v>0.662284815288518</v>
      </c>
      <c r="L1084" s="14" t="n">
        <v>0.615202394792118</v>
      </c>
      <c r="M1084" s="14" t="n">
        <v>2.842</v>
      </c>
      <c r="N1084" s="14" t="n">
        <v>2.96</v>
      </c>
      <c r="O1084" s="14" t="n">
        <v>2.995</v>
      </c>
      <c r="P1084" s="14" t="n">
        <v>3.071</v>
      </c>
      <c r="Q1084" s="14" t="n">
        <v>1.5</v>
      </c>
      <c r="R1084" s="14" t="n">
        <v>1.49</v>
      </c>
      <c r="S1084" s="14" t="n">
        <v>4.5</v>
      </c>
    </row>
    <row r="1085" customFormat="false" ht="15" hidden="false" customHeight="false" outlineLevel="0" collapsed="false">
      <c r="A1085" s="13" t="n">
        <v>43836</v>
      </c>
      <c r="B1085" s="14" t="n">
        <v>1.55</v>
      </c>
      <c r="C1085" s="14" t="n">
        <v>1.75</v>
      </c>
      <c r="D1085" s="14" t="n">
        <v>1.5</v>
      </c>
      <c r="E1085" s="14" t="n">
        <v>-0.539</v>
      </c>
      <c r="F1085" s="14" t="n">
        <v>-0.5</v>
      </c>
      <c r="G1085" s="14" t="n">
        <v>0.75</v>
      </c>
      <c r="H1085" s="14" t="n">
        <v>0.7124</v>
      </c>
      <c r="I1085" s="14" t="n">
        <v>0.707212917018919</v>
      </c>
      <c r="J1085" s="14" t="n">
        <v>0.695862120106581</v>
      </c>
      <c r="K1085" s="14" t="n">
        <v>0.671975741605791</v>
      </c>
      <c r="L1085" s="14" t="n">
        <v>0.633158463797087</v>
      </c>
      <c r="M1085" s="14" t="n">
        <v>2.747</v>
      </c>
      <c r="N1085" s="14" t="n">
        <v>2.92</v>
      </c>
      <c r="O1085" s="14" t="n">
        <v>2.96</v>
      </c>
      <c r="P1085" s="14" t="n">
        <v>3.05</v>
      </c>
      <c r="Q1085" s="14" t="n">
        <v>1.5</v>
      </c>
      <c r="R1085" s="14" t="n">
        <v>1.49</v>
      </c>
      <c r="S1085" s="14" t="n">
        <v>4.5</v>
      </c>
    </row>
    <row r="1086" customFormat="false" ht="15" hidden="false" customHeight="false" outlineLevel="0" collapsed="false">
      <c r="A1086" s="13" t="n">
        <v>43837</v>
      </c>
      <c r="B1086" s="14" t="n">
        <v>1.56</v>
      </c>
      <c r="C1086" s="14" t="n">
        <v>1.75</v>
      </c>
      <c r="D1086" s="14" t="n">
        <v>1.5</v>
      </c>
      <c r="E1086" s="14" t="n">
        <v>-0.54</v>
      </c>
      <c r="F1086" s="14" t="n">
        <v>-0.5</v>
      </c>
      <c r="G1086" s="14" t="n">
        <v>0.75</v>
      </c>
      <c r="H1086" s="14" t="n">
        <v>0.712</v>
      </c>
      <c r="I1086" s="14" t="n">
        <v>0.706800267422253</v>
      </c>
      <c r="J1086" s="14" t="n">
        <v>0.696219540598759</v>
      </c>
      <c r="K1086" s="14" t="n">
        <v>0.673795657101002</v>
      </c>
      <c r="L1086" s="14" t="n">
        <v>0.635624627418372</v>
      </c>
      <c r="M1086" s="14" t="n">
        <v>2.7</v>
      </c>
      <c r="N1086" s="14" t="n">
        <v>2.899</v>
      </c>
      <c r="O1086" s="14" t="n">
        <v>2.943</v>
      </c>
      <c r="P1086" s="14" t="n">
        <v>3.04</v>
      </c>
      <c r="Q1086" s="14" t="n">
        <v>1.5</v>
      </c>
      <c r="R1086" s="14" t="n">
        <v>1.49</v>
      </c>
      <c r="S1086" s="14" t="n">
        <v>4.5</v>
      </c>
    </row>
    <row r="1087" customFormat="false" ht="15" hidden="false" customHeight="false" outlineLevel="0" collapsed="false">
      <c r="A1087" s="13" t="n">
        <v>43838</v>
      </c>
      <c r="B1087" s="14" t="n">
        <v>1.55</v>
      </c>
      <c r="C1087" s="14" t="n">
        <v>1.75</v>
      </c>
      <c r="D1087" s="14" t="n">
        <v>1.5</v>
      </c>
      <c r="E1087" s="14" t="n">
        <v>-0.536</v>
      </c>
      <c r="F1087" s="14" t="n">
        <v>-0.5</v>
      </c>
      <c r="G1087" s="14" t="n">
        <v>0.75</v>
      </c>
      <c r="H1087" s="14" t="n">
        <v>0.7124</v>
      </c>
      <c r="I1087" s="14" t="n">
        <v>0.705311395925909</v>
      </c>
      <c r="J1087" s="14" t="n">
        <v>0.694111602468503</v>
      </c>
      <c r="K1087" s="14" t="n">
        <v>0.675212039628907</v>
      </c>
      <c r="L1087" s="14" t="n">
        <v>0.643057414466996</v>
      </c>
      <c r="M1087" s="14" t="n">
        <v>2.638</v>
      </c>
      <c r="N1087" s="14" t="n">
        <v>2.881</v>
      </c>
      <c r="O1087" s="14" t="n">
        <v>2.93</v>
      </c>
      <c r="P1087" s="14" t="n">
        <v>3.032</v>
      </c>
      <c r="Q1087" s="14" t="n">
        <v>1.5</v>
      </c>
      <c r="R1087" s="14" t="n">
        <v>1.49</v>
      </c>
      <c r="S1087" s="14" t="n">
        <v>4.5</v>
      </c>
    </row>
    <row r="1088" customFormat="false" ht="15" hidden="false" customHeight="false" outlineLevel="0" collapsed="false">
      <c r="A1088" s="13" t="n">
        <v>43839</v>
      </c>
      <c r="B1088" s="14" t="n">
        <v>1.55</v>
      </c>
      <c r="C1088" s="14" t="n">
        <v>1.75</v>
      </c>
      <c r="D1088" s="14" t="n">
        <v>1.5</v>
      </c>
      <c r="E1088" s="14" t="n">
        <v>-0.539</v>
      </c>
      <c r="F1088" s="14" t="n">
        <v>-0.5</v>
      </c>
      <c r="G1088" s="14" t="n">
        <v>0.75</v>
      </c>
      <c r="H1088" s="14" t="n">
        <v>0.7123</v>
      </c>
      <c r="I1088" s="14" t="n">
        <v>0.702235392764676</v>
      </c>
      <c r="J1088" s="14" t="n">
        <v>0.67982703482219</v>
      </c>
      <c r="K1088" s="14" t="n">
        <v>0.647853226613152</v>
      </c>
      <c r="L1088" s="14" t="n">
        <v>0.609096417470776</v>
      </c>
      <c r="M1088" s="14" t="n">
        <v>2.609</v>
      </c>
      <c r="N1088" s="14" t="n">
        <v>2.867</v>
      </c>
      <c r="O1088" s="14" t="n">
        <v>2.921</v>
      </c>
      <c r="P1088" s="14" t="n">
        <v>3.021</v>
      </c>
      <c r="Q1088" s="14" t="n">
        <v>1.5</v>
      </c>
      <c r="R1088" s="14" t="n">
        <v>1.49</v>
      </c>
      <c r="S1088" s="14" t="n">
        <v>4.5</v>
      </c>
    </row>
    <row r="1089" customFormat="false" ht="15" hidden="false" customHeight="false" outlineLevel="0" collapsed="false">
      <c r="A1089" s="13" t="n">
        <v>43840</v>
      </c>
      <c r="B1089" s="14" t="n">
        <v>1.55</v>
      </c>
      <c r="C1089" s="14" t="n">
        <v>1.75</v>
      </c>
      <c r="D1089" s="14" t="n">
        <v>1.5</v>
      </c>
      <c r="E1089" s="14" t="n">
        <v>-0.538</v>
      </c>
      <c r="F1089" s="14" t="n">
        <v>-0.5</v>
      </c>
      <c r="G1089" s="14" t="n">
        <v>0.75</v>
      </c>
      <c r="H1089" s="14" t="n">
        <v>0.7117</v>
      </c>
      <c r="I1089" s="14" t="n">
        <v>0.692705264549705</v>
      </c>
      <c r="J1089" s="14" t="n">
        <v>0.659107006908637</v>
      </c>
      <c r="K1089" s="14" t="n">
        <v>0.620829901988418</v>
      </c>
      <c r="L1089" s="14" t="n">
        <v>0.572097395456781</v>
      </c>
      <c r="M1089" s="14" t="n">
        <v>2.619</v>
      </c>
      <c r="N1089" s="14" t="n">
        <v>2.864</v>
      </c>
      <c r="O1089" s="14" t="n">
        <v>2.92</v>
      </c>
      <c r="P1089" s="14" t="n">
        <v>3.015</v>
      </c>
      <c r="Q1089" s="14" t="n">
        <v>1.5</v>
      </c>
      <c r="R1089" s="14" t="n">
        <v>1.49</v>
      </c>
      <c r="S1089" s="14" t="n">
        <v>4.5</v>
      </c>
    </row>
    <row r="1090" customFormat="false" ht="15" hidden="false" customHeight="false" outlineLevel="0" collapsed="false">
      <c r="A1090" s="13" t="n">
        <v>43843</v>
      </c>
      <c r="B1090" s="14" t="n">
        <v>1.54</v>
      </c>
      <c r="C1090" s="14" t="n">
        <v>1.75</v>
      </c>
      <c r="D1090" s="14" t="n">
        <v>1.5</v>
      </c>
      <c r="E1090" s="14" t="n">
        <v>-0.537</v>
      </c>
      <c r="F1090" s="14" t="n">
        <v>-0.5</v>
      </c>
      <c r="G1090" s="14" t="n">
        <v>0.75</v>
      </c>
      <c r="H1090" s="14" t="n">
        <v>0.7107</v>
      </c>
      <c r="I1090" s="14" t="n">
        <v>0.659633711948776</v>
      </c>
      <c r="J1090" s="14" t="n">
        <v>0.604747027602068</v>
      </c>
      <c r="K1090" s="14" t="n">
        <v>0.560019415343408</v>
      </c>
      <c r="L1090" s="14" t="n">
        <v>0.513114971364406</v>
      </c>
      <c r="M1090" s="14" t="n">
        <v>2.619</v>
      </c>
      <c r="N1090" s="14" t="n">
        <v>2.858</v>
      </c>
      <c r="O1090" s="14" t="n">
        <v>2.915</v>
      </c>
      <c r="P1090" s="14" t="n">
        <v>3.014</v>
      </c>
      <c r="Q1090" s="14" t="n">
        <v>1.5</v>
      </c>
      <c r="R1090" s="14" t="n">
        <v>1.49</v>
      </c>
      <c r="S1090" s="14" t="n">
        <v>4.5</v>
      </c>
    </row>
    <row r="1091" customFormat="false" ht="15" hidden="false" customHeight="false" outlineLevel="0" collapsed="false">
      <c r="A1091" s="13" t="n">
        <v>43844</v>
      </c>
      <c r="B1091" s="14" t="n">
        <v>1.55</v>
      </c>
      <c r="C1091" s="14" t="n">
        <v>1.75</v>
      </c>
      <c r="D1091" s="14" t="n">
        <v>1.5</v>
      </c>
      <c r="E1091" s="14" t="n">
        <v>-0.538</v>
      </c>
      <c r="F1091" s="14" t="n">
        <v>-0.5</v>
      </c>
      <c r="G1091" s="14" t="n">
        <v>0.75</v>
      </c>
      <c r="H1091" s="14" t="n">
        <v>0.7111</v>
      </c>
      <c r="I1091" s="14" t="n">
        <v>0.657885077520997</v>
      </c>
      <c r="J1091" s="14" t="n">
        <v>0.608576911894249</v>
      </c>
      <c r="K1091" s="14" t="n">
        <v>0.568121552884957</v>
      </c>
      <c r="L1091" s="14" t="n">
        <v>0.52069794418082</v>
      </c>
      <c r="M1091" s="14" t="n">
        <v>2.706</v>
      </c>
      <c r="N1091" s="14" t="n">
        <v>2.862</v>
      </c>
      <c r="O1091" s="14" t="n">
        <v>2.915</v>
      </c>
      <c r="P1091" s="14" t="n">
        <v>3.013</v>
      </c>
      <c r="Q1091" s="14" t="n">
        <v>1.5</v>
      </c>
      <c r="R1091" s="14" t="n">
        <v>1.49</v>
      </c>
      <c r="S1091" s="14" t="n">
        <v>4.5</v>
      </c>
    </row>
    <row r="1092" customFormat="false" ht="15" hidden="false" customHeight="false" outlineLevel="0" collapsed="false">
      <c r="A1092" s="13" t="n">
        <v>43845</v>
      </c>
      <c r="B1092" s="14" t="n">
        <v>1.56</v>
      </c>
      <c r="C1092" s="14" t="n">
        <v>1.75</v>
      </c>
      <c r="D1092" s="14" t="n">
        <v>1.5</v>
      </c>
      <c r="E1092" s="14" t="n">
        <v>-0.538</v>
      </c>
      <c r="F1092" s="14" t="n">
        <v>-0.5</v>
      </c>
      <c r="G1092" s="14" t="n">
        <v>0.75</v>
      </c>
      <c r="H1092" s="14" t="n">
        <v>0.7125</v>
      </c>
      <c r="I1092" s="14" t="n">
        <v>0.627475670630891</v>
      </c>
      <c r="J1092" s="14" t="n">
        <v>0.562372652979056</v>
      </c>
      <c r="K1092" s="14" t="n">
        <v>0.515945881304808</v>
      </c>
      <c r="L1092" s="14" t="n">
        <v>0.460821493084298</v>
      </c>
      <c r="M1092" s="14" t="n">
        <v>2.799</v>
      </c>
      <c r="N1092" s="14" t="n">
        <v>2.865</v>
      </c>
      <c r="O1092" s="14" t="n">
        <v>2.918</v>
      </c>
      <c r="P1092" s="14" t="n">
        <v>3.012</v>
      </c>
      <c r="Q1092" s="14" t="n">
        <v>1.5</v>
      </c>
      <c r="R1092" s="14" t="n">
        <v>1.49</v>
      </c>
      <c r="S1092" s="14" t="n">
        <v>4.5</v>
      </c>
    </row>
    <row r="1093" customFormat="false" ht="15" hidden="false" customHeight="false" outlineLevel="0" collapsed="false">
      <c r="A1093" s="13" t="n">
        <v>43846</v>
      </c>
      <c r="B1093" s="14" t="n">
        <v>1.55</v>
      </c>
      <c r="C1093" s="14" t="n">
        <v>1.75</v>
      </c>
      <c r="D1093" s="14" t="n">
        <v>1.5</v>
      </c>
      <c r="E1093" s="14" t="n">
        <v>-0.536</v>
      </c>
      <c r="F1093" s="14" t="n">
        <v>-0.5</v>
      </c>
      <c r="G1093" s="14" t="n">
        <v>0.75</v>
      </c>
      <c r="H1093" s="14" t="n">
        <v>0.7117</v>
      </c>
      <c r="I1093" s="14" t="n">
        <v>0.631441358353894</v>
      </c>
      <c r="J1093" s="14" t="n">
        <v>0.573167152211197</v>
      </c>
      <c r="K1093" s="14" t="n">
        <v>0.525288401737177</v>
      </c>
      <c r="L1093" s="14" t="n">
        <v>0.468135747608056</v>
      </c>
      <c r="M1093" s="14" t="n">
        <v>2.8</v>
      </c>
      <c r="N1093" s="14" t="n">
        <v>2.868</v>
      </c>
      <c r="O1093" s="14" t="n">
        <v>2.918</v>
      </c>
      <c r="P1093" s="14" t="n">
        <v>3.007</v>
      </c>
      <c r="Q1093" s="14" t="n">
        <v>1.5</v>
      </c>
      <c r="R1093" s="14" t="n">
        <v>1.49</v>
      </c>
      <c r="S1093" s="14" t="n">
        <v>4.5</v>
      </c>
    </row>
    <row r="1094" customFormat="false" ht="15" hidden="false" customHeight="false" outlineLevel="0" collapsed="false">
      <c r="A1094" s="13" t="n">
        <v>43847</v>
      </c>
      <c r="B1094" s="14" t="n">
        <v>1.54</v>
      </c>
      <c r="C1094" s="14" t="n">
        <v>1.75</v>
      </c>
      <c r="D1094" s="14" t="n">
        <v>1.5</v>
      </c>
      <c r="E1094" s="14" t="n">
        <v>-0.537</v>
      </c>
      <c r="F1094" s="14" t="n">
        <v>-0.5</v>
      </c>
      <c r="G1094" s="14" t="n">
        <v>0.75</v>
      </c>
      <c r="H1094" s="14" t="n">
        <v>0.712</v>
      </c>
      <c r="I1094" s="14" t="n">
        <v>0.611393318739459</v>
      </c>
      <c r="J1094" s="14" t="n">
        <v>0.54969591501138</v>
      </c>
      <c r="K1094" s="14" t="n">
        <v>0.503293549382082</v>
      </c>
      <c r="L1094" s="14" t="n">
        <v>0.44949228455274</v>
      </c>
      <c r="M1094" s="14" t="n">
        <v>2.808</v>
      </c>
      <c r="N1094" s="14" t="n">
        <v>2.868</v>
      </c>
      <c r="O1094" s="14" t="n">
        <v>2.918</v>
      </c>
      <c r="P1094" s="14" t="n">
        <v>3.005</v>
      </c>
      <c r="Q1094" s="14" t="n">
        <v>1.5</v>
      </c>
      <c r="R1094" s="14" t="n">
        <v>1.49</v>
      </c>
      <c r="S1094" s="14" t="n">
        <v>4.5</v>
      </c>
    </row>
    <row r="1095" customFormat="false" ht="15" hidden="false" customHeight="false" outlineLevel="0" collapsed="false">
      <c r="A1095" s="13" t="n">
        <v>43849</v>
      </c>
      <c r="C1095" s="14" t="n">
        <v>1.75</v>
      </c>
      <c r="D1095" s="14" t="n">
        <v>1.5</v>
      </c>
      <c r="F1095" s="14" t="n">
        <v>-0.5</v>
      </c>
      <c r="M1095" s="14" t="n">
        <v>2.804</v>
      </c>
      <c r="N1095" s="14" t="n">
        <v>2.863</v>
      </c>
      <c r="O1095" s="14" t="n">
        <v>2.917</v>
      </c>
      <c r="P1095" s="14" t="n">
        <v>2.997</v>
      </c>
      <c r="S1095" s="14" t="n">
        <v>4.5</v>
      </c>
    </row>
    <row r="1096" customFormat="false" ht="15" hidden="false" customHeight="false" outlineLevel="0" collapsed="false">
      <c r="A1096" s="13" t="n">
        <v>43850</v>
      </c>
      <c r="C1096" s="14" t="n">
        <v>1.75</v>
      </c>
      <c r="D1096" s="14" t="n">
        <v>1.5</v>
      </c>
      <c r="E1096" s="14" t="n">
        <v>-0.538</v>
      </c>
      <c r="F1096" s="14" t="n">
        <v>-0.5</v>
      </c>
      <c r="G1096" s="14" t="n">
        <v>0.75</v>
      </c>
      <c r="H1096" s="14" t="n">
        <v>0.7117</v>
      </c>
      <c r="I1096" s="14" t="n">
        <v>0.600351084113895</v>
      </c>
      <c r="J1096" s="14" t="n">
        <v>0.549965068045875</v>
      </c>
      <c r="K1096" s="14" t="n">
        <v>0.504774375133856</v>
      </c>
      <c r="L1096" s="14" t="n">
        <v>0.453447715699606</v>
      </c>
      <c r="M1096" s="14" t="n">
        <v>2.813</v>
      </c>
      <c r="N1096" s="14" t="n">
        <v>2.86</v>
      </c>
      <c r="O1096" s="14" t="n">
        <v>2.914</v>
      </c>
      <c r="P1096" s="14" t="n">
        <v>2.997</v>
      </c>
      <c r="Q1096" s="14" t="n">
        <v>1.5</v>
      </c>
      <c r="R1096" s="14" t="n">
        <v>1.49</v>
      </c>
      <c r="S1096" s="14" t="n">
        <v>4.5</v>
      </c>
    </row>
    <row r="1097" customFormat="false" ht="15" hidden="false" customHeight="false" outlineLevel="0" collapsed="false">
      <c r="A1097" s="13" t="n">
        <v>43851</v>
      </c>
      <c r="B1097" s="14" t="n">
        <v>1.54</v>
      </c>
      <c r="C1097" s="14" t="n">
        <v>1.75</v>
      </c>
      <c r="D1097" s="14" t="n">
        <v>1.5</v>
      </c>
      <c r="E1097" s="14" t="n">
        <v>-0.535</v>
      </c>
      <c r="F1097" s="14" t="n">
        <v>-0.5</v>
      </c>
      <c r="G1097" s="14" t="n">
        <v>0.75</v>
      </c>
      <c r="H1097" s="14" t="n">
        <v>0.7117</v>
      </c>
      <c r="I1097" s="14" t="n">
        <v>0.607279890321872</v>
      </c>
      <c r="J1097" s="14" t="n">
        <v>0.561392100519263</v>
      </c>
      <c r="K1097" s="14" t="n">
        <v>0.513536819324061</v>
      </c>
      <c r="L1097" s="14" t="n">
        <v>0.460806206143683</v>
      </c>
      <c r="M1097" s="14" t="n">
        <v>2.816</v>
      </c>
      <c r="N1097" s="14" t="n">
        <v>2.859</v>
      </c>
      <c r="O1097" s="14" t="n">
        <v>2.91</v>
      </c>
      <c r="P1097" s="14" t="n">
        <v>2.995</v>
      </c>
      <c r="Q1097" s="14" t="n">
        <v>1.5</v>
      </c>
      <c r="R1097" s="14" t="n">
        <v>1.49</v>
      </c>
      <c r="S1097" s="14" t="n">
        <v>4.5</v>
      </c>
    </row>
    <row r="1098" customFormat="false" ht="15" hidden="false" customHeight="false" outlineLevel="0" collapsed="false">
      <c r="A1098" s="13" t="n">
        <v>43852</v>
      </c>
      <c r="B1098" s="14" t="n">
        <v>1.54</v>
      </c>
      <c r="C1098" s="14" t="n">
        <v>1.75</v>
      </c>
      <c r="D1098" s="14" t="n">
        <v>1.5</v>
      </c>
      <c r="E1098" s="14" t="n">
        <v>-0.536</v>
      </c>
      <c r="F1098" s="14" t="n">
        <v>-0.5</v>
      </c>
      <c r="G1098" s="14" t="n">
        <v>0.75</v>
      </c>
      <c r="H1098" s="14" t="n">
        <v>0.7117</v>
      </c>
      <c r="I1098" s="14" t="n">
        <v>0.609651788854501</v>
      </c>
      <c r="J1098" s="14" t="n">
        <v>0.568535532899086</v>
      </c>
      <c r="K1098" s="14" t="n">
        <v>0.523068033762064</v>
      </c>
      <c r="L1098" s="14" t="n">
        <v>0.472944818822134</v>
      </c>
      <c r="M1098" s="14" t="n">
        <v>2.82</v>
      </c>
      <c r="N1098" s="14" t="n">
        <v>2.858</v>
      </c>
      <c r="O1098" s="14" t="n">
        <v>2.912</v>
      </c>
      <c r="P1098" s="14" t="n">
        <v>2.995</v>
      </c>
      <c r="Q1098" s="14" t="n">
        <v>1.5</v>
      </c>
      <c r="R1098" s="14" t="n">
        <v>1.49</v>
      </c>
      <c r="S1098" s="14" t="n">
        <v>4.5</v>
      </c>
    </row>
    <row r="1099" customFormat="false" ht="15" hidden="false" customHeight="false" outlineLevel="0" collapsed="false">
      <c r="A1099" s="13" t="n">
        <v>43853</v>
      </c>
      <c r="B1099" s="14" t="n">
        <v>1.54</v>
      </c>
      <c r="C1099" s="14" t="n">
        <v>1.75</v>
      </c>
      <c r="D1099" s="14" t="n">
        <v>1.5</v>
      </c>
      <c r="E1099" s="14" t="n">
        <v>-0.537</v>
      </c>
      <c r="F1099" s="14" t="n">
        <v>-0.5</v>
      </c>
      <c r="G1099" s="14" t="n">
        <v>0.75</v>
      </c>
      <c r="H1099" s="14" t="n">
        <v>0.7104</v>
      </c>
      <c r="I1099" s="14" t="n">
        <v>0.597152201414515</v>
      </c>
      <c r="J1099" s="14" t="n">
        <v>0.558522140886014</v>
      </c>
      <c r="K1099" s="14" t="n">
        <v>0.514134213566642</v>
      </c>
      <c r="L1099" s="14" t="n">
        <v>0.462762669245511</v>
      </c>
      <c r="M1099" s="14" t="n">
        <v>2.822</v>
      </c>
      <c r="N1099" s="14" t="n">
        <v>2.858</v>
      </c>
      <c r="O1099" s="14" t="n">
        <v>2.914</v>
      </c>
      <c r="P1099" s="14" t="n">
        <v>2.995</v>
      </c>
      <c r="Q1099" s="14" t="n">
        <v>1.5</v>
      </c>
      <c r="R1099" s="14" t="n">
        <v>1.49</v>
      </c>
      <c r="S1099" s="14" t="n">
        <v>4.5</v>
      </c>
    </row>
    <row r="1100" customFormat="false" ht="15" hidden="false" customHeight="false" outlineLevel="0" collapsed="false">
      <c r="A1100" s="13" t="n">
        <v>43854</v>
      </c>
      <c r="B1100" s="14" t="n">
        <v>1.53</v>
      </c>
      <c r="C1100" s="14" t="n">
        <v>1.75</v>
      </c>
      <c r="D1100" s="14" t="n">
        <v>1.5</v>
      </c>
      <c r="E1100" s="14" t="n">
        <v>-0.537</v>
      </c>
      <c r="F1100" s="14" t="n">
        <v>-0.5</v>
      </c>
      <c r="G1100" s="14" t="n">
        <v>0.75</v>
      </c>
      <c r="H1100" s="14" t="n">
        <v>0.7106</v>
      </c>
      <c r="I1100" s="14" t="n">
        <v>0.60096506638776</v>
      </c>
      <c r="J1100" s="14" t="n">
        <v>0.567489853675273</v>
      </c>
      <c r="K1100" s="14" t="n">
        <v>0.522798530482913</v>
      </c>
      <c r="L1100" s="14" t="n">
        <v>0.464037052142514</v>
      </c>
      <c r="Q1100" s="14" t="n">
        <v>1.5</v>
      </c>
      <c r="R1100" s="14" t="n">
        <v>1.49</v>
      </c>
      <c r="S1100" s="14" t="n">
        <v>4.5</v>
      </c>
    </row>
    <row r="1101" customFormat="false" ht="15" hidden="false" customHeight="false" outlineLevel="0" collapsed="false">
      <c r="A1101" s="13" t="n">
        <v>43857</v>
      </c>
      <c r="B1101" s="14" t="n">
        <v>1.53</v>
      </c>
      <c r="C1101" s="14" t="n">
        <v>1.75</v>
      </c>
      <c r="D1101" s="14" t="n">
        <v>1.5</v>
      </c>
      <c r="E1101" s="14" t="n">
        <v>-0.538</v>
      </c>
      <c r="F1101" s="14" t="n">
        <v>-0.5</v>
      </c>
      <c r="G1101" s="14" t="n">
        <v>0.75</v>
      </c>
      <c r="H1101" s="14" t="n">
        <v>0.7089</v>
      </c>
      <c r="I1101" s="14" t="n">
        <v>0.578988003362629</v>
      </c>
      <c r="J1101" s="14" t="n">
        <v>0.55112626526757</v>
      </c>
      <c r="K1101" s="14" t="n">
        <v>0.506722464162801</v>
      </c>
      <c r="L1101" s="14" t="n">
        <v>0.444531226609423</v>
      </c>
      <c r="Q1101" s="14" t="n">
        <v>1.5</v>
      </c>
      <c r="R1101" s="14" t="n">
        <v>1.49</v>
      </c>
      <c r="S1101" s="14" t="n">
        <v>4.5</v>
      </c>
    </row>
    <row r="1102" customFormat="false" ht="15" hidden="false" customHeight="false" outlineLevel="0" collapsed="false">
      <c r="A1102" s="13" t="n">
        <v>43858</v>
      </c>
      <c r="B1102" s="14" t="n">
        <v>1.53</v>
      </c>
      <c r="C1102" s="14" t="n">
        <v>1.75</v>
      </c>
      <c r="D1102" s="14" t="n">
        <v>1.5</v>
      </c>
      <c r="E1102" s="14" t="n">
        <v>-0.536</v>
      </c>
      <c r="F1102" s="14" t="n">
        <v>-0.5</v>
      </c>
      <c r="G1102" s="14" t="n">
        <v>0.75</v>
      </c>
      <c r="H1102" s="14" t="n">
        <v>0.7096</v>
      </c>
      <c r="I1102" s="14" t="n">
        <v>0.595880871881618</v>
      </c>
      <c r="J1102" s="14" t="n">
        <v>0.571781673311672</v>
      </c>
      <c r="K1102" s="14" t="n">
        <v>0.526898615670493</v>
      </c>
      <c r="L1102" s="14" t="n">
        <v>0.467764084638148</v>
      </c>
      <c r="Q1102" s="14" t="n">
        <v>1.5</v>
      </c>
      <c r="R1102" s="14" t="n">
        <v>1.49</v>
      </c>
      <c r="S1102" s="14" t="n">
        <v>4.5</v>
      </c>
    </row>
    <row r="1103" customFormat="false" ht="15" hidden="false" customHeight="false" outlineLevel="0" collapsed="false">
      <c r="A1103" s="13" t="n">
        <v>43859</v>
      </c>
      <c r="B1103" s="14" t="n">
        <v>1.53</v>
      </c>
      <c r="C1103" s="14" t="n">
        <v>1.75</v>
      </c>
      <c r="D1103" s="14" t="n">
        <v>1.5</v>
      </c>
      <c r="E1103" s="14" t="n">
        <v>-0.54</v>
      </c>
      <c r="F1103" s="14" t="n">
        <v>-0.5</v>
      </c>
      <c r="G1103" s="14" t="n">
        <v>0.75</v>
      </c>
      <c r="H1103" s="14" t="n">
        <v>0.7103</v>
      </c>
      <c r="I1103" s="14" t="n">
        <v>0.601267478709038</v>
      </c>
      <c r="J1103" s="14" t="n">
        <v>0.57709427733635</v>
      </c>
      <c r="K1103" s="14" t="n">
        <v>0.530125862477549</v>
      </c>
      <c r="L1103" s="14" t="n">
        <v>0.470040964281282</v>
      </c>
      <c r="Q1103" s="14" t="n">
        <v>1.5</v>
      </c>
      <c r="R1103" s="14" t="n">
        <v>1.49</v>
      </c>
      <c r="S1103" s="14" t="n">
        <v>4.5</v>
      </c>
    </row>
    <row r="1104" customFormat="false" ht="15" hidden="false" customHeight="false" outlineLevel="0" collapsed="false">
      <c r="A1104" s="13" t="n">
        <v>43860</v>
      </c>
      <c r="B1104" s="14" t="n">
        <v>1.58</v>
      </c>
      <c r="C1104" s="14" t="n">
        <v>1.75</v>
      </c>
      <c r="D1104" s="14" t="n">
        <v>1.5</v>
      </c>
      <c r="E1104" s="14" t="n">
        <v>-0.539</v>
      </c>
      <c r="F1104" s="14" t="n">
        <v>-0.5</v>
      </c>
      <c r="G1104" s="14" t="n">
        <v>0.75</v>
      </c>
      <c r="H1104" s="14" t="n">
        <v>0.7099</v>
      </c>
      <c r="I1104" s="14" t="n">
        <v>0.713055296149508</v>
      </c>
      <c r="J1104" s="14" t="n">
        <v>0.685522002497489</v>
      </c>
      <c r="K1104" s="14" t="n">
        <v>0.627718148281107</v>
      </c>
      <c r="L1104" s="14" t="n">
        <v>0.556213302262056</v>
      </c>
      <c r="Q1104" s="14" t="n">
        <v>1.5</v>
      </c>
      <c r="R1104" s="14" t="n">
        <v>1.49</v>
      </c>
      <c r="S1104" s="14" t="n">
        <v>4.5</v>
      </c>
    </row>
    <row r="1105" customFormat="false" ht="15" hidden="false" customHeight="false" outlineLevel="0" collapsed="false">
      <c r="A1105" s="13" t="n">
        <v>43861</v>
      </c>
      <c r="B1105" s="14" t="n">
        <v>1.6</v>
      </c>
      <c r="C1105" s="14" t="n">
        <v>1.75</v>
      </c>
      <c r="D1105" s="14" t="n">
        <v>1.5</v>
      </c>
      <c r="E1105" s="14" t="n">
        <v>-0.539</v>
      </c>
      <c r="F1105" s="14" t="n">
        <v>-0.5</v>
      </c>
      <c r="G1105" s="14" t="n">
        <v>0.75</v>
      </c>
      <c r="H1105" s="14" t="n">
        <v>0.7117</v>
      </c>
      <c r="I1105" s="14" t="n">
        <v>0.712606100654639</v>
      </c>
      <c r="J1105" s="14" t="n">
        <v>0.683004967162367</v>
      </c>
      <c r="K1105" s="14" t="n">
        <v>0.622927645144933</v>
      </c>
      <c r="L1105" s="14" t="n">
        <v>0.543804941251107</v>
      </c>
      <c r="Q1105" s="14" t="n">
        <v>1.5</v>
      </c>
      <c r="R1105" s="14" t="n">
        <v>1.49</v>
      </c>
      <c r="S1105" s="14" t="n">
        <v>4.5</v>
      </c>
    </row>
    <row r="1106" customFormat="false" ht="15" hidden="false" customHeight="false" outlineLevel="0" collapsed="false">
      <c r="A1106" s="13" t="n">
        <v>43864</v>
      </c>
      <c r="B1106" s="14" t="n">
        <v>1.59</v>
      </c>
      <c r="C1106" s="14" t="n">
        <v>1.75</v>
      </c>
      <c r="D1106" s="14" t="n">
        <v>1.5</v>
      </c>
      <c r="E1106" s="14" t="n">
        <v>-0.537</v>
      </c>
      <c r="F1106" s="14" t="n">
        <v>-0.5</v>
      </c>
      <c r="G1106" s="14" t="n">
        <v>0.75</v>
      </c>
      <c r="H1106" s="14" t="n">
        <v>0.7104</v>
      </c>
      <c r="I1106" s="14" t="n">
        <v>0.711999073081232</v>
      </c>
      <c r="J1106" s="14" t="n">
        <v>0.681206421310296</v>
      </c>
      <c r="K1106" s="14" t="n">
        <v>0.621781090310727</v>
      </c>
      <c r="L1106" s="14" t="n">
        <v>0.540869202018685</v>
      </c>
      <c r="M1106" s="14" t="n">
        <v>2.806</v>
      </c>
      <c r="N1106" s="14" t="n">
        <v>2.852</v>
      </c>
      <c r="O1106" s="14" t="n">
        <v>2.903</v>
      </c>
      <c r="P1106" s="14" t="n">
        <v>2.98</v>
      </c>
      <c r="Q1106" s="14" t="n">
        <v>1.5</v>
      </c>
      <c r="R1106" s="14" t="n">
        <v>1.49</v>
      </c>
      <c r="S1106" s="14" t="n">
        <v>4.5</v>
      </c>
    </row>
    <row r="1107" customFormat="false" ht="15" hidden="false" customHeight="false" outlineLevel="0" collapsed="false">
      <c r="A1107" s="13" t="n">
        <v>43865</v>
      </c>
      <c r="B1107" s="14" t="n">
        <v>1.6</v>
      </c>
      <c r="C1107" s="14" t="n">
        <v>1.75</v>
      </c>
      <c r="D1107" s="14" t="n">
        <v>1.5</v>
      </c>
      <c r="E1107" s="14" t="n">
        <v>-0.536</v>
      </c>
      <c r="F1107" s="14" t="n">
        <v>-0.5</v>
      </c>
      <c r="G1107" s="14" t="n">
        <v>0.75</v>
      </c>
      <c r="H1107" s="14" t="n">
        <v>0.7104</v>
      </c>
      <c r="I1107" s="14" t="n">
        <v>0.711900176941707</v>
      </c>
      <c r="J1107" s="14" t="n">
        <v>0.693102518347826</v>
      </c>
      <c r="K1107" s="14" t="n">
        <v>0.647790167337558</v>
      </c>
      <c r="L1107" s="14" t="n">
        <v>0.574981449352309</v>
      </c>
      <c r="M1107" s="14" t="n">
        <v>2.76</v>
      </c>
      <c r="N1107" s="14" t="n">
        <v>2.824</v>
      </c>
      <c r="O1107" s="14" t="n">
        <v>2.877</v>
      </c>
      <c r="P1107" s="14" t="n">
        <v>2.959</v>
      </c>
      <c r="Q1107" s="14" t="n">
        <v>1.5</v>
      </c>
      <c r="R1107" s="14" t="n">
        <v>1.49</v>
      </c>
      <c r="S1107" s="14" t="n">
        <v>4.5</v>
      </c>
    </row>
    <row r="1108" customFormat="false" ht="15" hidden="false" customHeight="false" outlineLevel="0" collapsed="false">
      <c r="A1108" s="13" t="n">
        <v>43866</v>
      </c>
      <c r="B1108" s="14" t="n">
        <v>1.59</v>
      </c>
      <c r="C1108" s="14" t="n">
        <v>1.75</v>
      </c>
      <c r="D1108" s="14" t="n">
        <v>1.5</v>
      </c>
      <c r="E1108" s="14" t="n">
        <v>-0.536</v>
      </c>
      <c r="F1108" s="14" t="n">
        <v>-0.5</v>
      </c>
      <c r="G1108" s="14" t="n">
        <v>0.75</v>
      </c>
      <c r="H1108" s="14" t="n">
        <v>0.7107</v>
      </c>
      <c r="I1108" s="14" t="n">
        <v>0.711545653079516</v>
      </c>
      <c r="J1108" s="14" t="n">
        <v>0.694341410179239</v>
      </c>
      <c r="K1108" s="14" t="n">
        <v>0.654025283165359</v>
      </c>
      <c r="L1108" s="14" t="n">
        <v>0.588073242423597</v>
      </c>
      <c r="M1108" s="14" t="n">
        <v>2.696</v>
      </c>
      <c r="N1108" s="14" t="n">
        <v>2.799</v>
      </c>
      <c r="O1108" s="14" t="n">
        <v>2.853</v>
      </c>
      <c r="P1108" s="14" t="n">
        <v>2.936</v>
      </c>
      <c r="Q1108" s="14" t="n">
        <v>1.5</v>
      </c>
      <c r="R1108" s="14" t="n">
        <v>1.49</v>
      </c>
      <c r="S1108" s="14" t="n">
        <v>4.5</v>
      </c>
    </row>
    <row r="1109" customFormat="false" ht="15" hidden="false" customHeight="false" outlineLevel="0" collapsed="false">
      <c r="A1109" s="13" t="n">
        <v>43867</v>
      </c>
      <c r="B1109" s="14" t="n">
        <v>1.59</v>
      </c>
      <c r="C1109" s="14" t="n">
        <v>1.75</v>
      </c>
      <c r="D1109" s="14" t="n">
        <v>1.5</v>
      </c>
      <c r="E1109" s="14" t="n">
        <v>-0.535</v>
      </c>
      <c r="F1109" s="14" t="n">
        <v>-0.5</v>
      </c>
      <c r="G1109" s="14" t="n">
        <v>0.75</v>
      </c>
      <c r="H1109" s="14" t="n">
        <v>0.7107</v>
      </c>
      <c r="I1109" s="14" t="n">
        <v>0.712283050680872</v>
      </c>
      <c r="J1109" s="14" t="n">
        <v>0.691196860471731</v>
      </c>
      <c r="K1109" s="14" t="n">
        <v>0.644189203606191</v>
      </c>
      <c r="L1109" s="14" t="n">
        <v>0.576770635792774</v>
      </c>
      <c r="M1109" s="14" t="n">
        <v>2.651</v>
      </c>
      <c r="N1109" s="14" t="n">
        <v>2.776</v>
      </c>
      <c r="O1109" s="14" t="n">
        <v>2.833</v>
      </c>
      <c r="P1109" s="14" t="n">
        <v>2.913</v>
      </c>
      <c r="Q1109" s="14" t="n">
        <v>1.5</v>
      </c>
      <c r="R1109" s="14" t="n">
        <v>1.49</v>
      </c>
      <c r="S1109" s="14" t="n">
        <v>4.25</v>
      </c>
    </row>
    <row r="1110" customFormat="false" ht="15" hidden="false" customHeight="false" outlineLevel="0" collapsed="false">
      <c r="A1110" s="13" t="n">
        <v>43868</v>
      </c>
      <c r="B1110" s="14" t="n">
        <v>1.58</v>
      </c>
      <c r="C1110" s="14" t="n">
        <v>1.75</v>
      </c>
      <c r="D1110" s="14" t="n">
        <v>1.5</v>
      </c>
      <c r="E1110" s="14" t="n">
        <v>-0.537</v>
      </c>
      <c r="F1110" s="14" t="n">
        <v>-0.5</v>
      </c>
      <c r="G1110" s="14" t="n">
        <v>0.75</v>
      </c>
      <c r="H1110" s="14" t="n">
        <v>0.7112</v>
      </c>
      <c r="I1110" s="14" t="n">
        <v>0.710831601937552</v>
      </c>
      <c r="J1110" s="14" t="n">
        <v>0.688635743871612</v>
      </c>
      <c r="K1110" s="14" t="n">
        <v>0.644954042831154</v>
      </c>
      <c r="L1110" s="14" t="n">
        <v>0.579302318778023</v>
      </c>
      <c r="M1110" s="14" t="n">
        <v>2.628</v>
      </c>
      <c r="N1110" s="14" t="n">
        <v>2.753</v>
      </c>
      <c r="O1110" s="14" t="n">
        <v>2.81</v>
      </c>
      <c r="P1110" s="14" t="n">
        <v>2.897</v>
      </c>
      <c r="Q1110" s="14" t="n">
        <v>1.5</v>
      </c>
      <c r="R1110" s="14" t="n">
        <v>1.49</v>
      </c>
      <c r="S1110" s="14" t="n">
        <v>4.25</v>
      </c>
    </row>
    <row r="1111" customFormat="false" ht="15" hidden="false" customHeight="false" outlineLevel="0" collapsed="false">
      <c r="A1111" s="13" t="n">
        <v>43871</v>
      </c>
      <c r="B1111" s="14" t="n">
        <v>1.58</v>
      </c>
      <c r="C1111" s="14" t="n">
        <v>1.75</v>
      </c>
      <c r="D1111" s="14" t="n">
        <v>1.5</v>
      </c>
      <c r="E1111" s="14" t="n">
        <v>-0.537</v>
      </c>
      <c r="F1111" s="14" t="n">
        <v>-0.5</v>
      </c>
      <c r="G1111" s="14" t="n">
        <v>0.75</v>
      </c>
      <c r="H1111" s="14" t="n">
        <v>0.7095</v>
      </c>
      <c r="I1111" s="14" t="n">
        <v>0.710069712185035</v>
      </c>
      <c r="J1111" s="14" t="n">
        <v>0.686419770476751</v>
      </c>
      <c r="K1111" s="14" t="n">
        <v>0.641175040867517</v>
      </c>
      <c r="L1111" s="14" t="n">
        <v>0.571201131941083</v>
      </c>
      <c r="M1111" s="14" t="n">
        <v>2.577</v>
      </c>
      <c r="N1111" s="14" t="n">
        <v>2.723</v>
      </c>
      <c r="O1111" s="14" t="n">
        <v>2.787</v>
      </c>
      <c r="P1111" s="14" t="n">
        <v>2.877</v>
      </c>
      <c r="Q1111" s="14" t="n">
        <v>1.5</v>
      </c>
      <c r="R1111" s="14" t="n">
        <v>1.49</v>
      </c>
      <c r="S1111" s="14" t="n">
        <v>4.25</v>
      </c>
    </row>
    <row r="1112" customFormat="false" ht="15" hidden="false" customHeight="false" outlineLevel="0" collapsed="false">
      <c r="A1112" s="13" t="n">
        <v>43872</v>
      </c>
      <c r="B1112" s="14" t="n">
        <v>1.58</v>
      </c>
      <c r="C1112" s="14" t="n">
        <v>1.75</v>
      </c>
      <c r="D1112" s="14" t="n">
        <v>1.5</v>
      </c>
      <c r="E1112" s="14" t="n">
        <v>-0.541</v>
      </c>
      <c r="F1112" s="14" t="n">
        <v>-0.5</v>
      </c>
      <c r="G1112" s="14" t="n">
        <v>0.75</v>
      </c>
      <c r="H1112" s="14" t="n">
        <v>0.7097</v>
      </c>
      <c r="I1112" s="14" t="n">
        <v>0.712503533381549</v>
      </c>
      <c r="J1112" s="14" t="n">
        <v>0.689243596166486</v>
      </c>
      <c r="K1112" s="14" t="n">
        <v>0.646333778166416</v>
      </c>
      <c r="L1112" s="14" t="n">
        <v>0.581777859708336</v>
      </c>
      <c r="M1112" s="14" t="n">
        <v>2.527</v>
      </c>
      <c r="N1112" s="14" t="n">
        <v>2.679</v>
      </c>
      <c r="O1112" s="14" t="n">
        <v>2.758</v>
      </c>
      <c r="P1112" s="14" t="n">
        <v>2.856</v>
      </c>
      <c r="Q1112" s="14" t="n">
        <v>1.5</v>
      </c>
      <c r="R1112" s="14" t="n">
        <v>1.49</v>
      </c>
      <c r="S1112" s="14" t="n">
        <v>4.25</v>
      </c>
    </row>
    <row r="1113" customFormat="false" ht="15" hidden="false" customHeight="false" outlineLevel="0" collapsed="false">
      <c r="A1113" s="13" t="n">
        <v>43873</v>
      </c>
      <c r="B1113" s="14" t="n">
        <v>1.57</v>
      </c>
      <c r="C1113" s="14" t="n">
        <v>1.75</v>
      </c>
      <c r="D1113" s="14" t="n">
        <v>1.5</v>
      </c>
      <c r="E1113" s="14" t="n">
        <v>-0.541</v>
      </c>
      <c r="F1113" s="14" t="n">
        <v>-0.5</v>
      </c>
      <c r="G1113" s="14" t="n">
        <v>0.75</v>
      </c>
      <c r="H1113" s="14" t="n">
        <v>0.7098</v>
      </c>
      <c r="I1113" s="14" t="n">
        <v>0.710357913801589</v>
      </c>
      <c r="J1113" s="14" t="n">
        <v>0.687657381427227</v>
      </c>
      <c r="K1113" s="14" t="n">
        <v>0.646570025666783</v>
      </c>
      <c r="L1113" s="14" t="n">
        <v>0.589975054768408</v>
      </c>
      <c r="M1113" s="14" t="n">
        <v>2.495</v>
      </c>
      <c r="N1113" s="14" t="n">
        <v>2.639</v>
      </c>
      <c r="O1113" s="14" t="n">
        <v>2.723</v>
      </c>
      <c r="P1113" s="14" t="n">
        <v>2.845</v>
      </c>
      <c r="Q1113" s="14" t="n">
        <v>1.5</v>
      </c>
      <c r="R1113" s="14" t="n">
        <v>1.49</v>
      </c>
      <c r="S1113" s="14" t="n">
        <v>4.25</v>
      </c>
    </row>
    <row r="1114" customFormat="false" ht="15" hidden="false" customHeight="false" outlineLevel="0" collapsed="false">
      <c r="A1114" s="13" t="n">
        <v>43874</v>
      </c>
      <c r="B1114" s="14" t="n">
        <v>1.57</v>
      </c>
      <c r="C1114" s="14" t="n">
        <v>1.75</v>
      </c>
      <c r="D1114" s="14" t="n">
        <v>1.5</v>
      </c>
      <c r="E1114" s="14" t="n">
        <v>-0.54</v>
      </c>
      <c r="F1114" s="14" t="n">
        <v>-0.5</v>
      </c>
      <c r="G1114" s="14" t="n">
        <v>0.75</v>
      </c>
      <c r="H1114" s="14" t="n">
        <v>0.7106</v>
      </c>
      <c r="I1114" s="14" t="n">
        <v>0.706392446168033</v>
      </c>
      <c r="J1114" s="14" t="n">
        <v>0.690087958420193</v>
      </c>
      <c r="K1114" s="14" t="n">
        <v>0.651838543834165</v>
      </c>
      <c r="L1114" s="14" t="n">
        <v>0.595131682538185</v>
      </c>
      <c r="M1114" s="14" t="n">
        <v>2.454</v>
      </c>
      <c r="N1114" s="14" t="n">
        <v>2.605</v>
      </c>
      <c r="O1114" s="14" t="n">
        <v>2.691</v>
      </c>
      <c r="P1114" s="14" t="n">
        <v>2.834</v>
      </c>
      <c r="Q1114" s="14" t="n">
        <v>1.5</v>
      </c>
      <c r="R1114" s="14" t="n">
        <v>1.49</v>
      </c>
      <c r="S1114" s="14" t="n">
        <v>4.25</v>
      </c>
    </row>
    <row r="1115" customFormat="false" ht="15" hidden="false" customHeight="false" outlineLevel="0" collapsed="false">
      <c r="A1115" s="13" t="n">
        <v>43875</v>
      </c>
      <c r="B1115" s="14" t="n">
        <v>1.58</v>
      </c>
      <c r="C1115" s="14" t="n">
        <v>1.75</v>
      </c>
      <c r="D1115" s="14" t="n">
        <v>1.5</v>
      </c>
      <c r="E1115" s="14" t="n">
        <v>-0.538</v>
      </c>
      <c r="F1115" s="14" t="n">
        <v>-0.5</v>
      </c>
      <c r="G1115" s="14" t="n">
        <v>0.75</v>
      </c>
      <c r="H1115" s="14" t="n">
        <v>0.7103</v>
      </c>
      <c r="I1115" s="14" t="n">
        <v>0.70525585067208</v>
      </c>
      <c r="J1115" s="14" t="n">
        <v>0.689883501184156</v>
      </c>
      <c r="K1115" s="14" t="n">
        <v>0.652886639556701</v>
      </c>
      <c r="L1115" s="14" t="n">
        <v>0.596431043018645</v>
      </c>
      <c r="M1115" s="14" t="n">
        <v>2.416</v>
      </c>
      <c r="N1115" s="14" t="n">
        <v>2.565</v>
      </c>
      <c r="O1115" s="14" t="n">
        <v>2.664</v>
      </c>
      <c r="P1115" s="14" t="n">
        <v>2.817</v>
      </c>
      <c r="Q1115" s="14" t="n">
        <v>1.5</v>
      </c>
      <c r="R1115" s="14" t="n">
        <v>1.49</v>
      </c>
      <c r="S1115" s="14" t="n">
        <v>4.25</v>
      </c>
    </row>
    <row r="1116" customFormat="false" ht="15" hidden="false" customHeight="false" outlineLevel="0" collapsed="false">
      <c r="A1116" s="13" t="n">
        <v>43878</v>
      </c>
      <c r="C1116" s="14" t="n">
        <v>1.75</v>
      </c>
      <c r="D1116" s="14" t="n">
        <v>1.5</v>
      </c>
      <c r="E1116" s="14" t="n">
        <v>-0.541</v>
      </c>
      <c r="F1116" s="14" t="n">
        <v>-0.5</v>
      </c>
      <c r="G1116" s="14" t="n">
        <v>0.75</v>
      </c>
      <c r="H1116" s="14" t="n">
        <v>0.7092</v>
      </c>
      <c r="I1116" s="14" t="n">
        <v>0.701921712001115</v>
      </c>
      <c r="J1116" s="14" t="n">
        <v>0.689895022826971</v>
      </c>
      <c r="K1116" s="14" t="n">
        <v>0.654636350600821</v>
      </c>
      <c r="L1116" s="14" t="n">
        <v>0.601868823454773</v>
      </c>
      <c r="M1116" s="14" t="n">
        <v>2.4</v>
      </c>
      <c r="N1116" s="14" t="n">
        <v>2.545</v>
      </c>
      <c r="O1116" s="14" t="n">
        <v>2.651</v>
      </c>
      <c r="P1116" s="14" t="n">
        <v>2.807</v>
      </c>
      <c r="Q1116" s="14" t="n">
        <v>1.5</v>
      </c>
      <c r="R1116" s="14" t="n">
        <v>1.49</v>
      </c>
      <c r="S1116" s="14" t="n">
        <v>4.25</v>
      </c>
    </row>
    <row r="1117" customFormat="false" ht="15" hidden="false" customHeight="false" outlineLevel="0" collapsed="false">
      <c r="A1117" s="13" t="n">
        <v>43879</v>
      </c>
      <c r="B1117" s="14" t="n">
        <v>1.6</v>
      </c>
      <c r="C1117" s="14" t="n">
        <v>1.75</v>
      </c>
      <c r="D1117" s="14" t="n">
        <v>1.5</v>
      </c>
      <c r="E1117" s="14" t="n">
        <v>-0.536</v>
      </c>
      <c r="F1117" s="14" t="n">
        <v>-0.5</v>
      </c>
      <c r="G1117" s="14" t="n">
        <v>0.75</v>
      </c>
      <c r="H1117" s="14" t="n">
        <v>0.7095</v>
      </c>
      <c r="I1117" s="14" t="n">
        <v>0.712252330905701</v>
      </c>
      <c r="J1117" s="14" t="n">
        <v>0.690728259564139</v>
      </c>
      <c r="K1117" s="14" t="n">
        <v>0.651609219618851</v>
      </c>
      <c r="L1117" s="14" t="n">
        <v>0.59454531288107</v>
      </c>
      <c r="M1117" s="14" t="n">
        <v>2.387</v>
      </c>
      <c r="N1117" s="14" t="n">
        <v>2.525</v>
      </c>
      <c r="O1117" s="14" t="n">
        <v>2.633</v>
      </c>
      <c r="P1117" s="14" t="n">
        <v>2.786</v>
      </c>
      <c r="Q1117" s="14" t="n">
        <v>1.5</v>
      </c>
      <c r="R1117" s="14" t="n">
        <v>1.49</v>
      </c>
      <c r="S1117" s="14" t="n">
        <v>4.25</v>
      </c>
    </row>
    <row r="1118" customFormat="false" ht="15" hidden="false" customHeight="false" outlineLevel="0" collapsed="false">
      <c r="A1118" s="13" t="n">
        <v>43880</v>
      </c>
      <c r="B1118" s="14" t="n">
        <v>1.59</v>
      </c>
      <c r="C1118" s="14" t="n">
        <v>1.75</v>
      </c>
      <c r="D1118" s="14" t="n">
        <v>1.5</v>
      </c>
      <c r="E1118" s="14" t="n">
        <v>-0.538</v>
      </c>
      <c r="F1118" s="14" t="n">
        <v>-0.5</v>
      </c>
      <c r="G1118" s="14" t="n">
        <v>0.75</v>
      </c>
      <c r="H1118" s="14" t="n">
        <v>0.7102</v>
      </c>
      <c r="I1118" s="14" t="n">
        <v>0.711283087201433</v>
      </c>
      <c r="J1118" s="14" t="n">
        <v>0.69126442437999</v>
      </c>
      <c r="K1118" s="14" t="n">
        <v>0.653048843182285</v>
      </c>
      <c r="L1118" s="14" t="n">
        <v>0.595576650127381</v>
      </c>
      <c r="M1118" s="14" t="n">
        <v>2.371</v>
      </c>
      <c r="N1118" s="14" t="n">
        <v>2.51</v>
      </c>
      <c r="O1118" s="14" t="n">
        <v>2.618</v>
      </c>
      <c r="P1118" s="14" t="n">
        <v>2.773</v>
      </c>
      <c r="Q1118" s="14" t="n">
        <v>1.5</v>
      </c>
      <c r="R1118" s="14" t="n">
        <v>1.49</v>
      </c>
      <c r="S1118" s="14" t="n">
        <v>4.25</v>
      </c>
    </row>
    <row r="1119" customFormat="false" ht="15" hidden="false" customHeight="false" outlineLevel="0" collapsed="false">
      <c r="A1119" s="13" t="n">
        <v>43881</v>
      </c>
      <c r="B1119" s="14" t="n">
        <v>1.6</v>
      </c>
      <c r="C1119" s="14" t="n">
        <v>1.75</v>
      </c>
      <c r="D1119" s="14" t="n">
        <v>1.5</v>
      </c>
      <c r="E1119" s="14" t="n">
        <v>-0.538</v>
      </c>
      <c r="F1119" s="14" t="n">
        <v>-0.5</v>
      </c>
      <c r="G1119" s="14" t="n">
        <v>0.75</v>
      </c>
      <c r="H1119" s="14" t="n">
        <v>0.711</v>
      </c>
      <c r="I1119" s="14" t="n">
        <v>0.711223194155595</v>
      </c>
      <c r="J1119" s="14" t="n">
        <v>0.690250671964189</v>
      </c>
      <c r="K1119" s="14" t="n">
        <v>0.651751171021192</v>
      </c>
      <c r="L1119" s="14" t="n">
        <v>0.589555448648129</v>
      </c>
      <c r="M1119" s="14" t="n">
        <v>2.359</v>
      </c>
      <c r="N1119" s="14" t="n">
        <v>2.5</v>
      </c>
      <c r="O1119" s="14" t="n">
        <v>2.61</v>
      </c>
      <c r="P1119" s="14" t="n">
        <v>2.767</v>
      </c>
      <c r="Q1119" s="14" t="n">
        <v>1.5</v>
      </c>
      <c r="R1119" s="14" t="n">
        <v>1.49</v>
      </c>
      <c r="S1119" s="14" t="n">
        <v>4.25</v>
      </c>
    </row>
    <row r="1120" customFormat="false" ht="15" hidden="false" customHeight="false" outlineLevel="0" collapsed="false">
      <c r="A1120" s="13" t="n">
        <v>43882</v>
      </c>
      <c r="B1120" s="14" t="n">
        <v>1.58</v>
      </c>
      <c r="C1120" s="14" t="n">
        <v>1.75</v>
      </c>
      <c r="D1120" s="14" t="n">
        <v>1.5</v>
      </c>
      <c r="E1120" s="14" t="n">
        <v>-0.539</v>
      </c>
      <c r="F1120" s="14" t="n">
        <v>-0.5</v>
      </c>
      <c r="G1120" s="14" t="n">
        <v>0.75</v>
      </c>
      <c r="H1120" s="14" t="n">
        <v>0.7112</v>
      </c>
      <c r="I1120" s="14" t="n">
        <v>0.711458810040568</v>
      </c>
      <c r="J1120" s="14" t="n">
        <v>0.690151545020239</v>
      </c>
      <c r="K1120" s="14" t="n">
        <v>0.650472409081041</v>
      </c>
      <c r="L1120" s="14" t="n">
        <v>0.589362207598367</v>
      </c>
      <c r="M1120" s="14" t="n">
        <v>2.343</v>
      </c>
      <c r="N1120" s="14" t="n">
        <v>2.489</v>
      </c>
      <c r="O1120" s="14" t="n">
        <v>2.605</v>
      </c>
      <c r="P1120" s="14" t="n">
        <v>2.76</v>
      </c>
      <c r="Q1120" s="14" t="n">
        <v>1.5</v>
      </c>
      <c r="R1120" s="14" t="n">
        <v>1.49</v>
      </c>
      <c r="S1120" s="14" t="n">
        <v>4.25</v>
      </c>
    </row>
    <row r="1121" customFormat="false" ht="15" hidden="false" customHeight="false" outlineLevel="0" collapsed="false">
      <c r="A1121" s="13" t="n">
        <v>43885</v>
      </c>
      <c r="B1121" s="14" t="n">
        <v>1.58</v>
      </c>
      <c r="C1121" s="14" t="n">
        <v>1.75</v>
      </c>
      <c r="D1121" s="14" t="n">
        <v>1.5</v>
      </c>
      <c r="E1121" s="14" t="n">
        <v>-0.54</v>
      </c>
      <c r="F1121" s="14" t="n">
        <v>-0.5</v>
      </c>
      <c r="G1121" s="14" t="n">
        <v>0.75</v>
      </c>
      <c r="H1121" s="14" t="n">
        <v>0.7105</v>
      </c>
      <c r="I1121" s="14" t="n">
        <v>0.708260158937427</v>
      </c>
      <c r="J1121" s="14" t="n">
        <v>0.672293848365875</v>
      </c>
      <c r="K1121" s="14" t="n">
        <v>0.617918700558355</v>
      </c>
      <c r="L1121" s="14" t="n">
        <v>0.539480301913529</v>
      </c>
      <c r="M1121" s="14" t="n">
        <v>2.33</v>
      </c>
      <c r="N1121" s="14" t="n">
        <v>2.476</v>
      </c>
      <c r="O1121" s="14" t="n">
        <v>2.601</v>
      </c>
      <c r="P1121" s="14" t="n">
        <v>2.755</v>
      </c>
      <c r="Q1121" s="14" t="n">
        <v>1.5</v>
      </c>
      <c r="R1121" s="14" t="n">
        <v>1.49</v>
      </c>
      <c r="S1121" s="14" t="n">
        <v>4.25</v>
      </c>
    </row>
    <row r="1122" customFormat="false" ht="15" hidden="false" customHeight="false" outlineLevel="0" collapsed="false">
      <c r="A1122" s="13" t="n">
        <v>43886</v>
      </c>
      <c r="B1122" s="14" t="n">
        <v>1.59</v>
      </c>
      <c r="C1122" s="14" t="n">
        <v>1.75</v>
      </c>
      <c r="D1122" s="14" t="n">
        <v>1.5</v>
      </c>
      <c r="E1122" s="14" t="n">
        <v>-0.539</v>
      </c>
      <c r="F1122" s="14" t="n">
        <v>-0.5</v>
      </c>
      <c r="G1122" s="14" t="n">
        <v>0.75</v>
      </c>
      <c r="H1122" s="14" t="n">
        <v>0.7109</v>
      </c>
      <c r="I1122" s="14" t="n">
        <v>0.713017256392782</v>
      </c>
      <c r="J1122" s="14" t="n">
        <v>0.667593151228691</v>
      </c>
      <c r="K1122" s="14" t="n">
        <v>0.60749135770239</v>
      </c>
      <c r="L1122" s="14" t="n">
        <v>0.524215037107851</v>
      </c>
      <c r="M1122" s="14" t="n">
        <v>2.318</v>
      </c>
      <c r="N1122" s="14" t="n">
        <v>2.459</v>
      </c>
      <c r="O1122" s="14" t="n">
        <v>2.59</v>
      </c>
      <c r="P1122" s="14" t="n">
        <v>2.752</v>
      </c>
      <c r="Q1122" s="14" t="n">
        <v>1.5</v>
      </c>
      <c r="R1122" s="14" t="n">
        <v>1.49</v>
      </c>
      <c r="S1122" s="14" t="n">
        <v>4.25</v>
      </c>
    </row>
    <row r="1123" customFormat="false" ht="15" hidden="false" customHeight="false" outlineLevel="0" collapsed="false">
      <c r="A1123" s="13" t="n">
        <v>43887</v>
      </c>
      <c r="B1123" s="14" t="n">
        <v>1.58</v>
      </c>
      <c r="C1123" s="14" t="n">
        <v>1.75</v>
      </c>
      <c r="D1123" s="14" t="n">
        <v>1.5</v>
      </c>
      <c r="E1123" s="14" t="n">
        <v>-0.539</v>
      </c>
      <c r="F1123" s="14" t="n">
        <v>-0.5</v>
      </c>
      <c r="G1123" s="14" t="n">
        <v>0.75</v>
      </c>
      <c r="H1123" s="14" t="n">
        <v>0.7114</v>
      </c>
      <c r="I1123" s="14" t="n">
        <v>0.719201370979697</v>
      </c>
      <c r="J1123" s="14" t="n">
        <v>0.661563675665217</v>
      </c>
      <c r="K1123" s="14" t="n">
        <v>0.593968871389132</v>
      </c>
      <c r="L1123" s="14" t="n">
        <v>0.506326094544108</v>
      </c>
      <c r="M1123" s="14" t="n">
        <v>2.306</v>
      </c>
      <c r="N1123" s="14" t="n">
        <v>2.442</v>
      </c>
      <c r="O1123" s="14" t="n">
        <v>2.577</v>
      </c>
      <c r="P1123" s="14" t="n">
        <v>2.744</v>
      </c>
      <c r="Q1123" s="14" t="n">
        <v>1.5</v>
      </c>
      <c r="R1123" s="14" t="n">
        <v>1.49</v>
      </c>
      <c r="S1123" s="14" t="n">
        <v>4.25</v>
      </c>
    </row>
    <row r="1124" customFormat="false" ht="15" hidden="false" customHeight="false" outlineLevel="0" collapsed="false">
      <c r="A1124" s="13" t="n">
        <v>43888</v>
      </c>
      <c r="B1124" s="14" t="n">
        <v>1.58</v>
      </c>
      <c r="C1124" s="14" t="n">
        <v>1.75</v>
      </c>
      <c r="D1124" s="14" t="n">
        <v>1.5</v>
      </c>
      <c r="E1124" s="14" t="n">
        <v>-0.538</v>
      </c>
      <c r="F1124" s="14" t="n">
        <v>-0.5</v>
      </c>
      <c r="G1124" s="14" t="n">
        <v>0.75</v>
      </c>
      <c r="H1124" s="14" t="n">
        <v>0.7106</v>
      </c>
      <c r="I1124" s="14" t="n">
        <v>0.692949719206881</v>
      </c>
      <c r="J1124" s="14" t="n">
        <v>0.623302735656493</v>
      </c>
      <c r="K1124" s="14" t="n">
        <v>0.552570341417288</v>
      </c>
      <c r="L1124" s="14" t="n">
        <v>0.479370177525907</v>
      </c>
      <c r="M1124" s="14" t="n">
        <v>2.301</v>
      </c>
      <c r="N1124" s="14" t="n">
        <v>2.433</v>
      </c>
      <c r="O1124" s="14" t="n">
        <v>2.564</v>
      </c>
      <c r="P1124" s="14" t="n">
        <v>2.74</v>
      </c>
      <c r="Q1124" s="14" t="n">
        <v>1.5</v>
      </c>
      <c r="R1124" s="14" t="n">
        <v>1.49</v>
      </c>
      <c r="S1124" s="14" t="n">
        <v>4.25</v>
      </c>
    </row>
    <row r="1125" customFormat="false" ht="15" hidden="false" customHeight="false" outlineLevel="0" collapsed="false">
      <c r="A1125" s="13" t="n">
        <v>43889</v>
      </c>
      <c r="B1125" s="14" t="n">
        <v>1.6</v>
      </c>
      <c r="C1125" s="14" t="n">
        <v>1.75</v>
      </c>
      <c r="D1125" s="14" t="n">
        <v>1.5</v>
      </c>
      <c r="E1125" s="14" t="n">
        <v>-0.54</v>
      </c>
      <c r="F1125" s="14" t="n">
        <v>-0.5</v>
      </c>
      <c r="G1125" s="14" t="n">
        <v>0.75</v>
      </c>
      <c r="H1125" s="14" t="n">
        <v>0.7098</v>
      </c>
      <c r="I1125" s="14" t="n">
        <v>0.669282716760832</v>
      </c>
      <c r="J1125" s="14" t="n">
        <v>0.574734488397768</v>
      </c>
      <c r="K1125" s="14" t="n">
        <v>0.49974106428416</v>
      </c>
      <c r="L1125" s="14" t="n">
        <v>0.428603674482026</v>
      </c>
      <c r="M1125" s="14" t="n">
        <v>2.301</v>
      </c>
      <c r="N1125" s="14" t="n">
        <v>2.429</v>
      </c>
      <c r="O1125" s="14" t="n">
        <v>2.56</v>
      </c>
      <c r="P1125" s="14" t="n">
        <v>2.735</v>
      </c>
      <c r="Q1125" s="14" t="n">
        <v>1.5</v>
      </c>
      <c r="R1125" s="14" t="n">
        <v>1.51</v>
      </c>
      <c r="S1125" s="14" t="n">
        <v>4.25</v>
      </c>
    </row>
    <row r="1126" customFormat="false" ht="15" hidden="false" customHeight="false" outlineLevel="0" collapsed="false">
      <c r="A1126" s="13" t="n">
        <v>43892</v>
      </c>
      <c r="B1126" s="14" t="n">
        <v>1.59</v>
      </c>
      <c r="C1126" s="14" t="n">
        <v>1.75</v>
      </c>
      <c r="D1126" s="14" t="n">
        <v>1.5</v>
      </c>
      <c r="E1126" s="14" t="n">
        <v>-0.542</v>
      </c>
      <c r="F1126" s="14" t="n">
        <v>-0.5</v>
      </c>
      <c r="G1126" s="14" t="n">
        <v>0.75</v>
      </c>
      <c r="H1126" s="14" t="n">
        <v>0.7089</v>
      </c>
      <c r="I1126" s="14" t="n">
        <v>0.595260013700855</v>
      </c>
      <c r="J1126" s="14" t="n">
        <v>0.491037721475722</v>
      </c>
      <c r="K1126" s="14" t="n">
        <v>0.417975194089527</v>
      </c>
      <c r="L1126" s="14" t="n">
        <v>0.356018574141092</v>
      </c>
      <c r="M1126" s="14" t="n">
        <v>2.27</v>
      </c>
      <c r="N1126" s="14" t="n">
        <v>2.408</v>
      </c>
      <c r="O1126" s="14" t="n">
        <v>2.548</v>
      </c>
      <c r="P1126" s="14" t="n">
        <v>2.722</v>
      </c>
      <c r="Q1126" s="14" t="n">
        <v>1.5</v>
      </c>
      <c r="R1126" s="14" t="n">
        <v>1.49</v>
      </c>
      <c r="S1126" s="14" t="n">
        <v>4.25</v>
      </c>
    </row>
    <row r="1127" customFormat="false" ht="15" hidden="false" customHeight="false" outlineLevel="0" collapsed="false">
      <c r="A1127" s="13" t="n">
        <v>43893</v>
      </c>
      <c r="B1127" s="14" t="n">
        <v>1.64</v>
      </c>
      <c r="C1127" s="14" t="n">
        <v>1.75</v>
      </c>
      <c r="D1127" s="14" t="n">
        <v>1.5</v>
      </c>
      <c r="E1127" s="14" t="n">
        <v>-0.542</v>
      </c>
      <c r="F1127" s="14" t="n">
        <v>-0.5</v>
      </c>
      <c r="G1127" s="14" t="n">
        <v>0.75</v>
      </c>
      <c r="H1127" s="14" t="n">
        <v>0.7098</v>
      </c>
      <c r="I1127" s="14" t="n">
        <v>0.521180868168576</v>
      </c>
      <c r="J1127" s="14" t="n">
        <v>0.430350000702688</v>
      </c>
      <c r="K1127" s="14" t="n">
        <v>0.370037422070622</v>
      </c>
      <c r="L1127" s="14" t="n">
        <v>0.309931567925316</v>
      </c>
      <c r="M1127" s="14" t="n">
        <v>2.229</v>
      </c>
      <c r="N1127" s="14" t="n">
        <v>2.375</v>
      </c>
      <c r="O1127" s="14" t="n">
        <v>2.528</v>
      </c>
      <c r="P1127" s="14" t="n">
        <v>2.706</v>
      </c>
      <c r="Q1127" s="14" t="n">
        <v>1.5</v>
      </c>
      <c r="R1127" s="14" t="n">
        <v>1.49</v>
      </c>
      <c r="S1127" s="14" t="n">
        <v>4.25</v>
      </c>
    </row>
    <row r="1128" customFormat="false" ht="15" hidden="false" customHeight="false" outlineLevel="0" collapsed="false">
      <c r="A1128" s="13" t="n">
        <v>43894</v>
      </c>
      <c r="B1128" s="14" t="n">
        <v>1.23</v>
      </c>
      <c r="C1128" s="14" t="n">
        <v>1.25</v>
      </c>
      <c r="D1128" s="14" t="n">
        <v>1</v>
      </c>
      <c r="E1128" s="14" t="n">
        <v>-0.541</v>
      </c>
      <c r="F1128" s="14" t="n">
        <v>-0.5</v>
      </c>
      <c r="G1128" s="14" t="n">
        <v>0.75</v>
      </c>
      <c r="H1128" s="14" t="n">
        <v>0.71</v>
      </c>
      <c r="I1128" s="14" t="n">
        <v>0.533232681284056</v>
      </c>
      <c r="J1128" s="14" t="n">
        <v>0.404904021110185</v>
      </c>
      <c r="K1128" s="14" t="n">
        <v>0.331944197181712</v>
      </c>
      <c r="L1128" s="14" t="n">
        <v>0.28190524196951</v>
      </c>
      <c r="M1128" s="14" t="n">
        <v>2.174</v>
      </c>
      <c r="N1128" s="14" t="n">
        <v>2.332</v>
      </c>
      <c r="O1128" s="14" t="n">
        <v>2.499</v>
      </c>
      <c r="P1128" s="14" t="n">
        <v>2.679</v>
      </c>
      <c r="Q1128" s="14" t="n">
        <v>1.5</v>
      </c>
      <c r="R1128" s="14" t="n">
        <v>1.49</v>
      </c>
      <c r="S1128" s="14" t="n">
        <v>4.25</v>
      </c>
    </row>
    <row r="1129" customFormat="false" ht="15" hidden="false" customHeight="false" outlineLevel="0" collapsed="false">
      <c r="A1129" s="13" t="n">
        <v>43895</v>
      </c>
      <c r="B1129" s="14" t="n">
        <v>1.12</v>
      </c>
      <c r="C1129" s="14" t="n">
        <v>1.25</v>
      </c>
      <c r="D1129" s="14" t="n">
        <v>1</v>
      </c>
      <c r="E1129" s="14" t="n">
        <v>-0.54</v>
      </c>
      <c r="F1129" s="14" t="n">
        <v>-0.5</v>
      </c>
      <c r="G1129" s="14" t="n">
        <v>0.75</v>
      </c>
      <c r="H1129" s="14" t="n">
        <v>0.7089</v>
      </c>
      <c r="I1129" s="14" t="n">
        <v>0.536965637204253</v>
      </c>
      <c r="J1129" s="14" t="n">
        <v>0.396977369374174</v>
      </c>
      <c r="K1129" s="14" t="n">
        <v>0.317383347153516</v>
      </c>
      <c r="L1129" s="14" t="n">
        <v>0.253838507383515</v>
      </c>
      <c r="M1129" s="14" t="n">
        <v>2.15</v>
      </c>
      <c r="N1129" s="14" t="n">
        <v>2.29</v>
      </c>
      <c r="O1129" s="14" t="n">
        <v>2.467</v>
      </c>
      <c r="P1129" s="14" t="n">
        <v>2.651</v>
      </c>
      <c r="Q1129" s="14" t="n">
        <v>1.5</v>
      </c>
      <c r="R1129" s="14" t="n">
        <v>1.49</v>
      </c>
      <c r="S1129" s="14" t="n">
        <v>4.25</v>
      </c>
    </row>
    <row r="1130" customFormat="false" ht="15" hidden="false" customHeight="false" outlineLevel="0" collapsed="false">
      <c r="A1130" s="13" t="n">
        <v>43896</v>
      </c>
      <c r="B1130" s="14" t="n">
        <v>1.1</v>
      </c>
      <c r="C1130" s="14" t="n">
        <v>1.25</v>
      </c>
      <c r="D1130" s="14" t="n">
        <v>1</v>
      </c>
      <c r="E1130" s="14" t="n">
        <v>-0.541</v>
      </c>
      <c r="F1130" s="14" t="n">
        <v>-0.5</v>
      </c>
      <c r="G1130" s="14" t="n">
        <v>0.75</v>
      </c>
      <c r="H1130" s="14" t="n">
        <v>0.7087</v>
      </c>
      <c r="I1130" s="14" t="n">
        <v>0.517795336412277</v>
      </c>
      <c r="J1130" s="14" t="n">
        <v>0.393805696301287</v>
      </c>
      <c r="K1130" s="14" t="n">
        <v>0.321422773040497</v>
      </c>
      <c r="L1130" s="14" t="n">
        <v>0.270933941770849</v>
      </c>
      <c r="M1130" s="14" t="n">
        <v>2.126</v>
      </c>
      <c r="N1130" s="14" t="n">
        <v>2.258</v>
      </c>
      <c r="O1130" s="14" t="n">
        <v>2.427</v>
      </c>
      <c r="P1130" s="14" t="n">
        <v>2.616</v>
      </c>
      <c r="Q1130" s="14" t="n">
        <v>1.5</v>
      </c>
      <c r="R1130" s="14" t="n">
        <v>1.49</v>
      </c>
      <c r="S1130" s="14" t="n">
        <v>4.25</v>
      </c>
    </row>
    <row r="1131" customFormat="false" ht="15" hidden="false" customHeight="false" outlineLevel="0" collapsed="false">
      <c r="A1131" s="13" t="n">
        <v>43899</v>
      </c>
      <c r="B1131" s="14" t="n">
        <v>1.09</v>
      </c>
      <c r="C1131" s="14" t="n">
        <v>1.25</v>
      </c>
      <c r="D1131" s="14" t="n">
        <v>1</v>
      </c>
      <c r="E1131" s="14" t="n">
        <v>-0.539</v>
      </c>
      <c r="F1131" s="14" t="n">
        <v>-0.5</v>
      </c>
      <c r="G1131" s="14" t="n">
        <v>0.75</v>
      </c>
      <c r="H1131" s="14" t="n">
        <v>0.7091</v>
      </c>
      <c r="I1131" s="14" t="n">
        <v>0.413491601943682</v>
      </c>
      <c r="J1131" s="14" t="n">
        <v>0.32073067299082</v>
      </c>
      <c r="K1131" s="14" t="n">
        <v>0.287210980236459</v>
      </c>
      <c r="L1131" s="14" t="n">
        <v>0.246666795083054</v>
      </c>
      <c r="M1131" s="14" t="n">
        <v>2.115</v>
      </c>
      <c r="N1131" s="14" t="n">
        <v>2.238</v>
      </c>
      <c r="O1131" s="14" t="n">
        <v>2.407</v>
      </c>
      <c r="P1131" s="14" t="n">
        <v>2.591</v>
      </c>
      <c r="Q1131" s="14" t="n">
        <v>1.5</v>
      </c>
      <c r="R1131" s="14" t="n">
        <v>1.49</v>
      </c>
      <c r="S1131" s="14" t="n">
        <v>4.25</v>
      </c>
    </row>
    <row r="1132" customFormat="false" ht="15" hidden="false" customHeight="false" outlineLevel="0" collapsed="false">
      <c r="A1132" s="13" t="n">
        <v>43900</v>
      </c>
      <c r="B1132" s="14" t="n">
        <v>1.11</v>
      </c>
      <c r="C1132" s="14" t="n">
        <v>1.25</v>
      </c>
      <c r="D1132" s="14" t="n">
        <v>1</v>
      </c>
      <c r="E1132" s="14" t="n">
        <v>-0.541</v>
      </c>
      <c r="F1132" s="14" t="n">
        <v>-0.5</v>
      </c>
      <c r="G1132" s="14" t="n">
        <v>0.75</v>
      </c>
      <c r="H1132" s="14" t="n">
        <v>0.7091</v>
      </c>
      <c r="I1132" s="14" t="n">
        <v>0.459678263739668</v>
      </c>
      <c r="J1132" s="14" t="n">
        <v>0.352736204278787</v>
      </c>
      <c r="K1132" s="14" t="n">
        <v>0.303304933709825</v>
      </c>
      <c r="L1132" s="14" t="n">
        <v>0.27259961911675</v>
      </c>
      <c r="M1132" s="14" t="n">
        <v>2.132</v>
      </c>
      <c r="N1132" s="14" t="n">
        <v>2.225</v>
      </c>
      <c r="O1132" s="14" t="n">
        <v>2.391</v>
      </c>
      <c r="P1132" s="14" t="n">
        <v>2.586</v>
      </c>
      <c r="Q1132" s="14" t="n">
        <v>1.5</v>
      </c>
      <c r="R1132" s="14" t="n">
        <v>1.49</v>
      </c>
      <c r="S1132" s="14" t="n">
        <v>4.25</v>
      </c>
    </row>
    <row r="1133" customFormat="false" ht="15" hidden="false" customHeight="false" outlineLevel="0" collapsed="false">
      <c r="A1133" s="13" t="n">
        <v>43901</v>
      </c>
      <c r="B1133" s="14" t="n">
        <v>1.15</v>
      </c>
      <c r="C1133" s="14" t="n">
        <v>1.25</v>
      </c>
      <c r="D1133" s="14" t="n">
        <v>1</v>
      </c>
      <c r="E1133" s="14" t="n">
        <v>-0.543</v>
      </c>
      <c r="F1133" s="14" t="n">
        <v>-0.5</v>
      </c>
      <c r="G1133" s="14" t="n">
        <v>0.25</v>
      </c>
      <c r="H1133" s="14" t="n">
        <v>0.2092</v>
      </c>
      <c r="I1133" s="14" t="n">
        <v>0.192812599573403</v>
      </c>
      <c r="J1133" s="14" t="n">
        <v>0.172821244352956</v>
      </c>
      <c r="K1133" s="14" t="n">
        <v>0.161672561239997</v>
      </c>
      <c r="L1133" s="14" t="n">
        <v>0.166366851867676</v>
      </c>
      <c r="M1133" s="14" t="n">
        <v>2.145</v>
      </c>
      <c r="N1133" s="14" t="n">
        <v>2.224</v>
      </c>
      <c r="O1133" s="14" t="n">
        <v>2.379</v>
      </c>
      <c r="P1133" s="14" t="n">
        <v>2.557</v>
      </c>
      <c r="Q1133" s="14" t="n">
        <v>1.5</v>
      </c>
      <c r="R1133" s="14" t="n">
        <v>1.49</v>
      </c>
      <c r="S1133" s="14" t="n">
        <v>4.25</v>
      </c>
    </row>
    <row r="1134" customFormat="false" ht="15" hidden="false" customHeight="false" outlineLevel="0" collapsed="false">
      <c r="A1134" s="13" t="n">
        <v>43902</v>
      </c>
      <c r="B1134" s="14" t="n">
        <v>1.2</v>
      </c>
      <c r="C1134" s="14" t="n">
        <v>1.25</v>
      </c>
      <c r="D1134" s="14" t="n">
        <v>1</v>
      </c>
      <c r="E1134" s="14" t="n">
        <v>-0.54</v>
      </c>
      <c r="F1134" s="14" t="n">
        <v>-0.5</v>
      </c>
      <c r="G1134" s="14" t="n">
        <v>0.25</v>
      </c>
      <c r="H1134" s="14" t="n">
        <v>0.2093</v>
      </c>
      <c r="I1134" s="14" t="n">
        <v>0.173740981162285</v>
      </c>
      <c r="J1134" s="14" t="n">
        <v>0.157636637030215</v>
      </c>
      <c r="K1134" s="14" t="n">
        <v>0.154054987750774</v>
      </c>
      <c r="L1134" s="14" t="n">
        <v>0.16705751611417</v>
      </c>
      <c r="M1134" s="14" t="n">
        <v>2.13</v>
      </c>
      <c r="N1134" s="14" t="n">
        <v>2.223</v>
      </c>
      <c r="O1134" s="14" t="n">
        <v>2.365</v>
      </c>
      <c r="P1134" s="14" t="n">
        <v>2.534</v>
      </c>
      <c r="Q1134" s="14" t="n">
        <v>1.5</v>
      </c>
      <c r="R1134" s="14" t="n">
        <v>1.49</v>
      </c>
      <c r="S1134" s="14" t="n">
        <v>4.25</v>
      </c>
    </row>
    <row r="1135" customFormat="false" ht="15" hidden="false" customHeight="false" outlineLevel="0" collapsed="false">
      <c r="A1135" s="13" t="n">
        <v>43903</v>
      </c>
      <c r="B1135" s="14" t="n">
        <v>1.1</v>
      </c>
      <c r="C1135" s="14" t="n">
        <v>1.25</v>
      </c>
      <c r="D1135" s="14" t="n">
        <v>1</v>
      </c>
      <c r="E1135" s="14" t="n">
        <v>-0.541</v>
      </c>
      <c r="F1135" s="14" t="n">
        <v>-0.5</v>
      </c>
      <c r="G1135" s="14" t="n">
        <v>0.25</v>
      </c>
      <c r="H1135" s="14" t="n">
        <v>0.2093</v>
      </c>
      <c r="I1135" s="14" t="n">
        <v>0.177840495054102</v>
      </c>
      <c r="J1135" s="14" t="n">
        <v>0.162302287283905</v>
      </c>
      <c r="K1135" s="14" t="n">
        <v>0.159979377249437</v>
      </c>
      <c r="L1135" s="14" t="n">
        <v>0.179383913432423</v>
      </c>
      <c r="M1135" s="14" t="n">
        <v>2.119</v>
      </c>
      <c r="N1135" s="14" t="n">
        <v>2.202</v>
      </c>
      <c r="O1135" s="14" t="n">
        <v>2.359</v>
      </c>
      <c r="P1135" s="14" t="n">
        <v>2.513</v>
      </c>
      <c r="Q1135" s="14" t="n">
        <v>1.5</v>
      </c>
      <c r="R1135" s="14" t="n">
        <v>1.49</v>
      </c>
      <c r="S1135" s="14" t="n">
        <v>4.25</v>
      </c>
    </row>
    <row r="1136" customFormat="false" ht="15" hidden="false" customHeight="false" outlineLevel="0" collapsed="false">
      <c r="A1136" s="13" t="n">
        <v>43906</v>
      </c>
      <c r="B1136" s="14" t="n">
        <v>0.26</v>
      </c>
      <c r="C1136" s="14" t="n">
        <v>0.25</v>
      </c>
      <c r="D1136" s="14" t="n">
        <v>0</v>
      </c>
      <c r="E1136" s="14" t="n">
        <v>-0.536</v>
      </c>
      <c r="F1136" s="14" t="n">
        <v>-0.5</v>
      </c>
      <c r="G1136" s="14" t="n">
        <v>0.25</v>
      </c>
      <c r="H1136" s="14" t="n">
        <v>0.2096</v>
      </c>
      <c r="I1136" s="14" t="n">
        <v>0.145933159019358</v>
      </c>
      <c r="J1136" s="14" t="n">
        <v>0.131331153362232</v>
      </c>
      <c r="K1136" s="14" t="n">
        <v>0.127214085672733</v>
      </c>
      <c r="L1136" s="14" t="n">
        <v>0.14427017522324</v>
      </c>
      <c r="M1136" s="14" t="n">
        <v>2.093</v>
      </c>
      <c r="N1136" s="14" t="n">
        <v>2.175</v>
      </c>
      <c r="O1136" s="14" t="n">
        <v>2.33</v>
      </c>
      <c r="P1136" s="14" t="n">
        <v>2.491</v>
      </c>
      <c r="Q1136" s="14" t="n">
        <v>1</v>
      </c>
      <c r="R1136" s="14" t="n">
        <v>0.99</v>
      </c>
      <c r="S1136" s="14" t="n">
        <v>4.25</v>
      </c>
    </row>
    <row r="1137" customFormat="false" ht="15" hidden="false" customHeight="false" outlineLevel="0" collapsed="false">
      <c r="A1137" s="13" t="n">
        <v>43907</v>
      </c>
      <c r="B1137" s="14" t="n">
        <v>0.54</v>
      </c>
      <c r="C1137" s="14" t="n">
        <v>0.25</v>
      </c>
      <c r="D1137" s="14" t="n">
        <v>0</v>
      </c>
      <c r="E1137" s="14" t="n">
        <v>-0.531</v>
      </c>
      <c r="F1137" s="14" t="n">
        <v>-0.5</v>
      </c>
      <c r="G1137" s="14" t="n">
        <v>0.25</v>
      </c>
      <c r="H1137" s="14" t="n">
        <v>0.2135</v>
      </c>
      <c r="I1137" s="14" t="n">
        <v>0.127591191273145</v>
      </c>
      <c r="J1137" s="14" t="n">
        <v>0.11653599558521</v>
      </c>
      <c r="K1137" s="14" t="n">
        <v>0.120254763348747</v>
      </c>
      <c r="L1137" s="14" t="n">
        <v>0.14612188185776</v>
      </c>
      <c r="M1137" s="14" t="n">
        <v>2.063</v>
      </c>
      <c r="N1137" s="14" t="n">
        <v>2.145</v>
      </c>
      <c r="O1137" s="14" t="n">
        <v>2.295</v>
      </c>
      <c r="P1137" s="14" t="n">
        <v>2.482</v>
      </c>
      <c r="Q1137" s="14" t="n">
        <v>1</v>
      </c>
      <c r="R1137" s="14" t="n">
        <v>0.99</v>
      </c>
      <c r="S1137" s="14" t="n">
        <v>4.25</v>
      </c>
    </row>
    <row r="1138" customFormat="false" ht="15" hidden="false" customHeight="false" outlineLevel="0" collapsed="false">
      <c r="A1138" s="13" t="n">
        <v>43908</v>
      </c>
      <c r="B1138" s="14" t="n">
        <v>0.1</v>
      </c>
      <c r="C1138" s="14" t="n">
        <v>0.25</v>
      </c>
      <c r="D1138" s="14" t="n">
        <v>0</v>
      </c>
      <c r="E1138" s="14" t="n">
        <v>-0.529</v>
      </c>
      <c r="F1138" s="14" t="n">
        <v>-0.5</v>
      </c>
      <c r="G1138" s="14" t="n">
        <v>0.25</v>
      </c>
      <c r="H1138" s="14" t="n">
        <v>0.2148</v>
      </c>
      <c r="I1138" s="14" t="n">
        <v>0.134732605067106</v>
      </c>
      <c r="J1138" s="14" t="n">
        <v>0.12504844979071</v>
      </c>
      <c r="K1138" s="14" t="n">
        <v>0.130994581223513</v>
      </c>
      <c r="L1138" s="14" t="n">
        <v>0.154146757152685</v>
      </c>
      <c r="M1138" s="14" t="n">
        <v>2.032</v>
      </c>
      <c r="N1138" s="14" t="n">
        <v>2.12</v>
      </c>
      <c r="O1138" s="14" t="n">
        <v>2.263</v>
      </c>
      <c r="P1138" s="14" t="n">
        <v>2.464</v>
      </c>
      <c r="Q1138" s="14" t="n">
        <v>1</v>
      </c>
      <c r="R1138" s="14" t="n">
        <v>0.99</v>
      </c>
      <c r="S1138" s="14" t="n">
        <v>4.25</v>
      </c>
    </row>
    <row r="1139" customFormat="false" ht="15" hidden="false" customHeight="false" outlineLevel="0" collapsed="false">
      <c r="A1139" s="13" t="n">
        <v>43909</v>
      </c>
      <c r="B1139" s="14" t="n">
        <v>0.06</v>
      </c>
      <c r="C1139" s="14" t="n">
        <v>0.25</v>
      </c>
      <c r="D1139" s="14" t="n">
        <v>0</v>
      </c>
      <c r="E1139" s="14" t="n">
        <v>-0.526</v>
      </c>
      <c r="F1139" s="14" t="n">
        <v>-0.5</v>
      </c>
      <c r="G1139" s="14" t="n">
        <v>0.1</v>
      </c>
      <c r="H1139" s="14" t="n">
        <v>0.2134</v>
      </c>
      <c r="I1139" s="14" t="n">
        <v>0.0699294562522722</v>
      </c>
      <c r="J1139" s="14" t="n">
        <v>0.0630382960956</v>
      </c>
      <c r="K1139" s="14" t="n">
        <v>0.0502909305101129</v>
      </c>
      <c r="L1139" s="14" t="n">
        <v>0.0618939256059991</v>
      </c>
      <c r="M1139" s="14" t="n">
        <v>2.008</v>
      </c>
      <c r="N1139" s="14" t="n">
        <v>2.104</v>
      </c>
      <c r="O1139" s="14" t="n">
        <v>2.242</v>
      </c>
      <c r="P1139" s="14" t="n">
        <v>2.451</v>
      </c>
      <c r="Q1139" s="14" t="n">
        <v>1</v>
      </c>
      <c r="R1139" s="14" t="n">
        <v>0.99</v>
      </c>
      <c r="S1139" s="14" t="n">
        <v>3.75</v>
      </c>
    </row>
    <row r="1140" customFormat="false" ht="15" hidden="false" customHeight="false" outlineLevel="0" collapsed="false">
      <c r="A1140" s="13" t="n">
        <v>43910</v>
      </c>
      <c r="B1140" s="14" t="n">
        <v>0.04</v>
      </c>
      <c r="C1140" s="14" t="n">
        <v>0.25</v>
      </c>
      <c r="D1140" s="14" t="n">
        <v>0</v>
      </c>
      <c r="E1140" s="14" t="n">
        <v>-0.524</v>
      </c>
      <c r="F1140" s="14" t="n">
        <v>-0.5</v>
      </c>
      <c r="G1140" s="14" t="n">
        <v>0.1</v>
      </c>
      <c r="H1140" s="14" t="n">
        <v>0.0706</v>
      </c>
      <c r="I1140" s="14" t="n">
        <v>0.0674127884321093</v>
      </c>
      <c r="J1140" s="14" t="n">
        <v>0.0707611535829917</v>
      </c>
      <c r="K1140" s="14" t="n">
        <v>0.0759978339312003</v>
      </c>
      <c r="L1140" s="14" t="n">
        <v>0.101090971130892</v>
      </c>
      <c r="M1140" s="14" t="n">
        <v>1.993</v>
      </c>
      <c r="N1140" s="14" t="n">
        <v>2.087</v>
      </c>
      <c r="O1140" s="14" t="n">
        <v>2.218</v>
      </c>
      <c r="P1140" s="14" t="n">
        <v>2.438</v>
      </c>
      <c r="Q1140" s="14" t="n">
        <v>1</v>
      </c>
      <c r="R1140" s="14" t="n">
        <v>0.99</v>
      </c>
      <c r="S1140" s="14" t="n">
        <v>3.75</v>
      </c>
    </row>
    <row r="1141" customFormat="false" ht="15" hidden="false" customHeight="false" outlineLevel="0" collapsed="false">
      <c r="A1141" s="13" t="n">
        <v>43913</v>
      </c>
      <c r="B1141" s="14" t="n">
        <v>0.02</v>
      </c>
      <c r="C1141" s="14" t="n">
        <v>0.25</v>
      </c>
      <c r="D1141" s="14" t="n">
        <v>0</v>
      </c>
      <c r="E1141" s="14" t="n">
        <v>-0.525</v>
      </c>
      <c r="F1141" s="14" t="n">
        <v>-0.5</v>
      </c>
      <c r="G1141" s="14" t="n">
        <v>0.1</v>
      </c>
      <c r="H1141" s="14" t="n">
        <v>0.0723</v>
      </c>
      <c r="I1141" s="14" t="n">
        <v>0.0714828524430275</v>
      </c>
      <c r="J1141" s="14" t="n">
        <v>0.0744725193438252</v>
      </c>
      <c r="K1141" s="14" t="n">
        <v>0.0808902983083912</v>
      </c>
      <c r="L1141" s="14" t="n">
        <v>0.0996223160075558</v>
      </c>
      <c r="M1141" s="14" t="n">
        <v>1.962</v>
      </c>
      <c r="N1141" s="14" t="n">
        <v>2.072</v>
      </c>
      <c r="O1141" s="14" t="n">
        <v>2.191</v>
      </c>
      <c r="P1141" s="14" t="n">
        <v>2.41</v>
      </c>
      <c r="Q1141" s="14" t="n">
        <v>0.25</v>
      </c>
      <c r="R1141" s="14" t="n">
        <v>0.24</v>
      </c>
      <c r="S1141" s="14" t="n">
        <v>3.75</v>
      </c>
    </row>
    <row r="1142" customFormat="false" ht="15" hidden="false" customHeight="false" outlineLevel="0" collapsed="false">
      <c r="A1142" s="13" t="n">
        <v>43914</v>
      </c>
      <c r="B1142" s="14" t="n">
        <v>0.01</v>
      </c>
      <c r="C1142" s="14" t="n">
        <v>0.25</v>
      </c>
      <c r="D1142" s="14" t="n">
        <v>0</v>
      </c>
      <c r="E1142" s="14" t="n">
        <v>-0.527</v>
      </c>
      <c r="F1142" s="14" t="n">
        <v>-0.5</v>
      </c>
      <c r="G1142" s="14" t="n">
        <v>0.1</v>
      </c>
      <c r="H1142" s="14" t="n">
        <v>0.0736</v>
      </c>
      <c r="I1142" s="14" t="n">
        <v>0.0723226461838549</v>
      </c>
      <c r="J1142" s="14" t="n">
        <v>0.074845897554323</v>
      </c>
      <c r="K1142" s="14" t="n">
        <v>0.0796277001748327</v>
      </c>
      <c r="L1142" s="14" t="n">
        <v>0.100404968619237</v>
      </c>
      <c r="M1142" s="14" t="n">
        <v>1.938</v>
      </c>
      <c r="N1142" s="14" t="n">
        <v>2.056</v>
      </c>
      <c r="O1142" s="14" t="n">
        <v>2.17</v>
      </c>
      <c r="P1142" s="14" t="n">
        <v>2.392</v>
      </c>
      <c r="Q1142" s="14" t="n">
        <v>0.25</v>
      </c>
      <c r="R1142" s="14" t="n">
        <v>0.24</v>
      </c>
      <c r="S1142" s="14" t="n">
        <v>3.75</v>
      </c>
    </row>
    <row r="1143" customFormat="false" ht="15" hidden="false" customHeight="false" outlineLevel="0" collapsed="false">
      <c r="A1143" s="13" t="n">
        <v>43915</v>
      </c>
      <c r="B1143" s="14" t="n">
        <v>0.01</v>
      </c>
      <c r="C1143" s="14" t="n">
        <v>0.25</v>
      </c>
      <c r="D1143" s="14" t="n">
        <v>0</v>
      </c>
      <c r="E1143" s="14" t="n">
        <v>-0.527</v>
      </c>
      <c r="F1143" s="14" t="n">
        <v>-0.5</v>
      </c>
      <c r="G1143" s="14" t="n">
        <v>0.1</v>
      </c>
      <c r="H1143" s="14" t="n">
        <v>0.075</v>
      </c>
      <c r="I1143" s="14" t="n">
        <v>0.072923679926859</v>
      </c>
      <c r="J1143" s="14" t="n">
        <v>0.0771340565800705</v>
      </c>
      <c r="K1143" s="14" t="n">
        <v>0.0902400358863785</v>
      </c>
      <c r="L1143" s="14" t="n">
        <v>0.115217200675734</v>
      </c>
      <c r="M1143" s="14" t="n">
        <v>1.897</v>
      </c>
      <c r="N1143" s="14" t="n">
        <v>2.01</v>
      </c>
      <c r="O1143" s="14" t="n">
        <v>2.131</v>
      </c>
      <c r="P1143" s="14" t="n">
        <v>2.355</v>
      </c>
      <c r="Q1143" s="14" t="n">
        <v>0.25</v>
      </c>
      <c r="R1143" s="14" t="n">
        <v>0.24</v>
      </c>
      <c r="S1143" s="14" t="n">
        <v>3.75</v>
      </c>
    </row>
    <row r="1144" customFormat="false" ht="15" hidden="false" customHeight="false" outlineLevel="0" collapsed="false">
      <c r="A1144" s="13" t="n">
        <v>43916</v>
      </c>
      <c r="B1144" s="14" t="n">
        <v>0.01</v>
      </c>
      <c r="C1144" s="14" t="n">
        <v>0.25</v>
      </c>
      <c r="D1144" s="14" t="n">
        <v>0</v>
      </c>
      <c r="E1144" s="14" t="n">
        <v>-0.529</v>
      </c>
      <c r="F1144" s="14" t="n">
        <v>-0.5</v>
      </c>
      <c r="G1144" s="14" t="n">
        <v>0.1</v>
      </c>
      <c r="H1144" s="14" t="n">
        <v>0.0729</v>
      </c>
      <c r="I1144" s="14" t="n">
        <v>0.0743426441941559</v>
      </c>
      <c r="J1144" s="14" t="n">
        <v>0.0731077509290508</v>
      </c>
      <c r="K1144" s="14" t="n">
        <v>0.0746768518906049</v>
      </c>
      <c r="L1144" s="14" t="n">
        <v>0.0931613433907225</v>
      </c>
      <c r="M1144" s="14" t="n">
        <v>1.869</v>
      </c>
      <c r="N1144" s="14" t="n">
        <v>1.977</v>
      </c>
      <c r="O1144" s="14" t="n">
        <v>2.091</v>
      </c>
      <c r="P1144" s="14" t="n">
        <v>2.324</v>
      </c>
      <c r="Q1144" s="14" t="n">
        <v>0.25</v>
      </c>
      <c r="R1144" s="14" t="n">
        <v>0.24</v>
      </c>
      <c r="S1144" s="14" t="n">
        <v>3.75</v>
      </c>
    </row>
    <row r="1145" customFormat="false" ht="15" hidden="false" customHeight="false" outlineLevel="0" collapsed="false">
      <c r="A1145" s="13" t="n">
        <v>43917</v>
      </c>
      <c r="B1145" s="14" t="n">
        <v>0.01</v>
      </c>
      <c r="C1145" s="14" t="n">
        <v>0.25</v>
      </c>
      <c r="D1145" s="14" t="n">
        <v>0</v>
      </c>
      <c r="E1145" s="14" t="n">
        <v>-0.53</v>
      </c>
      <c r="F1145" s="14" t="n">
        <v>-0.5</v>
      </c>
      <c r="G1145" s="14" t="n">
        <v>0.1</v>
      </c>
      <c r="H1145" s="14" t="n">
        <v>0.071</v>
      </c>
      <c r="I1145" s="14" t="n">
        <v>0.0716365955020648</v>
      </c>
      <c r="J1145" s="14" t="n">
        <v>0.075030303526394</v>
      </c>
      <c r="K1145" s="14" t="n">
        <v>0.0822420341428013</v>
      </c>
      <c r="L1145" s="14" t="n">
        <v>0.100131998453112</v>
      </c>
      <c r="M1145" s="14" t="n">
        <v>1.857</v>
      </c>
      <c r="N1145" s="14" t="n">
        <v>1.966</v>
      </c>
      <c r="O1145" s="14" t="n">
        <v>2.072</v>
      </c>
      <c r="P1145" s="14" t="n">
        <v>2.305</v>
      </c>
      <c r="Q1145" s="14" t="n">
        <v>0.25</v>
      </c>
      <c r="R1145" s="14" t="n">
        <v>0.24</v>
      </c>
      <c r="S1145" s="14" t="n">
        <v>3.75</v>
      </c>
    </row>
    <row r="1146" customFormat="false" ht="15" hidden="false" customHeight="false" outlineLevel="0" collapsed="false">
      <c r="A1146" s="13" t="n">
        <v>43920</v>
      </c>
      <c r="B1146" s="14" t="n">
        <v>0.01</v>
      </c>
      <c r="C1146" s="14" t="n">
        <v>0.25</v>
      </c>
      <c r="D1146" s="14" t="n">
        <v>0</v>
      </c>
      <c r="E1146" s="14" t="n">
        <v>-0.528</v>
      </c>
      <c r="F1146" s="14" t="n">
        <v>-0.5</v>
      </c>
      <c r="G1146" s="14" t="n">
        <v>0.1</v>
      </c>
      <c r="H1146" s="14" t="n">
        <v>0.0714</v>
      </c>
      <c r="I1146" s="14" t="n">
        <v>0.0721846383980508</v>
      </c>
      <c r="J1146" s="14" t="n">
        <v>0.0755146132462011</v>
      </c>
      <c r="K1146" s="14" t="n">
        <v>0.0819939592885354</v>
      </c>
      <c r="L1146" s="14" t="n">
        <v>0.100415498643439</v>
      </c>
      <c r="M1146" s="14" t="n">
        <v>1.835</v>
      </c>
      <c r="N1146" s="14" t="n">
        <v>1.948</v>
      </c>
      <c r="O1146" s="14" t="n">
        <v>2.051</v>
      </c>
      <c r="P1146" s="14" t="n">
        <v>2.274</v>
      </c>
      <c r="Q1146" s="14" t="n">
        <v>0.25</v>
      </c>
      <c r="R1146" s="14" t="n">
        <v>0.24</v>
      </c>
      <c r="S1146" s="14" t="n">
        <v>3.75</v>
      </c>
    </row>
    <row r="1147" customFormat="false" ht="15" hidden="false" customHeight="false" outlineLevel="0" collapsed="false">
      <c r="A1147" s="13" t="n">
        <v>43921</v>
      </c>
      <c r="B1147" s="14" t="n">
        <v>0.01</v>
      </c>
      <c r="C1147" s="14" t="n">
        <v>0.25</v>
      </c>
      <c r="D1147" s="14" t="n">
        <v>0</v>
      </c>
      <c r="E1147" s="14" t="n">
        <v>-0.522</v>
      </c>
      <c r="F1147" s="14" t="n">
        <v>-0.5</v>
      </c>
      <c r="G1147" s="14" t="n">
        <v>0.1</v>
      </c>
      <c r="H1147" s="14" t="n">
        <v>0.0729</v>
      </c>
      <c r="I1147" s="14" t="n">
        <v>0.0717952941211901</v>
      </c>
      <c r="J1147" s="14" t="n">
        <v>0.0736619731445523</v>
      </c>
      <c r="K1147" s="14" t="n">
        <v>0.0784824906977932</v>
      </c>
      <c r="L1147" s="14" t="n">
        <v>0.0981732634378982</v>
      </c>
      <c r="M1147" s="14" t="n">
        <v>1.827</v>
      </c>
      <c r="N1147" s="14" t="n">
        <v>1.933</v>
      </c>
      <c r="O1147" s="14" t="n">
        <v>2.033</v>
      </c>
      <c r="P1147" s="14" t="n">
        <v>2.25</v>
      </c>
      <c r="Q1147" s="14" t="n">
        <v>0.25</v>
      </c>
      <c r="R1147" s="14" t="n">
        <v>0.24</v>
      </c>
      <c r="S1147" s="14" t="n">
        <v>3.75</v>
      </c>
    </row>
    <row r="1148" customFormat="false" ht="15" hidden="false" customHeight="false" outlineLevel="0" collapsed="false">
      <c r="A1148" s="13" t="n">
        <v>43922</v>
      </c>
      <c r="B1148" s="14" t="n">
        <v>0.01</v>
      </c>
      <c r="C1148" s="14" t="n">
        <v>0.25</v>
      </c>
      <c r="D1148" s="14" t="n">
        <v>0</v>
      </c>
      <c r="E1148" s="14" t="n">
        <v>-0.527</v>
      </c>
      <c r="F1148" s="14" t="n">
        <v>-0.5</v>
      </c>
      <c r="G1148" s="14" t="n">
        <v>0.1</v>
      </c>
      <c r="H1148" s="14" t="n">
        <v>0.0712</v>
      </c>
      <c r="I1148" s="14" t="n">
        <v>0.0725029212684426</v>
      </c>
      <c r="J1148" s="14" t="n">
        <v>0.0735239983100166</v>
      </c>
      <c r="K1148" s="14" t="n">
        <v>0.0763693916186049</v>
      </c>
      <c r="L1148" s="14" t="n">
        <v>0.0918685658765402</v>
      </c>
      <c r="M1148" s="14" t="n">
        <v>1.809</v>
      </c>
      <c r="N1148" s="14" t="n">
        <v>1.918</v>
      </c>
      <c r="O1148" s="14" t="n">
        <v>2.015</v>
      </c>
      <c r="P1148" s="14" t="n">
        <v>2.226</v>
      </c>
      <c r="Q1148" s="14" t="n">
        <v>0.25</v>
      </c>
      <c r="R1148" s="14" t="n">
        <v>0.25</v>
      </c>
      <c r="S1148" s="14" t="n">
        <v>3.75</v>
      </c>
    </row>
    <row r="1149" customFormat="false" ht="15" hidden="false" customHeight="false" outlineLevel="0" collapsed="false">
      <c r="A1149" s="13" t="n">
        <v>43923</v>
      </c>
      <c r="B1149" s="14" t="n">
        <v>0.01</v>
      </c>
      <c r="C1149" s="14" t="n">
        <v>0.25</v>
      </c>
      <c r="D1149" s="14" t="n">
        <v>0</v>
      </c>
      <c r="E1149" s="14" t="n">
        <v>-0.534</v>
      </c>
      <c r="F1149" s="14" t="n">
        <v>-0.5</v>
      </c>
      <c r="G1149" s="14" t="n">
        <v>0.1</v>
      </c>
      <c r="H1149" s="14" t="n">
        <v>0.0653</v>
      </c>
      <c r="I1149" s="14" t="n">
        <v>0.0715926129380563</v>
      </c>
      <c r="J1149" s="14" t="n">
        <v>0.0712680570627437</v>
      </c>
      <c r="K1149" s="14" t="n">
        <v>0.0743896182077424</v>
      </c>
      <c r="L1149" s="14" t="n">
        <v>0.087974789038039</v>
      </c>
      <c r="M1149" s="14" t="n">
        <v>1.772</v>
      </c>
      <c r="N1149" s="14" t="n">
        <v>1.889</v>
      </c>
      <c r="O1149" s="14" t="n">
        <v>1.982</v>
      </c>
      <c r="P1149" s="14" t="n">
        <v>2.202</v>
      </c>
      <c r="Q1149" s="14" t="n">
        <v>0.25</v>
      </c>
      <c r="R1149" s="14" t="n">
        <v>0.25</v>
      </c>
      <c r="S1149" s="14" t="n">
        <v>3.75</v>
      </c>
    </row>
    <row r="1150" customFormat="false" ht="15" hidden="false" customHeight="false" outlineLevel="0" collapsed="false">
      <c r="A1150" s="13" t="n">
        <v>43924</v>
      </c>
      <c r="B1150" s="14" t="n">
        <v>0.01</v>
      </c>
      <c r="C1150" s="14" t="n">
        <v>0.25</v>
      </c>
      <c r="D1150" s="14" t="n">
        <v>0</v>
      </c>
      <c r="E1150" s="14" t="n">
        <v>-0.539</v>
      </c>
      <c r="F1150" s="14" t="n">
        <v>-0.5</v>
      </c>
      <c r="G1150" s="14" t="n">
        <v>0.1</v>
      </c>
      <c r="H1150" s="14" t="n">
        <v>0.064</v>
      </c>
      <c r="I1150" s="14" t="n">
        <v>0.0698916697771122</v>
      </c>
      <c r="J1150" s="14" t="n">
        <v>0.0702755061112971</v>
      </c>
      <c r="K1150" s="14" t="n">
        <v>0.0715137624736497</v>
      </c>
      <c r="L1150" s="14" t="n">
        <v>0.0806879170165546</v>
      </c>
      <c r="M1150" s="14" t="n">
        <v>1.741</v>
      </c>
      <c r="N1150" s="14" t="n">
        <v>1.844</v>
      </c>
      <c r="O1150" s="14" t="n">
        <v>1.956</v>
      </c>
      <c r="P1150" s="14" t="n">
        <v>2.165</v>
      </c>
      <c r="Q1150" s="14" t="n">
        <v>0.25</v>
      </c>
      <c r="R1150" s="14" t="n">
        <v>0.25</v>
      </c>
      <c r="S1150" s="14" t="n">
        <v>3.75</v>
      </c>
    </row>
    <row r="1151" customFormat="false" ht="15" hidden="false" customHeight="false" outlineLevel="0" collapsed="false">
      <c r="A1151" s="13" t="n">
        <v>43927</v>
      </c>
      <c r="B1151" s="14" t="n">
        <v>0.01</v>
      </c>
      <c r="C1151" s="14" t="n">
        <v>0.25</v>
      </c>
      <c r="D1151" s="14" t="n">
        <v>0</v>
      </c>
      <c r="E1151" s="14" t="n">
        <v>-0.533</v>
      </c>
      <c r="F1151" s="14" t="n">
        <v>-0.5</v>
      </c>
      <c r="G1151" s="14" t="n">
        <v>0.1</v>
      </c>
      <c r="H1151" s="14" t="n">
        <v>0.0657</v>
      </c>
      <c r="I1151" s="14" t="n">
        <v>0.0693625283883283</v>
      </c>
      <c r="J1151" s="14" t="n">
        <v>0.0703350101629801</v>
      </c>
      <c r="K1151" s="14" t="n">
        <v>0.0727446515677802</v>
      </c>
      <c r="L1151" s="14" t="n">
        <v>0.0811582658819432</v>
      </c>
      <c r="Q1151" s="14" t="n">
        <v>0.25</v>
      </c>
      <c r="R1151" s="14" t="n">
        <v>0.24</v>
      </c>
      <c r="S1151" s="14" t="n">
        <v>3.75</v>
      </c>
    </row>
    <row r="1152" customFormat="false" ht="15" hidden="false" customHeight="false" outlineLevel="0" collapsed="false">
      <c r="A1152" s="13" t="n">
        <v>43928</v>
      </c>
      <c r="B1152" s="14" t="n">
        <v>0.01</v>
      </c>
      <c r="C1152" s="14" t="n">
        <v>0.25</v>
      </c>
      <c r="D1152" s="14" t="n">
        <v>0</v>
      </c>
      <c r="E1152" s="14" t="n">
        <v>-0.533</v>
      </c>
      <c r="F1152" s="14" t="n">
        <v>-0.5</v>
      </c>
      <c r="G1152" s="14" t="n">
        <v>0.1</v>
      </c>
      <c r="H1152" s="14" t="n">
        <v>0.0661</v>
      </c>
      <c r="I1152" s="14" t="n">
        <v>0.0689534416239694</v>
      </c>
      <c r="J1152" s="14" t="n">
        <v>0.0723277241438214</v>
      </c>
      <c r="K1152" s="14" t="n">
        <v>0.0763628943727277</v>
      </c>
      <c r="L1152" s="14" t="n">
        <v>0.0904217340510032</v>
      </c>
      <c r="M1152" s="14" t="n">
        <v>1.659</v>
      </c>
      <c r="N1152" s="14" t="n">
        <v>1.73</v>
      </c>
      <c r="O1152" s="14" t="n">
        <v>1.859</v>
      </c>
      <c r="P1152" s="14" t="n">
        <v>2.07</v>
      </c>
      <c r="Q1152" s="14" t="n">
        <v>0.25</v>
      </c>
      <c r="R1152" s="14" t="n">
        <v>0.25</v>
      </c>
      <c r="S1152" s="14" t="n">
        <v>3.75</v>
      </c>
    </row>
    <row r="1153" customFormat="false" ht="15" hidden="false" customHeight="false" outlineLevel="0" collapsed="false">
      <c r="A1153" s="13" t="n">
        <v>43929</v>
      </c>
      <c r="B1153" s="14" t="n">
        <v>0.01</v>
      </c>
      <c r="C1153" s="14" t="n">
        <v>0.25</v>
      </c>
      <c r="D1153" s="14" t="n">
        <v>0</v>
      </c>
      <c r="E1153" s="14" t="n">
        <v>-0.535</v>
      </c>
      <c r="F1153" s="14" t="n">
        <v>-0.5</v>
      </c>
      <c r="G1153" s="14" t="n">
        <v>0.1</v>
      </c>
      <c r="H1153" s="14" t="n">
        <v>0.0641</v>
      </c>
      <c r="I1153" s="14" t="n">
        <v>0.0688907980409136</v>
      </c>
      <c r="J1153" s="14" t="n">
        <v>0.0714631405148282</v>
      </c>
      <c r="K1153" s="14" t="n">
        <v>0.0733209066593412</v>
      </c>
      <c r="L1153" s="14" t="n">
        <v>0.0836110303699422</v>
      </c>
      <c r="M1153" s="14" t="n">
        <v>1.553</v>
      </c>
      <c r="N1153" s="14" t="n">
        <v>1.647</v>
      </c>
      <c r="O1153" s="14" t="n">
        <v>1.759</v>
      </c>
      <c r="P1153" s="14" t="n">
        <v>1.951</v>
      </c>
      <c r="Q1153" s="14" t="n">
        <v>0.25</v>
      </c>
      <c r="R1153" s="14" t="n">
        <v>0.25</v>
      </c>
      <c r="S1153" s="14" t="n">
        <v>3.75</v>
      </c>
    </row>
    <row r="1154" customFormat="false" ht="15" hidden="false" customHeight="false" outlineLevel="0" collapsed="false">
      <c r="A1154" s="13" t="n">
        <v>43930</v>
      </c>
      <c r="B1154" s="14" t="n">
        <v>0.01</v>
      </c>
      <c r="C1154" s="14" t="n">
        <v>0.25</v>
      </c>
      <c r="D1154" s="14" t="n">
        <v>0</v>
      </c>
      <c r="E1154" s="14" t="n">
        <v>-0.536</v>
      </c>
      <c r="F1154" s="14" t="n">
        <v>-0.5</v>
      </c>
      <c r="G1154" s="14" t="n">
        <v>0.1</v>
      </c>
      <c r="H1154" s="14" t="n">
        <v>0.066</v>
      </c>
      <c r="I1154" s="14" t="n">
        <v>0.0702111233033397</v>
      </c>
      <c r="J1154" s="14" t="n">
        <v>0.0751611089352171</v>
      </c>
      <c r="K1154" s="14" t="n">
        <v>0.078225584631826</v>
      </c>
      <c r="L1154" s="14" t="n">
        <v>0.088221512849796</v>
      </c>
      <c r="M1154" s="14" t="n">
        <v>1.473</v>
      </c>
      <c r="N1154" s="14" t="n">
        <v>1.558</v>
      </c>
      <c r="O1154" s="14" t="n">
        <v>1.665</v>
      </c>
      <c r="P1154" s="14" t="n">
        <v>1.855</v>
      </c>
      <c r="S1154" s="14" t="n">
        <v>3.75</v>
      </c>
    </row>
    <row r="1155" customFormat="false" ht="15" hidden="false" customHeight="false" outlineLevel="0" collapsed="false">
      <c r="A1155" s="13" t="n">
        <v>43931</v>
      </c>
      <c r="C1155" s="14" t="n">
        <v>0.25</v>
      </c>
      <c r="D1155" s="14" t="n">
        <v>0</v>
      </c>
      <c r="F1155" s="14" t="n">
        <v>-0.5</v>
      </c>
      <c r="M1155" s="14" t="n">
        <v>1.4</v>
      </c>
      <c r="N1155" s="14" t="n">
        <v>1.507</v>
      </c>
      <c r="O1155" s="14" t="n">
        <v>1.606</v>
      </c>
      <c r="P1155" s="14" t="n">
        <v>1.794</v>
      </c>
      <c r="S1155" s="14" t="n">
        <v>3.75</v>
      </c>
    </row>
    <row r="1156" customFormat="false" ht="15" hidden="false" customHeight="false" outlineLevel="0" collapsed="false">
      <c r="A1156" s="13" t="n">
        <v>43934</v>
      </c>
      <c r="B1156" s="14" t="n">
        <v>0.02</v>
      </c>
      <c r="C1156" s="14" t="n">
        <v>0.25</v>
      </c>
      <c r="D1156" s="14" t="n">
        <v>0</v>
      </c>
      <c r="F1156" s="14" t="n">
        <v>-0.5</v>
      </c>
      <c r="M1156" s="14" t="n">
        <v>1.365</v>
      </c>
      <c r="N1156" s="14" t="n">
        <v>1.485</v>
      </c>
      <c r="O1156" s="14" t="n">
        <v>1.579</v>
      </c>
      <c r="P1156" s="14" t="n">
        <v>1.758</v>
      </c>
      <c r="S1156" s="14" t="n">
        <v>3.75</v>
      </c>
    </row>
    <row r="1157" customFormat="false" ht="15" hidden="false" customHeight="false" outlineLevel="0" collapsed="false">
      <c r="A1157" s="13" t="n">
        <v>43935</v>
      </c>
      <c r="B1157" s="14" t="n">
        <v>0.06</v>
      </c>
      <c r="C1157" s="14" t="n">
        <v>0.25</v>
      </c>
      <c r="D1157" s="14" t="n">
        <v>0</v>
      </c>
      <c r="E1157" s="14" t="n">
        <v>-0.534</v>
      </c>
      <c r="F1157" s="14" t="n">
        <v>-0.5</v>
      </c>
      <c r="G1157" s="14" t="n">
        <v>0.1</v>
      </c>
      <c r="H1157" s="14" t="n">
        <v>0.0635</v>
      </c>
      <c r="I1157" s="14" t="n">
        <v>0.0679835952884525</v>
      </c>
      <c r="J1157" s="14" t="n">
        <v>0.074251807312707</v>
      </c>
      <c r="K1157" s="14" t="n">
        <v>0.0811624083839468</v>
      </c>
      <c r="L1157" s="14" t="n">
        <v>0.0940309780681614</v>
      </c>
      <c r="M1157" s="14" t="n">
        <v>1.353</v>
      </c>
      <c r="N1157" s="14" t="n">
        <v>1.46</v>
      </c>
      <c r="O1157" s="14" t="n">
        <v>1.556</v>
      </c>
      <c r="P1157" s="14" t="n">
        <v>1.733</v>
      </c>
      <c r="Q1157" s="14" t="n">
        <v>0.25</v>
      </c>
      <c r="R1157" s="14" t="n">
        <v>0.24</v>
      </c>
      <c r="S1157" s="14" t="n">
        <v>3.75</v>
      </c>
    </row>
    <row r="1158" customFormat="false" ht="15" hidden="false" customHeight="false" outlineLevel="0" collapsed="false">
      <c r="A1158" s="13" t="n">
        <v>43936</v>
      </c>
      <c r="B1158" s="14" t="n">
        <v>0.03</v>
      </c>
      <c r="C1158" s="14" t="n">
        <v>0.25</v>
      </c>
      <c r="D1158" s="14" t="n">
        <v>0</v>
      </c>
      <c r="E1158" s="14" t="n">
        <v>-0.535</v>
      </c>
      <c r="F1158" s="14" t="n">
        <v>-0.5</v>
      </c>
      <c r="G1158" s="14" t="n">
        <v>0.1</v>
      </c>
      <c r="H1158" s="14" t="n">
        <v>0.0634</v>
      </c>
      <c r="I1158" s="14" t="n">
        <v>0.0687080202777861</v>
      </c>
      <c r="J1158" s="14" t="n">
        <v>0.0750954956387267</v>
      </c>
      <c r="K1158" s="14" t="n">
        <v>0.0828473262167054</v>
      </c>
      <c r="L1158" s="14" t="n">
        <v>0.0954565206892925</v>
      </c>
      <c r="M1158" s="14" t="n">
        <v>1.341</v>
      </c>
      <c r="N1158" s="14" t="n">
        <v>1.447</v>
      </c>
      <c r="O1158" s="14" t="n">
        <v>1.539</v>
      </c>
      <c r="P1158" s="14" t="n">
        <v>1.712</v>
      </c>
      <c r="Q1158" s="14" t="n">
        <v>0.25</v>
      </c>
      <c r="R1158" s="14" t="n">
        <v>0.24</v>
      </c>
      <c r="S1158" s="14" t="n">
        <v>3.75</v>
      </c>
    </row>
    <row r="1159" customFormat="false" ht="15" hidden="false" customHeight="false" outlineLevel="0" collapsed="false">
      <c r="A1159" s="13" t="n">
        <v>43937</v>
      </c>
      <c r="B1159" s="14" t="n">
        <v>0.03</v>
      </c>
      <c r="C1159" s="14" t="n">
        <v>0.25</v>
      </c>
      <c r="D1159" s="14" t="n">
        <v>0</v>
      </c>
      <c r="E1159" s="14" t="n">
        <v>-0.534</v>
      </c>
      <c r="F1159" s="14" t="n">
        <v>-0.5</v>
      </c>
      <c r="G1159" s="14" t="n">
        <v>0.1</v>
      </c>
      <c r="H1159" s="14" t="n">
        <v>0.0632</v>
      </c>
      <c r="I1159" s="14" t="n">
        <v>0.0655154387980313</v>
      </c>
      <c r="J1159" s="14" t="n">
        <v>0.0719103423147567</v>
      </c>
      <c r="K1159" s="14" t="n">
        <v>0.0795091975728195</v>
      </c>
      <c r="L1159" s="14" t="n">
        <v>0.0935520133631352</v>
      </c>
      <c r="M1159" s="14" t="n">
        <v>1.324</v>
      </c>
      <c r="N1159" s="14" t="n">
        <v>1.428</v>
      </c>
      <c r="O1159" s="14" t="n">
        <v>1.516</v>
      </c>
      <c r="P1159" s="14" t="n">
        <v>1.694</v>
      </c>
      <c r="Q1159" s="14" t="n">
        <v>0.25</v>
      </c>
      <c r="R1159" s="14" t="n">
        <v>0.24</v>
      </c>
      <c r="S1159" s="14" t="n">
        <v>3.75</v>
      </c>
    </row>
    <row r="1160" customFormat="false" ht="15" hidden="false" customHeight="false" outlineLevel="0" collapsed="false">
      <c r="A1160" s="13" t="n">
        <v>43938</v>
      </c>
      <c r="B1160" s="14" t="n">
        <v>0.03</v>
      </c>
      <c r="C1160" s="14" t="n">
        <v>0.25</v>
      </c>
      <c r="D1160" s="14" t="n">
        <v>0</v>
      </c>
      <c r="E1160" s="14" t="n">
        <v>-0.538</v>
      </c>
      <c r="F1160" s="14" t="n">
        <v>-0.5</v>
      </c>
      <c r="G1160" s="14" t="n">
        <v>0.1</v>
      </c>
      <c r="H1160" s="14" t="n">
        <v>0.0643</v>
      </c>
      <c r="I1160" s="14" t="n">
        <v>0.0678276907443692</v>
      </c>
      <c r="J1160" s="14" t="n">
        <v>0.0726387532266184</v>
      </c>
      <c r="K1160" s="14" t="n">
        <v>0.0778151064779144</v>
      </c>
      <c r="L1160" s="14" t="n">
        <v>0.0909724177068158</v>
      </c>
      <c r="M1160" s="14" t="n">
        <v>1.308</v>
      </c>
      <c r="N1160" s="14" t="n">
        <v>1.403</v>
      </c>
      <c r="O1160" s="14" t="n">
        <v>1.499</v>
      </c>
      <c r="P1160" s="14" t="n">
        <v>1.683</v>
      </c>
      <c r="Q1160" s="14" t="n">
        <v>0.25</v>
      </c>
      <c r="R1160" s="14" t="n">
        <v>0.24</v>
      </c>
      <c r="S1160" s="14" t="n">
        <v>3.75</v>
      </c>
    </row>
    <row r="1161" customFormat="false" ht="15" hidden="false" customHeight="false" outlineLevel="0" collapsed="false">
      <c r="A1161" s="13" t="n">
        <v>43941</v>
      </c>
      <c r="B1161" s="14" t="n">
        <v>0.02</v>
      </c>
      <c r="C1161" s="14" t="n">
        <v>0.25</v>
      </c>
      <c r="D1161" s="14" t="n">
        <v>0</v>
      </c>
      <c r="E1161" s="14" t="n">
        <v>-0.541</v>
      </c>
      <c r="F1161" s="14" t="n">
        <v>-0.5</v>
      </c>
      <c r="G1161" s="14" t="n">
        <v>0.1</v>
      </c>
      <c r="H1161" s="14" t="n">
        <v>0.0661</v>
      </c>
      <c r="I1161" s="14" t="n">
        <v>0.067900248904473</v>
      </c>
      <c r="J1161" s="14" t="n">
        <v>0.0732152735385593</v>
      </c>
      <c r="K1161" s="14" t="n">
        <v>0.0785479323058116</v>
      </c>
      <c r="L1161" s="14" t="n">
        <v>0.0890386848552855</v>
      </c>
      <c r="M1161" s="14" t="n">
        <v>1.301</v>
      </c>
      <c r="N1161" s="14" t="n">
        <v>1.394</v>
      </c>
      <c r="O1161" s="14" t="n">
        <v>1.482</v>
      </c>
      <c r="P1161" s="14" t="n">
        <v>1.674</v>
      </c>
      <c r="Q1161" s="14" t="n">
        <v>0.25</v>
      </c>
      <c r="R1161" s="14" t="n">
        <v>0.23</v>
      </c>
      <c r="S1161" s="14" t="n">
        <v>3.75</v>
      </c>
    </row>
    <row r="1162" customFormat="false" ht="15" hidden="false" customHeight="false" outlineLevel="0" collapsed="false">
      <c r="A1162" s="13" t="n">
        <v>43942</v>
      </c>
      <c r="B1162" s="14" t="n">
        <v>0.01</v>
      </c>
      <c r="C1162" s="14" t="n">
        <v>0.25</v>
      </c>
      <c r="D1162" s="14" t="n">
        <v>0</v>
      </c>
      <c r="E1162" s="14" t="n">
        <v>-0.541</v>
      </c>
      <c r="F1162" s="14" t="n">
        <v>-0.5</v>
      </c>
      <c r="G1162" s="14" t="n">
        <v>0.1</v>
      </c>
      <c r="H1162" s="14" t="n">
        <v>0.0672</v>
      </c>
      <c r="I1162" s="14" t="n">
        <v>0.0700945089013499</v>
      </c>
      <c r="J1162" s="14" t="n">
        <v>0.0749745285517174</v>
      </c>
      <c r="K1162" s="14" t="n">
        <v>0.0776417524481807</v>
      </c>
      <c r="L1162" s="14" t="n">
        <v>0.0893772993856945</v>
      </c>
      <c r="M1162" s="14" t="n">
        <v>1.302</v>
      </c>
      <c r="N1162" s="14" t="n">
        <v>1.396</v>
      </c>
      <c r="O1162" s="14" t="n">
        <v>1.48</v>
      </c>
      <c r="P1162" s="14" t="n">
        <v>1.674</v>
      </c>
      <c r="Q1162" s="14" t="n">
        <v>0.25</v>
      </c>
      <c r="R1162" s="14" t="n">
        <v>0.24</v>
      </c>
      <c r="S1162" s="14" t="n">
        <v>3.75</v>
      </c>
    </row>
    <row r="1163" customFormat="false" ht="15" hidden="false" customHeight="false" outlineLevel="0" collapsed="false">
      <c r="A1163" s="13" t="n">
        <v>43943</v>
      </c>
      <c r="B1163" s="14" t="n">
        <v>0.01</v>
      </c>
      <c r="C1163" s="14" t="n">
        <v>0.25</v>
      </c>
      <c r="D1163" s="14" t="n">
        <v>0</v>
      </c>
      <c r="E1163" s="14" t="n">
        <v>-0.539</v>
      </c>
      <c r="F1163" s="14" t="n">
        <v>-0.5</v>
      </c>
      <c r="G1163" s="14" t="n">
        <v>0.1</v>
      </c>
      <c r="H1163" s="14" t="n">
        <v>0.0683</v>
      </c>
      <c r="I1163" s="14" t="n">
        <v>0.0705655454765514</v>
      </c>
      <c r="J1163" s="14" t="n">
        <v>0.0752292031358882</v>
      </c>
      <c r="K1163" s="14" t="n">
        <v>0.0797339841976369</v>
      </c>
      <c r="L1163" s="14" t="n">
        <v>0.0920166625522993</v>
      </c>
      <c r="M1163" s="14" t="n">
        <v>1.3</v>
      </c>
      <c r="N1163" s="14" t="n">
        <v>1.391</v>
      </c>
      <c r="O1163" s="14" t="n">
        <v>1.484</v>
      </c>
      <c r="P1163" s="14" t="n">
        <v>1.676</v>
      </c>
      <c r="Q1163" s="14" t="n">
        <v>0.25</v>
      </c>
      <c r="R1163" s="14" t="n">
        <v>0.24</v>
      </c>
      <c r="S1163" s="14" t="n">
        <v>3.75</v>
      </c>
    </row>
    <row r="1164" customFormat="false" ht="15" hidden="false" customHeight="false" outlineLevel="0" collapsed="false">
      <c r="A1164" s="13" t="n">
        <v>43944</v>
      </c>
      <c r="B1164" s="14" t="n">
        <v>0.01</v>
      </c>
      <c r="C1164" s="14" t="n">
        <v>0.25</v>
      </c>
      <c r="D1164" s="14" t="n">
        <v>0</v>
      </c>
      <c r="E1164" s="14" t="n">
        <v>-0.539</v>
      </c>
      <c r="F1164" s="14" t="n">
        <v>-0.5</v>
      </c>
      <c r="G1164" s="14" t="n">
        <v>0.1</v>
      </c>
      <c r="H1164" s="14" t="n">
        <v>0.0673</v>
      </c>
      <c r="I1164" s="14" t="n">
        <v>0.0717333894190601</v>
      </c>
      <c r="J1164" s="14" t="n">
        <v>0.0733413305418462</v>
      </c>
      <c r="K1164" s="14" t="n">
        <v>0.0780759122815325</v>
      </c>
      <c r="L1164" s="14" t="n">
        <v>0.0876705633343973</v>
      </c>
      <c r="M1164" s="14" t="n">
        <v>1.301</v>
      </c>
      <c r="N1164" s="14" t="n">
        <v>1.396</v>
      </c>
      <c r="O1164" s="14" t="n">
        <v>1.486</v>
      </c>
      <c r="P1164" s="14" t="n">
        <v>1.683</v>
      </c>
      <c r="Q1164" s="14" t="n">
        <v>0.25</v>
      </c>
      <c r="R1164" s="14" t="n">
        <v>0.25</v>
      </c>
      <c r="S1164" s="14" t="n">
        <v>3.75</v>
      </c>
    </row>
    <row r="1165" customFormat="false" ht="15" hidden="false" customHeight="false" outlineLevel="0" collapsed="false">
      <c r="A1165" s="13" t="n">
        <v>43945</v>
      </c>
      <c r="B1165" s="14" t="n">
        <v>0.03</v>
      </c>
      <c r="C1165" s="14" t="n">
        <v>0.25</v>
      </c>
      <c r="D1165" s="14" t="n">
        <v>0</v>
      </c>
      <c r="E1165" s="14" t="n">
        <v>-0.539</v>
      </c>
      <c r="F1165" s="14" t="n">
        <v>-0.5</v>
      </c>
      <c r="G1165" s="14" t="n">
        <v>0.1</v>
      </c>
      <c r="H1165" s="14" t="n">
        <v>0.0662</v>
      </c>
      <c r="I1165" s="14" t="n">
        <v>0.0733658046595947</v>
      </c>
      <c r="J1165" s="14" t="n">
        <v>0.0729561484469898</v>
      </c>
      <c r="K1165" s="14" t="n">
        <v>0.067498359993351</v>
      </c>
      <c r="L1165" s="14" t="n">
        <v>0.0753717078879273</v>
      </c>
      <c r="M1165" s="14" t="n">
        <v>1.302</v>
      </c>
      <c r="N1165" s="14" t="n">
        <v>1.396</v>
      </c>
      <c r="O1165" s="14" t="n">
        <v>1.486</v>
      </c>
      <c r="P1165" s="14" t="n">
        <v>1.683</v>
      </c>
      <c r="Q1165" s="14" t="n">
        <v>0.25</v>
      </c>
      <c r="R1165" s="14" t="n">
        <v>0.25</v>
      </c>
      <c r="S1165" s="14" t="n">
        <v>3.75</v>
      </c>
    </row>
    <row r="1166" customFormat="false" ht="15" hidden="false" customHeight="false" outlineLevel="0" collapsed="false">
      <c r="A1166" s="13" t="n">
        <v>43947</v>
      </c>
      <c r="C1166" s="14" t="n">
        <v>0.25</v>
      </c>
      <c r="D1166" s="14" t="n">
        <v>0</v>
      </c>
      <c r="F1166" s="14" t="n">
        <v>-0.5</v>
      </c>
      <c r="M1166" s="14" t="n">
        <v>1.308</v>
      </c>
      <c r="N1166" s="14" t="n">
        <v>1.397</v>
      </c>
      <c r="O1166" s="14" t="n">
        <v>1.488</v>
      </c>
      <c r="P1166" s="14" t="n">
        <v>1.682</v>
      </c>
      <c r="S1166" s="14" t="n">
        <v>3.75</v>
      </c>
    </row>
    <row r="1167" customFormat="false" ht="15" hidden="false" customHeight="false" outlineLevel="0" collapsed="false">
      <c r="A1167" s="13" t="n">
        <v>43948</v>
      </c>
      <c r="B1167" s="14" t="n">
        <v>0.03</v>
      </c>
      <c r="C1167" s="14" t="n">
        <v>0.25</v>
      </c>
      <c r="D1167" s="14" t="n">
        <v>0</v>
      </c>
      <c r="E1167" s="14" t="n">
        <v>-0.539</v>
      </c>
      <c r="F1167" s="14" t="n">
        <v>-0.5</v>
      </c>
      <c r="G1167" s="14" t="n">
        <v>0.1</v>
      </c>
      <c r="H1167" s="14" t="n">
        <v>0.0652</v>
      </c>
      <c r="I1167" s="14" t="n">
        <v>0.0741246542503284</v>
      </c>
      <c r="J1167" s="14" t="n">
        <v>0.0731749942407993</v>
      </c>
      <c r="K1167" s="14" t="n">
        <v>0.069831509116917</v>
      </c>
      <c r="L1167" s="14" t="n">
        <v>0.082084572460646</v>
      </c>
      <c r="M1167" s="14" t="n">
        <v>1.307</v>
      </c>
      <c r="N1167" s="14" t="n">
        <v>1.397</v>
      </c>
      <c r="O1167" s="14" t="n">
        <v>1.487</v>
      </c>
      <c r="P1167" s="14" t="n">
        <v>1.682</v>
      </c>
      <c r="Q1167" s="14" t="n">
        <v>0.25</v>
      </c>
      <c r="R1167" s="14" t="n">
        <v>0.24</v>
      </c>
      <c r="S1167" s="14" t="n">
        <v>3.75</v>
      </c>
    </row>
    <row r="1168" customFormat="false" ht="15" hidden="false" customHeight="false" outlineLevel="0" collapsed="false">
      <c r="A1168" s="13" t="n">
        <v>43949</v>
      </c>
      <c r="B1168" s="14" t="n">
        <v>0.01</v>
      </c>
      <c r="C1168" s="14" t="n">
        <v>0.25</v>
      </c>
      <c r="D1168" s="14" t="n">
        <v>0</v>
      </c>
      <c r="E1168" s="14" t="n">
        <v>-0.541</v>
      </c>
      <c r="F1168" s="14" t="n">
        <v>-0.5</v>
      </c>
      <c r="G1168" s="14" t="n">
        <v>0.1</v>
      </c>
      <c r="H1168" s="14" t="n">
        <v>0.0665</v>
      </c>
      <c r="I1168" s="14" t="n">
        <v>0.0695337941947243</v>
      </c>
      <c r="J1168" s="14" t="n">
        <v>0.0699762647588135</v>
      </c>
      <c r="K1168" s="14" t="n">
        <v>0.0698428943304893</v>
      </c>
      <c r="L1168" s="14" t="n">
        <v>0.0756883806184541</v>
      </c>
      <c r="M1168" s="14" t="n">
        <v>1.304</v>
      </c>
      <c r="N1168" s="14" t="n">
        <v>1.398</v>
      </c>
      <c r="O1168" s="14" t="n">
        <v>1.489</v>
      </c>
      <c r="P1168" s="14" t="n">
        <v>1.681</v>
      </c>
      <c r="Q1168" s="14" t="n">
        <v>0.25</v>
      </c>
      <c r="R1168" s="14" t="n">
        <v>0.24</v>
      </c>
      <c r="S1168" s="14" t="n">
        <v>3.75</v>
      </c>
    </row>
    <row r="1169" customFormat="false" ht="15" hidden="false" customHeight="false" outlineLevel="0" collapsed="false">
      <c r="A1169" s="13" t="n">
        <v>43950</v>
      </c>
      <c r="B1169" s="14" t="n">
        <v>0.01</v>
      </c>
      <c r="C1169" s="14" t="n">
        <v>0.25</v>
      </c>
      <c r="D1169" s="14" t="n">
        <v>0</v>
      </c>
      <c r="E1169" s="14" t="n">
        <v>-0.543</v>
      </c>
      <c r="F1169" s="14" t="n">
        <v>-0.5</v>
      </c>
      <c r="G1169" s="14" t="n">
        <v>0.1</v>
      </c>
      <c r="H1169" s="14" t="n">
        <v>0.0673</v>
      </c>
      <c r="I1169" s="14" t="n">
        <v>0.0688247212103895</v>
      </c>
      <c r="J1169" s="14" t="n">
        <v>0.06937035515979</v>
      </c>
      <c r="K1169" s="14" t="n">
        <v>0.0699188366548598</v>
      </c>
      <c r="L1169" s="14" t="n">
        <v>0.0756264457130966</v>
      </c>
      <c r="M1169" s="14" t="n">
        <v>1.304</v>
      </c>
      <c r="N1169" s="14" t="n">
        <v>1.399</v>
      </c>
      <c r="O1169" s="14" t="n">
        <v>1.49</v>
      </c>
      <c r="P1169" s="14" t="n">
        <v>1.681</v>
      </c>
      <c r="Q1169" s="14" t="n">
        <v>0.25</v>
      </c>
      <c r="R1169" s="14" t="n">
        <v>0.24</v>
      </c>
      <c r="S1169" s="14" t="n">
        <v>3.75</v>
      </c>
    </row>
    <row r="1170" customFormat="false" ht="15" hidden="false" customHeight="false" outlineLevel="0" collapsed="false">
      <c r="A1170" s="13" t="n">
        <v>43951</v>
      </c>
      <c r="B1170" s="14" t="n">
        <v>0.04</v>
      </c>
      <c r="C1170" s="14" t="n">
        <v>0.25</v>
      </c>
      <c r="D1170" s="14" t="n">
        <v>0</v>
      </c>
      <c r="E1170" s="14" t="n">
        <v>-0.531</v>
      </c>
      <c r="F1170" s="14" t="n">
        <v>-0.5</v>
      </c>
      <c r="G1170" s="14" t="n">
        <v>0.1</v>
      </c>
      <c r="H1170" s="14" t="n">
        <v>0.0666</v>
      </c>
      <c r="I1170" s="14" t="n">
        <v>0.0689491215624858</v>
      </c>
      <c r="J1170" s="14" t="n">
        <v>0.0693512541038713</v>
      </c>
      <c r="K1170" s="14" t="n">
        <v>0.0695520651550419</v>
      </c>
      <c r="L1170" s="14" t="n">
        <v>0.0729147811284284</v>
      </c>
      <c r="M1170" s="14" t="n">
        <v>1.314</v>
      </c>
      <c r="N1170" s="14" t="n">
        <v>1.4</v>
      </c>
      <c r="O1170" s="14" t="n">
        <v>1.493</v>
      </c>
      <c r="P1170" s="14" t="n">
        <v>1.683</v>
      </c>
      <c r="Q1170" s="14" t="n">
        <v>0.25</v>
      </c>
      <c r="R1170" s="14" t="n">
        <v>0.24</v>
      </c>
      <c r="S1170" s="14" t="n">
        <v>3.75</v>
      </c>
    </row>
    <row r="1171" customFormat="false" ht="15" hidden="false" customHeight="false" outlineLevel="0" collapsed="false">
      <c r="A1171" s="13" t="n">
        <v>43952</v>
      </c>
      <c r="B1171" s="14" t="n">
        <v>0.03</v>
      </c>
      <c r="C1171" s="14" t="n">
        <v>0.25</v>
      </c>
      <c r="D1171" s="14" t="n">
        <v>0</v>
      </c>
      <c r="F1171" s="14" t="n">
        <v>-0.5</v>
      </c>
      <c r="G1171" s="14" t="n">
        <v>0.1</v>
      </c>
      <c r="H1171" s="14" t="n">
        <v>0.0658</v>
      </c>
      <c r="I1171" s="14" t="n">
        <v>0.06647453623982</v>
      </c>
      <c r="J1171" s="14" t="n">
        <v>0.0660872793363862</v>
      </c>
      <c r="K1171" s="14" t="n">
        <v>0.0655101592228977</v>
      </c>
      <c r="L1171" s="14" t="n">
        <v>0.0668851793446485</v>
      </c>
      <c r="S1171" s="14" t="n">
        <v>3.75</v>
      </c>
    </row>
    <row r="1172" customFormat="false" ht="15" hidden="false" customHeight="false" outlineLevel="0" collapsed="false">
      <c r="A1172" s="13" t="n">
        <v>43955</v>
      </c>
      <c r="B1172" s="14" t="n">
        <v>0.05</v>
      </c>
      <c r="C1172" s="14" t="n">
        <v>0.25</v>
      </c>
      <c r="D1172" s="14" t="n">
        <v>0</v>
      </c>
      <c r="E1172" s="14" t="n">
        <v>-0.543</v>
      </c>
      <c r="F1172" s="14" t="n">
        <v>-0.5</v>
      </c>
      <c r="G1172" s="14" t="n">
        <v>0.1</v>
      </c>
      <c r="H1172" s="14" t="n">
        <v>0.0659</v>
      </c>
      <c r="I1172" s="14" t="n">
        <v>0.0646967103242339</v>
      </c>
      <c r="J1172" s="14" t="n">
        <v>0.063349341011695</v>
      </c>
      <c r="K1172" s="14" t="n">
        <v>0.0607855126835367</v>
      </c>
      <c r="L1172" s="14" t="n">
        <v>0.0578283369743579</v>
      </c>
      <c r="Q1172" s="14" t="n">
        <v>0.25</v>
      </c>
      <c r="R1172" s="14" t="n">
        <v>0.24</v>
      </c>
      <c r="S1172" s="14" t="n">
        <v>3.75</v>
      </c>
    </row>
    <row r="1173" customFormat="false" ht="15" hidden="false" customHeight="false" outlineLevel="0" collapsed="false">
      <c r="A1173" s="13" t="n">
        <v>43956</v>
      </c>
      <c r="B1173" s="14" t="n">
        <v>0.05</v>
      </c>
      <c r="C1173" s="14" t="n">
        <v>0.25</v>
      </c>
      <c r="D1173" s="14" t="n">
        <v>0</v>
      </c>
      <c r="E1173" s="14" t="n">
        <v>-0.539</v>
      </c>
      <c r="F1173" s="14" t="n">
        <v>-0.5</v>
      </c>
      <c r="G1173" s="14" t="n">
        <v>0.1</v>
      </c>
      <c r="H1173" s="14" t="n">
        <v>0.0665</v>
      </c>
      <c r="I1173" s="14" t="n">
        <v>0.0656633748304818</v>
      </c>
      <c r="J1173" s="14" t="n">
        <v>0.063300291428225</v>
      </c>
      <c r="K1173" s="14" t="n">
        <v>0.0598882537391541</v>
      </c>
      <c r="L1173" s="14" t="n">
        <v>0.0565340000823057</v>
      </c>
      <c r="Q1173" s="14" t="n">
        <v>0.25</v>
      </c>
      <c r="R1173" s="14" t="n">
        <v>0.24</v>
      </c>
      <c r="S1173" s="14" t="n">
        <v>3.75</v>
      </c>
    </row>
    <row r="1174" customFormat="false" ht="15" hidden="false" customHeight="false" outlineLevel="0" collapsed="false">
      <c r="A1174" s="13" t="n">
        <v>43957</v>
      </c>
      <c r="B1174" s="14" t="n">
        <v>0.05</v>
      </c>
      <c r="C1174" s="14" t="n">
        <v>0.25</v>
      </c>
      <c r="D1174" s="14" t="n">
        <v>0</v>
      </c>
      <c r="E1174" s="14" t="n">
        <v>-0.542</v>
      </c>
      <c r="F1174" s="14" t="n">
        <v>-0.5</v>
      </c>
      <c r="G1174" s="14" t="n">
        <v>0.1</v>
      </c>
      <c r="H1174" s="14" t="n">
        <v>0.0668</v>
      </c>
      <c r="I1174" s="14" t="n">
        <v>0.0655989637059737</v>
      </c>
      <c r="J1174" s="14" t="n">
        <v>0.0623543291807526</v>
      </c>
      <c r="K1174" s="14" t="n">
        <v>0.0570990340673184</v>
      </c>
      <c r="L1174" s="14" t="n">
        <v>0.0504739229285736</v>
      </c>
      <c r="M1174" s="14" t="n">
        <v>1.311</v>
      </c>
      <c r="N1174" s="14" t="n">
        <v>1.4</v>
      </c>
      <c r="O1174" s="14" t="n">
        <v>1.492</v>
      </c>
      <c r="P1174" s="14" t="n">
        <v>1.684</v>
      </c>
      <c r="Q1174" s="14" t="n">
        <v>0.25</v>
      </c>
      <c r="R1174" s="14" t="n">
        <v>0.24</v>
      </c>
      <c r="S1174" s="14" t="n">
        <v>3.75</v>
      </c>
    </row>
    <row r="1175" customFormat="false" ht="15" hidden="false" customHeight="false" outlineLevel="0" collapsed="false">
      <c r="A1175" s="13" t="n">
        <v>43958</v>
      </c>
      <c r="B1175" s="14" t="n">
        <v>0.05</v>
      </c>
      <c r="C1175" s="14" t="n">
        <v>0.25</v>
      </c>
      <c r="D1175" s="14" t="n">
        <v>0</v>
      </c>
      <c r="E1175" s="14" t="n">
        <v>-0.541</v>
      </c>
      <c r="F1175" s="14" t="n">
        <v>-0.5</v>
      </c>
      <c r="G1175" s="14" t="n">
        <v>0.1</v>
      </c>
      <c r="H1175" s="14" t="n">
        <v>0.0674</v>
      </c>
      <c r="I1175" s="14" t="n">
        <v>0.0658510082932491</v>
      </c>
      <c r="J1175" s="14" t="n">
        <v>0.0643282001532856</v>
      </c>
      <c r="K1175" s="14" t="n">
        <v>0.0614543733417915</v>
      </c>
      <c r="L1175" s="14" t="n">
        <v>0.0548836834691259</v>
      </c>
      <c r="M1175" s="14" t="n">
        <v>1.304</v>
      </c>
      <c r="N1175" s="14" t="n">
        <v>1.4</v>
      </c>
      <c r="O1175" s="14" t="n">
        <v>1.491</v>
      </c>
      <c r="P1175" s="14" t="n">
        <v>1.683</v>
      </c>
      <c r="Q1175" s="14" t="n">
        <v>0.25</v>
      </c>
      <c r="R1175" s="14" t="n">
        <v>0.24</v>
      </c>
      <c r="S1175" s="14" t="n">
        <v>3</v>
      </c>
    </row>
    <row r="1176" customFormat="false" ht="15" hidden="false" customHeight="false" outlineLevel="0" collapsed="false">
      <c r="A1176" s="13" t="n">
        <v>43959</v>
      </c>
      <c r="B1176" s="14" t="n">
        <v>0.06</v>
      </c>
      <c r="C1176" s="14" t="n">
        <v>0.25</v>
      </c>
      <c r="D1176" s="14" t="n">
        <v>0</v>
      </c>
      <c r="E1176" s="14" t="n">
        <v>-0.541</v>
      </c>
      <c r="F1176" s="14" t="n">
        <v>-0.5</v>
      </c>
      <c r="M1176" s="14" t="n">
        <v>1.3</v>
      </c>
      <c r="N1176" s="14" t="n">
        <v>1.4</v>
      </c>
      <c r="O1176" s="14" t="n">
        <v>1.491</v>
      </c>
      <c r="P1176" s="14" t="n">
        <v>1.683</v>
      </c>
      <c r="Q1176" s="14" t="n">
        <v>0</v>
      </c>
      <c r="R1176" s="14" t="n">
        <v>0</v>
      </c>
      <c r="S1176" s="14" t="n">
        <v>3</v>
      </c>
    </row>
    <row r="1177" customFormat="false" ht="15" hidden="false" customHeight="false" outlineLevel="0" collapsed="false">
      <c r="A1177" s="13" t="n">
        <v>43960</v>
      </c>
      <c r="C1177" s="14" t="n">
        <v>0.25</v>
      </c>
      <c r="D1177" s="14" t="n">
        <v>0</v>
      </c>
      <c r="F1177" s="14" t="n">
        <v>-0.5</v>
      </c>
      <c r="M1177" s="14" t="n">
        <v>1.3</v>
      </c>
      <c r="N1177" s="14" t="n">
        <v>1.399</v>
      </c>
      <c r="O1177" s="14" t="n">
        <v>1.493</v>
      </c>
      <c r="P1177" s="14" t="n">
        <v>1.686</v>
      </c>
      <c r="S1177" s="14" t="n">
        <v>3</v>
      </c>
    </row>
    <row r="1178" customFormat="false" ht="15" hidden="false" customHeight="false" outlineLevel="0" collapsed="false">
      <c r="A1178" s="13" t="n">
        <v>43962</v>
      </c>
      <c r="B1178" s="14" t="n">
        <v>0.06</v>
      </c>
      <c r="C1178" s="14" t="n">
        <v>0.25</v>
      </c>
      <c r="D1178" s="14" t="n">
        <v>0</v>
      </c>
      <c r="E1178" s="14" t="n">
        <v>-0.544</v>
      </c>
      <c r="F1178" s="14" t="n">
        <v>-0.5</v>
      </c>
      <c r="G1178" s="14" t="n">
        <v>0.1</v>
      </c>
      <c r="H1178" s="14" t="n">
        <v>0.0667</v>
      </c>
      <c r="I1178" s="14" t="n">
        <v>0.0654574632114891</v>
      </c>
      <c r="J1178" s="14" t="n">
        <v>0.0642721180855785</v>
      </c>
      <c r="K1178" s="14" t="n">
        <v>0.0602656253693779</v>
      </c>
      <c r="L1178" s="14" t="n">
        <v>0.0507876381642078</v>
      </c>
      <c r="M1178" s="14" t="n">
        <v>1.3</v>
      </c>
      <c r="N1178" s="14" t="n">
        <v>1.398</v>
      </c>
      <c r="O1178" s="14" t="n">
        <v>1.493</v>
      </c>
      <c r="P1178" s="14" t="n">
        <v>1.69</v>
      </c>
      <c r="Q1178" s="14" t="n">
        <v>0</v>
      </c>
      <c r="R1178" s="14" t="n">
        <v>0</v>
      </c>
      <c r="S1178" s="14" t="n">
        <v>3</v>
      </c>
    </row>
    <row r="1179" customFormat="false" ht="15" hidden="false" customHeight="false" outlineLevel="0" collapsed="false">
      <c r="A1179" s="13" t="n">
        <v>43963</v>
      </c>
      <c r="B1179" s="14" t="n">
        <v>0.06</v>
      </c>
      <c r="C1179" s="14" t="n">
        <v>0.25</v>
      </c>
      <c r="D1179" s="14" t="n">
        <v>0</v>
      </c>
      <c r="E1179" s="14" t="n">
        <v>-0.543</v>
      </c>
      <c r="F1179" s="14" t="n">
        <v>-0.5</v>
      </c>
      <c r="G1179" s="14" t="n">
        <v>0.1</v>
      </c>
      <c r="H1179" s="14" t="n">
        <v>0.0667</v>
      </c>
      <c r="I1179" s="14" t="n">
        <v>0.0660887830759345</v>
      </c>
      <c r="J1179" s="14" t="n">
        <v>0.0644415670447467</v>
      </c>
      <c r="K1179" s="14" t="n">
        <v>0.0596682381769465</v>
      </c>
      <c r="L1179" s="14" t="n">
        <v>0.0437471299072752</v>
      </c>
      <c r="M1179" s="14" t="n">
        <v>1.3</v>
      </c>
      <c r="N1179" s="14" t="n">
        <v>1.398</v>
      </c>
      <c r="O1179" s="14" t="n">
        <v>1.493</v>
      </c>
      <c r="P1179" s="14" t="n">
        <v>1.695</v>
      </c>
      <c r="Q1179" s="14" t="n">
        <v>0</v>
      </c>
      <c r="R1179" s="14" t="n">
        <v>0</v>
      </c>
      <c r="S1179" s="14" t="n">
        <v>3</v>
      </c>
    </row>
    <row r="1180" customFormat="false" ht="15" hidden="false" customHeight="false" outlineLevel="0" collapsed="false">
      <c r="A1180" s="13" t="n">
        <v>43964</v>
      </c>
      <c r="B1180" s="14" t="n">
        <v>0.04</v>
      </c>
      <c r="C1180" s="14" t="n">
        <v>0.25</v>
      </c>
      <c r="D1180" s="14" t="n">
        <v>0</v>
      </c>
      <c r="E1180" s="14" t="n">
        <v>-0.542</v>
      </c>
      <c r="F1180" s="14" t="n">
        <v>-0.5</v>
      </c>
      <c r="G1180" s="14" t="n">
        <v>0.1</v>
      </c>
      <c r="H1180" s="14" t="n">
        <v>0.0684</v>
      </c>
      <c r="I1180" s="14" t="n">
        <v>0.0675629839737777</v>
      </c>
      <c r="J1180" s="14" t="n">
        <v>0.0650495919631096</v>
      </c>
      <c r="K1180" s="14" t="n">
        <v>0.0548356918711138</v>
      </c>
      <c r="L1180" s="14" t="n">
        <v>0.0282075614706863</v>
      </c>
      <c r="M1180" s="14" t="n">
        <v>1.3</v>
      </c>
      <c r="N1180" s="14" t="n">
        <v>1.398</v>
      </c>
      <c r="O1180" s="14" t="n">
        <v>1.493</v>
      </c>
      <c r="P1180" s="14" t="n">
        <v>1.696</v>
      </c>
      <c r="Q1180" s="14" t="n">
        <v>0</v>
      </c>
      <c r="R1180" s="14" t="n">
        <v>0</v>
      </c>
      <c r="S1180" s="14" t="n">
        <v>3</v>
      </c>
    </row>
    <row r="1181" customFormat="false" ht="15" hidden="false" customHeight="false" outlineLevel="0" collapsed="false">
      <c r="A1181" s="13" t="n">
        <v>43965</v>
      </c>
      <c r="B1181" s="14" t="n">
        <v>0.02</v>
      </c>
      <c r="C1181" s="14" t="n">
        <v>0.25</v>
      </c>
      <c r="D1181" s="14" t="n">
        <v>0</v>
      </c>
      <c r="E1181" s="14" t="n">
        <v>-0.541</v>
      </c>
      <c r="F1181" s="14" t="n">
        <v>-0.5</v>
      </c>
      <c r="G1181" s="14" t="n">
        <v>0.1</v>
      </c>
      <c r="H1181" s="14" t="n">
        <v>0.0672</v>
      </c>
      <c r="I1181" s="14" t="n">
        <v>0.0667047348598216</v>
      </c>
      <c r="J1181" s="14" t="n">
        <v>0.0640767848222974</v>
      </c>
      <c r="K1181" s="14" t="n">
        <v>0.0552381035296286</v>
      </c>
      <c r="L1181" s="14" t="n">
        <v>0.0324371155530915</v>
      </c>
      <c r="M1181" s="14" t="n">
        <v>1.3</v>
      </c>
      <c r="N1181" s="14" t="n">
        <v>1.399</v>
      </c>
      <c r="O1181" s="14" t="n">
        <v>1.493</v>
      </c>
      <c r="P1181" s="14" t="n">
        <v>1.698</v>
      </c>
      <c r="Q1181" s="14" t="n">
        <v>0</v>
      </c>
      <c r="R1181" s="14" t="n">
        <v>0</v>
      </c>
      <c r="S1181" s="14" t="n">
        <v>3</v>
      </c>
    </row>
    <row r="1182" customFormat="false" ht="15" hidden="false" customHeight="false" outlineLevel="0" collapsed="false">
      <c r="A1182" s="13" t="n">
        <v>43966</v>
      </c>
      <c r="B1182" s="14" t="n">
        <v>0.05</v>
      </c>
      <c r="C1182" s="14" t="n">
        <v>0.25</v>
      </c>
      <c r="D1182" s="14" t="n">
        <v>0</v>
      </c>
      <c r="E1182" s="14" t="n">
        <v>-0.543</v>
      </c>
      <c r="F1182" s="14" t="n">
        <v>-0.5</v>
      </c>
      <c r="G1182" s="14" t="n">
        <v>0.1</v>
      </c>
      <c r="H1182" s="14" t="n">
        <v>0.0675</v>
      </c>
      <c r="I1182" s="14" t="n">
        <v>0.0667342647257537</v>
      </c>
      <c r="J1182" s="14" t="n">
        <v>0.0645116968461292</v>
      </c>
      <c r="K1182" s="14" t="n">
        <v>0.0572838392174528</v>
      </c>
      <c r="L1182" s="14" t="n">
        <v>0.0368748181718075</v>
      </c>
      <c r="M1182" s="14" t="n">
        <v>1.3</v>
      </c>
      <c r="N1182" s="14" t="n">
        <v>1.399</v>
      </c>
      <c r="O1182" s="14" t="n">
        <v>1.493</v>
      </c>
      <c r="P1182" s="14" t="n">
        <v>1.7</v>
      </c>
      <c r="Q1182" s="14" t="n">
        <v>0</v>
      </c>
      <c r="R1182" s="14" t="n">
        <v>0</v>
      </c>
      <c r="S1182" s="14" t="n">
        <v>3</v>
      </c>
    </row>
    <row r="1183" customFormat="false" ht="15" hidden="false" customHeight="false" outlineLevel="0" collapsed="false">
      <c r="A1183" s="13" t="n">
        <v>43969</v>
      </c>
      <c r="B1183" s="14" t="n">
        <v>0.04</v>
      </c>
      <c r="C1183" s="14" t="n">
        <v>0.25</v>
      </c>
      <c r="D1183" s="14" t="n">
        <v>0</v>
      </c>
      <c r="E1183" s="14" t="n">
        <v>-0.542</v>
      </c>
      <c r="F1183" s="14" t="n">
        <v>-0.5</v>
      </c>
      <c r="G1183" s="14" t="n">
        <v>0.1</v>
      </c>
      <c r="H1183" s="14" t="n">
        <v>0.0683</v>
      </c>
      <c r="I1183" s="14" t="n">
        <v>0.0672117852423679</v>
      </c>
      <c r="J1183" s="14" t="n">
        <v>0.0624641005533532</v>
      </c>
      <c r="K1183" s="14" t="n">
        <v>0.0484823703332818</v>
      </c>
      <c r="L1183" s="14" t="n">
        <v>0.0210270090532196</v>
      </c>
      <c r="M1183" s="14" t="n">
        <v>1.3</v>
      </c>
      <c r="N1183" s="14" t="n">
        <v>1.398</v>
      </c>
      <c r="O1183" s="14" t="n">
        <v>1.492</v>
      </c>
      <c r="P1183" s="14" t="n">
        <v>1.699</v>
      </c>
      <c r="Q1183" s="14" t="n">
        <v>0</v>
      </c>
      <c r="R1183" s="14" t="n">
        <v>0</v>
      </c>
      <c r="S1183" s="14" t="n">
        <v>3</v>
      </c>
    </row>
    <row r="1184" customFormat="false" ht="15" hidden="false" customHeight="false" outlineLevel="0" collapsed="false">
      <c r="A1184" s="13" t="n">
        <v>43970</v>
      </c>
      <c r="B1184" s="14" t="n">
        <v>0.04</v>
      </c>
      <c r="C1184" s="14" t="n">
        <v>0.25</v>
      </c>
      <c r="D1184" s="14" t="n">
        <v>0</v>
      </c>
      <c r="E1184" s="14" t="n">
        <v>-0.542</v>
      </c>
      <c r="F1184" s="14" t="n">
        <v>-0.5</v>
      </c>
      <c r="G1184" s="14" t="n">
        <v>0.1</v>
      </c>
      <c r="H1184" s="14" t="n">
        <v>0.068</v>
      </c>
      <c r="I1184" s="14" t="n">
        <v>0.0662166103167838</v>
      </c>
      <c r="J1184" s="14" t="n">
        <v>0.062148724113101</v>
      </c>
      <c r="K1184" s="14" t="n">
        <v>0.0502027840270736</v>
      </c>
      <c r="L1184" s="14" t="n">
        <v>0.0242508786084015</v>
      </c>
      <c r="M1184" s="14" t="n">
        <v>1.3</v>
      </c>
      <c r="N1184" s="14" t="n">
        <v>1.399</v>
      </c>
      <c r="O1184" s="14" t="n">
        <v>1.492</v>
      </c>
      <c r="P1184" s="14" t="n">
        <v>1.698</v>
      </c>
      <c r="Q1184" s="14" t="n">
        <v>0</v>
      </c>
      <c r="R1184" s="14" t="n">
        <v>0</v>
      </c>
      <c r="S1184" s="14" t="n">
        <v>3</v>
      </c>
    </row>
    <row r="1185" customFormat="false" ht="15" hidden="false" customHeight="false" outlineLevel="0" collapsed="false">
      <c r="A1185" s="13" t="n">
        <v>43971</v>
      </c>
      <c r="B1185" s="14" t="n">
        <v>0.01</v>
      </c>
      <c r="C1185" s="14" t="n">
        <v>0.25</v>
      </c>
      <c r="D1185" s="14" t="n">
        <v>0</v>
      </c>
      <c r="E1185" s="14" t="n">
        <v>-0.545</v>
      </c>
      <c r="F1185" s="14" t="n">
        <v>-0.5</v>
      </c>
      <c r="G1185" s="14" t="n">
        <v>0.1</v>
      </c>
      <c r="H1185" s="14" t="n">
        <v>0.0688</v>
      </c>
      <c r="I1185" s="14" t="n">
        <v>0.0672834993546334</v>
      </c>
      <c r="J1185" s="14" t="n">
        <v>0.0607817396522135</v>
      </c>
      <c r="K1185" s="14" t="n">
        <v>0.0451253055933073</v>
      </c>
      <c r="L1185" s="14" t="n">
        <v>0.0142862152358882</v>
      </c>
      <c r="M1185" s="14" t="n">
        <v>1.301</v>
      </c>
      <c r="N1185" s="14" t="n">
        <v>1.399</v>
      </c>
      <c r="O1185" s="14" t="n">
        <v>1.492</v>
      </c>
      <c r="P1185" s="14" t="n">
        <v>1.699</v>
      </c>
      <c r="Q1185" s="14" t="n">
        <v>0</v>
      </c>
      <c r="R1185" s="14" t="n">
        <v>0</v>
      </c>
      <c r="S1185" s="14" t="n">
        <v>3</v>
      </c>
    </row>
    <row r="1186" customFormat="false" ht="15" hidden="false" customHeight="false" outlineLevel="0" collapsed="false">
      <c r="A1186" s="13" t="n">
        <v>43972</v>
      </c>
      <c r="B1186" s="14" t="n">
        <v>0.02</v>
      </c>
      <c r="C1186" s="14" t="n">
        <v>0.25</v>
      </c>
      <c r="D1186" s="14" t="n">
        <v>0</v>
      </c>
      <c r="E1186" s="14" t="n">
        <v>-0.545</v>
      </c>
      <c r="F1186" s="14" t="n">
        <v>-0.5</v>
      </c>
      <c r="G1186" s="14" t="n">
        <v>0.1</v>
      </c>
      <c r="H1186" s="14" t="n">
        <v>0.0683</v>
      </c>
      <c r="I1186" s="14" t="n">
        <v>0.0672204111427057</v>
      </c>
      <c r="J1186" s="14" t="n">
        <v>0.0602463662818806</v>
      </c>
      <c r="K1186" s="14" t="n">
        <v>0.0416962235000184</v>
      </c>
      <c r="L1186" s="14" t="n">
        <v>0.00438983386054237</v>
      </c>
      <c r="M1186" s="14" t="n">
        <v>1.303</v>
      </c>
      <c r="N1186" s="14" t="n">
        <v>1.4</v>
      </c>
      <c r="O1186" s="14" t="n">
        <v>1.493</v>
      </c>
      <c r="P1186" s="14" t="n">
        <v>1.701</v>
      </c>
      <c r="S1186" s="14" t="n">
        <v>3</v>
      </c>
    </row>
    <row r="1187" customFormat="false" ht="15" hidden="false" customHeight="false" outlineLevel="0" collapsed="false">
      <c r="A1187" s="13" t="n">
        <v>43973</v>
      </c>
      <c r="B1187" s="14" t="n">
        <v>0.04</v>
      </c>
      <c r="C1187" s="14" t="n">
        <v>0.25</v>
      </c>
      <c r="D1187" s="14" t="n">
        <v>0</v>
      </c>
      <c r="E1187" s="14" t="n">
        <v>-0.539</v>
      </c>
      <c r="F1187" s="14" t="n">
        <v>-0.5</v>
      </c>
      <c r="G1187" s="14" t="n">
        <v>0.1</v>
      </c>
      <c r="H1187" s="14" t="n">
        <v>0.0683</v>
      </c>
      <c r="I1187" s="14" t="n">
        <v>0.0696308706634488</v>
      </c>
      <c r="J1187" s="14" t="n">
        <v>0.0612280776917106</v>
      </c>
      <c r="K1187" s="14" t="n">
        <v>0.0413403795873521</v>
      </c>
      <c r="L1187" s="14" t="n">
        <v>0.00574859466315246</v>
      </c>
      <c r="M1187" s="14" t="n">
        <v>1.307</v>
      </c>
      <c r="N1187" s="14" t="n">
        <v>1.4</v>
      </c>
      <c r="O1187" s="14" t="n">
        <v>1.493</v>
      </c>
      <c r="P1187" s="14" t="n">
        <v>1.704</v>
      </c>
      <c r="Q1187" s="14" t="n">
        <v>0</v>
      </c>
      <c r="R1187" s="14" t="n">
        <v>0</v>
      </c>
      <c r="S1187" s="14" t="n">
        <v>3</v>
      </c>
    </row>
    <row r="1188" customFormat="false" ht="15" hidden="false" customHeight="false" outlineLevel="0" collapsed="false">
      <c r="A1188" s="13" t="n">
        <v>43976</v>
      </c>
      <c r="C1188" s="14" t="n">
        <v>0.25</v>
      </c>
      <c r="D1188" s="14" t="n">
        <v>0</v>
      </c>
      <c r="E1188" s="14" t="n">
        <v>-0.54</v>
      </c>
      <c r="F1188" s="14" t="n">
        <v>-0.5</v>
      </c>
      <c r="M1188" s="14" t="n">
        <v>1.316</v>
      </c>
      <c r="N1188" s="14" t="n">
        <v>1.4</v>
      </c>
      <c r="O1188" s="14" t="n">
        <v>1.497</v>
      </c>
      <c r="P1188" s="14" t="n">
        <v>1.71</v>
      </c>
      <c r="Q1188" s="14" t="n">
        <v>0</v>
      </c>
      <c r="R1188" s="14" t="n">
        <v>0</v>
      </c>
      <c r="S1188" s="14" t="n">
        <v>3</v>
      </c>
    </row>
    <row r="1189" customFormat="false" ht="15" hidden="false" customHeight="false" outlineLevel="0" collapsed="false">
      <c r="A1189" s="13" t="n">
        <v>43977</v>
      </c>
      <c r="B1189" s="14" t="n">
        <v>0.06</v>
      </c>
      <c r="C1189" s="14" t="n">
        <v>0.25</v>
      </c>
      <c r="D1189" s="14" t="n">
        <v>0</v>
      </c>
      <c r="E1189" s="14" t="n">
        <v>-0.541</v>
      </c>
      <c r="F1189" s="14" t="n">
        <v>-0.5</v>
      </c>
      <c r="G1189" s="14" t="n">
        <v>0.1</v>
      </c>
      <c r="H1189" s="14" t="n">
        <v>0.0671</v>
      </c>
      <c r="I1189" s="14" t="n">
        <v>0.0667541101642436</v>
      </c>
      <c r="J1189" s="14" t="n">
        <v>0.0598932596446973</v>
      </c>
      <c r="K1189" s="14" t="n">
        <v>0.0483790404083574</v>
      </c>
      <c r="L1189" s="14" t="n">
        <v>0.0229182221847487</v>
      </c>
      <c r="M1189" s="14" t="n">
        <v>1.342</v>
      </c>
      <c r="N1189" s="14" t="n">
        <v>1.405</v>
      </c>
      <c r="O1189" s="14" t="n">
        <v>1.503</v>
      </c>
      <c r="P1189" s="14" t="n">
        <v>1.723</v>
      </c>
      <c r="Q1189" s="14" t="n">
        <v>0</v>
      </c>
      <c r="R1189" s="14" t="n">
        <v>0</v>
      </c>
      <c r="S1189" s="14" t="n">
        <v>3</v>
      </c>
    </row>
    <row r="1190" customFormat="false" ht="15" hidden="false" customHeight="false" outlineLevel="0" collapsed="false">
      <c r="A1190" s="13" t="n">
        <v>43978</v>
      </c>
      <c r="B1190" s="14" t="n">
        <v>0.06</v>
      </c>
      <c r="C1190" s="14" t="n">
        <v>0.25</v>
      </c>
      <c r="D1190" s="14" t="n">
        <v>0</v>
      </c>
      <c r="E1190" s="14" t="n">
        <v>-0.541</v>
      </c>
      <c r="F1190" s="14" t="n">
        <v>-0.5</v>
      </c>
      <c r="G1190" s="14" t="n">
        <v>0.1</v>
      </c>
      <c r="H1190" s="14" t="n">
        <v>0.0677</v>
      </c>
      <c r="I1190" s="14" t="n">
        <v>0.0672639826679284</v>
      </c>
      <c r="J1190" s="14" t="n">
        <v>0.0595911985232722</v>
      </c>
      <c r="K1190" s="14" t="n">
        <v>0.0469481272901848</v>
      </c>
      <c r="L1190" s="14" t="n">
        <v>0.0216735812363533</v>
      </c>
      <c r="M1190" s="14" t="n">
        <v>1.39</v>
      </c>
      <c r="N1190" s="14" t="n">
        <v>1.415</v>
      </c>
      <c r="O1190" s="14" t="n">
        <v>1.518</v>
      </c>
      <c r="P1190" s="14" t="n">
        <v>1.739</v>
      </c>
      <c r="Q1190" s="14" t="n">
        <v>0</v>
      </c>
      <c r="R1190" s="14" t="n">
        <v>0</v>
      </c>
      <c r="S1190" s="14" t="n">
        <v>3</v>
      </c>
    </row>
    <row r="1191" customFormat="false" ht="15" hidden="false" customHeight="false" outlineLevel="0" collapsed="false">
      <c r="A1191" s="13" t="n">
        <v>43979</v>
      </c>
      <c r="B1191" s="14" t="n">
        <v>0.06</v>
      </c>
      <c r="C1191" s="14" t="n">
        <v>0.25</v>
      </c>
      <c r="D1191" s="14" t="n">
        <v>0</v>
      </c>
      <c r="E1191" s="14" t="n">
        <v>-0.541</v>
      </c>
      <c r="F1191" s="14" t="n">
        <v>-0.5</v>
      </c>
      <c r="G1191" s="14" t="n">
        <v>0.1</v>
      </c>
      <c r="H1191" s="14" t="n">
        <v>0.068</v>
      </c>
      <c r="I1191" s="14" t="n">
        <v>0.0671377028195969</v>
      </c>
      <c r="J1191" s="14" t="n">
        <v>0.0599490009605736</v>
      </c>
      <c r="K1191" s="14" t="n">
        <v>0.044600484728483</v>
      </c>
      <c r="L1191" s="14" t="n">
        <v>0.0167773603722655</v>
      </c>
      <c r="M1191" s="14" t="n">
        <v>1.412</v>
      </c>
      <c r="N1191" s="14" t="n">
        <v>1.43</v>
      </c>
      <c r="O1191" s="14" t="n">
        <v>1.525</v>
      </c>
      <c r="P1191" s="14" t="n">
        <v>1.748</v>
      </c>
      <c r="Q1191" s="14" t="n">
        <v>0</v>
      </c>
      <c r="R1191" s="14" t="n">
        <v>0</v>
      </c>
      <c r="S1191" s="14" t="n">
        <v>3</v>
      </c>
    </row>
    <row r="1192" customFormat="false" ht="15" hidden="false" customHeight="false" outlineLevel="0" collapsed="false">
      <c r="A1192" s="13" t="n">
        <v>43980</v>
      </c>
      <c r="B1192" s="14" t="n">
        <v>0.06</v>
      </c>
      <c r="C1192" s="14" t="n">
        <v>0.25</v>
      </c>
      <c r="D1192" s="14" t="n">
        <v>0</v>
      </c>
      <c r="E1192" s="14" t="n">
        <v>-0.54</v>
      </c>
      <c r="F1192" s="14" t="n">
        <v>-0.5</v>
      </c>
      <c r="G1192" s="14" t="n">
        <v>0.1</v>
      </c>
      <c r="H1192" s="14" t="n">
        <v>0.0679</v>
      </c>
      <c r="I1192" s="14" t="n">
        <v>0.0658695389763441</v>
      </c>
      <c r="J1192" s="14" t="n">
        <v>0.0585357403714065</v>
      </c>
      <c r="K1192" s="14" t="n">
        <v>0.0440104888688283</v>
      </c>
      <c r="L1192" s="14" t="n">
        <v>0.014090748469909</v>
      </c>
      <c r="M1192" s="14" t="n">
        <v>1.43</v>
      </c>
      <c r="N1192" s="14" t="n">
        <v>1.453</v>
      </c>
      <c r="O1192" s="14" t="n">
        <v>1.552</v>
      </c>
      <c r="P1192" s="14" t="n">
        <v>1.774</v>
      </c>
      <c r="Q1192" s="14" t="n">
        <v>0</v>
      </c>
      <c r="R1192" s="14" t="n">
        <v>0</v>
      </c>
      <c r="S1192" s="14" t="n">
        <v>3</v>
      </c>
    </row>
    <row r="1193" customFormat="false" ht="15" hidden="false" customHeight="false" outlineLevel="0" collapsed="false">
      <c r="A1193" s="13" t="n">
        <v>43983</v>
      </c>
      <c r="B1193" s="14" t="n">
        <v>0.06</v>
      </c>
      <c r="C1193" s="14" t="n">
        <v>0.25</v>
      </c>
      <c r="D1193" s="14" t="n">
        <v>0</v>
      </c>
      <c r="E1193" s="14" t="n">
        <v>-0.546</v>
      </c>
      <c r="F1193" s="14" t="n">
        <v>-0.5</v>
      </c>
      <c r="G1193" s="14" t="n">
        <v>0.1</v>
      </c>
      <c r="H1193" s="14" t="n">
        <v>0.0665</v>
      </c>
      <c r="I1193" s="14" t="n">
        <v>0.0664050208944074</v>
      </c>
      <c r="J1193" s="14" t="n">
        <v>0.0604542834750006</v>
      </c>
      <c r="K1193" s="14" t="n">
        <v>0.0484569302518631</v>
      </c>
      <c r="L1193" s="14" t="n">
        <v>0.0224794873652522</v>
      </c>
      <c r="M1193" s="14" t="n">
        <v>1.424</v>
      </c>
      <c r="N1193" s="14" t="n">
        <v>1.456</v>
      </c>
      <c r="O1193" s="14" t="n">
        <v>1.566</v>
      </c>
      <c r="P1193" s="14" t="n">
        <v>1.788</v>
      </c>
      <c r="S1193" s="14" t="n">
        <v>3</v>
      </c>
    </row>
    <row r="1194" customFormat="false" ht="15" hidden="false" customHeight="false" outlineLevel="0" collapsed="false">
      <c r="A1194" s="13" t="n">
        <v>43984</v>
      </c>
      <c r="B1194" s="14" t="n">
        <v>0.07</v>
      </c>
      <c r="C1194" s="14" t="n">
        <v>0.25</v>
      </c>
      <c r="D1194" s="14" t="n">
        <v>0</v>
      </c>
      <c r="E1194" s="14" t="n">
        <v>-0.542</v>
      </c>
      <c r="F1194" s="14" t="n">
        <v>-0.5</v>
      </c>
      <c r="G1194" s="14" t="n">
        <v>0.1</v>
      </c>
      <c r="H1194" s="14" t="n">
        <v>0.0686</v>
      </c>
      <c r="I1194" s="14" t="n">
        <v>0.0676745824403097</v>
      </c>
      <c r="J1194" s="14" t="n">
        <v>0.0616428342562706</v>
      </c>
      <c r="K1194" s="14" t="n">
        <v>0.04923178247762</v>
      </c>
      <c r="L1194" s="14" t="n">
        <v>0.0225208458715204</v>
      </c>
      <c r="M1194" s="14" t="n">
        <v>1.422</v>
      </c>
      <c r="N1194" s="14" t="n">
        <v>1.462</v>
      </c>
      <c r="O1194" s="14" t="n">
        <v>1.575</v>
      </c>
      <c r="P1194" s="14" t="n">
        <v>1.801</v>
      </c>
      <c r="Q1194" s="14" t="n">
        <v>0</v>
      </c>
      <c r="R1194" s="14" t="n">
        <v>0</v>
      </c>
      <c r="S1194" s="14" t="n">
        <v>3</v>
      </c>
    </row>
    <row r="1195" customFormat="false" ht="15" hidden="false" customHeight="false" outlineLevel="0" collapsed="false">
      <c r="A1195" s="13" t="n">
        <v>43985</v>
      </c>
      <c r="B1195" s="14" t="n">
        <v>0.06</v>
      </c>
      <c r="C1195" s="14" t="n">
        <v>0.25</v>
      </c>
      <c r="D1195" s="14" t="n">
        <v>0</v>
      </c>
      <c r="E1195" s="14" t="n">
        <v>-0.543</v>
      </c>
      <c r="F1195" s="14" t="n">
        <v>-0.5</v>
      </c>
      <c r="G1195" s="14" t="n">
        <v>0.1</v>
      </c>
      <c r="H1195" s="14" t="n">
        <v>0.0685</v>
      </c>
      <c r="I1195" s="14" t="n">
        <v>0.0665959455112739</v>
      </c>
      <c r="J1195" s="14" t="n">
        <v>0.0606282350867655</v>
      </c>
      <c r="K1195" s="14" t="n">
        <v>0.0491177778129147</v>
      </c>
      <c r="L1195" s="14" t="n">
        <v>0.0267835585030266</v>
      </c>
      <c r="M1195" s="14" t="n">
        <v>1.455</v>
      </c>
      <c r="N1195" s="14" t="n">
        <v>1.494</v>
      </c>
      <c r="O1195" s="14" t="n">
        <v>1.596</v>
      </c>
      <c r="P1195" s="14" t="n">
        <v>1.826</v>
      </c>
      <c r="Q1195" s="14" t="n">
        <v>0</v>
      </c>
      <c r="R1195" s="14" t="n">
        <v>0</v>
      </c>
      <c r="S1195" s="14" t="n">
        <v>3</v>
      </c>
    </row>
    <row r="1196" customFormat="false" ht="15" hidden="false" customHeight="false" outlineLevel="0" collapsed="false">
      <c r="A1196" s="13" t="n">
        <v>43986</v>
      </c>
      <c r="B1196" s="14" t="n">
        <v>0.07</v>
      </c>
      <c r="C1196" s="14" t="n">
        <v>0.25</v>
      </c>
      <c r="D1196" s="14" t="n">
        <v>0</v>
      </c>
      <c r="E1196" s="14" t="n">
        <v>-0.545</v>
      </c>
      <c r="F1196" s="14" t="n">
        <v>-0.5</v>
      </c>
      <c r="G1196" s="14" t="n">
        <v>0.1</v>
      </c>
      <c r="H1196" s="14" t="n">
        <v>0.0693</v>
      </c>
      <c r="I1196" s="14" t="n">
        <v>0.0677549403029345</v>
      </c>
      <c r="J1196" s="14" t="n">
        <v>0.064253046611295</v>
      </c>
      <c r="K1196" s="14" t="n">
        <v>0.0551591541981505</v>
      </c>
      <c r="L1196" s="14" t="n">
        <v>0.0339401850977784</v>
      </c>
      <c r="M1196" s="14" t="n">
        <v>1.513</v>
      </c>
      <c r="N1196" s="14" t="n">
        <v>1.536</v>
      </c>
      <c r="O1196" s="14" t="n">
        <v>1.619</v>
      </c>
      <c r="P1196" s="14" t="n">
        <v>1.851</v>
      </c>
      <c r="Q1196" s="14" t="n">
        <v>0</v>
      </c>
      <c r="R1196" s="14" t="n">
        <v>0</v>
      </c>
      <c r="S1196" s="14" t="n">
        <v>3</v>
      </c>
    </row>
    <row r="1197" customFormat="false" ht="15" hidden="false" customHeight="false" outlineLevel="0" collapsed="false">
      <c r="A1197" s="13" t="n">
        <v>43987</v>
      </c>
      <c r="B1197" s="14" t="n">
        <v>0.07</v>
      </c>
      <c r="C1197" s="14" t="n">
        <v>0.25</v>
      </c>
      <c r="D1197" s="14" t="n">
        <v>0</v>
      </c>
      <c r="E1197" s="14" t="n">
        <v>-0.544</v>
      </c>
      <c r="F1197" s="14" t="n">
        <v>-0.5</v>
      </c>
      <c r="G1197" s="14" t="n">
        <v>0.1</v>
      </c>
      <c r="H1197" s="14" t="n">
        <v>0.0679</v>
      </c>
      <c r="I1197" s="14" t="n">
        <v>0.069654143832636</v>
      </c>
      <c r="J1197" s="14" t="n">
        <v>0.0638720268511127</v>
      </c>
      <c r="K1197" s="14" t="n">
        <v>0.0536284728810753</v>
      </c>
      <c r="L1197" s="14" t="n">
        <v>0.0368319908072191</v>
      </c>
      <c r="M1197" s="14" t="n">
        <v>1.582</v>
      </c>
      <c r="N1197" s="14" t="n">
        <v>1.594</v>
      </c>
      <c r="O1197" s="14" t="n">
        <v>1.668</v>
      </c>
      <c r="P1197" s="14" t="n">
        <v>1.903</v>
      </c>
      <c r="Q1197" s="14" t="n">
        <v>0</v>
      </c>
      <c r="R1197" s="14" t="n">
        <v>0</v>
      </c>
      <c r="S1197" s="14" t="n">
        <v>3</v>
      </c>
    </row>
    <row r="1198" customFormat="false" ht="15" hidden="false" customHeight="false" outlineLevel="0" collapsed="false">
      <c r="A1198" s="13" t="n">
        <v>43990</v>
      </c>
      <c r="B1198" s="14" t="n">
        <v>0.07</v>
      </c>
      <c r="C1198" s="14" t="n">
        <v>0.25</v>
      </c>
      <c r="D1198" s="14" t="n">
        <v>0</v>
      </c>
      <c r="E1198" s="14" t="n">
        <v>-0.547</v>
      </c>
      <c r="F1198" s="14" t="n">
        <v>-0.5</v>
      </c>
      <c r="G1198" s="14" t="n">
        <v>0.1</v>
      </c>
      <c r="H1198" s="14" t="n">
        <v>0.066</v>
      </c>
      <c r="I1198" s="14" t="n">
        <v>0.0682515616689594</v>
      </c>
      <c r="J1198" s="14" t="n">
        <v>0.0660256241019512</v>
      </c>
      <c r="K1198" s="14" t="n">
        <v>0.0589177940745617</v>
      </c>
      <c r="L1198" s="14" t="n">
        <v>0.0424265166785504</v>
      </c>
      <c r="M1198" s="14" t="n">
        <v>1.647</v>
      </c>
      <c r="N1198" s="14" t="n">
        <v>1.658</v>
      </c>
      <c r="O1198" s="14" t="n">
        <v>1.737</v>
      </c>
      <c r="P1198" s="14" t="n">
        <v>1.957</v>
      </c>
      <c r="Q1198" s="14" t="n">
        <v>0</v>
      </c>
      <c r="R1198" s="14" t="n">
        <v>0</v>
      </c>
      <c r="S1198" s="14" t="n">
        <v>3</v>
      </c>
    </row>
    <row r="1199" customFormat="false" ht="15" hidden="false" customHeight="false" outlineLevel="0" collapsed="false">
      <c r="A1199" s="13" t="n">
        <v>43991</v>
      </c>
      <c r="B1199" s="14" t="n">
        <v>0.08</v>
      </c>
      <c r="C1199" s="14" t="n">
        <v>0.25</v>
      </c>
      <c r="D1199" s="14" t="n">
        <v>0</v>
      </c>
      <c r="E1199" s="14" t="n">
        <v>-0.542</v>
      </c>
      <c r="F1199" s="14" t="n">
        <v>-0.5</v>
      </c>
      <c r="G1199" s="14" t="n">
        <v>0.1</v>
      </c>
      <c r="H1199" s="14" t="n">
        <v>0.066</v>
      </c>
      <c r="I1199" s="14" t="n">
        <v>0.0679041909202498</v>
      </c>
      <c r="J1199" s="14" t="n">
        <v>0.0648381839824655</v>
      </c>
      <c r="K1199" s="14" t="n">
        <v>0.0562917612747816</v>
      </c>
      <c r="L1199" s="14" t="n">
        <v>0.0393497675764753</v>
      </c>
      <c r="M1199" s="14" t="n">
        <v>1.741</v>
      </c>
      <c r="N1199" s="14" t="n">
        <v>1.727</v>
      </c>
      <c r="O1199" s="14" t="n">
        <v>1.788</v>
      </c>
      <c r="P1199" s="14" t="n">
        <v>2.007</v>
      </c>
      <c r="Q1199" s="14" t="n">
        <v>0</v>
      </c>
      <c r="R1199" s="14" t="n">
        <v>0</v>
      </c>
      <c r="S1199" s="14" t="n">
        <v>3</v>
      </c>
    </row>
    <row r="1200" customFormat="false" ht="15" hidden="false" customHeight="false" outlineLevel="0" collapsed="false">
      <c r="A1200" s="13" t="n">
        <v>43992</v>
      </c>
      <c r="B1200" s="14" t="n">
        <v>0.07</v>
      </c>
      <c r="C1200" s="14" t="n">
        <v>0.25</v>
      </c>
      <c r="D1200" s="14" t="n">
        <v>0</v>
      </c>
      <c r="E1200" s="14" t="n">
        <v>-0.548</v>
      </c>
      <c r="F1200" s="14" t="n">
        <v>-0.5</v>
      </c>
      <c r="G1200" s="14" t="n">
        <v>0.1</v>
      </c>
      <c r="H1200" s="14" t="n">
        <v>0.0657</v>
      </c>
      <c r="I1200" s="14" t="n">
        <v>0.0683406471875088</v>
      </c>
      <c r="J1200" s="14" t="n">
        <v>0.0645886127745945</v>
      </c>
      <c r="K1200" s="14" t="n">
        <v>0.0547979889630016</v>
      </c>
      <c r="L1200" s="14" t="n">
        <v>0.0337904068424581</v>
      </c>
      <c r="M1200" s="14" t="n">
        <v>1.791</v>
      </c>
      <c r="N1200" s="14" t="n">
        <v>1.816</v>
      </c>
      <c r="O1200" s="14" t="n">
        <v>1.861</v>
      </c>
      <c r="P1200" s="14" t="n">
        <v>2.053</v>
      </c>
      <c r="Q1200" s="14" t="n">
        <v>0</v>
      </c>
      <c r="R1200" s="14" t="n">
        <v>0</v>
      </c>
      <c r="S1200" s="14" t="n">
        <v>3</v>
      </c>
    </row>
    <row r="1201" customFormat="false" ht="15" hidden="false" customHeight="false" outlineLevel="0" collapsed="false">
      <c r="A1201" s="13" t="n">
        <v>43993</v>
      </c>
      <c r="B1201" s="14" t="n">
        <v>0.08</v>
      </c>
      <c r="C1201" s="14" t="n">
        <v>0.25</v>
      </c>
      <c r="D1201" s="14" t="n">
        <v>0</v>
      </c>
      <c r="E1201" s="14" t="n">
        <v>-0.547</v>
      </c>
      <c r="F1201" s="14" t="n">
        <v>-0.5</v>
      </c>
      <c r="G1201" s="14" t="n">
        <v>0.1</v>
      </c>
      <c r="H1201" s="14" t="n">
        <v>0.0651</v>
      </c>
      <c r="I1201" s="14" t="n">
        <v>0.0680895750747922</v>
      </c>
      <c r="J1201" s="14" t="n">
        <v>0.064542827613306</v>
      </c>
      <c r="K1201" s="14" t="n">
        <v>0.0539559162507741</v>
      </c>
      <c r="L1201" s="14" t="n">
        <v>0.0298751395592355</v>
      </c>
      <c r="M1201" s="14" t="n">
        <v>1.86</v>
      </c>
      <c r="N1201" s="14" t="n">
        <v>1.904</v>
      </c>
      <c r="O1201" s="14" t="n">
        <v>1.953</v>
      </c>
      <c r="P1201" s="14" t="n">
        <v>2.138</v>
      </c>
      <c r="Q1201" s="14" t="n">
        <v>0</v>
      </c>
      <c r="R1201" s="14" t="n">
        <v>0</v>
      </c>
      <c r="S1201" s="14" t="n">
        <v>3</v>
      </c>
    </row>
    <row r="1202" customFormat="false" ht="15" hidden="false" customHeight="false" outlineLevel="0" collapsed="false">
      <c r="A1202" s="13" t="n">
        <v>43994</v>
      </c>
      <c r="B1202" s="14" t="n">
        <v>0.08</v>
      </c>
      <c r="C1202" s="14" t="n">
        <v>0.25</v>
      </c>
      <c r="D1202" s="14" t="n">
        <v>0</v>
      </c>
      <c r="E1202" s="14" t="n">
        <v>-0.546</v>
      </c>
      <c r="F1202" s="14" t="n">
        <v>-0.5</v>
      </c>
      <c r="G1202" s="14" t="n">
        <v>0.1</v>
      </c>
      <c r="H1202" s="14" t="n">
        <v>0.0651</v>
      </c>
      <c r="I1202" s="14" t="n">
        <v>0.0648041540091599</v>
      </c>
      <c r="J1202" s="14" t="n">
        <v>0.0607530673119818</v>
      </c>
      <c r="K1202" s="14" t="n">
        <v>0.049492333079517</v>
      </c>
      <c r="L1202" s="14" t="n">
        <v>0.0233436572171874</v>
      </c>
      <c r="M1202" s="14" t="n">
        <v>1.899</v>
      </c>
      <c r="N1202" s="14" t="n">
        <v>1.956</v>
      </c>
      <c r="O1202" s="14" t="n">
        <v>2.004</v>
      </c>
      <c r="P1202" s="14" t="n">
        <v>2.189</v>
      </c>
      <c r="Q1202" s="14" t="n">
        <v>0</v>
      </c>
      <c r="R1202" s="14" t="n">
        <v>0</v>
      </c>
      <c r="S1202" s="14" t="n">
        <v>3</v>
      </c>
    </row>
    <row r="1203" customFormat="false" ht="15" hidden="false" customHeight="false" outlineLevel="0" collapsed="false">
      <c r="A1203" s="13" t="n">
        <v>43997</v>
      </c>
      <c r="B1203" s="14" t="n">
        <v>0.09</v>
      </c>
      <c r="C1203" s="14" t="n">
        <v>0.25</v>
      </c>
      <c r="D1203" s="14" t="n">
        <v>0</v>
      </c>
      <c r="E1203" s="14" t="n">
        <v>-0.547</v>
      </c>
      <c r="F1203" s="14" t="n">
        <v>-0.5</v>
      </c>
      <c r="G1203" s="14" t="n">
        <v>0.1</v>
      </c>
      <c r="H1203" s="14" t="n">
        <v>0.0634</v>
      </c>
      <c r="I1203" s="14" t="n">
        <v>0.062408613475243</v>
      </c>
      <c r="J1203" s="14" t="n">
        <v>0.0571622284914391</v>
      </c>
      <c r="K1203" s="14" t="n">
        <v>0.0456825627298638</v>
      </c>
      <c r="L1203" s="14" t="n">
        <v>0.0219324389862868</v>
      </c>
      <c r="M1203" s="14" t="n">
        <v>1.916</v>
      </c>
      <c r="N1203" s="14" t="n">
        <v>1.987</v>
      </c>
      <c r="O1203" s="14" t="n">
        <v>2.03</v>
      </c>
      <c r="P1203" s="14" t="n">
        <v>2.207</v>
      </c>
      <c r="Q1203" s="14" t="n">
        <v>0</v>
      </c>
      <c r="R1203" s="14" t="n">
        <v>0</v>
      </c>
      <c r="S1203" s="14" t="n">
        <v>3</v>
      </c>
    </row>
    <row r="1204" customFormat="false" ht="15" hidden="false" customHeight="false" outlineLevel="0" collapsed="false">
      <c r="A1204" s="13" t="n">
        <v>43998</v>
      </c>
      <c r="B1204" s="14" t="n">
        <v>0.09</v>
      </c>
      <c r="C1204" s="14" t="n">
        <v>0.25</v>
      </c>
      <c r="D1204" s="14" t="n">
        <v>0</v>
      </c>
      <c r="E1204" s="14" t="n">
        <v>-0.546</v>
      </c>
      <c r="F1204" s="14" t="n">
        <v>-0.5</v>
      </c>
      <c r="G1204" s="14" t="n">
        <v>0.1</v>
      </c>
      <c r="H1204" s="14" t="n">
        <v>0.0627</v>
      </c>
      <c r="I1204" s="14" t="n">
        <v>0.0617253144377674</v>
      </c>
      <c r="J1204" s="14" t="n">
        <v>0.0562053151531518</v>
      </c>
      <c r="K1204" s="14" t="n">
        <v>0.0456638704301868</v>
      </c>
      <c r="L1204" s="14" t="n">
        <v>0.0242132098263799</v>
      </c>
      <c r="M1204" s="14" t="n">
        <v>1.95</v>
      </c>
      <c r="N1204" s="14" t="n">
        <v>2.019</v>
      </c>
      <c r="O1204" s="14" t="n">
        <v>2.062</v>
      </c>
      <c r="P1204" s="14" t="n">
        <v>2.23</v>
      </c>
      <c r="Q1204" s="14" t="n">
        <v>0</v>
      </c>
      <c r="R1204" s="14" t="n">
        <v>0</v>
      </c>
      <c r="S1204" s="14" t="n">
        <v>3</v>
      </c>
    </row>
    <row r="1205" customFormat="false" ht="15" hidden="false" customHeight="false" outlineLevel="0" collapsed="false">
      <c r="A1205" s="13" t="n">
        <v>43999</v>
      </c>
      <c r="B1205" s="14" t="n">
        <v>0.09</v>
      </c>
      <c r="C1205" s="14" t="n">
        <v>0.25</v>
      </c>
      <c r="D1205" s="14" t="n">
        <v>0</v>
      </c>
      <c r="E1205" s="14" t="n">
        <v>-0.544</v>
      </c>
      <c r="F1205" s="14" t="n">
        <v>-0.5</v>
      </c>
      <c r="G1205" s="14" t="n">
        <v>0.1</v>
      </c>
      <c r="H1205" s="14" t="n">
        <v>0.0636</v>
      </c>
      <c r="I1205" s="14" t="n">
        <v>0.061098208927554</v>
      </c>
      <c r="J1205" s="14" t="n">
        <v>0.0541971434476268</v>
      </c>
      <c r="K1205" s="14" t="n">
        <v>0.0428575751828018</v>
      </c>
      <c r="L1205" s="14" t="n">
        <v>0.0179637533300849</v>
      </c>
      <c r="M1205" s="14" t="n">
        <v>1.993</v>
      </c>
      <c r="N1205" s="14" t="n">
        <v>2.056</v>
      </c>
      <c r="O1205" s="14" t="n">
        <v>2.095</v>
      </c>
      <c r="P1205" s="14" t="n">
        <v>2.266</v>
      </c>
      <c r="Q1205" s="14" t="n">
        <v>0</v>
      </c>
      <c r="R1205" s="14" t="n">
        <v>0</v>
      </c>
      <c r="S1205" s="14" t="n">
        <v>3</v>
      </c>
    </row>
    <row r="1206" customFormat="false" ht="15" hidden="false" customHeight="false" outlineLevel="0" collapsed="false">
      <c r="A1206" s="13" t="n">
        <v>44000</v>
      </c>
      <c r="B1206" s="14" t="n">
        <v>0.09</v>
      </c>
      <c r="C1206" s="14" t="n">
        <v>0.25</v>
      </c>
      <c r="D1206" s="14" t="n">
        <v>0</v>
      </c>
      <c r="E1206" s="14" t="n">
        <v>-0.544</v>
      </c>
      <c r="F1206" s="14" t="n">
        <v>-0.5</v>
      </c>
      <c r="G1206" s="14" t="n">
        <v>0.1</v>
      </c>
      <c r="H1206" s="14" t="n">
        <v>0.0624</v>
      </c>
      <c r="I1206" s="14" t="n">
        <v>0.0629790922356719</v>
      </c>
      <c r="J1206" s="14" t="n">
        <v>0.0590564613358822</v>
      </c>
      <c r="K1206" s="14" t="n">
        <v>0.0489069364124335</v>
      </c>
      <c r="L1206" s="14" t="n">
        <v>0.0236927163020063</v>
      </c>
      <c r="M1206" s="14" t="n">
        <v>2.023</v>
      </c>
      <c r="N1206" s="14" t="n">
        <v>2.078</v>
      </c>
      <c r="O1206" s="14" t="n">
        <v>2.115</v>
      </c>
      <c r="P1206" s="14" t="n">
        <v>2.285</v>
      </c>
      <c r="Q1206" s="14" t="n">
        <v>0</v>
      </c>
      <c r="R1206" s="14" t="n">
        <v>0</v>
      </c>
      <c r="S1206" s="14" t="n">
        <v>2.25</v>
      </c>
    </row>
    <row r="1207" customFormat="false" ht="15" hidden="false" customHeight="false" outlineLevel="0" collapsed="false">
      <c r="A1207" s="13" t="n">
        <v>44001</v>
      </c>
      <c r="B1207" s="14" t="n">
        <v>0.09</v>
      </c>
      <c r="C1207" s="14" t="n">
        <v>0.25</v>
      </c>
      <c r="D1207" s="14" t="n">
        <v>0</v>
      </c>
      <c r="E1207" s="14" t="n">
        <v>-0.546</v>
      </c>
      <c r="F1207" s="14" t="n">
        <v>-0.5</v>
      </c>
      <c r="G1207" s="14" t="n">
        <v>0.1</v>
      </c>
      <c r="H1207" s="14" t="n">
        <v>0.0637</v>
      </c>
      <c r="I1207" s="14" t="n">
        <v>0.0650599726524534</v>
      </c>
      <c r="J1207" s="14" t="n">
        <v>0.0597329221302232</v>
      </c>
      <c r="K1207" s="14" t="n">
        <v>0.0480410112873704</v>
      </c>
      <c r="L1207" s="14" t="n">
        <v>0.0199918779002307</v>
      </c>
      <c r="M1207" s="14" t="n">
        <v>2.048</v>
      </c>
      <c r="N1207" s="14" t="n">
        <v>2.095</v>
      </c>
      <c r="O1207" s="14" t="n">
        <v>2.132</v>
      </c>
      <c r="P1207" s="14" t="n">
        <v>2.3</v>
      </c>
      <c r="Q1207" s="14" t="n">
        <v>0</v>
      </c>
      <c r="R1207" s="14" t="n">
        <v>0</v>
      </c>
      <c r="S1207" s="14" t="n">
        <v>2.25</v>
      </c>
    </row>
    <row r="1208" customFormat="false" ht="15" hidden="false" customHeight="false" outlineLevel="0" collapsed="false">
      <c r="A1208" s="13" t="n">
        <v>44004</v>
      </c>
      <c r="B1208" s="14" t="n">
        <v>0.08</v>
      </c>
      <c r="C1208" s="14" t="n">
        <v>0.25</v>
      </c>
      <c r="D1208" s="14" t="n">
        <v>0</v>
      </c>
      <c r="E1208" s="14" t="n">
        <v>-0.545</v>
      </c>
      <c r="F1208" s="14" t="n">
        <v>-0.5</v>
      </c>
      <c r="G1208" s="14" t="n">
        <v>0.1</v>
      </c>
      <c r="H1208" s="14" t="n">
        <v>0.0636</v>
      </c>
      <c r="I1208" s="14" t="n">
        <v>0.0646216675918459</v>
      </c>
      <c r="J1208" s="14" t="n">
        <v>0.0584304025592769</v>
      </c>
      <c r="K1208" s="14" t="n">
        <v>0.0460420762023384</v>
      </c>
      <c r="L1208" s="14" t="n">
        <v>0.0177462390238453</v>
      </c>
      <c r="M1208" s="14" t="n">
        <v>2.057</v>
      </c>
      <c r="N1208" s="14" t="n">
        <v>2.097</v>
      </c>
      <c r="O1208" s="14" t="n">
        <v>2.142</v>
      </c>
      <c r="P1208" s="14" t="n">
        <v>2.308</v>
      </c>
      <c r="Q1208" s="14" t="n">
        <v>0</v>
      </c>
      <c r="R1208" s="14" t="n">
        <v>0</v>
      </c>
      <c r="S1208" s="14" t="n">
        <v>2.25</v>
      </c>
    </row>
    <row r="1209" customFormat="false" ht="15" hidden="false" customHeight="false" outlineLevel="0" collapsed="false">
      <c r="A1209" s="13" t="n">
        <v>44005</v>
      </c>
      <c r="B1209" s="14" t="n">
        <v>0.07</v>
      </c>
      <c r="C1209" s="14" t="n">
        <v>0.25</v>
      </c>
      <c r="D1209" s="14" t="n">
        <v>0</v>
      </c>
      <c r="E1209" s="14" t="n">
        <v>-0.544</v>
      </c>
      <c r="F1209" s="14" t="n">
        <v>-0.5</v>
      </c>
      <c r="G1209" s="14" t="n">
        <v>0.1</v>
      </c>
      <c r="H1209" s="14" t="n">
        <v>0.0621</v>
      </c>
      <c r="I1209" s="14" t="n">
        <v>0.0641795962454683</v>
      </c>
      <c r="J1209" s="14" t="n">
        <v>0.0584659831665323</v>
      </c>
      <c r="K1209" s="14" t="n">
        <v>0.0477007697576961</v>
      </c>
      <c r="L1209" s="14" t="n">
        <v>0.0220701153815441</v>
      </c>
      <c r="M1209" s="14" t="n">
        <v>2.08</v>
      </c>
      <c r="N1209" s="14" t="n">
        <v>2.109</v>
      </c>
      <c r="O1209" s="14" t="n">
        <v>2.152</v>
      </c>
      <c r="P1209" s="14" t="n">
        <v>2.325</v>
      </c>
      <c r="Q1209" s="14" t="n">
        <v>0</v>
      </c>
      <c r="R1209" s="14" t="n">
        <v>0.01</v>
      </c>
      <c r="S1209" s="14" t="n">
        <v>2.25</v>
      </c>
    </row>
    <row r="1210" customFormat="false" ht="15" hidden="false" customHeight="false" outlineLevel="0" collapsed="false">
      <c r="A1210" s="13" t="n">
        <v>44006</v>
      </c>
      <c r="B1210" s="14" t="n">
        <v>0.08</v>
      </c>
      <c r="C1210" s="14" t="n">
        <v>0.25</v>
      </c>
      <c r="D1210" s="14" t="n">
        <v>0</v>
      </c>
      <c r="E1210" s="14" t="n">
        <v>-0.546</v>
      </c>
      <c r="F1210" s="14" t="n">
        <v>-0.5</v>
      </c>
      <c r="G1210" s="14" t="n">
        <v>0.1</v>
      </c>
      <c r="H1210" s="14" t="n">
        <v>0.0626</v>
      </c>
      <c r="I1210" s="14" t="n">
        <v>0.0645653349208638</v>
      </c>
      <c r="J1210" s="14" t="n">
        <v>0.0583451276283828</v>
      </c>
      <c r="K1210" s="14" t="n">
        <v>0.0466634483029465</v>
      </c>
      <c r="L1210" s="14" t="n">
        <v>0.0222276380741993</v>
      </c>
      <c r="M1210" s="14" t="n">
        <v>2.098</v>
      </c>
      <c r="N1210" s="14" t="n">
        <v>2.121</v>
      </c>
      <c r="O1210" s="14" t="n">
        <v>2.16</v>
      </c>
      <c r="P1210" s="14" t="n">
        <v>2.344</v>
      </c>
      <c r="Q1210" s="14" t="n">
        <v>0</v>
      </c>
      <c r="R1210" s="14" t="n">
        <v>-0.01</v>
      </c>
      <c r="S1210" s="14" t="n">
        <v>2.25</v>
      </c>
    </row>
    <row r="1211" customFormat="false" ht="15" hidden="false" customHeight="false" outlineLevel="0" collapsed="false">
      <c r="A1211" s="13" t="n">
        <v>44007</v>
      </c>
      <c r="B1211" s="14" t="n">
        <v>0.09</v>
      </c>
      <c r="C1211" s="14" t="n">
        <v>0.25</v>
      </c>
      <c r="D1211" s="14" t="n">
        <v>0</v>
      </c>
      <c r="E1211" s="14" t="n">
        <v>-0.547</v>
      </c>
      <c r="F1211" s="14" t="n">
        <v>-0.5</v>
      </c>
      <c r="G1211" s="14" t="n">
        <v>0.1</v>
      </c>
      <c r="H1211" s="14" t="n">
        <v>0.063</v>
      </c>
      <c r="I1211" s="14" t="n">
        <v>0.0640068529550432</v>
      </c>
      <c r="J1211" s="14" t="n">
        <v>0.0573415320273877</v>
      </c>
      <c r="K1211" s="14" t="n">
        <v>0.0467495311166121</v>
      </c>
      <c r="L1211" s="14" t="n">
        <v>0.0235241873750649</v>
      </c>
      <c r="Q1211" s="14" t="n">
        <v>0</v>
      </c>
      <c r="R1211" s="14" t="n">
        <v>-0.01</v>
      </c>
      <c r="S1211" s="14" t="n">
        <v>2.25</v>
      </c>
    </row>
    <row r="1212" customFormat="false" ht="15" hidden="false" customHeight="false" outlineLevel="0" collapsed="false">
      <c r="A1212" s="13" t="n">
        <v>44008</v>
      </c>
      <c r="B1212" s="14" t="n">
        <v>0.08</v>
      </c>
      <c r="C1212" s="14" t="n">
        <v>0.25</v>
      </c>
      <c r="D1212" s="14" t="n">
        <v>0</v>
      </c>
      <c r="E1212" s="14" t="n">
        <v>-0.547</v>
      </c>
      <c r="F1212" s="14" t="n">
        <v>-0.5</v>
      </c>
      <c r="G1212" s="14" t="n">
        <v>0.1</v>
      </c>
      <c r="H1212" s="14" t="n">
        <v>0.0633</v>
      </c>
      <c r="I1212" s="14" t="n">
        <v>0.0607255778346858</v>
      </c>
      <c r="J1212" s="14" t="n">
        <v>0.0582604273190149</v>
      </c>
      <c r="K1212" s="14" t="n">
        <v>0.0473058143190918</v>
      </c>
      <c r="L1212" s="14" t="n">
        <v>0.0204994613936702</v>
      </c>
      <c r="Q1212" s="14" t="n">
        <v>0</v>
      </c>
      <c r="R1212" s="14" t="n">
        <v>-0.01</v>
      </c>
      <c r="S1212" s="14" t="n">
        <v>2.25</v>
      </c>
    </row>
    <row r="1213" customFormat="false" ht="15" hidden="false" customHeight="false" outlineLevel="0" collapsed="false">
      <c r="A1213" s="13" t="n">
        <v>44010</v>
      </c>
      <c r="C1213" s="14" t="n">
        <v>0.25</v>
      </c>
      <c r="D1213" s="14" t="n">
        <v>0</v>
      </c>
      <c r="F1213" s="14" t="n">
        <v>-0.5</v>
      </c>
      <c r="M1213" s="14" t="n">
        <v>2.101</v>
      </c>
      <c r="N1213" s="14" t="n">
        <v>2.129</v>
      </c>
      <c r="O1213" s="14" t="n">
        <v>2.167</v>
      </c>
      <c r="P1213" s="14" t="n">
        <v>2.349</v>
      </c>
      <c r="S1213" s="14" t="n">
        <v>2.25</v>
      </c>
    </row>
    <row r="1214" customFormat="false" ht="15" hidden="false" customHeight="false" outlineLevel="0" collapsed="false">
      <c r="A1214" s="13" t="n">
        <v>44011</v>
      </c>
      <c r="B1214" s="14" t="n">
        <v>0.08</v>
      </c>
      <c r="C1214" s="14" t="n">
        <v>0.25</v>
      </c>
      <c r="D1214" s="14" t="n">
        <v>0</v>
      </c>
      <c r="E1214" s="14" t="n">
        <v>-0.545</v>
      </c>
      <c r="F1214" s="14" t="n">
        <v>-0.5</v>
      </c>
      <c r="G1214" s="14" t="n">
        <v>0.1</v>
      </c>
      <c r="H1214" s="14" t="n">
        <v>0.0619</v>
      </c>
      <c r="I1214" s="14" t="n">
        <v>0.0636301015362314</v>
      </c>
      <c r="J1214" s="14" t="n">
        <v>0.0570354130644562</v>
      </c>
      <c r="K1214" s="14" t="n">
        <v>0.0441309519073374</v>
      </c>
      <c r="L1214" s="14" t="n">
        <v>0.0156398711307192</v>
      </c>
      <c r="M1214" s="14" t="n">
        <v>2.096</v>
      </c>
      <c r="N1214" s="14" t="n">
        <v>2.127</v>
      </c>
      <c r="O1214" s="14" t="n">
        <v>2.166</v>
      </c>
      <c r="P1214" s="14" t="n">
        <v>2.35</v>
      </c>
      <c r="Q1214" s="14" t="n">
        <v>0</v>
      </c>
      <c r="R1214" s="14" t="n">
        <v>0</v>
      </c>
      <c r="S1214" s="14" t="n">
        <v>2.25</v>
      </c>
    </row>
    <row r="1215" customFormat="false" ht="15" hidden="false" customHeight="false" outlineLevel="0" collapsed="false">
      <c r="A1215" s="13" t="n">
        <v>44012</v>
      </c>
      <c r="B1215" s="14" t="n">
        <v>0.1</v>
      </c>
      <c r="C1215" s="14" t="n">
        <v>0.25</v>
      </c>
      <c r="D1215" s="14" t="n">
        <v>0</v>
      </c>
      <c r="E1215" s="14" t="n">
        <v>-0.555</v>
      </c>
      <c r="F1215" s="14" t="n">
        <v>-0.5</v>
      </c>
      <c r="G1215" s="14" t="n">
        <v>0.1</v>
      </c>
      <c r="H1215" s="14" t="n">
        <v>0.0603</v>
      </c>
      <c r="I1215" s="14" t="n">
        <v>0.0633502815342223</v>
      </c>
      <c r="J1215" s="14" t="n">
        <v>0.0568158355939627</v>
      </c>
      <c r="K1215" s="14" t="n">
        <v>0.0437670451556715</v>
      </c>
      <c r="L1215" s="14" t="n">
        <v>0.0122390042220261</v>
      </c>
      <c r="M1215" s="14" t="n">
        <v>2.083</v>
      </c>
      <c r="N1215" s="14" t="n">
        <v>2.126</v>
      </c>
      <c r="O1215" s="14" t="n">
        <v>2.168</v>
      </c>
      <c r="P1215" s="14" t="n">
        <v>2.358</v>
      </c>
      <c r="Q1215" s="14" t="n">
        <v>0</v>
      </c>
      <c r="R1215" s="14" t="n">
        <v>-0.01</v>
      </c>
      <c r="S1215" s="14" t="n">
        <v>2.25</v>
      </c>
    </row>
    <row r="1216" customFormat="false" ht="15" hidden="false" customHeight="false" outlineLevel="0" collapsed="false">
      <c r="A1216" s="13" t="n">
        <v>44013</v>
      </c>
      <c r="B1216" s="14" t="n">
        <v>0.11</v>
      </c>
      <c r="C1216" s="14" t="n">
        <v>0.25</v>
      </c>
      <c r="D1216" s="14" t="n">
        <v>0</v>
      </c>
      <c r="E1216" s="14" t="n">
        <v>-0.548</v>
      </c>
      <c r="F1216" s="14" t="n">
        <v>-0.5</v>
      </c>
      <c r="G1216" s="14" t="n">
        <v>0.1</v>
      </c>
      <c r="H1216" s="14" t="n">
        <v>0.0611</v>
      </c>
      <c r="I1216" s="14" t="n">
        <v>0.0637413608132125</v>
      </c>
      <c r="J1216" s="14" t="n">
        <v>0.0572144263884812</v>
      </c>
      <c r="K1216" s="14" t="n">
        <v>0.045143163565169</v>
      </c>
      <c r="L1216" s="14" t="n">
        <v>0.0204869416282136</v>
      </c>
      <c r="M1216" s="14" t="n">
        <v>2.071</v>
      </c>
      <c r="N1216" s="14" t="n">
        <v>2.122</v>
      </c>
      <c r="O1216" s="14" t="n">
        <v>2.178</v>
      </c>
      <c r="P1216" s="14" t="n">
        <v>2.361</v>
      </c>
      <c r="Q1216" s="14" t="n">
        <v>0</v>
      </c>
      <c r="R1216" s="14" t="n">
        <v>0</v>
      </c>
      <c r="S1216" s="14" t="n">
        <v>2.25</v>
      </c>
    </row>
    <row r="1217" customFormat="false" ht="15" hidden="false" customHeight="false" outlineLevel="0" collapsed="false">
      <c r="A1217" s="13" t="n">
        <v>44014</v>
      </c>
      <c r="B1217" s="14" t="n">
        <v>0.11</v>
      </c>
      <c r="C1217" s="14" t="n">
        <v>0.25</v>
      </c>
      <c r="D1217" s="14" t="n">
        <v>0</v>
      </c>
      <c r="E1217" s="14" t="n">
        <v>-0.548</v>
      </c>
      <c r="F1217" s="14" t="n">
        <v>-0.5</v>
      </c>
      <c r="G1217" s="14" t="n">
        <v>0.1</v>
      </c>
      <c r="H1217" s="14" t="n">
        <v>0.0608</v>
      </c>
      <c r="I1217" s="14" t="n">
        <v>0.0623242193136728</v>
      </c>
      <c r="J1217" s="14" t="n">
        <v>0.0556961112527359</v>
      </c>
      <c r="K1217" s="14" t="n">
        <v>0.0441488683883482</v>
      </c>
      <c r="L1217" s="14" t="n">
        <v>0.0171622492243536</v>
      </c>
      <c r="M1217" s="14" t="n">
        <v>2.038</v>
      </c>
      <c r="N1217" s="14" t="n">
        <v>2.113</v>
      </c>
      <c r="O1217" s="14" t="n">
        <v>2.181</v>
      </c>
      <c r="P1217" s="14" t="n">
        <v>2.368</v>
      </c>
      <c r="Q1217" s="14" t="n">
        <v>0</v>
      </c>
      <c r="R1217" s="14" t="n">
        <v>0</v>
      </c>
      <c r="S1217" s="14" t="n">
        <v>2.25</v>
      </c>
    </row>
    <row r="1218" customFormat="false" ht="15" hidden="false" customHeight="false" outlineLevel="0" collapsed="false">
      <c r="A1218" s="13" t="n">
        <v>44015</v>
      </c>
      <c r="C1218" s="14" t="n">
        <v>0.25</v>
      </c>
      <c r="D1218" s="14" t="n">
        <v>0</v>
      </c>
      <c r="E1218" s="14" t="n">
        <v>-0.549</v>
      </c>
      <c r="F1218" s="14" t="n">
        <v>-0.5</v>
      </c>
      <c r="G1218" s="14" t="n">
        <v>0.1</v>
      </c>
      <c r="H1218" s="14" t="n">
        <v>0.0608</v>
      </c>
      <c r="I1218" s="14" t="n">
        <v>0.0618296672770407</v>
      </c>
      <c r="J1218" s="14" t="n">
        <v>0.0544972707545813</v>
      </c>
      <c r="K1218" s="14" t="n">
        <v>0.0413324069693555</v>
      </c>
      <c r="L1218" s="14" t="n">
        <v>0.0128473615277465</v>
      </c>
      <c r="M1218" s="14" t="n">
        <v>2.011</v>
      </c>
      <c r="N1218" s="14" t="n">
        <v>2.105</v>
      </c>
      <c r="O1218" s="14" t="n">
        <v>2.186</v>
      </c>
      <c r="P1218" s="14" t="n">
        <v>2.376</v>
      </c>
      <c r="Q1218" s="14" t="n">
        <v>0</v>
      </c>
      <c r="R1218" s="14" t="n">
        <v>0</v>
      </c>
      <c r="S1218" s="14" t="n">
        <v>2.25</v>
      </c>
    </row>
    <row r="1219" customFormat="false" ht="15" hidden="false" customHeight="false" outlineLevel="0" collapsed="false">
      <c r="A1219" s="13" t="n">
        <v>44018</v>
      </c>
      <c r="B1219" s="14" t="n">
        <v>0.1</v>
      </c>
      <c r="C1219" s="14" t="n">
        <v>0.25</v>
      </c>
      <c r="D1219" s="14" t="n">
        <v>0</v>
      </c>
      <c r="E1219" s="14" t="n">
        <v>-0.55</v>
      </c>
      <c r="F1219" s="14" t="n">
        <v>-0.5</v>
      </c>
      <c r="G1219" s="14" t="n">
        <v>0.1</v>
      </c>
      <c r="H1219" s="14" t="n">
        <v>0.0592</v>
      </c>
      <c r="I1219" s="14" t="n">
        <v>0.0613134824949197</v>
      </c>
      <c r="J1219" s="14" t="n">
        <v>0.0552125977326611</v>
      </c>
      <c r="K1219" s="14" t="n">
        <v>0.0448585135819499</v>
      </c>
      <c r="L1219" s="14" t="n">
        <v>0.0211410355150138</v>
      </c>
      <c r="M1219" s="14" t="n">
        <v>1.997</v>
      </c>
      <c r="N1219" s="14" t="n">
        <v>2.104</v>
      </c>
      <c r="O1219" s="14" t="n">
        <v>2.19</v>
      </c>
      <c r="P1219" s="14" t="n">
        <v>2.384</v>
      </c>
      <c r="Q1219" s="14" t="n">
        <v>0</v>
      </c>
      <c r="R1219" s="14" t="n">
        <v>0</v>
      </c>
      <c r="S1219" s="14" t="n">
        <v>2.25</v>
      </c>
    </row>
    <row r="1220" customFormat="false" ht="15" hidden="false" customHeight="false" outlineLevel="0" collapsed="false">
      <c r="A1220" s="13" t="n">
        <v>44019</v>
      </c>
      <c r="B1220" s="14" t="n">
        <v>0.1</v>
      </c>
      <c r="C1220" s="14" t="n">
        <v>0.25</v>
      </c>
      <c r="D1220" s="14" t="n">
        <v>0</v>
      </c>
      <c r="E1220" s="14" t="n">
        <v>-0.55</v>
      </c>
      <c r="F1220" s="14" t="n">
        <v>-0.5</v>
      </c>
      <c r="G1220" s="14" t="n">
        <v>0.1</v>
      </c>
      <c r="H1220" s="14" t="n">
        <v>0.059</v>
      </c>
      <c r="I1220" s="14" t="n">
        <v>0.0612592952809632</v>
      </c>
      <c r="J1220" s="14" t="n">
        <v>0.0546666431436527</v>
      </c>
      <c r="K1220" s="14" t="n">
        <v>0.0437700904479189</v>
      </c>
      <c r="L1220" s="14" t="n">
        <v>0.0181963071648809</v>
      </c>
      <c r="M1220" s="14" t="n">
        <v>1.998</v>
      </c>
      <c r="N1220" s="14" t="n">
        <v>2.103</v>
      </c>
      <c r="O1220" s="14" t="n">
        <v>2.196</v>
      </c>
      <c r="P1220" s="14" t="n">
        <v>2.392</v>
      </c>
      <c r="Q1220" s="14" t="n">
        <v>0</v>
      </c>
      <c r="R1220" s="14" t="n">
        <v>0</v>
      </c>
      <c r="S1220" s="14" t="n">
        <v>2.25</v>
      </c>
    </row>
    <row r="1221" customFormat="false" ht="15" hidden="false" customHeight="false" outlineLevel="0" collapsed="false">
      <c r="A1221" s="13" t="n">
        <v>44020</v>
      </c>
      <c r="B1221" s="14" t="n">
        <v>0.1</v>
      </c>
      <c r="C1221" s="14" t="n">
        <v>0.25</v>
      </c>
      <c r="D1221" s="14" t="n">
        <v>0</v>
      </c>
      <c r="E1221" s="14" t="n">
        <v>-0.549</v>
      </c>
      <c r="F1221" s="14" t="n">
        <v>-0.5</v>
      </c>
      <c r="G1221" s="14" t="n">
        <v>0.1</v>
      </c>
      <c r="H1221" s="14" t="n">
        <v>0.0596</v>
      </c>
      <c r="I1221" s="14" t="n">
        <v>0.0602256022466275</v>
      </c>
      <c r="J1221" s="14" t="n">
        <v>0.0543006834662045</v>
      </c>
      <c r="K1221" s="14" t="n">
        <v>0.0427559867912834</v>
      </c>
      <c r="L1221" s="14" t="n">
        <v>0.0152939036700523</v>
      </c>
      <c r="M1221" s="14" t="n">
        <v>1.998</v>
      </c>
      <c r="N1221" s="14" t="n">
        <v>2.111</v>
      </c>
      <c r="O1221" s="14" t="n">
        <v>2.209</v>
      </c>
      <c r="P1221" s="14" t="n">
        <v>2.404</v>
      </c>
      <c r="Q1221" s="14" t="n">
        <v>0</v>
      </c>
      <c r="R1221" s="14" t="n">
        <v>-0.01</v>
      </c>
      <c r="S1221" s="14" t="n">
        <v>2.25</v>
      </c>
    </row>
    <row r="1222" customFormat="false" ht="15" hidden="false" customHeight="false" outlineLevel="0" collapsed="false">
      <c r="A1222" s="13" t="n">
        <v>44021</v>
      </c>
      <c r="B1222" s="14" t="n">
        <v>0.1</v>
      </c>
      <c r="C1222" s="14" t="n">
        <v>0.25</v>
      </c>
      <c r="D1222" s="14" t="n">
        <v>0</v>
      </c>
      <c r="E1222" s="14" t="n">
        <v>-0.549</v>
      </c>
      <c r="F1222" s="14" t="n">
        <v>-0.5</v>
      </c>
      <c r="G1222" s="14" t="n">
        <v>0.1</v>
      </c>
      <c r="H1222" s="14" t="n">
        <v>0.0594</v>
      </c>
      <c r="I1222" s="14" t="n">
        <v>0.0607932914661709</v>
      </c>
      <c r="J1222" s="14" t="n">
        <v>0.054669561192349</v>
      </c>
      <c r="K1222" s="14" t="n">
        <v>0.0442015504564344</v>
      </c>
      <c r="L1222" s="14" t="n">
        <v>0.0159477569439458</v>
      </c>
      <c r="M1222" s="14" t="n">
        <v>2.013</v>
      </c>
      <c r="N1222" s="14" t="n">
        <v>2.122</v>
      </c>
      <c r="O1222" s="14" t="n">
        <v>2.222</v>
      </c>
      <c r="P1222" s="14" t="n">
        <v>2.42</v>
      </c>
      <c r="Q1222" s="14" t="n">
        <v>0</v>
      </c>
      <c r="R1222" s="14" t="n">
        <v>0</v>
      </c>
      <c r="S1222" s="14" t="n">
        <v>2.25</v>
      </c>
    </row>
    <row r="1223" customFormat="false" ht="15" hidden="false" customHeight="false" outlineLevel="0" collapsed="false">
      <c r="A1223" s="13" t="n">
        <v>44022</v>
      </c>
      <c r="B1223" s="14" t="n">
        <v>0.1</v>
      </c>
      <c r="C1223" s="14" t="n">
        <v>0.25</v>
      </c>
      <c r="D1223" s="14" t="n">
        <v>0</v>
      </c>
      <c r="E1223" s="14" t="n">
        <v>-0.549</v>
      </c>
      <c r="F1223" s="14" t="n">
        <v>-0.5</v>
      </c>
      <c r="G1223" s="14" t="n">
        <v>0.1</v>
      </c>
      <c r="H1223" s="14" t="n">
        <v>0.0599</v>
      </c>
      <c r="I1223" s="14" t="n">
        <v>0.0589697873216039</v>
      </c>
      <c r="J1223" s="14" t="n">
        <v>0.0537925764238908</v>
      </c>
      <c r="K1223" s="14" t="n">
        <v>0.0442450268661828</v>
      </c>
      <c r="L1223" s="14" t="n">
        <v>0.0115838343542457</v>
      </c>
      <c r="M1223" s="14" t="n">
        <v>2.035</v>
      </c>
      <c r="N1223" s="14" t="n">
        <v>2.143</v>
      </c>
      <c r="O1223" s="14" t="n">
        <v>2.241</v>
      </c>
      <c r="P1223" s="14" t="n">
        <v>2.433</v>
      </c>
      <c r="Q1223" s="14" t="n">
        <v>0</v>
      </c>
      <c r="R1223" s="14" t="n">
        <v>-0.01</v>
      </c>
      <c r="S1223" s="14" t="n">
        <v>2.25</v>
      </c>
    </row>
    <row r="1224" customFormat="false" ht="15" hidden="false" customHeight="false" outlineLevel="0" collapsed="false">
      <c r="A1224" s="13" t="n">
        <v>44025</v>
      </c>
      <c r="B1224" s="14" t="n">
        <v>0.1</v>
      </c>
      <c r="C1224" s="14" t="n">
        <v>0.25</v>
      </c>
      <c r="D1224" s="14" t="n">
        <v>0</v>
      </c>
      <c r="E1224" s="14" t="n">
        <v>-0.552</v>
      </c>
      <c r="F1224" s="14" t="n">
        <v>-0.5</v>
      </c>
      <c r="G1224" s="14" t="n">
        <v>0.1</v>
      </c>
      <c r="H1224" s="14" t="n">
        <v>0.0599</v>
      </c>
      <c r="I1224" s="14" t="n">
        <v>0.0585044591390231</v>
      </c>
      <c r="J1224" s="14" t="n">
        <v>0.0549655568019136</v>
      </c>
      <c r="K1224" s="14" t="n">
        <v>0.0458395741642548</v>
      </c>
      <c r="L1224" s="14" t="n">
        <v>0.0199105114858126</v>
      </c>
      <c r="M1224" s="14" t="n">
        <v>2.057</v>
      </c>
      <c r="N1224" s="14" t="n">
        <v>2.163</v>
      </c>
      <c r="O1224" s="14" t="n">
        <v>2.264</v>
      </c>
      <c r="P1224" s="14" t="n">
        <v>2.455</v>
      </c>
      <c r="Q1224" s="14" t="n">
        <v>0</v>
      </c>
      <c r="R1224" s="14" t="n">
        <v>0</v>
      </c>
      <c r="S1224" s="14" t="n">
        <v>2.25</v>
      </c>
    </row>
    <row r="1225" customFormat="false" ht="15" hidden="false" customHeight="false" outlineLevel="0" collapsed="false">
      <c r="A1225" s="13" t="n">
        <v>44026</v>
      </c>
      <c r="B1225" s="14" t="n">
        <v>0.11</v>
      </c>
      <c r="C1225" s="14" t="n">
        <v>0.25</v>
      </c>
      <c r="D1225" s="14" t="n">
        <v>0</v>
      </c>
      <c r="E1225" s="14" t="n">
        <v>-0.551</v>
      </c>
      <c r="F1225" s="14" t="n">
        <v>-0.5</v>
      </c>
      <c r="G1225" s="14" t="n">
        <v>0.1</v>
      </c>
      <c r="H1225" s="14" t="n">
        <v>0.0605</v>
      </c>
      <c r="I1225" s="14" t="n">
        <v>0.0583579831555256</v>
      </c>
      <c r="J1225" s="14" t="n">
        <v>0.0541257441781851</v>
      </c>
      <c r="K1225" s="14" t="n">
        <v>0.0430439168245115</v>
      </c>
      <c r="L1225" s="14" t="n">
        <v>0.0129103349495104</v>
      </c>
      <c r="M1225" s="14" t="n">
        <v>2.077</v>
      </c>
      <c r="N1225" s="14" t="n">
        <v>2.192</v>
      </c>
      <c r="O1225" s="14" t="n">
        <v>2.292</v>
      </c>
      <c r="P1225" s="14" t="n">
        <v>2.48</v>
      </c>
      <c r="Q1225" s="14" t="n">
        <v>0</v>
      </c>
      <c r="R1225" s="14" t="n">
        <v>0</v>
      </c>
      <c r="S1225" s="14" t="n">
        <v>2.25</v>
      </c>
    </row>
    <row r="1226" customFormat="false" ht="15" hidden="false" customHeight="false" outlineLevel="0" collapsed="false">
      <c r="A1226" s="13" t="n">
        <v>44027</v>
      </c>
      <c r="B1226" s="14" t="n">
        <v>0.13</v>
      </c>
      <c r="C1226" s="14" t="n">
        <v>0.25</v>
      </c>
      <c r="D1226" s="14" t="n">
        <v>0</v>
      </c>
      <c r="E1226" s="14" t="n">
        <v>-0.551</v>
      </c>
      <c r="F1226" s="14" t="n">
        <v>-0.5</v>
      </c>
      <c r="G1226" s="14" t="n">
        <v>0.1</v>
      </c>
      <c r="H1226" s="14" t="n">
        <v>0.0609</v>
      </c>
      <c r="I1226" s="14" t="n">
        <v>0.0593645366996986</v>
      </c>
      <c r="J1226" s="14" t="n">
        <v>0.0539244329904153</v>
      </c>
      <c r="K1226" s="14" t="n">
        <v>0.0391334324673105</v>
      </c>
      <c r="L1226" s="14" t="n">
        <v>0.00235046993964212</v>
      </c>
      <c r="M1226" s="14" t="n">
        <v>2.1</v>
      </c>
      <c r="N1226" s="14" t="n">
        <v>2.241</v>
      </c>
      <c r="O1226" s="14" t="n">
        <v>2.334</v>
      </c>
      <c r="P1226" s="14" t="n">
        <v>2.516</v>
      </c>
      <c r="Q1226" s="14" t="n">
        <v>0</v>
      </c>
      <c r="R1226" s="14" t="n">
        <v>0</v>
      </c>
      <c r="S1226" s="14" t="n">
        <v>2.25</v>
      </c>
    </row>
    <row r="1227" customFormat="false" ht="15" hidden="false" customHeight="false" outlineLevel="0" collapsed="false">
      <c r="A1227" s="13" t="n">
        <v>44028</v>
      </c>
      <c r="B1227" s="14" t="n">
        <v>0.12</v>
      </c>
      <c r="C1227" s="14" t="n">
        <v>0.25</v>
      </c>
      <c r="D1227" s="14" t="n">
        <v>0</v>
      </c>
      <c r="E1227" s="14" t="n">
        <v>-0.541</v>
      </c>
      <c r="F1227" s="14" t="n">
        <v>-0.5</v>
      </c>
      <c r="G1227" s="14" t="n">
        <v>0.1</v>
      </c>
      <c r="H1227" s="14" t="n">
        <v>0.0618</v>
      </c>
      <c r="I1227" s="14" t="n">
        <v>0.0599489281675142</v>
      </c>
      <c r="J1227" s="14" t="n">
        <v>0.0539399463519844</v>
      </c>
      <c r="K1227" s="14" t="n">
        <v>0.0370122690000895</v>
      </c>
      <c r="L1227" s="14" t="n">
        <v>-0.00321220643329764</v>
      </c>
      <c r="M1227" s="14" t="n">
        <v>2.145</v>
      </c>
      <c r="N1227" s="14" t="n">
        <v>2.286</v>
      </c>
      <c r="O1227" s="14" t="n">
        <v>2.377</v>
      </c>
      <c r="P1227" s="14" t="n">
        <v>2.574</v>
      </c>
      <c r="Q1227" s="14" t="n">
        <v>0</v>
      </c>
      <c r="R1227" s="14" t="n">
        <v>0</v>
      </c>
      <c r="S1227" s="14" t="n">
        <v>2.25</v>
      </c>
    </row>
    <row r="1228" customFormat="false" ht="15" hidden="false" customHeight="false" outlineLevel="0" collapsed="false">
      <c r="A1228" s="13" t="n">
        <v>44029</v>
      </c>
      <c r="B1228" s="14" t="n">
        <v>0.12</v>
      </c>
      <c r="C1228" s="14" t="n">
        <v>0.25</v>
      </c>
      <c r="D1228" s="14" t="n">
        <v>0</v>
      </c>
      <c r="E1228" s="14" t="n">
        <v>-0.551</v>
      </c>
      <c r="F1228" s="14" t="n">
        <v>-0.5</v>
      </c>
      <c r="G1228" s="14" t="n">
        <v>0.1</v>
      </c>
      <c r="H1228" s="14" t="n">
        <v>0.06</v>
      </c>
      <c r="I1228" s="14" t="n">
        <v>0.0609761511001897</v>
      </c>
      <c r="J1228" s="14" t="n">
        <v>0.0515076050810287</v>
      </c>
      <c r="K1228" s="14" t="n">
        <v>0.0370524219897455</v>
      </c>
      <c r="L1228" s="14" t="n">
        <v>0.000826838376480742</v>
      </c>
      <c r="M1228" s="14" t="n">
        <v>2.198</v>
      </c>
      <c r="N1228" s="14" t="n">
        <v>2.356</v>
      </c>
      <c r="O1228" s="14" t="n">
        <v>2.441</v>
      </c>
      <c r="P1228" s="14" t="n">
        <v>2.637</v>
      </c>
      <c r="Q1228" s="14" t="n">
        <v>0</v>
      </c>
      <c r="R1228" s="14" t="n">
        <v>0</v>
      </c>
      <c r="S1228" s="14" t="n">
        <v>2.25</v>
      </c>
    </row>
    <row r="1229" customFormat="false" ht="15" hidden="false" customHeight="false" outlineLevel="0" collapsed="false">
      <c r="A1229" s="13" t="n">
        <v>44032</v>
      </c>
      <c r="B1229" s="14" t="n">
        <v>0.12</v>
      </c>
      <c r="C1229" s="14" t="n">
        <v>0.25</v>
      </c>
      <c r="D1229" s="14" t="n">
        <v>0</v>
      </c>
      <c r="E1229" s="14" t="n">
        <v>-0.551</v>
      </c>
      <c r="F1229" s="14" t="n">
        <v>-0.5</v>
      </c>
      <c r="G1229" s="14" t="n">
        <v>0.1</v>
      </c>
      <c r="H1229" s="14" t="n">
        <v>0.0601</v>
      </c>
      <c r="I1229" s="14" t="n">
        <v>0.0593566848141593</v>
      </c>
      <c r="J1229" s="14" t="n">
        <v>0.0537556609523365</v>
      </c>
      <c r="K1229" s="14" t="n">
        <v>0.0382796424947474</v>
      </c>
      <c r="L1229" s="14" t="n">
        <v>-0.0005126834268921</v>
      </c>
      <c r="M1229" s="14" t="n">
        <v>2.214</v>
      </c>
      <c r="N1229" s="14" t="n">
        <v>2.404</v>
      </c>
      <c r="O1229" s="14" t="n">
        <v>2.49</v>
      </c>
      <c r="P1229" s="14" t="n">
        <v>2.671</v>
      </c>
      <c r="Q1229" s="14" t="n">
        <v>0</v>
      </c>
      <c r="R1229" s="14" t="n">
        <v>0</v>
      </c>
      <c r="S1229" s="14" t="n">
        <v>2.25</v>
      </c>
    </row>
    <row r="1230" customFormat="false" ht="15" hidden="false" customHeight="false" outlineLevel="0" collapsed="false">
      <c r="A1230" s="13" t="n">
        <v>44033</v>
      </c>
      <c r="B1230" s="14" t="n">
        <v>0.11</v>
      </c>
      <c r="C1230" s="14" t="n">
        <v>0.25</v>
      </c>
      <c r="D1230" s="14" t="n">
        <v>0</v>
      </c>
      <c r="E1230" s="14" t="n">
        <v>-0.549</v>
      </c>
      <c r="F1230" s="14" t="n">
        <v>-0.5</v>
      </c>
      <c r="G1230" s="14" t="n">
        <v>0.1</v>
      </c>
      <c r="H1230" s="14" t="n">
        <v>0.0602</v>
      </c>
      <c r="I1230" s="14" t="n">
        <v>0.0593866514017148</v>
      </c>
      <c r="J1230" s="14" t="n">
        <v>0.0537272987037364</v>
      </c>
      <c r="K1230" s="14" t="n">
        <v>0.0378799757070015</v>
      </c>
      <c r="L1230" s="14" t="n">
        <v>-0.00316068548056046</v>
      </c>
      <c r="M1230" s="14" t="n">
        <v>2.223</v>
      </c>
      <c r="N1230" s="14" t="n">
        <v>2.466</v>
      </c>
      <c r="O1230" s="14" t="n">
        <v>2.565</v>
      </c>
      <c r="P1230" s="14" t="n">
        <v>2.727</v>
      </c>
      <c r="Q1230" s="14" t="n">
        <v>0</v>
      </c>
      <c r="R1230" s="14" t="n">
        <v>0</v>
      </c>
      <c r="S1230" s="14" t="n">
        <v>2.25</v>
      </c>
    </row>
    <row r="1231" customFormat="false" ht="15" hidden="false" customHeight="false" outlineLevel="0" collapsed="false">
      <c r="A1231" s="13" t="n">
        <v>44034</v>
      </c>
      <c r="B1231" s="14" t="n">
        <v>0.1</v>
      </c>
      <c r="C1231" s="14" t="n">
        <v>0.25</v>
      </c>
      <c r="D1231" s="14" t="n">
        <v>0</v>
      </c>
      <c r="E1231" s="14" t="n">
        <v>-0.55</v>
      </c>
      <c r="F1231" s="14" t="n">
        <v>-0.5</v>
      </c>
      <c r="G1231" s="14" t="n">
        <v>0.1</v>
      </c>
      <c r="H1231" s="14" t="n">
        <v>0.0587</v>
      </c>
      <c r="I1231" s="14" t="n">
        <v>0.0580690191988984</v>
      </c>
      <c r="J1231" s="14" t="n">
        <v>0.051102486251917</v>
      </c>
      <c r="K1231" s="14" t="n">
        <v>0.0354238718753074</v>
      </c>
      <c r="L1231" s="14" t="n">
        <v>-0.00772143070226423</v>
      </c>
      <c r="M1231" s="14" t="n">
        <v>2.225</v>
      </c>
      <c r="N1231" s="14" t="n">
        <v>2.501</v>
      </c>
      <c r="O1231" s="14" t="n">
        <v>2.621</v>
      </c>
      <c r="P1231" s="14" t="n">
        <v>2.758</v>
      </c>
      <c r="Q1231" s="14" t="n">
        <v>0</v>
      </c>
      <c r="R1231" s="14" t="n">
        <v>0</v>
      </c>
      <c r="S1231" s="14" t="n">
        <v>2.25</v>
      </c>
    </row>
    <row r="1232" customFormat="false" ht="15" hidden="false" customHeight="false" outlineLevel="0" collapsed="false">
      <c r="A1232" s="13" t="n">
        <v>44035</v>
      </c>
      <c r="B1232" s="14" t="n">
        <v>0.1</v>
      </c>
      <c r="C1232" s="14" t="n">
        <v>0.25</v>
      </c>
      <c r="D1232" s="14" t="n">
        <v>0</v>
      </c>
      <c r="E1232" s="14" t="n">
        <v>-0.55</v>
      </c>
      <c r="F1232" s="14" t="n">
        <v>-0.5</v>
      </c>
      <c r="G1232" s="14" t="n">
        <v>0.1</v>
      </c>
      <c r="H1232" s="14" t="n">
        <v>0.0584</v>
      </c>
      <c r="I1232" s="14" t="n">
        <v>0.0598195992891545</v>
      </c>
      <c r="J1232" s="14" t="n">
        <v>0.053616189249284</v>
      </c>
      <c r="K1232" s="14" t="n">
        <v>0.0373000899928426</v>
      </c>
      <c r="L1232" s="14" t="n">
        <v>-0.00547160192971602</v>
      </c>
      <c r="M1232" s="14" t="n">
        <v>2.239</v>
      </c>
      <c r="N1232" s="14" t="n">
        <v>2.541</v>
      </c>
      <c r="O1232" s="14" t="n">
        <v>2.654</v>
      </c>
      <c r="P1232" s="14" t="n">
        <v>2.783</v>
      </c>
      <c r="Q1232" s="14" t="n">
        <v>0</v>
      </c>
      <c r="R1232" s="14" t="n">
        <v>0</v>
      </c>
      <c r="S1232" s="14" t="n">
        <v>2.25</v>
      </c>
    </row>
    <row r="1233" customFormat="false" ht="15" hidden="false" customHeight="false" outlineLevel="0" collapsed="false">
      <c r="A1233" s="13" t="n">
        <v>44036</v>
      </c>
      <c r="B1233" s="14" t="n">
        <v>0.1</v>
      </c>
      <c r="C1233" s="14" t="n">
        <v>0.25</v>
      </c>
      <c r="D1233" s="14" t="n">
        <v>0</v>
      </c>
      <c r="E1233" s="14" t="n">
        <v>-0.551</v>
      </c>
      <c r="F1233" s="14" t="n">
        <v>-0.5</v>
      </c>
      <c r="G1233" s="14" t="n">
        <v>0.1</v>
      </c>
      <c r="H1233" s="14" t="n">
        <v>0.0588</v>
      </c>
      <c r="I1233" s="14" t="n">
        <v>0.0577509401516506</v>
      </c>
      <c r="J1233" s="14" t="n">
        <v>0.0540430028563772</v>
      </c>
      <c r="K1233" s="14" t="n">
        <v>0.0420704584694635</v>
      </c>
      <c r="L1233" s="14" t="n">
        <v>0.0035370287992959</v>
      </c>
      <c r="M1233" s="14" t="n">
        <v>2.245</v>
      </c>
      <c r="N1233" s="14" t="n">
        <v>2.557</v>
      </c>
      <c r="O1233" s="14" t="n">
        <v>2.676</v>
      </c>
      <c r="P1233" s="14" t="n">
        <v>2.796</v>
      </c>
      <c r="Q1233" s="14" t="n">
        <v>0</v>
      </c>
      <c r="R1233" s="14" t="n">
        <v>0</v>
      </c>
      <c r="S1233" s="14" t="n">
        <v>2.25</v>
      </c>
    </row>
    <row r="1234" customFormat="false" ht="15" hidden="false" customHeight="false" outlineLevel="0" collapsed="false">
      <c r="A1234" s="13" t="n">
        <v>44039</v>
      </c>
      <c r="B1234" s="14" t="n">
        <v>0.1</v>
      </c>
      <c r="C1234" s="14" t="n">
        <v>0.25</v>
      </c>
      <c r="D1234" s="14" t="n">
        <v>0</v>
      </c>
      <c r="E1234" s="14" t="n">
        <v>-0.552</v>
      </c>
      <c r="F1234" s="14" t="n">
        <v>-0.5</v>
      </c>
      <c r="G1234" s="14" t="n">
        <v>0.1</v>
      </c>
      <c r="H1234" s="14" t="n">
        <v>0.0584</v>
      </c>
      <c r="I1234" s="14" t="n">
        <v>0.0584109010980014</v>
      </c>
      <c r="J1234" s="14" t="n">
        <v>0.0529741032161436</v>
      </c>
      <c r="K1234" s="14" t="n">
        <v>0.0358573272772671</v>
      </c>
      <c r="L1234" s="14" t="n">
        <v>-0.0047162540100324</v>
      </c>
      <c r="M1234" s="14" t="n">
        <v>2.258</v>
      </c>
      <c r="N1234" s="14" t="n">
        <v>2.574</v>
      </c>
      <c r="O1234" s="14" t="n">
        <v>2.69</v>
      </c>
      <c r="P1234" s="14" t="n">
        <v>2.804</v>
      </c>
      <c r="Q1234" s="14" t="n">
        <v>0</v>
      </c>
      <c r="R1234" s="14" t="n">
        <v>0</v>
      </c>
      <c r="S1234" s="14" t="n">
        <v>2.25</v>
      </c>
    </row>
    <row r="1235" customFormat="false" ht="15" hidden="false" customHeight="false" outlineLevel="0" collapsed="false">
      <c r="A1235" s="13" t="n">
        <v>44040</v>
      </c>
      <c r="B1235" s="14" t="n">
        <v>0.1</v>
      </c>
      <c r="C1235" s="14" t="n">
        <v>0.25</v>
      </c>
      <c r="D1235" s="14" t="n">
        <v>0</v>
      </c>
      <c r="E1235" s="14" t="n">
        <v>-0.551</v>
      </c>
      <c r="F1235" s="14" t="n">
        <v>-0.5</v>
      </c>
      <c r="G1235" s="14" t="n">
        <v>0.1</v>
      </c>
      <c r="H1235" s="14" t="n">
        <v>0.0598</v>
      </c>
      <c r="I1235" s="14" t="n">
        <v>0.0546662108106941</v>
      </c>
      <c r="J1235" s="14" t="n">
        <v>0.045943147373843</v>
      </c>
      <c r="K1235" s="14" t="n">
        <v>0.0309015668099208</v>
      </c>
      <c r="L1235" s="14" t="n">
        <v>-0.00604977517481377</v>
      </c>
      <c r="M1235" s="14" t="n">
        <v>2.267</v>
      </c>
      <c r="N1235" s="14" t="n">
        <v>2.578</v>
      </c>
      <c r="O1235" s="14" t="n">
        <v>2.697</v>
      </c>
      <c r="P1235" s="14" t="n">
        <v>2.807</v>
      </c>
      <c r="Q1235" s="14" t="n">
        <v>0</v>
      </c>
      <c r="R1235" s="14" t="n">
        <v>0</v>
      </c>
      <c r="S1235" s="14" t="n">
        <v>2.25</v>
      </c>
    </row>
    <row r="1236" customFormat="false" ht="15" hidden="false" customHeight="false" outlineLevel="0" collapsed="false">
      <c r="A1236" s="13" t="n">
        <v>44041</v>
      </c>
      <c r="B1236" s="14" t="n">
        <v>0.09</v>
      </c>
      <c r="C1236" s="14" t="n">
        <v>0.25</v>
      </c>
      <c r="D1236" s="14" t="n">
        <v>0</v>
      </c>
      <c r="E1236" s="14" t="n">
        <v>-0.553</v>
      </c>
      <c r="F1236" s="14" t="n">
        <v>-0.5</v>
      </c>
      <c r="G1236" s="14" t="n">
        <v>0.1</v>
      </c>
      <c r="H1236" s="14" t="n">
        <v>0.0591</v>
      </c>
      <c r="I1236" s="14" t="n">
        <v>0.0557416669135383</v>
      </c>
      <c r="J1236" s="14" t="n">
        <v>0.0483378762071479</v>
      </c>
      <c r="K1236" s="14" t="n">
        <v>0.0325188543363402</v>
      </c>
      <c r="L1236" s="14" t="n">
        <v>-0.00217023886188202</v>
      </c>
      <c r="M1236" s="14" t="n">
        <v>2.276</v>
      </c>
      <c r="N1236" s="14" t="n">
        <v>2.586</v>
      </c>
      <c r="O1236" s="14" t="n">
        <v>2.7</v>
      </c>
      <c r="P1236" s="14" t="n">
        <v>2.815</v>
      </c>
      <c r="Q1236" s="14" t="n">
        <v>0</v>
      </c>
      <c r="R1236" s="14" t="n">
        <v>-0.01</v>
      </c>
      <c r="S1236" s="14" t="n">
        <v>2.25</v>
      </c>
    </row>
    <row r="1237" customFormat="false" ht="15" hidden="false" customHeight="false" outlineLevel="0" collapsed="false">
      <c r="A1237" s="13" t="n">
        <v>44042</v>
      </c>
      <c r="B1237" s="14" t="n">
        <v>0.1</v>
      </c>
      <c r="C1237" s="14" t="n">
        <v>0.25</v>
      </c>
      <c r="D1237" s="14" t="n">
        <v>0</v>
      </c>
      <c r="E1237" s="14" t="n">
        <v>-0.552</v>
      </c>
      <c r="F1237" s="14" t="n">
        <v>-0.5</v>
      </c>
      <c r="G1237" s="14" t="n">
        <v>0.1</v>
      </c>
      <c r="H1237" s="14" t="n">
        <v>0.0601</v>
      </c>
      <c r="I1237" s="14" t="n">
        <v>0.0556533675468339</v>
      </c>
      <c r="J1237" s="14" t="n">
        <v>0.0487475891665362</v>
      </c>
      <c r="K1237" s="14" t="n">
        <v>0.0314094364148949</v>
      </c>
      <c r="L1237" s="14" t="n">
        <v>-0.00694640697659301</v>
      </c>
      <c r="M1237" s="14" t="n">
        <v>2.288</v>
      </c>
      <c r="N1237" s="14" t="n">
        <v>2.59</v>
      </c>
      <c r="O1237" s="14" t="n">
        <v>2.705</v>
      </c>
      <c r="P1237" s="14" t="n">
        <v>2.82</v>
      </c>
      <c r="Q1237" s="14" t="n">
        <v>0</v>
      </c>
      <c r="R1237" s="14" t="n">
        <v>0</v>
      </c>
      <c r="S1237" s="14" t="n">
        <v>2.25</v>
      </c>
    </row>
    <row r="1238" customFormat="false" ht="15" hidden="false" customHeight="false" outlineLevel="0" collapsed="false">
      <c r="A1238" s="13" t="n">
        <v>44043</v>
      </c>
      <c r="B1238" s="14" t="n">
        <v>0.1</v>
      </c>
      <c r="C1238" s="14" t="n">
        <v>0.25</v>
      </c>
      <c r="D1238" s="14" t="n">
        <v>0</v>
      </c>
      <c r="E1238" s="14" t="n">
        <v>-0.55</v>
      </c>
      <c r="F1238" s="14" t="n">
        <v>-0.5</v>
      </c>
      <c r="G1238" s="14" t="n">
        <v>0.1</v>
      </c>
      <c r="H1238" s="14" t="n">
        <v>0.0603</v>
      </c>
      <c r="I1238" s="14" t="n">
        <v>0.0568522773524283</v>
      </c>
      <c r="J1238" s="14" t="n">
        <v>0.0510040382051262</v>
      </c>
      <c r="K1238" s="14" t="n">
        <v>0.0347079721658746</v>
      </c>
      <c r="L1238" s="14" t="n">
        <v>-0.00148664892344033</v>
      </c>
      <c r="M1238" s="14" t="n">
        <v>2.295</v>
      </c>
      <c r="N1238" s="14" t="n">
        <v>2.593</v>
      </c>
      <c r="O1238" s="14" t="n">
        <v>2.709</v>
      </c>
      <c r="P1238" s="14" t="n">
        <v>2.828</v>
      </c>
      <c r="Q1238" s="14" t="n">
        <v>0</v>
      </c>
      <c r="R1238" s="14" t="n">
        <v>-0.01</v>
      </c>
      <c r="S1238" s="14" t="n">
        <v>2.25</v>
      </c>
    </row>
    <row r="1239" customFormat="false" ht="15" hidden="false" customHeight="false" outlineLevel="0" collapsed="false">
      <c r="A1239" s="13" t="n">
        <v>44046</v>
      </c>
      <c r="B1239" s="14" t="n">
        <v>0.1</v>
      </c>
      <c r="C1239" s="14" t="n">
        <v>0.25</v>
      </c>
      <c r="D1239" s="14" t="n">
        <v>0</v>
      </c>
      <c r="E1239" s="14" t="n">
        <v>-0.552</v>
      </c>
      <c r="F1239" s="14" t="n">
        <v>-0.5</v>
      </c>
      <c r="G1239" s="14" t="n">
        <v>0.1</v>
      </c>
      <c r="H1239" s="14" t="n">
        <v>0.0574</v>
      </c>
      <c r="I1239" s="14" t="n">
        <v>0.0558406554882028</v>
      </c>
      <c r="J1239" s="14" t="n">
        <v>0.0486773059943611</v>
      </c>
      <c r="K1239" s="14" t="n">
        <v>0.0304599962345594</v>
      </c>
      <c r="L1239" s="14" t="n">
        <v>-0.00699840193806534</v>
      </c>
      <c r="M1239" s="14" t="n">
        <v>2.282</v>
      </c>
      <c r="N1239" s="14" t="n">
        <v>2.595</v>
      </c>
      <c r="O1239" s="14" t="n">
        <v>2.715</v>
      </c>
      <c r="P1239" s="14" t="n">
        <v>2.828</v>
      </c>
      <c r="Q1239" s="14" t="n">
        <v>0</v>
      </c>
      <c r="R1239" s="14" t="n">
        <v>-0.01</v>
      </c>
      <c r="S1239" s="14" t="n">
        <v>2.25</v>
      </c>
    </row>
    <row r="1240" customFormat="false" ht="15" hidden="false" customHeight="false" outlineLevel="0" collapsed="false">
      <c r="A1240" s="13" t="n">
        <v>44047</v>
      </c>
      <c r="B1240" s="14" t="n">
        <v>0.09</v>
      </c>
      <c r="C1240" s="14" t="n">
        <v>0.25</v>
      </c>
      <c r="D1240" s="14" t="n">
        <v>0</v>
      </c>
      <c r="E1240" s="14" t="n">
        <v>-0.551</v>
      </c>
      <c r="F1240" s="14" t="n">
        <v>-0.5</v>
      </c>
      <c r="G1240" s="14" t="n">
        <v>0.1</v>
      </c>
      <c r="H1240" s="14" t="n">
        <v>0.0568</v>
      </c>
      <c r="I1240" s="14" t="n">
        <v>0.0535503929559471</v>
      </c>
      <c r="J1240" s="14" t="n">
        <v>0.0499361088701762</v>
      </c>
      <c r="K1240" s="14" t="n">
        <v>0.0326484522977001</v>
      </c>
      <c r="L1240" s="14" t="n">
        <v>-0.00804263637547544</v>
      </c>
      <c r="M1240" s="14" t="n">
        <v>2.286</v>
      </c>
      <c r="N1240" s="14" t="n">
        <v>2.598</v>
      </c>
      <c r="O1240" s="14" t="n">
        <v>2.733</v>
      </c>
      <c r="P1240" s="14" t="n">
        <v>2.837</v>
      </c>
      <c r="Q1240" s="14" t="n">
        <v>0</v>
      </c>
      <c r="R1240" s="14" t="n">
        <v>-0.01</v>
      </c>
      <c r="S1240" s="14" t="n">
        <v>2.25</v>
      </c>
    </row>
    <row r="1241" customFormat="false" ht="15" hidden="false" customHeight="false" outlineLevel="0" collapsed="false">
      <c r="A1241" s="13" t="n">
        <v>44048</v>
      </c>
      <c r="B1241" s="14" t="n">
        <v>0.09</v>
      </c>
      <c r="C1241" s="14" t="n">
        <v>0.25</v>
      </c>
      <c r="D1241" s="14" t="n">
        <v>0</v>
      </c>
      <c r="E1241" s="14" t="n">
        <v>-0.552</v>
      </c>
      <c r="F1241" s="14" t="n">
        <v>-0.5</v>
      </c>
      <c r="G1241" s="14" t="n">
        <v>0.1</v>
      </c>
      <c r="H1241" s="14" t="n">
        <v>0.0572</v>
      </c>
      <c r="I1241" s="14" t="n">
        <v>0.0574427226160087</v>
      </c>
      <c r="J1241" s="14" t="n">
        <v>0.0482136037622199</v>
      </c>
      <c r="K1241" s="14" t="n">
        <v>0.0286388463352216</v>
      </c>
      <c r="L1241" s="14" t="n">
        <v>-0.00765608046940924</v>
      </c>
      <c r="M1241" s="14" t="n">
        <v>2.281</v>
      </c>
      <c r="N1241" s="14" t="n">
        <v>2.6</v>
      </c>
      <c r="O1241" s="14" t="n">
        <v>2.744</v>
      </c>
      <c r="P1241" s="14" t="n">
        <v>2.846</v>
      </c>
      <c r="Q1241" s="14" t="n">
        <v>0</v>
      </c>
      <c r="R1241" s="14" t="n">
        <v>-0.01</v>
      </c>
      <c r="S1241" s="14" t="n">
        <v>2.25</v>
      </c>
    </row>
    <row r="1242" customFormat="false" ht="15" hidden="false" customHeight="false" outlineLevel="0" collapsed="false">
      <c r="A1242" s="13" t="n">
        <v>44049</v>
      </c>
      <c r="B1242" s="14" t="n">
        <v>0.09</v>
      </c>
      <c r="C1242" s="14" t="n">
        <v>0.25</v>
      </c>
      <c r="D1242" s="14" t="n">
        <v>0</v>
      </c>
      <c r="E1242" s="14" t="n">
        <v>-0.553</v>
      </c>
      <c r="F1242" s="14" t="n">
        <v>-0.5</v>
      </c>
      <c r="G1242" s="14" t="n">
        <v>0.1</v>
      </c>
      <c r="H1242" s="14" t="n">
        <v>0.0573</v>
      </c>
      <c r="I1242" s="14" t="n">
        <v>0.058653774731254</v>
      </c>
      <c r="J1242" s="14" t="n">
        <v>0.0550440934363977</v>
      </c>
      <c r="K1242" s="14" t="n">
        <v>0.0463028973931293</v>
      </c>
      <c r="L1242" s="14" t="n">
        <v>0.0238291733452512</v>
      </c>
      <c r="M1242" s="14" t="n">
        <v>2.286</v>
      </c>
      <c r="N1242" s="14" t="n">
        <v>2.6</v>
      </c>
      <c r="O1242" s="14" t="n">
        <v>2.749</v>
      </c>
      <c r="P1242" s="14" t="n">
        <v>2.85</v>
      </c>
      <c r="Q1242" s="14" t="n">
        <v>0</v>
      </c>
      <c r="R1242" s="14" t="n">
        <v>-0.01</v>
      </c>
      <c r="S1242" s="14" t="n">
        <v>2</v>
      </c>
    </row>
    <row r="1243" customFormat="false" ht="15" hidden="false" customHeight="false" outlineLevel="0" collapsed="false">
      <c r="A1243" s="13" t="n">
        <v>44050</v>
      </c>
      <c r="B1243" s="14" t="n">
        <v>0.09</v>
      </c>
      <c r="C1243" s="14" t="n">
        <v>0.25</v>
      </c>
      <c r="D1243" s="14" t="n">
        <v>0</v>
      </c>
      <c r="E1243" s="14" t="n">
        <v>-0.553</v>
      </c>
      <c r="F1243" s="14" t="n">
        <v>-0.5</v>
      </c>
      <c r="G1243" s="14" t="n">
        <v>0.1</v>
      </c>
      <c r="H1243" s="14" t="n">
        <v>0.0584</v>
      </c>
      <c r="I1243" s="14" t="n">
        <v>0.0583481737628496</v>
      </c>
      <c r="J1243" s="14" t="n">
        <v>0.0557831667436077</v>
      </c>
      <c r="K1243" s="14" t="n">
        <v>0.0468580999504929</v>
      </c>
      <c r="L1243" s="14" t="n">
        <v>0.0226823153722636</v>
      </c>
      <c r="M1243" s="14" t="n">
        <v>2.286</v>
      </c>
      <c r="N1243" s="14" t="n">
        <v>2.603</v>
      </c>
      <c r="O1243" s="14" t="n">
        <v>2.755</v>
      </c>
      <c r="P1243" s="14" t="n">
        <v>2.852</v>
      </c>
      <c r="Q1243" s="14" t="n">
        <v>0</v>
      </c>
      <c r="R1243" s="14" t="n">
        <v>-0.01</v>
      </c>
      <c r="S1243" s="14" t="n">
        <v>2</v>
      </c>
    </row>
    <row r="1244" customFormat="false" ht="15" hidden="false" customHeight="false" outlineLevel="0" collapsed="false">
      <c r="A1244" s="13" t="n">
        <v>44053</v>
      </c>
      <c r="B1244" s="14" t="n">
        <v>0.09</v>
      </c>
      <c r="C1244" s="14" t="n">
        <v>0.25</v>
      </c>
      <c r="D1244" s="14" t="n">
        <v>0</v>
      </c>
      <c r="E1244" s="14" t="n">
        <v>-0.554</v>
      </c>
      <c r="F1244" s="14" t="n">
        <v>-0.5</v>
      </c>
      <c r="G1244" s="14" t="n">
        <v>0.1</v>
      </c>
      <c r="H1244" s="14" t="n">
        <v>0.0572</v>
      </c>
      <c r="I1244" s="14" t="n">
        <v>0.058153928503117</v>
      </c>
      <c r="J1244" s="14" t="n">
        <v>0.0553379866326009</v>
      </c>
      <c r="K1244" s="14" t="n">
        <v>0.0447384177561901</v>
      </c>
      <c r="L1244" s="14" t="n">
        <v>0.0184528397135706</v>
      </c>
      <c r="M1244" s="14" t="n">
        <v>2.295</v>
      </c>
      <c r="N1244" s="14" t="n">
        <v>2.601</v>
      </c>
      <c r="O1244" s="14" t="n">
        <v>2.755</v>
      </c>
      <c r="P1244" s="14" t="n">
        <v>2.853</v>
      </c>
      <c r="Q1244" s="14" t="n">
        <v>0</v>
      </c>
      <c r="R1244" s="14" t="n">
        <v>-0.01</v>
      </c>
      <c r="S1244" s="14" t="n">
        <v>2</v>
      </c>
    </row>
    <row r="1245" customFormat="false" ht="15" hidden="false" customHeight="false" outlineLevel="0" collapsed="false">
      <c r="A1245" s="13" t="n">
        <v>44054</v>
      </c>
      <c r="B1245" s="14" t="n">
        <v>0.1</v>
      </c>
      <c r="C1245" s="14" t="n">
        <v>0.25</v>
      </c>
      <c r="D1245" s="14" t="n">
        <v>0</v>
      </c>
      <c r="E1245" s="14" t="n">
        <v>-0.552</v>
      </c>
      <c r="F1245" s="14" t="n">
        <v>-0.5</v>
      </c>
      <c r="G1245" s="14" t="n">
        <v>0.1</v>
      </c>
      <c r="H1245" s="14" t="n">
        <v>0.0561</v>
      </c>
      <c r="I1245" s="14" t="n">
        <v>0.0584636267968564</v>
      </c>
      <c r="J1245" s="14" t="n">
        <v>0.0554356372433085</v>
      </c>
      <c r="K1245" s="14" t="n">
        <v>0.0463043366096813</v>
      </c>
      <c r="L1245" s="14" t="n">
        <v>0.0268125559017367</v>
      </c>
      <c r="M1245" s="14" t="n">
        <v>2.299</v>
      </c>
      <c r="N1245" s="14" t="n">
        <v>2.6</v>
      </c>
      <c r="O1245" s="14" t="n">
        <v>2.757</v>
      </c>
      <c r="P1245" s="14" t="n">
        <v>2.855</v>
      </c>
      <c r="Q1245" s="14" t="n">
        <v>0</v>
      </c>
      <c r="R1245" s="14" t="n">
        <v>-0.01</v>
      </c>
      <c r="S1245" s="14" t="n">
        <v>2</v>
      </c>
    </row>
    <row r="1246" customFormat="false" ht="15" hidden="false" customHeight="false" outlineLevel="0" collapsed="false">
      <c r="A1246" s="13" t="n">
        <v>44055</v>
      </c>
      <c r="B1246" s="14" t="n">
        <v>0.09</v>
      </c>
      <c r="C1246" s="14" t="n">
        <v>0.25</v>
      </c>
      <c r="D1246" s="14" t="n">
        <v>0</v>
      </c>
      <c r="E1246" s="14" t="n">
        <v>-0.552</v>
      </c>
      <c r="F1246" s="14" t="n">
        <v>-0.5</v>
      </c>
      <c r="G1246" s="14" t="n">
        <v>0.1</v>
      </c>
      <c r="H1246" s="14" t="n">
        <v>0.0563</v>
      </c>
      <c r="I1246" s="14" t="n">
        <v>0.0580948783453705</v>
      </c>
      <c r="J1246" s="14" t="n">
        <v>0.0554652383823823</v>
      </c>
      <c r="K1246" s="14" t="n">
        <v>0.0463824907567295</v>
      </c>
      <c r="L1246" s="14" t="n">
        <v>0.0259790243289201</v>
      </c>
      <c r="M1246" s="14" t="n">
        <v>2.3</v>
      </c>
      <c r="N1246" s="14" t="n">
        <v>2.601</v>
      </c>
      <c r="O1246" s="14" t="n">
        <v>2.764</v>
      </c>
      <c r="P1246" s="14" t="n">
        <v>2.862</v>
      </c>
      <c r="Q1246" s="14" t="n">
        <v>0</v>
      </c>
      <c r="R1246" s="14" t="n">
        <v>0</v>
      </c>
      <c r="S1246" s="14" t="n">
        <v>2</v>
      </c>
    </row>
    <row r="1247" customFormat="false" ht="15" hidden="false" customHeight="false" outlineLevel="0" collapsed="false">
      <c r="A1247" s="13" t="n">
        <v>44056</v>
      </c>
      <c r="B1247" s="14" t="n">
        <v>0.09</v>
      </c>
      <c r="C1247" s="14" t="n">
        <v>0.25</v>
      </c>
      <c r="D1247" s="14" t="n">
        <v>0</v>
      </c>
      <c r="E1247" s="14" t="n">
        <v>-0.552</v>
      </c>
      <c r="F1247" s="14" t="n">
        <v>-0.5</v>
      </c>
      <c r="G1247" s="14" t="n">
        <v>0.1</v>
      </c>
      <c r="H1247" s="14" t="n">
        <v>0.0571</v>
      </c>
      <c r="I1247" s="14" t="n">
        <v>0.0581504131261603</v>
      </c>
      <c r="J1247" s="14" t="n">
        <v>0.0574446124443817</v>
      </c>
      <c r="K1247" s="14" t="n">
        <v>0.0498017096756406</v>
      </c>
      <c r="L1247" s="14" t="n">
        <v>0.0282185704153251</v>
      </c>
      <c r="M1247" s="14" t="n">
        <v>2.3</v>
      </c>
      <c r="N1247" s="14" t="n">
        <v>2.601</v>
      </c>
      <c r="O1247" s="14" t="n">
        <v>2.769</v>
      </c>
      <c r="P1247" s="14" t="n">
        <v>2.866</v>
      </c>
      <c r="Q1247" s="14" t="n">
        <v>0</v>
      </c>
      <c r="R1247" s="14" t="n">
        <v>0</v>
      </c>
      <c r="S1247" s="14" t="n">
        <v>2</v>
      </c>
    </row>
    <row r="1248" customFormat="false" ht="15" hidden="false" customHeight="false" outlineLevel="0" collapsed="false">
      <c r="A1248" s="13" t="n">
        <v>44057</v>
      </c>
      <c r="B1248" s="14" t="n">
        <v>0.09</v>
      </c>
      <c r="C1248" s="14" t="n">
        <v>0.25</v>
      </c>
      <c r="D1248" s="14" t="n">
        <v>0</v>
      </c>
      <c r="E1248" s="14" t="n">
        <v>-0.549</v>
      </c>
      <c r="F1248" s="14" t="n">
        <v>-0.5</v>
      </c>
      <c r="G1248" s="14" t="n">
        <v>0.1</v>
      </c>
      <c r="H1248" s="14" t="n">
        <v>0.0568</v>
      </c>
      <c r="I1248" s="14" t="n">
        <v>0.0594077068898341</v>
      </c>
      <c r="J1248" s="14" t="n">
        <v>0.0571262703810192</v>
      </c>
      <c r="K1248" s="14" t="n">
        <v>0.0476472825699055</v>
      </c>
      <c r="L1248" s="14" t="n">
        <v>0.0236598492181556</v>
      </c>
      <c r="M1248" s="14" t="n">
        <v>2.306</v>
      </c>
      <c r="N1248" s="14" t="n">
        <v>2.601</v>
      </c>
      <c r="O1248" s="14" t="n">
        <v>2.778</v>
      </c>
      <c r="P1248" s="14" t="n">
        <v>2.872</v>
      </c>
      <c r="Q1248" s="14" t="n">
        <v>0</v>
      </c>
      <c r="R1248" s="14" t="n">
        <v>0</v>
      </c>
      <c r="S1248" s="14" t="n">
        <v>2</v>
      </c>
    </row>
    <row r="1249" customFormat="false" ht="15" hidden="false" customHeight="false" outlineLevel="0" collapsed="false">
      <c r="A1249" s="13" t="n">
        <v>44060</v>
      </c>
      <c r="B1249" s="14" t="n">
        <v>0.1</v>
      </c>
      <c r="C1249" s="14" t="n">
        <v>0.25</v>
      </c>
      <c r="D1249" s="14" t="n">
        <v>0</v>
      </c>
      <c r="E1249" s="14" t="n">
        <v>-0.553</v>
      </c>
      <c r="F1249" s="14" t="n">
        <v>-0.5</v>
      </c>
      <c r="G1249" s="14" t="n">
        <v>0.1</v>
      </c>
      <c r="H1249" s="14" t="n">
        <v>0.0563</v>
      </c>
      <c r="I1249" s="14" t="n">
        <v>0.058442143131445</v>
      </c>
      <c r="J1249" s="14" t="n">
        <v>0.0553455685717009</v>
      </c>
      <c r="K1249" s="14" t="n">
        <v>0.0453270018053344</v>
      </c>
      <c r="L1249" s="14" t="n">
        <v>0.0178053980315422</v>
      </c>
      <c r="M1249" s="14" t="n">
        <v>2.305</v>
      </c>
      <c r="N1249" s="14" t="n">
        <v>2.602</v>
      </c>
      <c r="O1249" s="14" t="n">
        <v>2.779</v>
      </c>
      <c r="P1249" s="14" t="n">
        <v>2.878</v>
      </c>
      <c r="Q1249" s="14" t="n">
        <v>0</v>
      </c>
      <c r="R1249" s="14" t="n">
        <v>-0.01</v>
      </c>
      <c r="S1249" s="14" t="n">
        <v>2</v>
      </c>
    </row>
    <row r="1250" customFormat="false" ht="15" hidden="false" customHeight="false" outlineLevel="0" collapsed="false">
      <c r="A1250" s="13" t="n">
        <v>44061</v>
      </c>
      <c r="B1250" s="14" t="n">
        <v>0.09</v>
      </c>
      <c r="C1250" s="14" t="n">
        <v>0.25</v>
      </c>
      <c r="D1250" s="14" t="n">
        <v>0</v>
      </c>
      <c r="E1250" s="14" t="n">
        <v>-0.554</v>
      </c>
      <c r="F1250" s="14" t="n">
        <v>-0.5</v>
      </c>
      <c r="G1250" s="14" t="n">
        <v>0.1</v>
      </c>
      <c r="H1250" s="14" t="n">
        <v>0.0553</v>
      </c>
      <c r="I1250" s="14" t="n">
        <v>0.0569281474418345</v>
      </c>
      <c r="J1250" s="14" t="n">
        <v>0.0558147341087236</v>
      </c>
      <c r="K1250" s="14" t="n">
        <v>0.0454117016362012</v>
      </c>
      <c r="L1250" s="14" t="n">
        <v>0.0145917199507321</v>
      </c>
      <c r="M1250" s="14" t="n">
        <v>2.304</v>
      </c>
      <c r="N1250" s="14" t="n">
        <v>2.6</v>
      </c>
      <c r="O1250" s="14" t="n">
        <v>2.788</v>
      </c>
      <c r="P1250" s="14" t="n">
        <v>2.886</v>
      </c>
      <c r="Q1250" s="14" t="n">
        <v>0</v>
      </c>
      <c r="R1250" s="14" t="n">
        <v>-0.01</v>
      </c>
      <c r="S1250" s="14" t="n">
        <v>2</v>
      </c>
    </row>
    <row r="1251" customFormat="false" ht="15" hidden="false" customHeight="false" outlineLevel="0" collapsed="false">
      <c r="A1251" s="13" t="n">
        <v>44062</v>
      </c>
      <c r="B1251" s="14" t="n">
        <v>0.09</v>
      </c>
      <c r="C1251" s="14" t="n">
        <v>0.25</v>
      </c>
      <c r="D1251" s="14" t="n">
        <v>0</v>
      </c>
      <c r="E1251" s="14" t="n">
        <v>-0.553</v>
      </c>
      <c r="F1251" s="14" t="n">
        <v>-0.5</v>
      </c>
      <c r="G1251" s="14" t="n">
        <v>0.1</v>
      </c>
      <c r="H1251" s="14" t="n">
        <v>0.0562</v>
      </c>
      <c r="I1251" s="14" t="n">
        <v>0.056735599346828</v>
      </c>
      <c r="J1251" s="14" t="n">
        <v>0.0566923229807231</v>
      </c>
      <c r="K1251" s="14" t="n">
        <v>0.0457527312115467</v>
      </c>
      <c r="L1251" s="14" t="n">
        <v>0.0160023920505252</v>
      </c>
      <c r="M1251" s="14" t="n">
        <v>2.307</v>
      </c>
      <c r="N1251" s="14" t="n">
        <v>2.6</v>
      </c>
      <c r="O1251" s="14" t="n">
        <v>2.795</v>
      </c>
      <c r="P1251" s="14" t="n">
        <v>2.893</v>
      </c>
      <c r="Q1251" s="14" t="n">
        <v>0</v>
      </c>
      <c r="R1251" s="14" t="n">
        <v>-0.01</v>
      </c>
      <c r="S1251" s="14" t="n">
        <v>2</v>
      </c>
    </row>
    <row r="1252" customFormat="false" ht="15" hidden="false" customHeight="false" outlineLevel="0" collapsed="false">
      <c r="A1252" s="13" t="n">
        <v>44063</v>
      </c>
      <c r="B1252" s="14" t="n">
        <v>0.07</v>
      </c>
      <c r="C1252" s="14" t="n">
        <v>0.25</v>
      </c>
      <c r="D1252" s="14" t="n">
        <v>0</v>
      </c>
      <c r="E1252" s="14" t="n">
        <v>-0.553</v>
      </c>
      <c r="F1252" s="14" t="n">
        <v>-0.5</v>
      </c>
      <c r="G1252" s="14" t="n">
        <v>0.1</v>
      </c>
      <c r="H1252" s="14" t="n">
        <v>0.0557</v>
      </c>
      <c r="I1252" s="14" t="n">
        <v>0.0564847636597286</v>
      </c>
      <c r="J1252" s="14" t="n">
        <v>0.0560607981351035</v>
      </c>
      <c r="K1252" s="14" t="n">
        <v>0.0467231249730948</v>
      </c>
      <c r="L1252" s="14" t="n">
        <v>0.0170421881535237</v>
      </c>
      <c r="M1252" s="14" t="n">
        <v>2.316</v>
      </c>
      <c r="N1252" s="14" t="n">
        <v>2.601</v>
      </c>
      <c r="O1252" s="14" t="n">
        <v>2.8</v>
      </c>
      <c r="P1252" s="14" t="n">
        <v>2.896</v>
      </c>
      <c r="Q1252" s="14" t="n">
        <v>0</v>
      </c>
      <c r="R1252" s="14" t="n">
        <v>-0.01</v>
      </c>
      <c r="S1252" s="14" t="n">
        <v>2</v>
      </c>
    </row>
    <row r="1253" customFormat="false" ht="15" hidden="false" customHeight="false" outlineLevel="0" collapsed="false">
      <c r="A1253" s="13" t="n">
        <v>44064</v>
      </c>
      <c r="B1253" s="14" t="n">
        <v>0.07</v>
      </c>
      <c r="C1253" s="14" t="n">
        <v>0.25</v>
      </c>
      <c r="D1253" s="14" t="n">
        <v>0</v>
      </c>
      <c r="E1253" s="14" t="n">
        <v>-0.554</v>
      </c>
      <c r="F1253" s="14" t="n">
        <v>-0.5</v>
      </c>
      <c r="G1253" s="14" t="n">
        <v>0.1</v>
      </c>
      <c r="H1253" s="14" t="n">
        <v>0.0556</v>
      </c>
      <c r="I1253" s="14" t="n">
        <v>0.0583500681101036</v>
      </c>
      <c r="J1253" s="14" t="n">
        <v>0.0558819718603528</v>
      </c>
      <c r="K1253" s="14" t="n">
        <v>0.0459173157578764</v>
      </c>
      <c r="L1253" s="14" t="n">
        <v>0.0177060845252554</v>
      </c>
      <c r="M1253" s="14" t="n">
        <v>2.339</v>
      </c>
      <c r="N1253" s="14" t="n">
        <v>2.601</v>
      </c>
      <c r="O1253" s="14" t="n">
        <v>2.802</v>
      </c>
      <c r="P1253" s="14" t="n">
        <v>2.9</v>
      </c>
      <c r="Q1253" s="14" t="n">
        <v>0</v>
      </c>
      <c r="R1253" s="14" t="n">
        <v>-0.01</v>
      </c>
      <c r="S1253" s="14" t="n">
        <v>2</v>
      </c>
    </row>
    <row r="1254" customFormat="false" ht="15" hidden="false" customHeight="false" outlineLevel="0" collapsed="false">
      <c r="A1254" s="13" t="n">
        <v>44067</v>
      </c>
      <c r="B1254" s="14" t="n">
        <v>0.08</v>
      </c>
      <c r="C1254" s="14" t="n">
        <v>0.25</v>
      </c>
      <c r="D1254" s="14" t="n">
        <v>0</v>
      </c>
      <c r="E1254" s="14" t="n">
        <v>-0.552</v>
      </c>
      <c r="F1254" s="14" t="n">
        <v>-0.5</v>
      </c>
      <c r="G1254" s="14" t="n">
        <v>0.1</v>
      </c>
      <c r="H1254" s="14" t="n">
        <v>0.0545</v>
      </c>
      <c r="I1254" s="14" t="n">
        <v>0.0601959259683777</v>
      </c>
      <c r="J1254" s="14" t="n">
        <v>0.0570959056215048</v>
      </c>
      <c r="K1254" s="14" t="n">
        <v>0.0432896108596367</v>
      </c>
      <c r="L1254" s="14" t="n">
        <v>0.0143351567411055</v>
      </c>
      <c r="M1254" s="14" t="n">
        <v>2.364</v>
      </c>
      <c r="N1254" s="14" t="n">
        <v>2.604</v>
      </c>
      <c r="O1254" s="14" t="n">
        <v>2.81</v>
      </c>
      <c r="P1254" s="14" t="n">
        <v>2.901</v>
      </c>
      <c r="Q1254" s="14" t="n">
        <v>0</v>
      </c>
      <c r="R1254" s="14" t="n">
        <v>-0.01</v>
      </c>
      <c r="S1254" s="14" t="n">
        <v>2</v>
      </c>
    </row>
    <row r="1255" customFormat="false" ht="15" hidden="false" customHeight="false" outlineLevel="0" collapsed="false">
      <c r="A1255" s="13" t="n">
        <v>44068</v>
      </c>
      <c r="B1255" s="14" t="n">
        <v>0.08</v>
      </c>
      <c r="C1255" s="14" t="n">
        <v>0.25</v>
      </c>
      <c r="D1255" s="14" t="n">
        <v>0</v>
      </c>
      <c r="E1255" s="14" t="n">
        <v>-0.553</v>
      </c>
      <c r="F1255" s="14" t="n">
        <v>-0.5</v>
      </c>
      <c r="G1255" s="14" t="n">
        <v>0.1</v>
      </c>
      <c r="H1255" s="14" t="n">
        <v>0.0553</v>
      </c>
      <c r="I1255" s="14" t="n">
        <v>0.0591666135568262</v>
      </c>
      <c r="J1255" s="14" t="n">
        <v>0.0560066510899829</v>
      </c>
      <c r="K1255" s="14" t="n">
        <v>0.0425656766463001</v>
      </c>
      <c r="L1255" s="14" t="n">
        <v>0.0192230778087582</v>
      </c>
      <c r="M1255" s="14" t="n">
        <v>2.368</v>
      </c>
      <c r="N1255" s="14" t="n">
        <v>2.606</v>
      </c>
      <c r="O1255" s="14" t="n">
        <v>2.819</v>
      </c>
      <c r="P1255" s="14" t="n">
        <v>2.905</v>
      </c>
      <c r="Q1255" s="14" t="n">
        <v>0</v>
      </c>
      <c r="R1255" s="14" t="n">
        <v>-0.01</v>
      </c>
      <c r="S1255" s="14" t="n">
        <v>2</v>
      </c>
    </row>
    <row r="1256" customFormat="false" ht="15" hidden="false" customHeight="false" outlineLevel="0" collapsed="false">
      <c r="A1256" s="13" t="n">
        <v>44069</v>
      </c>
      <c r="B1256" s="14" t="n">
        <v>0.07</v>
      </c>
      <c r="C1256" s="14" t="n">
        <v>0.25</v>
      </c>
      <c r="D1256" s="14" t="n">
        <v>0</v>
      </c>
      <c r="E1256" s="14" t="n">
        <v>-0.554</v>
      </c>
      <c r="F1256" s="14" t="n">
        <v>-0.5</v>
      </c>
      <c r="G1256" s="14" t="n">
        <v>0.1</v>
      </c>
      <c r="H1256" s="14" t="n">
        <v>0.0547</v>
      </c>
      <c r="I1256" s="14" t="n">
        <v>0.0582571252289592</v>
      </c>
      <c r="J1256" s="14" t="n">
        <v>0.0539265197198573</v>
      </c>
      <c r="K1256" s="14" t="n">
        <v>0.0449988258596197</v>
      </c>
      <c r="L1256" s="14" t="n">
        <v>0.0232436465391413</v>
      </c>
      <c r="M1256" s="14" t="n">
        <v>2.37</v>
      </c>
      <c r="N1256" s="14" t="n">
        <v>2.612</v>
      </c>
      <c r="O1256" s="14" t="n">
        <v>2.82</v>
      </c>
      <c r="P1256" s="14" t="n">
        <v>2.907</v>
      </c>
      <c r="Q1256" s="14" t="n">
        <v>0</v>
      </c>
      <c r="R1256" s="14" t="n">
        <v>-0.01</v>
      </c>
      <c r="S1256" s="14" t="n">
        <v>2</v>
      </c>
    </row>
    <row r="1257" customFormat="false" ht="15" hidden="false" customHeight="false" outlineLevel="0" collapsed="false">
      <c r="A1257" s="13" t="n">
        <v>44070</v>
      </c>
      <c r="B1257" s="14" t="n">
        <v>0.07</v>
      </c>
      <c r="C1257" s="14" t="n">
        <v>0.25</v>
      </c>
      <c r="D1257" s="14" t="n">
        <v>0</v>
      </c>
      <c r="E1257" s="14" t="n">
        <v>-0.552</v>
      </c>
      <c r="F1257" s="14" t="n">
        <v>-0.5</v>
      </c>
      <c r="G1257" s="14" t="n">
        <v>0.1</v>
      </c>
      <c r="H1257" s="14" t="n">
        <v>0.0559</v>
      </c>
      <c r="I1257" s="14" t="n">
        <v>0.0567168163829064</v>
      </c>
      <c r="J1257" s="14" t="n">
        <v>0.0559697773004767</v>
      </c>
      <c r="K1257" s="14" t="n">
        <v>0.044329033624601</v>
      </c>
      <c r="L1257" s="14" t="n">
        <v>0.0197622215068961</v>
      </c>
      <c r="M1257" s="14" t="n">
        <v>2.367</v>
      </c>
      <c r="N1257" s="14" t="n">
        <v>2.621</v>
      </c>
      <c r="O1257" s="14" t="n">
        <v>2.825</v>
      </c>
      <c r="P1257" s="14" t="n">
        <v>2.917</v>
      </c>
      <c r="Q1257" s="14" t="n">
        <v>0</v>
      </c>
      <c r="R1257" s="14" t="n">
        <v>-0.01</v>
      </c>
      <c r="S1257" s="14" t="n">
        <v>2</v>
      </c>
    </row>
    <row r="1258" customFormat="false" ht="15" hidden="false" customHeight="false" outlineLevel="0" collapsed="false">
      <c r="A1258" s="13" t="n">
        <v>44071</v>
      </c>
      <c r="B1258" s="14" t="n">
        <v>0.07</v>
      </c>
      <c r="C1258" s="14" t="n">
        <v>0.25</v>
      </c>
      <c r="D1258" s="14" t="n">
        <v>0</v>
      </c>
      <c r="E1258" s="14" t="n">
        <v>-0.552</v>
      </c>
      <c r="F1258" s="14" t="n">
        <v>-0.5</v>
      </c>
      <c r="G1258" s="14" t="n">
        <v>0.1</v>
      </c>
      <c r="H1258" s="14" t="n">
        <v>0.0545</v>
      </c>
      <c r="I1258" s="14" t="n">
        <v>0.0592141472834205</v>
      </c>
      <c r="J1258" s="14" t="n">
        <v>0.0539216160439088</v>
      </c>
      <c r="K1258" s="14" t="n">
        <v>0.0451898636450347</v>
      </c>
      <c r="L1258" s="14" t="n">
        <v>0.0193254153588094</v>
      </c>
      <c r="M1258" s="14" t="n">
        <v>2.366</v>
      </c>
      <c r="N1258" s="14" t="n">
        <v>2.63</v>
      </c>
      <c r="O1258" s="14" t="n">
        <v>2.834</v>
      </c>
      <c r="P1258" s="14" t="n">
        <v>2.922</v>
      </c>
      <c r="Q1258" s="14" t="n">
        <v>0</v>
      </c>
      <c r="R1258" s="14" t="n">
        <v>-0.01</v>
      </c>
      <c r="S1258" s="14" t="n">
        <v>2</v>
      </c>
    </row>
    <row r="1259" customFormat="false" ht="15" hidden="false" customHeight="false" outlineLevel="0" collapsed="false">
      <c r="A1259" s="13" t="n">
        <v>44074</v>
      </c>
      <c r="B1259" s="14" t="n">
        <v>0.09</v>
      </c>
      <c r="C1259" s="14" t="n">
        <v>0.25</v>
      </c>
      <c r="D1259" s="14" t="n">
        <v>0</v>
      </c>
      <c r="E1259" s="14" t="n">
        <v>-0.557</v>
      </c>
      <c r="F1259" s="14" t="n">
        <v>-0.5</v>
      </c>
      <c r="M1259" s="14" t="n">
        <v>2.374</v>
      </c>
      <c r="N1259" s="14" t="n">
        <v>2.636</v>
      </c>
      <c r="O1259" s="14" t="n">
        <v>2.844</v>
      </c>
      <c r="P1259" s="14" t="n">
        <v>2.933</v>
      </c>
      <c r="Q1259" s="14" t="n">
        <v>0</v>
      </c>
      <c r="R1259" s="14" t="n">
        <v>0.04</v>
      </c>
      <c r="S1259" s="14" t="n">
        <v>2</v>
      </c>
    </row>
    <row r="1260" customFormat="false" ht="15" hidden="false" customHeight="false" outlineLevel="0" collapsed="false">
      <c r="A1260" s="13" t="n">
        <v>44075</v>
      </c>
      <c r="B1260" s="14" t="n">
        <v>0.09</v>
      </c>
      <c r="C1260" s="14" t="n">
        <v>0.25</v>
      </c>
      <c r="D1260" s="14" t="n">
        <v>0</v>
      </c>
      <c r="E1260" s="14" t="n">
        <v>-0.554</v>
      </c>
      <c r="F1260" s="14" t="n">
        <v>-0.5</v>
      </c>
      <c r="G1260" s="14" t="n">
        <v>0.1</v>
      </c>
      <c r="H1260" s="14" t="n">
        <v>0.0552</v>
      </c>
      <c r="I1260" s="14" t="n">
        <v>0.0578399504879032</v>
      </c>
      <c r="J1260" s="14" t="n">
        <v>0.0524625498991584</v>
      </c>
      <c r="K1260" s="14" t="n">
        <v>0.0403058952135059</v>
      </c>
      <c r="L1260" s="14" t="n">
        <v>0.0132819552158296</v>
      </c>
      <c r="M1260" s="14" t="n">
        <v>2.372</v>
      </c>
      <c r="N1260" s="14" t="n">
        <v>2.64</v>
      </c>
      <c r="O1260" s="14" t="n">
        <v>2.847</v>
      </c>
      <c r="P1260" s="14" t="n">
        <v>2.942</v>
      </c>
      <c r="Q1260" s="14" t="n">
        <v>0</v>
      </c>
      <c r="R1260" s="14" t="n">
        <v>-0.01</v>
      </c>
      <c r="S1260" s="14" t="n">
        <v>2</v>
      </c>
    </row>
    <row r="1261" customFormat="false" ht="15" hidden="false" customHeight="false" outlineLevel="0" collapsed="false">
      <c r="A1261" s="13" t="n">
        <v>44076</v>
      </c>
      <c r="B1261" s="14" t="n">
        <v>0.09</v>
      </c>
      <c r="C1261" s="14" t="n">
        <v>0.25</v>
      </c>
      <c r="D1261" s="14" t="n">
        <v>0</v>
      </c>
      <c r="E1261" s="14" t="n">
        <v>-0.555</v>
      </c>
      <c r="F1261" s="14" t="n">
        <v>-0.5</v>
      </c>
      <c r="G1261" s="14" t="n">
        <v>0.1</v>
      </c>
      <c r="H1261" s="14" t="n">
        <v>0.0547</v>
      </c>
      <c r="I1261" s="14" t="n">
        <v>0.0582678824601424</v>
      </c>
      <c r="J1261" s="14" t="n">
        <v>0.0527739256340002</v>
      </c>
      <c r="K1261" s="14" t="n">
        <v>0.0409650506533985</v>
      </c>
      <c r="L1261" s="14" t="n">
        <v>0.0122860388818278</v>
      </c>
      <c r="M1261" s="14" t="n">
        <v>2.38</v>
      </c>
      <c r="N1261" s="14" t="n">
        <v>2.646</v>
      </c>
      <c r="O1261" s="14" t="n">
        <v>2.852</v>
      </c>
      <c r="P1261" s="14" t="n">
        <v>2.945</v>
      </c>
      <c r="Q1261" s="14" t="n">
        <v>0</v>
      </c>
      <c r="R1261" s="14" t="n">
        <v>0</v>
      </c>
      <c r="S1261" s="14" t="n">
        <v>2</v>
      </c>
    </row>
    <row r="1262" customFormat="false" ht="15" hidden="false" customHeight="false" outlineLevel="0" collapsed="false">
      <c r="A1262" s="13" t="n">
        <v>44077</v>
      </c>
      <c r="B1262" s="14" t="n">
        <v>0.1</v>
      </c>
      <c r="C1262" s="14" t="n">
        <v>0.25</v>
      </c>
      <c r="D1262" s="14" t="n">
        <v>0</v>
      </c>
      <c r="E1262" s="14" t="n">
        <v>-0.551</v>
      </c>
      <c r="F1262" s="14" t="n">
        <v>-0.5</v>
      </c>
      <c r="G1262" s="14" t="n">
        <v>0.1</v>
      </c>
      <c r="H1262" s="14" t="n">
        <v>0.0561</v>
      </c>
      <c r="I1262" s="14" t="n">
        <v>0.0591282822888573</v>
      </c>
      <c r="J1262" s="14" t="n">
        <v>0.0538072895730448</v>
      </c>
      <c r="K1262" s="14" t="n">
        <v>0.0461700810836563</v>
      </c>
      <c r="L1262" s="14" t="n">
        <v>0.0129566856198237</v>
      </c>
      <c r="M1262" s="14" t="n">
        <v>2.39</v>
      </c>
      <c r="N1262" s="14" t="n">
        <v>2.654</v>
      </c>
      <c r="O1262" s="14" t="n">
        <v>2.863</v>
      </c>
      <c r="P1262" s="14" t="n">
        <v>2.951</v>
      </c>
      <c r="Q1262" s="14" t="n">
        <v>0</v>
      </c>
      <c r="R1262" s="14" t="n">
        <v>-0.01</v>
      </c>
      <c r="S1262" s="14" t="n">
        <v>2</v>
      </c>
    </row>
    <row r="1263" customFormat="false" ht="15" hidden="false" customHeight="false" outlineLevel="0" collapsed="false">
      <c r="A1263" s="13" t="n">
        <v>44078</v>
      </c>
      <c r="B1263" s="14" t="n">
        <v>0.09</v>
      </c>
      <c r="C1263" s="14" t="n">
        <v>0.25</v>
      </c>
      <c r="D1263" s="14" t="n">
        <v>0</v>
      </c>
      <c r="E1263" s="14" t="n">
        <v>-0.552</v>
      </c>
      <c r="F1263" s="14" t="n">
        <v>-0.5</v>
      </c>
      <c r="G1263" s="14" t="n">
        <v>0.1</v>
      </c>
      <c r="H1263" s="14" t="n">
        <v>0.056</v>
      </c>
      <c r="I1263" s="14" t="n">
        <v>0.0585190366351095</v>
      </c>
      <c r="J1263" s="14" t="n">
        <v>0.0525371013290363</v>
      </c>
      <c r="K1263" s="14" t="n">
        <v>0.038590349251601</v>
      </c>
      <c r="L1263" s="14" t="n">
        <v>0.0124401626531874</v>
      </c>
      <c r="M1263" s="14" t="n">
        <v>2.399</v>
      </c>
      <c r="N1263" s="14" t="n">
        <v>2.661</v>
      </c>
      <c r="O1263" s="14" t="n">
        <v>2.874</v>
      </c>
      <c r="P1263" s="14" t="n">
        <v>2.953</v>
      </c>
      <c r="Q1263" s="14" t="n">
        <v>0</v>
      </c>
      <c r="R1263" s="14" t="n">
        <v>-0.01</v>
      </c>
      <c r="S1263" s="14" t="n">
        <v>2</v>
      </c>
    </row>
    <row r="1264" customFormat="false" ht="15" hidden="false" customHeight="false" outlineLevel="0" collapsed="false">
      <c r="A1264" s="13" t="n">
        <v>44081</v>
      </c>
      <c r="C1264" s="14" t="n">
        <v>0.25</v>
      </c>
      <c r="D1264" s="14" t="n">
        <v>0</v>
      </c>
      <c r="E1264" s="14" t="n">
        <v>-0.551</v>
      </c>
      <c r="F1264" s="14" t="n">
        <v>-0.5</v>
      </c>
      <c r="G1264" s="14" t="n">
        <v>0.1</v>
      </c>
      <c r="H1264" s="14" t="n">
        <v>0.0556</v>
      </c>
      <c r="I1264" s="14" t="n">
        <v>0.0566809183505657</v>
      </c>
      <c r="J1264" s="14" t="n">
        <v>0.0513728090698403</v>
      </c>
      <c r="K1264" s="14" t="n">
        <v>0.0356776049789655</v>
      </c>
      <c r="L1264" s="14" t="n">
        <v>0.00200823206507851</v>
      </c>
      <c r="M1264" s="14" t="n">
        <v>2.436</v>
      </c>
      <c r="N1264" s="14" t="n">
        <v>2.676</v>
      </c>
      <c r="O1264" s="14" t="n">
        <v>2.887</v>
      </c>
      <c r="P1264" s="14" t="n">
        <v>2.965</v>
      </c>
      <c r="Q1264" s="14" t="n">
        <v>0</v>
      </c>
      <c r="R1264" s="14" t="n">
        <v>-0.01</v>
      </c>
      <c r="S1264" s="14" t="n">
        <v>2</v>
      </c>
    </row>
    <row r="1265" customFormat="false" ht="15" hidden="false" customHeight="false" outlineLevel="0" collapsed="false">
      <c r="A1265" s="13" t="n">
        <v>44082</v>
      </c>
      <c r="B1265" s="14" t="n">
        <v>0.09</v>
      </c>
      <c r="C1265" s="14" t="n">
        <v>0.25</v>
      </c>
      <c r="D1265" s="14" t="n">
        <v>0</v>
      </c>
      <c r="E1265" s="14" t="n">
        <v>-0.553</v>
      </c>
      <c r="F1265" s="14" t="n">
        <v>-0.5</v>
      </c>
      <c r="G1265" s="14" t="n">
        <v>0.1</v>
      </c>
      <c r="H1265" s="14" t="n">
        <v>0.0557</v>
      </c>
      <c r="I1265" s="14" t="n">
        <v>0.0573284389724817</v>
      </c>
      <c r="J1265" s="14" t="n">
        <v>0.0504212097845292</v>
      </c>
      <c r="K1265" s="14" t="n">
        <v>0.0292817479111374</v>
      </c>
      <c r="L1265" s="14" t="n">
        <v>-0.0145136554138845</v>
      </c>
      <c r="M1265" s="14" t="n">
        <v>2.468</v>
      </c>
      <c r="N1265" s="14" t="n">
        <v>2.688</v>
      </c>
      <c r="O1265" s="14" t="n">
        <v>2.899</v>
      </c>
      <c r="P1265" s="14" t="n">
        <v>2.982</v>
      </c>
      <c r="Q1265" s="14" t="n">
        <v>0</v>
      </c>
      <c r="R1265" s="14" t="n">
        <v>0</v>
      </c>
      <c r="S1265" s="14" t="n">
        <v>2</v>
      </c>
    </row>
    <row r="1266" customFormat="false" ht="15" hidden="false" customHeight="false" outlineLevel="0" collapsed="false">
      <c r="A1266" s="13" t="n">
        <v>44083</v>
      </c>
      <c r="B1266" s="14" t="n">
        <v>0.09</v>
      </c>
      <c r="C1266" s="14" t="n">
        <v>0.25</v>
      </c>
      <c r="D1266" s="14" t="n">
        <v>0</v>
      </c>
      <c r="E1266" s="14" t="n">
        <v>-0.554</v>
      </c>
      <c r="F1266" s="14" t="n">
        <v>-0.5</v>
      </c>
      <c r="G1266" s="14" t="n">
        <v>0.1</v>
      </c>
      <c r="H1266" s="14" t="n">
        <v>0.055</v>
      </c>
      <c r="I1266" s="14" t="n">
        <v>0.0560274206425444</v>
      </c>
      <c r="J1266" s="14" t="n">
        <v>0.0488841908791172</v>
      </c>
      <c r="K1266" s="14" t="n">
        <v>0.0274574832559895</v>
      </c>
      <c r="L1266" s="14" t="n">
        <v>-0.0123105740074238</v>
      </c>
      <c r="M1266" s="14" t="n">
        <v>2.502</v>
      </c>
      <c r="N1266" s="14" t="n">
        <v>2.693</v>
      </c>
      <c r="O1266" s="14" t="n">
        <v>2.91</v>
      </c>
      <c r="P1266" s="14" t="n">
        <v>2.988</v>
      </c>
      <c r="Q1266" s="14" t="n">
        <v>0</v>
      </c>
      <c r="R1266" s="14" t="n">
        <v>0</v>
      </c>
      <c r="S1266" s="14" t="n">
        <v>2</v>
      </c>
    </row>
    <row r="1267" customFormat="false" ht="15" hidden="false" customHeight="false" outlineLevel="0" collapsed="false">
      <c r="A1267" s="13" t="n">
        <v>44084</v>
      </c>
      <c r="B1267" s="14" t="n">
        <v>0.09</v>
      </c>
      <c r="C1267" s="14" t="n">
        <v>0.25</v>
      </c>
      <c r="D1267" s="14" t="n">
        <v>0</v>
      </c>
      <c r="E1267" s="14" t="n">
        <v>-0.554</v>
      </c>
      <c r="F1267" s="14" t="n">
        <v>-0.5</v>
      </c>
      <c r="G1267" s="14" t="n">
        <v>0.1</v>
      </c>
      <c r="H1267" s="14" t="n">
        <v>0.0552</v>
      </c>
      <c r="I1267" s="14" t="n">
        <v>0.0578040099865481</v>
      </c>
      <c r="J1267" s="14" t="n">
        <v>0.0487971752540684</v>
      </c>
      <c r="K1267" s="14" t="n">
        <v>0.0211817419069312</v>
      </c>
      <c r="L1267" s="14" t="n">
        <v>-0.0277473233264404</v>
      </c>
      <c r="M1267" s="14" t="n">
        <v>2.538</v>
      </c>
      <c r="N1267" s="14" t="n">
        <v>2.695</v>
      </c>
      <c r="O1267" s="14" t="n">
        <v>2.927</v>
      </c>
      <c r="P1267" s="14" t="n">
        <v>2.992</v>
      </c>
      <c r="Q1267" s="14" t="n">
        <v>0</v>
      </c>
      <c r="R1267" s="14" t="n">
        <v>0</v>
      </c>
      <c r="S1267" s="14" t="n">
        <v>2</v>
      </c>
    </row>
    <row r="1268" customFormat="false" ht="15" hidden="false" customHeight="false" outlineLevel="0" collapsed="false">
      <c r="A1268" s="13" t="n">
        <v>44085</v>
      </c>
      <c r="B1268" s="14" t="n">
        <v>0.09</v>
      </c>
      <c r="C1268" s="14" t="n">
        <v>0.25</v>
      </c>
      <c r="D1268" s="14" t="n">
        <v>0</v>
      </c>
      <c r="E1268" s="14" t="n">
        <v>-0.553</v>
      </c>
      <c r="F1268" s="14" t="n">
        <v>-0.5</v>
      </c>
      <c r="G1268" s="14" t="n">
        <v>0.1</v>
      </c>
      <c r="H1268" s="14" t="n">
        <v>0.0569</v>
      </c>
      <c r="I1268" s="14" t="n">
        <v>0.0570656912431571</v>
      </c>
      <c r="J1268" s="14" t="n">
        <v>0.046072189216454</v>
      </c>
      <c r="K1268" s="14" t="n">
        <v>0.015729785708186</v>
      </c>
      <c r="L1268" s="14" t="n">
        <v>-0.0346591126546651</v>
      </c>
      <c r="M1268" s="14" t="n">
        <v>2.564</v>
      </c>
      <c r="N1268" s="14" t="n">
        <v>2.697</v>
      </c>
      <c r="O1268" s="14" t="n">
        <v>2.936</v>
      </c>
      <c r="P1268" s="14" t="n">
        <v>2.999</v>
      </c>
      <c r="Q1268" s="14" t="n">
        <v>0</v>
      </c>
      <c r="R1268" s="14" t="n">
        <v>-0.01</v>
      </c>
      <c r="S1268" s="14" t="n">
        <v>2</v>
      </c>
    </row>
    <row r="1269" customFormat="false" ht="15" hidden="false" customHeight="false" outlineLevel="0" collapsed="false">
      <c r="A1269" s="13" t="n">
        <v>44088</v>
      </c>
      <c r="B1269" s="14" t="n">
        <v>0.09</v>
      </c>
      <c r="C1269" s="14" t="n">
        <v>0.25</v>
      </c>
      <c r="D1269" s="14" t="n">
        <v>0</v>
      </c>
      <c r="E1269" s="14" t="n">
        <v>-0.555</v>
      </c>
      <c r="F1269" s="14" t="n">
        <v>-0.5</v>
      </c>
      <c r="G1269" s="14" t="n">
        <v>0.1</v>
      </c>
      <c r="H1269" s="14" t="n">
        <v>0.0557</v>
      </c>
      <c r="I1269" s="14" t="n">
        <v>0.0559799114967337</v>
      </c>
      <c r="J1269" s="14" t="n">
        <v>0.0441817561588498</v>
      </c>
      <c r="K1269" s="14" t="n">
        <v>0.0138397902097246</v>
      </c>
      <c r="L1269" s="14" t="n">
        <v>-0.0354206455533424</v>
      </c>
      <c r="M1269" s="14" t="n">
        <v>2.59</v>
      </c>
      <c r="N1269" s="14" t="n">
        <v>2.697</v>
      </c>
      <c r="O1269" s="14" t="n">
        <v>2.943</v>
      </c>
      <c r="P1269" s="14" t="n">
        <v>3.002</v>
      </c>
      <c r="Q1269" s="14" t="n">
        <v>0</v>
      </c>
      <c r="R1269" s="14" t="n">
        <v>0</v>
      </c>
      <c r="S1269" s="14" t="n">
        <v>2</v>
      </c>
    </row>
    <row r="1270" customFormat="false" ht="15" hidden="false" customHeight="false" outlineLevel="0" collapsed="false">
      <c r="A1270" s="13" t="n">
        <v>44089</v>
      </c>
      <c r="B1270" s="14" t="n">
        <v>0.1</v>
      </c>
      <c r="C1270" s="14" t="n">
        <v>0.25</v>
      </c>
      <c r="D1270" s="14" t="n">
        <v>0</v>
      </c>
      <c r="E1270" s="14" t="n">
        <v>-0.551</v>
      </c>
      <c r="F1270" s="14" t="n">
        <v>-0.5</v>
      </c>
      <c r="G1270" s="14" t="n">
        <v>0.1</v>
      </c>
      <c r="H1270" s="14" t="n">
        <v>0.0556</v>
      </c>
      <c r="I1270" s="14" t="n">
        <v>0.0564975808640268</v>
      </c>
      <c r="J1270" s="14" t="n">
        <v>0.0466524336907619</v>
      </c>
      <c r="K1270" s="14" t="n">
        <v>0.0184282881303645</v>
      </c>
      <c r="L1270" s="14" t="n">
        <v>-0.0280763001892868</v>
      </c>
      <c r="M1270" s="14" t="n">
        <v>2.596</v>
      </c>
      <c r="N1270" s="14" t="n">
        <v>2.696</v>
      </c>
      <c r="O1270" s="14" t="n">
        <v>2.946</v>
      </c>
      <c r="P1270" s="14" t="n">
        <v>3.003</v>
      </c>
      <c r="Q1270" s="14" t="n">
        <v>0</v>
      </c>
      <c r="R1270" s="14" t="n">
        <v>0</v>
      </c>
      <c r="S1270" s="14" t="n">
        <v>2</v>
      </c>
    </row>
    <row r="1271" customFormat="false" ht="15" hidden="false" customHeight="false" outlineLevel="0" collapsed="false">
      <c r="A1271" s="13" t="n">
        <v>44090</v>
      </c>
      <c r="B1271" s="14" t="n">
        <v>0.1</v>
      </c>
      <c r="C1271" s="14" t="n">
        <v>0.25</v>
      </c>
      <c r="D1271" s="14" t="n">
        <v>0</v>
      </c>
      <c r="E1271" s="14" t="n">
        <v>-0.556</v>
      </c>
      <c r="F1271" s="14" t="n">
        <v>-0.5</v>
      </c>
      <c r="G1271" s="14" t="n">
        <v>0.1</v>
      </c>
      <c r="H1271" s="14" t="n">
        <v>0.0558</v>
      </c>
      <c r="I1271" s="14" t="n">
        <v>0.0561903486269524</v>
      </c>
      <c r="J1271" s="14" t="n">
        <v>0.0475968548690596</v>
      </c>
      <c r="K1271" s="14" t="n">
        <v>0.0259072938725743</v>
      </c>
      <c r="L1271" s="14" t="n">
        <v>-0.0138899902086034</v>
      </c>
      <c r="M1271" s="14" t="n">
        <v>2.597</v>
      </c>
      <c r="N1271" s="14" t="n">
        <v>2.688</v>
      </c>
      <c r="O1271" s="14" t="n">
        <v>2.933</v>
      </c>
      <c r="P1271" s="14" t="n">
        <v>3</v>
      </c>
      <c r="Q1271" s="14" t="n">
        <v>0</v>
      </c>
      <c r="R1271" s="14" t="n">
        <v>0</v>
      </c>
      <c r="S1271" s="14" t="n">
        <v>2</v>
      </c>
    </row>
    <row r="1272" customFormat="false" ht="15" hidden="false" customHeight="false" outlineLevel="0" collapsed="false">
      <c r="A1272" s="13" t="n">
        <v>44091</v>
      </c>
      <c r="B1272" s="14" t="n">
        <v>0.1</v>
      </c>
      <c r="C1272" s="14" t="n">
        <v>0.25</v>
      </c>
      <c r="D1272" s="14" t="n">
        <v>0</v>
      </c>
      <c r="E1272" s="14" t="n">
        <v>-0.553</v>
      </c>
      <c r="F1272" s="14" t="n">
        <v>-0.5</v>
      </c>
      <c r="G1272" s="14" t="n">
        <v>0.1</v>
      </c>
      <c r="H1272" s="14" t="n">
        <v>0.0546</v>
      </c>
      <c r="I1272" s="14" t="n">
        <v>0.0565948645190189</v>
      </c>
      <c r="J1272" s="14" t="n">
        <v>0.0462579861020964</v>
      </c>
      <c r="K1272" s="14" t="n">
        <v>0.0174558217620995</v>
      </c>
      <c r="L1272" s="14" t="n">
        <v>-0.0421157294070297</v>
      </c>
      <c r="M1272" s="14" t="n">
        <v>2.603</v>
      </c>
      <c r="N1272" s="14" t="n">
        <v>2.686</v>
      </c>
      <c r="O1272" s="14" t="n">
        <v>2.927</v>
      </c>
      <c r="P1272" s="14" t="n">
        <v>3</v>
      </c>
      <c r="Q1272" s="14" t="n">
        <v>0</v>
      </c>
      <c r="R1272" s="14" t="n">
        <v>0</v>
      </c>
      <c r="S1272" s="14" t="n">
        <v>2</v>
      </c>
    </row>
    <row r="1273" customFormat="false" ht="15" hidden="false" customHeight="false" outlineLevel="0" collapsed="false">
      <c r="A1273" s="13" t="n">
        <v>44092</v>
      </c>
      <c r="B1273" s="14" t="n">
        <v>0.09</v>
      </c>
      <c r="C1273" s="14" t="n">
        <v>0.25</v>
      </c>
      <c r="D1273" s="14" t="n">
        <v>0</v>
      </c>
      <c r="E1273" s="14" t="n">
        <v>-0.552</v>
      </c>
      <c r="F1273" s="14" t="n">
        <v>-0.5</v>
      </c>
      <c r="G1273" s="14" t="n">
        <v>0.1</v>
      </c>
      <c r="H1273" s="14" t="n">
        <v>0.054</v>
      </c>
      <c r="I1273" s="14" t="n">
        <v>0.0570120159958073</v>
      </c>
      <c r="J1273" s="14" t="n">
        <v>0.0447877467783224</v>
      </c>
      <c r="K1273" s="14" t="n">
        <v>0.0155196616101755</v>
      </c>
      <c r="L1273" s="14" t="n">
        <v>-0.0448633006273767</v>
      </c>
      <c r="M1273" s="14" t="n">
        <v>2.609</v>
      </c>
      <c r="N1273" s="14" t="n">
        <v>2.679</v>
      </c>
      <c r="O1273" s="14" t="n">
        <v>2.919</v>
      </c>
      <c r="P1273" s="14" t="n">
        <v>3</v>
      </c>
      <c r="Q1273" s="14" t="n">
        <v>0</v>
      </c>
      <c r="R1273" s="14" t="n">
        <v>0</v>
      </c>
      <c r="S1273" s="14" t="n">
        <v>2</v>
      </c>
    </row>
    <row r="1274" customFormat="false" ht="15" hidden="false" customHeight="false" outlineLevel="0" collapsed="false">
      <c r="A1274" s="13" t="n">
        <v>44095</v>
      </c>
      <c r="B1274" s="14" t="n">
        <v>0.08</v>
      </c>
      <c r="C1274" s="14" t="n">
        <v>0.25</v>
      </c>
      <c r="D1274" s="14" t="n">
        <v>0</v>
      </c>
      <c r="E1274" s="14" t="n">
        <v>-0.552</v>
      </c>
      <c r="F1274" s="14" t="n">
        <v>-0.5</v>
      </c>
      <c r="G1274" s="14" t="n">
        <v>0.1</v>
      </c>
      <c r="H1274" s="14" t="n">
        <v>0.0538</v>
      </c>
      <c r="I1274" s="14" t="n">
        <v>0.0565774454630507</v>
      </c>
      <c r="J1274" s="14" t="n">
        <v>0.0448471882209109</v>
      </c>
      <c r="K1274" s="14" t="n">
        <v>0.0159506427416733</v>
      </c>
      <c r="L1274" s="14" t="n">
        <v>-0.0369393145654829</v>
      </c>
      <c r="M1274" s="14" t="n">
        <v>2.619</v>
      </c>
      <c r="N1274" s="14" t="n">
        <v>2.673</v>
      </c>
      <c r="O1274" s="14" t="n">
        <v>2.912</v>
      </c>
      <c r="P1274" s="14" t="n">
        <v>3.001</v>
      </c>
      <c r="Q1274" s="14" t="n">
        <v>0</v>
      </c>
      <c r="R1274" s="14" t="n">
        <v>0</v>
      </c>
      <c r="S1274" s="14" t="n">
        <v>2</v>
      </c>
    </row>
    <row r="1275" customFormat="false" ht="15" hidden="false" customHeight="false" outlineLevel="0" collapsed="false">
      <c r="A1275" s="13" t="n">
        <v>44096</v>
      </c>
      <c r="B1275" s="14" t="n">
        <v>0.07</v>
      </c>
      <c r="C1275" s="14" t="n">
        <v>0.25</v>
      </c>
      <c r="D1275" s="14" t="n">
        <v>0</v>
      </c>
      <c r="E1275" s="14" t="n">
        <v>-0.552</v>
      </c>
      <c r="F1275" s="14" t="n">
        <v>-0.5</v>
      </c>
      <c r="G1275" s="14" t="n">
        <v>0.1</v>
      </c>
      <c r="H1275" s="14" t="n">
        <v>0.0541</v>
      </c>
      <c r="I1275" s="14" t="n">
        <v>0.0561391621441499</v>
      </c>
      <c r="J1275" s="14" t="n">
        <v>0.0502794835900059</v>
      </c>
      <c r="K1275" s="14" t="n">
        <v>0.0341422815578548</v>
      </c>
      <c r="L1275" s="14" t="n">
        <v>-0.00625466391772759</v>
      </c>
      <c r="M1275" s="14" t="n">
        <v>2.624</v>
      </c>
      <c r="N1275" s="14" t="n">
        <v>2.67</v>
      </c>
      <c r="O1275" s="14" t="n">
        <v>2.911</v>
      </c>
      <c r="P1275" s="14" t="n">
        <v>3.002</v>
      </c>
      <c r="Q1275" s="14" t="n">
        <v>0</v>
      </c>
      <c r="R1275" s="14" t="n">
        <v>0</v>
      </c>
      <c r="S1275" s="14" t="n">
        <v>2</v>
      </c>
    </row>
    <row r="1276" customFormat="false" ht="15" hidden="false" customHeight="false" outlineLevel="0" collapsed="false">
      <c r="A1276" s="13" t="n">
        <v>44097</v>
      </c>
      <c r="B1276" s="14" t="n">
        <v>0.06</v>
      </c>
      <c r="C1276" s="14" t="n">
        <v>0.25</v>
      </c>
      <c r="D1276" s="14" t="n">
        <v>0</v>
      </c>
      <c r="E1276" s="14" t="n">
        <v>-0.551</v>
      </c>
      <c r="F1276" s="14" t="n">
        <v>-0.5</v>
      </c>
      <c r="G1276" s="14" t="n">
        <v>0.1</v>
      </c>
      <c r="H1276" s="14" t="n">
        <v>0.0539</v>
      </c>
      <c r="I1276" s="14" t="n">
        <v>0.0558705191647763</v>
      </c>
      <c r="J1276" s="14" t="n">
        <v>0.051053857933087</v>
      </c>
      <c r="K1276" s="14" t="n">
        <v>0.036773136158165</v>
      </c>
      <c r="L1276" s="14" t="n">
        <v>-0.00268255815544924</v>
      </c>
      <c r="M1276" s="14" t="n">
        <v>2.627</v>
      </c>
      <c r="N1276" s="14" t="n">
        <v>2.67</v>
      </c>
      <c r="O1276" s="14" t="n">
        <v>2.914</v>
      </c>
      <c r="P1276" s="14" t="n">
        <v>3.002</v>
      </c>
      <c r="Q1276" s="14" t="n">
        <v>0</v>
      </c>
      <c r="R1276" s="14" t="n">
        <v>0</v>
      </c>
      <c r="S1276" s="14" t="n">
        <v>2</v>
      </c>
    </row>
    <row r="1277" customFormat="false" ht="15" hidden="false" customHeight="false" outlineLevel="0" collapsed="false">
      <c r="A1277" s="13" t="n">
        <v>44098</v>
      </c>
      <c r="B1277" s="14" t="n">
        <v>0.07</v>
      </c>
      <c r="C1277" s="14" t="n">
        <v>0.25</v>
      </c>
      <c r="D1277" s="14" t="n">
        <v>0</v>
      </c>
      <c r="E1277" s="14" t="n">
        <v>-0.553</v>
      </c>
      <c r="F1277" s="14" t="n">
        <v>-0.5</v>
      </c>
      <c r="G1277" s="14" t="n">
        <v>0.1</v>
      </c>
      <c r="H1277" s="14" t="n">
        <v>0.0539</v>
      </c>
      <c r="I1277" s="14" t="n">
        <v>0.0560939293679719</v>
      </c>
      <c r="J1277" s="14" t="n">
        <v>0.0499794232222417</v>
      </c>
      <c r="K1277" s="14" t="n">
        <v>0.0329433448660083</v>
      </c>
      <c r="L1277" s="14" t="n">
        <v>-0.00977110503767525</v>
      </c>
      <c r="M1277" s="14" t="n">
        <v>2.642</v>
      </c>
      <c r="N1277" s="14" t="n">
        <v>2.668</v>
      </c>
      <c r="O1277" s="14" t="n">
        <v>2.917</v>
      </c>
      <c r="P1277" s="14" t="n">
        <v>3.008</v>
      </c>
      <c r="Q1277" s="14" t="n">
        <v>0</v>
      </c>
      <c r="R1277" s="14" t="n">
        <v>0</v>
      </c>
      <c r="S1277" s="14" t="n">
        <v>2</v>
      </c>
    </row>
    <row r="1278" customFormat="false" ht="15" hidden="false" customHeight="false" outlineLevel="0" collapsed="false">
      <c r="A1278" s="13" t="n">
        <v>44099</v>
      </c>
      <c r="B1278" s="14" t="n">
        <v>0.08</v>
      </c>
      <c r="C1278" s="14" t="n">
        <v>0.25</v>
      </c>
      <c r="D1278" s="14" t="n">
        <v>0</v>
      </c>
      <c r="E1278" s="14" t="n">
        <v>-0.554</v>
      </c>
      <c r="F1278" s="14" t="n">
        <v>-0.5</v>
      </c>
      <c r="G1278" s="14" t="n">
        <v>0.1</v>
      </c>
      <c r="H1278" s="14" t="n">
        <v>0.0541</v>
      </c>
      <c r="I1278" s="14" t="n">
        <v>0.0561332625901961</v>
      </c>
      <c r="J1278" s="14" t="n">
        <v>0.0500900447952476</v>
      </c>
      <c r="K1278" s="14" t="n">
        <v>0.0324752162997529</v>
      </c>
      <c r="L1278" s="14" t="n">
        <v>-0.0109665604797633</v>
      </c>
      <c r="M1278" s="14" t="n">
        <v>2.655</v>
      </c>
      <c r="N1278" s="14" t="n">
        <v>2.668</v>
      </c>
      <c r="O1278" s="14" t="n">
        <v>2.915</v>
      </c>
      <c r="P1278" s="14" t="n">
        <v>3.009</v>
      </c>
      <c r="Q1278" s="14" t="n">
        <v>0</v>
      </c>
      <c r="R1278" s="14" t="n">
        <v>0</v>
      </c>
      <c r="S1278" s="14" t="n">
        <v>2</v>
      </c>
    </row>
    <row r="1279" customFormat="false" ht="15" hidden="false" customHeight="false" outlineLevel="0" collapsed="false">
      <c r="A1279" s="13" t="n">
        <v>44101</v>
      </c>
      <c r="C1279" s="14" t="n">
        <v>0.25</v>
      </c>
      <c r="D1279" s="14" t="n">
        <v>0</v>
      </c>
      <c r="F1279" s="14" t="n">
        <v>-0.5</v>
      </c>
      <c r="M1279" s="14" t="n">
        <v>2.657</v>
      </c>
      <c r="N1279" s="14" t="n">
        <v>2.671</v>
      </c>
      <c r="O1279" s="14" t="n">
        <v>2.915</v>
      </c>
      <c r="P1279" s="14" t="n">
        <v>3.009</v>
      </c>
      <c r="S1279" s="14" t="n">
        <v>2</v>
      </c>
    </row>
    <row r="1280" customFormat="false" ht="15" hidden="false" customHeight="false" outlineLevel="0" collapsed="false">
      <c r="A1280" s="13" t="n">
        <v>44102</v>
      </c>
      <c r="B1280" s="14" t="n">
        <v>0.08</v>
      </c>
      <c r="C1280" s="14" t="n">
        <v>0.25</v>
      </c>
      <c r="D1280" s="14" t="n">
        <v>0</v>
      </c>
      <c r="E1280" s="14" t="n">
        <v>-0.555</v>
      </c>
      <c r="F1280" s="14" t="n">
        <v>-0.5</v>
      </c>
      <c r="G1280" s="14" t="n">
        <v>0.1</v>
      </c>
      <c r="H1280" s="14" t="n">
        <v>0.0541</v>
      </c>
      <c r="I1280" s="14" t="n">
        <v>0.0519395933942611</v>
      </c>
      <c r="J1280" s="14" t="n">
        <v>0.0485558901702174</v>
      </c>
      <c r="K1280" s="14" t="n">
        <v>0.030073012054114</v>
      </c>
      <c r="L1280" s="14" t="n">
        <v>-0.0149598481656931</v>
      </c>
      <c r="M1280" s="14" t="n">
        <v>2.666</v>
      </c>
      <c r="N1280" s="14" t="n">
        <v>2.673</v>
      </c>
      <c r="O1280" s="14" t="n">
        <v>2.914</v>
      </c>
      <c r="P1280" s="14" t="n">
        <v>3.01</v>
      </c>
      <c r="Q1280" s="14" t="n">
        <v>0</v>
      </c>
      <c r="R1280" s="14" t="n">
        <v>0</v>
      </c>
      <c r="S1280" s="14" t="n">
        <v>2</v>
      </c>
    </row>
    <row r="1281" customFormat="false" ht="15" hidden="false" customHeight="false" outlineLevel="0" collapsed="false">
      <c r="A1281" s="13" t="n">
        <v>44103</v>
      </c>
      <c r="B1281" s="14" t="n">
        <v>0.07</v>
      </c>
      <c r="C1281" s="14" t="n">
        <v>0.25</v>
      </c>
      <c r="D1281" s="14" t="n">
        <v>0</v>
      </c>
      <c r="E1281" s="14" t="n">
        <v>-0.556</v>
      </c>
      <c r="F1281" s="14" t="n">
        <v>-0.5</v>
      </c>
      <c r="G1281" s="14" t="n">
        <v>0.1</v>
      </c>
      <c r="H1281" s="14" t="n">
        <v>0.0533</v>
      </c>
      <c r="I1281" s="14" t="n">
        <v>0.0560886352931599</v>
      </c>
      <c r="J1281" s="14" t="n">
        <v>0.0509892307906787</v>
      </c>
      <c r="K1281" s="14" t="n">
        <v>0.0331356370963469</v>
      </c>
      <c r="L1281" s="14" t="n">
        <v>-0.010551723182451</v>
      </c>
      <c r="M1281" s="14" t="n">
        <v>2.67</v>
      </c>
      <c r="N1281" s="14" t="n">
        <v>2.684</v>
      </c>
      <c r="O1281" s="14" t="n">
        <v>2.919</v>
      </c>
      <c r="P1281" s="14" t="n">
        <v>3.016</v>
      </c>
      <c r="Q1281" s="14" t="n">
        <v>0</v>
      </c>
      <c r="R1281" s="14" t="n">
        <v>0</v>
      </c>
      <c r="S1281" s="14" t="n">
        <v>2</v>
      </c>
    </row>
    <row r="1282" customFormat="false" ht="15" hidden="false" customHeight="false" outlineLevel="0" collapsed="false">
      <c r="A1282" s="13" t="n">
        <v>44104</v>
      </c>
      <c r="B1282" s="14" t="n">
        <v>0.08</v>
      </c>
      <c r="C1282" s="14" t="n">
        <v>0.25</v>
      </c>
      <c r="D1282" s="14" t="n">
        <v>0</v>
      </c>
      <c r="E1282" s="14" t="n">
        <v>-0.57</v>
      </c>
      <c r="F1282" s="14" t="n">
        <v>-0.5</v>
      </c>
      <c r="G1282" s="14" t="n">
        <v>0.1</v>
      </c>
      <c r="H1282" s="14" t="n">
        <v>0.0509</v>
      </c>
      <c r="I1282" s="14" t="n">
        <v>0.0562571347239984</v>
      </c>
      <c r="J1282" s="14" t="n">
        <v>0.0521017345920197</v>
      </c>
      <c r="K1282" s="14" t="n">
        <v>0.0358343602645996</v>
      </c>
      <c r="L1282" s="14" t="n">
        <v>-0.0052326518512068</v>
      </c>
      <c r="M1282" s="14" t="n">
        <v>2.68</v>
      </c>
      <c r="N1282" s="14" t="n">
        <v>2.691</v>
      </c>
      <c r="O1282" s="14" t="n">
        <v>2.919</v>
      </c>
      <c r="P1282" s="14" t="n">
        <v>3.021</v>
      </c>
      <c r="Q1282" s="14" t="n">
        <v>0</v>
      </c>
      <c r="R1282" s="14" t="n">
        <v>0</v>
      </c>
      <c r="S1282" s="14" t="n">
        <v>2</v>
      </c>
    </row>
    <row r="1283" customFormat="false" ht="15" hidden="false" customHeight="false" outlineLevel="0" collapsed="false">
      <c r="A1283" s="13" t="n">
        <v>44105</v>
      </c>
      <c r="B1283" s="14" t="n">
        <v>0.08</v>
      </c>
      <c r="C1283" s="14" t="n">
        <v>0.25</v>
      </c>
      <c r="D1283" s="14" t="n">
        <v>0</v>
      </c>
      <c r="E1283" s="14" t="n">
        <v>-0.558</v>
      </c>
      <c r="F1283" s="14" t="n">
        <v>-0.5</v>
      </c>
      <c r="G1283" s="14" t="n">
        <v>0.1</v>
      </c>
      <c r="H1283" s="14" t="n">
        <v>0.0538</v>
      </c>
      <c r="I1283" s="14" t="n">
        <v>0.0511618884082755</v>
      </c>
      <c r="J1283" s="14" t="n">
        <v>0.0512095782404746</v>
      </c>
      <c r="K1283" s="14" t="n">
        <v>0.0395291092691444</v>
      </c>
      <c r="L1283" s="14" t="n">
        <v>-0.00387245378772418</v>
      </c>
      <c r="Q1283" s="14" t="n">
        <v>0</v>
      </c>
      <c r="R1283" s="14" t="n">
        <v>0</v>
      </c>
      <c r="S1283" s="14" t="n">
        <v>2</v>
      </c>
    </row>
    <row r="1284" customFormat="false" ht="15" hidden="false" customHeight="false" outlineLevel="0" collapsed="false">
      <c r="A1284" s="13" t="n">
        <v>44106</v>
      </c>
      <c r="B1284" s="14" t="n">
        <v>0.1</v>
      </c>
      <c r="C1284" s="14" t="n">
        <v>0.25</v>
      </c>
      <c r="D1284" s="14" t="n">
        <v>0</v>
      </c>
      <c r="E1284" s="14" t="n">
        <v>-0.555</v>
      </c>
      <c r="F1284" s="14" t="n">
        <v>-0.5</v>
      </c>
      <c r="G1284" s="14" t="n">
        <v>0.1</v>
      </c>
      <c r="H1284" s="14" t="n">
        <v>0.0539</v>
      </c>
      <c r="I1284" s="14" t="n">
        <v>0.0559370284535324</v>
      </c>
      <c r="J1284" s="14" t="n">
        <v>0.0528325633652011</v>
      </c>
      <c r="K1284" s="14" t="n">
        <v>0.0402622601525559</v>
      </c>
      <c r="L1284" s="14" t="n">
        <v>0.00230645828263947</v>
      </c>
      <c r="Q1284" s="14" t="n">
        <v>0</v>
      </c>
      <c r="R1284" s="14" t="n">
        <v>0</v>
      </c>
      <c r="S1284" s="14" t="n">
        <v>2</v>
      </c>
    </row>
    <row r="1285" customFormat="false" ht="15" hidden="false" customHeight="false" outlineLevel="0" collapsed="false">
      <c r="A1285" s="13" t="n">
        <v>44109</v>
      </c>
      <c r="B1285" s="14" t="n">
        <v>0.09</v>
      </c>
      <c r="C1285" s="14" t="n">
        <v>0.25</v>
      </c>
      <c r="D1285" s="14" t="n">
        <v>0</v>
      </c>
      <c r="E1285" s="14" t="n">
        <v>-0.555</v>
      </c>
      <c r="F1285" s="14" t="n">
        <v>-0.5</v>
      </c>
      <c r="G1285" s="14" t="n">
        <v>0.1</v>
      </c>
      <c r="H1285" s="14" t="n">
        <v>0.0539</v>
      </c>
      <c r="I1285" s="14" t="n">
        <v>0.055039492358105</v>
      </c>
      <c r="J1285" s="14" t="n">
        <v>0.0515474218955658</v>
      </c>
      <c r="K1285" s="14" t="n">
        <v>0.0390785678737687</v>
      </c>
      <c r="L1285" s="14" t="n">
        <v>0.00270930469037544</v>
      </c>
      <c r="Q1285" s="14" t="n">
        <v>0</v>
      </c>
      <c r="R1285" s="14" t="n">
        <v>0</v>
      </c>
      <c r="S1285" s="14" t="n">
        <v>2</v>
      </c>
    </row>
    <row r="1286" customFormat="false" ht="15" hidden="false" customHeight="false" outlineLevel="0" collapsed="false">
      <c r="A1286" s="13" t="n">
        <v>44110</v>
      </c>
      <c r="B1286" s="14" t="n">
        <v>0.1</v>
      </c>
      <c r="C1286" s="14" t="n">
        <v>0.25</v>
      </c>
      <c r="D1286" s="14" t="n">
        <v>0</v>
      </c>
      <c r="E1286" s="14" t="n">
        <v>-0.556</v>
      </c>
      <c r="F1286" s="14" t="n">
        <v>-0.5</v>
      </c>
      <c r="G1286" s="14" t="n">
        <v>0.1</v>
      </c>
      <c r="H1286" s="14" t="n">
        <v>0.0537</v>
      </c>
      <c r="I1286" s="14" t="n">
        <v>0.0553000435037605</v>
      </c>
      <c r="J1286" s="14" t="n">
        <v>0.0516872923856026</v>
      </c>
      <c r="K1286" s="14" t="n">
        <v>0.0387573535818285</v>
      </c>
      <c r="L1286" s="14" t="n">
        <v>0.00301113468757244</v>
      </c>
      <c r="Q1286" s="14" t="n">
        <v>0</v>
      </c>
      <c r="R1286" s="14" t="n">
        <v>0</v>
      </c>
      <c r="S1286" s="14" t="n">
        <v>2</v>
      </c>
    </row>
    <row r="1287" customFormat="false" ht="15" hidden="false" customHeight="false" outlineLevel="0" collapsed="false">
      <c r="A1287" s="13" t="n">
        <v>44111</v>
      </c>
      <c r="B1287" s="14" t="n">
        <v>0.09</v>
      </c>
      <c r="C1287" s="14" t="n">
        <v>0.25</v>
      </c>
      <c r="D1287" s="14" t="n">
        <v>0</v>
      </c>
      <c r="E1287" s="14" t="n">
        <v>-0.555</v>
      </c>
      <c r="F1287" s="14" t="n">
        <v>-0.5</v>
      </c>
      <c r="G1287" s="14" t="n">
        <v>0.1</v>
      </c>
      <c r="H1287" s="14" t="n">
        <v>0.054</v>
      </c>
      <c r="I1287" s="14" t="n">
        <v>0.0550279360237837</v>
      </c>
      <c r="J1287" s="14" t="n">
        <v>0.051398932711122</v>
      </c>
      <c r="K1287" s="14" t="n">
        <v>0.038977165013946</v>
      </c>
      <c r="L1287" s="14" t="n">
        <v>0.00497324132033154</v>
      </c>
      <c r="Q1287" s="14" t="n">
        <v>0</v>
      </c>
      <c r="R1287" s="14" t="n">
        <v>0</v>
      </c>
      <c r="S1287" s="14" t="n">
        <v>2</v>
      </c>
    </row>
    <row r="1288" customFormat="false" ht="15" hidden="false" customHeight="false" outlineLevel="0" collapsed="false">
      <c r="A1288" s="13" t="n">
        <v>44112</v>
      </c>
      <c r="B1288" s="14" t="n">
        <v>0.08</v>
      </c>
      <c r="C1288" s="14" t="n">
        <v>0.25</v>
      </c>
      <c r="D1288" s="14" t="n">
        <v>0</v>
      </c>
      <c r="E1288" s="14" t="n">
        <v>-0.553</v>
      </c>
      <c r="F1288" s="14" t="n">
        <v>-0.5</v>
      </c>
      <c r="G1288" s="14" t="n">
        <v>0.1</v>
      </c>
      <c r="H1288" s="14" t="n">
        <v>0.0539</v>
      </c>
      <c r="I1288" s="14" t="n">
        <v>0.0517092412436881</v>
      </c>
      <c r="J1288" s="14" t="n">
        <v>0.0506769389986894</v>
      </c>
      <c r="K1288" s="14" t="n">
        <v>0.0392193590781839</v>
      </c>
      <c r="L1288" s="14" t="n">
        <v>0.00646875593567188</v>
      </c>
      <c r="Q1288" s="14" t="n">
        <v>0</v>
      </c>
      <c r="R1288" s="14" t="n">
        <v>0</v>
      </c>
      <c r="S1288" s="14" t="n">
        <v>2</v>
      </c>
    </row>
    <row r="1289" customFormat="false" ht="15" hidden="false" customHeight="false" outlineLevel="0" collapsed="false">
      <c r="A1289" s="13" t="n">
        <v>44113</v>
      </c>
      <c r="B1289" s="14" t="n">
        <v>0.09</v>
      </c>
      <c r="C1289" s="14" t="n">
        <v>0.25</v>
      </c>
      <c r="D1289" s="14" t="n">
        <v>0</v>
      </c>
      <c r="E1289" s="14" t="n">
        <v>-0.553</v>
      </c>
      <c r="F1289" s="14" t="n">
        <v>-0.5</v>
      </c>
      <c r="G1289" s="14" t="n">
        <v>0.1</v>
      </c>
      <c r="H1289" s="14" t="n">
        <v>0.0538</v>
      </c>
      <c r="I1289" s="14" t="n">
        <v>0.0551115286213032</v>
      </c>
      <c r="J1289" s="14" t="n">
        <v>0.0514110190072342</v>
      </c>
      <c r="K1289" s="14" t="n">
        <v>0.0372066985369744</v>
      </c>
      <c r="L1289" s="14" t="n">
        <v>0.000435568053908323</v>
      </c>
      <c r="M1289" s="14" t="n">
        <v>2.668</v>
      </c>
      <c r="N1289" s="14" t="n">
        <v>2.708</v>
      </c>
      <c r="O1289" s="14" t="n">
        <v>2.918</v>
      </c>
      <c r="P1289" s="14" t="n">
        <v>3.024</v>
      </c>
      <c r="Q1289" s="14" t="n">
        <v>0</v>
      </c>
      <c r="R1289" s="14" t="n">
        <v>0</v>
      </c>
      <c r="S1289" s="14" t="n">
        <v>2</v>
      </c>
    </row>
    <row r="1290" customFormat="false" ht="15" hidden="false" customHeight="false" outlineLevel="0" collapsed="false">
      <c r="A1290" s="13" t="n">
        <v>44114</v>
      </c>
      <c r="C1290" s="14" t="n">
        <v>0.25</v>
      </c>
      <c r="D1290" s="14" t="n">
        <v>0</v>
      </c>
      <c r="F1290" s="14" t="n">
        <v>-0.5</v>
      </c>
      <c r="M1290" s="14" t="n">
        <v>2.649</v>
      </c>
      <c r="N1290" s="14" t="n">
        <v>2.715</v>
      </c>
      <c r="O1290" s="14" t="n">
        <v>2.919</v>
      </c>
      <c r="P1290" s="14" t="n">
        <v>3.028</v>
      </c>
      <c r="S1290" s="14" t="n">
        <v>2</v>
      </c>
    </row>
    <row r="1291" customFormat="false" ht="15" hidden="false" customHeight="false" outlineLevel="0" collapsed="false">
      <c r="A1291" s="13" t="n">
        <v>44116</v>
      </c>
      <c r="C1291" s="14" t="n">
        <v>0.25</v>
      </c>
      <c r="D1291" s="14" t="n">
        <v>0</v>
      </c>
      <c r="E1291" s="14" t="n">
        <v>-0.556</v>
      </c>
      <c r="F1291" s="14" t="n">
        <v>-0.5</v>
      </c>
      <c r="G1291" s="14" t="n">
        <v>0.1</v>
      </c>
      <c r="H1291" s="14" t="n">
        <v>0.0542</v>
      </c>
      <c r="I1291" s="14" t="n">
        <v>0.0544263913250506</v>
      </c>
      <c r="J1291" s="14" t="n">
        <v>0.0503732623366801</v>
      </c>
      <c r="K1291" s="14" t="n">
        <v>0.0361056021465102</v>
      </c>
      <c r="L1291" s="14" t="n">
        <v>-0.00251865716235447</v>
      </c>
      <c r="M1291" s="14" t="n">
        <v>2.635</v>
      </c>
      <c r="N1291" s="14" t="n">
        <v>2.722</v>
      </c>
      <c r="O1291" s="14" t="n">
        <v>2.921</v>
      </c>
      <c r="P1291" s="14" t="n">
        <v>3.031</v>
      </c>
      <c r="Q1291" s="14" t="n">
        <v>0</v>
      </c>
      <c r="R1291" s="14" t="n">
        <v>0</v>
      </c>
      <c r="S1291" s="14" t="n">
        <v>2</v>
      </c>
    </row>
    <row r="1292" customFormat="false" ht="15" hidden="false" customHeight="false" outlineLevel="0" collapsed="false">
      <c r="A1292" s="13" t="n">
        <v>44117</v>
      </c>
      <c r="B1292" s="14" t="n">
        <v>0.09</v>
      </c>
      <c r="C1292" s="14" t="n">
        <v>0.25</v>
      </c>
      <c r="D1292" s="14" t="n">
        <v>0</v>
      </c>
      <c r="E1292" s="14" t="n">
        <v>-0.555</v>
      </c>
      <c r="F1292" s="14" t="n">
        <v>-0.5</v>
      </c>
      <c r="G1292" s="14" t="n">
        <v>0.1</v>
      </c>
      <c r="H1292" s="14" t="n">
        <v>0.0531</v>
      </c>
      <c r="I1292" s="14" t="n">
        <v>0.0544892681793054</v>
      </c>
      <c r="J1292" s="14" t="n">
        <v>0.0492778691150075</v>
      </c>
      <c r="K1292" s="14" t="n">
        <v>0.0340975373252156</v>
      </c>
      <c r="L1292" s="14" t="n">
        <v>-0.00555848097529854</v>
      </c>
      <c r="M1292" s="14" t="n">
        <v>2.636</v>
      </c>
      <c r="N1292" s="14" t="n">
        <v>2.734</v>
      </c>
      <c r="O1292" s="14" t="n">
        <v>2.926</v>
      </c>
      <c r="P1292" s="14" t="n">
        <v>3.039</v>
      </c>
      <c r="Q1292" s="14" t="n">
        <v>0</v>
      </c>
      <c r="R1292" s="14" t="n">
        <v>0</v>
      </c>
      <c r="S1292" s="14" t="n">
        <v>2</v>
      </c>
    </row>
    <row r="1293" customFormat="false" ht="15" hidden="false" customHeight="false" outlineLevel="0" collapsed="false">
      <c r="A1293" s="13" t="n">
        <v>44118</v>
      </c>
      <c r="B1293" s="14" t="n">
        <v>0.09</v>
      </c>
      <c r="C1293" s="14" t="n">
        <v>0.25</v>
      </c>
      <c r="D1293" s="14" t="n">
        <v>0</v>
      </c>
      <c r="E1293" s="14" t="n">
        <v>-0.556</v>
      </c>
      <c r="F1293" s="14" t="n">
        <v>-0.5</v>
      </c>
      <c r="G1293" s="14" t="n">
        <v>0.1</v>
      </c>
      <c r="H1293" s="14" t="n">
        <v>0.0538</v>
      </c>
      <c r="I1293" s="14" t="n">
        <v>0.0545963087787935</v>
      </c>
      <c r="J1293" s="14" t="n">
        <v>0.0490396091427249</v>
      </c>
      <c r="K1293" s="14" t="n">
        <v>0.0332636572635458</v>
      </c>
      <c r="L1293" s="14" t="n">
        <v>-0.00586075966445225</v>
      </c>
      <c r="M1293" s="14" t="n">
        <v>2.637</v>
      </c>
      <c r="N1293" s="14" t="n">
        <v>2.757</v>
      </c>
      <c r="O1293" s="14" t="n">
        <v>2.935</v>
      </c>
      <c r="P1293" s="14" t="n">
        <v>3.045</v>
      </c>
      <c r="Q1293" s="14" t="n">
        <v>0</v>
      </c>
      <c r="R1293" s="14" t="n">
        <v>0</v>
      </c>
      <c r="S1293" s="14" t="n">
        <v>2</v>
      </c>
    </row>
    <row r="1294" customFormat="false" ht="15" hidden="false" customHeight="false" outlineLevel="0" collapsed="false">
      <c r="A1294" s="13" t="n">
        <v>44119</v>
      </c>
      <c r="B1294" s="14" t="n">
        <v>0.1</v>
      </c>
      <c r="C1294" s="14" t="n">
        <v>0.25</v>
      </c>
      <c r="D1294" s="14" t="n">
        <v>0</v>
      </c>
      <c r="E1294" s="14" t="n">
        <v>-0.556</v>
      </c>
      <c r="F1294" s="14" t="n">
        <v>-0.5</v>
      </c>
      <c r="G1294" s="14" t="n">
        <v>0.1</v>
      </c>
      <c r="H1294" s="14" t="n">
        <v>0.0534</v>
      </c>
      <c r="I1294" s="14" t="n">
        <v>0.0547575382951893</v>
      </c>
      <c r="J1294" s="14" t="n">
        <v>0.0492928879938561</v>
      </c>
      <c r="K1294" s="14" t="n">
        <v>0.0311054519581787</v>
      </c>
      <c r="L1294" s="14" t="n">
        <v>-0.0123864992742356</v>
      </c>
      <c r="M1294" s="14" t="n">
        <v>2.633</v>
      </c>
      <c r="N1294" s="14" t="n">
        <v>2.774</v>
      </c>
      <c r="O1294" s="14" t="n">
        <v>2.944</v>
      </c>
      <c r="P1294" s="14" t="n">
        <v>3.057</v>
      </c>
      <c r="Q1294" s="14" t="n">
        <v>0</v>
      </c>
      <c r="R1294" s="14" t="n">
        <v>0</v>
      </c>
      <c r="S1294" s="14" t="n">
        <v>2</v>
      </c>
    </row>
    <row r="1295" customFormat="false" ht="15" hidden="false" customHeight="false" outlineLevel="0" collapsed="false">
      <c r="A1295" s="13" t="n">
        <v>44120</v>
      </c>
      <c r="B1295" s="14" t="n">
        <v>0.09</v>
      </c>
      <c r="C1295" s="14" t="n">
        <v>0.25</v>
      </c>
      <c r="D1295" s="14" t="n">
        <v>0</v>
      </c>
      <c r="E1295" s="14" t="n">
        <v>-0.553</v>
      </c>
      <c r="F1295" s="14" t="n">
        <v>-0.5</v>
      </c>
      <c r="G1295" s="14" t="n">
        <v>0.1</v>
      </c>
      <c r="H1295" s="14" t="n">
        <v>0.0533</v>
      </c>
      <c r="I1295" s="14" t="n">
        <v>0.0525156427778669</v>
      </c>
      <c r="J1295" s="14" t="n">
        <v>0.0482228638984681</v>
      </c>
      <c r="K1295" s="14" t="n">
        <v>0.0295030779846154</v>
      </c>
      <c r="L1295" s="14" t="n">
        <v>-0.01600311908395</v>
      </c>
      <c r="M1295" s="14" t="n">
        <v>2.632</v>
      </c>
      <c r="N1295" s="14" t="n">
        <v>2.786</v>
      </c>
      <c r="O1295" s="14" t="n">
        <v>2.947</v>
      </c>
      <c r="P1295" s="14" t="n">
        <v>3.066</v>
      </c>
      <c r="Q1295" s="14" t="n">
        <v>0</v>
      </c>
      <c r="R1295" s="14" t="n">
        <v>0</v>
      </c>
      <c r="S1295" s="14" t="n">
        <v>2</v>
      </c>
    </row>
    <row r="1296" customFormat="false" ht="15" hidden="false" customHeight="false" outlineLevel="0" collapsed="false">
      <c r="A1296" s="13" t="n">
        <v>44123</v>
      </c>
      <c r="B1296" s="14" t="n">
        <v>0.09</v>
      </c>
      <c r="C1296" s="14" t="n">
        <v>0.25</v>
      </c>
      <c r="D1296" s="14" t="n">
        <v>0</v>
      </c>
      <c r="E1296" s="14" t="n">
        <v>-0.553</v>
      </c>
      <c r="F1296" s="14" t="n">
        <v>-0.5</v>
      </c>
      <c r="G1296" s="14" t="n">
        <v>0.1</v>
      </c>
      <c r="H1296" s="14" t="n">
        <v>0.0535</v>
      </c>
      <c r="I1296" s="14" t="n">
        <v>0.0551848060608537</v>
      </c>
      <c r="J1296" s="14" t="n">
        <v>0.0486359595196146</v>
      </c>
      <c r="K1296" s="14" t="n">
        <v>0.028837574217366</v>
      </c>
      <c r="L1296" s="14" t="n">
        <v>-0.0155962584985476</v>
      </c>
      <c r="M1296" s="14" t="n">
        <v>2.634</v>
      </c>
      <c r="N1296" s="14" t="n">
        <v>2.803</v>
      </c>
      <c r="O1296" s="14" t="n">
        <v>2.95</v>
      </c>
      <c r="P1296" s="14" t="n">
        <v>3.074</v>
      </c>
      <c r="Q1296" s="14" t="n">
        <v>0</v>
      </c>
      <c r="R1296" s="14" t="n">
        <v>0</v>
      </c>
      <c r="S1296" s="14" t="n">
        <v>2</v>
      </c>
    </row>
    <row r="1297" customFormat="false" ht="15" hidden="false" customHeight="false" outlineLevel="0" collapsed="false">
      <c r="A1297" s="13" t="n">
        <v>44124</v>
      </c>
      <c r="B1297" s="14" t="n">
        <v>0.08</v>
      </c>
      <c r="C1297" s="14" t="n">
        <v>0.25</v>
      </c>
      <c r="D1297" s="14" t="n">
        <v>0</v>
      </c>
      <c r="E1297" s="14" t="n">
        <v>-0.553</v>
      </c>
      <c r="F1297" s="14" t="n">
        <v>-0.5</v>
      </c>
      <c r="G1297" s="14" t="n">
        <v>0.1</v>
      </c>
      <c r="H1297" s="14" t="n">
        <v>0.0533</v>
      </c>
      <c r="I1297" s="14" t="n">
        <v>0.0536654531306775</v>
      </c>
      <c r="J1297" s="14" t="n">
        <v>0.0467325020819111</v>
      </c>
      <c r="K1297" s="14" t="n">
        <v>0.025829659624553</v>
      </c>
      <c r="L1297" s="14" t="n">
        <v>-0.0194283778695052</v>
      </c>
      <c r="M1297" s="14" t="n">
        <v>2.635</v>
      </c>
      <c r="N1297" s="14" t="n">
        <v>2.829</v>
      </c>
      <c r="O1297" s="14" t="n">
        <v>2.959</v>
      </c>
      <c r="P1297" s="14" t="n">
        <v>3.081</v>
      </c>
      <c r="Q1297" s="14" t="n">
        <v>0</v>
      </c>
      <c r="R1297" s="14" t="n">
        <v>0</v>
      </c>
      <c r="S1297" s="14" t="n">
        <v>2</v>
      </c>
    </row>
    <row r="1298" customFormat="false" ht="15" hidden="false" customHeight="false" outlineLevel="0" collapsed="false">
      <c r="A1298" s="13" t="n">
        <v>44125</v>
      </c>
      <c r="B1298" s="14" t="n">
        <v>0.07</v>
      </c>
      <c r="C1298" s="14" t="n">
        <v>0.25</v>
      </c>
      <c r="D1298" s="14" t="n">
        <v>0</v>
      </c>
      <c r="E1298" s="14" t="n">
        <v>-0.552</v>
      </c>
      <c r="F1298" s="14" t="n">
        <v>-0.5</v>
      </c>
      <c r="G1298" s="14" t="n">
        <v>0.1</v>
      </c>
      <c r="H1298" s="14" t="n">
        <v>0.0536</v>
      </c>
      <c r="I1298" s="14" t="n">
        <v>0.0533246983229811</v>
      </c>
      <c r="J1298" s="14" t="n">
        <v>0.047950741090708</v>
      </c>
      <c r="K1298" s="14" t="n">
        <v>0.0308995310033156</v>
      </c>
      <c r="L1298" s="14" t="n">
        <v>-0.00874995618238427</v>
      </c>
      <c r="M1298" s="14" t="n">
        <v>2.645</v>
      </c>
      <c r="N1298" s="14" t="n">
        <v>2.855</v>
      </c>
      <c r="O1298" s="14" t="n">
        <v>2.973</v>
      </c>
      <c r="P1298" s="14" t="n">
        <v>3.09</v>
      </c>
      <c r="Q1298" s="14" t="n">
        <v>0</v>
      </c>
      <c r="R1298" s="14" t="n">
        <v>0</v>
      </c>
      <c r="S1298" s="14" t="n">
        <v>2</v>
      </c>
    </row>
    <row r="1299" customFormat="false" ht="15" hidden="false" customHeight="false" outlineLevel="0" collapsed="false">
      <c r="A1299" s="13" t="n">
        <v>44126</v>
      </c>
      <c r="B1299" s="14" t="n">
        <v>0.07</v>
      </c>
      <c r="C1299" s="14" t="n">
        <v>0.25</v>
      </c>
      <c r="D1299" s="14" t="n">
        <v>0</v>
      </c>
      <c r="E1299" s="14" t="n">
        <v>-0.554</v>
      </c>
      <c r="F1299" s="14" t="n">
        <v>-0.5</v>
      </c>
      <c r="G1299" s="14" t="n">
        <v>0.1</v>
      </c>
      <c r="H1299" s="14" t="n">
        <v>0.0543</v>
      </c>
      <c r="I1299" s="14" t="n">
        <v>0.0537407386833825</v>
      </c>
      <c r="J1299" s="14" t="n">
        <v>0.048820079376792</v>
      </c>
      <c r="K1299" s="14" t="n">
        <v>0.0318768406649771</v>
      </c>
      <c r="L1299" s="14" t="n">
        <v>-0.00543349480908529</v>
      </c>
      <c r="M1299" s="14" t="n">
        <v>2.649</v>
      </c>
      <c r="N1299" s="14" t="n">
        <v>2.877</v>
      </c>
      <c r="O1299" s="14" t="n">
        <v>2.986</v>
      </c>
      <c r="P1299" s="14" t="n">
        <v>3.101</v>
      </c>
      <c r="Q1299" s="14" t="n">
        <v>0</v>
      </c>
      <c r="R1299" s="14" t="n">
        <v>0</v>
      </c>
      <c r="S1299" s="14" t="n">
        <v>2</v>
      </c>
    </row>
    <row r="1300" customFormat="false" ht="15" hidden="false" customHeight="false" outlineLevel="0" collapsed="false">
      <c r="A1300" s="13" t="n">
        <v>44127</v>
      </c>
      <c r="B1300" s="14" t="n">
        <v>0.08</v>
      </c>
      <c r="C1300" s="14" t="n">
        <v>0.25</v>
      </c>
      <c r="D1300" s="14" t="n">
        <v>0</v>
      </c>
      <c r="E1300" s="14" t="n">
        <v>-0.553</v>
      </c>
      <c r="F1300" s="14" t="n">
        <v>-0.5</v>
      </c>
      <c r="G1300" s="14" t="n">
        <v>0.1</v>
      </c>
      <c r="H1300" s="14" t="n">
        <v>0.0538</v>
      </c>
      <c r="I1300" s="14" t="n">
        <v>0.0485125447150463</v>
      </c>
      <c r="J1300" s="14" t="n">
        <v>0.0470591046116956</v>
      </c>
      <c r="K1300" s="14" t="n">
        <v>0.0375988372361188</v>
      </c>
      <c r="L1300" s="14" t="n">
        <v>-0.00276163655690015</v>
      </c>
      <c r="M1300" s="14" t="n">
        <v>2.653</v>
      </c>
      <c r="N1300" s="14" t="n">
        <v>2.895</v>
      </c>
      <c r="O1300" s="14" t="n">
        <v>2.999</v>
      </c>
      <c r="P1300" s="14" t="n">
        <v>3.116</v>
      </c>
      <c r="Q1300" s="14" t="n">
        <v>0</v>
      </c>
      <c r="R1300" s="14" t="n">
        <v>0</v>
      </c>
      <c r="S1300" s="14" t="n">
        <v>2</v>
      </c>
    </row>
    <row r="1301" customFormat="false" ht="15" hidden="false" customHeight="false" outlineLevel="0" collapsed="false">
      <c r="A1301" s="13" t="n">
        <v>44130</v>
      </c>
      <c r="B1301" s="14" t="n">
        <v>0.09</v>
      </c>
      <c r="C1301" s="14" t="n">
        <v>0.25</v>
      </c>
      <c r="D1301" s="14" t="n">
        <v>0</v>
      </c>
      <c r="E1301" s="14" t="n">
        <v>-0.552</v>
      </c>
      <c r="F1301" s="14" t="n">
        <v>-0.5</v>
      </c>
      <c r="G1301" s="14" t="n">
        <v>0.1</v>
      </c>
      <c r="H1301" s="14" t="n">
        <v>0.0541</v>
      </c>
      <c r="I1301" s="14" t="n">
        <v>0.052640925770048</v>
      </c>
      <c r="J1301" s="14" t="n">
        <v>0.0489902628057217</v>
      </c>
      <c r="K1301" s="14" t="n">
        <v>0.0335301066724992</v>
      </c>
      <c r="L1301" s="14" t="n">
        <v>-0.00364383331572035</v>
      </c>
      <c r="M1301" s="14" t="n">
        <v>2.658</v>
      </c>
      <c r="N1301" s="14" t="n">
        <v>2.913</v>
      </c>
      <c r="O1301" s="14" t="n">
        <v>3.005</v>
      </c>
      <c r="P1301" s="14" t="n">
        <v>3.131</v>
      </c>
      <c r="Q1301" s="14" t="n">
        <v>0</v>
      </c>
      <c r="R1301" s="14" t="n">
        <v>0</v>
      </c>
      <c r="S1301" s="14" t="n">
        <v>2</v>
      </c>
    </row>
    <row r="1302" customFormat="false" ht="15" hidden="false" customHeight="false" outlineLevel="0" collapsed="false">
      <c r="A1302" s="13" t="n">
        <v>44131</v>
      </c>
      <c r="B1302" s="14" t="n">
        <v>0.09</v>
      </c>
      <c r="C1302" s="14" t="n">
        <v>0.25</v>
      </c>
      <c r="D1302" s="14" t="n">
        <v>0</v>
      </c>
      <c r="E1302" s="14" t="n">
        <v>-0.554</v>
      </c>
      <c r="F1302" s="14" t="n">
        <v>-0.5</v>
      </c>
      <c r="G1302" s="14" t="n">
        <v>0.1</v>
      </c>
      <c r="H1302" s="14" t="n">
        <v>0.0542</v>
      </c>
      <c r="I1302" s="14" t="n">
        <v>0.0520404161281809</v>
      </c>
      <c r="J1302" s="14" t="n">
        <v>0.0475710660452501</v>
      </c>
      <c r="K1302" s="14" t="n">
        <v>0.0311796544813985</v>
      </c>
      <c r="L1302" s="14" t="n">
        <v>-0.00636444640737431</v>
      </c>
      <c r="M1302" s="14" t="n">
        <v>2.668</v>
      </c>
      <c r="N1302" s="14" t="n">
        <v>2.933</v>
      </c>
      <c r="O1302" s="14" t="n">
        <v>3.014</v>
      </c>
      <c r="P1302" s="14" t="n">
        <v>3.146</v>
      </c>
      <c r="Q1302" s="14" t="n">
        <v>0</v>
      </c>
      <c r="R1302" s="14" t="n">
        <v>0</v>
      </c>
      <c r="S1302" s="14" t="n">
        <v>2</v>
      </c>
    </row>
    <row r="1303" customFormat="false" ht="15" hidden="false" customHeight="false" outlineLevel="0" collapsed="false">
      <c r="A1303" s="13" t="n">
        <v>44132</v>
      </c>
      <c r="B1303" s="14" t="n">
        <v>0.08</v>
      </c>
      <c r="C1303" s="14" t="n">
        <v>0.25</v>
      </c>
      <c r="D1303" s="14" t="n">
        <v>0</v>
      </c>
      <c r="E1303" s="14" t="n">
        <v>-0.555</v>
      </c>
      <c r="F1303" s="14" t="n">
        <v>-0.5</v>
      </c>
      <c r="G1303" s="14" t="n">
        <v>0.1</v>
      </c>
      <c r="H1303" s="14" t="n">
        <v>0.054</v>
      </c>
      <c r="I1303" s="14" t="n">
        <v>0.0532623774603194</v>
      </c>
      <c r="J1303" s="14" t="n">
        <v>0.0474642883091774</v>
      </c>
      <c r="K1303" s="14" t="n">
        <v>0.02887695647355</v>
      </c>
      <c r="L1303" s="14" t="n">
        <v>-0.00866266075327376</v>
      </c>
      <c r="M1303" s="14" t="n">
        <v>2.686</v>
      </c>
      <c r="N1303" s="14" t="n">
        <v>2.952</v>
      </c>
      <c r="O1303" s="14" t="n">
        <v>3.027</v>
      </c>
      <c r="P1303" s="14" t="n">
        <v>3.157</v>
      </c>
      <c r="Q1303" s="14" t="n">
        <v>0</v>
      </c>
      <c r="R1303" s="14" t="n">
        <v>0</v>
      </c>
      <c r="S1303" s="14" t="n">
        <v>2</v>
      </c>
    </row>
    <row r="1304" customFormat="false" ht="15" hidden="false" customHeight="false" outlineLevel="0" collapsed="false">
      <c r="A1304" s="13" t="n">
        <v>44133</v>
      </c>
      <c r="B1304" s="14" t="n">
        <v>0.09</v>
      </c>
      <c r="C1304" s="14" t="n">
        <v>0.25</v>
      </c>
      <c r="D1304" s="14" t="n">
        <v>0</v>
      </c>
      <c r="E1304" s="14" t="n">
        <v>-0.552</v>
      </c>
      <c r="F1304" s="14" t="n">
        <v>-0.5</v>
      </c>
      <c r="G1304" s="14" t="n">
        <v>0.1</v>
      </c>
      <c r="H1304" s="14" t="n">
        <v>0.0543</v>
      </c>
      <c r="I1304" s="14" t="n">
        <v>0.0507847790261851</v>
      </c>
      <c r="J1304" s="14" t="n">
        <v>0.044831218578724</v>
      </c>
      <c r="K1304" s="14" t="n">
        <v>0.0277877526369553</v>
      </c>
      <c r="L1304" s="14" t="n">
        <v>-0.0109042753419576</v>
      </c>
      <c r="M1304" s="14" t="n">
        <v>2.69</v>
      </c>
      <c r="N1304" s="14" t="n">
        <v>2.96</v>
      </c>
      <c r="O1304" s="14" t="n">
        <v>3.035</v>
      </c>
      <c r="P1304" s="14" t="n">
        <v>3.167</v>
      </c>
      <c r="Q1304" s="14" t="n">
        <v>0</v>
      </c>
      <c r="R1304" s="14" t="n">
        <v>0</v>
      </c>
      <c r="S1304" s="14" t="n">
        <v>2</v>
      </c>
    </row>
    <row r="1305" customFormat="false" ht="15" hidden="false" customHeight="false" outlineLevel="0" collapsed="false">
      <c r="A1305" s="13" t="n">
        <v>44134</v>
      </c>
      <c r="B1305" s="14" t="n">
        <v>0.09</v>
      </c>
      <c r="C1305" s="14" t="n">
        <v>0.25</v>
      </c>
      <c r="D1305" s="14" t="n">
        <v>0</v>
      </c>
      <c r="E1305" s="14" t="n">
        <v>-0.557</v>
      </c>
      <c r="F1305" s="14" t="n">
        <v>-0.5</v>
      </c>
      <c r="G1305" s="14" t="n">
        <v>0.1</v>
      </c>
      <c r="H1305" s="14" t="n">
        <v>0.0547</v>
      </c>
      <c r="I1305" s="14" t="n">
        <v>0.0522108467728538</v>
      </c>
      <c r="J1305" s="14" t="n">
        <v>0.0464716745276648</v>
      </c>
      <c r="K1305" s="14" t="n">
        <v>0.0283415798290071</v>
      </c>
      <c r="L1305" s="14" t="n">
        <v>-0.00585771816395928</v>
      </c>
      <c r="M1305" s="14" t="n">
        <v>2.689</v>
      </c>
      <c r="N1305" s="14" t="n">
        <v>2.972</v>
      </c>
      <c r="O1305" s="14" t="n">
        <v>3.044</v>
      </c>
      <c r="P1305" s="14" t="n">
        <v>3.18</v>
      </c>
      <c r="Q1305" s="14" t="n">
        <v>0</v>
      </c>
      <c r="R1305" s="14" t="n">
        <v>0</v>
      </c>
      <c r="S1305" s="14" t="n">
        <v>2</v>
      </c>
    </row>
    <row r="1306" customFormat="false" ht="15" hidden="false" customHeight="false" outlineLevel="0" collapsed="false">
      <c r="A1306" s="13" t="n">
        <v>44137</v>
      </c>
      <c r="B1306" s="14" t="n">
        <v>0.11</v>
      </c>
      <c r="C1306" s="14" t="n">
        <v>0.25</v>
      </c>
      <c r="D1306" s="14" t="n">
        <v>0</v>
      </c>
      <c r="E1306" s="14" t="n">
        <v>-0.555</v>
      </c>
      <c r="F1306" s="14" t="n">
        <v>-0.5</v>
      </c>
      <c r="G1306" s="14" t="n">
        <v>0.1</v>
      </c>
      <c r="H1306" s="14" t="n">
        <v>0.0539</v>
      </c>
      <c r="I1306" s="14" t="n">
        <v>0.0516967587325292</v>
      </c>
      <c r="J1306" s="14" t="n">
        <v>0.0414215055572702</v>
      </c>
      <c r="K1306" s="14" t="n">
        <v>0.0186658094423759</v>
      </c>
      <c r="L1306" s="14" t="n">
        <v>-0.0196715162838876</v>
      </c>
      <c r="M1306" s="14" t="n">
        <v>2.687</v>
      </c>
      <c r="N1306" s="14" t="n">
        <v>2.982</v>
      </c>
      <c r="O1306" s="14" t="n">
        <v>3.048</v>
      </c>
      <c r="P1306" s="14" t="n">
        <v>3.187</v>
      </c>
      <c r="Q1306" s="14" t="n">
        <v>0</v>
      </c>
      <c r="R1306" s="14" t="n">
        <v>0</v>
      </c>
      <c r="S1306" s="14" t="n">
        <v>2</v>
      </c>
    </row>
    <row r="1307" customFormat="false" ht="15" hidden="false" customHeight="false" outlineLevel="0" collapsed="false">
      <c r="A1307" s="13" t="n">
        <v>44138</v>
      </c>
      <c r="B1307" s="14" t="n">
        <v>0.1</v>
      </c>
      <c r="C1307" s="14" t="n">
        <v>0.25</v>
      </c>
      <c r="D1307" s="14" t="n">
        <v>0</v>
      </c>
      <c r="E1307" s="14" t="n">
        <v>-0.553</v>
      </c>
      <c r="F1307" s="14" t="n">
        <v>-0.5</v>
      </c>
      <c r="G1307" s="14" t="n">
        <v>0.1</v>
      </c>
      <c r="H1307" s="14" t="n">
        <v>0.0533</v>
      </c>
      <c r="I1307" s="14" t="n">
        <v>0.0535029259132077</v>
      </c>
      <c r="J1307" s="14" t="n">
        <v>0.0431855103509642</v>
      </c>
      <c r="K1307" s="14" t="n">
        <v>0.0209092141691625</v>
      </c>
      <c r="L1307" s="14" t="n">
        <v>-0.0153955645935926</v>
      </c>
      <c r="M1307" s="14" t="n">
        <v>2.643</v>
      </c>
      <c r="N1307" s="14" t="n">
        <v>2.989</v>
      </c>
      <c r="O1307" s="14" t="n">
        <v>3.05</v>
      </c>
      <c r="P1307" s="14" t="n">
        <v>3.192</v>
      </c>
      <c r="Q1307" s="14" t="n">
        <v>0</v>
      </c>
      <c r="R1307" s="14" t="n">
        <v>0</v>
      </c>
      <c r="S1307" s="14" t="n">
        <v>2</v>
      </c>
    </row>
    <row r="1308" customFormat="false" ht="15" hidden="false" customHeight="false" outlineLevel="0" collapsed="false">
      <c r="A1308" s="13" t="n">
        <v>44139</v>
      </c>
      <c r="B1308" s="14" t="n">
        <v>0.1</v>
      </c>
      <c r="C1308" s="14" t="n">
        <v>0.25</v>
      </c>
      <c r="D1308" s="14" t="n">
        <v>0</v>
      </c>
      <c r="E1308" s="14" t="n">
        <v>-0.558</v>
      </c>
      <c r="F1308" s="14" t="n">
        <v>-0.5</v>
      </c>
      <c r="G1308" s="14" t="n">
        <v>0.1</v>
      </c>
      <c r="H1308" s="14" t="n">
        <v>0.0537</v>
      </c>
      <c r="I1308" s="14" t="n">
        <v>0.0513606836239651</v>
      </c>
      <c r="J1308" s="14" t="n">
        <v>0.0419244935815973</v>
      </c>
      <c r="K1308" s="14" t="n">
        <v>0.0211678743802065</v>
      </c>
      <c r="L1308" s="14" t="n">
        <v>-0.0163857570412114</v>
      </c>
      <c r="M1308" s="14" t="n">
        <v>2.643</v>
      </c>
      <c r="N1308" s="14" t="n">
        <v>2.993</v>
      </c>
      <c r="O1308" s="14" t="n">
        <v>3.052</v>
      </c>
      <c r="P1308" s="14" t="n">
        <v>3.194</v>
      </c>
      <c r="Q1308" s="14" t="n">
        <v>0</v>
      </c>
      <c r="R1308" s="14" t="n">
        <v>0</v>
      </c>
      <c r="S1308" s="14" t="n">
        <v>2</v>
      </c>
    </row>
    <row r="1309" customFormat="false" ht="15" hidden="false" customHeight="false" outlineLevel="0" collapsed="false">
      <c r="A1309" s="13" t="n">
        <v>44140</v>
      </c>
      <c r="B1309" s="14" t="n">
        <v>0.11</v>
      </c>
      <c r="C1309" s="14" t="n">
        <v>0.25</v>
      </c>
      <c r="D1309" s="14" t="n">
        <v>0</v>
      </c>
      <c r="E1309" s="14" t="n">
        <v>-0.556</v>
      </c>
      <c r="F1309" s="14" t="n">
        <v>-0.5</v>
      </c>
      <c r="G1309" s="14" t="n">
        <v>0.1</v>
      </c>
      <c r="H1309" s="14" t="n">
        <v>0.0533</v>
      </c>
      <c r="I1309" s="14" t="n">
        <v>0.0539224637254752</v>
      </c>
      <c r="J1309" s="14" t="n">
        <v>0.0467136975426405</v>
      </c>
      <c r="K1309" s="14" t="n">
        <v>0.0278807697941185</v>
      </c>
      <c r="L1309" s="14" t="n">
        <v>-0.00784705186640248</v>
      </c>
      <c r="M1309" s="14" t="n">
        <v>2.633</v>
      </c>
      <c r="N1309" s="14" t="n">
        <v>2.996</v>
      </c>
      <c r="O1309" s="14" t="n">
        <v>3.052</v>
      </c>
      <c r="P1309" s="14" t="n">
        <v>3.196</v>
      </c>
      <c r="Q1309" s="14" t="n">
        <v>0</v>
      </c>
      <c r="R1309" s="14" t="n">
        <v>0</v>
      </c>
      <c r="S1309" s="14" t="n">
        <v>2</v>
      </c>
    </row>
    <row r="1310" customFormat="false" ht="15" hidden="false" customHeight="false" outlineLevel="0" collapsed="false">
      <c r="A1310" s="13" t="n">
        <v>44141</v>
      </c>
      <c r="B1310" s="14" t="n">
        <v>0.1</v>
      </c>
      <c r="C1310" s="14" t="n">
        <v>0.25</v>
      </c>
      <c r="D1310" s="14" t="n">
        <v>0</v>
      </c>
      <c r="E1310" s="14" t="n">
        <v>-0.558</v>
      </c>
      <c r="F1310" s="14" t="n">
        <v>-0.5</v>
      </c>
      <c r="G1310" s="14" t="n">
        <v>0.1</v>
      </c>
      <c r="H1310" s="14" t="n">
        <v>0.0534</v>
      </c>
      <c r="I1310" s="14" t="n">
        <v>0.0536474945106902</v>
      </c>
      <c r="J1310" s="14" t="n">
        <v>0.0462467794554494</v>
      </c>
      <c r="K1310" s="14" t="n">
        <v>0.0278322527679632</v>
      </c>
      <c r="L1310" s="14" t="n">
        <v>-0.00690266889800273</v>
      </c>
      <c r="M1310" s="14" t="n">
        <v>2.64</v>
      </c>
      <c r="N1310" s="14" t="n">
        <v>3.001</v>
      </c>
      <c r="O1310" s="14" t="n">
        <v>3.052</v>
      </c>
      <c r="P1310" s="14" t="n">
        <v>3.199</v>
      </c>
      <c r="Q1310" s="14" t="n">
        <v>0</v>
      </c>
      <c r="R1310" s="14" t="n">
        <v>0</v>
      </c>
      <c r="S1310" s="14" t="n">
        <v>2</v>
      </c>
    </row>
    <row r="1311" customFormat="false" ht="15" hidden="false" customHeight="false" outlineLevel="0" collapsed="false">
      <c r="A1311" s="13" t="n">
        <v>44144</v>
      </c>
      <c r="B1311" s="14" t="n">
        <v>0.1</v>
      </c>
      <c r="C1311" s="14" t="n">
        <v>0.25</v>
      </c>
      <c r="D1311" s="14" t="n">
        <v>0</v>
      </c>
      <c r="E1311" s="14" t="n">
        <v>-0.558</v>
      </c>
      <c r="F1311" s="14" t="n">
        <v>-0.5</v>
      </c>
      <c r="G1311" s="14" t="n">
        <v>0.1</v>
      </c>
      <c r="H1311" s="14" t="n">
        <v>0.0532</v>
      </c>
      <c r="I1311" s="14" t="n">
        <v>0.0502387361309863</v>
      </c>
      <c r="J1311" s="14" t="n">
        <v>0.047431694603219</v>
      </c>
      <c r="K1311" s="14" t="n">
        <v>0.0355330740563034</v>
      </c>
      <c r="L1311" s="14" t="n">
        <v>0.0109384973814137</v>
      </c>
      <c r="M1311" s="14" t="n">
        <v>2.646</v>
      </c>
      <c r="N1311" s="14" t="n">
        <v>3.001</v>
      </c>
      <c r="O1311" s="14" t="n">
        <v>3.054</v>
      </c>
      <c r="P1311" s="14" t="n">
        <v>3.2</v>
      </c>
      <c r="Q1311" s="14" t="n">
        <v>0</v>
      </c>
      <c r="R1311" s="14" t="n">
        <v>0</v>
      </c>
      <c r="S1311" s="14" t="n">
        <v>2</v>
      </c>
    </row>
    <row r="1312" customFormat="false" ht="15" hidden="false" customHeight="false" outlineLevel="0" collapsed="false">
      <c r="A1312" s="13" t="n">
        <v>44145</v>
      </c>
      <c r="B1312" s="14" t="n">
        <v>0.1</v>
      </c>
      <c r="C1312" s="14" t="n">
        <v>0.25</v>
      </c>
      <c r="D1312" s="14" t="n">
        <v>0</v>
      </c>
      <c r="E1312" s="14" t="n">
        <v>-0.557</v>
      </c>
      <c r="F1312" s="14" t="n">
        <v>-0.5</v>
      </c>
      <c r="G1312" s="14" t="n">
        <v>0.1</v>
      </c>
      <c r="H1312" s="14" t="n">
        <v>0.0533</v>
      </c>
      <c r="I1312" s="14" t="n">
        <v>0.0504338441868191</v>
      </c>
      <c r="J1312" s="14" t="n">
        <v>0.0476341185630227</v>
      </c>
      <c r="K1312" s="14" t="n">
        <v>0.036623712123989</v>
      </c>
      <c r="L1312" s="14" t="n">
        <v>0.014774351302418</v>
      </c>
      <c r="M1312" s="14" t="n">
        <v>2.636</v>
      </c>
      <c r="N1312" s="14" t="n">
        <v>3.002</v>
      </c>
      <c r="O1312" s="14" t="n">
        <v>3.055</v>
      </c>
      <c r="P1312" s="14" t="n">
        <v>3.201</v>
      </c>
      <c r="Q1312" s="14" t="n">
        <v>0</v>
      </c>
      <c r="R1312" s="14" t="n">
        <v>0</v>
      </c>
      <c r="S1312" s="14" t="n">
        <v>2</v>
      </c>
    </row>
    <row r="1313" customFormat="false" ht="15" hidden="false" customHeight="false" outlineLevel="0" collapsed="false">
      <c r="A1313" s="13" t="n">
        <v>44146</v>
      </c>
      <c r="C1313" s="14" t="n">
        <v>0.25</v>
      </c>
      <c r="D1313" s="14" t="n">
        <v>0</v>
      </c>
      <c r="E1313" s="14" t="n">
        <v>-0.558</v>
      </c>
      <c r="F1313" s="14" t="n">
        <v>-0.5</v>
      </c>
      <c r="G1313" s="14" t="n">
        <v>0.1</v>
      </c>
      <c r="H1313" s="14" t="n">
        <v>0.0535</v>
      </c>
      <c r="I1313" s="14" t="n">
        <v>0.0506200554706097</v>
      </c>
      <c r="J1313" s="14" t="n">
        <v>0.0484006677560276</v>
      </c>
      <c r="K1313" s="14" t="n">
        <v>0.0394852371238118</v>
      </c>
      <c r="L1313" s="14" t="n">
        <v>0.0193381824847666</v>
      </c>
      <c r="M1313" s="14" t="n">
        <v>2.646</v>
      </c>
      <c r="N1313" s="14" t="n">
        <v>3.002</v>
      </c>
      <c r="O1313" s="14" t="n">
        <v>3.056</v>
      </c>
      <c r="P1313" s="14" t="n">
        <v>3.201</v>
      </c>
      <c r="Q1313" s="14" t="n">
        <v>0</v>
      </c>
      <c r="R1313" s="14" t="n">
        <v>0</v>
      </c>
      <c r="S1313" s="14" t="n">
        <v>2</v>
      </c>
    </row>
    <row r="1314" customFormat="false" ht="15" hidden="false" customHeight="false" outlineLevel="0" collapsed="false">
      <c r="A1314" s="13" t="n">
        <v>44147</v>
      </c>
      <c r="B1314" s="14" t="n">
        <v>0.09</v>
      </c>
      <c r="C1314" s="14" t="n">
        <v>0.25</v>
      </c>
      <c r="D1314" s="14" t="n">
        <v>0</v>
      </c>
      <c r="E1314" s="14" t="n">
        <v>-0.548</v>
      </c>
      <c r="F1314" s="14" t="n">
        <v>-0.5</v>
      </c>
      <c r="G1314" s="14" t="n">
        <v>0.1</v>
      </c>
      <c r="H1314" s="14" t="n">
        <v>0.0542</v>
      </c>
      <c r="I1314" s="14" t="n">
        <v>0.0504759122677482</v>
      </c>
      <c r="J1314" s="14" t="n">
        <v>0.0476086361920714</v>
      </c>
      <c r="K1314" s="14" t="n">
        <v>0.0372103761770378</v>
      </c>
      <c r="L1314" s="14" t="n">
        <v>0.0127191390167258</v>
      </c>
      <c r="M1314" s="14" t="n">
        <v>2.671</v>
      </c>
      <c r="N1314" s="14" t="n">
        <v>3.002</v>
      </c>
      <c r="O1314" s="14" t="n">
        <v>3.057</v>
      </c>
      <c r="P1314" s="14" t="n">
        <v>3.204</v>
      </c>
      <c r="Q1314" s="14" t="n">
        <v>0</v>
      </c>
      <c r="R1314" s="14" t="n">
        <v>0</v>
      </c>
      <c r="S1314" s="14" t="n">
        <v>2</v>
      </c>
    </row>
    <row r="1315" customFormat="false" ht="15" hidden="false" customHeight="false" outlineLevel="0" collapsed="false">
      <c r="A1315" s="13" t="n">
        <v>44148</v>
      </c>
      <c r="B1315" s="14" t="n">
        <v>0.09</v>
      </c>
      <c r="C1315" s="14" t="n">
        <v>0.25</v>
      </c>
      <c r="D1315" s="14" t="n">
        <v>0</v>
      </c>
      <c r="E1315" s="14" t="n">
        <v>-0.556</v>
      </c>
      <c r="F1315" s="14" t="n">
        <v>-0.5</v>
      </c>
      <c r="G1315" s="14" t="n">
        <v>0.1</v>
      </c>
      <c r="H1315" s="14" t="n">
        <v>0.0536</v>
      </c>
      <c r="I1315" s="14" t="n">
        <v>0.0538558980015774</v>
      </c>
      <c r="J1315" s="14" t="n">
        <v>0.0480239172040831</v>
      </c>
      <c r="K1315" s="14" t="n">
        <v>0.0369617679925357</v>
      </c>
      <c r="L1315" s="14" t="n">
        <v>0.0145981299018678</v>
      </c>
      <c r="M1315" s="14" t="n">
        <v>2.679</v>
      </c>
      <c r="N1315" s="14" t="n">
        <v>3.003</v>
      </c>
      <c r="O1315" s="14" t="n">
        <v>3.058</v>
      </c>
      <c r="P1315" s="14" t="n">
        <v>3.205</v>
      </c>
      <c r="Q1315" s="14" t="n">
        <v>0</v>
      </c>
      <c r="R1315" s="14" t="n">
        <v>0</v>
      </c>
      <c r="S1315" s="14" t="n">
        <v>2</v>
      </c>
    </row>
    <row r="1316" customFormat="false" ht="15" hidden="false" customHeight="false" outlineLevel="0" collapsed="false">
      <c r="A1316" s="13" t="n">
        <v>44151</v>
      </c>
      <c r="B1316" s="14" t="n">
        <v>0.1</v>
      </c>
      <c r="C1316" s="14" t="n">
        <v>0.25</v>
      </c>
      <c r="D1316" s="14" t="n">
        <v>0</v>
      </c>
      <c r="E1316" s="14" t="n">
        <v>-0.558</v>
      </c>
      <c r="F1316" s="14" t="n">
        <v>-0.5</v>
      </c>
      <c r="G1316" s="14" t="n">
        <v>0.1</v>
      </c>
      <c r="H1316" s="14" t="n">
        <v>0.0539</v>
      </c>
      <c r="I1316" s="14" t="n">
        <v>0.0497898164473526</v>
      </c>
      <c r="J1316" s="14" t="n">
        <v>0.0483782207523607</v>
      </c>
      <c r="K1316" s="14" t="n">
        <v>0.0389518376628403</v>
      </c>
      <c r="L1316" s="14" t="n">
        <v>0.0141755149295675</v>
      </c>
      <c r="M1316" s="14" t="n">
        <v>2.682</v>
      </c>
      <c r="N1316" s="14" t="n">
        <v>3.002</v>
      </c>
      <c r="O1316" s="14" t="n">
        <v>3.058</v>
      </c>
      <c r="P1316" s="14" t="n">
        <v>3.207</v>
      </c>
      <c r="Q1316" s="14" t="n">
        <v>0</v>
      </c>
      <c r="R1316" s="14" t="n">
        <v>0</v>
      </c>
      <c r="S1316" s="14" t="n">
        <v>2</v>
      </c>
    </row>
    <row r="1317" customFormat="false" ht="15" hidden="false" customHeight="false" outlineLevel="0" collapsed="false">
      <c r="A1317" s="13" t="n">
        <v>44152</v>
      </c>
      <c r="B1317" s="14" t="n">
        <v>0.09</v>
      </c>
      <c r="C1317" s="14" t="n">
        <v>0.25</v>
      </c>
      <c r="D1317" s="14" t="n">
        <v>0</v>
      </c>
      <c r="E1317" s="14" t="n">
        <v>-0.557</v>
      </c>
      <c r="F1317" s="14" t="n">
        <v>-0.5</v>
      </c>
      <c r="G1317" s="14" t="n">
        <v>0.1</v>
      </c>
      <c r="H1317" s="14" t="n">
        <v>0.0533</v>
      </c>
      <c r="I1317" s="14" t="n">
        <v>0.0503658165489916</v>
      </c>
      <c r="J1317" s="14" t="n">
        <v>0.0486091677971182</v>
      </c>
      <c r="K1317" s="14" t="n">
        <v>0.0373609191163637</v>
      </c>
      <c r="L1317" s="14" t="n">
        <v>0.0122076867389561</v>
      </c>
      <c r="M1317" s="14" t="n">
        <v>2.686</v>
      </c>
      <c r="N1317" s="14" t="n">
        <v>3.003</v>
      </c>
      <c r="O1317" s="14" t="n">
        <v>3.064</v>
      </c>
      <c r="P1317" s="14" t="n">
        <v>3.21</v>
      </c>
      <c r="Q1317" s="14" t="n">
        <v>0</v>
      </c>
      <c r="R1317" s="14" t="n">
        <v>0</v>
      </c>
      <c r="S1317" s="14" t="n">
        <v>2</v>
      </c>
    </row>
    <row r="1318" customFormat="false" ht="15" hidden="false" customHeight="false" outlineLevel="0" collapsed="false">
      <c r="A1318" s="13" t="n">
        <v>44153</v>
      </c>
      <c r="B1318" s="14" t="n">
        <v>0.07</v>
      </c>
      <c r="C1318" s="14" t="n">
        <v>0.25</v>
      </c>
      <c r="D1318" s="14" t="n">
        <v>0</v>
      </c>
      <c r="E1318" s="14" t="n">
        <v>-0.557</v>
      </c>
      <c r="F1318" s="14" t="n">
        <v>-0.5</v>
      </c>
      <c r="G1318" s="14" t="n">
        <v>0.1</v>
      </c>
      <c r="H1318" s="14" t="n">
        <v>0.0538</v>
      </c>
      <c r="I1318" s="14" t="n">
        <v>0.0502384717162693</v>
      </c>
      <c r="J1318" s="14" t="n">
        <v>0.0485019668736404</v>
      </c>
      <c r="K1318" s="14" t="n">
        <v>0.0405659868045413</v>
      </c>
      <c r="L1318" s="14" t="n">
        <v>0.0211726691791929</v>
      </c>
      <c r="M1318" s="14" t="n">
        <v>2.689</v>
      </c>
      <c r="N1318" s="14" t="n">
        <v>3.009</v>
      </c>
      <c r="O1318" s="14" t="n">
        <v>3.074</v>
      </c>
      <c r="P1318" s="14" t="n">
        <v>3.22</v>
      </c>
      <c r="Q1318" s="14" t="n">
        <v>0</v>
      </c>
      <c r="R1318" s="14" t="n">
        <v>0</v>
      </c>
      <c r="S1318" s="14" t="n">
        <v>2</v>
      </c>
    </row>
    <row r="1319" customFormat="false" ht="15" hidden="false" customHeight="false" outlineLevel="0" collapsed="false">
      <c r="A1319" s="13" t="n">
        <v>44154</v>
      </c>
      <c r="B1319" s="14" t="n">
        <v>0.06</v>
      </c>
      <c r="C1319" s="14" t="n">
        <v>0.25</v>
      </c>
      <c r="D1319" s="14" t="n">
        <v>0</v>
      </c>
      <c r="E1319" s="14" t="n">
        <v>-0.557</v>
      </c>
      <c r="F1319" s="14" t="n">
        <v>-0.5</v>
      </c>
      <c r="G1319" s="14" t="n">
        <v>0.1</v>
      </c>
      <c r="H1319" s="14" t="n">
        <v>0.0536</v>
      </c>
      <c r="I1319" s="14" t="n">
        <v>0.053420123624002</v>
      </c>
      <c r="J1319" s="14" t="n">
        <v>0.0477413445646212</v>
      </c>
      <c r="K1319" s="14" t="n">
        <v>0.0374125656983563</v>
      </c>
      <c r="L1319" s="14" t="n">
        <v>0.01544463193243</v>
      </c>
      <c r="M1319" s="14" t="n">
        <v>2.69</v>
      </c>
      <c r="N1319" s="14" t="n">
        <v>3.014</v>
      </c>
      <c r="O1319" s="14" t="n">
        <v>3.079</v>
      </c>
      <c r="P1319" s="14" t="n">
        <v>3.23</v>
      </c>
      <c r="Q1319" s="14" t="n">
        <v>0</v>
      </c>
      <c r="R1319" s="14" t="n">
        <v>0</v>
      </c>
      <c r="S1319" s="14" t="n">
        <v>2</v>
      </c>
    </row>
    <row r="1320" customFormat="false" ht="15" hidden="false" customHeight="false" outlineLevel="0" collapsed="false">
      <c r="A1320" s="13" t="n">
        <v>44155</v>
      </c>
      <c r="B1320" s="14" t="n">
        <v>0.05</v>
      </c>
      <c r="C1320" s="14" t="n">
        <v>0.25</v>
      </c>
      <c r="D1320" s="14" t="n">
        <v>0</v>
      </c>
      <c r="E1320" s="14" t="n">
        <v>-0.557</v>
      </c>
      <c r="F1320" s="14" t="n">
        <v>-0.5</v>
      </c>
      <c r="G1320" s="14" t="n">
        <v>0.1</v>
      </c>
      <c r="H1320" s="14" t="n">
        <v>0.0543</v>
      </c>
      <c r="I1320" s="14" t="n">
        <v>0.0541702633783428</v>
      </c>
      <c r="J1320" s="14" t="n">
        <v>0.0482927059374757</v>
      </c>
      <c r="K1320" s="14" t="n">
        <v>0.036448806837977</v>
      </c>
      <c r="L1320" s="14" t="n">
        <v>0.0132040793395309</v>
      </c>
      <c r="M1320" s="14" t="n">
        <v>2.702</v>
      </c>
      <c r="N1320" s="14" t="n">
        <v>3.021</v>
      </c>
      <c r="O1320" s="14" t="n">
        <v>3.092</v>
      </c>
      <c r="P1320" s="14" t="n">
        <v>3.242</v>
      </c>
      <c r="Q1320" s="14" t="n">
        <v>0</v>
      </c>
      <c r="R1320" s="14" t="n">
        <v>0</v>
      </c>
      <c r="S1320" s="14" t="n">
        <v>2</v>
      </c>
    </row>
    <row r="1321" customFormat="false" ht="15" hidden="false" customHeight="false" outlineLevel="0" collapsed="false">
      <c r="A1321" s="13" t="n">
        <v>44158</v>
      </c>
      <c r="B1321" s="14" t="n">
        <v>0.05</v>
      </c>
      <c r="C1321" s="14" t="n">
        <v>0.25</v>
      </c>
      <c r="D1321" s="14" t="n">
        <v>0</v>
      </c>
      <c r="E1321" s="14" t="n">
        <v>-0.557</v>
      </c>
      <c r="F1321" s="14" t="n">
        <v>-0.5</v>
      </c>
      <c r="G1321" s="14" t="n">
        <v>0.1</v>
      </c>
      <c r="H1321" s="14" t="n">
        <v>0.0536</v>
      </c>
      <c r="I1321" s="14" t="n">
        <v>0.054176475125447</v>
      </c>
      <c r="J1321" s="14" t="n">
        <v>0.0487871756999686</v>
      </c>
      <c r="K1321" s="14" t="n">
        <v>0.0379173905949206</v>
      </c>
      <c r="L1321" s="14" t="n">
        <v>0.0165942469372278</v>
      </c>
      <c r="M1321" s="14" t="n">
        <v>2.703</v>
      </c>
      <c r="N1321" s="14" t="n">
        <v>3.047</v>
      </c>
      <c r="O1321" s="14" t="n">
        <v>3.109</v>
      </c>
      <c r="P1321" s="14" t="n">
        <v>3.253</v>
      </c>
      <c r="Q1321" s="14" t="n">
        <v>0</v>
      </c>
      <c r="R1321" s="14" t="n">
        <v>0</v>
      </c>
      <c r="S1321" s="14" t="n">
        <v>2</v>
      </c>
    </row>
    <row r="1322" customFormat="false" ht="15" hidden="false" customHeight="false" outlineLevel="0" collapsed="false">
      <c r="A1322" s="13" t="n">
        <v>44159</v>
      </c>
      <c r="B1322" s="14" t="n">
        <v>0.07</v>
      </c>
      <c r="C1322" s="14" t="n">
        <v>0.25</v>
      </c>
      <c r="D1322" s="14" t="n">
        <v>0</v>
      </c>
      <c r="E1322" s="14" t="n">
        <v>-0.556</v>
      </c>
      <c r="F1322" s="14" t="n">
        <v>-0.5</v>
      </c>
      <c r="G1322" s="14" t="n">
        <v>0.1</v>
      </c>
      <c r="H1322" s="14" t="n">
        <v>0.0536</v>
      </c>
      <c r="I1322" s="14" t="n">
        <v>0.0533073834866478</v>
      </c>
      <c r="J1322" s="14" t="n">
        <v>0.0481115411787691</v>
      </c>
      <c r="K1322" s="14" t="n">
        <v>0.0385094581274304</v>
      </c>
      <c r="L1322" s="14" t="n">
        <v>0.0184649972749765</v>
      </c>
      <c r="M1322" s="14" t="n">
        <v>2.713</v>
      </c>
      <c r="N1322" s="14" t="n">
        <v>3.069</v>
      </c>
      <c r="O1322" s="14" t="n">
        <v>3.124</v>
      </c>
      <c r="P1322" s="14" t="n">
        <v>3.255</v>
      </c>
      <c r="Q1322" s="14" t="n">
        <v>0</v>
      </c>
      <c r="R1322" s="14" t="n">
        <v>0</v>
      </c>
      <c r="S1322" s="14" t="n">
        <v>2</v>
      </c>
    </row>
    <row r="1323" customFormat="false" ht="15" hidden="false" customHeight="false" outlineLevel="0" collapsed="false">
      <c r="A1323" s="13" t="n">
        <v>44160</v>
      </c>
      <c r="B1323" s="14" t="n">
        <v>0.08</v>
      </c>
      <c r="C1323" s="14" t="n">
        <v>0.25</v>
      </c>
      <c r="D1323" s="14" t="n">
        <v>0</v>
      </c>
      <c r="E1323" s="14" t="n">
        <v>-0.554</v>
      </c>
      <c r="F1323" s="14" t="n">
        <v>-0.5</v>
      </c>
      <c r="G1323" s="14" t="n">
        <v>0.1</v>
      </c>
      <c r="H1323" s="14" t="n">
        <v>0.0535</v>
      </c>
      <c r="I1323" s="14" t="n">
        <v>0.0502302524372471</v>
      </c>
      <c r="J1323" s="14" t="n">
        <v>0.0467845730004619</v>
      </c>
      <c r="K1323" s="14" t="n">
        <v>0.0391495830983249</v>
      </c>
      <c r="L1323" s="14" t="n">
        <v>0.017800162523525</v>
      </c>
      <c r="M1323" s="14" t="n">
        <v>2.716</v>
      </c>
      <c r="N1323" s="14" t="n">
        <v>3.077</v>
      </c>
      <c r="O1323" s="14" t="n">
        <v>3.137</v>
      </c>
      <c r="P1323" s="14" t="n">
        <v>3.266</v>
      </c>
      <c r="Q1323" s="14" t="n">
        <v>0</v>
      </c>
      <c r="R1323" s="14" t="n">
        <v>0</v>
      </c>
      <c r="S1323" s="14" t="n">
        <v>2</v>
      </c>
    </row>
    <row r="1324" customFormat="false" ht="15" hidden="false" customHeight="false" outlineLevel="0" collapsed="false">
      <c r="A1324" s="13" t="n">
        <v>44161</v>
      </c>
      <c r="C1324" s="14" t="n">
        <v>0.25</v>
      </c>
      <c r="D1324" s="14" t="n">
        <v>0</v>
      </c>
      <c r="E1324" s="14" t="n">
        <v>-0.556</v>
      </c>
      <c r="F1324" s="14" t="n">
        <v>-0.5</v>
      </c>
      <c r="G1324" s="14" t="n">
        <v>0.1</v>
      </c>
      <c r="H1324" s="14" t="n">
        <v>0.0535</v>
      </c>
      <c r="I1324" s="14" t="n">
        <v>0.0543677490708141</v>
      </c>
      <c r="J1324" s="14" t="n">
        <v>0.0493679301665215</v>
      </c>
      <c r="K1324" s="14" t="n">
        <v>0.03889910335424</v>
      </c>
      <c r="L1324" s="14" t="n">
        <v>0.0177364973581104</v>
      </c>
      <c r="M1324" s="14" t="n">
        <v>2.718</v>
      </c>
      <c r="N1324" s="14" t="n">
        <v>3.113</v>
      </c>
      <c r="O1324" s="14" t="n">
        <v>3.164</v>
      </c>
      <c r="P1324" s="14" t="n">
        <v>3.278</v>
      </c>
      <c r="Q1324" s="14" t="n">
        <v>0</v>
      </c>
      <c r="R1324" s="14" t="n">
        <v>0</v>
      </c>
      <c r="S1324" s="14" t="n">
        <v>2</v>
      </c>
    </row>
    <row r="1325" customFormat="false" ht="15" hidden="false" customHeight="false" outlineLevel="0" collapsed="false">
      <c r="A1325" s="13" t="n">
        <v>44162</v>
      </c>
      <c r="B1325" s="14" t="n">
        <v>0.08</v>
      </c>
      <c r="C1325" s="14" t="n">
        <v>0.25</v>
      </c>
      <c r="D1325" s="14" t="n">
        <v>0</v>
      </c>
      <c r="E1325" s="14" t="n">
        <v>-0.557</v>
      </c>
      <c r="F1325" s="14" t="n">
        <v>-0.5</v>
      </c>
      <c r="G1325" s="14" t="n">
        <v>0.1</v>
      </c>
      <c r="H1325" s="14" t="n">
        <v>0.0542</v>
      </c>
      <c r="I1325" s="14" t="n">
        <v>0.0536536656219255</v>
      </c>
      <c r="J1325" s="14" t="n">
        <v>0.0485087033642614</v>
      </c>
      <c r="K1325" s="14" t="n">
        <v>0.0377942632084115</v>
      </c>
      <c r="L1325" s="14" t="n">
        <v>0.0150171155767855</v>
      </c>
      <c r="M1325" s="14" t="n">
        <v>2.734</v>
      </c>
      <c r="N1325" s="14" t="n">
        <v>3.136</v>
      </c>
      <c r="O1325" s="14" t="n">
        <v>3.181</v>
      </c>
      <c r="P1325" s="14" t="n">
        <v>3.289</v>
      </c>
      <c r="Q1325" s="14" t="n">
        <v>0</v>
      </c>
      <c r="R1325" s="14" t="n">
        <v>0</v>
      </c>
      <c r="S1325" s="14" t="n">
        <v>2</v>
      </c>
    </row>
    <row r="1326" customFormat="false" ht="15" hidden="false" customHeight="false" outlineLevel="0" collapsed="false">
      <c r="A1326" s="13" t="n">
        <v>44165</v>
      </c>
      <c r="B1326" s="14" t="n">
        <v>0.09</v>
      </c>
      <c r="C1326" s="14" t="n">
        <v>0.25</v>
      </c>
      <c r="D1326" s="14" t="n">
        <v>0</v>
      </c>
      <c r="E1326" s="14" t="n">
        <v>-0.56</v>
      </c>
      <c r="F1326" s="14" t="n">
        <v>-0.5</v>
      </c>
      <c r="G1326" s="14" t="n">
        <v>0.1</v>
      </c>
      <c r="H1326" s="14" t="n">
        <v>0.054</v>
      </c>
      <c r="I1326" s="14" t="n">
        <v>0.0532783339678903</v>
      </c>
      <c r="J1326" s="14" t="n">
        <v>0.048470153953742</v>
      </c>
      <c r="K1326" s="14" t="n">
        <v>0.0388496759931272</v>
      </c>
      <c r="L1326" s="14" t="n">
        <v>0.0185314702346234</v>
      </c>
      <c r="M1326" s="14" t="n">
        <v>2.743</v>
      </c>
      <c r="N1326" s="14" t="n">
        <v>3.123</v>
      </c>
      <c r="O1326" s="14" t="n">
        <v>3.183</v>
      </c>
      <c r="P1326" s="14" t="n">
        <v>3.291</v>
      </c>
      <c r="Q1326" s="14" t="n">
        <v>0</v>
      </c>
      <c r="R1326" s="14" t="n">
        <v>0</v>
      </c>
      <c r="S1326" s="14" t="n">
        <v>2</v>
      </c>
    </row>
    <row r="1327" customFormat="false" ht="15" hidden="false" customHeight="false" outlineLevel="0" collapsed="false">
      <c r="A1327" s="13" t="n">
        <v>44166</v>
      </c>
      <c r="B1327" s="14" t="n">
        <v>0.08</v>
      </c>
      <c r="C1327" s="14" t="n">
        <v>0.25</v>
      </c>
      <c r="D1327" s="14" t="n">
        <v>0</v>
      </c>
      <c r="E1327" s="14" t="n">
        <v>-0.557</v>
      </c>
      <c r="F1327" s="14" t="n">
        <v>-0.5</v>
      </c>
      <c r="G1327" s="14" t="n">
        <v>0.1</v>
      </c>
      <c r="H1327" s="14" t="n">
        <v>0.0528</v>
      </c>
      <c r="I1327" s="14" t="n">
        <v>0.0531702157967276</v>
      </c>
      <c r="J1327" s="14" t="n">
        <v>0.0494063313147181</v>
      </c>
      <c r="K1327" s="14" t="n">
        <v>0.0420287683174014</v>
      </c>
      <c r="L1327" s="14" t="n">
        <v>0.0248156258440745</v>
      </c>
      <c r="M1327" s="14" t="n">
        <v>2.717</v>
      </c>
      <c r="N1327" s="14" t="n">
        <v>3.109</v>
      </c>
      <c r="O1327" s="14" t="n">
        <v>3.17</v>
      </c>
      <c r="P1327" s="14" t="n">
        <v>3.274</v>
      </c>
      <c r="Q1327" s="14" t="n">
        <v>0</v>
      </c>
      <c r="R1327" s="14" t="n">
        <v>0</v>
      </c>
      <c r="S1327" s="14" t="n">
        <v>2</v>
      </c>
    </row>
    <row r="1328" customFormat="false" ht="15" hidden="false" customHeight="false" outlineLevel="0" collapsed="false">
      <c r="A1328" s="13" t="n">
        <v>44167</v>
      </c>
      <c r="B1328" s="14" t="n">
        <v>0.08</v>
      </c>
      <c r="C1328" s="14" t="n">
        <v>0.25</v>
      </c>
      <c r="D1328" s="14" t="n">
        <v>0</v>
      </c>
      <c r="E1328" s="14" t="n">
        <v>-0.556</v>
      </c>
      <c r="F1328" s="14" t="n">
        <v>-0.5</v>
      </c>
      <c r="G1328" s="14" t="n">
        <v>0.1</v>
      </c>
      <c r="H1328" s="14" t="n">
        <v>0.0523</v>
      </c>
      <c r="I1328" s="14" t="n">
        <v>0.0533069604208131</v>
      </c>
      <c r="J1328" s="14" t="n">
        <v>0.0485284690342637</v>
      </c>
      <c r="K1328" s="14" t="n">
        <v>0.0388563802359299</v>
      </c>
      <c r="L1328" s="14" t="n">
        <v>0.0201114050559672</v>
      </c>
      <c r="M1328" s="14" t="n">
        <v>2.703</v>
      </c>
      <c r="N1328" s="14" t="n">
        <v>3.103</v>
      </c>
      <c r="O1328" s="14" t="n">
        <v>3.163</v>
      </c>
      <c r="P1328" s="14" t="n">
        <v>3.265</v>
      </c>
      <c r="Q1328" s="14" t="n">
        <v>0</v>
      </c>
      <c r="R1328" s="14" t="n">
        <v>0</v>
      </c>
      <c r="S1328" s="14" t="n">
        <v>2</v>
      </c>
    </row>
    <row r="1329" customFormat="false" ht="15" hidden="false" customHeight="false" outlineLevel="0" collapsed="false">
      <c r="A1329" s="13" t="n">
        <v>44168</v>
      </c>
      <c r="B1329" s="14" t="n">
        <v>0.08</v>
      </c>
      <c r="C1329" s="14" t="n">
        <v>0.25</v>
      </c>
      <c r="D1329" s="14" t="n">
        <v>0</v>
      </c>
      <c r="E1329" s="14" t="n">
        <v>-0.556</v>
      </c>
      <c r="F1329" s="14" t="n">
        <v>-0.5</v>
      </c>
      <c r="G1329" s="14" t="n">
        <v>0.1</v>
      </c>
      <c r="H1329" s="14" t="n">
        <v>0.0519</v>
      </c>
      <c r="I1329" s="14" t="n">
        <v>0.0526249553918865</v>
      </c>
      <c r="J1329" s="14" t="n">
        <v>0.0467268799799718</v>
      </c>
      <c r="K1329" s="14" t="n">
        <v>0.0368098308809349</v>
      </c>
      <c r="L1329" s="14" t="n">
        <v>0.0189357450733581</v>
      </c>
      <c r="M1329" s="14" t="n">
        <v>2.706</v>
      </c>
      <c r="N1329" s="14" t="n">
        <v>3.089</v>
      </c>
      <c r="O1329" s="14" t="n">
        <v>3.159</v>
      </c>
      <c r="P1329" s="14" t="n">
        <v>3.261</v>
      </c>
      <c r="Q1329" s="14" t="n">
        <v>0</v>
      </c>
      <c r="R1329" s="14" t="n">
        <v>0</v>
      </c>
      <c r="S1329" s="14" t="n">
        <v>2</v>
      </c>
    </row>
    <row r="1330" customFormat="false" ht="15" hidden="false" customHeight="false" outlineLevel="0" collapsed="false">
      <c r="A1330" s="13" t="n">
        <v>44169</v>
      </c>
      <c r="B1330" s="14" t="n">
        <v>0.09</v>
      </c>
      <c r="C1330" s="14" t="n">
        <v>0.25</v>
      </c>
      <c r="D1330" s="14" t="n">
        <v>0</v>
      </c>
      <c r="E1330" s="14" t="n">
        <v>-0.555</v>
      </c>
      <c r="F1330" s="14" t="n">
        <v>-0.5</v>
      </c>
      <c r="G1330" s="14" t="n">
        <v>0.1</v>
      </c>
      <c r="H1330" s="14" t="n">
        <v>0.0513</v>
      </c>
      <c r="I1330" s="14" t="n">
        <v>0.0497128480208231</v>
      </c>
      <c r="J1330" s="14" t="n">
        <v>0.0441293000063724</v>
      </c>
      <c r="K1330" s="14" t="n">
        <v>0.0325894963196875</v>
      </c>
      <c r="L1330" s="14" t="n">
        <v>0.017569787676807</v>
      </c>
      <c r="M1330" s="14" t="n">
        <v>2.696</v>
      </c>
      <c r="N1330" s="14" t="n">
        <v>3.083</v>
      </c>
      <c r="O1330" s="14" t="n">
        <v>3.156</v>
      </c>
      <c r="P1330" s="14" t="n">
        <v>3.2578</v>
      </c>
      <c r="Q1330" s="14" t="n">
        <v>0</v>
      </c>
      <c r="R1330" s="14" t="n">
        <v>0</v>
      </c>
      <c r="S1330" s="14" t="n">
        <v>2</v>
      </c>
    </row>
    <row r="1331" customFormat="false" ht="15" hidden="false" customHeight="false" outlineLevel="0" collapsed="false">
      <c r="A1331" s="13" t="n">
        <v>44172</v>
      </c>
      <c r="B1331" s="14" t="n">
        <v>0.08</v>
      </c>
      <c r="C1331" s="14" t="n">
        <v>0.25</v>
      </c>
      <c r="D1331" s="14" t="n">
        <v>0</v>
      </c>
      <c r="E1331" s="14" t="n">
        <v>-0.555</v>
      </c>
      <c r="F1331" s="14" t="n">
        <v>-0.5</v>
      </c>
      <c r="G1331" s="14" t="n">
        <v>0.1</v>
      </c>
      <c r="H1331" s="14" t="n">
        <v>0.051</v>
      </c>
      <c r="I1331" s="14" t="n">
        <v>0.0482627924296099</v>
      </c>
      <c r="J1331" s="14" t="n">
        <v>0.0384855243885224</v>
      </c>
      <c r="K1331" s="14" t="n">
        <v>0.0234088432213021</v>
      </c>
      <c r="L1331" s="14" t="n">
        <v>-0.00238179086644314</v>
      </c>
      <c r="M1331" s="14" t="n">
        <v>2.7</v>
      </c>
      <c r="N1331" s="14" t="n">
        <v>3.076</v>
      </c>
      <c r="O1331" s="14" t="n">
        <v>3.155</v>
      </c>
      <c r="P1331" s="14" t="n">
        <v>3.257</v>
      </c>
      <c r="Q1331" s="14" t="n">
        <v>0</v>
      </c>
      <c r="R1331" s="14" t="n">
        <v>0</v>
      </c>
      <c r="S1331" s="14" t="n">
        <v>2</v>
      </c>
    </row>
    <row r="1332" customFormat="false" ht="15" hidden="false" customHeight="false" outlineLevel="0" collapsed="false">
      <c r="A1332" s="13" t="n">
        <v>44173</v>
      </c>
      <c r="B1332" s="14" t="n">
        <v>0.07</v>
      </c>
      <c r="C1332" s="14" t="n">
        <v>0.25</v>
      </c>
      <c r="D1332" s="14" t="n">
        <v>0</v>
      </c>
      <c r="E1332" s="14" t="n">
        <v>-0.559</v>
      </c>
      <c r="F1332" s="14" t="n">
        <v>-0.5</v>
      </c>
      <c r="G1332" s="14" t="n">
        <v>0.1</v>
      </c>
      <c r="H1332" s="14" t="n">
        <v>0.051</v>
      </c>
      <c r="I1332" s="14" t="n">
        <v>0.0470853490993847</v>
      </c>
      <c r="J1332" s="14" t="n">
        <v>0.0372522933420192</v>
      </c>
      <c r="K1332" s="14" t="n">
        <v>0.0212980037750444</v>
      </c>
      <c r="L1332" s="14" t="n">
        <v>-0.0054061694550505</v>
      </c>
      <c r="M1332" s="14" t="n">
        <v>2.702</v>
      </c>
      <c r="N1332" s="14" t="n">
        <v>3.073</v>
      </c>
      <c r="O1332" s="14" t="n">
        <v>3.155</v>
      </c>
      <c r="P1332" s="14" t="n">
        <v>3.259</v>
      </c>
      <c r="Q1332" s="14" t="n">
        <v>0</v>
      </c>
      <c r="R1332" s="14" t="n">
        <v>0</v>
      </c>
      <c r="S1332" s="14" t="n">
        <v>2</v>
      </c>
    </row>
    <row r="1333" customFormat="false" ht="15" hidden="false" customHeight="false" outlineLevel="0" collapsed="false">
      <c r="A1333" s="13" t="n">
        <v>44174</v>
      </c>
      <c r="B1333" s="14" t="n">
        <v>0.08</v>
      </c>
      <c r="C1333" s="14" t="n">
        <v>0.25</v>
      </c>
      <c r="D1333" s="14" t="n">
        <v>0</v>
      </c>
      <c r="E1333" s="14" t="n">
        <v>-0.556</v>
      </c>
      <c r="F1333" s="14" t="n">
        <v>-0.5</v>
      </c>
      <c r="G1333" s="14" t="n">
        <v>0.1</v>
      </c>
      <c r="H1333" s="14" t="n">
        <v>0.0514</v>
      </c>
      <c r="I1333" s="14" t="n">
        <v>0.0463213816988447</v>
      </c>
      <c r="J1333" s="14" t="n">
        <v>0.0367269051874633</v>
      </c>
      <c r="K1333" s="14" t="n">
        <v>0.0228266758430977</v>
      </c>
      <c r="L1333" s="14" t="n">
        <v>-0.00176733133131209</v>
      </c>
      <c r="M1333" s="14" t="n">
        <v>2.714</v>
      </c>
      <c r="N1333" s="14" t="n">
        <v>3.05</v>
      </c>
      <c r="O1333" s="14" t="n">
        <v>3.154</v>
      </c>
      <c r="P1333" s="14" t="n">
        <v>3.256</v>
      </c>
      <c r="Q1333" s="14" t="n">
        <v>0</v>
      </c>
      <c r="R1333" s="14" t="n">
        <v>0</v>
      </c>
      <c r="S1333" s="14" t="n">
        <v>2</v>
      </c>
    </row>
    <row r="1334" customFormat="false" ht="15" hidden="false" customHeight="false" outlineLevel="0" collapsed="false">
      <c r="A1334" s="13" t="n">
        <v>44175</v>
      </c>
      <c r="B1334" s="14" t="n">
        <v>0.08</v>
      </c>
      <c r="C1334" s="14" t="n">
        <v>0.25</v>
      </c>
      <c r="D1334" s="14" t="n">
        <v>0</v>
      </c>
      <c r="E1334" s="14" t="n">
        <v>-0.556</v>
      </c>
      <c r="F1334" s="14" t="n">
        <v>-0.5</v>
      </c>
      <c r="G1334" s="14" t="n">
        <v>0.1</v>
      </c>
      <c r="H1334" s="14" t="n">
        <v>0.0508</v>
      </c>
      <c r="I1334" s="14" t="n">
        <v>0.0422484632875586</v>
      </c>
      <c r="J1334" s="14" t="n">
        <v>0.0300101480890433</v>
      </c>
      <c r="K1334" s="14" t="n">
        <v>0.012026344219706</v>
      </c>
      <c r="L1334" s="14" t="n">
        <v>-0.0195251490750123</v>
      </c>
      <c r="M1334" s="14" t="n">
        <v>2.712</v>
      </c>
      <c r="N1334" s="14" t="n">
        <v>3.024</v>
      </c>
      <c r="O1334" s="14" t="n">
        <v>3.142</v>
      </c>
      <c r="P1334" s="14" t="n">
        <v>3.247</v>
      </c>
      <c r="Q1334" s="14" t="n">
        <v>0</v>
      </c>
      <c r="R1334" s="14" t="n">
        <v>0</v>
      </c>
      <c r="S1334" s="14" t="n">
        <v>2</v>
      </c>
    </row>
    <row r="1335" customFormat="false" ht="15" hidden="false" customHeight="false" outlineLevel="0" collapsed="false">
      <c r="A1335" s="13" t="n">
        <v>44176</v>
      </c>
      <c r="B1335" s="14" t="n">
        <v>0.08</v>
      </c>
      <c r="C1335" s="14" t="n">
        <v>0.25</v>
      </c>
      <c r="D1335" s="14" t="n">
        <v>0</v>
      </c>
      <c r="E1335" s="14" t="n">
        <v>-0.557</v>
      </c>
      <c r="F1335" s="14" t="n">
        <v>-0.5</v>
      </c>
      <c r="G1335" s="14" t="n">
        <v>0.1</v>
      </c>
      <c r="H1335" s="14" t="n">
        <v>0.0502</v>
      </c>
      <c r="I1335" s="14" t="n">
        <v>0.039294026081172</v>
      </c>
      <c r="J1335" s="14" t="n">
        <v>0.0242885639356409</v>
      </c>
      <c r="K1335" s="14" t="n">
        <v>0.00235873592666102</v>
      </c>
      <c r="L1335" s="14" t="n">
        <v>-0.0287445735054275</v>
      </c>
      <c r="M1335" s="14" t="n">
        <v>2.712</v>
      </c>
      <c r="N1335" s="14" t="n">
        <v>3.016</v>
      </c>
      <c r="O1335" s="14" t="n">
        <v>3.13</v>
      </c>
      <c r="P1335" s="14" t="n">
        <v>3.239</v>
      </c>
      <c r="Q1335" s="14" t="n">
        <v>0</v>
      </c>
      <c r="R1335" s="14" t="n">
        <v>0</v>
      </c>
      <c r="S1335" s="14" t="n">
        <v>2</v>
      </c>
    </row>
    <row r="1336" customFormat="false" ht="15" hidden="false" customHeight="false" outlineLevel="0" collapsed="false">
      <c r="A1336" s="13" t="n">
        <v>44179</v>
      </c>
      <c r="B1336" s="14" t="n">
        <v>0.08</v>
      </c>
      <c r="C1336" s="14" t="n">
        <v>0.25</v>
      </c>
      <c r="D1336" s="14" t="n">
        <v>0</v>
      </c>
      <c r="E1336" s="14" t="n">
        <v>-0.558</v>
      </c>
      <c r="F1336" s="14" t="n">
        <v>-0.5</v>
      </c>
      <c r="G1336" s="14" t="n">
        <v>0.1</v>
      </c>
      <c r="H1336" s="14" t="n">
        <v>0.0494</v>
      </c>
      <c r="I1336" s="14" t="n">
        <v>0.0451068691647096</v>
      </c>
      <c r="J1336" s="14" t="n">
        <v>0.0339362449211472</v>
      </c>
      <c r="K1336" s="14" t="n">
        <v>0.0170526060216396</v>
      </c>
      <c r="L1336" s="14" t="n">
        <v>-0.008700086751074</v>
      </c>
      <c r="M1336" s="14" t="n">
        <v>2.722</v>
      </c>
      <c r="N1336" s="14" t="n">
        <v>3</v>
      </c>
      <c r="O1336" s="14" t="n">
        <v>3.1</v>
      </c>
      <c r="P1336" s="14" t="n">
        <v>3.231</v>
      </c>
      <c r="Q1336" s="14" t="n">
        <v>0</v>
      </c>
      <c r="R1336" s="14" t="n">
        <v>0</v>
      </c>
      <c r="S1336" s="14" t="n">
        <v>2</v>
      </c>
    </row>
    <row r="1337" customFormat="false" ht="15" hidden="false" customHeight="false" outlineLevel="0" collapsed="false">
      <c r="A1337" s="13" t="n">
        <v>44180</v>
      </c>
      <c r="B1337" s="14" t="n">
        <v>0.09</v>
      </c>
      <c r="C1337" s="14" t="n">
        <v>0.25</v>
      </c>
      <c r="D1337" s="14" t="n">
        <v>0</v>
      </c>
      <c r="E1337" s="14" t="n">
        <v>-0.551</v>
      </c>
      <c r="F1337" s="14" t="n">
        <v>-0.5</v>
      </c>
      <c r="G1337" s="14" t="n">
        <v>0.1</v>
      </c>
      <c r="H1337" s="14" t="n">
        <v>0.0491</v>
      </c>
      <c r="I1337" s="14" t="n">
        <v>0.0461365701869214</v>
      </c>
      <c r="J1337" s="14" t="n">
        <v>0.039336741661151</v>
      </c>
      <c r="K1337" s="14" t="n">
        <v>0.0286930101763052</v>
      </c>
      <c r="L1337" s="14" t="n">
        <v>0.00971456968809031</v>
      </c>
      <c r="M1337" s="14" t="n">
        <v>2.725</v>
      </c>
      <c r="N1337" s="14" t="n">
        <v>2.983</v>
      </c>
      <c r="O1337" s="14" t="n">
        <v>3.071</v>
      </c>
      <c r="P1337" s="14" t="n">
        <v>3.2</v>
      </c>
      <c r="Q1337" s="14" t="n">
        <v>0</v>
      </c>
      <c r="R1337" s="14" t="n">
        <v>0</v>
      </c>
      <c r="S1337" s="14" t="n">
        <v>2</v>
      </c>
    </row>
    <row r="1338" customFormat="false" ht="15" hidden="false" customHeight="false" outlineLevel="0" collapsed="false">
      <c r="A1338" s="13" t="n">
        <v>44181</v>
      </c>
      <c r="B1338" s="14" t="n">
        <v>0.09</v>
      </c>
      <c r="C1338" s="14" t="n">
        <v>0.25</v>
      </c>
      <c r="D1338" s="14" t="n">
        <v>0</v>
      </c>
      <c r="E1338" s="14" t="n">
        <v>-0.557</v>
      </c>
      <c r="F1338" s="14" t="n">
        <v>-0.5</v>
      </c>
      <c r="G1338" s="14" t="n">
        <v>0.1</v>
      </c>
      <c r="H1338" s="14" t="n">
        <v>0.0478</v>
      </c>
      <c r="I1338" s="14" t="n">
        <v>0.0478474979144139</v>
      </c>
      <c r="J1338" s="14" t="n">
        <v>0.0428710300399153</v>
      </c>
      <c r="K1338" s="14" t="n">
        <v>0.0334607752501342</v>
      </c>
      <c r="L1338" s="14" t="n">
        <v>0.0170429307790688</v>
      </c>
      <c r="M1338" s="14" t="n">
        <v>2.723</v>
      </c>
      <c r="N1338" s="14" t="n">
        <v>2.952</v>
      </c>
      <c r="O1338" s="14" t="n">
        <v>3.024</v>
      </c>
      <c r="P1338" s="14" t="n">
        <v>3.149</v>
      </c>
      <c r="Q1338" s="14" t="n">
        <v>0</v>
      </c>
      <c r="R1338" s="14" t="n">
        <v>0</v>
      </c>
      <c r="S1338" s="14" t="n">
        <v>2</v>
      </c>
    </row>
    <row r="1339" customFormat="false" ht="15" hidden="false" customHeight="false" outlineLevel="0" collapsed="false">
      <c r="A1339" s="13" t="n">
        <v>44182</v>
      </c>
      <c r="B1339" s="14" t="n">
        <v>0.09</v>
      </c>
      <c r="C1339" s="14" t="n">
        <v>0.25</v>
      </c>
      <c r="D1339" s="14" t="n">
        <v>0</v>
      </c>
      <c r="E1339" s="14" t="n">
        <v>-0.556</v>
      </c>
      <c r="F1339" s="14" t="n">
        <v>-0.5</v>
      </c>
      <c r="G1339" s="14" t="n">
        <v>0.1</v>
      </c>
      <c r="H1339" s="14" t="n">
        <v>0.0487</v>
      </c>
      <c r="I1339" s="14" t="n">
        <v>0.0432063318875927</v>
      </c>
      <c r="J1339" s="14" t="n">
        <v>0.0403444761018557</v>
      </c>
      <c r="K1339" s="14" t="n">
        <v>0.0330885538054973</v>
      </c>
      <c r="L1339" s="14" t="n">
        <v>0.0162453137920072</v>
      </c>
      <c r="M1339" s="14" t="n">
        <v>2.717</v>
      </c>
      <c r="N1339" s="14" t="n">
        <v>2.905</v>
      </c>
      <c r="O1339" s="14" t="n">
        <v>2.97</v>
      </c>
      <c r="P1339" s="14" t="n">
        <v>3.099</v>
      </c>
      <c r="Q1339" s="14" t="n">
        <v>0</v>
      </c>
      <c r="R1339" s="14" t="n">
        <v>0</v>
      </c>
      <c r="S1339" s="14" t="n">
        <v>2</v>
      </c>
    </row>
    <row r="1340" customFormat="false" ht="15" hidden="false" customHeight="false" outlineLevel="0" collapsed="false">
      <c r="A1340" s="13" t="n">
        <v>44183</v>
      </c>
      <c r="B1340" s="14" t="n">
        <v>0.09</v>
      </c>
      <c r="C1340" s="14" t="n">
        <v>0.25</v>
      </c>
      <c r="D1340" s="14" t="n">
        <v>0</v>
      </c>
      <c r="E1340" s="14" t="n">
        <v>-0.558</v>
      </c>
      <c r="F1340" s="14" t="n">
        <v>-0.5</v>
      </c>
      <c r="G1340" s="14" t="n">
        <v>0.1</v>
      </c>
      <c r="H1340" s="14" t="n">
        <v>0.0483</v>
      </c>
      <c r="I1340" s="14" t="n">
        <v>0.0410774818180364</v>
      </c>
      <c r="J1340" s="14" t="n">
        <v>0.0360880250112209</v>
      </c>
      <c r="K1340" s="14" t="n">
        <v>0.0262188563278401</v>
      </c>
      <c r="L1340" s="14" t="n">
        <v>0.00526280578165194</v>
      </c>
      <c r="M1340" s="14" t="n">
        <v>2.716</v>
      </c>
      <c r="N1340" s="14" t="n">
        <v>2.855</v>
      </c>
      <c r="O1340" s="14" t="n">
        <v>2.922</v>
      </c>
      <c r="P1340" s="14" t="n">
        <v>3.066</v>
      </c>
      <c r="Q1340" s="14" t="n">
        <v>0</v>
      </c>
      <c r="R1340" s="14" t="n">
        <v>0</v>
      </c>
      <c r="S1340" s="14" t="n">
        <v>2</v>
      </c>
    </row>
    <row r="1341" customFormat="false" ht="15" hidden="false" customHeight="false" outlineLevel="0" collapsed="false">
      <c r="A1341" s="13" t="n">
        <v>44186</v>
      </c>
      <c r="B1341" s="14" t="n">
        <v>0.09</v>
      </c>
      <c r="C1341" s="14" t="n">
        <v>0.25</v>
      </c>
      <c r="D1341" s="14" t="n">
        <v>0</v>
      </c>
      <c r="E1341" s="14" t="n">
        <v>-0.557</v>
      </c>
      <c r="F1341" s="14" t="n">
        <v>-0.5</v>
      </c>
      <c r="G1341" s="14" t="n">
        <v>0.1</v>
      </c>
      <c r="H1341" s="14" t="n">
        <v>0.0477</v>
      </c>
      <c r="I1341" s="14" t="n">
        <v>0.0397934750574631</v>
      </c>
      <c r="J1341" s="14" t="n">
        <v>0.0308816897091674</v>
      </c>
      <c r="K1341" s="14" t="n">
        <v>0.0155656626010652</v>
      </c>
      <c r="L1341" s="14" t="n">
        <v>-0.0175750567241157</v>
      </c>
      <c r="M1341" s="14" t="n">
        <v>2.717</v>
      </c>
      <c r="N1341" s="14" t="n">
        <v>2.818</v>
      </c>
      <c r="O1341" s="14" t="n">
        <v>2.887</v>
      </c>
      <c r="P1341" s="14" t="n">
        <v>3.047</v>
      </c>
      <c r="Q1341" s="14" t="n">
        <v>0</v>
      </c>
      <c r="R1341" s="14" t="n">
        <v>0</v>
      </c>
      <c r="S1341" s="14" t="n">
        <v>2</v>
      </c>
    </row>
    <row r="1342" customFormat="false" ht="15" hidden="false" customHeight="false" outlineLevel="0" collapsed="false">
      <c r="A1342" s="13" t="n">
        <v>44187</v>
      </c>
      <c r="B1342" s="14" t="n">
        <v>0.07</v>
      </c>
      <c r="C1342" s="14" t="n">
        <v>0.25</v>
      </c>
      <c r="D1342" s="14" t="n">
        <v>0</v>
      </c>
      <c r="E1342" s="14" t="n">
        <v>-0.558</v>
      </c>
      <c r="F1342" s="14" t="n">
        <v>-0.5</v>
      </c>
      <c r="G1342" s="14" t="n">
        <v>0.1</v>
      </c>
      <c r="H1342" s="14" t="n">
        <v>0.048</v>
      </c>
      <c r="I1342" s="14" t="n">
        <v>0.0400942418863729</v>
      </c>
      <c r="J1342" s="14" t="n">
        <v>0.0318738933769007</v>
      </c>
      <c r="K1342" s="14" t="n">
        <v>0.017766454157255</v>
      </c>
      <c r="L1342" s="14" t="n">
        <v>-0.0121190135433919</v>
      </c>
      <c r="M1342" s="14" t="n">
        <v>2.714</v>
      </c>
      <c r="N1342" s="14" t="n">
        <v>2.796</v>
      </c>
      <c r="O1342" s="14" t="n">
        <v>2.868</v>
      </c>
      <c r="P1342" s="14" t="n">
        <v>3.04</v>
      </c>
      <c r="Q1342" s="14" t="n">
        <v>0</v>
      </c>
      <c r="R1342" s="14" t="n">
        <v>0</v>
      </c>
      <c r="S1342" s="14" t="n">
        <v>2</v>
      </c>
    </row>
    <row r="1343" customFormat="false" ht="15" hidden="false" customHeight="false" outlineLevel="0" collapsed="false">
      <c r="A1343" s="13" t="n">
        <v>44188</v>
      </c>
      <c r="B1343" s="14" t="n">
        <v>0.06</v>
      </c>
      <c r="C1343" s="14" t="n">
        <v>0.25</v>
      </c>
      <c r="D1343" s="14" t="n">
        <v>0</v>
      </c>
      <c r="E1343" s="14" t="n">
        <v>-0.559</v>
      </c>
      <c r="F1343" s="14" t="n">
        <v>-0.5</v>
      </c>
      <c r="G1343" s="14" t="n">
        <v>0.1</v>
      </c>
      <c r="H1343" s="14" t="n">
        <v>0.0478</v>
      </c>
      <c r="I1343" s="14" t="n">
        <v>0.0448618504206618</v>
      </c>
      <c r="J1343" s="14" t="n">
        <v>0.0370103293587369</v>
      </c>
      <c r="K1343" s="14" t="n">
        <v>0.0264859932998872</v>
      </c>
      <c r="L1343" s="14" t="n">
        <v>0.00581436945947262</v>
      </c>
      <c r="M1343" s="14" t="n">
        <v>2.708</v>
      </c>
      <c r="N1343" s="14" t="n">
        <v>2.787</v>
      </c>
      <c r="O1343" s="14" t="n">
        <v>2.854</v>
      </c>
      <c r="P1343" s="14" t="n">
        <v>3.033</v>
      </c>
      <c r="Q1343" s="14" t="n">
        <v>0</v>
      </c>
      <c r="R1343" s="14" t="n">
        <v>0</v>
      </c>
      <c r="S1343" s="14" t="n">
        <v>2</v>
      </c>
    </row>
    <row r="1344" customFormat="false" ht="15" hidden="false" customHeight="false" outlineLevel="0" collapsed="false">
      <c r="A1344" s="13" t="n">
        <v>44189</v>
      </c>
      <c r="B1344" s="14" t="n">
        <v>0.08</v>
      </c>
      <c r="C1344" s="14" t="n">
        <v>0.25</v>
      </c>
      <c r="D1344" s="14" t="n">
        <v>0</v>
      </c>
      <c r="E1344" s="14" t="n">
        <v>-0.555</v>
      </c>
      <c r="F1344" s="14" t="n">
        <v>-0.5</v>
      </c>
      <c r="G1344" s="14" t="n">
        <v>0.1</v>
      </c>
      <c r="H1344" s="14" t="n">
        <v>0.0474</v>
      </c>
      <c r="I1344" s="14" t="n">
        <v>0.0447320519325251</v>
      </c>
      <c r="J1344" s="14" t="n">
        <v>0.0384612803856382</v>
      </c>
      <c r="K1344" s="14" t="n">
        <v>0.0290292031349515</v>
      </c>
      <c r="L1344" s="14" t="n">
        <v>0.00715463857553205</v>
      </c>
      <c r="M1344" s="14" t="n">
        <v>2.703</v>
      </c>
      <c r="N1344" s="14" t="n">
        <v>2.776</v>
      </c>
      <c r="O1344" s="14" t="n">
        <v>2.849</v>
      </c>
      <c r="P1344" s="14" t="n">
        <v>3.029</v>
      </c>
      <c r="S1344" s="14" t="n">
        <v>2</v>
      </c>
    </row>
    <row r="1345" customFormat="false" ht="15" hidden="false" customHeight="false" outlineLevel="0" collapsed="false">
      <c r="A1345" s="13" t="n">
        <v>44190</v>
      </c>
      <c r="C1345" s="14" t="n">
        <v>0.25</v>
      </c>
      <c r="D1345" s="14" t="n">
        <v>0</v>
      </c>
      <c r="F1345" s="14" t="n">
        <v>-0.5</v>
      </c>
      <c r="M1345" s="14" t="n">
        <v>2.702</v>
      </c>
      <c r="N1345" s="14" t="n">
        <v>2.766</v>
      </c>
      <c r="O1345" s="14" t="n">
        <v>2.84</v>
      </c>
      <c r="P1345" s="14" t="n">
        <v>3.015</v>
      </c>
      <c r="S1345" s="14" t="n">
        <v>2</v>
      </c>
    </row>
    <row r="1346" customFormat="false" ht="15" hidden="false" customHeight="false" outlineLevel="0" collapsed="false">
      <c r="A1346" s="13" t="n">
        <v>44193</v>
      </c>
      <c r="B1346" s="14" t="n">
        <v>0.09</v>
      </c>
      <c r="C1346" s="14" t="n">
        <v>0.25</v>
      </c>
      <c r="D1346" s="14" t="n">
        <v>0</v>
      </c>
      <c r="E1346" s="14" t="n">
        <v>-0.553</v>
      </c>
      <c r="F1346" s="14" t="n">
        <v>-0.5</v>
      </c>
      <c r="M1346" s="14" t="n">
        <v>2.702</v>
      </c>
      <c r="N1346" s="14" t="n">
        <v>2.761</v>
      </c>
      <c r="O1346" s="14" t="n">
        <v>2.838</v>
      </c>
      <c r="P1346" s="14" t="n">
        <v>3.009</v>
      </c>
      <c r="Q1346" s="14" t="n">
        <v>0</v>
      </c>
      <c r="R1346" s="14" t="n">
        <v>0</v>
      </c>
      <c r="S1346" s="14" t="n">
        <v>2</v>
      </c>
    </row>
    <row r="1347" customFormat="false" ht="15" hidden="false" customHeight="false" outlineLevel="0" collapsed="false">
      <c r="A1347" s="13" t="n">
        <v>44194</v>
      </c>
      <c r="B1347" s="14" t="n">
        <v>0.1</v>
      </c>
      <c r="C1347" s="14" t="n">
        <v>0.25</v>
      </c>
      <c r="D1347" s="14" t="n">
        <v>0</v>
      </c>
      <c r="E1347" s="14" t="n">
        <v>-0.557</v>
      </c>
      <c r="F1347" s="14" t="n">
        <v>-0.5</v>
      </c>
      <c r="G1347" s="14" t="n">
        <v>0.1</v>
      </c>
      <c r="H1347" s="14" t="n">
        <v>0.0483</v>
      </c>
      <c r="I1347" s="14" t="n">
        <v>0.0439370671108655</v>
      </c>
      <c r="J1347" s="14" t="n">
        <v>0.0342328274176416</v>
      </c>
      <c r="K1347" s="14" t="n">
        <v>0.0219320231399374</v>
      </c>
      <c r="L1347" s="14" t="n">
        <v>-0.00218282226406912</v>
      </c>
      <c r="M1347" s="14" t="n">
        <v>2.702</v>
      </c>
      <c r="N1347" s="14" t="n">
        <v>2.757</v>
      </c>
      <c r="O1347" s="14" t="n">
        <v>2.837</v>
      </c>
      <c r="P1347" s="14" t="n">
        <v>3.001</v>
      </c>
      <c r="Q1347" s="14" t="n">
        <v>0</v>
      </c>
      <c r="R1347" s="14" t="n">
        <v>0</v>
      </c>
      <c r="S1347" s="14" t="n">
        <v>2</v>
      </c>
    </row>
    <row r="1348" customFormat="false" ht="15" hidden="false" customHeight="false" outlineLevel="0" collapsed="false">
      <c r="A1348" s="13" t="n">
        <v>44195</v>
      </c>
      <c r="B1348" s="14" t="n">
        <v>0.09</v>
      </c>
      <c r="C1348" s="14" t="n">
        <v>0.25</v>
      </c>
      <c r="D1348" s="14" t="n">
        <v>0</v>
      </c>
      <c r="E1348" s="14" t="n">
        <v>-0.555</v>
      </c>
      <c r="F1348" s="14" t="n">
        <v>-0.5</v>
      </c>
      <c r="G1348" s="14" t="n">
        <v>0.1</v>
      </c>
      <c r="H1348" s="14" t="n">
        <v>0.048</v>
      </c>
      <c r="I1348" s="14" t="n">
        <v>0.0457807028233371</v>
      </c>
      <c r="J1348" s="14" t="n">
        <v>0.0381448547530523</v>
      </c>
      <c r="K1348" s="14" t="n">
        <v>0.0257686667775018</v>
      </c>
      <c r="L1348" s="14" t="n">
        <v>-0.00357333403858642</v>
      </c>
      <c r="M1348" s="14" t="n">
        <v>2.702</v>
      </c>
      <c r="N1348" s="14" t="n">
        <v>2.755</v>
      </c>
      <c r="O1348" s="14" t="n">
        <v>2.837</v>
      </c>
      <c r="P1348" s="14" t="n">
        <v>3</v>
      </c>
      <c r="Q1348" s="14" t="n">
        <v>0</v>
      </c>
      <c r="R1348" s="14" t="n">
        <v>0</v>
      </c>
      <c r="S1348" s="14" t="n">
        <v>2</v>
      </c>
    </row>
    <row r="1349" customFormat="false" ht="15" hidden="false" customHeight="false" outlineLevel="0" collapsed="false">
      <c r="A1349" s="13" t="n">
        <v>44196</v>
      </c>
      <c r="B1349" s="14" t="n">
        <v>0.07</v>
      </c>
      <c r="C1349" s="14" t="n">
        <v>0.25</v>
      </c>
      <c r="D1349" s="14" t="n">
        <v>0</v>
      </c>
      <c r="E1349" s="14" t="n">
        <v>-0.583</v>
      </c>
      <c r="F1349" s="14" t="n">
        <v>-0.5</v>
      </c>
      <c r="G1349" s="14" t="n">
        <v>0.1</v>
      </c>
      <c r="H1349" s="14" t="n">
        <v>0.0394</v>
      </c>
      <c r="I1349" s="14" t="n">
        <v>0.0454614061903116</v>
      </c>
      <c r="J1349" s="14" t="n">
        <v>0.0372907055028907</v>
      </c>
      <c r="K1349" s="14" t="n">
        <v>0.0232079919671734</v>
      </c>
      <c r="L1349" s="14" t="n">
        <v>-0.00770774147988046</v>
      </c>
      <c r="M1349" s="14" t="n">
        <v>2.702</v>
      </c>
      <c r="N1349" s="14" t="n">
        <v>2.756</v>
      </c>
      <c r="O1349" s="14" t="n">
        <v>2.838</v>
      </c>
      <c r="P1349" s="14" t="n">
        <v>3</v>
      </c>
      <c r="Q1349" s="14" t="n">
        <v>0</v>
      </c>
      <c r="R1349" s="14" t="n">
        <v>0</v>
      </c>
      <c r="S1349" s="14" t="n">
        <v>2</v>
      </c>
    </row>
    <row r="1350" customFormat="false" ht="15" hidden="false" customHeight="false" outlineLevel="0" collapsed="false">
      <c r="A1350" s="13" t="n">
        <v>44197</v>
      </c>
      <c r="C1350" s="14" t="n">
        <v>0.25</v>
      </c>
      <c r="D1350" s="14" t="n">
        <v>0</v>
      </c>
      <c r="F1350" s="14" t="n">
        <v>-0.5</v>
      </c>
      <c r="S1350" s="14" t="n">
        <v>2</v>
      </c>
    </row>
    <row r="1351" customFormat="false" ht="15" hidden="false" customHeight="false" outlineLevel="0" collapsed="false">
      <c r="A1351" s="13" t="n">
        <v>44200</v>
      </c>
      <c r="B1351" s="14" t="n">
        <v>0.1</v>
      </c>
      <c r="C1351" s="14" t="n">
        <v>0.25</v>
      </c>
      <c r="D1351" s="14" t="n">
        <v>0</v>
      </c>
      <c r="E1351" s="14" t="n">
        <v>-0.566</v>
      </c>
      <c r="F1351" s="14" t="n">
        <v>-0.5</v>
      </c>
      <c r="G1351" s="14" t="n">
        <v>0.1</v>
      </c>
      <c r="H1351" s="14" t="n">
        <v>0.0479</v>
      </c>
      <c r="I1351" s="14" t="n">
        <v>0.0438816243209612</v>
      </c>
      <c r="J1351" s="14" t="n">
        <v>0.0261485445425632</v>
      </c>
      <c r="K1351" s="14" t="n">
        <v>0.0026108792929135</v>
      </c>
      <c r="L1351" s="14" t="n">
        <v>-0.038818708316144</v>
      </c>
      <c r="M1351" s="14" t="n">
        <v>2.642</v>
      </c>
      <c r="N1351" s="14" t="n">
        <v>2.746</v>
      </c>
      <c r="O1351" s="14" t="n">
        <v>2.829</v>
      </c>
      <c r="P1351" s="14" t="n">
        <v>2.993</v>
      </c>
      <c r="Q1351" s="14" t="n">
        <v>0</v>
      </c>
      <c r="R1351" s="14" t="n">
        <v>0</v>
      </c>
      <c r="S1351" s="14" t="n">
        <v>2</v>
      </c>
    </row>
    <row r="1352" customFormat="false" ht="15" hidden="false" customHeight="false" outlineLevel="0" collapsed="false">
      <c r="A1352" s="13" t="n">
        <v>44201</v>
      </c>
      <c r="B1352" s="14" t="n">
        <v>0.11</v>
      </c>
      <c r="C1352" s="14" t="n">
        <v>0.25</v>
      </c>
      <c r="D1352" s="14" t="n">
        <v>0</v>
      </c>
      <c r="E1352" s="14" t="n">
        <v>-0.563</v>
      </c>
      <c r="F1352" s="14" t="n">
        <v>-0.5</v>
      </c>
      <c r="G1352" s="14" t="n">
        <v>0.1</v>
      </c>
      <c r="H1352" s="14" t="n">
        <v>0.0485</v>
      </c>
      <c r="I1352" s="14" t="n">
        <v>0.0400626575386678</v>
      </c>
      <c r="J1352" s="14" t="n">
        <v>0.0253737015440985</v>
      </c>
      <c r="K1352" s="14" t="n">
        <v>0.00393095783225118</v>
      </c>
      <c r="L1352" s="14" t="n">
        <v>-0.0324863617938186</v>
      </c>
      <c r="M1352" s="14" t="n">
        <v>2.577</v>
      </c>
      <c r="N1352" s="14" t="n">
        <v>2.734</v>
      </c>
      <c r="O1352" s="14" t="n">
        <v>2.816</v>
      </c>
      <c r="P1352" s="14" t="n">
        <v>2.985</v>
      </c>
      <c r="Q1352" s="14" t="n">
        <v>0</v>
      </c>
      <c r="R1352" s="14" t="n">
        <v>-0.01</v>
      </c>
      <c r="S1352" s="14" t="n">
        <v>2</v>
      </c>
    </row>
    <row r="1353" customFormat="false" ht="15" hidden="false" customHeight="false" outlineLevel="0" collapsed="false">
      <c r="A1353" s="13" t="n">
        <v>44202</v>
      </c>
      <c r="B1353" s="14" t="n">
        <v>0.1</v>
      </c>
      <c r="C1353" s="14" t="n">
        <v>0.25</v>
      </c>
      <c r="D1353" s="14" t="n">
        <v>0</v>
      </c>
      <c r="E1353" s="14" t="n">
        <v>-0.566</v>
      </c>
      <c r="F1353" s="14" t="n">
        <v>-0.5</v>
      </c>
      <c r="G1353" s="14" t="n">
        <v>0.1</v>
      </c>
      <c r="H1353" s="14" t="n">
        <v>0.0488</v>
      </c>
      <c r="I1353" s="14" t="n">
        <v>0.046745316166255</v>
      </c>
      <c r="J1353" s="14" t="n">
        <v>0.0345742177005552</v>
      </c>
      <c r="K1353" s="14" t="n">
        <v>0.0117282631822723</v>
      </c>
      <c r="L1353" s="14" t="n">
        <v>-0.0268345024930991</v>
      </c>
      <c r="M1353" s="14" t="n">
        <v>2.529</v>
      </c>
      <c r="N1353" s="14" t="n">
        <v>2.707</v>
      </c>
      <c r="O1353" s="14" t="n">
        <v>2.792</v>
      </c>
      <c r="P1353" s="14" t="n">
        <v>2.962</v>
      </c>
      <c r="Q1353" s="14" t="n">
        <v>0</v>
      </c>
      <c r="R1353" s="14" t="n">
        <v>-0.01</v>
      </c>
      <c r="S1353" s="14" t="n">
        <v>2</v>
      </c>
    </row>
    <row r="1354" customFormat="false" ht="15" hidden="false" customHeight="false" outlineLevel="0" collapsed="false">
      <c r="A1354" s="13" t="n">
        <v>44203</v>
      </c>
      <c r="B1354" s="14" t="n">
        <v>0.1</v>
      </c>
      <c r="C1354" s="14" t="n">
        <v>0.25</v>
      </c>
      <c r="D1354" s="14" t="n">
        <v>0</v>
      </c>
      <c r="E1354" s="14" t="n">
        <v>-0.565</v>
      </c>
      <c r="F1354" s="14" t="n">
        <v>-0.5</v>
      </c>
      <c r="G1354" s="14" t="n">
        <v>0.1</v>
      </c>
      <c r="H1354" s="14" t="n">
        <v>0.0491</v>
      </c>
      <c r="I1354" s="14" t="n">
        <v>0.0455338251104627</v>
      </c>
      <c r="J1354" s="14" t="n">
        <v>0.0316686449942898</v>
      </c>
      <c r="K1354" s="14" t="n">
        <v>0.00885851426317556</v>
      </c>
      <c r="L1354" s="14" t="n">
        <v>-0.026759681508156</v>
      </c>
      <c r="M1354" s="14" t="n">
        <v>2.491</v>
      </c>
      <c r="N1354" s="14" t="n">
        <v>2.677</v>
      </c>
      <c r="O1354" s="14" t="n">
        <v>2.769</v>
      </c>
      <c r="P1354" s="14" t="n">
        <v>2.936</v>
      </c>
      <c r="Q1354" s="14" t="n">
        <v>0</v>
      </c>
      <c r="R1354" s="14" t="n">
        <v>-0.01</v>
      </c>
      <c r="S1354" s="14" t="n">
        <v>2</v>
      </c>
    </row>
    <row r="1355" customFormat="false" ht="15" hidden="false" customHeight="false" outlineLevel="0" collapsed="false">
      <c r="A1355" s="13" t="n">
        <v>44204</v>
      </c>
      <c r="B1355" s="14" t="n">
        <v>0.09</v>
      </c>
      <c r="C1355" s="14" t="n">
        <v>0.25</v>
      </c>
      <c r="D1355" s="14" t="n">
        <v>0</v>
      </c>
      <c r="E1355" s="14" t="n">
        <v>-0.562</v>
      </c>
      <c r="F1355" s="14" t="n">
        <v>-0.5</v>
      </c>
      <c r="G1355" s="14" t="n">
        <v>0.1</v>
      </c>
      <c r="H1355" s="14" t="n">
        <v>0.0497</v>
      </c>
      <c r="I1355" s="14" t="n">
        <v>0.045067502298154</v>
      </c>
      <c r="J1355" s="14" t="n">
        <v>0.0297749613077458</v>
      </c>
      <c r="K1355" s="14" t="n">
        <v>0.00772696367572495</v>
      </c>
      <c r="L1355" s="14" t="n">
        <v>-0.0273938491409578</v>
      </c>
      <c r="M1355" s="14" t="n">
        <v>2.468</v>
      </c>
      <c r="N1355" s="14" t="n">
        <v>2.645</v>
      </c>
      <c r="O1355" s="14" t="n">
        <v>2.738</v>
      </c>
      <c r="P1355" s="14" t="n">
        <v>2.91</v>
      </c>
      <c r="Q1355" s="14" t="n">
        <v>0</v>
      </c>
      <c r="R1355" s="14" t="n">
        <v>0</v>
      </c>
      <c r="S1355" s="14" t="n">
        <v>2</v>
      </c>
    </row>
    <row r="1356" customFormat="false" ht="15" hidden="false" customHeight="false" outlineLevel="0" collapsed="false">
      <c r="A1356" s="13" t="n">
        <v>44207</v>
      </c>
      <c r="B1356" s="14" t="n">
        <v>0.09</v>
      </c>
      <c r="C1356" s="14" t="n">
        <v>0.25</v>
      </c>
      <c r="D1356" s="14" t="n">
        <v>0</v>
      </c>
      <c r="E1356" s="14" t="n">
        <v>-0.564</v>
      </c>
      <c r="F1356" s="14" t="n">
        <v>-0.5</v>
      </c>
      <c r="G1356" s="14" t="n">
        <v>0.1</v>
      </c>
      <c r="H1356" s="14" t="n">
        <v>0.0488</v>
      </c>
      <c r="I1356" s="14" t="n">
        <v>0.0458008651928224</v>
      </c>
      <c r="J1356" s="14" t="n">
        <v>0.033680633324636</v>
      </c>
      <c r="K1356" s="14" t="n">
        <v>0.0131361389703267</v>
      </c>
      <c r="L1356" s="14" t="n">
        <v>-0.0209779161248765</v>
      </c>
      <c r="M1356" s="14" t="n">
        <v>2.447</v>
      </c>
      <c r="N1356" s="14" t="n">
        <v>2.618</v>
      </c>
      <c r="O1356" s="14" t="n">
        <v>2.715</v>
      </c>
      <c r="P1356" s="14" t="n">
        <v>2.889</v>
      </c>
      <c r="Q1356" s="14" t="n">
        <v>0</v>
      </c>
      <c r="R1356" s="14" t="n">
        <v>0</v>
      </c>
      <c r="S1356" s="14" t="n">
        <v>2</v>
      </c>
    </row>
    <row r="1357" customFormat="false" ht="15" hidden="false" customHeight="false" outlineLevel="0" collapsed="false">
      <c r="A1357" s="13" t="n">
        <v>44208</v>
      </c>
      <c r="B1357" s="14" t="n">
        <v>0.08</v>
      </c>
      <c r="C1357" s="14" t="n">
        <v>0.25</v>
      </c>
      <c r="D1357" s="14" t="n">
        <v>0</v>
      </c>
      <c r="E1357" s="14" t="n">
        <v>-0.563</v>
      </c>
      <c r="F1357" s="14" t="n">
        <v>-0.5</v>
      </c>
      <c r="G1357" s="14" t="n">
        <v>0.1</v>
      </c>
      <c r="H1357" s="14" t="n">
        <v>0.0487</v>
      </c>
      <c r="I1357" s="14" t="n">
        <v>0.0477684697180563</v>
      </c>
      <c r="J1357" s="14" t="n">
        <v>0.0387217290394071</v>
      </c>
      <c r="K1357" s="14" t="n">
        <v>0.0226277388866622</v>
      </c>
      <c r="L1357" s="14" t="n">
        <v>-0.00521009305347359</v>
      </c>
      <c r="M1357" s="14" t="n">
        <v>2.432</v>
      </c>
      <c r="N1357" s="14" t="n">
        <v>2.599</v>
      </c>
      <c r="O1357" s="14" t="n">
        <v>2.703</v>
      </c>
      <c r="P1357" s="14" t="n">
        <v>2.88</v>
      </c>
      <c r="Q1357" s="14" t="n">
        <v>0</v>
      </c>
      <c r="R1357" s="14" t="n">
        <v>0</v>
      </c>
      <c r="S1357" s="14" t="n">
        <v>2</v>
      </c>
    </row>
    <row r="1358" customFormat="false" ht="15" hidden="false" customHeight="false" outlineLevel="0" collapsed="false">
      <c r="A1358" s="13" t="n">
        <v>44209</v>
      </c>
      <c r="B1358" s="14" t="n">
        <v>0.08</v>
      </c>
      <c r="C1358" s="14" t="n">
        <v>0.25</v>
      </c>
      <c r="D1358" s="14" t="n">
        <v>0</v>
      </c>
      <c r="E1358" s="14" t="n">
        <v>-0.562</v>
      </c>
      <c r="F1358" s="14" t="n">
        <v>-0.5</v>
      </c>
      <c r="G1358" s="14" t="n">
        <v>0.1</v>
      </c>
      <c r="H1358" s="14" t="n">
        <v>0.0496</v>
      </c>
      <c r="I1358" s="14" t="n">
        <v>0.0476121542979925</v>
      </c>
      <c r="J1358" s="14" t="n">
        <v>0.0384639231472763</v>
      </c>
      <c r="K1358" s="14" t="n">
        <v>0.0206538868303931</v>
      </c>
      <c r="L1358" s="14" t="n">
        <v>-0.0102031597164022</v>
      </c>
      <c r="M1358" s="14" t="n">
        <v>2.412</v>
      </c>
      <c r="N1358" s="14" t="n">
        <v>2.59</v>
      </c>
      <c r="O1358" s="14" t="n">
        <v>2.697</v>
      </c>
      <c r="P1358" s="14" t="n">
        <v>2.871</v>
      </c>
      <c r="Q1358" s="14" t="n">
        <v>0</v>
      </c>
      <c r="R1358" s="14" t="n">
        <v>0</v>
      </c>
      <c r="S1358" s="14" t="n">
        <v>2</v>
      </c>
    </row>
    <row r="1359" customFormat="false" ht="15" hidden="false" customHeight="false" outlineLevel="0" collapsed="false">
      <c r="A1359" s="13" t="n">
        <v>44210</v>
      </c>
      <c r="B1359" s="14" t="n">
        <v>0.08</v>
      </c>
      <c r="C1359" s="14" t="n">
        <v>0.25</v>
      </c>
      <c r="D1359" s="14" t="n">
        <v>0</v>
      </c>
      <c r="E1359" s="14" t="n">
        <v>-0.564</v>
      </c>
      <c r="F1359" s="14" t="n">
        <v>-0.5</v>
      </c>
      <c r="G1359" s="14" t="n">
        <v>0.1</v>
      </c>
      <c r="H1359" s="14" t="n">
        <v>0.05</v>
      </c>
      <c r="I1359" s="14" t="n">
        <v>0.0446589973498413</v>
      </c>
      <c r="J1359" s="14" t="n">
        <v>0.0337128779759712</v>
      </c>
      <c r="K1359" s="14" t="n">
        <v>0.0157004498870998</v>
      </c>
      <c r="L1359" s="14" t="n">
        <v>-0.019453657909934</v>
      </c>
      <c r="M1359" s="14" t="n">
        <v>2.404</v>
      </c>
      <c r="N1359" s="14" t="n">
        <v>2.582</v>
      </c>
      <c r="O1359" s="14" t="n">
        <v>2.697</v>
      </c>
      <c r="P1359" s="14" t="n">
        <v>2.864</v>
      </c>
      <c r="Q1359" s="14" t="n">
        <v>0</v>
      </c>
      <c r="R1359" s="14" t="n">
        <v>0</v>
      </c>
      <c r="S1359" s="14" t="n">
        <v>2</v>
      </c>
    </row>
    <row r="1360" customFormat="false" ht="15" hidden="false" customHeight="false" outlineLevel="0" collapsed="false">
      <c r="A1360" s="13" t="n">
        <v>44211</v>
      </c>
      <c r="B1360" s="14" t="n">
        <v>0.08</v>
      </c>
      <c r="C1360" s="14" t="n">
        <v>0.25</v>
      </c>
      <c r="D1360" s="14" t="n">
        <v>0</v>
      </c>
      <c r="E1360" s="14" t="n">
        <v>-0.566</v>
      </c>
      <c r="F1360" s="14" t="n">
        <v>-0.5</v>
      </c>
      <c r="G1360" s="14" t="n">
        <v>0.1</v>
      </c>
      <c r="H1360" s="14" t="n">
        <v>0.0498</v>
      </c>
      <c r="I1360" s="14" t="n">
        <v>0.0460676979234776</v>
      </c>
      <c r="J1360" s="14" t="n">
        <v>0.0334154283170187</v>
      </c>
      <c r="K1360" s="14" t="n">
        <v>0.0131038680617969</v>
      </c>
      <c r="L1360" s="14" t="n">
        <v>-0.0217736634930116</v>
      </c>
      <c r="M1360" s="14" t="n">
        <v>2.39</v>
      </c>
      <c r="N1360" s="14" t="n">
        <v>2.581</v>
      </c>
      <c r="O1360" s="14" t="n">
        <v>2.694</v>
      </c>
      <c r="P1360" s="14" t="n">
        <v>2.859</v>
      </c>
      <c r="Q1360" s="14" t="n">
        <v>0</v>
      </c>
      <c r="R1360" s="14" t="n">
        <v>0</v>
      </c>
      <c r="S1360" s="14" t="n">
        <v>2</v>
      </c>
    </row>
    <row r="1361" customFormat="false" ht="15" hidden="false" customHeight="false" outlineLevel="0" collapsed="false">
      <c r="A1361" s="13" t="n">
        <v>44214</v>
      </c>
      <c r="C1361" s="14" t="n">
        <v>0.25</v>
      </c>
      <c r="D1361" s="14" t="n">
        <v>0</v>
      </c>
      <c r="E1361" s="14" t="n">
        <v>-0.565</v>
      </c>
      <c r="F1361" s="14" t="n">
        <v>-0.5</v>
      </c>
      <c r="G1361" s="14" t="n">
        <v>0.1</v>
      </c>
      <c r="H1361" s="14" t="n">
        <v>0.0495</v>
      </c>
      <c r="I1361" s="14" t="n">
        <v>0.0415364028751006</v>
      </c>
      <c r="J1361" s="14" t="n">
        <v>0.0314555724726332</v>
      </c>
      <c r="K1361" s="14" t="n">
        <v>0.0125441362013396</v>
      </c>
      <c r="L1361" s="14" t="n">
        <v>-0.0221145606159225</v>
      </c>
      <c r="M1361" s="14" t="n">
        <v>2.388</v>
      </c>
      <c r="N1361" s="14" t="n">
        <v>2.578</v>
      </c>
      <c r="O1361" s="14" t="n">
        <v>2.69</v>
      </c>
      <c r="P1361" s="14" t="n">
        <v>2.857</v>
      </c>
      <c r="Q1361" s="14" t="n">
        <v>0</v>
      </c>
      <c r="R1361" s="14" t="n">
        <v>0</v>
      </c>
      <c r="S1361" s="14" t="n">
        <v>2</v>
      </c>
    </row>
    <row r="1362" customFormat="false" ht="15" hidden="false" customHeight="false" outlineLevel="0" collapsed="false">
      <c r="A1362" s="13" t="n">
        <v>44215</v>
      </c>
      <c r="B1362" s="14" t="n">
        <v>0.07</v>
      </c>
      <c r="C1362" s="14" t="n">
        <v>0.25</v>
      </c>
      <c r="D1362" s="14" t="n">
        <v>0</v>
      </c>
      <c r="E1362" s="14" t="n">
        <v>-0.564</v>
      </c>
      <c r="F1362" s="14" t="n">
        <v>-0.5</v>
      </c>
      <c r="G1362" s="14" t="n">
        <v>0.1</v>
      </c>
      <c r="H1362" s="14" t="n">
        <v>0.05</v>
      </c>
      <c r="I1362" s="14" t="n">
        <v>0.0446792455023113</v>
      </c>
      <c r="J1362" s="14" t="n">
        <v>0.0329043026200624</v>
      </c>
      <c r="K1362" s="14" t="n">
        <v>0.0126852092121787</v>
      </c>
      <c r="L1362" s="14" t="n">
        <v>-0.0221608874925981</v>
      </c>
      <c r="M1362" s="14" t="n">
        <v>2.396</v>
      </c>
      <c r="N1362" s="14" t="n">
        <v>2.573</v>
      </c>
      <c r="O1362" s="14" t="n">
        <v>2.685</v>
      </c>
      <c r="P1362" s="14" t="n">
        <v>2.858</v>
      </c>
      <c r="Q1362" s="14" t="n">
        <v>0</v>
      </c>
      <c r="R1362" s="14" t="n">
        <v>0</v>
      </c>
      <c r="S1362" s="14" t="n">
        <v>2</v>
      </c>
    </row>
    <row r="1363" customFormat="false" ht="15" hidden="false" customHeight="false" outlineLevel="0" collapsed="false">
      <c r="A1363" s="13" t="n">
        <v>44216</v>
      </c>
      <c r="B1363" s="14" t="n">
        <v>0.06</v>
      </c>
      <c r="C1363" s="14" t="n">
        <v>0.25</v>
      </c>
      <c r="D1363" s="14" t="n">
        <v>0</v>
      </c>
      <c r="E1363" s="14" t="n">
        <v>-0.564</v>
      </c>
      <c r="F1363" s="14" t="n">
        <v>-0.5</v>
      </c>
      <c r="G1363" s="14" t="n">
        <v>0.1</v>
      </c>
      <c r="H1363" s="14" t="n">
        <v>0.0492</v>
      </c>
      <c r="I1363" s="14" t="n">
        <v>0.0420223878579675</v>
      </c>
      <c r="J1363" s="14" t="n">
        <v>0.0359027231455632</v>
      </c>
      <c r="K1363" s="14" t="n">
        <v>0.0195658686500623</v>
      </c>
      <c r="L1363" s="14" t="n">
        <v>-0.0133042208302114</v>
      </c>
      <c r="M1363" s="14" t="n">
        <v>2.464</v>
      </c>
      <c r="N1363" s="14" t="n">
        <v>2.575</v>
      </c>
      <c r="O1363" s="14" t="n">
        <v>2.688</v>
      </c>
      <c r="P1363" s="14" t="n">
        <v>2.866</v>
      </c>
      <c r="Q1363" s="14" t="n">
        <v>0</v>
      </c>
      <c r="R1363" s="14" t="n">
        <v>0</v>
      </c>
      <c r="S1363" s="14" t="n">
        <v>2</v>
      </c>
    </row>
    <row r="1364" customFormat="false" ht="15" hidden="false" customHeight="false" outlineLevel="0" collapsed="false">
      <c r="A1364" s="13" t="n">
        <v>44217</v>
      </c>
      <c r="B1364" s="14" t="n">
        <v>0.04</v>
      </c>
      <c r="C1364" s="14" t="n">
        <v>0.25</v>
      </c>
      <c r="D1364" s="14" t="n">
        <v>0</v>
      </c>
      <c r="E1364" s="14" t="n">
        <v>-0.562</v>
      </c>
      <c r="F1364" s="14" t="n">
        <v>-0.5</v>
      </c>
      <c r="G1364" s="14" t="n">
        <v>0.1</v>
      </c>
      <c r="H1364" s="14" t="n">
        <v>0.0494</v>
      </c>
      <c r="I1364" s="14" t="n">
        <v>0.0453389528925597</v>
      </c>
      <c r="J1364" s="14" t="n">
        <v>0.0370447711652999</v>
      </c>
      <c r="K1364" s="14" t="n">
        <v>0.0195648143877702</v>
      </c>
      <c r="L1364" s="14" t="n">
        <v>-0.011673129401403</v>
      </c>
      <c r="M1364" s="14" t="n">
        <v>2.489</v>
      </c>
      <c r="N1364" s="14" t="n">
        <v>2.578</v>
      </c>
      <c r="O1364" s="14" t="n">
        <v>2.688</v>
      </c>
      <c r="P1364" s="14" t="n">
        <v>2.875</v>
      </c>
      <c r="Q1364" s="14" t="n">
        <v>0</v>
      </c>
      <c r="R1364" s="14" t="n">
        <v>0</v>
      </c>
      <c r="S1364" s="14" t="n">
        <v>2</v>
      </c>
    </row>
    <row r="1365" customFormat="false" ht="15" hidden="false" customHeight="false" outlineLevel="0" collapsed="false">
      <c r="A1365" s="13" t="n">
        <v>44218</v>
      </c>
      <c r="B1365" s="14" t="n">
        <v>0.05</v>
      </c>
      <c r="C1365" s="14" t="n">
        <v>0.25</v>
      </c>
      <c r="D1365" s="14" t="n">
        <v>0</v>
      </c>
      <c r="E1365" s="14" t="n">
        <v>-0.561</v>
      </c>
      <c r="F1365" s="14" t="n">
        <v>-0.5</v>
      </c>
      <c r="G1365" s="14" t="n">
        <v>0.1</v>
      </c>
      <c r="H1365" s="14" t="n">
        <v>0.0496</v>
      </c>
      <c r="I1365" s="14" t="n">
        <v>0.0446093395561289</v>
      </c>
      <c r="J1365" s="14" t="n">
        <v>0.0363599522829315</v>
      </c>
      <c r="K1365" s="14" t="n">
        <v>0.018543009363624</v>
      </c>
      <c r="L1365" s="14" t="n">
        <v>-0.0136586902218661</v>
      </c>
      <c r="M1365" s="14" t="n">
        <v>2.503</v>
      </c>
      <c r="N1365" s="14" t="n">
        <v>2.578</v>
      </c>
      <c r="O1365" s="14" t="n">
        <v>2.688</v>
      </c>
      <c r="P1365" s="14" t="n">
        <v>2.883</v>
      </c>
      <c r="Q1365" s="14" t="n">
        <v>0</v>
      </c>
      <c r="R1365" s="14" t="n">
        <v>0</v>
      </c>
      <c r="S1365" s="14" t="n">
        <v>2</v>
      </c>
    </row>
    <row r="1366" customFormat="false" ht="15" hidden="false" customHeight="false" outlineLevel="0" collapsed="false">
      <c r="A1366" s="13" t="n">
        <v>44221</v>
      </c>
      <c r="B1366" s="14" t="n">
        <v>0.06</v>
      </c>
      <c r="C1366" s="14" t="n">
        <v>0.25</v>
      </c>
      <c r="D1366" s="14" t="n">
        <v>0</v>
      </c>
      <c r="E1366" s="14" t="n">
        <v>-0.564</v>
      </c>
      <c r="F1366" s="14" t="n">
        <v>-0.5</v>
      </c>
      <c r="G1366" s="14" t="n">
        <v>0.1</v>
      </c>
      <c r="H1366" s="14" t="n">
        <v>0.0493</v>
      </c>
      <c r="I1366" s="14" t="n">
        <v>0.0463290417682827</v>
      </c>
      <c r="J1366" s="14" t="n">
        <v>0.0345651568468165</v>
      </c>
      <c r="K1366" s="14" t="n">
        <v>0.0152631152509593</v>
      </c>
      <c r="L1366" s="14" t="n">
        <v>-0.01836095126633</v>
      </c>
      <c r="M1366" s="14" t="n">
        <v>2.512</v>
      </c>
      <c r="N1366" s="14" t="n">
        <v>2.579</v>
      </c>
      <c r="O1366" s="14" t="n">
        <v>2.691</v>
      </c>
      <c r="P1366" s="14" t="n">
        <v>2.892</v>
      </c>
      <c r="Q1366" s="14" t="n">
        <v>0</v>
      </c>
      <c r="R1366" s="14" t="n">
        <v>0</v>
      </c>
      <c r="S1366" s="14" t="n">
        <v>2</v>
      </c>
    </row>
    <row r="1367" customFormat="false" ht="15" hidden="false" customHeight="false" outlineLevel="0" collapsed="false">
      <c r="A1367" s="13" t="n">
        <v>44222</v>
      </c>
      <c r="B1367" s="14" t="n">
        <v>0.03</v>
      </c>
      <c r="C1367" s="14" t="n">
        <v>0.25</v>
      </c>
      <c r="D1367" s="14" t="n">
        <v>0</v>
      </c>
      <c r="E1367" s="14" t="n">
        <v>-0.558</v>
      </c>
      <c r="F1367" s="14" t="n">
        <v>-0.5</v>
      </c>
      <c r="G1367" s="14" t="n">
        <v>0.1</v>
      </c>
      <c r="H1367" s="14" t="n">
        <v>0.0489</v>
      </c>
      <c r="I1367" s="14" t="n">
        <v>0.0451834593132246</v>
      </c>
      <c r="J1367" s="14" t="n">
        <v>0.036642399618388</v>
      </c>
      <c r="K1367" s="14" t="n">
        <v>0.0187827433376915</v>
      </c>
      <c r="L1367" s="14" t="n">
        <v>-0.0132334145236525</v>
      </c>
      <c r="M1367" s="14" t="n">
        <v>2.547</v>
      </c>
      <c r="N1367" s="14" t="n">
        <v>2.589</v>
      </c>
      <c r="O1367" s="14" t="n">
        <v>2.699</v>
      </c>
      <c r="P1367" s="14" t="n">
        <v>2.906</v>
      </c>
      <c r="Q1367" s="14" t="n">
        <v>0</v>
      </c>
      <c r="R1367" s="14" t="n">
        <v>0</v>
      </c>
      <c r="S1367" s="14" t="n">
        <v>2</v>
      </c>
    </row>
    <row r="1368" customFormat="false" ht="15" hidden="false" customHeight="false" outlineLevel="0" collapsed="false">
      <c r="A1368" s="13" t="n">
        <v>44223</v>
      </c>
      <c r="B1368" s="14" t="n">
        <v>0.03</v>
      </c>
      <c r="C1368" s="14" t="n">
        <v>0.25</v>
      </c>
      <c r="D1368" s="14" t="n">
        <v>0</v>
      </c>
      <c r="E1368" s="14" t="n">
        <v>-0.563</v>
      </c>
      <c r="F1368" s="14" t="n">
        <v>-0.5</v>
      </c>
      <c r="G1368" s="14" t="n">
        <v>0.1</v>
      </c>
      <c r="H1368" s="14" t="n">
        <v>0.0489</v>
      </c>
      <c r="I1368" s="14" t="n">
        <v>0.0443410930088241</v>
      </c>
      <c r="J1368" s="14" t="n">
        <v>0.0353162832244577</v>
      </c>
      <c r="K1368" s="14" t="n">
        <v>0.017436352058286</v>
      </c>
      <c r="L1368" s="14" t="n">
        <v>-0.0134758142172127</v>
      </c>
      <c r="M1368" s="14" t="n">
        <v>2.632</v>
      </c>
      <c r="N1368" s="14" t="n">
        <v>2.619</v>
      </c>
      <c r="O1368" s="14" t="n">
        <v>2.707</v>
      </c>
      <c r="P1368" s="14" t="n">
        <v>2.936</v>
      </c>
      <c r="Q1368" s="14" t="n">
        <v>0</v>
      </c>
      <c r="R1368" s="14" t="n">
        <v>0</v>
      </c>
      <c r="S1368" s="14" t="n">
        <v>2</v>
      </c>
    </row>
    <row r="1369" customFormat="false" ht="15" hidden="false" customHeight="false" outlineLevel="0" collapsed="false">
      <c r="A1369" s="13" t="n">
        <v>44224</v>
      </c>
      <c r="B1369" s="14" t="n">
        <v>0.04</v>
      </c>
      <c r="C1369" s="14" t="n">
        <v>0.25</v>
      </c>
      <c r="D1369" s="14" t="n">
        <v>0</v>
      </c>
      <c r="E1369" s="14" t="n">
        <v>-0.561</v>
      </c>
      <c r="F1369" s="14" t="n">
        <v>-0.5</v>
      </c>
      <c r="G1369" s="14" t="n">
        <v>0.1</v>
      </c>
      <c r="H1369" s="14" t="n">
        <v>0.0487</v>
      </c>
      <c r="I1369" s="14" t="n">
        <v>0.0458499926830256</v>
      </c>
      <c r="J1369" s="14" t="n">
        <v>0.032395765188674</v>
      </c>
      <c r="K1369" s="14" t="n">
        <v>0.0137983011843859</v>
      </c>
      <c r="L1369" s="14" t="n">
        <v>-0.0154795169811687</v>
      </c>
      <c r="M1369" s="14" t="n">
        <v>2.708</v>
      </c>
      <c r="N1369" s="14" t="n">
        <v>2.705</v>
      </c>
      <c r="O1369" s="14" t="n">
        <v>2.756</v>
      </c>
      <c r="P1369" s="14" t="n">
        <v>2.962</v>
      </c>
      <c r="Q1369" s="14" t="n">
        <v>0</v>
      </c>
      <c r="R1369" s="14" t="n">
        <v>0</v>
      </c>
      <c r="S1369" s="14" t="n">
        <v>2</v>
      </c>
    </row>
    <row r="1370" customFormat="false" ht="15" hidden="false" customHeight="false" outlineLevel="0" collapsed="false">
      <c r="A1370" s="13" t="n">
        <v>44225</v>
      </c>
      <c r="B1370" s="14" t="n">
        <v>0.06</v>
      </c>
      <c r="C1370" s="14" t="n">
        <v>0.25</v>
      </c>
      <c r="D1370" s="14" t="n">
        <v>0</v>
      </c>
      <c r="E1370" s="14" t="n">
        <v>-0.564</v>
      </c>
      <c r="F1370" s="14" t="n">
        <v>-0.5</v>
      </c>
      <c r="G1370" s="14" t="n">
        <v>0.1</v>
      </c>
      <c r="H1370" s="14" t="n">
        <v>0.0529</v>
      </c>
      <c r="I1370" s="14" t="n">
        <v>0.0469646561754816</v>
      </c>
      <c r="J1370" s="14" t="n">
        <v>0.0340365944794006</v>
      </c>
      <c r="K1370" s="14" t="n">
        <v>0.0150250972819912</v>
      </c>
      <c r="L1370" s="14" t="n">
        <v>-0.0118231306705476</v>
      </c>
      <c r="M1370" s="14" t="n">
        <v>2.832</v>
      </c>
      <c r="N1370" s="14" t="n">
        <v>2.765</v>
      </c>
      <c r="O1370" s="14" t="n">
        <v>2.796</v>
      </c>
      <c r="P1370" s="14" t="n">
        <v>2.989</v>
      </c>
      <c r="Q1370" s="14" t="n">
        <v>0</v>
      </c>
      <c r="R1370" s="14" t="n">
        <v>0</v>
      </c>
      <c r="S1370" s="14" t="n">
        <v>2</v>
      </c>
    </row>
    <row r="1371" customFormat="false" ht="15" hidden="false" customHeight="false" outlineLevel="0" collapsed="false">
      <c r="A1371" s="13" t="n">
        <v>44228</v>
      </c>
      <c r="B1371" s="14" t="n">
        <v>0.07</v>
      </c>
      <c r="C1371" s="14" t="n">
        <v>0.25</v>
      </c>
      <c r="D1371" s="14" t="n">
        <v>0</v>
      </c>
      <c r="E1371" s="14" t="n">
        <v>-0.566</v>
      </c>
      <c r="F1371" s="14" t="n">
        <v>-0.5</v>
      </c>
      <c r="G1371" s="14" t="n">
        <v>0.1</v>
      </c>
      <c r="H1371" s="14" t="n">
        <v>0.048</v>
      </c>
      <c r="I1371" s="14" t="n">
        <v>0.0430876714327568</v>
      </c>
      <c r="J1371" s="14" t="n">
        <v>0.0355640369772497</v>
      </c>
      <c r="K1371" s="14" t="n">
        <v>0.0191360578036326</v>
      </c>
      <c r="L1371" s="14" t="n">
        <v>-0.0065113986445947</v>
      </c>
      <c r="M1371" s="14" t="n">
        <v>2.85</v>
      </c>
      <c r="N1371" s="14" t="n">
        <v>2.773</v>
      </c>
      <c r="O1371" s="14" t="n">
        <v>2.802</v>
      </c>
      <c r="P1371" s="14" t="n">
        <v>2.998</v>
      </c>
      <c r="Q1371" s="14" t="n">
        <v>0</v>
      </c>
      <c r="R1371" s="14" t="n">
        <v>0</v>
      </c>
      <c r="S1371" s="14" t="n">
        <v>2</v>
      </c>
    </row>
    <row r="1372" customFormat="false" ht="15" hidden="false" customHeight="false" outlineLevel="0" collapsed="false">
      <c r="A1372" s="13" t="n">
        <v>44229</v>
      </c>
      <c r="B1372" s="14" t="n">
        <v>0.07</v>
      </c>
      <c r="C1372" s="14" t="n">
        <v>0.25</v>
      </c>
      <c r="D1372" s="14" t="n">
        <v>0</v>
      </c>
      <c r="E1372" s="14" t="n">
        <v>-0.564</v>
      </c>
      <c r="F1372" s="14" t="n">
        <v>-0.5</v>
      </c>
      <c r="G1372" s="14" t="n">
        <v>0.1</v>
      </c>
      <c r="H1372" s="14" t="n">
        <v>0.0485</v>
      </c>
      <c r="I1372" s="14" t="n">
        <v>0.046735575749724</v>
      </c>
      <c r="J1372" s="14" t="n">
        <v>0.0354365010096051</v>
      </c>
      <c r="K1372" s="14" t="n">
        <v>0.0195148533533662</v>
      </c>
      <c r="L1372" s="14" t="n">
        <v>-0.00464094902052279</v>
      </c>
      <c r="M1372" s="14" t="n">
        <v>2.807</v>
      </c>
      <c r="N1372" s="14" t="n">
        <v>2.775</v>
      </c>
      <c r="O1372" s="14" t="n">
        <v>2.805</v>
      </c>
      <c r="P1372" s="14" t="n">
        <v>3.003</v>
      </c>
      <c r="Q1372" s="14" t="n">
        <v>0</v>
      </c>
      <c r="R1372" s="14" t="n">
        <v>0</v>
      </c>
      <c r="S1372" s="14" t="n">
        <v>2</v>
      </c>
    </row>
    <row r="1373" customFormat="false" ht="15" hidden="false" customHeight="false" outlineLevel="0" collapsed="false">
      <c r="A1373" s="13" t="n">
        <v>44230</v>
      </c>
      <c r="B1373" s="14" t="n">
        <v>0.07</v>
      </c>
      <c r="C1373" s="14" t="n">
        <v>0.25</v>
      </c>
      <c r="D1373" s="14" t="n">
        <v>0</v>
      </c>
      <c r="E1373" s="14" t="n">
        <v>-0.558</v>
      </c>
      <c r="F1373" s="14" t="n">
        <v>-0.5</v>
      </c>
      <c r="G1373" s="14" t="n">
        <v>0.1</v>
      </c>
      <c r="H1373" s="14" t="n">
        <v>0.0486</v>
      </c>
      <c r="I1373" s="14" t="n">
        <v>0.0442302540533478</v>
      </c>
      <c r="J1373" s="14" t="n">
        <v>0.0360666215540074</v>
      </c>
      <c r="K1373" s="14" t="n">
        <v>0.0225020319371713</v>
      </c>
      <c r="L1373" s="14" t="n">
        <v>0.00106256908370826</v>
      </c>
      <c r="M1373" s="14" t="n">
        <v>2.772</v>
      </c>
      <c r="N1373" s="14" t="n">
        <v>2.776</v>
      </c>
      <c r="O1373" s="14" t="n">
        <v>2.807</v>
      </c>
      <c r="P1373" s="14" t="n">
        <v>3.002</v>
      </c>
      <c r="Q1373" s="14" t="n">
        <v>0</v>
      </c>
      <c r="R1373" s="14" t="n">
        <v>0</v>
      </c>
      <c r="S1373" s="14" t="n">
        <v>2</v>
      </c>
    </row>
    <row r="1374" customFormat="false" ht="15" hidden="false" customHeight="false" outlineLevel="0" collapsed="false">
      <c r="A1374" s="13" t="n">
        <v>44231</v>
      </c>
      <c r="B1374" s="14" t="n">
        <v>0.05</v>
      </c>
      <c r="C1374" s="14" t="n">
        <v>0.25</v>
      </c>
      <c r="D1374" s="14" t="n">
        <v>0</v>
      </c>
      <c r="E1374" s="14" t="n">
        <v>-0.564</v>
      </c>
      <c r="F1374" s="14" t="n">
        <v>-0.5</v>
      </c>
      <c r="G1374" s="14" t="n">
        <v>0.1</v>
      </c>
      <c r="H1374" s="14" t="n">
        <v>0.0484</v>
      </c>
      <c r="I1374" s="14" t="n">
        <v>0.0489709165954985</v>
      </c>
      <c r="J1374" s="14" t="n">
        <v>0.0473117223888546</v>
      </c>
      <c r="K1374" s="14" t="n">
        <v>0.0433426842464987</v>
      </c>
      <c r="L1374" s="14" t="n">
        <v>0.0300973136706079</v>
      </c>
      <c r="M1374" s="14" t="n">
        <v>2.752</v>
      </c>
      <c r="N1374" s="14" t="n">
        <v>2.776</v>
      </c>
      <c r="O1374" s="14" t="n">
        <v>2.807</v>
      </c>
      <c r="P1374" s="14" t="n">
        <v>3.002</v>
      </c>
      <c r="Q1374" s="14" t="n">
        <v>0</v>
      </c>
      <c r="R1374" s="14" t="n">
        <v>0</v>
      </c>
      <c r="S1374" s="14" t="n">
        <v>2</v>
      </c>
    </row>
    <row r="1375" customFormat="false" ht="15" hidden="false" customHeight="false" outlineLevel="0" collapsed="false">
      <c r="A1375" s="13" t="n">
        <v>44232</v>
      </c>
      <c r="B1375" s="14" t="n">
        <v>0.02</v>
      </c>
      <c r="C1375" s="14" t="n">
        <v>0.25</v>
      </c>
      <c r="D1375" s="14" t="n">
        <v>0</v>
      </c>
      <c r="E1375" s="14" t="n">
        <v>-0.565</v>
      </c>
      <c r="F1375" s="14" t="n">
        <v>-0.5</v>
      </c>
      <c r="G1375" s="14" t="n">
        <v>0.1</v>
      </c>
      <c r="H1375" s="14" t="n">
        <v>0.0482</v>
      </c>
      <c r="I1375" s="14" t="n">
        <v>0.0491523748909086</v>
      </c>
      <c r="J1375" s="14" t="n">
        <v>0.0491505130193209</v>
      </c>
      <c r="K1375" s="14" t="n">
        <v>0.0469480843177389</v>
      </c>
      <c r="L1375" s="14" t="n">
        <v>0.0378625602273124</v>
      </c>
      <c r="M1375" s="14" t="n">
        <v>2.753</v>
      </c>
      <c r="N1375" s="14" t="n">
        <v>2.779</v>
      </c>
      <c r="O1375" s="14" t="n">
        <v>2.807</v>
      </c>
      <c r="P1375" s="14" t="n">
        <v>3.007</v>
      </c>
      <c r="Q1375" s="14" t="n">
        <v>0</v>
      </c>
      <c r="R1375" s="14" t="n">
        <v>0</v>
      </c>
      <c r="S1375" s="14" t="n">
        <v>2</v>
      </c>
    </row>
    <row r="1376" customFormat="false" ht="15" hidden="false" customHeight="false" outlineLevel="0" collapsed="false">
      <c r="A1376" s="13" t="n">
        <v>44234</v>
      </c>
      <c r="C1376" s="14" t="n">
        <v>0.25</v>
      </c>
      <c r="D1376" s="14" t="n">
        <v>0</v>
      </c>
      <c r="F1376" s="14" t="n">
        <v>-0.5</v>
      </c>
      <c r="M1376" s="14" t="n">
        <v>2.752</v>
      </c>
      <c r="N1376" s="14" t="n">
        <v>2.78</v>
      </c>
      <c r="O1376" s="14" t="n">
        <v>2.808</v>
      </c>
      <c r="P1376" s="14" t="n">
        <v>3.013</v>
      </c>
      <c r="S1376" s="14" t="n">
        <v>2</v>
      </c>
    </row>
    <row r="1377" customFormat="false" ht="15" hidden="false" customHeight="false" outlineLevel="0" collapsed="false">
      <c r="A1377" s="13" t="n">
        <v>44235</v>
      </c>
      <c r="B1377" s="14" t="n">
        <v>0.02</v>
      </c>
      <c r="C1377" s="14" t="n">
        <v>0.25</v>
      </c>
      <c r="D1377" s="14" t="n">
        <v>0</v>
      </c>
      <c r="E1377" s="14" t="n">
        <v>-0.563</v>
      </c>
      <c r="F1377" s="14" t="n">
        <v>-0.5</v>
      </c>
      <c r="G1377" s="14" t="n">
        <v>0.1</v>
      </c>
      <c r="H1377" s="14" t="n">
        <v>0.048</v>
      </c>
      <c r="I1377" s="14" t="n">
        <v>0.0490809908164769</v>
      </c>
      <c r="J1377" s="14" t="n">
        <v>0.0481725843087086</v>
      </c>
      <c r="K1377" s="14" t="n">
        <v>0.0448333211707121</v>
      </c>
      <c r="L1377" s="14" t="n">
        <v>0.0309136007187696</v>
      </c>
      <c r="M1377" s="14" t="n">
        <v>2.755</v>
      </c>
      <c r="N1377" s="14" t="n">
        <v>2.791</v>
      </c>
      <c r="O1377" s="14" t="n">
        <v>2.828</v>
      </c>
      <c r="P1377" s="14" t="n">
        <v>3.024</v>
      </c>
      <c r="Q1377" s="14" t="n">
        <v>0</v>
      </c>
      <c r="R1377" s="14" t="n">
        <v>0</v>
      </c>
      <c r="S1377" s="14" t="n">
        <v>2</v>
      </c>
    </row>
    <row r="1378" customFormat="false" ht="15" hidden="false" customHeight="false" outlineLevel="0" collapsed="false">
      <c r="A1378" s="13" t="n">
        <v>44236</v>
      </c>
      <c r="B1378" s="14" t="n">
        <v>0.05</v>
      </c>
      <c r="C1378" s="14" t="n">
        <v>0.25</v>
      </c>
      <c r="D1378" s="14" t="n">
        <v>0</v>
      </c>
      <c r="E1378" s="14" t="n">
        <v>-0.564</v>
      </c>
      <c r="F1378" s="14" t="n">
        <v>-0.5</v>
      </c>
      <c r="G1378" s="14" t="n">
        <v>0.1</v>
      </c>
      <c r="H1378" s="14" t="n">
        <v>0.0482</v>
      </c>
      <c r="I1378" s="14" t="n">
        <v>0.0481024286686209</v>
      </c>
      <c r="J1378" s="14" t="n">
        <v>0.0482071597503515</v>
      </c>
      <c r="K1378" s="14" t="n">
        <v>0.0460505790831928</v>
      </c>
      <c r="L1378" s="14" t="n">
        <v>0.0316135312587438</v>
      </c>
      <c r="M1378" s="14" t="n">
        <v>2.759</v>
      </c>
      <c r="N1378" s="14" t="n">
        <v>2.808</v>
      </c>
      <c r="O1378" s="14" t="n">
        <v>2.85</v>
      </c>
      <c r="P1378" s="14" t="n">
        <v>3.034</v>
      </c>
      <c r="Q1378" s="14" t="n">
        <v>0</v>
      </c>
      <c r="R1378" s="14" t="n">
        <v>0</v>
      </c>
      <c r="S1378" s="14" t="n">
        <v>2</v>
      </c>
    </row>
    <row r="1379" customFormat="false" ht="15" hidden="false" customHeight="false" outlineLevel="0" collapsed="false">
      <c r="A1379" s="13" t="n">
        <v>44237</v>
      </c>
      <c r="B1379" s="14" t="n">
        <v>0.06</v>
      </c>
      <c r="C1379" s="14" t="n">
        <v>0.25</v>
      </c>
      <c r="D1379" s="14" t="n">
        <v>0</v>
      </c>
      <c r="E1379" s="14" t="n">
        <v>-0.564</v>
      </c>
      <c r="F1379" s="14" t="n">
        <v>-0.5</v>
      </c>
      <c r="G1379" s="14" t="n">
        <v>0.1</v>
      </c>
      <c r="H1379" s="14" t="n">
        <v>0.0483</v>
      </c>
      <c r="I1379" s="14" t="n">
        <v>0.0479862003019737</v>
      </c>
      <c r="J1379" s="14" t="n">
        <v>0.0489141293556981</v>
      </c>
      <c r="K1379" s="14" t="n">
        <v>0.0464565515321989</v>
      </c>
      <c r="L1379" s="14" t="n">
        <v>0.0315373919018618</v>
      </c>
      <c r="M1379" s="14" t="n">
        <v>2.754</v>
      </c>
      <c r="N1379" s="14" t="n">
        <v>2.812</v>
      </c>
      <c r="O1379" s="14" t="n">
        <v>2.862</v>
      </c>
      <c r="P1379" s="14" t="n">
        <v>3.038</v>
      </c>
      <c r="Q1379" s="14" t="n">
        <v>0</v>
      </c>
      <c r="R1379" s="14" t="n">
        <v>0</v>
      </c>
      <c r="S1379" s="14" t="n">
        <v>2</v>
      </c>
    </row>
    <row r="1380" customFormat="false" ht="15" hidden="false" customHeight="false" outlineLevel="0" collapsed="false">
      <c r="A1380" s="13" t="n">
        <v>44238</v>
      </c>
      <c r="B1380" s="14" t="n">
        <v>0.06</v>
      </c>
      <c r="C1380" s="14" t="n">
        <v>0.25</v>
      </c>
      <c r="D1380" s="14" t="n">
        <v>0</v>
      </c>
      <c r="E1380" s="14" t="n">
        <v>-0.565</v>
      </c>
      <c r="F1380" s="14" t="n">
        <v>-0.5</v>
      </c>
      <c r="G1380" s="14" t="n">
        <v>0.1</v>
      </c>
      <c r="H1380" s="14" t="n">
        <v>0.0484</v>
      </c>
      <c r="I1380" s="14" t="n">
        <v>0.0478728219470293</v>
      </c>
      <c r="J1380" s="14" t="n">
        <v>0.0483803300847009</v>
      </c>
      <c r="K1380" s="14" t="n">
        <v>0.0468104277534283</v>
      </c>
      <c r="L1380" s="14" t="n">
        <v>0.0310576236883489</v>
      </c>
      <c r="Q1380" s="14" t="n">
        <v>0</v>
      </c>
      <c r="R1380" s="14" t="n">
        <v>0</v>
      </c>
      <c r="S1380" s="14" t="n">
        <v>2</v>
      </c>
    </row>
    <row r="1381" customFormat="false" ht="15" hidden="false" customHeight="false" outlineLevel="0" collapsed="false">
      <c r="A1381" s="13" t="n">
        <v>44239</v>
      </c>
      <c r="B1381" s="14" t="n">
        <v>0.05</v>
      </c>
      <c r="C1381" s="14" t="n">
        <v>0.25</v>
      </c>
      <c r="D1381" s="14" t="n">
        <v>0</v>
      </c>
      <c r="E1381" s="14" t="n">
        <v>-0.564</v>
      </c>
      <c r="F1381" s="14" t="n">
        <v>-0.5</v>
      </c>
      <c r="G1381" s="14" t="n">
        <v>0.1</v>
      </c>
      <c r="H1381" s="14" t="n">
        <v>0.0481</v>
      </c>
      <c r="I1381" s="14" t="n">
        <v>0.0489569943003334</v>
      </c>
      <c r="J1381" s="14" t="n">
        <v>0.0491519737257098</v>
      </c>
      <c r="K1381" s="14" t="n">
        <v>0.0475010168121584</v>
      </c>
      <c r="L1381" s="14" t="n">
        <v>0.033171441035626</v>
      </c>
      <c r="Q1381" s="14" t="n">
        <v>0</v>
      </c>
      <c r="R1381" s="14" t="n">
        <v>0</v>
      </c>
      <c r="S1381" s="14" t="n">
        <v>2</v>
      </c>
    </row>
    <row r="1382" customFormat="false" ht="15" hidden="false" customHeight="false" outlineLevel="0" collapsed="false">
      <c r="A1382" s="13" t="n">
        <v>44242</v>
      </c>
      <c r="C1382" s="14" t="n">
        <v>0.25</v>
      </c>
      <c r="D1382" s="14" t="n">
        <v>0</v>
      </c>
      <c r="E1382" s="14" t="n">
        <v>-0.563</v>
      </c>
      <c r="F1382" s="14" t="n">
        <v>-0.5</v>
      </c>
      <c r="G1382" s="14" t="n">
        <v>0.1</v>
      </c>
      <c r="H1382" s="14" t="n">
        <v>0.048</v>
      </c>
      <c r="I1382" s="14" t="n">
        <v>0.060637553683932</v>
      </c>
      <c r="J1382" s="14" t="n">
        <v>0.0606719511838857</v>
      </c>
      <c r="K1382" s="14" t="n">
        <v>0.0514507812494185</v>
      </c>
      <c r="L1382" s="14" t="n">
        <v>0.0415495465198334</v>
      </c>
      <c r="Q1382" s="14" t="n">
        <v>0</v>
      </c>
      <c r="R1382" s="14" t="n">
        <v>0</v>
      </c>
      <c r="S1382" s="14" t="n">
        <v>2</v>
      </c>
    </row>
    <row r="1383" customFormat="false" ht="15" hidden="false" customHeight="false" outlineLevel="0" collapsed="false">
      <c r="A1383" s="13" t="n">
        <v>44243</v>
      </c>
      <c r="B1383" s="14" t="n">
        <v>0.06</v>
      </c>
      <c r="C1383" s="14" t="n">
        <v>0.25</v>
      </c>
      <c r="D1383" s="14" t="n">
        <v>0</v>
      </c>
      <c r="E1383" s="14" t="n">
        <v>-0.564</v>
      </c>
      <c r="F1383" s="14" t="n">
        <v>-0.5</v>
      </c>
      <c r="G1383" s="14" t="n">
        <v>0.1</v>
      </c>
      <c r="H1383" s="14" t="n">
        <v>0.0483</v>
      </c>
      <c r="I1383" s="14" t="n">
        <v>0.0604332999559193</v>
      </c>
      <c r="J1383" s="14" t="n">
        <v>0.0633995864838694</v>
      </c>
      <c r="K1383" s="14" t="n">
        <v>0.0537361530289964</v>
      </c>
      <c r="L1383" s="14" t="n">
        <v>0.036418278622688</v>
      </c>
      <c r="Q1383" s="14" t="n">
        <v>0</v>
      </c>
      <c r="R1383" s="14" t="n">
        <v>0</v>
      </c>
      <c r="S1383" s="14" t="n">
        <v>2</v>
      </c>
    </row>
    <row r="1384" customFormat="false" ht="15" hidden="false" customHeight="false" outlineLevel="0" collapsed="false">
      <c r="A1384" s="13" t="n">
        <v>44244</v>
      </c>
      <c r="B1384" s="14" t="n">
        <v>0.06</v>
      </c>
      <c r="C1384" s="14" t="n">
        <v>0.25</v>
      </c>
      <c r="D1384" s="14" t="n">
        <v>0</v>
      </c>
      <c r="E1384" s="14" t="n">
        <v>-0.563</v>
      </c>
      <c r="F1384" s="14" t="n">
        <v>-0.5</v>
      </c>
      <c r="G1384" s="14" t="n">
        <v>0.1</v>
      </c>
      <c r="H1384" s="14" t="n">
        <v>0.0487</v>
      </c>
      <c r="I1384" s="14" t="n">
        <v>0.0596737665543743</v>
      </c>
      <c r="J1384" s="14" t="n">
        <v>0.0542277604465364</v>
      </c>
      <c r="K1384" s="14" t="n">
        <v>0.0474267910173381</v>
      </c>
      <c r="L1384" s="14" t="n">
        <v>0.0332183978322243</v>
      </c>
      <c r="Q1384" s="14" t="n">
        <v>0</v>
      </c>
      <c r="R1384" s="14" t="n">
        <v>0</v>
      </c>
      <c r="S1384" s="14" t="n">
        <v>2</v>
      </c>
    </row>
    <row r="1385" customFormat="false" ht="15" hidden="false" customHeight="false" outlineLevel="0" collapsed="false">
      <c r="A1385" s="13" t="n">
        <v>44245</v>
      </c>
      <c r="B1385" s="14" t="n">
        <v>0.03</v>
      </c>
      <c r="C1385" s="14" t="n">
        <v>0.25</v>
      </c>
      <c r="D1385" s="14" t="n">
        <v>0</v>
      </c>
      <c r="E1385" s="14" t="n">
        <v>-0.562</v>
      </c>
      <c r="F1385" s="14" t="n">
        <v>-0.5</v>
      </c>
      <c r="G1385" s="14" t="n">
        <v>0.1</v>
      </c>
      <c r="H1385" s="14" t="n">
        <v>0.049</v>
      </c>
      <c r="I1385" s="14" t="n">
        <v>0.0492438875081603</v>
      </c>
      <c r="J1385" s="14" t="n">
        <v>0.0501062329269124</v>
      </c>
      <c r="K1385" s="14" t="n">
        <v>0.0494074912084691</v>
      </c>
      <c r="L1385" s="14" t="n">
        <v>0.0396841477564358</v>
      </c>
      <c r="M1385" s="14" t="n">
        <v>2.753</v>
      </c>
      <c r="N1385" s="14" t="n">
        <v>2.815</v>
      </c>
      <c r="O1385" s="14" t="n">
        <v>2.866</v>
      </c>
      <c r="P1385" s="14" t="n">
        <v>3.038</v>
      </c>
      <c r="Q1385" s="14" t="n">
        <v>0</v>
      </c>
      <c r="R1385" s="14" t="n">
        <v>0</v>
      </c>
      <c r="S1385" s="14" t="n">
        <v>2</v>
      </c>
    </row>
    <row r="1386" customFormat="false" ht="15" hidden="false" customHeight="false" outlineLevel="0" collapsed="false">
      <c r="A1386" s="13" t="n">
        <v>44246</v>
      </c>
      <c r="B1386" s="14" t="n">
        <v>0.02</v>
      </c>
      <c r="C1386" s="14" t="n">
        <v>0.25</v>
      </c>
      <c r="D1386" s="14" t="n">
        <v>0</v>
      </c>
      <c r="E1386" s="14" t="n">
        <v>-0.563</v>
      </c>
      <c r="F1386" s="14" t="n">
        <v>-0.5</v>
      </c>
      <c r="G1386" s="14" t="n">
        <v>0.1</v>
      </c>
      <c r="H1386" s="14" t="n">
        <v>0.0489</v>
      </c>
      <c r="I1386" s="14" t="n">
        <v>0.0491510582280262</v>
      </c>
      <c r="J1386" s="14" t="n">
        <v>0.0502975404983877</v>
      </c>
      <c r="K1386" s="14" t="n">
        <v>0.0507878879982907</v>
      </c>
      <c r="L1386" s="14" t="n">
        <v>0.041425091388359</v>
      </c>
      <c r="M1386" s="14" t="n">
        <v>2.745</v>
      </c>
      <c r="N1386" s="14" t="n">
        <v>2.824</v>
      </c>
      <c r="O1386" s="14" t="n">
        <v>2.876</v>
      </c>
      <c r="P1386" s="14" t="n">
        <v>3.052</v>
      </c>
      <c r="Q1386" s="14" t="n">
        <v>0</v>
      </c>
      <c r="R1386" s="14" t="n">
        <v>0</v>
      </c>
      <c r="S1386" s="14" t="n">
        <v>2</v>
      </c>
    </row>
    <row r="1387" customFormat="false" ht="15" hidden="false" customHeight="false" outlineLevel="0" collapsed="false">
      <c r="A1387" s="13" t="n">
        <v>44247</v>
      </c>
      <c r="C1387" s="14" t="n">
        <v>0.25</v>
      </c>
      <c r="D1387" s="14" t="n">
        <v>0</v>
      </c>
      <c r="F1387" s="14" t="n">
        <v>-0.5</v>
      </c>
      <c r="M1387" s="14" t="n">
        <v>2.742</v>
      </c>
      <c r="N1387" s="14" t="n">
        <v>2.832</v>
      </c>
      <c r="O1387" s="14" t="n">
        <v>2.884</v>
      </c>
      <c r="P1387" s="14" t="n">
        <v>3.063</v>
      </c>
      <c r="S1387" s="14" t="n">
        <v>2</v>
      </c>
    </row>
    <row r="1388" customFormat="false" ht="15" hidden="false" customHeight="false" outlineLevel="0" collapsed="false">
      <c r="A1388" s="13" t="n">
        <v>44249</v>
      </c>
      <c r="B1388" s="14" t="n">
        <v>0.03</v>
      </c>
      <c r="C1388" s="14" t="n">
        <v>0.25</v>
      </c>
      <c r="D1388" s="14" t="n">
        <v>0</v>
      </c>
      <c r="E1388" s="14" t="n">
        <v>-0.564</v>
      </c>
      <c r="F1388" s="14" t="n">
        <v>-0.5</v>
      </c>
      <c r="G1388" s="14" t="n">
        <v>0.1</v>
      </c>
      <c r="H1388" s="14" t="n">
        <v>0.049</v>
      </c>
      <c r="I1388" s="14" t="n">
        <v>0.0485362539771969</v>
      </c>
      <c r="J1388" s="14" t="n">
        <v>0.0526457542814139</v>
      </c>
      <c r="K1388" s="14" t="n">
        <v>0.0536524736633286</v>
      </c>
      <c r="L1388" s="14" t="n">
        <v>0.0393840915437296</v>
      </c>
      <c r="M1388" s="14" t="n">
        <v>2.74</v>
      </c>
      <c r="N1388" s="14" t="n">
        <v>2.845</v>
      </c>
      <c r="O1388" s="14" t="n">
        <v>2.895</v>
      </c>
      <c r="P1388" s="14" t="n">
        <v>3.076</v>
      </c>
      <c r="Q1388" s="14" t="n">
        <v>0</v>
      </c>
      <c r="R1388" s="14" t="n">
        <v>0</v>
      </c>
      <c r="S1388" s="14" t="n">
        <v>2</v>
      </c>
    </row>
    <row r="1389" customFormat="false" ht="15" hidden="false" customHeight="false" outlineLevel="0" collapsed="false">
      <c r="A1389" s="13" t="n">
        <v>44250</v>
      </c>
      <c r="B1389" s="14" t="n">
        <v>0.01</v>
      </c>
      <c r="C1389" s="14" t="n">
        <v>0.25</v>
      </c>
      <c r="D1389" s="14" t="n">
        <v>0</v>
      </c>
      <c r="E1389" s="14" t="n">
        <v>-0.565</v>
      </c>
      <c r="F1389" s="14" t="n">
        <v>-0.5</v>
      </c>
      <c r="G1389" s="14" t="n">
        <v>0.1</v>
      </c>
      <c r="H1389" s="14" t="n">
        <v>0.0486</v>
      </c>
      <c r="I1389" s="14" t="n">
        <v>0.0422196386100294</v>
      </c>
      <c r="J1389" s="14" t="n">
        <v>0.0520269455207688</v>
      </c>
      <c r="K1389" s="14" t="n">
        <v>0.0543667665681391</v>
      </c>
      <c r="L1389" s="14" t="n">
        <v>0.0424504922118512</v>
      </c>
      <c r="M1389" s="14" t="n">
        <v>2.733</v>
      </c>
      <c r="N1389" s="14" t="n">
        <v>2.848</v>
      </c>
      <c r="O1389" s="14" t="n">
        <v>2.9</v>
      </c>
      <c r="P1389" s="14" t="n">
        <v>3.085</v>
      </c>
      <c r="Q1389" s="14" t="n">
        <v>0</v>
      </c>
      <c r="R1389" s="14" t="n">
        <v>0</v>
      </c>
      <c r="S1389" s="14" t="n">
        <v>2</v>
      </c>
    </row>
    <row r="1390" customFormat="false" ht="15" hidden="false" customHeight="false" outlineLevel="0" collapsed="false">
      <c r="A1390" s="13" t="n">
        <v>44251</v>
      </c>
      <c r="B1390" s="14" t="n">
        <v>0.02</v>
      </c>
      <c r="C1390" s="14" t="n">
        <v>0.25</v>
      </c>
      <c r="D1390" s="14" t="n">
        <v>0</v>
      </c>
      <c r="E1390" s="14" t="n">
        <v>-0.564</v>
      </c>
      <c r="F1390" s="14" t="n">
        <v>-0.5</v>
      </c>
      <c r="G1390" s="14" t="n">
        <v>0.1</v>
      </c>
      <c r="H1390" s="14" t="n">
        <v>0.049</v>
      </c>
      <c r="I1390" s="14" t="n">
        <v>0.0498026065869963</v>
      </c>
      <c r="J1390" s="14" t="n">
        <v>0.0508300861515698</v>
      </c>
      <c r="K1390" s="14" t="n">
        <v>0.0507203612770334</v>
      </c>
      <c r="L1390" s="14" t="n">
        <v>0.043780448296339</v>
      </c>
      <c r="M1390" s="14" t="n">
        <v>2.727</v>
      </c>
      <c r="N1390" s="14" t="n">
        <v>2.843</v>
      </c>
      <c r="O1390" s="14" t="n">
        <v>2.902</v>
      </c>
      <c r="P1390" s="14" t="n">
        <v>3.094</v>
      </c>
      <c r="Q1390" s="14" t="n">
        <v>0</v>
      </c>
      <c r="R1390" s="14" t="n">
        <v>0</v>
      </c>
      <c r="S1390" s="14" t="n">
        <v>2</v>
      </c>
    </row>
    <row r="1391" customFormat="false" ht="15" hidden="false" customHeight="false" outlineLevel="0" collapsed="false">
      <c r="A1391" s="13" t="n">
        <v>44252</v>
      </c>
      <c r="B1391" s="14" t="n">
        <v>0.03</v>
      </c>
      <c r="C1391" s="14" t="n">
        <v>0.25</v>
      </c>
      <c r="D1391" s="14" t="n">
        <v>0</v>
      </c>
      <c r="E1391" s="14" t="n">
        <v>-0.564</v>
      </c>
      <c r="F1391" s="14" t="n">
        <v>-0.5</v>
      </c>
      <c r="G1391" s="14" t="n">
        <v>0.1</v>
      </c>
      <c r="H1391" s="14" t="n">
        <v>0.0491</v>
      </c>
      <c r="I1391" s="14" t="n">
        <v>0.0510586212261699</v>
      </c>
      <c r="J1391" s="14" t="n">
        <v>0.0520462576985482</v>
      </c>
      <c r="K1391" s="14" t="n">
        <v>0.0520687586741211</v>
      </c>
      <c r="L1391" s="14" t="n">
        <v>0.0553264113514349</v>
      </c>
      <c r="M1391" s="14" t="n">
        <v>2.721</v>
      </c>
      <c r="N1391" s="14" t="n">
        <v>2.836</v>
      </c>
      <c r="O1391" s="14" t="n">
        <v>2.9</v>
      </c>
      <c r="P1391" s="14" t="n">
        <v>3.101</v>
      </c>
      <c r="Q1391" s="14" t="n">
        <v>0</v>
      </c>
      <c r="R1391" s="14" t="n">
        <v>0</v>
      </c>
      <c r="S1391" s="14" t="n">
        <v>2</v>
      </c>
    </row>
    <row r="1392" customFormat="false" ht="15" hidden="false" customHeight="false" outlineLevel="0" collapsed="false">
      <c r="A1392" s="13" t="n">
        <v>44253</v>
      </c>
      <c r="B1392" s="14" t="n">
        <v>0.01</v>
      </c>
      <c r="C1392" s="14" t="n">
        <v>0.25</v>
      </c>
      <c r="D1392" s="14" t="n">
        <v>0</v>
      </c>
      <c r="E1392" s="14" t="n">
        <v>-0.566</v>
      </c>
      <c r="F1392" s="14" t="n">
        <v>-0.5</v>
      </c>
      <c r="G1392" s="14" t="n">
        <v>0.1</v>
      </c>
      <c r="H1392" s="14" t="n">
        <v>0.0512</v>
      </c>
      <c r="I1392" s="14" t="n">
        <v>0.0499820411158881</v>
      </c>
      <c r="J1392" s="14" t="n">
        <v>0.0499866111228704</v>
      </c>
      <c r="K1392" s="14" t="n">
        <v>0.0512729273798847</v>
      </c>
      <c r="L1392" s="14" t="n">
        <v>0.0548729874064324</v>
      </c>
      <c r="M1392" s="14" t="n">
        <v>2.719</v>
      </c>
      <c r="N1392" s="14" t="n">
        <v>2.833</v>
      </c>
      <c r="O1392" s="14" t="n">
        <v>2.9</v>
      </c>
      <c r="P1392" s="14" t="n">
        <v>3.104</v>
      </c>
      <c r="Q1392" s="14" t="n">
        <v>0</v>
      </c>
      <c r="R1392" s="14" t="n">
        <v>0</v>
      </c>
      <c r="S1392" s="14" t="n">
        <v>2</v>
      </c>
    </row>
    <row r="1393" customFormat="false" ht="15" hidden="false" customHeight="false" outlineLevel="0" collapsed="false">
      <c r="A1393" s="13" t="n">
        <v>44256</v>
      </c>
      <c r="B1393" s="14" t="n">
        <v>0.02</v>
      </c>
      <c r="C1393" s="14" t="n">
        <v>0.25</v>
      </c>
      <c r="D1393" s="14" t="n">
        <v>0</v>
      </c>
      <c r="E1393" s="14" t="n">
        <v>-0.563</v>
      </c>
      <c r="F1393" s="14" t="n">
        <v>-0.5</v>
      </c>
      <c r="G1393" s="14" t="n">
        <v>0.1</v>
      </c>
      <c r="H1393" s="14" t="n">
        <v>0.0488</v>
      </c>
      <c r="I1393" s="14" t="n">
        <v>0.0513601135557079</v>
      </c>
      <c r="J1393" s="14" t="n">
        <v>0.0518204918213797</v>
      </c>
      <c r="K1393" s="14" t="n">
        <v>0.0518317921090363</v>
      </c>
      <c r="L1393" s="14" t="n">
        <v>0.0518069516649441</v>
      </c>
      <c r="M1393" s="14" t="n">
        <v>2.701</v>
      </c>
      <c r="N1393" s="14" t="n">
        <v>2.813</v>
      </c>
      <c r="O1393" s="14" t="n">
        <v>2.899</v>
      </c>
      <c r="P1393" s="14" t="n">
        <v>3.105</v>
      </c>
      <c r="Q1393" s="14" t="n">
        <v>0</v>
      </c>
      <c r="R1393" s="14" t="n">
        <v>0</v>
      </c>
      <c r="S1393" s="14" t="n">
        <v>2</v>
      </c>
    </row>
    <row r="1394" customFormat="false" ht="15" hidden="false" customHeight="false" outlineLevel="0" collapsed="false">
      <c r="A1394" s="13" t="n">
        <v>44257</v>
      </c>
      <c r="B1394" s="14" t="n">
        <v>0.04</v>
      </c>
      <c r="C1394" s="14" t="n">
        <v>0.25</v>
      </c>
      <c r="D1394" s="14" t="n">
        <v>0</v>
      </c>
      <c r="E1394" s="14" t="n">
        <v>-0.565</v>
      </c>
      <c r="F1394" s="14" t="n">
        <v>-0.5</v>
      </c>
      <c r="G1394" s="14" t="n">
        <v>0.1</v>
      </c>
      <c r="H1394" s="14" t="n">
        <v>0.0491</v>
      </c>
      <c r="I1394" s="14" t="n">
        <v>0.0442476524438939</v>
      </c>
      <c r="J1394" s="14" t="n">
        <v>0.050010051605225</v>
      </c>
      <c r="K1394" s="14" t="n">
        <v>0.0521946681610002</v>
      </c>
      <c r="L1394" s="14" t="n">
        <v>0.0500593715012479</v>
      </c>
      <c r="M1394" s="14" t="n">
        <v>2.682</v>
      </c>
      <c r="N1394" s="14" t="n">
        <v>2.804</v>
      </c>
      <c r="O1394" s="14" t="n">
        <v>2.899</v>
      </c>
      <c r="P1394" s="14" t="n">
        <v>3.106</v>
      </c>
      <c r="Q1394" s="14" t="n">
        <v>0</v>
      </c>
      <c r="R1394" s="14" t="n">
        <v>0</v>
      </c>
      <c r="S1394" s="14" t="n">
        <v>2</v>
      </c>
    </row>
    <row r="1395" customFormat="false" ht="15" hidden="false" customHeight="false" outlineLevel="0" collapsed="false">
      <c r="A1395" s="13" t="n">
        <v>44258</v>
      </c>
      <c r="B1395" s="14" t="n">
        <v>0.04</v>
      </c>
      <c r="C1395" s="14" t="n">
        <v>0.25</v>
      </c>
      <c r="D1395" s="14" t="n">
        <v>0</v>
      </c>
      <c r="E1395" s="14" t="n">
        <v>-0.565</v>
      </c>
      <c r="F1395" s="14" t="n">
        <v>-0.5</v>
      </c>
      <c r="G1395" s="14" t="n">
        <v>0.1</v>
      </c>
      <c r="H1395" s="14" t="n">
        <v>0.049</v>
      </c>
      <c r="I1395" s="14" t="n">
        <v>0.0503114119875669</v>
      </c>
      <c r="J1395" s="14" t="n">
        <v>0.0459006220293825</v>
      </c>
      <c r="K1395" s="14" t="n">
        <v>0.0507788471681364</v>
      </c>
      <c r="L1395" s="14" t="n">
        <v>0.0527092495657956</v>
      </c>
      <c r="M1395" s="14" t="n">
        <v>2.654</v>
      </c>
      <c r="N1395" s="14" t="n">
        <v>2.794</v>
      </c>
      <c r="O1395" s="14" t="n">
        <v>2.898</v>
      </c>
      <c r="P1395" s="14" t="n">
        <v>3.103</v>
      </c>
      <c r="Q1395" s="14" t="n">
        <v>0</v>
      </c>
      <c r="R1395" s="14" t="n">
        <v>0</v>
      </c>
      <c r="S1395" s="14" t="n">
        <v>2</v>
      </c>
    </row>
    <row r="1396" customFormat="false" ht="15" hidden="false" customHeight="false" outlineLevel="0" collapsed="false">
      <c r="A1396" s="13" t="n">
        <v>44259</v>
      </c>
      <c r="B1396" s="14" t="n">
        <v>0.02</v>
      </c>
      <c r="C1396" s="14" t="n">
        <v>0.25</v>
      </c>
      <c r="D1396" s="14" t="n">
        <v>0</v>
      </c>
      <c r="E1396" s="14" t="n">
        <v>-0.565</v>
      </c>
      <c r="F1396" s="14" t="n">
        <v>-0.5</v>
      </c>
      <c r="G1396" s="14" t="n">
        <v>0.1</v>
      </c>
      <c r="H1396" s="14" t="n">
        <v>0.0494</v>
      </c>
      <c r="I1396" s="14" t="n">
        <v>0.0514353165757882</v>
      </c>
      <c r="J1396" s="14" t="n">
        <v>0.0516038090984148</v>
      </c>
      <c r="K1396" s="14" t="n">
        <v>0.052107676928491</v>
      </c>
      <c r="L1396" s="14" t="n">
        <v>0.0529934114766346</v>
      </c>
      <c r="M1396" s="14" t="n">
        <v>2.629</v>
      </c>
      <c r="N1396" s="14" t="n">
        <v>2.781</v>
      </c>
      <c r="O1396" s="14" t="n">
        <v>2.893</v>
      </c>
      <c r="P1396" s="14" t="n">
        <v>3.104</v>
      </c>
      <c r="Q1396" s="14" t="n">
        <v>0</v>
      </c>
      <c r="R1396" s="14" t="n">
        <v>0</v>
      </c>
      <c r="S1396" s="14" t="n">
        <v>2</v>
      </c>
    </row>
    <row r="1397" customFormat="false" ht="15" hidden="false" customHeight="false" outlineLevel="0" collapsed="false">
      <c r="A1397" s="13" t="n">
        <v>44260</v>
      </c>
      <c r="B1397" s="14" t="n">
        <v>0.02</v>
      </c>
      <c r="C1397" s="14" t="n">
        <v>0.25</v>
      </c>
      <c r="D1397" s="14" t="n">
        <v>0</v>
      </c>
      <c r="E1397" s="14" t="n">
        <v>-0.562</v>
      </c>
      <c r="F1397" s="14" t="n">
        <v>-0.5</v>
      </c>
      <c r="G1397" s="14" t="n">
        <v>0.1</v>
      </c>
      <c r="H1397" s="14" t="n">
        <v>0.0488</v>
      </c>
      <c r="I1397" s="14" t="n">
        <v>0.047895773475831</v>
      </c>
      <c r="J1397" s="14" t="n">
        <v>0.0481129939531851</v>
      </c>
      <c r="K1397" s="14" t="n">
        <v>0.0494603680264112</v>
      </c>
      <c r="L1397" s="14" t="n">
        <v>0.0485016644755969</v>
      </c>
      <c r="M1397" s="14" t="n">
        <v>2.597</v>
      </c>
      <c r="N1397" s="14" t="n">
        <v>2.766</v>
      </c>
      <c r="O1397" s="14" t="n">
        <v>2.885</v>
      </c>
      <c r="P1397" s="14" t="n">
        <v>3.102</v>
      </c>
      <c r="Q1397" s="14" t="n">
        <v>0</v>
      </c>
      <c r="R1397" s="14" t="n">
        <v>0</v>
      </c>
      <c r="S1397" s="14" t="n">
        <v>2</v>
      </c>
    </row>
    <row r="1398" customFormat="false" ht="15" hidden="false" customHeight="false" outlineLevel="0" collapsed="false">
      <c r="A1398" s="13" t="n">
        <v>44263</v>
      </c>
      <c r="B1398" s="14" t="n">
        <v>0.02</v>
      </c>
      <c r="C1398" s="14" t="n">
        <v>0.25</v>
      </c>
      <c r="D1398" s="14" t="n">
        <v>0</v>
      </c>
      <c r="E1398" s="14" t="n">
        <v>-0.558</v>
      </c>
      <c r="F1398" s="14" t="n">
        <v>-0.5</v>
      </c>
      <c r="G1398" s="14" t="n">
        <v>0.1</v>
      </c>
      <c r="H1398" s="14" t="n">
        <v>0.0491</v>
      </c>
      <c r="I1398" s="14" t="n">
        <v>0.044455006024245</v>
      </c>
      <c r="J1398" s="14" t="n">
        <v>0.0464662015896016</v>
      </c>
      <c r="K1398" s="14" t="n">
        <v>0.0434161020925152</v>
      </c>
      <c r="L1398" s="14" t="n">
        <v>0.0468824854612744</v>
      </c>
      <c r="M1398" s="14" t="n">
        <v>2.583</v>
      </c>
      <c r="N1398" s="14" t="n">
        <v>2.749</v>
      </c>
      <c r="O1398" s="14" t="n">
        <v>2.879</v>
      </c>
      <c r="P1398" s="14" t="n">
        <v>3.102</v>
      </c>
      <c r="Q1398" s="14" t="n">
        <v>0</v>
      </c>
      <c r="R1398" s="14" t="n">
        <v>0</v>
      </c>
      <c r="S1398" s="14" t="n">
        <v>2</v>
      </c>
    </row>
    <row r="1399" customFormat="false" ht="15" hidden="false" customHeight="false" outlineLevel="0" collapsed="false">
      <c r="A1399" s="13" t="n">
        <v>44264</v>
      </c>
      <c r="B1399" s="14" t="n">
        <v>0.02</v>
      </c>
      <c r="C1399" s="14" t="n">
        <v>0.25</v>
      </c>
      <c r="D1399" s="14" t="n">
        <v>0</v>
      </c>
      <c r="E1399" s="14" t="n">
        <v>-0.56</v>
      </c>
      <c r="F1399" s="14" t="n">
        <v>-0.5</v>
      </c>
      <c r="G1399" s="14" t="n">
        <v>0.1</v>
      </c>
      <c r="H1399" s="14" t="n">
        <v>0.049</v>
      </c>
      <c r="I1399" s="14" t="n">
        <v>0.0505290212138535</v>
      </c>
      <c r="J1399" s="14" t="n">
        <v>0.0507611544420246</v>
      </c>
      <c r="K1399" s="14" t="n">
        <v>0.0492854412345674</v>
      </c>
      <c r="L1399" s="14" t="n">
        <v>0.0503233426924988</v>
      </c>
      <c r="M1399" s="14" t="n">
        <v>2.584</v>
      </c>
      <c r="N1399" s="14" t="n">
        <v>2.74</v>
      </c>
      <c r="O1399" s="14" t="n">
        <v>2.867</v>
      </c>
      <c r="P1399" s="14" t="n">
        <v>3.102</v>
      </c>
      <c r="Q1399" s="14" t="n">
        <v>0</v>
      </c>
      <c r="R1399" s="14" t="n">
        <v>0</v>
      </c>
      <c r="S1399" s="14" t="n">
        <v>2</v>
      </c>
    </row>
    <row r="1400" customFormat="false" ht="15" hidden="false" customHeight="false" outlineLevel="0" collapsed="false">
      <c r="A1400" s="13" t="n">
        <v>44265</v>
      </c>
      <c r="B1400" s="14" t="n">
        <v>0.02</v>
      </c>
      <c r="C1400" s="14" t="n">
        <v>0.25</v>
      </c>
      <c r="D1400" s="14" t="n">
        <v>0</v>
      </c>
      <c r="E1400" s="14" t="n">
        <v>-0.562</v>
      </c>
      <c r="F1400" s="14" t="n">
        <v>-0.5</v>
      </c>
      <c r="G1400" s="14" t="n">
        <v>0.1</v>
      </c>
      <c r="H1400" s="14" t="n">
        <v>0.0485</v>
      </c>
      <c r="I1400" s="14" t="n">
        <v>0.0504082515474043</v>
      </c>
      <c r="J1400" s="14" t="n">
        <v>0.0504423531115191</v>
      </c>
      <c r="K1400" s="14" t="n">
        <v>0.0498639266421218</v>
      </c>
      <c r="L1400" s="14" t="n">
        <v>0.0498328015669486</v>
      </c>
      <c r="M1400" s="14" t="n">
        <v>2.578</v>
      </c>
      <c r="N1400" s="14" t="n">
        <v>2.737</v>
      </c>
      <c r="O1400" s="14" t="n">
        <v>2.86</v>
      </c>
      <c r="P1400" s="14" t="n">
        <v>3.102</v>
      </c>
      <c r="Q1400" s="14" t="n">
        <v>0</v>
      </c>
      <c r="R1400" s="14" t="n">
        <v>0</v>
      </c>
      <c r="S1400" s="14" t="n">
        <v>2</v>
      </c>
    </row>
    <row r="1401" customFormat="false" ht="15" hidden="false" customHeight="false" outlineLevel="0" collapsed="false">
      <c r="A1401" s="13" t="n">
        <v>44266</v>
      </c>
      <c r="B1401" s="14" t="n">
        <v>0.01</v>
      </c>
      <c r="C1401" s="14" t="n">
        <v>0.25</v>
      </c>
      <c r="D1401" s="14" t="n">
        <v>0</v>
      </c>
      <c r="E1401" s="14" t="n">
        <v>-0.561</v>
      </c>
      <c r="F1401" s="14" t="n">
        <v>-0.5</v>
      </c>
      <c r="G1401" s="14" t="n">
        <v>0.1</v>
      </c>
      <c r="H1401" s="14" t="n">
        <v>0.0485</v>
      </c>
      <c r="I1401" s="14" t="n">
        <v>0.0436790498991059</v>
      </c>
      <c r="J1401" s="14" t="n">
        <v>0.0462467173761616</v>
      </c>
      <c r="K1401" s="14" t="n">
        <v>0.0490368942682878</v>
      </c>
      <c r="L1401" s="14" t="n">
        <v>0.050208699733285</v>
      </c>
      <c r="M1401" s="14" t="n">
        <v>2.574</v>
      </c>
      <c r="N1401" s="14" t="n">
        <v>2.733</v>
      </c>
      <c r="O1401" s="14" t="n">
        <v>2.855</v>
      </c>
      <c r="P1401" s="14" t="n">
        <v>3.102</v>
      </c>
      <c r="Q1401" s="14" t="n">
        <v>0</v>
      </c>
      <c r="R1401" s="14" t="n">
        <v>0</v>
      </c>
      <c r="S1401" s="14" t="n">
        <v>2</v>
      </c>
    </row>
    <row r="1402" customFormat="false" ht="15" hidden="false" customHeight="false" outlineLevel="0" collapsed="false">
      <c r="A1402" s="13" t="n">
        <v>44267</v>
      </c>
      <c r="B1402" s="14" t="n">
        <v>0.01</v>
      </c>
      <c r="C1402" s="14" t="n">
        <v>0.25</v>
      </c>
      <c r="D1402" s="14" t="n">
        <v>0</v>
      </c>
      <c r="E1402" s="14" t="n">
        <v>-0.562</v>
      </c>
      <c r="F1402" s="14" t="n">
        <v>-0.5</v>
      </c>
      <c r="G1402" s="14" t="n">
        <v>0.1</v>
      </c>
      <c r="H1402" s="14" t="n">
        <v>0.049</v>
      </c>
      <c r="I1402" s="14" t="n">
        <v>0.0498310912363178</v>
      </c>
      <c r="J1402" s="14" t="n">
        <v>0.0587843665317859</v>
      </c>
      <c r="K1402" s="14" t="n">
        <v>0.0618034269687083</v>
      </c>
      <c r="L1402" s="14" t="n">
        <v>0.0500204510808601</v>
      </c>
      <c r="M1402" s="14" t="n">
        <v>2.563</v>
      </c>
      <c r="N1402" s="14" t="n">
        <v>2.719</v>
      </c>
      <c r="O1402" s="14" t="n">
        <v>2.848</v>
      </c>
      <c r="P1402" s="14" t="n">
        <v>3.101</v>
      </c>
      <c r="Q1402" s="14" t="n">
        <v>0</v>
      </c>
      <c r="R1402" s="14" t="n">
        <v>0</v>
      </c>
      <c r="S1402" s="14" t="n">
        <v>2</v>
      </c>
    </row>
    <row r="1403" customFormat="false" ht="15" hidden="false" customHeight="false" outlineLevel="0" collapsed="false">
      <c r="A1403" s="13" t="n">
        <v>44270</v>
      </c>
      <c r="B1403" s="14" t="n">
        <v>0.01</v>
      </c>
      <c r="C1403" s="14" t="n">
        <v>0.25</v>
      </c>
      <c r="D1403" s="14" t="n">
        <v>0</v>
      </c>
      <c r="E1403" s="14" t="n">
        <v>-0.564</v>
      </c>
      <c r="F1403" s="14" t="n">
        <v>-0.5</v>
      </c>
      <c r="G1403" s="14" t="n">
        <v>0.1</v>
      </c>
      <c r="H1403" s="14" t="n">
        <v>0.0497</v>
      </c>
      <c r="I1403" s="14" t="n">
        <v>0.0509917448315602</v>
      </c>
      <c r="J1403" s="14" t="n">
        <v>0.0504303341108106</v>
      </c>
      <c r="K1403" s="14" t="n">
        <v>0.0497636589597694</v>
      </c>
      <c r="L1403" s="14" t="n">
        <v>0.0506173752751654</v>
      </c>
      <c r="M1403" s="14" t="n">
        <v>2.568</v>
      </c>
      <c r="N1403" s="14" t="n">
        <v>2.709</v>
      </c>
      <c r="O1403" s="14" t="n">
        <v>2.843</v>
      </c>
      <c r="P1403" s="14" t="n">
        <v>3.102</v>
      </c>
      <c r="Q1403" s="14" t="n">
        <v>0</v>
      </c>
      <c r="R1403" s="14" t="n">
        <v>0</v>
      </c>
      <c r="S1403" s="14" t="n">
        <v>2</v>
      </c>
    </row>
    <row r="1404" customFormat="false" ht="15" hidden="false" customHeight="false" outlineLevel="0" collapsed="false">
      <c r="A1404" s="13" t="n">
        <v>44271</v>
      </c>
      <c r="B1404" s="14" t="n">
        <v>0.01</v>
      </c>
      <c r="C1404" s="14" t="n">
        <v>0.25</v>
      </c>
      <c r="D1404" s="14" t="n">
        <v>0</v>
      </c>
      <c r="E1404" s="14" t="n">
        <v>-0.562</v>
      </c>
      <c r="F1404" s="14" t="n">
        <v>-0.5</v>
      </c>
      <c r="G1404" s="14" t="n">
        <v>0.1</v>
      </c>
      <c r="H1404" s="14" t="n">
        <v>0.0493</v>
      </c>
      <c r="I1404" s="14" t="n">
        <v>0.0501877513497023</v>
      </c>
      <c r="J1404" s="14" t="n">
        <v>0.04877975145436</v>
      </c>
      <c r="K1404" s="14" t="n">
        <v>0.0468184389720339</v>
      </c>
      <c r="L1404" s="14" t="n">
        <v>0.0502519176012684</v>
      </c>
      <c r="M1404" s="14" t="n">
        <v>2.568</v>
      </c>
      <c r="N1404" s="14" t="n">
        <v>2.705</v>
      </c>
      <c r="O1404" s="14" t="n">
        <v>2.836</v>
      </c>
      <c r="P1404" s="14" t="n">
        <v>3.102</v>
      </c>
      <c r="Q1404" s="14" t="n">
        <v>0</v>
      </c>
      <c r="R1404" s="14" t="n">
        <v>0</v>
      </c>
      <c r="S1404" s="14" t="n">
        <v>2</v>
      </c>
    </row>
    <row r="1405" customFormat="false" ht="15" hidden="false" customHeight="false" outlineLevel="0" collapsed="false">
      <c r="A1405" s="13" t="n">
        <v>44272</v>
      </c>
      <c r="B1405" s="14" t="n">
        <v>0.01</v>
      </c>
      <c r="C1405" s="14" t="n">
        <v>0.25</v>
      </c>
      <c r="D1405" s="14" t="n">
        <v>0</v>
      </c>
      <c r="E1405" s="14" t="n">
        <v>-0.561</v>
      </c>
      <c r="F1405" s="14" t="n">
        <v>-0.5</v>
      </c>
      <c r="G1405" s="14" t="n">
        <v>0.1</v>
      </c>
      <c r="H1405" s="14" t="n">
        <v>0.0494</v>
      </c>
      <c r="I1405" s="14" t="n">
        <v>0.0499978074766318</v>
      </c>
      <c r="J1405" s="14" t="n">
        <v>0.0505055959989612</v>
      </c>
      <c r="K1405" s="14" t="n">
        <v>0.0519756025023122</v>
      </c>
      <c r="L1405" s="14" t="n">
        <v>0.0554186416393018</v>
      </c>
      <c r="M1405" s="14" t="n">
        <v>2.57</v>
      </c>
      <c r="N1405" s="14" t="n">
        <v>2.704</v>
      </c>
      <c r="O1405" s="14" t="n">
        <v>2.832</v>
      </c>
      <c r="P1405" s="14" t="n">
        <v>3.1</v>
      </c>
      <c r="Q1405" s="14" t="n">
        <v>0</v>
      </c>
      <c r="R1405" s="14" t="n">
        <v>0</v>
      </c>
      <c r="S1405" s="14" t="n">
        <v>2</v>
      </c>
    </row>
    <row r="1406" customFormat="false" ht="15" hidden="false" customHeight="false" outlineLevel="0" collapsed="false">
      <c r="A1406" s="13" t="n">
        <v>44273</v>
      </c>
      <c r="B1406" s="14" t="n">
        <v>0.01</v>
      </c>
      <c r="C1406" s="14" t="n">
        <v>0.25</v>
      </c>
      <c r="D1406" s="14" t="n">
        <v>0</v>
      </c>
      <c r="E1406" s="14" t="n">
        <v>-0.566</v>
      </c>
      <c r="F1406" s="14" t="n">
        <v>-0.5</v>
      </c>
      <c r="G1406" s="14" t="n">
        <v>0.1</v>
      </c>
      <c r="H1406" s="14" t="n">
        <v>0.0493</v>
      </c>
      <c r="I1406" s="14" t="n">
        <v>0.0500287420703269</v>
      </c>
      <c r="J1406" s="14" t="n">
        <v>0.0508653671098053</v>
      </c>
      <c r="K1406" s="14" t="n">
        <v>0.0519640875273988</v>
      </c>
      <c r="L1406" s="14" t="n">
        <v>0.0569317424570339</v>
      </c>
      <c r="M1406" s="14" t="n">
        <v>2.574</v>
      </c>
      <c r="N1406" s="14" t="n">
        <v>2.703</v>
      </c>
      <c r="O1406" s="14" t="n">
        <v>2.831</v>
      </c>
      <c r="P1406" s="14" t="n">
        <v>3.1</v>
      </c>
      <c r="Q1406" s="14" t="n">
        <v>0</v>
      </c>
      <c r="R1406" s="14" t="n">
        <v>0</v>
      </c>
      <c r="S1406" s="14" t="n">
        <v>2.75</v>
      </c>
    </row>
    <row r="1407" customFormat="false" ht="15" hidden="false" customHeight="false" outlineLevel="0" collapsed="false">
      <c r="A1407" s="13" t="n">
        <v>44274</v>
      </c>
      <c r="B1407" s="14" t="n">
        <v>0.01</v>
      </c>
      <c r="C1407" s="14" t="n">
        <v>0.25</v>
      </c>
      <c r="D1407" s="14" t="n">
        <v>0</v>
      </c>
      <c r="E1407" s="14" t="n">
        <v>-0.565</v>
      </c>
      <c r="F1407" s="14" t="n">
        <v>-0.5</v>
      </c>
      <c r="G1407" s="14" t="n">
        <v>0.1</v>
      </c>
      <c r="H1407" s="14" t="n">
        <v>0.0485</v>
      </c>
      <c r="I1407" s="14" t="n">
        <v>0.0496612715094713</v>
      </c>
      <c r="J1407" s="14" t="n">
        <v>0.0502700060848478</v>
      </c>
      <c r="K1407" s="14" t="n">
        <v>0.0507013170197864</v>
      </c>
      <c r="L1407" s="14" t="n">
        <v>0.0564861237250947</v>
      </c>
      <c r="M1407" s="14" t="n">
        <v>2.577</v>
      </c>
      <c r="N1407" s="14" t="n">
        <v>2.698</v>
      </c>
      <c r="O1407" s="14" t="n">
        <v>2.836</v>
      </c>
      <c r="P1407" s="14" t="n">
        <v>3.1</v>
      </c>
      <c r="Q1407" s="14" t="n">
        <v>0</v>
      </c>
      <c r="R1407" s="14" t="n">
        <v>0</v>
      </c>
      <c r="S1407" s="14" t="n">
        <v>2.75</v>
      </c>
    </row>
    <row r="1408" customFormat="false" ht="15" hidden="false" customHeight="false" outlineLevel="0" collapsed="false">
      <c r="A1408" s="13" t="n">
        <v>44277</v>
      </c>
      <c r="B1408" s="14" t="n">
        <v>0.01</v>
      </c>
      <c r="C1408" s="14" t="n">
        <v>0.25</v>
      </c>
      <c r="D1408" s="14" t="n">
        <v>0</v>
      </c>
      <c r="E1408" s="14" t="n">
        <v>-0.566</v>
      </c>
      <c r="F1408" s="14" t="n">
        <v>-0.5</v>
      </c>
      <c r="G1408" s="14" t="n">
        <v>0.1</v>
      </c>
      <c r="H1408" s="14" t="n">
        <v>0.0489</v>
      </c>
      <c r="I1408" s="14" t="n">
        <v>0.0496664476639539</v>
      </c>
      <c r="J1408" s="14" t="n">
        <v>0.052842932258122</v>
      </c>
      <c r="K1408" s="14" t="n">
        <v>0.054215282143397</v>
      </c>
      <c r="L1408" s="14" t="n">
        <v>0.055341491057453</v>
      </c>
      <c r="M1408" s="14" t="n">
        <v>2.576</v>
      </c>
      <c r="N1408" s="14" t="n">
        <v>2.694</v>
      </c>
      <c r="O1408" s="14" t="n">
        <v>2.832</v>
      </c>
      <c r="P1408" s="14" t="n">
        <v>3.097</v>
      </c>
      <c r="Q1408" s="14" t="n">
        <v>0</v>
      </c>
      <c r="R1408" s="14" t="n">
        <v>0</v>
      </c>
      <c r="S1408" s="14" t="n">
        <v>2.75</v>
      </c>
    </row>
    <row r="1409" customFormat="false" ht="15" hidden="false" customHeight="false" outlineLevel="0" collapsed="false">
      <c r="A1409" s="13" t="n">
        <v>44278</v>
      </c>
      <c r="B1409" s="14" t="n">
        <v>0.01</v>
      </c>
      <c r="C1409" s="14" t="n">
        <v>0.25</v>
      </c>
      <c r="D1409" s="14" t="n">
        <v>0</v>
      </c>
      <c r="E1409" s="14" t="n">
        <v>-0.563</v>
      </c>
      <c r="F1409" s="14" t="n">
        <v>-0.5</v>
      </c>
      <c r="G1409" s="14" t="n">
        <v>0.1</v>
      </c>
      <c r="H1409" s="14" t="n">
        <v>0.0481</v>
      </c>
      <c r="I1409" s="14" t="n">
        <v>0.0505325564585216</v>
      </c>
      <c r="J1409" s="14" t="n">
        <v>0.0510798317352295</v>
      </c>
      <c r="K1409" s="14" t="n">
        <v>0.0513324120026106</v>
      </c>
      <c r="L1409" s="14" t="n">
        <v>0.0549550582011409</v>
      </c>
      <c r="M1409" s="14" t="n">
        <v>2.578</v>
      </c>
      <c r="N1409" s="14" t="n">
        <v>2.689</v>
      </c>
      <c r="O1409" s="14" t="n">
        <v>2.826</v>
      </c>
      <c r="P1409" s="14" t="n">
        <v>3.094</v>
      </c>
      <c r="Q1409" s="14" t="n">
        <v>0</v>
      </c>
      <c r="R1409" s="14" t="n">
        <v>0</v>
      </c>
      <c r="S1409" s="14" t="n">
        <v>2.75</v>
      </c>
    </row>
    <row r="1410" customFormat="false" ht="15" hidden="false" customHeight="false" outlineLevel="0" collapsed="false">
      <c r="A1410" s="13" t="n">
        <v>44279</v>
      </c>
      <c r="B1410" s="14" t="n">
        <v>0.01</v>
      </c>
      <c r="C1410" s="14" t="n">
        <v>0.25</v>
      </c>
      <c r="D1410" s="14" t="n">
        <v>0</v>
      </c>
      <c r="E1410" s="14" t="n">
        <v>-0.564</v>
      </c>
      <c r="F1410" s="14" t="n">
        <v>-0.5</v>
      </c>
      <c r="G1410" s="14" t="n">
        <v>0.1</v>
      </c>
      <c r="H1410" s="14" t="n">
        <v>0.0481</v>
      </c>
      <c r="I1410" s="14" t="n">
        <v>0.0503098749492058</v>
      </c>
      <c r="J1410" s="14" t="n">
        <v>0.0503554461459879</v>
      </c>
      <c r="K1410" s="14" t="n">
        <v>0.050638834686334</v>
      </c>
      <c r="L1410" s="14" t="n">
        <v>0.0548800564449228</v>
      </c>
      <c r="M1410" s="14" t="n">
        <v>2.577</v>
      </c>
      <c r="N1410" s="14" t="n">
        <v>2.681</v>
      </c>
      <c r="O1410" s="14" t="n">
        <v>2.815</v>
      </c>
      <c r="P1410" s="14" t="n">
        <v>3.09</v>
      </c>
      <c r="Q1410" s="14" t="n">
        <v>0</v>
      </c>
      <c r="R1410" s="14" t="n">
        <v>0</v>
      </c>
      <c r="S1410" s="14" t="n">
        <v>2.75</v>
      </c>
    </row>
    <row r="1411" customFormat="false" ht="15" hidden="false" customHeight="false" outlineLevel="0" collapsed="false">
      <c r="A1411" s="13" t="n">
        <v>44280</v>
      </c>
      <c r="B1411" s="14" t="n">
        <v>0.01</v>
      </c>
      <c r="C1411" s="14" t="n">
        <v>0.25</v>
      </c>
      <c r="D1411" s="14" t="n">
        <v>0</v>
      </c>
      <c r="E1411" s="14" t="n">
        <v>-0.564</v>
      </c>
      <c r="F1411" s="14" t="n">
        <v>-0.5</v>
      </c>
      <c r="G1411" s="14" t="n">
        <v>0.1</v>
      </c>
      <c r="H1411" s="14" t="n">
        <v>0.0481</v>
      </c>
      <c r="I1411" s="14" t="n">
        <v>0.0498401513362479</v>
      </c>
      <c r="J1411" s="14" t="n">
        <v>0.0497864078194188</v>
      </c>
      <c r="K1411" s="14" t="n">
        <v>0.050064544046156</v>
      </c>
      <c r="L1411" s="14" t="n">
        <v>0.0537205351526523</v>
      </c>
      <c r="M1411" s="14" t="n">
        <v>2.577</v>
      </c>
      <c r="N1411" s="14" t="n">
        <v>2.6685</v>
      </c>
      <c r="O1411" s="14" t="n">
        <v>2.809</v>
      </c>
      <c r="P1411" s="14" t="n">
        <v>3.089</v>
      </c>
      <c r="Q1411" s="14" t="n">
        <v>0</v>
      </c>
      <c r="R1411" s="14" t="n">
        <v>0</v>
      </c>
      <c r="S1411" s="14" t="n">
        <v>2.75</v>
      </c>
    </row>
    <row r="1412" customFormat="false" ht="15" hidden="false" customHeight="false" outlineLevel="0" collapsed="false">
      <c r="A1412" s="13" t="n">
        <v>44281</v>
      </c>
      <c r="B1412" s="14" t="n">
        <v>0.01</v>
      </c>
      <c r="C1412" s="14" t="n">
        <v>0.25</v>
      </c>
      <c r="D1412" s="14" t="n">
        <v>0</v>
      </c>
      <c r="E1412" s="14" t="n">
        <v>-0.568</v>
      </c>
      <c r="F1412" s="14" t="n">
        <v>-0.5</v>
      </c>
      <c r="G1412" s="14" t="n">
        <v>0.1</v>
      </c>
      <c r="H1412" s="14" t="n">
        <v>0.0481</v>
      </c>
      <c r="I1412" s="14" t="n">
        <v>0.0499493287711425</v>
      </c>
      <c r="J1412" s="14" t="n">
        <v>0.0495515483224862</v>
      </c>
      <c r="K1412" s="14" t="n">
        <v>0.050011036371044</v>
      </c>
      <c r="L1412" s="14" t="n">
        <v>0.0566532583030234</v>
      </c>
      <c r="M1412" s="14" t="n">
        <v>2.569</v>
      </c>
      <c r="N1412" s="14" t="n">
        <v>2.65</v>
      </c>
      <c r="O1412" s="14" t="n">
        <v>2.802</v>
      </c>
      <c r="P1412" s="14" t="n">
        <v>3.086</v>
      </c>
      <c r="Q1412" s="14" t="n">
        <v>0</v>
      </c>
      <c r="R1412" s="14" t="n">
        <v>0</v>
      </c>
      <c r="S1412" s="14" t="n">
        <v>2.75</v>
      </c>
    </row>
    <row r="1413" customFormat="false" ht="15" hidden="false" customHeight="false" outlineLevel="0" collapsed="false">
      <c r="A1413" s="13" t="n">
        <v>44284</v>
      </c>
      <c r="B1413" s="14" t="n">
        <v>0.01</v>
      </c>
      <c r="C1413" s="14" t="n">
        <v>0.25</v>
      </c>
      <c r="D1413" s="14" t="n">
        <v>0</v>
      </c>
      <c r="E1413" s="14" t="n">
        <v>-0.57</v>
      </c>
      <c r="F1413" s="14" t="n">
        <v>-0.5</v>
      </c>
      <c r="G1413" s="14" t="n">
        <v>0.1</v>
      </c>
      <c r="H1413" s="14" t="n">
        <v>0.048</v>
      </c>
      <c r="I1413" s="14" t="n">
        <v>0.0496240320918712</v>
      </c>
      <c r="J1413" s="14" t="n">
        <v>0.0499026973053655</v>
      </c>
      <c r="K1413" s="14" t="n">
        <v>0.0505939702347354</v>
      </c>
      <c r="L1413" s="14" t="n">
        <v>0.0554261042106889</v>
      </c>
      <c r="M1413" s="14" t="n">
        <v>2.554</v>
      </c>
      <c r="N1413" s="14" t="n">
        <v>2.642</v>
      </c>
      <c r="O1413" s="14" t="n">
        <v>2.802</v>
      </c>
      <c r="P1413" s="14" t="n">
        <v>3.083</v>
      </c>
      <c r="Q1413" s="14" t="n">
        <v>0</v>
      </c>
      <c r="R1413" s="14" t="n">
        <v>0</v>
      </c>
      <c r="S1413" s="14" t="n">
        <v>2.75</v>
      </c>
    </row>
    <row r="1414" customFormat="false" ht="15" hidden="false" customHeight="false" outlineLevel="0" collapsed="false">
      <c r="A1414" s="13" t="n">
        <v>44285</v>
      </c>
      <c r="B1414" s="14" t="n">
        <v>0.01</v>
      </c>
      <c r="C1414" s="14" t="n">
        <v>0.25</v>
      </c>
      <c r="D1414" s="14" t="n">
        <v>0</v>
      </c>
      <c r="E1414" s="14" t="n">
        <v>-0.57</v>
      </c>
      <c r="F1414" s="14" t="n">
        <v>-0.5</v>
      </c>
      <c r="G1414" s="14" t="n">
        <v>0.1</v>
      </c>
      <c r="H1414" s="14" t="n">
        <v>0.0475</v>
      </c>
      <c r="I1414" s="14" t="n">
        <v>0.0500681323260536</v>
      </c>
      <c r="J1414" s="14" t="n">
        <v>0.0498420502068569</v>
      </c>
      <c r="K1414" s="14" t="n">
        <v>0.0508531361392412</v>
      </c>
      <c r="L1414" s="14" t="n">
        <v>0.058503979447661</v>
      </c>
      <c r="M1414" s="14" t="n">
        <v>2.541</v>
      </c>
      <c r="N1414" s="14" t="n">
        <v>2.639</v>
      </c>
      <c r="O1414" s="14" t="n">
        <v>2.799</v>
      </c>
      <c r="P1414" s="14" t="n">
        <v>3.081</v>
      </c>
      <c r="Q1414" s="14" t="n">
        <v>0</v>
      </c>
      <c r="R1414" s="14" t="n">
        <v>0</v>
      </c>
      <c r="S1414" s="14" t="n">
        <v>2.75</v>
      </c>
    </row>
    <row r="1415" customFormat="false" ht="15" hidden="false" customHeight="false" outlineLevel="0" collapsed="false">
      <c r="A1415" s="13" t="n">
        <v>44286</v>
      </c>
      <c r="B1415" s="14" t="n">
        <v>0.01</v>
      </c>
      <c r="C1415" s="14" t="n">
        <v>0.25</v>
      </c>
      <c r="D1415" s="14" t="n">
        <v>0</v>
      </c>
      <c r="E1415" s="14" t="n">
        <v>-0.574</v>
      </c>
      <c r="F1415" s="14" t="n">
        <v>-0.5</v>
      </c>
      <c r="G1415" s="14" t="n">
        <v>0.1</v>
      </c>
      <c r="H1415" s="14" t="n">
        <v>0.0466</v>
      </c>
      <c r="I1415" s="14" t="n">
        <v>0.0493055562507492</v>
      </c>
      <c r="J1415" s="14" t="n">
        <v>0.0496458746769334</v>
      </c>
      <c r="K1415" s="14" t="n">
        <v>0.0507356357464393</v>
      </c>
      <c r="L1415" s="14" t="n">
        <v>0.0579594745955953</v>
      </c>
      <c r="M1415" s="14" t="n">
        <v>2.542</v>
      </c>
      <c r="N1415" s="14" t="n">
        <v>2.635</v>
      </c>
      <c r="O1415" s="14" t="n">
        <v>2.798</v>
      </c>
      <c r="P1415" s="14" t="n">
        <v>3.08</v>
      </c>
      <c r="Q1415" s="14" t="n">
        <v>0</v>
      </c>
      <c r="R1415" s="14" t="n">
        <v>0</v>
      </c>
      <c r="S1415" s="14" t="n">
        <v>2.75</v>
      </c>
    </row>
    <row r="1416" customFormat="false" ht="15" hidden="false" customHeight="false" outlineLevel="0" collapsed="false">
      <c r="A1416" s="13" t="n">
        <v>44287</v>
      </c>
      <c r="B1416" s="14" t="n">
        <v>0.01</v>
      </c>
      <c r="C1416" s="14" t="n">
        <v>0.25</v>
      </c>
      <c r="D1416" s="14" t="n">
        <v>0</v>
      </c>
      <c r="E1416" s="14" t="n">
        <v>-0.566</v>
      </c>
      <c r="F1416" s="14" t="n">
        <v>-0.5</v>
      </c>
      <c r="G1416" s="14" t="n">
        <v>0.1</v>
      </c>
      <c r="H1416" s="14" t="n">
        <v>0.0475</v>
      </c>
      <c r="I1416" s="14" t="n">
        <v>0.0496498562597358</v>
      </c>
      <c r="J1416" s="14" t="n">
        <v>0.0495651451171528</v>
      </c>
      <c r="K1416" s="14" t="n">
        <v>0.0503055500847413</v>
      </c>
      <c r="L1416" s="14" t="n">
        <v>0.0536249985940609</v>
      </c>
      <c r="M1416" s="14" t="n">
        <v>2.541</v>
      </c>
      <c r="N1416" s="14" t="n">
        <v>2.635</v>
      </c>
      <c r="O1416" s="14" t="n">
        <v>2.799</v>
      </c>
      <c r="P1416" s="14" t="n">
        <v>3.08</v>
      </c>
      <c r="S1416" s="14" t="n">
        <v>2.75</v>
      </c>
    </row>
    <row r="1417" customFormat="false" ht="15" hidden="false" customHeight="false" outlineLevel="0" collapsed="false">
      <c r="A1417" s="13" t="n">
        <v>44288</v>
      </c>
      <c r="C1417" s="14" t="n">
        <v>0.25</v>
      </c>
      <c r="D1417" s="14" t="n">
        <v>0</v>
      </c>
      <c r="F1417" s="14" t="n">
        <v>-0.5</v>
      </c>
      <c r="M1417" s="14" t="n">
        <v>2.541</v>
      </c>
      <c r="N1417" s="14" t="n">
        <v>2.634</v>
      </c>
      <c r="O1417" s="14" t="n">
        <v>2.799</v>
      </c>
      <c r="P1417" s="14" t="n">
        <v>3.079</v>
      </c>
      <c r="S1417" s="14" t="n">
        <v>2.75</v>
      </c>
    </row>
    <row r="1418" customFormat="false" ht="15" hidden="false" customHeight="false" outlineLevel="0" collapsed="false">
      <c r="A1418" s="13" t="n">
        <v>44291</v>
      </c>
      <c r="B1418" s="14" t="n">
        <v>0.01</v>
      </c>
      <c r="C1418" s="14" t="n">
        <v>0.25</v>
      </c>
      <c r="D1418" s="14" t="n">
        <v>0</v>
      </c>
      <c r="F1418" s="14" t="n">
        <v>-0.5</v>
      </c>
      <c r="S1418" s="14" t="n">
        <v>2.75</v>
      </c>
    </row>
    <row r="1419" customFormat="false" ht="15" hidden="false" customHeight="false" outlineLevel="0" collapsed="false">
      <c r="A1419" s="13" t="n">
        <v>44292</v>
      </c>
      <c r="B1419" s="14" t="n">
        <v>0.01</v>
      </c>
      <c r="C1419" s="14" t="n">
        <v>0.25</v>
      </c>
      <c r="D1419" s="14" t="n">
        <v>0</v>
      </c>
      <c r="E1419" s="14" t="n">
        <v>-0.567</v>
      </c>
      <c r="F1419" s="14" t="n">
        <v>-0.5</v>
      </c>
      <c r="G1419" s="14" t="n">
        <v>0.1</v>
      </c>
      <c r="H1419" s="14" t="n">
        <v>0.0482</v>
      </c>
      <c r="I1419" s="14" t="n">
        <v>0.0500875357209448</v>
      </c>
      <c r="J1419" s="14" t="n">
        <v>0.0496796264166167</v>
      </c>
      <c r="K1419" s="14" t="n">
        <v>0.0504225434455786</v>
      </c>
      <c r="L1419" s="14" t="n">
        <v>0.0543054711289428</v>
      </c>
      <c r="M1419" s="14" t="n">
        <v>2.533</v>
      </c>
      <c r="N1419" s="14" t="n">
        <v>2.629</v>
      </c>
      <c r="O1419" s="14" t="n">
        <v>2.798</v>
      </c>
      <c r="P1419" s="14" t="n">
        <v>3.072</v>
      </c>
      <c r="Q1419" s="14" t="n">
        <v>0</v>
      </c>
      <c r="R1419" s="14" t="n">
        <v>0</v>
      </c>
      <c r="S1419" s="14" t="n">
        <v>2.75</v>
      </c>
    </row>
    <row r="1420" customFormat="false" ht="15" hidden="false" customHeight="false" outlineLevel="0" collapsed="false">
      <c r="A1420" s="13" t="n">
        <v>44293</v>
      </c>
      <c r="B1420" s="14" t="n">
        <v>0.01</v>
      </c>
      <c r="C1420" s="14" t="n">
        <v>0.25</v>
      </c>
      <c r="D1420" s="14" t="n">
        <v>0</v>
      </c>
      <c r="E1420" s="14" t="n">
        <v>-0.567</v>
      </c>
      <c r="F1420" s="14" t="n">
        <v>-0.5</v>
      </c>
      <c r="G1420" s="14" t="n">
        <v>0.1</v>
      </c>
      <c r="H1420" s="14" t="n">
        <v>0.0483</v>
      </c>
      <c r="I1420" s="14" t="n">
        <v>0.0500922361263783</v>
      </c>
      <c r="J1420" s="14" t="n">
        <v>0.0498051883713192</v>
      </c>
      <c r="K1420" s="14" t="n">
        <v>0.0494551811550264</v>
      </c>
      <c r="L1420" s="14" t="n">
        <v>0.0494919207350982</v>
      </c>
      <c r="M1420" s="14" t="n">
        <v>2.532</v>
      </c>
      <c r="N1420" s="14" t="n">
        <v>2.62</v>
      </c>
      <c r="O1420" s="14" t="n">
        <v>2.796</v>
      </c>
      <c r="P1420" s="14" t="n">
        <v>3.068</v>
      </c>
      <c r="Q1420" s="14" t="n">
        <v>0</v>
      </c>
      <c r="R1420" s="14" t="n">
        <v>0</v>
      </c>
      <c r="S1420" s="14" t="n">
        <v>2.75</v>
      </c>
    </row>
    <row r="1421" customFormat="false" ht="15" hidden="false" customHeight="false" outlineLevel="0" collapsed="false">
      <c r="A1421" s="13" t="n">
        <v>44294</v>
      </c>
      <c r="B1421" s="14" t="n">
        <v>0.01</v>
      </c>
      <c r="C1421" s="14" t="n">
        <v>0.25</v>
      </c>
      <c r="D1421" s="14" t="n">
        <v>0</v>
      </c>
      <c r="E1421" s="14" t="n">
        <v>-0.57</v>
      </c>
      <c r="F1421" s="14" t="n">
        <v>-0.5</v>
      </c>
      <c r="G1421" s="14" t="n">
        <v>0.1</v>
      </c>
      <c r="H1421" s="14" t="n">
        <v>0.0483</v>
      </c>
      <c r="I1421" s="14" t="n">
        <v>0.0494064359136211</v>
      </c>
      <c r="J1421" s="14" t="n">
        <v>0.0511143642422081</v>
      </c>
      <c r="K1421" s="14" t="n">
        <v>0.0501575398294435</v>
      </c>
      <c r="L1421" s="14" t="n">
        <v>0.0545997319747948</v>
      </c>
      <c r="M1421" s="14" t="n">
        <v>2.523</v>
      </c>
      <c r="N1421" s="14" t="n">
        <v>2.615</v>
      </c>
      <c r="O1421" s="14" t="n">
        <v>2.798</v>
      </c>
      <c r="P1421" s="14" t="n">
        <v>3.062</v>
      </c>
      <c r="Q1421" s="14" t="n">
        <v>0</v>
      </c>
      <c r="R1421" s="14" t="n">
        <v>0</v>
      </c>
      <c r="S1421" s="14" t="n">
        <v>2.75</v>
      </c>
    </row>
    <row r="1422" customFormat="false" ht="15" hidden="false" customHeight="false" outlineLevel="0" collapsed="false">
      <c r="A1422" s="13" t="n">
        <v>44295</v>
      </c>
      <c r="B1422" s="14" t="n">
        <v>0.01</v>
      </c>
      <c r="C1422" s="14" t="n">
        <v>0.25</v>
      </c>
      <c r="D1422" s="14" t="n">
        <v>0</v>
      </c>
      <c r="E1422" s="14" t="n">
        <v>-0.568</v>
      </c>
      <c r="F1422" s="14" t="n">
        <v>-0.5</v>
      </c>
      <c r="G1422" s="14" t="n">
        <v>0.1</v>
      </c>
      <c r="H1422" s="14" t="n">
        <v>0.0484</v>
      </c>
      <c r="I1422" s="14" t="n">
        <v>0.0500266876890942</v>
      </c>
      <c r="J1422" s="14" t="n">
        <v>0.0497983094459916</v>
      </c>
      <c r="K1422" s="14" t="n">
        <v>0.0488095025552031</v>
      </c>
      <c r="L1422" s="14" t="n">
        <v>0.0580553552593323</v>
      </c>
      <c r="M1422" s="14" t="n">
        <v>2.516</v>
      </c>
      <c r="N1422" s="14" t="n">
        <v>2.612</v>
      </c>
      <c r="O1422" s="14" t="n">
        <v>2.795</v>
      </c>
      <c r="P1422" s="14" t="n">
        <v>3.059</v>
      </c>
      <c r="Q1422" s="14" t="n">
        <v>0</v>
      </c>
      <c r="R1422" s="14" t="n">
        <v>0</v>
      </c>
      <c r="S1422" s="14" t="n">
        <v>2.75</v>
      </c>
    </row>
    <row r="1423" customFormat="false" ht="15" hidden="false" customHeight="false" outlineLevel="0" collapsed="false">
      <c r="A1423" s="13" t="n">
        <v>44298</v>
      </c>
      <c r="B1423" s="14" t="n">
        <v>0.01</v>
      </c>
      <c r="C1423" s="14" t="n">
        <v>0.25</v>
      </c>
      <c r="D1423" s="14" t="n">
        <v>0</v>
      </c>
      <c r="E1423" s="14" t="n">
        <v>-0.567</v>
      </c>
      <c r="F1423" s="14" t="n">
        <v>-0.5</v>
      </c>
      <c r="G1423" s="14" t="n">
        <v>0.1</v>
      </c>
      <c r="H1423" s="14" t="n">
        <v>0.0482</v>
      </c>
      <c r="I1423" s="14" t="n">
        <v>0.0488029311449216</v>
      </c>
      <c r="J1423" s="14" t="n">
        <v>0.0488489339582771</v>
      </c>
      <c r="K1423" s="14" t="n">
        <v>0.0490885491507992</v>
      </c>
      <c r="L1423" s="14" t="n">
        <v>0.0560199660583832</v>
      </c>
      <c r="M1423" s="14" t="n">
        <v>2.51</v>
      </c>
      <c r="N1423" s="14" t="n">
        <v>2.608</v>
      </c>
      <c r="O1423" s="14" t="n">
        <v>2.797</v>
      </c>
      <c r="P1423" s="14" t="n">
        <v>3.055</v>
      </c>
      <c r="Q1423" s="14" t="n">
        <v>0</v>
      </c>
      <c r="R1423" s="14" t="n">
        <v>0</v>
      </c>
      <c r="S1423" s="14" t="n">
        <v>2.75</v>
      </c>
    </row>
    <row r="1424" customFormat="false" ht="15" hidden="false" customHeight="false" outlineLevel="0" collapsed="false">
      <c r="A1424" s="13" t="n">
        <v>44299</v>
      </c>
      <c r="B1424" s="14" t="n">
        <v>0.01</v>
      </c>
      <c r="C1424" s="14" t="n">
        <v>0.25</v>
      </c>
      <c r="D1424" s="14" t="n">
        <v>0</v>
      </c>
      <c r="E1424" s="14" t="n">
        <v>-0.563</v>
      </c>
      <c r="F1424" s="14" t="n">
        <v>-0.5</v>
      </c>
      <c r="G1424" s="14" t="n">
        <v>0.1</v>
      </c>
      <c r="H1424" s="14" t="n">
        <v>0.0481</v>
      </c>
      <c r="I1424" s="14" t="n">
        <v>0.049148631510199</v>
      </c>
      <c r="J1424" s="14" t="n">
        <v>0.0489724983789725</v>
      </c>
      <c r="K1424" s="14" t="n">
        <v>0.048711121299523</v>
      </c>
      <c r="L1424" s="14" t="n">
        <v>0.0521650353837026</v>
      </c>
      <c r="M1424" s="14" t="n">
        <v>2.508</v>
      </c>
      <c r="N1424" s="14" t="n">
        <v>2.605</v>
      </c>
      <c r="O1424" s="14" t="n">
        <v>2.798</v>
      </c>
      <c r="P1424" s="14" t="n">
        <v>3.051</v>
      </c>
      <c r="Q1424" s="14" t="n">
        <v>0</v>
      </c>
      <c r="R1424" s="14" t="n">
        <v>0</v>
      </c>
      <c r="S1424" s="14" t="n">
        <v>2.75</v>
      </c>
    </row>
    <row r="1425" customFormat="false" ht="15" hidden="false" customHeight="false" outlineLevel="0" collapsed="false">
      <c r="A1425" s="13" t="n">
        <v>44300</v>
      </c>
      <c r="B1425" s="14" t="n">
        <v>0.01</v>
      </c>
      <c r="C1425" s="14" t="n">
        <v>0.25</v>
      </c>
      <c r="D1425" s="14" t="n">
        <v>0</v>
      </c>
      <c r="E1425" s="14" t="n">
        <v>-0.56</v>
      </c>
      <c r="F1425" s="14" t="n">
        <v>-0.5</v>
      </c>
      <c r="G1425" s="14" t="n">
        <v>0.1</v>
      </c>
      <c r="H1425" s="14" t="n">
        <v>0.0482</v>
      </c>
      <c r="I1425" s="14" t="n">
        <v>0.0491517923941108</v>
      </c>
      <c r="J1425" s="14" t="n">
        <v>0.0486849147152996</v>
      </c>
      <c r="K1425" s="14" t="n">
        <v>0.0485361774420888</v>
      </c>
      <c r="L1425" s="14" t="n">
        <v>0.0525536803396947</v>
      </c>
      <c r="M1425" s="14" t="n">
        <v>2.503</v>
      </c>
      <c r="N1425" s="14" t="n">
        <v>2.603</v>
      </c>
      <c r="O1425" s="14" t="n">
        <v>2.798</v>
      </c>
      <c r="P1425" s="14" t="n">
        <v>3.042</v>
      </c>
      <c r="Q1425" s="14" t="n">
        <v>0</v>
      </c>
      <c r="R1425" s="14" t="n">
        <v>0</v>
      </c>
      <c r="S1425" s="14" t="n">
        <v>2.75</v>
      </c>
    </row>
    <row r="1426" customFormat="false" ht="15" hidden="false" customHeight="false" outlineLevel="0" collapsed="false">
      <c r="A1426" s="13" t="n">
        <v>44301</v>
      </c>
      <c r="B1426" s="14" t="n">
        <v>0.01</v>
      </c>
      <c r="C1426" s="14" t="n">
        <v>0.25</v>
      </c>
      <c r="D1426" s="14" t="n">
        <v>0</v>
      </c>
      <c r="E1426" s="14" t="n">
        <v>-0.566</v>
      </c>
      <c r="F1426" s="14" t="n">
        <v>-0.5</v>
      </c>
      <c r="G1426" s="14" t="n">
        <v>0.1</v>
      </c>
      <c r="H1426" s="14" t="n">
        <v>0.0477</v>
      </c>
      <c r="I1426" s="14" t="n">
        <v>0.0488466934107732</v>
      </c>
      <c r="J1426" s="14" t="n">
        <v>0.0491034024215172</v>
      </c>
      <c r="K1426" s="14" t="n">
        <v>0.0485462025596724</v>
      </c>
      <c r="L1426" s="14" t="n">
        <v>0.0506546547268461</v>
      </c>
      <c r="M1426" s="14" t="n">
        <v>2.502</v>
      </c>
      <c r="N1426" s="14" t="n">
        <v>2.602</v>
      </c>
      <c r="O1426" s="14" t="n">
        <v>2.798</v>
      </c>
      <c r="P1426" s="14" t="n">
        <v>3.037</v>
      </c>
      <c r="Q1426" s="14" t="n">
        <v>0</v>
      </c>
      <c r="R1426" s="14" t="n">
        <v>0</v>
      </c>
      <c r="S1426" s="14" t="n">
        <v>2.75</v>
      </c>
    </row>
    <row r="1427" customFormat="false" ht="15" hidden="false" customHeight="false" outlineLevel="0" collapsed="false">
      <c r="A1427" s="13" t="n">
        <v>44302</v>
      </c>
      <c r="B1427" s="14" t="n">
        <v>0.01</v>
      </c>
      <c r="C1427" s="14" t="n">
        <v>0.25</v>
      </c>
      <c r="D1427" s="14" t="n">
        <v>0</v>
      </c>
      <c r="E1427" s="14" t="n">
        <v>-0.565</v>
      </c>
      <c r="F1427" s="14" t="n">
        <v>-0.5</v>
      </c>
      <c r="G1427" s="14" t="n">
        <v>0.1</v>
      </c>
      <c r="H1427" s="14" t="n">
        <v>0.048</v>
      </c>
      <c r="I1427" s="14" t="n">
        <v>0.048518177024763</v>
      </c>
      <c r="J1427" s="14" t="n">
        <v>0.0483066804329828</v>
      </c>
      <c r="K1427" s="14" t="n">
        <v>0.0495659972874093</v>
      </c>
      <c r="L1427" s="14" t="n">
        <v>0.0524088088272403</v>
      </c>
      <c r="M1427" s="14" t="n">
        <v>2.501</v>
      </c>
      <c r="N1427" s="14" t="n">
        <v>2.601</v>
      </c>
      <c r="O1427" s="14" t="n">
        <v>2.798</v>
      </c>
      <c r="P1427" s="14" t="n">
        <v>3.032</v>
      </c>
      <c r="Q1427" s="14" t="n">
        <v>0</v>
      </c>
      <c r="R1427" s="14" t="n">
        <v>0</v>
      </c>
      <c r="S1427" s="14" t="n">
        <v>2.75</v>
      </c>
    </row>
    <row r="1428" customFormat="false" ht="15" hidden="false" customHeight="false" outlineLevel="0" collapsed="false">
      <c r="A1428" s="13" t="n">
        <v>44305</v>
      </c>
      <c r="B1428" s="14" t="n">
        <v>0.01</v>
      </c>
      <c r="C1428" s="14" t="n">
        <v>0.25</v>
      </c>
      <c r="D1428" s="14" t="n">
        <v>0</v>
      </c>
      <c r="E1428" s="14" t="n">
        <v>-0.567</v>
      </c>
      <c r="F1428" s="14" t="n">
        <v>-0.5</v>
      </c>
      <c r="G1428" s="14" t="n">
        <v>0.1</v>
      </c>
      <c r="H1428" s="14" t="n">
        <v>0.0482</v>
      </c>
      <c r="I1428" s="14" t="n">
        <v>0.047658805995085</v>
      </c>
      <c r="J1428" s="14" t="n">
        <v>0.0486875656297476</v>
      </c>
      <c r="K1428" s="14" t="n">
        <v>0.0494668033806699</v>
      </c>
      <c r="L1428" s="14" t="n">
        <v>0.0501173297316839</v>
      </c>
      <c r="M1428" s="14" t="n">
        <v>2.5</v>
      </c>
      <c r="N1428" s="14" t="n">
        <v>2.6</v>
      </c>
      <c r="O1428" s="14" t="n">
        <v>2.798</v>
      </c>
      <c r="P1428" s="14" t="n">
        <v>3.026</v>
      </c>
      <c r="Q1428" s="14" t="n">
        <v>0</v>
      </c>
      <c r="R1428" s="14" t="n">
        <v>0</v>
      </c>
      <c r="S1428" s="14" t="n">
        <v>2.75</v>
      </c>
    </row>
    <row r="1429" customFormat="false" ht="15" hidden="false" customHeight="false" outlineLevel="0" collapsed="false">
      <c r="A1429" s="13" t="n">
        <v>44306</v>
      </c>
      <c r="B1429" s="14" t="n">
        <v>0.01</v>
      </c>
      <c r="C1429" s="14" t="n">
        <v>0.25</v>
      </c>
      <c r="D1429" s="14" t="n">
        <v>0</v>
      </c>
      <c r="E1429" s="14" t="n">
        <v>-0.567</v>
      </c>
      <c r="F1429" s="14" t="n">
        <v>-0.5</v>
      </c>
      <c r="G1429" s="14" t="n">
        <v>0.1</v>
      </c>
      <c r="H1429" s="14" t="n">
        <v>0.048</v>
      </c>
      <c r="I1429" s="14" t="n">
        <v>0.0492234897707148</v>
      </c>
      <c r="J1429" s="14" t="n">
        <v>0.0495593579207267</v>
      </c>
      <c r="K1429" s="14" t="n">
        <v>0.049417746728901</v>
      </c>
      <c r="L1429" s="14" t="n">
        <v>0.0514485221792897</v>
      </c>
      <c r="M1429" s="14" t="n">
        <v>2.5</v>
      </c>
      <c r="N1429" s="14" t="n">
        <v>2.6</v>
      </c>
      <c r="O1429" s="14" t="n">
        <v>2.798</v>
      </c>
      <c r="P1429" s="14" t="n">
        <v>3.02</v>
      </c>
      <c r="Q1429" s="14" t="n">
        <v>0</v>
      </c>
      <c r="R1429" s="14" t="n">
        <v>0</v>
      </c>
      <c r="S1429" s="14" t="n">
        <v>2.75</v>
      </c>
    </row>
    <row r="1430" customFormat="false" ht="15" hidden="false" customHeight="false" outlineLevel="0" collapsed="false">
      <c r="A1430" s="13" t="n">
        <v>44307</v>
      </c>
      <c r="B1430" s="14" t="n">
        <v>0.01</v>
      </c>
      <c r="C1430" s="14" t="n">
        <v>0.25</v>
      </c>
      <c r="D1430" s="14" t="n">
        <v>0</v>
      </c>
      <c r="E1430" s="14" t="n">
        <v>-0.565</v>
      </c>
      <c r="F1430" s="14" t="n">
        <v>-0.5</v>
      </c>
      <c r="G1430" s="14" t="n">
        <v>0.1</v>
      </c>
      <c r="H1430" s="14" t="n">
        <v>0.0481</v>
      </c>
      <c r="I1430" s="14" t="n">
        <v>0.0495458561025499</v>
      </c>
      <c r="J1430" s="14" t="n">
        <v>0.049870614221893</v>
      </c>
      <c r="K1430" s="14" t="n">
        <v>0.0503251401101069</v>
      </c>
      <c r="L1430" s="14" t="n">
        <v>0.0550605793892661</v>
      </c>
      <c r="M1430" s="14" t="n">
        <v>2.5</v>
      </c>
      <c r="N1430" s="14" t="n">
        <v>2.6</v>
      </c>
      <c r="O1430" s="14" t="n">
        <v>2.794</v>
      </c>
      <c r="P1430" s="14" t="n">
        <v>3.009</v>
      </c>
      <c r="Q1430" s="14" t="n">
        <v>0</v>
      </c>
      <c r="R1430" s="14" t="n">
        <v>0</v>
      </c>
      <c r="S1430" s="14" t="n">
        <v>2.75</v>
      </c>
    </row>
    <row r="1431" customFormat="false" ht="15" hidden="false" customHeight="false" outlineLevel="0" collapsed="false">
      <c r="A1431" s="13" t="n">
        <v>44308</v>
      </c>
      <c r="B1431" s="14" t="n">
        <v>0.01</v>
      </c>
      <c r="C1431" s="14" t="n">
        <v>0.25</v>
      </c>
      <c r="D1431" s="14" t="n">
        <v>0</v>
      </c>
      <c r="E1431" s="14" t="n">
        <v>-0.565</v>
      </c>
      <c r="F1431" s="14" t="n">
        <v>-0.5</v>
      </c>
      <c r="G1431" s="14" t="n">
        <v>0.1</v>
      </c>
      <c r="H1431" s="14" t="n">
        <v>0.0487</v>
      </c>
      <c r="I1431" s="14" t="n">
        <v>0.0494710831563698</v>
      </c>
      <c r="J1431" s="14" t="n">
        <v>0.0496486376404533</v>
      </c>
      <c r="K1431" s="14" t="n">
        <v>0.0496693816008293</v>
      </c>
      <c r="L1431" s="14" t="n">
        <v>0.0519707649003205</v>
      </c>
      <c r="M1431" s="14" t="n">
        <v>2.5</v>
      </c>
      <c r="N1431" s="14" t="n">
        <v>2.6</v>
      </c>
      <c r="O1431" s="14" t="n">
        <v>2.792</v>
      </c>
      <c r="P1431" s="14" t="n">
        <v>3.001</v>
      </c>
      <c r="Q1431" s="14" t="n">
        <v>0</v>
      </c>
      <c r="R1431" s="14" t="n">
        <v>0</v>
      </c>
      <c r="S1431" s="14" t="n">
        <v>2.75</v>
      </c>
    </row>
    <row r="1432" customFormat="false" ht="15" hidden="false" customHeight="false" outlineLevel="0" collapsed="false">
      <c r="A1432" s="13" t="n">
        <v>44309</v>
      </c>
      <c r="B1432" s="14" t="n">
        <v>0.01</v>
      </c>
      <c r="C1432" s="14" t="n">
        <v>0.25</v>
      </c>
      <c r="D1432" s="14" t="n">
        <v>0</v>
      </c>
      <c r="E1432" s="14" t="n">
        <v>-0.565</v>
      </c>
      <c r="F1432" s="14" t="n">
        <v>-0.5</v>
      </c>
      <c r="G1432" s="14" t="n">
        <v>0.1</v>
      </c>
      <c r="H1432" s="14" t="n">
        <v>0.0491</v>
      </c>
      <c r="I1432" s="14" t="n">
        <v>0.0501126809465769</v>
      </c>
      <c r="J1432" s="14" t="n">
        <v>0.0502916921896956</v>
      </c>
      <c r="K1432" s="14" t="n">
        <v>0.0494004538728124</v>
      </c>
      <c r="L1432" s="14" t="n">
        <v>0.0540491538269766</v>
      </c>
      <c r="M1432" s="14" t="n">
        <v>2.5</v>
      </c>
      <c r="N1432" s="14" t="n">
        <v>2.6</v>
      </c>
      <c r="O1432" s="14" t="n">
        <v>2.792</v>
      </c>
      <c r="P1432" s="14" t="n">
        <v>3</v>
      </c>
      <c r="Q1432" s="14" t="n">
        <v>0</v>
      </c>
      <c r="R1432" s="14" t="n">
        <v>0</v>
      </c>
      <c r="S1432" s="14" t="n">
        <v>2.75</v>
      </c>
    </row>
    <row r="1433" customFormat="false" ht="15" hidden="false" customHeight="false" outlineLevel="0" collapsed="false">
      <c r="A1433" s="13" t="n">
        <v>44311</v>
      </c>
      <c r="C1433" s="14" t="n">
        <v>0.25</v>
      </c>
      <c r="D1433" s="14" t="n">
        <v>0</v>
      </c>
      <c r="F1433" s="14" t="n">
        <v>-0.5</v>
      </c>
      <c r="M1433" s="14" t="n">
        <v>2.495</v>
      </c>
      <c r="N1433" s="14" t="n">
        <v>2.595</v>
      </c>
      <c r="O1433" s="14" t="n">
        <v>2.791</v>
      </c>
      <c r="P1433" s="14" t="n">
        <v>2.995</v>
      </c>
      <c r="S1433" s="14" t="n">
        <v>2.75</v>
      </c>
    </row>
    <row r="1434" customFormat="false" ht="15" hidden="false" customHeight="false" outlineLevel="0" collapsed="false">
      <c r="A1434" s="13" t="n">
        <v>44312</v>
      </c>
      <c r="B1434" s="14" t="n">
        <v>0.01</v>
      </c>
      <c r="C1434" s="14" t="n">
        <v>0.25</v>
      </c>
      <c r="D1434" s="14" t="n">
        <v>0</v>
      </c>
      <c r="E1434" s="14" t="n">
        <v>-0.567</v>
      </c>
      <c r="F1434" s="14" t="n">
        <v>-0.5</v>
      </c>
      <c r="G1434" s="14" t="n">
        <v>0.1</v>
      </c>
      <c r="H1434" s="14" t="n">
        <v>0.0486</v>
      </c>
      <c r="I1434" s="14" t="n">
        <v>0.0495323084633819</v>
      </c>
      <c r="J1434" s="14" t="n">
        <v>0.0496101920666393</v>
      </c>
      <c r="K1434" s="14" t="n">
        <v>0.049303944445489</v>
      </c>
      <c r="L1434" s="14" t="n">
        <v>0.0543248683124705</v>
      </c>
      <c r="M1434" s="14" t="n">
        <v>2.494</v>
      </c>
      <c r="N1434" s="14" t="n">
        <v>2.594</v>
      </c>
      <c r="O1434" s="14" t="n">
        <v>2.792</v>
      </c>
      <c r="P1434" s="14" t="n">
        <v>2.987</v>
      </c>
      <c r="Q1434" s="14" t="n">
        <v>0</v>
      </c>
      <c r="R1434" s="14" t="n">
        <v>0</v>
      </c>
      <c r="S1434" s="14" t="n">
        <v>2.75</v>
      </c>
    </row>
    <row r="1435" customFormat="false" ht="15" hidden="false" customHeight="false" outlineLevel="0" collapsed="false">
      <c r="A1435" s="13" t="n">
        <v>44313</v>
      </c>
      <c r="B1435" s="14" t="n">
        <v>0.01</v>
      </c>
      <c r="C1435" s="14" t="n">
        <v>0.25</v>
      </c>
      <c r="D1435" s="14" t="n">
        <v>0</v>
      </c>
      <c r="E1435" s="14" t="n">
        <v>-0.56</v>
      </c>
      <c r="F1435" s="14" t="n">
        <v>-0.5</v>
      </c>
      <c r="G1435" s="14" t="n">
        <v>0.1</v>
      </c>
      <c r="H1435" s="14" t="n">
        <v>0.0495</v>
      </c>
      <c r="I1435" s="14" t="n">
        <v>0.05000723575897</v>
      </c>
      <c r="J1435" s="14" t="n">
        <v>0.0489902856289946</v>
      </c>
      <c r="K1435" s="14" t="n">
        <v>0.0482654974297889</v>
      </c>
      <c r="L1435" s="14" t="n">
        <v>0.0566096932876527</v>
      </c>
      <c r="M1435" s="14" t="n">
        <v>2.491</v>
      </c>
      <c r="N1435" s="14" t="n">
        <v>2.592</v>
      </c>
      <c r="O1435" s="14" t="n">
        <v>2.782</v>
      </c>
      <c r="P1435" s="14" t="n">
        <v>2.981</v>
      </c>
      <c r="Q1435" s="14" t="n">
        <v>0</v>
      </c>
      <c r="R1435" s="14" t="n">
        <v>0</v>
      </c>
      <c r="S1435" s="14" t="n">
        <v>2.75</v>
      </c>
    </row>
    <row r="1436" customFormat="false" ht="15" hidden="false" customHeight="false" outlineLevel="0" collapsed="false">
      <c r="A1436" s="13" t="n">
        <v>44314</v>
      </c>
      <c r="B1436" s="14" t="n">
        <v>0.01</v>
      </c>
      <c r="C1436" s="14" t="n">
        <v>0.25</v>
      </c>
      <c r="D1436" s="14" t="n">
        <v>0</v>
      </c>
      <c r="E1436" s="14" t="n">
        <v>-0.566</v>
      </c>
      <c r="F1436" s="14" t="n">
        <v>-0.5</v>
      </c>
      <c r="G1436" s="14" t="n">
        <v>0.1</v>
      </c>
      <c r="H1436" s="14" t="n">
        <v>0.0496</v>
      </c>
      <c r="I1436" s="14" t="n">
        <v>0.0493571150572777</v>
      </c>
      <c r="J1436" s="14" t="n">
        <v>0.0499583107296271</v>
      </c>
      <c r="K1436" s="14" t="n">
        <v>0.0494684759575302</v>
      </c>
      <c r="L1436" s="14" t="n">
        <v>0.0581846913772093</v>
      </c>
      <c r="M1436" s="14" t="n">
        <v>2.491</v>
      </c>
      <c r="N1436" s="14" t="n">
        <v>2.592</v>
      </c>
      <c r="O1436" s="14" t="n">
        <v>2.768</v>
      </c>
      <c r="P1436" s="14" t="n">
        <v>2.98</v>
      </c>
      <c r="Q1436" s="14" t="n">
        <v>0</v>
      </c>
      <c r="R1436" s="14" t="n">
        <v>0</v>
      </c>
      <c r="S1436" s="14" t="n">
        <v>2.75</v>
      </c>
    </row>
    <row r="1437" customFormat="false" ht="15" hidden="false" customHeight="false" outlineLevel="0" collapsed="false">
      <c r="A1437" s="13" t="n">
        <v>44315</v>
      </c>
      <c r="B1437" s="14" t="n">
        <v>0.01</v>
      </c>
      <c r="C1437" s="14" t="n">
        <v>0.25</v>
      </c>
      <c r="D1437" s="14" t="n">
        <v>0</v>
      </c>
      <c r="E1437" s="14" t="n">
        <v>-0.566</v>
      </c>
      <c r="F1437" s="14" t="n">
        <v>-0.5</v>
      </c>
      <c r="G1437" s="14" t="n">
        <v>0.1</v>
      </c>
      <c r="H1437" s="14" t="n">
        <v>0.0499</v>
      </c>
      <c r="I1437" s="14" t="n">
        <v>0.0497065259805172</v>
      </c>
      <c r="J1437" s="14" t="n">
        <v>0.0497740895804172</v>
      </c>
      <c r="K1437" s="14" t="n">
        <v>0.04823433767428</v>
      </c>
      <c r="L1437" s="14" t="n">
        <v>0.0603097829158571</v>
      </c>
      <c r="M1437" s="14" t="n">
        <v>2.49</v>
      </c>
      <c r="N1437" s="14" t="n">
        <v>2.585</v>
      </c>
      <c r="O1437" s="14" t="n">
        <v>2.757</v>
      </c>
      <c r="P1437" s="14" t="n">
        <v>2.978</v>
      </c>
      <c r="Q1437" s="14" t="n">
        <v>0</v>
      </c>
      <c r="R1437" s="14" t="n">
        <v>0</v>
      </c>
      <c r="S1437" s="14" t="n">
        <v>2.75</v>
      </c>
    </row>
    <row r="1438" customFormat="false" ht="15" hidden="false" customHeight="false" outlineLevel="0" collapsed="false">
      <c r="A1438" s="13" t="n">
        <v>44316</v>
      </c>
      <c r="B1438" s="14" t="n">
        <v>0.01</v>
      </c>
      <c r="C1438" s="14" t="n">
        <v>0.25</v>
      </c>
      <c r="D1438" s="14" t="n">
        <v>0</v>
      </c>
      <c r="E1438" s="14" t="n">
        <v>-0.569</v>
      </c>
      <c r="F1438" s="14" t="n">
        <v>-0.5</v>
      </c>
      <c r="G1438" s="14" t="n">
        <v>0.1</v>
      </c>
      <c r="H1438" s="14" t="n">
        <v>0.0509</v>
      </c>
      <c r="I1438" s="14" t="n">
        <v>0.0499270961021152</v>
      </c>
      <c r="J1438" s="14" t="n">
        <v>0.0495114236192452</v>
      </c>
      <c r="K1438" s="14" t="n">
        <v>0.0496007973116233</v>
      </c>
      <c r="L1438" s="14" t="n">
        <v>0.0610591222402296</v>
      </c>
      <c r="M1438" s="14" t="n">
        <v>2.489</v>
      </c>
      <c r="N1438" s="14" t="n">
        <v>2.58</v>
      </c>
      <c r="O1438" s="14" t="n">
        <v>2.752</v>
      </c>
      <c r="P1438" s="14" t="n">
        <v>2.972</v>
      </c>
      <c r="Q1438" s="14" t="n">
        <v>0</v>
      </c>
      <c r="R1438" s="14" t="n">
        <v>0</v>
      </c>
      <c r="S1438" s="14" t="n">
        <v>2.75</v>
      </c>
    </row>
    <row r="1439" customFormat="false" ht="15" hidden="false" customHeight="false" outlineLevel="0" collapsed="false">
      <c r="A1439" s="13" t="n">
        <v>44319</v>
      </c>
      <c r="B1439" s="14" t="n">
        <v>0.01</v>
      </c>
      <c r="C1439" s="14" t="n">
        <v>0.25</v>
      </c>
      <c r="D1439" s="14" t="n">
        <v>0</v>
      </c>
      <c r="E1439" s="14" t="n">
        <v>-0.567</v>
      </c>
      <c r="F1439" s="14" t="n">
        <v>-0.5</v>
      </c>
      <c r="Q1439" s="14" t="n">
        <v>0</v>
      </c>
      <c r="R1439" s="14" t="n">
        <v>0</v>
      </c>
      <c r="S1439" s="14" t="n">
        <v>2.75</v>
      </c>
    </row>
    <row r="1440" customFormat="false" ht="15" hidden="false" customHeight="false" outlineLevel="0" collapsed="false">
      <c r="A1440" s="13" t="n">
        <v>44320</v>
      </c>
      <c r="B1440" s="14" t="n">
        <v>0.01</v>
      </c>
      <c r="C1440" s="14" t="n">
        <v>0.25</v>
      </c>
      <c r="D1440" s="14" t="n">
        <v>0</v>
      </c>
      <c r="E1440" s="14" t="n">
        <v>-0.564</v>
      </c>
      <c r="F1440" s="14" t="n">
        <v>-0.5</v>
      </c>
      <c r="G1440" s="14" t="n">
        <v>0.1</v>
      </c>
      <c r="H1440" s="14" t="n">
        <v>0.0496</v>
      </c>
      <c r="I1440" s="14" t="n">
        <v>0.0503378985673073</v>
      </c>
      <c r="J1440" s="14" t="n">
        <v>0.0502284113071214</v>
      </c>
      <c r="K1440" s="14" t="n">
        <v>0.0481469088711698</v>
      </c>
      <c r="L1440" s="14" t="n">
        <v>0.0607566967583197</v>
      </c>
      <c r="Q1440" s="14" t="n">
        <v>0</v>
      </c>
      <c r="R1440" s="14" t="n">
        <v>0</v>
      </c>
      <c r="S1440" s="14" t="n">
        <v>2.75</v>
      </c>
    </row>
    <row r="1441" customFormat="false" ht="15" hidden="false" customHeight="false" outlineLevel="0" collapsed="false">
      <c r="A1441" s="13" t="n">
        <v>44321</v>
      </c>
      <c r="B1441" s="14" t="n">
        <v>0.01</v>
      </c>
      <c r="C1441" s="14" t="n">
        <v>0.25</v>
      </c>
      <c r="D1441" s="14" t="n">
        <v>0</v>
      </c>
      <c r="E1441" s="14" t="n">
        <v>-0.566</v>
      </c>
      <c r="F1441" s="14" t="n">
        <v>-0.5</v>
      </c>
      <c r="G1441" s="14" t="n">
        <v>0.1</v>
      </c>
      <c r="H1441" s="14" t="n">
        <v>0.0487</v>
      </c>
      <c r="I1441" s="14" t="n">
        <v>0.0498591937040189</v>
      </c>
      <c r="J1441" s="14" t="n">
        <v>0.0506126169142594</v>
      </c>
      <c r="K1441" s="14" t="n">
        <v>0.0511279044811581</v>
      </c>
      <c r="L1441" s="14" t="n">
        <v>0.0619197694815948</v>
      </c>
      <c r="Q1441" s="14" t="n">
        <v>0</v>
      </c>
      <c r="R1441" s="14" t="n">
        <v>0</v>
      </c>
      <c r="S1441" s="14" t="n">
        <v>2.75</v>
      </c>
    </row>
    <row r="1442" customFormat="false" ht="15" hidden="false" customHeight="false" outlineLevel="0" collapsed="false">
      <c r="A1442" s="13" t="n">
        <v>44322</v>
      </c>
      <c r="B1442" s="14" t="n">
        <v>0.01</v>
      </c>
      <c r="C1442" s="14" t="n">
        <v>0.25</v>
      </c>
      <c r="D1442" s="14" t="n">
        <v>0</v>
      </c>
      <c r="E1442" s="14" t="n">
        <v>-0.565</v>
      </c>
      <c r="F1442" s="14" t="n">
        <v>-0.5</v>
      </c>
      <c r="G1442" s="14" t="n">
        <v>0.1</v>
      </c>
      <c r="H1442" s="14" t="n">
        <v>0.0491</v>
      </c>
      <c r="I1442" s="14" t="n">
        <v>0.0500667855563428</v>
      </c>
      <c r="J1442" s="14" t="n">
        <v>0.0494022495495567</v>
      </c>
      <c r="K1442" s="14" t="n">
        <v>0.0499229650906176</v>
      </c>
      <c r="L1442" s="14" t="n">
        <v>0.0597196480172004</v>
      </c>
      <c r="M1442" s="14" t="n">
        <v>2.477</v>
      </c>
      <c r="N1442" s="14" t="n">
        <v>2.576</v>
      </c>
      <c r="O1442" s="14" t="n">
        <v>2.745</v>
      </c>
      <c r="P1442" s="14" t="n">
        <v>2.966</v>
      </c>
      <c r="Q1442" s="14" t="n">
        <v>0</v>
      </c>
      <c r="R1442" s="14" t="n">
        <v>0</v>
      </c>
      <c r="S1442" s="14" t="n">
        <v>3.5</v>
      </c>
    </row>
    <row r="1443" customFormat="false" ht="15" hidden="false" customHeight="false" outlineLevel="0" collapsed="false">
      <c r="A1443" s="13" t="n">
        <v>44323</v>
      </c>
      <c r="B1443" s="14" t="n">
        <v>0.01</v>
      </c>
      <c r="C1443" s="14" t="n">
        <v>0.25</v>
      </c>
      <c r="D1443" s="14" t="n">
        <v>0</v>
      </c>
      <c r="E1443" s="14" t="n">
        <v>-0.563</v>
      </c>
      <c r="F1443" s="14" t="n">
        <v>-0.5</v>
      </c>
      <c r="G1443" s="14" t="n">
        <v>0.1</v>
      </c>
      <c r="H1443" s="14" t="n">
        <v>0.0498</v>
      </c>
      <c r="I1443" s="14" t="n">
        <v>0.0501457721370674</v>
      </c>
      <c r="J1443" s="14" t="n">
        <v>0.0498810275196598</v>
      </c>
      <c r="K1443" s="14" t="n">
        <v>0.0500488682341174</v>
      </c>
      <c r="L1443" s="14" t="n">
        <v>0.0582626927180002</v>
      </c>
      <c r="M1443" s="14" t="n">
        <v>2.463</v>
      </c>
      <c r="N1443" s="14" t="n">
        <v>2.569</v>
      </c>
      <c r="O1443" s="14" t="n">
        <v>2.742</v>
      </c>
      <c r="P1443" s="14" t="n">
        <v>2.959</v>
      </c>
      <c r="Q1443" s="14" t="n">
        <v>0</v>
      </c>
      <c r="R1443" s="14" t="n">
        <v>0</v>
      </c>
      <c r="S1443" s="14" t="n">
        <v>3.5</v>
      </c>
    </row>
    <row r="1444" customFormat="false" ht="15" hidden="false" customHeight="false" outlineLevel="0" collapsed="false">
      <c r="A1444" s="13" t="n">
        <v>44324</v>
      </c>
      <c r="C1444" s="14" t="n">
        <v>0.25</v>
      </c>
      <c r="D1444" s="14" t="n">
        <v>0</v>
      </c>
      <c r="F1444" s="14" t="n">
        <v>-0.5</v>
      </c>
      <c r="M1444" s="14" t="n">
        <v>2.444</v>
      </c>
      <c r="N1444" s="14" t="n">
        <v>2.556</v>
      </c>
      <c r="O1444" s="14" t="n">
        <v>2.736</v>
      </c>
      <c r="P1444" s="14" t="n">
        <v>2.952</v>
      </c>
      <c r="S1444" s="14" t="n">
        <v>3.5</v>
      </c>
    </row>
    <row r="1445" customFormat="false" ht="15" hidden="false" customHeight="false" outlineLevel="0" collapsed="false">
      <c r="A1445" s="13" t="n">
        <v>44326</v>
      </c>
      <c r="B1445" s="14" t="n">
        <v>0.01</v>
      </c>
      <c r="C1445" s="14" t="n">
        <v>0.25</v>
      </c>
      <c r="D1445" s="14" t="n">
        <v>0</v>
      </c>
      <c r="E1445" s="14" t="n">
        <v>-0.567</v>
      </c>
      <c r="F1445" s="14" t="n">
        <v>-0.5</v>
      </c>
      <c r="G1445" s="14" t="n">
        <v>0.1</v>
      </c>
      <c r="H1445" s="14" t="n">
        <v>0.049</v>
      </c>
      <c r="I1445" s="14" t="n">
        <v>0.0545981197644167</v>
      </c>
      <c r="J1445" s="14" t="n">
        <v>0.0535851045737735</v>
      </c>
      <c r="K1445" s="14" t="n">
        <v>0.0507066152912222</v>
      </c>
      <c r="L1445" s="14" t="n">
        <v>0.0602514735080208</v>
      </c>
      <c r="M1445" s="14" t="n">
        <v>2.437</v>
      </c>
      <c r="N1445" s="14" t="n">
        <v>2.542</v>
      </c>
      <c r="O1445" s="14" t="n">
        <v>2.728</v>
      </c>
      <c r="P1445" s="14" t="n">
        <v>2.947</v>
      </c>
      <c r="Q1445" s="14" t="n">
        <v>0</v>
      </c>
      <c r="R1445" s="14" t="n">
        <v>0</v>
      </c>
      <c r="S1445" s="14" t="n">
        <v>3.5</v>
      </c>
    </row>
    <row r="1446" customFormat="false" ht="15" hidden="false" customHeight="false" outlineLevel="0" collapsed="false">
      <c r="A1446" s="13" t="n">
        <v>44327</v>
      </c>
      <c r="B1446" s="14" t="n">
        <v>0.01</v>
      </c>
      <c r="C1446" s="14" t="n">
        <v>0.25</v>
      </c>
      <c r="D1446" s="14" t="n">
        <v>0</v>
      </c>
      <c r="E1446" s="14" t="n">
        <v>-0.564</v>
      </c>
      <c r="F1446" s="14" t="n">
        <v>-0.5</v>
      </c>
      <c r="G1446" s="14" t="n">
        <v>0.1</v>
      </c>
      <c r="H1446" s="14" t="n">
        <v>0.0488</v>
      </c>
      <c r="I1446" s="14" t="n">
        <v>0.0505182867583917</v>
      </c>
      <c r="J1446" s="14" t="n">
        <v>0.050510906952858</v>
      </c>
      <c r="K1446" s="14" t="n">
        <v>0.0510809102532336</v>
      </c>
      <c r="L1446" s="14" t="n">
        <v>0.0619350574120157</v>
      </c>
      <c r="M1446" s="14" t="n">
        <v>2.432</v>
      </c>
      <c r="N1446" s="14" t="n">
        <v>2.536</v>
      </c>
      <c r="O1446" s="14" t="n">
        <v>2.722</v>
      </c>
      <c r="P1446" s="14" t="n">
        <v>2.943</v>
      </c>
      <c r="Q1446" s="14" t="n">
        <v>0</v>
      </c>
      <c r="R1446" s="14" t="n">
        <v>0</v>
      </c>
      <c r="S1446" s="14" t="n">
        <v>3.5</v>
      </c>
    </row>
    <row r="1447" customFormat="false" ht="15" hidden="false" customHeight="false" outlineLevel="0" collapsed="false">
      <c r="A1447" s="13" t="n">
        <v>44328</v>
      </c>
      <c r="B1447" s="14" t="n">
        <v>0.01</v>
      </c>
      <c r="C1447" s="14" t="n">
        <v>0.25</v>
      </c>
      <c r="D1447" s="14" t="n">
        <v>0</v>
      </c>
      <c r="E1447" s="14" t="n">
        <v>-0.564</v>
      </c>
      <c r="F1447" s="14" t="n">
        <v>-0.5</v>
      </c>
      <c r="G1447" s="14" t="n">
        <v>0.1</v>
      </c>
      <c r="H1447" s="14" t="n">
        <v>0.0492</v>
      </c>
      <c r="I1447" s="14" t="n">
        <v>0.0508794403645219</v>
      </c>
      <c r="J1447" s="14" t="n">
        <v>0.0510413950864599</v>
      </c>
      <c r="K1447" s="14" t="n">
        <v>0.0513119448904573</v>
      </c>
      <c r="L1447" s="14" t="n">
        <v>0.0661262801761298</v>
      </c>
      <c r="M1447" s="14" t="n">
        <v>2.429</v>
      </c>
      <c r="N1447" s="14" t="n">
        <v>2.532</v>
      </c>
      <c r="O1447" s="14" t="n">
        <v>2.719</v>
      </c>
      <c r="P1447" s="14" t="n">
        <v>2.938</v>
      </c>
      <c r="Q1447" s="14" t="n">
        <v>0</v>
      </c>
      <c r="R1447" s="14" t="n">
        <v>0</v>
      </c>
      <c r="S1447" s="14" t="n">
        <v>3.5</v>
      </c>
    </row>
    <row r="1448" customFormat="false" ht="15" hidden="false" customHeight="false" outlineLevel="0" collapsed="false">
      <c r="A1448" s="13" t="n">
        <v>44329</v>
      </c>
      <c r="B1448" s="14" t="n">
        <v>0.01</v>
      </c>
      <c r="C1448" s="14" t="n">
        <v>0.25</v>
      </c>
      <c r="D1448" s="14" t="n">
        <v>0</v>
      </c>
      <c r="E1448" s="14" t="n">
        <v>-0.564</v>
      </c>
      <c r="F1448" s="14" t="n">
        <v>-0.5</v>
      </c>
      <c r="G1448" s="14" t="n">
        <v>0.1</v>
      </c>
      <c r="H1448" s="14" t="n">
        <v>0.0494</v>
      </c>
      <c r="I1448" s="14" t="n">
        <v>0.0505357282811319</v>
      </c>
      <c r="J1448" s="14" t="n">
        <v>0.0509583032656568</v>
      </c>
      <c r="K1448" s="14" t="n">
        <v>0.0514920048845866</v>
      </c>
      <c r="L1448" s="14" t="n">
        <v>0.0665428488845986</v>
      </c>
      <c r="M1448" s="14" t="n">
        <v>2.423</v>
      </c>
      <c r="N1448" s="14" t="n">
        <v>2.525</v>
      </c>
      <c r="O1448" s="14" t="n">
        <v>2.709</v>
      </c>
      <c r="P1448" s="14" t="n">
        <v>2.932</v>
      </c>
      <c r="S1448" s="14" t="n">
        <v>3.5</v>
      </c>
    </row>
    <row r="1449" customFormat="false" ht="15" hidden="false" customHeight="false" outlineLevel="0" collapsed="false">
      <c r="A1449" s="13" t="n">
        <v>44330</v>
      </c>
      <c r="B1449" s="14" t="n">
        <v>0.01</v>
      </c>
      <c r="C1449" s="14" t="n">
        <v>0.25</v>
      </c>
      <c r="D1449" s="14" t="n">
        <v>0</v>
      </c>
      <c r="E1449" s="14" t="n">
        <v>-0.564</v>
      </c>
      <c r="F1449" s="14" t="n">
        <v>-0.5</v>
      </c>
      <c r="G1449" s="14" t="n">
        <v>0.1</v>
      </c>
      <c r="H1449" s="14" t="n">
        <v>0.0497</v>
      </c>
      <c r="I1449" s="14" t="n">
        <v>0.0499215287327271</v>
      </c>
      <c r="J1449" s="14" t="n">
        <v>0.0509001587855914</v>
      </c>
      <c r="K1449" s="14" t="n">
        <v>0.0545200672498826</v>
      </c>
      <c r="L1449" s="14" t="n">
        <v>0.0693807471922713</v>
      </c>
      <c r="M1449" s="14" t="n">
        <v>2.422</v>
      </c>
      <c r="N1449" s="14" t="n">
        <v>2.521</v>
      </c>
      <c r="O1449" s="14" t="n">
        <v>2.705</v>
      </c>
      <c r="P1449" s="14" t="n">
        <v>2.931</v>
      </c>
      <c r="Q1449" s="14" t="n">
        <v>0</v>
      </c>
      <c r="R1449" s="14" t="n">
        <v>0</v>
      </c>
      <c r="S1449" s="14" t="n">
        <v>3.5</v>
      </c>
    </row>
    <row r="1450" customFormat="false" ht="15" hidden="false" customHeight="false" outlineLevel="0" collapsed="false">
      <c r="A1450" s="13" t="n">
        <v>44333</v>
      </c>
      <c r="B1450" s="14" t="n">
        <v>0.01</v>
      </c>
      <c r="C1450" s="14" t="n">
        <v>0.25</v>
      </c>
      <c r="D1450" s="14" t="n">
        <v>0</v>
      </c>
      <c r="E1450" s="14" t="n">
        <v>-0.565</v>
      </c>
      <c r="F1450" s="14" t="n">
        <v>-0.5</v>
      </c>
      <c r="G1450" s="14" t="n">
        <v>0.1</v>
      </c>
      <c r="H1450" s="14" t="n">
        <v>0.0483</v>
      </c>
      <c r="I1450" s="14" t="n">
        <v>0.0491189086593261</v>
      </c>
      <c r="J1450" s="14" t="n">
        <v>0.0511930052450292</v>
      </c>
      <c r="K1450" s="14" t="n">
        <v>0.0517873520596253</v>
      </c>
      <c r="L1450" s="14" t="n">
        <v>0.0639525836363881</v>
      </c>
      <c r="M1450" s="14" t="n">
        <v>2.419</v>
      </c>
      <c r="N1450" s="14" t="n">
        <v>2.514</v>
      </c>
      <c r="O1450" s="14" t="n">
        <v>2.703</v>
      </c>
      <c r="P1450" s="14" t="n">
        <v>2.932</v>
      </c>
      <c r="S1450" s="14" t="n">
        <v>3.5</v>
      </c>
    </row>
    <row r="1451" customFormat="false" ht="15" hidden="false" customHeight="false" outlineLevel="0" collapsed="false">
      <c r="A1451" s="13" t="n">
        <v>44334</v>
      </c>
      <c r="B1451" s="14" t="n">
        <v>0.01</v>
      </c>
      <c r="C1451" s="14" t="n">
        <v>0.25</v>
      </c>
      <c r="D1451" s="14" t="n">
        <v>0</v>
      </c>
      <c r="E1451" s="14" t="n">
        <v>-0.558</v>
      </c>
      <c r="F1451" s="14" t="n">
        <v>-0.5</v>
      </c>
      <c r="G1451" s="14" t="n">
        <v>0.1</v>
      </c>
      <c r="H1451" s="14" t="n">
        <v>0.0493</v>
      </c>
      <c r="I1451" s="14" t="n">
        <v>0.0505623911121514</v>
      </c>
      <c r="J1451" s="14" t="n">
        <v>0.0504642735462799</v>
      </c>
      <c r="K1451" s="14" t="n">
        <v>0.0507505247504842</v>
      </c>
      <c r="L1451" s="14" t="n">
        <v>0.0629373120393987</v>
      </c>
      <c r="M1451" s="14" t="n">
        <v>2.418</v>
      </c>
      <c r="N1451" s="14" t="n">
        <v>2.51</v>
      </c>
      <c r="O1451" s="14" t="n">
        <v>2.702</v>
      </c>
      <c r="P1451" s="14" t="n">
        <v>2.93</v>
      </c>
      <c r="Q1451" s="14" t="n">
        <v>0</v>
      </c>
      <c r="R1451" s="14" t="n">
        <v>0</v>
      </c>
      <c r="S1451" s="14" t="n">
        <v>3.5</v>
      </c>
    </row>
    <row r="1452" customFormat="false" ht="15" hidden="false" customHeight="false" outlineLevel="0" collapsed="false">
      <c r="A1452" s="13" t="n">
        <v>44335</v>
      </c>
      <c r="B1452" s="14" t="n">
        <v>0.01</v>
      </c>
      <c r="C1452" s="14" t="n">
        <v>0.25</v>
      </c>
      <c r="D1452" s="14" t="n">
        <v>0</v>
      </c>
      <c r="E1452" s="14" t="n">
        <v>-0.564</v>
      </c>
      <c r="F1452" s="14" t="n">
        <v>-0.5</v>
      </c>
      <c r="G1452" s="14" t="n">
        <v>0.1</v>
      </c>
      <c r="H1452" s="14" t="n">
        <v>0.049</v>
      </c>
      <c r="I1452" s="14" t="n">
        <v>0.0502864163101972</v>
      </c>
      <c r="J1452" s="14" t="n">
        <v>0.0481408376063779</v>
      </c>
      <c r="K1452" s="14" t="n">
        <v>0.049380105845</v>
      </c>
      <c r="L1452" s="14" t="n">
        <v>0.0604349588630956</v>
      </c>
      <c r="M1452" s="14" t="n">
        <v>2.416</v>
      </c>
      <c r="N1452" s="14" t="n">
        <v>2.505</v>
      </c>
      <c r="O1452" s="14" t="n">
        <v>2.701</v>
      </c>
      <c r="P1452" s="14" t="n">
        <v>2.932</v>
      </c>
      <c r="Q1452" s="14" t="n">
        <v>0</v>
      </c>
      <c r="R1452" s="14" t="n">
        <v>0</v>
      </c>
      <c r="S1452" s="14" t="n">
        <v>3.5</v>
      </c>
    </row>
    <row r="1453" customFormat="false" ht="15" hidden="false" customHeight="false" outlineLevel="0" collapsed="false">
      <c r="A1453" s="13" t="n">
        <v>44336</v>
      </c>
      <c r="B1453" s="14" t="n">
        <v>0.01</v>
      </c>
      <c r="C1453" s="14" t="n">
        <v>0.25</v>
      </c>
      <c r="D1453" s="14" t="n">
        <v>0</v>
      </c>
      <c r="E1453" s="14" t="n">
        <v>-0.563</v>
      </c>
      <c r="F1453" s="14" t="n">
        <v>-0.5</v>
      </c>
      <c r="G1453" s="14" t="n">
        <v>0.1</v>
      </c>
      <c r="H1453" s="14" t="n">
        <v>0.0493</v>
      </c>
      <c r="I1453" s="14" t="n">
        <v>0.0503964318803372</v>
      </c>
      <c r="J1453" s="14" t="n">
        <v>0.0502749735148282</v>
      </c>
      <c r="K1453" s="14" t="n">
        <v>0.0505879856365442</v>
      </c>
      <c r="L1453" s="14" t="n">
        <v>0.0599153069857801</v>
      </c>
      <c r="M1453" s="14" t="n">
        <v>2.412</v>
      </c>
      <c r="N1453" s="14" t="n">
        <v>2.497</v>
      </c>
      <c r="O1453" s="14" t="n">
        <v>2.69</v>
      </c>
      <c r="P1453" s="14" t="n">
        <v>2.931</v>
      </c>
      <c r="Q1453" s="14" t="n">
        <v>0</v>
      </c>
      <c r="R1453" s="14" t="n">
        <v>0</v>
      </c>
      <c r="S1453" s="14" t="n">
        <v>3.5</v>
      </c>
    </row>
    <row r="1454" customFormat="false" ht="15" hidden="false" customHeight="false" outlineLevel="0" collapsed="false">
      <c r="A1454" s="13" t="n">
        <v>44337</v>
      </c>
      <c r="B1454" s="14" t="n">
        <v>0.01</v>
      </c>
      <c r="C1454" s="14" t="n">
        <v>0.25</v>
      </c>
      <c r="D1454" s="14" t="n">
        <v>0</v>
      </c>
      <c r="E1454" s="14" t="n">
        <v>-0.564</v>
      </c>
      <c r="F1454" s="14" t="n">
        <v>-0.5</v>
      </c>
      <c r="G1454" s="14" t="n">
        <v>0.1</v>
      </c>
      <c r="H1454" s="14" t="n">
        <v>0.0495</v>
      </c>
      <c r="I1454" s="14" t="n">
        <v>0.049873025779307</v>
      </c>
      <c r="J1454" s="14" t="n">
        <v>0.050143993540881</v>
      </c>
      <c r="K1454" s="14" t="n">
        <v>0.0519920716584577</v>
      </c>
      <c r="L1454" s="14" t="n">
        <v>0.0610435221480759</v>
      </c>
      <c r="M1454" s="14" t="n">
        <v>2.41</v>
      </c>
      <c r="N1454" s="14" t="n">
        <v>2.489</v>
      </c>
      <c r="O1454" s="14" t="n">
        <v>2.684</v>
      </c>
      <c r="P1454" s="14" t="n">
        <v>2.929</v>
      </c>
      <c r="Q1454" s="14" t="n">
        <v>0</v>
      </c>
      <c r="R1454" s="14" t="n">
        <v>0</v>
      </c>
      <c r="S1454" s="14" t="n">
        <v>3.5</v>
      </c>
    </row>
    <row r="1455" customFormat="false" ht="15" hidden="false" customHeight="false" outlineLevel="0" collapsed="false">
      <c r="A1455" s="13" t="n">
        <v>44340</v>
      </c>
      <c r="B1455" s="14" t="n">
        <v>0.01</v>
      </c>
      <c r="C1455" s="14" t="n">
        <v>0.25</v>
      </c>
      <c r="D1455" s="14" t="n">
        <v>0</v>
      </c>
      <c r="E1455" s="14" t="n">
        <v>-0.566</v>
      </c>
      <c r="F1455" s="14" t="n">
        <v>-0.5</v>
      </c>
      <c r="G1455" s="14" t="n">
        <v>0.1</v>
      </c>
      <c r="H1455" s="14" t="n">
        <v>0.0497</v>
      </c>
      <c r="I1455" s="14" t="n">
        <v>0.0505037191554344</v>
      </c>
      <c r="J1455" s="14" t="n">
        <v>0.0505520205172827</v>
      </c>
      <c r="K1455" s="14" t="n">
        <v>0.05121933068872</v>
      </c>
      <c r="L1455" s="14" t="n">
        <v>0.0618830692126272</v>
      </c>
      <c r="M1455" s="14" t="n">
        <v>2.407</v>
      </c>
      <c r="N1455" s="14" t="n">
        <v>2.49</v>
      </c>
      <c r="O1455" s="14" t="n">
        <v>2.675</v>
      </c>
      <c r="P1455" s="14" t="n">
        <v>2.925</v>
      </c>
      <c r="S1455" s="14" t="n">
        <v>3.5</v>
      </c>
    </row>
    <row r="1456" customFormat="false" ht="15" hidden="false" customHeight="false" outlineLevel="0" collapsed="false">
      <c r="A1456" s="13" t="n">
        <v>44341</v>
      </c>
      <c r="B1456" s="14" t="n">
        <v>0.01</v>
      </c>
      <c r="C1456" s="14" t="n">
        <v>0.25</v>
      </c>
      <c r="D1456" s="14" t="n">
        <v>0</v>
      </c>
      <c r="E1456" s="14" t="n">
        <v>-0.565</v>
      </c>
      <c r="F1456" s="14" t="n">
        <v>-0.5</v>
      </c>
      <c r="G1456" s="14" t="n">
        <v>0.1</v>
      </c>
      <c r="H1456" s="14" t="n">
        <v>0.0496</v>
      </c>
      <c r="I1456" s="14" t="n">
        <v>0.0503167940795661</v>
      </c>
      <c r="J1456" s="14" t="n">
        <v>0.0506717846867009</v>
      </c>
      <c r="K1456" s="14" t="n">
        <v>0.0526098529250113</v>
      </c>
      <c r="L1456" s="14" t="n">
        <v>0.0613222351242012</v>
      </c>
      <c r="M1456" s="14" t="n">
        <v>2.406</v>
      </c>
      <c r="N1456" s="14" t="n">
        <v>2.485</v>
      </c>
      <c r="O1456" s="14" t="n">
        <v>2.671</v>
      </c>
      <c r="P1456" s="14" t="n">
        <v>2.924</v>
      </c>
      <c r="Q1456" s="14" t="n">
        <v>0</v>
      </c>
      <c r="R1456" s="14" t="n">
        <v>0</v>
      </c>
      <c r="S1456" s="14" t="n">
        <v>3.5</v>
      </c>
    </row>
    <row r="1457" customFormat="false" ht="15" hidden="false" customHeight="false" outlineLevel="0" collapsed="false">
      <c r="A1457" s="13" t="n">
        <v>44342</v>
      </c>
      <c r="B1457" s="14" t="n">
        <v>0.01</v>
      </c>
      <c r="C1457" s="14" t="n">
        <v>0.25</v>
      </c>
      <c r="D1457" s="14" t="n">
        <v>0</v>
      </c>
      <c r="E1457" s="14" t="n">
        <v>-0.565</v>
      </c>
      <c r="F1457" s="14" t="n">
        <v>-0.5</v>
      </c>
      <c r="G1457" s="14" t="n">
        <v>0.1</v>
      </c>
      <c r="H1457" s="14" t="n">
        <v>0.05</v>
      </c>
      <c r="I1457" s="14" t="n">
        <v>0.0501006966155306</v>
      </c>
      <c r="J1457" s="14" t="n">
        <v>0.0504373043749557</v>
      </c>
      <c r="K1457" s="14" t="n">
        <v>0.0503042778001053</v>
      </c>
      <c r="L1457" s="14" t="n">
        <v>0.0608980507395748</v>
      </c>
      <c r="M1457" s="14" t="n">
        <v>2.405</v>
      </c>
      <c r="N1457" s="14" t="n">
        <v>2.479</v>
      </c>
      <c r="O1457" s="14" t="n">
        <v>2.67</v>
      </c>
      <c r="P1457" s="14" t="n">
        <v>2.921</v>
      </c>
      <c r="Q1457" s="14" t="n">
        <v>0</v>
      </c>
      <c r="R1457" s="14" t="n">
        <v>0</v>
      </c>
      <c r="S1457" s="14" t="n">
        <v>3.5</v>
      </c>
    </row>
    <row r="1458" customFormat="false" ht="15" hidden="false" customHeight="false" outlineLevel="0" collapsed="false">
      <c r="A1458" s="13" t="n">
        <v>44343</v>
      </c>
      <c r="B1458" s="14" t="n">
        <v>0.01</v>
      </c>
      <c r="C1458" s="14" t="n">
        <v>0.25</v>
      </c>
      <c r="D1458" s="14" t="n">
        <v>0</v>
      </c>
      <c r="E1458" s="14" t="n">
        <v>-0.564</v>
      </c>
      <c r="F1458" s="14" t="n">
        <v>-0.5</v>
      </c>
      <c r="G1458" s="14" t="n">
        <v>0.1</v>
      </c>
      <c r="H1458" s="14" t="n">
        <v>0.0501</v>
      </c>
      <c r="I1458" s="14" t="n">
        <v>0.0504873868471377</v>
      </c>
      <c r="J1458" s="14" t="n">
        <v>0.0505978674281289</v>
      </c>
      <c r="K1458" s="14" t="n">
        <v>0.051307424098781</v>
      </c>
      <c r="L1458" s="14" t="n">
        <v>0.0629992464251842</v>
      </c>
      <c r="M1458" s="14" t="n">
        <v>2.403</v>
      </c>
      <c r="N1458" s="14" t="n">
        <v>2.474</v>
      </c>
      <c r="O1458" s="14" t="n">
        <v>2.667</v>
      </c>
      <c r="P1458" s="14" t="n">
        <v>2.915</v>
      </c>
      <c r="Q1458" s="14" t="n">
        <v>0</v>
      </c>
      <c r="R1458" s="14" t="n">
        <v>0</v>
      </c>
      <c r="S1458" s="14" t="n">
        <v>3.5</v>
      </c>
    </row>
    <row r="1459" customFormat="false" ht="15" hidden="false" customHeight="false" outlineLevel="0" collapsed="false">
      <c r="A1459" s="13" t="n">
        <v>44344</v>
      </c>
      <c r="B1459" s="14" t="n">
        <v>0.01</v>
      </c>
      <c r="C1459" s="14" t="n">
        <v>0.25</v>
      </c>
      <c r="D1459" s="14" t="n">
        <v>0</v>
      </c>
      <c r="E1459" s="14" t="n">
        <v>-0.566</v>
      </c>
      <c r="F1459" s="14" t="n">
        <v>-0.5</v>
      </c>
      <c r="G1459" s="14" t="n">
        <v>0.1</v>
      </c>
      <c r="H1459" s="14" t="n">
        <v>0.0516</v>
      </c>
      <c r="I1459" s="14" t="n">
        <v>0.0490392959314616</v>
      </c>
      <c r="J1459" s="14" t="n">
        <v>0.0498652727184844</v>
      </c>
      <c r="K1459" s="14" t="n">
        <v>0.0527882031894685</v>
      </c>
      <c r="L1459" s="14" t="n">
        <v>0.068829054797878</v>
      </c>
      <c r="M1459" s="14" t="n">
        <v>2.404</v>
      </c>
      <c r="N1459" s="14" t="n">
        <v>2.476</v>
      </c>
      <c r="O1459" s="14" t="n">
        <v>2.663</v>
      </c>
      <c r="P1459" s="14" t="n">
        <v>2.912</v>
      </c>
      <c r="Q1459" s="14" t="n">
        <v>0</v>
      </c>
      <c r="R1459" s="14" t="n">
        <v>0</v>
      </c>
      <c r="S1459" s="14" t="n">
        <v>3.5</v>
      </c>
    </row>
    <row r="1460" customFormat="false" ht="15" hidden="false" customHeight="false" outlineLevel="0" collapsed="false">
      <c r="A1460" s="13" t="n">
        <v>44347</v>
      </c>
      <c r="C1460" s="14" t="n">
        <v>0.25</v>
      </c>
      <c r="D1460" s="14" t="n">
        <v>0</v>
      </c>
      <c r="E1460" s="14" t="n">
        <v>-0.571</v>
      </c>
      <c r="F1460" s="14" t="n">
        <v>-0.5</v>
      </c>
      <c r="M1460" s="14" t="n">
        <v>2.407</v>
      </c>
      <c r="N1460" s="14" t="n">
        <v>2.479</v>
      </c>
      <c r="O1460" s="14" t="n">
        <v>2.663</v>
      </c>
      <c r="P1460" s="14" t="n">
        <v>2.911</v>
      </c>
      <c r="Q1460" s="14" t="n">
        <v>0</v>
      </c>
      <c r="R1460" s="14" t="n">
        <v>0</v>
      </c>
      <c r="S1460" s="14" t="n">
        <v>3.5</v>
      </c>
    </row>
    <row r="1461" customFormat="false" ht="15" hidden="false" customHeight="false" outlineLevel="0" collapsed="false">
      <c r="A1461" s="13" t="n">
        <v>44348</v>
      </c>
      <c r="B1461" s="14" t="n">
        <v>0.01</v>
      </c>
      <c r="C1461" s="14" t="n">
        <v>0.25</v>
      </c>
      <c r="D1461" s="14" t="n">
        <v>0</v>
      </c>
      <c r="E1461" s="14" t="n">
        <v>-0.564</v>
      </c>
      <c r="F1461" s="14" t="n">
        <v>-0.5</v>
      </c>
      <c r="G1461" s="14" t="n">
        <v>0.1</v>
      </c>
      <c r="H1461" s="14" t="n">
        <v>0.0498</v>
      </c>
      <c r="I1461" s="14" t="n">
        <v>0.0504032098515424</v>
      </c>
      <c r="J1461" s="14" t="n">
        <v>0.0512130531580469</v>
      </c>
      <c r="K1461" s="14" t="n">
        <v>0.0516454056674123</v>
      </c>
      <c r="L1461" s="14" t="n">
        <v>0.0657480945517395</v>
      </c>
      <c r="M1461" s="14" t="n">
        <v>2.406</v>
      </c>
      <c r="N1461" s="14" t="n">
        <v>2.478</v>
      </c>
      <c r="O1461" s="14" t="n">
        <v>2.659</v>
      </c>
      <c r="P1461" s="14" t="n">
        <v>2.91</v>
      </c>
      <c r="Q1461" s="14" t="n">
        <v>0</v>
      </c>
      <c r="R1461" s="14" t="n">
        <v>0</v>
      </c>
      <c r="S1461" s="14" t="n">
        <v>3.5</v>
      </c>
    </row>
    <row r="1462" customFormat="false" ht="15" hidden="false" customHeight="false" outlineLevel="0" collapsed="false">
      <c r="A1462" s="13" t="n">
        <v>44349</v>
      </c>
      <c r="B1462" s="14" t="n">
        <v>0.01</v>
      </c>
      <c r="C1462" s="14" t="n">
        <v>0.25</v>
      </c>
      <c r="D1462" s="14" t="n">
        <v>0</v>
      </c>
      <c r="E1462" s="14" t="n">
        <v>-0.563</v>
      </c>
      <c r="F1462" s="14" t="n">
        <v>-0.5</v>
      </c>
      <c r="G1462" s="14" t="n">
        <v>0.1</v>
      </c>
      <c r="H1462" s="14" t="n">
        <v>0.0498</v>
      </c>
      <c r="I1462" s="14" t="n">
        <v>0.0488880771459367</v>
      </c>
      <c r="J1462" s="14" t="n">
        <v>0.0505922425548728</v>
      </c>
      <c r="K1462" s="14" t="n">
        <v>0.0520941615564804</v>
      </c>
      <c r="L1462" s="14" t="n">
        <v>0.0671371195771015</v>
      </c>
      <c r="M1462" s="14" t="n">
        <v>2.397</v>
      </c>
      <c r="N1462" s="14" t="n">
        <v>2.469</v>
      </c>
      <c r="O1462" s="14" t="n">
        <v>2.651</v>
      </c>
      <c r="P1462" s="14" t="n">
        <v>2.907</v>
      </c>
      <c r="Q1462" s="14" t="n">
        <v>0</v>
      </c>
      <c r="R1462" s="14" t="n">
        <v>0</v>
      </c>
      <c r="S1462" s="14" t="n">
        <v>3.5</v>
      </c>
    </row>
    <row r="1463" customFormat="false" ht="15" hidden="false" customHeight="false" outlineLevel="0" collapsed="false">
      <c r="A1463" s="13" t="n">
        <v>44350</v>
      </c>
      <c r="B1463" s="14" t="n">
        <v>0.01</v>
      </c>
      <c r="C1463" s="14" t="n">
        <v>0.25</v>
      </c>
      <c r="D1463" s="14" t="n">
        <v>0</v>
      </c>
      <c r="E1463" s="14" t="n">
        <v>-0.563</v>
      </c>
      <c r="F1463" s="14" t="n">
        <v>-0.5</v>
      </c>
      <c r="G1463" s="14" t="n">
        <v>0.1</v>
      </c>
      <c r="H1463" s="14" t="n">
        <v>0.0502</v>
      </c>
      <c r="I1463" s="14" t="n">
        <v>0.0483617601264869</v>
      </c>
      <c r="J1463" s="14" t="n">
        <v>0.0482451097900843</v>
      </c>
      <c r="K1463" s="14" t="n">
        <v>0.0512563290680976</v>
      </c>
      <c r="L1463" s="14" t="n">
        <v>0.0711524301608547</v>
      </c>
      <c r="M1463" s="14" t="n">
        <v>2.384</v>
      </c>
      <c r="N1463" s="14" t="n">
        <v>2.454</v>
      </c>
      <c r="O1463" s="14" t="n">
        <v>2.641</v>
      </c>
      <c r="P1463" s="14" t="n">
        <v>2.899</v>
      </c>
      <c r="Q1463" s="14" t="n">
        <v>0</v>
      </c>
      <c r="R1463" s="14" t="n">
        <v>0</v>
      </c>
      <c r="S1463" s="14" t="n">
        <v>3.5</v>
      </c>
    </row>
    <row r="1464" customFormat="false" ht="15" hidden="false" customHeight="false" outlineLevel="0" collapsed="false">
      <c r="A1464" s="13" t="n">
        <v>44351</v>
      </c>
      <c r="B1464" s="14" t="n">
        <v>0.01</v>
      </c>
      <c r="C1464" s="14" t="n">
        <v>0.25</v>
      </c>
      <c r="D1464" s="14" t="n">
        <v>0</v>
      </c>
      <c r="E1464" s="14" t="n">
        <v>-0.563</v>
      </c>
      <c r="F1464" s="14" t="n">
        <v>-0.5</v>
      </c>
      <c r="G1464" s="14" t="n">
        <v>0.1</v>
      </c>
      <c r="H1464" s="14" t="n">
        <v>0.05</v>
      </c>
      <c r="I1464" s="14" t="n">
        <v>0.0492088891471553</v>
      </c>
      <c r="J1464" s="14" t="n">
        <v>0.0505802739961043</v>
      </c>
      <c r="K1464" s="14" t="n">
        <v>0.0518859997665806</v>
      </c>
      <c r="L1464" s="14" t="n">
        <v>0.0705648303813563</v>
      </c>
      <c r="M1464" s="14" t="n">
        <v>2.377</v>
      </c>
      <c r="N1464" s="14" t="n">
        <v>2.444</v>
      </c>
      <c r="O1464" s="14" t="n">
        <v>2.629</v>
      </c>
      <c r="P1464" s="14" t="n">
        <v>2.887</v>
      </c>
      <c r="Q1464" s="14" t="n">
        <v>0</v>
      </c>
      <c r="R1464" s="14" t="n">
        <v>-0.01</v>
      </c>
      <c r="S1464" s="14" t="n">
        <v>3.5</v>
      </c>
    </row>
    <row r="1465" customFormat="false" ht="15" hidden="false" customHeight="false" outlineLevel="0" collapsed="false">
      <c r="A1465" s="13" t="n">
        <v>44354</v>
      </c>
      <c r="B1465" s="14" t="n">
        <v>0.01</v>
      </c>
      <c r="C1465" s="14" t="n">
        <v>0.25</v>
      </c>
      <c r="D1465" s="14" t="n">
        <v>0</v>
      </c>
      <c r="E1465" s="14" t="n">
        <v>-0.564</v>
      </c>
      <c r="F1465" s="14" t="n">
        <v>-0.5</v>
      </c>
      <c r="G1465" s="14" t="n">
        <v>0.1</v>
      </c>
      <c r="H1465" s="14" t="n">
        <v>0.0504</v>
      </c>
      <c r="I1465" s="14" t="n">
        <v>0.0508343303189663</v>
      </c>
      <c r="J1465" s="14" t="n">
        <v>0.0520613707232588</v>
      </c>
      <c r="K1465" s="14" t="n">
        <v>0.0524477561684679</v>
      </c>
      <c r="L1465" s="14" t="n">
        <v>0.0706710711437378</v>
      </c>
      <c r="M1465" s="14" t="n">
        <v>2.385</v>
      </c>
      <c r="N1465" s="14" t="n">
        <v>2.446</v>
      </c>
      <c r="O1465" s="14" t="n">
        <v>2.626</v>
      </c>
      <c r="P1465" s="14" t="n">
        <v>2.887</v>
      </c>
      <c r="Q1465" s="14" t="n">
        <v>0</v>
      </c>
      <c r="R1465" s="14" t="n">
        <v>0</v>
      </c>
      <c r="S1465" s="14" t="n">
        <v>3.5</v>
      </c>
    </row>
    <row r="1466" customFormat="false" ht="15" hidden="false" customHeight="false" outlineLevel="0" collapsed="false">
      <c r="A1466" s="13" t="n">
        <v>44355</v>
      </c>
      <c r="B1466" s="14" t="n">
        <v>0.01</v>
      </c>
      <c r="C1466" s="14" t="n">
        <v>0.25</v>
      </c>
      <c r="D1466" s="14" t="n">
        <v>0</v>
      </c>
      <c r="E1466" s="14" t="n">
        <v>-0.563</v>
      </c>
      <c r="F1466" s="14" t="n">
        <v>-0.5</v>
      </c>
      <c r="G1466" s="14" t="n">
        <v>0.1</v>
      </c>
      <c r="H1466" s="14" t="n">
        <v>0.0505</v>
      </c>
      <c r="I1466" s="14" t="n">
        <v>0.0506836732454472</v>
      </c>
      <c r="J1466" s="14" t="n">
        <v>0.0513734915347708</v>
      </c>
      <c r="K1466" s="14" t="n">
        <v>0.0523226976784728</v>
      </c>
      <c r="L1466" s="14" t="n">
        <v>0.0678386989697205</v>
      </c>
      <c r="M1466" s="14" t="n">
        <v>2.383</v>
      </c>
      <c r="N1466" s="14" t="n">
        <v>2.443</v>
      </c>
      <c r="O1466" s="14" t="n">
        <v>2.624</v>
      </c>
      <c r="P1466" s="14" t="n">
        <v>2.884</v>
      </c>
      <c r="Q1466" s="14" t="n">
        <v>0</v>
      </c>
      <c r="R1466" s="14" t="n">
        <v>0</v>
      </c>
      <c r="S1466" s="14" t="n">
        <v>3.5</v>
      </c>
    </row>
    <row r="1467" customFormat="false" ht="15" hidden="false" customHeight="false" outlineLevel="0" collapsed="false">
      <c r="A1467" s="13" t="n">
        <v>44356</v>
      </c>
      <c r="B1467" s="14" t="n">
        <v>0.01</v>
      </c>
      <c r="C1467" s="14" t="n">
        <v>0.25</v>
      </c>
      <c r="D1467" s="14" t="n">
        <v>0</v>
      </c>
      <c r="E1467" s="14" t="n">
        <v>-0.564</v>
      </c>
      <c r="F1467" s="14" t="n">
        <v>-0.5</v>
      </c>
      <c r="G1467" s="14" t="n">
        <v>0.1</v>
      </c>
      <c r="H1467" s="14" t="n">
        <v>0.0502</v>
      </c>
      <c r="I1467" s="14" t="n">
        <v>0.0505234448304661</v>
      </c>
      <c r="J1467" s="14" t="n">
        <v>0.0510435935689278</v>
      </c>
      <c r="K1467" s="14" t="n">
        <v>0.0519737742676521</v>
      </c>
      <c r="L1467" s="14" t="n">
        <v>0.0667366165498274</v>
      </c>
      <c r="M1467" s="14" t="n">
        <v>2.386</v>
      </c>
      <c r="N1467" s="14" t="n">
        <v>2.442</v>
      </c>
      <c r="O1467" s="14" t="n">
        <v>2.618</v>
      </c>
      <c r="P1467" s="14" t="n">
        <v>2.884</v>
      </c>
      <c r="Q1467" s="14" t="n">
        <v>0</v>
      </c>
      <c r="R1467" s="14" t="n">
        <v>0</v>
      </c>
      <c r="S1467" s="14" t="n">
        <v>3.5</v>
      </c>
    </row>
    <row r="1468" customFormat="false" ht="15" hidden="false" customHeight="false" outlineLevel="0" collapsed="false">
      <c r="A1468" s="13" t="n">
        <v>44357</v>
      </c>
      <c r="B1468" s="14" t="n">
        <v>0.01</v>
      </c>
      <c r="C1468" s="14" t="n">
        <v>0.25</v>
      </c>
      <c r="D1468" s="14" t="n">
        <v>0</v>
      </c>
      <c r="E1468" s="14" t="n">
        <v>-0.561</v>
      </c>
      <c r="F1468" s="14" t="n">
        <v>-0.5</v>
      </c>
      <c r="G1468" s="14" t="n">
        <v>0.1</v>
      </c>
      <c r="H1468" s="14" t="n">
        <v>0.0499</v>
      </c>
      <c r="I1468" s="14" t="n">
        <v>0.0503119135016588</v>
      </c>
      <c r="J1468" s="14" t="n">
        <v>0.0508476986309066</v>
      </c>
      <c r="K1468" s="14" t="n">
        <v>0.0521841973722619</v>
      </c>
      <c r="L1468" s="14" t="n">
        <v>0.0680912213020351</v>
      </c>
      <c r="M1468" s="14" t="n">
        <v>2.381</v>
      </c>
      <c r="N1468" s="14" t="n">
        <v>2.435</v>
      </c>
      <c r="O1468" s="14" t="n">
        <v>2.611</v>
      </c>
      <c r="P1468" s="14" t="n">
        <v>2.881</v>
      </c>
      <c r="Q1468" s="14" t="n">
        <v>0</v>
      </c>
      <c r="R1468" s="14" t="n">
        <v>0</v>
      </c>
      <c r="S1468" s="14" t="n">
        <v>3.5</v>
      </c>
    </row>
    <row r="1469" customFormat="false" ht="15" hidden="false" customHeight="false" outlineLevel="0" collapsed="false">
      <c r="A1469" s="13" t="n">
        <v>44358</v>
      </c>
      <c r="B1469" s="14" t="n">
        <v>0.01</v>
      </c>
      <c r="C1469" s="14" t="n">
        <v>0.25</v>
      </c>
      <c r="D1469" s="14" t="n">
        <v>0</v>
      </c>
      <c r="E1469" s="14" t="n">
        <v>-0.566</v>
      </c>
      <c r="F1469" s="14" t="n">
        <v>-0.5</v>
      </c>
      <c r="G1469" s="14" t="n">
        <v>0.1</v>
      </c>
      <c r="H1469" s="14" t="n">
        <v>0.0501</v>
      </c>
      <c r="I1469" s="14" t="n">
        <v>0.0488064033078179</v>
      </c>
      <c r="J1469" s="14" t="n">
        <v>0.048410997543621</v>
      </c>
      <c r="K1469" s="14" t="n">
        <v>0.051952666907815</v>
      </c>
      <c r="L1469" s="14" t="n">
        <v>0.0685622623005759</v>
      </c>
      <c r="M1469" s="14" t="n">
        <v>2.384</v>
      </c>
      <c r="N1469" s="14" t="n">
        <v>2.434</v>
      </c>
      <c r="O1469" s="14" t="n">
        <v>2.61</v>
      </c>
      <c r="P1469" s="14" t="n">
        <v>2.883</v>
      </c>
      <c r="Q1469" s="14" t="n">
        <v>0</v>
      </c>
      <c r="R1469" s="14" t="n">
        <v>0</v>
      </c>
      <c r="S1469" s="14" t="n">
        <v>3.5</v>
      </c>
    </row>
    <row r="1470" customFormat="false" ht="15" hidden="false" customHeight="false" outlineLevel="0" collapsed="false">
      <c r="A1470" s="13" t="n">
        <v>44361</v>
      </c>
      <c r="B1470" s="14" t="n">
        <v>0.01</v>
      </c>
      <c r="C1470" s="14" t="n">
        <v>0.25</v>
      </c>
      <c r="D1470" s="14" t="n">
        <v>0</v>
      </c>
      <c r="E1470" s="14" t="n">
        <v>-0.565</v>
      </c>
      <c r="F1470" s="14" t="n">
        <v>-0.5</v>
      </c>
      <c r="G1470" s="14" t="n">
        <v>0.1</v>
      </c>
      <c r="H1470" s="14" t="n">
        <v>0.0499</v>
      </c>
      <c r="I1470" s="14" t="n">
        <v>0.0501597476382493</v>
      </c>
      <c r="J1470" s="14" t="n">
        <v>0.0496846207404851</v>
      </c>
      <c r="K1470" s="14" t="n">
        <v>0.0499779475992219</v>
      </c>
      <c r="L1470" s="14" t="n">
        <v>0.0734254415905018</v>
      </c>
      <c r="Q1470" s="14" t="n">
        <v>0</v>
      </c>
      <c r="R1470" s="14" t="n">
        <v>0</v>
      </c>
      <c r="S1470" s="14" t="n">
        <v>3.5</v>
      </c>
    </row>
    <row r="1471" customFormat="false" ht="15" hidden="false" customHeight="false" outlineLevel="0" collapsed="false">
      <c r="A1471" s="13" t="n">
        <v>44362</v>
      </c>
      <c r="B1471" s="14" t="n">
        <v>0.01</v>
      </c>
      <c r="C1471" s="14" t="n">
        <v>0.25</v>
      </c>
      <c r="D1471" s="14" t="n">
        <v>0</v>
      </c>
      <c r="E1471" s="14" t="n">
        <v>-0.561</v>
      </c>
      <c r="F1471" s="14" t="n">
        <v>-0.5</v>
      </c>
      <c r="G1471" s="14" t="n">
        <v>0.1</v>
      </c>
      <c r="H1471" s="14" t="n">
        <v>0.0499</v>
      </c>
      <c r="I1471" s="14" t="n">
        <v>0.0498459851938312</v>
      </c>
      <c r="J1471" s="14" t="n">
        <v>0.0503598736988361</v>
      </c>
      <c r="K1471" s="14" t="n">
        <v>0.0519193869797069</v>
      </c>
      <c r="L1471" s="14" t="n">
        <v>0.0713418766117104</v>
      </c>
      <c r="M1471" s="14" t="n">
        <v>2.383</v>
      </c>
      <c r="N1471" s="14" t="n">
        <v>2.434</v>
      </c>
      <c r="O1471" s="14" t="n">
        <v>2.608</v>
      </c>
      <c r="P1471" s="14" t="n">
        <v>2.884</v>
      </c>
      <c r="Q1471" s="14" t="n">
        <v>0</v>
      </c>
      <c r="R1471" s="14" t="n">
        <v>0</v>
      </c>
      <c r="S1471" s="14" t="n">
        <v>3.5</v>
      </c>
    </row>
    <row r="1472" customFormat="false" ht="15" hidden="false" customHeight="false" outlineLevel="0" collapsed="false">
      <c r="A1472" s="13" t="n">
        <v>44363</v>
      </c>
      <c r="B1472" s="14" t="n">
        <v>0.01</v>
      </c>
      <c r="C1472" s="14" t="n">
        <v>0.25</v>
      </c>
      <c r="D1472" s="14" t="n">
        <v>0</v>
      </c>
      <c r="E1472" s="14" t="n">
        <v>-0.562</v>
      </c>
      <c r="F1472" s="14" t="n">
        <v>-0.5</v>
      </c>
      <c r="G1472" s="14" t="n">
        <v>0.1</v>
      </c>
      <c r="H1472" s="14" t="n">
        <v>0.05</v>
      </c>
      <c r="I1472" s="14" t="n">
        <v>0.0505263241066565</v>
      </c>
      <c r="J1472" s="14" t="n">
        <v>0.0514383729866296</v>
      </c>
      <c r="K1472" s="14" t="n">
        <v>0.0529784966760121</v>
      </c>
      <c r="L1472" s="14" t="n">
        <v>0.0709946424315178</v>
      </c>
      <c r="M1472" s="14" t="n">
        <v>2.388</v>
      </c>
      <c r="N1472" s="14" t="n">
        <v>2.439</v>
      </c>
      <c r="O1472" s="14" t="n">
        <v>2.605</v>
      </c>
      <c r="P1472" s="14" t="n">
        <v>2.886</v>
      </c>
      <c r="Q1472" s="14" t="n">
        <v>0</v>
      </c>
      <c r="R1472" s="14" t="n">
        <v>0</v>
      </c>
      <c r="S1472" s="14" t="n">
        <v>3.5</v>
      </c>
    </row>
    <row r="1473" customFormat="false" ht="15" hidden="false" customHeight="false" outlineLevel="0" collapsed="false">
      <c r="A1473" s="13" t="n">
        <v>44364</v>
      </c>
      <c r="B1473" s="14" t="n">
        <v>0.05</v>
      </c>
      <c r="C1473" s="14" t="n">
        <v>0.25</v>
      </c>
      <c r="D1473" s="14" t="n">
        <v>0</v>
      </c>
      <c r="E1473" s="14" t="n">
        <v>-0.563</v>
      </c>
      <c r="F1473" s="14" t="n">
        <v>-0.5</v>
      </c>
      <c r="G1473" s="14" t="n">
        <v>0.1</v>
      </c>
      <c r="H1473" s="14" t="n">
        <v>0.05</v>
      </c>
      <c r="I1473" s="14" t="n">
        <v>0.0502145062237917</v>
      </c>
      <c r="J1473" s="14" t="n">
        <v>0.0519976001081362</v>
      </c>
      <c r="K1473" s="14" t="n">
        <v>0.0540672201496553</v>
      </c>
      <c r="L1473" s="14" t="n">
        <v>0.0821986971832008</v>
      </c>
      <c r="M1473" s="14" t="n">
        <v>2.391</v>
      </c>
      <c r="N1473" s="14" t="n">
        <v>2.441</v>
      </c>
      <c r="O1473" s="14" t="n">
        <v>2.604</v>
      </c>
      <c r="P1473" s="14" t="n">
        <v>2.891</v>
      </c>
      <c r="Q1473" s="14" t="n">
        <v>0</v>
      </c>
      <c r="R1473" s="14" t="n">
        <v>0</v>
      </c>
      <c r="S1473" s="14" t="n">
        <v>4.25</v>
      </c>
    </row>
    <row r="1474" customFormat="false" ht="15" hidden="false" customHeight="false" outlineLevel="0" collapsed="false">
      <c r="A1474" s="13" t="n">
        <v>44365</v>
      </c>
      <c r="B1474" s="14" t="n">
        <v>0.05</v>
      </c>
      <c r="C1474" s="14" t="n">
        <v>0.25</v>
      </c>
      <c r="D1474" s="14" t="n">
        <v>0</v>
      </c>
      <c r="E1474" s="14" t="n">
        <v>-0.563</v>
      </c>
      <c r="F1474" s="14" t="n">
        <v>-0.5</v>
      </c>
      <c r="G1474" s="14" t="n">
        <v>0.1</v>
      </c>
      <c r="H1474" s="14" t="n">
        <v>0.0502</v>
      </c>
      <c r="I1474" s="14" t="n">
        <v>0.0517999774448496</v>
      </c>
      <c r="J1474" s="14" t="n">
        <v>0.0525340708949795</v>
      </c>
      <c r="K1474" s="14" t="n">
        <v>0.0560609675293835</v>
      </c>
      <c r="L1474" s="14" t="n">
        <v>0.0916750304597193</v>
      </c>
      <c r="M1474" s="14" t="n">
        <v>2.398</v>
      </c>
      <c r="N1474" s="14" t="n">
        <v>2.444</v>
      </c>
      <c r="O1474" s="14" t="n">
        <v>2.606</v>
      </c>
      <c r="P1474" s="14" t="n">
        <v>2.895</v>
      </c>
      <c r="Q1474" s="14" t="n">
        <v>0</v>
      </c>
      <c r="R1474" s="14" t="n">
        <v>0</v>
      </c>
      <c r="S1474" s="14" t="n">
        <v>4.25</v>
      </c>
    </row>
    <row r="1475" customFormat="false" ht="15" hidden="false" customHeight="false" outlineLevel="0" collapsed="false">
      <c r="A1475" s="13" t="n">
        <v>44368</v>
      </c>
      <c r="B1475" s="14" t="n">
        <v>0.05</v>
      </c>
      <c r="C1475" s="14" t="n">
        <v>0.25</v>
      </c>
      <c r="D1475" s="14" t="n">
        <v>0</v>
      </c>
      <c r="E1475" s="14" t="n">
        <v>-0.564</v>
      </c>
      <c r="F1475" s="14" t="n">
        <v>-0.5</v>
      </c>
      <c r="G1475" s="14" t="n">
        <v>0.1</v>
      </c>
      <c r="H1475" s="14" t="n">
        <v>0.0498</v>
      </c>
      <c r="I1475" s="14" t="n">
        <v>0.0514494617924695</v>
      </c>
      <c r="J1475" s="14" t="n">
        <v>0.0532257274825252</v>
      </c>
      <c r="K1475" s="14" t="n">
        <v>0.0570131358887662</v>
      </c>
      <c r="L1475" s="14" t="n">
        <v>0.089279552657316</v>
      </c>
      <c r="M1475" s="14" t="n">
        <v>2.401</v>
      </c>
      <c r="N1475" s="14" t="n">
        <v>2.449</v>
      </c>
      <c r="O1475" s="14" t="n">
        <v>2.606</v>
      </c>
      <c r="P1475" s="14" t="n">
        <v>2.902</v>
      </c>
      <c r="Q1475" s="14" t="n">
        <v>0</v>
      </c>
      <c r="R1475" s="14" t="n">
        <v>0</v>
      </c>
      <c r="S1475" s="14" t="n">
        <v>4.25</v>
      </c>
    </row>
    <row r="1476" customFormat="false" ht="15" hidden="false" customHeight="false" outlineLevel="0" collapsed="false">
      <c r="A1476" s="13" t="n">
        <v>44369</v>
      </c>
      <c r="B1476" s="14" t="n">
        <v>0.05</v>
      </c>
      <c r="C1476" s="14" t="n">
        <v>0.25</v>
      </c>
      <c r="D1476" s="14" t="n">
        <v>0</v>
      </c>
      <c r="E1476" s="14" t="n">
        <v>-0.564</v>
      </c>
      <c r="F1476" s="14" t="n">
        <v>-0.5</v>
      </c>
      <c r="G1476" s="14" t="n">
        <v>0.1</v>
      </c>
      <c r="H1476" s="14" t="n">
        <v>0.0502</v>
      </c>
      <c r="I1476" s="14" t="n">
        <v>0.0508554404547222</v>
      </c>
      <c r="J1476" s="14" t="n">
        <v>0.0539701903691799</v>
      </c>
      <c r="K1476" s="14" t="n">
        <v>0.0575477063831699</v>
      </c>
      <c r="L1476" s="14" t="n">
        <v>0.0889802113557838</v>
      </c>
      <c r="M1476" s="14" t="n">
        <v>2.406</v>
      </c>
      <c r="N1476" s="14" t="n">
        <v>2.457</v>
      </c>
      <c r="O1476" s="14" t="n">
        <v>2.608</v>
      </c>
      <c r="P1476" s="14" t="n">
        <v>2.905</v>
      </c>
      <c r="Q1476" s="14" t="n">
        <v>0</v>
      </c>
      <c r="R1476" s="14" t="n">
        <v>0</v>
      </c>
      <c r="S1476" s="14" t="n">
        <v>4.25</v>
      </c>
    </row>
    <row r="1477" customFormat="false" ht="15" hidden="false" customHeight="false" outlineLevel="0" collapsed="false">
      <c r="A1477" s="13" t="n">
        <v>44370</v>
      </c>
      <c r="B1477" s="14" t="n">
        <v>0.05</v>
      </c>
      <c r="C1477" s="14" t="n">
        <v>0.25</v>
      </c>
      <c r="D1477" s="14" t="n">
        <v>0</v>
      </c>
      <c r="E1477" s="14" t="n">
        <v>-0.563</v>
      </c>
      <c r="F1477" s="14" t="n">
        <v>-0.5</v>
      </c>
      <c r="G1477" s="14" t="n">
        <v>0.1</v>
      </c>
      <c r="H1477" s="14" t="n">
        <v>0.05</v>
      </c>
      <c r="I1477" s="14" t="n">
        <v>0.0516961565785845</v>
      </c>
      <c r="J1477" s="14" t="n">
        <v>0.0536921707010037</v>
      </c>
      <c r="K1477" s="14" t="n">
        <v>0.0571012952412014</v>
      </c>
      <c r="L1477" s="14" t="n">
        <v>0.0893584260992969</v>
      </c>
      <c r="M1477" s="14" t="n">
        <v>2.406</v>
      </c>
      <c r="N1477" s="14" t="n">
        <v>2.457</v>
      </c>
      <c r="O1477" s="14" t="n">
        <v>2.61</v>
      </c>
      <c r="P1477" s="14" t="n">
        <v>2.906</v>
      </c>
      <c r="Q1477" s="14" t="n">
        <v>0</v>
      </c>
      <c r="R1477" s="14" t="n">
        <v>0</v>
      </c>
      <c r="S1477" s="14" t="n">
        <v>4.25</v>
      </c>
    </row>
    <row r="1478" customFormat="false" ht="15" hidden="false" customHeight="false" outlineLevel="0" collapsed="false">
      <c r="A1478" s="13" t="n">
        <v>44371</v>
      </c>
      <c r="B1478" s="14" t="n">
        <v>0.05</v>
      </c>
      <c r="C1478" s="14" t="n">
        <v>0.25</v>
      </c>
      <c r="D1478" s="14" t="n">
        <v>0</v>
      </c>
      <c r="E1478" s="14" t="n">
        <v>-0.565</v>
      </c>
      <c r="F1478" s="14" t="n">
        <v>-0.5</v>
      </c>
      <c r="G1478" s="14" t="n">
        <v>0.1</v>
      </c>
      <c r="H1478" s="14" t="n">
        <v>0.05</v>
      </c>
      <c r="I1478" s="14" t="n">
        <v>0.0516697899013099</v>
      </c>
      <c r="J1478" s="14" t="n">
        <v>0.0525318819723197</v>
      </c>
      <c r="K1478" s="14" t="n">
        <v>0.0551575575487105</v>
      </c>
      <c r="L1478" s="14" t="n">
        <v>0.0816558952961488</v>
      </c>
      <c r="M1478" s="14" t="n">
        <v>2.404</v>
      </c>
      <c r="N1478" s="14" t="n">
        <v>2.455</v>
      </c>
      <c r="O1478" s="14" t="n">
        <v>2.611</v>
      </c>
      <c r="P1478" s="14" t="n">
        <v>2.907</v>
      </c>
      <c r="Q1478" s="14" t="n">
        <v>0</v>
      </c>
      <c r="R1478" s="14" t="n">
        <v>0</v>
      </c>
      <c r="S1478" s="14" t="n">
        <v>4.25</v>
      </c>
    </row>
    <row r="1479" customFormat="false" ht="15" hidden="false" customHeight="false" outlineLevel="0" collapsed="false">
      <c r="A1479" s="13" t="n">
        <v>44372</v>
      </c>
      <c r="B1479" s="14" t="n">
        <v>0.05</v>
      </c>
      <c r="C1479" s="14" t="n">
        <v>0.25</v>
      </c>
      <c r="D1479" s="14" t="n">
        <v>0</v>
      </c>
      <c r="E1479" s="14" t="n">
        <v>-0.565</v>
      </c>
      <c r="F1479" s="14" t="n">
        <v>-0.5</v>
      </c>
      <c r="G1479" s="14" t="n">
        <v>0.1</v>
      </c>
      <c r="H1479" s="14" t="n">
        <v>0.0502</v>
      </c>
      <c r="I1479" s="14" t="n">
        <v>0.051793473483776</v>
      </c>
      <c r="J1479" s="14" t="n">
        <v>0.0555859472153937</v>
      </c>
      <c r="K1479" s="14" t="n">
        <v>0.0569750280925395</v>
      </c>
      <c r="L1479" s="14" t="n">
        <v>0.0844899751635428</v>
      </c>
      <c r="M1479" s="14" t="n">
        <v>2.404</v>
      </c>
      <c r="N1479" s="14" t="n">
        <v>2.456</v>
      </c>
      <c r="O1479" s="14" t="n">
        <v>2.609</v>
      </c>
      <c r="P1479" s="14" t="n">
        <v>2.904</v>
      </c>
      <c r="Q1479" s="14" t="n">
        <v>0</v>
      </c>
      <c r="R1479" s="14" t="n">
        <v>0</v>
      </c>
      <c r="S1479" s="14" t="n">
        <v>4.25</v>
      </c>
    </row>
    <row r="1480" customFormat="false" ht="15" hidden="false" customHeight="false" outlineLevel="0" collapsed="false">
      <c r="A1480" s="13" t="n">
        <v>44375</v>
      </c>
      <c r="B1480" s="14" t="n">
        <v>0.05</v>
      </c>
      <c r="C1480" s="14" t="n">
        <v>0.25</v>
      </c>
      <c r="D1480" s="14" t="n">
        <v>0</v>
      </c>
      <c r="E1480" s="14" t="n">
        <v>-0.566</v>
      </c>
      <c r="F1480" s="14" t="n">
        <v>-0.5</v>
      </c>
      <c r="G1480" s="14" t="n">
        <v>0.1</v>
      </c>
      <c r="H1480" s="14" t="n">
        <v>0.0495</v>
      </c>
      <c r="I1480" s="14" t="n">
        <v>0.0502646579796254</v>
      </c>
      <c r="J1480" s="14" t="n">
        <v>0.0530399374571648</v>
      </c>
      <c r="K1480" s="14" t="n">
        <v>0.0575506479039385</v>
      </c>
      <c r="L1480" s="14" t="n">
        <v>0.0853568126284492</v>
      </c>
      <c r="M1480" s="14" t="n">
        <v>2.405</v>
      </c>
      <c r="N1480" s="14" t="n">
        <v>2.457</v>
      </c>
      <c r="O1480" s="14" t="n">
        <v>2.607</v>
      </c>
      <c r="P1480" s="14" t="n">
        <v>2.904</v>
      </c>
      <c r="Q1480" s="14" t="n">
        <v>0</v>
      </c>
      <c r="R1480" s="14" t="n">
        <v>0</v>
      </c>
      <c r="S1480" s="14" t="n">
        <v>4.25</v>
      </c>
    </row>
    <row r="1481" customFormat="false" ht="15" hidden="false" customHeight="false" outlineLevel="0" collapsed="false">
      <c r="A1481" s="13" t="n">
        <v>44376</v>
      </c>
      <c r="B1481" s="14" t="n">
        <v>0.05</v>
      </c>
      <c r="C1481" s="14" t="n">
        <v>0.25</v>
      </c>
      <c r="D1481" s="14" t="n">
        <v>0</v>
      </c>
      <c r="E1481" s="14" t="n">
        <v>-0.568</v>
      </c>
      <c r="F1481" s="14" t="n">
        <v>-0.5</v>
      </c>
      <c r="G1481" s="14" t="n">
        <v>0.1</v>
      </c>
      <c r="H1481" s="14" t="n">
        <v>0.0493</v>
      </c>
      <c r="I1481" s="14" t="n">
        <v>0.0502815334436311</v>
      </c>
      <c r="J1481" s="14" t="n">
        <v>0.0527542776373643</v>
      </c>
      <c r="K1481" s="14" t="n">
        <v>0.0565438927929614</v>
      </c>
      <c r="L1481" s="14" t="n">
        <v>0.0842367494353176</v>
      </c>
      <c r="M1481" s="14" t="n">
        <v>2.41</v>
      </c>
      <c r="N1481" s="14" t="n">
        <v>2.458</v>
      </c>
      <c r="O1481" s="14" t="n">
        <v>2.608</v>
      </c>
      <c r="P1481" s="14" t="n">
        <v>2.904</v>
      </c>
      <c r="Q1481" s="14" t="n">
        <v>0</v>
      </c>
      <c r="R1481" s="14" t="n">
        <v>0</v>
      </c>
      <c r="S1481" s="14" t="n">
        <v>4.25</v>
      </c>
    </row>
    <row r="1482" customFormat="false" ht="15" hidden="false" customHeight="false" outlineLevel="0" collapsed="false">
      <c r="A1482" s="13" t="n">
        <v>44377</v>
      </c>
      <c r="B1482" s="14" t="n">
        <v>0.05</v>
      </c>
      <c r="C1482" s="14" t="n">
        <v>0.25</v>
      </c>
      <c r="D1482" s="14" t="n">
        <v>0</v>
      </c>
      <c r="E1482" s="14" t="n">
        <v>-0.581</v>
      </c>
      <c r="F1482" s="14" t="n">
        <v>-0.5</v>
      </c>
      <c r="G1482" s="14" t="n">
        <v>0.1</v>
      </c>
      <c r="H1482" s="14" t="n">
        <v>0.0466</v>
      </c>
      <c r="I1482" s="14" t="n">
        <v>0.0501469473286435</v>
      </c>
      <c r="J1482" s="14" t="n">
        <v>0.0525971657908136</v>
      </c>
      <c r="K1482" s="14" t="n">
        <v>0.0568716457595209</v>
      </c>
      <c r="L1482" s="14" t="n">
        <v>0.0824787102023075</v>
      </c>
      <c r="M1482" s="14" t="n">
        <v>2.415</v>
      </c>
      <c r="N1482" s="14" t="n">
        <v>2.458</v>
      </c>
      <c r="O1482" s="14" t="n">
        <v>2.609</v>
      </c>
      <c r="P1482" s="14" t="n">
        <v>2.904</v>
      </c>
      <c r="Q1482" s="14" t="n">
        <v>0</v>
      </c>
      <c r="R1482" s="14" t="n">
        <v>-0.01</v>
      </c>
      <c r="S1482" s="14" t="n">
        <v>4.25</v>
      </c>
    </row>
    <row r="1483" customFormat="false" ht="15" hidden="false" customHeight="false" outlineLevel="0" collapsed="false">
      <c r="A1483" s="13" t="n">
        <v>44378</v>
      </c>
      <c r="B1483" s="14" t="n">
        <v>0.05</v>
      </c>
      <c r="C1483" s="14" t="n">
        <v>0.25</v>
      </c>
      <c r="D1483" s="14" t="n">
        <v>0</v>
      </c>
      <c r="E1483" s="14" t="n">
        <v>-0.565</v>
      </c>
      <c r="F1483" s="14" t="n">
        <v>-0.5</v>
      </c>
      <c r="G1483" s="14" t="n">
        <v>0.1</v>
      </c>
      <c r="H1483" s="14" t="n">
        <v>0.0496</v>
      </c>
      <c r="I1483" s="14" t="n">
        <v>0.0500124606294024</v>
      </c>
      <c r="J1483" s="14" t="n">
        <v>0.0525101681991667</v>
      </c>
      <c r="K1483" s="14" t="n">
        <v>0.0548175561384245</v>
      </c>
      <c r="L1483" s="14" t="n">
        <v>0.0799192011474661</v>
      </c>
      <c r="M1483" s="14" t="n">
        <v>2.407</v>
      </c>
      <c r="N1483" s="14" t="n">
        <v>2.457</v>
      </c>
      <c r="O1483" s="14" t="n">
        <v>2.606</v>
      </c>
      <c r="P1483" s="14" t="n">
        <v>2.901</v>
      </c>
      <c r="Q1483" s="14" t="n">
        <v>0</v>
      </c>
      <c r="R1483" s="14" t="n">
        <v>0</v>
      </c>
      <c r="S1483" s="14" t="n">
        <v>4.25</v>
      </c>
    </row>
    <row r="1484" customFormat="false" ht="15" hidden="false" customHeight="false" outlineLevel="0" collapsed="false">
      <c r="A1484" s="13" t="n">
        <v>44379</v>
      </c>
      <c r="B1484" s="14" t="n">
        <v>0.05</v>
      </c>
      <c r="C1484" s="14" t="n">
        <v>0.25</v>
      </c>
      <c r="D1484" s="14" t="n">
        <v>0</v>
      </c>
      <c r="E1484" s="14" t="n">
        <v>-0.565</v>
      </c>
      <c r="F1484" s="14" t="n">
        <v>-0.5</v>
      </c>
      <c r="G1484" s="14" t="n">
        <v>0.1</v>
      </c>
      <c r="H1484" s="14" t="n">
        <v>0.0505</v>
      </c>
      <c r="I1484" s="14" t="n">
        <v>0.0501683472418414</v>
      </c>
      <c r="J1484" s="14" t="n">
        <v>0.0504331124161555</v>
      </c>
      <c r="K1484" s="14" t="n">
        <v>0.0548706525205797</v>
      </c>
      <c r="L1484" s="14" t="n">
        <v>0.0778128364022053</v>
      </c>
      <c r="M1484" s="14" t="n">
        <v>2.385</v>
      </c>
      <c r="N1484" s="14" t="n">
        <v>2.449</v>
      </c>
      <c r="O1484" s="14" t="n">
        <v>2.605</v>
      </c>
      <c r="P1484" s="14" t="n">
        <v>2.899</v>
      </c>
      <c r="Q1484" s="14" t="n">
        <v>0</v>
      </c>
      <c r="R1484" s="14" t="n">
        <v>0</v>
      </c>
      <c r="S1484" s="14" t="n">
        <v>4.25</v>
      </c>
    </row>
    <row r="1485" customFormat="false" ht="15" hidden="false" customHeight="false" outlineLevel="0" collapsed="false">
      <c r="A1485" s="13" t="n">
        <v>44382</v>
      </c>
      <c r="C1485" s="14" t="n">
        <v>0.25</v>
      </c>
      <c r="D1485" s="14" t="n">
        <v>0</v>
      </c>
      <c r="E1485" s="14" t="n">
        <v>-0.566</v>
      </c>
      <c r="F1485" s="14" t="n">
        <v>-0.5</v>
      </c>
      <c r="G1485" s="14" t="n">
        <v>0.1</v>
      </c>
      <c r="H1485" s="14" t="n">
        <v>0.0504</v>
      </c>
      <c r="I1485" s="14" t="n">
        <v>0.0506672813813731</v>
      </c>
      <c r="J1485" s="14" t="n">
        <v>0.0521100181088845</v>
      </c>
      <c r="K1485" s="14" t="n">
        <v>0.0570842702850639</v>
      </c>
      <c r="L1485" s="14" t="n">
        <v>0.0799922245221755</v>
      </c>
      <c r="M1485" s="14" t="n">
        <v>2.382</v>
      </c>
      <c r="N1485" s="14" t="n">
        <v>2.444</v>
      </c>
      <c r="O1485" s="14" t="n">
        <v>2.601</v>
      </c>
      <c r="P1485" s="14" t="n">
        <v>2.896</v>
      </c>
      <c r="Q1485" s="14" t="n">
        <v>0</v>
      </c>
      <c r="R1485" s="14" t="n">
        <v>0</v>
      </c>
      <c r="S1485" s="14" t="n">
        <v>4.25</v>
      </c>
    </row>
    <row r="1486" customFormat="false" ht="15" hidden="false" customHeight="false" outlineLevel="0" collapsed="false">
      <c r="A1486" s="13" t="n">
        <v>44383</v>
      </c>
      <c r="B1486" s="14" t="n">
        <v>0.05</v>
      </c>
      <c r="C1486" s="14" t="n">
        <v>0.25</v>
      </c>
      <c r="D1486" s="14" t="n">
        <v>0</v>
      </c>
      <c r="E1486" s="14" t="n">
        <v>-0.565</v>
      </c>
      <c r="F1486" s="14" t="n">
        <v>-0.5</v>
      </c>
      <c r="G1486" s="14" t="n">
        <v>0.1</v>
      </c>
      <c r="H1486" s="14" t="n">
        <v>0.0502</v>
      </c>
      <c r="I1486" s="14" t="n">
        <v>0.0510248762710317</v>
      </c>
      <c r="J1486" s="14" t="n">
        <v>0.0526430781263835</v>
      </c>
      <c r="K1486" s="14" t="n">
        <v>0.0560829290847267</v>
      </c>
      <c r="L1486" s="14" t="n">
        <v>0.0773012098423521</v>
      </c>
      <c r="M1486" s="14" t="n">
        <v>2.378</v>
      </c>
      <c r="N1486" s="14" t="n">
        <v>2.442</v>
      </c>
      <c r="O1486" s="14" t="n">
        <v>2.601</v>
      </c>
      <c r="P1486" s="14" t="n">
        <v>2.898</v>
      </c>
      <c r="Q1486" s="14" t="n">
        <v>0</v>
      </c>
      <c r="R1486" s="14" t="n">
        <v>0</v>
      </c>
      <c r="S1486" s="14" t="n">
        <v>4.25</v>
      </c>
    </row>
    <row r="1487" customFormat="false" ht="15" hidden="false" customHeight="false" outlineLevel="0" collapsed="false">
      <c r="A1487" s="13" t="n">
        <v>44384</v>
      </c>
      <c r="B1487" s="14" t="n">
        <v>0.05</v>
      </c>
      <c r="C1487" s="14" t="n">
        <v>0.25</v>
      </c>
      <c r="D1487" s="14" t="n">
        <v>0</v>
      </c>
      <c r="E1487" s="14" t="n">
        <v>-0.565</v>
      </c>
      <c r="F1487" s="14" t="n">
        <v>-0.5</v>
      </c>
      <c r="G1487" s="14" t="n">
        <v>0.1</v>
      </c>
      <c r="H1487" s="14" t="n">
        <v>0.0506</v>
      </c>
      <c r="I1487" s="14" t="n">
        <v>0.0508214372590875</v>
      </c>
      <c r="J1487" s="14" t="n">
        <v>0.0518584968564868</v>
      </c>
      <c r="K1487" s="14" t="n">
        <v>0.055005553160267</v>
      </c>
      <c r="L1487" s="14" t="n">
        <v>0.076159038026035</v>
      </c>
      <c r="M1487" s="14" t="n">
        <v>2.376</v>
      </c>
      <c r="N1487" s="14" t="n">
        <v>2.442</v>
      </c>
      <c r="O1487" s="14" t="n">
        <v>2.6</v>
      </c>
      <c r="P1487" s="14" t="n">
        <v>2.896</v>
      </c>
      <c r="Q1487" s="14" t="n">
        <v>0</v>
      </c>
      <c r="R1487" s="14" t="n">
        <v>0</v>
      </c>
      <c r="S1487" s="14" t="n">
        <v>4.25</v>
      </c>
    </row>
    <row r="1488" customFormat="false" ht="15" hidden="false" customHeight="false" outlineLevel="0" collapsed="false">
      <c r="A1488" s="13" t="n">
        <v>44385</v>
      </c>
      <c r="B1488" s="14" t="n">
        <v>0.05</v>
      </c>
      <c r="C1488" s="14" t="n">
        <v>0.25</v>
      </c>
      <c r="D1488" s="14" t="n">
        <v>0</v>
      </c>
      <c r="E1488" s="14" t="n">
        <v>-0.566</v>
      </c>
      <c r="F1488" s="14" t="n">
        <v>-0.5</v>
      </c>
      <c r="G1488" s="14" t="n">
        <v>0.1</v>
      </c>
      <c r="H1488" s="14" t="n">
        <v>0.0508</v>
      </c>
      <c r="I1488" s="14" t="n">
        <v>0.0516059582793375</v>
      </c>
      <c r="J1488" s="14" t="n">
        <v>0.0528573954352421</v>
      </c>
      <c r="K1488" s="14" t="n">
        <v>0.0552889651183676</v>
      </c>
      <c r="L1488" s="14" t="n">
        <v>0.0820976359257693</v>
      </c>
      <c r="M1488" s="14" t="n">
        <v>2.357</v>
      </c>
      <c r="N1488" s="14" t="n">
        <v>2.435</v>
      </c>
      <c r="O1488" s="14" t="n">
        <v>2.594</v>
      </c>
      <c r="P1488" s="14" t="n">
        <v>2.872</v>
      </c>
      <c r="Q1488" s="14" t="n">
        <v>0</v>
      </c>
      <c r="R1488" s="14" t="n">
        <v>0</v>
      </c>
      <c r="S1488" s="14" t="n">
        <v>4.25</v>
      </c>
    </row>
    <row r="1489" customFormat="false" ht="15" hidden="false" customHeight="false" outlineLevel="0" collapsed="false">
      <c r="A1489" s="13" t="n">
        <v>44386</v>
      </c>
      <c r="B1489" s="14" t="n">
        <v>0.05</v>
      </c>
      <c r="C1489" s="14" t="n">
        <v>0.25</v>
      </c>
      <c r="D1489" s="14" t="n">
        <v>0</v>
      </c>
      <c r="E1489" s="14" t="n">
        <v>-0.566</v>
      </c>
      <c r="F1489" s="14" t="n">
        <v>-0.5</v>
      </c>
      <c r="G1489" s="14" t="n">
        <v>0.1</v>
      </c>
      <c r="H1489" s="14" t="n">
        <v>0.0504</v>
      </c>
      <c r="I1489" s="14" t="n">
        <v>0.0520870466560918</v>
      </c>
      <c r="J1489" s="14" t="n">
        <v>0.053536667156366</v>
      </c>
      <c r="K1489" s="14" t="n">
        <v>0.0555484282209287</v>
      </c>
      <c r="L1489" s="14" t="n">
        <v>0.0871564578307841</v>
      </c>
      <c r="M1489" s="14" t="n">
        <v>2.351</v>
      </c>
      <c r="N1489" s="14" t="n">
        <v>2.435</v>
      </c>
      <c r="O1489" s="14" t="n">
        <v>2.589</v>
      </c>
      <c r="P1489" s="14" t="n">
        <v>2.868</v>
      </c>
      <c r="Q1489" s="14" t="n">
        <v>0</v>
      </c>
      <c r="R1489" s="14" t="n">
        <v>0</v>
      </c>
      <c r="S1489" s="14" t="n">
        <v>4.25</v>
      </c>
    </row>
    <row r="1490" customFormat="false" ht="15" hidden="false" customHeight="false" outlineLevel="0" collapsed="false">
      <c r="A1490" s="13" t="n">
        <v>44389</v>
      </c>
      <c r="B1490" s="14" t="n">
        <v>0.05</v>
      </c>
      <c r="C1490" s="14" t="n">
        <v>0.25</v>
      </c>
      <c r="D1490" s="14" t="n">
        <v>0</v>
      </c>
      <c r="E1490" s="14" t="n">
        <v>-0.568</v>
      </c>
      <c r="F1490" s="14" t="n">
        <v>-0.5</v>
      </c>
      <c r="G1490" s="14" t="n">
        <v>0.1</v>
      </c>
      <c r="H1490" s="14" t="n">
        <v>0.0503</v>
      </c>
      <c r="I1490" s="14" t="n">
        <v>0.0504961493894206</v>
      </c>
      <c r="J1490" s="14" t="n">
        <v>0.0508314454545544</v>
      </c>
      <c r="K1490" s="14" t="n">
        <v>0.054689264492686</v>
      </c>
      <c r="L1490" s="14" t="n">
        <v>0.0849904931995052</v>
      </c>
      <c r="M1490" s="14" t="n">
        <v>2.339</v>
      </c>
      <c r="N1490" s="14" t="n">
        <v>2.428</v>
      </c>
      <c r="O1490" s="14" t="n">
        <v>2.577</v>
      </c>
      <c r="P1490" s="14" t="n">
        <v>2.858</v>
      </c>
      <c r="Q1490" s="14" t="n">
        <v>0</v>
      </c>
      <c r="R1490" s="14" t="n">
        <v>0</v>
      </c>
      <c r="S1490" s="14" t="n">
        <v>4.25</v>
      </c>
    </row>
    <row r="1491" customFormat="false" ht="15" hidden="false" customHeight="false" outlineLevel="0" collapsed="false">
      <c r="A1491" s="13" t="n">
        <v>44390</v>
      </c>
      <c r="B1491" s="14" t="n">
        <v>0.05</v>
      </c>
      <c r="C1491" s="14" t="n">
        <v>0.25</v>
      </c>
      <c r="D1491" s="14" t="n">
        <v>0</v>
      </c>
      <c r="E1491" s="14" t="n">
        <v>-0.566</v>
      </c>
      <c r="F1491" s="14" t="n">
        <v>-0.5</v>
      </c>
      <c r="G1491" s="14" t="n">
        <v>0.1</v>
      </c>
      <c r="H1491" s="14" t="n">
        <v>0.0507</v>
      </c>
      <c r="I1491" s="14" t="n">
        <v>0.0498773017221594</v>
      </c>
      <c r="J1491" s="14" t="n">
        <v>0.050381334120069</v>
      </c>
      <c r="K1491" s="14" t="n">
        <v>0.0557134236805177</v>
      </c>
      <c r="L1491" s="14" t="n">
        <v>0.0866165272293843</v>
      </c>
      <c r="M1491" s="14" t="n">
        <v>2.333</v>
      </c>
      <c r="N1491" s="14" t="n">
        <v>2.423</v>
      </c>
      <c r="O1491" s="14" t="n">
        <v>2.567</v>
      </c>
      <c r="P1491" s="14" t="n">
        <v>2.843</v>
      </c>
      <c r="Q1491" s="14" t="n">
        <v>0</v>
      </c>
      <c r="R1491" s="14" t="n">
        <v>0</v>
      </c>
      <c r="S1491" s="14" t="n">
        <v>4.25</v>
      </c>
    </row>
    <row r="1492" customFormat="false" ht="15" hidden="false" customHeight="false" outlineLevel="0" collapsed="false">
      <c r="A1492" s="13" t="n">
        <v>44391</v>
      </c>
      <c r="B1492" s="14" t="n">
        <v>0.05</v>
      </c>
      <c r="C1492" s="14" t="n">
        <v>0.25</v>
      </c>
      <c r="D1492" s="14" t="n">
        <v>0</v>
      </c>
      <c r="E1492" s="14" t="n">
        <v>-0.566</v>
      </c>
      <c r="F1492" s="14" t="n">
        <v>-0.5</v>
      </c>
      <c r="G1492" s="14" t="n">
        <v>0.1</v>
      </c>
      <c r="H1492" s="14" t="n">
        <v>0.0508</v>
      </c>
      <c r="I1492" s="14" t="n">
        <v>0.0511417346705192</v>
      </c>
      <c r="J1492" s="14" t="n">
        <v>0.0517719228383854</v>
      </c>
      <c r="K1492" s="14" t="n">
        <v>0.0580185846252659</v>
      </c>
      <c r="L1492" s="14" t="n">
        <v>0.0913346229907653</v>
      </c>
      <c r="M1492" s="14" t="n">
        <v>2.326</v>
      </c>
      <c r="N1492" s="14" t="n">
        <v>2.414</v>
      </c>
      <c r="O1492" s="14" t="n">
        <v>2.552</v>
      </c>
      <c r="P1492" s="14" t="n">
        <v>2.833</v>
      </c>
      <c r="Q1492" s="14" t="n">
        <v>0</v>
      </c>
      <c r="R1492" s="14" t="n">
        <v>0</v>
      </c>
      <c r="S1492" s="14" t="n">
        <v>4.25</v>
      </c>
    </row>
    <row r="1493" customFormat="false" ht="15" hidden="false" customHeight="false" outlineLevel="0" collapsed="false">
      <c r="A1493" s="13" t="n">
        <v>44392</v>
      </c>
      <c r="B1493" s="14" t="n">
        <v>0.05</v>
      </c>
      <c r="C1493" s="14" t="n">
        <v>0.25</v>
      </c>
      <c r="D1493" s="14" t="n">
        <v>0</v>
      </c>
      <c r="E1493" s="14" t="n">
        <v>-0.566</v>
      </c>
      <c r="F1493" s="14" t="n">
        <v>-0.5</v>
      </c>
      <c r="G1493" s="14" t="n">
        <v>0.1</v>
      </c>
      <c r="H1493" s="14" t="n">
        <v>0.0508</v>
      </c>
      <c r="I1493" s="14" t="n">
        <v>0.0512058324716562</v>
      </c>
      <c r="J1493" s="14" t="n">
        <v>0.0543240659098085</v>
      </c>
      <c r="K1493" s="14" t="n">
        <v>0.0647749155119686</v>
      </c>
      <c r="L1493" s="14" t="n">
        <v>0.115419404567776</v>
      </c>
      <c r="M1493" s="14" t="n">
        <v>2.316</v>
      </c>
      <c r="N1493" s="14" t="n">
        <v>2.405</v>
      </c>
      <c r="O1493" s="14" t="n">
        <v>2.547</v>
      </c>
      <c r="P1493" s="14" t="n">
        <v>2.822</v>
      </c>
      <c r="Q1493" s="14" t="n">
        <v>0</v>
      </c>
      <c r="R1493" s="14" t="n">
        <v>0</v>
      </c>
      <c r="S1493" s="14" t="n">
        <v>4.25</v>
      </c>
    </row>
    <row r="1494" customFormat="false" ht="15" hidden="false" customHeight="false" outlineLevel="0" collapsed="false">
      <c r="A1494" s="13" t="n">
        <v>44393</v>
      </c>
      <c r="B1494" s="14" t="n">
        <v>0.05</v>
      </c>
      <c r="C1494" s="14" t="n">
        <v>0.25</v>
      </c>
      <c r="D1494" s="14" t="n">
        <v>0</v>
      </c>
      <c r="E1494" s="14" t="n">
        <v>-0.567</v>
      </c>
      <c r="F1494" s="14" t="n">
        <v>-0.5</v>
      </c>
      <c r="G1494" s="14" t="n">
        <v>0.1</v>
      </c>
      <c r="H1494" s="14" t="n">
        <v>0.0506</v>
      </c>
      <c r="I1494" s="14" t="n">
        <v>0.0500848460539589</v>
      </c>
      <c r="J1494" s="14" t="n">
        <v>0.0542557640356869</v>
      </c>
      <c r="K1494" s="14" t="n">
        <v>0.064966566405165</v>
      </c>
      <c r="L1494" s="14" t="n">
        <v>0.112543887441118</v>
      </c>
      <c r="M1494" s="14" t="n">
        <v>2.318</v>
      </c>
      <c r="N1494" s="14" t="n">
        <v>2.404</v>
      </c>
      <c r="O1494" s="14" t="n">
        <v>2.543</v>
      </c>
      <c r="P1494" s="14" t="n">
        <v>2.814</v>
      </c>
      <c r="Q1494" s="14" t="n">
        <v>0</v>
      </c>
      <c r="R1494" s="14" t="n">
        <v>0</v>
      </c>
      <c r="S1494" s="14" t="n">
        <v>4.25</v>
      </c>
    </row>
    <row r="1495" customFormat="false" ht="15" hidden="false" customHeight="false" outlineLevel="0" collapsed="false">
      <c r="A1495" s="13" t="n">
        <v>44396</v>
      </c>
      <c r="B1495" s="14" t="n">
        <v>0.05</v>
      </c>
      <c r="C1495" s="14" t="n">
        <v>0.25</v>
      </c>
      <c r="D1495" s="14" t="n">
        <v>0</v>
      </c>
      <c r="E1495" s="14" t="n">
        <v>-0.566</v>
      </c>
      <c r="F1495" s="14" t="n">
        <v>-0.5</v>
      </c>
      <c r="G1495" s="14" t="n">
        <v>0.1</v>
      </c>
      <c r="H1495" s="14" t="n">
        <v>0.0508</v>
      </c>
      <c r="I1495" s="14" t="n">
        <v>0.0501730173080484</v>
      </c>
      <c r="J1495" s="14" t="n">
        <v>0.0525739526052287</v>
      </c>
      <c r="K1495" s="14" t="n">
        <v>0.0616239330902007</v>
      </c>
      <c r="L1495" s="14" t="n">
        <v>0.105185617445105</v>
      </c>
      <c r="M1495" s="14" t="n">
        <v>2.315</v>
      </c>
      <c r="N1495" s="14" t="n">
        <v>2.401</v>
      </c>
      <c r="O1495" s="14" t="n">
        <v>2.534</v>
      </c>
      <c r="P1495" s="14" t="n">
        <v>2.808</v>
      </c>
      <c r="Q1495" s="14" t="n">
        <v>0</v>
      </c>
      <c r="R1495" s="14" t="n">
        <v>0</v>
      </c>
      <c r="S1495" s="14" t="n">
        <v>4.25</v>
      </c>
    </row>
    <row r="1496" customFormat="false" ht="15" hidden="false" customHeight="false" outlineLevel="0" collapsed="false">
      <c r="A1496" s="13" t="n">
        <v>44397</v>
      </c>
      <c r="B1496" s="14" t="n">
        <v>0.05</v>
      </c>
      <c r="C1496" s="14" t="n">
        <v>0.25</v>
      </c>
      <c r="D1496" s="14" t="n">
        <v>0</v>
      </c>
      <c r="E1496" s="14" t="n">
        <v>-0.567</v>
      </c>
      <c r="F1496" s="14" t="n">
        <v>-0.5</v>
      </c>
      <c r="G1496" s="14" t="n">
        <v>0.1</v>
      </c>
      <c r="H1496" s="14" t="n">
        <v>0.051</v>
      </c>
      <c r="I1496" s="14" t="n">
        <v>0.0513761352700234</v>
      </c>
      <c r="J1496" s="14" t="n">
        <v>0.0523753247147903</v>
      </c>
      <c r="K1496" s="14" t="n">
        <v>0.0595700707204285</v>
      </c>
      <c r="L1496" s="14" t="n">
        <v>0.106645381269827</v>
      </c>
      <c r="M1496" s="14" t="n">
        <v>2.313</v>
      </c>
      <c r="N1496" s="14" t="n">
        <v>2.402</v>
      </c>
      <c r="O1496" s="14" t="n">
        <v>2.528</v>
      </c>
      <c r="P1496" s="14" t="n">
        <v>2.805</v>
      </c>
      <c r="Q1496" s="14" t="n">
        <v>0</v>
      </c>
      <c r="R1496" s="14" t="n">
        <v>0</v>
      </c>
      <c r="S1496" s="14" t="n">
        <v>4.25</v>
      </c>
    </row>
    <row r="1497" customFormat="false" ht="15" hidden="false" customHeight="false" outlineLevel="0" collapsed="false">
      <c r="A1497" s="13" t="n">
        <v>44398</v>
      </c>
      <c r="B1497" s="14" t="n">
        <v>0.05</v>
      </c>
      <c r="C1497" s="14" t="n">
        <v>0.25</v>
      </c>
      <c r="D1497" s="14" t="n">
        <v>0</v>
      </c>
      <c r="E1497" s="14" t="n">
        <v>-0.568</v>
      </c>
      <c r="F1497" s="14" t="n">
        <v>-0.5</v>
      </c>
      <c r="G1497" s="14" t="n">
        <v>0.1</v>
      </c>
      <c r="H1497" s="14" t="n">
        <v>0.0507</v>
      </c>
      <c r="I1497" s="14" t="n">
        <v>0.0502363772516618</v>
      </c>
      <c r="J1497" s="14" t="n">
        <v>0.0532341087556062</v>
      </c>
      <c r="K1497" s="14" t="n">
        <v>0.0621968554384908</v>
      </c>
      <c r="L1497" s="14" t="n">
        <v>0.110683350059808</v>
      </c>
      <c r="M1497" s="14" t="n">
        <v>2.315</v>
      </c>
      <c r="N1497" s="14" t="n">
        <v>2.402</v>
      </c>
      <c r="O1497" s="14" t="n">
        <v>2.527</v>
      </c>
      <c r="P1497" s="14" t="n">
        <v>2.801</v>
      </c>
      <c r="Q1497" s="14" t="n">
        <v>0</v>
      </c>
      <c r="R1497" s="14" t="n">
        <v>0</v>
      </c>
      <c r="S1497" s="14" t="n">
        <v>4.25</v>
      </c>
    </row>
    <row r="1498" customFormat="false" ht="15" hidden="false" customHeight="false" outlineLevel="0" collapsed="false">
      <c r="A1498" s="13" t="n">
        <v>44399</v>
      </c>
      <c r="B1498" s="14" t="n">
        <v>0.05</v>
      </c>
      <c r="C1498" s="14" t="n">
        <v>0.25</v>
      </c>
      <c r="D1498" s="14" t="n">
        <v>0</v>
      </c>
      <c r="E1498" s="14" t="n">
        <v>-0.563</v>
      </c>
      <c r="F1498" s="14" t="n">
        <v>-0.5</v>
      </c>
      <c r="G1498" s="14" t="n">
        <v>0.1</v>
      </c>
      <c r="H1498" s="14" t="n">
        <v>0.0507</v>
      </c>
      <c r="I1498" s="14" t="n">
        <v>0.0503204304549113</v>
      </c>
      <c r="J1498" s="14" t="n">
        <v>0.0513998747323223</v>
      </c>
      <c r="K1498" s="14" t="n">
        <v>0.0586548685866175</v>
      </c>
      <c r="L1498" s="14" t="n">
        <v>0.10090584585173</v>
      </c>
      <c r="M1498" s="14" t="n">
        <v>2.317</v>
      </c>
      <c r="N1498" s="14" t="n">
        <v>2.402</v>
      </c>
      <c r="O1498" s="14" t="n">
        <v>2.526</v>
      </c>
      <c r="P1498" s="14" t="n">
        <v>2.799</v>
      </c>
      <c r="Q1498" s="14" t="n">
        <v>0</v>
      </c>
      <c r="R1498" s="14" t="n">
        <v>0</v>
      </c>
      <c r="S1498" s="14" t="n">
        <v>4.25</v>
      </c>
    </row>
    <row r="1499" customFormat="false" ht="15" hidden="false" customHeight="false" outlineLevel="0" collapsed="false">
      <c r="A1499" s="13" t="n">
        <v>44400</v>
      </c>
      <c r="B1499" s="14" t="n">
        <v>0.05</v>
      </c>
      <c r="C1499" s="14" t="n">
        <v>0.25</v>
      </c>
      <c r="D1499" s="14" t="n">
        <v>0</v>
      </c>
      <c r="E1499" s="14" t="n">
        <v>-0.567</v>
      </c>
      <c r="F1499" s="14" t="n">
        <v>-0.5</v>
      </c>
      <c r="G1499" s="14" t="n">
        <v>0.1</v>
      </c>
      <c r="H1499" s="14" t="n">
        <v>0.0507</v>
      </c>
      <c r="I1499" s="14" t="n">
        <v>0.0502044206607447</v>
      </c>
      <c r="J1499" s="14" t="n">
        <v>0.0521410336181506</v>
      </c>
      <c r="K1499" s="14" t="n">
        <v>0.0576410702377633</v>
      </c>
      <c r="L1499" s="14" t="n">
        <v>0.0974816728521464</v>
      </c>
      <c r="M1499" s="14" t="n">
        <v>2.318</v>
      </c>
      <c r="N1499" s="14" t="n">
        <v>2.402</v>
      </c>
      <c r="O1499" s="14" t="n">
        <v>2.523</v>
      </c>
      <c r="P1499" s="14" t="n">
        <v>2.797</v>
      </c>
      <c r="Q1499" s="14" t="n">
        <v>0</v>
      </c>
      <c r="R1499" s="14" t="n">
        <v>0</v>
      </c>
      <c r="S1499" s="14" t="n">
        <v>4.25</v>
      </c>
    </row>
    <row r="1500" customFormat="false" ht="15" hidden="false" customHeight="false" outlineLevel="0" collapsed="false">
      <c r="A1500" s="13" t="n">
        <v>44403</v>
      </c>
      <c r="B1500" s="14" t="n">
        <v>0.05</v>
      </c>
      <c r="C1500" s="14" t="n">
        <v>0.25</v>
      </c>
      <c r="D1500" s="14" t="n">
        <v>0</v>
      </c>
      <c r="E1500" s="14" t="n">
        <v>-0.567</v>
      </c>
      <c r="F1500" s="14" t="n">
        <v>-0.5</v>
      </c>
      <c r="G1500" s="14" t="n">
        <v>0.1</v>
      </c>
      <c r="H1500" s="14" t="n">
        <v>0.0502</v>
      </c>
      <c r="I1500" s="14" t="n">
        <v>0.050277986540969</v>
      </c>
      <c r="J1500" s="14" t="n">
        <v>0.0523511585374447</v>
      </c>
      <c r="K1500" s="14" t="n">
        <v>0.0587472528502161</v>
      </c>
      <c r="L1500" s="14" t="n">
        <v>0.097713961260468</v>
      </c>
      <c r="M1500" s="14" t="n">
        <v>2.32</v>
      </c>
      <c r="N1500" s="14" t="n">
        <v>2.402</v>
      </c>
      <c r="O1500" s="14" t="n">
        <v>2.523</v>
      </c>
      <c r="P1500" s="14" t="n">
        <v>2.793</v>
      </c>
      <c r="Q1500" s="14" t="n">
        <v>0</v>
      </c>
      <c r="R1500" s="14" t="n">
        <v>0</v>
      </c>
      <c r="S1500" s="14" t="n">
        <v>4.25</v>
      </c>
    </row>
    <row r="1501" customFormat="false" ht="15" hidden="false" customHeight="false" outlineLevel="0" collapsed="false">
      <c r="A1501" s="13" t="n">
        <v>44404</v>
      </c>
      <c r="B1501" s="14" t="n">
        <v>0.05</v>
      </c>
      <c r="C1501" s="14" t="n">
        <v>0.25</v>
      </c>
      <c r="D1501" s="14" t="n">
        <v>0</v>
      </c>
      <c r="E1501" s="14" t="n">
        <v>-0.563</v>
      </c>
      <c r="F1501" s="14" t="n">
        <v>-0.5</v>
      </c>
      <c r="G1501" s="14" t="n">
        <v>0.1</v>
      </c>
      <c r="H1501" s="14" t="n">
        <v>0.0507</v>
      </c>
      <c r="I1501" s="14" t="n">
        <v>0.0516899560618913</v>
      </c>
      <c r="J1501" s="14" t="n">
        <v>0.053297893430863</v>
      </c>
      <c r="K1501" s="14" t="n">
        <v>0.058374750597627</v>
      </c>
      <c r="L1501" s="14" t="n">
        <v>0.097010781781202</v>
      </c>
      <c r="M1501" s="14" t="n">
        <v>2.324</v>
      </c>
      <c r="N1501" s="14" t="n">
        <v>2.401</v>
      </c>
      <c r="O1501" s="14" t="n">
        <v>2.527</v>
      </c>
      <c r="P1501" s="14" t="n">
        <v>2.796</v>
      </c>
      <c r="Q1501" s="14" t="n">
        <v>0</v>
      </c>
      <c r="R1501" s="14" t="n">
        <v>0</v>
      </c>
      <c r="S1501" s="14" t="n">
        <v>4.25</v>
      </c>
    </row>
    <row r="1502" customFormat="false" ht="15" hidden="false" customHeight="false" outlineLevel="0" collapsed="false">
      <c r="A1502" s="13" t="n">
        <v>44405</v>
      </c>
      <c r="B1502" s="14" t="n">
        <v>0.05</v>
      </c>
      <c r="C1502" s="14" t="n">
        <v>0.25</v>
      </c>
      <c r="D1502" s="14" t="n">
        <v>0</v>
      </c>
      <c r="E1502" s="14" t="n">
        <v>-0.567</v>
      </c>
      <c r="F1502" s="14" t="n">
        <v>-0.5</v>
      </c>
      <c r="G1502" s="14" t="n">
        <v>0.1</v>
      </c>
      <c r="H1502" s="14" t="n">
        <v>0.0507</v>
      </c>
      <c r="I1502" s="14" t="n">
        <v>0.0509847679896291</v>
      </c>
      <c r="J1502" s="14" t="n">
        <v>0.0558201906997578</v>
      </c>
      <c r="K1502" s="14" t="n">
        <v>0.0599469722835107</v>
      </c>
      <c r="L1502" s="14" t="n">
        <v>0.103354211466977</v>
      </c>
      <c r="M1502" s="14" t="n">
        <v>2.329</v>
      </c>
      <c r="N1502" s="14" t="n">
        <v>2.401</v>
      </c>
      <c r="O1502" s="14" t="n">
        <v>2.528</v>
      </c>
      <c r="P1502" s="14" t="n">
        <v>2.796</v>
      </c>
      <c r="Q1502" s="14" t="n">
        <v>0</v>
      </c>
      <c r="R1502" s="14" t="n">
        <v>0</v>
      </c>
      <c r="S1502" s="14" t="n">
        <v>4.25</v>
      </c>
    </row>
    <row r="1503" customFormat="false" ht="15" hidden="false" customHeight="false" outlineLevel="0" collapsed="false">
      <c r="A1503" s="13" t="n">
        <v>44406</v>
      </c>
      <c r="B1503" s="14" t="n">
        <v>0.05</v>
      </c>
      <c r="C1503" s="14" t="n">
        <v>0.25</v>
      </c>
      <c r="D1503" s="14" t="n">
        <v>0</v>
      </c>
      <c r="E1503" s="14" t="n">
        <v>-0.567</v>
      </c>
      <c r="F1503" s="14" t="n">
        <v>-0.5</v>
      </c>
      <c r="G1503" s="14" t="n">
        <v>0.1</v>
      </c>
      <c r="H1503" s="14" t="n">
        <v>0.0504</v>
      </c>
      <c r="I1503" s="14" t="n">
        <v>0.0507937415424562</v>
      </c>
      <c r="J1503" s="14" t="n">
        <v>0.0557389731331279</v>
      </c>
      <c r="K1503" s="14" t="n">
        <v>0.060695430339882</v>
      </c>
      <c r="L1503" s="14" t="n">
        <v>0.10140603837301</v>
      </c>
      <c r="M1503" s="14" t="n">
        <v>2.326</v>
      </c>
      <c r="N1503" s="14" t="n">
        <v>2.401</v>
      </c>
      <c r="O1503" s="14" t="n">
        <v>2.525</v>
      </c>
      <c r="P1503" s="14" t="n">
        <v>2.788</v>
      </c>
      <c r="Q1503" s="14" t="n">
        <v>0</v>
      </c>
      <c r="R1503" s="14" t="n">
        <v>0</v>
      </c>
      <c r="S1503" s="14" t="n">
        <v>4.25</v>
      </c>
    </row>
    <row r="1504" customFormat="false" ht="15" hidden="false" customHeight="false" outlineLevel="0" collapsed="false">
      <c r="A1504" s="13" t="n">
        <v>44407</v>
      </c>
      <c r="B1504" s="14" t="n">
        <v>0.05</v>
      </c>
      <c r="C1504" s="14" t="n">
        <v>0.25</v>
      </c>
      <c r="D1504" s="14" t="n">
        <v>0</v>
      </c>
      <c r="E1504" s="14" t="n">
        <v>-0.571</v>
      </c>
      <c r="F1504" s="14" t="n">
        <v>-0.5</v>
      </c>
      <c r="G1504" s="14" t="n">
        <v>0.1</v>
      </c>
      <c r="H1504" s="14" t="n">
        <v>0.0506</v>
      </c>
      <c r="I1504" s="14" t="n">
        <v>0.0504699564515278</v>
      </c>
      <c r="J1504" s="14" t="n">
        <v>0.0556406817004285</v>
      </c>
      <c r="K1504" s="14" t="n">
        <v>0.0584363742512855</v>
      </c>
      <c r="L1504" s="14" t="n">
        <v>0.09777027641984</v>
      </c>
      <c r="M1504" s="14" t="n">
        <v>2.331</v>
      </c>
      <c r="N1504" s="14" t="n">
        <v>2.401</v>
      </c>
      <c r="O1504" s="14" t="n">
        <v>2.525</v>
      </c>
      <c r="P1504" s="14" t="n">
        <v>2.789</v>
      </c>
      <c r="Q1504" s="14" t="n">
        <v>0</v>
      </c>
      <c r="R1504" s="14" t="n">
        <v>0</v>
      </c>
      <c r="S1504" s="14" t="n">
        <v>4.25</v>
      </c>
    </row>
    <row r="1505" customFormat="false" ht="15" hidden="false" customHeight="false" outlineLevel="0" collapsed="false">
      <c r="A1505" s="13" t="n">
        <v>44410</v>
      </c>
      <c r="B1505" s="14" t="n">
        <v>0.05</v>
      </c>
      <c r="C1505" s="14" t="n">
        <v>0.25</v>
      </c>
      <c r="D1505" s="14" t="n">
        <v>0</v>
      </c>
      <c r="E1505" s="14" t="n">
        <v>-0.565</v>
      </c>
      <c r="F1505" s="14" t="n">
        <v>-0.5</v>
      </c>
      <c r="G1505" s="14" t="n">
        <v>0.1</v>
      </c>
      <c r="H1505" s="14" t="n">
        <v>0.0504</v>
      </c>
      <c r="I1505" s="14" t="n">
        <v>0.0496344123165992</v>
      </c>
      <c r="J1505" s="14" t="n">
        <v>0.0521684211978564</v>
      </c>
      <c r="K1505" s="14" t="n">
        <v>0.0580018938544086</v>
      </c>
      <c r="L1505" s="14" t="n">
        <v>0.0979168738226341</v>
      </c>
      <c r="M1505" s="14" t="n">
        <v>2.318</v>
      </c>
      <c r="N1505" s="14" t="n">
        <v>2.4</v>
      </c>
      <c r="O1505" s="14" t="n">
        <v>2.517</v>
      </c>
      <c r="P1505" s="14" t="n">
        <v>2.78</v>
      </c>
      <c r="Q1505" s="14" t="n">
        <v>0</v>
      </c>
      <c r="R1505" s="14" t="n">
        <v>0</v>
      </c>
      <c r="S1505" s="14" t="n">
        <v>4.25</v>
      </c>
    </row>
    <row r="1506" customFormat="false" ht="15" hidden="false" customHeight="false" outlineLevel="0" collapsed="false">
      <c r="A1506" s="13" t="n">
        <v>44411</v>
      </c>
      <c r="B1506" s="14" t="n">
        <v>0.05</v>
      </c>
      <c r="C1506" s="14" t="n">
        <v>0.25</v>
      </c>
      <c r="D1506" s="14" t="n">
        <v>0</v>
      </c>
      <c r="E1506" s="14" t="n">
        <v>-0.57</v>
      </c>
      <c r="F1506" s="14" t="n">
        <v>-0.5</v>
      </c>
      <c r="G1506" s="14" t="n">
        <v>0.1</v>
      </c>
      <c r="H1506" s="14" t="n">
        <v>0.0503</v>
      </c>
      <c r="I1506" s="14" t="n">
        <v>0.0513363447913573</v>
      </c>
      <c r="J1506" s="14" t="n">
        <v>0.0531093767885213</v>
      </c>
      <c r="K1506" s="14" t="n">
        <v>0.0581626179363283</v>
      </c>
      <c r="L1506" s="14" t="n">
        <v>0.098841818932905</v>
      </c>
      <c r="M1506" s="14" t="n">
        <v>2.303</v>
      </c>
      <c r="N1506" s="14" t="n">
        <v>2.394</v>
      </c>
      <c r="O1506" s="14" t="n">
        <v>2.511</v>
      </c>
      <c r="P1506" s="14" t="n">
        <v>2.766</v>
      </c>
      <c r="Q1506" s="14" t="n">
        <v>0</v>
      </c>
      <c r="R1506" s="14" t="n">
        <v>0</v>
      </c>
      <c r="S1506" s="14" t="n">
        <v>4.25</v>
      </c>
    </row>
    <row r="1507" customFormat="false" ht="15" hidden="false" customHeight="false" outlineLevel="0" collapsed="false">
      <c r="A1507" s="13" t="n">
        <v>44412</v>
      </c>
      <c r="B1507" s="14" t="n">
        <v>0.05</v>
      </c>
      <c r="C1507" s="14" t="n">
        <v>0.25</v>
      </c>
      <c r="D1507" s="14" t="n">
        <v>0</v>
      </c>
      <c r="E1507" s="14" t="n">
        <v>-0.57</v>
      </c>
      <c r="F1507" s="14" t="n">
        <v>-0.5</v>
      </c>
      <c r="G1507" s="14" t="n">
        <v>0.1</v>
      </c>
      <c r="H1507" s="14" t="n">
        <v>0.0504</v>
      </c>
      <c r="I1507" s="14" t="n">
        <v>0.0530955854882629</v>
      </c>
      <c r="J1507" s="14" t="n">
        <v>0.0556466095086369</v>
      </c>
      <c r="K1507" s="14" t="n">
        <v>0.0599782344821425</v>
      </c>
      <c r="L1507" s="14" t="n">
        <v>0.10666682152623</v>
      </c>
      <c r="M1507" s="14" t="n">
        <v>2.295</v>
      </c>
      <c r="N1507" s="14" t="n">
        <v>2.385</v>
      </c>
      <c r="O1507" s="14" t="n">
        <v>2.506</v>
      </c>
      <c r="P1507" s="14" t="n">
        <v>2.75</v>
      </c>
      <c r="Q1507" s="14" t="n">
        <v>0</v>
      </c>
      <c r="R1507" s="14" t="n">
        <v>0</v>
      </c>
      <c r="S1507" s="14" t="n">
        <v>4.25</v>
      </c>
    </row>
    <row r="1508" customFormat="false" ht="15" hidden="false" customHeight="false" outlineLevel="0" collapsed="false">
      <c r="A1508" s="13" t="n">
        <v>44413</v>
      </c>
      <c r="B1508" s="14" t="n">
        <v>0.05</v>
      </c>
      <c r="C1508" s="14" t="n">
        <v>0.25</v>
      </c>
      <c r="D1508" s="14" t="n">
        <v>0</v>
      </c>
      <c r="E1508" s="14" t="n">
        <v>-0.566</v>
      </c>
      <c r="F1508" s="14" t="n">
        <v>-0.5</v>
      </c>
      <c r="G1508" s="14" t="n">
        <v>0.1</v>
      </c>
      <c r="H1508" s="14" t="n">
        <v>0.0503</v>
      </c>
      <c r="I1508" s="14" t="n">
        <v>0.0517671889454214</v>
      </c>
      <c r="J1508" s="14" t="n">
        <v>0.0522291466613886</v>
      </c>
      <c r="K1508" s="14" t="n">
        <v>0.0624864650138872</v>
      </c>
      <c r="L1508" s="14" t="n">
        <v>0.124268693478553</v>
      </c>
      <c r="M1508" s="14" t="n">
        <v>2.288</v>
      </c>
      <c r="N1508" s="14" t="n">
        <v>2.373</v>
      </c>
      <c r="O1508" s="14" t="n">
        <v>2.494</v>
      </c>
      <c r="P1508" s="14" t="n">
        <v>2.736</v>
      </c>
      <c r="Q1508" s="14" t="n">
        <v>0</v>
      </c>
      <c r="R1508" s="14" t="n">
        <v>0</v>
      </c>
      <c r="S1508" s="14" t="n">
        <v>5.25</v>
      </c>
    </row>
    <row r="1509" customFormat="false" ht="15" hidden="false" customHeight="false" outlineLevel="0" collapsed="false">
      <c r="A1509" s="13" t="n">
        <v>44414</v>
      </c>
      <c r="B1509" s="14" t="n">
        <v>0.05</v>
      </c>
      <c r="C1509" s="14" t="n">
        <v>0.25</v>
      </c>
      <c r="D1509" s="14" t="n">
        <v>0</v>
      </c>
      <c r="E1509" s="14" t="n">
        <v>-0.569</v>
      </c>
      <c r="F1509" s="14" t="n">
        <v>-0.5</v>
      </c>
      <c r="G1509" s="14" t="n">
        <v>0.1</v>
      </c>
      <c r="H1509" s="14" t="n">
        <v>0.0503</v>
      </c>
      <c r="I1509" s="14" t="n">
        <v>0.0499196588224602</v>
      </c>
      <c r="J1509" s="14" t="n">
        <v>0.0521835388763508</v>
      </c>
      <c r="K1509" s="14" t="n">
        <v>0.0656567314972178</v>
      </c>
      <c r="L1509" s="14" t="n">
        <v>0.136622756712767</v>
      </c>
      <c r="M1509" s="14" t="n">
        <v>2.278</v>
      </c>
      <c r="N1509" s="14" t="n">
        <v>2.368</v>
      </c>
      <c r="O1509" s="14" t="n">
        <v>2.489</v>
      </c>
      <c r="P1509" s="14" t="n">
        <v>2.728</v>
      </c>
      <c r="Q1509" s="14" t="n">
        <v>0</v>
      </c>
      <c r="R1509" s="14" t="n">
        <v>0</v>
      </c>
      <c r="S1509" s="14" t="n">
        <v>5.25</v>
      </c>
    </row>
    <row r="1510" customFormat="false" ht="15" hidden="false" customHeight="false" outlineLevel="0" collapsed="false">
      <c r="A1510" s="13" t="n">
        <v>44417</v>
      </c>
      <c r="B1510" s="14" t="n">
        <v>0.05</v>
      </c>
      <c r="C1510" s="14" t="n">
        <v>0.25</v>
      </c>
      <c r="D1510" s="14" t="n">
        <v>0</v>
      </c>
      <c r="E1510" s="14" t="n">
        <v>-0.568</v>
      </c>
      <c r="F1510" s="14" t="n">
        <v>-0.5</v>
      </c>
      <c r="G1510" s="14" t="n">
        <v>0.1</v>
      </c>
      <c r="H1510" s="14" t="n">
        <v>0.0498</v>
      </c>
      <c r="I1510" s="14" t="n">
        <v>0.0518793670812667</v>
      </c>
      <c r="J1510" s="14" t="n">
        <v>0.0555109843255947</v>
      </c>
      <c r="K1510" s="14" t="n">
        <v>0.0668484753877136</v>
      </c>
      <c r="L1510" s="14" t="n">
        <v>0.135382569461389</v>
      </c>
      <c r="M1510" s="14" t="n">
        <v>2.27</v>
      </c>
      <c r="N1510" s="14" t="n">
        <v>2.36</v>
      </c>
      <c r="O1510" s="14" t="n">
        <v>2.485</v>
      </c>
      <c r="P1510" s="14" t="n">
        <v>2.72</v>
      </c>
      <c r="Q1510" s="14" t="n">
        <v>0</v>
      </c>
      <c r="R1510" s="14" t="n">
        <v>0</v>
      </c>
      <c r="S1510" s="14" t="n">
        <v>5.25</v>
      </c>
    </row>
    <row r="1511" customFormat="false" ht="15" hidden="false" customHeight="false" outlineLevel="0" collapsed="false">
      <c r="A1511" s="13" t="n">
        <v>44418</v>
      </c>
      <c r="B1511" s="14" t="n">
        <v>0.05</v>
      </c>
      <c r="C1511" s="14" t="n">
        <v>0.25</v>
      </c>
      <c r="D1511" s="14" t="n">
        <v>0</v>
      </c>
      <c r="E1511" s="14" t="n">
        <v>-0.567</v>
      </c>
      <c r="F1511" s="14" t="n">
        <v>-0.5</v>
      </c>
      <c r="G1511" s="14" t="n">
        <v>0.1</v>
      </c>
      <c r="H1511" s="14" t="n">
        <v>0.0501</v>
      </c>
      <c r="I1511" s="14" t="n">
        <v>0.0518273707898927</v>
      </c>
      <c r="J1511" s="14" t="n">
        <v>0.0535614675075232</v>
      </c>
      <c r="K1511" s="14" t="n">
        <v>0.0662507272056696</v>
      </c>
      <c r="L1511" s="14" t="n">
        <v>0.142414472648646</v>
      </c>
      <c r="M1511" s="14" t="n">
        <v>2.289</v>
      </c>
      <c r="N1511" s="14" t="n">
        <v>2.365</v>
      </c>
      <c r="O1511" s="14" t="n">
        <v>2.483</v>
      </c>
      <c r="P1511" s="14" t="n">
        <v>2.716</v>
      </c>
      <c r="Q1511" s="14" t="n">
        <v>0</v>
      </c>
      <c r="R1511" s="14" t="n">
        <v>0</v>
      </c>
      <c r="S1511" s="14" t="n">
        <v>5.25</v>
      </c>
    </row>
    <row r="1512" customFormat="false" ht="15" hidden="false" customHeight="false" outlineLevel="0" collapsed="false">
      <c r="A1512" s="13" t="n">
        <v>44419</v>
      </c>
      <c r="B1512" s="14" t="n">
        <v>0.05</v>
      </c>
      <c r="C1512" s="14" t="n">
        <v>0.25</v>
      </c>
      <c r="D1512" s="14" t="n">
        <v>0</v>
      </c>
      <c r="E1512" s="14" t="n">
        <v>-0.567</v>
      </c>
      <c r="F1512" s="14" t="n">
        <v>-0.5</v>
      </c>
      <c r="G1512" s="14" t="n">
        <v>0.1</v>
      </c>
      <c r="H1512" s="14" t="n">
        <v>0.0503</v>
      </c>
      <c r="I1512" s="14" t="n">
        <v>0.0523039465793738</v>
      </c>
      <c r="J1512" s="14" t="n">
        <v>0.0536065532070998</v>
      </c>
      <c r="K1512" s="14" t="n">
        <v>0.0659025332454576</v>
      </c>
      <c r="L1512" s="14" t="n">
        <v>0.137014996642019</v>
      </c>
      <c r="M1512" s="14" t="n">
        <v>2.292</v>
      </c>
      <c r="N1512" s="14" t="n">
        <v>2.363</v>
      </c>
      <c r="O1512" s="14" t="n">
        <v>2.482</v>
      </c>
      <c r="P1512" s="14" t="n">
        <v>2.713</v>
      </c>
      <c r="Q1512" s="14" t="n">
        <v>0</v>
      </c>
      <c r="R1512" s="14" t="n">
        <v>0</v>
      </c>
      <c r="S1512" s="14" t="n">
        <v>5.25</v>
      </c>
    </row>
    <row r="1513" customFormat="false" ht="15" hidden="false" customHeight="false" outlineLevel="0" collapsed="false">
      <c r="A1513" s="13" t="n">
        <v>44420</v>
      </c>
      <c r="B1513" s="14" t="n">
        <v>0.05</v>
      </c>
      <c r="C1513" s="14" t="n">
        <v>0.25</v>
      </c>
      <c r="D1513" s="14" t="n">
        <v>0</v>
      </c>
      <c r="E1513" s="14" t="n">
        <v>-0.568</v>
      </c>
      <c r="F1513" s="14" t="n">
        <v>-0.5</v>
      </c>
      <c r="G1513" s="14" t="n">
        <v>0.1</v>
      </c>
      <c r="H1513" s="14" t="n">
        <v>0.0504</v>
      </c>
      <c r="I1513" s="14" t="n">
        <v>0.0491820509194084</v>
      </c>
      <c r="J1513" s="14" t="n">
        <v>0.0546019392913974</v>
      </c>
      <c r="K1513" s="14" t="n">
        <v>0.0669257277592058</v>
      </c>
      <c r="L1513" s="14" t="n">
        <v>0.136663315509677</v>
      </c>
      <c r="M1513" s="14" t="n">
        <v>2.295</v>
      </c>
      <c r="N1513" s="14" t="n">
        <v>2.36</v>
      </c>
      <c r="O1513" s="14" t="n">
        <v>2.48</v>
      </c>
      <c r="P1513" s="14" t="n">
        <v>2.71</v>
      </c>
      <c r="Q1513" s="14" t="n">
        <v>0</v>
      </c>
      <c r="R1513" s="14" t="n">
        <v>0</v>
      </c>
      <c r="S1513" s="14" t="n">
        <v>5.25</v>
      </c>
    </row>
    <row r="1514" customFormat="false" ht="15" hidden="false" customHeight="false" outlineLevel="0" collapsed="false">
      <c r="A1514" s="13" t="n">
        <v>44421</v>
      </c>
      <c r="B1514" s="14" t="n">
        <v>0.05</v>
      </c>
      <c r="C1514" s="14" t="n">
        <v>0.25</v>
      </c>
      <c r="D1514" s="14" t="n">
        <v>0</v>
      </c>
      <c r="E1514" s="14" t="n">
        <v>-0.569</v>
      </c>
      <c r="F1514" s="14" t="n">
        <v>-0.5</v>
      </c>
      <c r="G1514" s="14" t="n">
        <v>0.1</v>
      </c>
      <c r="H1514" s="14" t="n">
        <v>0.0504</v>
      </c>
      <c r="I1514" s="14" t="n">
        <v>0.0526800259669833</v>
      </c>
      <c r="J1514" s="14" t="n">
        <v>0.0553237298294049</v>
      </c>
      <c r="K1514" s="14" t="n">
        <v>0.0656373515800439</v>
      </c>
      <c r="L1514" s="14" t="n">
        <v>0.132543742259423</v>
      </c>
      <c r="M1514" s="14" t="n">
        <v>2.3</v>
      </c>
      <c r="N1514" s="14" t="n">
        <v>2.359</v>
      </c>
      <c r="O1514" s="14" t="n">
        <v>2.479</v>
      </c>
      <c r="P1514" s="14" t="n">
        <v>2.71</v>
      </c>
      <c r="Q1514" s="14" t="n">
        <v>0</v>
      </c>
      <c r="R1514" s="14" t="n">
        <v>0</v>
      </c>
      <c r="S1514" s="14" t="n">
        <v>5.25</v>
      </c>
    </row>
    <row r="1515" customFormat="false" ht="15" hidden="false" customHeight="false" outlineLevel="0" collapsed="false">
      <c r="A1515" s="13" t="n">
        <v>44424</v>
      </c>
      <c r="B1515" s="14" t="n">
        <v>0.05</v>
      </c>
      <c r="C1515" s="14" t="n">
        <v>0.25</v>
      </c>
      <c r="D1515" s="14" t="n">
        <v>0</v>
      </c>
      <c r="E1515" s="14" t="n">
        <v>-0.569</v>
      </c>
      <c r="F1515" s="14" t="n">
        <v>-0.5</v>
      </c>
      <c r="G1515" s="14" t="n">
        <v>0.1</v>
      </c>
      <c r="H1515" s="14" t="n">
        <v>0.0505</v>
      </c>
      <c r="I1515" s="14" t="n">
        <v>0.0492152367416079</v>
      </c>
      <c r="J1515" s="14" t="n">
        <v>0.0548222605376436</v>
      </c>
      <c r="K1515" s="14" t="n">
        <v>0.0682300683774846</v>
      </c>
      <c r="L1515" s="14" t="n">
        <v>0.138627070802392</v>
      </c>
      <c r="M1515" s="14" t="n">
        <v>2.301</v>
      </c>
      <c r="N1515" s="14" t="n">
        <v>2.355</v>
      </c>
      <c r="O1515" s="14" t="n">
        <v>2.476</v>
      </c>
      <c r="P1515" s="14" t="n">
        <v>2.708</v>
      </c>
      <c r="Q1515" s="14" t="n">
        <v>0</v>
      </c>
      <c r="R1515" s="14" t="n">
        <v>0</v>
      </c>
      <c r="S1515" s="14" t="n">
        <v>5.25</v>
      </c>
    </row>
    <row r="1516" customFormat="false" ht="15" hidden="false" customHeight="false" outlineLevel="0" collapsed="false">
      <c r="A1516" s="13" t="n">
        <v>44425</v>
      </c>
      <c r="B1516" s="14" t="n">
        <v>0.05</v>
      </c>
      <c r="C1516" s="14" t="n">
        <v>0.25</v>
      </c>
      <c r="D1516" s="14" t="n">
        <v>0</v>
      </c>
      <c r="E1516" s="14" t="n">
        <v>-0.568</v>
      </c>
      <c r="F1516" s="14" t="n">
        <v>-0.5</v>
      </c>
      <c r="G1516" s="14" t="n">
        <v>0.1</v>
      </c>
      <c r="H1516" s="14" t="n">
        <v>0.0503</v>
      </c>
      <c r="I1516" s="14" t="n">
        <v>0.0509039932689683</v>
      </c>
      <c r="J1516" s="14" t="n">
        <v>0.0550383692563302</v>
      </c>
      <c r="K1516" s="14" t="n">
        <v>0.0660732955671541</v>
      </c>
      <c r="L1516" s="14" t="n">
        <v>0.136322042144534</v>
      </c>
      <c r="M1516" s="14" t="n">
        <v>2.3</v>
      </c>
      <c r="N1516" s="14" t="n">
        <v>2.355</v>
      </c>
      <c r="O1516" s="14" t="n">
        <v>2.476</v>
      </c>
      <c r="P1516" s="14" t="n">
        <v>2.704</v>
      </c>
      <c r="Q1516" s="14" t="n">
        <v>0</v>
      </c>
      <c r="R1516" s="14" t="n">
        <v>0</v>
      </c>
      <c r="S1516" s="14" t="n">
        <v>5.25</v>
      </c>
    </row>
    <row r="1517" customFormat="false" ht="15" hidden="false" customHeight="false" outlineLevel="0" collapsed="false">
      <c r="A1517" s="13" t="n">
        <v>44426</v>
      </c>
      <c r="B1517" s="14" t="n">
        <v>0.05</v>
      </c>
      <c r="C1517" s="14" t="n">
        <v>0.25</v>
      </c>
      <c r="D1517" s="14" t="n">
        <v>0</v>
      </c>
      <c r="E1517" s="14" t="n">
        <v>-0.567</v>
      </c>
      <c r="F1517" s="14" t="n">
        <v>-0.5</v>
      </c>
      <c r="G1517" s="14" t="n">
        <v>0.1</v>
      </c>
      <c r="H1517" s="14" t="n">
        <v>0.0505</v>
      </c>
      <c r="I1517" s="14" t="n">
        <v>0.0507731906553891</v>
      </c>
      <c r="J1517" s="14" t="n">
        <v>0.0552519268352181</v>
      </c>
      <c r="K1517" s="14" t="n">
        <v>0.0665594980668386</v>
      </c>
      <c r="L1517" s="14" t="n">
        <v>0.134082601100381</v>
      </c>
      <c r="M1517" s="14" t="n">
        <v>2.3</v>
      </c>
      <c r="N1517" s="14" t="n">
        <v>2.355</v>
      </c>
      <c r="O1517" s="14" t="n">
        <v>2.475</v>
      </c>
      <c r="P1517" s="14" t="n">
        <v>2.7</v>
      </c>
      <c r="Q1517" s="14" t="n">
        <v>0</v>
      </c>
      <c r="R1517" s="14" t="n">
        <v>0</v>
      </c>
      <c r="S1517" s="14" t="n">
        <v>5.25</v>
      </c>
    </row>
    <row r="1518" customFormat="false" ht="15" hidden="false" customHeight="false" outlineLevel="0" collapsed="false">
      <c r="A1518" s="13" t="n">
        <v>44427</v>
      </c>
      <c r="B1518" s="14" t="n">
        <v>0.05</v>
      </c>
      <c r="C1518" s="14" t="n">
        <v>0.25</v>
      </c>
      <c r="D1518" s="14" t="n">
        <v>0</v>
      </c>
      <c r="E1518" s="14" t="n">
        <v>-0.567</v>
      </c>
      <c r="F1518" s="14" t="n">
        <v>-0.5</v>
      </c>
      <c r="G1518" s="14" t="n">
        <v>0.1</v>
      </c>
      <c r="H1518" s="14" t="n">
        <v>0.051</v>
      </c>
      <c r="I1518" s="14" t="n">
        <v>0.0508817429743655</v>
      </c>
      <c r="J1518" s="14" t="n">
        <v>0.0551350116672798</v>
      </c>
      <c r="K1518" s="14" t="n">
        <v>0.0653669641994161</v>
      </c>
      <c r="L1518" s="14" t="n">
        <v>0.13065919009227</v>
      </c>
      <c r="M1518" s="14" t="n">
        <v>2.3</v>
      </c>
      <c r="N1518" s="14" t="n">
        <v>2.354</v>
      </c>
      <c r="O1518" s="14" t="n">
        <v>2.474</v>
      </c>
      <c r="P1518" s="14" t="n">
        <v>2.7</v>
      </c>
      <c r="Q1518" s="14" t="n">
        <v>0</v>
      </c>
      <c r="R1518" s="14" t="n">
        <v>0</v>
      </c>
      <c r="S1518" s="14" t="n">
        <v>5.25</v>
      </c>
    </row>
    <row r="1519" customFormat="false" ht="15" hidden="false" customHeight="false" outlineLevel="0" collapsed="false">
      <c r="A1519" s="13" t="n">
        <v>44428</v>
      </c>
      <c r="B1519" s="14" t="n">
        <v>0.05</v>
      </c>
      <c r="C1519" s="14" t="n">
        <v>0.25</v>
      </c>
      <c r="D1519" s="14" t="n">
        <v>0</v>
      </c>
      <c r="E1519" s="14" t="n">
        <v>-0.567</v>
      </c>
      <c r="F1519" s="14" t="n">
        <v>-0.5</v>
      </c>
      <c r="G1519" s="14" t="n">
        <v>0.1</v>
      </c>
      <c r="H1519" s="14" t="n">
        <v>0.0508</v>
      </c>
      <c r="I1519" s="14" t="n">
        <v>0.0506360489038047</v>
      </c>
      <c r="J1519" s="14" t="n">
        <v>0.055121055608086</v>
      </c>
      <c r="K1519" s="14" t="n">
        <v>0.0681485301573922</v>
      </c>
      <c r="L1519" s="14" t="n">
        <v>0.126471547400664</v>
      </c>
      <c r="M1519" s="14" t="n">
        <v>2.3</v>
      </c>
      <c r="N1519" s="14" t="n">
        <v>2.353</v>
      </c>
      <c r="O1519" s="14" t="n">
        <v>2.472</v>
      </c>
      <c r="P1519" s="14" t="n">
        <v>2.7</v>
      </c>
      <c r="Q1519" s="14" t="n">
        <v>0</v>
      </c>
      <c r="R1519" s="14" t="n">
        <v>0</v>
      </c>
      <c r="S1519" s="14" t="n">
        <v>5.25</v>
      </c>
    </row>
    <row r="1520" customFormat="false" ht="15" hidden="false" customHeight="false" outlineLevel="0" collapsed="false">
      <c r="A1520" s="13" t="n">
        <v>44431</v>
      </c>
      <c r="B1520" s="14" t="n">
        <v>0.05</v>
      </c>
      <c r="C1520" s="14" t="n">
        <v>0.25</v>
      </c>
      <c r="D1520" s="14" t="n">
        <v>0</v>
      </c>
      <c r="E1520" s="14" t="n">
        <v>-0.568</v>
      </c>
      <c r="F1520" s="14" t="n">
        <v>-0.5</v>
      </c>
      <c r="G1520" s="14" t="n">
        <v>0.1</v>
      </c>
      <c r="H1520" s="14" t="n">
        <v>0.0505</v>
      </c>
      <c r="I1520" s="14" t="n">
        <v>0.050546016808826</v>
      </c>
      <c r="J1520" s="14" t="n">
        <v>0.0546689231310462</v>
      </c>
      <c r="K1520" s="14" t="n">
        <v>0.0669636484837241</v>
      </c>
      <c r="L1520" s="14" t="n">
        <v>0.130994455245751</v>
      </c>
      <c r="M1520" s="14" t="n">
        <v>2.3</v>
      </c>
      <c r="N1520" s="14" t="n">
        <v>2.353</v>
      </c>
      <c r="O1520" s="14" t="n">
        <v>2.471</v>
      </c>
      <c r="P1520" s="14" t="n">
        <v>2.7</v>
      </c>
      <c r="Q1520" s="14" t="n">
        <v>0</v>
      </c>
      <c r="R1520" s="14" t="n">
        <v>0</v>
      </c>
      <c r="S1520" s="14" t="n">
        <v>5.25</v>
      </c>
    </row>
    <row r="1521" customFormat="false" ht="15" hidden="false" customHeight="false" outlineLevel="0" collapsed="false">
      <c r="A1521" s="13" t="n">
        <v>44432</v>
      </c>
      <c r="B1521" s="14" t="n">
        <v>0.05</v>
      </c>
      <c r="C1521" s="14" t="n">
        <v>0.25</v>
      </c>
      <c r="D1521" s="14" t="n">
        <v>0</v>
      </c>
      <c r="E1521" s="14" t="n">
        <v>-0.567</v>
      </c>
      <c r="F1521" s="14" t="n">
        <v>-0.5</v>
      </c>
      <c r="G1521" s="14" t="n">
        <v>0.1</v>
      </c>
      <c r="H1521" s="14" t="n">
        <v>0.0505</v>
      </c>
      <c r="I1521" s="14" t="n">
        <v>0.0507345349607293</v>
      </c>
      <c r="J1521" s="14" t="n">
        <v>0.0541713949047251</v>
      </c>
      <c r="K1521" s="14" t="n">
        <v>0.065087831799703</v>
      </c>
      <c r="L1521" s="14" t="n">
        <v>0.129434924974494</v>
      </c>
      <c r="M1521" s="14" t="n">
        <v>2.303</v>
      </c>
      <c r="N1521" s="14" t="n">
        <v>2.353</v>
      </c>
      <c r="O1521" s="14" t="n">
        <v>2.471</v>
      </c>
      <c r="P1521" s="14" t="n">
        <v>2.7</v>
      </c>
      <c r="Q1521" s="14" t="n">
        <v>0</v>
      </c>
      <c r="R1521" s="14" t="n">
        <v>0</v>
      </c>
      <c r="S1521" s="14" t="n">
        <v>5.25</v>
      </c>
    </row>
    <row r="1522" customFormat="false" ht="15" hidden="false" customHeight="false" outlineLevel="0" collapsed="false">
      <c r="A1522" s="13" t="n">
        <v>44433</v>
      </c>
      <c r="B1522" s="14" t="n">
        <v>0.05</v>
      </c>
      <c r="C1522" s="14" t="n">
        <v>0.25</v>
      </c>
      <c r="D1522" s="14" t="n">
        <v>0</v>
      </c>
      <c r="E1522" s="14" t="n">
        <v>-0.564</v>
      </c>
      <c r="F1522" s="14" t="n">
        <v>-0.5</v>
      </c>
      <c r="G1522" s="14" t="n">
        <v>0.1</v>
      </c>
      <c r="H1522" s="14" t="n">
        <v>0.0504</v>
      </c>
      <c r="I1522" s="14" t="n">
        <v>0.0495357761635817</v>
      </c>
      <c r="J1522" s="14" t="n">
        <v>0.0539495223510077</v>
      </c>
      <c r="K1522" s="14" t="n">
        <v>0.066741416239694</v>
      </c>
      <c r="L1522" s="14" t="n">
        <v>0.136695559580607</v>
      </c>
      <c r="M1522" s="14" t="n">
        <v>2.309</v>
      </c>
      <c r="N1522" s="14" t="n">
        <v>2.354</v>
      </c>
      <c r="O1522" s="14" t="n">
        <v>2.471</v>
      </c>
      <c r="P1522" s="14" t="n">
        <v>2.7</v>
      </c>
      <c r="Q1522" s="14" t="n">
        <v>0</v>
      </c>
      <c r="R1522" s="14" t="n">
        <v>0</v>
      </c>
      <c r="S1522" s="14" t="n">
        <v>5.25</v>
      </c>
    </row>
    <row r="1523" customFormat="false" ht="15" hidden="false" customHeight="false" outlineLevel="0" collapsed="false">
      <c r="A1523" s="13" t="n">
        <v>44434</v>
      </c>
      <c r="B1523" s="14" t="n">
        <v>0.05</v>
      </c>
      <c r="C1523" s="14" t="n">
        <v>0.25</v>
      </c>
      <c r="D1523" s="14" t="n">
        <v>0</v>
      </c>
      <c r="E1523" s="14" t="n">
        <v>-0.57</v>
      </c>
      <c r="F1523" s="14" t="n">
        <v>-0.5</v>
      </c>
      <c r="G1523" s="14" t="n">
        <v>0.1</v>
      </c>
      <c r="H1523" s="14" t="n">
        <v>0.0505</v>
      </c>
      <c r="I1523" s="14" t="n">
        <v>0.0509942193371311</v>
      </c>
      <c r="J1523" s="14" t="n">
        <v>0.0535756269621946</v>
      </c>
      <c r="K1523" s="14" t="n">
        <v>0.0666878793198393</v>
      </c>
      <c r="L1523" s="14" t="n">
        <v>0.142293994061514</v>
      </c>
      <c r="M1523" s="14" t="n">
        <v>2.312</v>
      </c>
      <c r="N1523" s="14" t="n">
        <v>2.354</v>
      </c>
      <c r="O1523" s="14" t="n">
        <v>2.471</v>
      </c>
      <c r="P1523" s="14" t="n">
        <v>2.7</v>
      </c>
      <c r="Q1523" s="14" t="n">
        <v>0</v>
      </c>
      <c r="R1523" s="14" t="n">
        <v>0</v>
      </c>
      <c r="S1523" s="14" t="n">
        <v>5.25</v>
      </c>
    </row>
    <row r="1524" customFormat="false" ht="15" hidden="false" customHeight="false" outlineLevel="0" collapsed="false">
      <c r="A1524" s="13" t="n">
        <v>44435</v>
      </c>
      <c r="B1524" s="14" t="n">
        <v>0.05</v>
      </c>
      <c r="C1524" s="14" t="n">
        <v>0.25</v>
      </c>
      <c r="D1524" s="14" t="n">
        <v>0</v>
      </c>
      <c r="E1524" s="14" t="n">
        <v>-0.57</v>
      </c>
      <c r="F1524" s="14" t="n">
        <v>-0.5</v>
      </c>
      <c r="G1524" s="14" t="n">
        <v>0.1</v>
      </c>
      <c r="H1524" s="14" t="n">
        <v>0.0507</v>
      </c>
      <c r="I1524" s="14" t="n">
        <v>0.0504293939303847</v>
      </c>
      <c r="J1524" s="14" t="n">
        <v>0.0519424524600554</v>
      </c>
      <c r="K1524" s="14" t="n">
        <v>0.0665721517208552</v>
      </c>
      <c r="L1524" s="14" t="n">
        <v>0.135482995969363</v>
      </c>
      <c r="M1524" s="14" t="n">
        <v>2.315</v>
      </c>
      <c r="N1524" s="14" t="n">
        <v>2.354</v>
      </c>
      <c r="O1524" s="14" t="n">
        <v>2.471</v>
      </c>
      <c r="P1524" s="14" t="n">
        <v>2.7</v>
      </c>
      <c r="Q1524" s="14" t="n">
        <v>0</v>
      </c>
      <c r="R1524" s="14" t="n">
        <v>0</v>
      </c>
      <c r="S1524" s="14" t="n">
        <v>5.25</v>
      </c>
    </row>
    <row r="1525" customFormat="false" ht="15" hidden="false" customHeight="false" outlineLevel="0" collapsed="false">
      <c r="A1525" s="13" t="n">
        <v>44438</v>
      </c>
      <c r="B1525" s="14" t="n">
        <v>0.05</v>
      </c>
      <c r="C1525" s="14" t="n">
        <v>0.25</v>
      </c>
      <c r="D1525" s="14" t="n">
        <v>0</v>
      </c>
      <c r="E1525" s="14" t="n">
        <v>-0.568</v>
      </c>
      <c r="F1525" s="14" t="n">
        <v>-0.5</v>
      </c>
      <c r="M1525" s="14" t="n">
        <v>2.319</v>
      </c>
      <c r="N1525" s="14" t="n">
        <v>2.355</v>
      </c>
      <c r="O1525" s="14" t="n">
        <v>2.472</v>
      </c>
      <c r="P1525" s="14" t="n">
        <v>2.7</v>
      </c>
      <c r="Q1525" s="14" t="n">
        <v>0</v>
      </c>
      <c r="R1525" s="14" t="n">
        <v>0</v>
      </c>
      <c r="S1525" s="14" t="n">
        <v>5.25</v>
      </c>
    </row>
    <row r="1526" customFormat="false" ht="15" hidden="false" customHeight="false" outlineLevel="0" collapsed="false">
      <c r="A1526" s="13" t="n">
        <v>44439</v>
      </c>
      <c r="B1526" s="14" t="n">
        <v>0.05</v>
      </c>
      <c r="C1526" s="14" t="n">
        <v>0.25</v>
      </c>
      <c r="D1526" s="14" t="n">
        <v>0</v>
      </c>
      <c r="E1526" s="14" t="n">
        <v>-0.57</v>
      </c>
      <c r="F1526" s="14" t="n">
        <v>-0.5</v>
      </c>
      <c r="G1526" s="14" t="n">
        <v>0.1</v>
      </c>
      <c r="H1526" s="14" t="n">
        <v>0.0502</v>
      </c>
      <c r="I1526" s="14" t="n">
        <v>0.0513422166893839</v>
      </c>
      <c r="J1526" s="14" t="n">
        <v>0.0532103241107311</v>
      </c>
      <c r="K1526" s="14" t="n">
        <v>0.0687759874041571</v>
      </c>
      <c r="L1526" s="14" t="n">
        <v>0.139869708593262</v>
      </c>
      <c r="M1526" s="14" t="n">
        <v>2.329</v>
      </c>
      <c r="N1526" s="14" t="n">
        <v>2.357</v>
      </c>
      <c r="O1526" s="14" t="n">
        <v>2.473</v>
      </c>
      <c r="P1526" s="14" t="n">
        <v>2.7</v>
      </c>
      <c r="Q1526" s="14" t="n">
        <v>0</v>
      </c>
      <c r="R1526" s="14" t="n">
        <v>0</v>
      </c>
      <c r="S1526" s="14" t="n">
        <v>5.25</v>
      </c>
    </row>
    <row r="1527" customFormat="false" ht="15" hidden="false" customHeight="false" outlineLevel="0" collapsed="false">
      <c r="A1527" s="13" t="n">
        <v>44440</v>
      </c>
      <c r="B1527" s="14" t="n">
        <v>0.05</v>
      </c>
      <c r="C1527" s="14" t="n">
        <v>0.25</v>
      </c>
      <c r="D1527" s="14" t="n">
        <v>0</v>
      </c>
      <c r="E1527" s="14" t="n">
        <v>-0.569</v>
      </c>
      <c r="F1527" s="14" t="n">
        <v>-0.5</v>
      </c>
      <c r="G1527" s="14" t="n">
        <v>0.1</v>
      </c>
      <c r="H1527" s="14" t="n">
        <v>0.0503</v>
      </c>
      <c r="I1527" s="14" t="n">
        <v>0.0501419450407231</v>
      </c>
      <c r="J1527" s="14" t="n">
        <v>0.0541731361727557</v>
      </c>
      <c r="K1527" s="14" t="n">
        <v>0.068950465872522</v>
      </c>
      <c r="L1527" s="14" t="n">
        <v>0.136536704861243</v>
      </c>
      <c r="M1527" s="14" t="n">
        <v>2.323</v>
      </c>
      <c r="N1527" s="14" t="n">
        <v>2.358</v>
      </c>
      <c r="O1527" s="14" t="n">
        <v>2.47</v>
      </c>
      <c r="P1527" s="14" t="n">
        <v>2.7</v>
      </c>
      <c r="Q1527" s="14" t="n">
        <v>0</v>
      </c>
      <c r="R1527" s="14" t="n">
        <v>0</v>
      </c>
      <c r="S1527" s="14" t="n">
        <v>5.25</v>
      </c>
    </row>
    <row r="1528" customFormat="false" ht="15" hidden="false" customHeight="false" outlineLevel="0" collapsed="false">
      <c r="A1528" s="13" t="n">
        <v>44441</v>
      </c>
      <c r="B1528" s="14" t="n">
        <v>0.05</v>
      </c>
      <c r="C1528" s="14" t="n">
        <v>0.25</v>
      </c>
      <c r="D1528" s="14" t="n">
        <v>0</v>
      </c>
      <c r="E1528" s="14" t="n">
        <v>-0.569</v>
      </c>
      <c r="F1528" s="14" t="n">
        <v>-0.5</v>
      </c>
      <c r="G1528" s="14" t="n">
        <v>0.1</v>
      </c>
      <c r="H1528" s="14" t="n">
        <v>0.0501</v>
      </c>
      <c r="I1528" s="14" t="n">
        <v>0.0507548100139005</v>
      </c>
      <c r="J1528" s="14" t="n">
        <v>0.051585948465747</v>
      </c>
      <c r="K1528" s="14" t="n">
        <v>0.0669798434614023</v>
      </c>
      <c r="L1528" s="14" t="n">
        <v>0.132741453332979</v>
      </c>
      <c r="M1528" s="14" t="n">
        <v>2.311</v>
      </c>
      <c r="N1528" s="14" t="n">
        <v>2.356</v>
      </c>
      <c r="O1528" s="14" t="n">
        <v>2.47</v>
      </c>
      <c r="P1528" s="14" t="n">
        <v>2.699</v>
      </c>
      <c r="Q1528" s="14" t="n">
        <v>0</v>
      </c>
      <c r="R1528" s="14" t="n">
        <v>0</v>
      </c>
      <c r="S1528" s="14" t="n">
        <v>5.25</v>
      </c>
    </row>
    <row r="1529" customFormat="false" ht="15" hidden="false" customHeight="false" outlineLevel="0" collapsed="false">
      <c r="A1529" s="13" t="n">
        <v>44442</v>
      </c>
      <c r="B1529" s="14" t="n">
        <v>0.05</v>
      </c>
      <c r="C1529" s="14" t="n">
        <v>0.25</v>
      </c>
      <c r="D1529" s="14" t="n">
        <v>0</v>
      </c>
      <c r="E1529" s="14" t="n">
        <v>-0.568</v>
      </c>
      <c r="F1529" s="14" t="n">
        <v>-0.5</v>
      </c>
      <c r="G1529" s="14" t="n">
        <v>0.1</v>
      </c>
      <c r="H1529" s="14" t="n">
        <v>0.0499</v>
      </c>
      <c r="I1529" s="14" t="n">
        <v>0.0499519835114058</v>
      </c>
      <c r="J1529" s="14" t="n">
        <v>0.0553502949379735</v>
      </c>
      <c r="K1529" s="14" t="n">
        <v>0.070151365273957</v>
      </c>
      <c r="L1529" s="14" t="n">
        <v>0.132967351261645</v>
      </c>
      <c r="M1529" s="14" t="n">
        <v>2.31</v>
      </c>
      <c r="N1529" s="14" t="n">
        <v>2.356</v>
      </c>
      <c r="O1529" s="14" t="n">
        <v>2.47</v>
      </c>
      <c r="P1529" s="14" t="n">
        <v>2.699</v>
      </c>
      <c r="Q1529" s="14" t="n">
        <v>0</v>
      </c>
      <c r="R1529" s="14" t="n">
        <v>0</v>
      </c>
      <c r="S1529" s="14" t="n">
        <v>5.25</v>
      </c>
    </row>
    <row r="1530" customFormat="false" ht="15" hidden="false" customHeight="false" outlineLevel="0" collapsed="false">
      <c r="A1530" s="13" t="n">
        <v>44445</v>
      </c>
      <c r="C1530" s="14" t="n">
        <v>0.25</v>
      </c>
      <c r="D1530" s="14" t="n">
        <v>0</v>
      </c>
      <c r="E1530" s="14" t="n">
        <v>-0.569</v>
      </c>
      <c r="F1530" s="14" t="n">
        <v>-0.5</v>
      </c>
      <c r="G1530" s="14" t="n">
        <v>0.1</v>
      </c>
      <c r="H1530" s="14" t="n">
        <v>0.0503</v>
      </c>
      <c r="I1530" s="14" t="n">
        <v>0.050062124393538</v>
      </c>
      <c r="J1530" s="14" t="n">
        <v>0.05447978196568</v>
      </c>
      <c r="K1530" s="14" t="n">
        <v>0.0714833200727579</v>
      </c>
      <c r="L1530" s="14" t="n">
        <v>0.131860030277964</v>
      </c>
      <c r="M1530" s="14" t="n">
        <v>2.307</v>
      </c>
      <c r="N1530" s="14" t="n">
        <v>2.355</v>
      </c>
      <c r="O1530" s="14" t="n">
        <v>2.469</v>
      </c>
      <c r="P1530" s="14" t="n">
        <v>2.698</v>
      </c>
      <c r="Q1530" s="14" t="n">
        <v>0</v>
      </c>
      <c r="R1530" s="14" t="n">
        <v>0</v>
      </c>
      <c r="S1530" s="14" t="n">
        <v>5.25</v>
      </c>
    </row>
    <row r="1531" customFormat="false" ht="15" hidden="false" customHeight="false" outlineLevel="0" collapsed="false">
      <c r="A1531" s="13" t="n">
        <v>44446</v>
      </c>
      <c r="B1531" s="14" t="n">
        <v>0.05</v>
      </c>
      <c r="C1531" s="14" t="n">
        <v>0.25</v>
      </c>
      <c r="D1531" s="14" t="n">
        <v>0</v>
      </c>
      <c r="E1531" s="14" t="n">
        <v>-0.569</v>
      </c>
      <c r="F1531" s="14" t="n">
        <v>-0.5</v>
      </c>
      <c r="G1531" s="14" t="n">
        <v>0.1</v>
      </c>
      <c r="H1531" s="14" t="n">
        <v>0.0507</v>
      </c>
      <c r="I1531" s="14" t="n">
        <v>0.0520623897017329</v>
      </c>
      <c r="J1531" s="14" t="n">
        <v>0.054945668844629</v>
      </c>
      <c r="K1531" s="14" t="n">
        <v>0.0710028948644361</v>
      </c>
      <c r="L1531" s="14" t="n">
        <v>0.135877952756461</v>
      </c>
      <c r="M1531" s="14" t="n">
        <v>2.305</v>
      </c>
      <c r="N1531" s="14" t="n">
        <v>2.355</v>
      </c>
      <c r="O1531" s="14" t="n">
        <v>2.471</v>
      </c>
      <c r="P1531" s="14" t="n">
        <v>2.698</v>
      </c>
      <c r="Q1531" s="14" t="n">
        <v>0</v>
      </c>
      <c r="R1531" s="14" t="n">
        <v>0</v>
      </c>
      <c r="S1531" s="14" t="n">
        <v>5.25</v>
      </c>
    </row>
    <row r="1532" customFormat="false" ht="15" hidden="false" customHeight="false" outlineLevel="0" collapsed="false">
      <c r="A1532" s="13" t="n">
        <v>44447</v>
      </c>
      <c r="B1532" s="14" t="n">
        <v>0.05</v>
      </c>
      <c r="C1532" s="14" t="n">
        <v>0.25</v>
      </c>
      <c r="D1532" s="14" t="n">
        <v>0</v>
      </c>
      <c r="E1532" s="14" t="n">
        <v>-0.569</v>
      </c>
      <c r="F1532" s="14" t="n">
        <v>-0.5</v>
      </c>
      <c r="G1532" s="14" t="n">
        <v>0.1</v>
      </c>
      <c r="H1532" s="14" t="n">
        <v>0.0505</v>
      </c>
      <c r="I1532" s="14" t="n">
        <v>0.050444229585047</v>
      </c>
      <c r="J1532" s="14" t="n">
        <v>0.0534487193217161</v>
      </c>
      <c r="K1532" s="14" t="n">
        <v>0.0745233017099557</v>
      </c>
      <c r="L1532" s="14" t="n">
        <v>0.153339105973949</v>
      </c>
      <c r="M1532" s="14" t="n">
        <v>2.307</v>
      </c>
      <c r="N1532" s="14" t="n">
        <v>2.357</v>
      </c>
      <c r="O1532" s="14" t="n">
        <v>2.468</v>
      </c>
      <c r="P1532" s="14" t="n">
        <v>2.699</v>
      </c>
      <c r="Q1532" s="14" t="n">
        <v>0</v>
      </c>
      <c r="R1532" s="14" t="n">
        <v>0</v>
      </c>
      <c r="S1532" s="14" t="n">
        <v>5.25</v>
      </c>
    </row>
    <row r="1533" customFormat="false" ht="15" hidden="false" customHeight="false" outlineLevel="0" collapsed="false">
      <c r="A1533" s="13" t="n">
        <v>44448</v>
      </c>
      <c r="B1533" s="14" t="n">
        <v>0.05</v>
      </c>
      <c r="C1533" s="14" t="n">
        <v>0.25</v>
      </c>
      <c r="D1533" s="14" t="n">
        <v>0</v>
      </c>
      <c r="E1533" s="14" t="n">
        <v>-0.57</v>
      </c>
      <c r="F1533" s="14" t="n">
        <v>-0.5</v>
      </c>
      <c r="G1533" s="14" t="n">
        <v>0.1</v>
      </c>
      <c r="H1533" s="14" t="n">
        <v>0.0503</v>
      </c>
      <c r="I1533" s="14" t="n">
        <v>0.0504287836395061</v>
      </c>
      <c r="J1533" s="14" t="n">
        <v>0.0521358326170312</v>
      </c>
      <c r="K1533" s="14" t="n">
        <v>0.0762559677653769</v>
      </c>
      <c r="L1533" s="14" t="n">
        <v>0.160817832524762</v>
      </c>
      <c r="M1533" s="14" t="n">
        <v>2.311</v>
      </c>
      <c r="N1533" s="14" t="n">
        <v>2.357</v>
      </c>
      <c r="O1533" s="14" t="n">
        <v>2.467</v>
      </c>
      <c r="P1533" s="14" t="n">
        <v>2.698</v>
      </c>
      <c r="Q1533" s="14" t="n">
        <v>0</v>
      </c>
      <c r="R1533" s="14" t="n">
        <v>0</v>
      </c>
      <c r="S1533" s="14" t="n">
        <v>5.25</v>
      </c>
    </row>
    <row r="1534" customFormat="false" ht="15" hidden="false" customHeight="false" outlineLevel="0" collapsed="false">
      <c r="A1534" s="13" t="n">
        <v>44449</v>
      </c>
      <c r="B1534" s="14" t="n">
        <v>0.05</v>
      </c>
      <c r="C1534" s="14" t="n">
        <v>0.25</v>
      </c>
      <c r="D1534" s="14" t="n">
        <v>0</v>
      </c>
      <c r="E1534" s="14" t="n">
        <v>-0.57</v>
      </c>
      <c r="F1534" s="14" t="n">
        <v>-0.5</v>
      </c>
      <c r="G1534" s="14" t="n">
        <v>0.1</v>
      </c>
      <c r="H1534" s="14" t="n">
        <v>0.0509</v>
      </c>
      <c r="I1534" s="14" t="n">
        <v>0.052414428762499</v>
      </c>
      <c r="J1534" s="14" t="n">
        <v>0.055609966729917</v>
      </c>
      <c r="K1534" s="14" t="n">
        <v>0.0755718960005264</v>
      </c>
      <c r="L1534" s="14" t="n">
        <v>0.159376885665165</v>
      </c>
      <c r="M1534" s="14" t="n">
        <v>2.312</v>
      </c>
      <c r="N1534" s="14" t="n">
        <v>2.357</v>
      </c>
      <c r="O1534" s="14" t="n">
        <v>2.467</v>
      </c>
      <c r="P1534" s="14" t="n">
        <v>2.698</v>
      </c>
      <c r="Q1534" s="14" t="n">
        <v>0</v>
      </c>
      <c r="R1534" s="14" t="n">
        <v>0</v>
      </c>
      <c r="S1534" s="14" t="n">
        <v>5.25</v>
      </c>
    </row>
    <row r="1535" customFormat="false" ht="15" hidden="false" customHeight="false" outlineLevel="0" collapsed="false">
      <c r="A1535" s="13" t="n">
        <v>44452</v>
      </c>
      <c r="B1535" s="14" t="n">
        <v>0.05</v>
      </c>
      <c r="C1535" s="14" t="n">
        <v>0.25</v>
      </c>
      <c r="D1535" s="14" t="n">
        <v>0</v>
      </c>
      <c r="E1535" s="14" t="n">
        <v>-0.571</v>
      </c>
      <c r="F1535" s="14" t="n">
        <v>-0.5</v>
      </c>
      <c r="G1535" s="14" t="n">
        <v>0.1</v>
      </c>
      <c r="H1535" s="14" t="n">
        <v>0.0506</v>
      </c>
      <c r="I1535" s="14" t="n">
        <v>0.0459910898845468</v>
      </c>
      <c r="J1535" s="14" t="n">
        <v>0.0495833519472222</v>
      </c>
      <c r="K1535" s="14" t="n">
        <v>0.0788638853580864</v>
      </c>
      <c r="L1535" s="14" t="n">
        <v>0.162340090257932</v>
      </c>
      <c r="M1535" s="14" t="n">
        <v>2.32</v>
      </c>
      <c r="N1535" s="14" t="n">
        <v>2.357</v>
      </c>
      <c r="O1535" s="14" t="n">
        <v>2.467</v>
      </c>
      <c r="P1535" s="14" t="n">
        <v>2.699</v>
      </c>
      <c r="Q1535" s="14" t="n">
        <v>0</v>
      </c>
      <c r="R1535" s="14" t="n">
        <v>0</v>
      </c>
      <c r="S1535" s="14" t="n">
        <v>5.25</v>
      </c>
    </row>
    <row r="1536" customFormat="false" ht="15" hidden="false" customHeight="false" outlineLevel="0" collapsed="false">
      <c r="A1536" s="13" t="n">
        <v>44453</v>
      </c>
      <c r="B1536" s="14" t="n">
        <v>0.05</v>
      </c>
      <c r="C1536" s="14" t="n">
        <v>0.25</v>
      </c>
      <c r="D1536" s="14" t="n">
        <v>0</v>
      </c>
      <c r="E1536" s="14" t="n">
        <v>-0.568</v>
      </c>
      <c r="F1536" s="14" t="n">
        <v>-0.5</v>
      </c>
      <c r="G1536" s="14" t="n">
        <v>0.1</v>
      </c>
      <c r="H1536" s="14" t="n">
        <v>0.0499</v>
      </c>
      <c r="I1536" s="14" t="n">
        <v>0.0505925836122272</v>
      </c>
      <c r="J1536" s="14" t="n">
        <v>0.0577015959960526</v>
      </c>
      <c r="K1536" s="14" t="n">
        <v>0.0817844198051937</v>
      </c>
      <c r="L1536" s="14" t="n">
        <v>0.170322193852547</v>
      </c>
      <c r="M1536" s="14" t="n">
        <v>2.339</v>
      </c>
      <c r="N1536" s="14" t="n">
        <v>2.361</v>
      </c>
      <c r="O1536" s="14" t="n">
        <v>2.468</v>
      </c>
      <c r="P1536" s="14" t="n">
        <v>2.699</v>
      </c>
      <c r="Q1536" s="14" t="n">
        <v>0</v>
      </c>
      <c r="R1536" s="14" t="n">
        <v>0</v>
      </c>
      <c r="S1536" s="14" t="n">
        <v>5.25</v>
      </c>
    </row>
    <row r="1537" customFormat="false" ht="15" hidden="false" customHeight="false" outlineLevel="0" collapsed="false">
      <c r="A1537" s="13" t="n">
        <v>44454</v>
      </c>
      <c r="B1537" s="14" t="n">
        <v>0.05</v>
      </c>
      <c r="C1537" s="14" t="n">
        <v>0.25</v>
      </c>
      <c r="D1537" s="14" t="n">
        <v>0</v>
      </c>
      <c r="E1537" s="14" t="n">
        <v>-0.573</v>
      </c>
      <c r="F1537" s="14" t="n">
        <v>-0.5</v>
      </c>
      <c r="G1537" s="14" t="n">
        <v>0.1</v>
      </c>
      <c r="H1537" s="14" t="n">
        <v>0.0499</v>
      </c>
      <c r="I1537" s="14" t="n">
        <v>0.0502929364021156</v>
      </c>
      <c r="J1537" s="14" t="n">
        <v>0.0544948836914977</v>
      </c>
      <c r="K1537" s="14" t="n">
        <v>0.0818646167709199</v>
      </c>
      <c r="L1537" s="14" t="n">
        <v>0.17600857448846</v>
      </c>
      <c r="M1537" s="14" t="n">
        <v>2.344</v>
      </c>
      <c r="N1537" s="14" t="n">
        <v>2.363</v>
      </c>
      <c r="O1537" s="14" t="n">
        <v>2.468</v>
      </c>
      <c r="P1537" s="14" t="n">
        <v>2.7</v>
      </c>
      <c r="Q1537" s="14" t="n">
        <v>0</v>
      </c>
      <c r="R1537" s="14" t="n">
        <v>0</v>
      </c>
      <c r="S1537" s="14" t="n">
        <v>5.25</v>
      </c>
    </row>
    <row r="1538" customFormat="false" ht="15" hidden="false" customHeight="false" outlineLevel="0" collapsed="false">
      <c r="A1538" s="13" t="n">
        <v>44455</v>
      </c>
      <c r="B1538" s="14" t="n">
        <v>0.05</v>
      </c>
      <c r="C1538" s="14" t="n">
        <v>0.25</v>
      </c>
      <c r="D1538" s="14" t="n">
        <v>0</v>
      </c>
      <c r="E1538" s="14" t="n">
        <v>-0.567</v>
      </c>
      <c r="F1538" s="14" t="n">
        <v>-0.5</v>
      </c>
      <c r="G1538" s="14" t="n">
        <v>0.1</v>
      </c>
      <c r="H1538" s="14" t="n">
        <v>0.0501</v>
      </c>
      <c r="I1538" s="14" t="n">
        <v>0.0519336785043724</v>
      </c>
      <c r="J1538" s="14" t="n">
        <v>0.0570992680610772</v>
      </c>
      <c r="K1538" s="14" t="n">
        <v>0.084104903227897</v>
      </c>
      <c r="L1538" s="14" t="n">
        <v>0.181308449717983</v>
      </c>
      <c r="M1538" s="14" t="n">
        <v>2.356</v>
      </c>
      <c r="N1538" s="14" t="n">
        <v>2.365</v>
      </c>
      <c r="O1538" s="14" t="n">
        <v>2.466</v>
      </c>
      <c r="P1538" s="14" t="n">
        <v>2.7</v>
      </c>
      <c r="Q1538" s="14" t="n">
        <v>0</v>
      </c>
      <c r="R1538" s="14" t="n">
        <v>0</v>
      </c>
      <c r="S1538" s="14" t="n">
        <v>5.25</v>
      </c>
    </row>
    <row r="1539" customFormat="false" ht="15" hidden="false" customHeight="false" outlineLevel="0" collapsed="false">
      <c r="A1539" s="13" t="n">
        <v>44456</v>
      </c>
      <c r="B1539" s="14" t="n">
        <v>0.05</v>
      </c>
      <c r="C1539" s="14" t="n">
        <v>0.25</v>
      </c>
      <c r="D1539" s="14" t="n">
        <v>0</v>
      </c>
      <c r="E1539" s="14" t="n">
        <v>-0.571</v>
      </c>
      <c r="F1539" s="14" t="n">
        <v>-0.5</v>
      </c>
      <c r="G1539" s="14" t="n">
        <v>0.1</v>
      </c>
      <c r="H1539" s="14" t="n">
        <v>0.0502</v>
      </c>
      <c r="I1539" s="14" t="n">
        <v>0.0513124604180598</v>
      </c>
      <c r="J1539" s="14" t="n">
        <v>0.0565379592465933</v>
      </c>
      <c r="K1539" s="14" t="n">
        <v>0.0864445059042408</v>
      </c>
      <c r="L1539" s="14" t="n">
        <v>0.183636848732731</v>
      </c>
      <c r="M1539" s="14" t="n">
        <v>2.373</v>
      </c>
      <c r="N1539" s="14" t="n">
        <v>2.372</v>
      </c>
      <c r="O1539" s="14" t="n">
        <v>2.468</v>
      </c>
      <c r="P1539" s="14" t="n">
        <v>2.7</v>
      </c>
      <c r="Q1539" s="14" t="n">
        <v>0</v>
      </c>
      <c r="R1539" s="14" t="n">
        <v>0</v>
      </c>
      <c r="S1539" s="14" t="n">
        <v>5.25</v>
      </c>
    </row>
    <row r="1540" customFormat="false" ht="15" hidden="false" customHeight="false" outlineLevel="0" collapsed="false">
      <c r="A1540" s="13" t="n">
        <v>44457</v>
      </c>
      <c r="C1540" s="14" t="n">
        <v>0.25</v>
      </c>
      <c r="D1540" s="14" t="n">
        <v>0</v>
      </c>
      <c r="F1540" s="14" t="n">
        <v>-0.5</v>
      </c>
      <c r="M1540" s="14" t="n">
        <v>2.379</v>
      </c>
      <c r="N1540" s="14" t="n">
        <v>2.378</v>
      </c>
      <c r="O1540" s="14" t="n">
        <v>2.469</v>
      </c>
      <c r="P1540" s="14" t="n">
        <v>2.7</v>
      </c>
      <c r="S1540" s="14" t="n">
        <v>5.25</v>
      </c>
    </row>
    <row r="1541" customFormat="false" ht="15" hidden="false" customHeight="false" outlineLevel="0" collapsed="false">
      <c r="A1541" s="13" t="n">
        <v>44459</v>
      </c>
      <c r="B1541" s="14" t="n">
        <v>0.05</v>
      </c>
      <c r="C1541" s="14" t="n">
        <v>0.25</v>
      </c>
      <c r="D1541" s="14" t="n">
        <v>0</v>
      </c>
      <c r="E1541" s="14" t="n">
        <v>-0.566</v>
      </c>
      <c r="F1541" s="14" t="n">
        <v>-0.5</v>
      </c>
      <c r="G1541" s="14" t="n">
        <v>0.1</v>
      </c>
      <c r="H1541" s="14" t="n">
        <v>0.05</v>
      </c>
      <c r="I1541" s="14" t="n">
        <v>0.0519230320148322</v>
      </c>
      <c r="J1541" s="14" t="n">
        <v>0.0581592306241279</v>
      </c>
      <c r="K1541" s="14" t="n">
        <v>0.0865591557858326</v>
      </c>
      <c r="L1541" s="14" t="n">
        <v>0.179732789707441</v>
      </c>
      <c r="Q1541" s="14" t="n">
        <v>0</v>
      </c>
      <c r="R1541" s="14" t="n">
        <v>0</v>
      </c>
      <c r="S1541" s="14" t="n">
        <v>5.25</v>
      </c>
    </row>
    <row r="1542" customFormat="false" ht="15" hidden="false" customHeight="false" outlineLevel="0" collapsed="false">
      <c r="A1542" s="13" t="n">
        <v>44460</v>
      </c>
      <c r="B1542" s="14" t="n">
        <v>0.05</v>
      </c>
      <c r="C1542" s="14" t="n">
        <v>0.25</v>
      </c>
      <c r="D1542" s="14" t="n">
        <v>0</v>
      </c>
      <c r="E1542" s="14" t="n">
        <v>-0.571</v>
      </c>
      <c r="F1542" s="14" t="n">
        <v>-0.5</v>
      </c>
      <c r="G1542" s="14" t="n">
        <v>0.1</v>
      </c>
      <c r="H1542" s="14" t="n">
        <v>0.05</v>
      </c>
      <c r="I1542" s="14" t="n">
        <v>0.0531750548353017</v>
      </c>
      <c r="J1542" s="14" t="n">
        <v>0.0581815875099933</v>
      </c>
      <c r="K1542" s="14" t="n">
        <v>0.0868891834355269</v>
      </c>
      <c r="L1542" s="14" t="n">
        <v>0.18582275169239</v>
      </c>
      <c r="Q1542" s="14" t="n">
        <v>0</v>
      </c>
      <c r="R1542" s="14" t="n">
        <v>0</v>
      </c>
      <c r="S1542" s="14" t="n">
        <v>5.25</v>
      </c>
    </row>
    <row r="1543" customFormat="false" ht="15" hidden="false" customHeight="false" outlineLevel="0" collapsed="false">
      <c r="A1543" s="13" t="n">
        <v>44461</v>
      </c>
      <c r="B1543" s="14" t="n">
        <v>0.05</v>
      </c>
      <c r="C1543" s="14" t="n">
        <v>0.25</v>
      </c>
      <c r="D1543" s="14" t="n">
        <v>0</v>
      </c>
      <c r="E1543" s="14" t="n">
        <v>-0.566</v>
      </c>
      <c r="F1543" s="14" t="n">
        <v>-0.5</v>
      </c>
      <c r="G1543" s="14" t="n">
        <v>0.1</v>
      </c>
      <c r="H1543" s="14" t="n">
        <v>0.0499</v>
      </c>
      <c r="I1543" s="14" t="n">
        <v>0.0518562237656308</v>
      </c>
      <c r="J1543" s="14" t="n">
        <v>0.0606459912624176</v>
      </c>
      <c r="K1543" s="14" t="n">
        <v>0.0910614953092151</v>
      </c>
      <c r="L1543" s="14" t="n">
        <v>0.191296386298617</v>
      </c>
      <c r="M1543" s="14" t="n">
        <v>2.387</v>
      </c>
      <c r="N1543" s="14" t="n">
        <v>2.385</v>
      </c>
      <c r="O1543" s="14" t="n">
        <v>2.469</v>
      </c>
      <c r="P1543" s="14" t="n">
        <v>2.7</v>
      </c>
      <c r="Q1543" s="14" t="n">
        <v>0</v>
      </c>
      <c r="R1543" s="14" t="n">
        <v>0</v>
      </c>
      <c r="S1543" s="14" t="n">
        <v>5.25</v>
      </c>
    </row>
    <row r="1544" customFormat="false" ht="15" hidden="false" customHeight="false" outlineLevel="0" collapsed="false">
      <c r="A1544" s="13" t="n">
        <v>44462</v>
      </c>
      <c r="B1544" s="14" t="n">
        <v>0.05</v>
      </c>
      <c r="C1544" s="14" t="n">
        <v>0.25</v>
      </c>
      <c r="D1544" s="14" t="n">
        <v>0</v>
      </c>
      <c r="E1544" s="14" t="n">
        <v>-0.57</v>
      </c>
      <c r="F1544" s="14" t="n">
        <v>-0.5</v>
      </c>
      <c r="G1544" s="14" t="n">
        <v>0.1</v>
      </c>
      <c r="H1544" s="14" t="n">
        <v>0.049</v>
      </c>
      <c r="I1544" s="14" t="n">
        <v>0.0509828268546047</v>
      </c>
      <c r="J1544" s="14" t="n">
        <v>0.0706630841603657</v>
      </c>
      <c r="K1544" s="14" t="n">
        <v>0.123728827749593</v>
      </c>
      <c r="L1544" s="14" t="n">
        <v>0.262842824507391</v>
      </c>
      <c r="M1544" s="14" t="n">
        <v>2.396</v>
      </c>
      <c r="N1544" s="14" t="n">
        <v>2.39</v>
      </c>
      <c r="O1544" s="14" t="n">
        <v>2.469</v>
      </c>
      <c r="P1544" s="14" t="n">
        <v>2.7</v>
      </c>
      <c r="Q1544" s="14" t="n">
        <v>0</v>
      </c>
      <c r="R1544" s="14" t="n">
        <v>0</v>
      </c>
      <c r="S1544" s="14" t="n">
        <v>6.25</v>
      </c>
    </row>
    <row r="1545" customFormat="false" ht="15" hidden="false" customHeight="false" outlineLevel="0" collapsed="false">
      <c r="A1545" s="13" t="n">
        <v>44463</v>
      </c>
      <c r="B1545" s="14" t="n">
        <v>0.05</v>
      </c>
      <c r="C1545" s="14" t="n">
        <v>0.25</v>
      </c>
      <c r="D1545" s="14" t="n">
        <v>0</v>
      </c>
      <c r="E1545" s="14" t="n">
        <v>-0.569</v>
      </c>
      <c r="F1545" s="14" t="n">
        <v>-0.5</v>
      </c>
      <c r="G1545" s="14" t="n">
        <v>0.1</v>
      </c>
      <c r="H1545" s="14" t="n">
        <v>0.05</v>
      </c>
      <c r="I1545" s="14" t="n">
        <v>0.0505442326535636</v>
      </c>
      <c r="J1545" s="14" t="n">
        <v>0.0731920646529479</v>
      </c>
      <c r="K1545" s="14" t="n">
        <v>0.129292690983253</v>
      </c>
      <c r="L1545" s="14" t="n">
        <v>0.259318687654455</v>
      </c>
      <c r="M1545" s="14" t="n">
        <v>2.408</v>
      </c>
      <c r="N1545" s="14" t="n">
        <v>2.397</v>
      </c>
      <c r="O1545" s="14" t="n">
        <v>2.473</v>
      </c>
      <c r="P1545" s="14" t="n">
        <v>2.7</v>
      </c>
      <c r="Q1545" s="14" t="n">
        <v>0.25</v>
      </c>
      <c r="R1545" s="14" t="n">
        <v>0.25</v>
      </c>
      <c r="S1545" s="14" t="n">
        <v>6.25</v>
      </c>
    </row>
    <row r="1546" customFormat="false" ht="15" hidden="false" customHeight="false" outlineLevel="0" collapsed="false">
      <c r="A1546" s="13" t="n">
        <v>44465</v>
      </c>
      <c r="C1546" s="14" t="n">
        <v>0.25</v>
      </c>
      <c r="D1546" s="14" t="n">
        <v>0</v>
      </c>
      <c r="F1546" s="14" t="n">
        <v>-0.5</v>
      </c>
      <c r="M1546" s="14" t="n">
        <v>2.411</v>
      </c>
      <c r="N1546" s="14" t="n">
        <v>2.404</v>
      </c>
      <c r="O1546" s="14" t="n">
        <v>2.479</v>
      </c>
      <c r="P1546" s="14" t="n">
        <v>2.701</v>
      </c>
      <c r="S1546" s="14" t="n">
        <v>6.25</v>
      </c>
    </row>
    <row r="1547" customFormat="false" ht="15" hidden="false" customHeight="false" outlineLevel="0" collapsed="false">
      <c r="A1547" s="13" t="n">
        <v>44466</v>
      </c>
      <c r="B1547" s="14" t="n">
        <v>0.05</v>
      </c>
      <c r="C1547" s="14" t="n">
        <v>0.25</v>
      </c>
      <c r="D1547" s="14" t="n">
        <v>0</v>
      </c>
      <c r="E1547" s="14" t="n">
        <v>-0.571</v>
      </c>
      <c r="F1547" s="14" t="n">
        <v>-0.5</v>
      </c>
      <c r="G1547" s="14" t="n">
        <v>0.1</v>
      </c>
      <c r="H1547" s="14" t="n">
        <v>0.0496</v>
      </c>
      <c r="I1547" s="14" t="n">
        <v>0.050593650373078</v>
      </c>
      <c r="J1547" s="14" t="n">
        <v>0.0708546191358043</v>
      </c>
      <c r="K1547" s="14" t="n">
        <v>0.1283655152498</v>
      </c>
      <c r="L1547" s="14" t="n">
        <v>0.263034161796701</v>
      </c>
      <c r="M1547" s="14" t="n">
        <v>2.418</v>
      </c>
      <c r="N1547" s="14" t="n">
        <v>2.408</v>
      </c>
      <c r="O1547" s="14" t="n">
        <v>2.483</v>
      </c>
      <c r="P1547" s="14" t="n">
        <v>2.708</v>
      </c>
      <c r="Q1547" s="14" t="n">
        <v>0.25</v>
      </c>
      <c r="R1547" s="14" t="n">
        <v>0.25</v>
      </c>
      <c r="S1547" s="14" t="n">
        <v>6.25</v>
      </c>
    </row>
    <row r="1548" customFormat="false" ht="15" hidden="false" customHeight="false" outlineLevel="0" collapsed="false">
      <c r="A1548" s="13" t="n">
        <v>44467</v>
      </c>
      <c r="B1548" s="14" t="n">
        <v>0.05</v>
      </c>
      <c r="C1548" s="14" t="n">
        <v>0.25</v>
      </c>
      <c r="D1548" s="14" t="n">
        <v>0</v>
      </c>
      <c r="E1548" s="14" t="n">
        <v>-0.573</v>
      </c>
      <c r="F1548" s="14" t="n">
        <v>-0.5</v>
      </c>
      <c r="G1548" s="14" t="n">
        <v>0.1</v>
      </c>
      <c r="H1548" s="14" t="n">
        <v>0.0495</v>
      </c>
      <c r="I1548" s="14" t="n">
        <v>0.0511635120253673</v>
      </c>
      <c r="J1548" s="14" t="n">
        <v>0.0794850630574157</v>
      </c>
      <c r="K1548" s="14" t="n">
        <v>0.14260563892328</v>
      </c>
      <c r="L1548" s="14" t="n">
        <v>0.283878998623682</v>
      </c>
      <c r="M1548" s="14" t="n">
        <v>2.426</v>
      </c>
      <c r="N1548" s="14" t="n">
        <v>2.417</v>
      </c>
      <c r="O1548" s="14" t="n">
        <v>2.485</v>
      </c>
      <c r="P1548" s="14" t="n">
        <v>2.713</v>
      </c>
      <c r="Q1548" s="14" t="n">
        <v>0.25</v>
      </c>
      <c r="R1548" s="14" t="n">
        <v>0.25</v>
      </c>
      <c r="S1548" s="14" t="n">
        <v>6.25</v>
      </c>
    </row>
    <row r="1549" customFormat="false" ht="15" hidden="false" customHeight="false" outlineLevel="0" collapsed="false">
      <c r="A1549" s="13" t="n">
        <v>44468</v>
      </c>
      <c r="B1549" s="14" t="n">
        <v>0.05</v>
      </c>
      <c r="C1549" s="14" t="n">
        <v>0.25</v>
      </c>
      <c r="D1549" s="14" t="n">
        <v>0</v>
      </c>
      <c r="E1549" s="14" t="n">
        <v>-0.572</v>
      </c>
      <c r="F1549" s="14" t="n">
        <v>-0.5</v>
      </c>
      <c r="G1549" s="14" t="n">
        <v>0.1</v>
      </c>
      <c r="H1549" s="14" t="n">
        <v>0.0493</v>
      </c>
      <c r="I1549" s="14" t="n">
        <v>0.0523610223249341</v>
      </c>
      <c r="J1549" s="14" t="n">
        <v>0.0936669726055025</v>
      </c>
      <c r="K1549" s="14" t="n">
        <v>0.170888504268288</v>
      </c>
      <c r="L1549" s="14" t="n">
        <v>0.324928631157389</v>
      </c>
      <c r="M1549" s="14" t="n">
        <v>2.436</v>
      </c>
      <c r="N1549" s="14" t="n">
        <v>2.427</v>
      </c>
      <c r="O1549" s="14" t="n">
        <v>2.489</v>
      </c>
      <c r="P1549" s="14" t="n">
        <v>2.718</v>
      </c>
      <c r="Q1549" s="14" t="n">
        <v>0.25</v>
      </c>
      <c r="R1549" s="14" t="n">
        <v>0.25</v>
      </c>
      <c r="S1549" s="14" t="n">
        <v>6.25</v>
      </c>
    </row>
    <row r="1550" customFormat="false" ht="15" hidden="false" customHeight="false" outlineLevel="0" collapsed="false">
      <c r="A1550" s="13" t="n">
        <v>44469</v>
      </c>
      <c r="B1550" s="14" t="n">
        <v>0.05</v>
      </c>
      <c r="C1550" s="14" t="n">
        <v>0.25</v>
      </c>
      <c r="D1550" s="14" t="n">
        <v>0</v>
      </c>
      <c r="E1550" s="14" t="n">
        <v>-0.58</v>
      </c>
      <c r="F1550" s="14" t="n">
        <v>-0.5</v>
      </c>
      <c r="G1550" s="14" t="n">
        <v>0.1</v>
      </c>
      <c r="H1550" s="14" t="n">
        <v>0.0479</v>
      </c>
      <c r="I1550" s="14" t="n">
        <v>0.0525525709161683</v>
      </c>
      <c r="J1550" s="14" t="n">
        <v>0.0920720158060363</v>
      </c>
      <c r="K1550" s="14" t="n">
        <v>0.164311317795119</v>
      </c>
      <c r="L1550" s="14" t="n">
        <v>0.311082078972991</v>
      </c>
      <c r="M1550" s="14" t="n">
        <v>2.439</v>
      </c>
      <c r="N1550" s="14" t="n">
        <v>2.431</v>
      </c>
      <c r="O1550" s="14" t="n">
        <v>2.489</v>
      </c>
      <c r="P1550" s="14" t="n">
        <v>2.722</v>
      </c>
      <c r="Q1550" s="14" t="n">
        <v>0.25</v>
      </c>
      <c r="R1550" s="14" t="n">
        <v>0.25</v>
      </c>
      <c r="S1550" s="14" t="n">
        <v>6.25</v>
      </c>
    </row>
    <row r="1551" customFormat="false" ht="15" hidden="false" customHeight="false" outlineLevel="0" collapsed="false">
      <c r="A1551" s="13" t="n">
        <v>44470</v>
      </c>
      <c r="B1551" s="14" t="n">
        <v>0.05</v>
      </c>
      <c r="C1551" s="14" t="n">
        <v>0.25</v>
      </c>
      <c r="D1551" s="14" t="n">
        <v>0</v>
      </c>
      <c r="E1551" s="14" t="n">
        <v>-0.571</v>
      </c>
      <c r="F1551" s="14" t="n">
        <v>-0.5</v>
      </c>
      <c r="G1551" s="14" t="n">
        <v>0.1</v>
      </c>
      <c r="H1551" s="14" t="n">
        <v>0.05</v>
      </c>
      <c r="I1551" s="14" t="n">
        <v>0.0510068478144062</v>
      </c>
      <c r="J1551" s="14" t="n">
        <v>0.0866674359756991</v>
      </c>
      <c r="K1551" s="14" t="n">
        <v>0.157012797058432</v>
      </c>
      <c r="L1551" s="14" t="n">
        <v>0.301928740340869</v>
      </c>
      <c r="Q1551" s="14" t="n">
        <v>0.25</v>
      </c>
      <c r="R1551" s="14" t="n">
        <v>0.25</v>
      </c>
      <c r="S1551" s="14" t="n">
        <v>6.25</v>
      </c>
    </row>
    <row r="1552" customFormat="false" ht="15" hidden="false" customHeight="false" outlineLevel="0" collapsed="false">
      <c r="A1552" s="13" t="n">
        <v>44473</v>
      </c>
      <c r="B1552" s="14" t="n">
        <v>0.05</v>
      </c>
      <c r="C1552" s="14" t="n">
        <v>0.25</v>
      </c>
      <c r="D1552" s="14" t="n">
        <v>0</v>
      </c>
      <c r="E1552" s="14" t="n">
        <v>-0.569</v>
      </c>
      <c r="F1552" s="14" t="n">
        <v>-0.5</v>
      </c>
      <c r="G1552" s="14" t="n">
        <v>0.1</v>
      </c>
      <c r="H1552" s="14" t="n">
        <v>0.0503</v>
      </c>
      <c r="I1552" s="14" t="n">
        <v>0.0516148697132028</v>
      </c>
      <c r="J1552" s="14" t="n">
        <v>0.0866746785011201</v>
      </c>
      <c r="K1552" s="14" t="n">
        <v>0.153058814940403</v>
      </c>
      <c r="L1552" s="14" t="n">
        <v>0.291410791441114</v>
      </c>
      <c r="Q1552" s="14" t="n">
        <v>0.25</v>
      </c>
      <c r="R1552" s="14" t="n">
        <v>0.25</v>
      </c>
      <c r="S1552" s="14" t="n">
        <v>6.25</v>
      </c>
    </row>
    <row r="1553" customFormat="false" ht="15" hidden="false" customHeight="false" outlineLevel="0" collapsed="false">
      <c r="A1553" s="13" t="n">
        <v>44474</v>
      </c>
      <c r="B1553" s="14" t="n">
        <v>0.05</v>
      </c>
      <c r="C1553" s="14" t="n">
        <v>0.25</v>
      </c>
      <c r="D1553" s="14" t="n">
        <v>0</v>
      </c>
      <c r="E1553" s="14" t="n">
        <v>-0.569</v>
      </c>
      <c r="F1553" s="14" t="n">
        <v>-0.5</v>
      </c>
      <c r="G1553" s="14" t="n">
        <v>0.1</v>
      </c>
      <c r="H1553" s="14" t="n">
        <v>0.0505</v>
      </c>
      <c r="I1553" s="14" t="n">
        <v>0.05451380828288</v>
      </c>
      <c r="J1553" s="14" t="n">
        <v>0.105112942811854</v>
      </c>
      <c r="K1553" s="14" t="n">
        <v>0.184680526378911</v>
      </c>
      <c r="L1553" s="14" t="n">
        <v>0.336657454560546</v>
      </c>
      <c r="Q1553" s="14" t="n">
        <v>0.25</v>
      </c>
      <c r="R1553" s="14" t="n">
        <v>0.25</v>
      </c>
      <c r="S1553" s="14" t="n">
        <v>6.25</v>
      </c>
    </row>
    <row r="1554" customFormat="false" ht="15" hidden="false" customHeight="false" outlineLevel="0" collapsed="false">
      <c r="A1554" s="13" t="n">
        <v>44475</v>
      </c>
      <c r="B1554" s="14" t="n">
        <v>0.05</v>
      </c>
      <c r="C1554" s="14" t="n">
        <v>0.25</v>
      </c>
      <c r="D1554" s="14" t="n">
        <v>0</v>
      </c>
      <c r="E1554" s="14" t="n">
        <v>-0.569</v>
      </c>
      <c r="F1554" s="14" t="n">
        <v>-0.5</v>
      </c>
      <c r="G1554" s="14" t="n">
        <v>0.1</v>
      </c>
      <c r="H1554" s="14" t="n">
        <v>0.0513</v>
      </c>
      <c r="I1554" s="14" t="n">
        <v>0.0598118771612459</v>
      </c>
      <c r="J1554" s="14" t="n">
        <v>0.10968347673385</v>
      </c>
      <c r="K1554" s="14" t="n">
        <v>0.192817408113647</v>
      </c>
      <c r="L1554" s="14" t="n">
        <v>0.352055411244439</v>
      </c>
      <c r="Q1554" s="14" t="n">
        <v>0.25</v>
      </c>
      <c r="R1554" s="14" t="n">
        <v>0.25</v>
      </c>
      <c r="S1554" s="14" t="n">
        <v>6.25</v>
      </c>
    </row>
    <row r="1555" customFormat="false" ht="15" hidden="false" customHeight="false" outlineLevel="0" collapsed="false">
      <c r="A1555" s="13" t="n">
        <v>44476</v>
      </c>
      <c r="B1555" s="14" t="n">
        <v>0.05</v>
      </c>
      <c r="C1555" s="14" t="n">
        <v>0.25</v>
      </c>
      <c r="D1555" s="14" t="n">
        <v>0</v>
      </c>
      <c r="E1555" s="14" t="n">
        <v>-0.568</v>
      </c>
      <c r="F1555" s="14" t="n">
        <v>-0.5</v>
      </c>
      <c r="G1555" s="14" t="n">
        <v>0.1</v>
      </c>
      <c r="H1555" s="14" t="n">
        <v>0.0512</v>
      </c>
      <c r="I1555" s="14" t="n">
        <v>0.0563053617324738</v>
      </c>
      <c r="J1555" s="14" t="n">
        <v>0.101265021143344</v>
      </c>
      <c r="K1555" s="14" t="n">
        <v>0.194636748400082</v>
      </c>
      <c r="L1555" s="14" t="n">
        <v>0.371835111658358</v>
      </c>
      <c r="Q1555" s="14" t="n">
        <v>0.25</v>
      </c>
      <c r="R1555" s="14" t="n">
        <v>0.25</v>
      </c>
      <c r="S1555" s="14" t="n">
        <v>6.25</v>
      </c>
    </row>
    <row r="1556" customFormat="false" ht="15" hidden="false" customHeight="false" outlineLevel="0" collapsed="false">
      <c r="A1556" s="13" t="n">
        <v>44477</v>
      </c>
      <c r="B1556" s="14" t="n">
        <v>0.05</v>
      </c>
      <c r="C1556" s="14" t="n">
        <v>0.25</v>
      </c>
      <c r="D1556" s="14" t="n">
        <v>0</v>
      </c>
      <c r="E1556" s="14" t="n">
        <v>-0.568</v>
      </c>
      <c r="F1556" s="14" t="n">
        <v>-0.5</v>
      </c>
      <c r="G1556" s="14" t="n">
        <v>0.1</v>
      </c>
      <c r="H1556" s="14" t="n">
        <v>0.0507</v>
      </c>
      <c r="I1556" s="14" t="n">
        <v>0.057271807388372</v>
      </c>
      <c r="J1556" s="14" t="n">
        <v>0.11244658841124</v>
      </c>
      <c r="K1556" s="14" t="n">
        <v>0.221621560191746</v>
      </c>
      <c r="L1556" s="14" t="n">
        <v>0.42217298589308</v>
      </c>
      <c r="M1556" s="14" t="n">
        <v>2.399</v>
      </c>
      <c r="N1556" s="14" t="n">
        <v>2.433</v>
      </c>
      <c r="O1556" s="14" t="n">
        <v>2.489</v>
      </c>
      <c r="P1556" s="14" t="n">
        <v>2.722</v>
      </c>
      <c r="Q1556" s="14" t="n">
        <v>0.25</v>
      </c>
      <c r="R1556" s="14" t="n">
        <v>0.25</v>
      </c>
      <c r="S1556" s="14" t="n">
        <v>6.25</v>
      </c>
    </row>
    <row r="1557" customFormat="false" ht="15" hidden="false" customHeight="false" outlineLevel="0" collapsed="false">
      <c r="A1557" s="13" t="n">
        <v>44478</v>
      </c>
      <c r="C1557" s="14" t="n">
        <v>0.25</v>
      </c>
      <c r="D1557" s="14" t="n">
        <v>0</v>
      </c>
      <c r="F1557" s="14" t="n">
        <v>-0.5</v>
      </c>
      <c r="M1557" s="14" t="n">
        <v>2.376</v>
      </c>
      <c r="N1557" s="14" t="n">
        <v>2.425</v>
      </c>
      <c r="O1557" s="14" t="n">
        <v>2.486</v>
      </c>
      <c r="P1557" s="14" t="n">
        <v>2.716</v>
      </c>
      <c r="S1557" s="14" t="n">
        <v>6.25</v>
      </c>
    </row>
    <row r="1558" customFormat="false" ht="15" hidden="false" customHeight="false" outlineLevel="0" collapsed="false">
      <c r="A1558" s="13" t="n">
        <v>44480</v>
      </c>
      <c r="C1558" s="14" t="n">
        <v>0.25</v>
      </c>
      <c r="D1558" s="14" t="n">
        <v>0</v>
      </c>
      <c r="E1558" s="14" t="n">
        <v>-0.57</v>
      </c>
      <c r="F1558" s="14" t="n">
        <v>-0.5</v>
      </c>
      <c r="G1558" s="14" t="n">
        <v>0.1</v>
      </c>
      <c r="H1558" s="14" t="n">
        <v>0.0505</v>
      </c>
      <c r="I1558" s="14" t="n">
        <v>0.0627457527482714</v>
      </c>
      <c r="J1558" s="14" t="n">
        <v>0.146725327612786</v>
      </c>
      <c r="K1558" s="14" t="n">
        <v>0.289713480876029</v>
      </c>
      <c r="L1558" s="14" t="n">
        <v>0.509612612790732</v>
      </c>
      <c r="M1558" s="14" t="n">
        <v>2.366</v>
      </c>
      <c r="N1558" s="14" t="n">
        <v>2.423</v>
      </c>
      <c r="O1558" s="14" t="n">
        <v>2.488</v>
      </c>
      <c r="P1558" s="14" t="n">
        <v>2.718</v>
      </c>
      <c r="Q1558" s="14" t="n">
        <v>0.25</v>
      </c>
      <c r="R1558" s="14" t="n">
        <v>0.25</v>
      </c>
      <c r="S1558" s="14" t="n">
        <v>6.25</v>
      </c>
    </row>
    <row r="1559" customFormat="false" ht="15" hidden="false" customHeight="false" outlineLevel="0" collapsed="false">
      <c r="A1559" s="13" t="n">
        <v>44481</v>
      </c>
      <c r="B1559" s="14" t="n">
        <v>0.05</v>
      </c>
      <c r="C1559" s="14" t="n">
        <v>0.25</v>
      </c>
      <c r="D1559" s="14" t="n">
        <v>0</v>
      </c>
      <c r="E1559" s="14" t="n">
        <v>-0.562</v>
      </c>
      <c r="F1559" s="14" t="n">
        <v>-0.5</v>
      </c>
      <c r="G1559" s="14" t="n">
        <v>0.1</v>
      </c>
      <c r="H1559" s="14" t="n">
        <v>0.0514</v>
      </c>
      <c r="I1559" s="14" t="n">
        <v>0.0655202219534307</v>
      </c>
      <c r="J1559" s="14" t="n">
        <v>0.148633110049287</v>
      </c>
      <c r="K1559" s="14" t="n">
        <v>0.286136145385907</v>
      </c>
      <c r="L1559" s="14" t="n">
        <v>0.5004871116747</v>
      </c>
      <c r="M1559" s="14" t="n">
        <v>2.363</v>
      </c>
      <c r="N1559" s="14" t="n">
        <v>2.423</v>
      </c>
      <c r="O1559" s="14" t="n">
        <v>2.492</v>
      </c>
      <c r="P1559" s="14" t="n">
        <v>2.716</v>
      </c>
      <c r="Q1559" s="14" t="n">
        <v>0.25</v>
      </c>
      <c r="R1559" s="14" t="n">
        <v>0.25</v>
      </c>
      <c r="S1559" s="14" t="n">
        <v>6.25</v>
      </c>
    </row>
    <row r="1560" customFormat="false" ht="15" hidden="false" customHeight="false" outlineLevel="0" collapsed="false">
      <c r="A1560" s="13" t="n">
        <v>44482</v>
      </c>
      <c r="B1560" s="14" t="n">
        <v>0.05</v>
      </c>
      <c r="C1560" s="14" t="n">
        <v>0.25</v>
      </c>
      <c r="D1560" s="14" t="n">
        <v>0</v>
      </c>
      <c r="E1560" s="14" t="n">
        <v>-0.569</v>
      </c>
      <c r="F1560" s="14" t="n">
        <v>-0.5</v>
      </c>
      <c r="G1560" s="14" t="n">
        <v>0.1</v>
      </c>
      <c r="H1560" s="14" t="n">
        <v>0.0508</v>
      </c>
      <c r="I1560" s="14" t="n">
        <v>0.0676513187224612</v>
      </c>
      <c r="J1560" s="14" t="n">
        <v>0.156649814194214</v>
      </c>
      <c r="K1560" s="14" t="n">
        <v>0.298283884029323</v>
      </c>
      <c r="L1560" s="14" t="n">
        <v>0.517061240037052</v>
      </c>
      <c r="M1560" s="14" t="n">
        <v>2.357</v>
      </c>
      <c r="N1560" s="14" t="n">
        <v>2.42</v>
      </c>
      <c r="O1560" s="14" t="n">
        <v>2.495</v>
      </c>
      <c r="P1560" s="14" t="n">
        <v>2.717</v>
      </c>
      <c r="Q1560" s="14" t="n">
        <v>0.25</v>
      </c>
      <c r="R1560" s="14" t="n">
        <v>0.25</v>
      </c>
      <c r="S1560" s="14" t="n">
        <v>6.25</v>
      </c>
    </row>
    <row r="1561" customFormat="false" ht="15" hidden="false" customHeight="false" outlineLevel="0" collapsed="false">
      <c r="A1561" s="13" t="n">
        <v>44483</v>
      </c>
      <c r="B1561" s="14" t="n">
        <v>0.05</v>
      </c>
      <c r="C1561" s="14" t="n">
        <v>0.25</v>
      </c>
      <c r="D1561" s="14" t="n">
        <v>0</v>
      </c>
      <c r="E1561" s="14" t="n">
        <v>-0.57</v>
      </c>
      <c r="F1561" s="14" t="n">
        <v>-0.5</v>
      </c>
      <c r="G1561" s="14" t="n">
        <v>0.1</v>
      </c>
      <c r="H1561" s="14" t="n">
        <v>0.0508</v>
      </c>
      <c r="I1561" s="14" t="n">
        <v>0.0648106918672397</v>
      </c>
      <c r="J1561" s="14" t="n">
        <v>0.147933302467545</v>
      </c>
      <c r="K1561" s="14" t="n">
        <v>0.282663374839774</v>
      </c>
      <c r="L1561" s="14" t="n">
        <v>0.485155779513414</v>
      </c>
      <c r="M1561" s="14" t="n">
        <v>2.359</v>
      </c>
      <c r="N1561" s="14" t="n">
        <v>2.423</v>
      </c>
      <c r="O1561" s="14" t="n">
        <v>2.498</v>
      </c>
      <c r="P1561" s="14" t="n">
        <v>2.725</v>
      </c>
      <c r="Q1561" s="14" t="n">
        <v>0.25</v>
      </c>
      <c r="R1561" s="14" t="n">
        <v>0.25</v>
      </c>
      <c r="S1561" s="14" t="n">
        <v>6.25</v>
      </c>
    </row>
    <row r="1562" customFormat="false" ht="15" hidden="false" customHeight="false" outlineLevel="0" collapsed="false">
      <c r="A1562" s="13" t="n">
        <v>44484</v>
      </c>
      <c r="B1562" s="14" t="n">
        <v>0.05</v>
      </c>
      <c r="C1562" s="14" t="n">
        <v>0.25</v>
      </c>
      <c r="D1562" s="14" t="n">
        <v>0</v>
      </c>
      <c r="E1562" s="14" t="n">
        <v>-0.572</v>
      </c>
      <c r="F1562" s="14" t="n">
        <v>-0.5</v>
      </c>
      <c r="G1562" s="14" t="n">
        <v>0.1</v>
      </c>
      <c r="H1562" s="14" t="n">
        <v>0.0502</v>
      </c>
      <c r="I1562" s="14" t="n">
        <v>0.0710666383840643</v>
      </c>
      <c r="J1562" s="14" t="n">
        <v>0.159092420017585</v>
      </c>
      <c r="K1562" s="14" t="n">
        <v>0.297105199810205</v>
      </c>
      <c r="L1562" s="14" t="n">
        <v>0.513112327008178</v>
      </c>
      <c r="M1562" s="14" t="n">
        <v>2.3582</v>
      </c>
      <c r="N1562" s="14" t="n">
        <v>2.4222</v>
      </c>
      <c r="O1562" s="14" t="n">
        <v>2.498</v>
      </c>
      <c r="P1562" s="14" t="n">
        <v>2.7265</v>
      </c>
      <c r="Q1562" s="14" t="n">
        <v>0.25</v>
      </c>
      <c r="R1562" s="14" t="n">
        <v>0.25</v>
      </c>
      <c r="S1562" s="14" t="n">
        <v>6.25</v>
      </c>
    </row>
    <row r="1563" customFormat="false" ht="15" hidden="false" customHeight="false" outlineLevel="0" collapsed="false">
      <c r="A1563" s="13" t="n">
        <v>44487</v>
      </c>
      <c r="B1563" s="14" t="n">
        <v>0.05</v>
      </c>
      <c r="C1563" s="14" t="n">
        <v>0.25</v>
      </c>
      <c r="D1563" s="14" t="n">
        <v>0</v>
      </c>
      <c r="E1563" s="14" t="n">
        <v>-0.574</v>
      </c>
      <c r="F1563" s="14" t="n">
        <v>-0.5</v>
      </c>
      <c r="G1563" s="14" t="n">
        <v>0.1</v>
      </c>
      <c r="H1563" s="14" t="n">
        <v>0.0504</v>
      </c>
      <c r="I1563" s="14" t="n">
        <v>0.127330726321567</v>
      </c>
      <c r="J1563" s="14" t="n">
        <v>0.279592803294445</v>
      </c>
      <c r="K1563" s="14" t="n">
        <v>0.467478344736316</v>
      </c>
      <c r="L1563" s="14" t="n">
        <v>0.726250488914641</v>
      </c>
      <c r="M1563" s="14" t="n">
        <v>2.357</v>
      </c>
      <c r="N1563" s="14" t="n">
        <v>2.422</v>
      </c>
      <c r="O1563" s="14" t="n">
        <v>2.5</v>
      </c>
      <c r="P1563" s="14" t="n">
        <v>2.734</v>
      </c>
      <c r="Q1563" s="14" t="n">
        <v>0.25</v>
      </c>
      <c r="R1563" s="14" t="n">
        <v>0.25</v>
      </c>
      <c r="S1563" s="14" t="n">
        <v>6.25</v>
      </c>
    </row>
    <row r="1564" customFormat="false" ht="15" hidden="false" customHeight="false" outlineLevel="0" collapsed="false">
      <c r="A1564" s="13" t="n">
        <v>44488</v>
      </c>
      <c r="B1564" s="14" t="n">
        <v>0.03</v>
      </c>
      <c r="C1564" s="14" t="n">
        <v>0.25</v>
      </c>
      <c r="D1564" s="14" t="n">
        <v>0</v>
      </c>
      <c r="E1564" s="14" t="n">
        <v>-0.573</v>
      </c>
      <c r="F1564" s="14" t="n">
        <v>-0.5</v>
      </c>
      <c r="G1564" s="14" t="n">
        <v>0.1</v>
      </c>
      <c r="H1564" s="14" t="n">
        <v>0.0499</v>
      </c>
      <c r="I1564" s="14" t="n">
        <v>0.142279300345206</v>
      </c>
      <c r="J1564" s="14" t="n">
        <v>0.28285820675293</v>
      </c>
      <c r="K1564" s="14" t="n">
        <v>0.465117945814183</v>
      </c>
      <c r="L1564" s="14" t="n">
        <v>0.729205716380551</v>
      </c>
      <c r="M1564" s="14" t="n">
        <v>2.362</v>
      </c>
      <c r="N1564" s="14" t="n">
        <v>2.428</v>
      </c>
      <c r="O1564" s="14" t="n">
        <v>2.501</v>
      </c>
      <c r="P1564" s="14" t="n">
        <v>2.738</v>
      </c>
      <c r="Q1564" s="14" t="n">
        <v>0.25</v>
      </c>
      <c r="R1564" s="14" t="n">
        <v>0.25</v>
      </c>
      <c r="S1564" s="14" t="n">
        <v>6.25</v>
      </c>
    </row>
    <row r="1565" customFormat="false" ht="15" hidden="false" customHeight="false" outlineLevel="0" collapsed="false">
      <c r="A1565" s="13" t="n">
        <v>44489</v>
      </c>
      <c r="B1565" s="14" t="n">
        <v>0.03</v>
      </c>
      <c r="C1565" s="14" t="n">
        <v>0.25</v>
      </c>
      <c r="D1565" s="14" t="n">
        <v>0</v>
      </c>
      <c r="E1565" s="14" t="n">
        <v>-0.571</v>
      </c>
      <c r="F1565" s="14" t="n">
        <v>-0.5</v>
      </c>
      <c r="G1565" s="14" t="n">
        <v>0.1</v>
      </c>
      <c r="H1565" s="14" t="n">
        <v>0.0501</v>
      </c>
      <c r="I1565" s="14" t="n">
        <v>0.145270166533088</v>
      </c>
      <c r="J1565" s="14" t="n">
        <v>0.278548831304572</v>
      </c>
      <c r="K1565" s="14" t="n">
        <v>0.445757188545721</v>
      </c>
      <c r="L1565" s="14" t="n">
        <v>0.688885809701175</v>
      </c>
      <c r="M1565" s="14" t="n">
        <v>2.363</v>
      </c>
      <c r="N1565" s="14" t="n">
        <v>2.431</v>
      </c>
      <c r="O1565" s="14" t="n">
        <v>2.504</v>
      </c>
      <c r="P1565" s="14" t="n">
        <v>2.746</v>
      </c>
      <c r="Q1565" s="14" t="n">
        <v>0.25</v>
      </c>
      <c r="R1565" s="14" t="n">
        <v>0.25</v>
      </c>
      <c r="S1565" s="14" t="n">
        <v>6.25</v>
      </c>
    </row>
    <row r="1566" customFormat="false" ht="15" hidden="false" customHeight="false" outlineLevel="0" collapsed="false">
      <c r="A1566" s="13" t="n">
        <v>44490</v>
      </c>
      <c r="B1566" s="14" t="n">
        <v>0.03</v>
      </c>
      <c r="C1566" s="14" t="n">
        <v>0.25</v>
      </c>
      <c r="D1566" s="14" t="n">
        <v>0</v>
      </c>
      <c r="E1566" s="14" t="n">
        <v>-0.573</v>
      </c>
      <c r="F1566" s="14" t="n">
        <v>-0.5</v>
      </c>
      <c r="G1566" s="14" t="n">
        <v>0.1</v>
      </c>
      <c r="H1566" s="14" t="n">
        <v>0.05</v>
      </c>
      <c r="I1566" s="14" t="n">
        <v>0.132117233598519</v>
      </c>
      <c r="J1566" s="14" t="n">
        <v>0.274324350134653</v>
      </c>
      <c r="K1566" s="14" t="n">
        <v>0.441100375495725</v>
      </c>
      <c r="L1566" s="14" t="n">
        <v>0.685536664513677</v>
      </c>
      <c r="M1566" s="14" t="n">
        <v>2.366</v>
      </c>
      <c r="N1566" s="14" t="n">
        <v>2.432</v>
      </c>
      <c r="O1566" s="14" t="n">
        <v>2.509</v>
      </c>
      <c r="P1566" s="14" t="n">
        <v>2.753</v>
      </c>
      <c r="Q1566" s="14" t="n">
        <v>0.25</v>
      </c>
      <c r="R1566" s="14" t="n">
        <v>0.25</v>
      </c>
      <c r="S1566" s="14" t="n">
        <v>6.25</v>
      </c>
    </row>
    <row r="1567" customFormat="false" ht="15" hidden="false" customHeight="false" outlineLevel="0" collapsed="false">
      <c r="A1567" s="13" t="n">
        <v>44491</v>
      </c>
      <c r="B1567" s="14" t="n">
        <v>0.05</v>
      </c>
      <c r="C1567" s="14" t="n">
        <v>0.25</v>
      </c>
      <c r="D1567" s="14" t="n">
        <v>0</v>
      </c>
      <c r="E1567" s="14" t="n">
        <v>-0.569</v>
      </c>
      <c r="F1567" s="14" t="n">
        <v>-0.5</v>
      </c>
      <c r="G1567" s="14" t="n">
        <v>0.1</v>
      </c>
      <c r="H1567" s="14" t="n">
        <v>0.05</v>
      </c>
      <c r="I1567" s="14" t="n">
        <v>0.124211587342003</v>
      </c>
      <c r="J1567" s="14" t="n">
        <v>0.251081767959431</v>
      </c>
      <c r="K1567" s="14" t="n">
        <v>0.416925805753197</v>
      </c>
      <c r="L1567" s="14" t="n">
        <v>0.662181984960647</v>
      </c>
      <c r="M1567" s="14" t="n">
        <v>2.37</v>
      </c>
      <c r="N1567" s="14" t="n">
        <v>2.434</v>
      </c>
      <c r="O1567" s="14" t="n">
        <v>2.511</v>
      </c>
      <c r="P1567" s="14" t="n">
        <v>2.758</v>
      </c>
      <c r="Q1567" s="14" t="n">
        <v>0.25</v>
      </c>
      <c r="R1567" s="14" t="n">
        <v>0.25</v>
      </c>
      <c r="S1567" s="14" t="n">
        <v>6.25</v>
      </c>
    </row>
    <row r="1568" customFormat="false" ht="15" hidden="false" customHeight="false" outlineLevel="0" collapsed="false">
      <c r="A1568" s="13" t="n">
        <v>44494</v>
      </c>
      <c r="B1568" s="14" t="n">
        <v>0.04</v>
      </c>
      <c r="C1568" s="14" t="n">
        <v>0.25</v>
      </c>
      <c r="D1568" s="14" t="n">
        <v>0</v>
      </c>
      <c r="E1568" s="14" t="n">
        <v>-0.571</v>
      </c>
      <c r="F1568" s="14" t="n">
        <v>-0.5</v>
      </c>
      <c r="G1568" s="14" t="n">
        <v>0.1</v>
      </c>
      <c r="H1568" s="14" t="n">
        <v>0.0498</v>
      </c>
      <c r="I1568" s="14" t="n">
        <v>0.144919630352271</v>
      </c>
      <c r="J1568" s="14" t="n">
        <v>0.249891601632435</v>
      </c>
      <c r="K1568" s="14" t="n">
        <v>0.403574114417252</v>
      </c>
      <c r="L1568" s="14" t="n">
        <v>0.639221740434864</v>
      </c>
      <c r="M1568" s="14" t="n">
        <v>2.38</v>
      </c>
      <c r="N1568" s="14" t="n">
        <v>2.438</v>
      </c>
      <c r="O1568" s="14" t="n">
        <v>2.522</v>
      </c>
      <c r="P1568" s="14" t="n">
        <v>2.759</v>
      </c>
      <c r="Q1568" s="14" t="n">
        <v>0.25</v>
      </c>
      <c r="R1568" s="14" t="n">
        <v>0.25</v>
      </c>
      <c r="S1568" s="14" t="n">
        <v>6.25</v>
      </c>
    </row>
    <row r="1569" customFormat="false" ht="15" hidden="false" customHeight="false" outlineLevel="0" collapsed="false">
      <c r="A1569" s="13" t="n">
        <v>44495</v>
      </c>
      <c r="B1569" s="14" t="n">
        <v>0.05</v>
      </c>
      <c r="C1569" s="14" t="n">
        <v>0.25</v>
      </c>
      <c r="D1569" s="14" t="n">
        <v>0</v>
      </c>
      <c r="E1569" s="14" t="n">
        <v>-0.57</v>
      </c>
      <c r="F1569" s="14" t="n">
        <v>-0.5</v>
      </c>
      <c r="G1569" s="14" t="n">
        <v>0.1</v>
      </c>
      <c r="H1569" s="14" t="n">
        <v>0.0498</v>
      </c>
      <c r="I1569" s="14" t="n">
        <v>0.137656597271011</v>
      </c>
      <c r="J1569" s="14" t="n">
        <v>0.237231044281283</v>
      </c>
      <c r="K1569" s="14" t="n">
        <v>0.388541821909982</v>
      </c>
      <c r="L1569" s="14" t="n">
        <v>0.620531668250149</v>
      </c>
      <c r="M1569" s="14" t="n">
        <v>2.387</v>
      </c>
      <c r="N1569" s="14" t="n">
        <v>2.443</v>
      </c>
      <c r="O1569" s="14" t="n">
        <v>2.525</v>
      </c>
      <c r="P1569" s="14" t="n">
        <v>2.766</v>
      </c>
      <c r="Q1569" s="14" t="n">
        <v>0.25</v>
      </c>
      <c r="R1569" s="14" t="n">
        <v>0.25</v>
      </c>
      <c r="S1569" s="14" t="n">
        <v>6.25</v>
      </c>
    </row>
    <row r="1570" customFormat="false" ht="15" hidden="false" customHeight="false" outlineLevel="0" collapsed="false">
      <c r="A1570" s="13" t="n">
        <v>44496</v>
      </c>
      <c r="B1570" s="14" t="n">
        <v>0.05</v>
      </c>
      <c r="C1570" s="14" t="n">
        <v>0.25</v>
      </c>
      <c r="D1570" s="14" t="n">
        <v>0</v>
      </c>
      <c r="E1570" s="14" t="n">
        <v>-0.573</v>
      </c>
      <c r="F1570" s="14" t="n">
        <v>-0.5</v>
      </c>
      <c r="G1570" s="14" t="n">
        <v>0.1</v>
      </c>
      <c r="H1570" s="14" t="n">
        <v>0.0485</v>
      </c>
      <c r="I1570" s="14" t="n">
        <v>0.160743383558811</v>
      </c>
      <c r="J1570" s="14" t="n">
        <v>0.278153238097402</v>
      </c>
      <c r="K1570" s="14" t="n">
        <v>0.462186897774267</v>
      </c>
      <c r="L1570" s="14" t="n">
        <v>0.72530615612504</v>
      </c>
      <c r="M1570" s="14" t="n">
        <v>2.392</v>
      </c>
      <c r="N1570" s="14" t="n">
        <v>2.445</v>
      </c>
      <c r="O1570" s="14" t="n">
        <v>2.529</v>
      </c>
      <c r="P1570" s="14" t="n">
        <v>2.773</v>
      </c>
      <c r="Q1570" s="14" t="n">
        <v>0.25</v>
      </c>
      <c r="R1570" s="14" t="n">
        <v>0.25</v>
      </c>
      <c r="S1570" s="14" t="n">
        <v>6.25</v>
      </c>
    </row>
    <row r="1571" customFormat="false" ht="15" hidden="false" customHeight="false" outlineLevel="0" collapsed="false">
      <c r="A1571" s="13" t="n">
        <v>44497</v>
      </c>
      <c r="B1571" s="14" t="n">
        <v>0.05</v>
      </c>
      <c r="C1571" s="14" t="n">
        <v>0.25</v>
      </c>
      <c r="D1571" s="14" t="n">
        <v>0</v>
      </c>
      <c r="E1571" s="14" t="n">
        <v>-0.573</v>
      </c>
      <c r="F1571" s="14" t="n">
        <v>-0.5</v>
      </c>
      <c r="G1571" s="14" t="n">
        <v>0.1</v>
      </c>
      <c r="H1571" s="14" t="n">
        <v>0.0481</v>
      </c>
      <c r="I1571" s="14" t="n">
        <v>0.163520061030601</v>
      </c>
      <c r="J1571" s="14" t="n">
        <v>0.281686565990744</v>
      </c>
      <c r="K1571" s="14" t="n">
        <v>0.470163323492565</v>
      </c>
      <c r="L1571" s="14" t="n">
        <v>0.757037392504301</v>
      </c>
      <c r="M1571" s="14" t="n">
        <v>2.396</v>
      </c>
      <c r="N1571" s="14" t="n">
        <v>2.448</v>
      </c>
      <c r="O1571" s="14" t="n">
        <v>2.533</v>
      </c>
      <c r="P1571" s="14" t="n">
        <v>2.778</v>
      </c>
      <c r="Q1571" s="14" t="n">
        <v>0.25</v>
      </c>
      <c r="R1571" s="14" t="n">
        <v>0.25</v>
      </c>
      <c r="S1571" s="14" t="n">
        <v>7.75</v>
      </c>
    </row>
    <row r="1572" customFormat="false" ht="15" hidden="false" customHeight="false" outlineLevel="0" collapsed="false">
      <c r="A1572" s="13" t="n">
        <v>44498</v>
      </c>
      <c r="B1572" s="14" t="n">
        <v>0.05</v>
      </c>
      <c r="C1572" s="14" t="n">
        <v>0.25</v>
      </c>
      <c r="D1572" s="14" t="n">
        <v>0</v>
      </c>
      <c r="E1572" s="14" t="n">
        <v>-0.578</v>
      </c>
      <c r="F1572" s="14" t="n">
        <v>-0.5</v>
      </c>
      <c r="G1572" s="14" t="n">
        <v>0.1</v>
      </c>
      <c r="H1572" s="14" t="n">
        <v>0.0503</v>
      </c>
      <c r="I1572" s="14" t="n">
        <v>0.154437837218383</v>
      </c>
      <c r="J1572" s="14" t="n">
        <v>0.262444471016761</v>
      </c>
      <c r="K1572" s="14" t="n">
        <v>0.454198359844651</v>
      </c>
      <c r="L1572" s="14" t="n">
        <v>0.757352654977296</v>
      </c>
      <c r="M1572" s="14" t="n">
        <v>2.398</v>
      </c>
      <c r="N1572" s="14" t="n">
        <v>2.449</v>
      </c>
      <c r="O1572" s="14" t="n">
        <v>2.536</v>
      </c>
      <c r="P1572" s="14" t="n">
        <v>2.782</v>
      </c>
      <c r="Q1572" s="14" t="n">
        <v>0.25</v>
      </c>
      <c r="R1572" s="14" t="n">
        <v>0.25</v>
      </c>
      <c r="S1572" s="14" t="n">
        <v>7.75</v>
      </c>
    </row>
    <row r="1573" customFormat="false" ht="15" hidden="false" customHeight="false" outlineLevel="0" collapsed="false">
      <c r="A1573" s="13" t="n">
        <v>44501</v>
      </c>
      <c r="B1573" s="14" t="n">
        <v>0.05</v>
      </c>
      <c r="C1573" s="14" t="n">
        <v>0.25</v>
      </c>
      <c r="D1573" s="14" t="n">
        <v>0</v>
      </c>
      <c r="E1573" s="14" t="n">
        <v>-0.579</v>
      </c>
      <c r="F1573" s="14" t="n">
        <v>-0.5</v>
      </c>
      <c r="G1573" s="14" t="n">
        <v>0.1</v>
      </c>
      <c r="H1573" s="14" t="n">
        <v>0.0477</v>
      </c>
      <c r="I1573" s="14" t="n">
        <v>0.182333782015438</v>
      </c>
      <c r="J1573" s="14" t="n">
        <v>0.284594516452322</v>
      </c>
      <c r="K1573" s="14" t="n">
        <v>0.467376320717122</v>
      </c>
      <c r="L1573" s="14" t="n">
        <v>0.762442279594901</v>
      </c>
      <c r="M1573" s="14" t="n">
        <v>2.398</v>
      </c>
      <c r="N1573" s="14" t="n">
        <v>2.449</v>
      </c>
      <c r="O1573" s="14" t="n">
        <v>2.537</v>
      </c>
      <c r="P1573" s="14" t="n">
        <v>2.783</v>
      </c>
      <c r="Q1573" s="14" t="n">
        <v>0.25</v>
      </c>
      <c r="R1573" s="14" t="n">
        <v>0.25</v>
      </c>
      <c r="S1573" s="14" t="n">
        <v>7.75</v>
      </c>
    </row>
    <row r="1574" customFormat="false" ht="15" hidden="false" customHeight="false" outlineLevel="0" collapsed="false">
      <c r="A1574" s="13" t="n">
        <v>44502</v>
      </c>
      <c r="B1574" s="14" t="n">
        <v>0.05</v>
      </c>
      <c r="C1574" s="14" t="n">
        <v>0.25</v>
      </c>
      <c r="D1574" s="14" t="n">
        <v>0</v>
      </c>
      <c r="E1574" s="14" t="n">
        <v>-0.569</v>
      </c>
      <c r="F1574" s="14" t="n">
        <v>-0.5</v>
      </c>
      <c r="G1574" s="14" t="n">
        <v>0.1</v>
      </c>
      <c r="H1574" s="14" t="n">
        <v>0.048</v>
      </c>
      <c r="I1574" s="14" t="n">
        <v>0.189147226252281</v>
      </c>
      <c r="J1574" s="14" t="n">
        <v>0.277601019123749</v>
      </c>
      <c r="K1574" s="14" t="n">
        <v>0.444298789840945</v>
      </c>
      <c r="L1574" s="14" t="n">
        <v>0.708535665161427</v>
      </c>
      <c r="M1574" s="14" t="n">
        <v>2.394</v>
      </c>
      <c r="N1574" s="14" t="n">
        <v>2.45</v>
      </c>
      <c r="O1574" s="14" t="n">
        <v>2.539</v>
      </c>
      <c r="P1574" s="14" t="n">
        <v>2.783</v>
      </c>
      <c r="Q1574" s="14" t="n">
        <v>0.25</v>
      </c>
      <c r="R1574" s="14" t="n">
        <v>0.25</v>
      </c>
      <c r="S1574" s="14" t="n">
        <v>7.75</v>
      </c>
    </row>
    <row r="1575" customFormat="false" ht="15" hidden="false" customHeight="false" outlineLevel="0" collapsed="false">
      <c r="A1575" s="13" t="n">
        <v>44503</v>
      </c>
      <c r="B1575" s="14" t="n">
        <v>0.05</v>
      </c>
      <c r="C1575" s="14" t="n">
        <v>0.25</v>
      </c>
      <c r="D1575" s="14" t="n">
        <v>0</v>
      </c>
      <c r="E1575" s="14" t="n">
        <v>-0.574</v>
      </c>
      <c r="F1575" s="14" t="n">
        <v>-0.5</v>
      </c>
      <c r="G1575" s="14" t="n">
        <v>0.1</v>
      </c>
      <c r="H1575" s="14" t="n">
        <v>0.0481</v>
      </c>
      <c r="I1575" s="14" t="n">
        <v>0.192627907578784</v>
      </c>
      <c r="J1575" s="14" t="n">
        <v>0.290785557779391</v>
      </c>
      <c r="K1575" s="14" t="n">
        <v>0.462955622299526</v>
      </c>
      <c r="L1575" s="14" t="n">
        <v>0.732659021231933</v>
      </c>
      <c r="M1575" s="14" t="n">
        <v>2.397</v>
      </c>
      <c r="N1575" s="14" t="n">
        <v>2.452</v>
      </c>
      <c r="O1575" s="14" t="n">
        <v>2.541</v>
      </c>
      <c r="P1575" s="14" t="n">
        <v>2.784</v>
      </c>
      <c r="Q1575" s="14" t="n">
        <v>0.25</v>
      </c>
      <c r="R1575" s="14" t="n">
        <v>0.25</v>
      </c>
      <c r="S1575" s="14" t="n">
        <v>7.75</v>
      </c>
    </row>
    <row r="1576" customFormat="false" ht="15" hidden="false" customHeight="false" outlineLevel="0" collapsed="false">
      <c r="A1576" s="13" t="n">
        <v>44504</v>
      </c>
      <c r="B1576" s="14" t="n">
        <v>0.05</v>
      </c>
      <c r="C1576" s="14" t="n">
        <v>0.25</v>
      </c>
      <c r="D1576" s="14" t="n">
        <v>0</v>
      </c>
      <c r="E1576" s="14" t="n">
        <v>-0.573</v>
      </c>
      <c r="F1576" s="14" t="n">
        <v>-0.5</v>
      </c>
      <c r="G1576" s="14" t="n">
        <v>0.1</v>
      </c>
      <c r="H1576" s="14" t="n">
        <v>0.0483</v>
      </c>
      <c r="I1576" s="14" t="n">
        <v>0.0506301547000943</v>
      </c>
      <c r="J1576" s="14" t="n">
        <v>0.13406522593965</v>
      </c>
      <c r="K1576" s="14" t="n">
        <v>0.281588665668692</v>
      </c>
      <c r="L1576" s="14" t="n">
        <v>0.524255612054028</v>
      </c>
      <c r="M1576" s="14" t="n">
        <v>2.397</v>
      </c>
      <c r="N1576" s="14" t="n">
        <v>2.451</v>
      </c>
      <c r="O1576" s="14" t="n">
        <v>2.542</v>
      </c>
      <c r="P1576" s="14" t="n">
        <v>2.784</v>
      </c>
      <c r="Q1576" s="14" t="n">
        <v>0.25</v>
      </c>
      <c r="R1576" s="14" t="n">
        <v>0.25</v>
      </c>
      <c r="S1576" s="14" t="n">
        <v>7.75</v>
      </c>
    </row>
    <row r="1577" customFormat="false" ht="15" hidden="false" customHeight="false" outlineLevel="0" collapsed="false">
      <c r="A1577" s="13" t="n">
        <v>44505</v>
      </c>
      <c r="B1577" s="14" t="n">
        <v>0.05</v>
      </c>
      <c r="C1577" s="14" t="n">
        <v>0.25</v>
      </c>
      <c r="D1577" s="14" t="n">
        <v>0</v>
      </c>
      <c r="E1577" s="14" t="n">
        <v>-0.572</v>
      </c>
      <c r="F1577" s="14" t="n">
        <v>-0.5</v>
      </c>
      <c r="G1577" s="14" t="n">
        <v>0.1</v>
      </c>
      <c r="H1577" s="14" t="n">
        <v>0.0468</v>
      </c>
      <c r="I1577" s="14" t="n">
        <v>0.0524999110759381</v>
      </c>
      <c r="J1577" s="14" t="n">
        <v>0.134036579549522</v>
      </c>
      <c r="K1577" s="14" t="n">
        <v>0.269666890621347</v>
      </c>
      <c r="L1577" s="14" t="n">
        <v>0.498830386677999</v>
      </c>
      <c r="M1577" s="14" t="n">
        <v>2.398</v>
      </c>
      <c r="N1577" s="14" t="n">
        <v>2.451</v>
      </c>
      <c r="O1577" s="14" t="n">
        <v>2.542</v>
      </c>
      <c r="P1577" s="14" t="n">
        <v>2.78</v>
      </c>
      <c r="Q1577" s="14" t="n">
        <v>0.25</v>
      </c>
      <c r="R1577" s="14" t="n">
        <v>0.25</v>
      </c>
      <c r="S1577" s="14" t="n">
        <v>7.75</v>
      </c>
    </row>
    <row r="1578" customFormat="false" ht="15" hidden="false" customHeight="false" outlineLevel="0" collapsed="false">
      <c r="A1578" s="13" t="n">
        <v>44508</v>
      </c>
      <c r="B1578" s="14" t="n">
        <v>0.05</v>
      </c>
      <c r="C1578" s="14" t="n">
        <v>0.25</v>
      </c>
      <c r="D1578" s="14" t="n">
        <v>0</v>
      </c>
      <c r="E1578" s="14" t="n">
        <v>-0.575</v>
      </c>
      <c r="F1578" s="14" t="n">
        <v>-0.5</v>
      </c>
      <c r="G1578" s="14" t="n">
        <v>0.1</v>
      </c>
      <c r="H1578" s="14" t="n">
        <v>0.0467</v>
      </c>
      <c r="I1578" s="14" t="n">
        <v>0.0547751127505086</v>
      </c>
      <c r="J1578" s="14" t="n">
        <v>0.149549158357341</v>
      </c>
      <c r="K1578" s="14" t="n">
        <v>0.302424390392131</v>
      </c>
      <c r="L1578" s="14" t="n">
        <v>0.552648358318083</v>
      </c>
      <c r="M1578" s="14" t="n">
        <v>2.396</v>
      </c>
      <c r="N1578" s="14" t="n">
        <v>2.452</v>
      </c>
      <c r="O1578" s="14" t="n">
        <v>2.546</v>
      </c>
      <c r="P1578" s="14" t="n">
        <v>2.779</v>
      </c>
      <c r="Q1578" s="14" t="n">
        <v>0.25</v>
      </c>
      <c r="R1578" s="14" t="n">
        <v>0.25</v>
      </c>
      <c r="S1578" s="14" t="n">
        <v>7.75</v>
      </c>
    </row>
    <row r="1579" customFormat="false" ht="15" hidden="false" customHeight="false" outlineLevel="0" collapsed="false">
      <c r="A1579" s="13" t="n">
        <v>44509</v>
      </c>
      <c r="B1579" s="14" t="n">
        <v>0.05</v>
      </c>
      <c r="C1579" s="14" t="n">
        <v>0.25</v>
      </c>
      <c r="D1579" s="14" t="n">
        <v>0</v>
      </c>
      <c r="E1579" s="14" t="n">
        <v>-0.575</v>
      </c>
      <c r="F1579" s="14" t="n">
        <v>-0.5</v>
      </c>
      <c r="G1579" s="14" t="n">
        <v>0.1</v>
      </c>
      <c r="H1579" s="14" t="n">
        <v>0.0468</v>
      </c>
      <c r="I1579" s="14" t="n">
        <v>0.0541262572675349</v>
      </c>
      <c r="J1579" s="14" t="n">
        <v>0.145599319749452</v>
      </c>
      <c r="K1579" s="14" t="n">
        <v>0.296482388991902</v>
      </c>
      <c r="L1579" s="14" t="n">
        <v>0.554464516019662</v>
      </c>
      <c r="M1579" s="14" t="n">
        <v>2.399</v>
      </c>
      <c r="N1579" s="14" t="n">
        <v>2.454</v>
      </c>
      <c r="O1579" s="14" t="n">
        <v>2.55</v>
      </c>
      <c r="P1579" s="14" t="n">
        <v>2.774</v>
      </c>
      <c r="Q1579" s="14" t="n">
        <v>0.25</v>
      </c>
      <c r="R1579" s="14" t="n">
        <v>0.25</v>
      </c>
      <c r="S1579" s="14" t="n">
        <v>7.75</v>
      </c>
    </row>
    <row r="1580" customFormat="false" ht="15" hidden="false" customHeight="false" outlineLevel="0" collapsed="false">
      <c r="A1580" s="13" t="n">
        <v>44510</v>
      </c>
      <c r="B1580" s="14" t="n">
        <v>0.05</v>
      </c>
      <c r="C1580" s="14" t="n">
        <v>0.25</v>
      </c>
      <c r="D1580" s="14" t="n">
        <v>0</v>
      </c>
      <c r="E1580" s="14" t="n">
        <v>-0.576</v>
      </c>
      <c r="F1580" s="14" t="n">
        <v>-0.5</v>
      </c>
      <c r="G1580" s="14" t="n">
        <v>0.1</v>
      </c>
      <c r="H1580" s="14" t="n">
        <v>0.0465</v>
      </c>
      <c r="I1580" s="14" t="n">
        <v>0.0541306099003331</v>
      </c>
      <c r="J1580" s="14" t="n">
        <v>0.152040096432648</v>
      </c>
      <c r="K1580" s="14" t="n">
        <v>0.315470115316436</v>
      </c>
      <c r="L1580" s="14" t="n">
        <v>0.60229433749964</v>
      </c>
      <c r="M1580" s="14" t="n">
        <v>2.398</v>
      </c>
      <c r="N1580" s="14" t="n">
        <v>2.454</v>
      </c>
      <c r="O1580" s="14" t="n">
        <v>2.551</v>
      </c>
      <c r="P1580" s="14" t="n">
        <v>2.769</v>
      </c>
      <c r="Q1580" s="14" t="n">
        <v>0.25</v>
      </c>
      <c r="R1580" s="14" t="n">
        <v>0.25</v>
      </c>
      <c r="S1580" s="14" t="n">
        <v>7.75</v>
      </c>
    </row>
    <row r="1581" customFormat="false" ht="15" hidden="false" customHeight="false" outlineLevel="0" collapsed="false">
      <c r="A1581" s="13" t="n">
        <v>44511</v>
      </c>
      <c r="C1581" s="14" t="n">
        <v>0.25</v>
      </c>
      <c r="D1581" s="14" t="n">
        <v>0</v>
      </c>
      <c r="E1581" s="14" t="n">
        <v>-0.575</v>
      </c>
      <c r="F1581" s="14" t="n">
        <v>-0.5</v>
      </c>
      <c r="G1581" s="14" t="n">
        <v>0.1</v>
      </c>
      <c r="H1581" s="14" t="n">
        <v>0.0466</v>
      </c>
      <c r="I1581" s="14" t="n">
        <v>0.0540473235185134</v>
      </c>
      <c r="J1581" s="14" t="n">
        <v>0.15154693852396</v>
      </c>
      <c r="K1581" s="14" t="n">
        <v>0.30882815687778</v>
      </c>
      <c r="L1581" s="14" t="n">
        <v>0.595977412034622</v>
      </c>
      <c r="M1581" s="14" t="n">
        <v>2.398</v>
      </c>
      <c r="N1581" s="14" t="n">
        <v>2.454</v>
      </c>
      <c r="O1581" s="14" t="n">
        <v>2.554</v>
      </c>
      <c r="P1581" s="14" t="n">
        <v>2.768</v>
      </c>
      <c r="Q1581" s="14" t="n">
        <v>0.25</v>
      </c>
      <c r="R1581" s="14" t="n">
        <v>0.25</v>
      </c>
      <c r="S1581" s="14" t="n">
        <v>7.75</v>
      </c>
    </row>
    <row r="1582" customFormat="false" ht="15" hidden="false" customHeight="false" outlineLevel="0" collapsed="false">
      <c r="A1582" s="13" t="n">
        <v>44512</v>
      </c>
      <c r="B1582" s="14" t="n">
        <v>0.05</v>
      </c>
      <c r="C1582" s="14" t="n">
        <v>0.25</v>
      </c>
      <c r="D1582" s="14" t="n">
        <v>0</v>
      </c>
      <c r="E1582" s="14" t="n">
        <v>-0.572</v>
      </c>
      <c r="F1582" s="14" t="n">
        <v>-0.5</v>
      </c>
      <c r="G1582" s="14" t="n">
        <v>0.1</v>
      </c>
      <c r="H1582" s="14" t="n">
        <v>0.047</v>
      </c>
      <c r="I1582" s="14" t="n">
        <v>0.0535982857890478</v>
      </c>
      <c r="J1582" s="14" t="n">
        <v>0.150033349756427</v>
      </c>
      <c r="K1582" s="14" t="n">
        <v>0.306056761068987</v>
      </c>
      <c r="L1582" s="14" t="n">
        <v>0.595439598371261</v>
      </c>
      <c r="M1582" s="14" t="n">
        <v>2.382</v>
      </c>
      <c r="N1582" s="14" t="n">
        <v>2.454</v>
      </c>
      <c r="O1582" s="14" t="n">
        <v>2.556</v>
      </c>
      <c r="P1582" s="14" t="n">
        <v>2.767</v>
      </c>
      <c r="Q1582" s="14" t="n">
        <v>0.25</v>
      </c>
      <c r="R1582" s="14" t="n">
        <v>0.25</v>
      </c>
      <c r="S1582" s="14" t="n">
        <v>7.75</v>
      </c>
    </row>
    <row r="1583" customFormat="false" ht="15" hidden="false" customHeight="false" outlineLevel="0" collapsed="false">
      <c r="A1583" s="13" t="n">
        <v>44515</v>
      </c>
      <c r="B1583" s="14" t="n">
        <v>0.05</v>
      </c>
      <c r="C1583" s="14" t="n">
        <v>0.25</v>
      </c>
      <c r="D1583" s="14" t="n">
        <v>0</v>
      </c>
      <c r="E1583" s="14" t="n">
        <v>-0.569</v>
      </c>
      <c r="F1583" s="14" t="n">
        <v>-0.5</v>
      </c>
      <c r="G1583" s="14" t="n">
        <v>0.1</v>
      </c>
      <c r="H1583" s="14" t="n">
        <v>0.0473</v>
      </c>
      <c r="I1583" s="14" t="n">
        <v>0.0565282758117563</v>
      </c>
      <c r="J1583" s="14" t="n">
        <v>0.162419809305708</v>
      </c>
      <c r="K1583" s="14" t="n">
        <v>0.321264564050879</v>
      </c>
      <c r="L1583" s="14" t="n">
        <v>0.606263067398235</v>
      </c>
      <c r="M1583" s="14" t="n">
        <v>2.359</v>
      </c>
      <c r="N1583" s="14" t="n">
        <v>2.46</v>
      </c>
      <c r="O1583" s="14" t="n">
        <v>2.563</v>
      </c>
      <c r="P1583" s="14" t="n">
        <v>2.763</v>
      </c>
      <c r="Q1583" s="14" t="n">
        <v>0.25</v>
      </c>
      <c r="R1583" s="14" t="n">
        <v>0.25</v>
      </c>
      <c r="S1583" s="14" t="n">
        <v>7.75</v>
      </c>
    </row>
    <row r="1584" customFormat="false" ht="15" hidden="false" customHeight="false" outlineLevel="0" collapsed="false">
      <c r="A1584" s="13" t="n">
        <v>44516</v>
      </c>
      <c r="B1584" s="14" t="n">
        <v>0.05</v>
      </c>
      <c r="C1584" s="14" t="n">
        <v>0.25</v>
      </c>
      <c r="D1584" s="14" t="n">
        <v>0</v>
      </c>
      <c r="E1584" s="14" t="n">
        <v>-0.571</v>
      </c>
      <c r="F1584" s="14" t="n">
        <v>-0.5</v>
      </c>
      <c r="G1584" s="14" t="n">
        <v>0.1</v>
      </c>
      <c r="H1584" s="14" t="n">
        <v>0.0465</v>
      </c>
      <c r="I1584" s="14" t="n">
        <v>0.0580779261142528</v>
      </c>
      <c r="J1584" s="14" t="n">
        <v>0.175285065041485</v>
      </c>
      <c r="K1584" s="14" t="n">
        <v>0.350190870510976</v>
      </c>
      <c r="L1584" s="14" t="n">
        <v>0.655726272490115</v>
      </c>
      <c r="M1584" s="14" t="n">
        <v>2.356</v>
      </c>
      <c r="N1584" s="14" t="n">
        <v>2.463</v>
      </c>
      <c r="O1584" s="14" t="n">
        <v>2.566</v>
      </c>
      <c r="P1584" s="14" t="n">
        <v>2.762</v>
      </c>
      <c r="Q1584" s="14" t="n">
        <v>0.25</v>
      </c>
      <c r="R1584" s="14" t="n">
        <v>0.25</v>
      </c>
      <c r="S1584" s="14" t="n">
        <v>7.75</v>
      </c>
    </row>
    <row r="1585" customFormat="false" ht="15" hidden="false" customHeight="false" outlineLevel="0" collapsed="false">
      <c r="A1585" s="13" t="n">
        <v>44517</v>
      </c>
      <c r="B1585" s="14" t="n">
        <v>0.05</v>
      </c>
      <c r="C1585" s="14" t="n">
        <v>0.25</v>
      </c>
      <c r="D1585" s="14" t="n">
        <v>0</v>
      </c>
      <c r="E1585" s="14" t="n">
        <v>-0.571</v>
      </c>
      <c r="F1585" s="14" t="n">
        <v>-0.5</v>
      </c>
      <c r="G1585" s="14" t="n">
        <v>0.1</v>
      </c>
      <c r="H1585" s="14" t="n">
        <v>0.0469</v>
      </c>
      <c r="I1585" s="14" t="n">
        <v>0.0615695777493474</v>
      </c>
      <c r="J1585" s="14" t="n">
        <v>0.171963080465325</v>
      </c>
      <c r="K1585" s="14" t="n">
        <v>0.330156707297521</v>
      </c>
      <c r="L1585" s="14" t="n">
        <v>0.614449768328984</v>
      </c>
      <c r="M1585" s="14" t="n">
        <v>2.349</v>
      </c>
      <c r="N1585" s="14" t="n">
        <v>2.467</v>
      </c>
      <c r="O1585" s="14" t="n">
        <v>2.572</v>
      </c>
      <c r="P1585" s="14" t="n">
        <v>2.759</v>
      </c>
      <c r="Q1585" s="14" t="n">
        <v>0.25</v>
      </c>
      <c r="R1585" s="14" t="n">
        <v>0.25</v>
      </c>
      <c r="S1585" s="14" t="n">
        <v>7.75</v>
      </c>
    </row>
    <row r="1586" customFormat="false" ht="15" hidden="false" customHeight="false" outlineLevel="0" collapsed="false">
      <c r="A1586" s="13" t="n">
        <v>44518</v>
      </c>
      <c r="B1586" s="14" t="n">
        <v>0.05</v>
      </c>
      <c r="C1586" s="14" t="n">
        <v>0.25</v>
      </c>
      <c r="D1586" s="14" t="n">
        <v>0</v>
      </c>
      <c r="E1586" s="14" t="n">
        <v>-0.571</v>
      </c>
      <c r="F1586" s="14" t="n">
        <v>-0.5</v>
      </c>
      <c r="G1586" s="14" t="n">
        <v>0.1</v>
      </c>
      <c r="H1586" s="14" t="n">
        <v>0.0467</v>
      </c>
      <c r="I1586" s="14" t="n">
        <v>0.0641289398743552</v>
      </c>
      <c r="J1586" s="14" t="n">
        <v>0.17449512849301</v>
      </c>
      <c r="K1586" s="14" t="n">
        <v>0.331701687426298</v>
      </c>
      <c r="L1586" s="14" t="n">
        <v>0.602445098364364</v>
      </c>
      <c r="M1586" s="14" t="n">
        <v>2.346</v>
      </c>
      <c r="N1586" s="14" t="n">
        <v>2.473</v>
      </c>
      <c r="O1586" s="14" t="n">
        <v>2.576</v>
      </c>
      <c r="P1586" s="14" t="n">
        <v>2.757</v>
      </c>
      <c r="Q1586" s="14" t="n">
        <v>0.25</v>
      </c>
      <c r="R1586" s="14" t="n">
        <v>0.25</v>
      </c>
      <c r="S1586" s="14" t="n">
        <v>7.75</v>
      </c>
    </row>
    <row r="1587" customFormat="false" ht="15" hidden="false" customHeight="false" outlineLevel="0" collapsed="false">
      <c r="A1587" s="13" t="n">
        <v>44519</v>
      </c>
      <c r="B1587" s="14" t="n">
        <v>0.05</v>
      </c>
      <c r="C1587" s="14" t="n">
        <v>0.25</v>
      </c>
      <c r="D1587" s="14" t="n">
        <v>0</v>
      </c>
      <c r="E1587" s="14" t="n">
        <v>-0.573</v>
      </c>
      <c r="F1587" s="14" t="n">
        <v>-0.5</v>
      </c>
      <c r="G1587" s="14" t="n">
        <v>0.1</v>
      </c>
      <c r="H1587" s="14" t="n">
        <v>0.0464</v>
      </c>
      <c r="I1587" s="14" t="n">
        <v>0.0672137927214092</v>
      </c>
      <c r="J1587" s="14" t="n">
        <v>0.174222298875784</v>
      </c>
      <c r="K1587" s="14" t="n">
        <v>0.320338319268433</v>
      </c>
      <c r="L1587" s="14" t="n">
        <v>0.58585788996615</v>
      </c>
      <c r="M1587" s="14" t="n">
        <v>2.348</v>
      </c>
      <c r="N1587" s="14" t="n">
        <v>2.475</v>
      </c>
      <c r="O1587" s="14" t="n">
        <v>2.577</v>
      </c>
      <c r="P1587" s="14" t="n">
        <v>2.756</v>
      </c>
      <c r="Q1587" s="14" t="n">
        <v>0.25</v>
      </c>
      <c r="R1587" s="14" t="n">
        <v>0.25</v>
      </c>
      <c r="S1587" s="14" t="n">
        <v>7.75</v>
      </c>
    </row>
    <row r="1588" customFormat="false" ht="15" hidden="false" customHeight="false" outlineLevel="0" collapsed="false">
      <c r="A1588" s="13" t="n">
        <v>44522</v>
      </c>
      <c r="B1588" s="14" t="n">
        <v>0.05</v>
      </c>
      <c r="C1588" s="14" t="n">
        <v>0.25</v>
      </c>
      <c r="D1588" s="14" t="n">
        <v>0</v>
      </c>
      <c r="E1588" s="14" t="n">
        <v>-0.573</v>
      </c>
      <c r="F1588" s="14" t="n">
        <v>-0.5</v>
      </c>
      <c r="G1588" s="14" t="n">
        <v>0.1</v>
      </c>
      <c r="H1588" s="14" t="n">
        <v>0.0468</v>
      </c>
      <c r="I1588" s="14" t="n">
        <v>0.0726816081287155</v>
      </c>
      <c r="J1588" s="14" t="n">
        <v>0.179785893597485</v>
      </c>
      <c r="K1588" s="14" t="n">
        <v>0.333257234434695</v>
      </c>
      <c r="L1588" s="14" t="n">
        <v>0.619634633352095</v>
      </c>
      <c r="M1588" s="14" t="n">
        <v>2.35</v>
      </c>
      <c r="N1588" s="14" t="n">
        <v>2.477</v>
      </c>
      <c r="O1588" s="14" t="n">
        <v>2.583</v>
      </c>
      <c r="P1588" s="14" t="n">
        <v>2.756</v>
      </c>
      <c r="Q1588" s="14" t="n">
        <v>0.25</v>
      </c>
      <c r="R1588" s="14" t="n">
        <v>0.25</v>
      </c>
      <c r="S1588" s="14" t="n">
        <v>7.75</v>
      </c>
    </row>
    <row r="1589" customFormat="false" ht="15" hidden="false" customHeight="false" outlineLevel="0" collapsed="false">
      <c r="A1589" s="13" t="n">
        <v>44523</v>
      </c>
      <c r="B1589" s="14" t="n">
        <v>0.05</v>
      </c>
      <c r="C1589" s="14" t="n">
        <v>0.25</v>
      </c>
      <c r="D1589" s="14" t="n">
        <v>0</v>
      </c>
      <c r="E1589" s="14" t="n">
        <v>-0.574</v>
      </c>
      <c r="F1589" s="14" t="n">
        <v>-0.5</v>
      </c>
      <c r="G1589" s="14" t="n">
        <v>0.1</v>
      </c>
      <c r="H1589" s="14" t="n">
        <v>0.0466</v>
      </c>
      <c r="I1589" s="14" t="n">
        <v>0.0766701692955062</v>
      </c>
      <c r="J1589" s="14" t="n">
        <v>0.185182411515967</v>
      </c>
      <c r="K1589" s="14" t="n">
        <v>0.337603933060437</v>
      </c>
      <c r="L1589" s="14" t="n">
        <v>0.624006976258936</v>
      </c>
      <c r="M1589" s="14" t="n">
        <v>2.353</v>
      </c>
      <c r="N1589" s="14" t="n">
        <v>2.48</v>
      </c>
      <c r="O1589" s="14" t="n">
        <v>2.586</v>
      </c>
      <c r="P1589" s="14" t="n">
        <v>2.757</v>
      </c>
      <c r="Q1589" s="14" t="n">
        <v>0.25</v>
      </c>
      <c r="R1589" s="14" t="n">
        <v>0.25</v>
      </c>
      <c r="S1589" s="14" t="n">
        <v>7.75</v>
      </c>
    </row>
    <row r="1590" customFormat="false" ht="15" hidden="false" customHeight="false" outlineLevel="0" collapsed="false">
      <c r="A1590" s="13" t="n">
        <v>44524</v>
      </c>
      <c r="B1590" s="14" t="n">
        <v>0.05</v>
      </c>
      <c r="C1590" s="14" t="n">
        <v>0.25</v>
      </c>
      <c r="D1590" s="14" t="n">
        <v>0</v>
      </c>
      <c r="E1590" s="14" t="n">
        <v>-0.57</v>
      </c>
      <c r="F1590" s="14" t="n">
        <v>-0.5</v>
      </c>
      <c r="G1590" s="14" t="n">
        <v>0.1</v>
      </c>
      <c r="H1590" s="14" t="n">
        <v>0.0462</v>
      </c>
      <c r="I1590" s="14" t="n">
        <v>0.0751920933646448</v>
      </c>
      <c r="J1590" s="14" t="n">
        <v>0.180816079682694</v>
      </c>
      <c r="K1590" s="14" t="n">
        <v>0.332038152736599</v>
      </c>
      <c r="L1590" s="14" t="n">
        <v>0.61627993422406</v>
      </c>
      <c r="M1590" s="14" t="n">
        <v>2.353</v>
      </c>
      <c r="N1590" s="14" t="n">
        <v>2.482</v>
      </c>
      <c r="O1590" s="14" t="n">
        <v>2.589</v>
      </c>
      <c r="P1590" s="14" t="n">
        <v>2.756</v>
      </c>
      <c r="Q1590" s="14" t="n">
        <v>0.25</v>
      </c>
      <c r="R1590" s="14" t="n">
        <v>0.25</v>
      </c>
      <c r="S1590" s="14" t="n">
        <v>7.75</v>
      </c>
    </row>
    <row r="1591" customFormat="false" ht="15" hidden="false" customHeight="false" outlineLevel="0" collapsed="false">
      <c r="A1591" s="13" t="n">
        <v>44525</v>
      </c>
      <c r="C1591" s="14" t="n">
        <v>0.25</v>
      </c>
      <c r="D1591" s="14" t="n">
        <v>0</v>
      </c>
      <c r="E1591" s="14" t="n">
        <v>-0.573</v>
      </c>
      <c r="F1591" s="14" t="n">
        <v>-0.5</v>
      </c>
      <c r="G1591" s="14" t="n">
        <v>0.1</v>
      </c>
      <c r="H1591" s="14" t="n">
        <v>0.0465</v>
      </c>
      <c r="I1591" s="14" t="n">
        <v>0.0775255963856758</v>
      </c>
      <c r="J1591" s="14" t="n">
        <v>0.182957278145674</v>
      </c>
      <c r="K1591" s="14" t="n">
        <v>0.33413349208914</v>
      </c>
      <c r="L1591" s="14" t="n">
        <v>0.612967031770147</v>
      </c>
      <c r="M1591" s="14" t="n">
        <v>2.353</v>
      </c>
      <c r="N1591" s="14" t="n">
        <v>2.484</v>
      </c>
      <c r="O1591" s="14" t="n">
        <v>2.592</v>
      </c>
      <c r="P1591" s="14" t="n">
        <v>2.756</v>
      </c>
      <c r="Q1591" s="14" t="n">
        <v>0.25</v>
      </c>
      <c r="R1591" s="14" t="n">
        <v>0.25</v>
      </c>
      <c r="S1591" s="14" t="n">
        <v>7.75</v>
      </c>
    </row>
    <row r="1592" customFormat="false" ht="15" hidden="false" customHeight="false" outlineLevel="0" collapsed="false">
      <c r="A1592" s="13" t="n">
        <v>44526</v>
      </c>
      <c r="B1592" s="14" t="n">
        <v>0.05</v>
      </c>
      <c r="C1592" s="14" t="n">
        <v>0.25</v>
      </c>
      <c r="D1592" s="14" t="n">
        <v>0</v>
      </c>
      <c r="E1592" s="14" t="n">
        <v>-0.573</v>
      </c>
      <c r="F1592" s="14" t="n">
        <v>-0.5</v>
      </c>
      <c r="G1592" s="14" t="n">
        <v>0.1</v>
      </c>
      <c r="H1592" s="14" t="n">
        <v>0.0461</v>
      </c>
      <c r="I1592" s="14" t="n">
        <v>0.0695338884824893</v>
      </c>
      <c r="J1592" s="14" t="n">
        <v>0.153117045429987</v>
      </c>
      <c r="K1592" s="14" t="n">
        <v>0.282096098537996</v>
      </c>
      <c r="L1592" s="14" t="n">
        <v>0.536956742375907</v>
      </c>
      <c r="M1592" s="14" t="n">
        <v>2.353</v>
      </c>
      <c r="N1592" s="14" t="n">
        <v>2.486</v>
      </c>
      <c r="O1592" s="14" t="n">
        <v>2.593</v>
      </c>
      <c r="P1592" s="14" t="n">
        <v>2.754</v>
      </c>
      <c r="Q1592" s="14" t="n">
        <v>0.25</v>
      </c>
      <c r="R1592" s="14" t="n">
        <v>0.25</v>
      </c>
      <c r="S1592" s="14" t="n">
        <v>7.75</v>
      </c>
    </row>
    <row r="1593" customFormat="false" ht="15" hidden="false" customHeight="false" outlineLevel="0" collapsed="false">
      <c r="A1593" s="13" t="n">
        <v>44529</v>
      </c>
      <c r="B1593" s="14" t="n">
        <v>0.05</v>
      </c>
      <c r="C1593" s="14" t="n">
        <v>0.25</v>
      </c>
      <c r="D1593" s="14" t="n">
        <v>0</v>
      </c>
      <c r="E1593" s="14" t="n">
        <v>-0.573</v>
      </c>
      <c r="F1593" s="14" t="n">
        <v>-0.5</v>
      </c>
      <c r="G1593" s="14" t="n">
        <v>0.1</v>
      </c>
      <c r="H1593" s="14" t="n">
        <v>0.0464</v>
      </c>
      <c r="I1593" s="14" t="n">
        <v>0.0789288935822951</v>
      </c>
      <c r="J1593" s="14" t="n">
        <v>0.16418811927066</v>
      </c>
      <c r="K1593" s="14" t="n">
        <v>0.298395609810762</v>
      </c>
      <c r="L1593" s="14" t="n">
        <v>0.55418950887562</v>
      </c>
      <c r="M1593" s="14" t="n">
        <v>2.353</v>
      </c>
      <c r="N1593" s="14" t="n">
        <v>2.489</v>
      </c>
      <c r="O1593" s="14" t="n">
        <v>2.594</v>
      </c>
      <c r="P1593" s="14" t="n">
        <v>2.752</v>
      </c>
      <c r="Q1593" s="14" t="n">
        <v>0.25</v>
      </c>
      <c r="R1593" s="14" t="n">
        <v>0.25</v>
      </c>
      <c r="S1593" s="14" t="n">
        <v>7.75</v>
      </c>
    </row>
    <row r="1594" customFormat="false" ht="15" hidden="false" customHeight="false" outlineLevel="0" collapsed="false">
      <c r="A1594" s="13" t="n">
        <v>44530</v>
      </c>
      <c r="B1594" s="14" t="n">
        <v>0.05</v>
      </c>
      <c r="C1594" s="14" t="n">
        <v>0.25</v>
      </c>
      <c r="D1594" s="14" t="n">
        <v>0</v>
      </c>
      <c r="E1594" s="14" t="n">
        <v>-0.575</v>
      </c>
      <c r="F1594" s="14" t="n">
        <v>-0.5</v>
      </c>
      <c r="G1594" s="14" t="n">
        <v>0.1</v>
      </c>
      <c r="H1594" s="14" t="n">
        <v>0.0455</v>
      </c>
      <c r="I1594" s="14" t="n">
        <v>0.0804042128562786</v>
      </c>
      <c r="J1594" s="14" t="n">
        <v>0.165494690735059</v>
      </c>
      <c r="K1594" s="14" t="n">
        <v>0.304136712379793</v>
      </c>
      <c r="L1594" s="14" t="n">
        <v>0.574120948732784</v>
      </c>
      <c r="M1594" s="14" t="n">
        <v>2.356</v>
      </c>
      <c r="N1594" s="14" t="n">
        <v>2.492</v>
      </c>
      <c r="O1594" s="14" t="n">
        <v>2.595</v>
      </c>
      <c r="P1594" s="14" t="n">
        <v>2.753</v>
      </c>
      <c r="Q1594" s="14" t="n">
        <v>0.25</v>
      </c>
      <c r="R1594" s="14" t="n">
        <v>0.25</v>
      </c>
      <c r="S1594" s="14" t="n">
        <v>7.75</v>
      </c>
    </row>
    <row r="1595" customFormat="false" ht="15" hidden="false" customHeight="false" outlineLevel="0" collapsed="false">
      <c r="A1595" s="13" t="n">
        <v>44531</v>
      </c>
      <c r="B1595" s="14" t="n">
        <v>0.05</v>
      </c>
      <c r="C1595" s="14" t="n">
        <v>0.25</v>
      </c>
      <c r="D1595" s="14" t="n">
        <v>0</v>
      </c>
      <c r="E1595" s="14" t="n">
        <v>-0.574</v>
      </c>
      <c r="F1595" s="14" t="n">
        <v>-0.5</v>
      </c>
      <c r="G1595" s="14" t="n">
        <v>0.1</v>
      </c>
      <c r="H1595" s="14" t="n">
        <v>0.0459</v>
      </c>
      <c r="I1595" s="14" t="n">
        <v>0.0869206036966097</v>
      </c>
      <c r="J1595" s="14" t="n">
        <v>0.176779949136541</v>
      </c>
      <c r="K1595" s="14" t="n">
        <v>0.321187826650453</v>
      </c>
      <c r="L1595" s="14" t="n">
        <v>0.578466464011029</v>
      </c>
      <c r="M1595" s="14" t="n">
        <v>2.357</v>
      </c>
      <c r="N1595" s="14" t="n">
        <v>2.494</v>
      </c>
      <c r="O1595" s="14" t="n">
        <v>2.597</v>
      </c>
      <c r="P1595" s="14" t="n">
        <v>2.752</v>
      </c>
      <c r="Q1595" s="14" t="n">
        <v>0.25</v>
      </c>
      <c r="R1595" s="14" t="n">
        <v>0.25</v>
      </c>
      <c r="S1595" s="14" t="n">
        <v>7.75</v>
      </c>
    </row>
    <row r="1596" customFormat="false" ht="15" hidden="false" customHeight="false" outlineLevel="0" collapsed="false">
      <c r="A1596" s="13" t="n">
        <v>44532</v>
      </c>
      <c r="B1596" s="14" t="n">
        <v>0.05</v>
      </c>
      <c r="C1596" s="14" t="n">
        <v>0.25</v>
      </c>
      <c r="D1596" s="14" t="n">
        <v>0</v>
      </c>
      <c r="E1596" s="14" t="n">
        <v>-0.575</v>
      </c>
      <c r="F1596" s="14" t="n">
        <v>-0.5</v>
      </c>
      <c r="G1596" s="14" t="n">
        <v>0.1</v>
      </c>
      <c r="H1596" s="14" t="n">
        <v>0.0457</v>
      </c>
      <c r="I1596" s="14" t="n">
        <v>0.0838992246413216</v>
      </c>
      <c r="J1596" s="14" t="n">
        <v>0.170830809370796</v>
      </c>
      <c r="K1596" s="14" t="n">
        <v>0.319880927061535</v>
      </c>
      <c r="L1596" s="14" t="n">
        <v>0.584597023518884</v>
      </c>
      <c r="M1596" s="14" t="n">
        <v>2.356</v>
      </c>
      <c r="N1596" s="14" t="n">
        <v>2.496</v>
      </c>
      <c r="O1596" s="14" t="n">
        <v>2.599</v>
      </c>
      <c r="P1596" s="14" t="n">
        <v>2.752</v>
      </c>
      <c r="Q1596" s="14" t="n">
        <v>0.25</v>
      </c>
      <c r="R1596" s="14" t="n">
        <v>0.25</v>
      </c>
      <c r="S1596" s="14" t="n">
        <v>7.75</v>
      </c>
    </row>
    <row r="1597" customFormat="false" ht="15" hidden="false" customHeight="false" outlineLevel="0" collapsed="false">
      <c r="A1597" s="13" t="n">
        <v>44533</v>
      </c>
      <c r="B1597" s="14" t="n">
        <v>0.05</v>
      </c>
      <c r="C1597" s="14" t="n">
        <v>0.25</v>
      </c>
      <c r="D1597" s="14" t="n">
        <v>0</v>
      </c>
      <c r="E1597" s="14" t="n">
        <v>-0.578</v>
      </c>
      <c r="F1597" s="14" t="n">
        <v>-0.5</v>
      </c>
      <c r="G1597" s="14" t="n">
        <v>0.1</v>
      </c>
      <c r="H1597" s="14" t="n">
        <v>0.0457</v>
      </c>
      <c r="I1597" s="14" t="n">
        <v>0.0718934737984061</v>
      </c>
      <c r="J1597" s="14" t="n">
        <v>0.146048462910831</v>
      </c>
      <c r="K1597" s="14" t="n">
        <v>0.282321123801598</v>
      </c>
      <c r="L1597" s="14" t="n">
        <v>0.532722950191362</v>
      </c>
      <c r="M1597" s="14" t="n">
        <v>2.357</v>
      </c>
      <c r="N1597" s="14" t="n">
        <v>2.499</v>
      </c>
      <c r="O1597" s="14" t="n">
        <v>2.6</v>
      </c>
      <c r="P1597" s="14" t="n">
        <v>2.751</v>
      </c>
      <c r="Q1597" s="14" t="n">
        <v>0.25</v>
      </c>
      <c r="R1597" s="14" t="n">
        <v>0.25</v>
      </c>
      <c r="S1597" s="14" t="n">
        <v>7.75</v>
      </c>
    </row>
    <row r="1598" customFormat="false" ht="15" hidden="false" customHeight="false" outlineLevel="0" collapsed="false">
      <c r="A1598" s="13" t="n">
        <v>44536</v>
      </c>
      <c r="B1598" s="14" t="n">
        <v>0.05</v>
      </c>
      <c r="C1598" s="14" t="n">
        <v>0.25</v>
      </c>
      <c r="D1598" s="14" t="n">
        <v>0</v>
      </c>
      <c r="E1598" s="14" t="n">
        <v>-0.578</v>
      </c>
      <c r="F1598" s="14" t="n">
        <v>-0.5</v>
      </c>
      <c r="G1598" s="14" t="n">
        <v>0.1</v>
      </c>
      <c r="H1598" s="14" t="n">
        <v>0.0456</v>
      </c>
      <c r="I1598" s="14" t="n">
        <v>0.0858147216601617</v>
      </c>
      <c r="J1598" s="14" t="n">
        <v>0.164339509852855</v>
      </c>
      <c r="K1598" s="14" t="n">
        <v>0.306060087727822</v>
      </c>
      <c r="L1598" s="14" t="n">
        <v>0.551996940034309</v>
      </c>
      <c r="M1598" s="14" t="n">
        <v>2.358</v>
      </c>
      <c r="N1598" s="14" t="n">
        <v>2.492</v>
      </c>
      <c r="O1598" s="14" t="n">
        <v>2.594</v>
      </c>
      <c r="P1598" s="14" t="n">
        <v>2.746</v>
      </c>
      <c r="Q1598" s="14" t="n">
        <v>0.25</v>
      </c>
      <c r="R1598" s="14" t="n">
        <v>0.25</v>
      </c>
      <c r="S1598" s="14" t="n">
        <v>7.75</v>
      </c>
    </row>
    <row r="1599" customFormat="false" ht="15" hidden="false" customHeight="false" outlineLevel="0" collapsed="false">
      <c r="A1599" s="13" t="n">
        <v>44537</v>
      </c>
      <c r="B1599" s="14" t="n">
        <v>0.05</v>
      </c>
      <c r="C1599" s="14" t="n">
        <v>0.25</v>
      </c>
      <c r="D1599" s="14" t="n">
        <v>0</v>
      </c>
      <c r="E1599" s="14" t="n">
        <v>-0.577</v>
      </c>
      <c r="F1599" s="14" t="n">
        <v>-0.5</v>
      </c>
      <c r="G1599" s="14" t="n">
        <v>0.1</v>
      </c>
      <c r="H1599" s="14" t="n">
        <v>0.0453</v>
      </c>
      <c r="I1599" s="14" t="n">
        <v>0.0958043355675179</v>
      </c>
      <c r="J1599" s="14" t="n">
        <v>0.174253675775372</v>
      </c>
      <c r="K1599" s="14" t="n">
        <v>0.310760805045887</v>
      </c>
      <c r="L1599" s="14" t="n">
        <v>0.5518530527931</v>
      </c>
      <c r="M1599" s="14" t="n">
        <v>2.357</v>
      </c>
      <c r="N1599" s="14" t="n">
        <v>2.488</v>
      </c>
      <c r="O1599" s="14" t="n">
        <v>2.586</v>
      </c>
      <c r="P1599" s="14" t="n">
        <v>2.743</v>
      </c>
      <c r="Q1599" s="14" t="n">
        <v>0.25</v>
      </c>
      <c r="R1599" s="14" t="n">
        <v>0.25</v>
      </c>
      <c r="S1599" s="14" t="n">
        <v>7.75</v>
      </c>
    </row>
    <row r="1600" customFormat="false" ht="15" hidden="false" customHeight="false" outlineLevel="0" collapsed="false">
      <c r="A1600" s="13" t="n">
        <v>44538</v>
      </c>
      <c r="B1600" s="14" t="n">
        <v>0.05</v>
      </c>
      <c r="C1600" s="14" t="n">
        <v>0.25</v>
      </c>
      <c r="D1600" s="14" t="n">
        <v>0</v>
      </c>
      <c r="E1600" s="14" t="n">
        <v>-0.577</v>
      </c>
      <c r="F1600" s="14" t="n">
        <v>-0.5</v>
      </c>
      <c r="G1600" s="14" t="n">
        <v>0.1</v>
      </c>
      <c r="H1600" s="14" t="n">
        <v>0.0457</v>
      </c>
      <c r="I1600" s="14" t="n">
        <v>0.0863288923167641</v>
      </c>
      <c r="J1600" s="14" t="n">
        <v>0.161964387433787</v>
      </c>
      <c r="K1600" s="14" t="n">
        <v>0.297577837148257</v>
      </c>
      <c r="L1600" s="14" t="n">
        <v>0.547476153984939</v>
      </c>
      <c r="M1600" s="14" t="n">
        <v>2.36</v>
      </c>
      <c r="N1600" s="14" t="n">
        <v>2.489</v>
      </c>
      <c r="O1600" s="14" t="n">
        <v>2.583</v>
      </c>
      <c r="P1600" s="14" t="n">
        <v>2.74</v>
      </c>
      <c r="Q1600" s="14" t="n">
        <v>0.25</v>
      </c>
      <c r="R1600" s="14" t="n">
        <v>0.25</v>
      </c>
      <c r="S1600" s="14" t="n">
        <v>7.75</v>
      </c>
    </row>
    <row r="1601" customFormat="false" ht="15" hidden="false" customHeight="false" outlineLevel="0" collapsed="false">
      <c r="A1601" s="13" t="n">
        <v>44539</v>
      </c>
      <c r="B1601" s="14" t="n">
        <v>0.05</v>
      </c>
      <c r="C1601" s="14" t="n">
        <v>0.25</v>
      </c>
      <c r="D1601" s="14" t="n">
        <v>0</v>
      </c>
      <c r="E1601" s="14" t="n">
        <v>-0.578</v>
      </c>
      <c r="F1601" s="14" t="n">
        <v>-0.5</v>
      </c>
      <c r="G1601" s="14" t="n">
        <v>0.1</v>
      </c>
      <c r="H1601" s="14" t="n">
        <v>0.0458</v>
      </c>
      <c r="I1601" s="14" t="n">
        <v>0.0845605500776544</v>
      </c>
      <c r="J1601" s="14" t="n">
        <v>0.160909626515005</v>
      </c>
      <c r="K1601" s="14" t="n">
        <v>0.296179312556774</v>
      </c>
      <c r="L1601" s="14" t="n">
        <v>0.542436693095501</v>
      </c>
      <c r="M1601" s="14" t="n">
        <v>2.36</v>
      </c>
      <c r="N1601" s="14" t="n">
        <v>2.49</v>
      </c>
      <c r="O1601" s="14" t="n">
        <v>2.585</v>
      </c>
      <c r="P1601" s="14" t="n">
        <v>2.738</v>
      </c>
      <c r="Q1601" s="14" t="n">
        <v>0.25</v>
      </c>
      <c r="R1601" s="14" t="n">
        <v>0.25</v>
      </c>
      <c r="S1601" s="14" t="n">
        <v>9.25</v>
      </c>
    </row>
    <row r="1602" customFormat="false" ht="15" hidden="false" customHeight="false" outlineLevel="0" collapsed="false">
      <c r="A1602" s="13" t="n">
        <v>44540</v>
      </c>
      <c r="B1602" s="14" t="n">
        <v>0.05</v>
      </c>
      <c r="C1602" s="14" t="n">
        <v>0.25</v>
      </c>
      <c r="D1602" s="14" t="n">
        <v>0</v>
      </c>
      <c r="E1602" s="14" t="n">
        <v>-0.577</v>
      </c>
      <c r="F1602" s="14" t="n">
        <v>-0.5</v>
      </c>
      <c r="G1602" s="14" t="n">
        <v>0.1</v>
      </c>
      <c r="H1602" s="14" t="n">
        <v>0.0451</v>
      </c>
      <c r="I1602" s="14" t="n">
        <v>0.0870425391545184</v>
      </c>
      <c r="J1602" s="14" t="n">
        <v>0.160871252617083</v>
      </c>
      <c r="K1602" s="14" t="n">
        <v>0.294215736791142</v>
      </c>
      <c r="L1602" s="14" t="n">
        <v>0.538559784559964</v>
      </c>
      <c r="M1602" s="14" t="n">
        <v>2.36</v>
      </c>
      <c r="N1602" s="14" t="n">
        <v>2.492</v>
      </c>
      <c r="O1602" s="14" t="n">
        <v>2.587</v>
      </c>
      <c r="P1602" s="14" t="n">
        <v>2.736</v>
      </c>
      <c r="Q1602" s="14" t="n">
        <v>0.25</v>
      </c>
      <c r="R1602" s="14" t="n">
        <v>0.25</v>
      </c>
      <c r="S1602" s="14" t="n">
        <v>9.25</v>
      </c>
    </row>
    <row r="1603" customFormat="false" ht="15" hidden="false" customHeight="false" outlineLevel="0" collapsed="false">
      <c r="A1603" s="13" t="n">
        <v>44543</v>
      </c>
      <c r="B1603" s="14" t="n">
        <v>0.05</v>
      </c>
      <c r="C1603" s="14" t="n">
        <v>0.25</v>
      </c>
      <c r="D1603" s="14" t="n">
        <v>0</v>
      </c>
      <c r="E1603" s="14" t="n">
        <v>-0.579</v>
      </c>
      <c r="F1603" s="14" t="n">
        <v>-0.5</v>
      </c>
      <c r="G1603" s="14" t="n">
        <v>0.1</v>
      </c>
      <c r="H1603" s="14" t="n">
        <v>0.0453</v>
      </c>
      <c r="I1603" s="14" t="n">
        <v>0.0911948855812907</v>
      </c>
      <c r="J1603" s="14" t="n">
        <v>0.163843129857593</v>
      </c>
      <c r="K1603" s="14" t="n">
        <v>0.292253644763322</v>
      </c>
      <c r="L1603" s="14" t="n">
        <v>0.535020977132517</v>
      </c>
      <c r="M1603" s="14" t="n">
        <v>2.364</v>
      </c>
      <c r="N1603" s="14" t="n">
        <v>2.493</v>
      </c>
      <c r="O1603" s="14" t="n">
        <v>2.587</v>
      </c>
      <c r="P1603" s="14" t="n">
        <v>2.737</v>
      </c>
      <c r="Q1603" s="14" t="n">
        <v>0.25</v>
      </c>
      <c r="R1603" s="14" t="n">
        <v>0.25</v>
      </c>
      <c r="S1603" s="14" t="n">
        <v>9.25</v>
      </c>
    </row>
    <row r="1604" customFormat="false" ht="15" hidden="false" customHeight="false" outlineLevel="0" collapsed="false">
      <c r="A1604" s="13" t="n">
        <v>44544</v>
      </c>
      <c r="B1604" s="14" t="n">
        <v>0.05</v>
      </c>
      <c r="C1604" s="14" t="n">
        <v>0.25</v>
      </c>
      <c r="D1604" s="14" t="n">
        <v>0</v>
      </c>
      <c r="E1604" s="14" t="n">
        <v>-0.577</v>
      </c>
      <c r="F1604" s="14" t="n">
        <v>-0.5</v>
      </c>
      <c r="G1604" s="14" t="n">
        <v>0.1</v>
      </c>
      <c r="H1604" s="14" t="n">
        <v>0.0453</v>
      </c>
      <c r="I1604" s="14" t="n">
        <v>0.0944603937438252</v>
      </c>
      <c r="J1604" s="14" t="n">
        <v>0.171724183616375</v>
      </c>
      <c r="K1604" s="14" t="n">
        <v>0.310947923359482</v>
      </c>
      <c r="L1604" s="14" t="n">
        <v>0.561358539233056</v>
      </c>
      <c r="M1604" s="14" t="n">
        <v>2.365</v>
      </c>
      <c r="N1604" s="14" t="n">
        <v>2.493</v>
      </c>
      <c r="O1604" s="14" t="n">
        <v>2.587</v>
      </c>
      <c r="P1604" s="14" t="n">
        <v>2.736</v>
      </c>
      <c r="Q1604" s="14" t="n">
        <v>0.25</v>
      </c>
      <c r="R1604" s="14" t="n">
        <v>0.25</v>
      </c>
      <c r="S1604" s="14" t="n">
        <v>9.25</v>
      </c>
    </row>
    <row r="1605" customFormat="false" ht="15" hidden="false" customHeight="false" outlineLevel="0" collapsed="false">
      <c r="A1605" s="13" t="n">
        <v>44545</v>
      </c>
      <c r="B1605" s="14" t="n">
        <v>0.05</v>
      </c>
      <c r="C1605" s="14" t="n">
        <v>0.25</v>
      </c>
      <c r="D1605" s="14" t="n">
        <v>0</v>
      </c>
      <c r="E1605" s="14" t="n">
        <v>-0.577</v>
      </c>
      <c r="F1605" s="14" t="n">
        <v>-0.5</v>
      </c>
      <c r="G1605" s="14" t="n">
        <v>0.1</v>
      </c>
      <c r="H1605" s="14" t="n">
        <v>0.045</v>
      </c>
      <c r="I1605" s="14" t="n">
        <v>0.115585737806892</v>
      </c>
      <c r="J1605" s="14" t="n">
        <v>0.207114542920916</v>
      </c>
      <c r="K1605" s="14" t="n">
        <v>0.363370087558922</v>
      </c>
      <c r="L1605" s="14" t="n">
        <v>0.620678361664035</v>
      </c>
      <c r="M1605" s="14" t="n">
        <v>2.364</v>
      </c>
      <c r="N1605" s="14" t="n">
        <v>2.493</v>
      </c>
      <c r="O1605" s="14" t="n">
        <v>2.587</v>
      </c>
      <c r="P1605" s="14" t="n">
        <v>2.736</v>
      </c>
      <c r="Q1605" s="14" t="n">
        <v>0.25</v>
      </c>
      <c r="R1605" s="14" t="n">
        <v>0.25</v>
      </c>
      <c r="S1605" s="14" t="n">
        <v>9.25</v>
      </c>
    </row>
    <row r="1606" customFormat="false" ht="15" hidden="false" customHeight="false" outlineLevel="0" collapsed="false">
      <c r="A1606" s="13" t="n">
        <v>44546</v>
      </c>
      <c r="B1606" s="14" t="n">
        <v>0.05</v>
      </c>
      <c r="C1606" s="14" t="n">
        <v>0.25</v>
      </c>
      <c r="D1606" s="14" t="n">
        <v>0</v>
      </c>
      <c r="E1606" s="14" t="n">
        <v>-0.577</v>
      </c>
      <c r="F1606" s="14" t="n">
        <v>-0.5</v>
      </c>
      <c r="G1606" s="14" t="n">
        <v>0.25</v>
      </c>
      <c r="H1606" s="14" t="n">
        <v>0.1622</v>
      </c>
      <c r="I1606" s="14" t="n">
        <v>0.193683844175292</v>
      </c>
      <c r="J1606" s="14" t="n">
        <v>0.275495059910041</v>
      </c>
      <c r="K1606" s="14" t="n">
        <v>0.424322494671688</v>
      </c>
      <c r="L1606" s="14" t="n">
        <v>0.664973955537754</v>
      </c>
      <c r="M1606" s="14" t="n">
        <v>2.366</v>
      </c>
      <c r="N1606" s="14" t="n">
        <v>2.491</v>
      </c>
      <c r="O1606" s="14" t="n">
        <v>2.587</v>
      </c>
      <c r="P1606" s="14" t="n">
        <v>2.736</v>
      </c>
      <c r="Q1606" s="14" t="n">
        <v>0.25</v>
      </c>
      <c r="R1606" s="14" t="n">
        <v>0.25</v>
      </c>
      <c r="S1606" s="14" t="n">
        <v>9.25</v>
      </c>
    </row>
    <row r="1607" customFormat="false" ht="15" hidden="false" customHeight="false" outlineLevel="0" collapsed="false">
      <c r="A1607" s="13" t="n">
        <v>44547</v>
      </c>
      <c r="B1607" s="14" t="n">
        <v>0.05</v>
      </c>
      <c r="C1607" s="14" t="n">
        <v>0.25</v>
      </c>
      <c r="D1607" s="14" t="n">
        <v>0</v>
      </c>
      <c r="E1607" s="14" t="n">
        <v>-0.576</v>
      </c>
      <c r="F1607" s="14" t="n">
        <v>-0.5</v>
      </c>
      <c r="G1607" s="14" t="n">
        <v>0.25</v>
      </c>
      <c r="H1607" s="14" t="n">
        <v>0.1937</v>
      </c>
      <c r="I1607" s="14" t="n">
        <v>0.193355486904372</v>
      </c>
      <c r="J1607" s="14" t="n">
        <v>0.286460789400192</v>
      </c>
      <c r="K1607" s="14" t="n">
        <v>0.440054794310358</v>
      </c>
      <c r="L1607" s="14" t="n">
        <v>0.681802267888938</v>
      </c>
      <c r="M1607" s="14" t="n">
        <v>2.368</v>
      </c>
      <c r="N1607" s="14" t="n">
        <v>2.492</v>
      </c>
      <c r="O1607" s="14" t="n">
        <v>2.587</v>
      </c>
      <c r="P1607" s="14" t="n">
        <v>2.735</v>
      </c>
      <c r="Q1607" s="14" t="n">
        <v>0.5</v>
      </c>
      <c r="R1607" s="14" t="n">
        <v>0.5</v>
      </c>
      <c r="S1607" s="14" t="n">
        <v>9.25</v>
      </c>
    </row>
    <row r="1608" customFormat="false" ht="15" hidden="false" customHeight="false" outlineLevel="0" collapsed="false">
      <c r="A1608" s="13" t="n">
        <v>44550</v>
      </c>
      <c r="B1608" s="14" t="n">
        <v>0.04</v>
      </c>
      <c r="C1608" s="14" t="n">
        <v>0.25</v>
      </c>
      <c r="D1608" s="14" t="n">
        <v>0</v>
      </c>
      <c r="E1608" s="14" t="n">
        <v>-0.576</v>
      </c>
      <c r="F1608" s="14" t="n">
        <v>-0.5</v>
      </c>
      <c r="G1608" s="14" t="n">
        <v>0.25</v>
      </c>
      <c r="H1608" s="14" t="n">
        <v>0.1938</v>
      </c>
      <c r="I1608" s="14" t="n">
        <v>0.199097305422847</v>
      </c>
      <c r="J1608" s="14" t="n">
        <v>0.297919773568793</v>
      </c>
      <c r="K1608" s="14" t="n">
        <v>0.451258672417131</v>
      </c>
      <c r="L1608" s="14" t="n">
        <v>0.693922098995234</v>
      </c>
      <c r="M1608" s="14" t="n">
        <v>2.381</v>
      </c>
      <c r="N1608" s="14" t="n">
        <v>2.492</v>
      </c>
      <c r="O1608" s="14" t="n">
        <v>2.588</v>
      </c>
      <c r="P1608" s="14" t="n">
        <v>2.735</v>
      </c>
      <c r="Q1608" s="14" t="n">
        <v>0.5</v>
      </c>
      <c r="R1608" s="14" t="n">
        <v>0.5</v>
      </c>
      <c r="S1608" s="14" t="n">
        <v>9.25</v>
      </c>
    </row>
    <row r="1609" customFormat="false" ht="15" hidden="false" customHeight="false" outlineLevel="0" collapsed="false">
      <c r="A1609" s="13" t="n">
        <v>44551</v>
      </c>
      <c r="B1609" s="14" t="n">
        <v>0.05</v>
      </c>
      <c r="C1609" s="14" t="n">
        <v>0.25</v>
      </c>
      <c r="D1609" s="14" t="n">
        <v>0</v>
      </c>
      <c r="E1609" s="14" t="n">
        <v>-0.571</v>
      </c>
      <c r="F1609" s="14" t="n">
        <v>-0.5</v>
      </c>
      <c r="G1609" s="14" t="n">
        <v>0.25</v>
      </c>
      <c r="H1609" s="14" t="n">
        <v>0.1932</v>
      </c>
      <c r="I1609" s="14" t="n">
        <v>0.199425879339271</v>
      </c>
      <c r="J1609" s="14" t="n">
        <v>0.309092093117515</v>
      </c>
      <c r="K1609" s="14" t="n">
        <v>0.475115859872383</v>
      </c>
      <c r="L1609" s="14" t="n">
        <v>0.736430790198276</v>
      </c>
      <c r="M1609" s="14" t="n">
        <v>2.386</v>
      </c>
      <c r="N1609" s="14" t="n">
        <v>2.493</v>
      </c>
      <c r="O1609" s="14" t="n">
        <v>2.59</v>
      </c>
      <c r="P1609" s="14" t="n">
        <v>2.738</v>
      </c>
      <c r="Q1609" s="14" t="n">
        <v>0.5</v>
      </c>
      <c r="R1609" s="14" t="n">
        <v>0.5</v>
      </c>
      <c r="S1609" s="14" t="n">
        <v>9.25</v>
      </c>
    </row>
    <row r="1610" customFormat="false" ht="15" hidden="false" customHeight="false" outlineLevel="0" collapsed="false">
      <c r="A1610" s="13" t="n">
        <v>44552</v>
      </c>
      <c r="B1610" s="14" t="n">
        <v>0.05</v>
      </c>
      <c r="C1610" s="14" t="n">
        <v>0.25</v>
      </c>
      <c r="D1610" s="14" t="n">
        <v>0</v>
      </c>
      <c r="E1610" s="14" t="n">
        <v>-0.574</v>
      </c>
      <c r="F1610" s="14" t="n">
        <v>-0.5</v>
      </c>
      <c r="G1610" s="14" t="n">
        <v>0.25</v>
      </c>
      <c r="H1610" s="14" t="n">
        <v>0.1926</v>
      </c>
      <c r="I1610" s="14" t="n">
        <v>0.200258443718366</v>
      </c>
      <c r="J1610" s="14" t="n">
        <v>0.311265042749451</v>
      </c>
      <c r="K1610" s="14" t="n">
        <v>0.477152325738129</v>
      </c>
      <c r="L1610" s="14" t="n">
        <v>0.74460131063575</v>
      </c>
      <c r="M1610" s="14" t="n">
        <v>2.402</v>
      </c>
      <c r="N1610" s="14" t="n">
        <v>2.494</v>
      </c>
      <c r="O1610" s="14" t="n">
        <v>2.591</v>
      </c>
      <c r="P1610" s="14" t="n">
        <v>2.739</v>
      </c>
      <c r="Q1610" s="14" t="n">
        <v>0.5</v>
      </c>
      <c r="R1610" s="14" t="n">
        <v>0.5</v>
      </c>
      <c r="S1610" s="14" t="n">
        <v>9.25</v>
      </c>
    </row>
    <row r="1611" customFormat="false" ht="15" hidden="false" customHeight="false" outlineLevel="0" collapsed="false">
      <c r="A1611" s="13" t="n">
        <v>44553</v>
      </c>
      <c r="B1611" s="14" t="n">
        <v>0.05</v>
      </c>
      <c r="C1611" s="14" t="n">
        <v>0.25</v>
      </c>
      <c r="D1611" s="14" t="n">
        <v>0</v>
      </c>
      <c r="E1611" s="14" t="n">
        <v>-0.576</v>
      </c>
      <c r="F1611" s="14" t="n">
        <v>-0.5</v>
      </c>
      <c r="G1611" s="14" t="n">
        <v>0.25</v>
      </c>
      <c r="H1611" s="14" t="n">
        <v>0.1928</v>
      </c>
      <c r="I1611" s="14" t="n">
        <v>0.202076252413093</v>
      </c>
      <c r="J1611" s="14" t="n">
        <v>0.316175635709581</v>
      </c>
      <c r="K1611" s="14" t="n">
        <v>0.487925940191058</v>
      </c>
      <c r="L1611" s="14" t="n">
        <v>0.761092527888135</v>
      </c>
      <c r="M1611" s="14" t="n">
        <v>2.409</v>
      </c>
      <c r="N1611" s="14" t="n">
        <v>2.496</v>
      </c>
      <c r="O1611" s="14" t="n">
        <v>2.591</v>
      </c>
      <c r="P1611" s="14" t="n">
        <v>2.738</v>
      </c>
      <c r="Q1611" s="14" t="n">
        <v>0.5</v>
      </c>
      <c r="R1611" s="14" t="n">
        <v>0.5</v>
      </c>
      <c r="S1611" s="14" t="n">
        <v>9.25</v>
      </c>
    </row>
    <row r="1612" customFormat="false" ht="15" hidden="false" customHeight="false" outlineLevel="0" collapsed="false">
      <c r="A1612" s="13" t="n">
        <v>44554</v>
      </c>
      <c r="C1612" s="14" t="n">
        <v>0.25</v>
      </c>
      <c r="D1612" s="14" t="n">
        <v>0</v>
      </c>
      <c r="E1612" s="14" t="n">
        <v>-0.58</v>
      </c>
      <c r="F1612" s="14" t="n">
        <v>-0.5</v>
      </c>
      <c r="G1612" s="14" t="n">
        <v>0.25</v>
      </c>
      <c r="H1612" s="14" t="n">
        <v>0.1929</v>
      </c>
      <c r="I1612" s="14" t="n">
        <v>0.20057271311162</v>
      </c>
      <c r="J1612" s="14" t="n">
        <v>0.315933459951963</v>
      </c>
      <c r="K1612" s="14" t="n">
        <v>0.487275397286094</v>
      </c>
      <c r="L1612" s="14" t="n">
        <v>0.763062773417417</v>
      </c>
      <c r="M1612" s="14" t="n">
        <v>2.416</v>
      </c>
      <c r="N1612" s="14" t="n">
        <v>2.5</v>
      </c>
      <c r="O1612" s="14" t="n">
        <v>2.592</v>
      </c>
      <c r="P1612" s="14" t="n">
        <v>2.737</v>
      </c>
      <c r="S1612" s="14" t="n">
        <v>9.25</v>
      </c>
    </row>
    <row r="1613" customFormat="false" ht="15" hidden="false" customHeight="false" outlineLevel="0" collapsed="false">
      <c r="A1613" s="13" t="n">
        <v>44557</v>
      </c>
      <c r="B1613" s="14" t="n">
        <v>0.05</v>
      </c>
      <c r="C1613" s="14" t="n">
        <v>0.25</v>
      </c>
      <c r="D1613" s="14" t="n">
        <v>0</v>
      </c>
      <c r="E1613" s="14" t="n">
        <v>-0.576</v>
      </c>
      <c r="F1613" s="14" t="n">
        <v>-0.5</v>
      </c>
      <c r="M1613" s="14" t="n">
        <v>2.424</v>
      </c>
      <c r="N1613" s="14" t="n">
        <v>2.5</v>
      </c>
      <c r="O1613" s="14" t="n">
        <v>2.591</v>
      </c>
      <c r="P1613" s="14" t="n">
        <v>2.737</v>
      </c>
      <c r="Q1613" s="14" t="n">
        <v>0.5</v>
      </c>
      <c r="R1613" s="14" t="n">
        <v>0.5</v>
      </c>
      <c r="S1613" s="14" t="n">
        <v>9.25</v>
      </c>
    </row>
    <row r="1614" customFormat="false" ht="15" hidden="false" customHeight="false" outlineLevel="0" collapsed="false">
      <c r="A1614" s="13" t="n">
        <v>44558</v>
      </c>
      <c r="B1614" s="14" t="n">
        <v>0.05</v>
      </c>
      <c r="C1614" s="14" t="n">
        <v>0.25</v>
      </c>
      <c r="D1614" s="14" t="n">
        <v>0</v>
      </c>
      <c r="E1614" s="14" t="n">
        <v>-0.575</v>
      </c>
      <c r="F1614" s="14" t="n">
        <v>-0.5</v>
      </c>
      <c r="M1614" s="14" t="n">
        <v>2.425</v>
      </c>
      <c r="N1614" s="14" t="n">
        <v>2.5</v>
      </c>
      <c r="O1614" s="14" t="n">
        <v>2.591</v>
      </c>
      <c r="P1614" s="14" t="n">
        <v>2.738</v>
      </c>
      <c r="Q1614" s="14" t="n">
        <v>0.5</v>
      </c>
      <c r="R1614" s="14" t="n">
        <v>0.5</v>
      </c>
      <c r="S1614" s="14" t="n">
        <v>9.25</v>
      </c>
    </row>
    <row r="1615" customFormat="false" ht="15" hidden="false" customHeight="false" outlineLevel="0" collapsed="false">
      <c r="A1615" s="13" t="n">
        <v>44559</v>
      </c>
      <c r="B1615" s="14" t="n">
        <v>0.05</v>
      </c>
      <c r="C1615" s="14" t="n">
        <v>0.25</v>
      </c>
      <c r="D1615" s="14" t="n">
        <v>0</v>
      </c>
      <c r="E1615" s="14" t="n">
        <v>-0.578</v>
      </c>
      <c r="F1615" s="14" t="n">
        <v>-0.5</v>
      </c>
      <c r="G1615" s="14" t="n">
        <v>0.25</v>
      </c>
      <c r="H1615" s="14" t="n">
        <v>0.1922</v>
      </c>
      <c r="I1615" s="14" t="n">
        <v>0.203311046704589</v>
      </c>
      <c r="J1615" s="14" t="n">
        <v>0.331354831444671</v>
      </c>
      <c r="K1615" s="14" t="n">
        <v>0.502791320376876</v>
      </c>
      <c r="L1615" s="14" t="n">
        <v>0.775781453122285</v>
      </c>
      <c r="M1615" s="14" t="n">
        <v>2.429</v>
      </c>
      <c r="N1615" s="14" t="n">
        <v>2.5</v>
      </c>
      <c r="O1615" s="14" t="n">
        <v>2.591</v>
      </c>
      <c r="P1615" s="14" t="n">
        <v>2.737</v>
      </c>
      <c r="Q1615" s="14" t="n">
        <v>0.5</v>
      </c>
      <c r="R1615" s="14" t="n">
        <v>0.5</v>
      </c>
      <c r="S1615" s="14" t="n">
        <v>9.25</v>
      </c>
    </row>
    <row r="1616" customFormat="false" ht="15" hidden="false" customHeight="false" outlineLevel="0" collapsed="false">
      <c r="A1616" s="13" t="n">
        <v>44560</v>
      </c>
      <c r="B1616" s="14" t="n">
        <v>0.05</v>
      </c>
      <c r="C1616" s="14" t="n">
        <v>0.25</v>
      </c>
      <c r="D1616" s="14" t="n">
        <v>0</v>
      </c>
      <c r="E1616" s="14" t="n">
        <v>-0.58</v>
      </c>
      <c r="F1616" s="14" t="n">
        <v>-0.5</v>
      </c>
      <c r="G1616" s="14" t="n">
        <v>0.25</v>
      </c>
      <c r="H1616" s="14" t="n">
        <v>0.1922</v>
      </c>
      <c r="I1616" s="14" t="n">
        <v>0.204468387035065</v>
      </c>
      <c r="J1616" s="14" t="n">
        <v>0.329511066635061</v>
      </c>
      <c r="K1616" s="14" t="n">
        <v>0.49680308580675</v>
      </c>
      <c r="L1616" s="14" t="n">
        <v>0.762270857171734</v>
      </c>
      <c r="M1616" s="14" t="n">
        <v>2.43</v>
      </c>
      <c r="N1616" s="14" t="n">
        <v>2.501</v>
      </c>
      <c r="O1616" s="14" t="n">
        <v>2.592</v>
      </c>
      <c r="P1616" s="14" t="n">
        <v>2.737</v>
      </c>
      <c r="Q1616" s="14" t="n">
        <v>0.5</v>
      </c>
      <c r="R1616" s="14" t="n">
        <v>0.5</v>
      </c>
      <c r="S1616" s="14" t="n">
        <v>9.25</v>
      </c>
    </row>
    <row r="1617" customFormat="false" ht="15" hidden="false" customHeight="false" outlineLevel="0" collapsed="false">
      <c r="A1617" s="13" t="n">
        <v>44561</v>
      </c>
      <c r="B1617" s="14" t="n">
        <v>0.05</v>
      </c>
      <c r="C1617" s="14" t="n">
        <v>0.25</v>
      </c>
      <c r="D1617" s="14" t="n">
        <v>0</v>
      </c>
      <c r="E1617" s="14" t="n">
        <v>-0.59</v>
      </c>
      <c r="F1617" s="14" t="n">
        <v>-0.5</v>
      </c>
      <c r="G1617" s="14" t="n">
        <v>0.25</v>
      </c>
      <c r="H1617" s="14" t="n">
        <v>0.1906</v>
      </c>
      <c r="I1617" s="14" t="n">
        <v>0.206673838431393</v>
      </c>
      <c r="J1617" s="14" t="n">
        <v>0.331206382078235</v>
      </c>
      <c r="K1617" s="14" t="n">
        <v>0.495150268406031</v>
      </c>
      <c r="L1617" s="14" t="n">
        <v>0.751971901581533</v>
      </c>
      <c r="M1617" s="14" t="n">
        <v>2.431</v>
      </c>
      <c r="N1617" s="14" t="n">
        <v>2.5</v>
      </c>
      <c r="O1617" s="14" t="n">
        <v>2.59</v>
      </c>
      <c r="P1617" s="14" t="n">
        <v>2.736</v>
      </c>
      <c r="Q1617" s="14" t="n">
        <v>0.5</v>
      </c>
      <c r="R1617" s="14" t="n">
        <v>0.5</v>
      </c>
      <c r="S1617" s="14" t="n">
        <v>9.25</v>
      </c>
    </row>
    <row r="1618" customFormat="false" ht="15" hidden="false" customHeight="false" outlineLevel="0" collapsed="false">
      <c r="A1618" s="13" t="n">
        <v>44564</v>
      </c>
      <c r="B1618" s="14" t="n">
        <v>0.05</v>
      </c>
      <c r="C1618" s="14" t="n">
        <v>0.25</v>
      </c>
      <c r="D1618" s="14" t="n">
        <v>0</v>
      </c>
      <c r="E1618" s="14" t="n">
        <v>-0.578</v>
      </c>
      <c r="F1618" s="14" t="n">
        <v>-0.5</v>
      </c>
      <c r="Q1618" s="14" t="n">
        <v>0.5</v>
      </c>
      <c r="R1618" s="14" t="n">
        <v>0.5</v>
      </c>
      <c r="S1618" s="14" t="n">
        <v>9.25</v>
      </c>
    </row>
    <row r="1619" customFormat="false" ht="15" hidden="false" customHeight="false" outlineLevel="0" collapsed="false">
      <c r="A1619" s="13" t="n">
        <v>44565</v>
      </c>
      <c r="B1619" s="14" t="n">
        <v>0.05</v>
      </c>
      <c r="C1619" s="14" t="n">
        <v>0.25</v>
      </c>
      <c r="D1619" s="14" t="n">
        <v>0</v>
      </c>
      <c r="E1619" s="14" t="n">
        <v>-0.578</v>
      </c>
      <c r="F1619" s="14" t="n">
        <v>-0.5</v>
      </c>
      <c r="G1619" s="14" t="n">
        <v>0.25</v>
      </c>
      <c r="H1619" s="14" t="n">
        <v>0.1947</v>
      </c>
      <c r="I1619" s="14" t="n">
        <v>0.211831402149405</v>
      </c>
      <c r="J1619" s="14" t="n">
        <v>0.352314887293297</v>
      </c>
      <c r="K1619" s="14" t="n">
        <v>0.522912810550462</v>
      </c>
      <c r="L1619" s="14" t="n">
        <v>0.777699456428299</v>
      </c>
      <c r="M1619" s="14" t="n">
        <v>2.429</v>
      </c>
      <c r="N1619" s="14" t="n">
        <v>2.5</v>
      </c>
      <c r="O1619" s="14" t="n">
        <v>2.589</v>
      </c>
      <c r="P1619" s="14" t="n">
        <v>2.736</v>
      </c>
      <c r="Q1619" s="14" t="n">
        <v>0.5</v>
      </c>
      <c r="R1619" s="14" t="n">
        <v>0.5</v>
      </c>
      <c r="S1619" s="14" t="n">
        <v>9.25</v>
      </c>
    </row>
    <row r="1620" customFormat="false" ht="15" hidden="false" customHeight="false" outlineLevel="0" collapsed="false">
      <c r="A1620" s="13" t="n">
        <v>44566</v>
      </c>
      <c r="B1620" s="14" t="n">
        <v>0.05</v>
      </c>
      <c r="C1620" s="14" t="n">
        <v>0.25</v>
      </c>
      <c r="D1620" s="14" t="n">
        <v>0</v>
      </c>
      <c r="E1620" s="14" t="n">
        <v>-0.578</v>
      </c>
      <c r="F1620" s="14" t="n">
        <v>-0.5</v>
      </c>
      <c r="G1620" s="14" t="n">
        <v>0.25</v>
      </c>
      <c r="H1620" s="14" t="n">
        <v>0.1948</v>
      </c>
      <c r="I1620" s="14" t="n">
        <v>0.220618163119747</v>
      </c>
      <c r="J1620" s="14" t="n">
        <v>0.353054186657453</v>
      </c>
      <c r="K1620" s="14" t="n">
        <v>0.52282230913575</v>
      </c>
      <c r="L1620" s="14" t="n">
        <v>0.783929289856929</v>
      </c>
      <c r="M1620" s="14" t="n">
        <v>2.429</v>
      </c>
      <c r="N1620" s="14" t="n">
        <v>2.5</v>
      </c>
      <c r="O1620" s="14" t="n">
        <v>2.588</v>
      </c>
      <c r="P1620" s="14" t="n">
        <v>2.737</v>
      </c>
      <c r="Q1620" s="14" t="n">
        <v>0.5</v>
      </c>
      <c r="R1620" s="14" t="n">
        <v>0.5</v>
      </c>
      <c r="S1620" s="14" t="n">
        <v>9.25</v>
      </c>
    </row>
    <row r="1621" customFormat="false" ht="15" hidden="false" customHeight="false" outlineLevel="0" collapsed="false">
      <c r="A1621" s="13" t="n">
        <v>44567</v>
      </c>
      <c r="B1621" s="14" t="n">
        <v>0.05</v>
      </c>
      <c r="C1621" s="14" t="n">
        <v>0.25</v>
      </c>
      <c r="D1621" s="14" t="n">
        <v>0</v>
      </c>
      <c r="E1621" s="14" t="n">
        <v>-0.578</v>
      </c>
      <c r="F1621" s="14" t="n">
        <v>-0.5</v>
      </c>
      <c r="G1621" s="14" t="n">
        <v>0.25</v>
      </c>
      <c r="H1621" s="14" t="n">
        <v>0.1947</v>
      </c>
      <c r="I1621" s="14" t="n">
        <v>0.223113345572053</v>
      </c>
      <c r="J1621" s="14" t="n">
        <v>0.360121124915823</v>
      </c>
      <c r="K1621" s="14" t="n">
        <v>0.536971242340669</v>
      </c>
      <c r="L1621" s="14" t="n">
        <v>0.8118134611975</v>
      </c>
      <c r="M1621" s="14" t="n">
        <v>2.429</v>
      </c>
      <c r="N1621" s="14" t="n">
        <v>2.5</v>
      </c>
      <c r="O1621" s="14" t="n">
        <v>2.584</v>
      </c>
      <c r="P1621" s="14" t="n">
        <v>2.734</v>
      </c>
      <c r="Q1621" s="14" t="n">
        <v>0.5</v>
      </c>
      <c r="R1621" s="14" t="n">
        <v>0.5</v>
      </c>
      <c r="S1621" s="14" t="n">
        <v>9.25</v>
      </c>
    </row>
    <row r="1622" customFormat="false" ht="15" hidden="false" customHeight="false" outlineLevel="0" collapsed="false">
      <c r="A1622" s="13" t="n">
        <v>44568</v>
      </c>
      <c r="B1622" s="14" t="n">
        <v>0.05</v>
      </c>
      <c r="C1622" s="14" t="n">
        <v>0.25</v>
      </c>
      <c r="D1622" s="14" t="n">
        <v>0</v>
      </c>
      <c r="E1622" s="14" t="n">
        <v>-0.58</v>
      </c>
      <c r="F1622" s="14" t="n">
        <v>-0.5</v>
      </c>
      <c r="G1622" s="14" t="n">
        <v>0.25</v>
      </c>
      <c r="H1622" s="14" t="n">
        <v>0.195</v>
      </c>
      <c r="I1622" s="14" t="n">
        <v>0.225516246189526</v>
      </c>
      <c r="J1622" s="14" t="n">
        <v>0.362921553019759</v>
      </c>
      <c r="K1622" s="14" t="n">
        <v>0.537035270735872</v>
      </c>
      <c r="L1622" s="14" t="n">
        <v>0.810342532177193</v>
      </c>
      <c r="M1622" s="14" t="n">
        <v>2.43</v>
      </c>
      <c r="N1622" s="14" t="n">
        <v>2.5</v>
      </c>
      <c r="O1622" s="14" t="n">
        <v>2.578</v>
      </c>
      <c r="P1622" s="14" t="n">
        <v>2.729</v>
      </c>
      <c r="Q1622" s="14" t="n">
        <v>0.5</v>
      </c>
      <c r="R1622" s="14" t="n">
        <v>0.5</v>
      </c>
      <c r="S1622" s="14" t="n">
        <v>9.25</v>
      </c>
    </row>
    <row r="1623" customFormat="false" ht="15" hidden="false" customHeight="false" outlineLevel="0" collapsed="false">
      <c r="A1623" s="13" t="n">
        <v>44571</v>
      </c>
      <c r="B1623" s="14" t="n">
        <v>0.05</v>
      </c>
      <c r="C1623" s="14" t="n">
        <v>0.25</v>
      </c>
      <c r="D1623" s="14" t="n">
        <v>0</v>
      </c>
      <c r="E1623" s="14" t="n">
        <v>-0.579</v>
      </c>
      <c r="F1623" s="14" t="n">
        <v>-0.5</v>
      </c>
      <c r="G1623" s="14" t="n">
        <v>0.25</v>
      </c>
      <c r="H1623" s="14" t="n">
        <v>0.1948</v>
      </c>
      <c r="I1623" s="14" t="n">
        <v>0.238608364358093</v>
      </c>
      <c r="J1623" s="14" t="n">
        <v>0.377239171929007</v>
      </c>
      <c r="K1623" s="14" t="n">
        <v>0.54842539655954</v>
      </c>
      <c r="L1623" s="14" t="n">
        <v>0.82352597669107</v>
      </c>
      <c r="M1623" s="14" t="n">
        <v>2.429</v>
      </c>
      <c r="N1623" s="14" t="n">
        <v>2.5</v>
      </c>
      <c r="O1623" s="14" t="n">
        <v>2.575</v>
      </c>
      <c r="P1623" s="14" t="n">
        <v>2.726</v>
      </c>
      <c r="Q1623" s="14" t="n">
        <v>0.5</v>
      </c>
      <c r="R1623" s="14" t="n">
        <v>0.5</v>
      </c>
      <c r="S1623" s="14" t="n">
        <v>9.25</v>
      </c>
    </row>
    <row r="1624" customFormat="false" ht="15" hidden="false" customHeight="false" outlineLevel="0" collapsed="false">
      <c r="A1624" s="13" t="n">
        <v>44572</v>
      </c>
      <c r="B1624" s="14" t="n">
        <v>0.05</v>
      </c>
      <c r="C1624" s="14" t="n">
        <v>0.25</v>
      </c>
      <c r="D1624" s="14" t="n">
        <v>0</v>
      </c>
      <c r="E1624" s="14" t="n">
        <v>-0.579</v>
      </c>
      <c r="F1624" s="14" t="n">
        <v>-0.5</v>
      </c>
      <c r="G1624" s="14" t="n">
        <v>0.25</v>
      </c>
      <c r="H1624" s="14" t="n">
        <v>0.1952</v>
      </c>
      <c r="I1624" s="14" t="n">
        <v>0.244088417473708</v>
      </c>
      <c r="J1624" s="14" t="n">
        <v>0.384920298742987</v>
      </c>
      <c r="K1624" s="14" t="n">
        <v>0.55492397951919</v>
      </c>
      <c r="L1624" s="14" t="n">
        <v>0.829293109662946</v>
      </c>
      <c r="M1624" s="14" t="n">
        <v>2.429</v>
      </c>
      <c r="N1624" s="14" t="n">
        <v>2.5</v>
      </c>
      <c r="O1624" s="14" t="n">
        <v>2.574</v>
      </c>
      <c r="P1624" s="14" t="n">
        <v>2.726</v>
      </c>
      <c r="Q1624" s="14" t="n">
        <v>0.5</v>
      </c>
      <c r="R1624" s="14" t="n">
        <v>0.5</v>
      </c>
      <c r="S1624" s="14" t="n">
        <v>9.25</v>
      </c>
    </row>
    <row r="1625" customFormat="false" ht="15" hidden="false" customHeight="false" outlineLevel="0" collapsed="false">
      <c r="A1625" s="13" t="n">
        <v>44573</v>
      </c>
      <c r="B1625" s="14" t="n">
        <v>0.05</v>
      </c>
      <c r="C1625" s="14" t="n">
        <v>0.25</v>
      </c>
      <c r="D1625" s="14" t="n">
        <v>0</v>
      </c>
      <c r="E1625" s="14" t="n">
        <v>-0.578</v>
      </c>
      <c r="F1625" s="14" t="n">
        <v>-0.5</v>
      </c>
      <c r="G1625" s="14" t="n">
        <v>0.25</v>
      </c>
      <c r="H1625" s="14" t="n">
        <v>0.1958</v>
      </c>
      <c r="I1625" s="14" t="n">
        <v>0.249596634537893</v>
      </c>
      <c r="J1625" s="14" t="n">
        <v>0.389365740780724</v>
      </c>
      <c r="K1625" s="14" t="n">
        <v>0.556217621283831</v>
      </c>
      <c r="L1625" s="14" t="n">
        <v>0.818713339435271</v>
      </c>
      <c r="M1625" s="14" t="n">
        <v>2.428</v>
      </c>
      <c r="N1625" s="14" t="n">
        <v>2.5</v>
      </c>
      <c r="O1625" s="14" t="n">
        <v>2.57</v>
      </c>
      <c r="P1625" s="14" t="n">
        <v>2.724</v>
      </c>
      <c r="Q1625" s="14" t="n">
        <v>0.5</v>
      </c>
      <c r="R1625" s="14" t="n">
        <v>0.5</v>
      </c>
      <c r="S1625" s="14" t="n">
        <v>9.25</v>
      </c>
    </row>
    <row r="1626" customFormat="false" ht="15" hidden="false" customHeight="false" outlineLevel="0" collapsed="false">
      <c r="A1626" s="13" t="n">
        <v>44574</v>
      </c>
      <c r="B1626" s="14" t="n">
        <v>0.05</v>
      </c>
      <c r="C1626" s="14" t="n">
        <v>0.25</v>
      </c>
      <c r="D1626" s="14" t="n">
        <v>0</v>
      </c>
      <c r="E1626" s="14" t="n">
        <v>-0.578</v>
      </c>
      <c r="F1626" s="14" t="n">
        <v>-0.5</v>
      </c>
      <c r="G1626" s="14" t="n">
        <v>0.25</v>
      </c>
      <c r="H1626" s="14" t="n">
        <v>0.1959</v>
      </c>
      <c r="I1626" s="14" t="n">
        <v>0.252967177583655</v>
      </c>
      <c r="J1626" s="14" t="n">
        <v>0.388500510699302</v>
      </c>
      <c r="K1626" s="14" t="n">
        <v>0.548717236240609</v>
      </c>
      <c r="L1626" s="14" t="n">
        <v>0.804391096582515</v>
      </c>
      <c r="M1626" s="14" t="n">
        <v>2.427</v>
      </c>
      <c r="N1626" s="14" t="n">
        <v>2.5</v>
      </c>
      <c r="O1626" s="14" t="n">
        <v>2.569</v>
      </c>
      <c r="P1626" s="14" t="n">
        <v>2.721</v>
      </c>
      <c r="Q1626" s="14" t="n">
        <v>0.5</v>
      </c>
      <c r="R1626" s="14" t="n">
        <v>0.5</v>
      </c>
      <c r="S1626" s="14" t="n">
        <v>9.25</v>
      </c>
    </row>
    <row r="1627" customFormat="false" ht="15" hidden="false" customHeight="false" outlineLevel="0" collapsed="false">
      <c r="A1627" s="13" t="n">
        <v>44575</v>
      </c>
      <c r="B1627" s="14" t="n">
        <v>0.05</v>
      </c>
      <c r="C1627" s="14" t="n">
        <v>0.25</v>
      </c>
      <c r="D1627" s="14" t="n">
        <v>0</v>
      </c>
      <c r="E1627" s="14" t="n">
        <v>-0.578</v>
      </c>
      <c r="F1627" s="14" t="n">
        <v>-0.5</v>
      </c>
      <c r="G1627" s="14" t="n">
        <v>0.25</v>
      </c>
      <c r="H1627" s="14" t="n">
        <v>0.1959</v>
      </c>
      <c r="I1627" s="14" t="n">
        <v>0.26227240031631</v>
      </c>
      <c r="J1627" s="14" t="n">
        <v>0.399431583330656</v>
      </c>
      <c r="K1627" s="14" t="n">
        <v>0.561826762599732</v>
      </c>
      <c r="L1627" s="14" t="n">
        <v>0.82321902922956</v>
      </c>
      <c r="M1627" s="14" t="n">
        <v>2.429</v>
      </c>
      <c r="N1627" s="14" t="n">
        <v>2.5</v>
      </c>
      <c r="O1627" s="14" t="n">
        <v>2.564</v>
      </c>
      <c r="P1627" s="14" t="n">
        <v>2.718</v>
      </c>
      <c r="Q1627" s="14" t="n">
        <v>0.5</v>
      </c>
      <c r="R1627" s="14" t="n">
        <v>0.5</v>
      </c>
      <c r="S1627" s="14" t="n">
        <v>9.25</v>
      </c>
    </row>
    <row r="1628" customFormat="false" ht="15" hidden="false" customHeight="false" outlineLevel="0" collapsed="false">
      <c r="A1628" s="13" t="n">
        <v>44578</v>
      </c>
      <c r="C1628" s="14" t="n">
        <v>0.25</v>
      </c>
      <c r="D1628" s="14" t="n">
        <v>0</v>
      </c>
      <c r="E1628" s="14" t="n">
        <v>-0.578</v>
      </c>
      <c r="F1628" s="14" t="n">
        <v>-0.5</v>
      </c>
      <c r="G1628" s="14" t="n">
        <v>0.25</v>
      </c>
      <c r="H1628" s="14" t="n">
        <v>0.196</v>
      </c>
      <c r="I1628" s="14" t="n">
        <v>0.285211824653901</v>
      </c>
      <c r="J1628" s="14" t="n">
        <v>0.414666535843043</v>
      </c>
      <c r="K1628" s="14" t="n">
        <v>0.578186497721082</v>
      </c>
      <c r="L1628" s="14" t="n">
        <v>0.843938700642756</v>
      </c>
      <c r="M1628" s="14" t="n">
        <v>2.428</v>
      </c>
      <c r="N1628" s="14" t="n">
        <v>2.499</v>
      </c>
      <c r="O1628" s="14" t="n">
        <v>2.555</v>
      </c>
      <c r="P1628" s="14" t="n">
        <v>2.711</v>
      </c>
      <c r="Q1628" s="14" t="n">
        <v>0.5</v>
      </c>
      <c r="R1628" s="14" t="n">
        <v>0.5</v>
      </c>
      <c r="S1628" s="14" t="n">
        <v>9.25</v>
      </c>
    </row>
    <row r="1629" customFormat="false" ht="15" hidden="false" customHeight="false" outlineLevel="0" collapsed="false">
      <c r="A1629" s="13" t="n">
        <v>44579</v>
      </c>
      <c r="B1629" s="14" t="n">
        <v>0.05</v>
      </c>
      <c r="C1629" s="14" t="n">
        <v>0.25</v>
      </c>
      <c r="D1629" s="14" t="n">
        <v>0</v>
      </c>
      <c r="E1629" s="14" t="n">
        <v>-0.579</v>
      </c>
      <c r="F1629" s="14" t="n">
        <v>-0.5</v>
      </c>
      <c r="G1629" s="14" t="n">
        <v>0.25</v>
      </c>
      <c r="H1629" s="14" t="n">
        <v>0.1959</v>
      </c>
      <c r="I1629" s="14" t="n">
        <v>0.292047331662526</v>
      </c>
      <c r="J1629" s="14" t="n">
        <v>0.420374953296606</v>
      </c>
      <c r="K1629" s="14" t="n">
        <v>0.588778418309726</v>
      </c>
      <c r="L1629" s="14" t="n">
        <v>0.864763230935447</v>
      </c>
      <c r="M1629" s="14" t="n">
        <v>2.427</v>
      </c>
      <c r="N1629" s="14" t="n">
        <v>2.493</v>
      </c>
      <c r="O1629" s="14" t="n">
        <v>2.548</v>
      </c>
      <c r="P1629" s="14" t="n">
        <v>2.706</v>
      </c>
      <c r="Q1629" s="14" t="n">
        <v>0.5</v>
      </c>
      <c r="R1629" s="14" t="n">
        <v>0.5</v>
      </c>
      <c r="S1629" s="14" t="n">
        <v>9.25</v>
      </c>
    </row>
    <row r="1630" customFormat="false" ht="15" hidden="false" customHeight="false" outlineLevel="0" collapsed="false">
      <c r="A1630" s="13" t="n">
        <v>44580</v>
      </c>
      <c r="B1630" s="14" t="n">
        <v>0.05</v>
      </c>
      <c r="C1630" s="14" t="n">
        <v>0.25</v>
      </c>
      <c r="D1630" s="14" t="n">
        <v>0</v>
      </c>
      <c r="E1630" s="14" t="n">
        <v>-0.578</v>
      </c>
      <c r="F1630" s="14" t="n">
        <v>-0.5</v>
      </c>
      <c r="G1630" s="14" t="n">
        <v>0.25</v>
      </c>
      <c r="H1630" s="14" t="n">
        <v>0.1964</v>
      </c>
      <c r="I1630" s="14" t="n">
        <v>0.309755494977054</v>
      </c>
      <c r="J1630" s="14" t="n">
        <v>0.446246005140614</v>
      </c>
      <c r="K1630" s="14" t="n">
        <v>0.621465970985564</v>
      </c>
      <c r="L1630" s="14" t="n">
        <v>0.906307822729843</v>
      </c>
      <c r="M1630" s="14" t="n">
        <v>2.422</v>
      </c>
      <c r="N1630" s="14" t="n">
        <v>2.483</v>
      </c>
      <c r="O1630" s="14" t="n">
        <v>2.534</v>
      </c>
      <c r="P1630" s="14" t="n">
        <v>2.696</v>
      </c>
      <c r="Q1630" s="14" t="n">
        <v>0.5</v>
      </c>
      <c r="R1630" s="14" t="n">
        <v>0.5</v>
      </c>
      <c r="S1630" s="14" t="n">
        <v>9.25</v>
      </c>
    </row>
    <row r="1631" customFormat="false" ht="15" hidden="false" customHeight="false" outlineLevel="0" collapsed="false">
      <c r="A1631" s="13" t="n">
        <v>44581</v>
      </c>
      <c r="B1631" s="14" t="n">
        <v>0.04</v>
      </c>
      <c r="C1631" s="14" t="n">
        <v>0.25</v>
      </c>
      <c r="D1631" s="14" t="n">
        <v>0</v>
      </c>
      <c r="E1631" s="14" t="n">
        <v>-0.579</v>
      </c>
      <c r="F1631" s="14" t="n">
        <v>-0.5</v>
      </c>
      <c r="G1631" s="14" t="n">
        <v>0.25</v>
      </c>
      <c r="H1631" s="14" t="n">
        <v>0.1966</v>
      </c>
      <c r="I1631" s="14" t="n">
        <v>0.315001954346147</v>
      </c>
      <c r="J1631" s="14" t="n">
        <v>0.446320215401236</v>
      </c>
      <c r="K1631" s="14" t="n">
        <v>0.618724705931986</v>
      </c>
      <c r="L1631" s="14" t="n">
        <v>0.902439141706298</v>
      </c>
      <c r="M1631" s="14" t="n">
        <v>2.418</v>
      </c>
      <c r="N1631" s="14" t="n">
        <v>2.471</v>
      </c>
      <c r="O1631" s="14" t="n">
        <v>2.526</v>
      </c>
      <c r="P1631" s="14" t="n">
        <v>2.686</v>
      </c>
      <c r="Q1631" s="14" t="n">
        <v>0.5</v>
      </c>
      <c r="R1631" s="14" t="n">
        <v>0.5</v>
      </c>
      <c r="S1631" s="14" t="n">
        <v>9.25</v>
      </c>
    </row>
    <row r="1632" customFormat="false" ht="15" hidden="false" customHeight="false" outlineLevel="0" collapsed="false">
      <c r="A1632" s="13" t="n">
        <v>44582</v>
      </c>
      <c r="B1632" s="14" t="n">
        <v>0.05</v>
      </c>
      <c r="C1632" s="14" t="n">
        <v>0.25</v>
      </c>
      <c r="D1632" s="14" t="n">
        <v>0</v>
      </c>
      <c r="E1632" s="14" t="n">
        <v>-0.579</v>
      </c>
      <c r="F1632" s="14" t="n">
        <v>-0.5</v>
      </c>
      <c r="G1632" s="14" t="n">
        <v>0.25</v>
      </c>
      <c r="H1632" s="14" t="n">
        <v>0.1967</v>
      </c>
      <c r="I1632" s="14" t="n">
        <v>0.318573826969536</v>
      </c>
      <c r="J1632" s="14" t="n">
        <v>0.44232888366496</v>
      </c>
      <c r="K1632" s="14" t="n">
        <v>0.611175130784889</v>
      </c>
      <c r="L1632" s="14" t="n">
        <v>0.881677804304027</v>
      </c>
      <c r="M1632" s="14" t="n">
        <v>2.417</v>
      </c>
      <c r="N1632" s="14" t="n">
        <v>2.466</v>
      </c>
      <c r="O1632" s="14" t="n">
        <v>2.521</v>
      </c>
      <c r="P1632" s="14" t="n">
        <v>2.682</v>
      </c>
      <c r="Q1632" s="14" t="n">
        <v>0.5</v>
      </c>
      <c r="R1632" s="14" t="n">
        <v>0.5</v>
      </c>
      <c r="S1632" s="14" t="n">
        <v>9.25</v>
      </c>
    </row>
    <row r="1633" customFormat="false" ht="15" hidden="false" customHeight="false" outlineLevel="0" collapsed="false">
      <c r="A1633" s="13" t="n">
        <v>44585</v>
      </c>
      <c r="B1633" s="14" t="n">
        <v>0.04</v>
      </c>
      <c r="C1633" s="14" t="n">
        <v>0.25</v>
      </c>
      <c r="D1633" s="14" t="n">
        <v>0</v>
      </c>
      <c r="E1633" s="14" t="n">
        <v>-0.579</v>
      </c>
      <c r="F1633" s="14" t="n">
        <v>-0.5</v>
      </c>
      <c r="G1633" s="14" t="n">
        <v>0.25</v>
      </c>
      <c r="H1633" s="14" t="n">
        <v>0.1955</v>
      </c>
      <c r="I1633" s="14" t="n">
        <v>0.341270626656641</v>
      </c>
      <c r="J1633" s="14" t="n">
        <v>0.459152066207596</v>
      </c>
      <c r="K1633" s="14" t="n">
        <v>0.62764376925035</v>
      </c>
      <c r="L1633" s="14" t="n">
        <v>0.885852276255218</v>
      </c>
      <c r="M1633" s="14" t="n">
        <v>2.418</v>
      </c>
      <c r="N1633" s="14" t="n">
        <v>2.465</v>
      </c>
      <c r="O1633" s="14" t="n">
        <v>2.517</v>
      </c>
      <c r="P1633" s="14" t="n">
        <v>2.678</v>
      </c>
      <c r="Q1633" s="14" t="n">
        <v>0.5</v>
      </c>
      <c r="R1633" s="14" t="n">
        <v>0.5</v>
      </c>
      <c r="S1633" s="14" t="n">
        <v>9.25</v>
      </c>
    </row>
    <row r="1634" customFormat="false" ht="15" hidden="false" customHeight="false" outlineLevel="0" collapsed="false">
      <c r="A1634" s="13" t="n">
        <v>44586</v>
      </c>
      <c r="B1634" s="14" t="n">
        <v>0.05</v>
      </c>
      <c r="C1634" s="14" t="n">
        <v>0.25</v>
      </c>
      <c r="D1634" s="14" t="n">
        <v>0</v>
      </c>
      <c r="E1634" s="14" t="n">
        <v>-0.578</v>
      </c>
      <c r="F1634" s="14" t="n">
        <v>-0.5</v>
      </c>
      <c r="G1634" s="14" t="n">
        <v>0.25</v>
      </c>
      <c r="H1634" s="14" t="n">
        <v>0.1954</v>
      </c>
      <c r="I1634" s="14" t="n">
        <v>0.351199721110411</v>
      </c>
      <c r="J1634" s="14" t="n">
        <v>0.46843967630963</v>
      </c>
      <c r="K1634" s="14" t="n">
        <v>0.641151641280722</v>
      </c>
      <c r="L1634" s="14" t="n">
        <v>0.909277156900002</v>
      </c>
      <c r="M1634" s="14" t="n">
        <v>2.419</v>
      </c>
      <c r="N1634" s="14" t="n">
        <v>2.464</v>
      </c>
      <c r="O1634" s="14" t="n">
        <v>2.513</v>
      </c>
      <c r="P1634" s="14" t="n">
        <v>2.674</v>
      </c>
      <c r="Q1634" s="14" t="n">
        <v>0.5</v>
      </c>
      <c r="R1634" s="14" t="n">
        <v>0.5</v>
      </c>
      <c r="S1634" s="14" t="n">
        <v>9.25</v>
      </c>
    </row>
    <row r="1635" customFormat="false" ht="15" hidden="false" customHeight="false" outlineLevel="0" collapsed="false">
      <c r="A1635" s="13" t="n">
        <v>44587</v>
      </c>
      <c r="B1635" s="14" t="n">
        <v>0.04</v>
      </c>
      <c r="C1635" s="14" t="n">
        <v>0.25</v>
      </c>
      <c r="D1635" s="14" t="n">
        <v>0</v>
      </c>
      <c r="E1635" s="14" t="n">
        <v>-0.576</v>
      </c>
      <c r="F1635" s="14" t="n">
        <v>-0.5</v>
      </c>
      <c r="G1635" s="14" t="n">
        <v>0.25</v>
      </c>
      <c r="H1635" s="14" t="n">
        <v>0.1956</v>
      </c>
      <c r="I1635" s="14" t="n">
        <v>0.358513125840164</v>
      </c>
      <c r="J1635" s="14" t="n">
        <v>0.474101961821209</v>
      </c>
      <c r="K1635" s="14" t="n">
        <v>0.649006873375671</v>
      </c>
      <c r="L1635" s="14" t="n">
        <v>0.92439738116823</v>
      </c>
      <c r="M1635" s="14" t="n">
        <v>2.419</v>
      </c>
      <c r="N1635" s="14" t="n">
        <v>2.46</v>
      </c>
      <c r="O1635" s="14" t="n">
        <v>2.508</v>
      </c>
      <c r="P1635" s="14" t="n">
        <v>2.668</v>
      </c>
      <c r="Q1635" s="14" t="n">
        <v>0.5</v>
      </c>
      <c r="R1635" s="14" t="n">
        <v>0.5</v>
      </c>
      <c r="S1635" s="14" t="n">
        <v>9.25</v>
      </c>
    </row>
    <row r="1636" customFormat="false" ht="15" hidden="false" customHeight="false" outlineLevel="0" collapsed="false">
      <c r="A1636" s="13" t="n">
        <v>44588</v>
      </c>
      <c r="B1636" s="14" t="n">
        <v>0.04</v>
      </c>
      <c r="C1636" s="14" t="n">
        <v>0.25</v>
      </c>
      <c r="D1636" s="14" t="n">
        <v>0</v>
      </c>
      <c r="E1636" s="14" t="n">
        <v>-0.573</v>
      </c>
      <c r="F1636" s="14" t="n">
        <v>-0.5</v>
      </c>
      <c r="G1636" s="14" t="n">
        <v>0.25</v>
      </c>
      <c r="H1636" s="14" t="n">
        <v>0.1957</v>
      </c>
      <c r="I1636" s="14" t="n">
        <v>0.374432307060568</v>
      </c>
      <c r="J1636" s="14" t="n">
        <v>0.495987083735034</v>
      </c>
      <c r="K1636" s="14" t="n">
        <v>0.679490982396786</v>
      </c>
      <c r="L1636" s="14" t="n">
        <v>0.968611331182464</v>
      </c>
      <c r="M1636" s="14" t="n">
        <v>2.418</v>
      </c>
      <c r="N1636" s="14" t="n">
        <v>2.457</v>
      </c>
      <c r="O1636" s="14" t="n">
        <v>2.504</v>
      </c>
      <c r="P1636" s="14" t="n">
        <v>2.664</v>
      </c>
      <c r="Q1636" s="14" t="n">
        <v>0.5</v>
      </c>
      <c r="R1636" s="14" t="n">
        <v>0.5</v>
      </c>
      <c r="S1636" s="14" t="n">
        <v>9.25</v>
      </c>
    </row>
    <row r="1637" customFormat="false" ht="15" hidden="false" customHeight="false" outlineLevel="0" collapsed="false">
      <c r="A1637" s="13" t="n">
        <v>44589</v>
      </c>
      <c r="B1637" s="14" t="n">
        <v>0.05</v>
      </c>
      <c r="C1637" s="14" t="n">
        <v>0.25</v>
      </c>
      <c r="D1637" s="14" t="n">
        <v>0</v>
      </c>
      <c r="E1637" s="14" t="n">
        <v>-0.573</v>
      </c>
      <c r="F1637" s="14" t="n">
        <v>-0.5</v>
      </c>
      <c r="G1637" s="14" t="n">
        <v>0.25</v>
      </c>
      <c r="H1637" s="14" t="n">
        <v>0.1957</v>
      </c>
      <c r="I1637" s="14" t="n">
        <v>0.381171935256702</v>
      </c>
      <c r="J1637" s="14" t="n">
        <v>0.503146180339106</v>
      </c>
      <c r="K1637" s="14" t="n">
        <v>0.693967861542478</v>
      </c>
      <c r="L1637" s="14" t="n">
        <v>0.990531635014586</v>
      </c>
      <c r="M1637" s="14" t="n">
        <v>2.419</v>
      </c>
      <c r="N1637" s="14" t="n">
        <v>2.457</v>
      </c>
      <c r="O1637" s="14" t="n">
        <v>2.5</v>
      </c>
      <c r="P1637" s="14" t="n">
        <v>2.66</v>
      </c>
      <c r="Q1637" s="14" t="n">
        <v>0.5</v>
      </c>
      <c r="R1637" s="14" t="n">
        <v>0.5</v>
      </c>
      <c r="S1637" s="14" t="n">
        <v>9.25</v>
      </c>
    </row>
    <row r="1638" customFormat="false" ht="15" hidden="false" customHeight="false" outlineLevel="0" collapsed="false">
      <c r="A1638" s="13" t="n">
        <v>44590</v>
      </c>
      <c r="C1638" s="14" t="n">
        <v>0.25</v>
      </c>
      <c r="D1638" s="14" t="n">
        <v>0</v>
      </c>
      <c r="F1638" s="14" t="n">
        <v>-0.5</v>
      </c>
      <c r="M1638" s="14" t="n">
        <v>2.417</v>
      </c>
      <c r="N1638" s="14" t="n">
        <v>2.456</v>
      </c>
      <c r="O1638" s="14" t="n">
        <v>2.498</v>
      </c>
      <c r="P1638" s="14" t="n">
        <v>2.659</v>
      </c>
      <c r="S1638" s="14" t="n">
        <v>9.25</v>
      </c>
    </row>
    <row r="1639" customFormat="false" ht="15" hidden="false" customHeight="false" outlineLevel="0" collapsed="false">
      <c r="A1639" s="13" t="n">
        <v>44591</v>
      </c>
      <c r="C1639" s="14" t="n">
        <v>0.25</v>
      </c>
      <c r="D1639" s="14" t="n">
        <v>0</v>
      </c>
      <c r="F1639" s="14" t="n">
        <v>-0.5</v>
      </c>
      <c r="M1639" s="14" t="n">
        <v>2.417</v>
      </c>
      <c r="N1639" s="14" t="n">
        <v>2.456</v>
      </c>
      <c r="O1639" s="14" t="n">
        <v>2.498</v>
      </c>
      <c r="P1639" s="14" t="n">
        <v>2.658</v>
      </c>
      <c r="S1639" s="14" t="n">
        <v>9.25</v>
      </c>
    </row>
    <row r="1640" customFormat="false" ht="15" hidden="false" customHeight="false" outlineLevel="0" collapsed="false">
      <c r="A1640" s="13" t="n">
        <v>44592</v>
      </c>
      <c r="B1640" s="14" t="n">
        <v>0.05</v>
      </c>
      <c r="C1640" s="14" t="n">
        <v>0.25</v>
      </c>
      <c r="D1640" s="14" t="n">
        <v>0</v>
      </c>
      <c r="E1640" s="14" t="n">
        <v>-0.579</v>
      </c>
      <c r="F1640" s="14" t="n">
        <v>-0.5</v>
      </c>
      <c r="G1640" s="14" t="n">
        <v>0.25</v>
      </c>
      <c r="H1640" s="14" t="n">
        <v>0.1989</v>
      </c>
      <c r="I1640" s="14" t="n">
        <v>0.414308990873809</v>
      </c>
      <c r="J1640" s="14" t="n">
        <v>0.531900002831417</v>
      </c>
      <c r="K1640" s="14" t="n">
        <v>0.732895403549111</v>
      </c>
      <c r="L1640" s="14" t="n">
        <v>1.04206574431275</v>
      </c>
      <c r="Q1640" s="14" t="n">
        <v>0.5</v>
      </c>
      <c r="R1640" s="14" t="n">
        <v>0.5</v>
      </c>
      <c r="S1640" s="14" t="n">
        <v>9.25</v>
      </c>
    </row>
    <row r="1641" customFormat="false" ht="15" hidden="false" customHeight="false" outlineLevel="0" collapsed="false">
      <c r="A1641" s="13" t="n">
        <v>44593</v>
      </c>
      <c r="B1641" s="14" t="n">
        <v>0.05</v>
      </c>
      <c r="C1641" s="14" t="n">
        <v>0.25</v>
      </c>
      <c r="D1641" s="14" t="n">
        <v>0</v>
      </c>
      <c r="E1641" s="14" t="n">
        <v>-0.578</v>
      </c>
      <c r="F1641" s="14" t="n">
        <v>-0.5</v>
      </c>
      <c r="G1641" s="14" t="n">
        <v>0.25</v>
      </c>
      <c r="H1641" s="14" t="n">
        <v>0.1957</v>
      </c>
      <c r="I1641" s="14" t="n">
        <v>0.424292033397021</v>
      </c>
      <c r="J1641" s="14" t="n">
        <v>0.538114894783345</v>
      </c>
      <c r="K1641" s="14" t="n">
        <v>0.732473506089671</v>
      </c>
      <c r="L1641" s="14" t="n">
        <v>1.03022026074927</v>
      </c>
      <c r="Q1641" s="14" t="n">
        <v>0.5</v>
      </c>
      <c r="R1641" s="14" t="n">
        <v>0.5</v>
      </c>
      <c r="S1641" s="14" t="n">
        <v>9.25</v>
      </c>
    </row>
    <row r="1642" customFormat="false" ht="15" hidden="false" customHeight="false" outlineLevel="0" collapsed="false">
      <c r="A1642" s="13" t="n">
        <v>44594</v>
      </c>
      <c r="B1642" s="14" t="n">
        <v>0.05</v>
      </c>
      <c r="C1642" s="14" t="n">
        <v>0.25</v>
      </c>
      <c r="D1642" s="14" t="n">
        <v>0</v>
      </c>
      <c r="E1642" s="14" t="n">
        <v>-0.578</v>
      </c>
      <c r="F1642" s="14" t="n">
        <v>-0.5</v>
      </c>
      <c r="G1642" s="14" t="n">
        <v>0.25</v>
      </c>
      <c r="H1642" s="14" t="n">
        <v>0.196</v>
      </c>
      <c r="I1642" s="14" t="n">
        <v>0.436532733359772</v>
      </c>
      <c r="J1642" s="14" t="n">
        <v>0.545432508854886</v>
      </c>
      <c r="K1642" s="14" t="n">
        <v>0.730672392641517</v>
      </c>
      <c r="L1642" s="14" t="n">
        <v>1.01562161457211</v>
      </c>
      <c r="Q1642" s="14" t="n">
        <v>0.5</v>
      </c>
      <c r="R1642" s="14" t="n">
        <v>0.5</v>
      </c>
      <c r="S1642" s="14" t="n">
        <v>9.25</v>
      </c>
    </row>
    <row r="1643" customFormat="false" ht="15" hidden="false" customHeight="false" outlineLevel="0" collapsed="false">
      <c r="A1643" s="13" t="n">
        <v>44595</v>
      </c>
      <c r="B1643" s="14" t="n">
        <v>0.05</v>
      </c>
      <c r="C1643" s="14" t="n">
        <v>0.25</v>
      </c>
      <c r="D1643" s="14" t="n">
        <v>0</v>
      </c>
      <c r="E1643" s="14" t="n">
        <v>-0.577</v>
      </c>
      <c r="F1643" s="14" t="n">
        <v>-0.5</v>
      </c>
      <c r="G1643" s="14" t="n">
        <v>0.5</v>
      </c>
      <c r="H1643" s="14" t="n">
        <v>0.4403</v>
      </c>
      <c r="I1643" s="14" t="n">
        <v>0.454172573018582</v>
      </c>
      <c r="J1643" s="14" t="n">
        <v>0.628005530908792</v>
      </c>
      <c r="K1643" s="14" t="n">
        <v>0.883340838008638</v>
      </c>
      <c r="L1643" s="14" t="n">
        <v>1.19932310405415</v>
      </c>
      <c r="Q1643" s="14" t="n">
        <v>0.5</v>
      </c>
      <c r="R1643" s="14" t="n">
        <v>0.5</v>
      </c>
      <c r="S1643" s="14" t="n">
        <v>10.75</v>
      </c>
    </row>
    <row r="1644" customFormat="false" ht="15" hidden="false" customHeight="false" outlineLevel="0" collapsed="false">
      <c r="A1644" s="13" t="n">
        <v>44596</v>
      </c>
      <c r="B1644" s="14" t="n">
        <v>0.05</v>
      </c>
      <c r="C1644" s="14" t="n">
        <v>0.25</v>
      </c>
      <c r="D1644" s="14" t="n">
        <v>0</v>
      </c>
      <c r="E1644" s="14" t="n">
        <v>-0.578</v>
      </c>
      <c r="F1644" s="14" t="n">
        <v>-0.5</v>
      </c>
      <c r="G1644" s="14" t="n">
        <v>0.5</v>
      </c>
      <c r="H1644" s="14" t="n">
        <v>0.4453</v>
      </c>
      <c r="I1644" s="14" t="n">
        <v>0.459043861010054</v>
      </c>
      <c r="J1644" s="14" t="n">
        <v>0.668054145899656</v>
      </c>
      <c r="K1644" s="14" t="n">
        <v>0.955016633562216</v>
      </c>
      <c r="L1644" s="14" t="n">
        <v>1.29280037864093</v>
      </c>
      <c r="Q1644" s="14" t="n">
        <v>0.5</v>
      </c>
      <c r="R1644" s="14" t="n">
        <v>0.5</v>
      </c>
      <c r="S1644" s="14" t="n">
        <v>10.75</v>
      </c>
    </row>
    <row r="1645" customFormat="false" ht="15" hidden="false" customHeight="false" outlineLevel="0" collapsed="false">
      <c r="A1645" s="13" t="n">
        <v>44599</v>
      </c>
      <c r="B1645" s="14" t="n">
        <v>0.05</v>
      </c>
      <c r="C1645" s="14" t="n">
        <v>0.25</v>
      </c>
      <c r="D1645" s="14" t="n">
        <v>0</v>
      </c>
      <c r="E1645" s="14" t="n">
        <v>-0.578</v>
      </c>
      <c r="F1645" s="14" t="n">
        <v>-0.5</v>
      </c>
      <c r="G1645" s="14" t="n">
        <v>0.5</v>
      </c>
      <c r="H1645" s="14" t="n">
        <v>0.4457</v>
      </c>
      <c r="I1645" s="14" t="n">
        <v>0.462405129180223</v>
      </c>
      <c r="J1645" s="14" t="n">
        <v>0.671436294177993</v>
      </c>
      <c r="K1645" s="14" t="n">
        <v>0.953036501991538</v>
      </c>
      <c r="L1645" s="14" t="n">
        <v>1.2902903452731</v>
      </c>
      <c r="M1645" s="14" t="n">
        <v>2.407</v>
      </c>
      <c r="N1645" s="14" t="n">
        <v>2.454</v>
      </c>
      <c r="O1645" s="14" t="n">
        <v>2.498</v>
      </c>
      <c r="P1645" s="14" t="n">
        <v>2.657</v>
      </c>
      <c r="Q1645" s="14" t="n">
        <v>0.5</v>
      </c>
      <c r="R1645" s="14" t="n">
        <v>0.5</v>
      </c>
      <c r="S1645" s="14" t="n">
        <v>10.75</v>
      </c>
    </row>
    <row r="1646" customFormat="false" ht="15" hidden="false" customHeight="false" outlineLevel="0" collapsed="false">
      <c r="A1646" s="13" t="n">
        <v>44600</v>
      </c>
      <c r="B1646" s="14" t="n">
        <v>0.05</v>
      </c>
      <c r="C1646" s="14" t="n">
        <v>0.25</v>
      </c>
      <c r="D1646" s="14" t="n">
        <v>0</v>
      </c>
      <c r="E1646" s="14" t="n">
        <v>-0.574</v>
      </c>
      <c r="F1646" s="14" t="n">
        <v>-0.5</v>
      </c>
      <c r="G1646" s="14" t="n">
        <v>0.5</v>
      </c>
      <c r="H1646" s="14" t="n">
        <v>0.4448</v>
      </c>
      <c r="I1646" s="14" t="n">
        <v>0.464221881789494</v>
      </c>
      <c r="J1646" s="14" t="n">
        <v>0.676959695034918</v>
      </c>
      <c r="K1646" s="14" t="n">
        <v>0.962389278420835</v>
      </c>
      <c r="L1646" s="14" t="n">
        <v>1.31657693645136</v>
      </c>
      <c r="M1646" s="14" t="n">
        <v>2.4</v>
      </c>
      <c r="N1646" s="14" t="n">
        <v>2.448</v>
      </c>
      <c r="O1646" s="14" t="n">
        <v>2.496</v>
      </c>
      <c r="P1646" s="14" t="n">
        <v>2.655</v>
      </c>
      <c r="Q1646" s="14" t="n">
        <v>0.5</v>
      </c>
      <c r="R1646" s="14" t="n">
        <v>0.5</v>
      </c>
      <c r="S1646" s="14" t="n">
        <v>10.75</v>
      </c>
    </row>
    <row r="1647" customFormat="false" ht="15" hidden="false" customHeight="false" outlineLevel="0" collapsed="false">
      <c r="A1647" s="13" t="n">
        <v>44601</v>
      </c>
      <c r="B1647" s="14" t="n">
        <v>0.04</v>
      </c>
      <c r="C1647" s="14" t="n">
        <v>0.25</v>
      </c>
      <c r="D1647" s="14" t="n">
        <v>0</v>
      </c>
      <c r="E1647" s="14" t="n">
        <v>-0.578</v>
      </c>
      <c r="F1647" s="14" t="n">
        <v>-0.5</v>
      </c>
      <c r="G1647" s="14" t="n">
        <v>0.5</v>
      </c>
      <c r="H1647" s="14" t="n">
        <v>0.445</v>
      </c>
      <c r="I1647" s="14" t="n">
        <v>0.46506658298729</v>
      </c>
      <c r="J1647" s="14" t="n">
        <v>0.674076852322769</v>
      </c>
      <c r="K1647" s="14" t="n">
        <v>0.956727469076518</v>
      </c>
      <c r="L1647" s="14" t="n">
        <v>1.30985576145753</v>
      </c>
      <c r="M1647" s="14" t="n">
        <v>2.395</v>
      </c>
      <c r="N1647" s="14" t="n">
        <v>2.447</v>
      </c>
      <c r="O1647" s="14" t="n">
        <v>2.495</v>
      </c>
      <c r="P1647" s="14" t="n">
        <v>2.654</v>
      </c>
      <c r="Q1647" s="14" t="n">
        <v>0.5</v>
      </c>
      <c r="R1647" s="14" t="n">
        <v>0.5</v>
      </c>
      <c r="S1647" s="14" t="n">
        <v>10.75</v>
      </c>
    </row>
    <row r="1648" customFormat="false" ht="15" hidden="false" customHeight="false" outlineLevel="0" collapsed="false">
      <c r="A1648" s="13" t="n">
        <v>44602</v>
      </c>
      <c r="B1648" s="14" t="n">
        <v>0.05</v>
      </c>
      <c r="C1648" s="14" t="n">
        <v>0.25</v>
      </c>
      <c r="D1648" s="14" t="n">
        <v>0</v>
      </c>
      <c r="E1648" s="14" t="n">
        <v>-0.572</v>
      </c>
      <c r="F1648" s="14" t="n">
        <v>-0.5</v>
      </c>
      <c r="G1648" s="14" t="n">
        <v>0.5</v>
      </c>
      <c r="H1648" s="14" t="n">
        <v>0.4455</v>
      </c>
      <c r="I1648" s="14" t="n">
        <v>0.480532177883083</v>
      </c>
      <c r="J1648" s="14" t="n">
        <v>0.735142626739734</v>
      </c>
      <c r="K1648" s="14" t="n">
        <v>1.07508213335288</v>
      </c>
      <c r="L1648" s="14" t="n">
        <v>1.47476702524449</v>
      </c>
      <c r="M1648" s="14" t="n">
        <v>2.381</v>
      </c>
      <c r="N1648" s="14" t="n">
        <v>2.442</v>
      </c>
      <c r="O1648" s="14" t="n">
        <v>2.49</v>
      </c>
      <c r="P1648" s="14" t="n">
        <v>2.639</v>
      </c>
      <c r="Q1648" s="14" t="n">
        <v>0.5</v>
      </c>
      <c r="R1648" s="14" t="n">
        <v>0.5</v>
      </c>
      <c r="S1648" s="14" t="n">
        <v>10.75</v>
      </c>
    </row>
    <row r="1649" customFormat="false" ht="15" hidden="false" customHeight="false" outlineLevel="0" collapsed="false">
      <c r="A1649" s="13" t="n">
        <v>44603</v>
      </c>
      <c r="B1649" s="14" t="n">
        <v>0.05</v>
      </c>
      <c r="C1649" s="14" t="n">
        <v>0.25</v>
      </c>
      <c r="D1649" s="14" t="n">
        <v>0</v>
      </c>
      <c r="E1649" s="14" t="n">
        <v>-0.578</v>
      </c>
      <c r="F1649" s="14" t="n">
        <v>-0.5</v>
      </c>
      <c r="G1649" s="14" t="n">
        <v>0.5</v>
      </c>
      <c r="H1649" s="14" t="n">
        <v>0.4452</v>
      </c>
      <c r="I1649" s="14" t="n">
        <v>0.482749148067779</v>
      </c>
      <c r="J1649" s="14" t="n">
        <v>0.747515797858744</v>
      </c>
      <c r="K1649" s="14" t="n">
        <v>1.08724972266042</v>
      </c>
      <c r="L1649" s="14" t="n">
        <v>1.49187579813307</v>
      </c>
      <c r="M1649" s="14" t="n">
        <v>2.369</v>
      </c>
      <c r="N1649" s="14" t="n">
        <v>2.432</v>
      </c>
      <c r="O1649" s="14" t="n">
        <v>2.483</v>
      </c>
      <c r="P1649" s="14" t="n">
        <v>2.629</v>
      </c>
      <c r="Q1649" s="14" t="n">
        <v>0.5</v>
      </c>
      <c r="R1649" s="14" t="n">
        <v>0.5</v>
      </c>
      <c r="S1649" s="14" t="n">
        <v>10.75</v>
      </c>
    </row>
    <row r="1650" customFormat="false" ht="15" hidden="false" customHeight="false" outlineLevel="0" collapsed="false">
      <c r="A1650" s="13" t="n">
        <v>44606</v>
      </c>
      <c r="B1650" s="14" t="n">
        <v>0.05</v>
      </c>
      <c r="C1650" s="14" t="n">
        <v>0.25</v>
      </c>
      <c r="D1650" s="14" t="n">
        <v>0</v>
      </c>
      <c r="E1650" s="14" t="n">
        <v>-0.578</v>
      </c>
      <c r="F1650" s="14" t="n">
        <v>-0.5</v>
      </c>
      <c r="G1650" s="14" t="n">
        <v>0.5</v>
      </c>
      <c r="H1650" s="14" t="n">
        <v>0.4448</v>
      </c>
      <c r="I1650" s="14" t="n">
        <v>0.487392290896365</v>
      </c>
      <c r="J1650" s="14" t="n">
        <v>0.775607277700515</v>
      </c>
      <c r="K1650" s="14" t="n">
        <v>1.13290675277981</v>
      </c>
      <c r="L1650" s="14" t="n">
        <v>1.55946480485799</v>
      </c>
      <c r="M1650" s="14" t="n">
        <v>2.359</v>
      </c>
      <c r="N1650" s="14" t="n">
        <v>2.424</v>
      </c>
      <c r="O1650" s="14" t="n">
        <v>2.476</v>
      </c>
      <c r="P1650" s="14" t="n">
        <v>2.62</v>
      </c>
      <c r="Q1650" s="14" t="n">
        <v>0.5</v>
      </c>
      <c r="R1650" s="14" t="n">
        <v>0.5</v>
      </c>
      <c r="S1650" s="14" t="n">
        <v>10.75</v>
      </c>
    </row>
    <row r="1651" customFormat="false" ht="15" hidden="false" customHeight="false" outlineLevel="0" collapsed="false">
      <c r="A1651" s="13" t="n">
        <v>44607</v>
      </c>
      <c r="B1651" s="14" t="n">
        <v>0.05</v>
      </c>
      <c r="C1651" s="14" t="n">
        <v>0.25</v>
      </c>
      <c r="D1651" s="14" t="n">
        <v>0</v>
      </c>
      <c r="E1651" s="14" t="n">
        <v>-0.576</v>
      </c>
      <c r="F1651" s="14" t="n">
        <v>-0.5</v>
      </c>
      <c r="G1651" s="14" t="n">
        <v>0.5</v>
      </c>
      <c r="H1651" s="14" t="n">
        <v>0.445</v>
      </c>
      <c r="I1651" s="14" t="n">
        <v>0.488634556278083</v>
      </c>
      <c r="J1651" s="14" t="n">
        <v>0.777097329781105</v>
      </c>
      <c r="K1651" s="14" t="n">
        <v>1.11765363094379</v>
      </c>
      <c r="L1651" s="14" t="n">
        <v>1.53924455163448</v>
      </c>
      <c r="M1651" s="14" t="n">
        <v>2.348</v>
      </c>
      <c r="N1651" s="14" t="n">
        <v>2.415</v>
      </c>
      <c r="O1651" s="14" t="n">
        <v>2.471</v>
      </c>
      <c r="P1651" s="14" t="n">
        <v>2.613</v>
      </c>
      <c r="Q1651" s="14" t="n">
        <v>0.5</v>
      </c>
      <c r="R1651" s="14" t="n">
        <v>0.5</v>
      </c>
      <c r="S1651" s="14" t="n">
        <v>10.75</v>
      </c>
    </row>
    <row r="1652" customFormat="false" ht="15" hidden="false" customHeight="false" outlineLevel="0" collapsed="false">
      <c r="A1652" s="13" t="n">
        <v>44608</v>
      </c>
      <c r="B1652" s="14" t="n">
        <v>0.05</v>
      </c>
      <c r="C1652" s="14" t="n">
        <v>0.25</v>
      </c>
      <c r="D1652" s="14" t="n">
        <v>0</v>
      </c>
      <c r="E1652" s="14" t="n">
        <v>-0.576</v>
      </c>
      <c r="F1652" s="14" t="n">
        <v>-0.5</v>
      </c>
      <c r="G1652" s="14" t="n">
        <v>0.5</v>
      </c>
      <c r="H1652" s="14" t="n">
        <v>0.4449</v>
      </c>
      <c r="I1652" s="14" t="n">
        <v>0.482315806859947</v>
      </c>
      <c r="J1652" s="14" t="n">
        <v>0.74933293853935</v>
      </c>
      <c r="K1652" s="14" t="n">
        <v>1.06533846193834</v>
      </c>
      <c r="L1652" s="14" t="n">
        <v>1.45140509710617</v>
      </c>
      <c r="M1652" s="14" t="n">
        <v>2.34</v>
      </c>
      <c r="N1652" s="14" t="n">
        <v>2.41</v>
      </c>
      <c r="O1652" s="14" t="n">
        <v>2.466</v>
      </c>
      <c r="P1652" s="14" t="n">
        <v>2.604</v>
      </c>
      <c r="Q1652" s="14" t="n">
        <v>0.5</v>
      </c>
      <c r="R1652" s="14" t="n">
        <v>0.5</v>
      </c>
      <c r="S1652" s="14" t="n">
        <v>10.75</v>
      </c>
    </row>
    <row r="1653" customFormat="false" ht="15" hidden="false" customHeight="false" outlineLevel="0" collapsed="false">
      <c r="A1653" s="13" t="n">
        <v>44609</v>
      </c>
      <c r="B1653" s="14" t="n">
        <v>0.05</v>
      </c>
      <c r="C1653" s="14" t="n">
        <v>0.25</v>
      </c>
      <c r="D1653" s="14" t="n">
        <v>0</v>
      </c>
      <c r="E1653" s="14" t="n">
        <v>-0.576</v>
      </c>
      <c r="F1653" s="14" t="n">
        <v>-0.5</v>
      </c>
      <c r="G1653" s="14" t="n">
        <v>0.5</v>
      </c>
      <c r="H1653" s="14" t="n">
        <v>0.4449</v>
      </c>
      <c r="I1653" s="14" t="n">
        <v>0.483375971899957</v>
      </c>
      <c r="J1653" s="14" t="n">
        <v>0.749100232677254</v>
      </c>
      <c r="K1653" s="14" t="n">
        <v>1.05752261800342</v>
      </c>
      <c r="L1653" s="14" t="n">
        <v>1.42715991098971</v>
      </c>
      <c r="M1653" s="14" t="n">
        <v>2.334</v>
      </c>
      <c r="N1653" s="14" t="n">
        <v>2.406</v>
      </c>
      <c r="O1653" s="14" t="n">
        <v>2.463</v>
      </c>
      <c r="P1653" s="14" t="n">
        <v>2.596</v>
      </c>
      <c r="Q1653" s="14" t="n">
        <v>0.5</v>
      </c>
      <c r="R1653" s="14" t="n">
        <v>0.5</v>
      </c>
      <c r="S1653" s="14" t="n">
        <v>10.75</v>
      </c>
    </row>
    <row r="1654" customFormat="false" ht="15" hidden="false" customHeight="false" outlineLevel="0" collapsed="false">
      <c r="A1654" s="13" t="n">
        <v>44610</v>
      </c>
      <c r="B1654" s="14" t="n">
        <v>0.05</v>
      </c>
      <c r="C1654" s="14" t="n">
        <v>0.25</v>
      </c>
      <c r="D1654" s="14" t="n">
        <v>0</v>
      </c>
      <c r="E1654" s="14" t="n">
        <v>-0.576</v>
      </c>
      <c r="F1654" s="14" t="n">
        <v>-0.5</v>
      </c>
      <c r="G1654" s="14" t="n">
        <v>0.5</v>
      </c>
      <c r="H1654" s="14" t="n">
        <v>0.4453</v>
      </c>
      <c r="I1654" s="14" t="n">
        <v>0.489734183672695</v>
      </c>
      <c r="J1654" s="14" t="n">
        <v>0.743025203787016</v>
      </c>
      <c r="K1654" s="14" t="n">
        <v>1.03217243451097</v>
      </c>
      <c r="L1654" s="14" t="n">
        <v>1.37997733414079</v>
      </c>
      <c r="M1654" s="14" t="n">
        <v>2.323</v>
      </c>
      <c r="N1654" s="14" t="n">
        <v>2.4</v>
      </c>
      <c r="O1654" s="14" t="n">
        <v>2.457</v>
      </c>
      <c r="P1654" s="14" t="n">
        <v>2.586</v>
      </c>
      <c r="Q1654" s="14" t="n">
        <v>0.5</v>
      </c>
      <c r="R1654" s="14" t="n">
        <v>0.5</v>
      </c>
      <c r="S1654" s="14" t="n">
        <v>10.75</v>
      </c>
    </row>
    <row r="1655" customFormat="false" ht="15" hidden="false" customHeight="false" outlineLevel="0" collapsed="false">
      <c r="A1655" s="13" t="n">
        <v>44613</v>
      </c>
      <c r="C1655" s="14" t="n">
        <v>0.25</v>
      </c>
      <c r="D1655" s="14" t="n">
        <v>0</v>
      </c>
      <c r="E1655" s="14" t="n">
        <v>-0.576</v>
      </c>
      <c r="F1655" s="14" t="n">
        <v>-0.5</v>
      </c>
      <c r="G1655" s="14" t="n">
        <v>0.5</v>
      </c>
      <c r="H1655" s="14" t="n">
        <v>0.4442</v>
      </c>
      <c r="I1655" s="14" t="n">
        <v>0.512366190472514</v>
      </c>
      <c r="J1655" s="14" t="n">
        <v>0.770548937384905</v>
      </c>
      <c r="K1655" s="14" t="n">
        <v>1.05858327224618</v>
      </c>
      <c r="L1655" s="14" t="n">
        <v>1.40868560319044</v>
      </c>
      <c r="M1655" s="14" t="n">
        <v>2.315</v>
      </c>
      <c r="N1655" s="14" t="n">
        <v>2.392</v>
      </c>
      <c r="O1655" s="14" t="n">
        <v>2.453</v>
      </c>
      <c r="P1655" s="14" t="n">
        <v>2.579</v>
      </c>
      <c r="Q1655" s="14" t="n">
        <v>0.5</v>
      </c>
      <c r="R1655" s="14" t="n">
        <v>0.5</v>
      </c>
      <c r="S1655" s="14" t="n">
        <v>10.75</v>
      </c>
    </row>
    <row r="1656" customFormat="false" ht="15" hidden="false" customHeight="false" outlineLevel="0" collapsed="false">
      <c r="A1656" s="13" t="n">
        <v>44614</v>
      </c>
      <c r="B1656" s="14" t="n">
        <v>0.05</v>
      </c>
      <c r="C1656" s="14" t="n">
        <v>0.25</v>
      </c>
      <c r="D1656" s="14" t="n">
        <v>0</v>
      </c>
      <c r="E1656" s="14" t="n">
        <v>-0.575</v>
      </c>
      <c r="F1656" s="14" t="n">
        <v>-0.5</v>
      </c>
      <c r="G1656" s="14" t="n">
        <v>0.5</v>
      </c>
      <c r="H1656" s="14" t="n">
        <v>0.4449</v>
      </c>
      <c r="I1656" s="14" t="n">
        <v>0.513810938470007</v>
      </c>
      <c r="J1656" s="14" t="n">
        <v>0.760163093180739</v>
      </c>
      <c r="K1656" s="14" t="n">
        <v>1.05086811177977</v>
      </c>
      <c r="L1656" s="14" t="n">
        <v>1.41729568985596</v>
      </c>
      <c r="M1656" s="14" t="n">
        <v>2.31</v>
      </c>
      <c r="N1656" s="14" t="n">
        <v>2.385</v>
      </c>
      <c r="O1656" s="14" t="n">
        <v>2.45</v>
      </c>
      <c r="P1656" s="14" t="n">
        <v>2.573</v>
      </c>
      <c r="Q1656" s="14" t="n">
        <v>0.5</v>
      </c>
      <c r="R1656" s="14" t="n">
        <v>0.5</v>
      </c>
      <c r="S1656" s="14" t="n">
        <v>10.75</v>
      </c>
    </row>
    <row r="1657" customFormat="false" ht="15" hidden="false" customHeight="false" outlineLevel="0" collapsed="false">
      <c r="A1657" s="13" t="n">
        <v>44615</v>
      </c>
      <c r="B1657" s="14" t="n">
        <v>0.05</v>
      </c>
      <c r="C1657" s="14" t="n">
        <v>0.25</v>
      </c>
      <c r="D1657" s="14" t="n">
        <v>0</v>
      </c>
      <c r="E1657" s="14" t="n">
        <v>-0.576</v>
      </c>
      <c r="F1657" s="14" t="n">
        <v>-0.5</v>
      </c>
      <c r="G1657" s="14" t="n">
        <v>0.5</v>
      </c>
      <c r="H1657" s="14" t="n">
        <v>0.4451</v>
      </c>
      <c r="I1657" s="14" t="n">
        <v>0.512926643740532</v>
      </c>
      <c r="J1657" s="14" t="n">
        <v>0.741580630939884</v>
      </c>
      <c r="K1657" s="14" t="n">
        <v>1.01751928932786</v>
      </c>
      <c r="L1657" s="14" t="n">
        <v>1.37181243959327</v>
      </c>
      <c r="M1657" s="14" t="n">
        <v>2.308</v>
      </c>
      <c r="N1657" s="14" t="n">
        <v>2.383</v>
      </c>
      <c r="O1657" s="14" t="n">
        <v>2.449</v>
      </c>
      <c r="P1657" s="14" t="n">
        <v>2.569</v>
      </c>
      <c r="Q1657" s="14" t="n">
        <v>0.5</v>
      </c>
      <c r="R1657" s="14" t="n">
        <v>0.5</v>
      </c>
      <c r="S1657" s="14" t="n">
        <v>10.75</v>
      </c>
    </row>
    <row r="1658" customFormat="false" ht="15" hidden="false" customHeight="false" outlineLevel="0" collapsed="false">
      <c r="A1658" s="13" t="n">
        <v>44616</v>
      </c>
      <c r="B1658" s="14" t="n">
        <v>0.05</v>
      </c>
      <c r="C1658" s="14" t="n">
        <v>0.25</v>
      </c>
      <c r="D1658" s="14" t="n">
        <v>0</v>
      </c>
      <c r="E1658" s="14" t="n">
        <v>-0.576</v>
      </c>
      <c r="F1658" s="14" t="n">
        <v>-0.5</v>
      </c>
      <c r="G1658" s="14" t="n">
        <v>0.5</v>
      </c>
      <c r="H1658" s="14" t="n">
        <v>0.4451</v>
      </c>
      <c r="I1658" s="14" t="n">
        <v>0.513346856246724</v>
      </c>
      <c r="J1658" s="14" t="n">
        <v>0.73790622299371</v>
      </c>
      <c r="K1658" s="14" t="n">
        <v>1.01258651026438</v>
      </c>
      <c r="L1658" s="14" t="n">
        <v>1.36283123928139</v>
      </c>
      <c r="M1658" s="14" t="n">
        <v>2.307</v>
      </c>
      <c r="N1658" s="14" t="n">
        <v>2.379</v>
      </c>
      <c r="O1658" s="14" t="n">
        <v>2.448</v>
      </c>
      <c r="P1658" s="14" t="n">
        <v>2.567</v>
      </c>
      <c r="Q1658" s="14" t="n">
        <v>0.5</v>
      </c>
      <c r="R1658" s="14" t="n">
        <v>0.5</v>
      </c>
      <c r="S1658" s="14" t="n">
        <v>10.75</v>
      </c>
    </row>
    <row r="1659" customFormat="false" ht="15" hidden="false" customHeight="false" outlineLevel="0" collapsed="false">
      <c r="A1659" s="13" t="n">
        <v>44617</v>
      </c>
      <c r="B1659" s="14" t="n">
        <v>0.05</v>
      </c>
      <c r="C1659" s="14" t="n">
        <v>0.25</v>
      </c>
      <c r="D1659" s="14" t="n">
        <v>0</v>
      </c>
      <c r="E1659" s="14" t="n">
        <v>-0.575</v>
      </c>
      <c r="F1659" s="14" t="n">
        <v>-0.5</v>
      </c>
      <c r="G1659" s="14" t="n">
        <v>0.5</v>
      </c>
      <c r="H1659" s="14" t="n">
        <v>0.4449</v>
      </c>
      <c r="I1659" s="14" t="n">
        <v>0.524092527637575</v>
      </c>
      <c r="J1659" s="14" t="n">
        <v>0.746237465740448</v>
      </c>
      <c r="K1659" s="14" t="n">
        <v>1.01208637190001</v>
      </c>
      <c r="L1659" s="14" t="n">
        <v>1.35063098118645</v>
      </c>
      <c r="M1659" s="14" t="n">
        <v>2.306</v>
      </c>
      <c r="N1659" s="14" t="n">
        <v>2.374</v>
      </c>
      <c r="O1659" s="14" t="n">
        <v>2.448</v>
      </c>
      <c r="P1659" s="14" t="n">
        <v>2.57</v>
      </c>
      <c r="Q1659" s="14" t="n">
        <v>0.5</v>
      </c>
      <c r="R1659" s="14" t="n">
        <v>0.5</v>
      </c>
      <c r="S1659" s="14" t="n">
        <v>10.75</v>
      </c>
    </row>
    <row r="1660" customFormat="false" ht="15" hidden="false" customHeight="false" outlineLevel="0" collapsed="false">
      <c r="A1660" s="13" t="n">
        <v>44620</v>
      </c>
      <c r="B1660" s="14" t="n">
        <v>0.05</v>
      </c>
      <c r="C1660" s="14" t="n">
        <v>0.25</v>
      </c>
      <c r="D1660" s="14" t="n">
        <v>0</v>
      </c>
      <c r="E1660" s="14" t="n">
        <v>-0.58</v>
      </c>
      <c r="F1660" s="14" t="n">
        <v>-0.5</v>
      </c>
      <c r="G1660" s="14" t="n">
        <v>0.5</v>
      </c>
      <c r="H1660" s="14" t="n">
        <v>0.4451</v>
      </c>
      <c r="I1660" s="14" t="n">
        <v>0.544925372682168</v>
      </c>
      <c r="J1660" s="14" t="n">
        <v>0.746043661711749</v>
      </c>
      <c r="K1660" s="14" t="n">
        <v>0.997303912430831</v>
      </c>
      <c r="L1660" s="14" t="n">
        <v>1.28874491920862</v>
      </c>
      <c r="M1660" s="14" t="n">
        <v>2.305</v>
      </c>
      <c r="N1660" s="14" t="n">
        <v>2.37</v>
      </c>
      <c r="O1660" s="14" t="n">
        <v>2.447</v>
      </c>
      <c r="P1660" s="14" t="n">
        <v>2.565</v>
      </c>
      <c r="Q1660" s="14" t="n">
        <v>0.5</v>
      </c>
      <c r="R1660" s="14" t="n">
        <v>0.5</v>
      </c>
      <c r="S1660" s="14" t="n">
        <v>10.75</v>
      </c>
    </row>
    <row r="1661" customFormat="false" ht="15" hidden="false" customHeight="false" outlineLevel="0" collapsed="false">
      <c r="A1661" s="13" t="n">
        <v>44621</v>
      </c>
      <c r="B1661" s="14" t="n">
        <v>0.05</v>
      </c>
      <c r="C1661" s="14" t="n">
        <v>0.25</v>
      </c>
      <c r="D1661" s="14" t="n">
        <v>0</v>
      </c>
      <c r="E1661" s="14" t="n">
        <v>-0.577</v>
      </c>
      <c r="F1661" s="14" t="n">
        <v>-0.5</v>
      </c>
      <c r="G1661" s="14" t="n">
        <v>0.5</v>
      </c>
      <c r="H1661" s="14" t="n">
        <v>0.4451</v>
      </c>
      <c r="I1661" s="14" t="n">
        <v>0.53367501817495</v>
      </c>
      <c r="J1661" s="14" t="n">
        <v>0.713822499480854</v>
      </c>
      <c r="K1661" s="14" t="n">
        <v>0.940536402315769</v>
      </c>
      <c r="L1661" s="14" t="n">
        <v>1.19228060241617</v>
      </c>
      <c r="M1661" s="14" t="n">
        <v>2.303</v>
      </c>
      <c r="N1661" s="14" t="n">
        <v>2.366</v>
      </c>
      <c r="O1661" s="14" t="n">
        <v>2.445</v>
      </c>
      <c r="P1661" s="14" t="n">
        <v>2.566</v>
      </c>
      <c r="Q1661" s="14" t="n">
        <v>0.5</v>
      </c>
      <c r="R1661" s="14" t="n">
        <v>0.5</v>
      </c>
      <c r="S1661" s="14" t="n">
        <v>10.75</v>
      </c>
    </row>
    <row r="1662" customFormat="false" ht="15" hidden="false" customHeight="false" outlineLevel="0" collapsed="false">
      <c r="A1662" s="13" t="n">
        <v>44622</v>
      </c>
      <c r="B1662" s="14" t="n">
        <v>0.05</v>
      </c>
      <c r="C1662" s="14" t="n">
        <v>0.25</v>
      </c>
      <c r="D1662" s="14" t="n">
        <v>0</v>
      </c>
      <c r="E1662" s="14" t="n">
        <v>-0.578</v>
      </c>
      <c r="F1662" s="14" t="n">
        <v>-0.5</v>
      </c>
      <c r="G1662" s="14" t="n">
        <v>0.5</v>
      </c>
      <c r="H1662" s="14" t="n">
        <v>0.445</v>
      </c>
      <c r="I1662" s="14" t="n">
        <v>0.578085553240796</v>
      </c>
      <c r="J1662" s="14" t="n">
        <v>0.804482570974214</v>
      </c>
      <c r="K1662" s="14" t="n">
        <v>1.07172009923122</v>
      </c>
      <c r="L1662" s="14" t="n">
        <v>1.37257918323979</v>
      </c>
      <c r="M1662" s="14" t="n">
        <v>2.302</v>
      </c>
      <c r="N1662" s="14" t="n">
        <v>2.365</v>
      </c>
      <c r="O1662" s="14" t="n">
        <v>2.446</v>
      </c>
      <c r="P1662" s="14" t="n">
        <v>2.563</v>
      </c>
      <c r="Q1662" s="14" t="n">
        <v>0.5</v>
      </c>
      <c r="R1662" s="14" t="n">
        <v>0.5</v>
      </c>
      <c r="S1662" s="14" t="n">
        <v>10.75</v>
      </c>
    </row>
    <row r="1663" customFormat="false" ht="15" hidden="false" customHeight="false" outlineLevel="0" collapsed="false">
      <c r="A1663" s="13" t="n">
        <v>44623</v>
      </c>
      <c r="B1663" s="14" t="n">
        <v>0.05</v>
      </c>
      <c r="C1663" s="14" t="n">
        <v>0.25</v>
      </c>
      <c r="D1663" s="14" t="n">
        <v>0</v>
      </c>
      <c r="E1663" s="14" t="n">
        <v>-0.579</v>
      </c>
      <c r="F1663" s="14" t="n">
        <v>-0.5</v>
      </c>
      <c r="G1663" s="14" t="n">
        <v>0.5</v>
      </c>
      <c r="H1663" s="14" t="n">
        <v>0.4452</v>
      </c>
      <c r="I1663" s="14" t="n">
        <v>0.532328251965057</v>
      </c>
      <c r="J1663" s="14" t="n">
        <v>0.809523574995633</v>
      </c>
      <c r="K1663" s="14" t="n">
        <v>1.08874031848435</v>
      </c>
      <c r="L1663" s="14" t="n">
        <v>1.39391400728474</v>
      </c>
      <c r="M1663" s="14" t="n">
        <v>2.3</v>
      </c>
      <c r="N1663" s="14" t="n">
        <v>2.363</v>
      </c>
      <c r="O1663" s="14" t="n">
        <v>2.448</v>
      </c>
      <c r="P1663" s="14" t="n">
        <v>2.566</v>
      </c>
      <c r="Q1663" s="14" t="n">
        <v>0.5</v>
      </c>
      <c r="R1663" s="14" t="n">
        <v>0.5</v>
      </c>
      <c r="S1663" s="14" t="n">
        <v>10.75</v>
      </c>
    </row>
    <row r="1664" customFormat="false" ht="15" hidden="false" customHeight="false" outlineLevel="0" collapsed="false">
      <c r="A1664" s="13" t="n">
        <v>44624</v>
      </c>
      <c r="B1664" s="14" t="n">
        <v>0.05</v>
      </c>
      <c r="C1664" s="14" t="n">
        <v>0.25</v>
      </c>
      <c r="D1664" s="14" t="n">
        <v>0</v>
      </c>
      <c r="E1664" s="14" t="n">
        <v>-0.577</v>
      </c>
      <c r="F1664" s="14" t="n">
        <v>-0.5</v>
      </c>
      <c r="G1664" s="14" t="n">
        <v>0.5</v>
      </c>
      <c r="H1664" s="14" t="n">
        <v>0.445</v>
      </c>
      <c r="I1664" s="14" t="n">
        <v>0.591081164129265</v>
      </c>
      <c r="J1664" s="14" t="n">
        <v>0.808584174171371</v>
      </c>
      <c r="K1664" s="14" t="n">
        <v>1.08518415740119</v>
      </c>
      <c r="L1664" s="14" t="n">
        <v>1.40044633967873</v>
      </c>
      <c r="M1664" s="14" t="n">
        <v>2.3</v>
      </c>
      <c r="N1664" s="14" t="n">
        <v>2.362</v>
      </c>
      <c r="O1664" s="14" t="n">
        <v>2.449</v>
      </c>
      <c r="P1664" s="14" t="n">
        <v>2.566</v>
      </c>
      <c r="Q1664" s="14" t="n">
        <v>0.5</v>
      </c>
      <c r="R1664" s="14" t="n">
        <v>0.5</v>
      </c>
      <c r="S1664" s="14" t="n">
        <v>10.75</v>
      </c>
    </row>
    <row r="1665" customFormat="false" ht="15" hidden="false" customHeight="false" outlineLevel="0" collapsed="false">
      <c r="A1665" s="13" t="n">
        <v>44627</v>
      </c>
      <c r="B1665" s="14" t="n">
        <v>0.05</v>
      </c>
      <c r="C1665" s="14" t="n">
        <v>0.25</v>
      </c>
      <c r="D1665" s="14" t="n">
        <v>0</v>
      </c>
      <c r="E1665" s="14" t="n">
        <v>-0.579</v>
      </c>
      <c r="F1665" s="14" t="n">
        <v>-0.5</v>
      </c>
      <c r="G1665" s="14" t="n">
        <v>0.5</v>
      </c>
      <c r="H1665" s="14" t="n">
        <v>0.4448</v>
      </c>
      <c r="I1665" s="14" t="n">
        <v>0.630321487495633</v>
      </c>
      <c r="J1665" s="14" t="n">
        <v>0.855960146323926</v>
      </c>
      <c r="K1665" s="14" t="n">
        <v>1.15209297010204</v>
      </c>
      <c r="L1665" s="14" t="n">
        <v>1.4857376674988</v>
      </c>
      <c r="M1665" s="14" t="n">
        <v>2.3</v>
      </c>
      <c r="N1665" s="14" t="n">
        <v>2.36</v>
      </c>
      <c r="O1665" s="14" t="n">
        <v>2.45</v>
      </c>
      <c r="P1665" s="14" t="n">
        <v>2.566</v>
      </c>
      <c r="Q1665" s="14" t="n">
        <v>0.5</v>
      </c>
      <c r="R1665" s="14" t="n">
        <v>0.5</v>
      </c>
      <c r="S1665" s="14" t="n">
        <v>10.75</v>
      </c>
    </row>
    <row r="1666" customFormat="false" ht="15" hidden="false" customHeight="false" outlineLevel="0" collapsed="false">
      <c r="A1666" s="13" t="n">
        <v>44628</v>
      </c>
      <c r="B1666" s="14" t="n">
        <v>0.05</v>
      </c>
      <c r="C1666" s="14" t="n">
        <v>0.25</v>
      </c>
      <c r="D1666" s="14" t="n">
        <v>0</v>
      </c>
      <c r="E1666" s="14" t="n">
        <v>-0.579</v>
      </c>
      <c r="F1666" s="14" t="n">
        <v>-0.5</v>
      </c>
      <c r="G1666" s="14" t="n">
        <v>0.5</v>
      </c>
      <c r="H1666" s="14" t="n">
        <v>0.4444</v>
      </c>
      <c r="I1666" s="14" t="n">
        <v>0.646927642595083</v>
      </c>
      <c r="J1666" s="14" t="n">
        <v>0.873449563043908</v>
      </c>
      <c r="K1666" s="14" t="n">
        <v>1.18892397577242</v>
      </c>
      <c r="L1666" s="14" t="n">
        <v>1.55345509305453</v>
      </c>
      <c r="M1666" s="14" t="n">
        <v>2.3</v>
      </c>
      <c r="N1666" s="14" t="n">
        <v>2.361</v>
      </c>
      <c r="O1666" s="14" t="n">
        <v>2.45</v>
      </c>
      <c r="P1666" s="14" t="n">
        <v>2.568</v>
      </c>
      <c r="Q1666" s="14" t="n">
        <v>0.5</v>
      </c>
      <c r="R1666" s="14" t="n">
        <v>0.5</v>
      </c>
      <c r="S1666" s="14" t="n">
        <v>10.75</v>
      </c>
    </row>
    <row r="1667" customFormat="false" ht="15" hidden="false" customHeight="false" outlineLevel="0" collapsed="false">
      <c r="A1667" s="13" t="n">
        <v>44629</v>
      </c>
      <c r="B1667" s="14" t="n">
        <v>0.05</v>
      </c>
      <c r="C1667" s="14" t="n">
        <v>0.25</v>
      </c>
      <c r="D1667" s="14" t="n">
        <v>0</v>
      </c>
      <c r="E1667" s="14" t="n">
        <v>-0.58</v>
      </c>
      <c r="F1667" s="14" t="n">
        <v>-0.5</v>
      </c>
      <c r="G1667" s="14" t="n">
        <v>0.5</v>
      </c>
      <c r="H1667" s="14" t="n">
        <v>0.4444</v>
      </c>
      <c r="I1667" s="14" t="n">
        <v>0.648269200812598</v>
      </c>
      <c r="J1667" s="14" t="n">
        <v>0.866138955448946</v>
      </c>
      <c r="K1667" s="14" t="n">
        <v>1.18316432050871</v>
      </c>
      <c r="L1667" s="14" t="n">
        <v>1.57469481623296</v>
      </c>
      <c r="M1667" s="14" t="n">
        <v>2.3</v>
      </c>
      <c r="N1667" s="14" t="n">
        <v>2.359</v>
      </c>
      <c r="O1667" s="14" t="n">
        <v>2.45</v>
      </c>
      <c r="P1667" s="14" t="n">
        <v>2.571</v>
      </c>
      <c r="Q1667" s="14" t="n">
        <v>0.5</v>
      </c>
      <c r="R1667" s="14" t="n">
        <v>0.5</v>
      </c>
      <c r="S1667" s="14" t="n">
        <v>10.75</v>
      </c>
    </row>
    <row r="1668" customFormat="false" ht="15" hidden="false" customHeight="false" outlineLevel="0" collapsed="false">
      <c r="A1668" s="13" t="n">
        <v>44630</v>
      </c>
      <c r="B1668" s="14" t="n">
        <v>0.05</v>
      </c>
      <c r="C1668" s="14" t="n">
        <v>0.25</v>
      </c>
      <c r="D1668" s="14" t="n">
        <v>0</v>
      </c>
      <c r="E1668" s="14" t="n">
        <v>-0.576</v>
      </c>
      <c r="F1668" s="14" t="n">
        <v>-0.5</v>
      </c>
      <c r="G1668" s="14" t="n">
        <v>0.5</v>
      </c>
      <c r="H1668" s="14" t="n">
        <v>0.4451</v>
      </c>
      <c r="I1668" s="14" t="n">
        <v>0.662346471778613</v>
      </c>
      <c r="J1668" s="14" t="n">
        <v>0.870801601786786</v>
      </c>
      <c r="K1668" s="14" t="n">
        <v>1.17957446756947</v>
      </c>
      <c r="L1668" s="14" t="n">
        <v>1.56298111329067</v>
      </c>
      <c r="M1668" s="14" t="n">
        <v>2.3</v>
      </c>
      <c r="N1668" s="14" t="n">
        <v>2.362</v>
      </c>
      <c r="O1668" s="14" t="n">
        <v>2.45</v>
      </c>
      <c r="P1668" s="14" t="n">
        <v>2.575</v>
      </c>
      <c r="Q1668" s="14" t="n">
        <v>0.5</v>
      </c>
      <c r="R1668" s="14" t="n">
        <v>0.5</v>
      </c>
      <c r="S1668" s="14" t="n">
        <v>10.75</v>
      </c>
    </row>
    <row r="1669" customFormat="false" ht="15" hidden="false" customHeight="false" outlineLevel="0" collapsed="false">
      <c r="A1669" s="13" t="n">
        <v>44631</v>
      </c>
      <c r="B1669" s="14" t="n">
        <v>0.05</v>
      </c>
      <c r="C1669" s="14" t="n">
        <v>0.25</v>
      </c>
      <c r="D1669" s="14" t="n">
        <v>0</v>
      </c>
      <c r="E1669" s="14" t="n">
        <v>-0.577</v>
      </c>
      <c r="F1669" s="14" t="n">
        <v>-0.5</v>
      </c>
      <c r="G1669" s="14" t="n">
        <v>0.5</v>
      </c>
      <c r="H1669" s="14" t="n">
        <v>0.4449</v>
      </c>
      <c r="I1669" s="14" t="n">
        <v>0.672246188504748</v>
      </c>
      <c r="J1669" s="14" t="n">
        <v>0.881131185810006</v>
      </c>
      <c r="K1669" s="14" t="n">
        <v>1.19691223123183</v>
      </c>
      <c r="L1669" s="14" t="n">
        <v>1.58911655129856</v>
      </c>
      <c r="M1669" s="14" t="n">
        <v>2.3</v>
      </c>
      <c r="N1669" s="14" t="n">
        <v>2.362</v>
      </c>
      <c r="O1669" s="14" t="n">
        <v>2.45</v>
      </c>
      <c r="P1669" s="14" t="n">
        <v>2.578</v>
      </c>
      <c r="Q1669" s="14" t="n">
        <v>0.5</v>
      </c>
      <c r="R1669" s="14" t="n">
        <v>0.5</v>
      </c>
      <c r="S1669" s="14" t="n">
        <v>10.75</v>
      </c>
    </row>
    <row r="1670" customFormat="false" ht="15" hidden="false" customHeight="false" outlineLevel="0" collapsed="false">
      <c r="A1670" s="13" t="n">
        <v>44634</v>
      </c>
      <c r="B1670" s="14" t="n">
        <v>0.05</v>
      </c>
      <c r="C1670" s="14" t="n">
        <v>0.25</v>
      </c>
      <c r="D1670" s="14" t="n">
        <v>0</v>
      </c>
      <c r="E1670" s="14" t="n">
        <v>-0.577</v>
      </c>
      <c r="F1670" s="14" t="n">
        <v>-0.5</v>
      </c>
      <c r="G1670" s="14" t="n">
        <v>0.5</v>
      </c>
      <c r="H1670" s="14" t="n">
        <v>0.4445</v>
      </c>
      <c r="I1670" s="14" t="n">
        <v>0.717211038601384</v>
      </c>
      <c r="J1670" s="14" t="n">
        <v>0.914752494253816</v>
      </c>
      <c r="K1670" s="14" t="n">
        <v>1.22579983373426</v>
      </c>
      <c r="L1670" s="14" t="n">
        <v>1.6257351450019</v>
      </c>
      <c r="M1670" s="14" t="n">
        <v>2.3</v>
      </c>
      <c r="N1670" s="14" t="n">
        <v>2.362</v>
      </c>
      <c r="O1670" s="14" t="n">
        <v>2.45</v>
      </c>
      <c r="P1670" s="14" t="n">
        <v>2.579</v>
      </c>
      <c r="Q1670" s="14" t="n">
        <v>0.5</v>
      </c>
      <c r="R1670" s="14" t="n">
        <v>0.5</v>
      </c>
      <c r="S1670" s="14" t="n">
        <v>10.75</v>
      </c>
    </row>
    <row r="1671" customFormat="false" ht="15" hidden="false" customHeight="false" outlineLevel="0" collapsed="false">
      <c r="A1671" s="13" t="n">
        <v>44635</v>
      </c>
      <c r="B1671" s="14" t="n">
        <v>0.05</v>
      </c>
      <c r="C1671" s="14" t="n">
        <v>0.25</v>
      </c>
      <c r="D1671" s="14" t="n">
        <v>0</v>
      </c>
      <c r="E1671" s="14" t="n">
        <v>-0.573</v>
      </c>
      <c r="F1671" s="14" t="n">
        <v>-0.5</v>
      </c>
      <c r="G1671" s="14" t="n">
        <v>0.5</v>
      </c>
      <c r="H1671" s="14" t="n">
        <v>0.445</v>
      </c>
      <c r="I1671" s="14" t="n">
        <v>0.73457280077728</v>
      </c>
      <c r="J1671" s="14" t="n">
        <v>0.926026117313421</v>
      </c>
      <c r="K1671" s="14" t="n">
        <v>1.23462272854478</v>
      </c>
      <c r="L1671" s="14" t="n">
        <v>1.63221899643142</v>
      </c>
      <c r="M1671" s="14" t="n">
        <v>2.301</v>
      </c>
      <c r="N1671" s="14" t="n">
        <v>2.363</v>
      </c>
      <c r="O1671" s="14" t="n">
        <v>2.45</v>
      </c>
      <c r="P1671" s="14" t="n">
        <v>2.581</v>
      </c>
      <c r="Q1671" s="14" t="n">
        <v>0.5</v>
      </c>
      <c r="R1671" s="14" t="n">
        <v>0.5</v>
      </c>
      <c r="S1671" s="14" t="n">
        <v>10.75</v>
      </c>
    </row>
    <row r="1672" customFormat="false" ht="15" hidden="false" customHeight="false" outlineLevel="0" collapsed="false">
      <c r="A1672" s="13" t="n">
        <v>44636</v>
      </c>
      <c r="B1672" s="14" t="n">
        <v>0.05</v>
      </c>
      <c r="C1672" s="14" t="n">
        <v>0.25</v>
      </c>
      <c r="D1672" s="14" t="n">
        <v>0</v>
      </c>
      <c r="E1672" s="14" t="n">
        <v>-0.577</v>
      </c>
      <c r="F1672" s="14" t="n">
        <v>-0.5</v>
      </c>
      <c r="G1672" s="14" t="n">
        <v>0.5</v>
      </c>
      <c r="H1672" s="14" t="n">
        <v>0.445</v>
      </c>
      <c r="I1672" s="14" t="n">
        <v>0.74761916209347</v>
      </c>
      <c r="J1672" s="14" t="n">
        <v>0.942079938098567</v>
      </c>
      <c r="K1672" s="14" t="n">
        <v>1.2657237637597</v>
      </c>
      <c r="L1672" s="14" t="n">
        <v>1.67756257443651</v>
      </c>
      <c r="M1672" s="14" t="n">
        <v>2.302</v>
      </c>
      <c r="N1672" s="14" t="n">
        <v>2.366</v>
      </c>
      <c r="O1672" s="14" t="n">
        <v>2.451</v>
      </c>
      <c r="P1672" s="14" t="n">
        <v>2.586</v>
      </c>
      <c r="Q1672" s="14" t="n">
        <v>0.5</v>
      </c>
      <c r="R1672" s="14" t="n">
        <v>0.5</v>
      </c>
      <c r="S1672" s="14" t="n">
        <v>10.75</v>
      </c>
    </row>
    <row r="1673" customFormat="false" ht="15" hidden="false" customHeight="false" outlineLevel="0" collapsed="false">
      <c r="A1673" s="13" t="n">
        <v>44637</v>
      </c>
      <c r="B1673" s="14" t="n">
        <v>0.3</v>
      </c>
      <c r="C1673" s="14" t="n">
        <v>0.5</v>
      </c>
      <c r="D1673" s="14" t="n">
        <v>0.25</v>
      </c>
      <c r="E1673" s="14" t="n">
        <v>-0.578</v>
      </c>
      <c r="F1673" s="14" t="n">
        <v>-0.5</v>
      </c>
      <c r="G1673" s="14" t="n">
        <v>0.75</v>
      </c>
      <c r="H1673" s="14" t="n">
        <v>0.6886</v>
      </c>
      <c r="I1673" s="14" t="n">
        <v>0.692337529993334</v>
      </c>
      <c r="J1673" s="14" t="n">
        <v>0.853115407150121</v>
      </c>
      <c r="K1673" s="14" t="n">
        <v>1.12784441064546</v>
      </c>
      <c r="L1673" s="14" t="n">
        <v>1.50556864710315</v>
      </c>
      <c r="M1673" s="14" t="n">
        <v>2.301</v>
      </c>
      <c r="N1673" s="14" t="n">
        <v>2.367</v>
      </c>
      <c r="O1673" s="14" t="n">
        <v>2.451</v>
      </c>
      <c r="P1673" s="14" t="n">
        <v>2.593</v>
      </c>
      <c r="Q1673" s="14" t="n">
        <v>0.5</v>
      </c>
      <c r="R1673" s="14" t="n">
        <v>0.5</v>
      </c>
      <c r="S1673" s="14" t="n">
        <v>11.75</v>
      </c>
    </row>
    <row r="1674" customFormat="false" ht="15" hidden="false" customHeight="false" outlineLevel="0" collapsed="false">
      <c r="A1674" s="13" t="n">
        <v>44638</v>
      </c>
      <c r="B1674" s="14" t="n">
        <v>0.3</v>
      </c>
      <c r="C1674" s="14" t="n">
        <v>0.5</v>
      </c>
      <c r="D1674" s="14" t="n">
        <v>0.25</v>
      </c>
      <c r="E1674" s="14" t="n">
        <v>-0.578</v>
      </c>
      <c r="F1674" s="14" t="n">
        <v>-0.5</v>
      </c>
      <c r="G1674" s="14" t="n">
        <v>0.75</v>
      </c>
      <c r="H1674" s="14" t="n">
        <v>0.6913</v>
      </c>
      <c r="I1674" s="14" t="n">
        <v>0.692712801926239</v>
      </c>
      <c r="J1674" s="14" t="n">
        <v>0.850252738981703</v>
      </c>
      <c r="K1674" s="14" t="n">
        <v>1.11270571659525</v>
      </c>
      <c r="L1674" s="14" t="n">
        <v>1.47532878941527</v>
      </c>
      <c r="M1674" s="14" t="n">
        <v>2.303</v>
      </c>
      <c r="N1674" s="14" t="n">
        <v>2.368</v>
      </c>
      <c r="O1674" s="14" t="n">
        <v>2.451</v>
      </c>
      <c r="P1674" s="14" t="n">
        <v>2.594</v>
      </c>
      <c r="Q1674" s="14" t="n">
        <v>0.5</v>
      </c>
      <c r="R1674" s="14" t="n">
        <v>0.5</v>
      </c>
      <c r="S1674" s="14" t="n">
        <v>11.75</v>
      </c>
    </row>
    <row r="1675" customFormat="false" ht="15" hidden="false" customHeight="false" outlineLevel="0" collapsed="false">
      <c r="A1675" s="13" t="n">
        <v>44641</v>
      </c>
      <c r="B1675" s="14" t="n">
        <v>0.29</v>
      </c>
      <c r="C1675" s="14" t="n">
        <v>0.5</v>
      </c>
      <c r="D1675" s="14" t="n">
        <v>0.25</v>
      </c>
      <c r="E1675" s="14" t="n">
        <v>-0.578</v>
      </c>
      <c r="F1675" s="14" t="n">
        <v>-0.5</v>
      </c>
      <c r="G1675" s="14" t="n">
        <v>0.75</v>
      </c>
      <c r="H1675" s="14" t="n">
        <v>0.6912</v>
      </c>
      <c r="I1675" s="14" t="n">
        <v>0.697880316360482</v>
      </c>
      <c r="J1675" s="14" t="n">
        <v>0.876539082922075</v>
      </c>
      <c r="K1675" s="14" t="n">
        <v>1.15923410737677</v>
      </c>
      <c r="L1675" s="14" t="n">
        <v>1.56997752584255</v>
      </c>
      <c r="M1675" s="14" t="n">
        <v>2.303</v>
      </c>
      <c r="N1675" s="14" t="n">
        <v>2.368</v>
      </c>
      <c r="O1675" s="14" t="n">
        <v>2.451</v>
      </c>
      <c r="P1675" s="14" t="n">
        <v>2.595</v>
      </c>
      <c r="Q1675" s="14" t="n">
        <v>0.5</v>
      </c>
      <c r="R1675" s="14" t="n">
        <v>0.5</v>
      </c>
      <c r="S1675" s="14" t="n">
        <v>11.75</v>
      </c>
    </row>
    <row r="1676" customFormat="false" ht="15" hidden="false" customHeight="false" outlineLevel="0" collapsed="false">
      <c r="A1676" s="13" t="n">
        <v>44642</v>
      </c>
      <c r="B1676" s="14" t="n">
        <v>0.28</v>
      </c>
      <c r="C1676" s="14" t="n">
        <v>0.5</v>
      </c>
      <c r="D1676" s="14" t="n">
        <v>0.25</v>
      </c>
      <c r="E1676" s="14" t="n">
        <v>-0.578</v>
      </c>
      <c r="F1676" s="14" t="n">
        <v>-0.5</v>
      </c>
      <c r="G1676" s="14" t="n">
        <v>0.75</v>
      </c>
      <c r="H1676" s="14" t="n">
        <v>0.6906</v>
      </c>
      <c r="I1676" s="14" t="n">
        <v>0.697554832530293</v>
      </c>
      <c r="J1676" s="14" t="n">
        <v>0.882736615191291</v>
      </c>
      <c r="K1676" s="14" t="n">
        <v>1.1741660990599</v>
      </c>
      <c r="L1676" s="14" t="n">
        <v>1.61049364427907</v>
      </c>
      <c r="M1676" s="14" t="n">
        <v>2.303</v>
      </c>
      <c r="N1676" s="14" t="n">
        <v>2.369</v>
      </c>
      <c r="O1676" s="14" t="n">
        <v>2.451</v>
      </c>
      <c r="P1676" s="14" t="n">
        <v>2.6</v>
      </c>
      <c r="Q1676" s="14" t="n">
        <v>0.5</v>
      </c>
      <c r="R1676" s="14" t="n">
        <v>0.5</v>
      </c>
      <c r="S1676" s="14" t="n">
        <v>11.75</v>
      </c>
    </row>
    <row r="1677" customFormat="false" ht="15" hidden="false" customHeight="false" outlineLevel="0" collapsed="false">
      <c r="A1677" s="13" t="n">
        <v>44643</v>
      </c>
      <c r="B1677" s="14" t="n">
        <v>0.27</v>
      </c>
      <c r="C1677" s="14" t="n">
        <v>0.5</v>
      </c>
      <c r="D1677" s="14" t="n">
        <v>0.25</v>
      </c>
      <c r="E1677" s="14" t="n">
        <v>-0.578</v>
      </c>
      <c r="F1677" s="14" t="n">
        <v>-0.5</v>
      </c>
      <c r="G1677" s="14" t="n">
        <v>0.75</v>
      </c>
      <c r="H1677" s="14" t="n">
        <v>0.6908</v>
      </c>
      <c r="I1677" s="14" t="n">
        <v>0.697187894660596</v>
      </c>
      <c r="J1677" s="14" t="n">
        <v>0.876063330053603</v>
      </c>
      <c r="K1677" s="14" t="n">
        <v>1.14806034765881</v>
      </c>
      <c r="L1677" s="14" t="n">
        <v>1.54945825768814</v>
      </c>
      <c r="M1677" s="14" t="n">
        <v>2.305</v>
      </c>
      <c r="N1677" s="14" t="n">
        <v>2.368</v>
      </c>
      <c r="O1677" s="14" t="n">
        <v>2.451</v>
      </c>
      <c r="P1677" s="14" t="n">
        <v>2.601</v>
      </c>
      <c r="Q1677" s="14" t="n">
        <v>0.5</v>
      </c>
      <c r="R1677" s="14" t="n">
        <v>0.5</v>
      </c>
      <c r="S1677" s="14" t="n">
        <v>11.75</v>
      </c>
    </row>
    <row r="1678" customFormat="false" ht="15" hidden="false" customHeight="false" outlineLevel="0" collapsed="false">
      <c r="A1678" s="13" t="n">
        <v>44644</v>
      </c>
      <c r="B1678" s="14" t="n">
        <v>0.27</v>
      </c>
      <c r="C1678" s="14" t="n">
        <v>0.5</v>
      </c>
      <c r="D1678" s="14" t="n">
        <v>0.25</v>
      </c>
      <c r="E1678" s="14" t="n">
        <v>-0.579</v>
      </c>
      <c r="F1678" s="14" t="n">
        <v>-0.5</v>
      </c>
      <c r="G1678" s="14" t="n">
        <v>0.75</v>
      </c>
      <c r="H1678" s="14" t="n">
        <v>0.6907</v>
      </c>
      <c r="I1678" s="14" t="n">
        <v>0.698975904285692</v>
      </c>
      <c r="J1678" s="14" t="n">
        <v>0.884244961385882</v>
      </c>
      <c r="K1678" s="14" t="n">
        <v>1.15991617497142</v>
      </c>
      <c r="L1678" s="14" t="n">
        <v>1.5685472231109</v>
      </c>
      <c r="M1678" s="14" t="n">
        <v>2.308</v>
      </c>
      <c r="N1678" s="14" t="n">
        <v>2.369</v>
      </c>
      <c r="O1678" s="14" t="n">
        <v>2.452</v>
      </c>
      <c r="P1678" s="14" t="n">
        <v>2.601</v>
      </c>
      <c r="Q1678" s="14" t="n">
        <v>0.5</v>
      </c>
      <c r="R1678" s="14" t="n">
        <v>0.5</v>
      </c>
      <c r="S1678" s="14" t="n">
        <v>11.75</v>
      </c>
    </row>
    <row r="1679" customFormat="false" ht="15" hidden="false" customHeight="false" outlineLevel="0" collapsed="false">
      <c r="A1679" s="13" t="n">
        <v>44645</v>
      </c>
      <c r="B1679" s="14" t="n">
        <v>0.28</v>
      </c>
      <c r="C1679" s="14" t="n">
        <v>0.5</v>
      </c>
      <c r="D1679" s="14" t="n">
        <v>0.25</v>
      </c>
      <c r="E1679" s="14" t="n">
        <v>-0.581</v>
      </c>
      <c r="F1679" s="14" t="n">
        <v>-0.5</v>
      </c>
      <c r="G1679" s="14" t="n">
        <v>0.75</v>
      </c>
      <c r="H1679" s="14" t="n">
        <v>0.6905</v>
      </c>
      <c r="I1679" s="14" t="n">
        <v>0.701789724908328</v>
      </c>
      <c r="J1679" s="14" t="n">
        <v>0.906216240671014</v>
      </c>
      <c r="K1679" s="14" t="n">
        <v>1.19264082454357</v>
      </c>
      <c r="L1679" s="14" t="n">
        <v>1.62882481845631</v>
      </c>
      <c r="M1679" s="14" t="n">
        <v>2.31</v>
      </c>
      <c r="N1679" s="14" t="n">
        <v>2.369</v>
      </c>
      <c r="O1679" s="14" t="n">
        <v>2.452</v>
      </c>
      <c r="P1679" s="14" t="n">
        <v>2.603</v>
      </c>
      <c r="Q1679" s="14" t="n">
        <v>0.75</v>
      </c>
      <c r="R1679" s="14" t="n">
        <v>0.75</v>
      </c>
      <c r="S1679" s="14" t="n">
        <v>11.75</v>
      </c>
    </row>
    <row r="1680" customFormat="false" ht="15" hidden="false" customHeight="false" outlineLevel="0" collapsed="false">
      <c r="A1680" s="13" t="n">
        <v>44648</v>
      </c>
      <c r="B1680" s="14" t="n">
        <v>0.28</v>
      </c>
      <c r="C1680" s="14" t="n">
        <v>0.5</v>
      </c>
      <c r="D1680" s="14" t="n">
        <v>0.25</v>
      </c>
      <c r="E1680" s="14" t="n">
        <v>-0.58</v>
      </c>
      <c r="F1680" s="14" t="n">
        <v>-0.5</v>
      </c>
      <c r="G1680" s="14" t="n">
        <v>0.75</v>
      </c>
      <c r="H1680" s="14" t="n">
        <v>0.6901</v>
      </c>
      <c r="I1680" s="14" t="n">
        <v>0.702741020501826</v>
      </c>
      <c r="J1680" s="14" t="n">
        <v>0.898394700729233</v>
      </c>
      <c r="K1680" s="14" t="n">
        <v>1.18064398379604</v>
      </c>
      <c r="L1680" s="14" t="n">
        <v>1.60375288922124</v>
      </c>
      <c r="M1680" s="14" t="n">
        <v>2.313</v>
      </c>
      <c r="N1680" s="14" t="n">
        <v>2.37</v>
      </c>
      <c r="O1680" s="14" t="n">
        <v>2.451</v>
      </c>
      <c r="P1680" s="14" t="n">
        <v>2.604</v>
      </c>
      <c r="Q1680" s="14" t="n">
        <v>0.75</v>
      </c>
      <c r="R1680" s="14" t="n">
        <v>0.75</v>
      </c>
      <c r="S1680" s="14" t="n">
        <v>11.75</v>
      </c>
    </row>
    <row r="1681" customFormat="false" ht="15" hidden="false" customHeight="false" outlineLevel="0" collapsed="false">
      <c r="A1681" s="13" t="n">
        <v>44649</v>
      </c>
      <c r="B1681" s="14" t="n">
        <v>0.28</v>
      </c>
      <c r="C1681" s="14" t="n">
        <v>0.5</v>
      </c>
      <c r="D1681" s="14" t="n">
        <v>0.25</v>
      </c>
      <c r="E1681" s="14" t="n">
        <v>-0.579</v>
      </c>
      <c r="F1681" s="14" t="n">
        <v>-0.5</v>
      </c>
      <c r="G1681" s="14" t="n">
        <v>0.75</v>
      </c>
      <c r="H1681" s="14" t="n">
        <v>0.6907</v>
      </c>
      <c r="I1681" s="14" t="n">
        <v>0.703378154712201</v>
      </c>
      <c r="J1681" s="14" t="n">
        <v>0.901605081046446</v>
      </c>
      <c r="K1681" s="14" t="n">
        <v>1.18042770728546</v>
      </c>
      <c r="L1681" s="14" t="n">
        <v>1.59798033512479</v>
      </c>
      <c r="M1681" s="14" t="n">
        <v>2.314</v>
      </c>
      <c r="N1681" s="14" t="n">
        <v>2.372</v>
      </c>
      <c r="O1681" s="14" t="n">
        <v>2.452</v>
      </c>
      <c r="P1681" s="14" t="n">
        <v>2.605</v>
      </c>
      <c r="Q1681" s="14" t="n">
        <v>0.75</v>
      </c>
      <c r="R1681" s="14" t="n">
        <v>0.75</v>
      </c>
      <c r="S1681" s="14" t="n">
        <v>11.75</v>
      </c>
    </row>
    <row r="1682" customFormat="false" ht="15" hidden="false" customHeight="false" outlineLevel="0" collapsed="false">
      <c r="A1682" s="13" t="n">
        <v>44650</v>
      </c>
      <c r="B1682" s="14" t="n">
        <v>0.27</v>
      </c>
      <c r="C1682" s="14" t="n">
        <v>0.5</v>
      </c>
      <c r="D1682" s="14" t="n">
        <v>0.25</v>
      </c>
      <c r="E1682" s="14" t="n">
        <v>-0.579</v>
      </c>
      <c r="F1682" s="14" t="n">
        <v>-0.5</v>
      </c>
      <c r="G1682" s="14" t="n">
        <v>0.75</v>
      </c>
      <c r="H1682" s="14" t="n">
        <v>0.69</v>
      </c>
      <c r="I1682" s="14" t="n">
        <v>0.700482910751275</v>
      </c>
      <c r="J1682" s="14" t="n">
        <v>0.903102460016214</v>
      </c>
      <c r="K1682" s="14" t="n">
        <v>1.19267422871682</v>
      </c>
      <c r="L1682" s="14" t="n">
        <v>1.63286667821442</v>
      </c>
      <c r="M1682" s="14" t="n">
        <v>2.313</v>
      </c>
      <c r="N1682" s="14" t="n">
        <v>2.371</v>
      </c>
      <c r="O1682" s="14" t="n">
        <v>2.451</v>
      </c>
      <c r="P1682" s="14" t="n">
        <v>2.606</v>
      </c>
      <c r="Q1682" s="14" t="n">
        <v>0.75</v>
      </c>
      <c r="R1682" s="14" t="n">
        <v>0.75</v>
      </c>
      <c r="S1682" s="14" t="n">
        <v>11.75</v>
      </c>
    </row>
    <row r="1683" customFormat="false" ht="15" hidden="false" customHeight="false" outlineLevel="0" collapsed="false">
      <c r="A1683" s="13" t="n">
        <v>44651</v>
      </c>
      <c r="B1683" s="14" t="n">
        <v>0.29</v>
      </c>
      <c r="C1683" s="14" t="n">
        <v>0.5</v>
      </c>
      <c r="D1683" s="14" t="n">
        <v>0.25</v>
      </c>
      <c r="E1683" s="14" t="n">
        <v>-0.593</v>
      </c>
      <c r="F1683" s="14" t="n">
        <v>-0.5</v>
      </c>
      <c r="G1683" s="14" t="n">
        <v>0.75</v>
      </c>
      <c r="H1683" s="14" t="n">
        <v>0.6896</v>
      </c>
      <c r="I1683" s="14" t="n">
        <v>0.703028706161792</v>
      </c>
      <c r="J1683" s="14" t="n">
        <v>0.902641787787313</v>
      </c>
      <c r="K1683" s="14" t="n">
        <v>1.18211516462469</v>
      </c>
      <c r="L1683" s="14" t="n">
        <v>1.60679731390582</v>
      </c>
      <c r="M1683" s="14" t="n">
        <v>2.313</v>
      </c>
      <c r="N1683" s="14" t="n">
        <v>2.373</v>
      </c>
      <c r="O1683" s="14" t="n">
        <v>2.452</v>
      </c>
      <c r="P1683" s="14" t="n">
        <v>2.606</v>
      </c>
      <c r="Q1683" s="14" t="n">
        <v>0.75</v>
      </c>
      <c r="R1683" s="14" t="n">
        <v>0.75</v>
      </c>
      <c r="S1683" s="14" t="n">
        <v>11.75</v>
      </c>
    </row>
    <row r="1684" customFormat="false" ht="15" hidden="false" customHeight="false" outlineLevel="0" collapsed="false">
      <c r="A1684" s="13" t="n">
        <v>44652</v>
      </c>
      <c r="B1684" s="14" t="n">
        <v>0.3</v>
      </c>
      <c r="C1684" s="14" t="n">
        <v>0.5</v>
      </c>
      <c r="D1684" s="14" t="n">
        <v>0.25</v>
      </c>
      <c r="E1684" s="14" t="n">
        <v>-0.582</v>
      </c>
      <c r="F1684" s="14" t="n">
        <v>-0.5</v>
      </c>
      <c r="G1684" s="14" t="n">
        <v>0.75</v>
      </c>
      <c r="H1684" s="14" t="n">
        <v>0.6906</v>
      </c>
      <c r="I1684" s="14" t="n">
        <v>0.706539176611769</v>
      </c>
      <c r="J1684" s="14" t="n">
        <v>0.907872280708782</v>
      </c>
      <c r="K1684" s="14" t="n">
        <v>1.18363443752557</v>
      </c>
      <c r="L1684" s="14" t="n">
        <v>1.61531633411042</v>
      </c>
      <c r="M1684" s="14" t="n">
        <v>2.307</v>
      </c>
      <c r="N1684" s="14" t="n">
        <v>2.372</v>
      </c>
      <c r="O1684" s="14" t="n">
        <v>2.452</v>
      </c>
      <c r="P1684" s="14" t="n">
        <v>2.606</v>
      </c>
      <c r="Q1684" s="14" t="n">
        <v>0.75</v>
      </c>
      <c r="R1684" s="14" t="n">
        <v>0.75</v>
      </c>
      <c r="S1684" s="14" t="n">
        <v>11.75</v>
      </c>
    </row>
    <row r="1685" customFormat="false" ht="15" hidden="false" customHeight="false" outlineLevel="0" collapsed="false">
      <c r="A1685" s="13" t="n">
        <v>44653</v>
      </c>
      <c r="C1685" s="14" t="n">
        <v>0.5</v>
      </c>
      <c r="D1685" s="14" t="n">
        <v>0.25</v>
      </c>
      <c r="F1685" s="14" t="n">
        <v>-0.5</v>
      </c>
      <c r="M1685" s="14" t="n">
        <v>2.306</v>
      </c>
      <c r="N1685" s="14" t="n">
        <v>2.37</v>
      </c>
      <c r="O1685" s="14" t="n">
        <v>2.451</v>
      </c>
      <c r="P1685" s="14" t="n">
        <v>2.606</v>
      </c>
      <c r="S1685" s="14" t="n">
        <v>11.75</v>
      </c>
    </row>
    <row r="1686" customFormat="false" ht="15" hidden="false" customHeight="false" outlineLevel="0" collapsed="false">
      <c r="A1686" s="13" t="n">
        <v>44655</v>
      </c>
      <c r="B1686" s="14" t="n">
        <v>0.3</v>
      </c>
      <c r="C1686" s="14" t="n">
        <v>0.5</v>
      </c>
      <c r="D1686" s="14" t="n">
        <v>0.25</v>
      </c>
      <c r="E1686" s="14" t="n">
        <v>-0.585</v>
      </c>
      <c r="F1686" s="14" t="n">
        <v>-0.5</v>
      </c>
      <c r="G1686" s="14" t="n">
        <v>0.75</v>
      </c>
      <c r="H1686" s="14" t="n">
        <v>0.6913</v>
      </c>
      <c r="I1686" s="14" t="n">
        <v>0.71100094450227</v>
      </c>
      <c r="J1686" s="14" t="n">
        <v>0.914223060963821</v>
      </c>
      <c r="K1686" s="14" t="n">
        <v>1.18285133314512</v>
      </c>
      <c r="L1686" s="14" t="n">
        <v>1.60252758398475</v>
      </c>
      <c r="Q1686" s="14" t="n">
        <v>0.75</v>
      </c>
      <c r="R1686" s="14" t="n">
        <v>0.75</v>
      </c>
      <c r="S1686" s="14" t="n">
        <v>11.75</v>
      </c>
    </row>
    <row r="1687" customFormat="false" ht="15" hidden="false" customHeight="false" outlineLevel="0" collapsed="false">
      <c r="A1687" s="13" t="n">
        <v>44656</v>
      </c>
      <c r="B1687" s="14" t="n">
        <v>0.3</v>
      </c>
      <c r="C1687" s="14" t="n">
        <v>0.5</v>
      </c>
      <c r="D1687" s="14" t="n">
        <v>0.25</v>
      </c>
      <c r="E1687" s="14" t="n">
        <v>-0.586</v>
      </c>
      <c r="F1687" s="14" t="n">
        <v>-0.5</v>
      </c>
      <c r="G1687" s="14" t="n">
        <v>0.75</v>
      </c>
      <c r="H1687" s="14" t="n">
        <v>0.6915</v>
      </c>
      <c r="I1687" s="14" t="n">
        <v>0.713218790230285</v>
      </c>
      <c r="J1687" s="14" t="n">
        <v>0.92455959976944</v>
      </c>
      <c r="K1687" s="14" t="n">
        <v>1.20173765198751</v>
      </c>
      <c r="L1687" s="14" t="n">
        <v>1.64016680852397</v>
      </c>
      <c r="Q1687" s="14" t="n">
        <v>0.75</v>
      </c>
      <c r="R1687" s="14" t="n">
        <v>0.75</v>
      </c>
      <c r="S1687" s="14" t="n">
        <v>11.75</v>
      </c>
    </row>
    <row r="1688" customFormat="false" ht="15" hidden="false" customHeight="false" outlineLevel="0" collapsed="false">
      <c r="A1688" s="13" t="n">
        <v>44657</v>
      </c>
      <c r="B1688" s="14" t="n">
        <v>0.3</v>
      </c>
      <c r="C1688" s="14" t="n">
        <v>0.5</v>
      </c>
      <c r="D1688" s="14" t="n">
        <v>0.25</v>
      </c>
      <c r="E1688" s="14" t="n">
        <v>-0.584</v>
      </c>
      <c r="F1688" s="14" t="n">
        <v>-0.5</v>
      </c>
      <c r="G1688" s="14" t="n">
        <v>0.75</v>
      </c>
      <c r="H1688" s="14" t="n">
        <v>0.6919</v>
      </c>
      <c r="I1688" s="14" t="n">
        <v>0.720255498574835</v>
      </c>
      <c r="J1688" s="14" t="n">
        <v>0.926618697547892</v>
      </c>
      <c r="K1688" s="14" t="n">
        <v>1.19227277134422</v>
      </c>
      <c r="L1688" s="14" t="n">
        <v>1.62783717476886</v>
      </c>
      <c r="M1688" s="14" t="n">
        <v>2.305</v>
      </c>
      <c r="N1688" s="14" t="n">
        <v>2.37</v>
      </c>
      <c r="O1688" s="14" t="n">
        <v>2.451</v>
      </c>
      <c r="P1688" s="14" t="n">
        <v>2.605</v>
      </c>
      <c r="Q1688" s="14" t="n">
        <v>0.75</v>
      </c>
      <c r="R1688" s="14" t="n">
        <v>0.75</v>
      </c>
      <c r="S1688" s="14" t="n">
        <v>11.75</v>
      </c>
    </row>
    <row r="1689" customFormat="false" ht="15" hidden="false" customHeight="false" outlineLevel="0" collapsed="false">
      <c r="A1689" s="13" t="n">
        <v>44658</v>
      </c>
      <c r="B1689" s="14" t="n">
        <v>0.3</v>
      </c>
      <c r="C1689" s="14" t="n">
        <v>0.5</v>
      </c>
      <c r="D1689" s="14" t="n">
        <v>0.25</v>
      </c>
      <c r="E1689" s="14" t="n">
        <v>-0.582</v>
      </c>
      <c r="F1689" s="14" t="n">
        <v>-0.5</v>
      </c>
      <c r="G1689" s="14" t="n">
        <v>0.75</v>
      </c>
      <c r="H1689" s="14" t="n">
        <v>0.6914</v>
      </c>
      <c r="I1689" s="14" t="n">
        <v>0.730684497997605</v>
      </c>
      <c r="J1689" s="14" t="n">
        <v>0.933227593052804</v>
      </c>
      <c r="K1689" s="14" t="n">
        <v>1.19349534999755</v>
      </c>
      <c r="L1689" s="14" t="n">
        <v>1.62841499524881</v>
      </c>
      <c r="M1689" s="14" t="n">
        <v>2.29</v>
      </c>
      <c r="N1689" s="14" t="n">
        <v>2.36</v>
      </c>
      <c r="O1689" s="14" t="n">
        <v>2.443</v>
      </c>
      <c r="P1689" s="14" t="n">
        <v>2.593</v>
      </c>
      <c r="Q1689" s="14" t="n">
        <v>0.75</v>
      </c>
      <c r="R1689" s="14" t="n">
        <v>0.75</v>
      </c>
      <c r="S1689" s="14" t="n">
        <v>11.75</v>
      </c>
    </row>
    <row r="1690" customFormat="false" ht="15" hidden="false" customHeight="false" outlineLevel="0" collapsed="false">
      <c r="A1690" s="13" t="n">
        <v>44659</v>
      </c>
      <c r="B1690" s="14" t="n">
        <v>0.3</v>
      </c>
      <c r="C1690" s="14" t="n">
        <v>0.5</v>
      </c>
      <c r="D1690" s="14" t="n">
        <v>0.25</v>
      </c>
      <c r="E1690" s="14" t="n">
        <v>-0.583</v>
      </c>
      <c r="F1690" s="14" t="n">
        <v>-0.5</v>
      </c>
      <c r="G1690" s="14" t="n">
        <v>0.75</v>
      </c>
      <c r="H1690" s="14" t="n">
        <v>0.6912</v>
      </c>
      <c r="I1690" s="14" t="n">
        <v>0.734921626219044</v>
      </c>
      <c r="J1690" s="14" t="n">
        <v>0.936759187298877</v>
      </c>
      <c r="K1690" s="14" t="n">
        <v>1.19286205331625</v>
      </c>
      <c r="L1690" s="14" t="n">
        <v>1.63244553905421</v>
      </c>
      <c r="M1690" s="14" t="n">
        <v>2.295</v>
      </c>
      <c r="N1690" s="14" t="n">
        <v>2.363</v>
      </c>
      <c r="O1690" s="14" t="n">
        <v>2.444</v>
      </c>
      <c r="P1690" s="14" t="n">
        <v>2.586</v>
      </c>
      <c r="Q1690" s="14" t="n">
        <v>0.75</v>
      </c>
      <c r="R1690" s="14" t="n">
        <v>0.75</v>
      </c>
      <c r="S1690" s="14" t="n">
        <v>11.75</v>
      </c>
    </row>
    <row r="1691" customFormat="false" ht="15" hidden="false" customHeight="false" outlineLevel="0" collapsed="false">
      <c r="A1691" s="13" t="n">
        <v>44662</v>
      </c>
      <c r="B1691" s="14" t="n">
        <v>0.3</v>
      </c>
      <c r="C1691" s="14" t="n">
        <v>0.5</v>
      </c>
      <c r="D1691" s="14" t="n">
        <v>0.25</v>
      </c>
      <c r="E1691" s="14" t="n">
        <v>-0.584</v>
      </c>
      <c r="F1691" s="14" t="n">
        <v>-0.5</v>
      </c>
      <c r="G1691" s="14" t="n">
        <v>0.75</v>
      </c>
      <c r="H1691" s="14" t="n">
        <v>0.6902</v>
      </c>
      <c r="I1691" s="14" t="n">
        <v>0.746005790482567</v>
      </c>
      <c r="J1691" s="14" t="n">
        <v>0.953162856127474</v>
      </c>
      <c r="K1691" s="14" t="n">
        <v>1.21300001293393</v>
      </c>
      <c r="L1691" s="14" t="n">
        <v>1.66068090332742</v>
      </c>
      <c r="M1691" s="14" t="n">
        <v>2.291</v>
      </c>
      <c r="N1691" s="14" t="n">
        <v>2.357</v>
      </c>
      <c r="O1691" s="14" t="n">
        <v>2.441</v>
      </c>
      <c r="P1691" s="14" t="n">
        <v>2.582</v>
      </c>
      <c r="Q1691" s="14" t="n">
        <v>0.75</v>
      </c>
      <c r="R1691" s="14" t="n">
        <v>0.75</v>
      </c>
      <c r="S1691" s="14" t="n">
        <v>11.75</v>
      </c>
    </row>
    <row r="1692" customFormat="false" ht="15" hidden="false" customHeight="false" outlineLevel="0" collapsed="false">
      <c r="A1692" s="13" t="n">
        <v>44663</v>
      </c>
      <c r="B1692" s="14" t="n">
        <v>0.29</v>
      </c>
      <c r="C1692" s="14" t="n">
        <v>0.5</v>
      </c>
      <c r="D1692" s="14" t="n">
        <v>0.25</v>
      </c>
      <c r="E1692" s="14" t="n">
        <v>-0.583</v>
      </c>
      <c r="F1692" s="14" t="n">
        <v>-0.5</v>
      </c>
      <c r="G1692" s="14" t="n">
        <v>0.75</v>
      </c>
      <c r="H1692" s="14" t="n">
        <v>0.6906</v>
      </c>
      <c r="I1692" s="14" t="n">
        <v>0.750281474129131</v>
      </c>
      <c r="J1692" s="14" t="n">
        <v>0.957596415074788</v>
      </c>
      <c r="K1692" s="14" t="n">
        <v>1.21007102176161</v>
      </c>
      <c r="L1692" s="14" t="n">
        <v>1.64037309999018</v>
      </c>
      <c r="M1692" s="14" t="n">
        <v>2.284</v>
      </c>
      <c r="N1692" s="14" t="n">
        <v>2.351</v>
      </c>
      <c r="O1692" s="14" t="n">
        <v>2.437</v>
      </c>
      <c r="P1692" s="14" t="n">
        <v>2.577</v>
      </c>
      <c r="Q1692" s="14" t="n">
        <v>0.75</v>
      </c>
      <c r="R1692" s="14" t="n">
        <v>0.75</v>
      </c>
      <c r="S1692" s="14" t="n">
        <v>11.75</v>
      </c>
    </row>
    <row r="1693" customFormat="false" ht="15" hidden="false" customHeight="false" outlineLevel="0" collapsed="false">
      <c r="A1693" s="13" t="n">
        <v>44664</v>
      </c>
      <c r="B1693" s="14" t="n">
        <v>0.29</v>
      </c>
      <c r="C1693" s="14" t="n">
        <v>0.5</v>
      </c>
      <c r="D1693" s="14" t="n">
        <v>0.25</v>
      </c>
      <c r="E1693" s="14" t="n">
        <v>-0.585</v>
      </c>
      <c r="F1693" s="14" t="n">
        <v>-0.5</v>
      </c>
      <c r="G1693" s="14" t="n">
        <v>0.75</v>
      </c>
      <c r="H1693" s="14" t="n">
        <v>0.6905</v>
      </c>
      <c r="I1693" s="14" t="n">
        <v>0.764158084198851</v>
      </c>
      <c r="J1693" s="14" t="n">
        <v>0.984803018600091</v>
      </c>
      <c r="K1693" s="14" t="n">
        <v>1.24072490009956</v>
      </c>
      <c r="L1693" s="14" t="n">
        <v>1.6694257593763</v>
      </c>
      <c r="M1693" s="14" t="n">
        <v>2.276</v>
      </c>
      <c r="N1693" s="14" t="n">
        <v>2.347</v>
      </c>
      <c r="O1693" s="14" t="n">
        <v>2.434</v>
      </c>
      <c r="P1693" s="14" t="n">
        <v>2.575</v>
      </c>
      <c r="Q1693" s="14" t="n">
        <v>0.75</v>
      </c>
      <c r="R1693" s="14" t="n">
        <v>0.75</v>
      </c>
      <c r="S1693" s="14" t="n">
        <v>11.75</v>
      </c>
    </row>
    <row r="1694" customFormat="false" ht="15" hidden="false" customHeight="false" outlineLevel="0" collapsed="false">
      <c r="A1694" s="13" t="n">
        <v>44665</v>
      </c>
      <c r="B1694" s="14" t="n">
        <v>0.29</v>
      </c>
      <c r="C1694" s="14" t="n">
        <v>0.5</v>
      </c>
      <c r="D1694" s="14" t="n">
        <v>0.25</v>
      </c>
      <c r="E1694" s="14" t="n">
        <v>-0.586</v>
      </c>
      <c r="F1694" s="14" t="n">
        <v>-0.5</v>
      </c>
      <c r="G1694" s="14" t="n">
        <v>0.75</v>
      </c>
      <c r="H1694" s="14" t="n">
        <v>0.6908</v>
      </c>
      <c r="I1694" s="14" t="n">
        <v>0.773067535123306</v>
      </c>
      <c r="J1694" s="14" t="n">
        <v>0.998290655364071</v>
      </c>
      <c r="K1694" s="14" t="n">
        <v>1.26615051527765</v>
      </c>
      <c r="L1694" s="14" t="n">
        <v>1.71606170246653</v>
      </c>
      <c r="M1694" s="14" t="n">
        <v>2.267</v>
      </c>
      <c r="N1694" s="14" t="n">
        <v>2.343</v>
      </c>
      <c r="O1694" s="14" t="n">
        <v>2.429</v>
      </c>
      <c r="P1694" s="14" t="n">
        <v>2.572</v>
      </c>
      <c r="S1694" s="14" t="n">
        <v>11.75</v>
      </c>
    </row>
    <row r="1695" customFormat="false" ht="15" hidden="false" customHeight="false" outlineLevel="0" collapsed="false">
      <c r="A1695" s="13" t="n">
        <v>44666</v>
      </c>
      <c r="C1695" s="14" t="n">
        <v>0.5</v>
      </c>
      <c r="D1695" s="14" t="n">
        <v>0.25</v>
      </c>
      <c r="F1695" s="14" t="n">
        <v>-0.5</v>
      </c>
      <c r="M1695" s="14" t="n">
        <v>2.253</v>
      </c>
      <c r="N1695" s="14" t="n">
        <v>2.336</v>
      </c>
      <c r="O1695" s="14" t="n">
        <v>2.421</v>
      </c>
      <c r="P1695" s="14" t="n">
        <v>2.567</v>
      </c>
      <c r="S1695" s="14" t="n">
        <v>11.75</v>
      </c>
    </row>
    <row r="1696" customFormat="false" ht="15" hidden="false" customHeight="false" outlineLevel="0" collapsed="false">
      <c r="A1696" s="13" t="n">
        <v>44669</v>
      </c>
      <c r="B1696" s="14" t="n">
        <v>0.29</v>
      </c>
      <c r="C1696" s="14" t="n">
        <v>0.5</v>
      </c>
      <c r="D1696" s="14" t="n">
        <v>0.25</v>
      </c>
      <c r="F1696" s="14" t="n">
        <v>-0.5</v>
      </c>
      <c r="M1696" s="14" t="n">
        <v>2.245</v>
      </c>
      <c r="N1696" s="14" t="n">
        <v>2.331</v>
      </c>
      <c r="O1696" s="14" t="n">
        <v>2.418</v>
      </c>
      <c r="P1696" s="14" t="n">
        <v>2.562</v>
      </c>
      <c r="S1696" s="14" t="n">
        <v>11.75</v>
      </c>
    </row>
    <row r="1697" customFormat="false" ht="15" hidden="false" customHeight="false" outlineLevel="0" collapsed="false">
      <c r="A1697" s="13" t="n">
        <v>44670</v>
      </c>
      <c r="B1697" s="14" t="n">
        <v>0.28</v>
      </c>
      <c r="C1697" s="14" t="n">
        <v>0.5</v>
      </c>
      <c r="D1697" s="14" t="n">
        <v>0.25</v>
      </c>
      <c r="E1697" s="14" t="n">
        <v>-0.58</v>
      </c>
      <c r="F1697" s="14" t="n">
        <v>-0.5</v>
      </c>
      <c r="G1697" s="14" t="n">
        <v>0.75</v>
      </c>
      <c r="H1697" s="14" t="n">
        <v>0.6902</v>
      </c>
      <c r="I1697" s="14" t="n">
        <v>0.822620007807072</v>
      </c>
      <c r="J1697" s="14" t="n">
        <v>1.03085873033246</v>
      </c>
      <c r="K1697" s="14" t="n">
        <v>1.29765042677794</v>
      </c>
      <c r="L1697" s="14" t="n">
        <v>1.75666432425291</v>
      </c>
      <c r="M1697" s="14" t="n">
        <v>2.237</v>
      </c>
      <c r="N1697" s="14" t="n">
        <v>2.327</v>
      </c>
      <c r="O1697" s="14" t="n">
        <v>2.415</v>
      </c>
      <c r="P1697" s="14" t="n">
        <v>2.558</v>
      </c>
      <c r="Q1697" s="14" t="n">
        <v>0.75</v>
      </c>
      <c r="R1697" s="14" t="n">
        <v>0.75</v>
      </c>
      <c r="S1697" s="14" t="n">
        <v>11.75</v>
      </c>
    </row>
    <row r="1698" customFormat="false" ht="15" hidden="false" customHeight="false" outlineLevel="0" collapsed="false">
      <c r="A1698" s="13" t="n">
        <v>44671</v>
      </c>
      <c r="B1698" s="14" t="n">
        <v>0.27</v>
      </c>
      <c r="C1698" s="14" t="n">
        <v>0.5</v>
      </c>
      <c r="D1698" s="14" t="n">
        <v>0.25</v>
      </c>
      <c r="E1698" s="14" t="n">
        <v>-0.583</v>
      </c>
      <c r="F1698" s="14" t="n">
        <v>-0.5</v>
      </c>
      <c r="G1698" s="14" t="n">
        <v>0.75</v>
      </c>
      <c r="H1698" s="14" t="n">
        <v>0.6904</v>
      </c>
      <c r="I1698" s="14" t="n">
        <v>0.829173743530882</v>
      </c>
      <c r="J1698" s="14" t="n">
        <v>1.03536573509454</v>
      </c>
      <c r="K1698" s="14" t="n">
        <v>1.30190267335788</v>
      </c>
      <c r="L1698" s="14" t="n">
        <v>1.75988473685527</v>
      </c>
      <c r="M1698" s="14" t="n">
        <v>2.23</v>
      </c>
      <c r="N1698" s="14" t="n">
        <v>2.323</v>
      </c>
      <c r="O1698" s="14" t="n">
        <v>2.411</v>
      </c>
      <c r="P1698" s="14" t="n">
        <v>2.555</v>
      </c>
      <c r="Q1698" s="14" t="n">
        <v>0.75</v>
      </c>
      <c r="R1698" s="14" t="n">
        <v>0.75</v>
      </c>
      <c r="S1698" s="14" t="n">
        <v>11.75</v>
      </c>
    </row>
    <row r="1699" customFormat="false" ht="15" hidden="false" customHeight="false" outlineLevel="0" collapsed="false">
      <c r="A1699" s="13" t="n">
        <v>44672</v>
      </c>
      <c r="B1699" s="14" t="n">
        <v>0.26</v>
      </c>
      <c r="C1699" s="14" t="n">
        <v>0.5</v>
      </c>
      <c r="D1699" s="14" t="n">
        <v>0.25</v>
      </c>
      <c r="E1699" s="14" t="n">
        <v>-0.585</v>
      </c>
      <c r="F1699" s="14" t="n">
        <v>-0.5</v>
      </c>
      <c r="G1699" s="14" t="n">
        <v>0.75</v>
      </c>
      <c r="H1699" s="14" t="n">
        <v>0.6904</v>
      </c>
      <c r="I1699" s="14" t="n">
        <v>0.878558144302728</v>
      </c>
      <c r="J1699" s="14" t="n">
        <v>1.13449668395089</v>
      </c>
      <c r="K1699" s="14" t="n">
        <v>1.45017179343902</v>
      </c>
      <c r="L1699" s="14" t="n">
        <v>1.93900584187028</v>
      </c>
      <c r="M1699" s="14" t="n">
        <v>2.222</v>
      </c>
      <c r="N1699" s="14" t="n">
        <v>2.313</v>
      </c>
      <c r="O1699" s="14" t="n">
        <v>2.407</v>
      </c>
      <c r="P1699" s="14" t="n">
        <v>2.549</v>
      </c>
      <c r="Q1699" s="14" t="n">
        <v>0.75</v>
      </c>
      <c r="R1699" s="14" t="n">
        <v>0.75</v>
      </c>
      <c r="S1699" s="14" t="n">
        <v>11.75</v>
      </c>
    </row>
    <row r="1700" customFormat="false" ht="15" hidden="false" customHeight="false" outlineLevel="0" collapsed="false">
      <c r="A1700" s="13" t="n">
        <v>44673</v>
      </c>
      <c r="B1700" s="14" t="n">
        <v>0.27</v>
      </c>
      <c r="C1700" s="14" t="n">
        <v>0.5</v>
      </c>
      <c r="D1700" s="14" t="n">
        <v>0.25</v>
      </c>
      <c r="E1700" s="14" t="n">
        <v>-0.583</v>
      </c>
      <c r="F1700" s="14" t="n">
        <v>-0.5</v>
      </c>
      <c r="G1700" s="14" t="n">
        <v>0.75</v>
      </c>
      <c r="H1700" s="14" t="n">
        <v>0.6905</v>
      </c>
      <c r="I1700" s="14" t="n">
        <v>0.862745979534129</v>
      </c>
      <c r="J1700" s="14" t="n">
        <v>1.09501774835745</v>
      </c>
      <c r="K1700" s="14" t="n">
        <v>1.39941664649693</v>
      </c>
      <c r="L1700" s="14" t="n">
        <v>1.86884491880682</v>
      </c>
      <c r="M1700" s="14" t="n">
        <v>2.213</v>
      </c>
      <c r="N1700" s="14" t="n">
        <v>2.305</v>
      </c>
      <c r="O1700" s="14" t="n">
        <v>2.398</v>
      </c>
      <c r="P1700" s="14" t="n">
        <v>2.54</v>
      </c>
      <c r="Q1700" s="14" t="n">
        <v>0.75</v>
      </c>
      <c r="R1700" s="14" t="n">
        <v>0.75</v>
      </c>
      <c r="S1700" s="14" t="n">
        <v>11.75</v>
      </c>
    </row>
    <row r="1701" customFormat="false" ht="15" hidden="false" customHeight="false" outlineLevel="0" collapsed="false">
      <c r="A1701" s="13" t="n">
        <v>44675</v>
      </c>
      <c r="C1701" s="14" t="n">
        <v>0.5</v>
      </c>
      <c r="D1701" s="14" t="n">
        <v>0.25</v>
      </c>
      <c r="F1701" s="14" t="n">
        <v>-0.5</v>
      </c>
      <c r="M1701" s="14" t="n">
        <v>2.194</v>
      </c>
      <c r="N1701" s="14" t="n">
        <v>2.274</v>
      </c>
      <c r="O1701" s="14" t="n">
        <v>2.38</v>
      </c>
      <c r="P1701" s="14" t="n">
        <v>2.53</v>
      </c>
      <c r="S1701" s="14" t="n">
        <v>11.75</v>
      </c>
    </row>
    <row r="1702" customFormat="false" ht="15" hidden="false" customHeight="false" outlineLevel="0" collapsed="false">
      <c r="A1702" s="13" t="n">
        <v>44676</v>
      </c>
      <c r="B1702" s="14" t="n">
        <v>0.27</v>
      </c>
      <c r="C1702" s="14" t="n">
        <v>0.5</v>
      </c>
      <c r="D1702" s="14" t="n">
        <v>0.25</v>
      </c>
      <c r="E1702" s="14" t="n">
        <v>-0.585</v>
      </c>
      <c r="F1702" s="14" t="n">
        <v>-0.5</v>
      </c>
      <c r="G1702" s="14" t="n">
        <v>0.75</v>
      </c>
      <c r="H1702" s="14" t="n">
        <v>0.6899</v>
      </c>
      <c r="I1702" s="14" t="n">
        <v>0.881335080170452</v>
      </c>
      <c r="J1702" s="14" t="n">
        <v>1.0910296642696</v>
      </c>
      <c r="K1702" s="14" t="n">
        <v>1.37935907262601</v>
      </c>
      <c r="L1702" s="14" t="n">
        <v>1.80406096289808</v>
      </c>
      <c r="M1702" s="14" t="n">
        <v>2.181</v>
      </c>
      <c r="N1702" s="14" t="n">
        <v>2.262</v>
      </c>
      <c r="O1702" s="14" t="n">
        <v>2.368</v>
      </c>
      <c r="P1702" s="14" t="n">
        <v>2.516</v>
      </c>
      <c r="Q1702" s="14" t="n">
        <v>0.75</v>
      </c>
      <c r="R1702" s="14" t="n">
        <v>0.75</v>
      </c>
      <c r="S1702" s="14" t="n">
        <v>11.75</v>
      </c>
    </row>
    <row r="1703" customFormat="false" ht="15" hidden="false" customHeight="false" outlineLevel="0" collapsed="false">
      <c r="A1703" s="13" t="n">
        <v>44677</v>
      </c>
      <c r="B1703" s="14" t="n">
        <v>0.27</v>
      </c>
      <c r="C1703" s="14" t="n">
        <v>0.5</v>
      </c>
      <c r="D1703" s="14" t="n">
        <v>0.25</v>
      </c>
      <c r="E1703" s="14" t="n">
        <v>-0.582</v>
      </c>
      <c r="F1703" s="14" t="n">
        <v>-0.5</v>
      </c>
      <c r="G1703" s="14" t="n">
        <v>0.75</v>
      </c>
      <c r="H1703" s="14" t="n">
        <v>0.6903</v>
      </c>
      <c r="I1703" s="14" t="n">
        <v>0.889235349612594</v>
      </c>
      <c r="J1703" s="14" t="n">
        <v>1.09260718113617</v>
      </c>
      <c r="K1703" s="14" t="n">
        <v>1.37857940878844</v>
      </c>
      <c r="L1703" s="14" t="n">
        <v>1.79537349690625</v>
      </c>
      <c r="M1703" s="14" t="n">
        <v>2.166</v>
      </c>
      <c r="N1703" s="14" t="n">
        <v>2.252</v>
      </c>
      <c r="O1703" s="14" t="n">
        <v>2.355</v>
      </c>
      <c r="P1703" s="14" t="n">
        <v>2.507</v>
      </c>
      <c r="Q1703" s="14" t="n">
        <v>0.75</v>
      </c>
      <c r="R1703" s="14" t="n">
        <v>0.75</v>
      </c>
      <c r="S1703" s="14" t="n">
        <v>11.75</v>
      </c>
    </row>
    <row r="1704" customFormat="false" ht="15" hidden="false" customHeight="false" outlineLevel="0" collapsed="false">
      <c r="A1704" s="13" t="n">
        <v>44678</v>
      </c>
      <c r="B1704" s="14" t="n">
        <v>0.28</v>
      </c>
      <c r="C1704" s="14" t="n">
        <v>0.5</v>
      </c>
      <c r="D1704" s="14" t="n">
        <v>0.25</v>
      </c>
      <c r="E1704" s="14" t="n">
        <v>-0.583</v>
      </c>
      <c r="F1704" s="14" t="n">
        <v>-0.5</v>
      </c>
      <c r="G1704" s="14" t="n">
        <v>0.75</v>
      </c>
      <c r="H1704" s="14" t="n">
        <v>0.6902</v>
      </c>
      <c r="I1704" s="14" t="n">
        <v>0.899161830608278</v>
      </c>
      <c r="J1704" s="14" t="n">
        <v>1.09133500422493</v>
      </c>
      <c r="K1704" s="14" t="n">
        <v>1.36724827111361</v>
      </c>
      <c r="L1704" s="14" t="n">
        <v>1.77658443076564</v>
      </c>
      <c r="M1704" s="14" t="n">
        <v>2.154</v>
      </c>
      <c r="N1704" s="14" t="n">
        <v>2.242</v>
      </c>
      <c r="O1704" s="14" t="n">
        <v>2.346</v>
      </c>
      <c r="P1704" s="14" t="n">
        <v>2.497</v>
      </c>
      <c r="Q1704" s="14" t="n">
        <v>0.75</v>
      </c>
      <c r="R1704" s="14" t="n">
        <v>0.75</v>
      </c>
      <c r="S1704" s="14" t="n">
        <v>11.75</v>
      </c>
    </row>
    <row r="1705" customFormat="false" ht="15" hidden="false" customHeight="false" outlineLevel="0" collapsed="false">
      <c r="A1705" s="13" t="n">
        <v>44679</v>
      </c>
      <c r="B1705" s="14" t="n">
        <v>0.28</v>
      </c>
      <c r="C1705" s="14" t="n">
        <v>0.5</v>
      </c>
      <c r="D1705" s="14" t="n">
        <v>0.25</v>
      </c>
      <c r="E1705" s="14" t="n">
        <v>-0.583</v>
      </c>
      <c r="F1705" s="14" t="n">
        <v>-0.5</v>
      </c>
      <c r="G1705" s="14" t="n">
        <v>0.75</v>
      </c>
      <c r="H1705" s="14" t="n">
        <v>0.6896</v>
      </c>
      <c r="I1705" s="14" t="n">
        <v>0.909427944810282</v>
      </c>
      <c r="J1705" s="14" t="n">
        <v>1.11109234595432</v>
      </c>
      <c r="K1705" s="14" t="n">
        <v>1.39924154116243</v>
      </c>
      <c r="L1705" s="14" t="n">
        <v>1.8133118126528</v>
      </c>
      <c r="M1705" s="14" t="n">
        <v>2.142</v>
      </c>
      <c r="N1705" s="14" t="n">
        <v>2.231</v>
      </c>
      <c r="O1705" s="14" t="n">
        <v>2.334</v>
      </c>
      <c r="P1705" s="14" t="n">
        <v>2.484</v>
      </c>
      <c r="Q1705" s="14" t="n">
        <v>0.75</v>
      </c>
      <c r="R1705" s="14" t="n">
        <v>0.75</v>
      </c>
      <c r="S1705" s="14" t="n">
        <v>11.75</v>
      </c>
    </row>
    <row r="1706" customFormat="false" ht="15" hidden="false" customHeight="false" outlineLevel="0" collapsed="false">
      <c r="A1706" s="13" t="n">
        <v>44680</v>
      </c>
      <c r="B1706" s="14" t="n">
        <v>0.28</v>
      </c>
      <c r="C1706" s="14" t="n">
        <v>0.5</v>
      </c>
      <c r="D1706" s="14" t="n">
        <v>0.25</v>
      </c>
      <c r="E1706" s="14" t="n">
        <v>-0.586</v>
      </c>
      <c r="F1706" s="14" t="n">
        <v>-0.5</v>
      </c>
      <c r="G1706" s="14" t="n">
        <v>0.75</v>
      </c>
      <c r="H1706" s="14" t="n">
        <v>0.6907</v>
      </c>
      <c r="I1706" s="14" t="n">
        <v>0.929462705867087</v>
      </c>
      <c r="J1706" s="14" t="n">
        <v>1.13487178538535</v>
      </c>
      <c r="K1706" s="14" t="n">
        <v>1.43196942792102</v>
      </c>
      <c r="L1706" s="14" t="n">
        <v>1.8576695601851</v>
      </c>
      <c r="M1706" s="14" t="n">
        <v>2.125</v>
      </c>
      <c r="N1706" s="14" t="n">
        <v>2.217</v>
      </c>
      <c r="O1706" s="14" t="n">
        <v>2.324</v>
      </c>
      <c r="P1706" s="14" t="n">
        <v>2.474</v>
      </c>
      <c r="Q1706" s="14" t="n">
        <v>0.75</v>
      </c>
      <c r="R1706" s="14" t="n">
        <v>0.75</v>
      </c>
      <c r="S1706" s="14" t="n">
        <v>11.75</v>
      </c>
    </row>
    <row r="1707" customFormat="false" ht="15" hidden="false" customHeight="false" outlineLevel="0" collapsed="false">
      <c r="A1707" s="13" t="n">
        <v>44683</v>
      </c>
      <c r="B1707" s="14" t="n">
        <v>0.3</v>
      </c>
      <c r="C1707" s="14" t="n">
        <v>0.5</v>
      </c>
      <c r="D1707" s="14" t="n">
        <v>0.25</v>
      </c>
      <c r="E1707" s="14" t="n">
        <v>-0.583</v>
      </c>
      <c r="F1707" s="14" t="n">
        <v>-0.5</v>
      </c>
      <c r="Q1707" s="14" t="n">
        <v>0.75</v>
      </c>
      <c r="R1707" s="14" t="n">
        <v>0.75</v>
      </c>
      <c r="S1707" s="14" t="n">
        <v>11.75</v>
      </c>
    </row>
    <row r="1708" customFormat="false" ht="15" hidden="false" customHeight="false" outlineLevel="0" collapsed="false">
      <c r="A1708" s="13" t="n">
        <v>44684</v>
      </c>
      <c r="B1708" s="14" t="n">
        <v>0.3</v>
      </c>
      <c r="C1708" s="14" t="n">
        <v>0.5</v>
      </c>
      <c r="D1708" s="14" t="n">
        <v>0.25</v>
      </c>
      <c r="E1708" s="14" t="n">
        <v>-0.579</v>
      </c>
      <c r="F1708" s="14" t="n">
        <v>-0.5</v>
      </c>
      <c r="G1708" s="14" t="n">
        <v>0.75</v>
      </c>
      <c r="H1708" s="14" t="n">
        <v>0.6906</v>
      </c>
      <c r="I1708" s="14" t="n">
        <v>0.97985903138073</v>
      </c>
      <c r="J1708" s="14" t="n">
        <v>1.17542017846184</v>
      </c>
      <c r="K1708" s="14" t="n">
        <v>1.47962253966479</v>
      </c>
      <c r="L1708" s="14" t="n">
        <v>1.91193147790153</v>
      </c>
      <c r="Q1708" s="14" t="n">
        <v>0.75</v>
      </c>
      <c r="R1708" s="14" t="n">
        <v>0.75</v>
      </c>
      <c r="S1708" s="14" t="n">
        <v>11.75</v>
      </c>
    </row>
    <row r="1709" customFormat="false" ht="15" hidden="false" customHeight="false" outlineLevel="0" collapsed="false">
      <c r="A1709" s="13" t="n">
        <v>44685</v>
      </c>
      <c r="B1709" s="14" t="n">
        <v>0.3</v>
      </c>
      <c r="C1709" s="14" t="n">
        <v>0.5</v>
      </c>
      <c r="D1709" s="14" t="n">
        <v>0.25</v>
      </c>
      <c r="E1709" s="14" t="n">
        <v>-0.585</v>
      </c>
      <c r="F1709" s="14" t="n">
        <v>-0.5</v>
      </c>
      <c r="G1709" s="14" t="n">
        <v>0.75</v>
      </c>
      <c r="H1709" s="14" t="n">
        <v>0.691</v>
      </c>
      <c r="I1709" s="14" t="n">
        <v>0.983109479204051</v>
      </c>
      <c r="J1709" s="14" t="n">
        <v>1.17068514234359</v>
      </c>
      <c r="K1709" s="14" t="n">
        <v>1.4804359580709</v>
      </c>
      <c r="L1709" s="14" t="n">
        <v>1.92869307728894</v>
      </c>
      <c r="Q1709" s="14" t="n">
        <v>0.75</v>
      </c>
      <c r="R1709" s="14" t="n">
        <v>0.75</v>
      </c>
      <c r="S1709" s="14" t="n">
        <v>11.75</v>
      </c>
    </row>
    <row r="1710" customFormat="false" ht="15" hidden="false" customHeight="false" outlineLevel="0" collapsed="false">
      <c r="A1710" s="13" t="n">
        <v>44686</v>
      </c>
      <c r="B1710" s="14" t="n">
        <v>0.79</v>
      </c>
      <c r="C1710" s="14" t="n">
        <v>1</v>
      </c>
      <c r="D1710" s="14" t="n">
        <v>0.75</v>
      </c>
      <c r="E1710" s="14" t="n">
        <v>-0.585</v>
      </c>
      <c r="F1710" s="14" t="n">
        <v>-0.5</v>
      </c>
      <c r="G1710" s="14" t="n">
        <v>1</v>
      </c>
      <c r="H1710" s="14" t="n">
        <v>0.9382</v>
      </c>
      <c r="I1710" s="14" t="n">
        <v>0.942272499475286</v>
      </c>
      <c r="J1710" s="14" t="n">
        <v>1.10717469354076</v>
      </c>
      <c r="K1710" s="14" t="n">
        <v>1.38287292877564</v>
      </c>
      <c r="L1710" s="14" t="n">
        <v>1.80131031869384</v>
      </c>
      <c r="M1710" s="14" t="n">
        <v>2.116</v>
      </c>
      <c r="N1710" s="14" t="n">
        <v>2.209</v>
      </c>
      <c r="O1710" s="14" t="n">
        <v>2.317</v>
      </c>
      <c r="P1710" s="14" t="n">
        <v>2.474</v>
      </c>
      <c r="Q1710" s="14" t="n">
        <v>0.75</v>
      </c>
      <c r="R1710" s="14" t="n">
        <v>0.75</v>
      </c>
      <c r="S1710" s="14" t="n">
        <v>12.75</v>
      </c>
    </row>
    <row r="1711" customFormat="false" ht="15" hidden="false" customHeight="false" outlineLevel="0" collapsed="false">
      <c r="A1711" s="13" t="n">
        <v>44687</v>
      </c>
      <c r="B1711" s="14" t="n">
        <v>0.78</v>
      </c>
      <c r="C1711" s="14" t="n">
        <v>1</v>
      </c>
      <c r="D1711" s="14" t="n">
        <v>0.75</v>
      </c>
      <c r="E1711" s="14" t="n">
        <v>-0.585</v>
      </c>
      <c r="F1711" s="14" t="n">
        <v>-0.5</v>
      </c>
      <c r="G1711" s="14" t="n">
        <v>1</v>
      </c>
      <c r="H1711" s="14" t="n">
        <v>0.9409</v>
      </c>
      <c r="I1711" s="14" t="n">
        <v>0.946558414759788</v>
      </c>
      <c r="J1711" s="14" t="n">
        <v>1.11501666078206</v>
      </c>
      <c r="K1711" s="14" t="n">
        <v>1.38502215876605</v>
      </c>
      <c r="L1711" s="14" t="n">
        <v>1.80660442037091</v>
      </c>
      <c r="M1711" s="14" t="n">
        <v>2.114</v>
      </c>
      <c r="N1711" s="14" t="n">
        <v>2.202</v>
      </c>
      <c r="O1711" s="14" t="n">
        <v>2.311</v>
      </c>
      <c r="P1711" s="14" t="n">
        <v>2.468</v>
      </c>
      <c r="Q1711" s="14" t="n">
        <v>0.75</v>
      </c>
      <c r="R1711" s="14" t="n">
        <v>0.75</v>
      </c>
      <c r="S1711" s="14" t="n">
        <v>12.75</v>
      </c>
    </row>
    <row r="1712" customFormat="false" ht="15" hidden="false" customHeight="false" outlineLevel="0" collapsed="false">
      <c r="A1712" s="13" t="n">
        <v>44688</v>
      </c>
      <c r="C1712" s="14" t="n">
        <v>1</v>
      </c>
      <c r="D1712" s="14" t="n">
        <v>0.75</v>
      </c>
      <c r="F1712" s="14" t="n">
        <v>-0.5</v>
      </c>
      <c r="M1712" s="14" t="n">
        <v>2.109</v>
      </c>
      <c r="N1712" s="14" t="n">
        <v>2.195</v>
      </c>
      <c r="O1712" s="14" t="n">
        <v>2.308</v>
      </c>
      <c r="P1712" s="14" t="n">
        <v>2.462</v>
      </c>
      <c r="S1712" s="14" t="n">
        <v>12.75</v>
      </c>
    </row>
    <row r="1713" customFormat="false" ht="15" hidden="false" customHeight="false" outlineLevel="0" collapsed="false">
      <c r="A1713" s="13" t="n">
        <v>44690</v>
      </c>
      <c r="B1713" s="14" t="n">
        <v>0.78</v>
      </c>
      <c r="C1713" s="14" t="n">
        <v>1</v>
      </c>
      <c r="D1713" s="14" t="n">
        <v>0.75</v>
      </c>
      <c r="E1713" s="14" t="n">
        <v>-0.586</v>
      </c>
      <c r="F1713" s="14" t="n">
        <v>-0.5</v>
      </c>
      <c r="G1713" s="14" t="n">
        <v>1</v>
      </c>
      <c r="H1713" s="14" t="n">
        <v>0.9403</v>
      </c>
      <c r="I1713" s="14" t="n">
        <v>0.948978141042745</v>
      </c>
      <c r="J1713" s="14" t="n">
        <v>1.118012099066</v>
      </c>
      <c r="K1713" s="14" t="n">
        <v>1.37564450013409</v>
      </c>
      <c r="L1713" s="14" t="n">
        <v>1.77417164687848</v>
      </c>
      <c r="M1713" s="14" t="n">
        <v>2.089</v>
      </c>
      <c r="N1713" s="14" t="n">
        <v>2.186</v>
      </c>
      <c r="O1713" s="14" t="n">
        <v>2.304</v>
      </c>
      <c r="P1713" s="14" t="n">
        <v>2.45</v>
      </c>
      <c r="Q1713" s="14" t="n">
        <v>0.75</v>
      </c>
      <c r="R1713" s="14" t="n">
        <v>0.75</v>
      </c>
      <c r="S1713" s="14" t="n">
        <v>12.75</v>
      </c>
    </row>
    <row r="1714" customFormat="false" ht="15" hidden="false" customHeight="false" outlineLevel="0" collapsed="false">
      <c r="A1714" s="13" t="n">
        <v>44691</v>
      </c>
      <c r="B1714" s="14" t="n">
        <v>0.78</v>
      </c>
      <c r="C1714" s="14" t="n">
        <v>1</v>
      </c>
      <c r="D1714" s="14" t="n">
        <v>0.75</v>
      </c>
      <c r="E1714" s="14" t="n">
        <v>-0.584</v>
      </c>
      <c r="F1714" s="14" t="n">
        <v>-0.5</v>
      </c>
      <c r="G1714" s="14" t="n">
        <v>1</v>
      </c>
      <c r="H1714" s="14" t="n">
        <v>0.9397</v>
      </c>
      <c r="I1714" s="14" t="n">
        <v>0.952054988410475</v>
      </c>
      <c r="J1714" s="14" t="n">
        <v>1.12379273689151</v>
      </c>
      <c r="K1714" s="14" t="n">
        <v>1.3694571817711</v>
      </c>
      <c r="L1714" s="14" t="n">
        <v>1.74471859060071</v>
      </c>
      <c r="M1714" s="14" t="n">
        <v>2.078</v>
      </c>
      <c r="N1714" s="14" t="n">
        <v>2.181</v>
      </c>
      <c r="O1714" s="14" t="n">
        <v>2.3</v>
      </c>
      <c r="P1714" s="14" t="n">
        <v>2.442</v>
      </c>
      <c r="Q1714" s="14" t="n">
        <v>0.75</v>
      </c>
      <c r="R1714" s="14" t="n">
        <v>0.75</v>
      </c>
      <c r="S1714" s="14" t="n">
        <v>12.75</v>
      </c>
    </row>
    <row r="1715" customFormat="false" ht="15" hidden="false" customHeight="false" outlineLevel="0" collapsed="false">
      <c r="A1715" s="13" t="n">
        <v>44692</v>
      </c>
      <c r="B1715" s="14" t="n">
        <v>0.78</v>
      </c>
      <c r="C1715" s="14" t="n">
        <v>1</v>
      </c>
      <c r="D1715" s="14" t="n">
        <v>0.75</v>
      </c>
      <c r="E1715" s="14" t="n">
        <v>-0.584</v>
      </c>
      <c r="F1715" s="14" t="n">
        <v>-0.5</v>
      </c>
      <c r="G1715" s="14" t="n">
        <v>1</v>
      </c>
      <c r="H1715" s="14" t="n">
        <v>0.9405</v>
      </c>
      <c r="I1715" s="14" t="n">
        <v>0.950652985216688</v>
      </c>
      <c r="J1715" s="14" t="n">
        <v>1.12814674895333</v>
      </c>
      <c r="K1715" s="14" t="n">
        <v>1.3737883484642</v>
      </c>
      <c r="L1715" s="14" t="n">
        <v>1.74062702320466</v>
      </c>
      <c r="M1715" s="14" t="n">
        <v>2.071</v>
      </c>
      <c r="N1715" s="14" t="n">
        <v>2.173</v>
      </c>
      <c r="O1715" s="14" t="n">
        <v>2.289</v>
      </c>
      <c r="P1715" s="14" t="n">
        <v>2.431</v>
      </c>
      <c r="Q1715" s="14" t="n">
        <v>0.75</v>
      </c>
      <c r="R1715" s="14" t="n">
        <v>0.75</v>
      </c>
      <c r="S1715" s="14" t="n">
        <v>12.75</v>
      </c>
    </row>
    <row r="1716" customFormat="false" ht="15" hidden="false" customHeight="false" outlineLevel="0" collapsed="false">
      <c r="A1716" s="13" t="n">
        <v>44693</v>
      </c>
      <c r="B1716" s="14" t="n">
        <v>0.79</v>
      </c>
      <c r="C1716" s="14" t="n">
        <v>1</v>
      </c>
      <c r="D1716" s="14" t="n">
        <v>0.75</v>
      </c>
      <c r="E1716" s="14" t="n">
        <v>-0.577</v>
      </c>
      <c r="F1716" s="14" t="n">
        <v>-0.5</v>
      </c>
      <c r="G1716" s="14" t="n">
        <v>1</v>
      </c>
      <c r="H1716" s="14" t="n">
        <v>0.9401</v>
      </c>
      <c r="I1716" s="14" t="n">
        <v>0.952385239895225</v>
      </c>
      <c r="J1716" s="14" t="n">
        <v>1.12925752802703</v>
      </c>
      <c r="K1716" s="14" t="n">
        <v>1.37470656957276</v>
      </c>
      <c r="L1716" s="14" t="n">
        <v>1.72870741281538</v>
      </c>
      <c r="M1716" s="14" t="n">
        <v>2.064</v>
      </c>
      <c r="N1716" s="14" t="n">
        <v>2.166</v>
      </c>
      <c r="O1716" s="14" t="n">
        <v>2.275</v>
      </c>
      <c r="P1716" s="14" t="n">
        <v>2.42</v>
      </c>
      <c r="Q1716" s="14" t="n">
        <v>0.75</v>
      </c>
      <c r="R1716" s="14" t="n">
        <v>0.75</v>
      </c>
      <c r="S1716" s="14" t="n">
        <v>12.75</v>
      </c>
    </row>
    <row r="1717" customFormat="false" ht="15" hidden="false" customHeight="false" outlineLevel="0" collapsed="false">
      <c r="A1717" s="13" t="n">
        <v>44694</v>
      </c>
      <c r="B1717" s="14" t="n">
        <v>0.79</v>
      </c>
      <c r="C1717" s="14" t="n">
        <v>1</v>
      </c>
      <c r="D1717" s="14" t="n">
        <v>0.75</v>
      </c>
      <c r="E1717" s="14" t="n">
        <v>-0.586</v>
      </c>
      <c r="F1717" s="14" t="n">
        <v>-0.5</v>
      </c>
      <c r="G1717" s="14" t="n">
        <v>1</v>
      </c>
      <c r="H1717" s="14" t="n">
        <v>0.9398</v>
      </c>
      <c r="I1717" s="14" t="n">
        <v>0.954909249453764</v>
      </c>
      <c r="J1717" s="14" t="n">
        <v>1.14201754321867</v>
      </c>
      <c r="K1717" s="14" t="n">
        <v>1.39496562490289</v>
      </c>
      <c r="L1717" s="14" t="n">
        <v>1.7523192172022</v>
      </c>
      <c r="M1717" s="14" t="n">
        <v>2.015</v>
      </c>
      <c r="N1717" s="14" t="n">
        <v>2.155</v>
      </c>
      <c r="O1717" s="14" t="n">
        <v>2.264</v>
      </c>
      <c r="P1717" s="14" t="n">
        <v>2.408</v>
      </c>
      <c r="Q1717" s="14" t="n">
        <v>0.75</v>
      </c>
      <c r="R1717" s="14" t="n">
        <v>0.75</v>
      </c>
      <c r="S1717" s="14" t="n">
        <v>12.75</v>
      </c>
    </row>
    <row r="1718" customFormat="false" ht="15" hidden="false" customHeight="false" outlineLevel="0" collapsed="false">
      <c r="A1718" s="13" t="n">
        <v>44697</v>
      </c>
      <c r="B1718" s="14" t="n">
        <v>0.8</v>
      </c>
      <c r="C1718" s="14" t="n">
        <v>1</v>
      </c>
      <c r="D1718" s="14" t="n">
        <v>0.75</v>
      </c>
      <c r="E1718" s="14" t="n">
        <v>-0.585</v>
      </c>
      <c r="F1718" s="14" t="n">
        <v>-0.5</v>
      </c>
      <c r="G1718" s="14" t="n">
        <v>1</v>
      </c>
      <c r="H1718" s="14" t="n">
        <v>0.9398</v>
      </c>
      <c r="I1718" s="14" t="n">
        <v>0.957616505177323</v>
      </c>
      <c r="J1718" s="14" t="n">
        <v>1.16303548182734</v>
      </c>
      <c r="K1718" s="14" t="n">
        <v>1.42651743348927</v>
      </c>
      <c r="L1718" s="14" t="n">
        <v>1.78184153540996</v>
      </c>
      <c r="M1718" s="14" t="n">
        <v>1.978</v>
      </c>
      <c r="N1718" s="14" t="n">
        <v>2.145</v>
      </c>
      <c r="O1718" s="14" t="n">
        <v>2.255</v>
      </c>
      <c r="P1718" s="14" t="n">
        <v>2.393</v>
      </c>
      <c r="Q1718" s="14" t="n">
        <v>0.75</v>
      </c>
      <c r="R1718" s="14" t="n">
        <v>0.75</v>
      </c>
      <c r="S1718" s="14" t="n">
        <v>12.75</v>
      </c>
    </row>
    <row r="1719" customFormat="false" ht="15" hidden="false" customHeight="false" outlineLevel="0" collapsed="false">
      <c r="A1719" s="13" t="n">
        <v>44698</v>
      </c>
      <c r="B1719" s="14" t="n">
        <v>0.8</v>
      </c>
      <c r="C1719" s="14" t="n">
        <v>1</v>
      </c>
      <c r="D1719" s="14" t="n">
        <v>0.75</v>
      </c>
      <c r="E1719" s="14" t="n">
        <v>-0.585</v>
      </c>
      <c r="F1719" s="14" t="n">
        <v>-0.5</v>
      </c>
      <c r="G1719" s="14" t="n">
        <v>1</v>
      </c>
      <c r="H1719" s="14" t="n">
        <v>0.9398</v>
      </c>
      <c r="I1719" s="14" t="n">
        <v>0.96871753075676</v>
      </c>
      <c r="J1719" s="14" t="n">
        <v>1.21793938947327</v>
      </c>
      <c r="K1719" s="14" t="n">
        <v>1.5287253131681</v>
      </c>
      <c r="L1719" s="14" t="n">
        <v>1.93273956832548</v>
      </c>
      <c r="M1719" s="14" t="n">
        <v>1.945</v>
      </c>
      <c r="N1719" s="14" t="n">
        <v>2.109</v>
      </c>
      <c r="O1719" s="14" t="n">
        <v>2.239</v>
      </c>
      <c r="P1719" s="14" t="n">
        <v>2.377</v>
      </c>
      <c r="S1719" s="14" t="n">
        <v>12.75</v>
      </c>
    </row>
    <row r="1720" customFormat="false" ht="15" hidden="false" customHeight="false" outlineLevel="0" collapsed="false">
      <c r="A1720" s="13" t="n">
        <v>44699</v>
      </c>
      <c r="B1720" s="14" t="n">
        <v>0.79</v>
      </c>
      <c r="C1720" s="14" t="n">
        <v>1</v>
      </c>
      <c r="D1720" s="14" t="n">
        <v>0.75</v>
      </c>
      <c r="E1720" s="14" t="n">
        <v>-0.585</v>
      </c>
      <c r="F1720" s="14" t="n">
        <v>-0.5</v>
      </c>
      <c r="G1720" s="14" t="n">
        <v>1</v>
      </c>
      <c r="H1720" s="14" t="n">
        <v>0.9394</v>
      </c>
      <c r="I1720" s="14" t="n">
        <v>0.979898597371282</v>
      </c>
      <c r="J1720" s="14" t="n">
        <v>1.2164162344171</v>
      </c>
      <c r="K1720" s="14" t="n">
        <v>1.50732158858086</v>
      </c>
      <c r="L1720" s="14" t="n">
        <v>1.89272461086511</v>
      </c>
      <c r="M1720" s="14" t="n">
        <v>1.941</v>
      </c>
      <c r="N1720" s="14" t="n">
        <v>2.078</v>
      </c>
      <c r="O1720" s="14" t="n">
        <v>2.222</v>
      </c>
      <c r="P1720" s="14" t="n">
        <v>2.359</v>
      </c>
      <c r="Q1720" s="14" t="n">
        <v>0.75</v>
      </c>
      <c r="R1720" s="14" t="n">
        <v>0.75</v>
      </c>
      <c r="S1720" s="14" t="n">
        <v>12.75</v>
      </c>
    </row>
    <row r="1721" customFormat="false" ht="15" hidden="false" customHeight="false" outlineLevel="0" collapsed="false">
      <c r="A1721" s="13" t="n">
        <v>44700</v>
      </c>
      <c r="B1721" s="14" t="n">
        <v>0.79</v>
      </c>
      <c r="C1721" s="14" t="n">
        <v>1</v>
      </c>
      <c r="D1721" s="14" t="n">
        <v>0.75</v>
      </c>
      <c r="E1721" s="14" t="n">
        <v>-0.585</v>
      </c>
      <c r="F1721" s="14" t="n">
        <v>-0.5</v>
      </c>
      <c r="G1721" s="14" t="n">
        <v>1</v>
      </c>
      <c r="H1721" s="14" t="n">
        <v>0.9392</v>
      </c>
      <c r="I1721" s="14" t="n">
        <v>0.985625887720767</v>
      </c>
      <c r="J1721" s="14" t="n">
        <v>1.22895896299524</v>
      </c>
      <c r="K1721" s="14" t="n">
        <v>1.52366004364086</v>
      </c>
      <c r="L1721" s="14" t="n">
        <v>1.91492194512508</v>
      </c>
      <c r="M1721" s="14" t="n">
        <v>1.937</v>
      </c>
      <c r="N1721" s="14" t="n">
        <v>2.067</v>
      </c>
      <c r="O1721" s="14" t="n">
        <v>2.208</v>
      </c>
      <c r="P1721" s="14" t="n">
        <v>2.343</v>
      </c>
      <c r="Q1721" s="14" t="n">
        <v>0.75</v>
      </c>
      <c r="R1721" s="14" t="n">
        <v>0.75</v>
      </c>
      <c r="S1721" s="14" t="n">
        <v>12.75</v>
      </c>
    </row>
    <row r="1722" customFormat="false" ht="15" hidden="false" customHeight="false" outlineLevel="0" collapsed="false">
      <c r="A1722" s="13" t="n">
        <v>44701</v>
      </c>
      <c r="B1722" s="14" t="n">
        <v>0.78</v>
      </c>
      <c r="C1722" s="14" t="n">
        <v>1</v>
      </c>
      <c r="D1722" s="14" t="n">
        <v>0.75</v>
      </c>
      <c r="E1722" s="14" t="n">
        <v>-0.585</v>
      </c>
      <c r="F1722" s="14" t="n">
        <v>-0.5</v>
      </c>
      <c r="G1722" s="14" t="n">
        <v>1</v>
      </c>
      <c r="H1722" s="14" t="n">
        <v>0.9389</v>
      </c>
      <c r="I1722" s="14" t="n">
        <v>0.98726779475895</v>
      </c>
      <c r="J1722" s="14" t="n">
        <v>1.22503102394487</v>
      </c>
      <c r="K1722" s="14" t="n">
        <v>1.51328267374135</v>
      </c>
      <c r="L1722" s="14" t="n">
        <v>1.90217347507668</v>
      </c>
      <c r="M1722" s="14" t="n">
        <v>1.932</v>
      </c>
      <c r="N1722" s="14" t="n">
        <v>2.05</v>
      </c>
      <c r="O1722" s="14" t="n">
        <v>2.186</v>
      </c>
      <c r="P1722" s="14" t="n">
        <v>2.337</v>
      </c>
      <c r="Q1722" s="14" t="n">
        <v>0.75</v>
      </c>
      <c r="R1722" s="14" t="n">
        <v>0.75</v>
      </c>
      <c r="S1722" s="14" t="n">
        <v>12.75</v>
      </c>
    </row>
    <row r="1723" customFormat="false" ht="15" hidden="false" customHeight="false" outlineLevel="0" collapsed="false">
      <c r="A1723" s="13" t="n">
        <v>44704</v>
      </c>
      <c r="B1723" s="14" t="n">
        <v>0.78</v>
      </c>
      <c r="C1723" s="14" t="n">
        <v>1</v>
      </c>
      <c r="D1723" s="14" t="n">
        <v>0.75</v>
      </c>
      <c r="E1723" s="14" t="n">
        <v>-0.586</v>
      </c>
      <c r="F1723" s="14" t="n">
        <v>-0.5</v>
      </c>
      <c r="G1723" s="14" t="n">
        <v>1</v>
      </c>
      <c r="H1723" s="14" t="n">
        <v>0.9393</v>
      </c>
      <c r="I1723" s="14" t="n">
        <v>1.00035438218493</v>
      </c>
      <c r="J1723" s="14" t="n">
        <v>1.23952314769234</v>
      </c>
      <c r="K1723" s="14" t="n">
        <v>1.53570493212259</v>
      </c>
      <c r="L1723" s="14" t="n">
        <v>1.94483990264225</v>
      </c>
      <c r="M1723" s="14" t="n">
        <v>1.9</v>
      </c>
      <c r="N1723" s="14" t="n">
        <v>2.021</v>
      </c>
      <c r="O1723" s="14" t="n">
        <v>2.167</v>
      </c>
      <c r="P1723" s="14" t="n">
        <v>2.331</v>
      </c>
      <c r="Q1723" s="14" t="n">
        <v>0.75</v>
      </c>
      <c r="R1723" s="14" t="n">
        <v>0.75</v>
      </c>
      <c r="S1723" s="14" t="n">
        <v>12.75</v>
      </c>
    </row>
    <row r="1724" customFormat="false" ht="15" hidden="false" customHeight="false" outlineLevel="0" collapsed="false">
      <c r="A1724" s="13" t="n">
        <v>44705</v>
      </c>
      <c r="B1724" s="14" t="n">
        <v>0.78</v>
      </c>
      <c r="C1724" s="14" t="n">
        <v>1</v>
      </c>
      <c r="D1724" s="14" t="n">
        <v>0.75</v>
      </c>
      <c r="E1724" s="14" t="n">
        <v>-0.587</v>
      </c>
      <c r="F1724" s="14" t="n">
        <v>-0.5</v>
      </c>
      <c r="G1724" s="14" t="n">
        <v>1</v>
      </c>
      <c r="H1724" s="14" t="n">
        <v>0.9391</v>
      </c>
      <c r="I1724" s="14" t="n">
        <v>1.00209639288818</v>
      </c>
      <c r="J1724" s="14" t="n">
        <v>1.22008722801019</v>
      </c>
      <c r="K1724" s="14" t="n">
        <v>1.48858954553404</v>
      </c>
      <c r="L1724" s="14" t="n">
        <v>1.85508138832128</v>
      </c>
      <c r="M1724" s="14" t="n">
        <v>1.897</v>
      </c>
      <c r="N1724" s="14" t="n">
        <v>2.013</v>
      </c>
      <c r="O1724" s="14" t="n">
        <v>2.151</v>
      </c>
      <c r="P1724" s="14" t="n">
        <v>2.323</v>
      </c>
      <c r="Q1724" s="14" t="n">
        <v>0.75</v>
      </c>
      <c r="R1724" s="14" t="n">
        <v>0.75</v>
      </c>
      <c r="S1724" s="14" t="n">
        <v>12.75</v>
      </c>
    </row>
    <row r="1725" customFormat="false" ht="15" hidden="false" customHeight="false" outlineLevel="0" collapsed="false">
      <c r="A1725" s="13" t="n">
        <v>44706</v>
      </c>
      <c r="B1725" s="14" t="n">
        <v>0.78</v>
      </c>
      <c r="C1725" s="14" t="n">
        <v>1</v>
      </c>
      <c r="D1725" s="14" t="n">
        <v>0.75</v>
      </c>
      <c r="E1725" s="14" t="n">
        <v>-0.587</v>
      </c>
      <c r="F1725" s="14" t="n">
        <v>-0.5</v>
      </c>
      <c r="G1725" s="14" t="n">
        <v>1</v>
      </c>
      <c r="H1725" s="14" t="n">
        <v>0.9384</v>
      </c>
      <c r="I1725" s="14" t="n">
        <v>1.00948503938845</v>
      </c>
      <c r="J1725" s="14" t="n">
        <v>1.22815812088947</v>
      </c>
      <c r="K1725" s="14" t="n">
        <v>1.49751444074469</v>
      </c>
      <c r="L1725" s="14" t="n">
        <v>1.87224931940131</v>
      </c>
      <c r="M1725" s="14" t="n">
        <v>1.871</v>
      </c>
      <c r="N1725" s="14" t="n">
        <v>2.009</v>
      </c>
      <c r="O1725" s="14" t="n">
        <v>2.143</v>
      </c>
      <c r="P1725" s="14" t="n">
        <v>2.326</v>
      </c>
      <c r="Q1725" s="14" t="n">
        <v>0.75</v>
      </c>
      <c r="R1725" s="14" t="n">
        <v>0.75</v>
      </c>
      <c r="S1725" s="14" t="n">
        <v>12.75</v>
      </c>
    </row>
    <row r="1726" customFormat="false" ht="15" hidden="false" customHeight="false" outlineLevel="0" collapsed="false">
      <c r="A1726" s="13" t="n">
        <v>44707</v>
      </c>
      <c r="B1726" s="14" t="n">
        <v>0.78</v>
      </c>
      <c r="C1726" s="14" t="n">
        <v>1</v>
      </c>
      <c r="D1726" s="14" t="n">
        <v>0.75</v>
      </c>
      <c r="E1726" s="14" t="n">
        <v>-0.59</v>
      </c>
      <c r="F1726" s="14" t="n">
        <v>-0.5</v>
      </c>
      <c r="G1726" s="14" t="n">
        <v>1</v>
      </c>
      <c r="H1726" s="14" t="n">
        <v>0.9388</v>
      </c>
      <c r="I1726" s="14" t="n">
        <v>1.01581967870555</v>
      </c>
      <c r="J1726" s="14" t="n">
        <v>1.24312715927454</v>
      </c>
      <c r="K1726" s="14" t="n">
        <v>1.52456005983682</v>
      </c>
      <c r="L1726" s="14" t="n">
        <v>1.91361964992318</v>
      </c>
      <c r="M1726" s="14" t="n">
        <v>1.875</v>
      </c>
      <c r="N1726" s="14" t="n">
        <v>1.99</v>
      </c>
      <c r="O1726" s="14" t="n">
        <v>2.136</v>
      </c>
      <c r="P1726" s="14" t="n">
        <v>2.325</v>
      </c>
      <c r="S1726" s="14" t="n">
        <v>12.75</v>
      </c>
    </row>
    <row r="1727" customFormat="false" ht="15" hidden="false" customHeight="false" outlineLevel="0" collapsed="false">
      <c r="A1727" s="13" t="n">
        <v>44708</v>
      </c>
      <c r="B1727" s="14" t="n">
        <v>0.78</v>
      </c>
      <c r="C1727" s="14" t="n">
        <v>1</v>
      </c>
      <c r="D1727" s="14" t="n">
        <v>0.75</v>
      </c>
      <c r="E1727" s="14" t="n">
        <v>-0.585</v>
      </c>
      <c r="F1727" s="14" t="n">
        <v>-0.5</v>
      </c>
      <c r="G1727" s="14" t="n">
        <v>1</v>
      </c>
      <c r="H1727" s="14" t="n">
        <v>0.9383</v>
      </c>
      <c r="I1727" s="14" t="n">
        <v>1.0261832927051</v>
      </c>
      <c r="J1727" s="14" t="n">
        <v>1.2524516439458</v>
      </c>
      <c r="K1727" s="14" t="n">
        <v>1.53599180820933</v>
      </c>
      <c r="L1727" s="14" t="n">
        <v>1.92602169492092</v>
      </c>
      <c r="M1727" s="14" t="n">
        <v>1.854</v>
      </c>
      <c r="N1727" s="14" t="n">
        <v>1.995</v>
      </c>
      <c r="O1727" s="14" t="n">
        <v>2.13</v>
      </c>
      <c r="P1727" s="14" t="n">
        <v>2.323</v>
      </c>
      <c r="Q1727" s="14" t="n">
        <v>0.75</v>
      </c>
      <c r="R1727" s="14" t="n">
        <v>0.75</v>
      </c>
      <c r="S1727" s="14" t="n">
        <v>12.75</v>
      </c>
    </row>
    <row r="1728" customFormat="false" ht="15" hidden="false" customHeight="false" outlineLevel="0" collapsed="false">
      <c r="A1728" s="13" t="n">
        <v>44711</v>
      </c>
      <c r="C1728" s="14" t="n">
        <v>1</v>
      </c>
      <c r="D1728" s="14" t="n">
        <v>0.75</v>
      </c>
      <c r="E1728" s="14" t="n">
        <v>-0.586</v>
      </c>
      <c r="F1728" s="14" t="n">
        <v>-0.5</v>
      </c>
      <c r="G1728" s="14" t="n">
        <v>1</v>
      </c>
      <c r="H1728" s="14" t="n">
        <v>0.9384</v>
      </c>
      <c r="I1728" s="14" t="n">
        <v>1.0690149089456</v>
      </c>
      <c r="J1728" s="14" t="n">
        <v>1.29472529994035</v>
      </c>
      <c r="K1728" s="14" t="n">
        <v>1.58499154559297</v>
      </c>
      <c r="L1728" s="14" t="n">
        <v>1.98792363534052</v>
      </c>
      <c r="M1728" s="14" t="n">
        <v>1.856</v>
      </c>
      <c r="N1728" s="14" t="n">
        <v>1.997</v>
      </c>
      <c r="O1728" s="14" t="n">
        <v>2.126</v>
      </c>
      <c r="P1728" s="14" t="n">
        <v>2.319</v>
      </c>
      <c r="Q1728" s="14" t="n">
        <v>0.75</v>
      </c>
      <c r="R1728" s="14" t="n">
        <v>0.75</v>
      </c>
      <c r="S1728" s="14" t="n">
        <v>12.75</v>
      </c>
    </row>
    <row r="1729" customFormat="false" ht="15" hidden="false" customHeight="false" outlineLevel="0" collapsed="false">
      <c r="A1729" s="13" t="n">
        <v>44712</v>
      </c>
      <c r="B1729" s="14" t="n">
        <v>0.79</v>
      </c>
      <c r="C1729" s="14" t="n">
        <v>1</v>
      </c>
      <c r="D1729" s="14" t="n">
        <v>0.75</v>
      </c>
      <c r="E1729" s="14" t="n">
        <v>-0.589</v>
      </c>
      <c r="F1729" s="14" t="n">
        <v>-0.5</v>
      </c>
      <c r="G1729" s="14" t="n">
        <v>1</v>
      </c>
      <c r="H1729" s="14" t="n">
        <v>0.941</v>
      </c>
      <c r="I1729" s="14" t="n">
        <v>1.06816840977389</v>
      </c>
      <c r="J1729" s="14" t="n">
        <v>1.29245089909107</v>
      </c>
      <c r="K1729" s="14" t="n">
        <v>1.58800005791993</v>
      </c>
      <c r="L1729" s="14" t="n">
        <v>2.01759669874226</v>
      </c>
      <c r="M1729" s="14" t="n">
        <v>1.865</v>
      </c>
      <c r="N1729" s="14" t="n">
        <v>1.998</v>
      </c>
      <c r="O1729" s="14" t="n">
        <v>2.129</v>
      </c>
      <c r="P1729" s="14" t="n">
        <v>2.318</v>
      </c>
      <c r="Q1729" s="14" t="n">
        <v>0.75</v>
      </c>
      <c r="R1729" s="14" t="n">
        <v>0.75</v>
      </c>
      <c r="S1729" s="14" t="n">
        <v>12.75</v>
      </c>
    </row>
    <row r="1730" customFormat="false" ht="15" hidden="false" customHeight="false" outlineLevel="0" collapsed="false">
      <c r="A1730" s="13" t="n">
        <v>44713</v>
      </c>
      <c r="B1730" s="14" t="n">
        <v>0.8</v>
      </c>
      <c r="C1730" s="14" t="n">
        <v>1</v>
      </c>
      <c r="D1730" s="14" t="n">
        <v>0.75</v>
      </c>
      <c r="E1730" s="14" t="n">
        <v>-0.582</v>
      </c>
      <c r="F1730" s="14" t="n">
        <v>-0.5</v>
      </c>
      <c r="G1730" s="14" t="n">
        <v>1</v>
      </c>
      <c r="H1730" s="14" t="n">
        <v>0.9389</v>
      </c>
      <c r="I1730" s="14" t="n">
        <v>1.0796399473838</v>
      </c>
      <c r="J1730" s="14" t="n">
        <v>1.29895773325705</v>
      </c>
      <c r="K1730" s="14" t="n">
        <v>1.60335817651601</v>
      </c>
      <c r="L1730" s="14" t="n">
        <v>2.07341537421554</v>
      </c>
      <c r="M1730" s="14" t="n">
        <v>1.865</v>
      </c>
      <c r="N1730" s="14" t="n">
        <v>1.998</v>
      </c>
      <c r="O1730" s="14" t="n">
        <v>2.13</v>
      </c>
      <c r="P1730" s="14" t="n">
        <v>2.317</v>
      </c>
      <c r="Q1730" s="14" t="n">
        <v>0.75</v>
      </c>
      <c r="R1730" s="14" t="n">
        <v>0.75</v>
      </c>
      <c r="S1730" s="14" t="n">
        <v>12.75</v>
      </c>
    </row>
    <row r="1731" customFormat="false" ht="15" hidden="false" customHeight="false" outlineLevel="0" collapsed="false">
      <c r="A1731" s="13" t="n">
        <v>44714</v>
      </c>
      <c r="B1731" s="14" t="n">
        <v>0.79</v>
      </c>
      <c r="C1731" s="14" t="n">
        <v>1</v>
      </c>
      <c r="D1731" s="14" t="n">
        <v>0.75</v>
      </c>
      <c r="E1731" s="14" t="n">
        <v>-0.585</v>
      </c>
      <c r="F1731" s="14" t="n">
        <v>-0.5</v>
      </c>
      <c r="M1731" s="14" t="n">
        <v>1.87</v>
      </c>
      <c r="N1731" s="14" t="n">
        <v>1.999</v>
      </c>
      <c r="O1731" s="14" t="n">
        <v>2.133</v>
      </c>
      <c r="P1731" s="14" t="n">
        <v>2.323</v>
      </c>
      <c r="Q1731" s="14" t="n">
        <v>0.75</v>
      </c>
      <c r="R1731" s="14" t="n">
        <v>0.75</v>
      </c>
      <c r="S1731" s="14" t="n">
        <v>12.75</v>
      </c>
    </row>
    <row r="1732" customFormat="false" ht="15" hidden="false" customHeight="false" outlineLevel="0" collapsed="false">
      <c r="A1732" s="13" t="n">
        <v>44715</v>
      </c>
      <c r="B1732" s="14" t="n">
        <v>0.78</v>
      </c>
      <c r="C1732" s="14" t="n">
        <v>1</v>
      </c>
      <c r="D1732" s="14" t="n">
        <v>0.75</v>
      </c>
      <c r="E1732" s="14" t="n">
        <v>-0.587</v>
      </c>
      <c r="F1732" s="14" t="n">
        <v>-0.5</v>
      </c>
      <c r="Q1732" s="14" t="n">
        <v>0.75</v>
      </c>
      <c r="R1732" s="14" t="n">
        <v>0.75</v>
      </c>
      <c r="S1732" s="14" t="n">
        <v>12.75</v>
      </c>
    </row>
    <row r="1733" customFormat="false" ht="15" hidden="false" customHeight="false" outlineLevel="0" collapsed="false">
      <c r="A1733" s="13" t="n">
        <v>44718</v>
      </c>
      <c r="B1733" s="14" t="n">
        <v>0.78</v>
      </c>
      <c r="C1733" s="14" t="n">
        <v>1</v>
      </c>
      <c r="D1733" s="14" t="n">
        <v>0.75</v>
      </c>
      <c r="E1733" s="14" t="n">
        <v>-0.59</v>
      </c>
      <c r="F1733" s="14" t="n">
        <v>-0.5</v>
      </c>
      <c r="G1733" s="14" t="n">
        <v>1</v>
      </c>
      <c r="H1733" s="14" t="n">
        <v>0.9394</v>
      </c>
      <c r="I1733" s="14" t="n">
        <v>1.12803448466008</v>
      </c>
      <c r="J1733" s="14" t="n">
        <v>1.33242598685888</v>
      </c>
      <c r="K1733" s="14" t="n">
        <v>1.65061217519557</v>
      </c>
      <c r="L1733" s="14" t="n">
        <v>2.14182848919584</v>
      </c>
      <c r="M1733" s="14" t="n">
        <v>1.873</v>
      </c>
      <c r="N1733" s="14" t="n">
        <v>2.001</v>
      </c>
      <c r="O1733" s="14" t="n">
        <v>2.134</v>
      </c>
      <c r="P1733" s="14" t="n">
        <v>2.332</v>
      </c>
      <c r="S1733" s="14" t="n">
        <v>12.75</v>
      </c>
    </row>
    <row r="1734" customFormat="false" ht="15" hidden="false" customHeight="false" outlineLevel="0" collapsed="false">
      <c r="A1734" s="13" t="n">
        <v>44719</v>
      </c>
      <c r="B1734" s="14" t="n">
        <v>0.77</v>
      </c>
      <c r="C1734" s="14" t="n">
        <v>1</v>
      </c>
      <c r="D1734" s="14" t="n">
        <v>0.75</v>
      </c>
      <c r="E1734" s="14" t="n">
        <v>-0.583</v>
      </c>
      <c r="F1734" s="14" t="n">
        <v>-0.5</v>
      </c>
      <c r="G1734" s="14" t="n">
        <v>1</v>
      </c>
      <c r="H1734" s="14" t="n">
        <v>0.9403</v>
      </c>
      <c r="I1734" s="14" t="n">
        <v>1.13072092443495</v>
      </c>
      <c r="J1734" s="14" t="n">
        <v>1.33259618800831</v>
      </c>
      <c r="K1734" s="14" t="n">
        <v>1.65449655504386</v>
      </c>
      <c r="L1734" s="14" t="n">
        <v>2.14653131237209</v>
      </c>
      <c r="M1734" s="14" t="n">
        <v>1.877</v>
      </c>
      <c r="N1734" s="14" t="n">
        <v>2.003</v>
      </c>
      <c r="O1734" s="14" t="n">
        <v>2.138</v>
      </c>
      <c r="P1734" s="14" t="n">
        <v>2.349</v>
      </c>
      <c r="Q1734" s="14" t="n">
        <v>0.75</v>
      </c>
      <c r="R1734" s="14" t="n">
        <v>0.75</v>
      </c>
      <c r="S1734" s="14" t="n">
        <v>12.75</v>
      </c>
    </row>
    <row r="1735" customFormat="false" ht="15" hidden="false" customHeight="false" outlineLevel="0" collapsed="false">
      <c r="A1735" s="13" t="n">
        <v>44720</v>
      </c>
      <c r="B1735" s="14" t="n">
        <v>0.76</v>
      </c>
      <c r="C1735" s="14" t="n">
        <v>1</v>
      </c>
      <c r="D1735" s="14" t="n">
        <v>0.75</v>
      </c>
      <c r="E1735" s="14" t="n">
        <v>-0.582</v>
      </c>
      <c r="F1735" s="14" t="n">
        <v>-0.5</v>
      </c>
      <c r="G1735" s="14" t="n">
        <v>1</v>
      </c>
      <c r="H1735" s="14" t="n">
        <v>0.9402</v>
      </c>
      <c r="I1735" s="14" t="n">
        <v>1.15309998468627</v>
      </c>
      <c r="J1735" s="14" t="n">
        <v>1.36144879772417</v>
      </c>
      <c r="K1735" s="14" t="n">
        <v>1.69381829194025</v>
      </c>
      <c r="L1735" s="14" t="n">
        <v>2.19173255938681</v>
      </c>
      <c r="M1735" s="14" t="n">
        <v>1.882</v>
      </c>
      <c r="N1735" s="14" t="n">
        <v>2.003</v>
      </c>
      <c r="O1735" s="14" t="n">
        <v>2.144</v>
      </c>
      <c r="P1735" s="14" t="n">
        <v>2.357</v>
      </c>
      <c r="Q1735" s="14" t="n">
        <v>0.75</v>
      </c>
      <c r="R1735" s="14" t="n">
        <v>0.75</v>
      </c>
      <c r="S1735" s="14" t="n">
        <v>12.75</v>
      </c>
    </row>
    <row r="1736" customFormat="false" ht="15" hidden="false" customHeight="false" outlineLevel="0" collapsed="false">
      <c r="A1736" s="13" t="n">
        <v>44721</v>
      </c>
      <c r="B1736" s="14" t="n">
        <v>0.75</v>
      </c>
      <c r="C1736" s="14" t="n">
        <v>1</v>
      </c>
      <c r="D1736" s="14" t="n">
        <v>0.75</v>
      </c>
      <c r="E1736" s="14" t="n">
        <v>-0.582</v>
      </c>
      <c r="F1736" s="14" t="n">
        <v>-0.5</v>
      </c>
      <c r="G1736" s="14" t="n">
        <v>1</v>
      </c>
      <c r="H1736" s="14" t="n">
        <v>0.9407</v>
      </c>
      <c r="I1736" s="14" t="n">
        <v>1.18204343562641</v>
      </c>
      <c r="J1736" s="14" t="n">
        <v>1.40907916849512</v>
      </c>
      <c r="K1736" s="14" t="n">
        <v>1.7728940964851</v>
      </c>
      <c r="L1736" s="14" t="n">
        <v>2.30256947857607</v>
      </c>
      <c r="M1736" s="14" t="n">
        <v>1.887</v>
      </c>
      <c r="N1736" s="14" t="n">
        <v>2.003</v>
      </c>
      <c r="O1736" s="14" t="n">
        <v>2.145</v>
      </c>
      <c r="P1736" s="14" t="n">
        <v>2.365</v>
      </c>
      <c r="Q1736" s="14" t="n">
        <v>0.75</v>
      </c>
      <c r="R1736" s="14" t="n">
        <v>0.75</v>
      </c>
      <c r="S1736" s="14" t="n">
        <v>12.75</v>
      </c>
    </row>
    <row r="1737" customFormat="false" ht="15" hidden="false" customHeight="false" outlineLevel="0" collapsed="false">
      <c r="A1737" s="13" t="n">
        <v>44722</v>
      </c>
      <c r="B1737" s="14" t="n">
        <v>0.75</v>
      </c>
      <c r="C1737" s="14" t="n">
        <v>1</v>
      </c>
      <c r="D1737" s="14" t="n">
        <v>0.75</v>
      </c>
      <c r="E1737" s="14" t="n">
        <v>-0.581</v>
      </c>
      <c r="F1737" s="14" t="n">
        <v>-0.5</v>
      </c>
      <c r="G1737" s="14" t="n">
        <v>1</v>
      </c>
      <c r="H1737" s="14" t="n">
        <v>0.9402</v>
      </c>
      <c r="I1737" s="14" t="n">
        <v>1.22574184492337</v>
      </c>
      <c r="J1737" s="14" t="n">
        <v>1.46062784731109</v>
      </c>
      <c r="K1737" s="14" t="n">
        <v>1.85063501540346</v>
      </c>
      <c r="L1737" s="14" t="n">
        <v>2.43056329870263</v>
      </c>
      <c r="M1737" s="14" t="n">
        <v>1.89</v>
      </c>
      <c r="N1737" s="14" t="n">
        <v>2</v>
      </c>
      <c r="O1737" s="14" t="n">
        <v>2.148</v>
      </c>
      <c r="P1737" s="14" t="n">
        <v>2.369</v>
      </c>
      <c r="Q1737" s="14" t="n">
        <v>0.75</v>
      </c>
      <c r="R1737" s="14" t="n">
        <v>0.75</v>
      </c>
      <c r="S1737" s="14" t="n">
        <v>12.75</v>
      </c>
    </row>
    <row r="1738" customFormat="false" ht="15" hidden="false" customHeight="false" outlineLevel="0" collapsed="false">
      <c r="A1738" s="13" t="n">
        <v>44725</v>
      </c>
      <c r="B1738" s="14" t="n">
        <v>0.73</v>
      </c>
      <c r="C1738" s="14" t="n">
        <v>1</v>
      </c>
      <c r="D1738" s="14" t="n">
        <v>0.75</v>
      </c>
      <c r="E1738" s="14" t="n">
        <v>-0.58</v>
      </c>
      <c r="F1738" s="14" t="n">
        <v>-0.5</v>
      </c>
      <c r="G1738" s="14" t="n">
        <v>1</v>
      </c>
      <c r="H1738" s="14" t="n">
        <v>0.9396</v>
      </c>
      <c r="I1738" s="14" t="n">
        <v>1.23332798063433</v>
      </c>
      <c r="J1738" s="14" t="n">
        <v>1.45953441958754</v>
      </c>
      <c r="K1738" s="14" t="n">
        <v>1.86400903019587</v>
      </c>
      <c r="L1738" s="14" t="n">
        <v>2.49882530632341</v>
      </c>
      <c r="M1738" s="14" t="n">
        <v>1.889</v>
      </c>
      <c r="N1738" s="14" t="n">
        <v>2.002</v>
      </c>
      <c r="O1738" s="14" t="n">
        <v>2.15</v>
      </c>
      <c r="P1738" s="14" t="n">
        <v>2.373</v>
      </c>
      <c r="Q1738" s="14" t="n">
        <v>0.75</v>
      </c>
      <c r="R1738" s="14" t="n">
        <v>0.75</v>
      </c>
      <c r="S1738" s="14" t="n">
        <v>12.75</v>
      </c>
    </row>
    <row r="1739" customFormat="false" ht="15" hidden="false" customHeight="false" outlineLevel="0" collapsed="false">
      <c r="A1739" s="13" t="n">
        <v>44726</v>
      </c>
      <c r="B1739" s="14" t="n">
        <v>0.69</v>
      </c>
      <c r="C1739" s="14" t="n">
        <v>1</v>
      </c>
      <c r="D1739" s="14" t="n">
        <v>0.75</v>
      </c>
      <c r="E1739" s="14" t="n">
        <v>-0.578</v>
      </c>
      <c r="F1739" s="14" t="n">
        <v>-0.5</v>
      </c>
      <c r="G1739" s="14" t="n">
        <v>1</v>
      </c>
      <c r="H1739" s="14" t="n">
        <v>0.9398</v>
      </c>
      <c r="I1739" s="14" t="n">
        <v>1.24678270620963</v>
      </c>
      <c r="J1739" s="14" t="n">
        <v>1.49021072975046</v>
      </c>
      <c r="K1739" s="14" t="n">
        <v>1.91289372539152</v>
      </c>
      <c r="L1739" s="14" t="n">
        <v>2.53511540334235</v>
      </c>
      <c r="M1739" s="14" t="n">
        <v>1.892</v>
      </c>
      <c r="N1739" s="14" t="n">
        <v>2.002</v>
      </c>
      <c r="O1739" s="14" t="n">
        <v>2.15</v>
      </c>
      <c r="P1739" s="14" t="n">
        <v>2.377</v>
      </c>
      <c r="Q1739" s="14" t="n">
        <v>0.75</v>
      </c>
      <c r="R1739" s="14" t="n">
        <v>0.75</v>
      </c>
      <c r="S1739" s="14" t="n">
        <v>12.75</v>
      </c>
    </row>
    <row r="1740" customFormat="false" ht="15" hidden="false" customHeight="false" outlineLevel="0" collapsed="false">
      <c r="A1740" s="13" t="n">
        <v>44727</v>
      </c>
      <c r="B1740" s="14" t="n">
        <v>0.7</v>
      </c>
      <c r="C1740" s="14" t="n">
        <v>1</v>
      </c>
      <c r="D1740" s="14" t="n">
        <v>0.75</v>
      </c>
      <c r="E1740" s="14" t="n">
        <v>-0.58</v>
      </c>
      <c r="F1740" s="14" t="n">
        <v>-0.5</v>
      </c>
      <c r="G1740" s="14" t="n">
        <v>1</v>
      </c>
      <c r="H1740" s="14" t="n">
        <v>0.9399</v>
      </c>
      <c r="I1740" s="14" t="n">
        <v>1.28139590359877</v>
      </c>
      <c r="J1740" s="14" t="n">
        <v>1.51692774938434</v>
      </c>
      <c r="K1740" s="14" t="n">
        <v>1.93091451062914</v>
      </c>
      <c r="L1740" s="14" t="n">
        <v>2.50781560466682</v>
      </c>
      <c r="M1740" s="14" t="n">
        <v>1.893</v>
      </c>
      <c r="N1740" s="14" t="n">
        <v>2.002</v>
      </c>
      <c r="O1740" s="14" t="n">
        <v>2.15</v>
      </c>
      <c r="P1740" s="14" t="n">
        <v>2.381</v>
      </c>
      <c r="Q1740" s="14" t="n">
        <v>0.75</v>
      </c>
      <c r="R1740" s="14" t="n">
        <v>0.75</v>
      </c>
      <c r="S1740" s="14" t="n">
        <v>12.75</v>
      </c>
    </row>
    <row r="1741" customFormat="false" ht="15" hidden="false" customHeight="false" outlineLevel="0" collapsed="false">
      <c r="A1741" s="13" t="n">
        <v>44728</v>
      </c>
      <c r="B1741" s="14" t="n">
        <v>1.45</v>
      </c>
      <c r="C1741" s="14" t="n">
        <v>1.75</v>
      </c>
      <c r="D1741" s="14" t="n">
        <v>1.5</v>
      </c>
      <c r="E1741" s="14" t="n">
        <v>-0.582</v>
      </c>
      <c r="F1741" s="14" t="n">
        <v>-0.5</v>
      </c>
      <c r="G1741" s="14" t="n">
        <v>1.25</v>
      </c>
      <c r="H1741" s="14" t="n">
        <v>1.1884</v>
      </c>
      <c r="I1741" s="14" t="n">
        <v>1.18713380157171</v>
      </c>
      <c r="J1741" s="14" t="n">
        <v>1.47940665408174</v>
      </c>
      <c r="K1741" s="14" t="n">
        <v>1.97564645227632</v>
      </c>
      <c r="L1741" s="14" t="n">
        <v>2.59940962953198</v>
      </c>
      <c r="M1741" s="14" t="n">
        <v>1.892</v>
      </c>
      <c r="N1741" s="14" t="n">
        <v>2</v>
      </c>
      <c r="O1741" s="14" t="n">
        <v>2.146</v>
      </c>
      <c r="P1741" s="14" t="n">
        <v>2.381</v>
      </c>
      <c r="Q1741" s="14" t="n">
        <v>0.75</v>
      </c>
      <c r="R1741" s="14" t="n">
        <v>0.75</v>
      </c>
      <c r="S1741" s="14" t="n">
        <v>13.25</v>
      </c>
    </row>
    <row r="1742" customFormat="false" ht="15" hidden="false" customHeight="false" outlineLevel="0" collapsed="false">
      <c r="A1742" s="13" t="n">
        <v>44729</v>
      </c>
      <c r="B1742" s="14" t="n">
        <v>1.45</v>
      </c>
      <c r="C1742" s="14" t="n">
        <v>1.75</v>
      </c>
      <c r="D1742" s="14" t="n">
        <v>1.5</v>
      </c>
      <c r="E1742" s="14" t="n">
        <v>-0.582</v>
      </c>
      <c r="F1742" s="14" t="n">
        <v>-0.5</v>
      </c>
      <c r="G1742" s="14" t="n">
        <v>1.25</v>
      </c>
      <c r="H1742" s="14" t="n">
        <v>1.1895</v>
      </c>
      <c r="I1742" s="14" t="n">
        <v>1.19041678562802</v>
      </c>
      <c r="J1742" s="14" t="n">
        <v>1.47776822711429</v>
      </c>
      <c r="K1742" s="14" t="n">
        <v>1.97834614600643</v>
      </c>
      <c r="L1742" s="14" t="n">
        <v>2.63215498753136</v>
      </c>
      <c r="M1742" s="14" t="n">
        <v>1.891</v>
      </c>
      <c r="N1742" s="14" t="n">
        <v>2</v>
      </c>
      <c r="O1742" s="14" t="n">
        <v>2.14</v>
      </c>
      <c r="P1742" s="14" t="n">
        <v>2.378</v>
      </c>
      <c r="Q1742" s="14" t="n">
        <v>0.75</v>
      </c>
      <c r="R1742" s="14" t="n">
        <v>0.75</v>
      </c>
      <c r="S1742" s="14" t="n">
        <v>13.25</v>
      </c>
    </row>
    <row r="1743" customFormat="false" ht="15" hidden="false" customHeight="false" outlineLevel="0" collapsed="false">
      <c r="A1743" s="13" t="n">
        <v>44732</v>
      </c>
      <c r="C1743" s="14" t="n">
        <v>1.75</v>
      </c>
      <c r="D1743" s="14" t="n">
        <v>1.5</v>
      </c>
      <c r="E1743" s="14" t="n">
        <v>-0.581</v>
      </c>
      <c r="F1743" s="14" t="n">
        <v>-0.5</v>
      </c>
      <c r="G1743" s="14" t="n">
        <v>1.25</v>
      </c>
      <c r="H1743" s="14" t="n">
        <v>1.1896</v>
      </c>
      <c r="I1743" s="14" t="n">
        <v>1.19858764473617</v>
      </c>
      <c r="J1743" s="14" t="n">
        <v>1.50281588741063</v>
      </c>
      <c r="K1743" s="14" t="n">
        <v>2.01031852336939</v>
      </c>
      <c r="L1743" s="14" t="n">
        <v>2.68160056456247</v>
      </c>
      <c r="M1743" s="14" t="n">
        <v>1.891</v>
      </c>
      <c r="N1743" s="14" t="n">
        <v>2</v>
      </c>
      <c r="O1743" s="14" t="n">
        <v>2.136</v>
      </c>
      <c r="P1743" s="14" t="n">
        <v>2.374</v>
      </c>
      <c r="Q1743" s="14" t="n">
        <v>0.75</v>
      </c>
      <c r="R1743" s="14" t="n">
        <v>0.75</v>
      </c>
      <c r="S1743" s="14" t="n">
        <v>13.25</v>
      </c>
    </row>
    <row r="1744" customFormat="false" ht="15" hidden="false" customHeight="false" outlineLevel="0" collapsed="false">
      <c r="A1744" s="13" t="n">
        <v>44733</v>
      </c>
      <c r="B1744" s="14" t="n">
        <v>1.45</v>
      </c>
      <c r="C1744" s="14" t="n">
        <v>1.75</v>
      </c>
      <c r="D1744" s="14" t="n">
        <v>1.5</v>
      </c>
      <c r="E1744" s="14" t="n">
        <v>-0.582</v>
      </c>
      <c r="F1744" s="14" t="n">
        <v>-0.5</v>
      </c>
      <c r="G1744" s="14" t="n">
        <v>1.25</v>
      </c>
      <c r="H1744" s="14" t="n">
        <v>1.1892</v>
      </c>
      <c r="I1744" s="14" t="n">
        <v>1.20049162962616</v>
      </c>
      <c r="J1744" s="14" t="n">
        <v>1.51452332955082</v>
      </c>
      <c r="K1744" s="14" t="n">
        <v>2.01785945912735</v>
      </c>
      <c r="L1744" s="14" t="n">
        <v>2.66704481492674</v>
      </c>
      <c r="M1744" s="14" t="n">
        <v>1.891</v>
      </c>
      <c r="N1744" s="14" t="n">
        <v>2</v>
      </c>
      <c r="O1744" s="14" t="n">
        <v>2.136</v>
      </c>
      <c r="P1744" s="14" t="n">
        <v>2.372</v>
      </c>
      <c r="Q1744" s="14" t="n">
        <v>0.75</v>
      </c>
      <c r="R1744" s="14" t="n">
        <v>0.75</v>
      </c>
      <c r="S1744" s="14" t="n">
        <v>13.25</v>
      </c>
    </row>
    <row r="1745" customFormat="false" ht="15" hidden="false" customHeight="false" outlineLevel="0" collapsed="false">
      <c r="A1745" s="13" t="n">
        <v>44734</v>
      </c>
      <c r="B1745" s="14" t="n">
        <v>1.45</v>
      </c>
      <c r="C1745" s="14" t="n">
        <v>1.75</v>
      </c>
      <c r="D1745" s="14" t="n">
        <v>1.5</v>
      </c>
      <c r="E1745" s="14" t="n">
        <v>-0.579</v>
      </c>
      <c r="F1745" s="14" t="n">
        <v>-0.5</v>
      </c>
      <c r="G1745" s="14" t="n">
        <v>1.25</v>
      </c>
      <c r="H1745" s="14" t="n">
        <v>1.1883</v>
      </c>
      <c r="I1745" s="14" t="n">
        <v>1.19817400523733</v>
      </c>
      <c r="J1745" s="14" t="n">
        <v>1.49413510778162</v>
      </c>
      <c r="K1745" s="14" t="n">
        <v>1.96825104338248</v>
      </c>
      <c r="L1745" s="14" t="n">
        <v>2.56493779758381</v>
      </c>
      <c r="M1745" s="14" t="n">
        <v>1.892</v>
      </c>
      <c r="N1745" s="14" t="n">
        <v>2</v>
      </c>
      <c r="O1745" s="14" t="n">
        <v>2.137</v>
      </c>
      <c r="P1745" s="14" t="n">
        <v>2.369</v>
      </c>
      <c r="Q1745" s="14" t="n">
        <v>0.75</v>
      </c>
      <c r="R1745" s="14" t="n">
        <v>0.75</v>
      </c>
      <c r="S1745" s="14" t="n">
        <v>13.25</v>
      </c>
    </row>
    <row r="1746" customFormat="false" ht="15" hidden="false" customHeight="false" outlineLevel="0" collapsed="false">
      <c r="A1746" s="13" t="n">
        <v>44735</v>
      </c>
      <c r="B1746" s="14" t="n">
        <v>1.44</v>
      </c>
      <c r="C1746" s="14" t="n">
        <v>1.75</v>
      </c>
      <c r="D1746" s="14" t="n">
        <v>1.5</v>
      </c>
      <c r="E1746" s="14" t="n">
        <v>-0.578</v>
      </c>
      <c r="F1746" s="14" t="n">
        <v>-0.5</v>
      </c>
      <c r="G1746" s="14" t="n">
        <v>1.25</v>
      </c>
      <c r="H1746" s="14" t="n">
        <v>1.1885</v>
      </c>
      <c r="I1746" s="14" t="n">
        <v>1.19566989891884</v>
      </c>
      <c r="J1746" s="14" t="n">
        <v>1.48703637889834</v>
      </c>
      <c r="K1746" s="14" t="n">
        <v>1.93579663935901</v>
      </c>
      <c r="L1746" s="14" t="n">
        <v>2.45024346685944</v>
      </c>
      <c r="M1746" s="14" t="n">
        <v>1.893</v>
      </c>
      <c r="N1746" s="14" t="n">
        <v>2</v>
      </c>
      <c r="O1746" s="14" t="n">
        <v>2.137</v>
      </c>
      <c r="P1746" s="14" t="n">
        <v>2.367</v>
      </c>
      <c r="Q1746" s="14" t="n">
        <v>0.75</v>
      </c>
      <c r="R1746" s="14" t="n">
        <v>0.75</v>
      </c>
      <c r="S1746" s="14" t="n">
        <v>13.25</v>
      </c>
    </row>
    <row r="1747" customFormat="false" ht="15" hidden="false" customHeight="false" outlineLevel="0" collapsed="false">
      <c r="A1747" s="13" t="n">
        <v>44736</v>
      </c>
      <c r="B1747" s="14" t="n">
        <v>1.46</v>
      </c>
      <c r="C1747" s="14" t="n">
        <v>1.75</v>
      </c>
      <c r="D1747" s="14" t="n">
        <v>1.5</v>
      </c>
      <c r="E1747" s="14" t="n">
        <v>-0.58</v>
      </c>
      <c r="F1747" s="14" t="n">
        <v>-0.5</v>
      </c>
      <c r="G1747" s="14" t="n">
        <v>1.25</v>
      </c>
      <c r="H1747" s="14" t="n">
        <v>1.1885</v>
      </c>
      <c r="I1747" s="14" t="n">
        <v>1.20192725833662</v>
      </c>
      <c r="J1747" s="14" t="n">
        <v>1.48894612763164</v>
      </c>
      <c r="K1747" s="14" t="n">
        <v>1.92856569450634</v>
      </c>
      <c r="L1747" s="14" t="n">
        <v>2.45228922724948</v>
      </c>
      <c r="M1747" s="14" t="n">
        <v>1.893</v>
      </c>
      <c r="N1747" s="14" t="n">
        <v>2</v>
      </c>
      <c r="O1747" s="14" t="n">
        <v>2.138</v>
      </c>
      <c r="P1747" s="14" t="n">
        <v>2.364</v>
      </c>
      <c r="Q1747" s="14" t="n">
        <v>1.25</v>
      </c>
      <c r="R1747" s="14" t="n">
        <v>1.25</v>
      </c>
      <c r="S1747" s="14" t="n">
        <v>13.25</v>
      </c>
    </row>
    <row r="1748" customFormat="false" ht="15" hidden="false" customHeight="false" outlineLevel="0" collapsed="false">
      <c r="A1748" s="13" t="n">
        <v>44739</v>
      </c>
      <c r="B1748" s="14" t="n">
        <v>1.5</v>
      </c>
      <c r="C1748" s="14" t="n">
        <v>1.75</v>
      </c>
      <c r="D1748" s="14" t="n">
        <v>1.5</v>
      </c>
      <c r="E1748" s="14" t="n">
        <v>-0.579</v>
      </c>
      <c r="F1748" s="14" t="n">
        <v>-0.5</v>
      </c>
      <c r="G1748" s="14" t="n">
        <v>1.25</v>
      </c>
      <c r="H1748" s="14" t="n">
        <v>1.1884</v>
      </c>
      <c r="I1748" s="14" t="n">
        <v>1.20936748829117</v>
      </c>
      <c r="J1748" s="14" t="n">
        <v>1.52290039787725</v>
      </c>
      <c r="K1748" s="14" t="n">
        <v>1.97287487289713</v>
      </c>
      <c r="L1748" s="14" t="n">
        <v>2.51287519554829</v>
      </c>
      <c r="M1748" s="14" t="n">
        <v>1.894</v>
      </c>
      <c r="N1748" s="14" t="n">
        <v>2</v>
      </c>
      <c r="O1748" s="14" t="n">
        <v>2.139</v>
      </c>
      <c r="P1748" s="14" t="n">
        <v>2.36</v>
      </c>
      <c r="Q1748" s="14" t="n">
        <v>1.25</v>
      </c>
      <c r="R1748" s="14" t="n">
        <v>1.25</v>
      </c>
      <c r="S1748" s="14" t="n">
        <v>13.25</v>
      </c>
    </row>
    <row r="1749" customFormat="false" ht="15" hidden="false" customHeight="false" outlineLevel="0" collapsed="false">
      <c r="A1749" s="13" t="n">
        <v>44740</v>
      </c>
      <c r="B1749" s="14" t="n">
        <v>1.52</v>
      </c>
      <c r="C1749" s="14" t="n">
        <v>1.75</v>
      </c>
      <c r="D1749" s="14" t="n">
        <v>1.5</v>
      </c>
      <c r="E1749" s="14" t="n">
        <v>-0.581</v>
      </c>
      <c r="F1749" s="14" t="n">
        <v>-0.5</v>
      </c>
      <c r="G1749" s="14" t="n">
        <v>1.25</v>
      </c>
      <c r="H1749" s="14" t="n">
        <v>1.1877</v>
      </c>
      <c r="I1749" s="14" t="n">
        <v>1.21356509485785</v>
      </c>
      <c r="J1749" s="14" t="n">
        <v>1.5408135512659</v>
      </c>
      <c r="K1749" s="14" t="n">
        <v>2.00083655483712</v>
      </c>
      <c r="L1749" s="14" t="n">
        <v>2.58010113464705</v>
      </c>
      <c r="M1749" s="14" t="n">
        <v>1.895</v>
      </c>
      <c r="N1749" s="14" t="n">
        <v>2</v>
      </c>
      <c r="O1749" s="14" t="n">
        <v>2.139</v>
      </c>
      <c r="P1749" s="14" t="n">
        <v>2.363</v>
      </c>
      <c r="Q1749" s="14" t="n">
        <v>1.25</v>
      </c>
      <c r="R1749" s="14" t="n">
        <v>1.25</v>
      </c>
      <c r="S1749" s="14" t="n">
        <v>13.25</v>
      </c>
    </row>
    <row r="1750" customFormat="false" ht="15" hidden="false" customHeight="false" outlineLevel="0" collapsed="false">
      <c r="A1750" s="13" t="n">
        <v>44741</v>
      </c>
      <c r="B1750" s="14" t="n">
        <v>1.51</v>
      </c>
      <c r="C1750" s="14" t="n">
        <v>1.75</v>
      </c>
      <c r="D1750" s="14" t="n">
        <v>1.5</v>
      </c>
      <c r="E1750" s="14" t="n">
        <v>-0.578</v>
      </c>
      <c r="F1750" s="14" t="n">
        <v>-0.5</v>
      </c>
      <c r="G1750" s="14" t="n">
        <v>1.25</v>
      </c>
      <c r="H1750" s="14" t="n">
        <v>1.1887</v>
      </c>
      <c r="I1750" s="14" t="n">
        <v>1.21367737757426</v>
      </c>
      <c r="J1750" s="14" t="n">
        <v>1.52820229970205</v>
      </c>
      <c r="K1750" s="14" t="n">
        <v>1.9700043294571</v>
      </c>
      <c r="L1750" s="14" t="n">
        <v>2.53015006559664</v>
      </c>
      <c r="M1750" s="14" t="n">
        <v>1.898</v>
      </c>
      <c r="N1750" s="14" t="n">
        <v>2</v>
      </c>
      <c r="O1750" s="14" t="n">
        <v>2.141</v>
      </c>
      <c r="P1750" s="14" t="n">
        <v>2.362</v>
      </c>
      <c r="Q1750" s="14" t="n">
        <v>1.25</v>
      </c>
      <c r="R1750" s="14" t="n">
        <v>1.25</v>
      </c>
      <c r="S1750" s="14" t="n">
        <v>13.25</v>
      </c>
    </row>
    <row r="1751" customFormat="false" ht="15" hidden="false" customHeight="false" outlineLevel="0" collapsed="false">
      <c r="A1751" s="13" t="n">
        <v>44742</v>
      </c>
      <c r="B1751" s="14" t="n">
        <v>1.5</v>
      </c>
      <c r="C1751" s="14" t="n">
        <v>1.75</v>
      </c>
      <c r="D1751" s="14" t="n">
        <v>1.5</v>
      </c>
      <c r="E1751" s="14" t="n">
        <v>-0.591</v>
      </c>
      <c r="F1751" s="14" t="n">
        <v>-0.5</v>
      </c>
      <c r="G1751" s="14" t="n">
        <v>1.25</v>
      </c>
      <c r="H1751" s="14" t="n">
        <v>1.1874</v>
      </c>
      <c r="I1751" s="14" t="n">
        <v>1.21304812535066</v>
      </c>
      <c r="J1751" s="14" t="n">
        <v>1.52969390285554</v>
      </c>
      <c r="K1751" s="14" t="n">
        <v>1.95527426979752</v>
      </c>
      <c r="L1751" s="14" t="n">
        <v>2.43846809804558</v>
      </c>
      <c r="M1751" s="14" t="n">
        <v>1.898</v>
      </c>
      <c r="N1751" s="14" t="n">
        <v>2</v>
      </c>
      <c r="O1751" s="14" t="n">
        <v>2.141</v>
      </c>
      <c r="P1751" s="14" t="n">
        <v>2.363</v>
      </c>
      <c r="Q1751" s="14" t="n">
        <v>1.25</v>
      </c>
      <c r="R1751" s="14" t="n">
        <v>1.25</v>
      </c>
      <c r="S1751" s="14" t="n">
        <v>13.25</v>
      </c>
    </row>
    <row r="1752" customFormat="false" ht="15" hidden="false" customHeight="false" outlineLevel="0" collapsed="false">
      <c r="A1752" s="13" t="n">
        <v>44743</v>
      </c>
      <c r="B1752" s="14" t="n">
        <v>1.52</v>
      </c>
      <c r="C1752" s="14" t="n">
        <v>1.75</v>
      </c>
      <c r="D1752" s="14" t="n">
        <v>1.5</v>
      </c>
      <c r="E1752" s="14" t="n">
        <v>-0.58</v>
      </c>
      <c r="F1752" s="14" t="n">
        <v>-0.5</v>
      </c>
      <c r="G1752" s="14" t="n">
        <v>1.25</v>
      </c>
      <c r="H1752" s="14" t="n">
        <v>1.1907</v>
      </c>
      <c r="I1752" s="14" t="n">
        <v>1.21649564792775</v>
      </c>
      <c r="J1752" s="14" t="n">
        <v>1.53029642876197</v>
      </c>
      <c r="K1752" s="14" t="n">
        <v>1.94811571120336</v>
      </c>
      <c r="L1752" s="14" t="n">
        <v>2.39208956546959</v>
      </c>
      <c r="M1752" s="14" t="n">
        <v>1.887</v>
      </c>
      <c r="N1752" s="14" t="n">
        <v>2</v>
      </c>
      <c r="O1752" s="14" t="n">
        <v>2.14</v>
      </c>
      <c r="P1752" s="14" t="n">
        <v>2.363</v>
      </c>
      <c r="Q1752" s="14" t="n">
        <v>1.25</v>
      </c>
      <c r="R1752" s="14" t="n">
        <v>1.25</v>
      </c>
      <c r="S1752" s="14" t="n">
        <v>13.25</v>
      </c>
    </row>
    <row r="1753" customFormat="false" ht="15" hidden="false" customHeight="false" outlineLevel="0" collapsed="false">
      <c r="A1753" s="13" t="n">
        <v>44746</v>
      </c>
      <c r="C1753" s="14" t="n">
        <v>1.75</v>
      </c>
      <c r="D1753" s="14" t="n">
        <v>1.5</v>
      </c>
      <c r="E1753" s="14" t="n">
        <v>-0.58</v>
      </c>
      <c r="F1753" s="14" t="n">
        <v>-0.5</v>
      </c>
      <c r="G1753" s="14" t="n">
        <v>1.25</v>
      </c>
      <c r="H1753" s="14" t="n">
        <v>1.1902</v>
      </c>
      <c r="I1753" s="14" t="n">
        <v>1.22177919209071</v>
      </c>
      <c r="J1753" s="14" t="n">
        <v>1.567555720891</v>
      </c>
      <c r="K1753" s="14" t="n">
        <v>2.00199461789875</v>
      </c>
      <c r="L1753" s="14" t="n">
        <v>2.47012130814859</v>
      </c>
      <c r="M1753" s="14" t="n">
        <v>1.878</v>
      </c>
      <c r="N1753" s="14" t="n">
        <v>2</v>
      </c>
      <c r="O1753" s="14" t="n">
        <v>2.137</v>
      </c>
      <c r="P1753" s="14" t="n">
        <v>2.36</v>
      </c>
      <c r="Q1753" s="14" t="n">
        <v>1.25</v>
      </c>
      <c r="R1753" s="14" t="n">
        <v>1.25</v>
      </c>
      <c r="S1753" s="14" t="n">
        <v>13.25</v>
      </c>
    </row>
    <row r="1754" customFormat="false" ht="15" hidden="false" customHeight="false" outlineLevel="0" collapsed="false">
      <c r="A1754" s="13" t="n">
        <v>44747</v>
      </c>
      <c r="B1754" s="14" t="n">
        <v>1.54</v>
      </c>
      <c r="C1754" s="14" t="n">
        <v>1.75</v>
      </c>
      <c r="D1754" s="14" t="n">
        <v>1.5</v>
      </c>
      <c r="E1754" s="14" t="n">
        <v>-0.58</v>
      </c>
      <c r="F1754" s="14" t="n">
        <v>-0.5</v>
      </c>
      <c r="G1754" s="14" t="n">
        <v>1.25</v>
      </c>
      <c r="H1754" s="14" t="n">
        <v>1.1907</v>
      </c>
      <c r="I1754" s="14" t="n">
        <v>1.23092609159687</v>
      </c>
      <c r="J1754" s="14" t="n">
        <v>1.56923930795424</v>
      </c>
      <c r="K1754" s="14" t="n">
        <v>1.97458007669104</v>
      </c>
      <c r="L1754" s="14" t="n">
        <v>2.39319817313154</v>
      </c>
      <c r="M1754" s="14" t="n">
        <v>1.86</v>
      </c>
      <c r="N1754" s="14" t="n">
        <v>2</v>
      </c>
      <c r="O1754" s="14" t="n">
        <v>2.139</v>
      </c>
      <c r="P1754" s="14" t="n">
        <v>2.359</v>
      </c>
      <c r="Q1754" s="14" t="n">
        <v>1.25</v>
      </c>
      <c r="R1754" s="14" t="n">
        <v>1.25</v>
      </c>
      <c r="S1754" s="14" t="n">
        <v>13.25</v>
      </c>
    </row>
    <row r="1755" customFormat="false" ht="15" hidden="false" customHeight="false" outlineLevel="0" collapsed="false">
      <c r="A1755" s="13" t="n">
        <v>44748</v>
      </c>
      <c r="B1755" s="14" t="n">
        <v>1.54</v>
      </c>
      <c r="C1755" s="14" t="n">
        <v>1.75</v>
      </c>
      <c r="D1755" s="14" t="n">
        <v>1.5</v>
      </c>
      <c r="E1755" s="14" t="n">
        <v>-0.58</v>
      </c>
      <c r="F1755" s="14" t="n">
        <v>-0.5</v>
      </c>
      <c r="G1755" s="14" t="n">
        <v>1.25</v>
      </c>
      <c r="H1755" s="14" t="n">
        <v>1.1908</v>
      </c>
      <c r="I1755" s="14" t="n">
        <v>1.24426157922361</v>
      </c>
      <c r="J1755" s="14" t="n">
        <v>1.57556702016569</v>
      </c>
      <c r="K1755" s="14" t="n">
        <v>1.98181553649758</v>
      </c>
      <c r="L1755" s="14" t="n">
        <v>2.41097044782343</v>
      </c>
      <c r="M1755" s="14" t="n">
        <v>1.834</v>
      </c>
      <c r="N1755" s="14" t="n">
        <v>1.998</v>
      </c>
      <c r="O1755" s="14" t="n">
        <v>2.135</v>
      </c>
      <c r="P1755" s="14" t="n">
        <v>2.355</v>
      </c>
      <c r="Q1755" s="14" t="n">
        <v>1.25</v>
      </c>
      <c r="R1755" s="14" t="n">
        <v>1.25</v>
      </c>
      <c r="S1755" s="14" t="n">
        <v>13.25</v>
      </c>
    </row>
    <row r="1756" customFormat="false" ht="15" hidden="false" customHeight="false" outlineLevel="0" collapsed="false">
      <c r="A1756" s="13" t="n">
        <v>44749</v>
      </c>
      <c r="B1756" s="14" t="n">
        <v>1.54</v>
      </c>
      <c r="C1756" s="14" t="n">
        <v>1.75</v>
      </c>
      <c r="D1756" s="14" t="n">
        <v>1.5</v>
      </c>
      <c r="E1756" s="14" t="n">
        <v>-0.579</v>
      </c>
      <c r="F1756" s="14" t="n">
        <v>-0.5</v>
      </c>
      <c r="G1756" s="14" t="n">
        <v>1.25</v>
      </c>
      <c r="H1756" s="14" t="n">
        <v>1.1905</v>
      </c>
      <c r="I1756" s="14" t="n">
        <v>1.25046961928812</v>
      </c>
      <c r="J1756" s="14" t="n">
        <v>1.60573225813738</v>
      </c>
      <c r="K1756" s="14" t="n">
        <v>2.03520881206598</v>
      </c>
      <c r="L1756" s="14" t="n">
        <v>2.49430711640794</v>
      </c>
      <c r="M1756" s="14" t="n">
        <v>1.822</v>
      </c>
      <c r="N1756" s="14" t="n">
        <v>1.995</v>
      </c>
      <c r="O1756" s="14" t="n">
        <v>2.133</v>
      </c>
      <c r="P1756" s="14" t="n">
        <v>2.354</v>
      </c>
      <c r="Q1756" s="14" t="n">
        <v>1.25</v>
      </c>
      <c r="R1756" s="14" t="n">
        <v>1.25</v>
      </c>
      <c r="S1756" s="14" t="n">
        <v>13.25</v>
      </c>
    </row>
    <row r="1757" customFormat="false" ht="15" hidden="false" customHeight="false" outlineLevel="0" collapsed="false">
      <c r="A1757" s="13" t="n">
        <v>44750</v>
      </c>
      <c r="B1757" s="14" t="n">
        <v>1.53</v>
      </c>
      <c r="C1757" s="14" t="n">
        <v>1.75</v>
      </c>
      <c r="D1757" s="14" t="n">
        <v>1.5</v>
      </c>
      <c r="E1757" s="14" t="n">
        <v>-0.579</v>
      </c>
      <c r="F1757" s="14" t="n">
        <v>-0.5</v>
      </c>
      <c r="G1757" s="14" t="n">
        <v>1.25</v>
      </c>
      <c r="H1757" s="14" t="n">
        <v>1.1909</v>
      </c>
      <c r="I1757" s="14" t="n">
        <v>1.25569917571993</v>
      </c>
      <c r="J1757" s="14" t="n">
        <v>1.61135022084278</v>
      </c>
      <c r="K1757" s="14" t="n">
        <v>2.043270379413</v>
      </c>
      <c r="L1757" s="14" t="n">
        <v>2.53955579065566</v>
      </c>
      <c r="M1757" s="14" t="n">
        <v>1.807</v>
      </c>
      <c r="N1757" s="14" t="n">
        <v>1.9925</v>
      </c>
      <c r="O1757" s="14" t="n">
        <v>2.13</v>
      </c>
      <c r="P1757" s="14" t="n">
        <v>2.349</v>
      </c>
      <c r="Q1757" s="14" t="n">
        <v>1.25</v>
      </c>
      <c r="R1757" s="14" t="n">
        <v>1.25</v>
      </c>
      <c r="S1757" s="14" t="n">
        <v>13.25</v>
      </c>
    </row>
    <row r="1758" customFormat="false" ht="15" hidden="false" customHeight="false" outlineLevel="0" collapsed="false">
      <c r="A1758" s="13" t="n">
        <v>44753</v>
      </c>
      <c r="B1758" s="14" t="n">
        <v>1.53</v>
      </c>
      <c r="C1758" s="14" t="n">
        <v>1.75</v>
      </c>
      <c r="D1758" s="14" t="n">
        <v>1.5</v>
      </c>
      <c r="E1758" s="14" t="n">
        <v>-0.58</v>
      </c>
      <c r="F1758" s="14" t="n">
        <v>-0.5</v>
      </c>
      <c r="G1758" s="14" t="n">
        <v>1.25</v>
      </c>
      <c r="H1758" s="14" t="n">
        <v>1.1909</v>
      </c>
      <c r="I1758" s="14" t="n">
        <v>1.28055120980541</v>
      </c>
      <c r="J1758" s="14" t="n">
        <v>1.63425281943138</v>
      </c>
      <c r="K1758" s="14" t="n">
        <v>2.03786864027025</v>
      </c>
      <c r="L1758" s="14" t="n">
        <v>2.47448549849296</v>
      </c>
      <c r="M1758" s="14" t="n">
        <v>1.797</v>
      </c>
      <c r="N1758" s="14" t="n">
        <v>1.9895</v>
      </c>
      <c r="O1758" s="14" t="n">
        <v>2.128</v>
      </c>
      <c r="P1758" s="14" t="n">
        <v>2.346</v>
      </c>
      <c r="Q1758" s="14" t="n">
        <v>1.25</v>
      </c>
      <c r="R1758" s="14" t="n">
        <v>1.25</v>
      </c>
      <c r="S1758" s="14" t="n">
        <v>13.25</v>
      </c>
    </row>
    <row r="1759" customFormat="false" ht="15" hidden="false" customHeight="false" outlineLevel="0" collapsed="false">
      <c r="A1759" s="13" t="n">
        <v>44754</v>
      </c>
      <c r="B1759" s="14" t="n">
        <v>1.54</v>
      </c>
      <c r="C1759" s="14" t="n">
        <v>1.75</v>
      </c>
      <c r="D1759" s="14" t="n">
        <v>1.5</v>
      </c>
      <c r="E1759" s="14" t="n">
        <v>-0.58</v>
      </c>
      <c r="F1759" s="14" t="n">
        <v>-0.5</v>
      </c>
      <c r="G1759" s="14" t="n">
        <v>1.25</v>
      </c>
      <c r="H1759" s="14" t="n">
        <v>1.1909</v>
      </c>
      <c r="I1759" s="14" t="n">
        <v>1.28709392071029</v>
      </c>
      <c r="J1759" s="14" t="n">
        <v>1.63845634129346</v>
      </c>
      <c r="K1759" s="14" t="n">
        <v>2.02785427741461</v>
      </c>
      <c r="L1759" s="14" t="n">
        <v>2.41673492213746</v>
      </c>
      <c r="M1759" s="14" t="n">
        <v>1.789</v>
      </c>
      <c r="N1759" s="14" t="n">
        <v>1.9855</v>
      </c>
      <c r="O1759" s="14" t="n">
        <v>2.126</v>
      </c>
      <c r="P1759" s="14" t="n">
        <v>2.344</v>
      </c>
      <c r="Q1759" s="14" t="n">
        <v>1.25</v>
      </c>
      <c r="R1759" s="14" t="n">
        <v>1.25</v>
      </c>
      <c r="S1759" s="14" t="n">
        <v>13.25</v>
      </c>
    </row>
    <row r="1760" customFormat="false" ht="15" hidden="false" customHeight="false" outlineLevel="0" collapsed="false">
      <c r="A1760" s="13" t="n">
        <v>44755</v>
      </c>
      <c r="B1760" s="14" t="n">
        <v>1.53</v>
      </c>
      <c r="C1760" s="14" t="n">
        <v>1.75</v>
      </c>
      <c r="D1760" s="14" t="n">
        <v>1.5</v>
      </c>
      <c r="E1760" s="14" t="n">
        <v>-0.581</v>
      </c>
      <c r="F1760" s="14" t="n">
        <v>-0.5</v>
      </c>
      <c r="G1760" s="14" t="n">
        <v>1.25</v>
      </c>
      <c r="H1760" s="14" t="n">
        <v>1.1912</v>
      </c>
      <c r="I1760" s="14" t="n">
        <v>1.306561039137</v>
      </c>
      <c r="J1760" s="14" t="n">
        <v>1.69198913771223</v>
      </c>
      <c r="K1760" s="14" t="n">
        <v>2.11870217065413</v>
      </c>
      <c r="L1760" s="14" t="n">
        <v>2.53006666988985</v>
      </c>
      <c r="M1760" s="14" t="n">
        <v>1.784</v>
      </c>
      <c r="N1760" s="14" t="n">
        <v>1.9835</v>
      </c>
      <c r="O1760" s="14" t="n">
        <v>2.122</v>
      </c>
      <c r="P1760" s="14" t="n">
        <v>2.337</v>
      </c>
      <c r="Q1760" s="14" t="n">
        <v>1.25</v>
      </c>
      <c r="R1760" s="14" t="n">
        <v>1.25</v>
      </c>
      <c r="S1760" s="14" t="n">
        <v>13.25</v>
      </c>
    </row>
    <row r="1761" customFormat="false" ht="15" hidden="false" customHeight="false" outlineLevel="0" collapsed="false">
      <c r="A1761" s="13" t="n">
        <v>44756</v>
      </c>
      <c r="B1761" s="14" t="n">
        <v>1.53</v>
      </c>
      <c r="C1761" s="14" t="n">
        <v>1.75</v>
      </c>
      <c r="D1761" s="14" t="n">
        <v>1.5</v>
      </c>
      <c r="E1761" s="14" t="n">
        <v>-0.582</v>
      </c>
      <c r="F1761" s="14" t="n">
        <v>-0.5</v>
      </c>
      <c r="G1761" s="14" t="n">
        <v>1.25</v>
      </c>
      <c r="H1761" s="14" t="n">
        <v>1.1911</v>
      </c>
      <c r="I1761" s="14" t="n">
        <v>1.32274086496801</v>
      </c>
      <c r="J1761" s="14" t="n">
        <v>1.73221680344598</v>
      </c>
      <c r="K1761" s="14" t="n">
        <v>2.18709543006069</v>
      </c>
      <c r="L1761" s="14" t="n">
        <v>2.62166093327921</v>
      </c>
      <c r="M1761" s="14" t="n">
        <v>1.775</v>
      </c>
      <c r="N1761" s="14" t="n">
        <v>1.979</v>
      </c>
      <c r="O1761" s="14" t="n">
        <v>2.118</v>
      </c>
      <c r="P1761" s="14" t="n">
        <v>2.333</v>
      </c>
      <c r="Q1761" s="14" t="n">
        <v>1.25</v>
      </c>
      <c r="R1761" s="14" t="n">
        <v>1.25</v>
      </c>
      <c r="S1761" s="14" t="n">
        <v>13.25</v>
      </c>
    </row>
    <row r="1762" customFormat="false" ht="15" hidden="false" customHeight="false" outlineLevel="0" collapsed="false">
      <c r="A1762" s="13" t="n">
        <v>44757</v>
      </c>
      <c r="B1762" s="14" t="n">
        <v>1.54</v>
      </c>
      <c r="C1762" s="14" t="n">
        <v>1.75</v>
      </c>
      <c r="D1762" s="14" t="n">
        <v>1.5</v>
      </c>
      <c r="E1762" s="14" t="n">
        <v>-0.582</v>
      </c>
      <c r="F1762" s="14" t="n">
        <v>-0.5</v>
      </c>
      <c r="G1762" s="14" t="n">
        <v>1.25</v>
      </c>
      <c r="H1762" s="14" t="n">
        <v>1.1908</v>
      </c>
      <c r="I1762" s="14" t="n">
        <v>1.33294488682116</v>
      </c>
      <c r="J1762" s="14" t="n">
        <v>1.73035035974409</v>
      </c>
      <c r="K1762" s="14" t="n">
        <v>2.18422945813664</v>
      </c>
      <c r="L1762" s="14" t="n">
        <v>2.61782554215757</v>
      </c>
      <c r="M1762" s="14" t="n">
        <v>1.774</v>
      </c>
      <c r="N1762" s="14" t="n">
        <v>1.977</v>
      </c>
      <c r="O1762" s="14" t="n">
        <v>2.116</v>
      </c>
      <c r="P1762" s="14" t="n">
        <v>2.326</v>
      </c>
      <c r="Q1762" s="14" t="n">
        <v>1.25</v>
      </c>
      <c r="R1762" s="14" t="n">
        <v>1.25</v>
      </c>
      <c r="S1762" s="14" t="n">
        <v>13.25</v>
      </c>
    </row>
    <row r="1763" customFormat="false" ht="15" hidden="false" customHeight="false" outlineLevel="0" collapsed="false">
      <c r="A1763" s="13" t="n">
        <v>44760</v>
      </c>
      <c r="B1763" s="14" t="n">
        <v>1.54</v>
      </c>
      <c r="C1763" s="14" t="n">
        <v>1.75</v>
      </c>
      <c r="D1763" s="14" t="n">
        <v>1.5</v>
      </c>
      <c r="E1763" s="14" t="n">
        <v>-0.582</v>
      </c>
      <c r="F1763" s="14" t="n">
        <v>-0.5</v>
      </c>
      <c r="G1763" s="14" t="n">
        <v>1.25</v>
      </c>
      <c r="H1763" s="14" t="n">
        <v>1.1912</v>
      </c>
      <c r="I1763" s="14" t="n">
        <v>1.384507301649</v>
      </c>
      <c r="J1763" s="14" t="n">
        <v>1.76582267271512</v>
      </c>
      <c r="K1763" s="14" t="n">
        <v>2.2156460539344</v>
      </c>
      <c r="L1763" s="14" t="n">
        <v>2.65670251010524</v>
      </c>
      <c r="M1763" s="14" t="n">
        <v>1.772</v>
      </c>
      <c r="N1763" s="14" t="n">
        <v>1.974</v>
      </c>
      <c r="O1763" s="14" t="n">
        <v>2.113</v>
      </c>
      <c r="P1763" s="14" t="n">
        <v>2.322</v>
      </c>
      <c r="Q1763" s="14" t="n">
        <v>1.25</v>
      </c>
      <c r="R1763" s="14" t="n">
        <v>1.25</v>
      </c>
      <c r="S1763" s="14" t="n">
        <v>13.25</v>
      </c>
    </row>
    <row r="1764" customFormat="false" ht="15" hidden="false" customHeight="false" outlineLevel="0" collapsed="false">
      <c r="A1764" s="13" t="n">
        <v>44761</v>
      </c>
      <c r="B1764" s="14" t="n">
        <v>1.54</v>
      </c>
      <c r="C1764" s="14" t="n">
        <v>1.75</v>
      </c>
      <c r="D1764" s="14" t="n">
        <v>1.5</v>
      </c>
      <c r="E1764" s="14" t="n">
        <v>-0.583</v>
      </c>
      <c r="F1764" s="14" t="n">
        <v>-0.5</v>
      </c>
      <c r="G1764" s="14" t="n">
        <v>1.25</v>
      </c>
      <c r="H1764" s="14" t="n">
        <v>1.1909</v>
      </c>
      <c r="I1764" s="14" t="n">
        <v>1.3968088805288</v>
      </c>
      <c r="J1764" s="14" t="n">
        <v>1.76556765571669</v>
      </c>
      <c r="K1764" s="14" t="n">
        <v>2.2103284777846</v>
      </c>
      <c r="L1764" s="14" t="n">
        <v>2.67592871053309</v>
      </c>
      <c r="M1764" s="14" t="n">
        <v>1.77</v>
      </c>
      <c r="N1764" s="14" t="n">
        <v>1.948</v>
      </c>
      <c r="O1764" s="14" t="n">
        <v>2.091</v>
      </c>
      <c r="P1764" s="14" t="n">
        <v>2.31</v>
      </c>
      <c r="Q1764" s="14" t="n">
        <v>1.25</v>
      </c>
      <c r="R1764" s="14" t="n">
        <v>1.25</v>
      </c>
      <c r="S1764" s="14" t="n">
        <v>13.25</v>
      </c>
    </row>
    <row r="1765" customFormat="false" ht="15" hidden="false" customHeight="false" outlineLevel="0" collapsed="false">
      <c r="A1765" s="13" t="n">
        <v>44762</v>
      </c>
      <c r="B1765" s="14" t="n">
        <v>1.53</v>
      </c>
      <c r="C1765" s="14" t="n">
        <v>1.75</v>
      </c>
      <c r="D1765" s="14" t="n">
        <v>1.5</v>
      </c>
      <c r="E1765" s="14" t="n">
        <v>-0.582</v>
      </c>
      <c r="F1765" s="14" t="n">
        <v>-0.5</v>
      </c>
      <c r="G1765" s="14" t="n">
        <v>1.25</v>
      </c>
      <c r="H1765" s="14" t="n">
        <v>1.1906</v>
      </c>
      <c r="I1765" s="14" t="n">
        <v>1.39913764133323</v>
      </c>
      <c r="J1765" s="14" t="n">
        <v>1.75845216370128</v>
      </c>
      <c r="K1765" s="14" t="n">
        <v>2.19998433297576</v>
      </c>
      <c r="L1765" s="14" t="n">
        <v>2.64829880975376</v>
      </c>
      <c r="M1765" s="14" t="n">
        <v>1.773</v>
      </c>
      <c r="N1765" s="14" t="n">
        <v>1.924</v>
      </c>
      <c r="O1765" s="14" t="n">
        <v>2.07</v>
      </c>
      <c r="P1765" s="14" t="n">
        <v>2.298</v>
      </c>
      <c r="Q1765" s="14" t="n">
        <v>1.25</v>
      </c>
      <c r="R1765" s="14" t="n">
        <v>1.25</v>
      </c>
      <c r="S1765" s="14" t="n">
        <v>13.25</v>
      </c>
    </row>
    <row r="1766" customFormat="false" ht="15" hidden="false" customHeight="false" outlineLevel="0" collapsed="false">
      <c r="A1766" s="13" t="n">
        <v>44763</v>
      </c>
      <c r="B1766" s="14" t="n">
        <v>1.53</v>
      </c>
      <c r="C1766" s="14" t="n">
        <v>1.75</v>
      </c>
      <c r="D1766" s="14" t="n">
        <v>1.5</v>
      </c>
      <c r="E1766" s="14" t="n">
        <v>-0.584</v>
      </c>
      <c r="F1766" s="14" t="n">
        <v>-0.5</v>
      </c>
      <c r="G1766" s="14" t="n">
        <v>1.25</v>
      </c>
      <c r="H1766" s="14" t="n">
        <v>1.1901</v>
      </c>
      <c r="I1766" s="14" t="n">
        <v>1.42350615744176</v>
      </c>
      <c r="J1766" s="14" t="n">
        <v>1.76993004421463</v>
      </c>
      <c r="K1766" s="14" t="n">
        <v>2.18854619366632</v>
      </c>
      <c r="L1766" s="14" t="n">
        <v>2.61638500788817</v>
      </c>
      <c r="M1766" s="14" t="n">
        <v>1.767</v>
      </c>
      <c r="N1766" s="14" t="n">
        <v>1.909</v>
      </c>
      <c r="O1766" s="14" t="n">
        <v>2.054</v>
      </c>
      <c r="P1766" s="14" t="n">
        <v>2.284</v>
      </c>
      <c r="Q1766" s="14" t="n">
        <v>1.25</v>
      </c>
      <c r="R1766" s="14" t="n">
        <v>1.25</v>
      </c>
      <c r="S1766" s="14" t="n">
        <v>13.25</v>
      </c>
    </row>
    <row r="1767" customFormat="false" ht="15" hidden="false" customHeight="false" outlineLevel="0" collapsed="false">
      <c r="A1767" s="13" t="n">
        <v>44764</v>
      </c>
      <c r="B1767" s="14" t="n">
        <v>1.52</v>
      </c>
      <c r="C1767" s="14" t="n">
        <v>1.75</v>
      </c>
      <c r="D1767" s="14" t="n">
        <v>1.5</v>
      </c>
      <c r="E1767" s="14" t="n">
        <v>-0.582</v>
      </c>
      <c r="F1767" s="14" t="n">
        <v>-0.5</v>
      </c>
      <c r="G1767" s="14" t="n">
        <v>1.25</v>
      </c>
      <c r="H1767" s="14" t="n">
        <v>1.1905</v>
      </c>
      <c r="I1767" s="14" t="n">
        <v>1.43441704801198</v>
      </c>
      <c r="J1767" s="14" t="n">
        <v>1.75519758042723</v>
      </c>
      <c r="K1767" s="14" t="n">
        <v>2.13904654281505</v>
      </c>
      <c r="L1767" s="14" t="n">
        <v>2.50530743035547</v>
      </c>
      <c r="M1767" s="14" t="n">
        <v>1.757</v>
      </c>
      <c r="N1767" s="14" t="n">
        <v>1.893</v>
      </c>
      <c r="O1767" s="14" t="n">
        <v>2.038</v>
      </c>
      <c r="P1767" s="14" t="n">
        <v>2.266</v>
      </c>
      <c r="Q1767" s="14" t="n">
        <v>1.25</v>
      </c>
      <c r="R1767" s="14" t="n">
        <v>1.25</v>
      </c>
      <c r="S1767" s="14" t="n">
        <v>13.25</v>
      </c>
    </row>
    <row r="1768" customFormat="false" ht="15" hidden="false" customHeight="false" outlineLevel="0" collapsed="false">
      <c r="A1768" s="13" t="n">
        <v>44767</v>
      </c>
      <c r="B1768" s="14" t="n">
        <v>1.53</v>
      </c>
      <c r="C1768" s="14" t="n">
        <v>1.75</v>
      </c>
      <c r="D1768" s="14" t="n">
        <v>1.5</v>
      </c>
      <c r="E1768" s="14" t="n">
        <v>-0.583</v>
      </c>
      <c r="F1768" s="14" t="n">
        <v>-0.5</v>
      </c>
      <c r="G1768" s="14" t="n">
        <v>1.25</v>
      </c>
      <c r="H1768" s="14" t="n">
        <v>1.191</v>
      </c>
      <c r="I1768" s="14" t="n">
        <v>1.49227871959348</v>
      </c>
      <c r="J1768" s="14" t="n">
        <v>1.79736925041182</v>
      </c>
      <c r="K1768" s="14" t="n">
        <v>2.16492407214191</v>
      </c>
      <c r="L1768" s="14" t="n">
        <v>2.50656749062281</v>
      </c>
      <c r="M1768" s="14" t="n">
        <v>1.756</v>
      </c>
      <c r="N1768" s="14" t="n">
        <v>1.881</v>
      </c>
      <c r="O1768" s="14" t="n">
        <v>2.03</v>
      </c>
      <c r="P1768" s="14" t="n">
        <v>2.256</v>
      </c>
      <c r="Q1768" s="14" t="n">
        <v>1.25</v>
      </c>
      <c r="R1768" s="14" t="n">
        <v>1.25</v>
      </c>
      <c r="S1768" s="14" t="n">
        <v>13.25</v>
      </c>
    </row>
    <row r="1769" customFormat="false" ht="15" hidden="false" customHeight="false" outlineLevel="0" collapsed="false">
      <c r="A1769" s="13" t="n">
        <v>44768</v>
      </c>
      <c r="B1769" s="14" t="n">
        <v>1.53</v>
      </c>
      <c r="C1769" s="14" t="n">
        <v>1.75</v>
      </c>
      <c r="D1769" s="14" t="n">
        <v>1.5</v>
      </c>
      <c r="E1769" s="14" t="n">
        <v>-0.581</v>
      </c>
      <c r="F1769" s="14" t="n">
        <v>-0.5</v>
      </c>
      <c r="G1769" s="14" t="n">
        <v>1.25</v>
      </c>
      <c r="H1769" s="14" t="n">
        <v>1.1909</v>
      </c>
      <c r="I1769" s="14" t="n">
        <v>1.51253638703575</v>
      </c>
      <c r="J1769" s="14" t="n">
        <v>1.81511927162876</v>
      </c>
      <c r="K1769" s="14" t="n">
        <v>2.18838115828916</v>
      </c>
      <c r="L1769" s="14" t="n">
        <v>2.53497590009698</v>
      </c>
      <c r="M1769" s="14" t="n">
        <v>1.755</v>
      </c>
      <c r="N1769" s="14" t="n">
        <v>1.872</v>
      </c>
      <c r="O1769" s="14" t="n">
        <v>2.021</v>
      </c>
      <c r="P1769" s="14" t="n">
        <v>2.246</v>
      </c>
      <c r="Q1769" s="14" t="n">
        <v>1.25</v>
      </c>
      <c r="R1769" s="14" t="n">
        <v>1.25</v>
      </c>
      <c r="S1769" s="14" t="n">
        <v>13.25</v>
      </c>
    </row>
    <row r="1770" customFormat="false" ht="15" hidden="false" customHeight="false" outlineLevel="0" collapsed="false">
      <c r="A1770" s="13" t="n">
        <v>44769</v>
      </c>
      <c r="B1770" s="14" t="n">
        <v>1.53</v>
      </c>
      <c r="C1770" s="14" t="n">
        <v>1.75</v>
      </c>
      <c r="D1770" s="14" t="n">
        <v>1.5</v>
      </c>
      <c r="E1770" s="14" t="n">
        <v>-0.085</v>
      </c>
      <c r="F1770" s="14" t="n">
        <v>0</v>
      </c>
      <c r="G1770" s="14" t="n">
        <v>1.25</v>
      </c>
      <c r="H1770" s="14" t="n">
        <v>1.1909</v>
      </c>
      <c r="I1770" s="14" t="n">
        <v>1.53455689284492</v>
      </c>
      <c r="J1770" s="14" t="n">
        <v>1.83502337393696</v>
      </c>
      <c r="K1770" s="14" t="n">
        <v>2.20904256187556</v>
      </c>
      <c r="L1770" s="14" t="n">
        <v>2.56246116306649</v>
      </c>
      <c r="M1770" s="14" t="n">
        <v>1.748</v>
      </c>
      <c r="N1770" s="14" t="n">
        <v>1.863</v>
      </c>
      <c r="O1770" s="14" t="n">
        <v>2.012</v>
      </c>
      <c r="P1770" s="14" t="n">
        <v>2.236</v>
      </c>
      <c r="Q1770" s="14" t="n">
        <v>1.25</v>
      </c>
      <c r="R1770" s="14" t="n">
        <v>1.25</v>
      </c>
      <c r="S1770" s="14" t="n">
        <v>13.25</v>
      </c>
    </row>
    <row r="1771" customFormat="false" ht="15" hidden="false" customHeight="false" outlineLevel="0" collapsed="false">
      <c r="A1771" s="13" t="n">
        <v>44770</v>
      </c>
      <c r="B1771" s="14" t="n">
        <v>2.28</v>
      </c>
      <c r="C1771" s="14" t="n">
        <v>2.5</v>
      </c>
      <c r="D1771" s="14" t="n">
        <v>2.25</v>
      </c>
      <c r="E1771" s="14" t="n">
        <v>-0.087</v>
      </c>
      <c r="F1771" s="14" t="n">
        <v>0</v>
      </c>
      <c r="G1771" s="14" t="n">
        <v>1.25</v>
      </c>
      <c r="H1771" s="14" t="n">
        <v>1.1909</v>
      </c>
      <c r="I1771" s="14" t="n">
        <v>1.52820363425331</v>
      </c>
      <c r="J1771" s="14" t="n">
        <v>1.80421136371343</v>
      </c>
      <c r="K1771" s="14" t="n">
        <v>2.14239842451776</v>
      </c>
      <c r="L1771" s="14" t="n">
        <v>2.45911401658091</v>
      </c>
      <c r="M1771" s="14" t="n">
        <v>1.742</v>
      </c>
      <c r="N1771" s="14" t="n">
        <v>1.854</v>
      </c>
      <c r="O1771" s="14" t="n">
        <v>2.004</v>
      </c>
      <c r="P1771" s="14" t="n">
        <v>2.226</v>
      </c>
      <c r="Q1771" s="14" t="n">
        <v>1.25</v>
      </c>
      <c r="R1771" s="14" t="n">
        <v>1.25</v>
      </c>
      <c r="S1771" s="14" t="n">
        <v>13.25</v>
      </c>
    </row>
    <row r="1772" customFormat="false" ht="15" hidden="false" customHeight="false" outlineLevel="0" collapsed="false">
      <c r="A1772" s="13" t="n">
        <v>44771</v>
      </c>
      <c r="B1772" s="14" t="n">
        <v>2.27</v>
      </c>
      <c r="C1772" s="14" t="n">
        <v>2.5</v>
      </c>
      <c r="D1772" s="14" t="n">
        <v>2.25</v>
      </c>
      <c r="E1772" s="14" t="n">
        <v>-0.091</v>
      </c>
      <c r="F1772" s="14" t="n">
        <v>0</v>
      </c>
      <c r="G1772" s="14" t="n">
        <v>1.25</v>
      </c>
      <c r="H1772" s="14" t="n">
        <v>1.1909</v>
      </c>
      <c r="I1772" s="14" t="n">
        <v>1.54195705524996</v>
      </c>
      <c r="J1772" s="14" t="n">
        <v>1.81759333977905</v>
      </c>
      <c r="K1772" s="14" t="n">
        <v>2.15150672523135</v>
      </c>
      <c r="L1772" s="14" t="n">
        <v>2.44794739445391</v>
      </c>
      <c r="M1772" s="14" t="n">
        <v>1.737</v>
      </c>
      <c r="N1772" s="14" t="n">
        <v>1.846</v>
      </c>
      <c r="O1772" s="14" t="n">
        <v>1.996</v>
      </c>
      <c r="P1772" s="14" t="n">
        <v>2.218</v>
      </c>
      <c r="Q1772" s="14" t="n">
        <v>1.25</v>
      </c>
      <c r="R1772" s="14" t="n">
        <v>1.25</v>
      </c>
      <c r="S1772" s="14" t="n">
        <v>13.25</v>
      </c>
    </row>
    <row r="1773" customFormat="false" ht="15" hidden="false" customHeight="false" outlineLevel="0" collapsed="false">
      <c r="A1773" s="13" t="n">
        <v>44774</v>
      </c>
      <c r="B1773" s="14" t="n">
        <v>2.28</v>
      </c>
      <c r="C1773" s="14" t="n">
        <v>2.5</v>
      </c>
      <c r="D1773" s="14" t="n">
        <v>2.25</v>
      </c>
      <c r="E1773" s="14" t="n">
        <v>-0.088</v>
      </c>
      <c r="F1773" s="14" t="n">
        <v>0</v>
      </c>
      <c r="G1773" s="14" t="n">
        <v>1.25</v>
      </c>
      <c r="H1773" s="14" t="n">
        <v>1.191</v>
      </c>
      <c r="I1773" s="14" t="n">
        <v>1.60009105559485</v>
      </c>
      <c r="J1773" s="14" t="n">
        <v>1.85082310485282</v>
      </c>
      <c r="K1773" s="14" t="n">
        <v>2.17114071825798</v>
      </c>
      <c r="L1773" s="14" t="n">
        <v>2.46844904507209</v>
      </c>
      <c r="M1773" s="14" t="n">
        <v>1.721</v>
      </c>
      <c r="N1773" s="14" t="n">
        <v>1.825</v>
      </c>
      <c r="O1773" s="14" t="n">
        <v>1.982</v>
      </c>
      <c r="P1773" s="14" t="n">
        <v>2.193</v>
      </c>
      <c r="Q1773" s="14" t="n">
        <v>1.25</v>
      </c>
      <c r="R1773" s="14" t="n">
        <v>1.25</v>
      </c>
      <c r="S1773" s="14" t="n">
        <v>13.25</v>
      </c>
    </row>
    <row r="1774" customFormat="false" ht="15" hidden="false" customHeight="false" outlineLevel="0" collapsed="false">
      <c r="A1774" s="13" t="n">
        <v>44775</v>
      </c>
      <c r="B1774" s="14" t="n">
        <v>2.3</v>
      </c>
      <c r="C1774" s="14" t="n">
        <v>2.5</v>
      </c>
      <c r="D1774" s="14" t="n">
        <v>2.25</v>
      </c>
      <c r="E1774" s="14" t="n">
        <v>-0.087</v>
      </c>
      <c r="F1774" s="14" t="n">
        <v>0</v>
      </c>
      <c r="G1774" s="14" t="n">
        <v>1.25</v>
      </c>
      <c r="H1774" s="14" t="n">
        <v>1.1911</v>
      </c>
      <c r="I1774" s="14" t="n">
        <v>1.62256787872645</v>
      </c>
      <c r="J1774" s="14" t="n">
        <v>1.87923470706152</v>
      </c>
      <c r="K1774" s="14" t="n">
        <v>2.21531788646897</v>
      </c>
      <c r="L1774" s="14" t="n">
        <v>2.52801983774309</v>
      </c>
      <c r="M1774" s="14" t="n">
        <v>1.704</v>
      </c>
      <c r="N1774" s="14" t="n">
        <v>1.799</v>
      </c>
      <c r="O1774" s="14" t="n">
        <v>1.942</v>
      </c>
      <c r="P1774" s="14" t="n">
        <v>2.151</v>
      </c>
      <c r="Q1774" s="14" t="n">
        <v>1.25</v>
      </c>
      <c r="R1774" s="14" t="n">
        <v>1.25</v>
      </c>
      <c r="S1774" s="14" t="n">
        <v>13.25</v>
      </c>
    </row>
    <row r="1775" customFormat="false" ht="15" hidden="false" customHeight="false" outlineLevel="0" collapsed="false">
      <c r="A1775" s="13" t="n">
        <v>44776</v>
      </c>
      <c r="B1775" s="14" t="n">
        <v>2.29</v>
      </c>
      <c r="C1775" s="14" t="n">
        <v>2.5</v>
      </c>
      <c r="D1775" s="14" t="n">
        <v>2.25</v>
      </c>
      <c r="E1775" s="14" t="n">
        <v>-0.087</v>
      </c>
      <c r="F1775" s="14" t="n">
        <v>0</v>
      </c>
      <c r="G1775" s="14" t="n">
        <v>1.25</v>
      </c>
      <c r="H1775" s="14" t="n">
        <v>1.1911</v>
      </c>
      <c r="I1775" s="14" t="n">
        <v>1.63253624758423</v>
      </c>
      <c r="J1775" s="14" t="n">
        <v>1.89262708357215</v>
      </c>
      <c r="K1775" s="14" t="n">
        <v>2.24490249644486</v>
      </c>
      <c r="L1775" s="14" t="n">
        <v>2.58072534515543</v>
      </c>
      <c r="M1775" s="14" t="n">
        <v>1.679</v>
      </c>
      <c r="N1775" s="14" t="n">
        <v>1.767</v>
      </c>
      <c r="O1775" s="14" t="n">
        <v>1.911</v>
      </c>
      <c r="P1775" s="14" t="n">
        <v>2.119</v>
      </c>
      <c r="Q1775" s="14" t="n">
        <v>1.25</v>
      </c>
      <c r="R1775" s="14" t="n">
        <v>1.25</v>
      </c>
      <c r="S1775" s="14" t="n">
        <v>13.25</v>
      </c>
    </row>
    <row r="1776" customFormat="false" ht="15" hidden="false" customHeight="false" outlineLevel="0" collapsed="false">
      <c r="A1776" s="13" t="n">
        <v>44777</v>
      </c>
      <c r="B1776" s="14" t="n">
        <v>2.29</v>
      </c>
      <c r="C1776" s="14" t="n">
        <v>2.5</v>
      </c>
      <c r="D1776" s="14" t="n">
        <v>2.25</v>
      </c>
      <c r="E1776" s="14" t="n">
        <v>-0.084</v>
      </c>
      <c r="F1776" s="14" t="n">
        <v>0</v>
      </c>
      <c r="G1776" s="14" t="n">
        <v>1.75</v>
      </c>
      <c r="H1776" s="14" t="n">
        <v>1.6886</v>
      </c>
      <c r="I1776" s="14" t="n">
        <v>1.69213025085562</v>
      </c>
      <c r="J1776" s="14" t="n">
        <v>1.94766159469993</v>
      </c>
      <c r="K1776" s="14" t="n">
        <v>2.28846165642526</v>
      </c>
      <c r="L1776" s="14" t="n">
        <v>2.59480012659186</v>
      </c>
      <c r="M1776" s="14" t="n">
        <v>1.622</v>
      </c>
      <c r="N1776" s="14" t="n">
        <v>1.729</v>
      </c>
      <c r="O1776" s="14" t="n">
        <v>1.879</v>
      </c>
      <c r="P1776" s="14" t="n">
        <v>2.079</v>
      </c>
      <c r="Q1776" s="14" t="n">
        <v>1.25</v>
      </c>
      <c r="R1776" s="14" t="n">
        <v>1.25</v>
      </c>
      <c r="S1776" s="14" t="n">
        <v>13.75</v>
      </c>
    </row>
    <row r="1777" customFormat="false" ht="15" hidden="false" customHeight="false" outlineLevel="0" collapsed="false">
      <c r="A1777" s="13" t="n">
        <v>44778</v>
      </c>
      <c r="B1777" s="14" t="n">
        <v>2.28</v>
      </c>
      <c r="C1777" s="14" t="n">
        <v>2.5</v>
      </c>
      <c r="D1777" s="14" t="n">
        <v>2.25</v>
      </c>
      <c r="E1777" s="14" t="n">
        <v>-0.085</v>
      </c>
      <c r="F1777" s="14" t="n">
        <v>0</v>
      </c>
      <c r="G1777" s="14" t="n">
        <v>1.75</v>
      </c>
      <c r="H1777" s="14" t="n">
        <v>1.6903</v>
      </c>
      <c r="I1777" s="14" t="n">
        <v>1.69961708832328</v>
      </c>
      <c r="J1777" s="14" t="n">
        <v>1.96656374914429</v>
      </c>
      <c r="K1777" s="14" t="n">
        <v>2.34519657536699</v>
      </c>
      <c r="L1777" s="14" t="n">
        <v>2.70987002415019</v>
      </c>
      <c r="M1777" s="14" t="n">
        <v>1.594</v>
      </c>
      <c r="N1777" s="14" t="n">
        <v>1.699</v>
      </c>
      <c r="O1777" s="14" t="n">
        <v>1.838</v>
      </c>
      <c r="P1777" s="14" t="n">
        <v>2.043</v>
      </c>
      <c r="Q1777" s="14" t="n">
        <v>1.25</v>
      </c>
      <c r="R1777" s="14" t="n">
        <v>1.25</v>
      </c>
      <c r="S1777" s="14" t="n">
        <v>13.75</v>
      </c>
    </row>
    <row r="1778" customFormat="false" ht="15" hidden="false" customHeight="false" outlineLevel="0" collapsed="false">
      <c r="A1778" s="13" t="n">
        <v>44781</v>
      </c>
      <c r="B1778" s="14" t="n">
        <v>2.28</v>
      </c>
      <c r="C1778" s="14" t="n">
        <v>2.5</v>
      </c>
      <c r="D1778" s="14" t="n">
        <v>2.25</v>
      </c>
      <c r="E1778" s="14" t="n">
        <v>-0.085</v>
      </c>
      <c r="F1778" s="14" t="n">
        <v>0</v>
      </c>
      <c r="G1778" s="14" t="n">
        <v>1.75</v>
      </c>
      <c r="H1778" s="14" t="n">
        <v>1.69</v>
      </c>
      <c r="I1778" s="14" t="n">
        <v>1.70206596388003</v>
      </c>
      <c r="J1778" s="14" t="n">
        <v>1.97584261159767</v>
      </c>
      <c r="K1778" s="14" t="n">
        <v>2.34257954346348</v>
      </c>
      <c r="L1778" s="14" t="n">
        <v>2.69354504617427</v>
      </c>
      <c r="M1778" s="14" t="n">
        <v>1.569</v>
      </c>
      <c r="N1778" s="14" t="n">
        <v>1.667</v>
      </c>
      <c r="O1778" s="14" t="n">
        <v>1.8</v>
      </c>
      <c r="P1778" s="14" t="n">
        <v>2.013</v>
      </c>
      <c r="Q1778" s="14" t="n">
        <v>1.25</v>
      </c>
      <c r="R1778" s="14" t="n">
        <v>1.25</v>
      </c>
      <c r="S1778" s="14" t="n">
        <v>13.75</v>
      </c>
    </row>
    <row r="1779" customFormat="false" ht="15" hidden="false" customHeight="false" outlineLevel="0" collapsed="false">
      <c r="A1779" s="13" t="n">
        <v>44782</v>
      </c>
      <c r="B1779" s="14" t="n">
        <v>2.29</v>
      </c>
      <c r="C1779" s="14" t="n">
        <v>2.5</v>
      </c>
      <c r="D1779" s="14" t="n">
        <v>2.25</v>
      </c>
      <c r="E1779" s="14" t="n">
        <v>-0.085</v>
      </c>
      <c r="F1779" s="14" t="n">
        <v>0</v>
      </c>
      <c r="G1779" s="14" t="n">
        <v>1.75</v>
      </c>
      <c r="H1779" s="14" t="n">
        <v>1.6905</v>
      </c>
      <c r="I1779" s="14" t="n">
        <v>1.70646098539061</v>
      </c>
      <c r="J1779" s="14" t="n">
        <v>1.98959390997067</v>
      </c>
      <c r="K1779" s="14" t="n">
        <v>2.36999447755903</v>
      </c>
      <c r="L1779" s="14" t="n">
        <v>2.74458480064616</v>
      </c>
      <c r="M1779" s="14" t="n">
        <v>1.546</v>
      </c>
      <c r="N1779" s="14" t="n">
        <v>1.647</v>
      </c>
      <c r="O1779" s="14" t="n">
        <v>1.784</v>
      </c>
      <c r="P1779" s="14" t="n">
        <v>1.997</v>
      </c>
      <c r="Q1779" s="14" t="n">
        <v>1.25</v>
      </c>
      <c r="R1779" s="14" t="n">
        <v>1.25</v>
      </c>
      <c r="S1779" s="14" t="n">
        <v>13.75</v>
      </c>
    </row>
    <row r="1780" customFormat="false" ht="15" hidden="false" customHeight="false" outlineLevel="0" collapsed="false">
      <c r="A1780" s="13" t="n">
        <v>44783</v>
      </c>
      <c r="B1780" s="14" t="n">
        <v>2.28</v>
      </c>
      <c r="C1780" s="14" t="n">
        <v>2.5</v>
      </c>
      <c r="D1780" s="14" t="n">
        <v>2.25</v>
      </c>
      <c r="E1780" s="14" t="n">
        <v>-0.086</v>
      </c>
      <c r="F1780" s="14" t="n">
        <v>0</v>
      </c>
      <c r="G1780" s="14" t="n">
        <v>1.75</v>
      </c>
      <c r="H1780" s="14" t="n">
        <v>1.6898</v>
      </c>
      <c r="I1780" s="14" t="n">
        <v>1.70705806689151</v>
      </c>
      <c r="J1780" s="14" t="n">
        <v>1.99466374170617</v>
      </c>
      <c r="K1780" s="14" t="n">
        <v>2.36124369420025</v>
      </c>
      <c r="L1780" s="14" t="n">
        <v>2.71216930805309</v>
      </c>
      <c r="M1780" s="14" t="n">
        <v>1.533</v>
      </c>
      <c r="N1780" s="14" t="n">
        <v>1.637</v>
      </c>
      <c r="O1780" s="14" t="n">
        <v>1.771</v>
      </c>
      <c r="P1780" s="14" t="n">
        <v>1.988</v>
      </c>
      <c r="Q1780" s="14" t="n">
        <v>1.25</v>
      </c>
      <c r="R1780" s="14" t="n">
        <v>1.25</v>
      </c>
      <c r="S1780" s="14" t="n">
        <v>13.75</v>
      </c>
    </row>
    <row r="1781" customFormat="false" ht="15" hidden="false" customHeight="false" outlineLevel="0" collapsed="false">
      <c r="A1781" s="13" t="n">
        <v>44784</v>
      </c>
      <c r="B1781" s="14" t="n">
        <v>2.28</v>
      </c>
      <c r="C1781" s="14" t="n">
        <v>2.5</v>
      </c>
      <c r="D1781" s="14" t="n">
        <v>2.25</v>
      </c>
      <c r="E1781" s="14" t="n">
        <v>-0.085</v>
      </c>
      <c r="F1781" s="14" t="n">
        <v>0</v>
      </c>
      <c r="G1781" s="14" t="n">
        <v>1.75</v>
      </c>
      <c r="H1781" s="14" t="n">
        <v>1.6904</v>
      </c>
      <c r="I1781" s="14" t="n">
        <v>1.7094427485517</v>
      </c>
      <c r="J1781" s="14" t="n">
        <v>2.00319369324823</v>
      </c>
      <c r="K1781" s="14" t="n">
        <v>2.37974413701839</v>
      </c>
      <c r="L1781" s="14" t="n">
        <v>2.75219878985413</v>
      </c>
      <c r="M1781" s="14" t="n">
        <v>1.53</v>
      </c>
      <c r="N1781" s="14" t="n">
        <v>1.629</v>
      </c>
      <c r="O1781" s="14" t="n">
        <v>1.766</v>
      </c>
      <c r="P1781" s="14" t="n">
        <v>1.99</v>
      </c>
      <c r="Q1781" s="14" t="n">
        <v>1.25</v>
      </c>
      <c r="R1781" s="14" t="n">
        <v>1.25</v>
      </c>
      <c r="S1781" s="14" t="n">
        <v>13.75</v>
      </c>
    </row>
    <row r="1782" customFormat="false" ht="15" hidden="false" customHeight="false" outlineLevel="0" collapsed="false">
      <c r="A1782" s="13" t="n">
        <v>44785</v>
      </c>
      <c r="B1782" s="14" t="n">
        <v>2.28</v>
      </c>
      <c r="C1782" s="14" t="n">
        <v>2.5</v>
      </c>
      <c r="D1782" s="14" t="n">
        <v>2.25</v>
      </c>
      <c r="E1782" s="14" t="n">
        <v>-0.088</v>
      </c>
      <c r="F1782" s="14" t="n">
        <v>0</v>
      </c>
      <c r="G1782" s="14" t="n">
        <v>1.75</v>
      </c>
      <c r="H1782" s="14" t="n">
        <v>1.6897</v>
      </c>
      <c r="I1782" s="14" t="n">
        <v>1.71400253296319</v>
      </c>
      <c r="J1782" s="14" t="n">
        <v>2.0188968908849</v>
      </c>
      <c r="K1782" s="14" t="n">
        <v>2.41096661413807</v>
      </c>
      <c r="L1782" s="14" t="n">
        <v>2.81547047416111</v>
      </c>
      <c r="M1782" s="14" t="n">
        <v>1.513</v>
      </c>
      <c r="N1782" s="14" t="n">
        <v>1.622</v>
      </c>
      <c r="O1782" s="14" t="n">
        <v>1.763</v>
      </c>
      <c r="P1782" s="14" t="n">
        <v>1.995</v>
      </c>
      <c r="Q1782" s="14" t="n">
        <v>1.25</v>
      </c>
      <c r="R1782" s="14" t="n">
        <v>1.25</v>
      </c>
      <c r="S1782" s="14" t="n">
        <v>13.75</v>
      </c>
    </row>
    <row r="1783" customFormat="false" ht="15" hidden="false" customHeight="false" outlineLevel="0" collapsed="false">
      <c r="A1783" s="13" t="n">
        <v>44788</v>
      </c>
      <c r="B1783" s="14" t="n">
        <v>2.29</v>
      </c>
      <c r="C1783" s="14" t="n">
        <v>2.5</v>
      </c>
      <c r="D1783" s="14" t="n">
        <v>2.25</v>
      </c>
      <c r="E1783" s="14" t="n">
        <v>-0.088</v>
      </c>
      <c r="F1783" s="14" t="n">
        <v>0</v>
      </c>
      <c r="G1783" s="14" t="n">
        <v>1.75</v>
      </c>
      <c r="H1783" s="14" t="n">
        <v>1.6895</v>
      </c>
      <c r="I1783" s="14" t="n">
        <v>1.71840955542232</v>
      </c>
      <c r="J1783" s="14" t="n">
        <v>2.03735301258367</v>
      </c>
      <c r="K1783" s="14" t="n">
        <v>2.42911582495327</v>
      </c>
      <c r="L1783" s="14" t="n">
        <v>2.82527709480085</v>
      </c>
      <c r="M1783" s="14" t="n">
        <v>1.505</v>
      </c>
      <c r="N1783" s="14" t="n">
        <v>1.607</v>
      </c>
      <c r="O1783" s="14" t="n">
        <v>1.75</v>
      </c>
      <c r="P1783" s="14" t="n">
        <v>1.978</v>
      </c>
      <c r="Q1783" s="14" t="n">
        <v>1.25</v>
      </c>
      <c r="R1783" s="14" t="n">
        <v>1.25</v>
      </c>
      <c r="S1783" s="14" t="n">
        <v>13.75</v>
      </c>
    </row>
    <row r="1784" customFormat="false" ht="15" hidden="false" customHeight="false" outlineLevel="0" collapsed="false">
      <c r="A1784" s="13" t="n">
        <v>44789</v>
      </c>
      <c r="B1784" s="14" t="n">
        <v>2.29</v>
      </c>
      <c r="C1784" s="14" t="n">
        <v>2.5</v>
      </c>
      <c r="D1784" s="14" t="n">
        <v>2.25</v>
      </c>
      <c r="E1784" s="14" t="n">
        <v>-0.087</v>
      </c>
      <c r="F1784" s="14" t="n">
        <v>0</v>
      </c>
      <c r="G1784" s="14" t="n">
        <v>1.75</v>
      </c>
      <c r="H1784" s="14" t="n">
        <v>1.689</v>
      </c>
      <c r="I1784" s="14" t="n">
        <v>1.72882414471487</v>
      </c>
      <c r="J1784" s="14" t="n">
        <v>2.0622578885665</v>
      </c>
      <c r="K1784" s="14" t="n">
        <v>2.47625295195306</v>
      </c>
      <c r="L1784" s="14" t="n">
        <v>2.91214525619886</v>
      </c>
      <c r="M1784" s="14" t="n">
        <v>1.5</v>
      </c>
      <c r="N1784" s="14" t="n">
        <v>1.599</v>
      </c>
      <c r="O1784" s="14" t="n">
        <v>1.744</v>
      </c>
      <c r="P1784" s="14" t="n">
        <v>1.965</v>
      </c>
      <c r="Q1784" s="14" t="n">
        <v>1.25</v>
      </c>
      <c r="R1784" s="14" t="n">
        <v>1.25</v>
      </c>
      <c r="S1784" s="14" t="n">
        <v>13.75</v>
      </c>
    </row>
    <row r="1785" customFormat="false" ht="15" hidden="false" customHeight="false" outlineLevel="0" collapsed="false">
      <c r="A1785" s="13" t="n">
        <v>44790</v>
      </c>
      <c r="B1785" s="14" t="n">
        <v>2.29</v>
      </c>
      <c r="C1785" s="14" t="n">
        <v>2.5</v>
      </c>
      <c r="D1785" s="14" t="n">
        <v>2.25</v>
      </c>
      <c r="E1785" s="14" t="n">
        <v>-0.087</v>
      </c>
      <c r="F1785" s="14" t="n">
        <v>0</v>
      </c>
      <c r="G1785" s="14" t="n">
        <v>1.75</v>
      </c>
      <c r="H1785" s="14" t="n">
        <v>1.6907</v>
      </c>
      <c r="I1785" s="14" t="n">
        <v>1.75805299710419</v>
      </c>
      <c r="J1785" s="14" t="n">
        <v>2.16140245927101</v>
      </c>
      <c r="K1785" s="14" t="n">
        <v>2.65250667924618</v>
      </c>
      <c r="L1785" s="14" t="n">
        <v>3.17280035829545</v>
      </c>
      <c r="M1785" s="14" t="n">
        <v>1.498</v>
      </c>
      <c r="N1785" s="14" t="n">
        <v>1.598</v>
      </c>
      <c r="O1785" s="14" t="n">
        <v>1.742</v>
      </c>
      <c r="P1785" s="14" t="n">
        <v>1.964</v>
      </c>
      <c r="Q1785" s="14" t="n">
        <v>1.25</v>
      </c>
      <c r="R1785" s="14" t="n">
        <v>1.25</v>
      </c>
      <c r="S1785" s="14" t="n">
        <v>13.75</v>
      </c>
    </row>
    <row r="1786" customFormat="false" ht="15" hidden="false" customHeight="false" outlineLevel="0" collapsed="false">
      <c r="A1786" s="13" t="n">
        <v>44791</v>
      </c>
      <c r="B1786" s="14" t="n">
        <v>2.28</v>
      </c>
      <c r="C1786" s="14" t="n">
        <v>2.5</v>
      </c>
      <c r="D1786" s="14" t="n">
        <v>2.25</v>
      </c>
      <c r="E1786" s="14" t="n">
        <v>-0.084</v>
      </c>
      <c r="F1786" s="14" t="n">
        <v>0</v>
      </c>
      <c r="G1786" s="14" t="n">
        <v>1.75</v>
      </c>
      <c r="H1786" s="14" t="n">
        <v>1.6905</v>
      </c>
      <c r="I1786" s="14" t="n">
        <v>1.76645521985166</v>
      </c>
      <c r="J1786" s="14" t="n">
        <v>2.17475936088709</v>
      </c>
      <c r="K1786" s="14" t="n">
        <v>2.66464579363264</v>
      </c>
      <c r="L1786" s="14" t="n">
        <v>3.19719039603273</v>
      </c>
      <c r="M1786" s="14" t="n">
        <v>1.491</v>
      </c>
      <c r="N1786" s="14" t="n">
        <v>1.598</v>
      </c>
      <c r="O1786" s="14" t="n">
        <v>1.743</v>
      </c>
      <c r="P1786" s="14" t="n">
        <v>1.961</v>
      </c>
      <c r="Q1786" s="14" t="n">
        <v>1.25</v>
      </c>
      <c r="R1786" s="14" t="n">
        <v>1.25</v>
      </c>
      <c r="S1786" s="14" t="n">
        <v>13.75</v>
      </c>
    </row>
    <row r="1787" customFormat="false" ht="15" hidden="false" customHeight="false" outlineLevel="0" collapsed="false">
      <c r="A1787" s="13" t="n">
        <v>44792</v>
      </c>
      <c r="B1787" s="14" t="n">
        <v>2.28</v>
      </c>
      <c r="C1787" s="14" t="n">
        <v>2.5</v>
      </c>
      <c r="D1787" s="14" t="n">
        <v>2.25</v>
      </c>
      <c r="E1787" s="14" t="n">
        <v>-0.084</v>
      </c>
      <c r="F1787" s="14" t="n">
        <v>0</v>
      </c>
      <c r="G1787" s="14" t="n">
        <v>1.75</v>
      </c>
      <c r="H1787" s="14" t="n">
        <v>1.6901</v>
      </c>
      <c r="I1787" s="14" t="n">
        <v>1.76892777586827</v>
      </c>
      <c r="J1787" s="14" t="n">
        <v>2.17771499119816</v>
      </c>
      <c r="K1787" s="14" t="n">
        <v>2.67432267687342</v>
      </c>
      <c r="L1787" s="14" t="n">
        <v>3.22335328094061</v>
      </c>
      <c r="M1787" s="14" t="n">
        <v>1.492</v>
      </c>
      <c r="N1787" s="14" t="n">
        <v>1.597</v>
      </c>
      <c r="O1787" s="14" t="n">
        <v>1.741</v>
      </c>
      <c r="P1787" s="14" t="n">
        <v>1.961</v>
      </c>
      <c r="Q1787" s="14" t="n">
        <v>1.75</v>
      </c>
      <c r="R1787" s="14" t="n">
        <v>1.75</v>
      </c>
      <c r="S1787" s="14" t="n">
        <v>13.75</v>
      </c>
    </row>
    <row r="1788" customFormat="false" ht="15" hidden="false" customHeight="false" outlineLevel="0" collapsed="false">
      <c r="A1788" s="13" t="n">
        <v>44795</v>
      </c>
      <c r="B1788" s="14" t="n">
        <v>2.28</v>
      </c>
      <c r="C1788" s="14" t="n">
        <v>2.5</v>
      </c>
      <c r="D1788" s="14" t="n">
        <v>2.25</v>
      </c>
      <c r="E1788" s="14" t="n">
        <v>-0.082</v>
      </c>
      <c r="F1788" s="14" t="n">
        <v>0</v>
      </c>
      <c r="G1788" s="14" t="n">
        <v>1.75</v>
      </c>
      <c r="H1788" s="14" t="n">
        <v>1.69</v>
      </c>
      <c r="I1788" s="14" t="n">
        <v>1.80369622448224</v>
      </c>
      <c r="J1788" s="14" t="n">
        <v>2.2369844521119</v>
      </c>
      <c r="K1788" s="14" t="n">
        <v>2.75345505235898</v>
      </c>
      <c r="L1788" s="14" t="n">
        <v>3.33567124593165</v>
      </c>
      <c r="M1788" s="14" t="n">
        <v>1.4911</v>
      </c>
      <c r="N1788" s="14" t="n">
        <v>1.5956</v>
      </c>
      <c r="O1788" s="14" t="n">
        <v>1.7367</v>
      </c>
      <c r="P1788" s="14" t="n">
        <v>1.96</v>
      </c>
      <c r="Q1788" s="14" t="n">
        <v>1.75</v>
      </c>
      <c r="R1788" s="14" t="n">
        <v>1.75</v>
      </c>
      <c r="S1788" s="14" t="n">
        <v>13.75</v>
      </c>
    </row>
    <row r="1789" customFormat="false" ht="15" hidden="false" customHeight="false" outlineLevel="0" collapsed="false">
      <c r="A1789" s="13" t="n">
        <v>44796</v>
      </c>
      <c r="B1789" s="14" t="n">
        <v>2.27</v>
      </c>
      <c r="C1789" s="14" t="n">
        <v>2.5</v>
      </c>
      <c r="D1789" s="14" t="n">
        <v>2.25</v>
      </c>
      <c r="E1789" s="14" t="n">
        <v>-0.08</v>
      </c>
      <c r="F1789" s="14" t="n">
        <v>0</v>
      </c>
      <c r="G1789" s="14" t="n">
        <v>1.75</v>
      </c>
      <c r="H1789" s="14" t="n">
        <v>1.6907</v>
      </c>
      <c r="I1789" s="14" t="n">
        <v>1.80844530309401</v>
      </c>
      <c r="J1789" s="14" t="n">
        <v>2.24441372988911</v>
      </c>
      <c r="K1789" s="14" t="n">
        <v>2.77571287987494</v>
      </c>
      <c r="L1789" s="14" t="n">
        <v>3.40453118038203</v>
      </c>
      <c r="M1789" s="14" t="n">
        <v>1.491</v>
      </c>
      <c r="N1789" s="14" t="n">
        <v>1.594</v>
      </c>
      <c r="O1789" s="14" t="n">
        <v>1.736</v>
      </c>
      <c r="P1789" s="14" t="n">
        <v>1.959</v>
      </c>
      <c r="Q1789" s="14" t="n">
        <v>1.75</v>
      </c>
      <c r="R1789" s="14" t="n">
        <v>1.75</v>
      </c>
      <c r="S1789" s="14" t="n">
        <v>13.75</v>
      </c>
    </row>
    <row r="1790" customFormat="false" ht="15" hidden="false" customHeight="false" outlineLevel="0" collapsed="false">
      <c r="A1790" s="13" t="n">
        <v>44797</v>
      </c>
      <c r="B1790" s="14" t="n">
        <v>2.27</v>
      </c>
      <c r="C1790" s="14" t="n">
        <v>2.5</v>
      </c>
      <c r="D1790" s="14" t="n">
        <v>2.25</v>
      </c>
      <c r="E1790" s="14" t="n">
        <v>-0.082</v>
      </c>
      <c r="F1790" s="14" t="n">
        <v>0</v>
      </c>
      <c r="G1790" s="14" t="n">
        <v>1.75</v>
      </c>
      <c r="H1790" s="14" t="n">
        <v>1.6905</v>
      </c>
      <c r="I1790" s="14" t="n">
        <v>1.83124846248243</v>
      </c>
      <c r="J1790" s="14" t="n">
        <v>2.27714382649707</v>
      </c>
      <c r="K1790" s="14" t="n">
        <v>2.8307326142672</v>
      </c>
      <c r="L1790" s="14" t="n">
        <v>3.52023557711414</v>
      </c>
      <c r="M1790" s="14" t="n">
        <v>1.49</v>
      </c>
      <c r="N1790" s="14" t="n">
        <v>1.593</v>
      </c>
      <c r="O1790" s="14" t="n">
        <v>1.737</v>
      </c>
      <c r="P1790" s="14" t="n">
        <v>1.96</v>
      </c>
      <c r="Q1790" s="14" t="n">
        <v>1.75</v>
      </c>
      <c r="R1790" s="14" t="n">
        <v>1.75</v>
      </c>
      <c r="S1790" s="14" t="n">
        <v>13.75</v>
      </c>
    </row>
    <row r="1791" customFormat="false" ht="15" hidden="false" customHeight="false" outlineLevel="0" collapsed="false">
      <c r="A1791" s="13" t="n">
        <v>44798</v>
      </c>
      <c r="B1791" s="14" t="n">
        <v>2.28</v>
      </c>
      <c r="C1791" s="14" t="n">
        <v>2.5</v>
      </c>
      <c r="D1791" s="14" t="n">
        <v>2.25</v>
      </c>
      <c r="E1791" s="14" t="n">
        <v>-0.08</v>
      </c>
      <c r="F1791" s="14" t="n">
        <v>0</v>
      </c>
      <c r="G1791" s="14" t="n">
        <v>1.75</v>
      </c>
      <c r="H1791" s="14" t="n">
        <v>1.6901</v>
      </c>
      <c r="I1791" s="14" t="n">
        <v>1.82235637411815</v>
      </c>
      <c r="J1791" s="14" t="n">
        <v>2.25318213059673</v>
      </c>
      <c r="K1791" s="14" t="n">
        <v>2.79930428507643</v>
      </c>
      <c r="L1791" s="14" t="n">
        <v>3.46328884642145</v>
      </c>
      <c r="M1791" s="14" t="n">
        <v>1.49</v>
      </c>
      <c r="N1791" s="14" t="n">
        <v>1.593</v>
      </c>
      <c r="O1791" s="14" t="n">
        <v>1.739</v>
      </c>
      <c r="P1791" s="14" t="n">
        <v>1.963</v>
      </c>
      <c r="Q1791" s="14" t="n">
        <v>1.75</v>
      </c>
      <c r="R1791" s="14" t="n">
        <v>1.75</v>
      </c>
      <c r="S1791" s="14" t="n">
        <v>13.75</v>
      </c>
    </row>
    <row r="1792" customFormat="false" ht="15" hidden="false" customHeight="false" outlineLevel="0" collapsed="false">
      <c r="A1792" s="13" t="n">
        <v>44799</v>
      </c>
      <c r="B1792" s="14" t="n">
        <v>2.28</v>
      </c>
      <c r="C1792" s="14" t="n">
        <v>2.5</v>
      </c>
      <c r="D1792" s="14" t="n">
        <v>2.25</v>
      </c>
      <c r="E1792" s="14" t="n">
        <v>-0.08</v>
      </c>
      <c r="F1792" s="14" t="n">
        <v>0</v>
      </c>
      <c r="G1792" s="14" t="n">
        <v>1.75</v>
      </c>
      <c r="H1792" s="14" t="n">
        <v>1.6904</v>
      </c>
      <c r="I1792" s="14" t="n">
        <v>1.85753520376881</v>
      </c>
      <c r="J1792" s="14" t="n">
        <v>2.30076715981345</v>
      </c>
      <c r="K1792" s="14" t="n">
        <v>2.83469110110498</v>
      </c>
      <c r="L1792" s="14" t="n">
        <v>3.47406165471278</v>
      </c>
      <c r="M1792" s="14" t="n">
        <v>1.495</v>
      </c>
      <c r="N1792" s="14" t="n">
        <v>1.594</v>
      </c>
      <c r="O1792" s="14" t="n">
        <v>1.744</v>
      </c>
      <c r="P1792" s="14" t="n">
        <v>1.969</v>
      </c>
      <c r="Q1792" s="14" t="n">
        <v>1.75</v>
      </c>
      <c r="R1792" s="14" t="n">
        <v>1.75</v>
      </c>
      <c r="S1792" s="14" t="n">
        <v>13.75</v>
      </c>
    </row>
    <row r="1793" customFormat="false" ht="15" hidden="false" customHeight="false" outlineLevel="0" collapsed="false">
      <c r="A1793" s="13" t="n">
        <v>44802</v>
      </c>
      <c r="B1793" s="14" t="n">
        <v>2.28</v>
      </c>
      <c r="C1793" s="14" t="n">
        <v>2.5</v>
      </c>
      <c r="D1793" s="14" t="n">
        <v>2.25</v>
      </c>
      <c r="E1793" s="14" t="n">
        <v>-0.081</v>
      </c>
      <c r="F1793" s="14" t="n">
        <v>0</v>
      </c>
      <c r="M1793" s="14" t="n">
        <v>1.498</v>
      </c>
      <c r="N1793" s="14" t="n">
        <v>1.596</v>
      </c>
      <c r="O1793" s="14" t="n">
        <v>1.747</v>
      </c>
      <c r="P1793" s="14" t="n">
        <v>1.973</v>
      </c>
      <c r="Q1793" s="14" t="n">
        <v>1.75</v>
      </c>
      <c r="R1793" s="14" t="n">
        <v>1.75</v>
      </c>
      <c r="S1793" s="14" t="n">
        <v>13.75</v>
      </c>
    </row>
    <row r="1794" customFormat="false" ht="15" hidden="false" customHeight="false" outlineLevel="0" collapsed="false">
      <c r="A1794" s="13" t="n">
        <v>44803</v>
      </c>
      <c r="B1794" s="14" t="n">
        <v>2.29</v>
      </c>
      <c r="C1794" s="14" t="n">
        <v>2.5</v>
      </c>
      <c r="D1794" s="14" t="n">
        <v>2.25</v>
      </c>
      <c r="E1794" s="14" t="n">
        <v>-0.084</v>
      </c>
      <c r="F1794" s="14" t="n">
        <v>0</v>
      </c>
      <c r="G1794" s="14" t="n">
        <v>1.75</v>
      </c>
      <c r="H1794" s="14" t="n">
        <v>1.6905</v>
      </c>
      <c r="I1794" s="14" t="n">
        <v>1.94598284686469</v>
      </c>
      <c r="J1794" s="14" t="n">
        <v>2.38498429950003</v>
      </c>
      <c r="K1794" s="14" t="n">
        <v>2.92225361030669</v>
      </c>
      <c r="L1794" s="14" t="n">
        <v>3.56451535947592</v>
      </c>
      <c r="M1794" s="14" t="n">
        <v>1.5</v>
      </c>
      <c r="N1794" s="14" t="n">
        <v>1.599</v>
      </c>
      <c r="O1794" s="14" t="n">
        <v>1.75</v>
      </c>
      <c r="P1794" s="14" t="n">
        <v>1.973</v>
      </c>
      <c r="Q1794" s="14" t="n">
        <v>1.75</v>
      </c>
      <c r="R1794" s="14" t="n">
        <v>1.75</v>
      </c>
      <c r="S1794" s="14" t="n">
        <v>13.75</v>
      </c>
    </row>
    <row r="1795" customFormat="false" ht="15" hidden="false" customHeight="false" outlineLevel="0" collapsed="false">
      <c r="A1795" s="13" t="n">
        <v>44804</v>
      </c>
      <c r="B1795" s="14" t="n">
        <v>2.29</v>
      </c>
      <c r="C1795" s="14" t="n">
        <v>2.5</v>
      </c>
      <c r="D1795" s="14" t="n">
        <v>2.25</v>
      </c>
      <c r="E1795" s="14" t="n">
        <v>-0.091</v>
      </c>
      <c r="F1795" s="14" t="n">
        <v>0</v>
      </c>
      <c r="G1795" s="14" t="n">
        <v>1.75</v>
      </c>
      <c r="H1795" s="14" t="n">
        <v>1.6896</v>
      </c>
      <c r="I1795" s="14" t="n">
        <v>1.96886219614658</v>
      </c>
      <c r="J1795" s="14" t="n">
        <v>2.40213998190045</v>
      </c>
      <c r="K1795" s="14" t="n">
        <v>2.9484141162685</v>
      </c>
      <c r="L1795" s="14" t="n">
        <v>3.60195034686692</v>
      </c>
      <c r="M1795" s="14" t="n">
        <v>1.501</v>
      </c>
      <c r="N1795" s="14" t="n">
        <v>1.6</v>
      </c>
      <c r="O1795" s="14" t="n">
        <v>1.75</v>
      </c>
      <c r="P1795" s="14" t="n">
        <v>1.974</v>
      </c>
      <c r="Q1795" s="14" t="n">
        <v>1.75</v>
      </c>
      <c r="R1795" s="14" t="n">
        <v>1.75</v>
      </c>
      <c r="S1795" s="14" t="n">
        <v>13.75</v>
      </c>
    </row>
    <row r="1796" customFormat="false" ht="15" hidden="false" customHeight="false" outlineLevel="0" collapsed="false">
      <c r="A1796" s="13" t="n">
        <v>44805</v>
      </c>
      <c r="B1796" s="14" t="n">
        <v>2.29</v>
      </c>
      <c r="C1796" s="14" t="n">
        <v>2.5</v>
      </c>
      <c r="D1796" s="14" t="n">
        <v>2.25</v>
      </c>
      <c r="E1796" s="14" t="n">
        <v>-0.084</v>
      </c>
      <c r="F1796" s="14" t="n">
        <v>0</v>
      </c>
      <c r="G1796" s="14" t="n">
        <v>1.75</v>
      </c>
      <c r="H1796" s="14" t="n">
        <v>1.6902</v>
      </c>
      <c r="I1796" s="14" t="n">
        <v>2.00375055420499</v>
      </c>
      <c r="J1796" s="14" t="n">
        <v>2.46018112311568</v>
      </c>
      <c r="K1796" s="14" t="n">
        <v>3.02172740389162</v>
      </c>
      <c r="L1796" s="14" t="n">
        <v>3.66821034589315</v>
      </c>
      <c r="M1796" s="14" t="n">
        <v>1.5</v>
      </c>
      <c r="N1796" s="14" t="n">
        <v>1.6</v>
      </c>
      <c r="O1796" s="14" t="n">
        <v>1.75</v>
      </c>
      <c r="P1796" s="14" t="n">
        <v>1.972</v>
      </c>
      <c r="Q1796" s="14" t="n">
        <v>1.75</v>
      </c>
      <c r="R1796" s="14" t="n">
        <v>1.75</v>
      </c>
      <c r="S1796" s="14" t="n">
        <v>13.75</v>
      </c>
    </row>
    <row r="1797" customFormat="false" ht="15" hidden="false" customHeight="false" outlineLevel="0" collapsed="false">
      <c r="A1797" s="13" t="n">
        <v>44806</v>
      </c>
      <c r="B1797" s="14" t="n">
        <v>2.29</v>
      </c>
      <c r="C1797" s="14" t="n">
        <v>2.5</v>
      </c>
      <c r="D1797" s="14" t="n">
        <v>2.25</v>
      </c>
      <c r="E1797" s="14" t="n">
        <v>-0.083</v>
      </c>
      <c r="F1797" s="14" t="n">
        <v>0</v>
      </c>
      <c r="G1797" s="14" t="n">
        <v>1.75</v>
      </c>
      <c r="H1797" s="14" t="n">
        <v>1.6911</v>
      </c>
      <c r="I1797" s="14" t="n">
        <v>2.02973681720775</v>
      </c>
      <c r="J1797" s="14" t="n">
        <v>2.46848518083677</v>
      </c>
      <c r="K1797" s="14" t="n">
        <v>3.01179973613196</v>
      </c>
      <c r="L1797" s="14" t="n">
        <v>3.63783423206231</v>
      </c>
      <c r="M1797" s="14" t="n">
        <v>1.5</v>
      </c>
      <c r="N1797" s="14" t="n">
        <v>1.6</v>
      </c>
      <c r="O1797" s="14" t="n">
        <v>1.75</v>
      </c>
      <c r="P1797" s="14" t="n">
        <v>1.97</v>
      </c>
      <c r="Q1797" s="14" t="n">
        <v>1.75</v>
      </c>
      <c r="R1797" s="14" t="n">
        <v>1.75</v>
      </c>
      <c r="S1797" s="14" t="n">
        <v>13.75</v>
      </c>
    </row>
    <row r="1798" customFormat="false" ht="15" hidden="false" customHeight="false" outlineLevel="0" collapsed="false">
      <c r="A1798" s="13" t="n">
        <v>44809</v>
      </c>
      <c r="C1798" s="14" t="n">
        <v>2.5</v>
      </c>
      <c r="D1798" s="14" t="n">
        <v>2.25</v>
      </c>
      <c r="E1798" s="14" t="n">
        <v>-0.087</v>
      </c>
      <c r="F1798" s="14" t="n">
        <v>0</v>
      </c>
      <c r="G1798" s="14" t="n">
        <v>1.75</v>
      </c>
      <c r="H1798" s="14" t="n">
        <v>1.6907</v>
      </c>
      <c r="I1798" s="14" t="n">
        <v>2.14615572021351</v>
      </c>
      <c r="J1798" s="14" t="n">
        <v>2.57918821694371</v>
      </c>
      <c r="K1798" s="14" t="n">
        <v>3.12999423214455</v>
      </c>
      <c r="L1798" s="14" t="n">
        <v>3.75792861955862</v>
      </c>
      <c r="M1798" s="14" t="n">
        <v>1.5</v>
      </c>
      <c r="N1798" s="14" t="n">
        <v>1.6</v>
      </c>
      <c r="O1798" s="14" t="n">
        <v>1.75</v>
      </c>
      <c r="P1798" s="14" t="n">
        <v>1.971</v>
      </c>
      <c r="Q1798" s="14" t="n">
        <v>1.75</v>
      </c>
      <c r="R1798" s="14" t="n">
        <v>1.75</v>
      </c>
      <c r="S1798" s="14" t="n">
        <v>13.75</v>
      </c>
    </row>
    <row r="1799" customFormat="false" ht="15" hidden="false" customHeight="false" outlineLevel="0" collapsed="false">
      <c r="A1799" s="13" t="n">
        <v>44810</v>
      </c>
      <c r="B1799" s="14" t="n">
        <v>2.29</v>
      </c>
      <c r="C1799" s="14" t="n">
        <v>2.5</v>
      </c>
      <c r="D1799" s="14" t="n">
        <v>2.25</v>
      </c>
      <c r="E1799" s="14" t="n">
        <v>-0.085</v>
      </c>
      <c r="F1799" s="14" t="n">
        <v>0</v>
      </c>
      <c r="G1799" s="14" t="n">
        <v>1.75</v>
      </c>
      <c r="H1799" s="14" t="n">
        <v>1.6913</v>
      </c>
      <c r="I1799" s="14" t="n">
        <v>2.13839404973735</v>
      </c>
      <c r="J1799" s="14" t="n">
        <v>2.557009918574</v>
      </c>
      <c r="K1799" s="14" t="n">
        <v>3.11702873591063</v>
      </c>
      <c r="L1799" s="14" t="n">
        <v>3.74864793727898</v>
      </c>
      <c r="M1799" s="14" t="n">
        <v>1.5</v>
      </c>
      <c r="N1799" s="14" t="n">
        <v>1.6</v>
      </c>
      <c r="O1799" s="14" t="n">
        <v>1.75</v>
      </c>
      <c r="P1799" s="14" t="n">
        <v>1.971</v>
      </c>
      <c r="Q1799" s="14" t="n">
        <v>1.75</v>
      </c>
      <c r="R1799" s="14" t="n">
        <v>1.75</v>
      </c>
      <c r="S1799" s="14" t="n">
        <v>13.75</v>
      </c>
    </row>
    <row r="1800" customFormat="false" ht="15" hidden="false" customHeight="false" outlineLevel="0" collapsed="false">
      <c r="A1800" s="13" t="n">
        <v>44811</v>
      </c>
      <c r="B1800" s="14" t="n">
        <v>2.28</v>
      </c>
      <c r="C1800" s="14" t="n">
        <v>2.5</v>
      </c>
      <c r="D1800" s="14" t="n">
        <v>2.25</v>
      </c>
      <c r="E1800" s="14" t="n">
        <v>-0.076</v>
      </c>
      <c r="F1800" s="14" t="n">
        <v>0</v>
      </c>
      <c r="G1800" s="14" t="n">
        <v>1.75</v>
      </c>
      <c r="H1800" s="14" t="n">
        <v>1.6907</v>
      </c>
      <c r="I1800" s="14" t="n">
        <v>2.12992795888403</v>
      </c>
      <c r="J1800" s="14" t="n">
        <v>2.53304487062659</v>
      </c>
      <c r="K1800" s="14" t="n">
        <v>3.07132873062038</v>
      </c>
      <c r="L1800" s="14" t="n">
        <v>3.65183329861864</v>
      </c>
      <c r="M1800" s="14" t="n">
        <v>1.5</v>
      </c>
      <c r="N1800" s="14" t="n">
        <v>1.6</v>
      </c>
      <c r="O1800" s="14" t="n">
        <v>1.75</v>
      </c>
      <c r="P1800" s="14" t="n">
        <v>1.971</v>
      </c>
      <c r="Q1800" s="14" t="n">
        <v>1.75</v>
      </c>
      <c r="R1800" s="14" t="n">
        <v>1.75</v>
      </c>
      <c r="S1800" s="14" t="n">
        <v>13.75</v>
      </c>
    </row>
    <row r="1801" customFormat="false" ht="15" hidden="false" customHeight="false" outlineLevel="0" collapsed="false">
      <c r="A1801" s="13" t="n">
        <v>44812</v>
      </c>
      <c r="B1801" s="14" t="n">
        <v>2.28</v>
      </c>
      <c r="C1801" s="14" t="n">
        <v>2.5</v>
      </c>
      <c r="D1801" s="14" t="n">
        <v>2.25</v>
      </c>
      <c r="E1801" s="14" t="n">
        <v>-0.086</v>
      </c>
      <c r="F1801" s="14" t="n">
        <v>0</v>
      </c>
      <c r="G1801" s="14" t="n">
        <v>1.75</v>
      </c>
      <c r="H1801" s="14" t="n">
        <v>1.6903</v>
      </c>
      <c r="I1801" s="14" t="n">
        <v>2.16232612326245</v>
      </c>
      <c r="J1801" s="14" t="n">
        <v>2.5649357132147</v>
      </c>
      <c r="K1801" s="14" t="n">
        <v>3.09643335958409</v>
      </c>
      <c r="L1801" s="14" t="n">
        <v>3.66749029788433</v>
      </c>
      <c r="M1801" s="14" t="n">
        <v>1.501</v>
      </c>
      <c r="N1801" s="14" t="n">
        <v>1.601</v>
      </c>
      <c r="O1801" s="14" t="n">
        <v>1.75</v>
      </c>
      <c r="P1801" s="14" t="n">
        <v>1.971</v>
      </c>
      <c r="Q1801" s="14" t="n">
        <v>1.75</v>
      </c>
      <c r="R1801" s="14" t="n">
        <v>1.75</v>
      </c>
      <c r="S1801" s="14" t="n">
        <v>13.75</v>
      </c>
    </row>
    <row r="1802" customFormat="false" ht="15" hidden="false" customHeight="false" outlineLevel="0" collapsed="false">
      <c r="A1802" s="13" t="n">
        <v>44813</v>
      </c>
      <c r="B1802" s="14" t="n">
        <v>2.28</v>
      </c>
      <c r="C1802" s="14" t="n">
        <v>2.5</v>
      </c>
      <c r="D1802" s="14" t="n">
        <v>2.25</v>
      </c>
      <c r="E1802" s="14" t="n">
        <v>-0.085</v>
      </c>
      <c r="F1802" s="14" t="n">
        <v>0</v>
      </c>
      <c r="G1802" s="14" t="n">
        <v>1.75</v>
      </c>
      <c r="H1802" s="14" t="n">
        <v>1.6919</v>
      </c>
      <c r="I1802" s="14" t="n">
        <v>2.05312781937662</v>
      </c>
      <c r="J1802" s="14" t="n">
        <v>2.54596862246317</v>
      </c>
      <c r="K1802" s="14" t="n">
        <v>3.09949693781251</v>
      </c>
      <c r="L1802" s="14" t="n">
        <v>3.66914980250183</v>
      </c>
      <c r="M1802" s="14" t="n">
        <v>1.503</v>
      </c>
      <c r="N1802" s="14" t="n">
        <v>1.6</v>
      </c>
      <c r="O1802" s="14" t="n">
        <v>1.75</v>
      </c>
      <c r="P1802" s="14" t="n">
        <v>1.969</v>
      </c>
      <c r="Q1802" s="14" t="n">
        <v>1.75</v>
      </c>
      <c r="R1802" s="14" t="n">
        <v>1.75</v>
      </c>
      <c r="S1802" s="14" t="n">
        <v>13.75</v>
      </c>
    </row>
    <row r="1803" customFormat="false" ht="15" hidden="false" customHeight="false" outlineLevel="0" collapsed="false">
      <c r="A1803" s="13" t="n">
        <v>44816</v>
      </c>
      <c r="B1803" s="14" t="n">
        <v>2.28</v>
      </c>
      <c r="C1803" s="14" t="n">
        <v>2.5</v>
      </c>
      <c r="D1803" s="14" t="n">
        <v>2.25</v>
      </c>
      <c r="E1803" s="14" t="n">
        <v>-0.086</v>
      </c>
      <c r="F1803" s="14" t="n">
        <v>0</v>
      </c>
      <c r="G1803" s="14" t="n">
        <v>1.75</v>
      </c>
      <c r="H1803" s="14" t="n">
        <v>1.6911</v>
      </c>
      <c r="I1803" s="14" t="n">
        <v>2.12515809236866</v>
      </c>
      <c r="J1803" s="14" t="n">
        <v>2.58555744507024</v>
      </c>
      <c r="K1803" s="14" t="n">
        <v>3.12716144411154</v>
      </c>
      <c r="L1803" s="14" t="n">
        <v>3.67885903233531</v>
      </c>
      <c r="Q1803" s="14" t="n">
        <v>1.75</v>
      </c>
      <c r="R1803" s="14" t="n">
        <v>1.75</v>
      </c>
      <c r="S1803" s="14" t="n">
        <v>13.75</v>
      </c>
    </row>
    <row r="1804" customFormat="false" ht="15" hidden="false" customHeight="false" outlineLevel="0" collapsed="false">
      <c r="A1804" s="13" t="n">
        <v>44817</v>
      </c>
      <c r="B1804" s="14" t="n">
        <v>2.28</v>
      </c>
      <c r="C1804" s="14" t="n">
        <v>2.5</v>
      </c>
      <c r="D1804" s="14" t="n">
        <v>2.25</v>
      </c>
      <c r="E1804" s="14" t="n">
        <v>-0.083</v>
      </c>
      <c r="F1804" s="14" t="n">
        <v>0</v>
      </c>
      <c r="G1804" s="14" t="n">
        <v>1.75</v>
      </c>
      <c r="H1804" s="14" t="n">
        <v>1.6911</v>
      </c>
      <c r="I1804" s="14" t="n">
        <v>2.16254539352355</v>
      </c>
      <c r="J1804" s="14" t="n">
        <v>2.6393195094217</v>
      </c>
      <c r="K1804" s="14" t="n">
        <v>3.21854909713298</v>
      </c>
      <c r="L1804" s="14" t="n">
        <v>3.80363344850296</v>
      </c>
      <c r="M1804" s="14" t="n">
        <v>1.502</v>
      </c>
      <c r="N1804" s="14" t="n">
        <v>1.599</v>
      </c>
      <c r="O1804" s="14" t="n">
        <v>1.751</v>
      </c>
      <c r="P1804" s="14" t="n">
        <v>1.972</v>
      </c>
      <c r="Q1804" s="14" t="n">
        <v>1.75</v>
      </c>
      <c r="R1804" s="14" t="n">
        <v>1.75</v>
      </c>
      <c r="S1804" s="14" t="n">
        <v>13.75</v>
      </c>
    </row>
    <row r="1805" customFormat="false" ht="15" hidden="false" customHeight="false" outlineLevel="0" collapsed="false">
      <c r="A1805" s="13" t="n">
        <v>44818</v>
      </c>
      <c r="B1805" s="14" t="n">
        <v>2.27</v>
      </c>
      <c r="C1805" s="14" t="n">
        <v>2.5</v>
      </c>
      <c r="D1805" s="14" t="n">
        <v>2.25</v>
      </c>
      <c r="E1805" s="14" t="n">
        <v>0.662</v>
      </c>
      <c r="F1805" s="14" t="n">
        <v>0.75</v>
      </c>
      <c r="G1805" s="14" t="n">
        <v>1.75</v>
      </c>
      <c r="H1805" s="14" t="n">
        <v>1.6914</v>
      </c>
      <c r="I1805" s="14" t="n">
        <v>2.19121872460256</v>
      </c>
      <c r="J1805" s="14" t="n">
        <v>2.65585102117364</v>
      </c>
      <c r="K1805" s="14" t="n">
        <v>3.22493146196471</v>
      </c>
      <c r="L1805" s="14" t="n">
        <v>3.80107223278776</v>
      </c>
      <c r="M1805" s="14" t="n">
        <v>1.508</v>
      </c>
      <c r="N1805" s="14" t="n">
        <v>1.599</v>
      </c>
      <c r="O1805" s="14" t="n">
        <v>1.752</v>
      </c>
      <c r="P1805" s="14" t="n">
        <v>1.974</v>
      </c>
      <c r="Q1805" s="14" t="n">
        <v>1.75</v>
      </c>
      <c r="R1805" s="14" t="n">
        <v>1.75</v>
      </c>
      <c r="S1805" s="14" t="n">
        <v>13.75</v>
      </c>
    </row>
    <row r="1806" customFormat="false" ht="15" hidden="false" customHeight="false" outlineLevel="0" collapsed="false">
      <c r="A1806" s="13" t="n">
        <v>44819</v>
      </c>
      <c r="B1806" s="14" t="n">
        <v>2.28</v>
      </c>
      <c r="C1806" s="14" t="n">
        <v>2.5</v>
      </c>
      <c r="D1806" s="14" t="n">
        <v>2.25</v>
      </c>
      <c r="E1806" s="14" t="n">
        <v>0.66</v>
      </c>
      <c r="F1806" s="14" t="n">
        <v>0.75</v>
      </c>
      <c r="G1806" s="14" t="n">
        <v>1.75</v>
      </c>
      <c r="H1806" s="14" t="n">
        <v>1.691</v>
      </c>
      <c r="I1806" s="14" t="n">
        <v>2.18851045359557</v>
      </c>
      <c r="J1806" s="14" t="n">
        <v>2.64267059606557</v>
      </c>
      <c r="K1806" s="14" t="n">
        <v>3.22991112095592</v>
      </c>
      <c r="L1806" s="14" t="n">
        <v>3.83829094652281</v>
      </c>
      <c r="M1806" s="14" t="n">
        <v>1.508</v>
      </c>
      <c r="N1806" s="14" t="n">
        <v>1.599</v>
      </c>
      <c r="O1806" s="14" t="n">
        <v>1.751</v>
      </c>
      <c r="P1806" s="14" t="n">
        <v>1.974</v>
      </c>
      <c r="Q1806" s="14" t="n">
        <v>1.75</v>
      </c>
      <c r="R1806" s="14" t="n">
        <v>1.75</v>
      </c>
      <c r="S1806" s="14" t="n">
        <v>13.75</v>
      </c>
    </row>
    <row r="1807" customFormat="false" ht="15" hidden="false" customHeight="false" outlineLevel="0" collapsed="false">
      <c r="A1807" s="13" t="n">
        <v>44820</v>
      </c>
      <c r="B1807" s="14" t="n">
        <v>2.27</v>
      </c>
      <c r="C1807" s="14" t="n">
        <v>2.5</v>
      </c>
      <c r="D1807" s="14" t="n">
        <v>2.25</v>
      </c>
      <c r="E1807" s="14" t="n">
        <v>0.66</v>
      </c>
      <c r="F1807" s="14" t="n">
        <v>0.75</v>
      </c>
      <c r="G1807" s="14" t="n">
        <v>1.75</v>
      </c>
      <c r="H1807" s="14" t="n">
        <v>1.6906</v>
      </c>
      <c r="I1807" s="14" t="n">
        <v>2.19186230695897</v>
      </c>
      <c r="J1807" s="14" t="n">
        <v>2.63777216318022</v>
      </c>
      <c r="K1807" s="14" t="n">
        <v>3.21856413571972</v>
      </c>
      <c r="L1807" s="14" t="n">
        <v>3.83414925574608</v>
      </c>
      <c r="M1807" s="14" t="n">
        <v>1.511</v>
      </c>
      <c r="N1807" s="14" t="n">
        <v>1.599</v>
      </c>
      <c r="O1807" s="14" t="n">
        <v>1.752</v>
      </c>
      <c r="P1807" s="14" t="n">
        <v>1.977</v>
      </c>
      <c r="Q1807" s="14" t="n">
        <v>1.75</v>
      </c>
      <c r="R1807" s="14" t="n">
        <v>1.75</v>
      </c>
      <c r="S1807" s="14" t="n">
        <v>13.75</v>
      </c>
    </row>
    <row r="1808" customFormat="false" ht="15" hidden="false" customHeight="false" outlineLevel="0" collapsed="false">
      <c r="A1808" s="13" t="n">
        <v>44823</v>
      </c>
      <c r="B1808" s="14" t="n">
        <v>2.27</v>
      </c>
      <c r="C1808" s="14" t="n">
        <v>2.5</v>
      </c>
      <c r="D1808" s="14" t="n">
        <v>2.25</v>
      </c>
      <c r="E1808" s="14" t="n">
        <v>0.657</v>
      </c>
      <c r="F1808" s="14" t="n">
        <v>0.75</v>
      </c>
      <c r="M1808" s="14" t="n">
        <v>1.536</v>
      </c>
      <c r="N1808" s="14" t="n">
        <v>1.601</v>
      </c>
      <c r="O1808" s="14" t="n">
        <v>1.76</v>
      </c>
      <c r="P1808" s="14" t="n">
        <v>1.984</v>
      </c>
      <c r="Q1808" s="14" t="n">
        <v>1.75</v>
      </c>
      <c r="R1808" s="14" t="n">
        <v>1.75</v>
      </c>
      <c r="S1808" s="14" t="n">
        <v>13.75</v>
      </c>
    </row>
    <row r="1809" customFormat="false" ht="15" hidden="false" customHeight="false" outlineLevel="0" collapsed="false">
      <c r="A1809" s="13" t="n">
        <v>44824</v>
      </c>
      <c r="B1809" s="14" t="n">
        <v>2.26</v>
      </c>
      <c r="C1809" s="14" t="n">
        <v>2.5</v>
      </c>
      <c r="D1809" s="14" t="n">
        <v>2.25</v>
      </c>
      <c r="E1809" s="14" t="n">
        <v>0.659</v>
      </c>
      <c r="F1809" s="14" t="n">
        <v>0.75</v>
      </c>
      <c r="G1809" s="14" t="n">
        <v>1.75</v>
      </c>
      <c r="H1809" s="14" t="n">
        <v>1.691</v>
      </c>
      <c r="I1809" s="14" t="n">
        <v>2.30632307654057</v>
      </c>
      <c r="J1809" s="14" t="n">
        <v>2.75395699930853</v>
      </c>
      <c r="K1809" s="14" t="n">
        <v>3.36435836125343</v>
      </c>
      <c r="L1809" s="14" t="n">
        <v>4.02094002621901</v>
      </c>
      <c r="M1809" s="14" t="n">
        <v>1.573</v>
      </c>
      <c r="N1809" s="14" t="n">
        <v>1.606</v>
      </c>
      <c r="O1809" s="14" t="n">
        <v>1.768</v>
      </c>
      <c r="P1809" s="14" t="n">
        <v>1.99</v>
      </c>
      <c r="Q1809" s="14" t="n">
        <v>1.75</v>
      </c>
      <c r="R1809" s="14" t="n">
        <v>1.75</v>
      </c>
      <c r="S1809" s="14" t="n">
        <v>13.75</v>
      </c>
    </row>
    <row r="1810" customFormat="false" ht="15" hidden="false" customHeight="false" outlineLevel="0" collapsed="false">
      <c r="A1810" s="13" t="n">
        <v>44825</v>
      </c>
      <c r="B1810" s="14" t="n">
        <v>2.25</v>
      </c>
      <c r="C1810" s="14" t="n">
        <v>2.5</v>
      </c>
      <c r="D1810" s="14" t="n">
        <v>2.25</v>
      </c>
      <c r="E1810" s="14" t="n">
        <v>0.661</v>
      </c>
      <c r="F1810" s="14" t="n">
        <v>0.75</v>
      </c>
      <c r="G1810" s="14" t="n">
        <v>1.75</v>
      </c>
      <c r="H1810" s="14" t="n">
        <v>1.6903</v>
      </c>
      <c r="I1810" s="14" t="n">
        <v>2.35381632650943</v>
      </c>
      <c r="J1810" s="14" t="n">
        <v>2.78285735659993</v>
      </c>
      <c r="K1810" s="14" t="n">
        <v>3.38604635902644</v>
      </c>
      <c r="L1810" s="14" t="n">
        <v>4.07047527464877</v>
      </c>
      <c r="M1810" s="14" t="n">
        <v>1.593</v>
      </c>
      <c r="N1810" s="14" t="n">
        <v>1.607</v>
      </c>
      <c r="O1810" s="14" t="n">
        <v>1.777</v>
      </c>
      <c r="P1810" s="14" t="n">
        <v>1.996</v>
      </c>
      <c r="Q1810" s="14" t="n">
        <v>1.75</v>
      </c>
      <c r="R1810" s="14" t="n">
        <v>1.75</v>
      </c>
      <c r="S1810" s="14" t="n">
        <v>13.75</v>
      </c>
    </row>
    <row r="1811" customFormat="false" ht="15" hidden="false" customHeight="false" outlineLevel="0" collapsed="false">
      <c r="A1811" s="13" t="n">
        <v>44826</v>
      </c>
      <c r="B1811" s="14" t="n">
        <v>2.99</v>
      </c>
      <c r="C1811" s="14" t="n">
        <v>3.25</v>
      </c>
      <c r="D1811" s="14" t="n">
        <v>3</v>
      </c>
      <c r="E1811" s="14" t="n">
        <v>0.661</v>
      </c>
      <c r="F1811" s="14" t="n">
        <v>0.75</v>
      </c>
      <c r="G1811" s="14" t="n">
        <v>2.25</v>
      </c>
      <c r="H1811" s="14" t="n">
        <v>2.1876</v>
      </c>
      <c r="I1811" s="14" t="n">
        <v>2.19916169555658</v>
      </c>
      <c r="J1811" s="14" t="n">
        <v>2.63439149514009</v>
      </c>
      <c r="K1811" s="14" t="n">
        <v>3.28199867805645</v>
      </c>
      <c r="L1811" s="14" t="n">
        <v>4.0352073973021</v>
      </c>
      <c r="M1811" s="14" t="n">
        <v>1.617</v>
      </c>
      <c r="N1811" s="14" t="n">
        <v>1.609</v>
      </c>
      <c r="O1811" s="14" t="n">
        <v>1.779</v>
      </c>
      <c r="P1811" s="14" t="n">
        <v>1.996</v>
      </c>
      <c r="Q1811" s="14" t="n">
        <v>1.75</v>
      </c>
      <c r="R1811" s="14" t="n">
        <v>1.75</v>
      </c>
      <c r="S1811" s="14" t="n">
        <v>13.75</v>
      </c>
    </row>
    <row r="1812" customFormat="false" ht="15" hidden="false" customHeight="false" outlineLevel="0" collapsed="false">
      <c r="A1812" s="13" t="n">
        <v>44827</v>
      </c>
      <c r="B1812" s="14" t="n">
        <v>2.99</v>
      </c>
      <c r="C1812" s="14" t="n">
        <v>3.25</v>
      </c>
      <c r="D1812" s="14" t="n">
        <v>3</v>
      </c>
      <c r="E1812" s="14" t="n">
        <v>0.662</v>
      </c>
      <c r="F1812" s="14" t="n">
        <v>0.75</v>
      </c>
      <c r="G1812" s="14" t="n">
        <v>2.25</v>
      </c>
      <c r="H1812" s="14" t="n">
        <v>2.1884</v>
      </c>
      <c r="I1812" s="14" t="n">
        <v>2.49870960871561</v>
      </c>
      <c r="J1812" s="14" t="n">
        <v>3.07486938730214</v>
      </c>
      <c r="K1812" s="14" t="n">
        <v>3.86338482601725</v>
      </c>
      <c r="L1812" s="14" t="n">
        <v>4.64722357440701</v>
      </c>
      <c r="M1812" s="14" t="n">
        <v>1.625</v>
      </c>
      <c r="N1812" s="14" t="n">
        <v>1.612</v>
      </c>
      <c r="O1812" s="14" t="n">
        <v>1.781</v>
      </c>
      <c r="P1812" s="14" t="n">
        <v>1.995</v>
      </c>
      <c r="Q1812" s="14" t="n">
        <v>2.25</v>
      </c>
      <c r="R1812" s="14" t="n">
        <v>2.25</v>
      </c>
      <c r="S1812" s="14" t="n">
        <v>13.75</v>
      </c>
    </row>
    <row r="1813" customFormat="false" ht="15" hidden="false" customHeight="false" outlineLevel="0" collapsed="false">
      <c r="A1813" s="13" t="n">
        <v>44830</v>
      </c>
      <c r="B1813" s="14" t="n">
        <v>2.99</v>
      </c>
      <c r="C1813" s="14" t="n">
        <v>3.25</v>
      </c>
      <c r="D1813" s="14" t="n">
        <v>3</v>
      </c>
      <c r="E1813" s="14" t="n">
        <v>0.663</v>
      </c>
      <c r="F1813" s="14" t="n">
        <v>0.75</v>
      </c>
      <c r="G1813" s="14" t="n">
        <v>2.25</v>
      </c>
      <c r="H1813" s="14" t="n">
        <v>2.189</v>
      </c>
      <c r="I1813" s="14" t="n">
        <v>2.48599790555375</v>
      </c>
      <c r="J1813" s="14" t="n">
        <v>3.28619512138706</v>
      </c>
      <c r="K1813" s="14" t="n">
        <v>4.20033908080334</v>
      </c>
      <c r="L1813" s="14" t="n">
        <v>5.08043087623679</v>
      </c>
      <c r="M1813" s="14" t="n">
        <v>1.646</v>
      </c>
      <c r="N1813" s="14" t="n">
        <v>1.621</v>
      </c>
      <c r="O1813" s="14" t="n">
        <v>1.791</v>
      </c>
      <c r="P1813" s="14" t="n">
        <v>1.995</v>
      </c>
      <c r="Q1813" s="14" t="n">
        <v>2.25</v>
      </c>
      <c r="R1813" s="14" t="n">
        <v>2.25</v>
      </c>
      <c r="S1813" s="14" t="n">
        <v>13.75</v>
      </c>
    </row>
    <row r="1814" customFormat="false" ht="15" hidden="false" customHeight="false" outlineLevel="0" collapsed="false">
      <c r="A1814" s="13" t="n">
        <v>44831</v>
      </c>
      <c r="B1814" s="14" t="n">
        <v>2.98</v>
      </c>
      <c r="C1814" s="14" t="n">
        <v>3.25</v>
      </c>
      <c r="D1814" s="14" t="n">
        <v>3</v>
      </c>
      <c r="E1814" s="14" t="n">
        <v>0.662</v>
      </c>
      <c r="F1814" s="14" t="n">
        <v>0.75</v>
      </c>
      <c r="G1814" s="14" t="n">
        <v>2.25</v>
      </c>
      <c r="H1814" s="14" t="n">
        <v>2.189</v>
      </c>
      <c r="I1814" s="14" t="n">
        <v>2.46450748912961</v>
      </c>
      <c r="J1814" s="14" t="n">
        <v>3.3930022508071</v>
      </c>
      <c r="K1814" s="14" t="n">
        <v>4.41374845768571</v>
      </c>
      <c r="L1814" s="14" t="n">
        <v>5.32894537590374</v>
      </c>
      <c r="M1814" s="14" t="n">
        <v>1.665</v>
      </c>
      <c r="N1814" s="14" t="n">
        <v>1.634</v>
      </c>
      <c r="O1814" s="14" t="n">
        <v>1.792</v>
      </c>
      <c r="P1814" s="14" t="n">
        <v>2</v>
      </c>
      <c r="Q1814" s="14" t="n">
        <v>2.25</v>
      </c>
      <c r="R1814" s="14" t="n">
        <v>2.25</v>
      </c>
      <c r="S1814" s="14" t="n">
        <v>13.75</v>
      </c>
    </row>
    <row r="1815" customFormat="false" ht="15" hidden="false" customHeight="false" outlineLevel="0" collapsed="false">
      <c r="A1815" s="13" t="n">
        <v>44832</v>
      </c>
      <c r="B1815" s="14" t="n">
        <v>2.98</v>
      </c>
      <c r="C1815" s="14" t="n">
        <v>3.25</v>
      </c>
      <c r="D1815" s="14" t="n">
        <v>3</v>
      </c>
      <c r="E1815" s="14" t="n">
        <v>0.662</v>
      </c>
      <c r="F1815" s="14" t="n">
        <v>0.75</v>
      </c>
      <c r="G1815" s="14" t="n">
        <v>2.25</v>
      </c>
      <c r="H1815" s="14" t="n">
        <v>2.1891</v>
      </c>
      <c r="I1815" s="14" t="n">
        <v>2.53150843105826</v>
      </c>
      <c r="J1815" s="14" t="n">
        <v>3.37322818587769</v>
      </c>
      <c r="K1815" s="14" t="n">
        <v>4.25676827218241</v>
      </c>
      <c r="L1815" s="14" t="n">
        <v>5.02417933449096</v>
      </c>
      <c r="M1815" s="14" t="n">
        <v>1.682</v>
      </c>
      <c r="N1815" s="14" t="n">
        <v>1.652</v>
      </c>
      <c r="O1815" s="14" t="n">
        <v>1.796</v>
      </c>
      <c r="P1815" s="14" t="n">
        <v>2.006</v>
      </c>
      <c r="Q1815" s="14" t="n">
        <v>2.25</v>
      </c>
      <c r="R1815" s="14" t="n">
        <v>2.25</v>
      </c>
      <c r="S1815" s="14" t="n">
        <v>13.75</v>
      </c>
    </row>
    <row r="1816" customFormat="false" ht="15" hidden="false" customHeight="false" outlineLevel="0" collapsed="false">
      <c r="A1816" s="13" t="n">
        <v>44833</v>
      </c>
      <c r="B1816" s="14" t="n">
        <v>2.96</v>
      </c>
      <c r="C1816" s="14" t="n">
        <v>3.25</v>
      </c>
      <c r="D1816" s="14" t="n">
        <v>3</v>
      </c>
      <c r="E1816" s="14" t="n">
        <v>0.661</v>
      </c>
      <c r="F1816" s="14" t="n">
        <v>0.75</v>
      </c>
      <c r="G1816" s="14" t="n">
        <v>2.25</v>
      </c>
      <c r="H1816" s="14" t="n">
        <v>2.189</v>
      </c>
      <c r="I1816" s="14" t="n">
        <v>2.36789672909309</v>
      </c>
      <c r="J1816" s="14" t="n">
        <v>3.26601399911847</v>
      </c>
      <c r="K1816" s="14" t="n">
        <v>4.18630893929885</v>
      </c>
      <c r="L1816" s="14" t="n">
        <v>4.98846036490684</v>
      </c>
      <c r="M1816" s="14" t="n">
        <v>1.71</v>
      </c>
      <c r="N1816" s="14" t="n">
        <v>1.666</v>
      </c>
      <c r="O1816" s="14" t="n">
        <v>1.799</v>
      </c>
      <c r="P1816" s="14" t="n">
        <v>2.011</v>
      </c>
      <c r="Q1816" s="14" t="n">
        <v>2.25</v>
      </c>
      <c r="R1816" s="14" t="n">
        <v>2.25</v>
      </c>
      <c r="S1816" s="14" t="n">
        <v>13.75</v>
      </c>
    </row>
    <row r="1817" customFormat="false" ht="15" hidden="false" customHeight="false" outlineLevel="0" collapsed="false">
      <c r="A1817" s="13" t="n">
        <v>44834</v>
      </c>
      <c r="B1817" s="14" t="n">
        <v>2.98</v>
      </c>
      <c r="C1817" s="14" t="n">
        <v>3.25</v>
      </c>
      <c r="D1817" s="14" t="n">
        <v>3</v>
      </c>
      <c r="E1817" s="14" t="n">
        <v>0.642</v>
      </c>
      <c r="F1817" s="14" t="n">
        <v>0.75</v>
      </c>
      <c r="G1817" s="14" t="n">
        <v>2.25</v>
      </c>
      <c r="H1817" s="14" t="n">
        <v>2.1901</v>
      </c>
      <c r="I1817" s="14" t="n">
        <v>2.31266450034576</v>
      </c>
      <c r="J1817" s="14" t="n">
        <v>3.1924023290586</v>
      </c>
      <c r="K1817" s="14" t="n">
        <v>4.14001083402981</v>
      </c>
      <c r="L1817" s="14" t="n">
        <v>4.94560177285649</v>
      </c>
      <c r="M1817" s="14" t="n">
        <v>1.711</v>
      </c>
      <c r="N1817" s="14" t="n">
        <v>1.673</v>
      </c>
      <c r="O1817" s="14" t="n">
        <v>1.8</v>
      </c>
      <c r="P1817" s="14" t="n">
        <v>2.016</v>
      </c>
      <c r="Q1817" s="14" t="n">
        <v>2.25</v>
      </c>
      <c r="R1817" s="14" t="n">
        <v>2.27</v>
      </c>
      <c r="S1817" s="14" t="n">
        <v>13.75</v>
      </c>
    </row>
    <row r="1818" customFormat="false" ht="15" hidden="false" customHeight="false" outlineLevel="0" collapsed="false">
      <c r="A1818" s="13" t="n">
        <v>44837</v>
      </c>
      <c r="B1818" s="14" t="n">
        <v>3</v>
      </c>
      <c r="C1818" s="14" t="n">
        <v>3.25</v>
      </c>
      <c r="D1818" s="14" t="n">
        <v>3</v>
      </c>
      <c r="E1818" s="14" t="n">
        <v>0.656</v>
      </c>
      <c r="F1818" s="14" t="n">
        <v>0.75</v>
      </c>
      <c r="G1818" s="14" t="n">
        <v>2.25</v>
      </c>
      <c r="H1818" s="14" t="n">
        <v>2.188</v>
      </c>
      <c r="I1818" s="14" t="n">
        <v>2.31553119326708</v>
      </c>
      <c r="J1818" s="14" t="n">
        <v>3.12691716158166</v>
      </c>
      <c r="K1818" s="14" t="n">
        <v>3.98998709951568</v>
      </c>
      <c r="L1818" s="14" t="n">
        <v>4.74802851240955</v>
      </c>
      <c r="Q1818" s="14" t="n">
        <v>2.25</v>
      </c>
      <c r="R1818" s="14" t="n">
        <v>2.3</v>
      </c>
      <c r="S1818" s="14" t="n">
        <v>13.75</v>
      </c>
    </row>
    <row r="1819" customFormat="false" ht="15" hidden="false" customHeight="false" outlineLevel="0" collapsed="false">
      <c r="A1819" s="13" t="n">
        <v>44838</v>
      </c>
      <c r="B1819" s="14" t="n">
        <v>3.04</v>
      </c>
      <c r="C1819" s="14" t="n">
        <v>3.25</v>
      </c>
      <c r="D1819" s="14" t="n">
        <v>3</v>
      </c>
      <c r="E1819" s="14" t="n">
        <v>0.657</v>
      </c>
      <c r="F1819" s="14" t="n">
        <v>0.75</v>
      </c>
      <c r="G1819" s="14" t="n">
        <v>2.25</v>
      </c>
      <c r="H1819" s="14" t="n">
        <v>2.186</v>
      </c>
      <c r="I1819" s="14" t="n">
        <v>2.31233290916577</v>
      </c>
      <c r="J1819" s="14" t="n">
        <v>3.10855200592193</v>
      </c>
      <c r="K1819" s="14" t="n">
        <v>3.94332249431827</v>
      </c>
      <c r="L1819" s="14" t="n">
        <v>4.66416405503743</v>
      </c>
      <c r="Q1819" s="14" t="n">
        <v>2.25</v>
      </c>
      <c r="R1819" s="14" t="n">
        <v>2.25</v>
      </c>
      <c r="S1819" s="14" t="n">
        <v>13.75</v>
      </c>
    </row>
    <row r="1820" customFormat="false" ht="15" hidden="false" customHeight="false" outlineLevel="0" collapsed="false">
      <c r="A1820" s="13" t="n">
        <v>44839</v>
      </c>
      <c r="B1820" s="14" t="n">
        <v>3.04</v>
      </c>
      <c r="C1820" s="14" t="n">
        <v>3.25</v>
      </c>
      <c r="D1820" s="14" t="n">
        <v>3</v>
      </c>
      <c r="E1820" s="14" t="n">
        <v>0.652</v>
      </c>
      <c r="F1820" s="14" t="n">
        <v>0.75</v>
      </c>
      <c r="G1820" s="14" t="n">
        <v>2.25</v>
      </c>
      <c r="H1820" s="14" t="n">
        <v>2.1866</v>
      </c>
      <c r="I1820" s="14" t="n">
        <v>2.34478363325183</v>
      </c>
      <c r="J1820" s="14" t="n">
        <v>3.14952434663815</v>
      </c>
      <c r="K1820" s="14" t="n">
        <v>4.00434306080602</v>
      </c>
      <c r="L1820" s="14" t="n">
        <v>4.79316781098037</v>
      </c>
      <c r="Q1820" s="14" t="n">
        <v>2.25</v>
      </c>
      <c r="R1820" s="14" t="n">
        <v>2.25</v>
      </c>
      <c r="S1820" s="14" t="n">
        <v>13.75</v>
      </c>
    </row>
    <row r="1821" customFormat="false" ht="15" hidden="false" customHeight="false" outlineLevel="0" collapsed="false">
      <c r="A1821" s="13" t="n">
        <v>44840</v>
      </c>
      <c r="B1821" s="14" t="n">
        <v>3.05</v>
      </c>
      <c r="C1821" s="14" t="n">
        <v>3.25</v>
      </c>
      <c r="D1821" s="14" t="n">
        <v>3</v>
      </c>
      <c r="E1821" s="14" t="n">
        <v>0.655</v>
      </c>
      <c r="F1821" s="14" t="n">
        <v>0.75</v>
      </c>
      <c r="G1821" s="14" t="n">
        <v>2.25</v>
      </c>
      <c r="H1821" s="14" t="n">
        <v>2.1869</v>
      </c>
      <c r="I1821" s="14" t="n">
        <v>2.37914460665484</v>
      </c>
      <c r="J1821" s="14" t="n">
        <v>3.21834787617314</v>
      </c>
      <c r="K1821" s="14" t="n">
        <v>4.08712588646218</v>
      </c>
      <c r="L1821" s="14" t="n">
        <v>4.90328974007142</v>
      </c>
      <c r="Q1821" s="14" t="n">
        <v>2.25</v>
      </c>
      <c r="R1821" s="14" t="n">
        <v>2.25</v>
      </c>
      <c r="S1821" s="14" t="n">
        <v>13.75</v>
      </c>
    </row>
    <row r="1822" customFormat="false" ht="15" hidden="false" customHeight="false" outlineLevel="0" collapsed="false">
      <c r="A1822" s="13" t="n">
        <v>44841</v>
      </c>
      <c r="B1822" s="14" t="n">
        <v>3.05</v>
      </c>
      <c r="C1822" s="14" t="n">
        <v>3.25</v>
      </c>
      <c r="D1822" s="14" t="n">
        <v>3</v>
      </c>
      <c r="E1822" s="14" t="n">
        <v>0.656</v>
      </c>
      <c r="F1822" s="14" t="n">
        <v>0.75</v>
      </c>
      <c r="G1822" s="14" t="n">
        <v>2.25</v>
      </c>
      <c r="H1822" s="14" t="n">
        <v>2.1876</v>
      </c>
      <c r="I1822" s="14" t="n">
        <v>2.38956041837209</v>
      </c>
      <c r="J1822" s="14" t="n">
        <v>3.23470311821548</v>
      </c>
      <c r="K1822" s="14" t="n">
        <v>4.11131742128839</v>
      </c>
      <c r="L1822" s="14" t="n">
        <v>4.91035523441643</v>
      </c>
      <c r="Q1822" s="14" t="n">
        <v>2.25</v>
      </c>
      <c r="R1822" s="14" t="n">
        <v>2.25</v>
      </c>
      <c r="S1822" s="14" t="n">
        <v>13.75</v>
      </c>
    </row>
    <row r="1823" customFormat="false" ht="15" hidden="false" customHeight="false" outlineLevel="0" collapsed="false">
      <c r="A1823" s="13" t="n">
        <v>44842</v>
      </c>
      <c r="C1823" s="14" t="n">
        <v>3.25</v>
      </c>
      <c r="D1823" s="14" t="n">
        <v>3</v>
      </c>
      <c r="F1823" s="14" t="n">
        <v>0.75</v>
      </c>
      <c r="M1823" s="14" t="n">
        <v>1.698</v>
      </c>
      <c r="N1823" s="14" t="n">
        <v>1.676</v>
      </c>
      <c r="O1823" s="14" t="n">
        <v>1.801</v>
      </c>
      <c r="P1823" s="14" t="n">
        <v>2.009</v>
      </c>
      <c r="S1823" s="14" t="n">
        <v>13.75</v>
      </c>
    </row>
    <row r="1824" customFormat="false" ht="15" hidden="false" customHeight="false" outlineLevel="0" collapsed="false">
      <c r="A1824" s="13" t="n">
        <v>44843</v>
      </c>
      <c r="C1824" s="14" t="n">
        <v>3.25</v>
      </c>
      <c r="D1824" s="14" t="n">
        <v>3</v>
      </c>
      <c r="F1824" s="14" t="n">
        <v>0.75</v>
      </c>
      <c r="M1824" s="14" t="n">
        <v>1.655</v>
      </c>
      <c r="N1824" s="14" t="n">
        <v>1.674</v>
      </c>
      <c r="O1824" s="14" t="n">
        <v>1.802</v>
      </c>
      <c r="P1824" s="14" t="n">
        <v>2.006</v>
      </c>
      <c r="S1824" s="14" t="n">
        <v>13.75</v>
      </c>
    </row>
    <row r="1825" customFormat="false" ht="15" hidden="false" customHeight="false" outlineLevel="0" collapsed="false">
      <c r="A1825" s="13" t="n">
        <v>44844</v>
      </c>
      <c r="C1825" s="14" t="n">
        <v>3.25</v>
      </c>
      <c r="D1825" s="14" t="n">
        <v>3</v>
      </c>
      <c r="E1825" s="14" t="n">
        <v>0.655</v>
      </c>
      <c r="F1825" s="14" t="n">
        <v>0.75</v>
      </c>
      <c r="G1825" s="14" t="n">
        <v>2.25</v>
      </c>
      <c r="H1825" s="14" t="n">
        <v>2.1864</v>
      </c>
      <c r="I1825" s="14" t="n">
        <v>2.45861465503864</v>
      </c>
      <c r="J1825" s="14" t="n">
        <v>3.32256722362618</v>
      </c>
      <c r="K1825" s="14" t="n">
        <v>4.20113445222586</v>
      </c>
      <c r="L1825" s="14" t="n">
        <v>5.00498894969673</v>
      </c>
      <c r="M1825" s="14" t="n">
        <v>1.644</v>
      </c>
      <c r="N1825" s="14" t="n">
        <v>1.679</v>
      </c>
      <c r="O1825" s="14" t="n">
        <v>1.804</v>
      </c>
      <c r="P1825" s="14" t="n">
        <v>2.004</v>
      </c>
      <c r="Q1825" s="14" t="n">
        <v>2.25</v>
      </c>
      <c r="R1825" s="14" t="n">
        <v>2.25</v>
      </c>
      <c r="S1825" s="14" t="n">
        <v>13.75</v>
      </c>
    </row>
    <row r="1826" customFormat="false" ht="15" hidden="false" customHeight="false" outlineLevel="0" collapsed="false">
      <c r="A1826" s="13" t="n">
        <v>44845</v>
      </c>
      <c r="B1826" s="14" t="n">
        <v>3.05</v>
      </c>
      <c r="C1826" s="14" t="n">
        <v>3.25</v>
      </c>
      <c r="D1826" s="14" t="n">
        <v>3</v>
      </c>
      <c r="E1826" s="14" t="n">
        <v>0.657</v>
      </c>
      <c r="F1826" s="14" t="n">
        <v>0.75</v>
      </c>
      <c r="G1826" s="14" t="n">
        <v>2.25</v>
      </c>
      <c r="H1826" s="14" t="n">
        <v>2.1873</v>
      </c>
      <c r="I1826" s="14" t="n">
        <v>2.46376602053893</v>
      </c>
      <c r="J1826" s="14" t="n">
        <v>3.31063459957735</v>
      </c>
      <c r="K1826" s="14" t="n">
        <v>4.18182339714288</v>
      </c>
      <c r="L1826" s="14" t="n">
        <v>4.95913173271438</v>
      </c>
      <c r="M1826" s="14" t="n">
        <v>1.634</v>
      </c>
      <c r="N1826" s="14" t="n">
        <v>1.678</v>
      </c>
      <c r="O1826" s="14" t="n">
        <v>1.804</v>
      </c>
      <c r="P1826" s="14" t="n">
        <v>2.004</v>
      </c>
      <c r="Q1826" s="14" t="n">
        <v>2.25</v>
      </c>
      <c r="R1826" s="14" t="n">
        <v>2.25</v>
      </c>
      <c r="S1826" s="14" t="n">
        <v>13.75</v>
      </c>
    </row>
    <row r="1827" customFormat="false" ht="15" hidden="false" customHeight="false" outlineLevel="0" collapsed="false">
      <c r="A1827" s="13" t="n">
        <v>44846</v>
      </c>
      <c r="B1827" s="14" t="n">
        <v>3.04</v>
      </c>
      <c r="C1827" s="14" t="n">
        <v>3.25</v>
      </c>
      <c r="D1827" s="14" t="n">
        <v>3</v>
      </c>
      <c r="E1827" s="14" t="n">
        <v>0.658</v>
      </c>
      <c r="F1827" s="14" t="n">
        <v>0.75</v>
      </c>
      <c r="G1827" s="14" t="n">
        <v>2.25</v>
      </c>
      <c r="H1827" s="14" t="n">
        <v>2.186</v>
      </c>
      <c r="I1827" s="14" t="n">
        <v>2.48704006158665</v>
      </c>
      <c r="J1827" s="14" t="n">
        <v>3.29194362984241</v>
      </c>
      <c r="K1827" s="14" t="n">
        <v>4.12685874026064</v>
      </c>
      <c r="L1827" s="14" t="n">
        <v>4.87454305234106</v>
      </c>
      <c r="M1827" s="14" t="n">
        <v>1.62</v>
      </c>
      <c r="N1827" s="14" t="n">
        <v>1.671</v>
      </c>
      <c r="O1827" s="14" t="n">
        <v>1.803</v>
      </c>
      <c r="P1827" s="14" t="n">
        <v>2.002</v>
      </c>
      <c r="Q1827" s="14" t="n">
        <v>2.25</v>
      </c>
      <c r="R1827" s="14" t="n">
        <v>2.25</v>
      </c>
      <c r="S1827" s="14" t="n">
        <v>13.75</v>
      </c>
    </row>
    <row r="1828" customFormat="false" ht="15" hidden="false" customHeight="false" outlineLevel="0" collapsed="false">
      <c r="A1828" s="13" t="n">
        <v>44847</v>
      </c>
      <c r="B1828" s="14" t="n">
        <v>3.04</v>
      </c>
      <c r="C1828" s="14" t="n">
        <v>3.25</v>
      </c>
      <c r="D1828" s="14" t="n">
        <v>3</v>
      </c>
      <c r="E1828" s="14" t="n">
        <v>0.658</v>
      </c>
      <c r="F1828" s="14" t="n">
        <v>0.75</v>
      </c>
      <c r="G1828" s="14" t="n">
        <v>2.25</v>
      </c>
      <c r="H1828" s="14" t="n">
        <v>2.1862</v>
      </c>
      <c r="I1828" s="14" t="n">
        <v>2.47086897311744</v>
      </c>
      <c r="J1828" s="14" t="n">
        <v>3.2728209752489</v>
      </c>
      <c r="K1828" s="14" t="n">
        <v>4.08960689915157</v>
      </c>
      <c r="L1828" s="14" t="n">
        <v>4.79476622922757</v>
      </c>
      <c r="M1828" s="14" t="n">
        <v>1.619</v>
      </c>
      <c r="N1828" s="14" t="n">
        <v>1.677</v>
      </c>
      <c r="O1828" s="14" t="n">
        <v>1.804</v>
      </c>
      <c r="P1828" s="14" t="n">
        <v>2.003</v>
      </c>
      <c r="Q1828" s="14" t="n">
        <v>2.25</v>
      </c>
      <c r="R1828" s="14" t="n">
        <v>2.25</v>
      </c>
      <c r="S1828" s="14" t="n">
        <v>13.75</v>
      </c>
    </row>
    <row r="1829" customFormat="false" ht="15" hidden="false" customHeight="false" outlineLevel="0" collapsed="false">
      <c r="A1829" s="13" t="n">
        <v>44848</v>
      </c>
      <c r="B1829" s="14" t="n">
        <v>3.04</v>
      </c>
      <c r="C1829" s="14" t="n">
        <v>3.25</v>
      </c>
      <c r="D1829" s="14" t="n">
        <v>3</v>
      </c>
      <c r="E1829" s="14" t="n">
        <v>0.657</v>
      </c>
      <c r="F1829" s="14" t="n">
        <v>0.75</v>
      </c>
      <c r="G1829" s="14" t="n">
        <v>2.25</v>
      </c>
      <c r="H1829" s="14" t="n">
        <v>2.1844</v>
      </c>
      <c r="I1829" s="14" t="n">
        <v>2.47391619837313</v>
      </c>
      <c r="J1829" s="14" t="n">
        <v>3.26119217751272</v>
      </c>
      <c r="K1829" s="14" t="n">
        <v>4.06881811426686</v>
      </c>
      <c r="L1829" s="14" t="n">
        <v>4.7922051345366</v>
      </c>
      <c r="M1829" s="14" t="n">
        <v>1.613</v>
      </c>
      <c r="N1829" s="14" t="n">
        <v>1.68</v>
      </c>
      <c r="O1829" s="14" t="n">
        <v>1.806</v>
      </c>
      <c r="P1829" s="14" t="n">
        <v>2.003</v>
      </c>
      <c r="Q1829" s="14" t="n">
        <v>2.25</v>
      </c>
      <c r="R1829" s="14" t="n">
        <v>2.25</v>
      </c>
      <c r="S1829" s="14" t="n">
        <v>13.75</v>
      </c>
    </row>
    <row r="1830" customFormat="false" ht="15" hidden="false" customHeight="false" outlineLevel="0" collapsed="false">
      <c r="A1830" s="13" t="n">
        <v>44851</v>
      </c>
      <c r="B1830" s="14" t="n">
        <v>3.05</v>
      </c>
      <c r="C1830" s="14" t="n">
        <v>3.25</v>
      </c>
      <c r="D1830" s="14" t="n">
        <v>3</v>
      </c>
      <c r="E1830" s="14" t="n">
        <v>0.658</v>
      </c>
      <c r="F1830" s="14" t="n">
        <v>0.75</v>
      </c>
      <c r="G1830" s="14" t="n">
        <v>2.25</v>
      </c>
      <c r="H1830" s="14" t="n">
        <v>2.1839</v>
      </c>
      <c r="I1830" s="14" t="n">
        <v>2.55853564612773</v>
      </c>
      <c r="J1830" s="14" t="n">
        <v>3.20421616235203</v>
      </c>
      <c r="K1830" s="14" t="n">
        <v>3.87871174735585</v>
      </c>
      <c r="L1830" s="14" t="n">
        <v>4.51069691341559</v>
      </c>
      <c r="M1830" s="14" t="n">
        <v>1.613</v>
      </c>
      <c r="N1830" s="14" t="n">
        <v>1.684</v>
      </c>
      <c r="O1830" s="14" t="n">
        <v>1.81</v>
      </c>
      <c r="P1830" s="14" t="n">
        <v>2.004</v>
      </c>
      <c r="Q1830" s="14" t="n">
        <v>2.25</v>
      </c>
      <c r="R1830" s="14" t="n">
        <v>2.25</v>
      </c>
      <c r="S1830" s="14" t="n">
        <v>13.75</v>
      </c>
    </row>
    <row r="1831" customFormat="false" ht="15" hidden="false" customHeight="false" outlineLevel="0" collapsed="false">
      <c r="A1831" s="13" t="n">
        <v>44852</v>
      </c>
      <c r="B1831" s="14" t="n">
        <v>3.04</v>
      </c>
      <c r="C1831" s="14" t="n">
        <v>3.25</v>
      </c>
      <c r="D1831" s="14" t="n">
        <v>3</v>
      </c>
      <c r="E1831" s="14" t="n">
        <v>0.657</v>
      </c>
      <c r="F1831" s="14" t="n">
        <v>0.75</v>
      </c>
      <c r="G1831" s="14" t="n">
        <v>2.25</v>
      </c>
      <c r="H1831" s="14" t="n">
        <v>2.1842</v>
      </c>
      <c r="I1831" s="14" t="n">
        <v>2.60279036294258</v>
      </c>
      <c r="J1831" s="14" t="n">
        <v>3.26224810050778</v>
      </c>
      <c r="K1831" s="14" t="n">
        <v>3.94836291047897</v>
      </c>
      <c r="L1831" s="14" t="n">
        <v>4.58470172417206</v>
      </c>
      <c r="M1831" s="14" t="n">
        <v>1.61</v>
      </c>
      <c r="N1831" s="14" t="n">
        <v>1.686</v>
      </c>
      <c r="O1831" s="14" t="n">
        <v>1.812</v>
      </c>
      <c r="P1831" s="14" t="n">
        <v>2.004</v>
      </c>
      <c r="Q1831" s="14" t="n">
        <v>2.25</v>
      </c>
      <c r="R1831" s="14" t="n">
        <v>2.25</v>
      </c>
      <c r="S1831" s="14" t="n">
        <v>13.75</v>
      </c>
    </row>
    <row r="1832" customFormat="false" ht="15" hidden="false" customHeight="false" outlineLevel="0" collapsed="false">
      <c r="A1832" s="13" t="n">
        <v>44853</v>
      </c>
      <c r="B1832" s="14" t="n">
        <v>3.04</v>
      </c>
      <c r="C1832" s="14" t="n">
        <v>3.25</v>
      </c>
      <c r="D1832" s="14" t="n">
        <v>3</v>
      </c>
      <c r="E1832" s="14" t="n">
        <v>0.656</v>
      </c>
      <c r="F1832" s="14" t="n">
        <v>0.75</v>
      </c>
      <c r="G1832" s="14" t="n">
        <v>2.25</v>
      </c>
      <c r="H1832" s="14" t="n">
        <v>2.1843</v>
      </c>
      <c r="I1832" s="14" t="n">
        <v>2.61514499866298</v>
      </c>
      <c r="J1832" s="14" t="n">
        <v>3.24670483288027</v>
      </c>
      <c r="K1832" s="14" t="n">
        <v>3.915229338122</v>
      </c>
      <c r="L1832" s="14" t="n">
        <v>4.54564017988227</v>
      </c>
      <c r="M1832" s="14" t="n">
        <v>1.609</v>
      </c>
      <c r="N1832" s="14" t="n">
        <v>1.691</v>
      </c>
      <c r="O1832" s="14" t="n">
        <v>1.815</v>
      </c>
      <c r="P1832" s="14" t="n">
        <v>2.005</v>
      </c>
      <c r="Q1832" s="14" t="n">
        <v>2.25</v>
      </c>
      <c r="R1832" s="14" t="n">
        <v>2.25</v>
      </c>
      <c r="S1832" s="14" t="n">
        <v>13.75</v>
      </c>
    </row>
    <row r="1833" customFormat="false" ht="15" hidden="false" customHeight="false" outlineLevel="0" collapsed="false">
      <c r="A1833" s="13" t="n">
        <v>44854</v>
      </c>
      <c r="B1833" s="14" t="n">
        <v>3.03</v>
      </c>
      <c r="C1833" s="14" t="n">
        <v>3.25</v>
      </c>
      <c r="D1833" s="14" t="n">
        <v>3</v>
      </c>
      <c r="E1833" s="14" t="n">
        <v>0.656</v>
      </c>
      <c r="F1833" s="14" t="n">
        <v>0.75</v>
      </c>
      <c r="G1833" s="14" t="n">
        <v>2.25</v>
      </c>
      <c r="H1833" s="14" t="n">
        <v>2.1851</v>
      </c>
      <c r="I1833" s="14" t="n">
        <v>2.61720220904788</v>
      </c>
      <c r="J1833" s="14" t="n">
        <v>3.22379464708513</v>
      </c>
      <c r="K1833" s="14" t="n">
        <v>3.87189697569561</v>
      </c>
      <c r="L1833" s="14" t="n">
        <v>4.51199953991562</v>
      </c>
      <c r="M1833" s="14" t="n">
        <v>1.612</v>
      </c>
      <c r="N1833" s="14" t="n">
        <v>1.697</v>
      </c>
      <c r="O1833" s="14" t="n">
        <v>1.825</v>
      </c>
      <c r="P1833" s="14" t="n">
        <v>2.008</v>
      </c>
      <c r="Q1833" s="14" t="n">
        <v>2.25</v>
      </c>
      <c r="R1833" s="14" t="n">
        <v>2.25</v>
      </c>
      <c r="S1833" s="14" t="n">
        <v>13.75</v>
      </c>
    </row>
    <row r="1834" customFormat="false" ht="15" hidden="false" customHeight="false" outlineLevel="0" collapsed="false">
      <c r="A1834" s="13" t="n">
        <v>44855</v>
      </c>
      <c r="B1834" s="14" t="n">
        <v>3.02</v>
      </c>
      <c r="C1834" s="14" t="n">
        <v>3.25</v>
      </c>
      <c r="D1834" s="14" t="n">
        <v>3</v>
      </c>
      <c r="E1834" s="14" t="n">
        <v>0.657</v>
      </c>
      <c r="F1834" s="14" t="n">
        <v>0.75</v>
      </c>
      <c r="G1834" s="14" t="n">
        <v>2.25</v>
      </c>
      <c r="H1834" s="14" t="n">
        <v>2.185</v>
      </c>
      <c r="I1834" s="14" t="n">
        <v>2.66639432953652</v>
      </c>
      <c r="J1834" s="14" t="n">
        <v>3.25027351362005</v>
      </c>
      <c r="K1834" s="14" t="n">
        <v>3.89875098061967</v>
      </c>
      <c r="L1834" s="14" t="n">
        <v>4.55805342067655</v>
      </c>
      <c r="M1834" s="14" t="n">
        <v>1.62</v>
      </c>
      <c r="N1834" s="14" t="n">
        <v>1.702</v>
      </c>
      <c r="O1834" s="14" t="n">
        <v>1.836</v>
      </c>
      <c r="P1834" s="14" t="n">
        <v>2.014</v>
      </c>
      <c r="Q1834" s="14" t="n">
        <v>2.25</v>
      </c>
      <c r="R1834" s="14" t="n">
        <v>2.25</v>
      </c>
      <c r="S1834" s="14" t="n">
        <v>13.75</v>
      </c>
    </row>
    <row r="1835" customFormat="false" ht="15" hidden="false" customHeight="false" outlineLevel="0" collapsed="false">
      <c r="A1835" s="13" t="n">
        <v>44858</v>
      </c>
      <c r="B1835" s="14" t="n">
        <v>3.01</v>
      </c>
      <c r="C1835" s="14" t="n">
        <v>3.25</v>
      </c>
      <c r="D1835" s="14" t="n">
        <v>3</v>
      </c>
      <c r="E1835" s="14" t="n">
        <v>0.658</v>
      </c>
      <c r="F1835" s="14" t="n">
        <v>0.75</v>
      </c>
      <c r="G1835" s="14" t="n">
        <v>2.25</v>
      </c>
      <c r="H1835" s="14" t="n">
        <v>2.1862</v>
      </c>
      <c r="I1835" s="14" t="n">
        <v>2.72207397377353</v>
      </c>
      <c r="J1835" s="14" t="n">
        <v>3.23234129202909</v>
      </c>
      <c r="K1835" s="14" t="n">
        <v>3.8227944429504</v>
      </c>
      <c r="L1835" s="14" t="n">
        <v>4.42722251733148</v>
      </c>
      <c r="M1835" s="14" t="n">
        <v>1.628</v>
      </c>
      <c r="N1835" s="14" t="n">
        <v>1.71</v>
      </c>
      <c r="O1835" s="14" t="n">
        <v>1.845</v>
      </c>
      <c r="P1835" s="14" t="n">
        <v>2.02</v>
      </c>
      <c r="Q1835" s="14" t="n">
        <v>2.25</v>
      </c>
      <c r="R1835" s="14" t="n">
        <v>2.25</v>
      </c>
      <c r="S1835" s="14" t="n">
        <v>13.75</v>
      </c>
    </row>
    <row r="1836" customFormat="false" ht="15" hidden="false" customHeight="false" outlineLevel="0" collapsed="false">
      <c r="A1836" s="13" t="n">
        <v>44859</v>
      </c>
      <c r="B1836" s="14" t="n">
        <v>3.02</v>
      </c>
      <c r="C1836" s="14" t="n">
        <v>3.25</v>
      </c>
      <c r="D1836" s="14" t="n">
        <v>3</v>
      </c>
      <c r="E1836" s="14" t="n">
        <v>0.656</v>
      </c>
      <c r="F1836" s="14" t="n">
        <v>0.75</v>
      </c>
      <c r="G1836" s="14" t="n">
        <v>2.25</v>
      </c>
      <c r="H1836" s="14" t="n">
        <v>2.1862</v>
      </c>
      <c r="I1836" s="14" t="n">
        <v>2.74723253669542</v>
      </c>
      <c r="J1836" s="14" t="n">
        <v>3.25119457002236</v>
      </c>
      <c r="K1836" s="14" t="n">
        <v>3.81790693587516</v>
      </c>
      <c r="L1836" s="14" t="n">
        <v>4.3749348039747</v>
      </c>
      <c r="M1836" s="14" t="n">
        <v>1.639</v>
      </c>
      <c r="N1836" s="14" t="n">
        <v>1.724</v>
      </c>
      <c r="O1836" s="14" t="n">
        <v>1.858</v>
      </c>
      <c r="P1836" s="14" t="n">
        <v>2.027</v>
      </c>
      <c r="Q1836" s="14" t="n">
        <v>2.25</v>
      </c>
      <c r="R1836" s="14" t="n">
        <v>2.25</v>
      </c>
      <c r="S1836" s="14" t="n">
        <v>13.75</v>
      </c>
    </row>
    <row r="1837" customFormat="false" ht="15" hidden="false" customHeight="false" outlineLevel="0" collapsed="false">
      <c r="A1837" s="13" t="n">
        <v>44860</v>
      </c>
      <c r="B1837" s="14" t="n">
        <v>3.03</v>
      </c>
      <c r="C1837" s="14" t="n">
        <v>3.25</v>
      </c>
      <c r="D1837" s="14" t="n">
        <v>3</v>
      </c>
      <c r="E1837" s="14" t="n">
        <v>0.656</v>
      </c>
      <c r="F1837" s="14" t="n">
        <v>0.75</v>
      </c>
      <c r="G1837" s="14" t="n">
        <v>2.25</v>
      </c>
      <c r="H1837" s="14" t="n">
        <v>2.1852</v>
      </c>
      <c r="I1837" s="14" t="n">
        <v>2.73572560035016</v>
      </c>
      <c r="J1837" s="14" t="n">
        <v>3.19379681015304</v>
      </c>
      <c r="K1837" s="14" t="n">
        <v>3.73345495590838</v>
      </c>
      <c r="L1837" s="14" t="n">
        <v>4.30426246764904</v>
      </c>
      <c r="M1837" s="14" t="n">
        <v>1.657</v>
      </c>
      <c r="N1837" s="14" t="n">
        <v>1.734</v>
      </c>
      <c r="O1837" s="14" t="n">
        <v>1.867</v>
      </c>
      <c r="P1837" s="14" t="n">
        <v>2.034</v>
      </c>
      <c r="Q1837" s="14" t="n">
        <v>2.25</v>
      </c>
      <c r="R1837" s="14" t="n">
        <v>2.25</v>
      </c>
      <c r="S1837" s="14" t="n">
        <v>13.75</v>
      </c>
    </row>
    <row r="1838" customFormat="false" ht="15" hidden="false" customHeight="false" outlineLevel="0" collapsed="false">
      <c r="A1838" s="13" t="n">
        <v>44861</v>
      </c>
      <c r="B1838" s="14" t="n">
        <v>3.04</v>
      </c>
      <c r="C1838" s="14" t="n">
        <v>3.25</v>
      </c>
      <c r="D1838" s="14" t="n">
        <v>3</v>
      </c>
      <c r="E1838" s="14" t="n">
        <v>0.657</v>
      </c>
      <c r="F1838" s="14" t="n">
        <v>0.75</v>
      </c>
      <c r="G1838" s="14" t="n">
        <v>2.25</v>
      </c>
      <c r="H1838" s="14" t="n">
        <v>2.1852</v>
      </c>
      <c r="I1838" s="14" t="n">
        <v>2.75355058898264</v>
      </c>
      <c r="J1838" s="14" t="n">
        <v>3.17798328354364</v>
      </c>
      <c r="K1838" s="14" t="n">
        <v>3.68470580204246</v>
      </c>
      <c r="L1838" s="14" t="n">
        <v>4.19786252173489</v>
      </c>
      <c r="M1838" s="14" t="n">
        <v>1.673</v>
      </c>
      <c r="N1838" s="14" t="n">
        <v>1.741</v>
      </c>
      <c r="O1838" s="14" t="n">
        <v>1.874</v>
      </c>
      <c r="P1838" s="14" t="n">
        <v>2.036</v>
      </c>
      <c r="Q1838" s="14" t="n">
        <v>2.25</v>
      </c>
      <c r="R1838" s="14" t="n">
        <v>2.25</v>
      </c>
      <c r="S1838" s="14" t="n">
        <v>13.75</v>
      </c>
    </row>
    <row r="1839" customFormat="false" ht="15" hidden="false" customHeight="false" outlineLevel="0" collapsed="false">
      <c r="A1839" s="13" t="n">
        <v>44862</v>
      </c>
      <c r="B1839" s="14" t="n">
        <v>3.05</v>
      </c>
      <c r="C1839" s="14" t="n">
        <v>3.25</v>
      </c>
      <c r="D1839" s="14" t="n">
        <v>3</v>
      </c>
      <c r="E1839" s="14" t="n">
        <v>0.656</v>
      </c>
      <c r="F1839" s="14" t="n">
        <v>0.75</v>
      </c>
      <c r="G1839" s="14" t="n">
        <v>2.25</v>
      </c>
      <c r="H1839" s="14" t="n">
        <v>2.1853</v>
      </c>
      <c r="I1839" s="14" t="n">
        <v>2.78623014917879</v>
      </c>
      <c r="J1839" s="14" t="n">
        <v>3.20850739224961</v>
      </c>
      <c r="K1839" s="14" t="n">
        <v>3.7230671722634</v>
      </c>
      <c r="L1839" s="14" t="n">
        <v>4.2600314241427</v>
      </c>
      <c r="M1839" s="14" t="n">
        <v>1.675</v>
      </c>
      <c r="N1839" s="14" t="n">
        <v>1.743</v>
      </c>
      <c r="O1839" s="14" t="n">
        <v>1.877</v>
      </c>
      <c r="P1839" s="14" t="n">
        <v>2.036</v>
      </c>
      <c r="Q1839" s="14" t="n">
        <v>2.25</v>
      </c>
      <c r="R1839" s="14" t="n">
        <v>2.25</v>
      </c>
      <c r="S1839" s="14" t="n">
        <v>13.75</v>
      </c>
    </row>
    <row r="1840" customFormat="false" ht="15" hidden="false" customHeight="false" outlineLevel="0" collapsed="false">
      <c r="A1840" s="13" t="n">
        <v>44865</v>
      </c>
      <c r="B1840" s="14" t="n">
        <v>3.05</v>
      </c>
      <c r="C1840" s="14" t="n">
        <v>3.25</v>
      </c>
      <c r="D1840" s="14" t="n">
        <v>3</v>
      </c>
      <c r="E1840" s="14" t="n">
        <v>0.648</v>
      </c>
      <c r="F1840" s="14" t="n">
        <v>0.75</v>
      </c>
      <c r="G1840" s="14" t="n">
        <v>2.25</v>
      </c>
      <c r="H1840" s="14" t="n">
        <v>2.1838</v>
      </c>
      <c r="I1840" s="14" t="n">
        <v>2.8494685638066</v>
      </c>
      <c r="J1840" s="14" t="n">
        <v>3.22599952177046</v>
      </c>
      <c r="K1840" s="14" t="n">
        <v>3.72403369860094</v>
      </c>
      <c r="L1840" s="14" t="n">
        <v>4.24634318631578</v>
      </c>
      <c r="M1840" s="14" t="n">
        <v>1.68</v>
      </c>
      <c r="N1840" s="14" t="n">
        <v>1.745</v>
      </c>
      <c r="O1840" s="14" t="n">
        <v>1.881</v>
      </c>
      <c r="P1840" s="14" t="n">
        <v>2.037</v>
      </c>
      <c r="Q1840" s="14" t="n">
        <v>2.25</v>
      </c>
      <c r="R1840" s="14" t="n">
        <v>2.25</v>
      </c>
      <c r="S1840" s="14" t="n">
        <v>13.75</v>
      </c>
    </row>
    <row r="1841" customFormat="false" ht="15" hidden="false" customHeight="false" outlineLevel="0" collapsed="false">
      <c r="A1841" s="13" t="n">
        <v>44866</v>
      </c>
      <c r="B1841" s="14" t="n">
        <v>3.05</v>
      </c>
      <c r="C1841" s="14" t="n">
        <v>3.25</v>
      </c>
      <c r="D1841" s="14" t="n">
        <v>3</v>
      </c>
      <c r="E1841" s="14" t="n">
        <v>0.659</v>
      </c>
      <c r="F1841" s="14" t="n">
        <v>0.75</v>
      </c>
      <c r="G1841" s="14" t="n">
        <v>2.25</v>
      </c>
      <c r="H1841" s="14" t="n">
        <v>2.1856</v>
      </c>
      <c r="I1841" s="14" t="n">
        <v>2.87179977571516</v>
      </c>
      <c r="J1841" s="14" t="n">
        <v>3.23607838297769</v>
      </c>
      <c r="K1841" s="14" t="n">
        <v>3.70697558655481</v>
      </c>
      <c r="L1841" s="14" t="n">
        <v>4.20233603229548</v>
      </c>
      <c r="M1841" s="14" t="n">
        <v>1.683</v>
      </c>
      <c r="N1841" s="14" t="n">
        <v>1.75</v>
      </c>
      <c r="O1841" s="14" t="n">
        <v>1.884</v>
      </c>
      <c r="P1841" s="14" t="n">
        <v>2.038</v>
      </c>
      <c r="Q1841" s="14" t="n">
        <v>2.25</v>
      </c>
      <c r="R1841" s="14" t="n">
        <v>2.25</v>
      </c>
      <c r="S1841" s="14" t="n">
        <v>13.75</v>
      </c>
    </row>
    <row r="1842" customFormat="false" ht="15" hidden="false" customHeight="false" outlineLevel="0" collapsed="false">
      <c r="A1842" s="13" t="n">
        <v>44867</v>
      </c>
      <c r="B1842" s="14" t="n">
        <v>3.05</v>
      </c>
      <c r="C1842" s="14" t="n">
        <v>3.25</v>
      </c>
      <c r="D1842" s="14" t="n">
        <v>3</v>
      </c>
      <c r="E1842" s="14" t="n">
        <v>1.403</v>
      </c>
      <c r="F1842" s="14" t="n">
        <v>1.5</v>
      </c>
      <c r="G1842" s="14" t="n">
        <v>2.25</v>
      </c>
      <c r="H1842" s="14" t="n">
        <v>2.1859</v>
      </c>
      <c r="I1842" s="14" t="n">
        <v>2.8885828471371</v>
      </c>
      <c r="J1842" s="14" t="n">
        <v>3.23776565013496</v>
      </c>
      <c r="K1842" s="14" t="n">
        <v>3.69556259319286</v>
      </c>
      <c r="L1842" s="14" t="n">
        <v>4.15785069720445</v>
      </c>
      <c r="M1842" s="14" t="n">
        <v>1.684</v>
      </c>
      <c r="N1842" s="14" t="n">
        <v>1.752</v>
      </c>
      <c r="O1842" s="14" t="n">
        <v>1.884</v>
      </c>
      <c r="P1842" s="14" t="n">
        <v>2.039</v>
      </c>
      <c r="Q1842" s="14" t="n">
        <v>2.25</v>
      </c>
      <c r="R1842" s="14" t="n">
        <v>2.25</v>
      </c>
      <c r="S1842" s="14" t="n">
        <v>13.75</v>
      </c>
    </row>
    <row r="1843" customFormat="false" ht="15" hidden="false" customHeight="false" outlineLevel="0" collapsed="false">
      <c r="A1843" s="13" t="n">
        <v>44868</v>
      </c>
      <c r="B1843" s="14" t="n">
        <v>3.8</v>
      </c>
      <c r="C1843" s="14" t="n">
        <v>4</v>
      </c>
      <c r="D1843" s="14" t="n">
        <v>3.75</v>
      </c>
      <c r="E1843" s="14" t="n">
        <v>1.403</v>
      </c>
      <c r="F1843" s="14" t="n">
        <v>1.5</v>
      </c>
      <c r="G1843" s="14" t="n">
        <v>3</v>
      </c>
      <c r="H1843" s="14" t="n">
        <v>2.9306</v>
      </c>
      <c r="I1843" s="14" t="n">
        <v>2.94525768170073</v>
      </c>
      <c r="J1843" s="14" t="n">
        <v>3.29382880550961</v>
      </c>
      <c r="K1843" s="14" t="n">
        <v>3.74841101048515</v>
      </c>
      <c r="L1843" s="14" t="n">
        <v>4.21035865087732</v>
      </c>
      <c r="M1843" s="14" t="n">
        <v>1.676</v>
      </c>
      <c r="N1843" s="14" t="n">
        <v>1.752</v>
      </c>
      <c r="O1843" s="14" t="n">
        <v>1.884</v>
      </c>
      <c r="P1843" s="14" t="n">
        <v>2.04</v>
      </c>
      <c r="Q1843" s="14" t="n">
        <v>2.25</v>
      </c>
      <c r="R1843" s="14" t="n">
        <v>2.25</v>
      </c>
      <c r="S1843" s="14" t="n">
        <v>13.75</v>
      </c>
    </row>
    <row r="1844" customFormat="false" ht="15" hidden="false" customHeight="false" outlineLevel="0" collapsed="false">
      <c r="A1844" s="13" t="n">
        <v>44869</v>
      </c>
      <c r="B1844" s="14" t="n">
        <v>3.8</v>
      </c>
      <c r="C1844" s="14" t="n">
        <v>4</v>
      </c>
      <c r="D1844" s="14" t="n">
        <v>3.75</v>
      </c>
      <c r="E1844" s="14" t="n">
        <v>1.401</v>
      </c>
      <c r="F1844" s="14" t="n">
        <v>1.5</v>
      </c>
      <c r="G1844" s="14" t="n">
        <v>3</v>
      </c>
      <c r="H1844" s="14" t="n">
        <v>2.9265</v>
      </c>
      <c r="I1844" s="14" t="n">
        <v>2.94432308422949</v>
      </c>
      <c r="J1844" s="14" t="n">
        <v>3.28960001257945</v>
      </c>
      <c r="K1844" s="14" t="n">
        <v>3.72474846857079</v>
      </c>
      <c r="L1844" s="14" t="n">
        <v>4.16464438403785</v>
      </c>
      <c r="M1844" s="14" t="n">
        <v>1.675</v>
      </c>
      <c r="N1844" s="14" t="n">
        <v>1.754</v>
      </c>
      <c r="O1844" s="14" t="n">
        <v>1.884</v>
      </c>
      <c r="P1844" s="14" t="n">
        <v>2.043</v>
      </c>
      <c r="Q1844" s="14" t="n">
        <v>2.5</v>
      </c>
      <c r="R1844" s="14" t="n">
        <v>2.5</v>
      </c>
      <c r="S1844" s="14" t="n">
        <v>13.75</v>
      </c>
    </row>
    <row r="1845" customFormat="false" ht="15" hidden="false" customHeight="false" outlineLevel="0" collapsed="false">
      <c r="A1845" s="13" t="n">
        <v>44872</v>
      </c>
      <c r="B1845" s="14" t="n">
        <v>3.78</v>
      </c>
      <c r="C1845" s="14" t="n">
        <v>4</v>
      </c>
      <c r="D1845" s="14" t="n">
        <v>3.75</v>
      </c>
      <c r="E1845" s="14" t="n">
        <v>1.4</v>
      </c>
      <c r="F1845" s="14" t="n">
        <v>1.5</v>
      </c>
      <c r="G1845" s="14" t="n">
        <v>3</v>
      </c>
      <c r="H1845" s="14" t="n">
        <v>2.9268</v>
      </c>
      <c r="I1845" s="14" t="n">
        <v>2.96047450622618</v>
      </c>
      <c r="J1845" s="14" t="n">
        <v>3.31895220435577</v>
      </c>
      <c r="K1845" s="14" t="n">
        <v>3.75355502709315</v>
      </c>
      <c r="L1845" s="14" t="n">
        <v>4.18951260074146</v>
      </c>
      <c r="M1845" s="14" t="n">
        <v>1.677</v>
      </c>
      <c r="N1845" s="14" t="n">
        <v>1.769</v>
      </c>
      <c r="O1845" s="14" t="n">
        <v>1.891</v>
      </c>
      <c r="P1845" s="14" t="n">
        <v>2.049</v>
      </c>
      <c r="Q1845" s="14" t="n">
        <v>2.5</v>
      </c>
      <c r="R1845" s="14" t="n">
        <v>2.5</v>
      </c>
      <c r="S1845" s="14" t="n">
        <v>13.75</v>
      </c>
    </row>
    <row r="1846" customFormat="false" ht="15" hidden="false" customHeight="false" outlineLevel="0" collapsed="false">
      <c r="A1846" s="13" t="n">
        <v>44873</v>
      </c>
      <c r="B1846" s="14" t="n">
        <v>3.78</v>
      </c>
      <c r="C1846" s="14" t="n">
        <v>4</v>
      </c>
      <c r="D1846" s="14" t="n">
        <v>3.75</v>
      </c>
      <c r="E1846" s="14" t="n">
        <v>1.4</v>
      </c>
      <c r="F1846" s="14" t="n">
        <v>1.5</v>
      </c>
      <c r="G1846" s="14" t="n">
        <v>3</v>
      </c>
      <c r="H1846" s="14" t="n">
        <v>2.9276</v>
      </c>
      <c r="I1846" s="14" t="n">
        <v>2.96189807286211</v>
      </c>
      <c r="J1846" s="14" t="n">
        <v>3.32225442318346</v>
      </c>
      <c r="K1846" s="14" t="n">
        <v>3.75625365585356</v>
      </c>
      <c r="L1846" s="14" t="n">
        <v>4.18821679086794</v>
      </c>
      <c r="M1846" s="14" t="n">
        <v>1.688</v>
      </c>
      <c r="N1846" s="14" t="n">
        <v>1.781</v>
      </c>
      <c r="O1846" s="14" t="n">
        <v>1.896</v>
      </c>
      <c r="P1846" s="14" t="n">
        <v>2.054</v>
      </c>
      <c r="Q1846" s="14" t="n">
        <v>2.5</v>
      </c>
      <c r="R1846" s="14" t="n">
        <v>2.5</v>
      </c>
      <c r="S1846" s="14" t="n">
        <v>13.75</v>
      </c>
    </row>
    <row r="1847" customFormat="false" ht="15" hidden="false" customHeight="false" outlineLevel="0" collapsed="false">
      <c r="A1847" s="13" t="n">
        <v>44874</v>
      </c>
      <c r="B1847" s="14" t="n">
        <v>3.78</v>
      </c>
      <c r="C1847" s="14" t="n">
        <v>4</v>
      </c>
      <c r="D1847" s="14" t="n">
        <v>3.75</v>
      </c>
      <c r="E1847" s="14" t="n">
        <v>1.4</v>
      </c>
      <c r="F1847" s="14" t="n">
        <v>1.5</v>
      </c>
      <c r="G1847" s="14" t="n">
        <v>3</v>
      </c>
      <c r="H1847" s="14" t="n">
        <v>2.9263</v>
      </c>
      <c r="I1847" s="14" t="n">
        <v>2.9618862989846</v>
      </c>
      <c r="J1847" s="14" t="n">
        <v>3.3298589140747</v>
      </c>
      <c r="K1847" s="14" t="n">
        <v>3.75529138595089</v>
      </c>
      <c r="L1847" s="14" t="n">
        <v>4.1734240094184</v>
      </c>
      <c r="M1847" s="14" t="n">
        <v>1.698</v>
      </c>
      <c r="N1847" s="14" t="n">
        <v>1.807</v>
      </c>
      <c r="O1847" s="14" t="n">
        <v>1.908</v>
      </c>
      <c r="P1847" s="14" t="n">
        <v>2.062</v>
      </c>
      <c r="Q1847" s="14" t="n">
        <v>2.5</v>
      </c>
      <c r="R1847" s="14" t="n">
        <v>2.5</v>
      </c>
      <c r="S1847" s="14" t="n">
        <v>13.75</v>
      </c>
    </row>
    <row r="1848" customFormat="false" ht="15" hidden="false" customHeight="false" outlineLevel="0" collapsed="false">
      <c r="A1848" s="13" t="n">
        <v>44875</v>
      </c>
      <c r="B1848" s="14" t="n">
        <v>3.78</v>
      </c>
      <c r="C1848" s="14" t="n">
        <v>4</v>
      </c>
      <c r="D1848" s="14" t="n">
        <v>3.75</v>
      </c>
      <c r="E1848" s="14" t="n">
        <v>1.402</v>
      </c>
      <c r="F1848" s="14" t="n">
        <v>1.5</v>
      </c>
      <c r="G1848" s="14" t="n">
        <v>3</v>
      </c>
      <c r="H1848" s="14" t="n">
        <v>2.9265</v>
      </c>
      <c r="I1848" s="14" t="n">
        <v>2.95638645097534</v>
      </c>
      <c r="J1848" s="14" t="n">
        <v>3.31455193937834</v>
      </c>
      <c r="K1848" s="14" t="n">
        <v>3.72421188234076</v>
      </c>
      <c r="L1848" s="14" t="n">
        <v>4.10049538830754</v>
      </c>
      <c r="M1848" s="14" t="n">
        <v>1.7</v>
      </c>
      <c r="N1848" s="14" t="n">
        <v>1.838</v>
      </c>
      <c r="O1848" s="14" t="n">
        <v>1.916</v>
      </c>
      <c r="P1848" s="14" t="n">
        <v>2.076</v>
      </c>
      <c r="Q1848" s="14" t="n">
        <v>2.5</v>
      </c>
      <c r="R1848" s="14" t="n">
        <v>2.5</v>
      </c>
      <c r="S1848" s="14" t="n">
        <v>13.75</v>
      </c>
    </row>
    <row r="1849" customFormat="false" ht="15" hidden="false" customHeight="false" outlineLevel="0" collapsed="false">
      <c r="A1849" s="13" t="n">
        <v>44876</v>
      </c>
      <c r="C1849" s="14" t="n">
        <v>4</v>
      </c>
      <c r="D1849" s="14" t="n">
        <v>3.75</v>
      </c>
      <c r="E1849" s="14" t="n">
        <v>1.404</v>
      </c>
      <c r="F1849" s="14" t="n">
        <v>1.5</v>
      </c>
      <c r="G1849" s="14" t="n">
        <v>3</v>
      </c>
      <c r="H1849" s="14" t="n">
        <v>2.9268</v>
      </c>
      <c r="I1849" s="14" t="n">
        <v>2.96202227987449</v>
      </c>
      <c r="J1849" s="14" t="n">
        <v>3.32120223197553</v>
      </c>
      <c r="K1849" s="14" t="n">
        <v>3.72783276604844</v>
      </c>
      <c r="L1849" s="14" t="n">
        <v>4.11906080928465</v>
      </c>
      <c r="M1849" s="14" t="n">
        <v>1.716</v>
      </c>
      <c r="N1849" s="14" t="n">
        <v>1.868</v>
      </c>
      <c r="O1849" s="14" t="n">
        <v>1.924</v>
      </c>
      <c r="P1849" s="14" t="n">
        <v>2.092</v>
      </c>
      <c r="Q1849" s="14" t="n">
        <v>2.5</v>
      </c>
      <c r="R1849" s="14" t="n">
        <v>2.5</v>
      </c>
      <c r="S1849" s="14" t="n">
        <v>13.75</v>
      </c>
    </row>
    <row r="1850" customFormat="false" ht="15" hidden="false" customHeight="false" outlineLevel="0" collapsed="false">
      <c r="A1850" s="13" t="n">
        <v>44879</v>
      </c>
      <c r="B1850" s="14" t="n">
        <v>3.79</v>
      </c>
      <c r="C1850" s="14" t="n">
        <v>4</v>
      </c>
      <c r="D1850" s="14" t="n">
        <v>3.75</v>
      </c>
      <c r="E1850" s="14" t="n">
        <v>1.401</v>
      </c>
      <c r="F1850" s="14" t="n">
        <v>1.5</v>
      </c>
      <c r="G1850" s="14" t="n">
        <v>3</v>
      </c>
      <c r="H1850" s="14" t="n">
        <v>2.9266</v>
      </c>
      <c r="I1850" s="14" t="n">
        <v>2.97500865067031</v>
      </c>
      <c r="J1850" s="14" t="n">
        <v>3.36873470053293</v>
      </c>
      <c r="K1850" s="14" t="n">
        <v>3.77643081089656</v>
      </c>
      <c r="L1850" s="14" t="n">
        <v>4.14518767888082</v>
      </c>
      <c r="M1850" s="14" t="n">
        <v>1.768</v>
      </c>
      <c r="N1850" s="14" t="n">
        <v>1.912</v>
      </c>
      <c r="O1850" s="14" t="n">
        <v>1.948</v>
      </c>
      <c r="P1850" s="14" t="n">
        <v>2.133</v>
      </c>
      <c r="Q1850" s="14" t="n">
        <v>2.5</v>
      </c>
      <c r="R1850" s="14" t="n">
        <v>2.5</v>
      </c>
      <c r="S1850" s="14" t="n">
        <v>13.75</v>
      </c>
    </row>
    <row r="1851" customFormat="false" ht="15" hidden="false" customHeight="false" outlineLevel="0" collapsed="false">
      <c r="A1851" s="13" t="n">
        <v>44880</v>
      </c>
      <c r="B1851" s="14" t="n">
        <v>3.8</v>
      </c>
      <c r="C1851" s="14" t="n">
        <v>4</v>
      </c>
      <c r="D1851" s="14" t="n">
        <v>3.75</v>
      </c>
      <c r="E1851" s="14" t="n">
        <v>1.4</v>
      </c>
      <c r="F1851" s="14" t="n">
        <v>1.5</v>
      </c>
      <c r="G1851" s="14" t="n">
        <v>3</v>
      </c>
      <c r="H1851" s="14" t="n">
        <v>2.9269</v>
      </c>
      <c r="I1851" s="14" t="n">
        <v>2.97553127385031</v>
      </c>
      <c r="J1851" s="14" t="n">
        <v>3.37854942317408</v>
      </c>
      <c r="K1851" s="14" t="n">
        <v>3.78227736960141</v>
      </c>
      <c r="L1851" s="14" t="n">
        <v>4.14137697924099</v>
      </c>
      <c r="M1851" s="14" t="n">
        <v>1.831</v>
      </c>
      <c r="N1851" s="14" t="n">
        <v>2.009</v>
      </c>
      <c r="O1851" s="14" t="n">
        <v>2.043</v>
      </c>
      <c r="P1851" s="14" t="n">
        <v>2.224</v>
      </c>
      <c r="Q1851" s="14" t="n">
        <v>2.5</v>
      </c>
      <c r="R1851" s="14" t="n">
        <v>2.5</v>
      </c>
      <c r="S1851" s="14" t="n">
        <v>13.75</v>
      </c>
    </row>
    <row r="1852" customFormat="false" ht="15" hidden="false" customHeight="false" outlineLevel="0" collapsed="false">
      <c r="A1852" s="13" t="n">
        <v>44881</v>
      </c>
      <c r="B1852" s="14" t="n">
        <v>3.81</v>
      </c>
      <c r="C1852" s="14" t="n">
        <v>4</v>
      </c>
      <c r="D1852" s="14" t="n">
        <v>3.75</v>
      </c>
      <c r="E1852" s="14" t="n">
        <v>1.401</v>
      </c>
      <c r="F1852" s="14" t="n">
        <v>1.5</v>
      </c>
      <c r="G1852" s="14" t="n">
        <v>3</v>
      </c>
      <c r="H1852" s="14" t="n">
        <v>2.9265</v>
      </c>
      <c r="I1852" s="14" t="n">
        <v>2.98843211114054</v>
      </c>
      <c r="J1852" s="14" t="n">
        <v>3.39150891976897</v>
      </c>
      <c r="K1852" s="14" t="n">
        <v>3.79684803312514</v>
      </c>
      <c r="L1852" s="14" t="n">
        <v>4.14901172246725</v>
      </c>
      <c r="M1852" s="14" t="n">
        <v>1.884</v>
      </c>
      <c r="N1852" s="14" t="n">
        <v>2.116</v>
      </c>
      <c r="O1852" s="14" t="n">
        <v>2.164</v>
      </c>
      <c r="P1852" s="14" t="n">
        <v>2.349</v>
      </c>
      <c r="Q1852" s="14" t="n">
        <v>2.5</v>
      </c>
      <c r="R1852" s="14" t="n">
        <v>2.5</v>
      </c>
      <c r="S1852" s="14" t="n">
        <v>13.75</v>
      </c>
    </row>
    <row r="1853" customFormat="false" ht="15" hidden="false" customHeight="false" outlineLevel="0" collapsed="false">
      <c r="A1853" s="13" t="n">
        <v>44882</v>
      </c>
      <c r="B1853" s="14" t="n">
        <v>3.8</v>
      </c>
      <c r="C1853" s="14" t="n">
        <v>4</v>
      </c>
      <c r="D1853" s="14" t="n">
        <v>3.75</v>
      </c>
      <c r="E1853" s="14" t="n">
        <v>1.402</v>
      </c>
      <c r="F1853" s="14" t="n">
        <v>1.5</v>
      </c>
      <c r="G1853" s="14" t="n">
        <v>3</v>
      </c>
      <c r="H1853" s="14" t="n">
        <v>2.9266</v>
      </c>
      <c r="I1853" s="14" t="n">
        <v>3.00752598611608</v>
      </c>
      <c r="J1853" s="14" t="n">
        <v>3.40906505067764</v>
      </c>
      <c r="K1853" s="14" t="n">
        <v>3.82694881620446</v>
      </c>
      <c r="L1853" s="14" t="n">
        <v>4.20513305550716</v>
      </c>
      <c r="M1853" s="14" t="n">
        <v>1.93</v>
      </c>
      <c r="N1853" s="14" t="n">
        <v>2.213</v>
      </c>
      <c r="O1853" s="14" t="n">
        <v>2.276</v>
      </c>
      <c r="P1853" s="14" t="n">
        <v>2.436</v>
      </c>
      <c r="Q1853" s="14" t="n">
        <v>2.5</v>
      </c>
      <c r="R1853" s="14" t="n">
        <v>2.5</v>
      </c>
      <c r="S1853" s="14" t="n">
        <v>13.75</v>
      </c>
    </row>
    <row r="1854" customFormat="false" ht="15" hidden="false" customHeight="false" outlineLevel="0" collapsed="false">
      <c r="A1854" s="13" t="n">
        <v>44883</v>
      </c>
      <c r="B1854" s="14" t="n">
        <v>3.8</v>
      </c>
      <c r="C1854" s="14" t="n">
        <v>4</v>
      </c>
      <c r="D1854" s="14" t="n">
        <v>3.75</v>
      </c>
      <c r="E1854" s="14" t="n">
        <v>1.403</v>
      </c>
      <c r="F1854" s="14" t="n">
        <v>1.5</v>
      </c>
      <c r="G1854" s="14" t="n">
        <v>3</v>
      </c>
      <c r="H1854" s="14" t="n">
        <v>2.9275</v>
      </c>
      <c r="I1854" s="14" t="n">
        <v>3.01600192107431</v>
      </c>
      <c r="J1854" s="14" t="n">
        <v>3.42045420796423</v>
      </c>
      <c r="K1854" s="14" t="n">
        <v>3.8378152071749</v>
      </c>
      <c r="L1854" s="14" t="n">
        <v>4.22047136224225</v>
      </c>
      <c r="M1854" s="14" t="n">
        <v>1.933</v>
      </c>
      <c r="N1854" s="14" t="n">
        <v>2.238</v>
      </c>
      <c r="O1854" s="14" t="n">
        <v>2.311</v>
      </c>
      <c r="P1854" s="14" t="n">
        <v>2.449</v>
      </c>
      <c r="Q1854" s="14" t="n">
        <v>2.5</v>
      </c>
      <c r="R1854" s="14" t="n">
        <v>2.5</v>
      </c>
      <c r="S1854" s="14" t="n">
        <v>13.75</v>
      </c>
    </row>
    <row r="1855" customFormat="false" ht="15" hidden="false" customHeight="false" outlineLevel="0" collapsed="false">
      <c r="A1855" s="13" t="n">
        <v>44886</v>
      </c>
      <c r="B1855" s="14" t="n">
        <v>3.8</v>
      </c>
      <c r="C1855" s="14" t="n">
        <v>4</v>
      </c>
      <c r="D1855" s="14" t="n">
        <v>3.75</v>
      </c>
      <c r="E1855" s="14" t="n">
        <v>1.403</v>
      </c>
      <c r="F1855" s="14" t="n">
        <v>1.5</v>
      </c>
      <c r="G1855" s="14" t="n">
        <v>3</v>
      </c>
      <c r="H1855" s="14" t="n">
        <v>2.9275</v>
      </c>
      <c r="I1855" s="14" t="n">
        <v>3.04120269635015</v>
      </c>
      <c r="J1855" s="14" t="n">
        <v>3.43869642061129</v>
      </c>
      <c r="K1855" s="14" t="n">
        <v>3.84633080737212</v>
      </c>
      <c r="L1855" s="14" t="n">
        <v>4.21583994251374</v>
      </c>
      <c r="M1855" s="14" t="n">
        <v>1.938</v>
      </c>
      <c r="N1855" s="14" t="n">
        <v>2.241</v>
      </c>
      <c r="O1855" s="14" t="n">
        <v>2.34</v>
      </c>
      <c r="P1855" s="14" t="n">
        <v>2.463</v>
      </c>
      <c r="Q1855" s="14" t="n">
        <v>2.5</v>
      </c>
      <c r="R1855" s="14" t="n">
        <v>2.5</v>
      </c>
      <c r="S1855" s="14" t="n">
        <v>13.75</v>
      </c>
    </row>
    <row r="1856" customFormat="false" ht="15" hidden="false" customHeight="false" outlineLevel="0" collapsed="false">
      <c r="A1856" s="13" t="n">
        <v>44887</v>
      </c>
      <c r="B1856" s="14" t="n">
        <v>3.8</v>
      </c>
      <c r="C1856" s="14" t="n">
        <v>4</v>
      </c>
      <c r="D1856" s="14" t="n">
        <v>3.75</v>
      </c>
      <c r="E1856" s="14" t="n">
        <v>1.404</v>
      </c>
      <c r="F1856" s="14" t="n">
        <v>1.5</v>
      </c>
      <c r="G1856" s="14" t="n">
        <v>3</v>
      </c>
      <c r="H1856" s="14" t="n">
        <v>2.9271</v>
      </c>
      <c r="I1856" s="14" t="n">
        <v>3.05080512673593</v>
      </c>
      <c r="J1856" s="14" t="n">
        <v>3.44445679815981</v>
      </c>
      <c r="K1856" s="14" t="n">
        <v>3.84483268757797</v>
      </c>
      <c r="L1856" s="14" t="n">
        <v>4.20115614032926</v>
      </c>
      <c r="M1856" s="14" t="n">
        <v>1.947</v>
      </c>
      <c r="N1856" s="14" t="n">
        <v>2.248</v>
      </c>
      <c r="O1856" s="14" t="n">
        <v>2.356</v>
      </c>
      <c r="P1856" s="14" t="n">
        <v>2.476</v>
      </c>
      <c r="Q1856" s="14" t="n">
        <v>2.5</v>
      </c>
      <c r="R1856" s="14" t="n">
        <v>2.5</v>
      </c>
      <c r="S1856" s="14" t="n">
        <v>13.75</v>
      </c>
    </row>
    <row r="1857" customFormat="false" ht="15" hidden="false" customHeight="false" outlineLevel="0" collapsed="false">
      <c r="A1857" s="13" t="n">
        <v>44888</v>
      </c>
      <c r="B1857" s="14" t="n">
        <v>3.79</v>
      </c>
      <c r="C1857" s="14" t="n">
        <v>4</v>
      </c>
      <c r="D1857" s="14" t="n">
        <v>3.75</v>
      </c>
      <c r="E1857" s="14" t="n">
        <v>1.405</v>
      </c>
      <c r="F1857" s="14" t="n">
        <v>1.5</v>
      </c>
      <c r="G1857" s="14" t="n">
        <v>3</v>
      </c>
      <c r="H1857" s="14" t="n">
        <v>2.9271</v>
      </c>
      <c r="I1857" s="14" t="n">
        <v>3.0646779120864</v>
      </c>
      <c r="J1857" s="14" t="n">
        <v>3.46151077461521</v>
      </c>
      <c r="K1857" s="14" t="n">
        <v>3.86143417009104</v>
      </c>
      <c r="L1857" s="14" t="n">
        <v>4.22813663027573</v>
      </c>
      <c r="M1857" s="14" t="n">
        <v>1.949</v>
      </c>
      <c r="N1857" s="14" t="n">
        <v>2.25</v>
      </c>
      <c r="O1857" s="14" t="n">
        <v>2.36</v>
      </c>
      <c r="P1857" s="14" t="n">
        <v>2.482</v>
      </c>
      <c r="Q1857" s="14" t="n">
        <v>2.5</v>
      </c>
      <c r="R1857" s="14" t="n">
        <v>2.5</v>
      </c>
      <c r="S1857" s="14" t="n">
        <v>13.75</v>
      </c>
    </row>
    <row r="1858" customFormat="false" ht="15" hidden="false" customHeight="false" outlineLevel="0" collapsed="false">
      <c r="A1858" s="13" t="n">
        <v>44889</v>
      </c>
      <c r="C1858" s="14" t="n">
        <v>4</v>
      </c>
      <c r="D1858" s="14" t="n">
        <v>3.75</v>
      </c>
      <c r="E1858" s="14" t="n">
        <v>1.405</v>
      </c>
      <c r="F1858" s="14" t="n">
        <v>1.5</v>
      </c>
      <c r="G1858" s="14" t="n">
        <v>3</v>
      </c>
      <c r="H1858" s="14" t="n">
        <v>2.9277</v>
      </c>
      <c r="I1858" s="14" t="n">
        <v>3.07997331131886</v>
      </c>
      <c r="J1858" s="14" t="n">
        <v>3.46757651540683</v>
      </c>
      <c r="K1858" s="14" t="n">
        <v>3.85995349085565</v>
      </c>
      <c r="L1858" s="14" t="n">
        <v>4.24057391583541</v>
      </c>
      <c r="M1858" s="14" t="n">
        <v>1.94</v>
      </c>
      <c r="N1858" s="14" t="n">
        <v>2.195</v>
      </c>
      <c r="O1858" s="14" t="n">
        <v>2.316</v>
      </c>
      <c r="P1858" s="14" t="n">
        <v>2.437</v>
      </c>
      <c r="Q1858" s="14" t="n">
        <v>2.5</v>
      </c>
      <c r="R1858" s="14" t="n">
        <v>2.5</v>
      </c>
      <c r="S1858" s="14" t="n">
        <v>13.75</v>
      </c>
    </row>
    <row r="1859" customFormat="false" ht="15" hidden="false" customHeight="false" outlineLevel="0" collapsed="false">
      <c r="A1859" s="13" t="n">
        <v>44890</v>
      </c>
      <c r="B1859" s="14" t="n">
        <v>3.8</v>
      </c>
      <c r="C1859" s="14" t="n">
        <v>4</v>
      </c>
      <c r="D1859" s="14" t="n">
        <v>3.75</v>
      </c>
      <c r="E1859" s="14" t="n">
        <v>1.403</v>
      </c>
      <c r="F1859" s="14" t="n">
        <v>1.5</v>
      </c>
      <c r="G1859" s="14" t="n">
        <v>3</v>
      </c>
      <c r="H1859" s="14" t="n">
        <v>2.9278</v>
      </c>
      <c r="I1859" s="14" t="n">
        <v>3.0981050025482</v>
      </c>
      <c r="J1859" s="14" t="n">
        <v>3.48285780446698</v>
      </c>
      <c r="K1859" s="14" t="n">
        <v>3.87464035913358</v>
      </c>
      <c r="L1859" s="14" t="n">
        <v>4.25764568277328</v>
      </c>
      <c r="M1859" s="14" t="n">
        <v>1.924</v>
      </c>
      <c r="N1859" s="14" t="n">
        <v>2.188</v>
      </c>
      <c r="O1859" s="14" t="n">
        <v>2.302</v>
      </c>
      <c r="P1859" s="14" t="n">
        <v>2.419</v>
      </c>
      <c r="Q1859" s="14" t="n">
        <v>2.5</v>
      </c>
      <c r="R1859" s="14" t="n">
        <v>2.5</v>
      </c>
      <c r="S1859" s="14" t="n">
        <v>13.75</v>
      </c>
    </row>
    <row r="1860" customFormat="false" ht="15" hidden="false" customHeight="false" outlineLevel="0" collapsed="false">
      <c r="A1860" s="13" t="n">
        <v>44893</v>
      </c>
      <c r="B1860" s="14" t="n">
        <v>3.8</v>
      </c>
      <c r="C1860" s="14" t="n">
        <v>4</v>
      </c>
      <c r="D1860" s="14" t="n">
        <v>3.75</v>
      </c>
      <c r="E1860" s="14" t="n">
        <v>1.403</v>
      </c>
      <c r="F1860" s="14" t="n">
        <v>1.5</v>
      </c>
      <c r="G1860" s="14" t="n">
        <v>3</v>
      </c>
      <c r="H1860" s="14" t="n">
        <v>2.9278</v>
      </c>
      <c r="I1860" s="14" t="n">
        <v>3.1517239363556</v>
      </c>
      <c r="J1860" s="14" t="n">
        <v>3.51470246395121</v>
      </c>
      <c r="K1860" s="14" t="n">
        <v>3.89350748648002</v>
      </c>
      <c r="L1860" s="14" t="n">
        <v>4.25458175050917</v>
      </c>
      <c r="M1860" s="14" t="n">
        <v>1.913</v>
      </c>
      <c r="N1860" s="14" t="n">
        <v>2.185</v>
      </c>
      <c r="O1860" s="14" t="n">
        <v>2.298</v>
      </c>
      <c r="P1860" s="14" t="n">
        <v>2.417</v>
      </c>
      <c r="Q1860" s="14" t="n">
        <v>2.5</v>
      </c>
      <c r="R1860" s="14" t="n">
        <v>2.5</v>
      </c>
      <c r="S1860" s="14" t="n">
        <v>13.75</v>
      </c>
    </row>
    <row r="1861" customFormat="false" ht="15" hidden="false" customHeight="false" outlineLevel="0" collapsed="false">
      <c r="A1861" s="13" t="n">
        <v>44894</v>
      </c>
      <c r="B1861" s="14" t="n">
        <v>3.81</v>
      </c>
      <c r="C1861" s="14" t="n">
        <v>4</v>
      </c>
      <c r="D1861" s="14" t="n">
        <v>3.75</v>
      </c>
      <c r="E1861" s="14" t="n">
        <v>1.402</v>
      </c>
      <c r="F1861" s="14" t="n">
        <v>1.5</v>
      </c>
      <c r="G1861" s="14" t="n">
        <v>3</v>
      </c>
      <c r="H1861" s="14" t="n">
        <v>2.9282</v>
      </c>
      <c r="I1861" s="14" t="n">
        <v>3.18370990234932</v>
      </c>
      <c r="J1861" s="14" t="n">
        <v>3.54305557261158</v>
      </c>
      <c r="K1861" s="14" t="n">
        <v>3.91223144680023</v>
      </c>
      <c r="L1861" s="14" t="n">
        <v>4.25774267452032</v>
      </c>
      <c r="M1861" s="14" t="n">
        <v>1.909</v>
      </c>
      <c r="N1861" s="14" t="n">
        <v>2.186</v>
      </c>
      <c r="O1861" s="14" t="n">
        <v>2.302</v>
      </c>
      <c r="P1861" s="14" t="n">
        <v>2.423</v>
      </c>
      <c r="Q1861" s="14" t="n">
        <v>2.5</v>
      </c>
      <c r="R1861" s="14" t="n">
        <v>2.5</v>
      </c>
      <c r="S1861" s="14" t="n">
        <v>13.75</v>
      </c>
    </row>
    <row r="1862" customFormat="false" ht="15" hidden="false" customHeight="false" outlineLevel="0" collapsed="false">
      <c r="A1862" s="13" t="n">
        <v>44895</v>
      </c>
      <c r="B1862" s="14" t="n">
        <v>3.82</v>
      </c>
      <c r="C1862" s="14" t="n">
        <v>4</v>
      </c>
      <c r="D1862" s="14" t="n">
        <v>3.75</v>
      </c>
      <c r="E1862" s="14" t="n">
        <v>1.391</v>
      </c>
      <c r="F1862" s="14" t="n">
        <v>1.5</v>
      </c>
      <c r="G1862" s="14" t="n">
        <v>3</v>
      </c>
      <c r="H1862" s="14" t="n">
        <v>2.9273</v>
      </c>
      <c r="I1862" s="14" t="n">
        <v>3.1785538255423</v>
      </c>
      <c r="J1862" s="14" t="n">
        <v>3.53954026221346</v>
      </c>
      <c r="K1862" s="14" t="n">
        <v>3.91013811729555</v>
      </c>
      <c r="L1862" s="14" t="n">
        <v>4.26708013107835</v>
      </c>
      <c r="M1862" s="14" t="n">
        <v>1.915</v>
      </c>
      <c r="N1862" s="14" t="n">
        <v>2.193</v>
      </c>
      <c r="O1862" s="14" t="n">
        <v>2.305</v>
      </c>
      <c r="P1862" s="14" t="n">
        <v>2.435</v>
      </c>
      <c r="Q1862" s="14" t="n">
        <v>2.5</v>
      </c>
      <c r="R1862" s="14" t="n">
        <v>2.5</v>
      </c>
      <c r="S1862" s="14" t="n">
        <v>13.75</v>
      </c>
    </row>
    <row r="1863" customFormat="false" ht="15" hidden="false" customHeight="false" outlineLevel="0" collapsed="false">
      <c r="A1863" s="13" t="n">
        <v>44896</v>
      </c>
      <c r="B1863" s="14" t="n">
        <v>3.82</v>
      </c>
      <c r="C1863" s="14" t="n">
        <v>4</v>
      </c>
      <c r="D1863" s="14" t="n">
        <v>3.75</v>
      </c>
      <c r="E1863" s="14" t="n">
        <v>1.4</v>
      </c>
      <c r="F1863" s="14" t="n">
        <v>1.5</v>
      </c>
      <c r="G1863" s="14" t="n">
        <v>3</v>
      </c>
      <c r="H1863" s="14" t="n">
        <v>2.9279</v>
      </c>
      <c r="I1863" s="14" t="n">
        <v>3.19972540811622</v>
      </c>
      <c r="J1863" s="14" t="n">
        <v>3.53685556657241</v>
      </c>
      <c r="K1863" s="14" t="n">
        <v>3.89417783978752</v>
      </c>
      <c r="L1863" s="14" t="n">
        <v>4.22975402080485</v>
      </c>
      <c r="M1863" s="14" t="n">
        <v>1.919</v>
      </c>
      <c r="N1863" s="14" t="n">
        <v>2.197</v>
      </c>
      <c r="O1863" s="14" t="n">
        <v>2.308</v>
      </c>
      <c r="P1863" s="14" t="n">
        <v>2.445</v>
      </c>
      <c r="Q1863" s="14" t="n">
        <v>2.5</v>
      </c>
      <c r="R1863" s="14" t="n">
        <v>2.5</v>
      </c>
      <c r="S1863" s="14" t="n">
        <v>13.75</v>
      </c>
    </row>
    <row r="1864" customFormat="false" ht="15" hidden="false" customHeight="false" outlineLevel="0" collapsed="false">
      <c r="A1864" s="13" t="n">
        <v>44897</v>
      </c>
      <c r="B1864" s="14" t="n">
        <v>3.81</v>
      </c>
      <c r="C1864" s="14" t="n">
        <v>4</v>
      </c>
      <c r="D1864" s="14" t="n">
        <v>3.75</v>
      </c>
      <c r="E1864" s="14" t="n">
        <v>1.4</v>
      </c>
      <c r="F1864" s="14" t="n">
        <v>1.5</v>
      </c>
      <c r="G1864" s="14" t="n">
        <v>3</v>
      </c>
      <c r="H1864" s="14" t="n">
        <v>2.9281</v>
      </c>
      <c r="I1864" s="14" t="n">
        <v>3.22107643301861</v>
      </c>
      <c r="J1864" s="14" t="n">
        <v>3.55001626107682</v>
      </c>
      <c r="K1864" s="14" t="n">
        <v>3.90884573472163</v>
      </c>
      <c r="L1864" s="14" t="n">
        <v>4.25062013635798</v>
      </c>
      <c r="M1864" s="14" t="n">
        <v>1.923</v>
      </c>
      <c r="N1864" s="14" t="n">
        <v>2.2</v>
      </c>
      <c r="O1864" s="14" t="n">
        <v>2.316</v>
      </c>
      <c r="P1864" s="14" t="n">
        <v>2.454</v>
      </c>
      <c r="Q1864" s="14" t="n">
        <v>2.5</v>
      </c>
      <c r="R1864" s="14" t="n">
        <v>2.5</v>
      </c>
      <c r="S1864" s="14" t="n">
        <v>13.75</v>
      </c>
    </row>
    <row r="1865" customFormat="false" ht="15" hidden="false" customHeight="false" outlineLevel="0" collapsed="false">
      <c r="A1865" s="13" t="n">
        <v>44900</v>
      </c>
      <c r="B1865" s="14" t="n">
        <v>3.81</v>
      </c>
      <c r="C1865" s="14" t="n">
        <v>4</v>
      </c>
      <c r="D1865" s="14" t="n">
        <v>3.75</v>
      </c>
      <c r="E1865" s="14" t="n">
        <v>1.398</v>
      </c>
      <c r="F1865" s="14" t="n">
        <v>1.5</v>
      </c>
      <c r="G1865" s="14" t="n">
        <v>3</v>
      </c>
      <c r="H1865" s="14" t="n">
        <v>2.9279</v>
      </c>
      <c r="I1865" s="14" t="n">
        <v>3.2848050712995</v>
      </c>
      <c r="J1865" s="14" t="n">
        <v>3.58653426607856</v>
      </c>
      <c r="K1865" s="14" t="n">
        <v>3.94023554375973</v>
      </c>
      <c r="L1865" s="14" t="n">
        <v>4.28068650996713</v>
      </c>
      <c r="M1865" s="14" t="n">
        <v>1.929</v>
      </c>
      <c r="N1865" s="14" t="n">
        <v>2.201</v>
      </c>
      <c r="O1865" s="14" t="n">
        <v>2.327</v>
      </c>
      <c r="P1865" s="14" t="n">
        <v>2.46</v>
      </c>
      <c r="Q1865" s="14" t="n">
        <v>2.5</v>
      </c>
      <c r="R1865" s="14" t="n">
        <v>2.5</v>
      </c>
      <c r="S1865" s="14" t="n">
        <v>13.75</v>
      </c>
    </row>
    <row r="1866" customFormat="false" ht="15" hidden="false" customHeight="false" outlineLevel="0" collapsed="false">
      <c r="A1866" s="13" t="n">
        <v>44901</v>
      </c>
      <c r="B1866" s="14" t="n">
        <v>3.8</v>
      </c>
      <c r="C1866" s="14" t="n">
        <v>4</v>
      </c>
      <c r="D1866" s="14" t="n">
        <v>3.75</v>
      </c>
      <c r="E1866" s="14" t="n">
        <v>1.406</v>
      </c>
      <c r="F1866" s="14" t="n">
        <v>1.5</v>
      </c>
      <c r="G1866" s="14" t="n">
        <v>3</v>
      </c>
      <c r="H1866" s="14" t="n">
        <v>2.9284</v>
      </c>
      <c r="I1866" s="14" t="n">
        <v>3.3009934430753</v>
      </c>
      <c r="J1866" s="14" t="n">
        <v>3.5955455658645</v>
      </c>
      <c r="K1866" s="14" t="n">
        <v>3.94327140882884</v>
      </c>
      <c r="L1866" s="14" t="n">
        <v>4.27848722994664</v>
      </c>
      <c r="M1866" s="14" t="n">
        <v>1.935</v>
      </c>
      <c r="N1866" s="14" t="n">
        <v>2.207</v>
      </c>
      <c r="O1866" s="14" t="n">
        <v>2.335</v>
      </c>
      <c r="P1866" s="14" t="n">
        <v>2.465</v>
      </c>
      <c r="Q1866" s="14" t="n">
        <v>2.5</v>
      </c>
      <c r="R1866" s="14" t="n">
        <v>2.5</v>
      </c>
      <c r="S1866" s="14" t="n">
        <v>13.75</v>
      </c>
    </row>
    <row r="1867" customFormat="false" ht="15" hidden="false" customHeight="false" outlineLevel="0" collapsed="false">
      <c r="A1867" s="13" t="n">
        <v>44902</v>
      </c>
      <c r="B1867" s="14" t="n">
        <v>3.8</v>
      </c>
      <c r="C1867" s="14" t="n">
        <v>4</v>
      </c>
      <c r="D1867" s="14" t="n">
        <v>3.75</v>
      </c>
      <c r="E1867" s="14" t="n">
        <v>1.399</v>
      </c>
      <c r="F1867" s="14" t="n">
        <v>1.5</v>
      </c>
      <c r="G1867" s="14" t="n">
        <v>3</v>
      </c>
      <c r="H1867" s="14" t="n">
        <v>2.9275</v>
      </c>
      <c r="I1867" s="14" t="n">
        <v>3.31846342960992</v>
      </c>
      <c r="J1867" s="14" t="n">
        <v>3.60274674235103</v>
      </c>
      <c r="K1867" s="14" t="n">
        <v>3.94314415332951</v>
      </c>
      <c r="L1867" s="14" t="n">
        <v>4.26182234311242</v>
      </c>
      <c r="M1867" s="14" t="n">
        <v>1.952</v>
      </c>
      <c r="N1867" s="14" t="n">
        <v>2.231</v>
      </c>
      <c r="O1867" s="14" t="n">
        <v>2.353</v>
      </c>
      <c r="P1867" s="14" t="n">
        <v>2.476</v>
      </c>
      <c r="Q1867" s="14" t="n">
        <v>2.5</v>
      </c>
      <c r="R1867" s="14" t="n">
        <v>2.5</v>
      </c>
      <c r="S1867" s="14" t="n">
        <v>13.75</v>
      </c>
    </row>
    <row r="1868" customFormat="false" ht="15" hidden="false" customHeight="false" outlineLevel="0" collapsed="false">
      <c r="A1868" s="13" t="n">
        <v>44903</v>
      </c>
      <c r="B1868" s="14" t="n">
        <v>3.8</v>
      </c>
      <c r="C1868" s="14" t="n">
        <v>4</v>
      </c>
      <c r="D1868" s="14" t="n">
        <v>3.75</v>
      </c>
      <c r="E1868" s="14" t="n">
        <v>1.4</v>
      </c>
      <c r="F1868" s="14" t="n">
        <v>1.5</v>
      </c>
      <c r="G1868" s="14" t="n">
        <v>3</v>
      </c>
      <c r="H1868" s="14" t="n">
        <v>2.9281</v>
      </c>
      <c r="I1868" s="14" t="n">
        <v>3.33551821251877</v>
      </c>
      <c r="J1868" s="14" t="n">
        <v>3.60617686278521</v>
      </c>
      <c r="K1868" s="14" t="n">
        <v>3.93611408267283</v>
      </c>
      <c r="L1868" s="14" t="n">
        <v>4.24438779048944</v>
      </c>
      <c r="M1868" s="14" t="n">
        <v>1.967</v>
      </c>
      <c r="N1868" s="14" t="n">
        <v>2.25</v>
      </c>
      <c r="O1868" s="14" t="n">
        <v>2.3695</v>
      </c>
      <c r="P1868" s="14" t="n">
        <v>2.488</v>
      </c>
      <c r="Q1868" s="14" t="n">
        <v>2.5</v>
      </c>
      <c r="R1868" s="14" t="n">
        <v>2.5</v>
      </c>
      <c r="S1868" s="14" t="n">
        <v>13.75</v>
      </c>
    </row>
    <row r="1869" customFormat="false" ht="15" hidden="false" customHeight="false" outlineLevel="0" collapsed="false">
      <c r="A1869" s="13" t="n">
        <v>44904</v>
      </c>
      <c r="B1869" s="14" t="n">
        <v>3.8</v>
      </c>
      <c r="C1869" s="14" t="n">
        <v>4</v>
      </c>
      <c r="D1869" s="14" t="n">
        <v>3.75</v>
      </c>
      <c r="E1869" s="14" t="n">
        <v>1.4</v>
      </c>
      <c r="F1869" s="14" t="n">
        <v>1.5</v>
      </c>
      <c r="G1869" s="14" t="n">
        <v>3</v>
      </c>
      <c r="H1869" s="14" t="n">
        <v>2.9284</v>
      </c>
      <c r="I1869" s="14" t="n">
        <v>3.36324863541264</v>
      </c>
      <c r="J1869" s="14" t="n">
        <v>3.62484391897094</v>
      </c>
      <c r="K1869" s="14" t="n">
        <v>3.94826240744062</v>
      </c>
      <c r="L1869" s="14" t="n">
        <v>4.25370451215869</v>
      </c>
      <c r="M1869" s="14" t="n">
        <v>1.978</v>
      </c>
      <c r="N1869" s="14" t="n">
        <v>2.259</v>
      </c>
      <c r="O1869" s="14" t="n">
        <v>2.379</v>
      </c>
      <c r="P1869" s="14" t="n">
        <v>2.5</v>
      </c>
      <c r="Q1869" s="14" t="n">
        <v>2.5</v>
      </c>
      <c r="R1869" s="14" t="n">
        <v>2.5</v>
      </c>
      <c r="S1869" s="14" t="n">
        <v>13.75</v>
      </c>
    </row>
    <row r="1870" customFormat="false" ht="15" hidden="false" customHeight="false" outlineLevel="0" collapsed="false">
      <c r="A1870" s="13" t="n">
        <v>44907</v>
      </c>
      <c r="B1870" s="14" t="n">
        <v>3.8</v>
      </c>
      <c r="C1870" s="14" t="n">
        <v>4</v>
      </c>
      <c r="D1870" s="14" t="n">
        <v>3.75</v>
      </c>
      <c r="E1870" s="14" t="n">
        <v>1.4</v>
      </c>
      <c r="F1870" s="14" t="n">
        <v>1.5</v>
      </c>
      <c r="G1870" s="14" t="n">
        <v>3</v>
      </c>
      <c r="H1870" s="14" t="n">
        <v>2.9289</v>
      </c>
      <c r="I1870" s="14" t="n">
        <v>3.42526282933241</v>
      </c>
      <c r="J1870" s="14" t="n">
        <v>3.66614421779692</v>
      </c>
      <c r="K1870" s="14" t="n">
        <v>3.98968587794963</v>
      </c>
      <c r="L1870" s="14" t="n">
        <v>4.30756996310477</v>
      </c>
      <c r="M1870" s="14" t="n">
        <v>2.006</v>
      </c>
      <c r="N1870" s="14" t="n">
        <v>2.273</v>
      </c>
      <c r="O1870" s="14" t="n">
        <v>2.392</v>
      </c>
      <c r="P1870" s="14" t="n">
        <v>2.514</v>
      </c>
      <c r="Q1870" s="14" t="n">
        <v>2.5</v>
      </c>
      <c r="R1870" s="14" t="n">
        <v>2.5</v>
      </c>
      <c r="S1870" s="14" t="n">
        <v>13.75</v>
      </c>
    </row>
    <row r="1871" customFormat="false" ht="15" hidden="false" customHeight="false" outlineLevel="0" collapsed="false">
      <c r="A1871" s="13" t="n">
        <v>44908</v>
      </c>
      <c r="B1871" s="14" t="n">
        <v>3.8</v>
      </c>
      <c r="C1871" s="14" t="n">
        <v>4</v>
      </c>
      <c r="D1871" s="14" t="n">
        <v>3.75</v>
      </c>
      <c r="E1871" s="14" t="n">
        <v>1.4</v>
      </c>
      <c r="F1871" s="14" t="n">
        <v>1.5</v>
      </c>
      <c r="G1871" s="14" t="n">
        <v>3</v>
      </c>
      <c r="H1871" s="14" t="n">
        <v>2.9287</v>
      </c>
      <c r="I1871" s="14" t="n">
        <v>3.4546669836272</v>
      </c>
      <c r="J1871" s="14" t="n">
        <v>3.70283259492974</v>
      </c>
      <c r="K1871" s="14" t="n">
        <v>4.03743759672558</v>
      </c>
      <c r="L1871" s="14" t="n">
        <v>4.36014670697441</v>
      </c>
      <c r="M1871" s="14" t="n">
        <v>2.037</v>
      </c>
      <c r="N1871" s="14" t="n">
        <v>2.283</v>
      </c>
      <c r="O1871" s="14" t="n">
        <v>2.403</v>
      </c>
      <c r="P1871" s="14" t="n">
        <v>2.532</v>
      </c>
      <c r="Q1871" s="14" t="n">
        <v>2.5</v>
      </c>
      <c r="R1871" s="14" t="n">
        <v>2.5</v>
      </c>
      <c r="S1871" s="14" t="n">
        <v>13.75</v>
      </c>
    </row>
    <row r="1872" customFormat="false" ht="15" hidden="false" customHeight="false" outlineLevel="0" collapsed="false">
      <c r="A1872" s="13" t="n">
        <v>44909</v>
      </c>
      <c r="B1872" s="14" t="n">
        <v>3.8</v>
      </c>
      <c r="C1872" s="14" t="n">
        <v>4</v>
      </c>
      <c r="D1872" s="14" t="n">
        <v>3.75</v>
      </c>
      <c r="E1872" s="14" t="n">
        <v>1.402</v>
      </c>
      <c r="F1872" s="14" t="n">
        <v>1.5</v>
      </c>
      <c r="G1872" s="14" t="n">
        <v>3</v>
      </c>
      <c r="H1872" s="14" t="n">
        <v>2.9288</v>
      </c>
      <c r="I1872" s="14" t="n">
        <v>3.44027028584253</v>
      </c>
      <c r="J1872" s="14" t="n">
        <v>3.65891428011999</v>
      </c>
      <c r="K1872" s="14" t="n">
        <v>3.96695360642581</v>
      </c>
      <c r="L1872" s="14" t="n">
        <v>4.25844949523054</v>
      </c>
      <c r="M1872" s="14" t="n">
        <v>2.065</v>
      </c>
      <c r="N1872" s="14" t="n">
        <v>2.298</v>
      </c>
      <c r="O1872" s="14" t="n">
        <v>2.412</v>
      </c>
      <c r="P1872" s="14" t="n">
        <v>2.547</v>
      </c>
      <c r="Q1872" s="14" t="n">
        <v>2.5</v>
      </c>
      <c r="R1872" s="14" t="n">
        <v>2.5</v>
      </c>
      <c r="S1872" s="14" t="n">
        <v>13.75</v>
      </c>
    </row>
    <row r="1873" customFormat="false" ht="15" hidden="false" customHeight="false" outlineLevel="0" collapsed="false">
      <c r="A1873" s="13" t="n">
        <v>44910</v>
      </c>
      <c r="B1873" s="14" t="n">
        <v>4.32</v>
      </c>
      <c r="C1873" s="14" t="n">
        <v>4.5</v>
      </c>
      <c r="D1873" s="14" t="n">
        <v>4.25</v>
      </c>
      <c r="E1873" s="14" t="n">
        <v>1.403</v>
      </c>
      <c r="F1873" s="14" t="n">
        <v>1.5</v>
      </c>
      <c r="G1873" s="14" t="n">
        <v>3.5</v>
      </c>
      <c r="H1873" s="14" t="n">
        <v>3.4269</v>
      </c>
      <c r="I1873" s="14" t="n">
        <v>3.42580578281957</v>
      </c>
      <c r="J1873" s="14" t="n">
        <v>3.6326092231323</v>
      </c>
      <c r="K1873" s="14" t="n">
        <v>3.93281270136463</v>
      </c>
      <c r="L1873" s="14" t="n">
        <v>4.22266016050107</v>
      </c>
      <c r="M1873" s="14" t="n">
        <v>2.123</v>
      </c>
      <c r="N1873" s="14" t="n">
        <v>2.321</v>
      </c>
      <c r="O1873" s="14" t="n">
        <v>2.434</v>
      </c>
      <c r="P1873" s="14" t="n">
        <v>2.569</v>
      </c>
      <c r="Q1873" s="14" t="n">
        <v>2.5</v>
      </c>
      <c r="R1873" s="14" t="n">
        <v>2.5</v>
      </c>
      <c r="S1873" s="14" t="n">
        <v>13.75</v>
      </c>
    </row>
    <row r="1874" customFormat="false" ht="15" hidden="false" customHeight="false" outlineLevel="0" collapsed="false">
      <c r="A1874" s="13" t="n">
        <v>44911</v>
      </c>
      <c r="B1874" s="14" t="n">
        <v>4.32</v>
      </c>
      <c r="C1874" s="14" t="n">
        <v>4.5</v>
      </c>
      <c r="D1874" s="14" t="n">
        <v>4.25</v>
      </c>
      <c r="E1874" s="14" t="n">
        <v>1.402</v>
      </c>
      <c r="F1874" s="14" t="n">
        <v>1.5</v>
      </c>
      <c r="G1874" s="14" t="n">
        <v>3.5</v>
      </c>
      <c r="H1874" s="14" t="n">
        <v>3.4273</v>
      </c>
      <c r="I1874" s="14" t="n">
        <v>3.42998977717956</v>
      </c>
      <c r="J1874" s="14" t="n">
        <v>3.64672459127349</v>
      </c>
      <c r="K1874" s="14" t="n">
        <v>3.96414862117072</v>
      </c>
      <c r="L1874" s="14" t="n">
        <v>4.28116996041536</v>
      </c>
      <c r="M1874" s="14" t="n">
        <v>2.171</v>
      </c>
      <c r="N1874" s="14" t="n">
        <v>2.339</v>
      </c>
      <c r="O1874" s="14" t="n">
        <v>2.45</v>
      </c>
      <c r="P1874" s="14" t="n">
        <v>2.587</v>
      </c>
      <c r="Q1874" s="14" t="n">
        <v>2.75</v>
      </c>
      <c r="R1874" s="14" t="n">
        <v>2.75</v>
      </c>
      <c r="S1874" s="14" t="n">
        <v>13.75</v>
      </c>
    </row>
    <row r="1875" customFormat="false" ht="15" hidden="false" customHeight="false" outlineLevel="0" collapsed="false">
      <c r="A1875" s="13" t="n">
        <v>44914</v>
      </c>
      <c r="B1875" s="14" t="n">
        <v>4.3</v>
      </c>
      <c r="C1875" s="14" t="n">
        <v>4.5</v>
      </c>
      <c r="D1875" s="14" t="n">
        <v>4.25</v>
      </c>
      <c r="E1875" s="14" t="n">
        <v>1.403</v>
      </c>
      <c r="F1875" s="14" t="n">
        <v>1.5</v>
      </c>
      <c r="G1875" s="14" t="n">
        <v>3.5</v>
      </c>
      <c r="H1875" s="14" t="n">
        <v>3.4269</v>
      </c>
      <c r="I1875" s="14" t="n">
        <v>3.43176675822842</v>
      </c>
      <c r="J1875" s="14" t="n">
        <v>3.67159962238314</v>
      </c>
      <c r="K1875" s="14" t="n">
        <v>4.007933075626</v>
      </c>
      <c r="L1875" s="14" t="n">
        <v>4.33879831727926</v>
      </c>
      <c r="M1875" s="14" t="n">
        <v>2.21</v>
      </c>
      <c r="N1875" s="14" t="n">
        <v>2.355</v>
      </c>
      <c r="O1875" s="14" t="n">
        <v>2.458</v>
      </c>
      <c r="P1875" s="14" t="n">
        <v>2.596</v>
      </c>
      <c r="Q1875" s="14" t="n">
        <v>2.75</v>
      </c>
      <c r="R1875" s="14" t="n">
        <v>2.75</v>
      </c>
      <c r="S1875" s="14" t="n">
        <v>13.75</v>
      </c>
    </row>
    <row r="1876" customFormat="false" ht="15" hidden="false" customHeight="false" outlineLevel="0" collapsed="false">
      <c r="A1876" s="13" t="n">
        <v>44915</v>
      </c>
      <c r="B1876" s="14" t="n">
        <v>4.3</v>
      </c>
      <c r="C1876" s="14" t="n">
        <v>4.5</v>
      </c>
      <c r="D1876" s="14" t="n">
        <v>4.25</v>
      </c>
      <c r="E1876" s="14" t="n">
        <v>1.403</v>
      </c>
      <c r="F1876" s="14" t="n">
        <v>1.5</v>
      </c>
      <c r="G1876" s="14" t="n">
        <v>3.5</v>
      </c>
      <c r="H1876" s="14" t="n">
        <v>3.4273</v>
      </c>
      <c r="I1876" s="14" t="n">
        <v>3.43564782183689</v>
      </c>
      <c r="J1876" s="14" t="n">
        <v>3.67880947396646</v>
      </c>
      <c r="K1876" s="14" t="n">
        <v>4.00677953426833</v>
      </c>
      <c r="L1876" s="14" t="n">
        <v>4.33489456468703</v>
      </c>
      <c r="M1876" s="14" t="n">
        <v>2.222</v>
      </c>
      <c r="N1876" s="14" t="n">
        <v>2.361</v>
      </c>
      <c r="O1876" s="14" t="n">
        <v>2.461</v>
      </c>
      <c r="P1876" s="14" t="n">
        <v>2.603</v>
      </c>
      <c r="Q1876" s="14" t="n">
        <v>2.75</v>
      </c>
      <c r="R1876" s="14" t="n">
        <v>2.75</v>
      </c>
      <c r="S1876" s="14" t="n">
        <v>13.75</v>
      </c>
    </row>
    <row r="1877" customFormat="false" ht="15" hidden="false" customHeight="false" outlineLevel="0" collapsed="false">
      <c r="A1877" s="13" t="n">
        <v>44916</v>
      </c>
      <c r="B1877" s="14" t="n">
        <v>4.3</v>
      </c>
      <c r="C1877" s="14" t="n">
        <v>4.5</v>
      </c>
      <c r="D1877" s="14" t="n">
        <v>4.25</v>
      </c>
      <c r="E1877" s="14" t="n">
        <v>1.902</v>
      </c>
      <c r="F1877" s="14" t="n">
        <v>2</v>
      </c>
      <c r="G1877" s="14" t="n">
        <v>3.5</v>
      </c>
      <c r="H1877" s="14" t="n">
        <v>3.4275</v>
      </c>
      <c r="I1877" s="14" t="n">
        <v>3.43522947474123</v>
      </c>
      <c r="J1877" s="14" t="n">
        <v>3.68162236956391</v>
      </c>
      <c r="K1877" s="14" t="n">
        <v>3.99935223338893</v>
      </c>
      <c r="L1877" s="14" t="n">
        <v>4.30289708371747</v>
      </c>
      <c r="M1877" s="14" t="n">
        <v>2.246</v>
      </c>
      <c r="N1877" s="14" t="n">
        <v>2.384</v>
      </c>
      <c r="O1877" s="14" t="n">
        <v>2.471</v>
      </c>
      <c r="P1877" s="14" t="n">
        <v>2.613</v>
      </c>
      <c r="Q1877" s="14" t="n">
        <v>2.75</v>
      </c>
      <c r="R1877" s="14" t="n">
        <v>2.75</v>
      </c>
      <c r="S1877" s="14" t="n">
        <v>13.75</v>
      </c>
    </row>
    <row r="1878" customFormat="false" ht="15" hidden="false" customHeight="false" outlineLevel="0" collapsed="false">
      <c r="A1878" s="13" t="n">
        <v>44917</v>
      </c>
      <c r="B1878" s="14" t="n">
        <v>4.3</v>
      </c>
      <c r="C1878" s="14" t="n">
        <v>4.5</v>
      </c>
      <c r="D1878" s="14" t="n">
        <v>4.25</v>
      </c>
      <c r="E1878" s="14" t="n">
        <v>1.904</v>
      </c>
      <c r="F1878" s="14" t="n">
        <v>2</v>
      </c>
      <c r="G1878" s="14" t="n">
        <v>3.5</v>
      </c>
      <c r="H1878" s="14" t="n">
        <v>3.4275</v>
      </c>
      <c r="I1878" s="14" t="n">
        <v>3.43757249879952</v>
      </c>
      <c r="J1878" s="14" t="n">
        <v>3.68637132598694</v>
      </c>
      <c r="K1878" s="14" t="n">
        <v>4.01441292564774</v>
      </c>
      <c r="L1878" s="14" t="n">
        <v>4.33721144373473</v>
      </c>
      <c r="M1878" s="14" t="n">
        <v>2.271</v>
      </c>
      <c r="N1878" s="14" t="n">
        <v>2.395</v>
      </c>
      <c r="O1878" s="14" t="n">
        <v>2.48</v>
      </c>
      <c r="P1878" s="14" t="n">
        <v>2.617</v>
      </c>
      <c r="Q1878" s="14" t="n">
        <v>2.75</v>
      </c>
      <c r="R1878" s="14" t="n">
        <v>2.75</v>
      </c>
      <c r="S1878" s="14" t="n">
        <v>13.75</v>
      </c>
    </row>
    <row r="1879" customFormat="false" ht="15" hidden="false" customHeight="false" outlineLevel="0" collapsed="false">
      <c r="A1879" s="13" t="n">
        <v>44918</v>
      </c>
      <c r="B1879" s="14" t="n">
        <v>4.3</v>
      </c>
      <c r="C1879" s="14" t="n">
        <v>4.5</v>
      </c>
      <c r="D1879" s="14" t="n">
        <v>4.25</v>
      </c>
      <c r="E1879" s="14" t="n">
        <v>1.907</v>
      </c>
      <c r="F1879" s="14" t="n">
        <v>2</v>
      </c>
      <c r="G1879" s="14" t="n">
        <v>3.5</v>
      </c>
      <c r="H1879" s="14" t="n">
        <v>3.4281</v>
      </c>
      <c r="I1879" s="14" t="n">
        <v>3.4412346687343</v>
      </c>
      <c r="J1879" s="14" t="n">
        <v>3.6937553789265</v>
      </c>
      <c r="K1879" s="14" t="n">
        <v>4.02272828832074</v>
      </c>
      <c r="L1879" s="14" t="n">
        <v>4.35143675025902</v>
      </c>
      <c r="M1879" s="14" t="n">
        <v>2.287</v>
      </c>
      <c r="N1879" s="14" t="n">
        <v>2.402</v>
      </c>
      <c r="O1879" s="14" t="n">
        <v>2.489</v>
      </c>
      <c r="P1879" s="14" t="n">
        <v>2.626</v>
      </c>
      <c r="Q1879" s="14" t="n">
        <v>2.75</v>
      </c>
      <c r="R1879" s="14" t="n">
        <v>2.75</v>
      </c>
      <c r="S1879" s="14" t="n">
        <v>13.75</v>
      </c>
    </row>
    <row r="1880" customFormat="false" ht="15" hidden="false" customHeight="false" outlineLevel="0" collapsed="false">
      <c r="A1880" s="13" t="n">
        <v>44921</v>
      </c>
      <c r="C1880" s="14" t="n">
        <v>4.5</v>
      </c>
      <c r="D1880" s="14" t="n">
        <v>4.25</v>
      </c>
      <c r="F1880" s="14" t="n">
        <v>2</v>
      </c>
      <c r="M1880" s="14" t="n">
        <v>2.306</v>
      </c>
      <c r="N1880" s="14" t="n">
        <v>2.405</v>
      </c>
      <c r="O1880" s="14" t="n">
        <v>2.494</v>
      </c>
      <c r="P1880" s="14" t="n">
        <v>2.623</v>
      </c>
      <c r="S1880" s="14" t="n">
        <v>13.75</v>
      </c>
    </row>
    <row r="1881" customFormat="false" ht="15" hidden="false" customHeight="false" outlineLevel="0" collapsed="false">
      <c r="A1881" s="13" t="n">
        <v>44922</v>
      </c>
      <c r="B1881" s="14" t="n">
        <v>4.3</v>
      </c>
      <c r="C1881" s="14" t="n">
        <v>4.5</v>
      </c>
      <c r="D1881" s="14" t="n">
        <v>4.25</v>
      </c>
      <c r="E1881" s="14" t="n">
        <v>1.906</v>
      </c>
      <c r="F1881" s="14" t="n">
        <v>2</v>
      </c>
      <c r="M1881" s="14" t="n">
        <v>2.321</v>
      </c>
      <c r="N1881" s="14" t="n">
        <v>2.411</v>
      </c>
      <c r="O1881" s="14" t="n">
        <v>2.498</v>
      </c>
      <c r="P1881" s="14" t="n">
        <v>2.62</v>
      </c>
      <c r="Q1881" s="14" t="n">
        <v>2.75</v>
      </c>
      <c r="R1881" s="14" t="n">
        <v>2.75</v>
      </c>
      <c r="S1881" s="14" t="n">
        <v>13.75</v>
      </c>
    </row>
    <row r="1882" customFormat="false" ht="15" hidden="false" customHeight="false" outlineLevel="0" collapsed="false">
      <c r="A1882" s="13" t="n">
        <v>44923</v>
      </c>
      <c r="B1882" s="14" t="n">
        <v>4.3</v>
      </c>
      <c r="C1882" s="14" t="n">
        <v>4.5</v>
      </c>
      <c r="D1882" s="14" t="n">
        <v>4.25</v>
      </c>
      <c r="E1882" s="14" t="n">
        <v>1.906</v>
      </c>
      <c r="F1882" s="14" t="n">
        <v>2</v>
      </c>
      <c r="G1882" s="14" t="n">
        <v>3.5</v>
      </c>
      <c r="H1882" s="14" t="n">
        <v>3.4282</v>
      </c>
      <c r="I1882" s="14" t="n">
        <v>3.44895314188542</v>
      </c>
      <c r="J1882" s="14" t="n">
        <v>3.72767969209903</v>
      </c>
      <c r="K1882" s="14" t="n">
        <v>4.04695320716812</v>
      </c>
      <c r="L1882" s="14" t="n">
        <v>4.35360441116383</v>
      </c>
      <c r="M1882" s="14" t="n">
        <v>2.332</v>
      </c>
      <c r="N1882" s="14" t="n">
        <v>2.416</v>
      </c>
      <c r="O1882" s="14" t="n">
        <v>2.504</v>
      </c>
      <c r="P1882" s="14" t="n">
        <v>2.62</v>
      </c>
      <c r="Q1882" s="14" t="n">
        <v>2.75</v>
      </c>
      <c r="R1882" s="14" t="n">
        <v>2.75</v>
      </c>
      <c r="S1882" s="14" t="n">
        <v>13.75</v>
      </c>
    </row>
    <row r="1883" customFormat="false" ht="15" hidden="false" customHeight="false" outlineLevel="0" collapsed="false">
      <c r="A1883" s="13" t="n">
        <v>44924</v>
      </c>
      <c r="B1883" s="14" t="n">
        <v>4.3</v>
      </c>
      <c r="C1883" s="14" t="n">
        <v>4.5</v>
      </c>
      <c r="D1883" s="14" t="n">
        <v>4.25</v>
      </c>
      <c r="E1883" s="14" t="n">
        <v>1.905</v>
      </c>
      <c r="F1883" s="14" t="n">
        <v>2</v>
      </c>
      <c r="G1883" s="14" t="n">
        <v>3.5</v>
      </c>
      <c r="H1883" s="14" t="n">
        <v>3.4281</v>
      </c>
      <c r="I1883" s="14" t="n">
        <v>3.45111556191623</v>
      </c>
      <c r="J1883" s="14" t="n">
        <v>3.72323530246787</v>
      </c>
      <c r="K1883" s="14" t="n">
        <v>4.03924172184654</v>
      </c>
      <c r="L1883" s="14" t="n">
        <v>4.34919102575226</v>
      </c>
      <c r="M1883" s="14" t="n">
        <v>2.34</v>
      </c>
      <c r="N1883" s="14" t="n">
        <v>2.418</v>
      </c>
      <c r="O1883" s="14" t="n">
        <v>2.505</v>
      </c>
      <c r="P1883" s="14" t="n">
        <v>2.619</v>
      </c>
      <c r="Q1883" s="14" t="n">
        <v>2.75</v>
      </c>
      <c r="R1883" s="14" t="n">
        <v>2.75</v>
      </c>
      <c r="S1883" s="14" t="n">
        <v>13.75</v>
      </c>
    </row>
    <row r="1884" customFormat="false" ht="15" hidden="false" customHeight="false" outlineLevel="0" collapsed="false">
      <c r="A1884" s="13" t="n">
        <v>44925</v>
      </c>
      <c r="B1884" s="14" t="n">
        <v>4.3</v>
      </c>
      <c r="C1884" s="14" t="n">
        <v>4.5</v>
      </c>
      <c r="D1884" s="14" t="n">
        <v>4.25</v>
      </c>
      <c r="E1884" s="14" t="n">
        <v>1.89</v>
      </c>
      <c r="F1884" s="14" t="n">
        <v>2</v>
      </c>
      <c r="G1884" s="14" t="n">
        <v>3.5</v>
      </c>
      <c r="H1884" s="14" t="n">
        <v>3.4282</v>
      </c>
      <c r="I1884" s="14" t="n">
        <v>3.45306168351585</v>
      </c>
      <c r="J1884" s="14" t="n">
        <v>3.73113973187416</v>
      </c>
      <c r="K1884" s="14" t="n">
        <v>4.04952373566119</v>
      </c>
      <c r="L1884" s="14" t="n">
        <v>4.36110316087148</v>
      </c>
      <c r="M1884" s="14" t="n">
        <v>2.346</v>
      </c>
      <c r="N1884" s="14" t="n">
        <v>2.422</v>
      </c>
      <c r="O1884" s="14" t="n">
        <v>2.508</v>
      </c>
      <c r="P1884" s="14" t="n">
        <v>2.619</v>
      </c>
      <c r="Q1884" s="14" t="n">
        <v>2.75</v>
      </c>
      <c r="R1884" s="14" t="n">
        <v>2.75</v>
      </c>
      <c r="S1884" s="14" t="n">
        <v>13.75</v>
      </c>
    </row>
    <row r="1885" customFormat="false" ht="15" hidden="false" customHeight="false" outlineLevel="0" collapsed="false">
      <c r="A1885" s="13" t="n">
        <v>44928</v>
      </c>
      <c r="C1885" s="14" t="n">
        <v>4.5</v>
      </c>
      <c r="D1885" s="14" t="n">
        <v>4.25</v>
      </c>
      <c r="E1885" s="14" t="n">
        <v>1.906</v>
      </c>
      <c r="F1885" s="14" t="n">
        <v>2</v>
      </c>
      <c r="Q1885" s="14" t="n">
        <v>2.75</v>
      </c>
      <c r="R1885" s="14" t="n">
        <v>2.75</v>
      </c>
      <c r="S1885" s="14" t="n">
        <v>13.75</v>
      </c>
    </row>
    <row r="1886" customFormat="false" ht="15" hidden="false" customHeight="false" outlineLevel="0" collapsed="false">
      <c r="A1886" s="13" t="n">
        <v>44929</v>
      </c>
      <c r="B1886" s="14" t="n">
        <v>4.31</v>
      </c>
      <c r="C1886" s="14" t="n">
        <v>4.5</v>
      </c>
      <c r="D1886" s="14" t="n">
        <v>4.25</v>
      </c>
      <c r="E1886" s="14" t="n">
        <v>1.904</v>
      </c>
      <c r="F1886" s="14" t="n">
        <v>2</v>
      </c>
      <c r="G1886" s="14" t="n">
        <v>3.5</v>
      </c>
      <c r="H1886" s="14" t="n">
        <v>3.4269</v>
      </c>
      <c r="I1886" s="14" t="n">
        <v>3.47340451217267</v>
      </c>
      <c r="J1886" s="14" t="n">
        <v>3.76269223718877</v>
      </c>
      <c r="K1886" s="14" t="n">
        <v>4.05361406146554</v>
      </c>
      <c r="L1886" s="14" t="n">
        <v>4.32643796782096</v>
      </c>
      <c r="M1886" s="14" t="n">
        <v>2.334</v>
      </c>
      <c r="N1886" s="14" t="n">
        <v>2.415</v>
      </c>
      <c r="O1886" s="14" t="n">
        <v>2.503</v>
      </c>
      <c r="P1886" s="14" t="n">
        <v>2.611</v>
      </c>
      <c r="Q1886" s="14" t="n">
        <v>2.75</v>
      </c>
      <c r="R1886" s="14" t="n">
        <v>2.75</v>
      </c>
      <c r="S1886" s="14" t="n">
        <v>13.75</v>
      </c>
    </row>
    <row r="1887" customFormat="false" ht="15" hidden="false" customHeight="false" outlineLevel="0" collapsed="false">
      <c r="A1887" s="13" t="n">
        <v>44930</v>
      </c>
      <c r="B1887" s="14" t="n">
        <v>4.3</v>
      </c>
      <c r="C1887" s="14" t="n">
        <v>4.5</v>
      </c>
      <c r="D1887" s="14" t="n">
        <v>4.25</v>
      </c>
      <c r="E1887" s="14" t="n">
        <v>1.904</v>
      </c>
      <c r="F1887" s="14" t="n">
        <v>2</v>
      </c>
      <c r="G1887" s="14" t="n">
        <v>3.5</v>
      </c>
      <c r="H1887" s="14" t="n">
        <v>3.4267</v>
      </c>
      <c r="I1887" s="14" t="n">
        <v>3.4840177284575</v>
      </c>
      <c r="J1887" s="14" t="n">
        <v>3.75479022014055</v>
      </c>
      <c r="K1887" s="14" t="n">
        <v>4.02245540485163</v>
      </c>
      <c r="L1887" s="14" t="n">
        <v>4.26237441836763</v>
      </c>
      <c r="M1887" s="14" t="n">
        <v>2.255</v>
      </c>
      <c r="N1887" s="14" t="n">
        <v>2.38</v>
      </c>
      <c r="O1887" s="14" t="n">
        <v>2.468</v>
      </c>
      <c r="P1887" s="14" t="n">
        <v>2.577</v>
      </c>
      <c r="Q1887" s="14" t="n">
        <v>2.75</v>
      </c>
      <c r="R1887" s="14" t="n">
        <v>2.75</v>
      </c>
      <c r="S1887" s="14" t="n">
        <v>13.75</v>
      </c>
    </row>
    <row r="1888" customFormat="false" ht="15" hidden="false" customHeight="false" outlineLevel="0" collapsed="false">
      <c r="A1888" s="13" t="n">
        <v>44931</v>
      </c>
      <c r="B1888" s="14" t="n">
        <v>4.31</v>
      </c>
      <c r="C1888" s="14" t="n">
        <v>4.5</v>
      </c>
      <c r="D1888" s="14" t="n">
        <v>4.25</v>
      </c>
      <c r="E1888" s="14" t="n">
        <v>1.9</v>
      </c>
      <c r="F1888" s="14" t="n">
        <v>2</v>
      </c>
      <c r="G1888" s="14" t="n">
        <v>3.5</v>
      </c>
      <c r="H1888" s="14" t="n">
        <v>3.4271</v>
      </c>
      <c r="I1888" s="14" t="n">
        <v>3.49402671720613</v>
      </c>
      <c r="J1888" s="14" t="n">
        <v>3.78801412457309</v>
      </c>
      <c r="K1888" s="14" t="n">
        <v>4.08033735576409</v>
      </c>
      <c r="L1888" s="14" t="n">
        <v>4.34807733682454</v>
      </c>
      <c r="M1888" s="14" t="n">
        <v>2.189</v>
      </c>
      <c r="N1888" s="14" t="n">
        <v>2.352</v>
      </c>
      <c r="O1888" s="14" t="n">
        <v>2.435</v>
      </c>
      <c r="P1888" s="14" t="n">
        <v>2.542</v>
      </c>
      <c r="Q1888" s="14" t="n">
        <v>2.75</v>
      </c>
      <c r="R1888" s="14" t="n">
        <v>2.75</v>
      </c>
      <c r="S1888" s="14" t="n">
        <v>13.75</v>
      </c>
    </row>
    <row r="1889" customFormat="false" ht="15" hidden="false" customHeight="false" outlineLevel="0" collapsed="false">
      <c r="A1889" s="13" t="n">
        <v>44932</v>
      </c>
      <c r="B1889" s="14" t="n">
        <v>4.31</v>
      </c>
      <c r="C1889" s="14" t="n">
        <v>4.5</v>
      </c>
      <c r="D1889" s="14" t="n">
        <v>4.25</v>
      </c>
      <c r="E1889" s="14" t="n">
        <v>1.898</v>
      </c>
      <c r="F1889" s="14" t="n">
        <v>2</v>
      </c>
      <c r="G1889" s="14" t="n">
        <v>3.5</v>
      </c>
      <c r="H1889" s="14" t="n">
        <v>3.4272</v>
      </c>
      <c r="I1889" s="14" t="n">
        <v>3.49722575157463</v>
      </c>
      <c r="J1889" s="14" t="n">
        <v>3.7835340019397</v>
      </c>
      <c r="K1889" s="14" t="n">
        <v>4.05926847511273</v>
      </c>
      <c r="L1889" s="14" t="n">
        <v>4.29673494719814</v>
      </c>
      <c r="M1889" s="14" t="n">
        <v>2.15</v>
      </c>
      <c r="N1889" s="14" t="n">
        <v>2.335</v>
      </c>
      <c r="O1889" s="14" t="n">
        <v>2.411</v>
      </c>
      <c r="P1889" s="14" t="n">
        <v>2.523</v>
      </c>
      <c r="Q1889" s="14" t="n">
        <v>2.75</v>
      </c>
      <c r="R1889" s="14" t="n">
        <v>2.75</v>
      </c>
      <c r="S1889" s="14" t="n">
        <v>13.75</v>
      </c>
    </row>
    <row r="1890" customFormat="false" ht="15" hidden="false" customHeight="false" outlineLevel="0" collapsed="false">
      <c r="A1890" s="13" t="n">
        <v>44935</v>
      </c>
      <c r="B1890" s="14" t="n">
        <v>4.31</v>
      </c>
      <c r="C1890" s="14" t="n">
        <v>4.5</v>
      </c>
      <c r="D1890" s="14" t="n">
        <v>4.25</v>
      </c>
      <c r="E1890" s="14" t="n">
        <v>1.9</v>
      </c>
      <c r="F1890" s="14" t="n">
        <v>2</v>
      </c>
      <c r="G1890" s="14" t="n">
        <v>3.5</v>
      </c>
      <c r="H1890" s="14" t="n">
        <v>3.4273</v>
      </c>
      <c r="I1890" s="14" t="n">
        <v>3.52782961579396</v>
      </c>
      <c r="J1890" s="14" t="n">
        <v>3.81670545439355</v>
      </c>
      <c r="K1890" s="14" t="n">
        <v>4.07162322895277</v>
      </c>
      <c r="L1890" s="14" t="n">
        <v>4.26706654193673</v>
      </c>
      <c r="M1890" s="14" t="n">
        <v>2.135</v>
      </c>
      <c r="N1890" s="14" t="n">
        <v>2.331</v>
      </c>
      <c r="O1890" s="14" t="n">
        <v>2.406</v>
      </c>
      <c r="P1890" s="14" t="n">
        <v>2.518</v>
      </c>
      <c r="Q1890" s="14" t="n">
        <v>2.75</v>
      </c>
      <c r="R1890" s="14" t="n">
        <v>2.75</v>
      </c>
      <c r="S1890" s="14" t="n">
        <v>13.75</v>
      </c>
    </row>
    <row r="1891" customFormat="false" ht="15" hidden="false" customHeight="false" outlineLevel="0" collapsed="false">
      <c r="A1891" s="13" t="n">
        <v>44936</v>
      </c>
      <c r="B1891" s="14" t="n">
        <v>4.31</v>
      </c>
      <c r="C1891" s="14" t="n">
        <v>4.5</v>
      </c>
      <c r="D1891" s="14" t="n">
        <v>4.25</v>
      </c>
      <c r="E1891" s="14" t="n">
        <v>1.9</v>
      </c>
      <c r="F1891" s="14" t="n">
        <v>2</v>
      </c>
      <c r="G1891" s="14" t="n">
        <v>3.5</v>
      </c>
      <c r="H1891" s="14" t="n">
        <v>3.4272</v>
      </c>
      <c r="I1891" s="14" t="n">
        <v>3.53277207477634</v>
      </c>
      <c r="J1891" s="14" t="n">
        <v>3.82109130455374</v>
      </c>
      <c r="K1891" s="14" t="n">
        <v>4.08033183234129</v>
      </c>
      <c r="L1891" s="14" t="n">
        <v>4.28945798605401</v>
      </c>
      <c r="M1891" s="14" t="n">
        <v>2.138</v>
      </c>
      <c r="N1891" s="14" t="n">
        <v>2.338</v>
      </c>
      <c r="O1891" s="14" t="n">
        <v>2.414</v>
      </c>
      <c r="P1891" s="14" t="n">
        <v>2.523</v>
      </c>
      <c r="Q1891" s="14" t="n">
        <v>2.75</v>
      </c>
      <c r="R1891" s="14" t="n">
        <v>2.75</v>
      </c>
      <c r="S1891" s="14" t="n">
        <v>13.75</v>
      </c>
    </row>
    <row r="1892" customFormat="false" ht="15" hidden="false" customHeight="false" outlineLevel="0" collapsed="false">
      <c r="A1892" s="13" t="n">
        <v>44937</v>
      </c>
      <c r="B1892" s="14" t="n">
        <v>4.3</v>
      </c>
      <c r="C1892" s="14" t="n">
        <v>4.5</v>
      </c>
      <c r="D1892" s="14" t="n">
        <v>4.25</v>
      </c>
      <c r="E1892" s="14" t="n">
        <v>1.9</v>
      </c>
      <c r="F1892" s="14" t="n">
        <v>2</v>
      </c>
      <c r="G1892" s="14" t="n">
        <v>3.5</v>
      </c>
      <c r="H1892" s="14" t="n">
        <v>3.4274</v>
      </c>
      <c r="I1892" s="14" t="n">
        <v>3.54190673117635</v>
      </c>
      <c r="J1892" s="14" t="n">
        <v>3.81902897092085</v>
      </c>
      <c r="K1892" s="14" t="n">
        <v>4.05835430426632</v>
      </c>
      <c r="L1892" s="14" t="n">
        <v>4.22993063260824</v>
      </c>
      <c r="M1892" s="14" t="n">
        <v>2.174</v>
      </c>
      <c r="N1892" s="14" t="n">
        <v>2.347</v>
      </c>
      <c r="O1892" s="14" t="n">
        <v>2.428</v>
      </c>
      <c r="P1892" s="14" t="n">
        <v>2.54</v>
      </c>
      <c r="Q1892" s="14" t="n">
        <v>2.75</v>
      </c>
      <c r="R1892" s="14" t="n">
        <v>2.75</v>
      </c>
      <c r="S1892" s="14" t="n">
        <v>13.75</v>
      </c>
    </row>
    <row r="1893" customFormat="false" ht="15" hidden="false" customHeight="false" outlineLevel="0" collapsed="false">
      <c r="A1893" s="13" t="n">
        <v>44938</v>
      </c>
      <c r="B1893" s="14" t="n">
        <v>4.3</v>
      </c>
      <c r="C1893" s="14" t="n">
        <v>4.5</v>
      </c>
      <c r="D1893" s="14" t="n">
        <v>4.25</v>
      </c>
      <c r="E1893" s="14" t="n">
        <v>1.9</v>
      </c>
      <c r="F1893" s="14" t="n">
        <v>2</v>
      </c>
      <c r="G1893" s="14" t="n">
        <v>3.5</v>
      </c>
      <c r="H1893" s="14" t="n">
        <v>3.4274</v>
      </c>
      <c r="I1893" s="14" t="n">
        <v>3.54659683678699</v>
      </c>
      <c r="J1893" s="14" t="n">
        <v>3.82602073761926</v>
      </c>
      <c r="K1893" s="14" t="n">
        <v>4.05711515489685</v>
      </c>
      <c r="L1893" s="14" t="n">
        <v>4.19676474433578</v>
      </c>
      <c r="M1893" s="14" t="n">
        <v>2.194</v>
      </c>
      <c r="N1893" s="14" t="n">
        <v>2.353</v>
      </c>
      <c r="O1893" s="14" t="n">
        <v>2.435</v>
      </c>
      <c r="P1893" s="14" t="n">
        <v>2.55</v>
      </c>
      <c r="Q1893" s="14" t="n">
        <v>2.75</v>
      </c>
      <c r="R1893" s="14" t="n">
        <v>2.75</v>
      </c>
      <c r="S1893" s="14" t="n">
        <v>13.75</v>
      </c>
    </row>
    <row r="1894" customFormat="false" ht="15" hidden="false" customHeight="false" outlineLevel="0" collapsed="false">
      <c r="A1894" s="13" t="n">
        <v>44939</v>
      </c>
      <c r="B1894" s="14" t="n">
        <v>4.3</v>
      </c>
      <c r="C1894" s="14" t="n">
        <v>4.5</v>
      </c>
      <c r="D1894" s="14" t="n">
        <v>4.25</v>
      </c>
      <c r="E1894" s="14" t="n">
        <v>1.901</v>
      </c>
      <c r="F1894" s="14" t="n">
        <v>2</v>
      </c>
      <c r="G1894" s="14" t="n">
        <v>3.5</v>
      </c>
      <c r="H1894" s="14" t="n">
        <v>3.4274</v>
      </c>
      <c r="I1894" s="14" t="n">
        <v>3.56237477348692</v>
      </c>
      <c r="J1894" s="14" t="n">
        <v>3.84232855208322</v>
      </c>
      <c r="K1894" s="14" t="n">
        <v>4.0764724220296</v>
      </c>
      <c r="L1894" s="14" t="n">
        <v>4.23058622828408</v>
      </c>
      <c r="M1894" s="14" t="n">
        <v>2.22</v>
      </c>
      <c r="N1894" s="14" t="n">
        <v>2.353</v>
      </c>
      <c r="O1894" s="14" t="n">
        <v>2.441</v>
      </c>
      <c r="P1894" s="14" t="n">
        <v>2.553</v>
      </c>
      <c r="Q1894" s="14" t="n">
        <v>2.75</v>
      </c>
      <c r="R1894" s="14" t="n">
        <v>2.75</v>
      </c>
      <c r="S1894" s="14" t="n">
        <v>13.75</v>
      </c>
    </row>
    <row r="1895" customFormat="false" ht="15" hidden="false" customHeight="false" outlineLevel="0" collapsed="false">
      <c r="A1895" s="13" t="n">
        <v>44942</v>
      </c>
      <c r="C1895" s="14" t="n">
        <v>4.5</v>
      </c>
      <c r="D1895" s="14" t="n">
        <v>4.25</v>
      </c>
      <c r="E1895" s="14" t="n">
        <v>1.902</v>
      </c>
      <c r="F1895" s="14" t="n">
        <v>2</v>
      </c>
      <c r="G1895" s="14" t="n">
        <v>3.5</v>
      </c>
      <c r="H1895" s="14" t="n">
        <v>3.4279</v>
      </c>
      <c r="I1895" s="14" t="n">
        <v>3.60391772725696</v>
      </c>
      <c r="J1895" s="14" t="n">
        <v>3.85733175245278</v>
      </c>
      <c r="K1895" s="14" t="n">
        <v>4.07670863702462</v>
      </c>
      <c r="L1895" s="14" t="n">
        <v>4.22812785859315</v>
      </c>
      <c r="M1895" s="14" t="n">
        <v>2.244</v>
      </c>
      <c r="N1895" s="14" t="n">
        <v>2.356</v>
      </c>
      <c r="O1895" s="14" t="n">
        <v>2.447</v>
      </c>
      <c r="P1895" s="14" t="n">
        <v>2.559</v>
      </c>
      <c r="Q1895" s="14" t="n">
        <v>2.75</v>
      </c>
      <c r="R1895" s="14" t="n">
        <v>2.75</v>
      </c>
      <c r="S1895" s="14" t="n">
        <v>13.75</v>
      </c>
    </row>
    <row r="1896" customFormat="false" ht="15" hidden="false" customHeight="false" outlineLevel="0" collapsed="false">
      <c r="A1896" s="13" t="n">
        <v>44943</v>
      </c>
      <c r="B1896" s="14" t="n">
        <v>4.31</v>
      </c>
      <c r="C1896" s="14" t="n">
        <v>4.5</v>
      </c>
      <c r="D1896" s="14" t="n">
        <v>4.25</v>
      </c>
      <c r="E1896" s="14" t="n">
        <v>1.901</v>
      </c>
      <c r="F1896" s="14" t="n">
        <v>2</v>
      </c>
      <c r="G1896" s="14" t="n">
        <v>3.5</v>
      </c>
      <c r="H1896" s="14" t="n">
        <v>3.4279</v>
      </c>
      <c r="I1896" s="14" t="n">
        <v>3.62706475528315</v>
      </c>
      <c r="J1896" s="14" t="n">
        <v>3.88296497034923</v>
      </c>
      <c r="K1896" s="14" t="n">
        <v>4.09780210810613</v>
      </c>
      <c r="L1896" s="14" t="n">
        <v>4.23238939541488</v>
      </c>
      <c r="M1896" s="14" t="n">
        <v>2.264</v>
      </c>
      <c r="N1896" s="14" t="n">
        <v>2.366</v>
      </c>
      <c r="O1896" s="14" t="n">
        <v>2.458</v>
      </c>
      <c r="P1896" s="14" t="n">
        <v>2.571</v>
      </c>
      <c r="Q1896" s="14" t="n">
        <v>2.75</v>
      </c>
      <c r="R1896" s="14" t="n">
        <v>2.75</v>
      </c>
      <c r="S1896" s="14" t="n">
        <v>13.75</v>
      </c>
    </row>
    <row r="1897" customFormat="false" ht="15" hidden="false" customHeight="false" outlineLevel="0" collapsed="false">
      <c r="A1897" s="13" t="n">
        <v>44944</v>
      </c>
      <c r="B1897" s="14" t="n">
        <v>4.3</v>
      </c>
      <c r="C1897" s="14" t="n">
        <v>4.5</v>
      </c>
      <c r="D1897" s="14" t="n">
        <v>4.25</v>
      </c>
      <c r="E1897" s="14" t="n">
        <v>1.902</v>
      </c>
      <c r="F1897" s="14" t="n">
        <v>2</v>
      </c>
      <c r="G1897" s="14" t="n">
        <v>3.5</v>
      </c>
      <c r="H1897" s="14" t="n">
        <v>3.4281</v>
      </c>
      <c r="I1897" s="14" t="n">
        <v>3.64694780661689</v>
      </c>
      <c r="J1897" s="14" t="n">
        <v>3.90790642179508</v>
      </c>
      <c r="K1897" s="14" t="n">
        <v>4.13634663105221</v>
      </c>
      <c r="L1897" s="14" t="n">
        <v>4.2782332351743</v>
      </c>
      <c r="M1897" s="14" t="n">
        <v>2.285</v>
      </c>
      <c r="N1897" s="14" t="n">
        <v>2.374</v>
      </c>
      <c r="O1897" s="14" t="n">
        <v>2.467</v>
      </c>
      <c r="P1897" s="14" t="n">
        <v>2.579</v>
      </c>
      <c r="Q1897" s="14" t="n">
        <v>2.75</v>
      </c>
      <c r="R1897" s="14" t="n">
        <v>2.75</v>
      </c>
      <c r="S1897" s="14" t="n">
        <v>13.75</v>
      </c>
    </row>
    <row r="1898" customFormat="false" ht="15" hidden="false" customHeight="false" outlineLevel="0" collapsed="false">
      <c r="A1898" s="13" t="n">
        <v>44945</v>
      </c>
      <c r="B1898" s="14" t="n">
        <v>4.31</v>
      </c>
      <c r="C1898" s="14" t="n">
        <v>4.5</v>
      </c>
      <c r="D1898" s="14" t="n">
        <v>4.25</v>
      </c>
      <c r="E1898" s="14" t="n">
        <v>1.903</v>
      </c>
      <c r="F1898" s="14" t="n">
        <v>2</v>
      </c>
      <c r="G1898" s="14" t="n">
        <v>3.5</v>
      </c>
      <c r="H1898" s="14" t="n">
        <v>3.4277</v>
      </c>
      <c r="I1898" s="14" t="n">
        <v>3.66271108188605</v>
      </c>
      <c r="J1898" s="14" t="n">
        <v>3.91534643779183</v>
      </c>
      <c r="K1898" s="14" t="n">
        <v>4.13864245905185</v>
      </c>
      <c r="L1898" s="14" t="n">
        <v>4.27647207101487</v>
      </c>
      <c r="M1898" s="14" t="n">
        <v>2.291</v>
      </c>
      <c r="N1898" s="14" t="n">
        <v>2.376</v>
      </c>
      <c r="O1898" s="14" t="n">
        <v>2.472</v>
      </c>
      <c r="P1898" s="14" t="n">
        <v>2.584</v>
      </c>
      <c r="Q1898" s="14" t="n">
        <v>2.75</v>
      </c>
      <c r="R1898" s="14" t="n">
        <v>2.75</v>
      </c>
      <c r="S1898" s="14" t="n">
        <v>13.75</v>
      </c>
    </row>
    <row r="1899" customFormat="false" ht="15" hidden="false" customHeight="false" outlineLevel="0" collapsed="false">
      <c r="A1899" s="13" t="n">
        <v>44946</v>
      </c>
      <c r="B1899" s="14" t="n">
        <v>4.3</v>
      </c>
      <c r="C1899" s="14" t="n">
        <v>4.5</v>
      </c>
      <c r="D1899" s="14" t="n">
        <v>4.25</v>
      </c>
      <c r="E1899" s="14" t="n">
        <v>1.903</v>
      </c>
      <c r="F1899" s="14" t="n">
        <v>2</v>
      </c>
      <c r="G1899" s="14" t="n">
        <v>3.5</v>
      </c>
      <c r="H1899" s="14" t="n">
        <v>3.4277</v>
      </c>
      <c r="I1899" s="14" t="n">
        <v>3.67718439794834</v>
      </c>
      <c r="J1899" s="14" t="n">
        <v>3.9241937560005</v>
      </c>
      <c r="K1899" s="14" t="n">
        <v>4.14242577104927</v>
      </c>
      <c r="L1899" s="14" t="n">
        <v>4.26791977083987</v>
      </c>
      <c r="M1899" s="14" t="n">
        <v>2.294</v>
      </c>
      <c r="N1899" s="14" t="n">
        <v>2.377</v>
      </c>
      <c r="O1899" s="14" t="n">
        <v>2.472</v>
      </c>
      <c r="P1899" s="14" t="n">
        <v>2.583</v>
      </c>
      <c r="Q1899" s="14" t="n">
        <v>2.75</v>
      </c>
      <c r="R1899" s="14" t="n">
        <v>2.75</v>
      </c>
      <c r="S1899" s="14" t="n">
        <v>13.75</v>
      </c>
    </row>
    <row r="1900" customFormat="false" ht="15" hidden="false" customHeight="false" outlineLevel="0" collapsed="false">
      <c r="A1900" s="13" t="n">
        <v>44949</v>
      </c>
      <c r="B1900" s="14" t="n">
        <v>4.3</v>
      </c>
      <c r="C1900" s="14" t="n">
        <v>4.5</v>
      </c>
      <c r="D1900" s="14" t="n">
        <v>4.25</v>
      </c>
      <c r="E1900" s="14" t="n">
        <v>1.902</v>
      </c>
      <c r="F1900" s="14" t="n">
        <v>2</v>
      </c>
      <c r="G1900" s="14" t="n">
        <v>3.5</v>
      </c>
      <c r="H1900" s="14" t="n">
        <v>3.4277</v>
      </c>
      <c r="I1900" s="14" t="n">
        <v>3.72067794805645</v>
      </c>
      <c r="J1900" s="14" t="n">
        <v>3.9433337924521</v>
      </c>
      <c r="K1900" s="14" t="n">
        <v>4.16039815895862</v>
      </c>
      <c r="L1900" s="14" t="n">
        <v>4.27642584757356</v>
      </c>
      <c r="Q1900" s="14" t="n">
        <v>2.75</v>
      </c>
      <c r="R1900" s="14" t="n">
        <v>2.75</v>
      </c>
      <c r="S1900" s="14" t="n">
        <v>13.75</v>
      </c>
    </row>
    <row r="1901" customFormat="false" ht="15" hidden="false" customHeight="false" outlineLevel="0" collapsed="false">
      <c r="A1901" s="13" t="n">
        <v>44950</v>
      </c>
      <c r="B1901" s="14" t="n">
        <v>4.3</v>
      </c>
      <c r="C1901" s="14" t="n">
        <v>4.5</v>
      </c>
      <c r="D1901" s="14" t="n">
        <v>4.25</v>
      </c>
      <c r="E1901" s="14" t="n">
        <v>1.904</v>
      </c>
      <c r="F1901" s="14" t="n">
        <v>2</v>
      </c>
      <c r="G1901" s="14" t="n">
        <v>3.5</v>
      </c>
      <c r="H1901" s="14" t="n">
        <v>3.4281</v>
      </c>
      <c r="I1901" s="14" t="n">
        <v>3.73070854817449</v>
      </c>
      <c r="J1901" s="14" t="n">
        <v>3.93577299470313</v>
      </c>
      <c r="K1901" s="14" t="n">
        <v>4.13864200169412</v>
      </c>
      <c r="L1901" s="14" t="n">
        <v>4.24424582680446</v>
      </c>
      <c r="Q1901" s="14" t="n">
        <v>2.75</v>
      </c>
      <c r="R1901" s="14" t="n">
        <v>2.75</v>
      </c>
      <c r="S1901" s="14" t="n">
        <v>13.75</v>
      </c>
    </row>
    <row r="1902" customFormat="false" ht="15" hidden="false" customHeight="false" outlineLevel="0" collapsed="false">
      <c r="A1902" s="13" t="n">
        <v>44951</v>
      </c>
      <c r="B1902" s="14" t="n">
        <v>4.31</v>
      </c>
      <c r="C1902" s="14" t="n">
        <v>4.5</v>
      </c>
      <c r="D1902" s="14" t="n">
        <v>4.25</v>
      </c>
      <c r="E1902" s="14" t="n">
        <v>1.904</v>
      </c>
      <c r="F1902" s="14" t="n">
        <v>2</v>
      </c>
      <c r="G1902" s="14" t="n">
        <v>3.5</v>
      </c>
      <c r="H1902" s="14" t="n">
        <v>3.4279</v>
      </c>
      <c r="I1902" s="14" t="n">
        <v>3.748044754746</v>
      </c>
      <c r="J1902" s="14" t="n">
        <v>3.94068383598018</v>
      </c>
      <c r="K1902" s="14" t="n">
        <v>4.12610531504361</v>
      </c>
      <c r="L1902" s="14" t="n">
        <v>4.19798947327469</v>
      </c>
      <c r="Q1902" s="14" t="n">
        <v>2.75</v>
      </c>
      <c r="R1902" s="14" t="n">
        <v>2.75</v>
      </c>
      <c r="S1902" s="14" t="n">
        <v>13.75</v>
      </c>
    </row>
    <row r="1903" customFormat="false" ht="15" hidden="false" customHeight="false" outlineLevel="0" collapsed="false">
      <c r="A1903" s="13" t="n">
        <v>44952</v>
      </c>
      <c r="B1903" s="14" t="n">
        <v>4.3</v>
      </c>
      <c r="C1903" s="14" t="n">
        <v>4.5</v>
      </c>
      <c r="D1903" s="14" t="n">
        <v>4.25</v>
      </c>
      <c r="E1903" s="14" t="n">
        <v>1.904</v>
      </c>
      <c r="F1903" s="14" t="n">
        <v>2</v>
      </c>
      <c r="G1903" s="14" t="n">
        <v>3.5</v>
      </c>
      <c r="H1903" s="14" t="n">
        <v>3.4278</v>
      </c>
      <c r="I1903" s="14" t="n">
        <v>3.7677010193778</v>
      </c>
      <c r="J1903" s="14" t="n">
        <v>3.95261282397812</v>
      </c>
      <c r="K1903" s="14" t="n">
        <v>4.13342598360542</v>
      </c>
      <c r="L1903" s="14" t="n">
        <v>4.21032233389008</v>
      </c>
      <c r="Q1903" s="14" t="n">
        <v>2.75</v>
      </c>
      <c r="R1903" s="14" t="n">
        <v>2.75</v>
      </c>
      <c r="S1903" s="14" t="n">
        <v>13.75</v>
      </c>
    </row>
    <row r="1904" customFormat="false" ht="15" hidden="false" customHeight="false" outlineLevel="0" collapsed="false">
      <c r="A1904" s="13" t="n">
        <v>44953</v>
      </c>
      <c r="B1904" s="14" t="n">
        <v>4.3</v>
      </c>
      <c r="C1904" s="14" t="n">
        <v>4.5</v>
      </c>
      <c r="D1904" s="14" t="n">
        <v>4.25</v>
      </c>
      <c r="E1904" s="14" t="n">
        <v>1.906</v>
      </c>
      <c r="F1904" s="14" t="n">
        <v>2</v>
      </c>
      <c r="G1904" s="14" t="n">
        <v>3.5</v>
      </c>
      <c r="H1904" s="14" t="n">
        <v>3.4278</v>
      </c>
      <c r="I1904" s="14" t="n">
        <v>3.78334677309668</v>
      </c>
      <c r="J1904" s="14" t="n">
        <v>3.96322982280039</v>
      </c>
      <c r="K1904" s="14" t="n">
        <v>4.14770238785265</v>
      </c>
      <c r="L1904" s="14" t="n">
        <v>4.22875944092693</v>
      </c>
      <c r="Q1904" s="14" t="n">
        <v>2.75</v>
      </c>
      <c r="R1904" s="14" t="n">
        <v>2.75</v>
      </c>
      <c r="S1904" s="14" t="n">
        <v>13.75</v>
      </c>
    </row>
    <row r="1905" customFormat="false" ht="15" hidden="false" customHeight="false" outlineLevel="0" collapsed="false">
      <c r="A1905" s="13" t="n">
        <v>44954</v>
      </c>
      <c r="C1905" s="14" t="n">
        <v>4.5</v>
      </c>
      <c r="D1905" s="14" t="n">
        <v>4.25</v>
      </c>
      <c r="F1905" s="14" t="n">
        <v>2</v>
      </c>
      <c r="M1905" s="14" t="n">
        <v>2.272</v>
      </c>
      <c r="N1905" s="14" t="n">
        <v>2.373</v>
      </c>
      <c r="O1905" s="14" t="n">
        <v>2.467</v>
      </c>
      <c r="P1905" s="14" t="n">
        <v>2.581</v>
      </c>
      <c r="S1905" s="14" t="n">
        <v>13.75</v>
      </c>
    </row>
    <row r="1906" customFormat="false" ht="15" hidden="false" customHeight="false" outlineLevel="0" collapsed="false">
      <c r="A1906" s="13" t="n">
        <v>44955</v>
      </c>
      <c r="C1906" s="14" t="n">
        <v>4.5</v>
      </c>
      <c r="D1906" s="14" t="n">
        <v>4.25</v>
      </c>
      <c r="F1906" s="14" t="n">
        <v>2</v>
      </c>
      <c r="M1906" s="14" t="n">
        <v>2.264</v>
      </c>
      <c r="N1906" s="14" t="n">
        <v>2.367</v>
      </c>
      <c r="O1906" s="14" t="n">
        <v>2.466</v>
      </c>
      <c r="P1906" s="14" t="n">
        <v>2.577</v>
      </c>
      <c r="S1906" s="14" t="n">
        <v>13.75</v>
      </c>
    </row>
    <row r="1907" customFormat="false" ht="15" hidden="false" customHeight="false" outlineLevel="0" collapsed="false">
      <c r="A1907" s="13" t="n">
        <v>44956</v>
      </c>
      <c r="B1907" s="14" t="n">
        <v>4.3</v>
      </c>
      <c r="C1907" s="14" t="n">
        <v>4.5</v>
      </c>
      <c r="D1907" s="14" t="n">
        <v>4.25</v>
      </c>
      <c r="E1907" s="14" t="n">
        <v>1.904</v>
      </c>
      <c r="F1907" s="14" t="n">
        <v>2</v>
      </c>
      <c r="G1907" s="14" t="n">
        <v>3.5</v>
      </c>
      <c r="H1907" s="14" t="n">
        <v>3.4281</v>
      </c>
      <c r="I1907" s="14" t="n">
        <v>3.83075469771067</v>
      </c>
      <c r="J1907" s="14" t="n">
        <v>3.990055791519</v>
      </c>
      <c r="K1907" s="14" t="n">
        <v>4.17072134899791</v>
      </c>
      <c r="L1907" s="14" t="n">
        <v>4.24673860992103</v>
      </c>
      <c r="M1907" s="14" t="n">
        <v>2.24</v>
      </c>
      <c r="N1907" s="14" t="n">
        <v>2.365</v>
      </c>
      <c r="O1907" s="14" t="n">
        <v>2.466</v>
      </c>
      <c r="P1907" s="14" t="n">
        <v>2.578</v>
      </c>
      <c r="Q1907" s="14" t="n">
        <v>2.75</v>
      </c>
      <c r="R1907" s="14" t="n">
        <v>2.75</v>
      </c>
      <c r="S1907" s="14" t="n">
        <v>13.75</v>
      </c>
    </row>
    <row r="1908" customFormat="false" ht="15" hidden="false" customHeight="false" outlineLevel="0" collapsed="false">
      <c r="A1908" s="13" t="n">
        <v>44957</v>
      </c>
      <c r="B1908" s="14" t="n">
        <v>4.31</v>
      </c>
      <c r="C1908" s="14" t="n">
        <v>4.5</v>
      </c>
      <c r="D1908" s="14" t="n">
        <v>4.25</v>
      </c>
      <c r="E1908" s="14" t="n">
        <v>1.894</v>
      </c>
      <c r="F1908" s="14" t="n">
        <v>2</v>
      </c>
      <c r="G1908" s="14" t="n">
        <v>3.5</v>
      </c>
      <c r="H1908" s="14" t="n">
        <v>3.4269</v>
      </c>
      <c r="I1908" s="14" t="n">
        <v>3.83939931546657</v>
      </c>
      <c r="J1908" s="14" t="n">
        <v>3.98758221244365</v>
      </c>
      <c r="K1908" s="14" t="n">
        <v>4.16059941906539</v>
      </c>
      <c r="L1908" s="14" t="n">
        <v>4.23011902355141</v>
      </c>
      <c r="M1908" s="14" t="n">
        <v>2.227</v>
      </c>
      <c r="N1908" s="14" t="n">
        <v>2.364</v>
      </c>
      <c r="O1908" s="14" t="n">
        <v>2.466</v>
      </c>
      <c r="P1908" s="14" t="n">
        <v>2.58</v>
      </c>
      <c r="Q1908" s="14" t="n">
        <v>2.75</v>
      </c>
      <c r="R1908" s="14" t="n">
        <v>2.75</v>
      </c>
      <c r="S1908" s="14" t="n">
        <v>13.75</v>
      </c>
    </row>
    <row r="1909" customFormat="false" ht="15" hidden="false" customHeight="false" outlineLevel="0" collapsed="false">
      <c r="A1909" s="13" t="n">
        <v>44958</v>
      </c>
      <c r="B1909" s="14" t="n">
        <v>4.31</v>
      </c>
      <c r="C1909" s="14" t="n">
        <v>4.5</v>
      </c>
      <c r="D1909" s="14" t="n">
        <v>4.25</v>
      </c>
      <c r="E1909" s="14" t="n">
        <v>1.901</v>
      </c>
      <c r="F1909" s="14" t="n">
        <v>2</v>
      </c>
      <c r="G1909" s="14" t="n">
        <v>3.5</v>
      </c>
      <c r="H1909" s="14" t="n">
        <v>3.4268</v>
      </c>
      <c r="I1909" s="14" t="n">
        <v>3.85838404036938</v>
      </c>
      <c r="J1909" s="14" t="n">
        <v>3.99470619576774</v>
      </c>
      <c r="K1909" s="14" t="n">
        <v>4.1519544322814</v>
      </c>
      <c r="L1909" s="14" t="n">
        <v>4.20841235310705</v>
      </c>
      <c r="M1909" s="14" t="n">
        <v>2.205</v>
      </c>
      <c r="N1909" s="14" t="n">
        <v>2.362</v>
      </c>
      <c r="O1909" s="14" t="n">
        <v>2.469</v>
      </c>
      <c r="P1909" s="14" t="n">
        <v>2.581</v>
      </c>
      <c r="Q1909" s="14" t="n">
        <v>2.75</v>
      </c>
      <c r="R1909" s="14" t="n">
        <v>2.75</v>
      </c>
      <c r="S1909" s="14" t="n">
        <v>13.75</v>
      </c>
    </row>
    <row r="1910" customFormat="false" ht="15" hidden="false" customHeight="false" outlineLevel="0" collapsed="false">
      <c r="A1910" s="13" t="n">
        <v>44959</v>
      </c>
      <c r="B1910" s="14" t="n">
        <v>4.56</v>
      </c>
      <c r="C1910" s="14" t="n">
        <v>4.75</v>
      </c>
      <c r="D1910" s="14" t="n">
        <v>4.5</v>
      </c>
      <c r="E1910" s="14" t="n">
        <v>1.902</v>
      </c>
      <c r="F1910" s="14" t="n">
        <v>2</v>
      </c>
      <c r="G1910" s="14" t="n">
        <v>4</v>
      </c>
      <c r="H1910" s="14" t="n">
        <v>3.9265</v>
      </c>
      <c r="I1910" s="14" t="n">
        <v>3.92581223934931</v>
      </c>
      <c r="J1910" s="14" t="n">
        <v>4.02100407028912</v>
      </c>
      <c r="K1910" s="14" t="n">
        <v>4.13278240880016</v>
      </c>
      <c r="L1910" s="14" t="n">
        <v>4.10564518827987</v>
      </c>
      <c r="M1910" s="14" t="n">
        <v>2.19</v>
      </c>
      <c r="N1910" s="14" t="n">
        <v>2.36</v>
      </c>
      <c r="O1910" s="14" t="n">
        <v>2.469</v>
      </c>
      <c r="P1910" s="14" t="n">
        <v>2.584</v>
      </c>
      <c r="Q1910" s="14" t="n">
        <v>2.75</v>
      </c>
      <c r="R1910" s="14" t="n">
        <v>2.75</v>
      </c>
      <c r="S1910" s="14" t="n">
        <v>13.75</v>
      </c>
    </row>
    <row r="1911" customFormat="false" ht="15" hidden="false" customHeight="false" outlineLevel="0" collapsed="false">
      <c r="A1911" s="13" t="n">
        <v>44960</v>
      </c>
      <c r="B1911" s="14" t="n">
        <v>4.55</v>
      </c>
      <c r="C1911" s="14" t="n">
        <v>4.75</v>
      </c>
      <c r="D1911" s="14" t="n">
        <v>4.5</v>
      </c>
      <c r="E1911" s="14" t="n">
        <v>1.898</v>
      </c>
      <c r="F1911" s="14" t="n">
        <v>2</v>
      </c>
      <c r="G1911" s="14" t="n">
        <v>4</v>
      </c>
      <c r="H1911" s="14" t="n">
        <v>3.9272</v>
      </c>
      <c r="I1911" s="14" t="n">
        <v>3.93036971954347</v>
      </c>
      <c r="J1911" s="14" t="n">
        <v>4.02202595435704</v>
      </c>
      <c r="K1911" s="14" t="n">
        <v>4.12963459805435</v>
      </c>
      <c r="L1911" s="14" t="n">
        <v>4.1088555386806</v>
      </c>
      <c r="M1911" s="14" t="n">
        <v>2.173</v>
      </c>
      <c r="N1911" s="14" t="n">
        <v>2.357</v>
      </c>
      <c r="O1911" s="14" t="n">
        <v>2.466</v>
      </c>
      <c r="P1911" s="14" t="n">
        <v>2.59</v>
      </c>
      <c r="Q1911" s="14" t="n">
        <v>2.75</v>
      </c>
      <c r="R1911" s="14" t="n">
        <v>2.75</v>
      </c>
      <c r="S1911" s="14" t="n">
        <v>13.75</v>
      </c>
    </row>
    <row r="1912" customFormat="false" ht="15" hidden="false" customHeight="false" outlineLevel="0" collapsed="false">
      <c r="A1912" s="13" t="n">
        <v>44963</v>
      </c>
      <c r="B1912" s="14" t="n">
        <v>4.55</v>
      </c>
      <c r="C1912" s="14" t="n">
        <v>4.75</v>
      </c>
      <c r="D1912" s="14" t="n">
        <v>4.5</v>
      </c>
      <c r="E1912" s="14" t="n">
        <v>1.901</v>
      </c>
      <c r="F1912" s="14" t="n">
        <v>2</v>
      </c>
      <c r="G1912" s="14" t="n">
        <v>4</v>
      </c>
      <c r="H1912" s="14" t="n">
        <v>3.9271</v>
      </c>
      <c r="I1912" s="14" t="n">
        <v>3.92914361347041</v>
      </c>
      <c r="J1912" s="14" t="n">
        <v>4.02768990813445</v>
      </c>
      <c r="K1912" s="14" t="n">
        <v>4.14985924024252</v>
      </c>
      <c r="L1912" s="14" t="n">
        <v>4.17108995565175</v>
      </c>
      <c r="M1912" s="14" t="n">
        <v>2.174</v>
      </c>
      <c r="N1912" s="14" t="n">
        <v>2.359</v>
      </c>
      <c r="O1912" s="14" t="n">
        <v>2.472</v>
      </c>
      <c r="P1912" s="14" t="n">
        <v>2.597</v>
      </c>
      <c r="Q1912" s="14" t="n">
        <v>2.75</v>
      </c>
      <c r="R1912" s="14" t="n">
        <v>2.75</v>
      </c>
      <c r="S1912" s="14" t="n">
        <v>13.75</v>
      </c>
    </row>
    <row r="1913" customFormat="false" ht="15" hidden="false" customHeight="false" outlineLevel="0" collapsed="false">
      <c r="A1913" s="13" t="n">
        <v>44964</v>
      </c>
      <c r="B1913" s="14" t="n">
        <v>4.55</v>
      </c>
      <c r="C1913" s="14" t="n">
        <v>4.75</v>
      </c>
      <c r="D1913" s="14" t="n">
        <v>4.5</v>
      </c>
      <c r="E1913" s="14" t="n">
        <v>1.902</v>
      </c>
      <c r="F1913" s="14" t="n">
        <v>2</v>
      </c>
      <c r="G1913" s="14" t="n">
        <v>4</v>
      </c>
      <c r="H1913" s="14" t="n">
        <v>3.927</v>
      </c>
      <c r="I1913" s="14" t="n">
        <v>3.93023409810519</v>
      </c>
      <c r="J1913" s="14" t="n">
        <v>4.02740736378657</v>
      </c>
      <c r="K1913" s="14" t="n">
        <v>4.14573936914357</v>
      </c>
      <c r="L1913" s="14" t="n">
        <v>4.17067246685805</v>
      </c>
      <c r="M1913" s="14" t="n">
        <v>2.184</v>
      </c>
      <c r="N1913" s="14" t="n">
        <v>2.36</v>
      </c>
      <c r="O1913" s="14" t="n">
        <v>2.473</v>
      </c>
      <c r="P1913" s="14" t="n">
        <v>2.605</v>
      </c>
      <c r="Q1913" s="14" t="n">
        <v>2.75</v>
      </c>
      <c r="R1913" s="14" t="n">
        <v>2.75</v>
      </c>
      <c r="S1913" s="14" t="n">
        <v>13.75</v>
      </c>
    </row>
    <row r="1914" customFormat="false" ht="15" hidden="false" customHeight="false" outlineLevel="0" collapsed="false">
      <c r="A1914" s="13" t="n">
        <v>44965</v>
      </c>
      <c r="B1914" s="14" t="n">
        <v>4.55</v>
      </c>
      <c r="C1914" s="14" t="n">
        <v>4.75</v>
      </c>
      <c r="D1914" s="14" t="n">
        <v>4.5</v>
      </c>
      <c r="E1914" s="14" t="n">
        <v>2.401</v>
      </c>
      <c r="F1914" s="14" t="n">
        <v>2.5</v>
      </c>
      <c r="G1914" s="14" t="n">
        <v>4</v>
      </c>
      <c r="H1914" s="14" t="n">
        <v>3.9269</v>
      </c>
      <c r="I1914" s="14" t="n">
        <v>3.93205666857462</v>
      </c>
      <c r="J1914" s="14" t="n">
        <v>4.0392658989774</v>
      </c>
      <c r="K1914" s="14" t="n">
        <v>4.16753853955193</v>
      </c>
      <c r="L1914" s="14" t="n">
        <v>4.20087365099418</v>
      </c>
      <c r="M1914" s="14" t="n">
        <v>2.191</v>
      </c>
      <c r="N1914" s="14" t="n">
        <v>2.365</v>
      </c>
      <c r="O1914" s="14" t="n">
        <v>2.476</v>
      </c>
      <c r="P1914" s="14" t="n">
        <v>2.613</v>
      </c>
      <c r="Q1914" s="14" t="n">
        <v>2.75</v>
      </c>
      <c r="R1914" s="14" t="n">
        <v>2.75</v>
      </c>
      <c r="S1914" s="14" t="n">
        <v>13.75</v>
      </c>
    </row>
    <row r="1915" customFormat="false" ht="15" hidden="false" customHeight="false" outlineLevel="0" collapsed="false">
      <c r="A1915" s="13" t="n">
        <v>44966</v>
      </c>
      <c r="B1915" s="14" t="n">
        <v>4.55</v>
      </c>
      <c r="C1915" s="14" t="n">
        <v>4.75</v>
      </c>
      <c r="D1915" s="14" t="n">
        <v>4.5</v>
      </c>
      <c r="E1915" s="14" t="n">
        <v>2.401</v>
      </c>
      <c r="F1915" s="14" t="n">
        <v>2.5</v>
      </c>
      <c r="G1915" s="14" t="n">
        <v>4</v>
      </c>
      <c r="H1915" s="14" t="n">
        <v>3.9267</v>
      </c>
      <c r="I1915" s="14" t="n">
        <v>3.9330576473674</v>
      </c>
      <c r="J1915" s="14" t="n">
        <v>4.0426786832125</v>
      </c>
      <c r="K1915" s="14" t="n">
        <v>4.17040410550243</v>
      </c>
      <c r="L1915" s="14" t="n">
        <v>4.21025924443229</v>
      </c>
      <c r="M1915" s="14" t="n">
        <v>2.196</v>
      </c>
      <c r="N1915" s="14" t="n">
        <v>2.37</v>
      </c>
      <c r="O1915" s="14" t="n">
        <v>2.483</v>
      </c>
      <c r="P1915" s="14" t="n">
        <v>2.618</v>
      </c>
      <c r="Q1915" s="14" t="n">
        <v>2.75</v>
      </c>
      <c r="R1915" s="14" t="n">
        <v>2.75</v>
      </c>
      <c r="S1915" s="14" t="n">
        <v>13.75</v>
      </c>
    </row>
    <row r="1916" customFormat="false" ht="15" hidden="false" customHeight="false" outlineLevel="0" collapsed="false">
      <c r="A1916" s="13" t="n">
        <v>44967</v>
      </c>
      <c r="B1916" s="14" t="n">
        <v>4.55</v>
      </c>
      <c r="C1916" s="14" t="n">
        <v>4.75</v>
      </c>
      <c r="D1916" s="14" t="n">
        <v>4.5</v>
      </c>
      <c r="E1916" s="14" t="n">
        <v>2.401</v>
      </c>
      <c r="F1916" s="14" t="n">
        <v>2.5</v>
      </c>
      <c r="G1916" s="14" t="n">
        <v>4</v>
      </c>
      <c r="H1916" s="14" t="n">
        <v>3.927</v>
      </c>
      <c r="I1916" s="14" t="n">
        <v>3.93463669442517</v>
      </c>
      <c r="J1916" s="14" t="n">
        <v>4.05882662449714</v>
      </c>
      <c r="K1916" s="14" t="n">
        <v>4.20986658079185</v>
      </c>
      <c r="L1916" s="14" t="n">
        <v>4.29514110352579</v>
      </c>
      <c r="M1916" s="14" t="n">
        <v>2.198</v>
      </c>
      <c r="N1916" s="14" t="n">
        <v>2.371</v>
      </c>
      <c r="O1916" s="14" t="n">
        <v>2.487</v>
      </c>
      <c r="P1916" s="14" t="n">
        <v>2.621</v>
      </c>
      <c r="Q1916" s="14" t="n">
        <v>2.75</v>
      </c>
      <c r="R1916" s="14" t="n">
        <v>2.75</v>
      </c>
      <c r="S1916" s="14" t="n">
        <v>13.75</v>
      </c>
    </row>
    <row r="1917" customFormat="false" ht="15" hidden="false" customHeight="false" outlineLevel="0" collapsed="false">
      <c r="A1917" s="13" t="n">
        <v>44970</v>
      </c>
      <c r="B1917" s="14" t="n">
        <v>4.55</v>
      </c>
      <c r="C1917" s="14" t="n">
        <v>4.75</v>
      </c>
      <c r="D1917" s="14" t="n">
        <v>4.5</v>
      </c>
      <c r="E1917" s="14" t="n">
        <v>2.4</v>
      </c>
      <c r="F1917" s="14" t="n">
        <v>2.5</v>
      </c>
      <c r="G1917" s="14" t="n">
        <v>4</v>
      </c>
      <c r="H1917" s="14" t="n">
        <v>3.9271</v>
      </c>
      <c r="I1917" s="14" t="n">
        <v>3.93770169213081</v>
      </c>
      <c r="J1917" s="14" t="n">
        <v>4.06867433608158</v>
      </c>
      <c r="K1917" s="14" t="n">
        <v>4.2246675341763</v>
      </c>
      <c r="L1917" s="14" t="n">
        <v>4.31477351417236</v>
      </c>
      <c r="M1917" s="14" t="n">
        <v>2.199</v>
      </c>
      <c r="N1917" s="14" t="n">
        <v>2.371</v>
      </c>
      <c r="O1917" s="14" t="n">
        <v>2.49</v>
      </c>
      <c r="P1917" s="14" t="n">
        <v>2.621</v>
      </c>
      <c r="Q1917" s="14" t="n">
        <v>2.75</v>
      </c>
      <c r="R1917" s="14" t="n">
        <v>2.75</v>
      </c>
      <c r="S1917" s="14" t="n">
        <v>13.75</v>
      </c>
    </row>
    <row r="1918" customFormat="false" ht="15" hidden="false" customHeight="false" outlineLevel="0" collapsed="false">
      <c r="A1918" s="13" t="n">
        <v>44971</v>
      </c>
      <c r="B1918" s="14" t="n">
        <v>4.55</v>
      </c>
      <c r="C1918" s="14" t="n">
        <v>4.75</v>
      </c>
      <c r="D1918" s="14" t="n">
        <v>4.5</v>
      </c>
      <c r="E1918" s="14" t="n">
        <v>2.4</v>
      </c>
      <c r="F1918" s="14" t="n">
        <v>2.5</v>
      </c>
      <c r="G1918" s="14" t="n">
        <v>4</v>
      </c>
      <c r="H1918" s="14" t="n">
        <v>3.9272</v>
      </c>
      <c r="I1918" s="14" t="n">
        <v>3.94194957869998</v>
      </c>
      <c r="J1918" s="14" t="n">
        <v>4.09891636413035</v>
      </c>
      <c r="K1918" s="14" t="n">
        <v>4.28448479003437</v>
      </c>
      <c r="L1918" s="14" t="n">
        <v>4.42074458760288</v>
      </c>
      <c r="M1918" s="14" t="n">
        <v>2.2</v>
      </c>
      <c r="N1918" s="14" t="n">
        <v>2.373</v>
      </c>
      <c r="O1918" s="14" t="n">
        <v>2.493</v>
      </c>
      <c r="P1918" s="14" t="n">
        <v>2.623</v>
      </c>
      <c r="Q1918" s="14" t="n">
        <v>2.75</v>
      </c>
      <c r="R1918" s="14" t="n">
        <v>2.75</v>
      </c>
      <c r="S1918" s="14" t="n">
        <v>13.75</v>
      </c>
    </row>
    <row r="1919" customFormat="false" ht="15" hidden="false" customHeight="false" outlineLevel="0" collapsed="false">
      <c r="A1919" s="13" t="n">
        <v>44972</v>
      </c>
      <c r="B1919" s="14" t="n">
        <v>4.55</v>
      </c>
      <c r="C1919" s="14" t="n">
        <v>4.75</v>
      </c>
      <c r="D1919" s="14" t="n">
        <v>4.5</v>
      </c>
      <c r="E1919" s="14" t="n">
        <v>2.405</v>
      </c>
      <c r="F1919" s="14" t="n">
        <v>2.5</v>
      </c>
      <c r="G1919" s="14" t="n">
        <v>4</v>
      </c>
      <c r="H1919" s="14" t="n">
        <v>3.9273</v>
      </c>
      <c r="I1919" s="14" t="n">
        <v>3.93881931840435</v>
      </c>
      <c r="J1919" s="14" t="n">
        <v>4.05607852958003</v>
      </c>
      <c r="K1919" s="14" t="n">
        <v>4.18594708312862</v>
      </c>
      <c r="L1919" s="14" t="n">
        <v>4.27619850251471</v>
      </c>
      <c r="M1919" s="14" t="n">
        <v>2.2</v>
      </c>
      <c r="N1919" s="14" t="n">
        <v>2.379</v>
      </c>
      <c r="O1919" s="14" t="n">
        <v>2.495</v>
      </c>
      <c r="P1919" s="14" t="n">
        <v>2.624</v>
      </c>
      <c r="Q1919" s="14" t="n">
        <v>2.75</v>
      </c>
      <c r="R1919" s="14" t="n">
        <v>2.75</v>
      </c>
      <c r="S1919" s="14" t="n">
        <v>13.75</v>
      </c>
    </row>
    <row r="1920" customFormat="false" ht="15" hidden="false" customHeight="false" outlineLevel="0" collapsed="false">
      <c r="A1920" s="13" t="n">
        <v>44973</v>
      </c>
      <c r="B1920" s="14" t="n">
        <v>4.55</v>
      </c>
      <c r="C1920" s="14" t="n">
        <v>4.75</v>
      </c>
      <c r="D1920" s="14" t="n">
        <v>4.5</v>
      </c>
      <c r="E1920" s="14" t="n">
        <v>2.4</v>
      </c>
      <c r="F1920" s="14" t="n">
        <v>2.5</v>
      </c>
      <c r="G1920" s="14" t="n">
        <v>4</v>
      </c>
      <c r="H1920" s="14" t="n">
        <v>3.9273</v>
      </c>
      <c r="I1920" s="14" t="n">
        <v>3.93892434462149</v>
      </c>
      <c r="J1920" s="14" t="n">
        <v>4.05284353312552</v>
      </c>
      <c r="K1920" s="14" t="n">
        <v>4.1795559403933</v>
      </c>
      <c r="L1920" s="14" t="n">
        <v>4.25711648152482</v>
      </c>
      <c r="M1920" s="14" t="n">
        <v>2.214</v>
      </c>
      <c r="N1920" s="14" t="n">
        <v>2.383</v>
      </c>
      <c r="O1920" s="14" t="n">
        <v>2.499</v>
      </c>
      <c r="P1920" s="14" t="n">
        <v>2.626</v>
      </c>
      <c r="Q1920" s="14" t="n">
        <v>2.75</v>
      </c>
      <c r="R1920" s="14" t="n">
        <v>2.75</v>
      </c>
      <c r="S1920" s="14" t="n">
        <v>13.75</v>
      </c>
    </row>
    <row r="1921" customFormat="false" ht="15" hidden="false" customHeight="false" outlineLevel="0" collapsed="false">
      <c r="A1921" s="13" t="n">
        <v>44974</v>
      </c>
      <c r="B1921" s="14" t="n">
        <v>4.55</v>
      </c>
      <c r="C1921" s="14" t="n">
        <v>4.75</v>
      </c>
      <c r="D1921" s="14" t="n">
        <v>4.5</v>
      </c>
      <c r="E1921" s="14" t="n">
        <v>2.398</v>
      </c>
      <c r="F1921" s="14" t="n">
        <v>2.5</v>
      </c>
      <c r="G1921" s="14" t="n">
        <v>4</v>
      </c>
      <c r="H1921" s="14" t="n">
        <v>3.9271</v>
      </c>
      <c r="I1921" s="14" t="n">
        <v>3.94044890480538</v>
      </c>
      <c r="J1921" s="14" t="n">
        <v>4.06562550739216</v>
      </c>
      <c r="K1921" s="14" t="n">
        <v>4.20488920542248</v>
      </c>
      <c r="L1921" s="14" t="n">
        <v>4.28853841515804</v>
      </c>
      <c r="M1921" s="14" t="n">
        <v>2.222</v>
      </c>
      <c r="N1921" s="14" t="n">
        <v>2.385</v>
      </c>
      <c r="O1921" s="14" t="n">
        <v>2.5</v>
      </c>
      <c r="P1921" s="14" t="n">
        <v>2.635</v>
      </c>
      <c r="Q1921" s="14" t="n">
        <v>2.75</v>
      </c>
      <c r="R1921" s="14" t="n">
        <v>2.75</v>
      </c>
      <c r="S1921" s="14" t="n">
        <v>13.75</v>
      </c>
    </row>
    <row r="1922" customFormat="false" ht="15" hidden="false" customHeight="false" outlineLevel="0" collapsed="false">
      <c r="A1922" s="13" t="n">
        <v>44977</v>
      </c>
      <c r="C1922" s="14" t="n">
        <v>4.75</v>
      </c>
      <c r="D1922" s="14" t="n">
        <v>4.5</v>
      </c>
      <c r="E1922" s="14" t="n">
        <v>2.4</v>
      </c>
      <c r="F1922" s="14" t="n">
        <v>2.5</v>
      </c>
      <c r="G1922" s="14" t="n">
        <v>4</v>
      </c>
      <c r="H1922" s="14" t="n">
        <v>3.9275</v>
      </c>
      <c r="I1922" s="14" t="n">
        <v>3.94522713245871</v>
      </c>
      <c r="J1922" s="14" t="n">
        <v>4.07699726661848</v>
      </c>
      <c r="K1922" s="14" t="n">
        <v>4.20957945680133</v>
      </c>
      <c r="L1922" s="14" t="n">
        <v>4.27358035693423</v>
      </c>
      <c r="M1922" s="14" t="n">
        <v>2.236</v>
      </c>
      <c r="N1922" s="14" t="n">
        <v>2.392</v>
      </c>
      <c r="O1922" s="14" t="n">
        <v>2.5</v>
      </c>
      <c r="P1922" s="14" t="n">
        <v>2.643</v>
      </c>
      <c r="Q1922" s="14" t="n">
        <v>2.75</v>
      </c>
      <c r="R1922" s="14" t="n">
        <v>2.75</v>
      </c>
      <c r="S1922" s="14" t="n">
        <v>13.75</v>
      </c>
    </row>
    <row r="1923" customFormat="false" ht="15" hidden="false" customHeight="false" outlineLevel="0" collapsed="false">
      <c r="A1923" s="13" t="n">
        <v>44978</v>
      </c>
      <c r="B1923" s="14" t="n">
        <v>4.55</v>
      </c>
      <c r="C1923" s="14" t="n">
        <v>4.75</v>
      </c>
      <c r="D1923" s="14" t="n">
        <v>4.5</v>
      </c>
      <c r="E1923" s="14" t="n">
        <v>2.398</v>
      </c>
      <c r="F1923" s="14" t="n">
        <v>2.5</v>
      </c>
      <c r="G1923" s="14" t="n">
        <v>4</v>
      </c>
      <c r="H1923" s="14" t="n">
        <v>3.9272</v>
      </c>
      <c r="I1923" s="14" t="n">
        <v>3.94810153689211</v>
      </c>
      <c r="J1923" s="14" t="n">
        <v>4.10878631499707</v>
      </c>
      <c r="K1923" s="14" t="n">
        <v>4.28406207299629</v>
      </c>
      <c r="L1923" s="14" t="n">
        <v>4.40402837761375</v>
      </c>
      <c r="M1923" s="14" t="n">
        <v>2.253</v>
      </c>
      <c r="N1923" s="14" t="n">
        <v>2.397</v>
      </c>
      <c r="O1923" s="14" t="n">
        <v>2.505</v>
      </c>
      <c r="P1923" s="14" t="n">
        <v>2.648</v>
      </c>
      <c r="Q1923" s="14" t="n">
        <v>2.75</v>
      </c>
      <c r="R1923" s="14" t="n">
        <v>2.75</v>
      </c>
      <c r="S1923" s="14" t="n">
        <v>13.75</v>
      </c>
    </row>
    <row r="1924" customFormat="false" ht="15" hidden="false" customHeight="false" outlineLevel="0" collapsed="false">
      <c r="A1924" s="13" t="n">
        <v>44979</v>
      </c>
      <c r="B1924" s="14" t="n">
        <v>4.55</v>
      </c>
      <c r="C1924" s="14" t="n">
        <v>4.75</v>
      </c>
      <c r="D1924" s="14" t="n">
        <v>4.5</v>
      </c>
      <c r="E1924" s="14" t="n">
        <v>2.399</v>
      </c>
      <c r="F1924" s="14" t="n">
        <v>2.5</v>
      </c>
      <c r="G1924" s="14" t="n">
        <v>4</v>
      </c>
      <c r="H1924" s="14" t="n">
        <v>3.927</v>
      </c>
      <c r="I1924" s="14" t="n">
        <v>3.94869626889074</v>
      </c>
      <c r="J1924" s="14" t="n">
        <v>4.11357291418597</v>
      </c>
      <c r="K1924" s="14" t="n">
        <v>4.28916018775467</v>
      </c>
      <c r="L1924" s="14" t="n">
        <v>4.40530432414157</v>
      </c>
      <c r="M1924" s="14" t="n">
        <v>2.267</v>
      </c>
      <c r="N1924" s="14" t="n">
        <v>2.403</v>
      </c>
      <c r="O1924" s="14" t="n">
        <v>2.511</v>
      </c>
      <c r="P1924" s="14" t="n">
        <v>2.66</v>
      </c>
      <c r="Q1924" s="14" t="n">
        <v>2.75</v>
      </c>
      <c r="R1924" s="14" t="n">
        <v>2.75</v>
      </c>
      <c r="S1924" s="14" t="n">
        <v>13.75</v>
      </c>
    </row>
    <row r="1925" customFormat="false" ht="15" hidden="false" customHeight="false" outlineLevel="0" collapsed="false">
      <c r="A1925" s="13" t="n">
        <v>44980</v>
      </c>
      <c r="B1925" s="14" t="n">
        <v>4.55</v>
      </c>
      <c r="C1925" s="14" t="n">
        <v>4.75</v>
      </c>
      <c r="D1925" s="14" t="n">
        <v>4.5</v>
      </c>
      <c r="E1925" s="14" t="n">
        <v>2.399</v>
      </c>
      <c r="F1925" s="14" t="n">
        <v>2.5</v>
      </c>
      <c r="G1925" s="14" t="n">
        <v>4</v>
      </c>
      <c r="H1925" s="14" t="n">
        <v>3.927</v>
      </c>
      <c r="I1925" s="14" t="n">
        <v>3.95002101550127</v>
      </c>
      <c r="J1925" s="14" t="n">
        <v>4.11739009882553</v>
      </c>
      <c r="K1925" s="14" t="n">
        <v>4.29958224827449</v>
      </c>
      <c r="L1925" s="14" t="n">
        <v>4.43158757049433</v>
      </c>
      <c r="M1925" s="14" t="n">
        <v>2.278</v>
      </c>
      <c r="N1925" s="14" t="n">
        <v>2.406</v>
      </c>
      <c r="O1925" s="14" t="n">
        <v>2.518</v>
      </c>
      <c r="P1925" s="14" t="n">
        <v>2.668</v>
      </c>
      <c r="Q1925" s="14" t="n">
        <v>2.75</v>
      </c>
      <c r="R1925" s="14" t="n">
        <v>2.75</v>
      </c>
      <c r="S1925" s="14" t="n">
        <v>13.75</v>
      </c>
    </row>
    <row r="1926" customFormat="false" ht="15" hidden="false" customHeight="false" outlineLevel="0" collapsed="false">
      <c r="A1926" s="13" t="n">
        <v>44981</v>
      </c>
      <c r="B1926" s="14" t="n">
        <v>4.55</v>
      </c>
      <c r="C1926" s="14" t="n">
        <v>4.75</v>
      </c>
      <c r="D1926" s="14" t="n">
        <v>4.5</v>
      </c>
      <c r="E1926" s="14" t="n">
        <v>2.398</v>
      </c>
      <c r="F1926" s="14" t="n">
        <v>2.5</v>
      </c>
      <c r="G1926" s="14" t="n">
        <v>4</v>
      </c>
      <c r="H1926" s="14" t="n">
        <v>3.9274</v>
      </c>
      <c r="I1926" s="14" t="n">
        <v>3.96269849661</v>
      </c>
      <c r="J1926" s="14" t="n">
        <v>4.15719448311249</v>
      </c>
      <c r="K1926" s="14" t="n">
        <v>4.36770468281002</v>
      </c>
      <c r="L1926" s="14" t="n">
        <v>4.54977719260543</v>
      </c>
      <c r="M1926" s="14" t="n">
        <v>2.285</v>
      </c>
      <c r="N1926" s="14" t="n">
        <v>2.416</v>
      </c>
      <c r="O1926" s="14" t="n">
        <v>2.528</v>
      </c>
      <c r="P1926" s="14" t="n">
        <v>2.68</v>
      </c>
      <c r="Q1926" s="14" t="n">
        <v>2.75</v>
      </c>
      <c r="R1926" s="14" t="n">
        <v>2.75</v>
      </c>
      <c r="S1926" s="14" t="n">
        <v>13.75</v>
      </c>
    </row>
    <row r="1927" customFormat="false" ht="15" hidden="false" customHeight="false" outlineLevel="0" collapsed="false">
      <c r="A1927" s="13" t="n">
        <v>44984</v>
      </c>
      <c r="B1927" s="14" t="n">
        <v>4.55</v>
      </c>
      <c r="C1927" s="14" t="n">
        <v>4.75</v>
      </c>
      <c r="D1927" s="14" t="n">
        <v>4.5</v>
      </c>
      <c r="E1927" s="14" t="n">
        <v>2.398</v>
      </c>
      <c r="F1927" s="14" t="n">
        <v>2.5</v>
      </c>
      <c r="G1927" s="14" t="n">
        <v>4</v>
      </c>
      <c r="H1927" s="14" t="n">
        <v>3.927</v>
      </c>
      <c r="I1927" s="14" t="n">
        <v>3.9797871476264</v>
      </c>
      <c r="J1927" s="14" t="n">
        <v>4.17275219717659</v>
      </c>
      <c r="K1927" s="14" t="n">
        <v>4.37161515157112</v>
      </c>
      <c r="L1927" s="14" t="n">
        <v>4.54990206158868</v>
      </c>
      <c r="M1927" s="14" t="n">
        <v>2.287</v>
      </c>
      <c r="N1927" s="14" t="n">
        <v>2.423</v>
      </c>
      <c r="O1927" s="14" t="n">
        <v>2.535</v>
      </c>
      <c r="P1927" s="14" t="n">
        <v>2.692</v>
      </c>
      <c r="Q1927" s="14" t="n">
        <v>2.75</v>
      </c>
      <c r="R1927" s="14" t="n">
        <v>2.75</v>
      </c>
      <c r="S1927" s="14" t="n">
        <v>13.75</v>
      </c>
    </row>
    <row r="1928" customFormat="false" ht="15" hidden="false" customHeight="false" outlineLevel="0" collapsed="false">
      <c r="A1928" s="13" t="n">
        <v>44985</v>
      </c>
      <c r="B1928" s="14" t="n">
        <v>4.55</v>
      </c>
      <c r="C1928" s="14" t="n">
        <v>4.75</v>
      </c>
      <c r="D1928" s="14" t="n">
        <v>4.5</v>
      </c>
      <c r="E1928" s="14" t="n">
        <v>2.388</v>
      </c>
      <c r="F1928" s="14" t="n">
        <v>2.5</v>
      </c>
      <c r="G1928" s="14" t="n">
        <v>4</v>
      </c>
      <c r="H1928" s="14" t="n">
        <v>3.927</v>
      </c>
      <c r="I1928" s="14" t="n">
        <v>3.98490187362371</v>
      </c>
      <c r="J1928" s="14" t="n">
        <v>4.1687117858536</v>
      </c>
      <c r="K1928" s="14" t="n">
        <v>4.35965171890071</v>
      </c>
      <c r="L1928" s="14" t="n">
        <v>4.55566824400837</v>
      </c>
      <c r="M1928" s="14" t="n">
        <v>2.292</v>
      </c>
      <c r="N1928" s="14" t="n">
        <v>2.437</v>
      </c>
      <c r="O1928" s="14" t="n">
        <v>2.55</v>
      </c>
      <c r="P1928" s="14" t="n">
        <v>2.704</v>
      </c>
      <c r="Q1928" s="14" t="n">
        <v>2.75</v>
      </c>
      <c r="R1928" s="14" t="n">
        <v>2.75</v>
      </c>
      <c r="S1928" s="14" t="n">
        <v>13.75</v>
      </c>
    </row>
    <row r="1929" customFormat="false" ht="15" hidden="false" customHeight="false" outlineLevel="0" collapsed="false">
      <c r="A1929" s="13" t="n">
        <v>44986</v>
      </c>
      <c r="B1929" s="14" t="n">
        <v>4.55</v>
      </c>
      <c r="C1929" s="14" t="n">
        <v>4.75</v>
      </c>
      <c r="D1929" s="14" t="n">
        <v>4.5</v>
      </c>
      <c r="E1929" s="14" t="n">
        <v>2.398</v>
      </c>
      <c r="F1929" s="14" t="n">
        <v>2.5</v>
      </c>
      <c r="G1929" s="14" t="n">
        <v>4</v>
      </c>
      <c r="H1929" s="14" t="n">
        <v>3.927</v>
      </c>
      <c r="I1929" s="14" t="n">
        <v>3.98702410994461</v>
      </c>
      <c r="J1929" s="14" t="n">
        <v>4.15794473852402</v>
      </c>
      <c r="K1929" s="14" t="n">
        <v>4.33980783730413</v>
      </c>
      <c r="L1929" s="14" t="n">
        <v>4.51609280744667</v>
      </c>
      <c r="M1929" s="14" t="n">
        <v>2.294</v>
      </c>
      <c r="N1929" s="14" t="n">
        <v>2.45</v>
      </c>
      <c r="O1929" s="14" t="n">
        <v>2.559</v>
      </c>
      <c r="P1929" s="14" t="n">
        <v>2.711</v>
      </c>
      <c r="Q1929" s="14" t="n">
        <v>2.75</v>
      </c>
      <c r="R1929" s="14" t="n">
        <v>2.75</v>
      </c>
      <c r="S1929" s="14" t="n">
        <v>13.75</v>
      </c>
    </row>
    <row r="1930" customFormat="false" ht="15" hidden="false" customHeight="false" outlineLevel="0" collapsed="false">
      <c r="A1930" s="13" t="n">
        <v>44987</v>
      </c>
      <c r="B1930" s="14" t="n">
        <v>4.55</v>
      </c>
      <c r="C1930" s="14" t="n">
        <v>4.75</v>
      </c>
      <c r="D1930" s="14" t="n">
        <v>4.5</v>
      </c>
      <c r="E1930" s="14" t="n">
        <v>2.399</v>
      </c>
      <c r="F1930" s="14" t="n">
        <v>2.5</v>
      </c>
      <c r="G1930" s="14" t="n">
        <v>4</v>
      </c>
      <c r="H1930" s="14" t="n">
        <v>3.9273</v>
      </c>
      <c r="I1930" s="14" t="n">
        <v>3.98814671855118</v>
      </c>
      <c r="J1930" s="14" t="n">
        <v>4.15484023703165</v>
      </c>
      <c r="K1930" s="14" t="n">
        <v>4.3367019909548</v>
      </c>
      <c r="L1930" s="14" t="n">
        <v>4.51954226365366</v>
      </c>
      <c r="M1930" s="14" t="n">
        <v>2.294</v>
      </c>
      <c r="N1930" s="14" t="n">
        <v>2.459</v>
      </c>
      <c r="O1930" s="14" t="n">
        <v>2.567</v>
      </c>
      <c r="P1930" s="14" t="n">
        <v>2.718</v>
      </c>
      <c r="Q1930" s="14" t="n">
        <v>2.75</v>
      </c>
      <c r="R1930" s="14" t="n">
        <v>2.75</v>
      </c>
      <c r="S1930" s="14" t="n">
        <v>13.75</v>
      </c>
    </row>
    <row r="1931" customFormat="false" ht="15" hidden="false" customHeight="false" outlineLevel="0" collapsed="false">
      <c r="A1931" s="13" t="n">
        <v>44988</v>
      </c>
      <c r="B1931" s="14" t="n">
        <v>4.55</v>
      </c>
      <c r="C1931" s="14" t="n">
        <v>4.75</v>
      </c>
      <c r="D1931" s="14" t="n">
        <v>4.5</v>
      </c>
      <c r="E1931" s="14" t="n">
        <v>2.4</v>
      </c>
      <c r="F1931" s="14" t="n">
        <v>2.5</v>
      </c>
      <c r="G1931" s="14" t="n">
        <v>4</v>
      </c>
      <c r="H1931" s="14" t="n">
        <v>3.9272</v>
      </c>
      <c r="I1931" s="14" t="n">
        <v>3.99414798525579</v>
      </c>
      <c r="J1931" s="14" t="n">
        <v>4.15769779369036</v>
      </c>
      <c r="K1931" s="14" t="n">
        <v>4.34247187265237</v>
      </c>
      <c r="L1931" s="14" t="n">
        <v>4.52827625343112</v>
      </c>
      <c r="M1931" s="14" t="n">
        <v>2.295</v>
      </c>
      <c r="N1931" s="14" t="n">
        <v>2.466</v>
      </c>
      <c r="O1931" s="14" t="n">
        <v>2.574</v>
      </c>
      <c r="P1931" s="14" t="n">
        <v>2.725</v>
      </c>
      <c r="Q1931" s="14" t="n">
        <v>2.75</v>
      </c>
      <c r="R1931" s="14" t="n">
        <v>2.75</v>
      </c>
      <c r="S1931" s="14" t="n">
        <v>13.75</v>
      </c>
    </row>
    <row r="1932" customFormat="false" ht="15" hidden="false" customHeight="false" outlineLevel="0" collapsed="false">
      <c r="A1932" s="13" t="n">
        <v>44991</v>
      </c>
      <c r="B1932" s="14" t="n">
        <v>4.55</v>
      </c>
      <c r="C1932" s="14" t="n">
        <v>4.75</v>
      </c>
      <c r="D1932" s="14" t="n">
        <v>4.5</v>
      </c>
      <c r="E1932" s="14" t="n">
        <v>2.399</v>
      </c>
      <c r="F1932" s="14" t="n">
        <v>2.5</v>
      </c>
      <c r="G1932" s="14" t="n">
        <v>4</v>
      </c>
      <c r="H1932" s="14" t="n">
        <v>3.9273</v>
      </c>
      <c r="I1932" s="14" t="n">
        <v>4.0175273853947</v>
      </c>
      <c r="J1932" s="14" t="n">
        <v>4.17625844488189</v>
      </c>
      <c r="K1932" s="14" t="n">
        <v>4.36081658459344</v>
      </c>
      <c r="L1932" s="14" t="n">
        <v>4.55455015615615</v>
      </c>
      <c r="M1932" s="14" t="n">
        <v>2.299</v>
      </c>
      <c r="N1932" s="14" t="n">
        <v>2.469</v>
      </c>
      <c r="O1932" s="14" t="n">
        <v>2.578</v>
      </c>
      <c r="P1932" s="14" t="n">
        <v>2.732</v>
      </c>
      <c r="Q1932" s="14" t="n">
        <v>2.75</v>
      </c>
      <c r="R1932" s="14" t="n">
        <v>2.75</v>
      </c>
      <c r="S1932" s="14" t="n">
        <v>13.75</v>
      </c>
    </row>
    <row r="1933" customFormat="false" ht="15" hidden="false" customHeight="false" outlineLevel="0" collapsed="false">
      <c r="A1933" s="13" t="n">
        <v>44992</v>
      </c>
      <c r="B1933" s="14" t="n">
        <v>4.55</v>
      </c>
      <c r="C1933" s="14" t="n">
        <v>4.75</v>
      </c>
      <c r="D1933" s="14" t="n">
        <v>4.5</v>
      </c>
      <c r="E1933" s="14" t="n">
        <v>2.398</v>
      </c>
      <c r="F1933" s="14" t="n">
        <v>2.5</v>
      </c>
      <c r="G1933" s="14" t="n">
        <v>4</v>
      </c>
      <c r="H1933" s="14" t="n">
        <v>3.9275</v>
      </c>
      <c r="I1933" s="14" t="n">
        <v>4.04117834501962</v>
      </c>
      <c r="J1933" s="14" t="n">
        <v>4.22084659776973</v>
      </c>
      <c r="K1933" s="14" t="n">
        <v>4.43249728214224</v>
      </c>
      <c r="L1933" s="14" t="n">
        <v>4.6447646630105</v>
      </c>
      <c r="M1933" s="14" t="n">
        <v>2.314</v>
      </c>
      <c r="N1933" s="14" t="n">
        <v>2.476</v>
      </c>
      <c r="O1933" s="14" t="n">
        <v>2.584</v>
      </c>
      <c r="P1933" s="14" t="n">
        <v>2.738</v>
      </c>
      <c r="Q1933" s="14" t="n">
        <v>2.75</v>
      </c>
      <c r="R1933" s="14" t="n">
        <v>2.75</v>
      </c>
      <c r="S1933" s="14" t="n">
        <v>13.75</v>
      </c>
    </row>
    <row r="1934" customFormat="false" ht="15" hidden="false" customHeight="false" outlineLevel="0" collapsed="false">
      <c r="A1934" s="13" t="n">
        <v>44993</v>
      </c>
      <c r="B1934" s="14" t="n">
        <v>4.55</v>
      </c>
      <c r="C1934" s="14" t="n">
        <v>4.75</v>
      </c>
      <c r="D1934" s="14" t="n">
        <v>4.5</v>
      </c>
      <c r="E1934" s="14" t="n">
        <v>2.399</v>
      </c>
      <c r="F1934" s="14" t="n">
        <v>2.5</v>
      </c>
      <c r="G1934" s="14" t="n">
        <v>4</v>
      </c>
      <c r="H1934" s="14" t="n">
        <v>3.9273</v>
      </c>
      <c r="I1934" s="14" t="n">
        <v>4.04855424335635</v>
      </c>
      <c r="J1934" s="14" t="n">
        <v>4.21625798105129</v>
      </c>
      <c r="K1934" s="14" t="n">
        <v>4.41992876364589</v>
      </c>
      <c r="L1934" s="14" t="n">
        <v>4.62876325959352</v>
      </c>
      <c r="M1934" s="14" t="n">
        <v>2.333</v>
      </c>
      <c r="N1934" s="14" t="n">
        <v>2.486</v>
      </c>
      <c r="O1934" s="14" t="n">
        <v>2.588</v>
      </c>
      <c r="P1934" s="14" t="n">
        <v>2.745</v>
      </c>
      <c r="Q1934" s="14" t="n">
        <v>2.75</v>
      </c>
      <c r="R1934" s="14" t="n">
        <v>2.75</v>
      </c>
      <c r="S1934" s="14" t="n">
        <v>13.75</v>
      </c>
    </row>
    <row r="1935" customFormat="false" ht="15" hidden="false" customHeight="false" outlineLevel="0" collapsed="false">
      <c r="A1935" s="13" t="n">
        <v>44994</v>
      </c>
      <c r="B1935" s="14" t="n">
        <v>4.55</v>
      </c>
      <c r="C1935" s="14" t="n">
        <v>4.75</v>
      </c>
      <c r="D1935" s="14" t="n">
        <v>4.5</v>
      </c>
      <c r="E1935" s="14" t="n">
        <v>2.401</v>
      </c>
      <c r="F1935" s="14" t="n">
        <v>2.5</v>
      </c>
      <c r="G1935" s="14" t="n">
        <v>4</v>
      </c>
      <c r="H1935" s="14" t="n">
        <v>3.9274</v>
      </c>
      <c r="I1935" s="14" t="n">
        <v>4.05374071764633</v>
      </c>
      <c r="J1935" s="14" t="n">
        <v>4.21476313075533</v>
      </c>
      <c r="K1935" s="14" t="n">
        <v>4.40801838087736</v>
      </c>
      <c r="L1935" s="14" t="n">
        <v>4.61019042394951</v>
      </c>
      <c r="M1935" s="14" t="n">
        <v>2.35</v>
      </c>
      <c r="N1935" s="14" t="n">
        <v>2.491</v>
      </c>
      <c r="O1935" s="14" t="n">
        <v>2.594</v>
      </c>
      <c r="P1935" s="14" t="n">
        <v>2.75</v>
      </c>
      <c r="Q1935" s="14" t="n">
        <v>2.75</v>
      </c>
      <c r="R1935" s="14" t="n">
        <v>2.75</v>
      </c>
      <c r="S1935" s="14" t="n">
        <v>13.75</v>
      </c>
    </row>
    <row r="1936" customFormat="false" ht="15" hidden="false" customHeight="false" outlineLevel="0" collapsed="false">
      <c r="A1936" s="13" t="n">
        <v>44995</v>
      </c>
      <c r="B1936" s="14" t="n">
        <v>4.55</v>
      </c>
      <c r="C1936" s="14" t="n">
        <v>4.75</v>
      </c>
      <c r="D1936" s="14" t="n">
        <v>4.5</v>
      </c>
      <c r="E1936" s="14" t="n">
        <v>2.403</v>
      </c>
      <c r="F1936" s="14" t="n">
        <v>2.5</v>
      </c>
      <c r="G1936" s="14" t="n">
        <v>4</v>
      </c>
      <c r="H1936" s="14" t="n">
        <v>3.9274</v>
      </c>
      <c r="I1936" s="14" t="n">
        <v>4.04413511097984</v>
      </c>
      <c r="J1936" s="14" t="n">
        <v>4.18181086965165</v>
      </c>
      <c r="K1936" s="14" t="n">
        <v>4.34240379118133</v>
      </c>
      <c r="L1936" s="14" t="n">
        <v>4.47919052294834</v>
      </c>
      <c r="M1936" s="14" t="n">
        <v>2.364</v>
      </c>
      <c r="N1936" s="14" t="n">
        <v>2.497</v>
      </c>
      <c r="O1936" s="14" t="n">
        <v>2.596</v>
      </c>
      <c r="P1936" s="14" t="n">
        <v>2.75</v>
      </c>
      <c r="Q1936" s="14" t="n">
        <v>2.75</v>
      </c>
      <c r="R1936" s="14" t="n">
        <v>2.75</v>
      </c>
      <c r="S1936" s="14" t="n">
        <v>13.75</v>
      </c>
    </row>
    <row r="1937" customFormat="false" ht="15" hidden="false" customHeight="false" outlineLevel="0" collapsed="false">
      <c r="A1937" s="13" t="n">
        <v>44998</v>
      </c>
      <c r="B1937" s="14" t="n">
        <v>4.55</v>
      </c>
      <c r="C1937" s="14" t="n">
        <v>4.75</v>
      </c>
      <c r="D1937" s="14" t="n">
        <v>4.5</v>
      </c>
      <c r="E1937" s="14" t="n">
        <v>2.401</v>
      </c>
      <c r="F1937" s="14" t="n">
        <v>2.5</v>
      </c>
      <c r="G1937" s="14" t="n">
        <v>4</v>
      </c>
      <c r="H1937" s="14" t="n">
        <v>3.9275</v>
      </c>
      <c r="I1937" s="14" t="n">
        <v>4.03825900418715</v>
      </c>
      <c r="J1937" s="14" t="n">
        <v>4.1245999795007</v>
      </c>
      <c r="K1937" s="14" t="n">
        <v>4.1975665711985</v>
      </c>
      <c r="L1937" s="14" t="n">
        <v>4.21283081554036</v>
      </c>
      <c r="M1937" s="14" t="n">
        <v>2.371</v>
      </c>
      <c r="N1937" s="14" t="n">
        <v>2.498</v>
      </c>
      <c r="O1937" s="14" t="n">
        <v>2.598</v>
      </c>
      <c r="P1937" s="14" t="n">
        <v>2.749</v>
      </c>
      <c r="Q1937" s="14" t="n">
        <v>2.75</v>
      </c>
      <c r="R1937" s="14" t="n">
        <v>2.75</v>
      </c>
      <c r="S1937" s="14" t="n">
        <v>13.75</v>
      </c>
    </row>
    <row r="1938" customFormat="false" ht="15" hidden="false" customHeight="false" outlineLevel="0" collapsed="false">
      <c r="A1938" s="13" t="n">
        <v>44999</v>
      </c>
      <c r="B1938" s="14" t="n">
        <v>4.55</v>
      </c>
      <c r="C1938" s="14" t="n">
        <v>4.75</v>
      </c>
      <c r="D1938" s="14" t="n">
        <v>4.5</v>
      </c>
      <c r="E1938" s="14" t="n">
        <v>2.401</v>
      </c>
      <c r="F1938" s="14" t="n">
        <v>2.5</v>
      </c>
      <c r="G1938" s="14" t="n">
        <v>4</v>
      </c>
      <c r="H1938" s="14" t="n">
        <v>3.927</v>
      </c>
      <c r="I1938" s="14" t="n">
        <v>4.02893852552464</v>
      </c>
      <c r="J1938" s="14" t="n">
        <v>4.11811087784652</v>
      </c>
      <c r="K1938" s="14" t="n">
        <v>4.21015370524787</v>
      </c>
      <c r="L1938" s="14" t="n">
        <v>4.26012080131987</v>
      </c>
      <c r="M1938" s="14" t="n">
        <v>2.378</v>
      </c>
      <c r="N1938" s="14" t="n">
        <v>2.499</v>
      </c>
      <c r="O1938" s="14" t="n">
        <v>2.598</v>
      </c>
      <c r="P1938" s="14" t="n">
        <v>2.746</v>
      </c>
      <c r="Q1938" s="14" t="n">
        <v>2.75</v>
      </c>
      <c r="R1938" s="14" t="n">
        <v>2.75</v>
      </c>
      <c r="S1938" s="14" t="n">
        <v>13.75</v>
      </c>
    </row>
    <row r="1939" customFormat="false" ht="15" hidden="false" customHeight="false" outlineLevel="0" collapsed="false">
      <c r="A1939" s="13" t="n">
        <v>45000</v>
      </c>
      <c r="B1939" s="14" t="n">
        <v>4.58</v>
      </c>
      <c r="C1939" s="14" t="n">
        <v>4.75</v>
      </c>
      <c r="D1939" s="14" t="n">
        <v>4.5</v>
      </c>
      <c r="E1939" s="14" t="n">
        <v>2.4</v>
      </c>
      <c r="F1939" s="14" t="n">
        <v>2.5</v>
      </c>
      <c r="G1939" s="14" t="n">
        <v>4</v>
      </c>
      <c r="H1939" s="14" t="n">
        <v>3.9272</v>
      </c>
      <c r="I1939" s="14" t="n">
        <v>4.00782597185072</v>
      </c>
      <c r="J1939" s="14" t="n">
        <v>4.07813959190782</v>
      </c>
      <c r="K1939" s="14" t="n">
        <v>4.14537281347271</v>
      </c>
      <c r="L1939" s="14" t="n">
        <v>4.12188457577413</v>
      </c>
      <c r="M1939" s="14" t="n">
        <v>2.384</v>
      </c>
      <c r="N1939" s="14" t="n">
        <v>2.5</v>
      </c>
      <c r="O1939" s="14" t="n">
        <v>2.598</v>
      </c>
      <c r="P1939" s="14" t="n">
        <v>2.745</v>
      </c>
      <c r="Q1939" s="14" t="n">
        <v>2.75</v>
      </c>
      <c r="R1939" s="14" t="n">
        <v>2.75</v>
      </c>
      <c r="S1939" s="14" t="n">
        <v>13.75</v>
      </c>
    </row>
    <row r="1940" customFormat="false" ht="15" hidden="false" customHeight="false" outlineLevel="0" collapsed="false">
      <c r="A1940" s="13" t="n">
        <v>45001</v>
      </c>
      <c r="B1940" s="14" t="n">
        <v>4.57</v>
      </c>
      <c r="C1940" s="14" t="n">
        <v>4.75</v>
      </c>
      <c r="D1940" s="14" t="n">
        <v>4.5</v>
      </c>
      <c r="E1940" s="14" t="n">
        <v>2.399</v>
      </c>
      <c r="F1940" s="14" t="n">
        <v>2.5</v>
      </c>
      <c r="G1940" s="14" t="n">
        <v>4</v>
      </c>
      <c r="H1940" s="14" t="n">
        <v>3.9272</v>
      </c>
      <c r="I1940" s="14" t="n">
        <v>4.0392160979377</v>
      </c>
      <c r="J1940" s="14" t="n">
        <v>4.11687848796126</v>
      </c>
      <c r="K1940" s="14" t="n">
        <v>4.19900846904679</v>
      </c>
      <c r="L1940" s="14" t="n">
        <v>4.21508844353727</v>
      </c>
      <c r="M1940" s="14" t="n">
        <v>2.39</v>
      </c>
      <c r="N1940" s="14" t="n">
        <v>2.5</v>
      </c>
      <c r="O1940" s="14" t="n">
        <v>2.6</v>
      </c>
      <c r="P1940" s="14" t="n">
        <v>2.744</v>
      </c>
      <c r="Q1940" s="14" t="n">
        <v>2.75</v>
      </c>
      <c r="R1940" s="14" t="n">
        <v>2.75</v>
      </c>
      <c r="S1940" s="14" t="n">
        <v>13.75</v>
      </c>
    </row>
    <row r="1941" customFormat="false" ht="15" hidden="false" customHeight="false" outlineLevel="0" collapsed="false">
      <c r="A1941" s="13" t="n">
        <v>45002</v>
      </c>
      <c r="B1941" s="14" t="n">
        <v>4.55</v>
      </c>
      <c r="C1941" s="14" t="n">
        <v>4.75</v>
      </c>
      <c r="D1941" s="14" t="n">
        <v>4.5</v>
      </c>
      <c r="E1941" s="14" t="n">
        <v>2.402</v>
      </c>
      <c r="F1941" s="14" t="n">
        <v>2.5</v>
      </c>
      <c r="G1941" s="14" t="n">
        <v>4</v>
      </c>
      <c r="H1941" s="14" t="n">
        <v>3.9268</v>
      </c>
      <c r="I1941" s="14" t="n">
        <v>4.02708798970277</v>
      </c>
      <c r="J1941" s="14" t="n">
        <v>4.08026447955878</v>
      </c>
      <c r="K1941" s="14" t="n">
        <v>4.120597944348</v>
      </c>
      <c r="L1941" s="14" t="n">
        <v>4.09591304372616</v>
      </c>
      <c r="M1941" s="14" t="n">
        <v>2.397</v>
      </c>
      <c r="N1941" s="14" t="n">
        <v>2.5</v>
      </c>
      <c r="O1941" s="14" t="n">
        <v>2.598</v>
      </c>
      <c r="P1941" s="14" t="n">
        <v>2.74</v>
      </c>
      <c r="Q1941" s="14" t="n">
        <v>2.75</v>
      </c>
      <c r="R1941" s="14" t="n">
        <v>2.75</v>
      </c>
      <c r="S1941" s="14" t="n">
        <v>13.75</v>
      </c>
    </row>
    <row r="1942" customFormat="false" ht="15" hidden="false" customHeight="false" outlineLevel="0" collapsed="false">
      <c r="A1942" s="13" t="n">
        <v>45005</v>
      </c>
      <c r="B1942" s="14" t="n">
        <v>4.55</v>
      </c>
      <c r="C1942" s="14" t="n">
        <v>4.75</v>
      </c>
      <c r="D1942" s="14" t="n">
        <v>4.5</v>
      </c>
      <c r="E1942" s="14" t="n">
        <v>2.398</v>
      </c>
      <c r="F1942" s="14" t="n">
        <v>2.5</v>
      </c>
      <c r="G1942" s="14" t="n">
        <v>4</v>
      </c>
      <c r="H1942" s="14" t="n">
        <v>3.9268</v>
      </c>
      <c r="I1942" s="14" t="n">
        <v>4.0334087781977</v>
      </c>
      <c r="J1942" s="14" t="n">
        <v>4.08007046577702</v>
      </c>
      <c r="K1942" s="14" t="n">
        <v>4.1150762505302</v>
      </c>
      <c r="L1942" s="14" t="n">
        <v>4.06745925893289</v>
      </c>
      <c r="M1942" s="14" t="n">
        <v>2.397</v>
      </c>
      <c r="N1942" s="14" t="n">
        <v>2.492</v>
      </c>
      <c r="O1942" s="14" t="n">
        <v>2.582</v>
      </c>
      <c r="P1942" s="14" t="n">
        <v>2.723</v>
      </c>
      <c r="Q1942" s="14" t="n">
        <v>2.75</v>
      </c>
      <c r="R1942" s="14" t="n">
        <v>2.75</v>
      </c>
      <c r="S1942" s="14" t="n">
        <v>13.75</v>
      </c>
    </row>
    <row r="1943" customFormat="false" ht="15" hidden="false" customHeight="false" outlineLevel="0" collapsed="false">
      <c r="A1943" s="13" t="n">
        <v>45006</v>
      </c>
      <c r="B1943" s="14" t="n">
        <v>4.55</v>
      </c>
      <c r="C1943" s="14" t="n">
        <v>4.75</v>
      </c>
      <c r="D1943" s="14" t="n">
        <v>4.5</v>
      </c>
      <c r="E1943" s="14" t="n">
        <v>2.399</v>
      </c>
      <c r="F1943" s="14" t="n">
        <v>2.5</v>
      </c>
      <c r="G1943" s="14" t="n">
        <v>4</v>
      </c>
      <c r="H1943" s="14" t="n">
        <v>3.9269</v>
      </c>
      <c r="I1943" s="14" t="n">
        <v>4.0598986256141</v>
      </c>
      <c r="J1943" s="14" t="n">
        <v>4.12108807419595</v>
      </c>
      <c r="K1943" s="14" t="n">
        <v>4.19197292243722</v>
      </c>
      <c r="L1943" s="14" t="n">
        <v>4.17489271976848</v>
      </c>
      <c r="M1943" s="14" t="n">
        <v>2.398</v>
      </c>
      <c r="N1943" s="14" t="n">
        <v>2.487</v>
      </c>
      <c r="O1943" s="14" t="n">
        <v>2.566</v>
      </c>
      <c r="P1943" s="14" t="n">
        <v>2.699</v>
      </c>
      <c r="Q1943" s="14" t="n">
        <v>2.75</v>
      </c>
      <c r="R1943" s="14" t="n">
        <v>2.75</v>
      </c>
      <c r="S1943" s="14" t="n">
        <v>13.75</v>
      </c>
    </row>
    <row r="1944" customFormat="false" ht="15" hidden="false" customHeight="false" outlineLevel="0" collapsed="false">
      <c r="A1944" s="13" t="n">
        <v>45007</v>
      </c>
      <c r="B1944" s="14" t="n">
        <v>4.55</v>
      </c>
      <c r="C1944" s="14" t="n">
        <v>4.75</v>
      </c>
      <c r="D1944" s="14" t="n">
        <v>4.5</v>
      </c>
      <c r="E1944" s="14" t="n">
        <v>2.898</v>
      </c>
      <c r="F1944" s="14" t="n">
        <v>3</v>
      </c>
      <c r="G1944" s="14" t="n">
        <v>4</v>
      </c>
      <c r="H1944" s="14" t="n">
        <v>3.927</v>
      </c>
      <c r="I1944" s="14" t="n">
        <v>4.12516888840721</v>
      </c>
      <c r="J1944" s="14" t="n">
        <v>4.22689744609609</v>
      </c>
      <c r="K1944" s="14" t="n">
        <v>4.37701670361425</v>
      </c>
      <c r="L1944" s="14" t="n">
        <v>4.44459504982472</v>
      </c>
      <c r="M1944" s="14" t="n">
        <v>2.396</v>
      </c>
      <c r="N1944" s="14" t="n">
        <v>2.479</v>
      </c>
      <c r="O1944" s="14" t="n">
        <v>2.557</v>
      </c>
      <c r="P1944" s="14" t="n">
        <v>2.687</v>
      </c>
      <c r="Q1944" s="14" t="n">
        <v>2.75</v>
      </c>
      <c r="R1944" s="14" t="n">
        <v>2.75</v>
      </c>
      <c r="S1944" s="14" t="n">
        <v>13.75</v>
      </c>
    </row>
    <row r="1945" customFormat="false" ht="15" hidden="false" customHeight="false" outlineLevel="0" collapsed="false">
      <c r="A1945" s="13" t="n">
        <v>45008</v>
      </c>
      <c r="B1945" s="14" t="n">
        <v>4.8</v>
      </c>
      <c r="C1945" s="14" t="n">
        <v>5</v>
      </c>
      <c r="D1945" s="14" t="n">
        <v>4.75</v>
      </c>
      <c r="E1945" s="14" t="n">
        <v>2.899</v>
      </c>
      <c r="F1945" s="14" t="n">
        <v>3</v>
      </c>
      <c r="G1945" s="14" t="n">
        <v>4.25</v>
      </c>
      <c r="H1945" s="14" t="n">
        <v>4.1759</v>
      </c>
      <c r="I1945" s="14" t="n">
        <v>4.16408474792702</v>
      </c>
      <c r="J1945" s="14" t="n">
        <v>4.24865623985332</v>
      </c>
      <c r="K1945" s="14" t="n">
        <v>4.35195237333291</v>
      </c>
      <c r="L1945" s="14" t="n">
        <v>4.32994774014948</v>
      </c>
      <c r="M1945" s="14" t="n">
        <v>2.399</v>
      </c>
      <c r="N1945" s="14" t="n">
        <v>2.476</v>
      </c>
      <c r="O1945" s="14" t="n">
        <v>2.554</v>
      </c>
      <c r="P1945" s="14" t="n">
        <v>2.683</v>
      </c>
      <c r="Q1945" s="14" t="n">
        <v>2.75</v>
      </c>
      <c r="R1945" s="14" t="n">
        <v>2.75</v>
      </c>
      <c r="S1945" s="14" t="n">
        <v>13.75</v>
      </c>
    </row>
    <row r="1946" customFormat="false" ht="15" hidden="false" customHeight="false" outlineLevel="0" collapsed="false">
      <c r="A1946" s="13" t="n">
        <v>45009</v>
      </c>
      <c r="B1946" s="14" t="n">
        <v>4.8</v>
      </c>
      <c r="C1946" s="14" t="n">
        <v>5</v>
      </c>
      <c r="D1946" s="14" t="n">
        <v>4.75</v>
      </c>
      <c r="E1946" s="14" t="n">
        <v>2.899</v>
      </c>
      <c r="F1946" s="14" t="n">
        <v>3</v>
      </c>
      <c r="G1946" s="14" t="n">
        <v>4.25</v>
      </c>
      <c r="H1946" s="14" t="n">
        <v>4.1765</v>
      </c>
      <c r="I1946" s="14" t="n">
        <v>4.15032958132343</v>
      </c>
      <c r="J1946" s="14" t="n">
        <v>4.22825570538891</v>
      </c>
      <c r="K1946" s="14" t="n">
        <v>4.32014086780119</v>
      </c>
      <c r="L1946" s="14" t="n">
        <v>4.27424161967447</v>
      </c>
      <c r="M1946" s="14" t="n">
        <v>2.399</v>
      </c>
      <c r="N1946" s="14" t="n">
        <v>2.473</v>
      </c>
      <c r="O1946" s="14" t="n">
        <v>2.548</v>
      </c>
      <c r="P1946" s="14" t="n">
        <v>2.678</v>
      </c>
      <c r="Q1946" s="14" t="n">
        <v>3</v>
      </c>
      <c r="R1946" s="14" t="n">
        <v>3</v>
      </c>
      <c r="S1946" s="14" t="n">
        <v>13.75</v>
      </c>
    </row>
    <row r="1947" customFormat="false" ht="15" hidden="false" customHeight="false" outlineLevel="0" collapsed="false">
      <c r="A1947" s="13" t="n">
        <v>45012</v>
      </c>
      <c r="B1947" s="14" t="n">
        <v>4.81</v>
      </c>
      <c r="C1947" s="14" t="n">
        <v>5</v>
      </c>
      <c r="D1947" s="14" t="n">
        <v>4.75</v>
      </c>
      <c r="E1947" s="14" t="n">
        <v>2.898</v>
      </c>
      <c r="F1947" s="14" t="n">
        <v>3</v>
      </c>
      <c r="G1947" s="14" t="n">
        <v>4.25</v>
      </c>
      <c r="H1947" s="14" t="n">
        <v>4.1765</v>
      </c>
      <c r="I1947" s="14" t="n">
        <v>4.15623295228468</v>
      </c>
      <c r="J1947" s="14" t="n">
        <v>4.25205701126164</v>
      </c>
      <c r="K1947" s="14" t="n">
        <v>4.3629965015547</v>
      </c>
      <c r="L1947" s="14" t="n">
        <v>4.36318232696082</v>
      </c>
      <c r="M1947" s="14" t="n">
        <v>2.4</v>
      </c>
      <c r="N1947" s="14" t="n">
        <v>2.468</v>
      </c>
      <c r="O1947" s="14" t="n">
        <v>2.547</v>
      </c>
      <c r="P1947" s="14" t="n">
        <v>2.676</v>
      </c>
      <c r="Q1947" s="14" t="n">
        <v>3</v>
      </c>
      <c r="R1947" s="14" t="n">
        <v>3</v>
      </c>
      <c r="S1947" s="14" t="n">
        <v>13.75</v>
      </c>
    </row>
    <row r="1948" customFormat="false" ht="15" hidden="false" customHeight="false" outlineLevel="0" collapsed="false">
      <c r="A1948" s="13" t="n">
        <v>45013</v>
      </c>
      <c r="B1948" s="14" t="n">
        <v>4.84</v>
      </c>
      <c r="C1948" s="14" t="n">
        <v>5</v>
      </c>
      <c r="D1948" s="14" t="n">
        <v>4.75</v>
      </c>
      <c r="E1948" s="14" t="n">
        <v>2.894</v>
      </c>
      <c r="F1948" s="14" t="n">
        <v>3</v>
      </c>
      <c r="G1948" s="14" t="n">
        <v>4.25</v>
      </c>
      <c r="H1948" s="14" t="n">
        <v>4.1766</v>
      </c>
      <c r="I1948" s="14" t="n">
        <v>4.16122533889709</v>
      </c>
      <c r="J1948" s="14" t="n">
        <v>4.26222364683107</v>
      </c>
      <c r="K1948" s="14" t="n">
        <v>4.38157649684106</v>
      </c>
      <c r="L1948" s="14" t="n">
        <v>4.39579114591166</v>
      </c>
      <c r="M1948" s="14" t="n">
        <v>2.402</v>
      </c>
      <c r="N1948" s="14" t="n">
        <v>2.464</v>
      </c>
      <c r="O1948" s="14" t="n">
        <v>2.544</v>
      </c>
      <c r="P1948" s="14" t="n">
        <v>2.674</v>
      </c>
      <c r="Q1948" s="14" t="n">
        <v>3</v>
      </c>
      <c r="R1948" s="14" t="n">
        <v>3</v>
      </c>
      <c r="S1948" s="14" t="n">
        <v>13.75</v>
      </c>
    </row>
    <row r="1949" customFormat="false" ht="15" hidden="false" customHeight="false" outlineLevel="0" collapsed="false">
      <c r="A1949" s="13" t="n">
        <v>45014</v>
      </c>
      <c r="B1949" s="14" t="n">
        <v>4.83</v>
      </c>
      <c r="C1949" s="14" t="n">
        <v>5</v>
      </c>
      <c r="D1949" s="14" t="n">
        <v>4.75</v>
      </c>
      <c r="E1949" s="14" t="n">
        <v>2.894</v>
      </c>
      <c r="F1949" s="14" t="n">
        <v>3</v>
      </c>
      <c r="G1949" s="14" t="n">
        <v>4.25</v>
      </c>
      <c r="H1949" s="14" t="n">
        <v>4.1767</v>
      </c>
      <c r="I1949" s="14" t="n">
        <v>4.1628323425967</v>
      </c>
      <c r="J1949" s="14" t="n">
        <v>4.2715028625105</v>
      </c>
      <c r="K1949" s="14" t="n">
        <v>4.40024924048398</v>
      </c>
      <c r="L1949" s="14" t="n">
        <v>4.42769570244057</v>
      </c>
      <c r="M1949" s="14" t="n">
        <v>2.4</v>
      </c>
      <c r="N1949" s="14" t="n">
        <v>2.456</v>
      </c>
      <c r="O1949" s="14" t="n">
        <v>2.542</v>
      </c>
      <c r="P1949" s="14" t="n">
        <v>2.671</v>
      </c>
      <c r="Q1949" s="14" t="n">
        <v>3</v>
      </c>
      <c r="R1949" s="14" t="n">
        <v>3</v>
      </c>
      <c r="S1949" s="14" t="n">
        <v>13.75</v>
      </c>
    </row>
    <row r="1950" customFormat="false" ht="15" hidden="false" customHeight="false" outlineLevel="0" collapsed="false">
      <c r="A1950" s="13" t="n">
        <v>45015</v>
      </c>
      <c r="B1950" s="14" t="n">
        <v>4.82</v>
      </c>
      <c r="C1950" s="14" t="n">
        <v>5</v>
      </c>
      <c r="D1950" s="14" t="n">
        <v>4.75</v>
      </c>
      <c r="E1950" s="14" t="n">
        <v>2.896</v>
      </c>
      <c r="F1950" s="14" t="n">
        <v>3</v>
      </c>
      <c r="G1950" s="14" t="n">
        <v>4.25</v>
      </c>
      <c r="H1950" s="14" t="n">
        <v>4.1768</v>
      </c>
      <c r="I1950" s="14" t="n">
        <v>4.16309786393869</v>
      </c>
      <c r="J1950" s="14" t="n">
        <v>4.27196437680658</v>
      </c>
      <c r="K1950" s="14" t="n">
        <v>4.40382077088523</v>
      </c>
      <c r="L1950" s="14" t="n">
        <v>4.45201039680187</v>
      </c>
      <c r="M1950" s="14" t="n">
        <v>2.4</v>
      </c>
      <c r="N1950" s="14" t="n">
        <v>2.454</v>
      </c>
      <c r="O1950" s="14" t="n">
        <v>2.541</v>
      </c>
      <c r="P1950" s="14" t="n">
        <v>2.667</v>
      </c>
      <c r="Q1950" s="14" t="n">
        <v>3</v>
      </c>
      <c r="R1950" s="14" t="n">
        <v>3</v>
      </c>
      <c r="S1950" s="14" t="n">
        <v>13.75</v>
      </c>
    </row>
    <row r="1951" customFormat="false" ht="15" hidden="false" customHeight="false" outlineLevel="0" collapsed="false">
      <c r="A1951" s="13" t="n">
        <v>45016</v>
      </c>
      <c r="B1951" s="14" t="n">
        <v>4.87</v>
      </c>
      <c r="C1951" s="14" t="n">
        <v>5</v>
      </c>
      <c r="D1951" s="14" t="n">
        <v>4.75</v>
      </c>
      <c r="E1951" s="14" t="n">
        <v>2.884</v>
      </c>
      <c r="F1951" s="14" t="n">
        <v>3</v>
      </c>
      <c r="G1951" s="14" t="n">
        <v>4.25</v>
      </c>
      <c r="H1951" s="14" t="n">
        <v>4.1777</v>
      </c>
      <c r="I1951" s="14" t="n">
        <v>4.16482876548538</v>
      </c>
      <c r="J1951" s="14" t="n">
        <v>4.271312249483</v>
      </c>
      <c r="K1951" s="14" t="n">
        <v>4.40026579931058</v>
      </c>
      <c r="L1951" s="14" t="n">
        <v>4.44274719661511</v>
      </c>
      <c r="M1951" s="14" t="n">
        <v>2.4</v>
      </c>
      <c r="N1951" s="14" t="n">
        <v>2.448</v>
      </c>
      <c r="O1951" s="14" t="n">
        <v>2.539</v>
      </c>
      <c r="P1951" s="14" t="n">
        <v>2.666</v>
      </c>
      <c r="Q1951" s="14" t="n">
        <v>3</v>
      </c>
      <c r="R1951" s="14" t="n">
        <v>3</v>
      </c>
      <c r="S1951" s="14" t="n">
        <v>13.75</v>
      </c>
    </row>
    <row r="1952" customFormat="false" ht="15" hidden="false" customHeight="false" outlineLevel="0" collapsed="false">
      <c r="A1952" s="13" t="n">
        <v>45019</v>
      </c>
      <c r="B1952" s="14" t="n">
        <v>4.84</v>
      </c>
      <c r="C1952" s="14" t="n">
        <v>5</v>
      </c>
      <c r="D1952" s="14" t="n">
        <v>4.75</v>
      </c>
      <c r="E1952" s="14" t="n">
        <v>2.898</v>
      </c>
      <c r="F1952" s="14" t="n">
        <v>3</v>
      </c>
      <c r="G1952" s="14" t="n">
        <v>4.25</v>
      </c>
      <c r="H1952" s="14" t="n">
        <v>4.1769</v>
      </c>
      <c r="I1952" s="14" t="n">
        <v>4.16798338885277</v>
      </c>
      <c r="J1952" s="14" t="n">
        <v>4.2843677142044</v>
      </c>
      <c r="K1952" s="14" t="n">
        <v>4.40993753646433</v>
      </c>
      <c r="L1952" s="14" t="n">
        <v>4.41639380524616</v>
      </c>
      <c r="M1952" s="14" t="n">
        <v>2.364</v>
      </c>
      <c r="N1952" s="14" t="n">
        <v>2.429</v>
      </c>
      <c r="O1952" s="14" t="n">
        <v>2.522</v>
      </c>
      <c r="P1952" s="14" t="n">
        <v>2.66</v>
      </c>
      <c r="Q1952" s="14" t="n">
        <v>3</v>
      </c>
      <c r="R1952" s="14" t="n">
        <v>3</v>
      </c>
      <c r="S1952" s="14" t="n">
        <v>13.75</v>
      </c>
    </row>
    <row r="1953" customFormat="false" ht="15" hidden="false" customHeight="false" outlineLevel="0" collapsed="false">
      <c r="A1953" s="13" t="n">
        <v>45020</v>
      </c>
      <c r="B1953" s="14" t="n">
        <v>4.83</v>
      </c>
      <c r="C1953" s="14" t="n">
        <v>5</v>
      </c>
      <c r="D1953" s="14" t="n">
        <v>4.75</v>
      </c>
      <c r="E1953" s="14" t="n">
        <v>2.898</v>
      </c>
      <c r="F1953" s="14" t="n">
        <v>3</v>
      </c>
      <c r="G1953" s="14" t="n">
        <v>4.25</v>
      </c>
      <c r="H1953" s="14" t="n">
        <v>4.1767</v>
      </c>
      <c r="I1953" s="14" t="n">
        <v>4.16876307164213</v>
      </c>
      <c r="J1953" s="14" t="n">
        <v>4.28262526338486</v>
      </c>
      <c r="K1953" s="14" t="n">
        <v>4.40014254430344</v>
      </c>
      <c r="L1953" s="14" t="n">
        <v>4.37406194573537</v>
      </c>
      <c r="M1953" s="14" t="n">
        <v>2.343</v>
      </c>
      <c r="N1953" s="14" t="n">
        <v>2.423</v>
      </c>
      <c r="O1953" s="14" t="n">
        <v>2.516</v>
      </c>
      <c r="P1953" s="14" t="n">
        <v>2.654</v>
      </c>
      <c r="Q1953" s="14" t="n">
        <v>3</v>
      </c>
      <c r="R1953" s="14" t="n">
        <v>3</v>
      </c>
      <c r="S1953" s="14" t="n">
        <v>13.75</v>
      </c>
    </row>
    <row r="1954" customFormat="false" ht="15" hidden="false" customHeight="false" outlineLevel="0" collapsed="false">
      <c r="A1954" s="13" t="n">
        <v>45021</v>
      </c>
      <c r="B1954" s="14" t="n">
        <v>4.81</v>
      </c>
      <c r="C1954" s="14" t="n">
        <v>5</v>
      </c>
      <c r="D1954" s="14" t="n">
        <v>4.75</v>
      </c>
      <c r="E1954" s="14" t="n">
        <v>2.902</v>
      </c>
      <c r="F1954" s="14" t="n">
        <v>3</v>
      </c>
      <c r="G1954" s="14" t="n">
        <v>4.25</v>
      </c>
      <c r="H1954" s="14" t="n">
        <v>4.1769</v>
      </c>
      <c r="I1954" s="14" t="n">
        <v>4.17246808037444</v>
      </c>
      <c r="J1954" s="14" t="n">
        <v>4.28939293661006</v>
      </c>
      <c r="K1954" s="14" t="n">
        <v>4.40070124726424</v>
      </c>
      <c r="L1954" s="14" t="n">
        <v>4.37640933597367</v>
      </c>
      <c r="Q1954" s="14" t="n">
        <v>3</v>
      </c>
      <c r="R1954" s="14" t="n">
        <v>3</v>
      </c>
      <c r="S1954" s="14" t="n">
        <v>13.75</v>
      </c>
    </row>
    <row r="1955" customFormat="false" ht="15" hidden="false" customHeight="false" outlineLevel="0" collapsed="false">
      <c r="A1955" s="13" t="n">
        <v>45022</v>
      </c>
      <c r="B1955" s="14" t="n">
        <v>4.81</v>
      </c>
      <c r="C1955" s="14" t="n">
        <v>5</v>
      </c>
      <c r="D1955" s="14" t="n">
        <v>4.75</v>
      </c>
      <c r="E1955" s="14" t="n">
        <v>2.903</v>
      </c>
      <c r="F1955" s="14" t="n">
        <v>3</v>
      </c>
      <c r="G1955" s="14" t="n">
        <v>4.25</v>
      </c>
      <c r="H1955" s="14" t="n">
        <v>4.177</v>
      </c>
      <c r="I1955" s="14" t="n">
        <v>4.17124028631778</v>
      </c>
      <c r="J1955" s="14" t="n">
        <v>4.29518257620401</v>
      </c>
      <c r="K1955" s="14" t="n">
        <v>4.4132556391353</v>
      </c>
      <c r="L1955" s="14" t="n">
        <v>4.39865020343146</v>
      </c>
      <c r="M1955" s="14" t="n">
        <v>2.33</v>
      </c>
      <c r="N1955" s="14" t="n">
        <v>2.414</v>
      </c>
      <c r="O1955" s="14" t="n">
        <v>2.511</v>
      </c>
      <c r="P1955" s="14" t="n">
        <v>2.648</v>
      </c>
      <c r="S1955" s="14" t="n">
        <v>13.75</v>
      </c>
    </row>
    <row r="1956" customFormat="false" ht="15" hidden="false" customHeight="false" outlineLevel="0" collapsed="false">
      <c r="A1956" s="13" t="n">
        <v>45023</v>
      </c>
      <c r="C1956" s="14" t="n">
        <v>5</v>
      </c>
      <c r="D1956" s="14" t="n">
        <v>4.75</v>
      </c>
      <c r="F1956" s="14" t="n">
        <v>3</v>
      </c>
      <c r="M1956" s="14" t="n">
        <v>2.322</v>
      </c>
      <c r="N1956" s="14" t="n">
        <v>2.41</v>
      </c>
      <c r="O1956" s="14" t="n">
        <v>2.507</v>
      </c>
      <c r="P1956" s="14" t="n">
        <v>2.649</v>
      </c>
      <c r="S1956" s="14" t="n">
        <v>13.75</v>
      </c>
    </row>
    <row r="1957" customFormat="false" ht="15" hidden="false" customHeight="false" outlineLevel="0" collapsed="false">
      <c r="A1957" s="13" t="n">
        <v>45026</v>
      </c>
      <c r="B1957" s="14" t="n">
        <v>4.81</v>
      </c>
      <c r="C1957" s="14" t="n">
        <v>5</v>
      </c>
      <c r="D1957" s="14" t="n">
        <v>4.75</v>
      </c>
      <c r="F1957" s="14" t="n">
        <v>3</v>
      </c>
      <c r="M1957" s="14" t="n">
        <v>2.313</v>
      </c>
      <c r="N1957" s="14" t="n">
        <v>2.414</v>
      </c>
      <c r="O1957" s="14" t="n">
        <v>2.508</v>
      </c>
      <c r="P1957" s="14" t="n">
        <v>2.65</v>
      </c>
      <c r="S1957" s="14" t="n">
        <v>13.75</v>
      </c>
    </row>
    <row r="1958" customFormat="false" ht="15" hidden="false" customHeight="false" outlineLevel="0" collapsed="false">
      <c r="A1958" s="13" t="n">
        <v>45027</v>
      </c>
      <c r="B1958" s="14" t="n">
        <v>4.8</v>
      </c>
      <c r="C1958" s="14" t="n">
        <v>5</v>
      </c>
      <c r="D1958" s="14" t="n">
        <v>4.75</v>
      </c>
      <c r="E1958" s="14" t="n">
        <v>2.897</v>
      </c>
      <c r="F1958" s="14" t="n">
        <v>3</v>
      </c>
      <c r="G1958" s="14" t="n">
        <v>4.25</v>
      </c>
      <c r="H1958" s="14" t="n">
        <v>4.1767</v>
      </c>
      <c r="I1958" s="14" t="n">
        <v>4.18203846757985</v>
      </c>
      <c r="J1958" s="14" t="n">
        <v>4.3288362371793</v>
      </c>
      <c r="K1958" s="14" t="n">
        <v>4.4662074537652</v>
      </c>
      <c r="L1958" s="14" t="n">
        <v>4.48603495529667</v>
      </c>
      <c r="M1958" s="14" t="n">
        <v>2.312</v>
      </c>
      <c r="N1958" s="14" t="n">
        <v>2.415</v>
      </c>
      <c r="O1958" s="14" t="n">
        <v>2.508</v>
      </c>
      <c r="P1958" s="14" t="n">
        <v>2.65</v>
      </c>
      <c r="Q1958" s="14" t="n">
        <v>3</v>
      </c>
      <c r="R1958" s="14" t="n">
        <v>3</v>
      </c>
      <c r="S1958" s="14" t="n">
        <v>13.75</v>
      </c>
    </row>
    <row r="1959" customFormat="false" ht="15" hidden="false" customHeight="false" outlineLevel="0" collapsed="false">
      <c r="A1959" s="13" t="n">
        <v>45028</v>
      </c>
      <c r="B1959" s="14" t="n">
        <v>4.8</v>
      </c>
      <c r="C1959" s="14" t="n">
        <v>5</v>
      </c>
      <c r="D1959" s="14" t="n">
        <v>4.75</v>
      </c>
      <c r="E1959" s="14" t="n">
        <v>2.898</v>
      </c>
      <c r="F1959" s="14" t="n">
        <v>3</v>
      </c>
      <c r="G1959" s="14" t="n">
        <v>4.25</v>
      </c>
      <c r="H1959" s="14" t="n">
        <v>4.1767</v>
      </c>
      <c r="I1959" s="14" t="n">
        <v>4.18534681391058</v>
      </c>
      <c r="J1959" s="14" t="n">
        <v>4.33518334255354</v>
      </c>
      <c r="K1959" s="14" t="n">
        <v>4.47495953806286</v>
      </c>
      <c r="L1959" s="14" t="n">
        <v>4.50012281719663</v>
      </c>
      <c r="M1959" s="14" t="n">
        <v>2.311</v>
      </c>
      <c r="N1959" s="14" t="n">
        <v>2.418</v>
      </c>
      <c r="O1959" s="14" t="n">
        <v>2.509</v>
      </c>
      <c r="P1959" s="14" t="n">
        <v>2.65</v>
      </c>
      <c r="Q1959" s="14" t="n">
        <v>3</v>
      </c>
      <c r="R1959" s="14" t="n">
        <v>3</v>
      </c>
      <c r="S1959" s="14" t="n">
        <v>13.75</v>
      </c>
    </row>
    <row r="1960" customFormat="false" ht="15" hidden="false" customHeight="false" outlineLevel="0" collapsed="false">
      <c r="A1960" s="13" t="n">
        <v>45029</v>
      </c>
      <c r="B1960" s="14" t="n">
        <v>4.8</v>
      </c>
      <c r="C1960" s="14" t="n">
        <v>5</v>
      </c>
      <c r="D1960" s="14" t="n">
        <v>4.75</v>
      </c>
      <c r="E1960" s="14" t="n">
        <v>2.899</v>
      </c>
      <c r="F1960" s="14" t="n">
        <v>3</v>
      </c>
      <c r="G1960" s="14" t="n">
        <v>4.25</v>
      </c>
      <c r="H1960" s="14" t="n">
        <v>4.1769</v>
      </c>
      <c r="I1960" s="14" t="n">
        <v>4.19700734193594</v>
      </c>
      <c r="J1960" s="14" t="n">
        <v>4.33705545244121</v>
      </c>
      <c r="K1960" s="14" t="n">
        <v>4.46173059881184</v>
      </c>
      <c r="L1960" s="14" t="n">
        <v>4.4760578574276</v>
      </c>
      <c r="M1960" s="14" t="n">
        <v>2.307</v>
      </c>
      <c r="N1960" s="14" t="n">
        <v>2.421</v>
      </c>
      <c r="O1960" s="14" t="n">
        <v>2.509</v>
      </c>
      <c r="P1960" s="14" t="n">
        <v>2.65</v>
      </c>
      <c r="Q1960" s="14" t="n">
        <v>3</v>
      </c>
      <c r="R1960" s="14" t="n">
        <v>3</v>
      </c>
      <c r="S1960" s="14" t="n">
        <v>13.75</v>
      </c>
    </row>
    <row r="1961" customFormat="false" ht="15" hidden="false" customHeight="false" outlineLevel="0" collapsed="false">
      <c r="A1961" s="13" t="n">
        <v>45030</v>
      </c>
      <c r="B1961" s="14" t="n">
        <v>4.8</v>
      </c>
      <c r="C1961" s="14" t="n">
        <v>5</v>
      </c>
      <c r="D1961" s="14" t="n">
        <v>4.75</v>
      </c>
      <c r="E1961" s="14" t="n">
        <v>2.896</v>
      </c>
      <c r="F1961" s="14" t="n">
        <v>3</v>
      </c>
      <c r="G1961" s="14" t="n">
        <v>4.25</v>
      </c>
      <c r="H1961" s="14" t="n">
        <v>4.1769</v>
      </c>
      <c r="I1961" s="14" t="n">
        <v>4.20156182708204</v>
      </c>
      <c r="J1961" s="14" t="n">
        <v>4.35005044872132</v>
      </c>
      <c r="K1961" s="14" t="n">
        <v>4.48933084015303</v>
      </c>
      <c r="L1961" s="14" t="n">
        <v>4.52644165141091</v>
      </c>
      <c r="M1961" s="14" t="n">
        <v>2.306</v>
      </c>
      <c r="N1961" s="14" t="n">
        <v>2.422</v>
      </c>
      <c r="O1961" s="14" t="n">
        <v>2.508</v>
      </c>
      <c r="P1961" s="14" t="n">
        <v>2.65</v>
      </c>
      <c r="Q1961" s="14" t="n">
        <v>3</v>
      </c>
      <c r="R1961" s="14" t="n">
        <v>3</v>
      </c>
      <c r="S1961" s="14" t="n">
        <v>13.75</v>
      </c>
    </row>
    <row r="1962" customFormat="false" ht="15" hidden="false" customHeight="false" outlineLevel="0" collapsed="false">
      <c r="A1962" s="13" t="n">
        <v>45033</v>
      </c>
      <c r="B1962" s="14" t="n">
        <v>4.8</v>
      </c>
      <c r="C1962" s="14" t="n">
        <v>5</v>
      </c>
      <c r="D1962" s="14" t="n">
        <v>4.75</v>
      </c>
      <c r="E1962" s="14" t="n">
        <v>2.897</v>
      </c>
      <c r="F1962" s="14" t="n">
        <v>3</v>
      </c>
      <c r="G1962" s="14" t="n">
        <v>4.25</v>
      </c>
      <c r="H1962" s="14" t="n">
        <v>4.1771</v>
      </c>
      <c r="I1962" s="14" t="n">
        <v>4.20995750222614</v>
      </c>
      <c r="J1962" s="14" t="n">
        <v>4.35467973451518</v>
      </c>
      <c r="K1962" s="14" t="n">
        <v>4.48927467882641</v>
      </c>
      <c r="L1962" s="14" t="n">
        <v>4.53517036759208</v>
      </c>
      <c r="M1962" s="14" t="n">
        <v>2.308</v>
      </c>
      <c r="N1962" s="14" t="n">
        <v>2.424</v>
      </c>
      <c r="O1962" s="14" t="n">
        <v>2.509</v>
      </c>
      <c r="P1962" s="14" t="n">
        <v>2.649</v>
      </c>
      <c r="Q1962" s="14" t="n">
        <v>3</v>
      </c>
      <c r="R1962" s="14" t="n">
        <v>3</v>
      </c>
      <c r="S1962" s="14" t="n">
        <v>13.75</v>
      </c>
    </row>
    <row r="1963" customFormat="false" ht="15" hidden="false" customHeight="false" outlineLevel="0" collapsed="false">
      <c r="A1963" s="13" t="n">
        <v>45034</v>
      </c>
      <c r="B1963" s="14" t="n">
        <v>4.8</v>
      </c>
      <c r="C1963" s="14" t="n">
        <v>5</v>
      </c>
      <c r="D1963" s="14" t="n">
        <v>4.75</v>
      </c>
      <c r="E1963" s="14" t="n">
        <v>2.901</v>
      </c>
      <c r="F1963" s="14" t="n">
        <v>3</v>
      </c>
      <c r="G1963" s="14" t="n">
        <v>4.25</v>
      </c>
      <c r="H1963" s="14" t="n">
        <v>4.1774</v>
      </c>
      <c r="I1963" s="14" t="n">
        <v>4.22122575397064</v>
      </c>
      <c r="J1963" s="14" t="n">
        <v>4.38951783671969</v>
      </c>
      <c r="K1963" s="14" t="n">
        <v>4.55068324180505</v>
      </c>
      <c r="L1963" s="14" t="n">
        <v>4.61663669211531</v>
      </c>
      <c r="M1963" s="14" t="n">
        <v>2.31</v>
      </c>
      <c r="N1963" s="14" t="n">
        <v>2.426</v>
      </c>
      <c r="O1963" s="14" t="n">
        <v>2.511</v>
      </c>
      <c r="P1963" s="14" t="n">
        <v>2.65</v>
      </c>
      <c r="Q1963" s="14" t="n">
        <v>3</v>
      </c>
      <c r="R1963" s="14" t="n">
        <v>3</v>
      </c>
      <c r="S1963" s="14" t="n">
        <v>13.75</v>
      </c>
    </row>
    <row r="1964" customFormat="false" ht="15" hidden="false" customHeight="false" outlineLevel="0" collapsed="false">
      <c r="A1964" s="13" t="n">
        <v>45035</v>
      </c>
      <c r="B1964" s="14" t="n">
        <v>4.8</v>
      </c>
      <c r="C1964" s="14" t="n">
        <v>5</v>
      </c>
      <c r="D1964" s="14" t="n">
        <v>4.75</v>
      </c>
      <c r="E1964" s="14" t="n">
        <v>2.902</v>
      </c>
      <c r="F1964" s="14" t="n">
        <v>3</v>
      </c>
      <c r="G1964" s="14" t="n">
        <v>4.25</v>
      </c>
      <c r="H1964" s="14" t="n">
        <v>4.1774</v>
      </c>
      <c r="I1964" s="14" t="n">
        <v>4.2421405737189</v>
      </c>
      <c r="J1964" s="14" t="n">
        <v>4.4436982857979</v>
      </c>
      <c r="K1964" s="14" t="n">
        <v>4.63771431650034</v>
      </c>
      <c r="L1964" s="14" t="n">
        <v>4.74509261249465</v>
      </c>
      <c r="M1964" s="14" t="n">
        <v>2.31</v>
      </c>
      <c r="N1964" s="14" t="n">
        <v>2.432</v>
      </c>
      <c r="O1964" s="14" t="n">
        <v>2.512</v>
      </c>
      <c r="P1964" s="14" t="n">
        <v>2.65</v>
      </c>
      <c r="Q1964" s="14" t="n">
        <v>3</v>
      </c>
      <c r="R1964" s="14" t="n">
        <v>3</v>
      </c>
      <c r="S1964" s="14" t="n">
        <v>13.75</v>
      </c>
    </row>
    <row r="1965" customFormat="false" ht="15" hidden="false" customHeight="false" outlineLevel="0" collapsed="false">
      <c r="A1965" s="13" t="n">
        <v>45036</v>
      </c>
      <c r="B1965" s="14" t="n">
        <v>4.8</v>
      </c>
      <c r="C1965" s="14" t="n">
        <v>5</v>
      </c>
      <c r="D1965" s="14" t="n">
        <v>4.75</v>
      </c>
      <c r="E1965" s="14" t="n">
        <v>2.904</v>
      </c>
      <c r="F1965" s="14" t="n">
        <v>3</v>
      </c>
      <c r="G1965" s="14" t="n">
        <v>4.25</v>
      </c>
      <c r="H1965" s="14" t="n">
        <v>4.1775</v>
      </c>
      <c r="I1965" s="14" t="n">
        <v>4.24386219531242</v>
      </c>
      <c r="J1965" s="14" t="n">
        <v>4.43934191832681</v>
      </c>
      <c r="K1965" s="14" t="n">
        <v>4.62605105124081</v>
      </c>
      <c r="L1965" s="14" t="n">
        <v>4.71516428839379</v>
      </c>
      <c r="M1965" s="14" t="n">
        <v>2.309</v>
      </c>
      <c r="N1965" s="14" t="n">
        <v>2.429</v>
      </c>
      <c r="O1965" s="14" t="n">
        <v>2.507</v>
      </c>
      <c r="P1965" s="14" t="n">
        <v>2.649</v>
      </c>
      <c r="Q1965" s="14" t="n">
        <v>3</v>
      </c>
      <c r="R1965" s="14" t="n">
        <v>3</v>
      </c>
      <c r="S1965" s="14" t="n">
        <v>13.75</v>
      </c>
    </row>
    <row r="1966" customFormat="false" ht="15" hidden="false" customHeight="false" outlineLevel="0" collapsed="false">
      <c r="A1966" s="13" t="n">
        <v>45037</v>
      </c>
      <c r="B1966" s="14" t="n">
        <v>4.8</v>
      </c>
      <c r="C1966" s="14" t="n">
        <v>5</v>
      </c>
      <c r="D1966" s="14" t="n">
        <v>4.75</v>
      </c>
      <c r="E1966" s="14" t="n">
        <v>2.902</v>
      </c>
      <c r="F1966" s="14" t="n">
        <v>3</v>
      </c>
      <c r="G1966" s="14" t="n">
        <v>4.25</v>
      </c>
      <c r="H1966" s="14" t="n">
        <v>4.1774</v>
      </c>
      <c r="I1966" s="14" t="n">
        <v>4.25080042039795</v>
      </c>
      <c r="J1966" s="14" t="n">
        <v>4.43936095478675</v>
      </c>
      <c r="K1966" s="14" t="n">
        <v>4.61898732138497</v>
      </c>
      <c r="L1966" s="14" t="n">
        <v>4.69747721074525</v>
      </c>
      <c r="M1966" s="14" t="n">
        <v>2.31</v>
      </c>
      <c r="N1966" s="14" t="n">
        <v>2.429</v>
      </c>
      <c r="O1966" s="14" t="n">
        <v>2.507</v>
      </c>
      <c r="P1966" s="14" t="n">
        <v>2.649</v>
      </c>
      <c r="Q1966" s="14" t="n">
        <v>3</v>
      </c>
      <c r="R1966" s="14" t="n">
        <v>3</v>
      </c>
      <c r="S1966" s="14" t="n">
        <v>13.75</v>
      </c>
    </row>
    <row r="1967" customFormat="false" ht="15" hidden="false" customHeight="false" outlineLevel="0" collapsed="false">
      <c r="A1967" s="13" t="n">
        <v>45039</v>
      </c>
      <c r="C1967" s="14" t="n">
        <v>5</v>
      </c>
      <c r="D1967" s="14" t="n">
        <v>4.75</v>
      </c>
      <c r="F1967" s="14" t="n">
        <v>3</v>
      </c>
      <c r="M1967" s="14" t="n">
        <v>2.312</v>
      </c>
      <c r="N1967" s="14" t="n">
        <v>2.429</v>
      </c>
      <c r="O1967" s="14" t="n">
        <v>2.507</v>
      </c>
      <c r="P1967" s="14" t="n">
        <v>2.649</v>
      </c>
      <c r="S1967" s="14" t="n">
        <v>13.75</v>
      </c>
    </row>
    <row r="1968" customFormat="false" ht="15" hidden="false" customHeight="false" outlineLevel="0" collapsed="false">
      <c r="A1968" s="13" t="n">
        <v>45040</v>
      </c>
      <c r="B1968" s="14" t="n">
        <v>4.8</v>
      </c>
      <c r="C1968" s="14" t="n">
        <v>5</v>
      </c>
      <c r="D1968" s="14" t="n">
        <v>4.75</v>
      </c>
      <c r="E1968" s="14" t="n">
        <v>2.905</v>
      </c>
      <c r="F1968" s="14" t="n">
        <v>3</v>
      </c>
      <c r="G1968" s="14" t="n">
        <v>4.25</v>
      </c>
      <c r="H1968" s="14" t="n">
        <v>4.1773</v>
      </c>
      <c r="I1968" s="14" t="n">
        <v>4.27860410922207</v>
      </c>
      <c r="J1968" s="14" t="n">
        <v>4.46186869940141</v>
      </c>
      <c r="K1968" s="14" t="n">
        <v>4.64124616718723</v>
      </c>
      <c r="L1968" s="14" t="n">
        <v>4.73026910431441</v>
      </c>
      <c r="M1968" s="14" t="n">
        <v>2.312</v>
      </c>
      <c r="N1968" s="14" t="n">
        <v>2.43</v>
      </c>
      <c r="O1968" s="14" t="n">
        <v>2.506</v>
      </c>
      <c r="P1968" s="14" t="n">
        <v>2.649</v>
      </c>
      <c r="Q1968" s="14" t="n">
        <v>3</v>
      </c>
      <c r="R1968" s="14" t="n">
        <v>3</v>
      </c>
      <c r="S1968" s="14" t="n">
        <v>13.75</v>
      </c>
    </row>
    <row r="1969" customFormat="false" ht="15" hidden="false" customHeight="false" outlineLevel="0" collapsed="false">
      <c r="A1969" s="13" t="n">
        <v>45041</v>
      </c>
      <c r="B1969" s="14" t="n">
        <v>4.8</v>
      </c>
      <c r="C1969" s="14" t="n">
        <v>5</v>
      </c>
      <c r="D1969" s="14" t="n">
        <v>4.75</v>
      </c>
      <c r="E1969" s="14" t="n">
        <v>2.901</v>
      </c>
      <c r="F1969" s="14" t="n">
        <v>3</v>
      </c>
      <c r="G1969" s="14" t="n">
        <v>4.25</v>
      </c>
      <c r="H1969" s="14" t="n">
        <v>4.1774</v>
      </c>
      <c r="I1969" s="14" t="n">
        <v>4.28731883116175</v>
      </c>
      <c r="J1969" s="14" t="n">
        <v>4.45483069223198</v>
      </c>
      <c r="K1969" s="14" t="n">
        <v>4.6134843913261</v>
      </c>
      <c r="L1969" s="14" t="n">
        <v>4.67783390734035</v>
      </c>
      <c r="M1969" s="14" t="n">
        <v>2.312</v>
      </c>
      <c r="N1969" s="14" t="n">
        <v>2.43</v>
      </c>
      <c r="O1969" s="14" t="n">
        <v>2.507</v>
      </c>
      <c r="P1969" s="14" t="n">
        <v>2.649</v>
      </c>
      <c r="Q1969" s="14" t="n">
        <v>3</v>
      </c>
      <c r="R1969" s="14" t="n">
        <v>3</v>
      </c>
      <c r="S1969" s="14" t="n">
        <v>13.75</v>
      </c>
    </row>
    <row r="1970" customFormat="false" ht="15" hidden="false" customHeight="false" outlineLevel="0" collapsed="false">
      <c r="A1970" s="13" t="n">
        <v>45042</v>
      </c>
      <c r="B1970" s="14" t="n">
        <v>4.8</v>
      </c>
      <c r="C1970" s="14" t="n">
        <v>5</v>
      </c>
      <c r="D1970" s="14" t="n">
        <v>4.75</v>
      </c>
      <c r="E1970" s="14" t="n">
        <v>2.9</v>
      </c>
      <c r="F1970" s="14" t="n">
        <v>3</v>
      </c>
      <c r="G1970" s="14" t="n">
        <v>4.25</v>
      </c>
      <c r="H1970" s="14" t="n">
        <v>4.1784</v>
      </c>
      <c r="I1970" s="14" t="n">
        <v>4.29332314027326</v>
      </c>
      <c r="J1970" s="14" t="n">
        <v>4.45806105613116</v>
      </c>
      <c r="K1970" s="14" t="n">
        <v>4.62180062411762</v>
      </c>
      <c r="L1970" s="14" t="n">
        <v>4.68885195814754</v>
      </c>
      <c r="M1970" s="14" t="n">
        <v>2.31</v>
      </c>
      <c r="N1970" s="14" t="n">
        <v>2.43</v>
      </c>
      <c r="O1970" s="14" t="n">
        <v>2.507</v>
      </c>
      <c r="P1970" s="14" t="n">
        <v>2.649</v>
      </c>
      <c r="Q1970" s="14" t="n">
        <v>3</v>
      </c>
      <c r="R1970" s="14" t="n">
        <v>3</v>
      </c>
      <c r="S1970" s="14" t="n">
        <v>13.75</v>
      </c>
    </row>
    <row r="1971" customFormat="false" ht="15" hidden="false" customHeight="false" outlineLevel="0" collapsed="false">
      <c r="A1971" s="13" t="n">
        <v>45043</v>
      </c>
      <c r="B1971" s="14" t="n">
        <v>4.81</v>
      </c>
      <c r="C1971" s="14" t="n">
        <v>5</v>
      </c>
      <c r="D1971" s="14" t="n">
        <v>4.75</v>
      </c>
      <c r="E1971" s="14" t="n">
        <v>2.9</v>
      </c>
      <c r="F1971" s="14" t="n">
        <v>3</v>
      </c>
      <c r="G1971" s="14" t="n">
        <v>4.25</v>
      </c>
      <c r="H1971" s="14" t="n">
        <v>4.1787</v>
      </c>
      <c r="I1971" s="14" t="n">
        <v>4.30474300439414</v>
      </c>
      <c r="J1971" s="14" t="n">
        <v>4.47146617687742</v>
      </c>
      <c r="K1971" s="14" t="n">
        <v>4.63686293607337</v>
      </c>
      <c r="L1971" s="14" t="n">
        <v>4.71257408909823</v>
      </c>
      <c r="M1971" s="14" t="n">
        <v>2.309</v>
      </c>
      <c r="N1971" s="14" t="n">
        <v>2.43</v>
      </c>
      <c r="O1971" s="14" t="n">
        <v>2.506</v>
      </c>
      <c r="P1971" s="14" t="n">
        <v>2.648</v>
      </c>
      <c r="Q1971" s="14" t="n">
        <v>3</v>
      </c>
      <c r="R1971" s="14" t="n">
        <v>3</v>
      </c>
      <c r="S1971" s="14" t="n">
        <v>13.75</v>
      </c>
    </row>
    <row r="1972" customFormat="false" ht="15" hidden="false" customHeight="false" outlineLevel="0" collapsed="false">
      <c r="A1972" s="13" t="n">
        <v>45044</v>
      </c>
      <c r="B1972" s="14" t="n">
        <v>4.81</v>
      </c>
      <c r="C1972" s="14" t="n">
        <v>5</v>
      </c>
      <c r="D1972" s="14" t="n">
        <v>4.75</v>
      </c>
      <c r="E1972" s="14" t="n">
        <v>2.894</v>
      </c>
      <c r="F1972" s="14" t="n">
        <v>3</v>
      </c>
      <c r="G1972" s="14" t="n">
        <v>4.25</v>
      </c>
      <c r="H1972" s="14" t="n">
        <v>4.1792</v>
      </c>
      <c r="I1972" s="14" t="n">
        <v>4.3173164853986</v>
      </c>
      <c r="J1972" s="14" t="n">
        <v>4.48472473803868</v>
      </c>
      <c r="K1972" s="14" t="n">
        <v>4.64939429334826</v>
      </c>
      <c r="L1972" s="14" t="n">
        <v>4.71332467710183</v>
      </c>
      <c r="M1972" s="14" t="n">
        <v>2.309</v>
      </c>
      <c r="N1972" s="14" t="n">
        <v>2.428</v>
      </c>
      <c r="O1972" s="14" t="n">
        <v>2.506</v>
      </c>
      <c r="P1972" s="14" t="n">
        <v>2.645</v>
      </c>
      <c r="Q1972" s="14" t="n">
        <v>3</v>
      </c>
      <c r="R1972" s="14" t="n">
        <v>3</v>
      </c>
      <c r="S1972" s="14" t="n">
        <v>13.75</v>
      </c>
    </row>
    <row r="1973" customFormat="false" ht="15" hidden="false" customHeight="false" outlineLevel="0" collapsed="false">
      <c r="A1973" s="13" t="n">
        <v>45047</v>
      </c>
      <c r="B1973" s="14" t="n">
        <v>4.81</v>
      </c>
      <c r="C1973" s="14" t="n">
        <v>5</v>
      </c>
      <c r="D1973" s="14" t="n">
        <v>4.75</v>
      </c>
      <c r="F1973" s="14" t="n">
        <v>3</v>
      </c>
      <c r="S1973" s="14" t="n">
        <v>13.75</v>
      </c>
    </row>
    <row r="1974" customFormat="false" ht="15" hidden="false" customHeight="false" outlineLevel="0" collapsed="false">
      <c r="A1974" s="13" t="n">
        <v>45048</v>
      </c>
      <c r="B1974" s="14" t="n">
        <v>4.81</v>
      </c>
      <c r="C1974" s="14" t="n">
        <v>5</v>
      </c>
      <c r="D1974" s="14" t="n">
        <v>4.75</v>
      </c>
      <c r="E1974" s="14" t="n">
        <v>2.896</v>
      </c>
      <c r="F1974" s="14" t="n">
        <v>3</v>
      </c>
      <c r="G1974" s="14" t="n">
        <v>4.25</v>
      </c>
      <c r="H1974" s="14" t="n">
        <v>4.1792</v>
      </c>
      <c r="I1974" s="14" t="n">
        <v>4.33988109925944</v>
      </c>
      <c r="J1974" s="14" t="n">
        <v>4.47958118902931</v>
      </c>
      <c r="K1974" s="14" t="n">
        <v>4.62610570563539</v>
      </c>
      <c r="L1974" s="14" t="n">
        <v>4.66410875325792</v>
      </c>
      <c r="Q1974" s="14" t="n">
        <v>3</v>
      </c>
      <c r="R1974" s="14" t="n">
        <v>3</v>
      </c>
      <c r="S1974" s="14" t="n">
        <v>13.75</v>
      </c>
    </row>
    <row r="1975" customFormat="false" ht="15" hidden="false" customHeight="false" outlineLevel="0" collapsed="false">
      <c r="A1975" s="13" t="n">
        <v>45049</v>
      </c>
      <c r="B1975" s="14" t="n">
        <v>4.81</v>
      </c>
      <c r="C1975" s="14" t="n">
        <v>5</v>
      </c>
      <c r="D1975" s="14" t="n">
        <v>4.75</v>
      </c>
      <c r="E1975" s="14" t="n">
        <v>2.896</v>
      </c>
      <c r="F1975" s="14" t="n">
        <v>3</v>
      </c>
      <c r="G1975" s="14" t="n">
        <v>4.25</v>
      </c>
      <c r="H1975" s="14" t="n">
        <v>4.1778</v>
      </c>
      <c r="I1975" s="14" t="n">
        <v>4.3491918140769</v>
      </c>
      <c r="J1975" s="14" t="n">
        <v>4.48955617884853</v>
      </c>
      <c r="K1975" s="14" t="n">
        <v>4.64103290013352</v>
      </c>
      <c r="L1975" s="14" t="n">
        <v>4.69160591413592</v>
      </c>
      <c r="Q1975" s="14" t="n">
        <v>3</v>
      </c>
      <c r="R1975" s="14" t="n">
        <v>3</v>
      </c>
      <c r="S1975" s="14" t="n">
        <v>13.75</v>
      </c>
    </row>
    <row r="1976" customFormat="false" ht="15" hidden="false" customHeight="false" outlineLevel="0" collapsed="false">
      <c r="A1976" s="13" t="n">
        <v>45050</v>
      </c>
      <c r="B1976" s="14" t="n">
        <v>5.06</v>
      </c>
      <c r="C1976" s="14" t="n">
        <v>5.25</v>
      </c>
      <c r="D1976" s="14" t="n">
        <v>5</v>
      </c>
      <c r="E1976" s="14" t="n">
        <v>2.897</v>
      </c>
      <c r="F1976" s="14" t="n">
        <v>3</v>
      </c>
      <c r="G1976" s="14" t="n">
        <v>4.25</v>
      </c>
      <c r="H1976" s="14" t="n">
        <v>4.1779</v>
      </c>
      <c r="I1976" s="14" t="n">
        <v>4.34474807020206</v>
      </c>
      <c r="J1976" s="14" t="n">
        <v>4.46324379926084</v>
      </c>
      <c r="K1976" s="14" t="n">
        <v>4.58154201233882</v>
      </c>
      <c r="L1976" s="14" t="n">
        <v>4.5803771718923</v>
      </c>
      <c r="M1976" s="14" t="n">
        <v>2.294</v>
      </c>
      <c r="N1976" s="14" t="n">
        <v>2.414</v>
      </c>
      <c r="O1976" s="14" t="n">
        <v>2.501</v>
      </c>
      <c r="P1976" s="14" t="n">
        <v>2.636</v>
      </c>
      <c r="Q1976" s="14" t="n">
        <v>3</v>
      </c>
      <c r="R1976" s="14" t="n">
        <v>3</v>
      </c>
      <c r="S1976" s="14" t="n">
        <v>13.75</v>
      </c>
    </row>
    <row r="1977" customFormat="false" ht="15" hidden="false" customHeight="false" outlineLevel="0" collapsed="false">
      <c r="A1977" s="13" t="n">
        <v>45051</v>
      </c>
      <c r="B1977" s="14" t="n">
        <v>5.06</v>
      </c>
      <c r="C1977" s="14" t="n">
        <v>5.25</v>
      </c>
      <c r="D1977" s="14" t="n">
        <v>5</v>
      </c>
      <c r="E1977" s="14" t="n">
        <v>2.898</v>
      </c>
      <c r="F1977" s="14" t="n">
        <v>3</v>
      </c>
      <c r="G1977" s="14" t="n">
        <v>4.25</v>
      </c>
      <c r="H1977" s="14" t="n">
        <v>4.1777</v>
      </c>
      <c r="I1977" s="14" t="n">
        <v>4.36163032322097</v>
      </c>
      <c r="J1977" s="14" t="n">
        <v>4.49136849672897</v>
      </c>
      <c r="K1977" s="14" t="n">
        <v>4.63409548594473</v>
      </c>
      <c r="L1977" s="14" t="n">
        <v>4.67200446315357</v>
      </c>
      <c r="M1977" s="14" t="n">
        <v>2.277</v>
      </c>
      <c r="N1977" s="14" t="n">
        <v>2.401</v>
      </c>
      <c r="O1977" s="14" t="n">
        <v>2.491</v>
      </c>
      <c r="P1977" s="14" t="n">
        <v>2.618</v>
      </c>
      <c r="Q1977" s="14" t="n">
        <v>3.25</v>
      </c>
      <c r="R1977" s="14" t="n">
        <v>3.25</v>
      </c>
      <c r="S1977" s="14" t="n">
        <v>13.75</v>
      </c>
    </row>
    <row r="1978" customFormat="false" ht="15" hidden="false" customHeight="false" outlineLevel="0" collapsed="false">
      <c r="A1978" s="13" t="n">
        <v>45052</v>
      </c>
      <c r="C1978" s="14" t="n">
        <v>5.25</v>
      </c>
      <c r="D1978" s="14" t="n">
        <v>5</v>
      </c>
      <c r="F1978" s="14" t="n">
        <v>3</v>
      </c>
      <c r="M1978" s="14" t="n">
        <v>2.259</v>
      </c>
      <c r="N1978" s="14" t="n">
        <v>2.393</v>
      </c>
      <c r="O1978" s="14" t="n">
        <v>2.481</v>
      </c>
      <c r="P1978" s="14" t="n">
        <v>2.603</v>
      </c>
      <c r="S1978" s="14" t="n">
        <v>13.75</v>
      </c>
    </row>
    <row r="1979" customFormat="false" ht="15" hidden="false" customHeight="false" outlineLevel="0" collapsed="false">
      <c r="A1979" s="13" t="n">
        <v>45054</v>
      </c>
      <c r="B1979" s="14" t="n">
        <v>5.06</v>
      </c>
      <c r="C1979" s="14" t="n">
        <v>5.25</v>
      </c>
      <c r="D1979" s="14" t="n">
        <v>5</v>
      </c>
      <c r="E1979" s="14" t="n">
        <v>2.892</v>
      </c>
      <c r="F1979" s="14" t="n">
        <v>3</v>
      </c>
      <c r="M1979" s="14" t="n">
        <v>2.248</v>
      </c>
      <c r="N1979" s="14" t="n">
        <v>2.386</v>
      </c>
      <c r="O1979" s="14" t="n">
        <v>2.47</v>
      </c>
      <c r="P1979" s="14" t="n">
        <v>2.596</v>
      </c>
      <c r="Q1979" s="14" t="n">
        <v>3.25</v>
      </c>
      <c r="R1979" s="14" t="n">
        <v>3.25</v>
      </c>
      <c r="S1979" s="14" t="n">
        <v>13.75</v>
      </c>
    </row>
    <row r="1980" customFormat="false" ht="15" hidden="false" customHeight="false" outlineLevel="0" collapsed="false">
      <c r="A1980" s="13" t="n">
        <v>45055</v>
      </c>
      <c r="B1980" s="14" t="n">
        <v>5.06</v>
      </c>
      <c r="C1980" s="14" t="n">
        <v>5.25</v>
      </c>
      <c r="D1980" s="14" t="n">
        <v>5</v>
      </c>
      <c r="E1980" s="14" t="n">
        <v>2.894</v>
      </c>
      <c r="F1980" s="14" t="n">
        <v>3</v>
      </c>
      <c r="G1980" s="14" t="n">
        <v>4.25</v>
      </c>
      <c r="H1980" s="14" t="n">
        <v>4.1777</v>
      </c>
      <c r="I1980" s="14" t="n">
        <v>4.39965070203385</v>
      </c>
      <c r="J1980" s="14" t="n">
        <v>4.52523287016087</v>
      </c>
      <c r="K1980" s="14" t="n">
        <v>4.6678509508179</v>
      </c>
      <c r="L1980" s="14" t="n">
        <v>4.71031650295217</v>
      </c>
      <c r="M1980" s="14" t="n">
        <v>2.235</v>
      </c>
      <c r="N1980" s="14" t="n">
        <v>2.377</v>
      </c>
      <c r="O1980" s="14" t="n">
        <v>2.462</v>
      </c>
      <c r="P1980" s="14" t="n">
        <v>2.583</v>
      </c>
      <c r="Q1980" s="14" t="n">
        <v>3.25</v>
      </c>
      <c r="R1980" s="14" t="n">
        <v>3.25</v>
      </c>
      <c r="S1980" s="14" t="n">
        <v>13.75</v>
      </c>
    </row>
    <row r="1981" customFormat="false" ht="15" hidden="false" customHeight="false" outlineLevel="0" collapsed="false">
      <c r="A1981" s="13" t="n">
        <v>45056</v>
      </c>
      <c r="B1981" s="14" t="n">
        <v>5.06</v>
      </c>
      <c r="C1981" s="14" t="n">
        <v>5.25</v>
      </c>
      <c r="D1981" s="14" t="n">
        <v>5</v>
      </c>
      <c r="E1981" s="14" t="n">
        <v>3.145</v>
      </c>
      <c r="F1981" s="14" t="n">
        <v>3.25</v>
      </c>
      <c r="G1981" s="14" t="n">
        <v>4.25</v>
      </c>
      <c r="H1981" s="14" t="n">
        <v>4.1775</v>
      </c>
      <c r="I1981" s="14" t="n">
        <v>4.41358646293242</v>
      </c>
      <c r="J1981" s="14" t="n">
        <v>4.52642368680095</v>
      </c>
      <c r="K1981" s="14" t="n">
        <v>4.65547296465187</v>
      </c>
      <c r="L1981" s="14" t="n">
        <v>4.67714193261058</v>
      </c>
      <c r="M1981" s="14" t="n">
        <v>2.228</v>
      </c>
      <c r="N1981" s="14" t="n">
        <v>2.363</v>
      </c>
      <c r="O1981" s="14" t="n">
        <v>2.452</v>
      </c>
      <c r="P1981" s="14" t="n">
        <v>2.569</v>
      </c>
      <c r="Q1981" s="14" t="n">
        <v>3.25</v>
      </c>
      <c r="R1981" s="14" t="n">
        <v>3.25</v>
      </c>
      <c r="S1981" s="14" t="n">
        <v>13.75</v>
      </c>
    </row>
    <row r="1982" customFormat="false" ht="15" hidden="false" customHeight="false" outlineLevel="0" collapsed="false">
      <c r="A1982" s="13" t="n">
        <v>45057</v>
      </c>
      <c r="B1982" s="14" t="n">
        <v>5.05</v>
      </c>
      <c r="C1982" s="14" t="n">
        <v>5.25</v>
      </c>
      <c r="D1982" s="14" t="n">
        <v>5</v>
      </c>
      <c r="E1982" s="14" t="n">
        <v>3.145</v>
      </c>
      <c r="F1982" s="14" t="n">
        <v>3.25</v>
      </c>
      <c r="G1982" s="14" t="n">
        <v>4.5</v>
      </c>
      <c r="H1982" s="14" t="n">
        <v>4.4274</v>
      </c>
      <c r="I1982" s="14" t="n">
        <v>4.41768504396316</v>
      </c>
      <c r="J1982" s="14" t="n">
        <v>4.52897739850492</v>
      </c>
      <c r="K1982" s="14" t="n">
        <v>4.65341260062137</v>
      </c>
      <c r="L1982" s="14" t="n">
        <v>4.65403390842982</v>
      </c>
      <c r="M1982" s="14" t="n">
        <v>2.212</v>
      </c>
      <c r="N1982" s="14" t="n">
        <v>2.349</v>
      </c>
      <c r="O1982" s="14" t="n">
        <v>2.439</v>
      </c>
      <c r="P1982" s="14" t="n">
        <v>2.548</v>
      </c>
      <c r="Q1982" s="14" t="n">
        <v>3.25</v>
      </c>
      <c r="R1982" s="14" t="n">
        <v>3.25</v>
      </c>
      <c r="S1982" s="14" t="n">
        <v>13.75</v>
      </c>
    </row>
    <row r="1983" customFormat="false" ht="15" hidden="false" customHeight="false" outlineLevel="0" collapsed="false">
      <c r="A1983" s="13" t="n">
        <v>45058</v>
      </c>
      <c r="B1983" s="14" t="n">
        <v>5.05</v>
      </c>
      <c r="C1983" s="14" t="n">
        <v>5.25</v>
      </c>
      <c r="D1983" s="14" t="n">
        <v>5</v>
      </c>
      <c r="E1983" s="14" t="n">
        <v>3.148</v>
      </c>
      <c r="F1983" s="14" t="n">
        <v>3.25</v>
      </c>
      <c r="G1983" s="14" t="n">
        <v>4.5</v>
      </c>
      <c r="H1983" s="14" t="n">
        <v>4.4277</v>
      </c>
      <c r="I1983" s="14" t="n">
        <v>4.42350557298676</v>
      </c>
      <c r="J1983" s="14" t="n">
        <v>4.54487540991399</v>
      </c>
      <c r="K1983" s="14" t="n">
        <v>4.68159154089402</v>
      </c>
      <c r="L1983" s="14" t="n">
        <v>4.70324359406109</v>
      </c>
      <c r="M1983" s="14" t="n">
        <v>2.199</v>
      </c>
      <c r="N1983" s="14" t="n">
        <v>2.325</v>
      </c>
      <c r="O1983" s="14" t="n">
        <v>2.427</v>
      </c>
      <c r="P1983" s="14" t="n">
        <v>2.524</v>
      </c>
      <c r="Q1983" s="14" t="n">
        <v>3.25</v>
      </c>
      <c r="R1983" s="14" t="n">
        <v>3.25</v>
      </c>
      <c r="S1983" s="14" t="n">
        <v>13.75</v>
      </c>
    </row>
    <row r="1984" customFormat="false" ht="15" hidden="false" customHeight="false" outlineLevel="0" collapsed="false">
      <c r="A1984" s="13" t="n">
        <v>45061</v>
      </c>
      <c r="B1984" s="14" t="n">
        <v>5.06</v>
      </c>
      <c r="C1984" s="14" t="n">
        <v>5.25</v>
      </c>
      <c r="D1984" s="14" t="n">
        <v>5</v>
      </c>
      <c r="E1984" s="14" t="n">
        <v>3.145</v>
      </c>
      <c r="F1984" s="14" t="n">
        <v>3.25</v>
      </c>
      <c r="G1984" s="14" t="n">
        <v>4.5</v>
      </c>
      <c r="H1984" s="14" t="n">
        <v>4.4274</v>
      </c>
      <c r="I1984" s="14" t="n">
        <v>4.42499408039692</v>
      </c>
      <c r="J1984" s="14" t="n">
        <v>4.55308771543328</v>
      </c>
      <c r="K1984" s="14" t="n">
        <v>4.6884368518599</v>
      </c>
      <c r="L1984" s="14" t="n">
        <v>4.70602773621662</v>
      </c>
      <c r="M1984" s="14" t="n">
        <v>2.189</v>
      </c>
      <c r="N1984" s="14" t="n">
        <v>2.311</v>
      </c>
      <c r="O1984" s="14" t="n">
        <v>2.419</v>
      </c>
      <c r="P1984" s="14" t="n">
        <v>2.508</v>
      </c>
      <c r="Q1984" s="14" t="n">
        <v>3.25</v>
      </c>
      <c r="R1984" s="14" t="n">
        <v>3.25</v>
      </c>
      <c r="S1984" s="14" t="n">
        <v>13.75</v>
      </c>
    </row>
    <row r="1985" customFormat="false" ht="15" hidden="false" customHeight="false" outlineLevel="0" collapsed="false">
      <c r="A1985" s="13" t="n">
        <v>45062</v>
      </c>
      <c r="B1985" s="14" t="n">
        <v>5.05</v>
      </c>
      <c r="C1985" s="14" t="n">
        <v>5.25</v>
      </c>
      <c r="D1985" s="14" t="n">
        <v>5</v>
      </c>
      <c r="E1985" s="14" t="n">
        <v>3.147</v>
      </c>
      <c r="F1985" s="14" t="n">
        <v>3.25</v>
      </c>
      <c r="G1985" s="14" t="n">
        <v>4.5</v>
      </c>
      <c r="H1985" s="14" t="n">
        <v>4.4275</v>
      </c>
      <c r="I1985" s="14" t="n">
        <v>4.42796794720426</v>
      </c>
      <c r="J1985" s="14" t="n">
        <v>4.5493351381954</v>
      </c>
      <c r="K1985" s="14" t="n">
        <v>4.67301879691283</v>
      </c>
      <c r="L1985" s="14" t="n">
        <v>4.68515839993197</v>
      </c>
      <c r="M1985" s="14" t="n">
        <v>2.18</v>
      </c>
      <c r="N1985" s="14" t="n">
        <v>2.294</v>
      </c>
      <c r="O1985" s="14" t="n">
        <v>2.41</v>
      </c>
      <c r="P1985" s="14" t="n">
        <v>2.496</v>
      </c>
      <c r="Q1985" s="14" t="n">
        <v>3.25</v>
      </c>
      <c r="R1985" s="14" t="n">
        <v>3.25</v>
      </c>
      <c r="S1985" s="14" t="n">
        <v>13.75</v>
      </c>
    </row>
    <row r="1986" customFormat="false" ht="15" hidden="false" customHeight="false" outlineLevel="0" collapsed="false">
      <c r="A1986" s="13" t="n">
        <v>45063</v>
      </c>
      <c r="B1986" s="14" t="n">
        <v>5.05</v>
      </c>
      <c r="C1986" s="14" t="n">
        <v>5.25</v>
      </c>
      <c r="D1986" s="14" t="n">
        <v>5</v>
      </c>
      <c r="E1986" s="14" t="n">
        <v>3.151</v>
      </c>
      <c r="F1986" s="14" t="n">
        <v>3.25</v>
      </c>
      <c r="G1986" s="14" t="n">
        <v>4.5</v>
      </c>
      <c r="H1986" s="14" t="n">
        <v>4.4274</v>
      </c>
      <c r="I1986" s="14" t="n">
        <v>4.4261983619597</v>
      </c>
      <c r="J1986" s="14" t="n">
        <v>4.54983580445562</v>
      </c>
      <c r="K1986" s="14" t="n">
        <v>4.67650446324213</v>
      </c>
      <c r="L1986" s="14" t="n">
        <v>4.70018894134205</v>
      </c>
      <c r="M1986" s="14" t="n">
        <v>2.16</v>
      </c>
      <c r="N1986" s="14" t="n">
        <v>2.288</v>
      </c>
      <c r="O1986" s="14" t="n">
        <v>2.403</v>
      </c>
      <c r="P1986" s="14" t="n">
        <v>2.49</v>
      </c>
      <c r="S1986" s="14" t="n">
        <v>13.75</v>
      </c>
    </row>
    <row r="1987" customFormat="false" ht="15" hidden="false" customHeight="false" outlineLevel="0" collapsed="false">
      <c r="A1987" s="13" t="n">
        <v>45064</v>
      </c>
      <c r="B1987" s="14" t="n">
        <v>5.05</v>
      </c>
      <c r="C1987" s="14" t="n">
        <v>5.25</v>
      </c>
      <c r="D1987" s="14" t="n">
        <v>5</v>
      </c>
      <c r="E1987" s="14" t="n">
        <v>3.153</v>
      </c>
      <c r="F1987" s="14" t="n">
        <v>3.25</v>
      </c>
      <c r="G1987" s="14" t="n">
        <v>4.5</v>
      </c>
      <c r="H1987" s="14" t="n">
        <v>4.4276</v>
      </c>
      <c r="I1987" s="14" t="n">
        <v>4.43058042784605</v>
      </c>
      <c r="J1987" s="14" t="n">
        <v>4.56809440919464</v>
      </c>
      <c r="K1987" s="14" t="n">
        <v>4.70580507709011</v>
      </c>
      <c r="L1987" s="14" t="n">
        <v>4.75152965419911</v>
      </c>
      <c r="M1987" s="14" t="n">
        <v>2.136</v>
      </c>
      <c r="N1987" s="14" t="n">
        <v>2.278</v>
      </c>
      <c r="O1987" s="14" t="n">
        <v>2.392</v>
      </c>
      <c r="P1987" s="14" t="n">
        <v>2.49</v>
      </c>
      <c r="S1987" s="14" t="n">
        <v>13.75</v>
      </c>
    </row>
    <row r="1988" customFormat="false" ht="15" hidden="false" customHeight="false" outlineLevel="0" collapsed="false">
      <c r="A1988" s="13" t="n">
        <v>45065</v>
      </c>
      <c r="B1988" s="14" t="n">
        <v>5.05</v>
      </c>
      <c r="C1988" s="14" t="n">
        <v>5.25</v>
      </c>
      <c r="D1988" s="14" t="n">
        <v>5</v>
      </c>
      <c r="E1988" s="14" t="n">
        <v>3.151</v>
      </c>
      <c r="F1988" s="14" t="n">
        <v>3.25</v>
      </c>
      <c r="G1988" s="14" t="n">
        <v>4.5</v>
      </c>
      <c r="H1988" s="14" t="n">
        <v>4.4274</v>
      </c>
      <c r="I1988" s="14" t="n">
        <v>4.43215348415629</v>
      </c>
      <c r="J1988" s="14" t="n">
        <v>4.56865504611432</v>
      </c>
      <c r="K1988" s="14" t="n">
        <v>4.70738113040388</v>
      </c>
      <c r="L1988" s="14" t="n">
        <v>4.7600448714494</v>
      </c>
      <c r="M1988" s="14" t="n">
        <v>2.131</v>
      </c>
      <c r="N1988" s="14" t="n">
        <v>2.269</v>
      </c>
      <c r="O1988" s="14" t="n">
        <v>2.39</v>
      </c>
      <c r="P1988" s="14" t="n">
        <v>2.489</v>
      </c>
      <c r="Q1988" s="14" t="n">
        <v>3.25</v>
      </c>
      <c r="R1988" s="14" t="n">
        <v>3.25</v>
      </c>
      <c r="S1988" s="14" t="n">
        <v>13.75</v>
      </c>
    </row>
    <row r="1989" customFormat="false" ht="15" hidden="false" customHeight="false" outlineLevel="0" collapsed="false">
      <c r="A1989" s="13" t="n">
        <v>45068</v>
      </c>
      <c r="B1989" s="14" t="n">
        <v>5.05</v>
      </c>
      <c r="C1989" s="14" t="n">
        <v>5.25</v>
      </c>
      <c r="D1989" s="14" t="n">
        <v>5</v>
      </c>
      <c r="E1989" s="14" t="n">
        <v>3.15</v>
      </c>
      <c r="F1989" s="14" t="n">
        <v>3.25</v>
      </c>
      <c r="G1989" s="14" t="n">
        <v>4.5</v>
      </c>
      <c r="H1989" s="14" t="n">
        <v>4.4277</v>
      </c>
      <c r="I1989" s="14" t="n">
        <v>4.43480827055815</v>
      </c>
      <c r="J1989" s="14" t="n">
        <v>4.58544367482231</v>
      </c>
      <c r="K1989" s="14" t="n">
        <v>4.73326019294698</v>
      </c>
      <c r="L1989" s="14" t="n">
        <v>4.80497910461918</v>
      </c>
      <c r="M1989" s="14" t="n">
        <v>2.124</v>
      </c>
      <c r="N1989" s="14" t="n">
        <v>2.262</v>
      </c>
      <c r="O1989" s="14" t="n">
        <v>2.379</v>
      </c>
      <c r="P1989" s="14" t="n">
        <v>2.489</v>
      </c>
      <c r="Q1989" s="14" t="n">
        <v>3.25</v>
      </c>
      <c r="R1989" s="14" t="n">
        <v>3.25</v>
      </c>
      <c r="S1989" s="14" t="n">
        <v>13.75</v>
      </c>
    </row>
    <row r="1990" customFormat="false" ht="15" hidden="false" customHeight="false" outlineLevel="0" collapsed="false">
      <c r="A1990" s="13" t="n">
        <v>45069</v>
      </c>
      <c r="B1990" s="14" t="n">
        <v>5.05</v>
      </c>
      <c r="C1990" s="14" t="n">
        <v>5.25</v>
      </c>
      <c r="D1990" s="14" t="n">
        <v>5</v>
      </c>
      <c r="E1990" s="14" t="n">
        <v>3.157</v>
      </c>
      <c r="F1990" s="14" t="n">
        <v>3.25</v>
      </c>
      <c r="G1990" s="14" t="n">
        <v>4.5</v>
      </c>
      <c r="H1990" s="14" t="n">
        <v>4.4285</v>
      </c>
      <c r="I1990" s="14" t="n">
        <v>4.44072053116426</v>
      </c>
      <c r="J1990" s="14" t="n">
        <v>4.60557512775015</v>
      </c>
      <c r="K1990" s="14" t="n">
        <v>4.77267333529398</v>
      </c>
      <c r="L1990" s="14" t="n">
        <v>4.86507287284444</v>
      </c>
      <c r="M1990" s="14" t="n">
        <v>2.117</v>
      </c>
      <c r="N1990" s="14" t="n">
        <v>2.255</v>
      </c>
      <c r="O1990" s="14" t="n">
        <v>2.372</v>
      </c>
      <c r="P1990" s="14" t="n">
        <v>2.484</v>
      </c>
      <c r="Q1990" s="14" t="n">
        <v>3.25</v>
      </c>
      <c r="R1990" s="14" t="n">
        <v>3.25</v>
      </c>
      <c r="S1990" s="14" t="n">
        <v>13.75</v>
      </c>
    </row>
    <row r="1991" customFormat="false" ht="15" hidden="false" customHeight="false" outlineLevel="0" collapsed="false">
      <c r="A1991" s="13" t="n">
        <v>45070</v>
      </c>
      <c r="B1991" s="14" t="n">
        <v>5.05</v>
      </c>
      <c r="C1991" s="14" t="n">
        <v>5.25</v>
      </c>
      <c r="D1991" s="14" t="n">
        <v>5</v>
      </c>
      <c r="E1991" s="14" t="n">
        <v>3.148</v>
      </c>
      <c r="F1991" s="14" t="n">
        <v>3.25</v>
      </c>
      <c r="G1991" s="14" t="n">
        <v>4.5</v>
      </c>
      <c r="H1991" s="14" t="n">
        <v>4.4277</v>
      </c>
      <c r="I1991" s="14" t="n">
        <v>4.4590466926045</v>
      </c>
      <c r="J1991" s="14" t="n">
        <v>4.69707711793774</v>
      </c>
      <c r="K1991" s="14" t="n">
        <v>4.95388878739069</v>
      </c>
      <c r="L1991" s="14" t="n">
        <v>5.13741013552528</v>
      </c>
      <c r="M1991" s="14" t="n">
        <v>2.113</v>
      </c>
      <c r="N1991" s="14" t="n">
        <v>2.252</v>
      </c>
      <c r="O1991" s="14" t="n">
        <v>2.366</v>
      </c>
      <c r="P1991" s="14" t="n">
        <v>2.481</v>
      </c>
      <c r="Q1991" s="14" t="n">
        <v>3.25</v>
      </c>
      <c r="R1991" s="14" t="n">
        <v>3.25</v>
      </c>
      <c r="S1991" s="14" t="n">
        <v>13.75</v>
      </c>
    </row>
    <row r="1992" customFormat="false" ht="15" hidden="false" customHeight="false" outlineLevel="0" collapsed="false">
      <c r="A1992" s="13" t="n">
        <v>45071</v>
      </c>
      <c r="B1992" s="14" t="n">
        <v>5.06</v>
      </c>
      <c r="C1992" s="14" t="n">
        <v>5.25</v>
      </c>
      <c r="D1992" s="14" t="n">
        <v>5</v>
      </c>
      <c r="E1992" s="14" t="n">
        <v>3.148</v>
      </c>
      <c r="F1992" s="14" t="n">
        <v>3.25</v>
      </c>
      <c r="G1992" s="14" t="n">
        <v>4.5</v>
      </c>
      <c r="H1992" s="14" t="n">
        <v>4.4278</v>
      </c>
      <c r="I1992" s="14" t="n">
        <v>4.47800623524118</v>
      </c>
      <c r="J1992" s="14" t="n">
        <v>4.7349354026267</v>
      </c>
      <c r="K1992" s="14" t="n">
        <v>5.02931625722987</v>
      </c>
      <c r="L1992" s="14" t="n">
        <v>5.27383339722863</v>
      </c>
      <c r="M1992" s="14" t="n">
        <v>2.111</v>
      </c>
      <c r="N1992" s="14" t="n">
        <v>2.243</v>
      </c>
      <c r="O1992" s="14" t="n">
        <v>2.364</v>
      </c>
      <c r="P1992" s="14" t="n">
        <v>2.478</v>
      </c>
      <c r="Q1992" s="14" t="n">
        <v>3.25</v>
      </c>
      <c r="R1992" s="14" t="n">
        <v>3.25</v>
      </c>
      <c r="S1992" s="14" t="n">
        <v>13.75</v>
      </c>
    </row>
    <row r="1993" customFormat="false" ht="15" hidden="false" customHeight="false" outlineLevel="0" collapsed="false">
      <c r="A1993" s="13" t="n">
        <v>45072</v>
      </c>
      <c r="B1993" s="14" t="n">
        <v>5.06</v>
      </c>
      <c r="C1993" s="14" t="n">
        <v>5.25</v>
      </c>
      <c r="D1993" s="14" t="n">
        <v>5</v>
      </c>
      <c r="E1993" s="14" t="n">
        <v>3.152</v>
      </c>
      <c r="F1993" s="14" t="n">
        <v>3.25</v>
      </c>
      <c r="G1993" s="14" t="n">
        <v>4.5</v>
      </c>
      <c r="H1993" s="14" t="n">
        <v>4.4281</v>
      </c>
      <c r="I1993" s="14" t="n">
        <v>4.46478895778436</v>
      </c>
      <c r="J1993" s="14" t="n">
        <v>4.70270614320815</v>
      </c>
      <c r="K1993" s="14" t="n">
        <v>4.97957297244251</v>
      </c>
      <c r="L1993" s="14" t="n">
        <v>5.22117846027835</v>
      </c>
      <c r="M1993" s="14" t="n">
        <v>2.108</v>
      </c>
      <c r="N1993" s="14" t="n">
        <v>2.238</v>
      </c>
      <c r="O1993" s="14" t="n">
        <v>2.358</v>
      </c>
      <c r="P1993" s="14" t="n">
        <v>2.478</v>
      </c>
      <c r="Q1993" s="14" t="n">
        <v>3.25</v>
      </c>
      <c r="R1993" s="14" t="n">
        <v>3.25</v>
      </c>
      <c r="S1993" s="14" t="n">
        <v>13.75</v>
      </c>
    </row>
    <row r="1994" customFormat="false" ht="15" hidden="false" customHeight="false" outlineLevel="0" collapsed="false">
      <c r="A1994" s="13" t="n">
        <v>45075</v>
      </c>
      <c r="C1994" s="14" t="n">
        <v>5.25</v>
      </c>
      <c r="D1994" s="14" t="n">
        <v>5</v>
      </c>
      <c r="E1994" s="14" t="n">
        <v>3.147</v>
      </c>
      <c r="F1994" s="14" t="n">
        <v>3.25</v>
      </c>
      <c r="M1994" s="14" t="n">
        <v>2.104</v>
      </c>
      <c r="N1994" s="14" t="n">
        <v>2.233</v>
      </c>
      <c r="O1994" s="14" t="n">
        <v>2.355</v>
      </c>
      <c r="P1994" s="14" t="n">
        <v>2.474</v>
      </c>
      <c r="S1994" s="14" t="n">
        <v>13.75</v>
      </c>
    </row>
    <row r="1995" customFormat="false" ht="15" hidden="false" customHeight="false" outlineLevel="0" collapsed="false">
      <c r="A1995" s="13" t="n">
        <v>45076</v>
      </c>
      <c r="B1995" s="14" t="n">
        <v>5.06</v>
      </c>
      <c r="C1995" s="14" t="n">
        <v>5.25</v>
      </c>
      <c r="D1995" s="14" t="n">
        <v>5</v>
      </c>
      <c r="E1995" s="14" t="n">
        <v>3.148</v>
      </c>
      <c r="F1995" s="14" t="n">
        <v>3.25</v>
      </c>
      <c r="G1995" s="14" t="n">
        <v>4.5</v>
      </c>
      <c r="H1995" s="14" t="n">
        <v>4.4278</v>
      </c>
      <c r="I1995" s="14" t="n">
        <v>4.49049260255468</v>
      </c>
      <c r="J1995" s="14" t="n">
        <v>4.73089790809579</v>
      </c>
      <c r="K1995" s="14" t="n">
        <v>4.99767236343089</v>
      </c>
      <c r="L1995" s="14" t="n">
        <v>5.22465180813048</v>
      </c>
      <c r="M1995" s="14" t="n">
        <v>2.098</v>
      </c>
      <c r="N1995" s="14" t="n">
        <v>2.223</v>
      </c>
      <c r="O1995" s="14" t="n">
        <v>2.346</v>
      </c>
      <c r="P1995" s="14" t="n">
        <v>2.468</v>
      </c>
      <c r="Q1995" s="14" t="n">
        <v>3.25</v>
      </c>
      <c r="R1995" s="14" t="n">
        <v>3.25</v>
      </c>
      <c r="S1995" s="14" t="n">
        <v>13.75</v>
      </c>
    </row>
    <row r="1996" customFormat="false" ht="15" hidden="false" customHeight="false" outlineLevel="0" collapsed="false">
      <c r="A1996" s="13" t="n">
        <v>45077</v>
      </c>
      <c r="B1996" s="14" t="n">
        <v>5.08</v>
      </c>
      <c r="C1996" s="14" t="n">
        <v>5.25</v>
      </c>
      <c r="D1996" s="14" t="n">
        <v>5</v>
      </c>
      <c r="E1996" s="14" t="n">
        <v>3.144</v>
      </c>
      <c r="F1996" s="14" t="n">
        <v>3.25</v>
      </c>
      <c r="G1996" s="14" t="n">
        <v>4.5</v>
      </c>
      <c r="H1996" s="14" t="n">
        <v>4.4278</v>
      </c>
      <c r="I1996" s="14" t="n">
        <v>4.49404763973256</v>
      </c>
      <c r="J1996" s="14" t="n">
        <v>4.71505892796975</v>
      </c>
      <c r="K1996" s="14" t="n">
        <v>4.9490614495979</v>
      </c>
      <c r="L1996" s="14" t="n">
        <v>5.12355813710938</v>
      </c>
      <c r="M1996" s="14" t="n">
        <v>2.093</v>
      </c>
      <c r="N1996" s="14" t="n">
        <v>2.219</v>
      </c>
      <c r="O1996" s="14" t="n">
        <v>2.343</v>
      </c>
      <c r="P1996" s="14" t="n">
        <v>2.464</v>
      </c>
      <c r="Q1996" s="14" t="n">
        <v>3.25</v>
      </c>
      <c r="R1996" s="14" t="n">
        <v>3.25</v>
      </c>
      <c r="S1996" s="14" t="n">
        <v>13.75</v>
      </c>
    </row>
    <row r="1997" customFormat="false" ht="15" hidden="false" customHeight="false" outlineLevel="0" collapsed="false">
      <c r="A1997" s="13" t="n">
        <v>45078</v>
      </c>
      <c r="B1997" s="14" t="n">
        <v>5.08</v>
      </c>
      <c r="C1997" s="14" t="n">
        <v>5.25</v>
      </c>
      <c r="D1997" s="14" t="n">
        <v>5</v>
      </c>
      <c r="E1997" s="14" t="n">
        <v>3.147</v>
      </c>
      <c r="F1997" s="14" t="n">
        <v>3.25</v>
      </c>
      <c r="G1997" s="14" t="n">
        <v>4.5</v>
      </c>
      <c r="H1997" s="14" t="n">
        <v>4.4278</v>
      </c>
      <c r="I1997" s="14" t="n">
        <v>4.49561566065783</v>
      </c>
      <c r="J1997" s="14" t="n">
        <v>4.71591948500764</v>
      </c>
      <c r="K1997" s="14" t="n">
        <v>4.94978805702674</v>
      </c>
      <c r="L1997" s="14" t="n">
        <v>5.1197122728726</v>
      </c>
      <c r="M1997" s="14" t="n">
        <v>2.083</v>
      </c>
      <c r="N1997" s="14" t="n">
        <v>2.213</v>
      </c>
      <c r="O1997" s="14" t="n">
        <v>2.33</v>
      </c>
      <c r="P1997" s="14" t="n">
        <v>2.453</v>
      </c>
      <c r="Q1997" s="14" t="n">
        <v>3.25</v>
      </c>
      <c r="R1997" s="14" t="n">
        <v>3.25</v>
      </c>
      <c r="S1997" s="14" t="n">
        <v>13.75</v>
      </c>
    </row>
    <row r="1998" customFormat="false" ht="15" hidden="false" customHeight="false" outlineLevel="0" collapsed="false">
      <c r="A1998" s="13" t="n">
        <v>45079</v>
      </c>
      <c r="B1998" s="14" t="n">
        <v>5.07</v>
      </c>
      <c r="C1998" s="14" t="n">
        <v>5.25</v>
      </c>
      <c r="D1998" s="14" t="n">
        <v>5</v>
      </c>
      <c r="E1998" s="14" t="n">
        <v>3.148</v>
      </c>
      <c r="F1998" s="14" t="n">
        <v>3.25</v>
      </c>
      <c r="G1998" s="14" t="n">
        <v>4.5</v>
      </c>
      <c r="H1998" s="14" t="n">
        <v>4.4281</v>
      </c>
      <c r="I1998" s="14" t="n">
        <v>4.50863987216278</v>
      </c>
      <c r="J1998" s="14" t="n">
        <v>4.73660467068</v>
      </c>
      <c r="K1998" s="14" t="n">
        <v>4.97815908567285</v>
      </c>
      <c r="L1998" s="14" t="n">
        <v>5.15699660027898</v>
      </c>
      <c r="M1998" s="14" t="n">
        <v>2.068</v>
      </c>
      <c r="N1998" s="14" t="n">
        <v>2.199</v>
      </c>
      <c r="O1998" s="14" t="n">
        <v>2.307</v>
      </c>
      <c r="P1998" s="14" t="n">
        <v>2.435</v>
      </c>
      <c r="Q1998" s="14" t="n">
        <v>3.25</v>
      </c>
      <c r="R1998" s="14" t="n">
        <v>3.25</v>
      </c>
      <c r="S1998" s="14" t="n">
        <v>13.75</v>
      </c>
    </row>
    <row r="1999" customFormat="false" ht="15" hidden="false" customHeight="false" outlineLevel="0" collapsed="false">
      <c r="A1999" s="13" t="n">
        <v>45082</v>
      </c>
      <c r="B1999" s="14" t="n">
        <v>5.06</v>
      </c>
      <c r="C1999" s="14" t="n">
        <v>5.25</v>
      </c>
      <c r="D1999" s="14" t="n">
        <v>5</v>
      </c>
      <c r="E1999" s="14" t="n">
        <v>3.148</v>
      </c>
      <c r="F1999" s="14" t="n">
        <v>3.25</v>
      </c>
      <c r="G1999" s="14" t="n">
        <v>4.5</v>
      </c>
      <c r="H1999" s="14" t="n">
        <v>4.428</v>
      </c>
      <c r="I1999" s="14" t="n">
        <v>4.54630259230506</v>
      </c>
      <c r="J1999" s="14" t="n">
        <v>4.76500156643695</v>
      </c>
      <c r="K1999" s="14" t="n">
        <v>5.00139623079566</v>
      </c>
      <c r="L1999" s="14" t="n">
        <v>5.19119574734216</v>
      </c>
      <c r="M1999" s="14" t="n">
        <v>2.063</v>
      </c>
      <c r="N1999" s="14" t="n">
        <v>2.193</v>
      </c>
      <c r="O1999" s="14" t="n">
        <v>2.297</v>
      </c>
      <c r="P1999" s="14" t="n">
        <v>2.427</v>
      </c>
      <c r="Q1999" s="14" t="n">
        <v>3.25</v>
      </c>
      <c r="R1999" s="14" t="n">
        <v>3.25</v>
      </c>
      <c r="S1999" s="14" t="n">
        <v>13.75</v>
      </c>
    </row>
    <row r="2000" customFormat="false" ht="15" hidden="false" customHeight="false" outlineLevel="0" collapsed="false">
      <c r="A2000" s="13" t="n">
        <v>45083</v>
      </c>
      <c r="B2000" s="14" t="n">
        <v>5.05</v>
      </c>
      <c r="C2000" s="14" t="n">
        <v>5.25</v>
      </c>
      <c r="D2000" s="14" t="n">
        <v>5</v>
      </c>
      <c r="E2000" s="14" t="n">
        <v>3.145</v>
      </c>
      <c r="F2000" s="14" t="n">
        <v>3.25</v>
      </c>
      <c r="G2000" s="14" t="n">
        <v>4.5</v>
      </c>
      <c r="H2000" s="14" t="n">
        <v>4.4279</v>
      </c>
      <c r="I2000" s="14" t="n">
        <v>4.5518419794014</v>
      </c>
      <c r="J2000" s="14" t="n">
        <v>4.7652870975117</v>
      </c>
      <c r="K2000" s="14" t="n">
        <v>4.99327241417297</v>
      </c>
      <c r="L2000" s="14" t="n">
        <v>5.17729249481553</v>
      </c>
      <c r="M2000" s="14" t="n">
        <v>2.056</v>
      </c>
      <c r="N2000" s="14" t="n">
        <v>2.186</v>
      </c>
      <c r="O2000" s="14" t="n">
        <v>2.291</v>
      </c>
      <c r="P2000" s="14" t="n">
        <v>2.422</v>
      </c>
      <c r="Q2000" s="14" t="n">
        <v>3.25</v>
      </c>
      <c r="R2000" s="14" t="n">
        <v>3.25</v>
      </c>
      <c r="S2000" s="14" t="n">
        <v>13.75</v>
      </c>
    </row>
    <row r="2001" customFormat="false" ht="15" hidden="false" customHeight="false" outlineLevel="0" collapsed="false">
      <c r="A2001" s="13" t="n">
        <v>45084</v>
      </c>
      <c r="B2001" s="14" t="n">
        <v>5.05</v>
      </c>
      <c r="C2001" s="14" t="n">
        <v>5.25</v>
      </c>
      <c r="D2001" s="14" t="n">
        <v>5</v>
      </c>
      <c r="E2001" s="14" t="n">
        <v>3.144</v>
      </c>
      <c r="F2001" s="14" t="n">
        <v>3.25</v>
      </c>
      <c r="G2001" s="14" t="n">
        <v>4.5</v>
      </c>
      <c r="H2001" s="14" t="n">
        <v>4.4278</v>
      </c>
      <c r="I2001" s="14" t="n">
        <v>4.56021081707117</v>
      </c>
      <c r="J2001" s="14" t="n">
        <v>4.77319078615632</v>
      </c>
      <c r="K2001" s="14" t="n">
        <v>5.01547558741145</v>
      </c>
      <c r="L2001" s="14" t="n">
        <v>5.23243900799933</v>
      </c>
      <c r="M2001" s="14" t="n">
        <v>2.049</v>
      </c>
      <c r="N2001" s="14" t="n">
        <v>2.181</v>
      </c>
      <c r="O2001" s="14" t="n">
        <v>2.284</v>
      </c>
      <c r="P2001" s="14" t="n">
        <v>2.414</v>
      </c>
      <c r="Q2001" s="14" t="n">
        <v>3.25</v>
      </c>
      <c r="R2001" s="14" t="n">
        <v>3.25</v>
      </c>
      <c r="S2001" s="14" t="n">
        <v>13.75</v>
      </c>
    </row>
    <row r="2002" customFormat="false" ht="15" hidden="false" customHeight="false" outlineLevel="0" collapsed="false">
      <c r="A2002" s="13" t="n">
        <v>45085</v>
      </c>
      <c r="B2002" s="14" t="n">
        <v>5.05</v>
      </c>
      <c r="C2002" s="14" t="n">
        <v>5.25</v>
      </c>
      <c r="D2002" s="14" t="n">
        <v>5</v>
      </c>
      <c r="E2002" s="14" t="n">
        <v>3.146</v>
      </c>
      <c r="F2002" s="14" t="n">
        <v>3.25</v>
      </c>
      <c r="G2002" s="14" t="n">
        <v>4.5</v>
      </c>
      <c r="H2002" s="14" t="n">
        <v>4.4279</v>
      </c>
      <c r="I2002" s="14" t="n">
        <v>4.5672118352458</v>
      </c>
      <c r="J2002" s="14" t="n">
        <v>4.77300127276128</v>
      </c>
      <c r="K2002" s="14" t="n">
        <v>5.00146651610874</v>
      </c>
      <c r="L2002" s="14" t="n">
        <v>5.19477143206526</v>
      </c>
      <c r="M2002" s="14" t="n">
        <v>2.043</v>
      </c>
      <c r="N2002" s="14" t="n">
        <v>2.177</v>
      </c>
      <c r="O2002" s="14" t="n">
        <v>2.277</v>
      </c>
      <c r="P2002" s="14" t="n">
        <v>2.409</v>
      </c>
      <c r="Q2002" s="14" t="n">
        <v>3.25</v>
      </c>
      <c r="R2002" s="14" t="n">
        <v>3.25</v>
      </c>
      <c r="S2002" s="14" t="n">
        <v>13.75</v>
      </c>
    </row>
    <row r="2003" customFormat="false" ht="15" hidden="false" customHeight="false" outlineLevel="0" collapsed="false">
      <c r="A2003" s="13" t="n">
        <v>45086</v>
      </c>
      <c r="B2003" s="14" t="n">
        <v>5.05</v>
      </c>
      <c r="C2003" s="14" t="n">
        <v>5.25</v>
      </c>
      <c r="D2003" s="14" t="n">
        <v>5</v>
      </c>
      <c r="E2003" s="14" t="n">
        <v>3.147</v>
      </c>
      <c r="F2003" s="14" t="n">
        <v>3.25</v>
      </c>
      <c r="G2003" s="14" t="n">
        <v>4.5</v>
      </c>
      <c r="H2003" s="14" t="n">
        <v>4.4281</v>
      </c>
      <c r="I2003" s="14" t="n">
        <v>4.58686061060984</v>
      </c>
      <c r="J2003" s="14" t="n">
        <v>4.79565701562899</v>
      </c>
      <c r="K2003" s="14" t="n">
        <v>5.03225606442678</v>
      </c>
      <c r="L2003" s="14" t="n">
        <v>5.23499425354039</v>
      </c>
      <c r="M2003" s="14" t="n">
        <v>2.031</v>
      </c>
      <c r="N2003" s="14" t="n">
        <v>2.161</v>
      </c>
      <c r="O2003" s="14" t="n">
        <v>2.266</v>
      </c>
      <c r="P2003" s="14" t="n">
        <v>2.404</v>
      </c>
      <c r="Q2003" s="14" t="n">
        <v>3.25</v>
      </c>
      <c r="R2003" s="14" t="n">
        <v>3.25</v>
      </c>
      <c r="S2003" s="14" t="n">
        <v>13.75</v>
      </c>
    </row>
    <row r="2004" customFormat="false" ht="15" hidden="false" customHeight="false" outlineLevel="0" collapsed="false">
      <c r="A2004" s="13" t="n">
        <v>45089</v>
      </c>
      <c r="B2004" s="14" t="n">
        <v>5.05</v>
      </c>
      <c r="C2004" s="14" t="n">
        <v>5.25</v>
      </c>
      <c r="D2004" s="14" t="n">
        <v>5</v>
      </c>
      <c r="E2004" s="14" t="n">
        <v>3.147</v>
      </c>
      <c r="F2004" s="14" t="n">
        <v>3.25</v>
      </c>
      <c r="G2004" s="14" t="n">
        <v>4.5</v>
      </c>
      <c r="H2004" s="14" t="n">
        <v>4.4283</v>
      </c>
      <c r="I2004" s="14" t="n">
        <v>4.61804012220739</v>
      </c>
      <c r="J2004" s="14" t="n">
        <v>4.82330424049443</v>
      </c>
      <c r="K2004" s="14" t="n">
        <v>5.06449267638417</v>
      </c>
      <c r="L2004" s="14" t="n">
        <v>5.27881265016509</v>
      </c>
      <c r="M2004" s="14" t="n">
        <v>2.024</v>
      </c>
      <c r="N2004" s="14" t="n">
        <v>2.148</v>
      </c>
      <c r="O2004" s="14" t="n">
        <v>2.257</v>
      </c>
      <c r="P2004" s="14" t="n">
        <v>2.397</v>
      </c>
      <c r="Q2004" s="14" t="n">
        <v>3.25</v>
      </c>
      <c r="R2004" s="14" t="n">
        <v>3.25</v>
      </c>
      <c r="S2004" s="14" t="n">
        <v>13.75</v>
      </c>
    </row>
    <row r="2005" customFormat="false" ht="15" hidden="false" customHeight="false" outlineLevel="0" collapsed="false">
      <c r="A2005" s="13" t="n">
        <v>45090</v>
      </c>
      <c r="B2005" s="14" t="n">
        <v>5.05</v>
      </c>
      <c r="C2005" s="14" t="n">
        <v>5.25</v>
      </c>
      <c r="D2005" s="14" t="n">
        <v>5</v>
      </c>
      <c r="E2005" s="14" t="n">
        <v>3.147</v>
      </c>
      <c r="F2005" s="14" t="n">
        <v>3.25</v>
      </c>
      <c r="G2005" s="14" t="n">
        <v>4.5</v>
      </c>
      <c r="H2005" s="14" t="n">
        <v>4.4281</v>
      </c>
      <c r="I2005" s="14" t="n">
        <v>4.63057197556216</v>
      </c>
      <c r="J2005" s="14" t="n">
        <v>4.8425577584047</v>
      </c>
      <c r="K2005" s="14" t="n">
        <v>5.13153624798147</v>
      </c>
      <c r="L2005" s="14" t="n">
        <v>5.45515471721732</v>
      </c>
      <c r="M2005" s="14" t="n">
        <v>2.013</v>
      </c>
      <c r="N2005" s="14" t="n">
        <v>2.134</v>
      </c>
      <c r="O2005" s="14" t="n">
        <v>2.243</v>
      </c>
      <c r="P2005" s="14" t="n">
        <v>2.381</v>
      </c>
      <c r="Q2005" s="14" t="n">
        <v>3.25</v>
      </c>
      <c r="R2005" s="14" t="n">
        <v>3.25</v>
      </c>
      <c r="S2005" s="14" t="n">
        <v>13.75</v>
      </c>
    </row>
    <row r="2006" customFormat="false" ht="15" hidden="false" customHeight="false" outlineLevel="0" collapsed="false">
      <c r="A2006" s="13" t="n">
        <v>45091</v>
      </c>
      <c r="B2006" s="14" t="n">
        <v>5.05</v>
      </c>
      <c r="C2006" s="14" t="n">
        <v>5.25</v>
      </c>
      <c r="D2006" s="14" t="n">
        <v>5</v>
      </c>
      <c r="E2006" s="14" t="n">
        <v>3.15</v>
      </c>
      <c r="F2006" s="14" t="n">
        <v>3.25</v>
      </c>
      <c r="G2006" s="14" t="n">
        <v>4.5</v>
      </c>
      <c r="H2006" s="14" t="n">
        <v>4.4283</v>
      </c>
      <c r="I2006" s="14" t="n">
        <v>4.63638684586061</v>
      </c>
      <c r="J2006" s="14" t="n">
        <v>4.8421803400197</v>
      </c>
      <c r="K2006" s="14" t="n">
        <v>5.11219690357836</v>
      </c>
      <c r="L2006" s="14" t="n">
        <v>5.39639357568648</v>
      </c>
      <c r="M2006" s="14" t="n">
        <v>2.008</v>
      </c>
      <c r="N2006" s="14" t="n">
        <v>2.12</v>
      </c>
      <c r="O2006" s="14" t="n">
        <v>2.229</v>
      </c>
      <c r="P2006" s="14" t="n">
        <v>2.363</v>
      </c>
      <c r="Q2006" s="14" t="n">
        <v>3.25</v>
      </c>
      <c r="R2006" s="14" t="n">
        <v>3.25</v>
      </c>
      <c r="S2006" s="14" t="n">
        <v>13.75</v>
      </c>
    </row>
    <row r="2007" customFormat="false" ht="15" hidden="false" customHeight="false" outlineLevel="0" collapsed="false">
      <c r="A2007" s="13" t="n">
        <v>45092</v>
      </c>
      <c r="B2007" s="14" t="n">
        <v>5.06</v>
      </c>
      <c r="C2007" s="14" t="n">
        <v>5.25</v>
      </c>
      <c r="D2007" s="14" t="n">
        <v>5</v>
      </c>
      <c r="E2007" s="14" t="n">
        <v>3.147</v>
      </c>
      <c r="F2007" s="14" t="n">
        <v>3.25</v>
      </c>
      <c r="G2007" s="14" t="n">
        <v>4.5</v>
      </c>
      <c r="H2007" s="14" t="n">
        <v>4.4284</v>
      </c>
      <c r="I2007" s="14" t="n">
        <v>4.6418539603644</v>
      </c>
      <c r="J2007" s="14" t="n">
        <v>4.85271597474295</v>
      </c>
      <c r="K2007" s="14" t="n">
        <v>5.14025337570561</v>
      </c>
      <c r="L2007" s="14" t="n">
        <v>5.44344461710791</v>
      </c>
      <c r="M2007" s="14" t="n">
        <v>2.003</v>
      </c>
      <c r="N2007" s="14" t="n">
        <v>2.106</v>
      </c>
      <c r="O2007" s="14" t="n">
        <v>2.22</v>
      </c>
      <c r="P2007" s="14" t="n">
        <v>2.346</v>
      </c>
      <c r="Q2007" s="14" t="n">
        <v>3.25</v>
      </c>
      <c r="R2007" s="14" t="n">
        <v>3.25</v>
      </c>
      <c r="S2007" s="14" t="n">
        <v>13.75</v>
      </c>
    </row>
    <row r="2008" customFormat="false" ht="15" hidden="false" customHeight="false" outlineLevel="0" collapsed="false">
      <c r="A2008" s="13" t="n">
        <v>45093</v>
      </c>
      <c r="B2008" s="14" t="n">
        <v>5.05</v>
      </c>
      <c r="C2008" s="14" t="n">
        <v>5.25</v>
      </c>
      <c r="D2008" s="14" t="n">
        <v>5</v>
      </c>
      <c r="E2008" s="14" t="n">
        <v>3.144</v>
      </c>
      <c r="F2008" s="14" t="n">
        <v>3.25</v>
      </c>
      <c r="G2008" s="14" t="n">
        <v>4.5</v>
      </c>
      <c r="H2008" s="14" t="n">
        <v>4.4279</v>
      </c>
      <c r="I2008" s="14" t="n">
        <v>4.66561774833965</v>
      </c>
      <c r="J2008" s="14" t="n">
        <v>4.87039915167661</v>
      </c>
      <c r="K2008" s="14" t="n">
        <v>5.1584634577768</v>
      </c>
      <c r="L2008" s="14" t="n">
        <v>5.47009641068545</v>
      </c>
      <c r="M2008" s="14" t="n">
        <v>2.004</v>
      </c>
      <c r="N2008" s="14" t="n">
        <v>2.105</v>
      </c>
      <c r="O2008" s="14" t="n">
        <v>2.215</v>
      </c>
      <c r="P2008" s="14" t="n">
        <v>2.348</v>
      </c>
      <c r="Q2008" s="14" t="n">
        <v>3.25</v>
      </c>
      <c r="R2008" s="14" t="n">
        <v>3.25</v>
      </c>
      <c r="S2008" s="14" t="n">
        <v>13.75</v>
      </c>
    </row>
    <row r="2009" customFormat="false" ht="15" hidden="false" customHeight="false" outlineLevel="0" collapsed="false">
      <c r="A2009" s="13" t="n">
        <v>45096</v>
      </c>
      <c r="C2009" s="14" t="n">
        <v>5.25</v>
      </c>
      <c r="D2009" s="14" t="n">
        <v>5</v>
      </c>
      <c r="E2009" s="14" t="n">
        <v>3.144</v>
      </c>
      <c r="F2009" s="14" t="n">
        <v>3.25</v>
      </c>
      <c r="G2009" s="14" t="n">
        <v>4.5</v>
      </c>
      <c r="H2009" s="14" t="n">
        <v>4.428</v>
      </c>
      <c r="I2009" s="14" t="n">
        <v>4.70188226052362</v>
      </c>
      <c r="J2009" s="14" t="n">
        <v>4.90691092530643</v>
      </c>
      <c r="K2009" s="14" t="n">
        <v>5.20097645039876</v>
      </c>
      <c r="L2009" s="14" t="n">
        <v>5.53541167448576</v>
      </c>
      <c r="M2009" s="14" t="n">
        <v>2.021</v>
      </c>
      <c r="N2009" s="14" t="n">
        <v>2.114</v>
      </c>
      <c r="O2009" s="14" t="n">
        <v>2.214</v>
      </c>
      <c r="P2009" s="14" t="n">
        <v>2.354</v>
      </c>
      <c r="Q2009" s="14" t="n">
        <v>3.25</v>
      </c>
      <c r="R2009" s="14" t="n">
        <v>3.25</v>
      </c>
      <c r="S2009" s="14" t="n">
        <v>13.75</v>
      </c>
    </row>
    <row r="2010" customFormat="false" ht="15" hidden="false" customHeight="false" outlineLevel="0" collapsed="false">
      <c r="A2010" s="13" t="n">
        <v>45097</v>
      </c>
      <c r="B2010" s="14" t="n">
        <v>5.05</v>
      </c>
      <c r="C2010" s="14" t="n">
        <v>5.25</v>
      </c>
      <c r="D2010" s="14" t="n">
        <v>5</v>
      </c>
      <c r="E2010" s="14" t="n">
        <v>3.144</v>
      </c>
      <c r="F2010" s="14" t="n">
        <v>3.25</v>
      </c>
      <c r="G2010" s="14" t="n">
        <v>4.5</v>
      </c>
      <c r="H2010" s="14" t="n">
        <v>4.4281</v>
      </c>
      <c r="I2010" s="14" t="n">
        <v>4.70546689352633</v>
      </c>
      <c r="J2010" s="14" t="n">
        <v>4.90801063056567</v>
      </c>
      <c r="K2010" s="14" t="n">
        <v>5.19068154704805</v>
      </c>
      <c r="L2010" s="14" t="n">
        <v>5.49193629132246</v>
      </c>
      <c r="M2010" s="14" t="n">
        <v>2.046</v>
      </c>
      <c r="N2010" s="14" t="n">
        <v>2.126</v>
      </c>
      <c r="O2010" s="14" t="n">
        <v>2.213</v>
      </c>
      <c r="P2010" s="14" t="n">
        <v>2.357</v>
      </c>
      <c r="Q2010" s="14" t="n">
        <v>3.25</v>
      </c>
      <c r="R2010" s="14" t="n">
        <v>3.25</v>
      </c>
      <c r="S2010" s="14" t="n">
        <v>13.75</v>
      </c>
    </row>
    <row r="2011" customFormat="false" ht="15" hidden="false" customHeight="false" outlineLevel="0" collapsed="false">
      <c r="A2011" s="13" t="n">
        <v>45098</v>
      </c>
      <c r="B2011" s="14" t="n">
        <v>5.05</v>
      </c>
      <c r="C2011" s="14" t="n">
        <v>5.25</v>
      </c>
      <c r="D2011" s="14" t="n">
        <v>5</v>
      </c>
      <c r="E2011" s="14" t="n">
        <v>3.395</v>
      </c>
      <c r="F2011" s="14" t="n">
        <v>3.5</v>
      </c>
      <c r="G2011" s="14" t="n">
        <v>4.5</v>
      </c>
      <c r="H2011" s="14" t="n">
        <v>4.4288</v>
      </c>
      <c r="I2011" s="14" t="n">
        <v>4.76452702195214</v>
      </c>
      <c r="J2011" s="14" t="n">
        <v>4.99895031539511</v>
      </c>
      <c r="K2011" s="14" t="n">
        <v>5.32408771135169</v>
      </c>
      <c r="L2011" s="14" t="n">
        <v>5.64425337624978</v>
      </c>
      <c r="M2011" s="14" t="n">
        <v>2.061</v>
      </c>
      <c r="N2011" s="14" t="n">
        <v>2.135</v>
      </c>
      <c r="O2011" s="14" t="n">
        <v>2.211</v>
      </c>
      <c r="P2011" s="14" t="n">
        <v>2.36</v>
      </c>
      <c r="Q2011" s="14" t="n">
        <v>3.25</v>
      </c>
      <c r="R2011" s="14" t="n">
        <v>3.25</v>
      </c>
      <c r="S2011" s="14" t="n">
        <v>13.75</v>
      </c>
    </row>
    <row r="2012" customFormat="false" ht="15" hidden="false" customHeight="false" outlineLevel="0" collapsed="false">
      <c r="A2012" s="13" t="n">
        <v>45099</v>
      </c>
      <c r="B2012" s="14" t="n">
        <v>5.05</v>
      </c>
      <c r="C2012" s="14" t="n">
        <v>5.25</v>
      </c>
      <c r="D2012" s="14" t="n">
        <v>5</v>
      </c>
      <c r="E2012" s="14" t="n">
        <v>3.397</v>
      </c>
      <c r="F2012" s="14" t="n">
        <v>3.5</v>
      </c>
      <c r="G2012" s="14" t="n">
        <v>5</v>
      </c>
      <c r="H2012" s="14" t="n">
        <v>4.9274</v>
      </c>
      <c r="I2012" s="14" t="n">
        <v>4.93580791720733</v>
      </c>
      <c r="J2012" s="14" t="n">
        <v>5.17675820676964</v>
      </c>
      <c r="K2012" s="14" t="n">
        <v>5.50408879101177</v>
      </c>
      <c r="L2012" s="14" t="n">
        <v>5.781453386281</v>
      </c>
      <c r="Q2012" s="14" t="n">
        <v>3.25</v>
      </c>
      <c r="R2012" s="14" t="n">
        <v>3.25</v>
      </c>
      <c r="S2012" s="14" t="n">
        <v>13.75</v>
      </c>
    </row>
    <row r="2013" customFormat="false" ht="15" hidden="false" customHeight="false" outlineLevel="0" collapsed="false">
      <c r="A2013" s="13" t="n">
        <v>45100</v>
      </c>
      <c r="B2013" s="14" t="n">
        <v>5.05</v>
      </c>
      <c r="C2013" s="14" t="n">
        <v>5.25</v>
      </c>
      <c r="D2013" s="14" t="n">
        <v>5</v>
      </c>
      <c r="E2013" s="14" t="n">
        <v>3.4</v>
      </c>
      <c r="F2013" s="14" t="n">
        <v>3.5</v>
      </c>
      <c r="G2013" s="14" t="n">
        <v>5</v>
      </c>
      <c r="H2013" s="14" t="n">
        <v>4.928</v>
      </c>
      <c r="I2013" s="14" t="n">
        <v>4.93770245943602</v>
      </c>
      <c r="J2013" s="14" t="n">
        <v>5.18942959466579</v>
      </c>
      <c r="K2013" s="14" t="n">
        <v>5.53702157873566</v>
      </c>
      <c r="L2013" s="14" t="n">
        <v>5.83873385400835</v>
      </c>
      <c r="Q2013" s="14" t="n">
        <v>3.75</v>
      </c>
      <c r="R2013" s="14" t="n">
        <v>3.75</v>
      </c>
      <c r="S2013" s="14" t="n">
        <v>13.75</v>
      </c>
    </row>
    <row r="2014" customFormat="false" ht="15" hidden="false" customHeight="false" outlineLevel="0" collapsed="false">
      <c r="A2014" s="13" t="n">
        <v>45102</v>
      </c>
      <c r="C2014" s="14" t="n">
        <v>5.25</v>
      </c>
      <c r="D2014" s="14" t="n">
        <v>5</v>
      </c>
      <c r="F2014" s="14" t="n">
        <v>3.5</v>
      </c>
      <c r="M2014" s="14" t="n">
        <v>2.074</v>
      </c>
      <c r="N2014" s="14" t="n">
        <v>2.144</v>
      </c>
      <c r="O2014" s="14" t="n">
        <v>2.214</v>
      </c>
      <c r="P2014" s="14" t="n">
        <v>2.36</v>
      </c>
      <c r="S2014" s="14" t="n">
        <v>13.75</v>
      </c>
    </row>
    <row r="2015" customFormat="false" ht="15" hidden="false" customHeight="false" outlineLevel="0" collapsed="false">
      <c r="A2015" s="13" t="n">
        <v>45103</v>
      </c>
      <c r="B2015" s="14" t="n">
        <v>5.05</v>
      </c>
      <c r="C2015" s="14" t="n">
        <v>5.25</v>
      </c>
      <c r="D2015" s="14" t="n">
        <v>5</v>
      </c>
      <c r="E2015" s="14" t="n">
        <v>3.4</v>
      </c>
      <c r="F2015" s="14" t="n">
        <v>3.5</v>
      </c>
      <c r="G2015" s="14" t="n">
        <v>5</v>
      </c>
      <c r="H2015" s="14" t="n">
        <v>4.9282</v>
      </c>
      <c r="I2015" s="14" t="n">
        <v>4.94358957405404</v>
      </c>
      <c r="J2015" s="14" t="n">
        <v>5.20802582964231</v>
      </c>
      <c r="K2015" s="14" t="n">
        <v>5.54692009105886</v>
      </c>
      <c r="L2015" s="14" t="n">
        <v>5.83876976266151</v>
      </c>
      <c r="M2015" s="14" t="n">
        <v>2.078</v>
      </c>
      <c r="N2015" s="14" t="n">
        <v>2.148</v>
      </c>
      <c r="O2015" s="14" t="n">
        <v>2.219</v>
      </c>
      <c r="P2015" s="14" t="n">
        <v>2.366</v>
      </c>
      <c r="Q2015" s="14" t="n">
        <v>3.75</v>
      </c>
      <c r="R2015" s="14" t="n">
        <v>3.75</v>
      </c>
      <c r="S2015" s="14" t="n">
        <v>13.75</v>
      </c>
    </row>
    <row r="2016" customFormat="false" ht="15" hidden="false" customHeight="false" outlineLevel="0" collapsed="false">
      <c r="A2016" s="13" t="n">
        <v>45104</v>
      </c>
      <c r="B2016" s="14" t="n">
        <v>5.05</v>
      </c>
      <c r="C2016" s="14" t="n">
        <v>5.25</v>
      </c>
      <c r="D2016" s="14" t="n">
        <v>5</v>
      </c>
      <c r="E2016" s="14" t="n">
        <v>3.397</v>
      </c>
      <c r="F2016" s="14" t="n">
        <v>3.5</v>
      </c>
      <c r="G2016" s="14" t="n">
        <v>5</v>
      </c>
      <c r="H2016" s="14" t="n">
        <v>4.9281</v>
      </c>
      <c r="I2016" s="14" t="n">
        <v>4.94973495725506</v>
      </c>
      <c r="J2016" s="14" t="n">
        <v>5.22415868453788</v>
      </c>
      <c r="K2016" s="14" t="n">
        <v>5.56780701097377</v>
      </c>
      <c r="L2016" s="14" t="n">
        <v>5.88374734277688</v>
      </c>
      <c r="M2016" s="14" t="n">
        <v>2.088</v>
      </c>
      <c r="N2016" s="14" t="n">
        <v>2.155</v>
      </c>
      <c r="O2016" s="14" t="n">
        <v>2.228</v>
      </c>
      <c r="P2016" s="14" t="n">
        <v>2.374</v>
      </c>
      <c r="Q2016" s="14" t="n">
        <v>3.75</v>
      </c>
      <c r="R2016" s="14" t="n">
        <v>3.75</v>
      </c>
      <c r="S2016" s="14" t="n">
        <v>13.75</v>
      </c>
    </row>
    <row r="2017" customFormat="false" ht="15" hidden="false" customHeight="false" outlineLevel="0" collapsed="false">
      <c r="A2017" s="13" t="n">
        <v>45105</v>
      </c>
      <c r="B2017" s="14" t="n">
        <v>5.06</v>
      </c>
      <c r="C2017" s="14" t="n">
        <v>5.25</v>
      </c>
      <c r="D2017" s="14" t="n">
        <v>5</v>
      </c>
      <c r="E2017" s="14" t="n">
        <v>3.4</v>
      </c>
      <c r="F2017" s="14" t="n">
        <v>3.5</v>
      </c>
      <c r="G2017" s="14" t="n">
        <v>5</v>
      </c>
      <c r="H2017" s="14" t="n">
        <v>4.9279</v>
      </c>
      <c r="I2017" s="14" t="n">
        <v>4.95124885418582</v>
      </c>
      <c r="J2017" s="14" t="n">
        <v>5.21825190206415</v>
      </c>
      <c r="K2017" s="14" t="n">
        <v>5.5407201012735</v>
      </c>
      <c r="L2017" s="14" t="n">
        <v>5.81528779062833</v>
      </c>
      <c r="M2017" s="14" t="n">
        <v>2.096</v>
      </c>
      <c r="N2017" s="14" t="n">
        <v>2.161</v>
      </c>
      <c r="O2017" s="14" t="n">
        <v>2.236</v>
      </c>
      <c r="P2017" s="14" t="n">
        <v>2.376</v>
      </c>
      <c r="Q2017" s="14" t="n">
        <v>3.75</v>
      </c>
      <c r="R2017" s="14" t="n">
        <v>3.75</v>
      </c>
      <c r="S2017" s="14" t="n">
        <v>13.75</v>
      </c>
    </row>
    <row r="2018" customFormat="false" ht="15" hidden="false" customHeight="false" outlineLevel="0" collapsed="false">
      <c r="A2018" s="13" t="n">
        <v>45106</v>
      </c>
      <c r="B2018" s="14" t="n">
        <v>5.06</v>
      </c>
      <c r="C2018" s="14" t="n">
        <v>5.25</v>
      </c>
      <c r="D2018" s="14" t="n">
        <v>5</v>
      </c>
      <c r="E2018" s="14" t="n">
        <v>3.4</v>
      </c>
      <c r="F2018" s="14" t="n">
        <v>3.5</v>
      </c>
      <c r="G2018" s="14" t="n">
        <v>5</v>
      </c>
      <c r="H2018" s="14" t="n">
        <v>4.9284</v>
      </c>
      <c r="I2018" s="14" t="n">
        <v>4.95101607810875</v>
      </c>
      <c r="J2018" s="14" t="n">
        <v>5.2340722127944</v>
      </c>
      <c r="K2018" s="14" t="n">
        <v>5.57328982312287</v>
      </c>
      <c r="L2018" s="14" t="n">
        <v>5.87499698430679</v>
      </c>
      <c r="M2018" s="14" t="n">
        <v>2.098</v>
      </c>
      <c r="N2018" s="14" t="n">
        <v>2.167</v>
      </c>
      <c r="O2018" s="14" t="n">
        <v>2.243</v>
      </c>
      <c r="P2018" s="14" t="n">
        <v>2.38</v>
      </c>
      <c r="Q2018" s="14" t="n">
        <v>3.75</v>
      </c>
      <c r="R2018" s="14" t="n">
        <v>3.75</v>
      </c>
      <c r="S2018" s="14" t="n">
        <v>13.75</v>
      </c>
    </row>
    <row r="2019" customFormat="false" ht="15" hidden="false" customHeight="false" outlineLevel="0" collapsed="false">
      <c r="A2019" s="13" t="n">
        <v>45107</v>
      </c>
      <c r="B2019" s="14" t="n">
        <v>5.09</v>
      </c>
      <c r="C2019" s="14" t="n">
        <v>5.25</v>
      </c>
      <c r="D2019" s="14" t="n">
        <v>5</v>
      </c>
      <c r="E2019" s="14" t="n">
        <v>3.4</v>
      </c>
      <c r="F2019" s="14" t="n">
        <v>3.5</v>
      </c>
      <c r="G2019" s="14" t="n">
        <v>5</v>
      </c>
      <c r="H2019" s="14" t="n">
        <v>4.9286</v>
      </c>
      <c r="I2019" s="14" t="n">
        <v>4.95286647300237</v>
      </c>
      <c r="J2019" s="14" t="n">
        <v>5.23925345848941</v>
      </c>
      <c r="K2019" s="14" t="n">
        <v>5.58342412301504</v>
      </c>
      <c r="L2019" s="14" t="n">
        <v>5.88427455655725</v>
      </c>
      <c r="M2019" s="14" t="n">
        <v>2.099</v>
      </c>
      <c r="N2019" s="14" t="n">
        <v>2.168</v>
      </c>
      <c r="O2019" s="14" t="n">
        <v>2.242</v>
      </c>
      <c r="P2019" s="14" t="n">
        <v>2.379</v>
      </c>
      <c r="Q2019" s="14" t="n">
        <v>3.75</v>
      </c>
      <c r="R2019" s="14" t="n">
        <v>3.96</v>
      </c>
      <c r="S2019" s="14" t="n">
        <v>13.75</v>
      </c>
    </row>
    <row r="2020" customFormat="false" ht="15" hidden="false" customHeight="false" outlineLevel="0" collapsed="false">
      <c r="A2020" s="13" t="n">
        <v>45110</v>
      </c>
      <c r="B2020" s="14" t="n">
        <v>5.06</v>
      </c>
      <c r="C2020" s="14" t="n">
        <v>5.25</v>
      </c>
      <c r="D2020" s="14" t="n">
        <v>5</v>
      </c>
      <c r="E2020" s="14" t="n">
        <v>3.399</v>
      </c>
      <c r="F2020" s="14" t="n">
        <v>3.5</v>
      </c>
      <c r="G2020" s="14" t="n">
        <v>5</v>
      </c>
      <c r="H2020" s="14" t="n">
        <v>4.929</v>
      </c>
      <c r="I2020" s="14" t="n">
        <v>4.95684453735736</v>
      </c>
      <c r="J2020" s="14" t="n">
        <v>5.26206941241801</v>
      </c>
      <c r="K2020" s="14" t="n">
        <v>5.60903386711833</v>
      </c>
      <c r="L2020" s="14" t="n">
        <v>5.92308362131151</v>
      </c>
      <c r="M2020" s="14" t="n">
        <v>2.098</v>
      </c>
      <c r="N2020" s="14" t="n">
        <v>2.165</v>
      </c>
      <c r="O2020" s="14" t="n">
        <v>2.24</v>
      </c>
      <c r="P2020" s="14" t="n">
        <v>2.377</v>
      </c>
      <c r="Q2020" s="14" t="n">
        <v>3.75</v>
      </c>
      <c r="R2020" s="14" t="n">
        <v>3.75</v>
      </c>
      <c r="S2020" s="14" t="n">
        <v>13.75</v>
      </c>
    </row>
    <row r="2021" customFormat="false" ht="15" hidden="false" customHeight="false" outlineLevel="0" collapsed="false">
      <c r="A2021" s="13" t="n">
        <v>45111</v>
      </c>
      <c r="C2021" s="14" t="n">
        <v>5.25</v>
      </c>
      <c r="D2021" s="14" t="n">
        <v>5</v>
      </c>
      <c r="E2021" s="14" t="n">
        <v>3.401</v>
      </c>
      <c r="F2021" s="14" t="n">
        <v>3.5</v>
      </c>
      <c r="G2021" s="14" t="n">
        <v>5</v>
      </c>
      <c r="H2021" s="14" t="n">
        <v>4.9291</v>
      </c>
      <c r="I2021" s="14" t="n">
        <v>4.96513210194481</v>
      </c>
      <c r="J2021" s="14" t="n">
        <v>5.26938923045591</v>
      </c>
      <c r="K2021" s="14" t="n">
        <v>5.61311431529283</v>
      </c>
      <c r="L2021" s="14" t="n">
        <v>5.92699424081548</v>
      </c>
      <c r="M2021" s="14" t="n">
        <v>2.094</v>
      </c>
      <c r="N2021" s="14" t="n">
        <v>2.164</v>
      </c>
      <c r="O2021" s="14" t="n">
        <v>2.239</v>
      </c>
      <c r="P2021" s="14" t="n">
        <v>2.377</v>
      </c>
      <c r="Q2021" s="14" t="n">
        <v>3.75</v>
      </c>
      <c r="R2021" s="14" t="n">
        <v>3.75</v>
      </c>
      <c r="S2021" s="14" t="n">
        <v>13.75</v>
      </c>
    </row>
    <row r="2022" customFormat="false" ht="15" hidden="false" customHeight="false" outlineLevel="0" collapsed="false">
      <c r="A2022" s="13" t="n">
        <v>45112</v>
      </c>
      <c r="B2022" s="14" t="n">
        <v>5.06</v>
      </c>
      <c r="C2022" s="14" t="n">
        <v>5.25</v>
      </c>
      <c r="D2022" s="14" t="n">
        <v>5</v>
      </c>
      <c r="E2022" s="14" t="n">
        <v>3.404</v>
      </c>
      <c r="F2022" s="14" t="n">
        <v>3.5</v>
      </c>
      <c r="G2022" s="14" t="n">
        <v>5</v>
      </c>
      <c r="H2022" s="14" t="n">
        <v>4.93</v>
      </c>
      <c r="I2022" s="14" t="n">
        <v>4.98373471665786</v>
      </c>
      <c r="J2022" s="14" t="n">
        <v>5.28470098824827</v>
      </c>
      <c r="K2022" s="14" t="n">
        <v>5.63695766978294</v>
      </c>
      <c r="L2022" s="14" t="n">
        <v>5.99223017072784</v>
      </c>
      <c r="M2022" s="14" t="n">
        <v>2.09</v>
      </c>
      <c r="N2022" s="14" t="n">
        <v>2.158</v>
      </c>
      <c r="O2022" s="14" t="n">
        <v>2.237</v>
      </c>
      <c r="P2022" s="14" t="n">
        <v>2.375</v>
      </c>
      <c r="Q2022" s="14" t="n">
        <v>3.75</v>
      </c>
      <c r="R2022" s="14" t="n">
        <v>3.75</v>
      </c>
      <c r="S2022" s="14" t="n">
        <v>13.75</v>
      </c>
    </row>
    <row r="2023" customFormat="false" ht="15" hidden="false" customHeight="false" outlineLevel="0" collapsed="false">
      <c r="A2023" s="13" t="n">
        <v>45113</v>
      </c>
      <c r="B2023" s="14" t="n">
        <v>5.06</v>
      </c>
      <c r="C2023" s="14" t="n">
        <v>5.25</v>
      </c>
      <c r="D2023" s="14" t="n">
        <v>5</v>
      </c>
      <c r="E2023" s="14" t="n">
        <v>3.406</v>
      </c>
      <c r="F2023" s="14" t="n">
        <v>3.5</v>
      </c>
      <c r="G2023" s="14" t="n">
        <v>5</v>
      </c>
      <c r="H2023" s="14" t="n">
        <v>4.9296</v>
      </c>
      <c r="I2023" s="14" t="n">
        <v>4.99319460768997</v>
      </c>
      <c r="J2023" s="14" t="n">
        <v>5.31481986950868</v>
      </c>
      <c r="K2023" s="14" t="n">
        <v>5.69103285055451</v>
      </c>
      <c r="L2023" s="14" t="n">
        <v>6.08277397770393</v>
      </c>
      <c r="M2023" s="14" t="n">
        <v>2.086</v>
      </c>
      <c r="N2023" s="14" t="n">
        <v>2.147</v>
      </c>
      <c r="O2023" s="14" t="n">
        <v>2.228</v>
      </c>
      <c r="P2023" s="14" t="n">
        <v>2.368</v>
      </c>
      <c r="Q2023" s="14" t="n">
        <v>3.75</v>
      </c>
      <c r="R2023" s="14" t="n">
        <v>3.75</v>
      </c>
      <c r="S2023" s="14" t="n">
        <v>13.75</v>
      </c>
    </row>
    <row r="2024" customFormat="false" ht="15" hidden="false" customHeight="false" outlineLevel="0" collapsed="false">
      <c r="A2024" s="13" t="n">
        <v>45114</v>
      </c>
      <c r="B2024" s="14" t="n">
        <v>5.06</v>
      </c>
      <c r="C2024" s="14" t="n">
        <v>5.25</v>
      </c>
      <c r="D2024" s="14" t="n">
        <v>5</v>
      </c>
      <c r="E2024" s="14" t="n">
        <v>3.406</v>
      </c>
      <c r="F2024" s="14" t="n">
        <v>3.5</v>
      </c>
      <c r="G2024" s="14" t="n">
        <v>5</v>
      </c>
      <c r="H2024" s="14" t="n">
        <v>4.9297</v>
      </c>
      <c r="I2024" s="14" t="n">
        <v>4.99492531707824</v>
      </c>
      <c r="J2024" s="14" t="n">
        <v>5.31127050955843</v>
      </c>
      <c r="K2024" s="14" t="n">
        <v>5.66549420197464</v>
      </c>
      <c r="L2024" s="14" t="n">
        <v>6.01042586575116</v>
      </c>
      <c r="M2024" s="14" t="n">
        <v>2.084</v>
      </c>
      <c r="N2024" s="14" t="n">
        <v>2.138</v>
      </c>
      <c r="O2024" s="14" t="n">
        <v>2.221</v>
      </c>
      <c r="P2024" s="14" t="n">
        <v>2.36</v>
      </c>
      <c r="Q2024" s="14" t="n">
        <v>3.75</v>
      </c>
      <c r="R2024" s="14" t="n">
        <v>3.75</v>
      </c>
      <c r="S2024" s="14" t="n">
        <v>13.75</v>
      </c>
    </row>
    <row r="2025" customFormat="false" ht="15" hidden="false" customHeight="false" outlineLevel="0" collapsed="false">
      <c r="A2025" s="13" t="n">
        <v>45117</v>
      </c>
      <c r="B2025" s="14" t="n">
        <v>5.06</v>
      </c>
      <c r="C2025" s="14" t="n">
        <v>5.25</v>
      </c>
      <c r="D2025" s="14" t="n">
        <v>5</v>
      </c>
      <c r="E2025" s="14" t="n">
        <v>3.402</v>
      </c>
      <c r="F2025" s="14" t="n">
        <v>3.5</v>
      </c>
      <c r="G2025" s="14" t="n">
        <v>5</v>
      </c>
      <c r="H2025" s="14" t="n">
        <v>4.9302</v>
      </c>
      <c r="I2025" s="14" t="n">
        <v>5.01914108192103</v>
      </c>
      <c r="J2025" s="14" t="n">
        <v>5.33023298611264</v>
      </c>
      <c r="K2025" s="14" t="n">
        <v>5.67459675206391</v>
      </c>
      <c r="L2025" s="14" t="n">
        <v>6.0232540081373</v>
      </c>
      <c r="M2025" s="14" t="n">
        <v>2.078</v>
      </c>
      <c r="N2025" s="14" t="n">
        <v>2.128</v>
      </c>
      <c r="O2025" s="14" t="n">
        <v>2.215</v>
      </c>
      <c r="P2025" s="14" t="n">
        <v>2.352</v>
      </c>
      <c r="Q2025" s="14" t="n">
        <v>3.75</v>
      </c>
      <c r="R2025" s="14" t="n">
        <v>3.75</v>
      </c>
      <c r="S2025" s="14" t="n">
        <v>13.75</v>
      </c>
    </row>
    <row r="2026" customFormat="false" ht="15" hidden="false" customHeight="false" outlineLevel="0" collapsed="false">
      <c r="A2026" s="13" t="n">
        <v>45118</v>
      </c>
      <c r="B2026" s="14" t="n">
        <v>5.06</v>
      </c>
      <c r="C2026" s="14" t="n">
        <v>5.25</v>
      </c>
      <c r="D2026" s="14" t="n">
        <v>5</v>
      </c>
      <c r="E2026" s="14" t="n">
        <v>3.404</v>
      </c>
      <c r="F2026" s="14" t="n">
        <v>3.5</v>
      </c>
      <c r="G2026" s="14" t="n">
        <v>5</v>
      </c>
      <c r="H2026" s="14" t="n">
        <v>4.9299</v>
      </c>
      <c r="I2026" s="14" t="n">
        <v>5.03104151174628</v>
      </c>
      <c r="J2026" s="14" t="n">
        <v>5.35029414976053</v>
      </c>
      <c r="K2026" s="14" t="n">
        <v>5.69296433118271</v>
      </c>
      <c r="L2026" s="14" t="n">
        <v>6.0457728976998</v>
      </c>
      <c r="M2026" s="14" t="n">
        <v>2.078</v>
      </c>
      <c r="N2026" s="14" t="n">
        <v>2.118</v>
      </c>
      <c r="O2026" s="14" t="n">
        <v>2.212</v>
      </c>
      <c r="P2026" s="14" t="n">
        <v>2.349</v>
      </c>
      <c r="Q2026" s="14" t="n">
        <v>3.75</v>
      </c>
      <c r="R2026" s="14" t="n">
        <v>3.75</v>
      </c>
      <c r="S2026" s="14" t="n">
        <v>13.75</v>
      </c>
    </row>
    <row r="2027" customFormat="false" ht="15" hidden="false" customHeight="false" outlineLevel="0" collapsed="false">
      <c r="A2027" s="13" t="n">
        <v>45119</v>
      </c>
      <c r="B2027" s="14" t="n">
        <v>5.05</v>
      </c>
      <c r="C2027" s="14" t="n">
        <v>5.25</v>
      </c>
      <c r="D2027" s="14" t="n">
        <v>5</v>
      </c>
      <c r="E2027" s="14" t="n">
        <v>3.404</v>
      </c>
      <c r="F2027" s="14" t="n">
        <v>3.5</v>
      </c>
      <c r="G2027" s="14" t="n">
        <v>5</v>
      </c>
      <c r="H2027" s="14" t="n">
        <v>4.9298</v>
      </c>
      <c r="I2027" s="14" t="n">
        <v>5.03336441249979</v>
      </c>
      <c r="J2027" s="14" t="n">
        <v>5.32818339793577</v>
      </c>
      <c r="K2027" s="14" t="n">
        <v>5.62581697996233</v>
      </c>
      <c r="L2027" s="14" t="n">
        <v>5.90027189794568</v>
      </c>
      <c r="M2027" s="14" t="n">
        <v>2.077</v>
      </c>
      <c r="N2027" s="14" t="n">
        <v>2.109</v>
      </c>
      <c r="O2027" s="14" t="n">
        <v>2.208</v>
      </c>
      <c r="P2027" s="14" t="n">
        <v>2.345</v>
      </c>
      <c r="Q2027" s="14" t="n">
        <v>3.75</v>
      </c>
      <c r="R2027" s="14" t="n">
        <v>3.75</v>
      </c>
      <c r="S2027" s="14" t="n">
        <v>13.75</v>
      </c>
    </row>
    <row r="2028" customFormat="false" ht="15" hidden="false" customHeight="false" outlineLevel="0" collapsed="false">
      <c r="A2028" s="13" t="n">
        <v>45120</v>
      </c>
      <c r="B2028" s="14" t="n">
        <v>5.06</v>
      </c>
      <c r="C2028" s="14" t="n">
        <v>5.25</v>
      </c>
      <c r="D2028" s="14" t="n">
        <v>5</v>
      </c>
      <c r="E2028" s="14" t="n">
        <v>3.401</v>
      </c>
      <c r="F2028" s="14" t="n">
        <v>3.5</v>
      </c>
      <c r="G2028" s="14" t="n">
        <v>5</v>
      </c>
      <c r="H2028" s="14" t="n">
        <v>4.93</v>
      </c>
      <c r="I2028" s="14" t="n">
        <v>5.041451654199</v>
      </c>
      <c r="J2028" s="14" t="n">
        <v>5.33171392019941</v>
      </c>
      <c r="K2028" s="14" t="n">
        <v>5.61257462626297</v>
      </c>
      <c r="L2028" s="14" t="n">
        <v>5.84669968444846</v>
      </c>
      <c r="M2028" s="14" t="n">
        <v>2.078</v>
      </c>
      <c r="N2028" s="14" t="n">
        <v>2.107</v>
      </c>
      <c r="O2028" s="14" t="n">
        <v>2.206</v>
      </c>
      <c r="P2028" s="14" t="n">
        <v>2.341</v>
      </c>
      <c r="Q2028" s="14" t="n">
        <v>3.75</v>
      </c>
      <c r="R2028" s="14" t="n">
        <v>3.75</v>
      </c>
      <c r="S2028" s="14" t="n">
        <v>13.75</v>
      </c>
    </row>
    <row r="2029" customFormat="false" ht="15" hidden="false" customHeight="false" outlineLevel="0" collapsed="false">
      <c r="A2029" s="13" t="n">
        <v>45121</v>
      </c>
      <c r="B2029" s="14" t="n">
        <v>5.05</v>
      </c>
      <c r="C2029" s="14" t="n">
        <v>5.25</v>
      </c>
      <c r="D2029" s="14" t="n">
        <v>5</v>
      </c>
      <c r="E2029" s="14" t="n">
        <v>3.402</v>
      </c>
      <c r="F2029" s="14" t="n">
        <v>3.5</v>
      </c>
      <c r="G2029" s="14" t="n">
        <v>5</v>
      </c>
      <c r="H2029" s="14" t="n">
        <v>4.93</v>
      </c>
      <c r="I2029" s="14" t="n">
        <v>5.05791666900085</v>
      </c>
      <c r="J2029" s="14" t="n">
        <v>5.35962011976734</v>
      </c>
      <c r="K2029" s="14" t="n">
        <v>5.65884163222104</v>
      </c>
      <c r="L2029" s="14" t="n">
        <v>5.92336084829788</v>
      </c>
      <c r="M2029" s="14" t="n">
        <v>2.068</v>
      </c>
      <c r="N2029" s="14" t="n">
        <v>2.101</v>
      </c>
      <c r="O2029" s="14" t="n">
        <v>2.205</v>
      </c>
      <c r="P2029" s="14" t="n">
        <v>2.342</v>
      </c>
      <c r="Q2029" s="14" t="n">
        <v>3.75</v>
      </c>
      <c r="R2029" s="14" t="n">
        <v>3.75</v>
      </c>
      <c r="S2029" s="14" t="n">
        <v>13.75</v>
      </c>
    </row>
    <row r="2030" customFormat="false" ht="15" hidden="false" customHeight="false" outlineLevel="0" collapsed="false">
      <c r="A2030" s="13" t="n">
        <v>45124</v>
      </c>
      <c r="B2030" s="14" t="n">
        <v>5.06</v>
      </c>
      <c r="C2030" s="14" t="n">
        <v>5.25</v>
      </c>
      <c r="D2030" s="14" t="n">
        <v>5</v>
      </c>
      <c r="E2030" s="14" t="n">
        <v>3.4</v>
      </c>
      <c r="F2030" s="14" t="n">
        <v>3.5</v>
      </c>
      <c r="G2030" s="14" t="n">
        <v>5</v>
      </c>
      <c r="H2030" s="14" t="n">
        <v>4.9299</v>
      </c>
      <c r="I2030" s="14" t="n">
        <v>5.10364384244179</v>
      </c>
      <c r="J2030" s="14" t="n">
        <v>5.37780477907761</v>
      </c>
      <c r="K2030" s="14" t="n">
        <v>5.64544924738155</v>
      </c>
      <c r="L2030" s="14" t="n">
        <v>5.87392147343334</v>
      </c>
      <c r="M2030" s="14" t="n">
        <v>2.069</v>
      </c>
      <c r="N2030" s="14" t="n">
        <v>2.1</v>
      </c>
      <c r="O2030" s="14" t="n">
        <v>2.207</v>
      </c>
      <c r="P2030" s="14" t="n">
        <v>2.341</v>
      </c>
      <c r="Q2030" s="14" t="n">
        <v>3.75</v>
      </c>
      <c r="R2030" s="14" t="n">
        <v>3.75</v>
      </c>
      <c r="S2030" s="14" t="n">
        <v>13.75</v>
      </c>
    </row>
    <row r="2031" customFormat="false" ht="15" hidden="false" customHeight="false" outlineLevel="0" collapsed="false">
      <c r="A2031" s="13" t="n">
        <v>45125</v>
      </c>
      <c r="B2031" s="14" t="n">
        <v>5.06</v>
      </c>
      <c r="C2031" s="14" t="n">
        <v>5.25</v>
      </c>
      <c r="D2031" s="14" t="n">
        <v>5</v>
      </c>
      <c r="E2031" s="14" t="n">
        <v>3.399</v>
      </c>
      <c r="F2031" s="14" t="n">
        <v>3.5</v>
      </c>
      <c r="G2031" s="14" t="n">
        <v>5</v>
      </c>
      <c r="H2031" s="14" t="n">
        <v>4.9301</v>
      </c>
      <c r="I2031" s="14" t="n">
        <v>5.11295550673456</v>
      </c>
      <c r="J2031" s="14" t="n">
        <v>5.37633090242922</v>
      </c>
      <c r="K2031" s="14" t="n">
        <v>5.63300224474032</v>
      </c>
      <c r="L2031" s="14" t="n">
        <v>5.83256621055694</v>
      </c>
      <c r="M2031" s="14" t="n">
        <v>2.07</v>
      </c>
      <c r="N2031" s="14" t="n">
        <v>2.1</v>
      </c>
      <c r="O2031" s="14" t="n">
        <v>2.207</v>
      </c>
      <c r="P2031" s="14" t="n">
        <v>2.34</v>
      </c>
      <c r="Q2031" s="14" t="n">
        <v>3.75</v>
      </c>
      <c r="R2031" s="14" t="n">
        <v>3.75</v>
      </c>
      <c r="S2031" s="14" t="n">
        <v>13.75</v>
      </c>
    </row>
    <row r="2032" customFormat="false" ht="15" hidden="false" customHeight="false" outlineLevel="0" collapsed="false">
      <c r="A2032" s="13" t="n">
        <v>45126</v>
      </c>
      <c r="B2032" s="14" t="n">
        <v>5.05</v>
      </c>
      <c r="C2032" s="14" t="n">
        <v>5.25</v>
      </c>
      <c r="D2032" s="14" t="n">
        <v>5</v>
      </c>
      <c r="E2032" s="14" t="n">
        <v>3.4</v>
      </c>
      <c r="F2032" s="14" t="n">
        <v>3.5</v>
      </c>
      <c r="G2032" s="14" t="n">
        <v>5</v>
      </c>
      <c r="H2032" s="14" t="n">
        <v>4.9303</v>
      </c>
      <c r="I2032" s="14" t="n">
        <v>5.09619966474636</v>
      </c>
      <c r="J2032" s="14" t="n">
        <v>5.31252114868204</v>
      </c>
      <c r="K2032" s="14" t="n">
        <v>5.51204323052266</v>
      </c>
      <c r="L2032" s="14" t="n">
        <v>5.64039731477734</v>
      </c>
      <c r="M2032" s="14" t="n">
        <v>2.068</v>
      </c>
      <c r="N2032" s="14" t="n">
        <v>2.1</v>
      </c>
      <c r="O2032" s="14" t="n">
        <v>2.207</v>
      </c>
      <c r="P2032" s="14" t="n">
        <v>2.34</v>
      </c>
      <c r="Q2032" s="14" t="n">
        <v>3.75</v>
      </c>
      <c r="R2032" s="14" t="n">
        <v>3.75</v>
      </c>
      <c r="S2032" s="14" t="n">
        <v>13.75</v>
      </c>
    </row>
    <row r="2033" customFormat="false" ht="15" hidden="false" customHeight="false" outlineLevel="0" collapsed="false">
      <c r="A2033" s="13" t="n">
        <v>45127</v>
      </c>
      <c r="B2033" s="14" t="n">
        <v>5.06</v>
      </c>
      <c r="C2033" s="14" t="n">
        <v>5.25</v>
      </c>
      <c r="D2033" s="14" t="n">
        <v>5</v>
      </c>
      <c r="E2033" s="14" t="n">
        <v>3.403</v>
      </c>
      <c r="F2033" s="14" t="n">
        <v>3.5</v>
      </c>
      <c r="G2033" s="14" t="n">
        <v>5</v>
      </c>
      <c r="H2033" s="14" t="n">
        <v>4.9305</v>
      </c>
      <c r="I2033" s="14" t="n">
        <v>5.11759154896491</v>
      </c>
      <c r="J2033" s="14" t="n">
        <v>5.33527861874981</v>
      </c>
      <c r="K2033" s="14" t="n">
        <v>5.54291740586517</v>
      </c>
      <c r="L2033" s="14" t="n">
        <v>5.69481770165519</v>
      </c>
      <c r="M2033" s="14" t="n">
        <v>2.068</v>
      </c>
      <c r="N2033" s="14" t="n">
        <v>2.1</v>
      </c>
      <c r="O2033" s="14" t="n">
        <v>2.206</v>
      </c>
      <c r="P2033" s="14" t="n">
        <v>2.34</v>
      </c>
      <c r="Q2033" s="14" t="n">
        <v>3.75</v>
      </c>
      <c r="R2033" s="14" t="n">
        <v>3.75</v>
      </c>
      <c r="S2033" s="14" t="n">
        <v>13.75</v>
      </c>
    </row>
    <row r="2034" customFormat="false" ht="15" hidden="false" customHeight="false" outlineLevel="0" collapsed="false">
      <c r="A2034" s="13" t="n">
        <v>45128</v>
      </c>
      <c r="B2034" s="14" t="n">
        <v>5.05</v>
      </c>
      <c r="C2034" s="14" t="n">
        <v>5.25</v>
      </c>
      <c r="D2034" s="14" t="n">
        <v>5</v>
      </c>
      <c r="E2034" s="14" t="n">
        <v>3.404</v>
      </c>
      <c r="F2034" s="14" t="n">
        <v>3.5</v>
      </c>
      <c r="G2034" s="14" t="n">
        <v>5</v>
      </c>
      <c r="H2034" s="14" t="n">
        <v>4.9306</v>
      </c>
      <c r="I2034" s="14" t="n">
        <v>5.12815074314256</v>
      </c>
      <c r="J2034" s="14" t="n">
        <v>5.34037746717645</v>
      </c>
      <c r="K2034" s="14" t="n">
        <v>5.54620321800041</v>
      </c>
      <c r="L2034" s="14" t="n">
        <v>5.6854016515587</v>
      </c>
      <c r="M2034" s="14" t="n">
        <v>2.068</v>
      </c>
      <c r="N2034" s="14" t="n">
        <v>2.1</v>
      </c>
      <c r="O2034" s="14" t="n">
        <v>2.205</v>
      </c>
      <c r="P2034" s="14" t="n">
        <v>2.339</v>
      </c>
      <c r="Q2034" s="14" t="n">
        <v>3.75</v>
      </c>
      <c r="R2034" s="14" t="n">
        <v>3.75</v>
      </c>
      <c r="S2034" s="14" t="n">
        <v>13.75</v>
      </c>
    </row>
    <row r="2035" customFormat="false" ht="15" hidden="false" customHeight="false" outlineLevel="0" collapsed="false">
      <c r="A2035" s="13" t="n">
        <v>45131</v>
      </c>
      <c r="B2035" s="14" t="n">
        <v>5.05</v>
      </c>
      <c r="C2035" s="14" t="n">
        <v>5.25</v>
      </c>
      <c r="D2035" s="14" t="n">
        <v>5</v>
      </c>
      <c r="E2035" s="14" t="n">
        <v>3.405</v>
      </c>
      <c r="F2035" s="14" t="n">
        <v>3.5</v>
      </c>
      <c r="G2035" s="14" t="n">
        <v>5</v>
      </c>
      <c r="H2035" s="14" t="n">
        <v>4.9309</v>
      </c>
      <c r="I2035" s="14" t="n">
        <v>5.15179727655523</v>
      </c>
      <c r="J2035" s="14" t="n">
        <v>5.33656239770544</v>
      </c>
      <c r="K2035" s="14" t="n">
        <v>5.52844413628346</v>
      </c>
      <c r="L2035" s="14" t="n">
        <v>5.65758466339966</v>
      </c>
      <c r="M2035" s="14" t="n">
        <v>2.0673</v>
      </c>
      <c r="N2035" s="14" t="n">
        <v>2.1</v>
      </c>
      <c r="O2035" s="14" t="n">
        <v>2.202</v>
      </c>
      <c r="P2035" s="14" t="n">
        <v>2.338</v>
      </c>
      <c r="Q2035" s="14" t="n">
        <v>3.75</v>
      </c>
      <c r="R2035" s="14" t="n">
        <v>3.75</v>
      </c>
      <c r="S2035" s="14" t="n">
        <v>13.75</v>
      </c>
    </row>
    <row r="2036" customFormat="false" ht="15" hidden="false" customHeight="false" outlineLevel="0" collapsed="false">
      <c r="A2036" s="13" t="n">
        <v>45132</v>
      </c>
      <c r="B2036" s="14" t="n">
        <v>5.06</v>
      </c>
      <c r="C2036" s="14" t="n">
        <v>5.25</v>
      </c>
      <c r="D2036" s="14" t="n">
        <v>5</v>
      </c>
      <c r="E2036" s="14" t="n">
        <v>3.405</v>
      </c>
      <c r="F2036" s="14" t="n">
        <v>3.5</v>
      </c>
      <c r="G2036" s="14" t="n">
        <v>5</v>
      </c>
      <c r="H2036" s="14" t="n">
        <v>4.9308</v>
      </c>
      <c r="I2036" s="14" t="n">
        <v>5.17101972866619</v>
      </c>
      <c r="J2036" s="14" t="n">
        <v>5.34825607889983</v>
      </c>
      <c r="K2036" s="14" t="n">
        <v>5.53447579870658</v>
      </c>
      <c r="L2036" s="14" t="n">
        <v>5.67218846544928</v>
      </c>
      <c r="M2036" s="14" t="n">
        <v>2.066</v>
      </c>
      <c r="N2036" s="14" t="n">
        <v>2.1</v>
      </c>
      <c r="O2036" s="14" t="n">
        <v>2.201</v>
      </c>
      <c r="P2036" s="14" t="n">
        <v>2.338</v>
      </c>
      <c r="Q2036" s="14" t="n">
        <v>3.75</v>
      </c>
      <c r="R2036" s="14" t="n">
        <v>3.75</v>
      </c>
      <c r="S2036" s="14" t="n">
        <v>13.75</v>
      </c>
    </row>
    <row r="2037" customFormat="false" ht="15" hidden="false" customHeight="false" outlineLevel="0" collapsed="false">
      <c r="A2037" s="13" t="n">
        <v>45133</v>
      </c>
      <c r="B2037" s="14" t="n">
        <v>5.06</v>
      </c>
      <c r="C2037" s="14" t="n">
        <v>5.25</v>
      </c>
      <c r="D2037" s="14" t="n">
        <v>5</v>
      </c>
      <c r="E2037" s="14" t="n">
        <v>3.402</v>
      </c>
      <c r="F2037" s="14" t="n">
        <v>3.5</v>
      </c>
      <c r="G2037" s="14" t="n">
        <v>5</v>
      </c>
      <c r="H2037" s="14" t="n">
        <v>4.931</v>
      </c>
      <c r="I2037" s="14" t="n">
        <v>5.18115517374632</v>
      </c>
      <c r="J2037" s="14" t="n">
        <v>5.36207922621742</v>
      </c>
      <c r="K2037" s="14" t="n">
        <v>5.56950670299449</v>
      </c>
      <c r="L2037" s="14" t="n">
        <v>5.73871438799148</v>
      </c>
      <c r="M2037" s="14" t="n">
        <v>2.066</v>
      </c>
      <c r="N2037" s="14" t="n">
        <v>2.099</v>
      </c>
      <c r="O2037" s="14" t="n">
        <v>2.199</v>
      </c>
      <c r="P2037" s="14" t="n">
        <v>2.338</v>
      </c>
      <c r="Q2037" s="14" t="n">
        <v>3.75</v>
      </c>
      <c r="R2037" s="14" t="n">
        <v>3.75</v>
      </c>
      <c r="S2037" s="14" t="n">
        <v>13.75</v>
      </c>
    </row>
    <row r="2038" customFormat="false" ht="15" hidden="false" customHeight="false" outlineLevel="0" collapsed="false">
      <c r="A2038" s="13" t="n">
        <v>45134</v>
      </c>
      <c r="B2038" s="14" t="n">
        <v>5.31</v>
      </c>
      <c r="C2038" s="14" t="n">
        <v>5.5</v>
      </c>
      <c r="D2038" s="14" t="n">
        <v>5.25</v>
      </c>
      <c r="E2038" s="14" t="n">
        <v>3.403</v>
      </c>
      <c r="F2038" s="14" t="n">
        <v>3.5</v>
      </c>
      <c r="G2038" s="14" t="n">
        <v>5</v>
      </c>
      <c r="H2038" s="14" t="n">
        <v>4.931</v>
      </c>
      <c r="I2038" s="14" t="n">
        <v>5.17502893712664</v>
      </c>
      <c r="J2038" s="14" t="n">
        <v>5.34295516926231</v>
      </c>
      <c r="K2038" s="14" t="n">
        <v>5.53342890252497</v>
      </c>
      <c r="L2038" s="14" t="n">
        <v>5.67727778224283</v>
      </c>
      <c r="M2038" s="14" t="n">
        <v>2.066</v>
      </c>
      <c r="N2038" s="14" t="n">
        <v>2.098</v>
      </c>
      <c r="O2038" s="14" t="n">
        <v>2.199</v>
      </c>
      <c r="P2038" s="14" t="n">
        <v>2.338</v>
      </c>
      <c r="Q2038" s="14" t="n">
        <v>3.75</v>
      </c>
      <c r="R2038" s="14" t="n">
        <v>3.75</v>
      </c>
      <c r="S2038" s="14" t="n">
        <v>13.75</v>
      </c>
    </row>
    <row r="2039" customFormat="false" ht="15" hidden="false" customHeight="false" outlineLevel="0" collapsed="false">
      <c r="A2039" s="13" t="n">
        <v>45135</v>
      </c>
      <c r="B2039" s="14" t="n">
        <v>5.3</v>
      </c>
      <c r="C2039" s="14" t="n">
        <v>5.5</v>
      </c>
      <c r="D2039" s="14" t="n">
        <v>5.25</v>
      </c>
      <c r="E2039" s="14" t="n">
        <v>3.404</v>
      </c>
      <c r="F2039" s="14" t="n">
        <v>3.5</v>
      </c>
      <c r="G2039" s="14" t="n">
        <v>5</v>
      </c>
      <c r="H2039" s="14" t="n">
        <v>4.9315</v>
      </c>
      <c r="I2039" s="14" t="n">
        <v>5.1866306753816</v>
      </c>
      <c r="J2039" s="14" t="n">
        <v>5.34031804627587</v>
      </c>
      <c r="K2039" s="14" t="n">
        <v>5.51266040085057</v>
      </c>
      <c r="L2039" s="14" t="n">
        <v>5.64021214078609</v>
      </c>
      <c r="M2039" s="14" t="n">
        <v>2.066</v>
      </c>
      <c r="N2039" s="14" t="n">
        <v>2.098</v>
      </c>
      <c r="O2039" s="14" t="n">
        <v>2.199</v>
      </c>
      <c r="P2039" s="14" t="n">
        <v>2.337</v>
      </c>
      <c r="Q2039" s="14" t="n">
        <v>3.75</v>
      </c>
      <c r="R2039" s="14" t="n">
        <v>3.75</v>
      </c>
      <c r="S2039" s="14" t="n">
        <v>13.75</v>
      </c>
    </row>
    <row r="2040" customFormat="false" ht="15" hidden="false" customHeight="false" outlineLevel="0" collapsed="false">
      <c r="A2040" s="13" t="n">
        <v>45138</v>
      </c>
      <c r="B2040" s="14" t="n">
        <v>5.31</v>
      </c>
      <c r="C2040" s="14" t="n">
        <v>5.5</v>
      </c>
      <c r="D2040" s="14" t="n">
        <v>5.25</v>
      </c>
      <c r="E2040" s="14" t="n">
        <v>3.392</v>
      </c>
      <c r="F2040" s="14" t="n">
        <v>3.5</v>
      </c>
      <c r="G2040" s="14" t="n">
        <v>5</v>
      </c>
      <c r="H2040" s="14" t="n">
        <v>4.9304</v>
      </c>
      <c r="I2040" s="14" t="n">
        <v>5.21969651980627</v>
      </c>
      <c r="J2040" s="14" t="n">
        <v>5.36194338406852</v>
      </c>
      <c r="K2040" s="14" t="n">
        <v>5.53547848231555</v>
      </c>
      <c r="L2040" s="14" t="n">
        <v>5.65774448065529</v>
      </c>
      <c r="M2040" s="14" t="n">
        <v>2.065</v>
      </c>
      <c r="N2040" s="14" t="n">
        <v>2.097</v>
      </c>
      <c r="O2040" s="14" t="n">
        <v>2.198</v>
      </c>
      <c r="P2040" s="14" t="n">
        <v>2.337</v>
      </c>
      <c r="Q2040" s="14" t="n">
        <v>3.75</v>
      </c>
      <c r="R2040" s="14" t="n">
        <v>3.75</v>
      </c>
      <c r="S2040" s="14" t="n">
        <v>13.75</v>
      </c>
    </row>
    <row r="2041" customFormat="false" ht="15" hidden="false" customHeight="false" outlineLevel="0" collapsed="false">
      <c r="A2041" s="13" t="n">
        <v>45139</v>
      </c>
      <c r="B2041" s="14" t="n">
        <v>5.31</v>
      </c>
      <c r="C2041" s="14" t="n">
        <v>5.5</v>
      </c>
      <c r="D2041" s="14" t="n">
        <v>5.25</v>
      </c>
      <c r="E2041" s="14" t="n">
        <v>3.404</v>
      </c>
      <c r="F2041" s="14" t="n">
        <v>3.5</v>
      </c>
      <c r="G2041" s="14" t="n">
        <v>5</v>
      </c>
      <c r="H2041" s="14" t="n">
        <v>4.9307</v>
      </c>
      <c r="I2041" s="14" t="n">
        <v>5.23648663466951</v>
      </c>
      <c r="J2041" s="14" t="n">
        <v>5.37319986695051</v>
      </c>
      <c r="K2041" s="14" t="n">
        <v>5.54616884104839</v>
      </c>
      <c r="L2041" s="14" t="n">
        <v>5.68371989048072</v>
      </c>
      <c r="M2041" s="14" t="n">
        <v>2.056</v>
      </c>
      <c r="N2041" s="14" t="n">
        <v>2.098</v>
      </c>
      <c r="O2041" s="14" t="n">
        <v>2.198</v>
      </c>
      <c r="P2041" s="14" t="n">
        <v>2.337</v>
      </c>
      <c r="Q2041" s="14" t="n">
        <v>3.75</v>
      </c>
      <c r="R2041" s="14" t="n">
        <v>3.75</v>
      </c>
      <c r="S2041" s="14" t="n">
        <v>13.75</v>
      </c>
    </row>
    <row r="2042" customFormat="false" ht="15" hidden="false" customHeight="false" outlineLevel="0" collapsed="false">
      <c r="A2042" s="13" t="n">
        <v>45140</v>
      </c>
      <c r="B2042" s="14" t="n">
        <v>5.3</v>
      </c>
      <c r="C2042" s="14" t="n">
        <v>5.5</v>
      </c>
      <c r="D2042" s="14" t="n">
        <v>5.25</v>
      </c>
      <c r="E2042" s="14" t="n">
        <v>3.655</v>
      </c>
      <c r="F2042" s="14" t="n">
        <v>3.75</v>
      </c>
      <c r="G2042" s="14" t="n">
        <v>5</v>
      </c>
      <c r="H2042" s="14" t="n">
        <v>4.9304</v>
      </c>
      <c r="I2042" s="14" t="n">
        <v>5.23539462130572</v>
      </c>
      <c r="J2042" s="14" t="n">
        <v>5.35932974910568</v>
      </c>
      <c r="K2042" s="14" t="n">
        <v>5.51433261031557</v>
      </c>
      <c r="L2042" s="14" t="n">
        <v>5.62275147338911</v>
      </c>
      <c r="M2042" s="14" t="n">
        <v>2.045</v>
      </c>
      <c r="N2042" s="14" t="n">
        <v>2.098</v>
      </c>
      <c r="O2042" s="14" t="n">
        <v>2.196</v>
      </c>
      <c r="P2042" s="14" t="n">
        <v>2.335</v>
      </c>
      <c r="Q2042" s="14" t="n">
        <v>3.75</v>
      </c>
      <c r="R2042" s="14" t="n">
        <v>3.75</v>
      </c>
      <c r="S2042" s="14" t="n">
        <v>13.75</v>
      </c>
    </row>
    <row r="2043" customFormat="false" ht="15" hidden="false" customHeight="false" outlineLevel="0" collapsed="false">
      <c r="A2043" s="13" t="n">
        <v>45141</v>
      </c>
      <c r="B2043" s="14" t="n">
        <v>5.3</v>
      </c>
      <c r="C2043" s="14" t="n">
        <v>5.5</v>
      </c>
      <c r="D2043" s="14" t="n">
        <v>5.25</v>
      </c>
      <c r="E2043" s="14" t="n">
        <v>3.653</v>
      </c>
      <c r="F2043" s="14" t="n">
        <v>3.75</v>
      </c>
      <c r="G2043" s="14" t="n">
        <v>5.25</v>
      </c>
      <c r="H2043" s="14" t="n">
        <v>5.1823</v>
      </c>
      <c r="I2043" s="14" t="n">
        <v>5.17786181954484</v>
      </c>
      <c r="J2043" s="14" t="n">
        <v>5.28483229751673</v>
      </c>
      <c r="K2043" s="14" t="n">
        <v>5.44047052067775</v>
      </c>
      <c r="L2043" s="14" t="n">
        <v>5.5648120210493</v>
      </c>
      <c r="M2043" s="14" t="n">
        <v>2.025</v>
      </c>
      <c r="N2043" s="14" t="n">
        <v>2.092</v>
      </c>
      <c r="O2043" s="14" t="n">
        <v>2.193</v>
      </c>
      <c r="P2043" s="14" t="n">
        <v>2.331</v>
      </c>
      <c r="Q2043" s="14" t="n">
        <v>3.75</v>
      </c>
      <c r="R2043" s="14" t="n">
        <v>3.75</v>
      </c>
      <c r="S2043" s="14" t="n">
        <v>13.25</v>
      </c>
    </row>
    <row r="2044" customFormat="false" ht="15" hidden="false" customHeight="false" outlineLevel="0" collapsed="false">
      <c r="A2044" s="13" t="n">
        <v>45142</v>
      </c>
      <c r="B2044" s="14" t="n">
        <v>5.3</v>
      </c>
      <c r="C2044" s="14" t="n">
        <v>5.5</v>
      </c>
      <c r="D2044" s="14" t="n">
        <v>5.25</v>
      </c>
      <c r="E2044" s="14" t="n">
        <v>3.653</v>
      </c>
      <c r="F2044" s="14" t="n">
        <v>3.75</v>
      </c>
      <c r="G2044" s="14" t="n">
        <v>5.25</v>
      </c>
      <c r="H2044" s="14" t="n">
        <v>5.1826</v>
      </c>
      <c r="I2044" s="14" t="n">
        <v>5.17732338976622</v>
      </c>
      <c r="J2044" s="14" t="n">
        <v>5.28299403632782</v>
      </c>
      <c r="K2044" s="14" t="n">
        <v>5.43783859191854</v>
      </c>
      <c r="L2044" s="14" t="n">
        <v>5.57375263770921</v>
      </c>
      <c r="M2044" s="14" t="n">
        <v>2.004</v>
      </c>
      <c r="N2044" s="14" t="n">
        <v>2.085</v>
      </c>
      <c r="O2044" s="14" t="n">
        <v>2.187</v>
      </c>
      <c r="P2044" s="14" t="n">
        <v>2.325</v>
      </c>
      <c r="Q2044" s="14" t="n">
        <v>3.75</v>
      </c>
      <c r="R2044" s="14" t="n">
        <v>3.75</v>
      </c>
      <c r="S2044" s="14" t="n">
        <v>13.25</v>
      </c>
    </row>
    <row r="2045" customFormat="false" ht="15" hidden="false" customHeight="false" outlineLevel="0" collapsed="false">
      <c r="A2045" s="13" t="n">
        <v>45145</v>
      </c>
      <c r="B2045" s="14" t="n">
        <v>5.3</v>
      </c>
      <c r="C2045" s="14" t="n">
        <v>5.5</v>
      </c>
      <c r="D2045" s="14" t="n">
        <v>5.25</v>
      </c>
      <c r="E2045" s="14" t="n">
        <v>3.653</v>
      </c>
      <c r="F2045" s="14" t="n">
        <v>3.75</v>
      </c>
      <c r="G2045" s="14" t="n">
        <v>5.25</v>
      </c>
      <c r="H2045" s="14" t="n">
        <v>5.1829</v>
      </c>
      <c r="I2045" s="14" t="n">
        <v>5.18251682993244</v>
      </c>
      <c r="J2045" s="14" t="n">
        <v>5.29751626154105</v>
      </c>
      <c r="K2045" s="14" t="n">
        <v>5.45014276671498</v>
      </c>
      <c r="L2045" s="14" t="n">
        <v>5.57900287378459</v>
      </c>
      <c r="M2045" s="14" t="n">
        <v>1.988</v>
      </c>
      <c r="N2045" s="14" t="n">
        <v>2.08</v>
      </c>
      <c r="O2045" s="14" t="n">
        <v>2.183</v>
      </c>
      <c r="P2045" s="14" t="n">
        <v>2.322</v>
      </c>
      <c r="Q2045" s="14" t="n">
        <v>3.75</v>
      </c>
      <c r="R2045" s="14" t="n">
        <v>3.75</v>
      </c>
      <c r="S2045" s="14" t="n">
        <v>13.25</v>
      </c>
    </row>
    <row r="2046" customFormat="false" ht="15" hidden="false" customHeight="false" outlineLevel="0" collapsed="false">
      <c r="A2046" s="13" t="n">
        <v>45146</v>
      </c>
      <c r="B2046" s="14" t="n">
        <v>5.3</v>
      </c>
      <c r="C2046" s="14" t="n">
        <v>5.5</v>
      </c>
      <c r="D2046" s="14" t="n">
        <v>5.25</v>
      </c>
      <c r="E2046" s="14" t="n">
        <v>3.652</v>
      </c>
      <c r="F2046" s="14" t="n">
        <v>3.75</v>
      </c>
      <c r="G2046" s="14" t="n">
        <v>5.25</v>
      </c>
      <c r="H2046" s="14" t="n">
        <v>5.1829</v>
      </c>
      <c r="I2046" s="14" t="n">
        <v>5.1830878258502</v>
      </c>
      <c r="J2046" s="14" t="n">
        <v>5.29700850807062</v>
      </c>
      <c r="K2046" s="14" t="n">
        <v>5.44766459603089</v>
      </c>
      <c r="L2046" s="14" t="n">
        <v>5.56950792469578</v>
      </c>
      <c r="M2046" s="14" t="n">
        <v>1.968</v>
      </c>
      <c r="N2046" s="14" t="n">
        <v>2.075</v>
      </c>
      <c r="O2046" s="14" t="n">
        <v>2.177</v>
      </c>
      <c r="P2046" s="14" t="n">
        <v>2.316</v>
      </c>
      <c r="Q2046" s="14" t="n">
        <v>3.75</v>
      </c>
      <c r="R2046" s="14" t="n">
        <v>3.75</v>
      </c>
      <c r="S2046" s="14" t="n">
        <v>13.25</v>
      </c>
    </row>
    <row r="2047" customFormat="false" ht="15" hidden="false" customHeight="false" outlineLevel="0" collapsed="false">
      <c r="A2047" s="13" t="n">
        <v>45147</v>
      </c>
      <c r="B2047" s="14" t="n">
        <v>5.3</v>
      </c>
      <c r="C2047" s="14" t="n">
        <v>5.5</v>
      </c>
      <c r="D2047" s="14" t="n">
        <v>5.25</v>
      </c>
      <c r="E2047" s="14" t="n">
        <v>3.649</v>
      </c>
      <c r="F2047" s="14" t="n">
        <v>3.75</v>
      </c>
      <c r="G2047" s="14" t="n">
        <v>5.25</v>
      </c>
      <c r="H2047" s="14" t="n">
        <v>5.1827</v>
      </c>
      <c r="I2047" s="14" t="n">
        <v>5.18436650906982</v>
      </c>
      <c r="J2047" s="14" t="n">
        <v>5.2987932726736</v>
      </c>
      <c r="K2047" s="14" t="n">
        <v>5.4459016043159</v>
      </c>
      <c r="L2047" s="14" t="n">
        <v>5.55706568297736</v>
      </c>
      <c r="M2047" s="14" t="n">
        <v>1.952</v>
      </c>
      <c r="N2047" s="14" t="n">
        <v>2.074</v>
      </c>
      <c r="O2047" s="14" t="n">
        <v>2.174</v>
      </c>
      <c r="P2047" s="14" t="n">
        <v>2.314</v>
      </c>
      <c r="Q2047" s="14" t="n">
        <v>3.75</v>
      </c>
      <c r="R2047" s="14" t="n">
        <v>3.75</v>
      </c>
      <c r="S2047" s="14" t="n">
        <v>13.25</v>
      </c>
    </row>
    <row r="2048" customFormat="false" ht="15" hidden="false" customHeight="false" outlineLevel="0" collapsed="false">
      <c r="A2048" s="13" t="n">
        <v>45148</v>
      </c>
      <c r="B2048" s="14" t="n">
        <v>5.3</v>
      </c>
      <c r="C2048" s="14" t="n">
        <v>5.5</v>
      </c>
      <c r="D2048" s="14" t="n">
        <v>5.25</v>
      </c>
      <c r="E2048" s="14" t="n">
        <v>3.652</v>
      </c>
      <c r="F2048" s="14" t="n">
        <v>3.75</v>
      </c>
      <c r="G2048" s="14" t="n">
        <v>5.25</v>
      </c>
      <c r="H2048" s="14" t="n">
        <v>5.1829</v>
      </c>
      <c r="I2048" s="14" t="n">
        <v>5.18600830281292</v>
      </c>
      <c r="J2048" s="14" t="n">
        <v>5.29970263494298</v>
      </c>
      <c r="K2048" s="14" t="n">
        <v>5.44073877584722</v>
      </c>
      <c r="L2048" s="14" t="n">
        <v>5.53709244024185</v>
      </c>
      <c r="M2048" s="14" t="n">
        <v>1.941</v>
      </c>
      <c r="N2048" s="14" t="n">
        <v>2.067</v>
      </c>
      <c r="O2048" s="14" t="n">
        <v>2.169</v>
      </c>
      <c r="P2048" s="14" t="n">
        <v>2.308</v>
      </c>
      <c r="Q2048" s="14" t="n">
        <v>3.75</v>
      </c>
      <c r="R2048" s="14" t="n">
        <v>3.75</v>
      </c>
      <c r="S2048" s="14" t="n">
        <v>13.25</v>
      </c>
    </row>
    <row r="2049" customFormat="false" ht="15" hidden="false" customHeight="false" outlineLevel="0" collapsed="false">
      <c r="A2049" s="13" t="n">
        <v>45149</v>
      </c>
      <c r="B2049" s="14" t="n">
        <v>5.3</v>
      </c>
      <c r="C2049" s="14" t="n">
        <v>5.5</v>
      </c>
      <c r="D2049" s="14" t="n">
        <v>5.25</v>
      </c>
      <c r="E2049" s="14" t="n">
        <v>3.653</v>
      </c>
      <c r="F2049" s="14" t="n">
        <v>3.75</v>
      </c>
      <c r="G2049" s="14" t="n">
        <v>5.25</v>
      </c>
      <c r="H2049" s="14" t="n">
        <v>5.1829</v>
      </c>
      <c r="I2049" s="14" t="n">
        <v>5.18735521105677</v>
      </c>
      <c r="J2049" s="14" t="n">
        <v>5.31231870759265</v>
      </c>
      <c r="K2049" s="14" t="n">
        <v>5.47107417233371</v>
      </c>
      <c r="L2049" s="14" t="n">
        <v>5.60647508187237</v>
      </c>
      <c r="M2049" s="14" t="n">
        <v>1.921</v>
      </c>
      <c r="N2049" s="14" t="n">
        <v>2.065</v>
      </c>
      <c r="O2049" s="14" t="n">
        <v>2.166</v>
      </c>
      <c r="P2049" s="14" t="n">
        <v>2.306</v>
      </c>
      <c r="Q2049" s="14" t="n">
        <v>3.75</v>
      </c>
      <c r="R2049" s="14" t="n">
        <v>3.75</v>
      </c>
      <c r="S2049" s="14" t="n">
        <v>13.25</v>
      </c>
    </row>
    <row r="2050" customFormat="false" ht="15" hidden="false" customHeight="false" outlineLevel="0" collapsed="false">
      <c r="A2050" s="13" t="n">
        <v>45152</v>
      </c>
      <c r="B2050" s="14" t="n">
        <v>5.3</v>
      </c>
      <c r="C2050" s="14" t="n">
        <v>5.5</v>
      </c>
      <c r="D2050" s="14" t="n">
        <v>5.25</v>
      </c>
      <c r="E2050" s="14" t="n">
        <v>3.656</v>
      </c>
      <c r="F2050" s="14" t="n">
        <v>3.75</v>
      </c>
      <c r="G2050" s="14" t="n">
        <v>5.25</v>
      </c>
      <c r="H2050" s="14" t="n">
        <v>5.1829</v>
      </c>
      <c r="I2050" s="14" t="n">
        <v>5.19061395812105</v>
      </c>
      <c r="J2050" s="14" t="n">
        <v>5.33596584733344</v>
      </c>
      <c r="K2050" s="14" t="n">
        <v>5.51191641605809</v>
      </c>
      <c r="L2050" s="14" t="n">
        <v>5.66543132600072</v>
      </c>
      <c r="M2050" s="14" t="n">
        <v>1.908</v>
      </c>
      <c r="N2050" s="14" t="n">
        <v>2.063</v>
      </c>
      <c r="O2050" s="14" t="n">
        <v>2.164</v>
      </c>
      <c r="P2050" s="14" t="n">
        <v>2.304</v>
      </c>
      <c r="Q2050" s="14" t="n">
        <v>3.75</v>
      </c>
      <c r="R2050" s="14" t="n">
        <v>3.75</v>
      </c>
      <c r="S2050" s="14" t="n">
        <v>13.25</v>
      </c>
    </row>
    <row r="2051" customFormat="false" ht="15" hidden="false" customHeight="false" outlineLevel="0" collapsed="false">
      <c r="A2051" s="13" t="n">
        <v>45153</v>
      </c>
      <c r="B2051" s="14" t="n">
        <v>5.3</v>
      </c>
      <c r="C2051" s="14" t="n">
        <v>5.5</v>
      </c>
      <c r="D2051" s="14" t="n">
        <v>5.25</v>
      </c>
      <c r="E2051" s="14" t="n">
        <v>3.657</v>
      </c>
      <c r="F2051" s="14" t="n">
        <v>3.75</v>
      </c>
      <c r="G2051" s="14" t="n">
        <v>5.25</v>
      </c>
      <c r="H2051" s="14" t="n">
        <v>5.1834</v>
      </c>
      <c r="I2051" s="14" t="n">
        <v>5.19852522069403</v>
      </c>
      <c r="J2051" s="14" t="n">
        <v>5.3909939922394</v>
      </c>
      <c r="K2051" s="14" t="n">
        <v>5.59788154062305</v>
      </c>
      <c r="L2051" s="14" t="n">
        <v>5.75505087787772</v>
      </c>
      <c r="M2051" s="14" t="n">
        <v>1.885</v>
      </c>
      <c r="N2051" s="14" t="n">
        <v>2.045</v>
      </c>
      <c r="O2051" s="14" t="n">
        <v>2.147</v>
      </c>
      <c r="P2051" s="14" t="n">
        <v>2.29</v>
      </c>
      <c r="Q2051" s="14" t="n">
        <v>3.75</v>
      </c>
      <c r="R2051" s="14" t="n">
        <v>3.75</v>
      </c>
      <c r="S2051" s="14" t="n">
        <v>13.25</v>
      </c>
    </row>
    <row r="2052" customFormat="false" ht="15" hidden="false" customHeight="false" outlineLevel="0" collapsed="false">
      <c r="A2052" s="13" t="n">
        <v>45154</v>
      </c>
      <c r="B2052" s="14" t="n">
        <v>5.3</v>
      </c>
      <c r="C2052" s="14" t="n">
        <v>5.5</v>
      </c>
      <c r="D2052" s="14" t="n">
        <v>5.25</v>
      </c>
      <c r="E2052" s="14" t="n">
        <v>3.654</v>
      </c>
      <c r="F2052" s="14" t="n">
        <v>3.75</v>
      </c>
      <c r="G2052" s="14" t="n">
        <v>5.25</v>
      </c>
      <c r="H2052" s="14" t="n">
        <v>5.1838</v>
      </c>
      <c r="I2052" s="14" t="n">
        <v>5.19710960701457</v>
      </c>
      <c r="J2052" s="14" t="n">
        <v>5.40188758489502</v>
      </c>
      <c r="K2052" s="14" t="n">
        <v>5.62211228758139</v>
      </c>
      <c r="L2052" s="14" t="n">
        <v>5.79247101289297</v>
      </c>
      <c r="M2052" s="14" t="n">
        <v>1.876</v>
      </c>
      <c r="N2052" s="14" t="n">
        <v>2.04</v>
      </c>
      <c r="O2052" s="14" t="n">
        <v>2.139</v>
      </c>
      <c r="P2052" s="14" t="n">
        <v>2.285</v>
      </c>
      <c r="Q2052" s="14" t="n">
        <v>3.75</v>
      </c>
      <c r="R2052" s="14" t="n">
        <v>3.75</v>
      </c>
      <c r="S2052" s="14" t="n">
        <v>13.25</v>
      </c>
    </row>
    <row r="2053" customFormat="false" ht="15" hidden="false" customHeight="false" outlineLevel="0" collapsed="false">
      <c r="A2053" s="13" t="n">
        <v>45155</v>
      </c>
      <c r="B2053" s="14" t="n">
        <v>5.3</v>
      </c>
      <c r="C2053" s="14" t="n">
        <v>5.5</v>
      </c>
      <c r="D2053" s="14" t="n">
        <v>5.25</v>
      </c>
      <c r="E2053" s="14" t="n">
        <v>3.654</v>
      </c>
      <c r="F2053" s="14" t="n">
        <v>3.75</v>
      </c>
      <c r="G2053" s="14" t="n">
        <v>5.25</v>
      </c>
      <c r="H2053" s="14" t="n">
        <v>5.1843</v>
      </c>
      <c r="I2053" s="14" t="n">
        <v>5.20054217750139</v>
      </c>
      <c r="J2053" s="14" t="n">
        <v>5.41690914705157</v>
      </c>
      <c r="K2053" s="14" t="n">
        <v>5.65678049263909</v>
      </c>
      <c r="L2053" s="14" t="n">
        <v>5.85573434663032</v>
      </c>
      <c r="M2053" s="14" t="n">
        <v>1.874</v>
      </c>
      <c r="N2053" s="14" t="n">
        <v>2.03</v>
      </c>
      <c r="O2053" s="14" t="n">
        <v>2.132</v>
      </c>
      <c r="P2053" s="14" t="n">
        <v>2.28</v>
      </c>
      <c r="Q2053" s="14" t="n">
        <v>3.75</v>
      </c>
      <c r="R2053" s="14" t="n">
        <v>3.75</v>
      </c>
      <c r="S2053" s="14" t="n">
        <v>13.25</v>
      </c>
    </row>
    <row r="2054" customFormat="false" ht="15" hidden="false" customHeight="false" outlineLevel="0" collapsed="false">
      <c r="A2054" s="13" t="n">
        <v>45156</v>
      </c>
      <c r="B2054" s="14" t="n">
        <v>5.3</v>
      </c>
      <c r="C2054" s="14" t="n">
        <v>5.5</v>
      </c>
      <c r="D2054" s="14" t="n">
        <v>5.25</v>
      </c>
      <c r="E2054" s="14" t="n">
        <v>3.655</v>
      </c>
      <c r="F2054" s="14" t="n">
        <v>3.75</v>
      </c>
      <c r="G2054" s="14" t="n">
        <v>5.25</v>
      </c>
      <c r="H2054" s="14" t="n">
        <v>5.1843</v>
      </c>
      <c r="I2054" s="14" t="n">
        <v>5.20245919626957</v>
      </c>
      <c r="J2054" s="14" t="n">
        <v>5.40719690044949</v>
      </c>
      <c r="K2054" s="14" t="n">
        <v>5.62023147591268</v>
      </c>
      <c r="L2054" s="14" t="n">
        <v>5.78304666418976</v>
      </c>
      <c r="M2054" s="14" t="n">
        <v>1.863</v>
      </c>
      <c r="N2054" s="14" t="n">
        <v>2.026</v>
      </c>
      <c r="O2054" s="14" t="n">
        <v>2.125</v>
      </c>
      <c r="P2054" s="14" t="n">
        <v>2.273</v>
      </c>
      <c r="Q2054" s="14" t="n">
        <v>4</v>
      </c>
      <c r="R2054" s="14" t="n">
        <v>4</v>
      </c>
      <c r="S2054" s="14" t="n">
        <v>13.25</v>
      </c>
    </row>
    <row r="2055" customFormat="false" ht="15" hidden="false" customHeight="false" outlineLevel="0" collapsed="false">
      <c r="A2055" s="13" t="n">
        <v>45159</v>
      </c>
      <c r="B2055" s="14" t="n">
        <v>5.3</v>
      </c>
      <c r="C2055" s="14" t="n">
        <v>5.5</v>
      </c>
      <c r="D2055" s="14" t="n">
        <v>5.25</v>
      </c>
      <c r="E2055" s="14" t="n">
        <v>3.654</v>
      </c>
      <c r="F2055" s="14" t="n">
        <v>3.75</v>
      </c>
      <c r="G2055" s="14" t="n">
        <v>5.25</v>
      </c>
      <c r="H2055" s="14" t="n">
        <v>5.1841</v>
      </c>
      <c r="I2055" s="14" t="n">
        <v>5.20653979519761</v>
      </c>
      <c r="J2055" s="14" t="n">
        <v>5.42819225299096</v>
      </c>
      <c r="K2055" s="14" t="n">
        <v>5.6530258138362</v>
      </c>
      <c r="L2055" s="14" t="n">
        <v>5.83047450208514</v>
      </c>
      <c r="M2055" s="14" t="n">
        <v>1.857</v>
      </c>
      <c r="N2055" s="14" t="n">
        <v>2.024</v>
      </c>
      <c r="O2055" s="14" t="n">
        <v>2.123</v>
      </c>
      <c r="P2055" s="14" t="n">
        <v>2.268</v>
      </c>
      <c r="Q2055" s="14" t="n">
        <v>4</v>
      </c>
      <c r="R2055" s="14" t="n">
        <v>4</v>
      </c>
      <c r="S2055" s="14" t="n">
        <v>13.25</v>
      </c>
    </row>
    <row r="2056" customFormat="false" ht="15" hidden="false" customHeight="false" outlineLevel="0" collapsed="false">
      <c r="A2056" s="13" t="n">
        <v>45160</v>
      </c>
      <c r="B2056" s="14" t="n">
        <v>5.3</v>
      </c>
      <c r="C2056" s="14" t="n">
        <v>5.5</v>
      </c>
      <c r="D2056" s="14" t="n">
        <v>5.25</v>
      </c>
      <c r="E2056" s="14" t="n">
        <v>3.655</v>
      </c>
      <c r="F2056" s="14" t="n">
        <v>3.75</v>
      </c>
      <c r="G2056" s="14" t="n">
        <v>5.25</v>
      </c>
      <c r="H2056" s="14" t="n">
        <v>5.1843</v>
      </c>
      <c r="I2056" s="14" t="n">
        <v>5.21278142153796</v>
      </c>
      <c r="J2056" s="14" t="n">
        <v>5.432197925142</v>
      </c>
      <c r="K2056" s="14" t="n">
        <v>5.64464437728561</v>
      </c>
      <c r="L2056" s="14" t="n">
        <v>5.79815678172218</v>
      </c>
      <c r="M2056" s="14" t="n">
        <v>1.855</v>
      </c>
      <c r="N2056" s="14" t="n">
        <v>2.019</v>
      </c>
      <c r="O2056" s="14" t="n">
        <v>2.119</v>
      </c>
      <c r="P2056" s="14" t="n">
        <v>2.263</v>
      </c>
      <c r="Q2056" s="14" t="n">
        <v>4</v>
      </c>
      <c r="R2056" s="14" t="n">
        <v>4</v>
      </c>
      <c r="S2056" s="14" t="n">
        <v>13.25</v>
      </c>
    </row>
    <row r="2057" customFormat="false" ht="15" hidden="false" customHeight="false" outlineLevel="0" collapsed="false">
      <c r="A2057" s="13" t="n">
        <v>45161</v>
      </c>
      <c r="B2057" s="14" t="n">
        <v>5.3</v>
      </c>
      <c r="C2057" s="14" t="n">
        <v>5.5</v>
      </c>
      <c r="D2057" s="14" t="n">
        <v>5.25</v>
      </c>
      <c r="E2057" s="14" t="n">
        <v>3.652</v>
      </c>
      <c r="F2057" s="14" t="n">
        <v>3.75</v>
      </c>
      <c r="G2057" s="14" t="n">
        <v>5.25</v>
      </c>
      <c r="H2057" s="14" t="n">
        <v>5.1859</v>
      </c>
      <c r="I2057" s="14" t="n">
        <v>5.21922573422294</v>
      </c>
      <c r="J2057" s="14" t="n">
        <v>5.40255921163544</v>
      </c>
      <c r="K2057" s="14" t="n">
        <v>5.56961077830187</v>
      </c>
      <c r="L2057" s="14" t="n">
        <v>5.67085307505348</v>
      </c>
      <c r="M2057" s="14" t="n">
        <v>1.855</v>
      </c>
      <c r="N2057" s="14" t="n">
        <v>2.016</v>
      </c>
      <c r="O2057" s="14" t="n">
        <v>2.118</v>
      </c>
      <c r="P2057" s="14" t="n">
        <v>2.258</v>
      </c>
      <c r="Q2057" s="14" t="n">
        <v>4</v>
      </c>
      <c r="R2057" s="14" t="n">
        <v>4</v>
      </c>
      <c r="S2057" s="14" t="n">
        <v>13.25</v>
      </c>
    </row>
    <row r="2058" customFormat="false" ht="15" hidden="false" customHeight="false" outlineLevel="0" collapsed="false">
      <c r="A2058" s="13" t="n">
        <v>45162</v>
      </c>
      <c r="B2058" s="14" t="n">
        <v>5.3</v>
      </c>
      <c r="C2058" s="14" t="n">
        <v>5.5</v>
      </c>
      <c r="D2058" s="14" t="n">
        <v>5.25</v>
      </c>
      <c r="E2058" s="14" t="n">
        <v>3.649</v>
      </c>
      <c r="F2058" s="14" t="n">
        <v>3.75</v>
      </c>
      <c r="G2058" s="14" t="n">
        <v>5.25</v>
      </c>
      <c r="H2058" s="14" t="n">
        <v>5.1855</v>
      </c>
      <c r="I2058" s="14" t="n">
        <v>5.22273465511719</v>
      </c>
      <c r="J2058" s="14" t="n">
        <v>5.41087269941171</v>
      </c>
      <c r="K2058" s="14" t="n">
        <v>5.57844423017723</v>
      </c>
      <c r="L2058" s="14" t="n">
        <v>5.67133021715718</v>
      </c>
      <c r="M2058" s="14" t="n">
        <v>1.854</v>
      </c>
      <c r="N2058" s="14" t="n">
        <v>2.016</v>
      </c>
      <c r="O2058" s="14" t="n">
        <v>2.118</v>
      </c>
      <c r="P2058" s="14" t="n">
        <v>2.256</v>
      </c>
      <c r="Q2058" s="14" t="n">
        <v>4</v>
      </c>
      <c r="R2058" s="14" t="n">
        <v>4</v>
      </c>
      <c r="S2058" s="14" t="n">
        <v>13.25</v>
      </c>
    </row>
    <row r="2059" customFormat="false" ht="15" hidden="false" customHeight="false" outlineLevel="0" collapsed="false">
      <c r="A2059" s="13" t="n">
        <v>45163</v>
      </c>
      <c r="B2059" s="14" t="n">
        <v>5.3</v>
      </c>
      <c r="C2059" s="14" t="n">
        <v>5.5</v>
      </c>
      <c r="D2059" s="14" t="n">
        <v>5.25</v>
      </c>
      <c r="E2059" s="14" t="n">
        <v>3.652</v>
      </c>
      <c r="F2059" s="14" t="n">
        <v>3.75</v>
      </c>
      <c r="G2059" s="14" t="n">
        <v>5.25</v>
      </c>
      <c r="H2059" s="14" t="n">
        <v>5.1852</v>
      </c>
      <c r="I2059" s="14" t="n">
        <v>5.22741269260173</v>
      </c>
      <c r="J2059" s="14" t="n">
        <v>5.41876608334356</v>
      </c>
      <c r="K2059" s="14" t="n">
        <v>5.58888376345983</v>
      </c>
      <c r="L2059" s="14" t="n">
        <v>5.69471038264766</v>
      </c>
      <c r="M2059" s="14" t="n">
        <v>1.851</v>
      </c>
      <c r="N2059" s="14" t="n">
        <v>2.014</v>
      </c>
      <c r="O2059" s="14" t="n">
        <v>2.119</v>
      </c>
      <c r="P2059" s="14" t="n">
        <v>2.257</v>
      </c>
      <c r="Q2059" s="14" t="n">
        <v>4</v>
      </c>
      <c r="R2059" s="14" t="n">
        <v>4</v>
      </c>
      <c r="S2059" s="14" t="n">
        <v>13.25</v>
      </c>
    </row>
    <row r="2060" customFormat="false" ht="15" hidden="false" customHeight="false" outlineLevel="0" collapsed="false">
      <c r="A2060" s="13" t="n">
        <v>45166</v>
      </c>
      <c r="B2060" s="14" t="n">
        <v>5.3</v>
      </c>
      <c r="C2060" s="14" t="n">
        <v>5.5</v>
      </c>
      <c r="D2060" s="14" t="n">
        <v>5.25</v>
      </c>
      <c r="E2060" s="14" t="n">
        <v>3.651</v>
      </c>
      <c r="F2060" s="14" t="n">
        <v>3.75</v>
      </c>
      <c r="M2060" s="14" t="n">
        <v>1.869</v>
      </c>
      <c r="N2060" s="14" t="n">
        <v>2.02</v>
      </c>
      <c r="O2060" s="14" t="n">
        <v>2.13</v>
      </c>
      <c r="P2060" s="14" t="n">
        <v>2.262</v>
      </c>
      <c r="Q2060" s="14" t="n">
        <v>4</v>
      </c>
      <c r="R2060" s="14" t="n">
        <v>4</v>
      </c>
      <c r="S2060" s="14" t="n">
        <v>13.25</v>
      </c>
    </row>
    <row r="2061" customFormat="false" ht="15" hidden="false" customHeight="false" outlineLevel="0" collapsed="false">
      <c r="A2061" s="13" t="n">
        <v>45167</v>
      </c>
      <c r="B2061" s="14" t="n">
        <v>5.3</v>
      </c>
      <c r="C2061" s="14" t="n">
        <v>5.5</v>
      </c>
      <c r="D2061" s="14" t="n">
        <v>5.25</v>
      </c>
      <c r="E2061" s="14" t="n">
        <v>3.652</v>
      </c>
      <c r="F2061" s="14" t="n">
        <v>3.75</v>
      </c>
      <c r="G2061" s="14" t="n">
        <v>5.25</v>
      </c>
      <c r="H2061" s="14" t="n">
        <v>5.1853</v>
      </c>
      <c r="I2061" s="14" t="n">
        <v>5.24587855158787</v>
      </c>
      <c r="J2061" s="14" t="n">
        <v>5.42695872379992</v>
      </c>
      <c r="K2061" s="14" t="n">
        <v>5.57324041437062</v>
      </c>
      <c r="L2061" s="14" t="n">
        <v>5.6438906310265</v>
      </c>
      <c r="M2061" s="14" t="n">
        <v>1.88</v>
      </c>
      <c r="N2061" s="14" t="n">
        <v>2.028</v>
      </c>
      <c r="O2061" s="14" t="n">
        <v>2.139</v>
      </c>
      <c r="P2061" s="14" t="n">
        <v>2.27</v>
      </c>
      <c r="Q2061" s="14" t="n">
        <v>4</v>
      </c>
      <c r="R2061" s="14" t="n">
        <v>4</v>
      </c>
      <c r="S2061" s="14" t="n">
        <v>13.25</v>
      </c>
    </row>
    <row r="2062" customFormat="false" ht="15" hidden="false" customHeight="false" outlineLevel="0" collapsed="false">
      <c r="A2062" s="13" t="n">
        <v>45168</v>
      </c>
      <c r="B2062" s="14" t="n">
        <v>5.3</v>
      </c>
      <c r="C2062" s="14" t="n">
        <v>5.5</v>
      </c>
      <c r="D2062" s="14" t="n">
        <v>5.25</v>
      </c>
      <c r="E2062" s="14" t="n">
        <v>3.652</v>
      </c>
      <c r="F2062" s="14" t="n">
        <v>3.75</v>
      </c>
      <c r="G2062" s="14" t="n">
        <v>5.25</v>
      </c>
      <c r="H2062" s="14" t="n">
        <v>5.1855</v>
      </c>
      <c r="I2062" s="14" t="n">
        <v>5.24362157358379</v>
      </c>
      <c r="J2062" s="14" t="n">
        <v>5.42876054560649</v>
      </c>
      <c r="K2062" s="14" t="n">
        <v>5.5813895078626</v>
      </c>
      <c r="L2062" s="14" t="n">
        <v>5.67236366588286</v>
      </c>
      <c r="M2062" s="14" t="n">
        <v>1.902</v>
      </c>
      <c r="N2062" s="14" t="n">
        <v>2.036</v>
      </c>
      <c r="O2062" s="14" t="n">
        <v>2.145</v>
      </c>
      <c r="P2062" s="14" t="n">
        <v>2.276</v>
      </c>
      <c r="Q2062" s="14" t="n">
        <v>4</v>
      </c>
      <c r="R2062" s="14" t="n">
        <v>4</v>
      </c>
      <c r="S2062" s="14" t="n">
        <v>13.25</v>
      </c>
    </row>
    <row r="2063" customFormat="false" ht="15" hidden="false" customHeight="false" outlineLevel="0" collapsed="false">
      <c r="A2063" s="13" t="n">
        <v>45169</v>
      </c>
      <c r="B2063" s="14" t="n">
        <v>5.31</v>
      </c>
      <c r="C2063" s="14" t="n">
        <v>5.5</v>
      </c>
      <c r="D2063" s="14" t="n">
        <v>5.25</v>
      </c>
      <c r="E2063" s="14" t="n">
        <v>3.646</v>
      </c>
      <c r="F2063" s="14" t="n">
        <v>3.75</v>
      </c>
      <c r="G2063" s="14" t="n">
        <v>5.25</v>
      </c>
      <c r="H2063" s="14" t="n">
        <v>5.1852</v>
      </c>
      <c r="I2063" s="14" t="n">
        <v>5.23850629194658</v>
      </c>
      <c r="J2063" s="14" t="n">
        <v>5.39697821083023</v>
      </c>
      <c r="K2063" s="14" t="n">
        <v>5.52389543543422</v>
      </c>
      <c r="L2063" s="14" t="n">
        <v>5.59484879858154</v>
      </c>
      <c r="M2063" s="14" t="n">
        <v>1.913</v>
      </c>
      <c r="N2063" s="14" t="n">
        <v>2.043</v>
      </c>
      <c r="O2063" s="14" t="n">
        <v>2.15</v>
      </c>
      <c r="P2063" s="14" t="n">
        <v>2.28</v>
      </c>
      <c r="Q2063" s="14" t="n">
        <v>4</v>
      </c>
      <c r="R2063" s="14" t="n">
        <v>4</v>
      </c>
      <c r="S2063" s="14" t="n">
        <v>13.25</v>
      </c>
    </row>
    <row r="2064" customFormat="false" ht="15" hidden="false" customHeight="false" outlineLevel="0" collapsed="false">
      <c r="A2064" s="13" t="n">
        <v>45170</v>
      </c>
      <c r="B2064" s="14" t="n">
        <v>5.31</v>
      </c>
      <c r="C2064" s="14" t="n">
        <v>5.5</v>
      </c>
      <c r="D2064" s="14" t="n">
        <v>5.25</v>
      </c>
      <c r="E2064" s="14" t="n">
        <v>3.652</v>
      </c>
      <c r="F2064" s="14" t="n">
        <v>3.75</v>
      </c>
      <c r="G2064" s="14" t="n">
        <v>5.25</v>
      </c>
      <c r="H2064" s="14" t="n">
        <v>5.1852</v>
      </c>
      <c r="I2064" s="14" t="n">
        <v>5.25047641071819</v>
      </c>
      <c r="J2064" s="14" t="n">
        <v>5.3997984552557</v>
      </c>
      <c r="K2064" s="14" t="n">
        <v>5.51498653714158</v>
      </c>
      <c r="L2064" s="14" t="n">
        <v>5.56377423163898</v>
      </c>
      <c r="M2064" s="14" t="n">
        <v>1.91</v>
      </c>
      <c r="N2064" s="14" t="n">
        <v>2.044</v>
      </c>
      <c r="O2064" s="14" t="n">
        <v>2.151</v>
      </c>
      <c r="P2064" s="14" t="n">
        <v>2.283</v>
      </c>
      <c r="Q2064" s="14" t="n">
        <v>4</v>
      </c>
      <c r="R2064" s="14" t="n">
        <v>4</v>
      </c>
      <c r="S2064" s="14" t="n">
        <v>13.25</v>
      </c>
    </row>
    <row r="2065" customFormat="false" ht="15" hidden="false" customHeight="false" outlineLevel="0" collapsed="false">
      <c r="A2065" s="13" t="n">
        <v>45173</v>
      </c>
      <c r="C2065" s="14" t="n">
        <v>5.5</v>
      </c>
      <c r="D2065" s="14" t="n">
        <v>5.25</v>
      </c>
      <c r="E2065" s="14" t="n">
        <v>3.652</v>
      </c>
      <c r="F2065" s="14" t="n">
        <v>3.75</v>
      </c>
      <c r="G2065" s="14" t="n">
        <v>5.25</v>
      </c>
      <c r="H2065" s="14" t="n">
        <v>5.1853</v>
      </c>
      <c r="I2065" s="14" t="n">
        <v>5.27899338760784</v>
      </c>
      <c r="J2065" s="14" t="n">
        <v>5.42048275876282</v>
      </c>
      <c r="K2065" s="14" t="n">
        <v>5.53507493540311</v>
      </c>
      <c r="L2065" s="14" t="n">
        <v>5.59433456403964</v>
      </c>
      <c r="M2065" s="14" t="n">
        <v>1.911</v>
      </c>
      <c r="N2065" s="14" t="n">
        <v>2.044</v>
      </c>
      <c r="O2065" s="14" t="n">
        <v>2.151</v>
      </c>
      <c r="P2065" s="14" t="n">
        <v>2.285</v>
      </c>
      <c r="Q2065" s="14" t="n">
        <v>4</v>
      </c>
      <c r="R2065" s="14" t="n">
        <v>4</v>
      </c>
      <c r="S2065" s="14" t="n">
        <v>13.25</v>
      </c>
    </row>
    <row r="2066" customFormat="false" ht="15" hidden="false" customHeight="false" outlineLevel="0" collapsed="false">
      <c r="A2066" s="13" t="n">
        <v>45174</v>
      </c>
      <c r="B2066" s="14" t="n">
        <v>5.31</v>
      </c>
      <c r="C2066" s="14" t="n">
        <v>5.5</v>
      </c>
      <c r="D2066" s="14" t="n">
        <v>5.25</v>
      </c>
      <c r="E2066" s="14" t="n">
        <v>3.651</v>
      </c>
      <c r="F2066" s="14" t="n">
        <v>3.75</v>
      </c>
      <c r="G2066" s="14" t="n">
        <v>5.25</v>
      </c>
      <c r="H2066" s="14" t="n">
        <v>5.1853</v>
      </c>
      <c r="I2066" s="14" t="n">
        <v>5.28201275004291</v>
      </c>
      <c r="J2066" s="14" t="n">
        <v>5.42448442735777</v>
      </c>
      <c r="K2066" s="14" t="n">
        <v>5.54537306693159</v>
      </c>
      <c r="L2066" s="14" t="n">
        <v>5.62207389939387</v>
      </c>
      <c r="M2066" s="14" t="n">
        <v>1.911</v>
      </c>
      <c r="N2066" s="14" t="n">
        <v>2.046</v>
      </c>
      <c r="O2066" s="14" t="n">
        <v>2.151</v>
      </c>
      <c r="P2066" s="14" t="n">
        <v>2.287</v>
      </c>
      <c r="Q2066" s="14" t="n">
        <v>4</v>
      </c>
      <c r="R2066" s="14" t="n">
        <v>4</v>
      </c>
      <c r="S2066" s="14" t="n">
        <v>13.25</v>
      </c>
    </row>
    <row r="2067" customFormat="false" ht="15" hidden="false" customHeight="false" outlineLevel="0" collapsed="false">
      <c r="A2067" s="13" t="n">
        <v>45175</v>
      </c>
      <c r="B2067" s="14" t="n">
        <v>5.3</v>
      </c>
      <c r="C2067" s="14" t="n">
        <v>5.5</v>
      </c>
      <c r="D2067" s="14" t="n">
        <v>5.25</v>
      </c>
      <c r="E2067" s="14" t="n">
        <v>3.652</v>
      </c>
      <c r="F2067" s="14" t="n">
        <v>3.75</v>
      </c>
      <c r="G2067" s="14" t="n">
        <v>5.25</v>
      </c>
      <c r="H2067" s="14" t="n">
        <v>5.185</v>
      </c>
      <c r="I2067" s="14" t="n">
        <v>5.28543746619581</v>
      </c>
      <c r="J2067" s="14" t="n">
        <v>5.41469748515505</v>
      </c>
      <c r="K2067" s="14" t="n">
        <v>5.52700070231452</v>
      </c>
      <c r="L2067" s="14" t="n">
        <v>5.60231256052576</v>
      </c>
      <c r="M2067" s="14" t="n">
        <v>1.914</v>
      </c>
      <c r="N2067" s="14" t="n">
        <v>2.052</v>
      </c>
      <c r="O2067" s="14" t="n">
        <v>2.153</v>
      </c>
      <c r="P2067" s="14" t="n">
        <v>2.295</v>
      </c>
      <c r="Q2067" s="14" t="n">
        <v>4</v>
      </c>
      <c r="R2067" s="14" t="n">
        <v>4</v>
      </c>
      <c r="S2067" s="14" t="n">
        <v>13.25</v>
      </c>
    </row>
    <row r="2068" customFormat="false" ht="15" hidden="false" customHeight="false" outlineLevel="0" collapsed="false">
      <c r="A2068" s="13" t="n">
        <v>45176</v>
      </c>
      <c r="B2068" s="14" t="n">
        <v>5.31</v>
      </c>
      <c r="C2068" s="14" t="n">
        <v>5.5</v>
      </c>
      <c r="D2068" s="14" t="n">
        <v>5.25</v>
      </c>
      <c r="E2068" s="14" t="n">
        <v>3.652</v>
      </c>
      <c r="F2068" s="14" t="n">
        <v>3.75</v>
      </c>
      <c r="G2068" s="14" t="n">
        <v>5.25</v>
      </c>
      <c r="H2068" s="14" t="n">
        <v>5.1855</v>
      </c>
      <c r="I2068" s="14" t="n">
        <v>5.28897762804535</v>
      </c>
      <c r="J2068" s="14" t="n">
        <v>5.40002673535089</v>
      </c>
      <c r="K2068" s="14" t="n">
        <v>5.48400796164853</v>
      </c>
      <c r="L2068" s="14" t="n">
        <v>5.52621559397741</v>
      </c>
      <c r="M2068" s="14" t="n">
        <v>1.93</v>
      </c>
      <c r="N2068" s="14" t="n">
        <v>2.067</v>
      </c>
      <c r="O2068" s="14" t="n">
        <v>2.17</v>
      </c>
      <c r="P2068" s="14" t="n">
        <v>2.304</v>
      </c>
      <c r="Q2068" s="14" t="n">
        <v>4</v>
      </c>
      <c r="R2068" s="14" t="n">
        <v>4</v>
      </c>
      <c r="S2068" s="14" t="n">
        <v>13.25</v>
      </c>
    </row>
    <row r="2069" customFormat="false" ht="15" hidden="false" customHeight="false" outlineLevel="0" collapsed="false">
      <c r="A2069" s="13" t="n">
        <v>45177</v>
      </c>
      <c r="B2069" s="14" t="n">
        <v>5.3</v>
      </c>
      <c r="C2069" s="14" t="n">
        <v>5.5</v>
      </c>
      <c r="D2069" s="14" t="n">
        <v>5.25</v>
      </c>
      <c r="E2069" s="14" t="n">
        <v>3.653</v>
      </c>
      <c r="F2069" s="14" t="n">
        <v>3.75</v>
      </c>
      <c r="G2069" s="14" t="n">
        <v>5.25</v>
      </c>
      <c r="H2069" s="14" t="n">
        <v>5.1855</v>
      </c>
      <c r="I2069" s="14" t="n">
        <v>5.29537005720168</v>
      </c>
      <c r="J2069" s="14" t="n">
        <v>5.3997876717776</v>
      </c>
      <c r="K2069" s="14" t="n">
        <v>5.47332229150608</v>
      </c>
      <c r="L2069" s="14" t="n">
        <v>5.49037301176209</v>
      </c>
      <c r="M2069" s="14" t="n">
        <v>1.945</v>
      </c>
      <c r="N2069" s="14" t="n">
        <v>2.081</v>
      </c>
      <c r="O2069" s="14" t="n">
        <v>2.181</v>
      </c>
      <c r="P2069" s="14" t="n">
        <v>2.309</v>
      </c>
      <c r="Q2069" s="14" t="n">
        <v>4</v>
      </c>
      <c r="R2069" s="14" t="n">
        <v>4</v>
      </c>
      <c r="S2069" s="14" t="n">
        <v>13.25</v>
      </c>
    </row>
    <row r="2070" customFormat="false" ht="15" hidden="false" customHeight="false" outlineLevel="0" collapsed="false">
      <c r="A2070" s="13" t="n">
        <v>45180</v>
      </c>
      <c r="B2070" s="14" t="n">
        <v>5.3</v>
      </c>
      <c r="C2070" s="14" t="n">
        <v>5.5</v>
      </c>
      <c r="D2070" s="14" t="n">
        <v>5.25</v>
      </c>
      <c r="E2070" s="14" t="n">
        <v>3.652</v>
      </c>
      <c r="F2070" s="14" t="n">
        <v>3.75</v>
      </c>
      <c r="G2070" s="14" t="n">
        <v>5.25</v>
      </c>
      <c r="H2070" s="14" t="n">
        <v>5.186</v>
      </c>
      <c r="I2070" s="14" t="n">
        <v>5.31739874762398</v>
      </c>
      <c r="J2070" s="14" t="n">
        <v>5.41497634294045</v>
      </c>
      <c r="K2070" s="14" t="n">
        <v>5.48827085207657</v>
      </c>
      <c r="L2070" s="14" t="n">
        <v>5.50819566030612</v>
      </c>
      <c r="M2070" s="14" t="n">
        <v>1.968</v>
      </c>
      <c r="N2070" s="14" t="n">
        <v>2.094</v>
      </c>
      <c r="O2070" s="14" t="n">
        <v>2.19</v>
      </c>
      <c r="P2070" s="14" t="n">
        <v>2.321</v>
      </c>
      <c r="Q2070" s="14" t="n">
        <v>4</v>
      </c>
      <c r="R2070" s="14" t="n">
        <v>4</v>
      </c>
      <c r="S2070" s="14" t="n">
        <v>13.25</v>
      </c>
    </row>
    <row r="2071" customFormat="false" ht="15" hidden="false" customHeight="false" outlineLevel="0" collapsed="false">
      <c r="A2071" s="13" t="n">
        <v>45181</v>
      </c>
      <c r="B2071" s="14" t="n">
        <v>5.3</v>
      </c>
      <c r="C2071" s="14" t="n">
        <v>5.5</v>
      </c>
      <c r="D2071" s="14" t="n">
        <v>5.25</v>
      </c>
      <c r="E2071" s="14" t="n">
        <v>3.654</v>
      </c>
      <c r="F2071" s="14" t="n">
        <v>3.75</v>
      </c>
      <c r="G2071" s="14" t="n">
        <v>5.25</v>
      </c>
      <c r="H2071" s="14" t="n">
        <v>5.1853</v>
      </c>
      <c r="I2071" s="14" t="n">
        <v>5.32108637489479</v>
      </c>
      <c r="J2071" s="14" t="n">
        <v>5.41514072162998</v>
      </c>
      <c r="K2071" s="14" t="n">
        <v>5.48824002227042</v>
      </c>
      <c r="L2071" s="14" t="n">
        <v>5.50314714593488</v>
      </c>
      <c r="M2071" s="14" t="n">
        <v>1.999</v>
      </c>
      <c r="N2071" s="14" t="n">
        <v>2.104</v>
      </c>
      <c r="O2071" s="14" t="n">
        <v>2.203</v>
      </c>
      <c r="P2071" s="14" t="n">
        <v>2.331</v>
      </c>
      <c r="Q2071" s="14" t="n">
        <v>4</v>
      </c>
      <c r="R2071" s="14" t="n">
        <v>4</v>
      </c>
      <c r="S2071" s="14" t="n">
        <v>13.25</v>
      </c>
    </row>
    <row r="2072" customFormat="false" ht="15" hidden="false" customHeight="false" outlineLevel="0" collapsed="false">
      <c r="A2072" s="13" t="n">
        <v>45182</v>
      </c>
      <c r="B2072" s="14" t="n">
        <v>5.3</v>
      </c>
      <c r="C2072" s="14" t="n">
        <v>5.5</v>
      </c>
      <c r="D2072" s="14" t="n">
        <v>5.25</v>
      </c>
      <c r="E2072" s="14" t="n">
        <v>3.652</v>
      </c>
      <c r="F2072" s="14" t="n">
        <v>3.75</v>
      </c>
      <c r="G2072" s="14" t="n">
        <v>5.25</v>
      </c>
      <c r="H2072" s="14" t="n">
        <v>5.1851</v>
      </c>
      <c r="I2072" s="14" t="n">
        <v>5.31762544838766</v>
      </c>
      <c r="J2072" s="14" t="n">
        <v>5.40171396208737</v>
      </c>
      <c r="K2072" s="14" t="n">
        <v>5.46965110340261</v>
      </c>
      <c r="L2072" s="14" t="n">
        <v>5.4729510450426</v>
      </c>
      <c r="M2072" s="14" t="n">
        <v>2.027</v>
      </c>
      <c r="N2072" s="14" t="n">
        <v>2.117</v>
      </c>
      <c r="O2072" s="14" t="n">
        <v>2.211</v>
      </c>
      <c r="P2072" s="14" t="n">
        <v>2.339</v>
      </c>
      <c r="Q2072" s="14" t="n">
        <v>4</v>
      </c>
      <c r="R2072" s="14" t="n">
        <v>4</v>
      </c>
      <c r="S2072" s="14" t="n">
        <v>13.25</v>
      </c>
    </row>
    <row r="2073" customFormat="false" ht="15" hidden="false" customHeight="false" outlineLevel="0" collapsed="false">
      <c r="A2073" s="13" t="n">
        <v>45183</v>
      </c>
      <c r="B2073" s="14" t="n">
        <v>5.3</v>
      </c>
      <c r="C2073" s="14" t="n">
        <v>5.5</v>
      </c>
      <c r="D2073" s="14" t="n">
        <v>5.25</v>
      </c>
      <c r="E2073" s="14" t="n">
        <v>3.653</v>
      </c>
      <c r="F2073" s="14" t="n">
        <v>3.75</v>
      </c>
      <c r="G2073" s="14" t="n">
        <v>5.25</v>
      </c>
      <c r="H2073" s="14" t="n">
        <v>5.1847</v>
      </c>
      <c r="I2073" s="14" t="n">
        <v>5.33167242866734</v>
      </c>
      <c r="J2073" s="14" t="n">
        <v>5.40755081926538</v>
      </c>
      <c r="K2073" s="14" t="n">
        <v>5.46512357059519</v>
      </c>
      <c r="L2073" s="14" t="n">
        <v>5.45615143773492</v>
      </c>
      <c r="M2073" s="14" t="n">
        <v>2.056</v>
      </c>
      <c r="N2073" s="14" t="n">
        <v>2.144</v>
      </c>
      <c r="O2073" s="14" t="n">
        <v>2.223</v>
      </c>
      <c r="P2073" s="14" t="n">
        <v>2.347</v>
      </c>
      <c r="Q2073" s="14" t="n">
        <v>4</v>
      </c>
      <c r="R2073" s="14" t="n">
        <v>4</v>
      </c>
      <c r="S2073" s="14" t="n">
        <v>13.25</v>
      </c>
    </row>
    <row r="2074" customFormat="false" ht="15" hidden="false" customHeight="false" outlineLevel="0" collapsed="false">
      <c r="A2074" s="13" t="n">
        <v>45184</v>
      </c>
      <c r="B2074" s="14" t="n">
        <v>5.31</v>
      </c>
      <c r="C2074" s="14" t="n">
        <v>5.5</v>
      </c>
      <c r="D2074" s="14" t="n">
        <v>5.25</v>
      </c>
      <c r="E2074" s="14" t="n">
        <v>3.65</v>
      </c>
      <c r="F2074" s="14" t="n">
        <v>3.75</v>
      </c>
      <c r="G2074" s="14" t="n">
        <v>5.25</v>
      </c>
      <c r="H2074" s="14" t="n">
        <v>5.1854</v>
      </c>
      <c r="I2074" s="14" t="n">
        <v>5.35114349775199</v>
      </c>
      <c r="J2074" s="14" t="n">
        <v>5.42957609218731</v>
      </c>
      <c r="K2074" s="14" t="n">
        <v>5.48961944908199</v>
      </c>
      <c r="L2074" s="14" t="n">
        <v>5.48462061981384</v>
      </c>
      <c r="M2074" s="14" t="n">
        <v>2.083</v>
      </c>
      <c r="N2074" s="14" t="n">
        <v>2.165</v>
      </c>
      <c r="O2074" s="14" t="n">
        <v>2.239</v>
      </c>
      <c r="P2074" s="14" t="n">
        <v>2.361</v>
      </c>
      <c r="Q2074" s="14" t="n">
        <v>4</v>
      </c>
      <c r="R2074" s="14" t="n">
        <v>4</v>
      </c>
      <c r="S2074" s="14" t="n">
        <v>13.25</v>
      </c>
    </row>
    <row r="2075" customFormat="false" ht="15" hidden="false" customHeight="false" outlineLevel="0" collapsed="false">
      <c r="A2075" s="13" t="n">
        <v>45187</v>
      </c>
      <c r="B2075" s="14" t="n">
        <v>5.31</v>
      </c>
      <c r="C2075" s="14" t="n">
        <v>5.5</v>
      </c>
      <c r="D2075" s="14" t="n">
        <v>5.25</v>
      </c>
      <c r="E2075" s="14" t="n">
        <v>3.648</v>
      </c>
      <c r="F2075" s="14" t="n">
        <v>3.75</v>
      </c>
      <c r="G2075" s="14" t="n">
        <v>5.25</v>
      </c>
      <c r="H2075" s="14" t="n">
        <v>5.185</v>
      </c>
      <c r="I2075" s="14" t="n">
        <v>5.3692060287166</v>
      </c>
      <c r="J2075" s="14" t="n">
        <v>5.43427052140372</v>
      </c>
      <c r="K2075" s="14" t="n">
        <v>5.49138885808939</v>
      </c>
      <c r="L2075" s="14" t="n">
        <v>5.49060606745927</v>
      </c>
      <c r="M2075" s="14" t="n">
        <v>2.11</v>
      </c>
      <c r="N2075" s="14" t="n">
        <v>2.194</v>
      </c>
      <c r="O2075" s="14" t="n">
        <v>2.258</v>
      </c>
      <c r="P2075" s="14" t="n">
        <v>2.374</v>
      </c>
      <c r="Q2075" s="14" t="n">
        <v>4</v>
      </c>
      <c r="R2075" s="14" t="n">
        <v>4</v>
      </c>
      <c r="S2075" s="14" t="n">
        <v>13.25</v>
      </c>
    </row>
    <row r="2076" customFormat="false" ht="15" hidden="false" customHeight="false" outlineLevel="0" collapsed="false">
      <c r="A2076" s="13" t="n">
        <v>45188</v>
      </c>
      <c r="B2076" s="14" t="n">
        <v>5.31</v>
      </c>
      <c r="C2076" s="14" t="n">
        <v>5.5</v>
      </c>
      <c r="D2076" s="14" t="n">
        <v>5.25</v>
      </c>
      <c r="E2076" s="14" t="n">
        <v>3.651</v>
      </c>
      <c r="F2076" s="14" t="n">
        <v>3.75</v>
      </c>
      <c r="G2076" s="14" t="n">
        <v>5.25</v>
      </c>
      <c r="H2076" s="14" t="n">
        <v>5.1854</v>
      </c>
      <c r="I2076" s="14" t="n">
        <v>5.37371909700907</v>
      </c>
      <c r="J2076" s="14" t="n">
        <v>5.43356067578748</v>
      </c>
      <c r="K2076" s="14" t="n">
        <v>5.4818785426226</v>
      </c>
      <c r="L2076" s="14" t="n">
        <v>5.46980433620036</v>
      </c>
      <c r="M2076" s="14" t="n">
        <v>2.126</v>
      </c>
      <c r="N2076" s="14" t="n">
        <v>2.221</v>
      </c>
      <c r="O2076" s="14" t="n">
        <v>2.274</v>
      </c>
      <c r="P2076" s="14" t="n">
        <v>2.388</v>
      </c>
      <c r="Q2076" s="14" t="n">
        <v>4</v>
      </c>
      <c r="R2076" s="14" t="n">
        <v>4</v>
      </c>
      <c r="S2076" s="14" t="n">
        <v>13.25</v>
      </c>
    </row>
    <row r="2077" customFormat="false" ht="15" hidden="false" customHeight="false" outlineLevel="0" collapsed="false">
      <c r="A2077" s="13" t="n">
        <v>45189</v>
      </c>
      <c r="B2077" s="14" t="n">
        <v>5.3</v>
      </c>
      <c r="C2077" s="14" t="n">
        <v>5.5</v>
      </c>
      <c r="D2077" s="14" t="n">
        <v>5.25</v>
      </c>
      <c r="E2077" s="14" t="n">
        <v>3.901</v>
      </c>
      <c r="F2077" s="14" t="n">
        <v>4</v>
      </c>
      <c r="G2077" s="14" t="n">
        <v>5.25</v>
      </c>
      <c r="H2077" s="14" t="n">
        <v>5.1849</v>
      </c>
      <c r="I2077" s="14" t="n">
        <v>5.29903416927656</v>
      </c>
      <c r="J2077" s="14" t="n">
        <v>5.33416867247001</v>
      </c>
      <c r="K2077" s="14" t="n">
        <v>5.36732121685071</v>
      </c>
      <c r="L2077" s="14" t="n">
        <v>5.33809097893745</v>
      </c>
      <c r="M2077" s="14" t="n">
        <v>2.157</v>
      </c>
      <c r="N2077" s="14" t="n">
        <v>2.243</v>
      </c>
      <c r="O2077" s="14" t="n">
        <v>2.288</v>
      </c>
      <c r="P2077" s="14" t="n">
        <v>2.402</v>
      </c>
      <c r="Q2077" s="14" t="n">
        <v>4</v>
      </c>
      <c r="R2077" s="14" t="n">
        <v>4</v>
      </c>
      <c r="S2077" s="14" t="n">
        <v>13.25</v>
      </c>
    </row>
    <row r="2078" customFormat="false" ht="15" hidden="false" customHeight="false" outlineLevel="0" collapsed="false">
      <c r="A2078" s="13" t="n">
        <v>45190</v>
      </c>
      <c r="B2078" s="14" t="n">
        <v>5.3</v>
      </c>
      <c r="C2078" s="14" t="n">
        <v>5.5</v>
      </c>
      <c r="D2078" s="14" t="n">
        <v>5.25</v>
      </c>
      <c r="E2078" s="14" t="n">
        <v>3.902</v>
      </c>
      <c r="F2078" s="14" t="n">
        <v>4</v>
      </c>
      <c r="G2078" s="14" t="n">
        <v>5.25</v>
      </c>
      <c r="H2078" s="14" t="n">
        <v>5.1848</v>
      </c>
      <c r="I2078" s="14" t="n">
        <v>5.18962875049326</v>
      </c>
      <c r="J2078" s="14" t="n">
        <v>5.23777131789147</v>
      </c>
      <c r="K2078" s="14" t="n">
        <v>5.2956077094135</v>
      </c>
      <c r="L2078" s="14" t="n">
        <v>5.30341896186578</v>
      </c>
      <c r="M2078" s="14" t="n">
        <v>2.192</v>
      </c>
      <c r="N2078" s="14" t="n">
        <v>2.26</v>
      </c>
      <c r="O2078" s="14" t="n">
        <v>2.303</v>
      </c>
      <c r="P2078" s="14" t="n">
        <v>2.409</v>
      </c>
      <c r="Q2078" s="14" t="n">
        <v>4</v>
      </c>
      <c r="R2078" s="14" t="n">
        <v>4</v>
      </c>
      <c r="S2078" s="14" t="n">
        <v>12.75</v>
      </c>
    </row>
    <row r="2079" customFormat="false" ht="15" hidden="false" customHeight="false" outlineLevel="0" collapsed="false">
      <c r="A2079" s="13" t="n">
        <v>45191</v>
      </c>
      <c r="B2079" s="14" t="n">
        <v>5.3</v>
      </c>
      <c r="C2079" s="14" t="n">
        <v>5.5</v>
      </c>
      <c r="D2079" s="14" t="n">
        <v>5.25</v>
      </c>
      <c r="E2079" s="14" t="n">
        <v>3.905</v>
      </c>
      <c r="F2079" s="14" t="n">
        <v>4</v>
      </c>
      <c r="G2079" s="14" t="n">
        <v>5.25</v>
      </c>
      <c r="H2079" s="14" t="n">
        <v>5.1855</v>
      </c>
      <c r="I2079" s="14" t="n">
        <v>5.18994237769427</v>
      </c>
      <c r="J2079" s="14" t="n">
        <v>5.23585439559222</v>
      </c>
      <c r="K2079" s="14" t="n">
        <v>5.28349169627549</v>
      </c>
      <c r="L2079" s="14" t="n">
        <v>5.26789867296307</v>
      </c>
      <c r="M2079" s="14" t="n">
        <v>2.211</v>
      </c>
      <c r="N2079" s="14" t="n">
        <v>2.273</v>
      </c>
      <c r="O2079" s="14" t="n">
        <v>2.312</v>
      </c>
      <c r="P2079" s="14" t="n">
        <v>2.412</v>
      </c>
      <c r="Q2079" s="14" t="n">
        <v>4.25</v>
      </c>
      <c r="R2079" s="14" t="n">
        <v>4.25</v>
      </c>
      <c r="S2079" s="14" t="n">
        <v>12.75</v>
      </c>
    </row>
    <row r="2080" customFormat="false" ht="15" hidden="false" customHeight="false" outlineLevel="0" collapsed="false">
      <c r="A2080" s="13" t="n">
        <v>45194</v>
      </c>
      <c r="B2080" s="14" t="n">
        <v>5.31</v>
      </c>
      <c r="C2080" s="14" t="n">
        <v>5.5</v>
      </c>
      <c r="D2080" s="14" t="n">
        <v>5.25</v>
      </c>
      <c r="E2080" s="14" t="n">
        <v>3.904</v>
      </c>
      <c r="F2080" s="14" t="n">
        <v>4</v>
      </c>
      <c r="G2080" s="14" t="n">
        <v>5.25</v>
      </c>
      <c r="H2080" s="14" t="n">
        <v>5.1849</v>
      </c>
      <c r="I2080" s="14" t="n">
        <v>5.18998172634386</v>
      </c>
      <c r="J2080" s="14" t="n">
        <v>5.24033552243666</v>
      </c>
      <c r="K2080" s="14" t="n">
        <v>5.28513476423779</v>
      </c>
      <c r="L2080" s="14" t="n">
        <v>5.25901009800436</v>
      </c>
      <c r="M2080" s="14" t="n">
        <v>2.229</v>
      </c>
      <c r="N2080" s="14" t="n">
        <v>2.282</v>
      </c>
      <c r="O2080" s="14" t="n">
        <v>2.32</v>
      </c>
      <c r="P2080" s="14" t="n">
        <v>2.416</v>
      </c>
      <c r="Q2080" s="14" t="n">
        <v>4.25</v>
      </c>
      <c r="R2080" s="14" t="n">
        <v>4.25</v>
      </c>
      <c r="S2080" s="14" t="n">
        <v>12.75</v>
      </c>
    </row>
    <row r="2081" customFormat="false" ht="15" hidden="false" customHeight="false" outlineLevel="0" collapsed="false">
      <c r="A2081" s="13" t="n">
        <v>45195</v>
      </c>
      <c r="B2081" s="14" t="n">
        <v>5.31</v>
      </c>
      <c r="C2081" s="14" t="n">
        <v>5.5</v>
      </c>
      <c r="D2081" s="14" t="n">
        <v>5.25</v>
      </c>
      <c r="E2081" s="14" t="n">
        <v>3.904</v>
      </c>
      <c r="F2081" s="14" t="n">
        <v>4</v>
      </c>
      <c r="G2081" s="14" t="n">
        <v>5.25</v>
      </c>
      <c r="H2081" s="14" t="n">
        <v>5.1857</v>
      </c>
      <c r="I2081" s="14" t="n">
        <v>5.19172312213125</v>
      </c>
      <c r="J2081" s="14" t="n">
        <v>5.24674129874805</v>
      </c>
      <c r="K2081" s="14" t="n">
        <v>5.30043853616775</v>
      </c>
      <c r="L2081" s="14" t="n">
        <v>5.29135281948402</v>
      </c>
      <c r="M2081" s="14" t="n">
        <v>2.26</v>
      </c>
      <c r="N2081" s="14" t="n">
        <v>2.294</v>
      </c>
      <c r="O2081" s="14" t="n">
        <v>2.335</v>
      </c>
      <c r="P2081" s="14" t="n">
        <v>2.432</v>
      </c>
      <c r="Q2081" s="14" t="n">
        <v>4.25</v>
      </c>
      <c r="R2081" s="14" t="n">
        <v>4.25</v>
      </c>
      <c r="S2081" s="14" t="n">
        <v>12.75</v>
      </c>
    </row>
    <row r="2082" customFormat="false" ht="15" hidden="false" customHeight="false" outlineLevel="0" collapsed="false">
      <c r="A2082" s="13" t="n">
        <v>45196</v>
      </c>
      <c r="B2082" s="14" t="n">
        <v>5.32</v>
      </c>
      <c r="C2082" s="14" t="n">
        <v>5.5</v>
      </c>
      <c r="D2082" s="14" t="n">
        <v>5.25</v>
      </c>
      <c r="E2082" s="14" t="n">
        <v>3.905</v>
      </c>
      <c r="F2082" s="14" t="n">
        <v>4</v>
      </c>
      <c r="G2082" s="14" t="n">
        <v>5.25</v>
      </c>
      <c r="H2082" s="14" t="n">
        <v>5.186</v>
      </c>
      <c r="I2082" s="14" t="n">
        <v>5.19303527197665</v>
      </c>
      <c r="J2082" s="14" t="n">
        <v>5.25431568906438</v>
      </c>
      <c r="K2082" s="14" t="n">
        <v>5.31552138212421</v>
      </c>
      <c r="L2082" s="14" t="n">
        <v>5.32260911660027</v>
      </c>
      <c r="M2082" s="14" t="n">
        <v>2.278</v>
      </c>
      <c r="N2082" s="14" t="n">
        <v>2.303</v>
      </c>
      <c r="O2082" s="14" t="n">
        <v>2.353</v>
      </c>
      <c r="P2082" s="14" t="n">
        <v>2.44</v>
      </c>
      <c r="Q2082" s="14" t="n">
        <v>4.25</v>
      </c>
      <c r="R2082" s="14" t="n">
        <v>4.25</v>
      </c>
      <c r="S2082" s="14" t="n">
        <v>12.75</v>
      </c>
    </row>
    <row r="2083" customFormat="false" ht="15" hidden="false" customHeight="false" outlineLevel="0" collapsed="false">
      <c r="A2083" s="13" t="n">
        <v>45197</v>
      </c>
      <c r="B2083" s="14" t="n">
        <v>5.31</v>
      </c>
      <c r="C2083" s="14" t="n">
        <v>5.5</v>
      </c>
      <c r="D2083" s="14" t="n">
        <v>5.25</v>
      </c>
      <c r="E2083" s="14" t="n">
        <v>3.906</v>
      </c>
      <c r="F2083" s="14" t="n">
        <v>4</v>
      </c>
      <c r="G2083" s="14" t="n">
        <v>5.25</v>
      </c>
      <c r="H2083" s="14" t="n">
        <v>5.1859</v>
      </c>
      <c r="I2083" s="14" t="n">
        <v>5.19330819473738</v>
      </c>
      <c r="J2083" s="14" t="n">
        <v>5.26120632982557</v>
      </c>
      <c r="K2083" s="14" t="n">
        <v>5.32630257526781</v>
      </c>
      <c r="L2083" s="14" t="n">
        <v>5.33377270132386</v>
      </c>
      <c r="M2083" s="14" t="n">
        <v>2.285</v>
      </c>
      <c r="N2083" s="14" t="n">
        <v>2.302</v>
      </c>
      <c r="O2083" s="14" t="n">
        <v>2.356</v>
      </c>
      <c r="P2083" s="14" t="n">
        <v>2.446</v>
      </c>
      <c r="Q2083" s="14" t="n">
        <v>4.25</v>
      </c>
      <c r="R2083" s="14" t="n">
        <v>4.25</v>
      </c>
      <c r="S2083" s="14" t="n">
        <v>12.75</v>
      </c>
    </row>
    <row r="2084" customFormat="false" ht="15" hidden="false" customHeight="false" outlineLevel="0" collapsed="false">
      <c r="A2084" s="13" t="n">
        <v>45198</v>
      </c>
      <c r="B2084" s="14" t="n">
        <v>5.31</v>
      </c>
      <c r="C2084" s="14" t="n">
        <v>5.5</v>
      </c>
      <c r="D2084" s="14" t="n">
        <v>5.25</v>
      </c>
      <c r="E2084" s="14" t="n">
        <v>3.88</v>
      </c>
      <c r="F2084" s="14" t="n">
        <v>4</v>
      </c>
      <c r="G2084" s="14" t="n">
        <v>5.25</v>
      </c>
      <c r="H2084" s="14" t="n">
        <v>5.1867</v>
      </c>
      <c r="I2084" s="14" t="n">
        <v>5.1927106033339</v>
      </c>
      <c r="J2084" s="14" t="n">
        <v>5.25251537449084</v>
      </c>
      <c r="K2084" s="14" t="n">
        <v>5.31062047386824</v>
      </c>
      <c r="L2084" s="14" t="n">
        <v>5.30121647450466</v>
      </c>
      <c r="Q2084" s="14" t="n">
        <v>4.25</v>
      </c>
      <c r="R2084" s="14" t="n">
        <v>4.26</v>
      </c>
      <c r="S2084" s="14" t="n">
        <v>12.75</v>
      </c>
    </row>
    <row r="2085" customFormat="false" ht="15" hidden="false" customHeight="false" outlineLevel="0" collapsed="false">
      <c r="A2085" s="13" t="n">
        <v>45201</v>
      </c>
      <c r="B2085" s="14" t="n">
        <v>5.32</v>
      </c>
      <c r="C2085" s="14" t="n">
        <v>5.5</v>
      </c>
      <c r="D2085" s="14" t="n">
        <v>5.25</v>
      </c>
      <c r="E2085" s="14" t="n">
        <v>3.899</v>
      </c>
      <c r="F2085" s="14" t="n">
        <v>4</v>
      </c>
      <c r="G2085" s="14" t="n">
        <v>5.25</v>
      </c>
      <c r="H2085" s="14" t="n">
        <v>5.1868</v>
      </c>
      <c r="I2085" s="14" t="n">
        <v>5.19383129357737</v>
      </c>
      <c r="J2085" s="14" t="n">
        <v>5.25733927372533</v>
      </c>
      <c r="K2085" s="14" t="n">
        <v>5.31557148565084</v>
      </c>
      <c r="L2085" s="14" t="n">
        <v>5.31759493052029</v>
      </c>
      <c r="Q2085" s="14" t="n">
        <v>4.25</v>
      </c>
      <c r="R2085" s="14" t="n">
        <v>4.25</v>
      </c>
      <c r="S2085" s="14" t="n">
        <v>12.75</v>
      </c>
    </row>
    <row r="2086" customFormat="false" ht="15" hidden="false" customHeight="false" outlineLevel="0" collapsed="false">
      <c r="A2086" s="13" t="n">
        <v>45202</v>
      </c>
      <c r="B2086" s="14" t="n">
        <v>5.33</v>
      </c>
      <c r="C2086" s="14" t="n">
        <v>5.5</v>
      </c>
      <c r="D2086" s="14" t="n">
        <v>5.25</v>
      </c>
      <c r="E2086" s="14" t="n">
        <v>3.9</v>
      </c>
      <c r="F2086" s="14" t="n">
        <v>4</v>
      </c>
      <c r="G2086" s="14" t="n">
        <v>5.25</v>
      </c>
      <c r="H2086" s="14" t="n">
        <v>5.1867</v>
      </c>
      <c r="I2086" s="14" t="n">
        <v>5.19641583332899</v>
      </c>
      <c r="J2086" s="14" t="n">
        <v>5.25709109687922</v>
      </c>
      <c r="K2086" s="14" t="n">
        <v>5.31158070817441</v>
      </c>
      <c r="L2086" s="14" t="n">
        <v>5.3182465737167</v>
      </c>
      <c r="Q2086" s="14" t="n">
        <v>4.25</v>
      </c>
      <c r="R2086" s="14" t="n">
        <v>4.25</v>
      </c>
      <c r="S2086" s="14" t="n">
        <v>12.75</v>
      </c>
    </row>
    <row r="2087" customFormat="false" ht="15" hidden="false" customHeight="false" outlineLevel="0" collapsed="false">
      <c r="A2087" s="13" t="n">
        <v>45203</v>
      </c>
      <c r="B2087" s="14" t="n">
        <v>5.32</v>
      </c>
      <c r="C2087" s="14" t="n">
        <v>5.5</v>
      </c>
      <c r="D2087" s="14" t="n">
        <v>5.25</v>
      </c>
      <c r="E2087" s="14" t="n">
        <v>3.901</v>
      </c>
      <c r="F2087" s="14" t="n">
        <v>4</v>
      </c>
      <c r="G2087" s="14" t="n">
        <v>5.25</v>
      </c>
      <c r="H2087" s="14" t="n">
        <v>5.1872</v>
      </c>
      <c r="I2087" s="14" t="n">
        <v>5.19937088274623</v>
      </c>
      <c r="J2087" s="14" t="n">
        <v>5.25931777113743</v>
      </c>
      <c r="K2087" s="14" t="n">
        <v>5.31007000400219</v>
      </c>
      <c r="L2087" s="14" t="n">
        <v>5.3046022849334</v>
      </c>
      <c r="Q2087" s="14" t="n">
        <v>4.25</v>
      </c>
      <c r="R2087" s="14" t="n">
        <v>4.25</v>
      </c>
      <c r="S2087" s="14" t="n">
        <v>12.75</v>
      </c>
    </row>
    <row r="2088" customFormat="false" ht="15" hidden="false" customHeight="false" outlineLevel="0" collapsed="false">
      <c r="A2088" s="13" t="n">
        <v>45204</v>
      </c>
      <c r="B2088" s="14" t="n">
        <v>5.32</v>
      </c>
      <c r="C2088" s="14" t="n">
        <v>5.5</v>
      </c>
      <c r="D2088" s="14" t="n">
        <v>5.25</v>
      </c>
      <c r="E2088" s="14" t="n">
        <v>3.9</v>
      </c>
      <c r="F2088" s="14" t="n">
        <v>4</v>
      </c>
      <c r="G2088" s="14" t="n">
        <v>5.25</v>
      </c>
      <c r="H2088" s="14" t="n">
        <v>5.1872</v>
      </c>
      <c r="I2088" s="14" t="n">
        <v>5.19995242730709</v>
      </c>
      <c r="J2088" s="14" t="n">
        <v>5.25008084622241</v>
      </c>
      <c r="K2088" s="14" t="n">
        <v>5.29049296611134</v>
      </c>
      <c r="L2088" s="14" t="n">
        <v>5.27300388403931</v>
      </c>
      <c r="Q2088" s="14" t="n">
        <v>4.25</v>
      </c>
      <c r="R2088" s="14" t="n">
        <v>4.25</v>
      </c>
      <c r="S2088" s="14" t="n">
        <v>12.75</v>
      </c>
    </row>
    <row r="2089" customFormat="false" ht="15" hidden="false" customHeight="false" outlineLevel="0" collapsed="false">
      <c r="A2089" s="13" t="n">
        <v>45205</v>
      </c>
      <c r="B2089" s="14" t="n">
        <v>5.31</v>
      </c>
      <c r="C2089" s="14" t="n">
        <v>5.5</v>
      </c>
      <c r="D2089" s="14" t="n">
        <v>5.25</v>
      </c>
      <c r="E2089" s="14" t="n">
        <v>3.899</v>
      </c>
      <c r="F2089" s="14" t="n">
        <v>4</v>
      </c>
      <c r="G2089" s="14" t="n">
        <v>5.25</v>
      </c>
      <c r="H2089" s="14" t="n">
        <v>5.1871</v>
      </c>
      <c r="I2089" s="14" t="n">
        <v>5.19961989293806</v>
      </c>
      <c r="J2089" s="14" t="n">
        <v>5.25233482159393</v>
      </c>
      <c r="K2089" s="14" t="n">
        <v>5.2982958841636</v>
      </c>
      <c r="L2089" s="14" t="n">
        <v>5.28591426064079</v>
      </c>
      <c r="Q2089" s="14" t="n">
        <v>4.25</v>
      </c>
      <c r="R2089" s="14" t="n">
        <v>4.25</v>
      </c>
      <c r="S2089" s="14" t="n">
        <v>12.75</v>
      </c>
    </row>
    <row r="2090" customFormat="false" ht="15" hidden="false" customHeight="false" outlineLevel="0" collapsed="false">
      <c r="A2090" s="13" t="n">
        <v>45206</v>
      </c>
      <c r="C2090" s="14" t="n">
        <v>5.5</v>
      </c>
      <c r="D2090" s="14" t="n">
        <v>5.25</v>
      </c>
      <c r="F2090" s="14" t="n">
        <v>4</v>
      </c>
      <c r="M2090" s="14" t="n">
        <v>2.272</v>
      </c>
      <c r="N2090" s="14" t="n">
        <v>2.3</v>
      </c>
      <c r="O2090" s="14" t="n">
        <v>2.357</v>
      </c>
      <c r="P2090" s="14" t="n">
        <v>2.446</v>
      </c>
      <c r="S2090" s="14" t="n">
        <v>12.75</v>
      </c>
    </row>
    <row r="2091" customFormat="false" ht="15" hidden="false" customHeight="false" outlineLevel="0" collapsed="false">
      <c r="A2091" s="13" t="n">
        <v>45207</v>
      </c>
      <c r="C2091" s="14" t="n">
        <v>5.5</v>
      </c>
      <c r="D2091" s="14" t="n">
        <v>5.25</v>
      </c>
      <c r="F2091" s="14" t="n">
        <v>4</v>
      </c>
      <c r="M2091" s="14" t="n">
        <v>2.264</v>
      </c>
      <c r="N2091" s="14" t="n">
        <v>2.3</v>
      </c>
      <c r="O2091" s="14" t="n">
        <v>2.357</v>
      </c>
      <c r="P2091" s="14" t="n">
        <v>2.447</v>
      </c>
      <c r="S2091" s="14" t="n">
        <v>12.75</v>
      </c>
    </row>
    <row r="2092" customFormat="false" ht="15" hidden="false" customHeight="false" outlineLevel="0" collapsed="false">
      <c r="A2092" s="13" t="n">
        <v>45208</v>
      </c>
      <c r="C2092" s="14" t="n">
        <v>5.5</v>
      </c>
      <c r="D2092" s="14" t="n">
        <v>5.25</v>
      </c>
      <c r="E2092" s="14" t="n">
        <v>3.9</v>
      </c>
      <c r="F2092" s="14" t="n">
        <v>4</v>
      </c>
      <c r="G2092" s="14" t="n">
        <v>5.25</v>
      </c>
      <c r="H2092" s="14" t="n">
        <v>5.1873</v>
      </c>
      <c r="I2092" s="14" t="n">
        <v>5.20186520421458</v>
      </c>
      <c r="J2092" s="14" t="n">
        <v>5.24809986309919</v>
      </c>
      <c r="K2092" s="14" t="n">
        <v>5.28408547417766</v>
      </c>
      <c r="L2092" s="14" t="n">
        <v>5.25632065226814</v>
      </c>
      <c r="M2092" s="14" t="n">
        <v>2.236</v>
      </c>
      <c r="N2092" s="14" t="n">
        <v>2.3</v>
      </c>
      <c r="O2092" s="14" t="n">
        <v>2.357</v>
      </c>
      <c r="P2092" s="14" t="n">
        <v>2.447</v>
      </c>
      <c r="Q2092" s="14" t="n">
        <v>4.25</v>
      </c>
      <c r="R2092" s="14" t="n">
        <v>4.25</v>
      </c>
      <c r="S2092" s="14" t="n">
        <v>12.75</v>
      </c>
    </row>
    <row r="2093" customFormat="false" ht="15" hidden="false" customHeight="false" outlineLevel="0" collapsed="false">
      <c r="A2093" s="13" t="n">
        <v>45209</v>
      </c>
      <c r="B2093" s="14" t="n">
        <v>5.31</v>
      </c>
      <c r="C2093" s="14" t="n">
        <v>5.5</v>
      </c>
      <c r="D2093" s="14" t="n">
        <v>5.25</v>
      </c>
      <c r="E2093" s="14" t="n">
        <v>3.899</v>
      </c>
      <c r="F2093" s="14" t="n">
        <v>4</v>
      </c>
      <c r="G2093" s="14" t="n">
        <v>5.25</v>
      </c>
      <c r="H2093" s="14" t="n">
        <v>5.1869</v>
      </c>
      <c r="I2093" s="14" t="n">
        <v>5.2027941538245</v>
      </c>
      <c r="J2093" s="14" t="n">
        <v>5.24760202643407</v>
      </c>
      <c r="K2093" s="14" t="n">
        <v>5.28011181173322</v>
      </c>
      <c r="L2093" s="14" t="n">
        <v>5.24776624063168</v>
      </c>
      <c r="M2093" s="14" t="n">
        <v>2.237</v>
      </c>
      <c r="N2093" s="14" t="n">
        <v>2.302</v>
      </c>
      <c r="O2093" s="14" t="n">
        <v>2.36</v>
      </c>
      <c r="P2093" s="14" t="n">
        <v>2.452</v>
      </c>
      <c r="Q2093" s="14" t="n">
        <v>4.25</v>
      </c>
      <c r="R2093" s="14" t="n">
        <v>4.25</v>
      </c>
      <c r="S2093" s="14" t="n">
        <v>12.75</v>
      </c>
    </row>
    <row r="2094" customFormat="false" ht="15" hidden="false" customHeight="false" outlineLevel="0" collapsed="false">
      <c r="A2094" s="13" t="n">
        <v>45210</v>
      </c>
      <c r="B2094" s="14" t="n">
        <v>5.31</v>
      </c>
      <c r="C2094" s="14" t="n">
        <v>5.5</v>
      </c>
      <c r="D2094" s="14" t="n">
        <v>5.25</v>
      </c>
      <c r="E2094" s="14" t="n">
        <v>3.901</v>
      </c>
      <c r="F2094" s="14" t="n">
        <v>4</v>
      </c>
      <c r="G2094" s="14" t="n">
        <v>5.25</v>
      </c>
      <c r="H2094" s="14" t="n">
        <v>5.1866</v>
      </c>
      <c r="I2094" s="14" t="n">
        <v>5.20298990367595</v>
      </c>
      <c r="J2094" s="14" t="n">
        <v>5.24696861252979</v>
      </c>
      <c r="K2094" s="14" t="n">
        <v>5.27777284996422</v>
      </c>
      <c r="L2094" s="14" t="n">
        <v>5.24273937295001</v>
      </c>
      <c r="M2094" s="14" t="n">
        <v>2.236</v>
      </c>
      <c r="N2094" s="14" t="n">
        <v>2.304</v>
      </c>
      <c r="O2094" s="14" t="n">
        <v>2.364</v>
      </c>
      <c r="P2094" s="14" t="n">
        <v>2.457</v>
      </c>
      <c r="Q2094" s="14" t="n">
        <v>4.25</v>
      </c>
      <c r="R2094" s="14" t="n">
        <v>4.25</v>
      </c>
      <c r="S2094" s="14" t="n">
        <v>12.75</v>
      </c>
    </row>
    <row r="2095" customFormat="false" ht="15" hidden="false" customHeight="false" outlineLevel="0" collapsed="false">
      <c r="A2095" s="13" t="n">
        <v>45211</v>
      </c>
      <c r="B2095" s="14" t="n">
        <v>5.31</v>
      </c>
      <c r="C2095" s="14" t="n">
        <v>5.5</v>
      </c>
      <c r="D2095" s="14" t="n">
        <v>5.25</v>
      </c>
      <c r="E2095" s="14" t="n">
        <v>3.901</v>
      </c>
      <c r="F2095" s="14" t="n">
        <v>4</v>
      </c>
      <c r="G2095" s="14" t="n">
        <v>5.25</v>
      </c>
      <c r="H2095" s="14" t="n">
        <v>5.187</v>
      </c>
      <c r="I2095" s="14" t="n">
        <v>5.20479543973797</v>
      </c>
      <c r="J2095" s="14" t="n">
        <v>5.25142456710034</v>
      </c>
      <c r="K2095" s="14" t="n">
        <v>5.28403181425639</v>
      </c>
      <c r="L2095" s="14" t="n">
        <v>5.25848205486049</v>
      </c>
      <c r="M2095" s="14" t="n">
        <v>2.234</v>
      </c>
      <c r="N2095" s="14" t="n">
        <v>2.305</v>
      </c>
      <c r="O2095" s="14" t="n">
        <v>2.368</v>
      </c>
      <c r="P2095" s="14" t="n">
        <v>2.463</v>
      </c>
      <c r="Q2095" s="14" t="n">
        <v>4.25</v>
      </c>
      <c r="R2095" s="14" t="n">
        <v>4.25</v>
      </c>
      <c r="S2095" s="14" t="n">
        <v>12.75</v>
      </c>
    </row>
    <row r="2096" customFormat="false" ht="15" hidden="false" customHeight="false" outlineLevel="0" collapsed="false">
      <c r="A2096" s="13" t="n">
        <v>45212</v>
      </c>
      <c r="B2096" s="14" t="n">
        <v>5.31</v>
      </c>
      <c r="C2096" s="14" t="n">
        <v>5.5</v>
      </c>
      <c r="D2096" s="14" t="n">
        <v>5.25</v>
      </c>
      <c r="E2096" s="14" t="n">
        <v>3.903</v>
      </c>
      <c r="F2096" s="14" t="n">
        <v>4</v>
      </c>
      <c r="G2096" s="14" t="n">
        <v>5.25</v>
      </c>
      <c r="H2096" s="14" t="n">
        <v>5.1873</v>
      </c>
      <c r="I2096" s="14" t="n">
        <v>5.20826076976417</v>
      </c>
      <c r="J2096" s="14" t="n">
        <v>5.25673734163315</v>
      </c>
      <c r="K2096" s="14" t="n">
        <v>5.2904645826329</v>
      </c>
      <c r="L2096" s="14" t="n">
        <v>5.25558673824998</v>
      </c>
      <c r="M2096" s="14" t="n">
        <v>2.229</v>
      </c>
      <c r="N2096" s="14" t="n">
        <v>2.308</v>
      </c>
      <c r="O2096" s="14" t="n">
        <v>2.38</v>
      </c>
      <c r="P2096" s="14" t="n">
        <v>2.466</v>
      </c>
      <c r="Q2096" s="14" t="n">
        <v>4.25</v>
      </c>
      <c r="R2096" s="14" t="n">
        <v>4.25</v>
      </c>
      <c r="S2096" s="14" t="n">
        <v>12.75</v>
      </c>
    </row>
    <row r="2097" customFormat="false" ht="15" hidden="false" customHeight="false" outlineLevel="0" collapsed="false">
      <c r="A2097" s="13" t="n">
        <v>45215</v>
      </c>
      <c r="B2097" s="14" t="n">
        <v>5.31</v>
      </c>
      <c r="C2097" s="14" t="n">
        <v>5.5</v>
      </c>
      <c r="D2097" s="14" t="n">
        <v>5.25</v>
      </c>
      <c r="E2097" s="14" t="n">
        <v>3.902</v>
      </c>
      <c r="F2097" s="14" t="n">
        <v>4</v>
      </c>
      <c r="G2097" s="14" t="n">
        <v>5.25</v>
      </c>
      <c r="H2097" s="14" t="n">
        <v>5.1877</v>
      </c>
      <c r="I2097" s="14" t="n">
        <v>5.21591767352719</v>
      </c>
      <c r="J2097" s="14" t="n">
        <v>5.26559527290808</v>
      </c>
      <c r="K2097" s="14" t="n">
        <v>5.3059112792053</v>
      </c>
      <c r="L2097" s="14" t="n">
        <v>5.28935906175069</v>
      </c>
      <c r="M2097" s="14" t="n">
        <v>2.223</v>
      </c>
      <c r="N2097" s="14" t="n">
        <v>2.309</v>
      </c>
      <c r="O2097" s="14" t="n">
        <v>2.387</v>
      </c>
      <c r="P2097" s="14" t="n">
        <v>2.474</v>
      </c>
      <c r="Q2097" s="14" t="n">
        <v>4.25</v>
      </c>
      <c r="R2097" s="14" t="n">
        <v>4.25</v>
      </c>
      <c r="S2097" s="14" t="n">
        <v>12.75</v>
      </c>
    </row>
    <row r="2098" customFormat="false" ht="15" hidden="false" customHeight="false" outlineLevel="0" collapsed="false">
      <c r="A2098" s="13" t="n">
        <v>45216</v>
      </c>
      <c r="B2098" s="14" t="n">
        <v>5.31</v>
      </c>
      <c r="C2098" s="14" t="n">
        <v>5.5</v>
      </c>
      <c r="D2098" s="14" t="n">
        <v>5.25</v>
      </c>
      <c r="E2098" s="14" t="n">
        <v>3.904</v>
      </c>
      <c r="F2098" s="14" t="n">
        <v>4</v>
      </c>
      <c r="G2098" s="14" t="n">
        <v>5.25</v>
      </c>
      <c r="H2098" s="14" t="n">
        <v>5.187</v>
      </c>
      <c r="I2098" s="14" t="n">
        <v>5.21171735060966</v>
      </c>
      <c r="J2098" s="14" t="n">
        <v>5.25427330840227</v>
      </c>
      <c r="K2098" s="14" t="n">
        <v>5.28542160820743</v>
      </c>
      <c r="L2098" s="14" t="n">
        <v>5.26424563399982</v>
      </c>
      <c r="M2098" s="14" t="n">
        <v>2.218</v>
      </c>
      <c r="N2098" s="14" t="n">
        <v>2.313</v>
      </c>
      <c r="O2098" s="14" t="n">
        <v>2.394</v>
      </c>
      <c r="P2098" s="14" t="n">
        <v>2.482</v>
      </c>
      <c r="Q2098" s="14" t="n">
        <v>4.25</v>
      </c>
      <c r="R2098" s="14" t="n">
        <v>4.25</v>
      </c>
      <c r="S2098" s="14" t="n">
        <v>12.75</v>
      </c>
    </row>
    <row r="2099" customFormat="false" ht="15" hidden="false" customHeight="false" outlineLevel="0" collapsed="false">
      <c r="A2099" s="13" t="n">
        <v>45217</v>
      </c>
      <c r="B2099" s="14" t="n">
        <v>5.3</v>
      </c>
      <c r="C2099" s="14" t="n">
        <v>5.5</v>
      </c>
      <c r="D2099" s="14" t="n">
        <v>5.25</v>
      </c>
      <c r="E2099" s="14" t="n">
        <v>3.903</v>
      </c>
      <c r="F2099" s="14" t="n">
        <v>4</v>
      </c>
      <c r="G2099" s="14" t="n">
        <v>5.25</v>
      </c>
      <c r="H2099" s="14" t="n">
        <v>5.1872</v>
      </c>
      <c r="I2099" s="14" t="n">
        <v>5.21016777854647</v>
      </c>
      <c r="J2099" s="14" t="n">
        <v>5.2591727312545</v>
      </c>
      <c r="K2099" s="14" t="n">
        <v>5.30705963237748</v>
      </c>
      <c r="L2099" s="14" t="n">
        <v>5.31243828433424</v>
      </c>
      <c r="M2099" s="14" t="n">
        <v>2.219</v>
      </c>
      <c r="N2099" s="14" t="n">
        <v>2.321</v>
      </c>
      <c r="O2099" s="14" t="n">
        <v>2.403</v>
      </c>
      <c r="P2099" s="14" t="n">
        <v>2.49</v>
      </c>
      <c r="Q2099" s="14" t="n">
        <v>4.25</v>
      </c>
      <c r="R2099" s="14" t="n">
        <v>4.25</v>
      </c>
      <c r="S2099" s="14" t="n">
        <v>12.75</v>
      </c>
    </row>
    <row r="2100" customFormat="false" ht="15" hidden="false" customHeight="false" outlineLevel="0" collapsed="false">
      <c r="A2100" s="13" t="n">
        <v>45218</v>
      </c>
      <c r="B2100" s="14" t="n">
        <v>5.3</v>
      </c>
      <c r="C2100" s="14" t="n">
        <v>5.5</v>
      </c>
      <c r="D2100" s="14" t="n">
        <v>5.25</v>
      </c>
      <c r="E2100" s="14" t="n">
        <v>3.905</v>
      </c>
      <c r="F2100" s="14" t="n">
        <v>4</v>
      </c>
      <c r="G2100" s="14" t="n">
        <v>5.25</v>
      </c>
      <c r="H2100" s="14" t="n">
        <v>5.1873</v>
      </c>
      <c r="I2100" s="14" t="n">
        <v>5.21208781066018</v>
      </c>
      <c r="J2100" s="14" t="n">
        <v>5.25434432466383</v>
      </c>
      <c r="K2100" s="14" t="n">
        <v>5.29311827588769</v>
      </c>
      <c r="L2100" s="14" t="n">
        <v>5.29426721783948</v>
      </c>
      <c r="M2100" s="14" t="n">
        <v>2.226</v>
      </c>
      <c r="N2100" s="14" t="n">
        <v>2.333</v>
      </c>
      <c r="O2100" s="14" t="n">
        <v>2.411</v>
      </c>
      <c r="P2100" s="14" t="n">
        <v>2.497</v>
      </c>
      <c r="Q2100" s="14" t="n">
        <v>4.25</v>
      </c>
      <c r="R2100" s="14" t="n">
        <v>4.25</v>
      </c>
      <c r="S2100" s="14" t="n">
        <v>12.75</v>
      </c>
    </row>
    <row r="2101" customFormat="false" ht="15" hidden="false" customHeight="false" outlineLevel="0" collapsed="false">
      <c r="A2101" s="13" t="n">
        <v>45219</v>
      </c>
      <c r="B2101" s="14" t="n">
        <v>5.3</v>
      </c>
      <c r="C2101" s="14" t="n">
        <v>5.5</v>
      </c>
      <c r="D2101" s="14" t="n">
        <v>5.25</v>
      </c>
      <c r="E2101" s="14" t="n">
        <v>3.905</v>
      </c>
      <c r="F2101" s="14" t="n">
        <v>4</v>
      </c>
      <c r="G2101" s="14" t="n">
        <v>5.25</v>
      </c>
      <c r="H2101" s="14" t="n">
        <v>5.188</v>
      </c>
      <c r="I2101" s="14" t="n">
        <v>5.20457074159216</v>
      </c>
      <c r="J2101" s="14" t="n">
        <v>5.23657703454413</v>
      </c>
      <c r="K2101" s="14" t="n">
        <v>5.26875894008032</v>
      </c>
      <c r="L2101" s="14" t="n">
        <v>5.24049813850984</v>
      </c>
      <c r="M2101" s="14" t="n">
        <v>2.235</v>
      </c>
      <c r="N2101" s="14" t="n">
        <v>2.34</v>
      </c>
      <c r="O2101" s="14" t="n">
        <v>2.417</v>
      </c>
      <c r="P2101" s="14" t="n">
        <v>2.502</v>
      </c>
      <c r="Q2101" s="14" t="n">
        <v>4.25</v>
      </c>
      <c r="R2101" s="14" t="n">
        <v>4.25</v>
      </c>
      <c r="S2101" s="14" t="n">
        <v>12.75</v>
      </c>
    </row>
    <row r="2102" customFormat="false" ht="15" hidden="false" customHeight="false" outlineLevel="0" collapsed="false">
      <c r="A2102" s="13" t="n">
        <v>45222</v>
      </c>
      <c r="B2102" s="14" t="n">
        <v>5.3</v>
      </c>
      <c r="C2102" s="14" t="n">
        <v>5.5</v>
      </c>
      <c r="D2102" s="14" t="n">
        <v>5.25</v>
      </c>
      <c r="E2102" s="14" t="n">
        <v>3.905</v>
      </c>
      <c r="F2102" s="14" t="n">
        <v>4</v>
      </c>
      <c r="G2102" s="14" t="n">
        <v>5.25</v>
      </c>
      <c r="H2102" s="14" t="n">
        <v>5.1873</v>
      </c>
      <c r="I2102" s="14" t="n">
        <v>5.20898122513003</v>
      </c>
      <c r="J2102" s="14" t="n">
        <v>5.23943130369237</v>
      </c>
      <c r="K2102" s="14" t="n">
        <v>5.26593016711358</v>
      </c>
      <c r="L2102" s="14" t="n">
        <v>5.22758016515925</v>
      </c>
      <c r="M2102" s="14" t="n">
        <v>2.245</v>
      </c>
      <c r="N2102" s="14" t="n">
        <v>2.35</v>
      </c>
      <c r="O2102" s="14" t="n">
        <v>2.427</v>
      </c>
      <c r="P2102" s="14" t="n">
        <v>2.504</v>
      </c>
      <c r="Q2102" s="14" t="n">
        <v>4.25</v>
      </c>
      <c r="R2102" s="14" t="n">
        <v>4.25</v>
      </c>
      <c r="S2102" s="14" t="n">
        <v>12.75</v>
      </c>
    </row>
    <row r="2103" customFormat="false" ht="15" hidden="false" customHeight="false" outlineLevel="0" collapsed="false">
      <c r="A2103" s="13" t="n">
        <v>45223</v>
      </c>
      <c r="B2103" s="14" t="n">
        <v>5.3</v>
      </c>
      <c r="C2103" s="14" t="n">
        <v>5.5</v>
      </c>
      <c r="D2103" s="14" t="n">
        <v>5.25</v>
      </c>
      <c r="E2103" s="14" t="n">
        <v>3.904</v>
      </c>
      <c r="F2103" s="14" t="n">
        <v>4</v>
      </c>
      <c r="G2103" s="14" t="n">
        <v>5.25</v>
      </c>
      <c r="H2103" s="14" t="n">
        <v>5.1873</v>
      </c>
      <c r="I2103" s="14" t="n">
        <v>5.1986697082281</v>
      </c>
      <c r="J2103" s="14" t="n">
        <v>5.22384146231411</v>
      </c>
      <c r="K2103" s="14" t="n">
        <v>5.24363204242135</v>
      </c>
      <c r="L2103" s="14" t="n">
        <v>5.19302782137791</v>
      </c>
      <c r="M2103" s="14" t="n">
        <v>2.256</v>
      </c>
      <c r="N2103" s="14" t="n">
        <v>2.364</v>
      </c>
      <c r="O2103" s="14" t="n">
        <v>2.439</v>
      </c>
      <c r="P2103" s="14" t="n">
        <v>2.507</v>
      </c>
      <c r="Q2103" s="14" t="n">
        <v>4.25</v>
      </c>
      <c r="R2103" s="14" t="n">
        <v>4.25</v>
      </c>
      <c r="S2103" s="14" t="n">
        <v>12.75</v>
      </c>
    </row>
    <row r="2104" customFormat="false" ht="15" hidden="false" customHeight="false" outlineLevel="0" collapsed="false">
      <c r="A2104" s="13" t="n">
        <v>45224</v>
      </c>
      <c r="B2104" s="14" t="n">
        <v>5.3</v>
      </c>
      <c r="C2104" s="14" t="n">
        <v>5.5</v>
      </c>
      <c r="D2104" s="14" t="n">
        <v>5.25</v>
      </c>
      <c r="E2104" s="14" t="n">
        <v>3.9</v>
      </c>
      <c r="F2104" s="14" t="n">
        <v>4</v>
      </c>
      <c r="G2104" s="14" t="n">
        <v>5.25</v>
      </c>
      <c r="H2104" s="14" t="n">
        <v>5.1876</v>
      </c>
      <c r="I2104" s="14" t="n">
        <v>5.20054484300888</v>
      </c>
      <c r="J2104" s="14" t="n">
        <v>5.22728048524565</v>
      </c>
      <c r="K2104" s="14" t="n">
        <v>5.24764095098745</v>
      </c>
      <c r="L2104" s="14" t="n">
        <v>5.20188187734951</v>
      </c>
      <c r="M2104" s="14" t="n">
        <v>2.266</v>
      </c>
      <c r="N2104" s="14" t="n">
        <v>2.378</v>
      </c>
      <c r="O2104" s="14" t="n">
        <v>2.451</v>
      </c>
      <c r="P2104" s="14" t="n">
        <v>2.512</v>
      </c>
      <c r="Q2104" s="14" t="n">
        <v>4.25</v>
      </c>
      <c r="R2104" s="14" t="n">
        <v>4.25</v>
      </c>
      <c r="S2104" s="14" t="n">
        <v>12.75</v>
      </c>
    </row>
    <row r="2105" customFormat="false" ht="15" hidden="false" customHeight="false" outlineLevel="0" collapsed="false">
      <c r="A2105" s="13" t="n">
        <v>45225</v>
      </c>
      <c r="B2105" s="14" t="n">
        <v>5.31</v>
      </c>
      <c r="C2105" s="14" t="n">
        <v>5.5</v>
      </c>
      <c r="D2105" s="14" t="n">
        <v>5.25</v>
      </c>
      <c r="E2105" s="14" t="n">
        <v>3.901</v>
      </c>
      <c r="F2105" s="14" t="n">
        <v>4</v>
      </c>
      <c r="G2105" s="14" t="n">
        <v>5.25</v>
      </c>
      <c r="H2105" s="14" t="n">
        <v>5.1872</v>
      </c>
      <c r="I2105" s="14" t="n">
        <v>5.19918026556803</v>
      </c>
      <c r="J2105" s="14" t="n">
        <v>5.22249031385987</v>
      </c>
      <c r="K2105" s="14" t="n">
        <v>5.23905547432155</v>
      </c>
      <c r="L2105" s="14" t="n">
        <v>5.17555313705857</v>
      </c>
      <c r="M2105" s="14" t="n">
        <v>2.268</v>
      </c>
      <c r="N2105" s="14" t="n">
        <v>2.39</v>
      </c>
      <c r="O2105" s="14" t="n">
        <v>2.454</v>
      </c>
      <c r="P2105" s="14" t="n">
        <v>2.512</v>
      </c>
      <c r="Q2105" s="14" t="n">
        <v>4.25</v>
      </c>
      <c r="R2105" s="14" t="n">
        <v>4.25</v>
      </c>
      <c r="S2105" s="14" t="n">
        <v>12.75</v>
      </c>
    </row>
    <row r="2106" customFormat="false" ht="15" hidden="false" customHeight="false" outlineLevel="0" collapsed="false">
      <c r="A2106" s="13" t="n">
        <v>45226</v>
      </c>
      <c r="B2106" s="14" t="n">
        <v>5.31</v>
      </c>
      <c r="C2106" s="14" t="n">
        <v>5.5</v>
      </c>
      <c r="D2106" s="14" t="n">
        <v>5.25</v>
      </c>
      <c r="E2106" s="14" t="n">
        <v>3.903</v>
      </c>
      <c r="F2106" s="14" t="n">
        <v>4</v>
      </c>
      <c r="G2106" s="14" t="n">
        <v>5.25</v>
      </c>
      <c r="H2106" s="14" t="n">
        <v>5.1866</v>
      </c>
      <c r="I2106" s="14" t="n">
        <v>5.19592443334239</v>
      </c>
      <c r="J2106" s="14" t="n">
        <v>5.22312547461319</v>
      </c>
      <c r="K2106" s="14" t="n">
        <v>5.24333126492214</v>
      </c>
      <c r="L2106" s="14" t="n">
        <v>5.17278880221536</v>
      </c>
      <c r="M2106" s="14" t="n">
        <v>2.269</v>
      </c>
      <c r="N2106" s="14" t="n">
        <v>2.399</v>
      </c>
      <c r="O2106" s="14" t="n">
        <v>2.457</v>
      </c>
      <c r="P2106" s="14" t="n">
        <v>2.515</v>
      </c>
      <c r="Q2106" s="14" t="n">
        <v>4.25</v>
      </c>
      <c r="R2106" s="14" t="n">
        <v>4.25</v>
      </c>
      <c r="S2106" s="14" t="n">
        <v>12.75</v>
      </c>
    </row>
    <row r="2107" customFormat="false" ht="15" hidden="false" customHeight="false" outlineLevel="0" collapsed="false">
      <c r="A2107" s="13" t="n">
        <v>45229</v>
      </c>
      <c r="B2107" s="14" t="n">
        <v>5.31</v>
      </c>
      <c r="C2107" s="14" t="n">
        <v>5.5</v>
      </c>
      <c r="D2107" s="14" t="n">
        <v>5.25</v>
      </c>
      <c r="E2107" s="14" t="n">
        <v>3.899</v>
      </c>
      <c r="F2107" s="14" t="n">
        <v>4</v>
      </c>
      <c r="G2107" s="14" t="n">
        <v>5.25</v>
      </c>
      <c r="H2107" s="14" t="n">
        <v>5.1867</v>
      </c>
      <c r="I2107" s="14" t="n">
        <v>5.19634450083728</v>
      </c>
      <c r="J2107" s="14" t="n">
        <v>5.21946070469871</v>
      </c>
      <c r="K2107" s="14" t="n">
        <v>5.23262241295951</v>
      </c>
      <c r="L2107" s="14" t="n">
        <v>5.1551595807126</v>
      </c>
      <c r="M2107" s="14" t="n">
        <v>2.271</v>
      </c>
      <c r="N2107" s="14" t="n">
        <v>2.406</v>
      </c>
      <c r="O2107" s="14" t="n">
        <v>2.466</v>
      </c>
      <c r="P2107" s="14" t="n">
        <v>2.523</v>
      </c>
      <c r="Q2107" s="14" t="n">
        <v>4.25</v>
      </c>
      <c r="R2107" s="14" t="n">
        <v>4.25</v>
      </c>
      <c r="S2107" s="14" t="n">
        <v>12.75</v>
      </c>
    </row>
    <row r="2108" customFormat="false" ht="15" hidden="false" customHeight="false" outlineLevel="0" collapsed="false">
      <c r="A2108" s="13" t="n">
        <v>45230</v>
      </c>
      <c r="B2108" s="14" t="n">
        <v>5.35</v>
      </c>
      <c r="C2108" s="14" t="n">
        <v>5.5</v>
      </c>
      <c r="D2108" s="14" t="n">
        <v>5.25</v>
      </c>
      <c r="E2108" s="14" t="n">
        <v>3.882</v>
      </c>
      <c r="F2108" s="14" t="n">
        <v>4</v>
      </c>
      <c r="G2108" s="14" t="n">
        <v>5.25</v>
      </c>
      <c r="H2108" s="14" t="n">
        <v>5.1861</v>
      </c>
      <c r="I2108" s="14" t="n">
        <v>5.1973809342262</v>
      </c>
      <c r="J2108" s="14" t="n">
        <v>5.22390779924115</v>
      </c>
      <c r="K2108" s="14" t="n">
        <v>5.23943953840397</v>
      </c>
      <c r="L2108" s="14" t="n">
        <v>5.16467379884399</v>
      </c>
      <c r="M2108" s="14" t="n">
        <v>2.268</v>
      </c>
      <c r="N2108" s="14" t="n">
        <v>2.415</v>
      </c>
      <c r="O2108" s="14" t="n">
        <v>2.475</v>
      </c>
      <c r="P2108" s="14" t="n">
        <v>2.53</v>
      </c>
      <c r="Q2108" s="14" t="n">
        <v>4.25</v>
      </c>
      <c r="R2108" s="14" t="n">
        <v>4.25</v>
      </c>
      <c r="S2108" s="14" t="n">
        <v>12.75</v>
      </c>
    </row>
    <row r="2109" customFormat="false" ht="15" hidden="false" customHeight="false" outlineLevel="0" collapsed="false">
      <c r="A2109" s="13" t="n">
        <v>45231</v>
      </c>
      <c r="B2109" s="14" t="n">
        <v>5.32</v>
      </c>
      <c r="C2109" s="14" t="n">
        <v>5.5</v>
      </c>
      <c r="D2109" s="14" t="n">
        <v>5.25</v>
      </c>
      <c r="E2109" s="14" t="n">
        <v>3.9</v>
      </c>
      <c r="F2109" s="14" t="n">
        <v>4</v>
      </c>
      <c r="G2109" s="14" t="n">
        <v>5.25</v>
      </c>
      <c r="H2109" s="14" t="n">
        <v>5.1865</v>
      </c>
      <c r="I2109" s="14" t="n">
        <v>5.19913108853852</v>
      </c>
      <c r="J2109" s="14" t="n">
        <v>5.22716271129691</v>
      </c>
      <c r="K2109" s="14" t="n">
        <v>5.24383192049958</v>
      </c>
      <c r="L2109" s="14" t="n">
        <v>5.16726201133923</v>
      </c>
      <c r="M2109" s="14" t="n">
        <v>2.265</v>
      </c>
      <c r="N2109" s="14" t="n">
        <v>2.421</v>
      </c>
      <c r="O2109" s="14" t="n">
        <v>2.481</v>
      </c>
      <c r="P2109" s="14" t="n">
        <v>2.536</v>
      </c>
      <c r="Q2109" s="14" t="n">
        <v>4.25</v>
      </c>
      <c r="R2109" s="14" t="n">
        <v>4.25</v>
      </c>
      <c r="S2109" s="14" t="n">
        <v>12.75</v>
      </c>
    </row>
    <row r="2110" customFormat="false" ht="15" hidden="false" customHeight="false" outlineLevel="0" collapsed="false">
      <c r="A2110" s="13" t="n">
        <v>45232</v>
      </c>
      <c r="B2110" s="14" t="n">
        <v>5.33</v>
      </c>
      <c r="C2110" s="14" t="n">
        <v>5.5</v>
      </c>
      <c r="D2110" s="14" t="n">
        <v>5.25</v>
      </c>
      <c r="E2110" s="14" t="n">
        <v>3.903</v>
      </c>
      <c r="F2110" s="14" t="n">
        <v>4</v>
      </c>
      <c r="G2110" s="14" t="n">
        <v>5.25</v>
      </c>
      <c r="H2110" s="14" t="n">
        <v>5.187</v>
      </c>
      <c r="I2110" s="14" t="n">
        <v>5.18679831320157</v>
      </c>
      <c r="J2110" s="14" t="n">
        <v>5.21469945997538</v>
      </c>
      <c r="K2110" s="14" t="n">
        <v>5.23206667880978</v>
      </c>
      <c r="L2110" s="14" t="n">
        <v>5.1462326217012</v>
      </c>
      <c r="M2110" s="14" t="n">
        <v>2.262</v>
      </c>
      <c r="N2110" s="14" t="n">
        <v>2.426</v>
      </c>
      <c r="O2110" s="14" t="n">
        <v>2.485</v>
      </c>
      <c r="P2110" s="14" t="n">
        <v>2.541</v>
      </c>
      <c r="Q2110" s="14" t="n">
        <v>4.25</v>
      </c>
      <c r="R2110" s="14" t="n">
        <v>4.25</v>
      </c>
      <c r="S2110" s="14" t="n">
        <v>12.25</v>
      </c>
    </row>
    <row r="2111" customFormat="false" ht="15" hidden="false" customHeight="false" outlineLevel="0" collapsed="false">
      <c r="A2111" s="13" t="n">
        <v>45233</v>
      </c>
      <c r="B2111" s="14" t="n">
        <v>5.32</v>
      </c>
      <c r="C2111" s="14" t="n">
        <v>5.5</v>
      </c>
      <c r="D2111" s="14" t="n">
        <v>5.25</v>
      </c>
      <c r="E2111" s="14" t="n">
        <v>3.902</v>
      </c>
      <c r="F2111" s="14" t="n">
        <v>4</v>
      </c>
      <c r="G2111" s="14" t="n">
        <v>5.25</v>
      </c>
      <c r="H2111" s="14" t="n">
        <v>5.187</v>
      </c>
      <c r="I2111" s="14" t="n">
        <v>5.18822331006928</v>
      </c>
      <c r="J2111" s="14" t="n">
        <v>5.2098181704284</v>
      </c>
      <c r="K2111" s="14" t="n">
        <v>5.21893523635919</v>
      </c>
      <c r="L2111" s="14" t="n">
        <v>5.11623080791134</v>
      </c>
      <c r="M2111" s="14" t="n">
        <v>2.25</v>
      </c>
      <c r="N2111" s="14" t="n">
        <v>2.43</v>
      </c>
      <c r="O2111" s="14" t="n">
        <v>2.491</v>
      </c>
      <c r="P2111" s="14" t="n">
        <v>2.543</v>
      </c>
      <c r="Q2111" s="14" t="n">
        <v>4.25</v>
      </c>
      <c r="R2111" s="14" t="n">
        <v>4.25</v>
      </c>
      <c r="S2111" s="14" t="n">
        <v>12.25</v>
      </c>
    </row>
    <row r="2112" customFormat="false" ht="15" hidden="false" customHeight="false" outlineLevel="0" collapsed="false">
      <c r="A2112" s="13" t="n">
        <v>45236</v>
      </c>
      <c r="B2112" s="14" t="n">
        <v>5.32</v>
      </c>
      <c r="C2112" s="14" t="n">
        <v>5.5</v>
      </c>
      <c r="D2112" s="14" t="n">
        <v>5.25</v>
      </c>
      <c r="E2112" s="14" t="n">
        <v>3.9</v>
      </c>
      <c r="F2112" s="14" t="n">
        <v>4</v>
      </c>
      <c r="G2112" s="14" t="n">
        <v>5.25</v>
      </c>
      <c r="H2112" s="14" t="n">
        <v>5.1867</v>
      </c>
      <c r="I2112" s="14" t="n">
        <v>5.18739329593703</v>
      </c>
      <c r="J2112" s="14" t="n">
        <v>5.21087598504832</v>
      </c>
      <c r="K2112" s="14" t="n">
        <v>5.22237533331786</v>
      </c>
      <c r="L2112" s="14" t="n">
        <v>5.11464589430067</v>
      </c>
      <c r="M2112" s="14" t="n">
        <v>2.249</v>
      </c>
      <c r="N2112" s="14" t="n">
        <v>2.438</v>
      </c>
      <c r="O2112" s="14" t="n">
        <v>2.495</v>
      </c>
      <c r="P2112" s="14" t="n">
        <v>2.544</v>
      </c>
      <c r="Q2112" s="14" t="n">
        <v>4.25</v>
      </c>
      <c r="R2112" s="14" t="n">
        <v>4.25</v>
      </c>
      <c r="S2112" s="14" t="n">
        <v>12.25</v>
      </c>
    </row>
    <row r="2113" customFormat="false" ht="15" hidden="false" customHeight="false" outlineLevel="0" collapsed="false">
      <c r="A2113" s="13" t="n">
        <v>45237</v>
      </c>
      <c r="B2113" s="14" t="n">
        <v>5.32</v>
      </c>
      <c r="C2113" s="14" t="n">
        <v>5.5</v>
      </c>
      <c r="D2113" s="14" t="n">
        <v>5.25</v>
      </c>
      <c r="E2113" s="14" t="n">
        <v>3.902</v>
      </c>
      <c r="F2113" s="14" t="n">
        <v>4</v>
      </c>
      <c r="G2113" s="14" t="n">
        <v>5.25</v>
      </c>
      <c r="H2113" s="14" t="n">
        <v>5.1864</v>
      </c>
      <c r="I2113" s="14" t="n">
        <v>5.18848979487118</v>
      </c>
      <c r="J2113" s="14" t="n">
        <v>5.204696695277</v>
      </c>
      <c r="K2113" s="14" t="n">
        <v>5.1985301677718</v>
      </c>
      <c r="L2113" s="14" t="n">
        <v>5.06865672303922</v>
      </c>
      <c r="M2113" s="14" t="n">
        <v>2.245</v>
      </c>
      <c r="N2113" s="14" t="n">
        <v>2.445</v>
      </c>
      <c r="O2113" s="14" t="n">
        <v>2.501</v>
      </c>
      <c r="P2113" s="14" t="n">
        <v>2.546</v>
      </c>
      <c r="Q2113" s="14" t="n">
        <v>4.25</v>
      </c>
      <c r="R2113" s="14" t="n">
        <v>4.25</v>
      </c>
      <c r="S2113" s="14" t="n">
        <v>12.25</v>
      </c>
    </row>
    <row r="2114" customFormat="false" ht="15" hidden="false" customHeight="false" outlineLevel="0" collapsed="false">
      <c r="A2114" s="13" t="n">
        <v>45238</v>
      </c>
      <c r="B2114" s="14" t="n">
        <v>5.32</v>
      </c>
      <c r="C2114" s="14" t="n">
        <v>5.5</v>
      </c>
      <c r="D2114" s="14" t="n">
        <v>5.25</v>
      </c>
      <c r="E2114" s="14" t="n">
        <v>3.902</v>
      </c>
      <c r="F2114" s="14" t="n">
        <v>4</v>
      </c>
      <c r="G2114" s="14" t="n">
        <v>5.25</v>
      </c>
      <c r="H2114" s="14" t="n">
        <v>5.1866</v>
      </c>
      <c r="I2114" s="14" t="n">
        <v>5.18840877019049</v>
      </c>
      <c r="J2114" s="14" t="n">
        <v>5.21127755258322</v>
      </c>
      <c r="K2114" s="14" t="n">
        <v>5.2151516131287</v>
      </c>
      <c r="L2114" s="14" t="n">
        <v>5.09133390858472</v>
      </c>
      <c r="M2114" s="14" t="n">
        <v>2.24</v>
      </c>
      <c r="N2114" s="14" t="n">
        <v>2.449</v>
      </c>
      <c r="O2114" s="14" t="n">
        <v>2.503</v>
      </c>
      <c r="P2114" s="14" t="n">
        <v>2.552</v>
      </c>
      <c r="Q2114" s="14" t="n">
        <v>4.25</v>
      </c>
      <c r="R2114" s="14" t="n">
        <v>4.25</v>
      </c>
      <c r="S2114" s="14" t="n">
        <v>12.25</v>
      </c>
    </row>
    <row r="2115" customFormat="false" ht="15" hidden="false" customHeight="false" outlineLevel="0" collapsed="false">
      <c r="A2115" s="13" t="n">
        <v>45239</v>
      </c>
      <c r="B2115" s="14" t="n">
        <v>5.32</v>
      </c>
      <c r="C2115" s="14" t="n">
        <v>5.5</v>
      </c>
      <c r="D2115" s="14" t="n">
        <v>5.25</v>
      </c>
      <c r="E2115" s="14" t="n">
        <v>3.902</v>
      </c>
      <c r="F2115" s="14" t="n">
        <v>4</v>
      </c>
      <c r="G2115" s="14" t="n">
        <v>5.25</v>
      </c>
      <c r="H2115" s="14" t="n">
        <v>5.1866</v>
      </c>
      <c r="I2115" s="14" t="n">
        <v>5.18753666892842</v>
      </c>
      <c r="J2115" s="14" t="n">
        <v>5.2065472047406</v>
      </c>
      <c r="K2115" s="14" t="n">
        <v>5.20574336172476</v>
      </c>
      <c r="L2115" s="14" t="n">
        <v>5.0823525290705</v>
      </c>
      <c r="M2115" s="14" t="n">
        <v>2.236</v>
      </c>
      <c r="N2115" s="14" t="n">
        <v>2.45</v>
      </c>
      <c r="O2115" s="14" t="n">
        <v>2.508</v>
      </c>
      <c r="P2115" s="14" t="n">
        <v>2.553</v>
      </c>
      <c r="Q2115" s="14" t="n">
        <v>4.25</v>
      </c>
      <c r="R2115" s="14" t="n">
        <v>4.25</v>
      </c>
      <c r="S2115" s="14" t="n">
        <v>12.25</v>
      </c>
    </row>
    <row r="2116" customFormat="false" ht="15" hidden="false" customHeight="false" outlineLevel="0" collapsed="false">
      <c r="A2116" s="13" t="n">
        <v>45240</v>
      </c>
      <c r="B2116" s="14" t="n">
        <v>5.32</v>
      </c>
      <c r="C2116" s="14" t="n">
        <v>5.5</v>
      </c>
      <c r="D2116" s="14" t="n">
        <v>5.25</v>
      </c>
      <c r="E2116" s="14" t="n">
        <v>3.904</v>
      </c>
      <c r="F2116" s="14" t="n">
        <v>4</v>
      </c>
      <c r="G2116" s="14" t="n">
        <v>5.25</v>
      </c>
      <c r="H2116" s="14" t="n">
        <v>5.1869</v>
      </c>
      <c r="I2116" s="14" t="n">
        <v>5.18831037635517</v>
      </c>
      <c r="J2116" s="14" t="n">
        <v>5.20731283597531</v>
      </c>
      <c r="K2116" s="14" t="n">
        <v>5.20715260023304</v>
      </c>
      <c r="L2116" s="14" t="n">
        <v>5.09441463476264</v>
      </c>
      <c r="M2116" s="14" t="n">
        <v>2.235</v>
      </c>
      <c r="N2116" s="14" t="n">
        <v>2.451</v>
      </c>
      <c r="O2116" s="14" t="n">
        <v>2.514</v>
      </c>
      <c r="P2116" s="14" t="n">
        <v>2.56</v>
      </c>
      <c r="Q2116" s="14" t="n">
        <v>4.25</v>
      </c>
      <c r="R2116" s="14" t="n">
        <v>4.25</v>
      </c>
      <c r="S2116" s="14" t="n">
        <v>12.25</v>
      </c>
    </row>
    <row r="2117" customFormat="false" ht="15" hidden="false" customHeight="false" outlineLevel="0" collapsed="false">
      <c r="A2117" s="13" t="n">
        <v>45243</v>
      </c>
      <c r="B2117" s="14" t="n">
        <v>5.32</v>
      </c>
      <c r="C2117" s="14" t="n">
        <v>5.5</v>
      </c>
      <c r="D2117" s="14" t="n">
        <v>5.25</v>
      </c>
      <c r="E2117" s="14" t="n">
        <v>3.903</v>
      </c>
      <c r="F2117" s="14" t="n">
        <v>4</v>
      </c>
      <c r="G2117" s="14" t="n">
        <v>5.25</v>
      </c>
      <c r="H2117" s="14" t="n">
        <v>5.1867</v>
      </c>
      <c r="I2117" s="14" t="n">
        <v>5.18902622005923</v>
      </c>
      <c r="J2117" s="14" t="n">
        <v>5.20843774920362</v>
      </c>
      <c r="K2117" s="14" t="n">
        <v>5.20652894206552</v>
      </c>
      <c r="L2117" s="14" t="n">
        <v>5.08918254707468</v>
      </c>
      <c r="M2117" s="14" t="n">
        <v>2.234</v>
      </c>
      <c r="N2117" s="14" t="n">
        <v>2.451</v>
      </c>
      <c r="O2117" s="14" t="n">
        <v>2.512</v>
      </c>
      <c r="P2117" s="14" t="n">
        <v>2.561</v>
      </c>
      <c r="Q2117" s="14" t="n">
        <v>4.25</v>
      </c>
      <c r="R2117" s="14" t="n">
        <v>4.25</v>
      </c>
      <c r="S2117" s="14" t="n">
        <v>12.25</v>
      </c>
    </row>
    <row r="2118" customFormat="false" ht="15" hidden="false" customHeight="false" outlineLevel="0" collapsed="false">
      <c r="A2118" s="13" t="n">
        <v>45244</v>
      </c>
      <c r="B2118" s="14" t="n">
        <v>5.32</v>
      </c>
      <c r="C2118" s="14" t="n">
        <v>5.5</v>
      </c>
      <c r="D2118" s="14" t="n">
        <v>5.25</v>
      </c>
      <c r="E2118" s="14" t="n">
        <v>3.902</v>
      </c>
      <c r="F2118" s="14" t="n">
        <v>4</v>
      </c>
      <c r="G2118" s="14" t="n">
        <v>5.25</v>
      </c>
      <c r="H2118" s="14" t="n">
        <v>5.1872</v>
      </c>
      <c r="I2118" s="14" t="n">
        <v>5.1890671735452</v>
      </c>
      <c r="J2118" s="14" t="n">
        <v>5.20381172707327</v>
      </c>
      <c r="K2118" s="14" t="n">
        <v>5.18835455852983</v>
      </c>
      <c r="L2118" s="14" t="n">
        <v>5.03465065856597</v>
      </c>
      <c r="M2118" s="14" t="n">
        <v>2.234</v>
      </c>
      <c r="N2118" s="14" t="n">
        <v>2.452</v>
      </c>
      <c r="O2118" s="14" t="n">
        <v>2.513</v>
      </c>
      <c r="P2118" s="14" t="n">
        <v>2.562</v>
      </c>
      <c r="Q2118" s="14" t="n">
        <v>4.25</v>
      </c>
      <c r="R2118" s="14" t="n">
        <v>4.25</v>
      </c>
      <c r="S2118" s="14" t="n">
        <v>12.25</v>
      </c>
    </row>
    <row r="2119" customFormat="false" ht="15" hidden="false" customHeight="false" outlineLevel="0" collapsed="false">
      <c r="A2119" s="13" t="n">
        <v>45245</v>
      </c>
      <c r="B2119" s="14" t="n">
        <v>5.32</v>
      </c>
      <c r="C2119" s="14" t="n">
        <v>5.5</v>
      </c>
      <c r="D2119" s="14" t="n">
        <v>5.25</v>
      </c>
      <c r="E2119" s="14" t="n">
        <v>3.899</v>
      </c>
      <c r="F2119" s="14" t="n">
        <v>4</v>
      </c>
      <c r="G2119" s="14" t="n">
        <v>5.25</v>
      </c>
      <c r="H2119" s="14" t="n">
        <v>5.1868</v>
      </c>
      <c r="I2119" s="14" t="n">
        <v>5.18647027999921</v>
      </c>
      <c r="J2119" s="14" t="n">
        <v>5.19652364010836</v>
      </c>
      <c r="K2119" s="14" t="n">
        <v>5.18197638055286</v>
      </c>
      <c r="L2119" s="14" t="n">
        <v>5.03558300326888</v>
      </c>
      <c r="M2119" s="14" t="n">
        <v>2.227</v>
      </c>
      <c r="N2119" s="14" t="n">
        <v>2.453</v>
      </c>
      <c r="O2119" s="14" t="n">
        <v>2.514</v>
      </c>
      <c r="P2119" s="14" t="n">
        <v>2.562</v>
      </c>
      <c r="Q2119" s="14" t="n">
        <v>4.25</v>
      </c>
      <c r="R2119" s="14" t="n">
        <v>4.25</v>
      </c>
      <c r="S2119" s="14" t="n">
        <v>12.25</v>
      </c>
    </row>
    <row r="2120" customFormat="false" ht="15" hidden="false" customHeight="false" outlineLevel="0" collapsed="false">
      <c r="A2120" s="13" t="n">
        <v>45246</v>
      </c>
      <c r="B2120" s="14" t="n">
        <v>5.32</v>
      </c>
      <c r="C2120" s="14" t="n">
        <v>5.5</v>
      </c>
      <c r="D2120" s="14" t="n">
        <v>5.25</v>
      </c>
      <c r="E2120" s="14" t="n">
        <v>3.906</v>
      </c>
      <c r="F2120" s="14" t="n">
        <v>4</v>
      </c>
      <c r="G2120" s="14" t="n">
        <v>5.25</v>
      </c>
      <c r="H2120" s="14" t="n">
        <v>5.1874</v>
      </c>
      <c r="I2120" s="14" t="n">
        <v>5.18628924462862</v>
      </c>
      <c r="J2120" s="14" t="n">
        <v>5.19384257748658</v>
      </c>
      <c r="K2120" s="14" t="n">
        <v>5.17680254494477</v>
      </c>
      <c r="L2120" s="14" t="n">
        <v>5.01700476952379</v>
      </c>
      <c r="M2120" s="14" t="n">
        <v>2.229</v>
      </c>
      <c r="N2120" s="14" t="n">
        <v>2.457</v>
      </c>
      <c r="O2120" s="14" t="n">
        <v>2.516</v>
      </c>
      <c r="P2120" s="14" t="n">
        <v>2.562</v>
      </c>
      <c r="Q2120" s="14" t="n">
        <v>4.25</v>
      </c>
      <c r="R2120" s="14" t="n">
        <v>4.25</v>
      </c>
      <c r="S2120" s="14" t="n">
        <v>12.25</v>
      </c>
    </row>
    <row r="2121" customFormat="false" ht="15" hidden="false" customHeight="false" outlineLevel="0" collapsed="false">
      <c r="A2121" s="13" t="n">
        <v>45247</v>
      </c>
      <c r="B2121" s="14" t="n">
        <v>5.32</v>
      </c>
      <c r="C2121" s="14" t="n">
        <v>5.5</v>
      </c>
      <c r="D2121" s="14" t="n">
        <v>5.25</v>
      </c>
      <c r="E2121" s="14" t="n">
        <v>3.902</v>
      </c>
      <c r="F2121" s="14" t="n">
        <v>4</v>
      </c>
      <c r="G2121" s="14" t="n">
        <v>5.25</v>
      </c>
      <c r="H2121" s="14" t="n">
        <v>5.1881</v>
      </c>
      <c r="I2121" s="14" t="n">
        <v>5.18843928275791</v>
      </c>
      <c r="J2121" s="14" t="n">
        <v>5.19617330170298</v>
      </c>
      <c r="K2121" s="14" t="n">
        <v>5.17386999886809</v>
      </c>
      <c r="L2121" s="14" t="n">
        <v>5.01097510327266</v>
      </c>
      <c r="M2121" s="14" t="n">
        <v>2.23</v>
      </c>
      <c r="N2121" s="14" t="n">
        <v>2.4611</v>
      </c>
      <c r="O2121" s="14" t="n">
        <v>2.52</v>
      </c>
      <c r="P2121" s="14" t="n">
        <v>2.5622</v>
      </c>
      <c r="Q2121" s="14" t="n">
        <v>4.25</v>
      </c>
      <c r="R2121" s="14" t="n">
        <v>4.25</v>
      </c>
      <c r="S2121" s="14" t="n">
        <v>12.25</v>
      </c>
    </row>
    <row r="2122" customFormat="false" ht="15" hidden="false" customHeight="false" outlineLevel="0" collapsed="false">
      <c r="A2122" s="13" t="n">
        <v>45250</v>
      </c>
      <c r="B2122" s="14" t="n">
        <v>5.31</v>
      </c>
      <c r="C2122" s="14" t="n">
        <v>5.5</v>
      </c>
      <c r="D2122" s="14" t="n">
        <v>5.25</v>
      </c>
      <c r="E2122" s="14" t="n">
        <v>3.903</v>
      </c>
      <c r="F2122" s="14" t="n">
        <v>4</v>
      </c>
      <c r="G2122" s="14" t="n">
        <v>5.25</v>
      </c>
      <c r="H2122" s="14" t="n">
        <v>5.1882</v>
      </c>
      <c r="I2122" s="14" t="n">
        <v>5.18864655765544</v>
      </c>
      <c r="J2122" s="14" t="n">
        <v>5.19731868556612</v>
      </c>
      <c r="K2122" s="14" t="n">
        <v>5.17270159277496</v>
      </c>
      <c r="L2122" s="14" t="n">
        <v>5.01038978106919</v>
      </c>
      <c r="M2122" s="14" t="n">
        <v>2.223</v>
      </c>
      <c r="N2122" s="14" t="n">
        <v>2.461</v>
      </c>
      <c r="O2122" s="14" t="n">
        <v>2.52</v>
      </c>
      <c r="P2122" s="14" t="n">
        <v>2.561</v>
      </c>
      <c r="Q2122" s="14" t="n">
        <v>4.25</v>
      </c>
      <c r="R2122" s="14" t="n">
        <v>4.25</v>
      </c>
      <c r="S2122" s="14" t="n">
        <v>12.25</v>
      </c>
    </row>
    <row r="2123" customFormat="false" ht="15" hidden="false" customHeight="false" outlineLevel="0" collapsed="false">
      <c r="A2123" s="13" t="n">
        <v>45251</v>
      </c>
      <c r="B2123" s="14" t="n">
        <v>5.31</v>
      </c>
      <c r="C2123" s="14" t="n">
        <v>5.5</v>
      </c>
      <c r="D2123" s="14" t="n">
        <v>5.25</v>
      </c>
      <c r="E2123" s="14" t="n">
        <v>3.901</v>
      </c>
      <c r="F2123" s="14" t="n">
        <v>4</v>
      </c>
      <c r="G2123" s="14" t="n">
        <v>5.25</v>
      </c>
      <c r="H2123" s="14" t="n">
        <v>5.1885</v>
      </c>
      <c r="I2123" s="14" t="n">
        <v>5.18974035213961</v>
      </c>
      <c r="J2123" s="14" t="n">
        <v>5.2016490246514</v>
      </c>
      <c r="K2123" s="14" t="n">
        <v>5.18683699247376</v>
      </c>
      <c r="L2123" s="14" t="n">
        <v>5.03613392445924</v>
      </c>
      <c r="M2123" s="14" t="n">
        <v>2.221</v>
      </c>
      <c r="N2123" s="14" t="n">
        <v>2.461</v>
      </c>
      <c r="O2123" s="14" t="n">
        <v>2.521</v>
      </c>
      <c r="P2123" s="14" t="n">
        <v>2.561</v>
      </c>
      <c r="Q2123" s="14" t="n">
        <v>4.25</v>
      </c>
      <c r="R2123" s="14" t="n">
        <v>4.25</v>
      </c>
      <c r="S2123" s="14" t="n">
        <v>12.25</v>
      </c>
    </row>
    <row r="2124" customFormat="false" ht="15" hidden="false" customHeight="false" outlineLevel="0" collapsed="false">
      <c r="A2124" s="13" t="n">
        <v>45252</v>
      </c>
      <c r="B2124" s="14" t="n">
        <v>5.31</v>
      </c>
      <c r="C2124" s="14" t="n">
        <v>5.5</v>
      </c>
      <c r="D2124" s="14" t="n">
        <v>5.25</v>
      </c>
      <c r="E2124" s="14" t="n">
        <v>3.902</v>
      </c>
      <c r="F2124" s="14" t="n">
        <v>4</v>
      </c>
      <c r="G2124" s="14" t="n">
        <v>5.25</v>
      </c>
      <c r="H2124" s="14" t="n">
        <v>5.1888</v>
      </c>
      <c r="I2124" s="14" t="n">
        <v>5.19019639006202</v>
      </c>
      <c r="J2124" s="14" t="n">
        <v>5.20536408384955</v>
      </c>
      <c r="K2124" s="14" t="n">
        <v>5.19872261703317</v>
      </c>
      <c r="L2124" s="14" t="n">
        <v>5.07327123376323</v>
      </c>
      <c r="M2124" s="14" t="n">
        <v>2.224</v>
      </c>
      <c r="N2124" s="14" t="n">
        <v>2.462</v>
      </c>
      <c r="O2124" s="14" t="n">
        <v>2.521</v>
      </c>
      <c r="P2124" s="14" t="n">
        <v>2.562</v>
      </c>
      <c r="Q2124" s="14" t="n">
        <v>4.25</v>
      </c>
      <c r="R2124" s="14" t="n">
        <v>4.25</v>
      </c>
      <c r="S2124" s="14" t="n">
        <v>12.25</v>
      </c>
    </row>
    <row r="2125" customFormat="false" ht="15" hidden="false" customHeight="false" outlineLevel="0" collapsed="false">
      <c r="A2125" s="13" t="n">
        <v>45253</v>
      </c>
      <c r="C2125" s="14" t="n">
        <v>5.5</v>
      </c>
      <c r="D2125" s="14" t="n">
        <v>5.25</v>
      </c>
      <c r="E2125" s="14" t="n">
        <v>3.902</v>
      </c>
      <c r="F2125" s="14" t="n">
        <v>4</v>
      </c>
      <c r="G2125" s="14" t="n">
        <v>5.25</v>
      </c>
      <c r="H2125" s="14" t="n">
        <v>5.1883</v>
      </c>
      <c r="I2125" s="14" t="n">
        <v>5.18917495399114</v>
      </c>
      <c r="J2125" s="14" t="n">
        <v>5.2090042963776</v>
      </c>
      <c r="K2125" s="14" t="n">
        <v>5.21667307581049</v>
      </c>
      <c r="L2125" s="14" t="n">
        <v>5.11320828365169</v>
      </c>
      <c r="M2125" s="14" t="n">
        <v>2.226</v>
      </c>
      <c r="N2125" s="14" t="n">
        <v>2.462</v>
      </c>
      <c r="O2125" s="14" t="n">
        <v>2.521</v>
      </c>
      <c r="P2125" s="14" t="n">
        <v>2.561</v>
      </c>
      <c r="Q2125" s="14" t="n">
        <v>4.25</v>
      </c>
      <c r="R2125" s="14" t="n">
        <v>4.25</v>
      </c>
      <c r="S2125" s="14" t="n">
        <v>12.25</v>
      </c>
    </row>
    <row r="2126" customFormat="false" ht="15" hidden="false" customHeight="false" outlineLevel="0" collapsed="false">
      <c r="A2126" s="13" t="n">
        <v>45254</v>
      </c>
      <c r="B2126" s="14" t="n">
        <v>5.32</v>
      </c>
      <c r="C2126" s="14" t="n">
        <v>5.5</v>
      </c>
      <c r="D2126" s="14" t="n">
        <v>5.25</v>
      </c>
      <c r="E2126" s="14" t="n">
        <v>3.904</v>
      </c>
      <c r="F2126" s="14" t="n">
        <v>4</v>
      </c>
      <c r="G2126" s="14" t="n">
        <v>5.25</v>
      </c>
      <c r="H2126" s="14" t="n">
        <v>5.1889</v>
      </c>
      <c r="I2126" s="14" t="n">
        <v>5.1902227473226</v>
      </c>
      <c r="J2126" s="14" t="n">
        <v>5.21148826597379</v>
      </c>
      <c r="K2126" s="14" t="n">
        <v>5.22225732459677</v>
      </c>
      <c r="L2126" s="14" t="n">
        <v>5.12651808057869</v>
      </c>
      <c r="M2126" s="14" t="n">
        <v>2.236</v>
      </c>
      <c r="N2126" s="14" t="n">
        <v>2.462</v>
      </c>
      <c r="O2126" s="14" t="n">
        <v>2.521</v>
      </c>
      <c r="P2126" s="14" t="n">
        <v>2.561</v>
      </c>
      <c r="Q2126" s="14" t="n">
        <v>4.25</v>
      </c>
      <c r="R2126" s="14" t="n">
        <v>4.25</v>
      </c>
      <c r="S2126" s="14" t="n">
        <v>12.25</v>
      </c>
    </row>
    <row r="2127" customFormat="false" ht="15" hidden="false" customHeight="false" outlineLevel="0" collapsed="false">
      <c r="A2127" s="13" t="n">
        <v>45257</v>
      </c>
      <c r="B2127" s="14" t="n">
        <v>5.32</v>
      </c>
      <c r="C2127" s="14" t="n">
        <v>5.5</v>
      </c>
      <c r="D2127" s="14" t="n">
        <v>5.25</v>
      </c>
      <c r="E2127" s="14" t="n">
        <v>3.903</v>
      </c>
      <c r="F2127" s="14" t="n">
        <v>4</v>
      </c>
      <c r="G2127" s="14" t="n">
        <v>5.25</v>
      </c>
      <c r="H2127" s="14" t="n">
        <v>5.188</v>
      </c>
      <c r="I2127" s="14" t="n">
        <v>5.1898210699322</v>
      </c>
      <c r="J2127" s="14" t="n">
        <v>5.20477178778428</v>
      </c>
      <c r="K2127" s="14" t="n">
        <v>5.20368027271325</v>
      </c>
      <c r="L2127" s="14" t="n">
        <v>5.08164737437725</v>
      </c>
      <c r="M2127" s="14" t="n">
        <v>2.255</v>
      </c>
      <c r="N2127" s="14" t="n">
        <v>2.463</v>
      </c>
      <c r="O2127" s="14" t="n">
        <v>2.523</v>
      </c>
      <c r="P2127" s="14" t="n">
        <v>2.563</v>
      </c>
      <c r="Q2127" s="14" t="n">
        <v>4.25</v>
      </c>
      <c r="R2127" s="14" t="n">
        <v>4.25</v>
      </c>
      <c r="S2127" s="14" t="n">
        <v>12.25</v>
      </c>
    </row>
    <row r="2128" customFormat="false" ht="15" hidden="false" customHeight="false" outlineLevel="0" collapsed="false">
      <c r="A2128" s="13" t="n">
        <v>45258</v>
      </c>
      <c r="B2128" s="14" t="n">
        <v>5.32</v>
      </c>
      <c r="C2128" s="14" t="n">
        <v>5.5</v>
      </c>
      <c r="D2128" s="14" t="n">
        <v>5.25</v>
      </c>
      <c r="E2128" s="14" t="n">
        <v>3.903</v>
      </c>
      <c r="F2128" s="14" t="n">
        <v>4</v>
      </c>
      <c r="G2128" s="14" t="n">
        <v>5.25</v>
      </c>
      <c r="H2128" s="14" t="n">
        <v>5.1879</v>
      </c>
      <c r="I2128" s="14" t="n">
        <v>5.19021575797524</v>
      </c>
      <c r="J2128" s="14" t="n">
        <v>5.2016707749262</v>
      </c>
      <c r="K2128" s="14" t="n">
        <v>5.19293096106124</v>
      </c>
      <c r="L2128" s="14" t="n">
        <v>5.05399089415035</v>
      </c>
      <c r="M2128" s="14" t="n">
        <v>2.267</v>
      </c>
      <c r="N2128" s="14" t="n">
        <v>2.465</v>
      </c>
      <c r="O2128" s="14" t="n">
        <v>2.524</v>
      </c>
      <c r="P2128" s="14" t="n">
        <v>2.564</v>
      </c>
      <c r="Q2128" s="14" t="n">
        <v>4.25</v>
      </c>
      <c r="R2128" s="14" t="n">
        <v>4.25</v>
      </c>
      <c r="S2128" s="14" t="n">
        <v>12.25</v>
      </c>
    </row>
    <row r="2129" customFormat="false" ht="15" hidden="false" customHeight="false" outlineLevel="0" collapsed="false">
      <c r="A2129" s="13" t="n">
        <v>45259</v>
      </c>
      <c r="B2129" s="14" t="n">
        <v>5.31</v>
      </c>
      <c r="C2129" s="14" t="n">
        <v>5.5</v>
      </c>
      <c r="D2129" s="14" t="n">
        <v>5.25</v>
      </c>
      <c r="E2129" s="14" t="n">
        <v>3.902</v>
      </c>
      <c r="F2129" s="14" t="n">
        <v>4</v>
      </c>
      <c r="G2129" s="14" t="n">
        <v>5.25</v>
      </c>
      <c r="H2129" s="14" t="n">
        <v>5.1879</v>
      </c>
      <c r="I2129" s="14" t="n">
        <v>5.18874057882459</v>
      </c>
      <c r="J2129" s="14" t="n">
        <v>5.1988099235903</v>
      </c>
      <c r="K2129" s="14" t="n">
        <v>5.18473906962901</v>
      </c>
      <c r="L2129" s="14" t="n">
        <v>5.02436769656315</v>
      </c>
      <c r="M2129" s="14" t="n">
        <v>2.279</v>
      </c>
      <c r="N2129" s="14" t="n">
        <v>2.481</v>
      </c>
      <c r="O2129" s="14" t="n">
        <v>2.525</v>
      </c>
      <c r="P2129" s="14" t="n">
        <v>2.564</v>
      </c>
      <c r="Q2129" s="14" t="n">
        <v>4.25</v>
      </c>
      <c r="R2129" s="14" t="n">
        <v>4.25</v>
      </c>
      <c r="S2129" s="14" t="n">
        <v>12.25</v>
      </c>
    </row>
    <row r="2130" customFormat="false" ht="15" hidden="false" customHeight="false" outlineLevel="0" collapsed="false">
      <c r="A2130" s="13" t="n">
        <v>45260</v>
      </c>
      <c r="B2130" s="14" t="n">
        <v>5.33</v>
      </c>
      <c r="C2130" s="14" t="n">
        <v>5.5</v>
      </c>
      <c r="D2130" s="14" t="n">
        <v>5.25</v>
      </c>
      <c r="E2130" s="14" t="n">
        <v>3.891</v>
      </c>
      <c r="F2130" s="14" t="n">
        <v>4</v>
      </c>
      <c r="G2130" s="14" t="n">
        <v>5.25</v>
      </c>
      <c r="H2130" s="14" t="n">
        <v>5.1881</v>
      </c>
      <c r="I2130" s="14" t="n">
        <v>5.18745821700367</v>
      </c>
      <c r="J2130" s="14" t="n">
        <v>5.19717860158449</v>
      </c>
      <c r="K2130" s="14" t="n">
        <v>5.18493972085102</v>
      </c>
      <c r="L2130" s="14" t="n">
        <v>5.04754343056939</v>
      </c>
      <c r="M2130" s="14" t="n">
        <v>2.297</v>
      </c>
      <c r="N2130" s="14" t="n">
        <v>2.493</v>
      </c>
      <c r="O2130" s="14" t="n">
        <v>2.527</v>
      </c>
      <c r="P2130" s="14" t="n">
        <v>2.564</v>
      </c>
      <c r="Q2130" s="14" t="n">
        <v>4.25</v>
      </c>
      <c r="R2130" s="14" t="n">
        <v>4.25</v>
      </c>
      <c r="S2130" s="14" t="n">
        <v>12.25</v>
      </c>
    </row>
    <row r="2131" customFormat="false" ht="15" hidden="false" customHeight="false" outlineLevel="0" collapsed="false">
      <c r="A2131" s="13" t="n">
        <v>45261</v>
      </c>
      <c r="B2131" s="14" t="n">
        <v>5.39</v>
      </c>
      <c r="C2131" s="14" t="n">
        <v>5.5</v>
      </c>
      <c r="D2131" s="14" t="n">
        <v>5.25</v>
      </c>
      <c r="E2131" s="14" t="n">
        <v>3.904</v>
      </c>
      <c r="F2131" s="14" t="n">
        <v>4</v>
      </c>
      <c r="G2131" s="14" t="n">
        <v>5.25</v>
      </c>
      <c r="H2131" s="14" t="n">
        <v>5.1886</v>
      </c>
      <c r="I2131" s="14" t="n">
        <v>5.18983486502421</v>
      </c>
      <c r="J2131" s="14" t="n">
        <v>5.19507097996322</v>
      </c>
      <c r="K2131" s="14" t="n">
        <v>5.1680948143205</v>
      </c>
      <c r="L2131" s="14" t="n">
        <v>4.99204311748172</v>
      </c>
      <c r="M2131" s="14" t="n">
        <v>2.302</v>
      </c>
      <c r="N2131" s="14" t="n">
        <v>2.503</v>
      </c>
      <c r="O2131" s="14" t="n">
        <v>2.53</v>
      </c>
      <c r="P2131" s="14" t="n">
        <v>2.565</v>
      </c>
      <c r="Q2131" s="14" t="n">
        <v>4.25</v>
      </c>
      <c r="R2131" s="14" t="n">
        <v>4.25</v>
      </c>
      <c r="S2131" s="14" t="n">
        <v>12.25</v>
      </c>
    </row>
    <row r="2132" customFormat="false" ht="15" hidden="false" customHeight="false" outlineLevel="0" collapsed="false">
      <c r="A2132" s="13" t="n">
        <v>45264</v>
      </c>
      <c r="B2132" s="14" t="n">
        <v>5.37</v>
      </c>
      <c r="C2132" s="14" t="n">
        <v>5.5</v>
      </c>
      <c r="D2132" s="14" t="n">
        <v>5.25</v>
      </c>
      <c r="E2132" s="14" t="n">
        <v>3.904</v>
      </c>
      <c r="F2132" s="14" t="n">
        <v>4</v>
      </c>
      <c r="G2132" s="14" t="n">
        <v>5.25</v>
      </c>
      <c r="H2132" s="14" t="n">
        <v>5.1878</v>
      </c>
      <c r="I2132" s="14" t="n">
        <v>5.19031095998272</v>
      </c>
      <c r="J2132" s="14" t="n">
        <v>5.19610345145874</v>
      </c>
      <c r="K2132" s="14" t="n">
        <v>5.17295143078161</v>
      </c>
      <c r="L2132" s="14" t="n">
        <v>5.01529035696829</v>
      </c>
      <c r="M2132" s="14" t="n">
        <v>2.308</v>
      </c>
      <c r="N2132" s="14" t="n">
        <v>2.519</v>
      </c>
      <c r="O2132" s="14" t="n">
        <v>2.539</v>
      </c>
      <c r="P2132" s="14" t="n">
        <v>2.567</v>
      </c>
      <c r="Q2132" s="14" t="n">
        <v>4.25</v>
      </c>
      <c r="R2132" s="14" t="n">
        <v>4.25</v>
      </c>
      <c r="S2132" s="14" t="n">
        <v>12.25</v>
      </c>
    </row>
    <row r="2133" customFormat="false" ht="15" hidden="false" customHeight="false" outlineLevel="0" collapsed="false">
      <c r="A2133" s="13" t="n">
        <v>45265</v>
      </c>
      <c r="B2133" s="14" t="n">
        <v>5.33</v>
      </c>
      <c r="C2133" s="14" t="n">
        <v>5.5</v>
      </c>
      <c r="D2133" s="14" t="n">
        <v>5.25</v>
      </c>
      <c r="E2133" s="14" t="n">
        <v>3.905</v>
      </c>
      <c r="F2133" s="14" t="n">
        <v>4</v>
      </c>
      <c r="G2133" s="14" t="n">
        <v>5.25</v>
      </c>
      <c r="H2133" s="14" t="n">
        <v>5.1875</v>
      </c>
      <c r="I2133" s="14" t="n">
        <v>5.18929521361226</v>
      </c>
      <c r="J2133" s="14" t="n">
        <v>5.19218217610022</v>
      </c>
      <c r="K2133" s="14" t="n">
        <v>5.15567112207641</v>
      </c>
      <c r="L2133" s="14" t="n">
        <v>4.95897152377081</v>
      </c>
      <c r="M2133" s="14" t="n">
        <v>2.327</v>
      </c>
      <c r="N2133" s="14" t="n">
        <v>2.533</v>
      </c>
      <c r="O2133" s="14" t="n">
        <v>2.55</v>
      </c>
      <c r="P2133" s="14" t="n">
        <v>2.571</v>
      </c>
      <c r="Q2133" s="14" t="n">
        <v>4.25</v>
      </c>
      <c r="R2133" s="14" t="n">
        <v>4.25</v>
      </c>
      <c r="S2133" s="14" t="n">
        <v>12.25</v>
      </c>
    </row>
    <row r="2134" customFormat="false" ht="15" hidden="false" customHeight="false" outlineLevel="0" collapsed="false">
      <c r="A2134" s="13" t="n">
        <v>45266</v>
      </c>
      <c r="B2134" s="14" t="n">
        <v>5.32</v>
      </c>
      <c r="C2134" s="14" t="n">
        <v>5.5</v>
      </c>
      <c r="D2134" s="14" t="n">
        <v>5.25</v>
      </c>
      <c r="E2134" s="14" t="n">
        <v>3.904</v>
      </c>
      <c r="F2134" s="14" t="n">
        <v>4</v>
      </c>
      <c r="G2134" s="14" t="n">
        <v>5.25</v>
      </c>
      <c r="H2134" s="14" t="n">
        <v>5.1874</v>
      </c>
      <c r="I2134" s="14" t="n">
        <v>5.18788984786544</v>
      </c>
      <c r="J2134" s="14" t="n">
        <v>5.19006159974014</v>
      </c>
      <c r="K2134" s="14" t="n">
        <v>5.15203393085465</v>
      </c>
      <c r="L2134" s="14" t="n">
        <v>4.951916175262</v>
      </c>
      <c r="M2134" s="14" t="n">
        <v>2.34</v>
      </c>
      <c r="N2134" s="14" t="n">
        <v>2.537</v>
      </c>
      <c r="O2134" s="14" t="n">
        <v>2.561</v>
      </c>
      <c r="P2134" s="14" t="n">
        <v>2.577</v>
      </c>
      <c r="Q2134" s="14" t="n">
        <v>4.25</v>
      </c>
      <c r="R2134" s="14" t="n">
        <v>4.25</v>
      </c>
      <c r="S2134" s="14" t="n">
        <v>12.25</v>
      </c>
    </row>
    <row r="2135" customFormat="false" ht="15" hidden="false" customHeight="false" outlineLevel="0" collapsed="false">
      <c r="A2135" s="13" t="n">
        <v>45267</v>
      </c>
      <c r="B2135" s="14" t="n">
        <v>5.32</v>
      </c>
      <c r="C2135" s="14" t="n">
        <v>5.5</v>
      </c>
      <c r="D2135" s="14" t="n">
        <v>5.25</v>
      </c>
      <c r="E2135" s="14" t="n">
        <v>3.903</v>
      </c>
      <c r="F2135" s="14" t="n">
        <v>4</v>
      </c>
      <c r="G2135" s="14" t="n">
        <v>5.25</v>
      </c>
      <c r="H2135" s="14" t="n">
        <v>5.1875</v>
      </c>
      <c r="I2135" s="14" t="n">
        <v>5.18937705467235</v>
      </c>
      <c r="J2135" s="14" t="n">
        <v>5.19253121589742</v>
      </c>
      <c r="K2135" s="14" t="n">
        <v>5.15605426487096</v>
      </c>
      <c r="L2135" s="14" t="n">
        <v>4.95801565784181</v>
      </c>
      <c r="M2135" s="14" t="n">
        <v>2.354</v>
      </c>
      <c r="N2135" s="14" t="n">
        <v>2.554</v>
      </c>
      <c r="O2135" s="14" t="n">
        <v>2.581</v>
      </c>
      <c r="P2135" s="14" t="n">
        <v>2.6</v>
      </c>
      <c r="Q2135" s="14" t="n">
        <v>4.25</v>
      </c>
      <c r="R2135" s="14" t="n">
        <v>4.25</v>
      </c>
      <c r="S2135" s="14" t="n">
        <v>12.25</v>
      </c>
    </row>
    <row r="2136" customFormat="false" ht="15" hidden="false" customHeight="false" outlineLevel="0" collapsed="false">
      <c r="A2136" s="13" t="n">
        <v>45268</v>
      </c>
      <c r="B2136" s="14" t="n">
        <v>5.32</v>
      </c>
      <c r="C2136" s="14" t="n">
        <v>5.5</v>
      </c>
      <c r="D2136" s="14" t="n">
        <v>5.25</v>
      </c>
      <c r="E2136" s="14" t="n">
        <v>3.903</v>
      </c>
      <c r="F2136" s="14" t="n">
        <v>4</v>
      </c>
      <c r="G2136" s="14" t="n">
        <v>5.25</v>
      </c>
      <c r="H2136" s="14" t="n">
        <v>5.1872</v>
      </c>
      <c r="I2136" s="14" t="n">
        <v>5.18982744750027</v>
      </c>
      <c r="J2136" s="14" t="n">
        <v>5.1954719192653</v>
      </c>
      <c r="K2136" s="14" t="n">
        <v>5.16605735303655</v>
      </c>
      <c r="L2136" s="14" t="n">
        <v>4.97558505482545</v>
      </c>
      <c r="M2136" s="14" t="n">
        <v>2.372</v>
      </c>
      <c r="N2136" s="14" t="n">
        <v>2.564</v>
      </c>
      <c r="O2136" s="14" t="n">
        <v>2.596</v>
      </c>
      <c r="P2136" s="14" t="n">
        <v>2.621</v>
      </c>
      <c r="Q2136" s="14" t="n">
        <v>4.25</v>
      </c>
      <c r="R2136" s="14" t="n">
        <v>4.25</v>
      </c>
      <c r="S2136" s="14" t="n">
        <v>12.25</v>
      </c>
    </row>
    <row r="2137" customFormat="false" ht="15" hidden="false" customHeight="false" outlineLevel="0" collapsed="false">
      <c r="A2137" s="13" t="n">
        <v>45271</v>
      </c>
      <c r="B2137" s="14" t="n">
        <v>5.32</v>
      </c>
      <c r="C2137" s="14" t="n">
        <v>5.5</v>
      </c>
      <c r="D2137" s="14" t="n">
        <v>5.25</v>
      </c>
      <c r="E2137" s="14" t="n">
        <v>3.902</v>
      </c>
      <c r="F2137" s="14" t="n">
        <v>4</v>
      </c>
      <c r="G2137" s="14" t="n">
        <v>5.25</v>
      </c>
      <c r="H2137" s="14" t="n">
        <v>5.1876</v>
      </c>
      <c r="I2137" s="14" t="n">
        <v>5.19108799634727</v>
      </c>
      <c r="J2137" s="14" t="n">
        <v>5.19943525774594</v>
      </c>
      <c r="K2137" s="14" t="n">
        <v>5.17694274931489</v>
      </c>
      <c r="L2137" s="14" t="n">
        <v>5.00049320374555</v>
      </c>
      <c r="M2137" s="14" t="n">
        <v>2.411</v>
      </c>
      <c r="N2137" s="14" t="n">
        <v>2.572</v>
      </c>
      <c r="O2137" s="14" t="n">
        <v>2.607</v>
      </c>
      <c r="P2137" s="14" t="n">
        <v>2.635</v>
      </c>
      <c r="Q2137" s="14" t="n">
        <v>4.25</v>
      </c>
      <c r="R2137" s="14" t="n">
        <v>4.25</v>
      </c>
      <c r="S2137" s="14" t="n">
        <v>12.25</v>
      </c>
    </row>
    <row r="2138" customFormat="false" ht="15" hidden="false" customHeight="false" outlineLevel="0" collapsed="false">
      <c r="A2138" s="13" t="n">
        <v>45272</v>
      </c>
      <c r="B2138" s="14" t="n">
        <v>5.31</v>
      </c>
      <c r="C2138" s="14" t="n">
        <v>5.5</v>
      </c>
      <c r="D2138" s="14" t="n">
        <v>5.25</v>
      </c>
      <c r="E2138" s="14" t="n">
        <v>3.905</v>
      </c>
      <c r="F2138" s="14" t="n">
        <v>4</v>
      </c>
      <c r="G2138" s="14" t="n">
        <v>5.25</v>
      </c>
      <c r="H2138" s="14" t="n">
        <v>5.1878</v>
      </c>
      <c r="I2138" s="14" t="n">
        <v>5.1883894724545</v>
      </c>
      <c r="J2138" s="14" t="n">
        <v>5.19192479252397</v>
      </c>
      <c r="K2138" s="14" t="n">
        <v>5.15479858626183</v>
      </c>
      <c r="L2138" s="14" t="n">
        <v>4.93768352649677</v>
      </c>
      <c r="M2138" s="14" t="n">
        <v>2.439</v>
      </c>
      <c r="N2138" s="14" t="n">
        <v>2.585</v>
      </c>
      <c r="O2138" s="14" t="n">
        <v>2.616</v>
      </c>
      <c r="P2138" s="14" t="n">
        <v>2.644</v>
      </c>
      <c r="Q2138" s="14" t="n">
        <v>4.25</v>
      </c>
      <c r="R2138" s="14" t="n">
        <v>4.25</v>
      </c>
      <c r="S2138" s="14" t="n">
        <v>12.25</v>
      </c>
    </row>
    <row r="2139" customFormat="false" ht="15" hidden="false" customHeight="false" outlineLevel="0" collapsed="false">
      <c r="A2139" s="13" t="n">
        <v>45273</v>
      </c>
      <c r="B2139" s="14" t="n">
        <v>5.31</v>
      </c>
      <c r="C2139" s="14" t="n">
        <v>5.5</v>
      </c>
      <c r="D2139" s="14" t="n">
        <v>5.25</v>
      </c>
      <c r="E2139" s="14" t="n">
        <v>3.905</v>
      </c>
      <c r="F2139" s="14" t="n">
        <v>4</v>
      </c>
      <c r="G2139" s="14" t="n">
        <v>5.25</v>
      </c>
      <c r="H2139" s="14" t="n">
        <v>5.1874</v>
      </c>
      <c r="I2139" s="14" t="n">
        <v>5.18808788206342</v>
      </c>
      <c r="J2139" s="14" t="n">
        <v>5.18688140096755</v>
      </c>
      <c r="K2139" s="14" t="n">
        <v>5.12702141885582</v>
      </c>
      <c r="L2139" s="14" t="n">
        <v>4.86717969693463</v>
      </c>
      <c r="M2139" s="14" t="n">
        <v>2.445</v>
      </c>
      <c r="N2139" s="14" t="n">
        <v>2.593</v>
      </c>
      <c r="O2139" s="14" t="n">
        <v>2.626</v>
      </c>
      <c r="P2139" s="14" t="n">
        <v>2.647</v>
      </c>
      <c r="Q2139" s="14" t="n">
        <v>4.25</v>
      </c>
      <c r="R2139" s="14" t="n">
        <v>4.25</v>
      </c>
      <c r="S2139" s="14" t="n">
        <v>12.25</v>
      </c>
    </row>
    <row r="2140" customFormat="false" ht="15" hidden="false" customHeight="false" outlineLevel="0" collapsed="false">
      <c r="A2140" s="13" t="n">
        <v>45274</v>
      </c>
      <c r="B2140" s="14" t="n">
        <v>5.31</v>
      </c>
      <c r="C2140" s="14" t="n">
        <v>5.5</v>
      </c>
      <c r="D2140" s="14" t="n">
        <v>5.25</v>
      </c>
      <c r="E2140" s="14" t="n">
        <v>3.907</v>
      </c>
      <c r="F2140" s="14" t="n">
        <v>4</v>
      </c>
      <c r="G2140" s="14" t="n">
        <v>5.25</v>
      </c>
      <c r="H2140" s="14" t="n">
        <v>5.1859</v>
      </c>
      <c r="I2140" s="14" t="n">
        <v>5.18743624077527</v>
      </c>
      <c r="J2140" s="14" t="n">
        <v>5.18485847863405</v>
      </c>
      <c r="K2140" s="14" t="n">
        <v>5.11946433543211</v>
      </c>
      <c r="L2140" s="14" t="n">
        <v>4.83885487069424</v>
      </c>
      <c r="M2140" s="14" t="n">
        <v>2.451</v>
      </c>
      <c r="N2140" s="14" t="n">
        <v>2.597</v>
      </c>
      <c r="O2140" s="14" t="n">
        <v>2.626</v>
      </c>
      <c r="P2140" s="14" t="n">
        <v>2.649</v>
      </c>
      <c r="Q2140" s="14" t="n">
        <v>4.25</v>
      </c>
      <c r="R2140" s="14" t="n">
        <v>4.25</v>
      </c>
      <c r="S2140" s="14" t="n">
        <v>11.75</v>
      </c>
    </row>
    <row r="2141" customFormat="false" ht="15" hidden="false" customHeight="false" outlineLevel="0" collapsed="false">
      <c r="A2141" s="13" t="n">
        <v>45275</v>
      </c>
      <c r="B2141" s="14" t="n">
        <v>5.32</v>
      </c>
      <c r="C2141" s="14" t="n">
        <v>5.5</v>
      </c>
      <c r="D2141" s="14" t="n">
        <v>5.25</v>
      </c>
      <c r="E2141" s="14" t="n">
        <v>3.904</v>
      </c>
      <c r="F2141" s="14" t="n">
        <v>4</v>
      </c>
      <c r="G2141" s="14" t="n">
        <v>5.25</v>
      </c>
      <c r="H2141" s="14" t="n">
        <v>5.1858</v>
      </c>
      <c r="I2141" s="14" t="n">
        <v>5.18595161010153</v>
      </c>
      <c r="J2141" s="14" t="n">
        <v>5.1892556181176</v>
      </c>
      <c r="K2141" s="14" t="n">
        <v>5.13196413115915</v>
      </c>
      <c r="L2141" s="14" t="n">
        <v>4.83602201593141</v>
      </c>
      <c r="M2141" s="14" t="n">
        <v>2.454</v>
      </c>
      <c r="N2141" s="14" t="n">
        <v>2.601</v>
      </c>
      <c r="O2141" s="14" t="n">
        <v>2.626</v>
      </c>
      <c r="P2141" s="14" t="n">
        <v>2.649</v>
      </c>
      <c r="Q2141" s="14" t="n">
        <v>4.5</v>
      </c>
      <c r="R2141" s="14" t="n">
        <v>4.5</v>
      </c>
      <c r="S2141" s="14" t="n">
        <v>11.75</v>
      </c>
    </row>
    <row r="2142" customFormat="false" ht="15" hidden="false" customHeight="false" outlineLevel="0" collapsed="false">
      <c r="A2142" s="13" t="n">
        <v>45278</v>
      </c>
      <c r="B2142" s="14" t="n">
        <v>5.32</v>
      </c>
      <c r="C2142" s="14" t="n">
        <v>5.5</v>
      </c>
      <c r="D2142" s="14" t="n">
        <v>5.25</v>
      </c>
      <c r="E2142" s="14" t="n">
        <v>3.901</v>
      </c>
      <c r="F2142" s="14" t="n">
        <v>4</v>
      </c>
      <c r="G2142" s="14" t="n">
        <v>5.25</v>
      </c>
      <c r="H2142" s="14" t="n">
        <v>5.1865</v>
      </c>
      <c r="I2142" s="14" t="n">
        <v>5.18906792735432</v>
      </c>
      <c r="J2142" s="14" t="n">
        <v>5.18801732470937</v>
      </c>
      <c r="K2142" s="14" t="n">
        <v>5.11491129793967</v>
      </c>
      <c r="L2142" s="14" t="n">
        <v>4.81636264792681</v>
      </c>
      <c r="M2142" s="14" t="n">
        <v>2.464</v>
      </c>
      <c r="N2142" s="14" t="n">
        <v>2.603</v>
      </c>
      <c r="O2142" s="14" t="n">
        <v>2.626</v>
      </c>
      <c r="P2142" s="14" t="n">
        <v>2.649</v>
      </c>
      <c r="Q2142" s="14" t="n">
        <v>4.5</v>
      </c>
      <c r="R2142" s="14" t="n">
        <v>4.5</v>
      </c>
      <c r="S2142" s="14" t="n">
        <v>11.75</v>
      </c>
    </row>
    <row r="2143" customFormat="false" ht="15" hidden="false" customHeight="false" outlineLevel="0" collapsed="false">
      <c r="A2143" s="13" t="n">
        <v>45279</v>
      </c>
      <c r="B2143" s="14" t="n">
        <v>5.31</v>
      </c>
      <c r="C2143" s="14" t="n">
        <v>5.5</v>
      </c>
      <c r="D2143" s="14" t="n">
        <v>5.25</v>
      </c>
      <c r="E2143" s="14" t="n">
        <v>3.901</v>
      </c>
      <c r="F2143" s="14" t="n">
        <v>4</v>
      </c>
      <c r="G2143" s="14" t="n">
        <v>5.25</v>
      </c>
      <c r="H2143" s="14" t="n">
        <v>5.1863</v>
      </c>
      <c r="I2143" s="14" t="n">
        <v>5.18986902124077</v>
      </c>
      <c r="J2143" s="14" t="n">
        <v>5.19300996754208</v>
      </c>
      <c r="K2143" s="14" t="n">
        <v>5.13266237294439</v>
      </c>
      <c r="L2143" s="14" t="n">
        <v>4.8192458309387</v>
      </c>
      <c r="M2143" s="14" t="n">
        <v>2.468</v>
      </c>
      <c r="N2143" s="14" t="n">
        <v>2.601</v>
      </c>
      <c r="O2143" s="14" t="n">
        <v>2.627</v>
      </c>
      <c r="P2143" s="14" t="n">
        <v>2.65</v>
      </c>
      <c r="Q2143" s="14" t="n">
        <v>4.5</v>
      </c>
      <c r="R2143" s="14" t="n">
        <v>4.5</v>
      </c>
      <c r="S2143" s="14" t="n">
        <v>11.75</v>
      </c>
    </row>
    <row r="2144" customFormat="false" ht="15" hidden="false" customHeight="false" outlineLevel="0" collapsed="false">
      <c r="A2144" s="13" t="n">
        <v>45280</v>
      </c>
      <c r="B2144" s="14" t="n">
        <v>5.31</v>
      </c>
      <c r="C2144" s="14" t="n">
        <v>5.5</v>
      </c>
      <c r="D2144" s="14" t="n">
        <v>5.25</v>
      </c>
      <c r="E2144" s="14" t="n">
        <v>3.901</v>
      </c>
      <c r="F2144" s="14" t="n">
        <v>4</v>
      </c>
      <c r="G2144" s="14" t="n">
        <v>5.25</v>
      </c>
      <c r="H2144" s="14" t="n">
        <v>5.1864</v>
      </c>
      <c r="I2144" s="14" t="n">
        <v>5.18989936050356</v>
      </c>
      <c r="J2144" s="14" t="n">
        <v>5.17699924873404</v>
      </c>
      <c r="K2144" s="14" t="n">
        <v>5.0713447977746</v>
      </c>
      <c r="L2144" s="14" t="n">
        <v>4.68459589861137</v>
      </c>
      <c r="M2144" s="14" t="n">
        <v>2.472</v>
      </c>
      <c r="N2144" s="14" t="n">
        <v>2.601</v>
      </c>
      <c r="O2144" s="14" t="n">
        <v>2.627</v>
      </c>
      <c r="P2144" s="14" t="n">
        <v>2.65</v>
      </c>
      <c r="Q2144" s="14" t="n">
        <v>4.5</v>
      </c>
      <c r="R2144" s="14" t="n">
        <v>4.5</v>
      </c>
      <c r="S2144" s="14" t="n">
        <v>11.75</v>
      </c>
    </row>
    <row r="2145" customFormat="false" ht="15" hidden="false" customHeight="false" outlineLevel="0" collapsed="false">
      <c r="A2145" s="13" t="n">
        <v>45281</v>
      </c>
      <c r="B2145" s="14" t="n">
        <v>5.31</v>
      </c>
      <c r="C2145" s="14" t="n">
        <v>5.5</v>
      </c>
      <c r="D2145" s="14" t="n">
        <v>5.25</v>
      </c>
      <c r="E2145" s="14" t="n">
        <v>3.899</v>
      </c>
      <c r="F2145" s="14" t="n">
        <v>4</v>
      </c>
      <c r="G2145" s="14" t="n">
        <v>5.25</v>
      </c>
      <c r="H2145" s="14" t="n">
        <v>5.1861</v>
      </c>
      <c r="I2145" s="14" t="n">
        <v>5.19012719177792</v>
      </c>
      <c r="J2145" s="14" t="n">
        <v>5.18279791546482</v>
      </c>
      <c r="K2145" s="14" t="n">
        <v>5.08146842664255</v>
      </c>
      <c r="L2145" s="14" t="n">
        <v>4.69522221200967</v>
      </c>
      <c r="M2145" s="14" t="n">
        <v>2.491</v>
      </c>
      <c r="N2145" s="14" t="n">
        <v>2.604</v>
      </c>
      <c r="O2145" s="14" t="n">
        <v>2.632</v>
      </c>
      <c r="P2145" s="14" t="n">
        <v>2.651</v>
      </c>
      <c r="Q2145" s="14" t="n">
        <v>4.5</v>
      </c>
      <c r="R2145" s="14" t="n">
        <v>4.5</v>
      </c>
      <c r="S2145" s="14" t="n">
        <v>11.75</v>
      </c>
    </row>
    <row r="2146" customFormat="false" ht="15" hidden="false" customHeight="false" outlineLevel="0" collapsed="false">
      <c r="A2146" s="13" t="n">
        <v>45282</v>
      </c>
      <c r="B2146" s="14" t="n">
        <v>5.32</v>
      </c>
      <c r="C2146" s="14" t="n">
        <v>5.5</v>
      </c>
      <c r="D2146" s="14" t="n">
        <v>5.25</v>
      </c>
      <c r="E2146" s="14" t="n">
        <v>3.899</v>
      </c>
      <c r="F2146" s="14" t="n">
        <v>4</v>
      </c>
      <c r="G2146" s="14" t="n">
        <v>5.25</v>
      </c>
      <c r="H2146" s="14" t="n">
        <v>5.1867</v>
      </c>
      <c r="I2146" s="14" t="n">
        <v>5.18819375851378</v>
      </c>
      <c r="J2146" s="14" t="n">
        <v>5.17731562419447</v>
      </c>
      <c r="K2146" s="14" t="n">
        <v>5.07317388724283</v>
      </c>
      <c r="L2146" s="14" t="n">
        <v>4.66625387624256</v>
      </c>
      <c r="M2146" s="14" t="n">
        <v>2.501</v>
      </c>
      <c r="N2146" s="14" t="n">
        <v>2.604</v>
      </c>
      <c r="O2146" s="14" t="n">
        <v>2.632</v>
      </c>
      <c r="P2146" s="14" t="n">
        <v>2.652</v>
      </c>
      <c r="Q2146" s="14" t="n">
        <v>4.5</v>
      </c>
      <c r="R2146" s="14" t="n">
        <v>4.5</v>
      </c>
      <c r="S2146" s="14" t="n">
        <v>11.75</v>
      </c>
    </row>
    <row r="2147" customFormat="false" ht="15" hidden="false" customHeight="false" outlineLevel="0" collapsed="false">
      <c r="A2147" s="13" t="n">
        <v>45285</v>
      </c>
      <c r="C2147" s="14" t="n">
        <v>5.5</v>
      </c>
      <c r="D2147" s="14" t="n">
        <v>5.25</v>
      </c>
      <c r="F2147" s="14" t="n">
        <v>4</v>
      </c>
      <c r="M2147" s="14" t="n">
        <v>2.506</v>
      </c>
      <c r="N2147" s="14" t="n">
        <v>2.601</v>
      </c>
      <c r="O2147" s="14" t="n">
        <v>2.633</v>
      </c>
      <c r="P2147" s="14" t="n">
        <v>2.65</v>
      </c>
      <c r="S2147" s="14" t="n">
        <v>11.75</v>
      </c>
    </row>
    <row r="2148" customFormat="false" ht="15" hidden="false" customHeight="false" outlineLevel="0" collapsed="false">
      <c r="A2148" s="13" t="n">
        <v>45286</v>
      </c>
      <c r="B2148" s="14" t="n">
        <v>5.35</v>
      </c>
      <c r="C2148" s="14" t="n">
        <v>5.5</v>
      </c>
      <c r="D2148" s="14" t="n">
        <v>5.25</v>
      </c>
      <c r="F2148" s="14" t="n">
        <v>4</v>
      </c>
      <c r="M2148" s="14" t="n">
        <v>2.509</v>
      </c>
      <c r="N2148" s="14" t="n">
        <v>2.6</v>
      </c>
      <c r="O2148" s="14" t="n">
        <v>2.629</v>
      </c>
      <c r="P2148" s="14" t="n">
        <v>2.649</v>
      </c>
      <c r="S2148" s="14" t="n">
        <v>11.75</v>
      </c>
    </row>
    <row r="2149" customFormat="false" ht="15" hidden="false" customHeight="false" outlineLevel="0" collapsed="false">
      <c r="A2149" s="13" t="n">
        <v>45287</v>
      </c>
      <c r="B2149" s="14" t="n">
        <v>5.39</v>
      </c>
      <c r="C2149" s="14" t="n">
        <v>5.5</v>
      </c>
      <c r="D2149" s="14" t="n">
        <v>5.25</v>
      </c>
      <c r="E2149" s="14" t="n">
        <v>3.9</v>
      </c>
      <c r="F2149" s="14" t="n">
        <v>4</v>
      </c>
      <c r="G2149" s="14" t="n">
        <v>5.25</v>
      </c>
      <c r="H2149" s="14" t="n">
        <v>5.1863</v>
      </c>
      <c r="I2149" s="14" t="n">
        <v>5.18865118019326</v>
      </c>
      <c r="J2149" s="14" t="n">
        <v>5.17471512698593</v>
      </c>
      <c r="K2149" s="14" t="n">
        <v>5.05868322211568</v>
      </c>
      <c r="L2149" s="14" t="n">
        <v>4.63450262990628</v>
      </c>
      <c r="M2149" s="14" t="n">
        <v>2.506</v>
      </c>
      <c r="N2149" s="14" t="n">
        <v>2.59</v>
      </c>
      <c r="O2149" s="14" t="n">
        <v>2.613</v>
      </c>
      <c r="P2149" s="14" t="n">
        <v>2.641</v>
      </c>
      <c r="Q2149" s="14" t="n">
        <v>4.5</v>
      </c>
      <c r="R2149" s="14" t="n">
        <v>4.5</v>
      </c>
      <c r="S2149" s="14" t="n">
        <v>11.75</v>
      </c>
    </row>
    <row r="2150" customFormat="false" ht="15" hidden="false" customHeight="false" outlineLevel="0" collapsed="false">
      <c r="A2150" s="13" t="n">
        <v>45288</v>
      </c>
      <c r="B2150" s="14" t="n">
        <v>5.4</v>
      </c>
      <c r="C2150" s="14" t="n">
        <v>5.5</v>
      </c>
      <c r="D2150" s="14" t="n">
        <v>5.25</v>
      </c>
      <c r="E2150" s="14" t="n">
        <v>3.9</v>
      </c>
      <c r="F2150" s="14" t="n">
        <v>4</v>
      </c>
      <c r="G2150" s="14" t="n">
        <v>5.25</v>
      </c>
      <c r="H2150" s="14" t="n">
        <v>5.1867</v>
      </c>
      <c r="I2150" s="14" t="n">
        <v>5.18806724088768</v>
      </c>
      <c r="J2150" s="14" t="n">
        <v>5.17402865903732</v>
      </c>
      <c r="K2150" s="14" t="n">
        <v>5.05666387801035</v>
      </c>
      <c r="L2150" s="14" t="n">
        <v>4.62111907718378</v>
      </c>
      <c r="M2150" s="14" t="n">
        <v>2.499</v>
      </c>
      <c r="N2150" s="14" t="n">
        <v>2.556</v>
      </c>
      <c r="O2150" s="14" t="n">
        <v>2.586</v>
      </c>
      <c r="P2150" s="14" t="n">
        <v>2.611</v>
      </c>
      <c r="Q2150" s="14" t="n">
        <v>4.5</v>
      </c>
      <c r="R2150" s="14" t="n">
        <v>4.5</v>
      </c>
      <c r="S2150" s="14" t="n">
        <v>11.75</v>
      </c>
    </row>
    <row r="2151" customFormat="false" ht="15" hidden="false" customHeight="false" outlineLevel="0" collapsed="false">
      <c r="A2151" s="13" t="n">
        <v>45289</v>
      </c>
      <c r="B2151" s="14" t="n">
        <v>5.38</v>
      </c>
      <c r="C2151" s="14" t="n">
        <v>5.5</v>
      </c>
      <c r="D2151" s="14" t="n">
        <v>5.25</v>
      </c>
      <c r="E2151" s="14" t="n">
        <v>3.882</v>
      </c>
      <c r="F2151" s="14" t="n">
        <v>4</v>
      </c>
      <c r="G2151" s="14" t="n">
        <v>5.25</v>
      </c>
      <c r="H2151" s="14" t="n">
        <v>5.1869</v>
      </c>
      <c r="I2151" s="14" t="n">
        <v>5.18746966467725</v>
      </c>
      <c r="J2151" s="14" t="n">
        <v>5.175627743479</v>
      </c>
      <c r="K2151" s="14" t="n">
        <v>5.06522154850806</v>
      </c>
      <c r="L2151" s="14" t="n">
        <v>4.62816644581055</v>
      </c>
      <c r="M2151" s="14" t="n">
        <v>2.482</v>
      </c>
      <c r="N2151" s="14" t="n">
        <v>2.53</v>
      </c>
      <c r="O2151" s="14" t="n">
        <v>2.555</v>
      </c>
      <c r="P2151" s="14" t="n">
        <v>2.581</v>
      </c>
      <c r="Q2151" s="14" t="n">
        <v>4.5</v>
      </c>
      <c r="R2151" s="14" t="n">
        <v>4.5</v>
      </c>
      <c r="S2151" s="14" t="n">
        <v>11.75</v>
      </c>
    </row>
    <row r="2152" customFormat="false" ht="15" hidden="false" customHeight="false" outlineLevel="0" collapsed="false">
      <c r="A2152" s="13" t="n">
        <v>45292</v>
      </c>
      <c r="C2152" s="14" t="n">
        <v>5.5</v>
      </c>
      <c r="D2152" s="14" t="n">
        <v>5.25</v>
      </c>
      <c r="F2152" s="14" t="n">
        <v>4</v>
      </c>
      <c r="S2152" s="14" t="n">
        <v>11.75</v>
      </c>
    </row>
    <row r="2153" customFormat="false" ht="15" hidden="false" customHeight="false" outlineLevel="0" collapsed="false">
      <c r="A2153" s="13" t="n">
        <v>45293</v>
      </c>
      <c r="B2153" s="14" t="n">
        <v>5.4</v>
      </c>
      <c r="C2153" s="14" t="n">
        <v>5.5</v>
      </c>
      <c r="D2153" s="14" t="n">
        <v>5.25</v>
      </c>
      <c r="E2153" s="14" t="n">
        <v>3.906</v>
      </c>
      <c r="F2153" s="14" t="n">
        <v>4</v>
      </c>
      <c r="G2153" s="14" t="n">
        <v>5.25</v>
      </c>
      <c r="H2153" s="14" t="n">
        <v>5.1863</v>
      </c>
      <c r="I2153" s="14" t="n">
        <v>5.18782802073528</v>
      </c>
      <c r="J2153" s="14" t="n">
        <v>5.17470929451039</v>
      </c>
      <c r="K2153" s="14" t="n">
        <v>5.06468570706893</v>
      </c>
      <c r="L2153" s="14" t="n">
        <v>4.64569185986831</v>
      </c>
      <c r="M2153" s="14" t="n">
        <v>2.398</v>
      </c>
      <c r="N2153" s="14" t="n">
        <v>2.45</v>
      </c>
      <c r="O2153" s="14" t="n">
        <v>2.498</v>
      </c>
      <c r="P2153" s="14" t="n">
        <v>2.532</v>
      </c>
      <c r="Q2153" s="14" t="n">
        <v>4.5</v>
      </c>
      <c r="R2153" s="14" t="n">
        <v>4.5</v>
      </c>
      <c r="S2153" s="14" t="n">
        <v>11.75</v>
      </c>
    </row>
    <row r="2154" customFormat="false" ht="15" hidden="false" customHeight="false" outlineLevel="0" collapsed="false">
      <c r="A2154" s="13" t="n">
        <v>45294</v>
      </c>
      <c r="B2154" s="14" t="n">
        <v>5.39</v>
      </c>
      <c r="C2154" s="14" t="n">
        <v>5.5</v>
      </c>
      <c r="D2154" s="14" t="n">
        <v>5.25</v>
      </c>
      <c r="E2154" s="14" t="n">
        <v>3.904</v>
      </c>
      <c r="F2154" s="14" t="n">
        <v>4</v>
      </c>
      <c r="G2154" s="14" t="n">
        <v>5.25</v>
      </c>
      <c r="H2154" s="14" t="n">
        <v>5.1863</v>
      </c>
      <c r="I2154" s="14" t="n">
        <v>5.18753620458823</v>
      </c>
      <c r="J2154" s="14" t="n">
        <v>5.1723722432697</v>
      </c>
      <c r="K2154" s="14" t="n">
        <v>5.06296487284736</v>
      </c>
      <c r="L2154" s="14" t="n">
        <v>4.64902912478985</v>
      </c>
      <c r="M2154" s="14" t="n">
        <v>2.354</v>
      </c>
      <c r="N2154" s="14" t="n">
        <v>2.423</v>
      </c>
      <c r="O2154" s="14" t="n">
        <v>2.479</v>
      </c>
      <c r="P2154" s="14" t="n">
        <v>2.509</v>
      </c>
      <c r="Q2154" s="14" t="n">
        <v>4.5</v>
      </c>
      <c r="R2154" s="14" t="n">
        <v>4.5</v>
      </c>
      <c r="S2154" s="14" t="n">
        <v>11.75</v>
      </c>
    </row>
    <row r="2155" customFormat="false" ht="15" hidden="false" customHeight="false" outlineLevel="0" collapsed="false">
      <c r="A2155" s="13" t="n">
        <v>45295</v>
      </c>
      <c r="B2155" s="14" t="n">
        <v>5.32</v>
      </c>
      <c r="C2155" s="14" t="n">
        <v>5.5</v>
      </c>
      <c r="D2155" s="14" t="n">
        <v>5.25</v>
      </c>
      <c r="E2155" s="14" t="n">
        <v>3.902</v>
      </c>
      <c r="F2155" s="14" t="n">
        <v>4</v>
      </c>
      <c r="G2155" s="14" t="n">
        <v>5.25</v>
      </c>
      <c r="H2155" s="14" t="n">
        <v>5.187</v>
      </c>
      <c r="I2155" s="14" t="n">
        <v>5.1872151666206</v>
      </c>
      <c r="J2155" s="14" t="n">
        <v>5.17305171678527</v>
      </c>
      <c r="K2155" s="14" t="n">
        <v>5.07798930042987</v>
      </c>
      <c r="L2155" s="14" t="n">
        <v>4.70959139728838</v>
      </c>
      <c r="M2155" s="14" t="n">
        <v>2.329</v>
      </c>
      <c r="N2155" s="14" t="n">
        <v>2.399</v>
      </c>
      <c r="O2155" s="14" t="n">
        <v>2.456</v>
      </c>
      <c r="P2155" s="14" t="n">
        <v>2.496</v>
      </c>
      <c r="Q2155" s="14" t="n">
        <v>4.5</v>
      </c>
      <c r="R2155" s="14" t="n">
        <v>4.5</v>
      </c>
      <c r="S2155" s="14" t="n">
        <v>11.75</v>
      </c>
    </row>
    <row r="2156" customFormat="false" ht="15" hidden="false" customHeight="false" outlineLevel="0" collapsed="false">
      <c r="A2156" s="13" t="n">
        <v>45296</v>
      </c>
      <c r="B2156" s="14" t="n">
        <v>5.31</v>
      </c>
      <c r="C2156" s="14" t="n">
        <v>5.5</v>
      </c>
      <c r="D2156" s="14" t="n">
        <v>5.25</v>
      </c>
      <c r="E2156" s="14" t="n">
        <v>3.905</v>
      </c>
      <c r="F2156" s="14" t="n">
        <v>4</v>
      </c>
      <c r="G2156" s="14" t="n">
        <v>5.25</v>
      </c>
      <c r="H2156" s="14" t="n">
        <v>5.1869</v>
      </c>
      <c r="I2156" s="14" t="n">
        <v>5.18724081982374</v>
      </c>
      <c r="J2156" s="14" t="n">
        <v>5.17449894270249</v>
      </c>
      <c r="K2156" s="14" t="n">
        <v>5.08639115611242</v>
      </c>
      <c r="L2156" s="14" t="n">
        <v>4.74248279866496</v>
      </c>
      <c r="M2156" s="14" t="n">
        <v>2.32</v>
      </c>
      <c r="N2156" s="14" t="n">
        <v>2.396</v>
      </c>
      <c r="O2156" s="14" t="n">
        <v>2.448</v>
      </c>
      <c r="P2156" s="14" t="n">
        <v>2.491</v>
      </c>
      <c r="Q2156" s="14" t="n">
        <v>4.5</v>
      </c>
      <c r="R2156" s="14" t="n">
        <v>4.5</v>
      </c>
      <c r="S2156" s="14" t="n">
        <v>11.75</v>
      </c>
    </row>
    <row r="2157" customFormat="false" ht="15" hidden="false" customHeight="false" outlineLevel="0" collapsed="false">
      <c r="A2157" s="13" t="n">
        <v>45299</v>
      </c>
      <c r="B2157" s="14" t="n">
        <v>5.31</v>
      </c>
      <c r="C2157" s="14" t="n">
        <v>5.5</v>
      </c>
      <c r="D2157" s="14" t="n">
        <v>5.25</v>
      </c>
      <c r="E2157" s="14" t="n">
        <v>3.904</v>
      </c>
      <c r="F2157" s="14" t="n">
        <v>4</v>
      </c>
      <c r="G2157" s="14" t="n">
        <v>5.25</v>
      </c>
      <c r="H2157" s="14" t="n">
        <v>5.1869</v>
      </c>
      <c r="I2157" s="14" t="n">
        <v>5.18770403603253</v>
      </c>
      <c r="J2157" s="14" t="n">
        <v>5.17461716923045</v>
      </c>
      <c r="K2157" s="14" t="n">
        <v>5.08214772454383</v>
      </c>
      <c r="L2157" s="14" t="n">
        <v>4.72518433494279</v>
      </c>
      <c r="M2157" s="14" t="n">
        <v>2.312</v>
      </c>
      <c r="N2157" s="14" t="n">
        <v>2.396</v>
      </c>
      <c r="O2157" s="14" t="n">
        <v>2.444</v>
      </c>
      <c r="P2157" s="14" t="n">
        <v>2.485</v>
      </c>
      <c r="Q2157" s="14" t="n">
        <v>4.5</v>
      </c>
      <c r="R2157" s="14" t="n">
        <v>4.5</v>
      </c>
      <c r="S2157" s="14" t="n">
        <v>11.75</v>
      </c>
    </row>
    <row r="2158" customFormat="false" ht="15" hidden="false" customHeight="false" outlineLevel="0" collapsed="false">
      <c r="A2158" s="13" t="n">
        <v>45300</v>
      </c>
      <c r="B2158" s="14" t="n">
        <v>5.31</v>
      </c>
      <c r="C2158" s="14" t="n">
        <v>5.5</v>
      </c>
      <c r="D2158" s="14" t="n">
        <v>5.25</v>
      </c>
      <c r="E2158" s="14" t="n">
        <v>3.904</v>
      </c>
      <c r="F2158" s="14" t="n">
        <v>4</v>
      </c>
      <c r="G2158" s="14" t="n">
        <v>5.25</v>
      </c>
      <c r="H2158" s="14" t="n">
        <v>5.1867</v>
      </c>
      <c r="I2158" s="14" t="n">
        <v>5.18807357132678</v>
      </c>
      <c r="J2158" s="14" t="n">
        <v>5.17333464238144</v>
      </c>
      <c r="K2158" s="14" t="n">
        <v>5.08091620804082</v>
      </c>
      <c r="L2158" s="14" t="n">
        <v>4.73139927502443</v>
      </c>
      <c r="M2158" s="14" t="n">
        <v>2.304</v>
      </c>
      <c r="N2158" s="14" t="n">
        <v>2.397</v>
      </c>
      <c r="O2158" s="14" t="n">
        <v>2.438</v>
      </c>
      <c r="P2158" s="14" t="n">
        <v>2.48</v>
      </c>
      <c r="Q2158" s="14" t="n">
        <v>4.5</v>
      </c>
      <c r="R2158" s="14" t="n">
        <v>4.5</v>
      </c>
      <c r="S2158" s="14" t="n">
        <v>11.75</v>
      </c>
    </row>
    <row r="2159" customFormat="false" ht="15" hidden="false" customHeight="false" outlineLevel="0" collapsed="false">
      <c r="A2159" s="13" t="n">
        <v>45301</v>
      </c>
      <c r="B2159" s="14" t="n">
        <v>5.31</v>
      </c>
      <c r="C2159" s="14" t="n">
        <v>5.5</v>
      </c>
      <c r="D2159" s="14" t="n">
        <v>5.25</v>
      </c>
      <c r="E2159" s="14" t="n">
        <v>3.906</v>
      </c>
      <c r="F2159" s="14" t="n">
        <v>4</v>
      </c>
      <c r="G2159" s="14" t="n">
        <v>5.25</v>
      </c>
      <c r="H2159" s="14" t="n">
        <v>5.1872</v>
      </c>
      <c r="I2159" s="14" t="n">
        <v>5.18705670899133</v>
      </c>
      <c r="J2159" s="14" t="n">
        <v>5.17334466703572</v>
      </c>
      <c r="K2159" s="14" t="n">
        <v>5.08310903074315</v>
      </c>
      <c r="L2159" s="14" t="n">
        <v>4.74497250991239</v>
      </c>
      <c r="M2159" s="14" t="n">
        <v>2.298</v>
      </c>
      <c r="N2159" s="14" t="n">
        <v>2.4</v>
      </c>
      <c r="O2159" s="14" t="n">
        <v>2.434</v>
      </c>
      <c r="P2159" s="14" t="n">
        <v>2.477</v>
      </c>
      <c r="Q2159" s="14" t="n">
        <v>4.5</v>
      </c>
      <c r="R2159" s="14" t="n">
        <v>4.5</v>
      </c>
      <c r="S2159" s="14" t="n">
        <v>11.75</v>
      </c>
    </row>
    <row r="2160" customFormat="false" ht="15" hidden="false" customHeight="false" outlineLevel="0" collapsed="false">
      <c r="A2160" s="13" t="n">
        <v>45302</v>
      </c>
      <c r="B2160" s="14" t="n">
        <v>5.31</v>
      </c>
      <c r="C2160" s="14" t="n">
        <v>5.5</v>
      </c>
      <c r="D2160" s="14" t="n">
        <v>5.25</v>
      </c>
      <c r="E2160" s="14" t="n">
        <v>3.905</v>
      </c>
      <c r="F2160" s="14" t="n">
        <v>4</v>
      </c>
      <c r="G2160" s="14" t="n">
        <v>5.25</v>
      </c>
      <c r="H2160" s="14" t="n">
        <v>5.1876</v>
      </c>
      <c r="I2160" s="14" t="n">
        <v>5.18850810059501</v>
      </c>
      <c r="J2160" s="14" t="n">
        <v>5.17126984592527</v>
      </c>
      <c r="K2160" s="14" t="n">
        <v>5.07073698681522</v>
      </c>
      <c r="L2160" s="14" t="n">
        <v>4.72513382485122</v>
      </c>
      <c r="M2160" s="14" t="n">
        <v>2.296</v>
      </c>
      <c r="N2160" s="14" t="n">
        <v>2.4</v>
      </c>
      <c r="O2160" s="14" t="n">
        <v>2.43</v>
      </c>
      <c r="P2160" s="14" t="n">
        <v>2.476</v>
      </c>
      <c r="Q2160" s="14" t="n">
        <v>4.5</v>
      </c>
      <c r="R2160" s="14" t="n">
        <v>4.5</v>
      </c>
      <c r="S2160" s="14" t="n">
        <v>11.75</v>
      </c>
    </row>
    <row r="2161" customFormat="false" ht="15" hidden="false" customHeight="false" outlineLevel="0" collapsed="false">
      <c r="A2161" s="13" t="n">
        <v>45303</v>
      </c>
      <c r="B2161" s="14" t="n">
        <v>5.31</v>
      </c>
      <c r="C2161" s="14" t="n">
        <v>5.5</v>
      </c>
      <c r="D2161" s="14" t="n">
        <v>5.25</v>
      </c>
      <c r="E2161" s="14" t="n">
        <v>3.904</v>
      </c>
      <c r="F2161" s="14" t="n">
        <v>4</v>
      </c>
      <c r="G2161" s="14" t="n">
        <v>5.25</v>
      </c>
      <c r="H2161" s="14" t="n">
        <v>5.1884</v>
      </c>
      <c r="I2161" s="14" t="n">
        <v>5.18899211428596</v>
      </c>
      <c r="J2161" s="14" t="n">
        <v>5.16622226122446</v>
      </c>
      <c r="K2161" s="14" t="n">
        <v>5.04300482115153</v>
      </c>
      <c r="L2161" s="14" t="n">
        <v>4.65475024682916</v>
      </c>
      <c r="M2161" s="14" t="n">
        <v>2.297</v>
      </c>
      <c r="N2161" s="14" t="n">
        <v>2.4</v>
      </c>
      <c r="O2161" s="14" t="n">
        <v>2.429</v>
      </c>
      <c r="P2161" s="14" t="n">
        <v>2.475</v>
      </c>
      <c r="Q2161" s="14" t="n">
        <v>4.5</v>
      </c>
      <c r="R2161" s="14" t="n">
        <v>4.5</v>
      </c>
      <c r="S2161" s="14" t="n">
        <v>11.75</v>
      </c>
    </row>
    <row r="2162" customFormat="false" ht="15" hidden="false" customHeight="false" outlineLevel="0" collapsed="false">
      <c r="A2162" s="13" t="n">
        <v>45306</v>
      </c>
      <c r="C2162" s="14" t="n">
        <v>5.5</v>
      </c>
      <c r="D2162" s="14" t="n">
        <v>5.25</v>
      </c>
      <c r="E2162" s="14" t="n">
        <v>3.902</v>
      </c>
      <c r="F2162" s="14" t="n">
        <v>4</v>
      </c>
      <c r="G2162" s="14" t="n">
        <v>5.25</v>
      </c>
      <c r="H2162" s="14" t="n">
        <v>5.1874</v>
      </c>
      <c r="I2162" s="14" t="n">
        <v>5.18744269780958</v>
      </c>
      <c r="J2162" s="14" t="n">
        <v>5.16614256998898</v>
      </c>
      <c r="K2162" s="14" t="n">
        <v>5.04141854214967</v>
      </c>
      <c r="L2162" s="14" t="n">
        <v>4.64304663050872</v>
      </c>
      <c r="M2162" s="14" t="n">
        <v>2.297</v>
      </c>
      <c r="N2162" s="14" t="n">
        <v>2.4</v>
      </c>
      <c r="O2162" s="14" t="n">
        <v>2.43</v>
      </c>
      <c r="P2162" s="14" t="n">
        <v>2.472</v>
      </c>
      <c r="Q2162" s="14" t="n">
        <v>4.5</v>
      </c>
      <c r="R2162" s="14" t="n">
        <v>4.5</v>
      </c>
      <c r="S2162" s="14" t="n">
        <v>11.75</v>
      </c>
    </row>
    <row r="2163" customFormat="false" ht="15" hidden="false" customHeight="false" outlineLevel="0" collapsed="false">
      <c r="A2163" s="13" t="n">
        <v>45307</v>
      </c>
      <c r="B2163" s="14" t="n">
        <v>5.32</v>
      </c>
      <c r="C2163" s="14" t="n">
        <v>5.5</v>
      </c>
      <c r="D2163" s="14" t="n">
        <v>5.25</v>
      </c>
      <c r="E2163" s="14" t="n">
        <v>3.905</v>
      </c>
      <c r="F2163" s="14" t="n">
        <v>4</v>
      </c>
      <c r="G2163" s="14" t="n">
        <v>5.25</v>
      </c>
      <c r="H2163" s="14" t="n">
        <v>5.1876</v>
      </c>
      <c r="I2163" s="14" t="n">
        <v>5.18939461205653</v>
      </c>
      <c r="J2163" s="14" t="n">
        <v>5.17028333209901</v>
      </c>
      <c r="K2163" s="14" t="n">
        <v>5.05008357191592</v>
      </c>
      <c r="L2163" s="14" t="n">
        <v>4.65619074748173</v>
      </c>
      <c r="M2163" s="14" t="n">
        <v>2.3</v>
      </c>
      <c r="N2163" s="14" t="n">
        <v>2.401</v>
      </c>
      <c r="O2163" s="14" t="n">
        <v>2.43</v>
      </c>
      <c r="P2163" s="14" t="n">
        <v>2.469</v>
      </c>
      <c r="Q2163" s="14" t="n">
        <v>4.5</v>
      </c>
      <c r="R2163" s="14" t="n">
        <v>4.5</v>
      </c>
      <c r="S2163" s="14" t="n">
        <v>11.75</v>
      </c>
    </row>
    <row r="2164" customFormat="false" ht="15" hidden="false" customHeight="false" outlineLevel="0" collapsed="false">
      <c r="A2164" s="13" t="n">
        <v>45308</v>
      </c>
      <c r="B2164" s="14" t="n">
        <v>5.32</v>
      </c>
      <c r="C2164" s="14" t="n">
        <v>5.5</v>
      </c>
      <c r="D2164" s="14" t="n">
        <v>5.25</v>
      </c>
      <c r="E2164" s="14" t="n">
        <v>3.904</v>
      </c>
      <c r="F2164" s="14" t="n">
        <v>4</v>
      </c>
      <c r="G2164" s="14" t="n">
        <v>5.25</v>
      </c>
      <c r="H2164" s="14" t="n">
        <v>5.188</v>
      </c>
      <c r="I2164" s="14" t="n">
        <v>5.18818280934384</v>
      </c>
      <c r="J2164" s="14" t="n">
        <v>5.18012167730689</v>
      </c>
      <c r="K2164" s="14" t="n">
        <v>5.10219325751365</v>
      </c>
      <c r="L2164" s="14" t="n">
        <v>4.79719001801301</v>
      </c>
      <c r="M2164" s="14" t="n">
        <v>2.3</v>
      </c>
      <c r="N2164" s="14" t="n">
        <v>2.402</v>
      </c>
      <c r="O2164" s="14" t="n">
        <v>2.43</v>
      </c>
      <c r="P2164" s="14" t="n">
        <v>2.47</v>
      </c>
      <c r="Q2164" s="14" t="n">
        <v>4.5</v>
      </c>
      <c r="R2164" s="14" t="n">
        <v>4.5</v>
      </c>
      <c r="S2164" s="14" t="n">
        <v>11.75</v>
      </c>
    </row>
    <row r="2165" customFormat="false" ht="15" hidden="false" customHeight="false" outlineLevel="0" collapsed="false">
      <c r="A2165" s="13" t="n">
        <v>45309</v>
      </c>
      <c r="B2165" s="14" t="n">
        <v>5.31</v>
      </c>
      <c r="C2165" s="14" t="n">
        <v>5.5</v>
      </c>
      <c r="D2165" s="14" t="n">
        <v>5.25</v>
      </c>
      <c r="E2165" s="14" t="n">
        <v>3.907</v>
      </c>
      <c r="F2165" s="14" t="n">
        <v>4</v>
      </c>
      <c r="G2165" s="14" t="n">
        <v>5.25</v>
      </c>
      <c r="H2165" s="14" t="n">
        <v>5.1883</v>
      </c>
      <c r="I2165" s="14" t="n">
        <v>5.18797370549206</v>
      </c>
      <c r="J2165" s="14" t="n">
        <v>5.17798878151015</v>
      </c>
      <c r="K2165" s="14" t="n">
        <v>5.09164091764252</v>
      </c>
      <c r="L2165" s="14" t="n">
        <v>4.76995470838691</v>
      </c>
      <c r="M2165" s="14" t="n">
        <v>2.3</v>
      </c>
      <c r="N2165" s="14" t="n">
        <v>2.4</v>
      </c>
      <c r="O2165" s="14" t="n">
        <v>2.43</v>
      </c>
      <c r="P2165" s="14" t="n">
        <v>2.469</v>
      </c>
      <c r="Q2165" s="14" t="n">
        <v>4.5</v>
      </c>
      <c r="R2165" s="14" t="n">
        <v>4.5</v>
      </c>
      <c r="S2165" s="14" t="n">
        <v>11.75</v>
      </c>
    </row>
    <row r="2166" customFormat="false" ht="15" hidden="false" customHeight="false" outlineLevel="0" collapsed="false">
      <c r="A2166" s="13" t="n">
        <v>45310</v>
      </c>
      <c r="B2166" s="14" t="n">
        <v>5.31</v>
      </c>
      <c r="C2166" s="14" t="n">
        <v>5.5</v>
      </c>
      <c r="D2166" s="14" t="n">
        <v>5.25</v>
      </c>
      <c r="E2166" s="14" t="n">
        <v>3.904</v>
      </c>
      <c r="F2166" s="14" t="n">
        <v>4</v>
      </c>
      <c r="G2166" s="14" t="n">
        <v>5.25</v>
      </c>
      <c r="H2166" s="14" t="n">
        <v>5.1876</v>
      </c>
      <c r="I2166" s="14" t="n">
        <v>5.18876611590073</v>
      </c>
      <c r="J2166" s="14" t="n">
        <v>5.17849006487672</v>
      </c>
      <c r="K2166" s="14" t="n">
        <v>5.09274165723133</v>
      </c>
      <c r="L2166" s="14" t="n">
        <v>4.78016427299819</v>
      </c>
      <c r="M2166" s="14" t="n">
        <v>2.3</v>
      </c>
      <c r="N2166" s="14" t="n">
        <v>2.4</v>
      </c>
      <c r="O2166" s="14" t="n">
        <v>2.43</v>
      </c>
      <c r="P2166" s="14" t="n">
        <v>2.469</v>
      </c>
      <c r="Q2166" s="14" t="n">
        <v>4.5</v>
      </c>
      <c r="R2166" s="14" t="n">
        <v>4.5</v>
      </c>
      <c r="S2166" s="14" t="n">
        <v>11.75</v>
      </c>
    </row>
    <row r="2167" customFormat="false" ht="15" hidden="false" customHeight="false" outlineLevel="0" collapsed="false">
      <c r="A2167" s="13" t="n">
        <v>45313</v>
      </c>
      <c r="B2167" s="14" t="n">
        <v>5.31</v>
      </c>
      <c r="C2167" s="14" t="n">
        <v>5.5</v>
      </c>
      <c r="D2167" s="14" t="n">
        <v>5.25</v>
      </c>
      <c r="E2167" s="14" t="n">
        <v>3.902</v>
      </c>
      <c r="F2167" s="14" t="n">
        <v>4</v>
      </c>
      <c r="G2167" s="14" t="n">
        <v>5.25</v>
      </c>
      <c r="H2167" s="14" t="n">
        <v>5.1879</v>
      </c>
      <c r="I2167" s="14" t="n">
        <v>5.18739878503662</v>
      </c>
      <c r="J2167" s="14" t="n">
        <v>5.17485937535497</v>
      </c>
      <c r="K2167" s="14" t="n">
        <v>5.08221127322419</v>
      </c>
      <c r="L2167" s="14" t="n">
        <v>4.76166971475475</v>
      </c>
      <c r="M2167" s="14" t="n">
        <v>2.3</v>
      </c>
      <c r="N2167" s="14" t="n">
        <v>2.4</v>
      </c>
      <c r="O2167" s="14" t="n">
        <v>2.43</v>
      </c>
      <c r="P2167" s="14" t="n">
        <v>2.468</v>
      </c>
      <c r="Q2167" s="14" t="n">
        <v>4.5</v>
      </c>
      <c r="R2167" s="14" t="n">
        <v>4.5</v>
      </c>
      <c r="S2167" s="14" t="n">
        <v>11.75</v>
      </c>
    </row>
    <row r="2168" customFormat="false" ht="15" hidden="false" customHeight="false" outlineLevel="0" collapsed="false">
      <c r="A2168" s="13" t="n">
        <v>45314</v>
      </c>
      <c r="B2168" s="14" t="n">
        <v>5.31</v>
      </c>
      <c r="C2168" s="14" t="n">
        <v>5.5</v>
      </c>
      <c r="D2168" s="14" t="n">
        <v>5.25</v>
      </c>
      <c r="E2168" s="14" t="n">
        <v>3.902</v>
      </c>
      <c r="F2168" s="14" t="n">
        <v>4</v>
      </c>
      <c r="G2168" s="14" t="n">
        <v>5.25</v>
      </c>
      <c r="H2168" s="14" t="n">
        <v>5.1873</v>
      </c>
      <c r="I2168" s="14" t="n">
        <v>5.18632955558165</v>
      </c>
      <c r="J2168" s="14" t="n">
        <v>5.17605467952314</v>
      </c>
      <c r="K2168" s="14" t="n">
        <v>5.09715427508689</v>
      </c>
      <c r="L2168" s="14" t="n">
        <v>4.80317788574979</v>
      </c>
      <c r="M2168" s="14" t="n">
        <v>2.3</v>
      </c>
      <c r="N2168" s="14" t="n">
        <v>2.4</v>
      </c>
      <c r="O2168" s="14" t="n">
        <v>2.429</v>
      </c>
      <c r="P2168" s="14" t="n">
        <v>2.468</v>
      </c>
      <c r="Q2168" s="14" t="n">
        <v>4.5</v>
      </c>
      <c r="R2168" s="14" t="n">
        <v>4.5</v>
      </c>
      <c r="S2168" s="14" t="n">
        <v>11.75</v>
      </c>
    </row>
    <row r="2169" customFormat="false" ht="15" hidden="false" customHeight="false" outlineLevel="0" collapsed="false">
      <c r="A2169" s="13" t="n">
        <v>45315</v>
      </c>
      <c r="B2169" s="14" t="n">
        <v>5.31</v>
      </c>
      <c r="C2169" s="14" t="n">
        <v>5.5</v>
      </c>
      <c r="D2169" s="14" t="n">
        <v>5.25</v>
      </c>
      <c r="E2169" s="14" t="n">
        <v>3.905</v>
      </c>
      <c r="F2169" s="14" t="n">
        <v>4</v>
      </c>
      <c r="G2169" s="14" t="n">
        <v>5.25</v>
      </c>
      <c r="H2169" s="14" t="n">
        <v>5.1875</v>
      </c>
      <c r="I2169" s="14" t="n">
        <v>5.18560872649763</v>
      </c>
      <c r="J2169" s="14" t="n">
        <v>5.17723226109859</v>
      </c>
      <c r="K2169" s="14" t="n">
        <v>5.10599492249082</v>
      </c>
      <c r="L2169" s="14" t="n">
        <v>4.82489667776082</v>
      </c>
      <c r="M2169" s="14" t="n">
        <v>2.3</v>
      </c>
      <c r="N2169" s="14" t="n">
        <v>2.4</v>
      </c>
      <c r="O2169" s="14" t="n">
        <v>2.43</v>
      </c>
      <c r="P2169" s="14" t="n">
        <v>2.468</v>
      </c>
      <c r="Q2169" s="14" t="n">
        <v>4.5</v>
      </c>
      <c r="R2169" s="14" t="n">
        <v>4.5</v>
      </c>
      <c r="S2169" s="14" t="n">
        <v>11.75</v>
      </c>
    </row>
    <row r="2170" customFormat="false" ht="15" hidden="false" customHeight="false" outlineLevel="0" collapsed="false">
      <c r="A2170" s="13" t="n">
        <v>45316</v>
      </c>
      <c r="B2170" s="14" t="n">
        <v>5.32</v>
      </c>
      <c r="C2170" s="14" t="n">
        <v>5.5</v>
      </c>
      <c r="D2170" s="14" t="n">
        <v>5.25</v>
      </c>
      <c r="E2170" s="14" t="n">
        <v>3.905</v>
      </c>
      <c r="F2170" s="14" t="n">
        <v>4</v>
      </c>
      <c r="G2170" s="14" t="n">
        <v>5.25</v>
      </c>
      <c r="H2170" s="14" t="n">
        <v>5.1882</v>
      </c>
      <c r="I2170" s="14" t="n">
        <v>5.18604866542099</v>
      </c>
      <c r="J2170" s="14" t="n">
        <v>5.17357881640763</v>
      </c>
      <c r="K2170" s="14" t="n">
        <v>5.09354127935263</v>
      </c>
      <c r="L2170" s="14" t="n">
        <v>4.79534834153817</v>
      </c>
      <c r="M2170" s="14" t="n">
        <v>2.3</v>
      </c>
      <c r="N2170" s="14" t="n">
        <v>2.4</v>
      </c>
      <c r="O2170" s="14" t="n">
        <v>2.43</v>
      </c>
      <c r="P2170" s="14" t="n">
        <v>2.468</v>
      </c>
      <c r="Q2170" s="14" t="n">
        <v>4.5</v>
      </c>
      <c r="R2170" s="14" t="n">
        <v>4.5</v>
      </c>
      <c r="S2170" s="14" t="n">
        <v>11.75</v>
      </c>
    </row>
    <row r="2171" customFormat="false" ht="15" hidden="false" customHeight="false" outlineLevel="0" collapsed="false">
      <c r="A2171" s="13" t="n">
        <v>45317</v>
      </c>
      <c r="B2171" s="14" t="n">
        <v>5.32</v>
      </c>
      <c r="C2171" s="14" t="n">
        <v>5.5</v>
      </c>
      <c r="D2171" s="14" t="n">
        <v>5.25</v>
      </c>
      <c r="E2171" s="14" t="n">
        <v>3.904</v>
      </c>
      <c r="F2171" s="14" t="n">
        <v>4</v>
      </c>
      <c r="G2171" s="14" t="n">
        <v>5.25</v>
      </c>
      <c r="H2171" s="14" t="n">
        <v>5.1882</v>
      </c>
      <c r="I2171" s="14" t="n">
        <v>5.18702076087654</v>
      </c>
      <c r="J2171" s="14" t="n">
        <v>5.1747236881649</v>
      </c>
      <c r="K2171" s="14" t="n">
        <v>5.08732196174323</v>
      </c>
      <c r="L2171" s="14" t="n">
        <v>4.77281717138701</v>
      </c>
      <c r="M2171" s="14" t="n">
        <v>2.301</v>
      </c>
      <c r="N2171" s="14" t="n">
        <v>2.4</v>
      </c>
      <c r="O2171" s="14" t="n">
        <v>2.43</v>
      </c>
      <c r="P2171" s="14" t="n">
        <v>2.466</v>
      </c>
      <c r="Q2171" s="14" t="n">
        <v>4.5</v>
      </c>
      <c r="R2171" s="14" t="n">
        <v>4.5</v>
      </c>
      <c r="S2171" s="14" t="n">
        <v>11.75</v>
      </c>
    </row>
    <row r="2172" customFormat="false" ht="15" hidden="false" customHeight="false" outlineLevel="0" collapsed="false">
      <c r="A2172" s="13" t="n">
        <v>45320</v>
      </c>
      <c r="B2172" s="14" t="n">
        <v>5.31</v>
      </c>
      <c r="C2172" s="14" t="n">
        <v>5.5</v>
      </c>
      <c r="D2172" s="14" t="n">
        <v>5.25</v>
      </c>
      <c r="E2172" s="14" t="n">
        <v>3.907</v>
      </c>
      <c r="F2172" s="14" t="n">
        <v>4</v>
      </c>
      <c r="G2172" s="14" t="n">
        <v>5.25</v>
      </c>
      <c r="H2172" s="14" t="n">
        <v>5.1879</v>
      </c>
      <c r="I2172" s="14" t="n">
        <v>5.18614646028531</v>
      </c>
      <c r="J2172" s="14" t="n">
        <v>5.16984891974099</v>
      </c>
      <c r="K2172" s="14" t="n">
        <v>5.06951158276154</v>
      </c>
      <c r="L2172" s="14" t="n">
        <v>4.73204125949737</v>
      </c>
      <c r="M2172" s="14" t="n">
        <v>2.302</v>
      </c>
      <c r="N2172" s="14" t="n">
        <v>2.4</v>
      </c>
      <c r="O2172" s="14" t="n">
        <v>2.43</v>
      </c>
      <c r="P2172" s="14" t="n">
        <v>2.466</v>
      </c>
      <c r="Q2172" s="14" t="n">
        <v>4.5</v>
      </c>
      <c r="R2172" s="14" t="n">
        <v>4.5</v>
      </c>
      <c r="S2172" s="14" t="n">
        <v>11.75</v>
      </c>
    </row>
    <row r="2173" customFormat="false" ht="15" hidden="false" customHeight="false" outlineLevel="0" collapsed="false">
      <c r="A2173" s="13" t="n">
        <v>45321</v>
      </c>
      <c r="B2173" s="14" t="n">
        <v>5.31</v>
      </c>
      <c r="C2173" s="14" t="n">
        <v>5.5</v>
      </c>
      <c r="D2173" s="14" t="n">
        <v>5.25</v>
      </c>
      <c r="E2173" s="14" t="n">
        <v>3.907</v>
      </c>
      <c r="F2173" s="14" t="n">
        <v>4</v>
      </c>
      <c r="G2173" s="14" t="n">
        <v>5.25</v>
      </c>
      <c r="H2173" s="14" t="n">
        <v>5.1884</v>
      </c>
      <c r="I2173" s="14" t="n">
        <v>5.18630320996238</v>
      </c>
      <c r="J2173" s="14" t="n">
        <v>5.17152970907314</v>
      </c>
      <c r="K2173" s="14" t="n">
        <v>5.07991323713311</v>
      </c>
      <c r="L2173" s="14" t="n">
        <v>4.76887315869007</v>
      </c>
      <c r="M2173" s="14" t="n">
        <v>2.3</v>
      </c>
      <c r="N2173" s="14" t="n">
        <v>2.398</v>
      </c>
      <c r="O2173" s="14" t="n">
        <v>2.425</v>
      </c>
      <c r="P2173" s="14" t="n">
        <v>2.459</v>
      </c>
      <c r="Q2173" s="14" t="n">
        <v>4.5</v>
      </c>
      <c r="R2173" s="14" t="n">
        <v>4.5</v>
      </c>
      <c r="S2173" s="14" t="n">
        <v>11.75</v>
      </c>
    </row>
    <row r="2174" customFormat="false" ht="15" hidden="false" customHeight="false" outlineLevel="0" collapsed="false">
      <c r="A2174" s="13" t="n">
        <v>45322</v>
      </c>
      <c r="B2174" s="14" t="n">
        <v>5.32</v>
      </c>
      <c r="C2174" s="14" t="n">
        <v>5.5</v>
      </c>
      <c r="D2174" s="14" t="n">
        <v>5.25</v>
      </c>
      <c r="E2174" s="14" t="n">
        <v>3.894</v>
      </c>
      <c r="F2174" s="14" t="n">
        <v>4</v>
      </c>
      <c r="G2174" s="14" t="n">
        <v>5.25</v>
      </c>
      <c r="H2174" s="14" t="n">
        <v>5.1881</v>
      </c>
      <c r="I2174" s="14" t="n">
        <v>5.18245434730399</v>
      </c>
      <c r="J2174" s="14" t="n">
        <v>5.15762235855886</v>
      </c>
      <c r="K2174" s="14" t="n">
        <v>5.04229579514666</v>
      </c>
      <c r="L2174" s="14" t="n">
        <v>4.69698311634305</v>
      </c>
      <c r="M2174" s="14" t="n">
        <v>2.282</v>
      </c>
      <c r="N2174" s="14" t="n">
        <v>2.388</v>
      </c>
      <c r="O2174" s="14" t="n">
        <v>2.412</v>
      </c>
      <c r="P2174" s="14" t="n">
        <v>2.449</v>
      </c>
      <c r="Q2174" s="14" t="n">
        <v>4.5</v>
      </c>
      <c r="R2174" s="14" t="n">
        <v>4.5</v>
      </c>
      <c r="S2174" s="14" t="n">
        <v>11.75</v>
      </c>
    </row>
    <row r="2175" customFormat="false" ht="15" hidden="false" customHeight="false" outlineLevel="0" collapsed="false">
      <c r="A2175" s="13" t="n">
        <v>45323</v>
      </c>
      <c r="B2175" s="14" t="n">
        <v>5.32</v>
      </c>
      <c r="C2175" s="14" t="n">
        <v>5.5</v>
      </c>
      <c r="D2175" s="14" t="n">
        <v>5.25</v>
      </c>
      <c r="E2175" s="14" t="n">
        <v>3.905</v>
      </c>
      <c r="F2175" s="14" t="n">
        <v>4</v>
      </c>
      <c r="G2175" s="14" t="n">
        <v>5.25</v>
      </c>
      <c r="H2175" s="14" t="n">
        <v>5.1878</v>
      </c>
      <c r="I2175" s="14" t="n">
        <v>5.18432603026012</v>
      </c>
      <c r="J2175" s="14" t="n">
        <v>5.16591153063206</v>
      </c>
      <c r="K2175" s="14" t="n">
        <v>5.06387772163118</v>
      </c>
      <c r="L2175" s="14" t="n">
        <v>4.72563026850952</v>
      </c>
      <c r="M2175" s="14" t="n">
        <v>2.262</v>
      </c>
      <c r="N2175" s="14" t="n">
        <v>2.375</v>
      </c>
      <c r="O2175" s="14" t="n">
        <v>2.407</v>
      </c>
      <c r="P2175" s="14" t="n">
        <v>2.443</v>
      </c>
      <c r="Q2175" s="14" t="n">
        <v>4.5</v>
      </c>
      <c r="R2175" s="14" t="n">
        <v>4.5</v>
      </c>
      <c r="S2175" s="14" t="n">
        <v>11.25</v>
      </c>
    </row>
    <row r="2176" customFormat="false" ht="15" hidden="false" customHeight="false" outlineLevel="0" collapsed="false">
      <c r="A2176" s="13" t="n">
        <v>45324</v>
      </c>
      <c r="B2176" s="14" t="n">
        <v>5.32</v>
      </c>
      <c r="C2176" s="14" t="n">
        <v>5.5</v>
      </c>
      <c r="D2176" s="14" t="n">
        <v>5.25</v>
      </c>
      <c r="E2176" s="14" t="n">
        <v>3.906</v>
      </c>
      <c r="F2176" s="14" t="n">
        <v>4</v>
      </c>
      <c r="G2176" s="14" t="n">
        <v>5.25</v>
      </c>
      <c r="H2176" s="14" t="n">
        <v>5.1885</v>
      </c>
      <c r="I2176" s="14" t="n">
        <v>5.18246920118922</v>
      </c>
      <c r="J2176" s="14" t="n">
        <v>5.17041521052304</v>
      </c>
      <c r="K2176" s="14" t="n">
        <v>5.08884170576427</v>
      </c>
      <c r="L2176" s="14" t="n">
        <v>4.80522558444292</v>
      </c>
      <c r="M2176" s="14" t="n">
        <v>2.252</v>
      </c>
      <c r="N2176" s="14" t="n">
        <v>2.369</v>
      </c>
      <c r="O2176" s="14" t="n">
        <v>2.402</v>
      </c>
      <c r="P2176" s="14" t="n">
        <v>2.431</v>
      </c>
      <c r="Q2176" s="14" t="n">
        <v>4.5</v>
      </c>
      <c r="R2176" s="14" t="n">
        <v>4.5</v>
      </c>
      <c r="S2176" s="14" t="n">
        <v>11.25</v>
      </c>
    </row>
    <row r="2177" customFormat="false" ht="15" hidden="false" customHeight="false" outlineLevel="0" collapsed="false">
      <c r="A2177" s="13" t="n">
        <v>45326</v>
      </c>
      <c r="C2177" s="14" t="n">
        <v>5.5</v>
      </c>
      <c r="D2177" s="14" t="n">
        <v>5.25</v>
      </c>
      <c r="F2177" s="14" t="n">
        <v>4</v>
      </c>
      <c r="M2177" s="14" t="n">
        <v>2.239</v>
      </c>
      <c r="N2177" s="14" t="n">
        <v>2.363</v>
      </c>
      <c r="O2177" s="14" t="n">
        <v>2.396</v>
      </c>
      <c r="P2177" s="14" t="n">
        <v>2.425</v>
      </c>
      <c r="S2177" s="14" t="n">
        <v>11.25</v>
      </c>
    </row>
    <row r="2178" customFormat="false" ht="15" hidden="false" customHeight="false" outlineLevel="0" collapsed="false">
      <c r="A2178" s="13" t="n">
        <v>45327</v>
      </c>
      <c r="B2178" s="14" t="n">
        <v>5.31</v>
      </c>
      <c r="C2178" s="14" t="n">
        <v>5.5</v>
      </c>
      <c r="D2178" s="14" t="n">
        <v>5.25</v>
      </c>
      <c r="E2178" s="14" t="n">
        <v>3.907</v>
      </c>
      <c r="F2178" s="14" t="n">
        <v>4</v>
      </c>
      <c r="G2178" s="14" t="n">
        <v>5.25</v>
      </c>
      <c r="H2178" s="14" t="n">
        <v>5.1884</v>
      </c>
      <c r="I2178" s="14" t="n">
        <v>5.18430146143106</v>
      </c>
      <c r="J2178" s="14" t="n">
        <v>5.1713670688292</v>
      </c>
      <c r="K2178" s="14" t="n">
        <v>5.10206806037472</v>
      </c>
      <c r="L2178" s="14" t="n">
        <v>4.84546442321211</v>
      </c>
      <c r="M2178" s="14" t="n">
        <v>2.227</v>
      </c>
      <c r="N2178" s="14" t="n">
        <v>2.35</v>
      </c>
      <c r="O2178" s="14" t="n">
        <v>2.39</v>
      </c>
      <c r="P2178" s="14" t="n">
        <v>2.416</v>
      </c>
      <c r="Q2178" s="14" t="n">
        <v>4.5</v>
      </c>
      <c r="R2178" s="14" t="n">
        <v>4.5</v>
      </c>
      <c r="S2178" s="14" t="n">
        <v>11.25</v>
      </c>
    </row>
    <row r="2179" customFormat="false" ht="15" hidden="false" customHeight="false" outlineLevel="0" collapsed="false">
      <c r="A2179" s="13" t="n">
        <v>45328</v>
      </c>
      <c r="B2179" s="14" t="n">
        <v>5.31</v>
      </c>
      <c r="C2179" s="14" t="n">
        <v>5.5</v>
      </c>
      <c r="D2179" s="14" t="n">
        <v>5.25</v>
      </c>
      <c r="E2179" s="14" t="n">
        <v>3.908</v>
      </c>
      <c r="F2179" s="14" t="n">
        <v>4</v>
      </c>
      <c r="G2179" s="14" t="n">
        <v>5.25</v>
      </c>
      <c r="H2179" s="14" t="n">
        <v>5.1894</v>
      </c>
      <c r="I2179" s="14" t="n">
        <v>5.18459228812091</v>
      </c>
      <c r="J2179" s="14" t="n">
        <v>5.16905835265319</v>
      </c>
      <c r="K2179" s="14" t="n">
        <v>5.09342850714751</v>
      </c>
      <c r="L2179" s="14" t="n">
        <v>4.82818203806742</v>
      </c>
      <c r="M2179" s="14" t="n">
        <v>2.224</v>
      </c>
      <c r="N2179" s="14" t="n">
        <v>2.345</v>
      </c>
      <c r="O2179" s="14" t="n">
        <v>2.382</v>
      </c>
      <c r="P2179" s="14" t="n">
        <v>2.409</v>
      </c>
      <c r="Q2179" s="14" t="n">
        <v>4.5</v>
      </c>
      <c r="R2179" s="14" t="n">
        <v>4.5</v>
      </c>
      <c r="S2179" s="14" t="n">
        <v>11.25</v>
      </c>
    </row>
    <row r="2180" customFormat="false" ht="15" hidden="false" customHeight="false" outlineLevel="0" collapsed="false">
      <c r="A2180" s="13" t="n">
        <v>45329</v>
      </c>
      <c r="B2180" s="14" t="n">
        <v>5.31</v>
      </c>
      <c r="C2180" s="14" t="n">
        <v>5.5</v>
      </c>
      <c r="D2180" s="14" t="n">
        <v>5.25</v>
      </c>
      <c r="E2180" s="14" t="n">
        <v>3.908</v>
      </c>
      <c r="F2180" s="14" t="n">
        <v>4</v>
      </c>
      <c r="G2180" s="14" t="n">
        <v>5.25</v>
      </c>
      <c r="H2180" s="14" t="n">
        <v>5.189</v>
      </c>
      <c r="I2180" s="14" t="n">
        <v>5.18464368248123</v>
      </c>
      <c r="J2180" s="14" t="n">
        <v>5.16977451985165</v>
      </c>
      <c r="K2180" s="14" t="n">
        <v>5.09518016449031</v>
      </c>
      <c r="L2180" s="14" t="n">
        <v>4.83750062447743</v>
      </c>
      <c r="M2180" s="14" t="n">
        <v>2.219</v>
      </c>
      <c r="N2180" s="14" t="n">
        <v>2.342</v>
      </c>
      <c r="O2180" s="14" t="n">
        <v>2.374</v>
      </c>
      <c r="P2180" s="14" t="n">
        <v>2.403</v>
      </c>
      <c r="Q2180" s="14" t="n">
        <v>4.5</v>
      </c>
      <c r="R2180" s="14" t="n">
        <v>4.5</v>
      </c>
      <c r="S2180" s="14" t="n">
        <v>11.25</v>
      </c>
    </row>
    <row r="2181" customFormat="false" ht="15" hidden="false" customHeight="false" outlineLevel="0" collapsed="false">
      <c r="A2181" s="13" t="n">
        <v>45330</v>
      </c>
      <c r="B2181" s="14" t="n">
        <v>5.31</v>
      </c>
      <c r="C2181" s="14" t="n">
        <v>5.5</v>
      </c>
      <c r="D2181" s="14" t="n">
        <v>5.25</v>
      </c>
      <c r="E2181" s="14" t="n">
        <v>3.908</v>
      </c>
      <c r="F2181" s="14" t="n">
        <v>4</v>
      </c>
      <c r="G2181" s="14" t="n">
        <v>5.25</v>
      </c>
      <c r="H2181" s="14" t="n">
        <v>5.188</v>
      </c>
      <c r="I2181" s="14" t="n">
        <v>5.18364026374526</v>
      </c>
      <c r="J2181" s="14" t="n">
        <v>5.17337054822439</v>
      </c>
      <c r="K2181" s="14" t="n">
        <v>5.10869018445979</v>
      </c>
      <c r="L2181" s="14" t="n">
        <v>4.85642790147395</v>
      </c>
      <c r="M2181" s="14" t="n">
        <v>2.213</v>
      </c>
      <c r="N2181" s="14" t="n">
        <v>2.334</v>
      </c>
      <c r="O2181" s="14" t="n">
        <v>2.364</v>
      </c>
      <c r="P2181" s="14" t="n">
        <v>2.397</v>
      </c>
      <c r="Q2181" s="14" t="n">
        <v>4.5</v>
      </c>
      <c r="R2181" s="14" t="n">
        <v>4.5</v>
      </c>
      <c r="S2181" s="14" t="n">
        <v>11.25</v>
      </c>
    </row>
    <row r="2182" customFormat="false" ht="15" hidden="false" customHeight="false" outlineLevel="0" collapsed="false">
      <c r="A2182" s="13" t="n">
        <v>45331</v>
      </c>
      <c r="B2182" s="14" t="n">
        <v>5.31</v>
      </c>
      <c r="C2182" s="14" t="n">
        <v>5.5</v>
      </c>
      <c r="D2182" s="14" t="n">
        <v>5.25</v>
      </c>
      <c r="E2182" s="14" t="n">
        <v>3.91</v>
      </c>
      <c r="F2182" s="14" t="n">
        <v>4</v>
      </c>
      <c r="G2182" s="14" t="n">
        <v>5.25</v>
      </c>
      <c r="H2182" s="14" t="n">
        <v>5.1885</v>
      </c>
      <c r="I2182" s="14" t="n">
        <v>5.18392000292062</v>
      </c>
      <c r="J2182" s="14" t="n">
        <v>5.17116673980224</v>
      </c>
      <c r="K2182" s="14" t="n">
        <v>5.10638143099588</v>
      </c>
      <c r="L2182" s="14" t="n">
        <v>4.88030797789717</v>
      </c>
      <c r="M2182" s="14" t="n">
        <v>2.21</v>
      </c>
      <c r="N2182" s="14" t="n">
        <v>2.33</v>
      </c>
      <c r="O2182" s="14" t="n">
        <v>2.358</v>
      </c>
      <c r="P2182" s="14" t="n">
        <v>2.396</v>
      </c>
      <c r="Q2182" s="14" t="n">
        <v>4.5</v>
      </c>
      <c r="R2182" s="14" t="n">
        <v>4.5</v>
      </c>
      <c r="S2182" s="14" t="n">
        <v>11.25</v>
      </c>
    </row>
    <row r="2183" customFormat="false" ht="15" hidden="false" customHeight="false" outlineLevel="0" collapsed="false">
      <c r="A2183" s="13" t="n">
        <v>45334</v>
      </c>
      <c r="B2183" s="14" t="n">
        <v>5.31</v>
      </c>
      <c r="C2183" s="14" t="n">
        <v>5.5</v>
      </c>
      <c r="D2183" s="14" t="n">
        <v>5.25</v>
      </c>
      <c r="E2183" s="14" t="n">
        <v>3.909</v>
      </c>
      <c r="F2183" s="14" t="n">
        <v>4</v>
      </c>
      <c r="G2183" s="14" t="n">
        <v>5.25</v>
      </c>
      <c r="H2183" s="14" t="n">
        <v>5.1882</v>
      </c>
      <c r="I2183" s="14" t="n">
        <v>5.18448028231982</v>
      </c>
      <c r="J2183" s="14" t="n">
        <v>5.16595887489035</v>
      </c>
      <c r="K2183" s="14" t="n">
        <v>5.09044361091964</v>
      </c>
      <c r="L2183" s="14" t="n">
        <v>4.84991614789381</v>
      </c>
      <c r="Q2183" s="14" t="n">
        <v>4.5</v>
      </c>
      <c r="R2183" s="14" t="n">
        <v>4.5</v>
      </c>
      <c r="S2183" s="14" t="n">
        <v>11.25</v>
      </c>
    </row>
    <row r="2184" customFormat="false" ht="15" hidden="false" customHeight="false" outlineLevel="0" collapsed="false">
      <c r="A2184" s="13" t="n">
        <v>45335</v>
      </c>
      <c r="B2184" s="14" t="n">
        <v>5.31</v>
      </c>
      <c r="C2184" s="14" t="n">
        <v>5.5</v>
      </c>
      <c r="D2184" s="14" t="n">
        <v>5.25</v>
      </c>
      <c r="E2184" s="14" t="n">
        <v>3.909</v>
      </c>
      <c r="F2184" s="14" t="n">
        <v>4</v>
      </c>
      <c r="G2184" s="14" t="n">
        <v>5.25</v>
      </c>
      <c r="H2184" s="14" t="n">
        <v>5.1888</v>
      </c>
      <c r="I2184" s="14" t="n">
        <v>5.18586074263943</v>
      </c>
      <c r="J2184" s="14" t="n">
        <v>5.18287452545016</v>
      </c>
      <c r="K2184" s="14" t="n">
        <v>5.1402377107112</v>
      </c>
      <c r="L2184" s="14" t="n">
        <v>4.9544695009085</v>
      </c>
      <c r="Q2184" s="14" t="n">
        <v>4.5</v>
      </c>
      <c r="R2184" s="14" t="n">
        <v>4.5</v>
      </c>
      <c r="S2184" s="14" t="n">
        <v>11.25</v>
      </c>
    </row>
    <row r="2185" customFormat="false" ht="15" hidden="false" customHeight="false" outlineLevel="0" collapsed="false">
      <c r="A2185" s="13" t="n">
        <v>45336</v>
      </c>
      <c r="B2185" s="14" t="n">
        <v>5.3</v>
      </c>
      <c r="C2185" s="14" t="n">
        <v>5.5</v>
      </c>
      <c r="D2185" s="14" t="n">
        <v>5.25</v>
      </c>
      <c r="E2185" s="14" t="n">
        <v>3.911</v>
      </c>
      <c r="F2185" s="14" t="n">
        <v>4</v>
      </c>
      <c r="G2185" s="14" t="n">
        <v>5.25</v>
      </c>
      <c r="H2185" s="14" t="n">
        <v>5.1888</v>
      </c>
      <c r="I2185" s="14" t="n">
        <v>5.18638290215721</v>
      </c>
      <c r="J2185" s="14" t="n">
        <v>5.17515426941953</v>
      </c>
      <c r="K2185" s="14" t="n">
        <v>5.10663632753248</v>
      </c>
      <c r="L2185" s="14" t="n">
        <v>4.86932774942199</v>
      </c>
      <c r="Q2185" s="14" t="n">
        <v>4.5</v>
      </c>
      <c r="R2185" s="14" t="n">
        <v>4.5</v>
      </c>
      <c r="S2185" s="14" t="n">
        <v>11.25</v>
      </c>
    </row>
    <row r="2186" customFormat="false" ht="15" hidden="false" customHeight="false" outlineLevel="0" collapsed="false">
      <c r="A2186" s="13" t="n">
        <v>45337</v>
      </c>
      <c r="B2186" s="14" t="n">
        <v>5.31</v>
      </c>
      <c r="C2186" s="14" t="n">
        <v>5.5</v>
      </c>
      <c r="D2186" s="14" t="n">
        <v>5.25</v>
      </c>
      <c r="E2186" s="14" t="n">
        <v>3.911</v>
      </c>
      <c r="F2186" s="14" t="n">
        <v>4</v>
      </c>
      <c r="G2186" s="14" t="n">
        <v>5.25</v>
      </c>
      <c r="H2186" s="14" t="n">
        <v>5.1885</v>
      </c>
      <c r="I2186" s="14" t="n">
        <v>5.18695730679391</v>
      </c>
      <c r="J2186" s="14" t="n">
        <v>5.17667679901373</v>
      </c>
      <c r="K2186" s="14" t="n">
        <v>5.10605582013854</v>
      </c>
      <c r="L2186" s="14" t="n">
        <v>4.86077646507482</v>
      </c>
      <c r="Q2186" s="14" t="n">
        <v>4.5</v>
      </c>
      <c r="R2186" s="14" t="n">
        <v>4.5</v>
      </c>
      <c r="S2186" s="14" t="n">
        <v>11.25</v>
      </c>
    </row>
    <row r="2187" customFormat="false" ht="15" hidden="false" customHeight="false" outlineLevel="0" collapsed="false">
      <c r="A2187" s="13" t="n">
        <v>45338</v>
      </c>
      <c r="B2187" s="14" t="n">
        <v>5.3</v>
      </c>
      <c r="C2187" s="14" t="n">
        <v>5.5</v>
      </c>
      <c r="D2187" s="14" t="n">
        <v>5.25</v>
      </c>
      <c r="E2187" s="14" t="n">
        <v>3.909</v>
      </c>
      <c r="F2187" s="14" t="n">
        <v>4</v>
      </c>
      <c r="G2187" s="14" t="n">
        <v>5.25</v>
      </c>
      <c r="H2187" s="14" t="n">
        <v>5.1881</v>
      </c>
      <c r="I2187" s="14" t="n">
        <v>5.18653931378864</v>
      </c>
      <c r="J2187" s="14" t="n">
        <v>5.17789373633867</v>
      </c>
      <c r="K2187" s="14" t="n">
        <v>5.12288981509164</v>
      </c>
      <c r="L2187" s="14" t="n">
        <v>4.92309532127859</v>
      </c>
      <c r="Q2187" s="14" t="n">
        <v>4.5</v>
      </c>
      <c r="R2187" s="14" t="n">
        <v>4.5</v>
      </c>
      <c r="S2187" s="14" t="n">
        <v>11.25</v>
      </c>
    </row>
    <row r="2188" customFormat="false" ht="15" hidden="false" customHeight="false" outlineLevel="0" collapsed="false">
      <c r="A2188" s="13" t="n">
        <v>45340</v>
      </c>
      <c r="C2188" s="14" t="n">
        <v>5.5</v>
      </c>
      <c r="D2188" s="14" t="n">
        <v>5.25</v>
      </c>
      <c r="F2188" s="14" t="n">
        <v>4</v>
      </c>
      <c r="M2188" s="14" t="n">
        <v>2.2</v>
      </c>
      <c r="N2188" s="14" t="n">
        <v>2.318</v>
      </c>
      <c r="O2188" s="14" t="n">
        <v>2.349</v>
      </c>
      <c r="P2188" s="14" t="n">
        <v>2.386</v>
      </c>
      <c r="S2188" s="14" t="n">
        <v>11.25</v>
      </c>
    </row>
    <row r="2189" customFormat="false" ht="15" hidden="false" customHeight="false" outlineLevel="0" collapsed="false">
      <c r="A2189" s="13" t="n">
        <v>45341</v>
      </c>
      <c r="C2189" s="14" t="n">
        <v>5.5</v>
      </c>
      <c r="D2189" s="14" t="n">
        <v>5.25</v>
      </c>
      <c r="E2189" s="14" t="n">
        <v>3.91</v>
      </c>
      <c r="F2189" s="14" t="n">
        <v>4</v>
      </c>
      <c r="G2189" s="14" t="n">
        <v>5.25</v>
      </c>
      <c r="H2189" s="14" t="n">
        <v>5.1874</v>
      </c>
      <c r="I2189" s="14" t="n">
        <v>5.18745148722547</v>
      </c>
      <c r="J2189" s="14" t="n">
        <v>5.17800523692473</v>
      </c>
      <c r="K2189" s="14" t="n">
        <v>5.11572256274906</v>
      </c>
      <c r="L2189" s="14" t="n">
        <v>4.89794987574582</v>
      </c>
      <c r="M2189" s="14" t="n">
        <v>2.186</v>
      </c>
      <c r="N2189" s="14" t="n">
        <v>2.303</v>
      </c>
      <c r="O2189" s="14" t="n">
        <v>2.342</v>
      </c>
      <c r="P2189" s="14" t="n">
        <v>2.383</v>
      </c>
      <c r="Q2189" s="14" t="n">
        <v>4.5</v>
      </c>
      <c r="R2189" s="14" t="n">
        <v>4.5</v>
      </c>
      <c r="S2189" s="14" t="n">
        <v>11.25</v>
      </c>
    </row>
    <row r="2190" customFormat="false" ht="15" hidden="false" customHeight="false" outlineLevel="0" collapsed="false">
      <c r="A2190" s="13" t="n">
        <v>45342</v>
      </c>
      <c r="B2190" s="14" t="n">
        <v>5.3</v>
      </c>
      <c r="C2190" s="14" t="n">
        <v>5.5</v>
      </c>
      <c r="D2190" s="14" t="n">
        <v>5.25</v>
      </c>
      <c r="E2190" s="14" t="n">
        <v>3.911</v>
      </c>
      <c r="F2190" s="14" t="n">
        <v>4</v>
      </c>
      <c r="G2190" s="14" t="n">
        <v>5.25</v>
      </c>
      <c r="H2190" s="14" t="n">
        <v>5.1879</v>
      </c>
      <c r="I2190" s="14" t="n">
        <v>5.18832190904503</v>
      </c>
      <c r="J2190" s="14" t="n">
        <v>5.1759082185185</v>
      </c>
      <c r="K2190" s="14" t="n">
        <v>5.0989132759011</v>
      </c>
      <c r="L2190" s="14" t="n">
        <v>4.84628830005867</v>
      </c>
      <c r="M2190" s="14" t="n">
        <v>2.166</v>
      </c>
      <c r="N2190" s="14" t="n">
        <v>2.27</v>
      </c>
      <c r="O2190" s="14" t="n">
        <v>2.326</v>
      </c>
      <c r="P2190" s="14" t="n">
        <v>2.366</v>
      </c>
      <c r="Q2190" s="14" t="n">
        <v>4.5</v>
      </c>
      <c r="R2190" s="14" t="n">
        <v>4.5</v>
      </c>
      <c r="S2190" s="14" t="n">
        <v>11.25</v>
      </c>
    </row>
    <row r="2191" customFormat="false" ht="15" hidden="false" customHeight="false" outlineLevel="0" collapsed="false">
      <c r="A2191" s="13" t="n">
        <v>45343</v>
      </c>
      <c r="B2191" s="14" t="n">
        <v>5.3</v>
      </c>
      <c r="C2191" s="14" t="n">
        <v>5.5</v>
      </c>
      <c r="D2191" s="14" t="n">
        <v>5.25</v>
      </c>
      <c r="E2191" s="14" t="n">
        <v>3.91</v>
      </c>
      <c r="F2191" s="14" t="n">
        <v>4</v>
      </c>
      <c r="G2191" s="14" t="n">
        <v>5.25</v>
      </c>
      <c r="H2191" s="14" t="n">
        <v>5.188</v>
      </c>
      <c r="I2191" s="14" t="n">
        <v>5.18802310722862</v>
      </c>
      <c r="J2191" s="14" t="n">
        <v>5.17982187045318</v>
      </c>
      <c r="K2191" s="14" t="n">
        <v>5.11711280953058</v>
      </c>
      <c r="L2191" s="14" t="n">
        <v>4.89771128552771</v>
      </c>
      <c r="M2191" s="14" t="n">
        <v>2.145</v>
      </c>
      <c r="N2191" s="14" t="n">
        <v>2.243</v>
      </c>
      <c r="O2191" s="14" t="n">
        <v>2.309</v>
      </c>
      <c r="P2191" s="14" t="n">
        <v>2.348</v>
      </c>
      <c r="Q2191" s="14" t="n">
        <v>4.5</v>
      </c>
      <c r="R2191" s="14" t="n">
        <v>4.5</v>
      </c>
      <c r="S2191" s="14" t="n">
        <v>11.25</v>
      </c>
    </row>
    <row r="2192" customFormat="false" ht="15" hidden="false" customHeight="false" outlineLevel="0" collapsed="false">
      <c r="A2192" s="13" t="n">
        <v>45344</v>
      </c>
      <c r="B2192" s="14" t="n">
        <v>5.3</v>
      </c>
      <c r="C2192" s="14" t="n">
        <v>5.5</v>
      </c>
      <c r="D2192" s="14" t="n">
        <v>5.25</v>
      </c>
      <c r="E2192" s="14" t="n">
        <v>3.909</v>
      </c>
      <c r="F2192" s="14" t="n">
        <v>4</v>
      </c>
      <c r="G2192" s="14" t="n">
        <v>5.25</v>
      </c>
      <c r="H2192" s="14" t="n">
        <v>5.1888</v>
      </c>
      <c r="I2192" s="14" t="n">
        <v>5.1877013336381</v>
      </c>
      <c r="J2192" s="14" t="n">
        <v>5.17841788114543</v>
      </c>
      <c r="K2192" s="14" t="n">
        <v>5.11906379092422</v>
      </c>
      <c r="L2192" s="14" t="n">
        <v>4.91280354627873</v>
      </c>
      <c r="M2192" s="14" t="n">
        <v>2.132</v>
      </c>
      <c r="N2192" s="14" t="n">
        <v>2.219</v>
      </c>
      <c r="O2192" s="14" t="n">
        <v>2.292</v>
      </c>
      <c r="P2192" s="14" t="n">
        <v>2.332</v>
      </c>
      <c r="Q2192" s="14" t="n">
        <v>4.5</v>
      </c>
      <c r="R2192" s="14" t="n">
        <v>4.5</v>
      </c>
      <c r="S2192" s="14" t="n">
        <v>11.25</v>
      </c>
    </row>
    <row r="2193" customFormat="false" ht="15" hidden="false" customHeight="false" outlineLevel="0" collapsed="false">
      <c r="A2193" s="13" t="n">
        <v>45345</v>
      </c>
      <c r="B2193" s="14" t="n">
        <v>5.31</v>
      </c>
      <c r="C2193" s="14" t="n">
        <v>5.5</v>
      </c>
      <c r="D2193" s="14" t="n">
        <v>5.25</v>
      </c>
      <c r="E2193" s="14" t="n">
        <v>3.907</v>
      </c>
      <c r="F2193" s="14" t="n">
        <v>4</v>
      </c>
      <c r="G2193" s="14" t="n">
        <v>5.25</v>
      </c>
      <c r="H2193" s="14" t="n">
        <v>5.1881</v>
      </c>
      <c r="I2193" s="14" t="n">
        <v>5.18861847277187</v>
      </c>
      <c r="J2193" s="14" t="n">
        <v>5.17815110185917</v>
      </c>
      <c r="K2193" s="14" t="n">
        <v>5.10778910475727</v>
      </c>
      <c r="L2193" s="14" t="n">
        <v>4.87959138496281</v>
      </c>
      <c r="M2193" s="14" t="n">
        <v>2.122</v>
      </c>
      <c r="N2193" s="14" t="n">
        <v>2.214</v>
      </c>
      <c r="O2193" s="14" t="n">
        <v>2.283</v>
      </c>
      <c r="P2193" s="14" t="n">
        <v>2.322</v>
      </c>
      <c r="Q2193" s="14" t="n">
        <v>4.5</v>
      </c>
      <c r="R2193" s="14" t="n">
        <v>4.5</v>
      </c>
      <c r="S2193" s="14" t="n">
        <v>11.25</v>
      </c>
    </row>
    <row r="2194" customFormat="false" ht="15" hidden="false" customHeight="false" outlineLevel="0" collapsed="false">
      <c r="A2194" s="13" t="n">
        <v>45348</v>
      </c>
      <c r="B2194" s="14" t="n">
        <v>5.31</v>
      </c>
      <c r="C2194" s="14" t="n">
        <v>5.5</v>
      </c>
      <c r="D2194" s="14" t="n">
        <v>5.25</v>
      </c>
      <c r="E2194" s="14" t="n">
        <v>3.904</v>
      </c>
      <c r="F2194" s="14" t="n">
        <v>4</v>
      </c>
      <c r="G2194" s="14" t="n">
        <v>5.25</v>
      </c>
      <c r="H2194" s="14" t="n">
        <v>5.1881</v>
      </c>
      <c r="I2194" s="14" t="n">
        <v>5.1896102649332</v>
      </c>
      <c r="J2194" s="14" t="n">
        <v>5.17986679519815</v>
      </c>
      <c r="K2194" s="14" t="n">
        <v>5.11624410341118</v>
      </c>
      <c r="L2194" s="14" t="n">
        <v>4.89903011578399</v>
      </c>
      <c r="M2194" s="14" t="n">
        <v>2.116</v>
      </c>
      <c r="N2194" s="14" t="n">
        <v>2.208</v>
      </c>
      <c r="O2194" s="14" t="n">
        <v>2.275</v>
      </c>
      <c r="P2194" s="14" t="n">
        <v>2.314</v>
      </c>
      <c r="Q2194" s="14" t="n">
        <v>4.5</v>
      </c>
      <c r="R2194" s="14" t="n">
        <v>4.5</v>
      </c>
      <c r="S2194" s="14" t="n">
        <v>11.25</v>
      </c>
    </row>
    <row r="2195" customFormat="false" ht="15" hidden="false" customHeight="false" outlineLevel="0" collapsed="false">
      <c r="A2195" s="13" t="n">
        <v>45349</v>
      </c>
      <c r="B2195" s="14" t="n">
        <v>5.31</v>
      </c>
      <c r="C2195" s="14" t="n">
        <v>5.5</v>
      </c>
      <c r="D2195" s="14" t="n">
        <v>5.25</v>
      </c>
      <c r="E2195" s="14" t="n">
        <v>3.905</v>
      </c>
      <c r="F2195" s="14" t="n">
        <v>4</v>
      </c>
      <c r="G2195" s="14" t="n">
        <v>5.25</v>
      </c>
      <c r="H2195" s="14" t="n">
        <v>5.1877</v>
      </c>
      <c r="I2195" s="14" t="n">
        <v>5.18774145809168</v>
      </c>
      <c r="J2195" s="14" t="n">
        <v>5.1787053452272</v>
      </c>
      <c r="K2195" s="14" t="n">
        <v>5.11850348022403</v>
      </c>
      <c r="L2195" s="14" t="n">
        <v>4.91476236859376</v>
      </c>
      <c r="M2195" s="14" t="n">
        <v>2.107</v>
      </c>
      <c r="N2195" s="14" t="n">
        <v>2.204</v>
      </c>
      <c r="O2195" s="14" t="n">
        <v>2.271</v>
      </c>
      <c r="P2195" s="14" t="n">
        <v>2.308</v>
      </c>
      <c r="Q2195" s="14" t="n">
        <v>4.5</v>
      </c>
      <c r="R2195" s="14" t="n">
        <v>4.5</v>
      </c>
      <c r="S2195" s="14" t="n">
        <v>11.25</v>
      </c>
    </row>
    <row r="2196" customFormat="false" ht="15" hidden="false" customHeight="false" outlineLevel="0" collapsed="false">
      <c r="A2196" s="13" t="n">
        <v>45350</v>
      </c>
      <c r="B2196" s="14" t="n">
        <v>5.31</v>
      </c>
      <c r="C2196" s="14" t="n">
        <v>5.5</v>
      </c>
      <c r="D2196" s="14" t="n">
        <v>5.25</v>
      </c>
      <c r="E2196" s="14" t="n">
        <v>3.906</v>
      </c>
      <c r="F2196" s="14" t="n">
        <v>4</v>
      </c>
      <c r="G2196" s="14" t="n">
        <v>5.25</v>
      </c>
      <c r="H2196" s="14" t="n">
        <v>5.1882</v>
      </c>
      <c r="I2196" s="14" t="n">
        <v>5.18902078663826</v>
      </c>
      <c r="J2196" s="14" t="n">
        <v>5.17604806724307</v>
      </c>
      <c r="K2196" s="14" t="n">
        <v>5.11280870446821</v>
      </c>
      <c r="L2196" s="14" t="n">
        <v>4.90994345378382</v>
      </c>
      <c r="M2196" s="14" t="n">
        <v>2.1033</v>
      </c>
      <c r="N2196" s="14" t="n">
        <v>2.1989</v>
      </c>
      <c r="O2196" s="14" t="n">
        <v>2.2656</v>
      </c>
      <c r="P2196" s="14" t="n">
        <v>2.3044</v>
      </c>
      <c r="Q2196" s="14" t="n">
        <v>4.5</v>
      </c>
      <c r="R2196" s="14" t="n">
        <v>4.5</v>
      </c>
      <c r="S2196" s="14" t="n">
        <v>11.25</v>
      </c>
    </row>
    <row r="2197" customFormat="false" ht="15" hidden="false" customHeight="false" outlineLevel="0" collapsed="false">
      <c r="A2197" s="13" t="n">
        <v>45351</v>
      </c>
      <c r="B2197" s="14" t="n">
        <v>5.32</v>
      </c>
      <c r="C2197" s="14" t="n">
        <v>5.5</v>
      </c>
      <c r="D2197" s="14" t="n">
        <v>5.25</v>
      </c>
      <c r="E2197" s="14" t="n">
        <v>3.887</v>
      </c>
      <c r="F2197" s="14" t="n">
        <v>4</v>
      </c>
      <c r="G2197" s="14" t="n">
        <v>5.25</v>
      </c>
      <c r="H2197" s="14" t="n">
        <v>5.1885</v>
      </c>
      <c r="I2197" s="14" t="n">
        <v>5.18854760405667</v>
      </c>
      <c r="J2197" s="14" t="n">
        <v>5.17613685076382</v>
      </c>
      <c r="K2197" s="14" t="n">
        <v>5.11188757133299</v>
      </c>
      <c r="L2197" s="14" t="n">
        <v>4.89231341640063</v>
      </c>
      <c r="M2197" s="14" t="n">
        <v>2.099</v>
      </c>
      <c r="N2197" s="14" t="n">
        <v>2.193</v>
      </c>
      <c r="O2197" s="14" t="n">
        <v>2.26</v>
      </c>
      <c r="P2197" s="14" t="n">
        <v>2.3</v>
      </c>
      <c r="Q2197" s="14" t="n">
        <v>4.5</v>
      </c>
      <c r="R2197" s="14" t="n">
        <v>4.5</v>
      </c>
      <c r="S2197" s="14" t="n">
        <v>11.25</v>
      </c>
    </row>
    <row r="2198" customFormat="false" ht="15" hidden="false" customHeight="false" outlineLevel="0" collapsed="false">
      <c r="A2198" s="13" t="n">
        <v>45352</v>
      </c>
      <c r="B2198" s="14" t="n">
        <v>5.31</v>
      </c>
      <c r="C2198" s="14" t="n">
        <v>5.5</v>
      </c>
      <c r="D2198" s="14" t="n">
        <v>5.25</v>
      </c>
      <c r="E2198" s="14" t="n">
        <v>3.904</v>
      </c>
      <c r="F2198" s="14" t="n">
        <v>4</v>
      </c>
      <c r="G2198" s="14" t="n">
        <v>5.25</v>
      </c>
      <c r="H2198" s="14" t="n">
        <v>5.1887</v>
      </c>
      <c r="I2198" s="14" t="n">
        <v>5.18845217597782</v>
      </c>
      <c r="J2198" s="14" t="n">
        <v>5.17712687671426</v>
      </c>
      <c r="K2198" s="14" t="n">
        <v>5.10910367578534</v>
      </c>
      <c r="L2198" s="14" t="n">
        <v>4.88285845541491</v>
      </c>
      <c r="M2198" s="14" t="n">
        <v>2.088</v>
      </c>
      <c r="N2198" s="14" t="n">
        <v>2.182</v>
      </c>
      <c r="O2198" s="14" t="n">
        <v>2.246</v>
      </c>
      <c r="P2198" s="14" t="n">
        <v>2.29</v>
      </c>
      <c r="Q2198" s="14" t="n">
        <v>4.5</v>
      </c>
      <c r="R2198" s="14" t="n">
        <v>4.5</v>
      </c>
      <c r="S2198" s="14" t="n">
        <v>11.25</v>
      </c>
    </row>
    <row r="2199" customFormat="false" ht="15" hidden="false" customHeight="false" outlineLevel="0" collapsed="false">
      <c r="A2199" s="13" t="n">
        <v>45355</v>
      </c>
      <c r="B2199" s="14" t="n">
        <v>5.31</v>
      </c>
      <c r="C2199" s="14" t="n">
        <v>5.5</v>
      </c>
      <c r="D2199" s="14" t="n">
        <v>5.25</v>
      </c>
      <c r="E2199" s="14" t="n">
        <v>3.903</v>
      </c>
      <c r="F2199" s="14" t="n">
        <v>4</v>
      </c>
      <c r="G2199" s="14" t="n">
        <v>5.25</v>
      </c>
      <c r="H2199" s="14" t="n">
        <v>5.1884</v>
      </c>
      <c r="I2199" s="14" t="n">
        <v>5.19117777299708</v>
      </c>
      <c r="J2199" s="14" t="n">
        <v>5.18056754995018</v>
      </c>
      <c r="K2199" s="14" t="n">
        <v>5.1191573892651</v>
      </c>
      <c r="L2199" s="14" t="n">
        <v>4.91436910305227</v>
      </c>
      <c r="M2199" s="14" t="n">
        <v>2.086</v>
      </c>
      <c r="N2199" s="14" t="n">
        <v>2.171</v>
      </c>
      <c r="O2199" s="14" t="n">
        <v>2.232</v>
      </c>
      <c r="P2199" s="14" t="n">
        <v>2.278</v>
      </c>
      <c r="Q2199" s="14" t="n">
        <v>4.5</v>
      </c>
      <c r="R2199" s="14" t="n">
        <v>4.5</v>
      </c>
      <c r="S2199" s="14" t="n">
        <v>11.25</v>
      </c>
    </row>
    <row r="2200" customFormat="false" ht="15" hidden="false" customHeight="false" outlineLevel="0" collapsed="false">
      <c r="A2200" s="13" t="n">
        <v>45356</v>
      </c>
      <c r="B2200" s="14" t="n">
        <v>5.31</v>
      </c>
      <c r="C2200" s="14" t="n">
        <v>5.5</v>
      </c>
      <c r="D2200" s="14" t="n">
        <v>5.25</v>
      </c>
      <c r="E2200" s="14" t="n">
        <v>3.911</v>
      </c>
      <c r="F2200" s="14" t="n">
        <v>4</v>
      </c>
      <c r="G2200" s="14" t="n">
        <v>5.25</v>
      </c>
      <c r="H2200" s="14" t="n">
        <v>5.1887</v>
      </c>
      <c r="I2200" s="14" t="n">
        <v>5.18996012144863</v>
      </c>
      <c r="J2200" s="14" t="n">
        <v>5.17837529553686</v>
      </c>
      <c r="K2200" s="14" t="n">
        <v>5.10959557233249</v>
      </c>
      <c r="L2200" s="14" t="n">
        <v>4.8839745744266</v>
      </c>
      <c r="M2200" s="14" t="n">
        <v>2.086</v>
      </c>
      <c r="N2200" s="14" t="n">
        <v>2.167</v>
      </c>
      <c r="O2200" s="14" t="n">
        <v>2.222</v>
      </c>
      <c r="P2200" s="14" t="n">
        <v>2.275</v>
      </c>
      <c r="Q2200" s="14" t="n">
        <v>4.5</v>
      </c>
      <c r="R2200" s="14" t="n">
        <v>4.5</v>
      </c>
      <c r="S2200" s="14" t="n">
        <v>11.25</v>
      </c>
    </row>
    <row r="2201" customFormat="false" ht="15" hidden="false" customHeight="false" outlineLevel="0" collapsed="false">
      <c r="A2201" s="13" t="n">
        <v>45357</v>
      </c>
      <c r="B2201" s="14" t="n">
        <v>5.31</v>
      </c>
      <c r="C2201" s="14" t="n">
        <v>5.5</v>
      </c>
      <c r="D2201" s="14" t="n">
        <v>5.25</v>
      </c>
      <c r="E2201" s="14" t="n">
        <v>3.905</v>
      </c>
      <c r="F2201" s="14" t="n">
        <v>4</v>
      </c>
      <c r="G2201" s="14" t="n">
        <v>5.25</v>
      </c>
      <c r="H2201" s="14" t="n">
        <v>5.1883</v>
      </c>
      <c r="I2201" s="14" t="n">
        <v>5.18566329928864</v>
      </c>
      <c r="J2201" s="14" t="n">
        <v>5.17077199750803</v>
      </c>
      <c r="K2201" s="14" t="n">
        <v>5.10119850375869</v>
      </c>
      <c r="L2201" s="14" t="n">
        <v>4.88056852259649</v>
      </c>
      <c r="M2201" s="14" t="n">
        <v>2.088</v>
      </c>
      <c r="N2201" s="14" t="n">
        <v>2.165</v>
      </c>
      <c r="O2201" s="14" t="n">
        <v>2.216</v>
      </c>
      <c r="P2201" s="14" t="n">
        <v>2.273</v>
      </c>
      <c r="Q2201" s="14" t="n">
        <v>4.5</v>
      </c>
      <c r="R2201" s="14" t="n">
        <v>4.5</v>
      </c>
      <c r="S2201" s="14" t="n">
        <v>11.25</v>
      </c>
    </row>
    <row r="2202" customFormat="false" ht="15" hidden="false" customHeight="false" outlineLevel="0" collapsed="false">
      <c r="A2202" s="13" t="n">
        <v>45358</v>
      </c>
      <c r="B2202" s="14" t="n">
        <v>5.31</v>
      </c>
      <c r="C2202" s="14" t="n">
        <v>5.5</v>
      </c>
      <c r="D2202" s="14" t="n">
        <v>5.25</v>
      </c>
      <c r="E2202" s="14" t="n">
        <v>3.908</v>
      </c>
      <c r="F2202" s="14" t="n">
        <v>4</v>
      </c>
      <c r="G2202" s="14" t="n">
        <v>5.25</v>
      </c>
      <c r="H2202" s="14" t="n">
        <v>5.1884</v>
      </c>
      <c r="I2202" s="14" t="n">
        <v>5.18842327189313</v>
      </c>
      <c r="J2202" s="14" t="n">
        <v>5.17634715681877</v>
      </c>
      <c r="K2202" s="14" t="n">
        <v>5.10918239855537</v>
      </c>
      <c r="L2202" s="14" t="n">
        <v>4.88840550484122</v>
      </c>
      <c r="M2202" s="14" t="n">
        <v>2.088</v>
      </c>
      <c r="N2202" s="14" t="n">
        <v>2.164</v>
      </c>
      <c r="O2202" s="14" t="n">
        <v>2.211</v>
      </c>
      <c r="P2202" s="14" t="n">
        <v>2.266</v>
      </c>
      <c r="Q2202" s="14" t="n">
        <v>4.5</v>
      </c>
      <c r="R2202" s="14" t="n">
        <v>4.5</v>
      </c>
      <c r="S2202" s="14" t="n">
        <v>11.25</v>
      </c>
    </row>
    <row r="2203" customFormat="false" ht="15" hidden="false" customHeight="false" outlineLevel="0" collapsed="false">
      <c r="A2203" s="13" t="n">
        <v>45359</v>
      </c>
      <c r="B2203" s="14" t="n">
        <v>5.31</v>
      </c>
      <c r="C2203" s="14" t="n">
        <v>5.5</v>
      </c>
      <c r="D2203" s="14" t="n">
        <v>5.25</v>
      </c>
      <c r="E2203" s="14" t="n">
        <v>3.907</v>
      </c>
      <c r="F2203" s="14" t="n">
        <v>4</v>
      </c>
      <c r="G2203" s="14" t="n">
        <v>5.25</v>
      </c>
      <c r="H2203" s="14" t="n">
        <v>5.1881</v>
      </c>
      <c r="I2203" s="14" t="n">
        <v>5.18486267254469</v>
      </c>
      <c r="J2203" s="14" t="n">
        <v>5.17178920218799</v>
      </c>
      <c r="K2203" s="14" t="n">
        <v>5.10008305757713</v>
      </c>
      <c r="L2203" s="14" t="n">
        <v>4.87106632951582</v>
      </c>
      <c r="M2203" s="14" t="n">
        <v>2.087</v>
      </c>
      <c r="N2203" s="14" t="n">
        <v>2.16</v>
      </c>
      <c r="O2203" s="14" t="n">
        <v>2.207</v>
      </c>
      <c r="P2203" s="14" t="n">
        <v>2.26</v>
      </c>
      <c r="Q2203" s="14" t="n">
        <v>4.5</v>
      </c>
      <c r="R2203" s="14" t="n">
        <v>4.5</v>
      </c>
      <c r="S2203" s="14" t="n">
        <v>11.25</v>
      </c>
    </row>
    <row r="2204" customFormat="false" ht="15" hidden="false" customHeight="false" outlineLevel="0" collapsed="false">
      <c r="A2204" s="13" t="n">
        <v>45362</v>
      </c>
      <c r="B2204" s="14" t="n">
        <v>5.31</v>
      </c>
      <c r="C2204" s="14" t="n">
        <v>5.5</v>
      </c>
      <c r="D2204" s="14" t="n">
        <v>5.25</v>
      </c>
      <c r="E2204" s="14" t="n">
        <v>3.904</v>
      </c>
      <c r="F2204" s="14" t="n">
        <v>4</v>
      </c>
      <c r="G2204" s="14" t="n">
        <v>5.25</v>
      </c>
      <c r="H2204" s="14" t="n">
        <v>5.188</v>
      </c>
      <c r="I2204" s="14" t="n">
        <v>5.18816664037901</v>
      </c>
      <c r="J2204" s="14" t="n">
        <v>5.17097098070756</v>
      </c>
      <c r="K2204" s="14" t="n">
        <v>5.09045752707172</v>
      </c>
      <c r="L2204" s="14" t="n">
        <v>4.84403318207424</v>
      </c>
      <c r="M2204" s="14" t="n">
        <v>2.086</v>
      </c>
      <c r="N2204" s="14" t="n">
        <v>2.159</v>
      </c>
      <c r="O2204" s="14" t="n">
        <v>2.206</v>
      </c>
      <c r="P2204" s="14" t="n">
        <v>2.257</v>
      </c>
      <c r="Q2204" s="14" t="n">
        <v>4.5</v>
      </c>
      <c r="R2204" s="14" t="n">
        <v>4.5</v>
      </c>
      <c r="S2204" s="14" t="n">
        <v>11.25</v>
      </c>
    </row>
    <row r="2205" customFormat="false" ht="15" hidden="false" customHeight="false" outlineLevel="0" collapsed="false">
      <c r="A2205" s="13" t="n">
        <v>45363</v>
      </c>
      <c r="B2205" s="14" t="n">
        <v>5.31</v>
      </c>
      <c r="C2205" s="14" t="n">
        <v>5.5</v>
      </c>
      <c r="D2205" s="14" t="n">
        <v>5.25</v>
      </c>
      <c r="E2205" s="14" t="n">
        <v>3.905</v>
      </c>
      <c r="F2205" s="14" t="n">
        <v>4</v>
      </c>
      <c r="G2205" s="14" t="n">
        <v>5.25</v>
      </c>
      <c r="H2205" s="14" t="n">
        <v>5.1887</v>
      </c>
      <c r="I2205" s="14" t="n">
        <v>5.18666259065447</v>
      </c>
      <c r="J2205" s="14" t="n">
        <v>5.16604959348079</v>
      </c>
      <c r="K2205" s="14" t="n">
        <v>5.07926288490484</v>
      </c>
      <c r="L2205" s="14" t="n">
        <v>4.83025446400088</v>
      </c>
      <c r="M2205" s="14" t="n">
        <v>2.091</v>
      </c>
      <c r="N2205" s="14" t="n">
        <v>2.158</v>
      </c>
      <c r="O2205" s="14" t="n">
        <v>2.207</v>
      </c>
      <c r="P2205" s="14" t="n">
        <v>2.261</v>
      </c>
      <c r="Q2205" s="14" t="n">
        <v>4.5</v>
      </c>
      <c r="R2205" s="14" t="n">
        <v>4.5</v>
      </c>
      <c r="S2205" s="14" t="n">
        <v>11.25</v>
      </c>
    </row>
    <row r="2206" customFormat="false" ht="15" hidden="false" customHeight="false" outlineLevel="0" collapsed="false">
      <c r="A2206" s="13" t="n">
        <v>45364</v>
      </c>
      <c r="B2206" s="14" t="n">
        <v>5.31</v>
      </c>
      <c r="C2206" s="14" t="n">
        <v>5.5</v>
      </c>
      <c r="D2206" s="14" t="n">
        <v>5.25</v>
      </c>
      <c r="E2206" s="14" t="n">
        <v>3.907</v>
      </c>
      <c r="F2206" s="14" t="n">
        <v>4</v>
      </c>
      <c r="G2206" s="14" t="n">
        <v>5.25</v>
      </c>
      <c r="H2206" s="14" t="n">
        <v>5.1889</v>
      </c>
      <c r="I2206" s="14" t="n">
        <v>5.18869846054299</v>
      </c>
      <c r="J2206" s="14" t="n">
        <v>5.16978349429807</v>
      </c>
      <c r="K2206" s="14" t="n">
        <v>5.08681183337094</v>
      </c>
      <c r="L2206" s="14" t="n">
        <v>4.84890567915608</v>
      </c>
      <c r="M2206" s="14" t="n">
        <v>2.095</v>
      </c>
      <c r="N2206" s="14" t="n">
        <v>2.159</v>
      </c>
      <c r="O2206" s="14" t="n">
        <v>2.207</v>
      </c>
      <c r="P2206" s="14" t="n">
        <v>2.268</v>
      </c>
      <c r="Q2206" s="14" t="n">
        <v>4.5</v>
      </c>
      <c r="R2206" s="14" t="n">
        <v>4.5</v>
      </c>
      <c r="S2206" s="14" t="n">
        <v>11.25</v>
      </c>
    </row>
    <row r="2207" customFormat="false" ht="15" hidden="false" customHeight="false" outlineLevel="0" collapsed="false">
      <c r="A2207" s="13" t="n">
        <v>45365</v>
      </c>
      <c r="B2207" s="14" t="n">
        <v>5.31</v>
      </c>
      <c r="C2207" s="14" t="n">
        <v>5.5</v>
      </c>
      <c r="D2207" s="14" t="n">
        <v>5.25</v>
      </c>
      <c r="E2207" s="14" t="n">
        <v>3.908</v>
      </c>
      <c r="F2207" s="14" t="n">
        <v>4</v>
      </c>
      <c r="G2207" s="14" t="n">
        <v>5.25</v>
      </c>
      <c r="H2207" s="14" t="n">
        <v>5.1888</v>
      </c>
      <c r="I2207" s="14" t="n">
        <v>5.18787560900259</v>
      </c>
      <c r="J2207" s="14" t="n">
        <v>5.17049841197854</v>
      </c>
      <c r="K2207" s="14" t="n">
        <v>5.09115928132533</v>
      </c>
      <c r="L2207" s="14" t="n">
        <v>4.86183602802696</v>
      </c>
      <c r="M2207" s="14" t="n">
        <v>2.1</v>
      </c>
      <c r="N2207" s="14" t="n">
        <v>2.161</v>
      </c>
      <c r="O2207" s="14" t="n">
        <v>2.21</v>
      </c>
      <c r="P2207" s="14" t="n">
        <v>2.273</v>
      </c>
      <c r="Q2207" s="14" t="n">
        <v>4.5</v>
      </c>
      <c r="R2207" s="14" t="n">
        <v>4.5</v>
      </c>
      <c r="S2207" s="14" t="n">
        <v>11.25</v>
      </c>
    </row>
    <row r="2208" customFormat="false" ht="15" hidden="false" customHeight="false" outlineLevel="0" collapsed="false">
      <c r="A2208" s="13" t="n">
        <v>45366</v>
      </c>
      <c r="B2208" s="14" t="n">
        <v>5.31</v>
      </c>
      <c r="C2208" s="14" t="n">
        <v>5.5</v>
      </c>
      <c r="D2208" s="14" t="n">
        <v>5.25</v>
      </c>
      <c r="E2208" s="14" t="n">
        <v>3.909</v>
      </c>
      <c r="F2208" s="14" t="n">
        <v>4</v>
      </c>
      <c r="G2208" s="14" t="n">
        <v>5.25</v>
      </c>
      <c r="H2208" s="14" t="n">
        <v>5.1894</v>
      </c>
      <c r="I2208" s="14" t="n">
        <v>5.18923638088745</v>
      </c>
      <c r="J2208" s="14" t="n">
        <v>5.17094857456801</v>
      </c>
      <c r="K2208" s="14" t="n">
        <v>5.0919099582026</v>
      </c>
      <c r="L2208" s="14" t="n">
        <v>4.86968987861537</v>
      </c>
      <c r="M2208" s="14" t="n">
        <v>2.101</v>
      </c>
      <c r="N2208" s="14" t="n">
        <v>2.163</v>
      </c>
      <c r="O2208" s="14" t="n">
        <v>2.211</v>
      </c>
      <c r="P2208" s="14" t="n">
        <v>2.274</v>
      </c>
      <c r="Q2208" s="14" t="n">
        <v>4.5</v>
      </c>
      <c r="R2208" s="14" t="n">
        <v>4.5</v>
      </c>
      <c r="S2208" s="14" t="n">
        <v>11.25</v>
      </c>
    </row>
    <row r="2209" customFormat="false" ht="15" hidden="false" customHeight="false" outlineLevel="0" collapsed="false">
      <c r="A2209" s="13" t="n">
        <v>45369</v>
      </c>
      <c r="B2209" s="14" t="n">
        <v>5.31</v>
      </c>
      <c r="C2209" s="14" t="n">
        <v>5.5</v>
      </c>
      <c r="D2209" s="14" t="n">
        <v>5.25</v>
      </c>
      <c r="E2209" s="14" t="n">
        <v>3.909</v>
      </c>
      <c r="F2209" s="14" t="n">
        <v>4</v>
      </c>
      <c r="G2209" s="14" t="n">
        <v>5.25</v>
      </c>
      <c r="H2209" s="14" t="n">
        <v>5.1886</v>
      </c>
      <c r="I2209" s="14" t="n">
        <v>5.19021377440823</v>
      </c>
      <c r="J2209" s="14" t="n">
        <v>5.1695510512677</v>
      </c>
      <c r="K2209" s="14" t="n">
        <v>5.08722137152433</v>
      </c>
      <c r="L2209" s="14" t="n">
        <v>4.86422421462367</v>
      </c>
      <c r="M2209" s="14" t="n">
        <v>2.106</v>
      </c>
      <c r="N2209" s="14" t="n">
        <v>2.163</v>
      </c>
      <c r="O2209" s="14" t="n">
        <v>2.214</v>
      </c>
      <c r="P2209" s="14" t="n">
        <v>2.274</v>
      </c>
      <c r="Q2209" s="14" t="n">
        <v>4.5</v>
      </c>
      <c r="R2209" s="14" t="n">
        <v>4.5</v>
      </c>
      <c r="S2209" s="14" t="n">
        <v>11.25</v>
      </c>
    </row>
    <row r="2210" customFormat="false" ht="15" hidden="false" customHeight="false" outlineLevel="0" collapsed="false">
      <c r="A2210" s="13" t="n">
        <v>45370</v>
      </c>
      <c r="B2210" s="14" t="n">
        <v>5.31</v>
      </c>
      <c r="C2210" s="14" t="n">
        <v>5.5</v>
      </c>
      <c r="D2210" s="14" t="n">
        <v>5.25</v>
      </c>
      <c r="E2210" s="14" t="n">
        <v>3.908</v>
      </c>
      <c r="F2210" s="14" t="n">
        <v>4</v>
      </c>
      <c r="G2210" s="14" t="n">
        <v>5.25</v>
      </c>
      <c r="H2210" s="14" t="n">
        <v>5.1894</v>
      </c>
      <c r="I2210" s="14" t="n">
        <v>5.18715493354834</v>
      </c>
      <c r="J2210" s="14" t="n">
        <v>5.16308186922894</v>
      </c>
      <c r="K2210" s="14" t="n">
        <v>5.07589610620526</v>
      </c>
      <c r="L2210" s="14" t="n">
        <v>4.83756295520144</v>
      </c>
      <c r="M2210" s="14" t="n">
        <v>2.117</v>
      </c>
      <c r="N2210" s="14" t="n">
        <v>2.163</v>
      </c>
      <c r="O2210" s="14" t="n">
        <v>2.213</v>
      </c>
      <c r="P2210" s="14" t="n">
        <v>2.273</v>
      </c>
      <c r="Q2210" s="14" t="n">
        <v>4.5</v>
      </c>
      <c r="R2210" s="14" t="n">
        <v>4.5</v>
      </c>
      <c r="S2210" s="14" t="n">
        <v>11.25</v>
      </c>
    </row>
    <row r="2211" customFormat="false" ht="15" hidden="false" customHeight="false" outlineLevel="0" collapsed="false">
      <c r="A2211" s="13" t="n">
        <v>45371</v>
      </c>
      <c r="B2211" s="14" t="n">
        <v>5.31</v>
      </c>
      <c r="C2211" s="14" t="n">
        <v>5.5</v>
      </c>
      <c r="D2211" s="14" t="n">
        <v>5.25</v>
      </c>
      <c r="E2211" s="14" t="n">
        <v>3.908</v>
      </c>
      <c r="F2211" s="14" t="n">
        <v>4</v>
      </c>
      <c r="G2211" s="14" t="n">
        <v>5.25</v>
      </c>
      <c r="H2211" s="14" t="n">
        <v>5.1892</v>
      </c>
      <c r="I2211" s="14" t="n">
        <v>5.18807870718033</v>
      </c>
      <c r="J2211" s="14" t="n">
        <v>5.16188238846993</v>
      </c>
      <c r="K2211" s="14" t="n">
        <v>5.06568720716965</v>
      </c>
      <c r="L2211" s="14" t="n">
        <v>4.82061119869407</v>
      </c>
      <c r="M2211" s="14" t="n">
        <v>2.123</v>
      </c>
      <c r="N2211" s="14" t="n">
        <v>2.16</v>
      </c>
      <c r="O2211" s="14" t="n">
        <v>2.208</v>
      </c>
      <c r="P2211" s="14" t="n">
        <v>2.27</v>
      </c>
      <c r="Q2211" s="14" t="n">
        <v>4.5</v>
      </c>
      <c r="R2211" s="14" t="n">
        <v>4.5</v>
      </c>
      <c r="S2211" s="14" t="n">
        <v>11.25</v>
      </c>
    </row>
    <row r="2212" customFormat="false" ht="15" hidden="false" customHeight="false" outlineLevel="0" collapsed="false">
      <c r="A2212" s="13" t="n">
        <v>45372</v>
      </c>
      <c r="B2212" s="14" t="n">
        <v>5.31</v>
      </c>
      <c r="C2212" s="14" t="n">
        <v>5.5</v>
      </c>
      <c r="D2212" s="14" t="n">
        <v>5.25</v>
      </c>
      <c r="E2212" s="14" t="n">
        <v>3.907</v>
      </c>
      <c r="F2212" s="14" t="n">
        <v>4</v>
      </c>
      <c r="G2212" s="14" t="n">
        <v>5.25</v>
      </c>
      <c r="H2212" s="14" t="n">
        <v>5.1894</v>
      </c>
      <c r="I2212" s="14" t="n">
        <v>5.18768040257676</v>
      </c>
      <c r="J2212" s="14" t="n">
        <v>5.14543300166243</v>
      </c>
      <c r="K2212" s="14" t="n">
        <v>5.02771435169856</v>
      </c>
      <c r="L2212" s="14" t="n">
        <v>4.75441226971129</v>
      </c>
      <c r="M2212" s="14" t="n">
        <v>2.126</v>
      </c>
      <c r="N2212" s="14" t="n">
        <v>2.162</v>
      </c>
      <c r="O2212" s="14" t="n">
        <v>2.206</v>
      </c>
      <c r="P2212" s="14" t="n">
        <v>2.267</v>
      </c>
      <c r="Q2212" s="14" t="n">
        <v>4.5</v>
      </c>
      <c r="R2212" s="14" t="n">
        <v>4.5</v>
      </c>
      <c r="S2212" s="14" t="n">
        <v>10.75</v>
      </c>
    </row>
    <row r="2213" customFormat="false" ht="15" hidden="false" customHeight="false" outlineLevel="0" collapsed="false">
      <c r="A2213" s="13" t="n">
        <v>45373</v>
      </c>
      <c r="B2213" s="14" t="n">
        <v>5.31</v>
      </c>
      <c r="C2213" s="14" t="n">
        <v>5.5</v>
      </c>
      <c r="D2213" s="14" t="n">
        <v>5.25</v>
      </c>
      <c r="E2213" s="14" t="n">
        <v>3.909</v>
      </c>
      <c r="F2213" s="14" t="n">
        <v>4</v>
      </c>
      <c r="G2213" s="14" t="n">
        <v>5.25</v>
      </c>
      <c r="H2213" s="14" t="n">
        <v>5.1906</v>
      </c>
      <c r="I2213" s="14" t="n">
        <v>5.18801950851439</v>
      </c>
      <c r="J2213" s="14" t="n">
        <v>5.13934796551225</v>
      </c>
      <c r="K2213" s="14" t="n">
        <v>5.01380328215478</v>
      </c>
      <c r="L2213" s="14" t="n">
        <v>4.72822196152912</v>
      </c>
      <c r="M2213" s="14" t="n">
        <v>2.13</v>
      </c>
      <c r="N2213" s="14" t="n">
        <v>2.163</v>
      </c>
      <c r="O2213" s="14" t="n">
        <v>2.205</v>
      </c>
      <c r="P2213" s="14" t="n">
        <v>2.2655</v>
      </c>
      <c r="Q2213" s="14" t="n">
        <v>4.5</v>
      </c>
      <c r="R2213" s="14" t="n">
        <v>4.5</v>
      </c>
      <c r="S2213" s="14" t="n">
        <v>10.75</v>
      </c>
    </row>
    <row r="2214" customFormat="false" ht="15" hidden="false" customHeight="false" outlineLevel="0" collapsed="false">
      <c r="A2214" s="13" t="n">
        <v>45376</v>
      </c>
      <c r="B2214" s="14" t="n">
        <v>5.31</v>
      </c>
      <c r="C2214" s="14" t="n">
        <v>5.5</v>
      </c>
      <c r="D2214" s="14" t="n">
        <v>5.25</v>
      </c>
      <c r="E2214" s="14" t="n">
        <v>3.909</v>
      </c>
      <c r="F2214" s="14" t="n">
        <v>4</v>
      </c>
      <c r="G2214" s="14" t="n">
        <v>5.25</v>
      </c>
      <c r="H2214" s="14" t="n">
        <v>5.1898</v>
      </c>
      <c r="I2214" s="14" t="n">
        <v>5.19001423044226</v>
      </c>
      <c r="J2214" s="14" t="n">
        <v>5.14605109385024</v>
      </c>
      <c r="K2214" s="14" t="n">
        <v>5.0282222854396</v>
      </c>
      <c r="L2214" s="14" t="n">
        <v>4.7574547272431</v>
      </c>
      <c r="M2214" s="14" t="n">
        <v>2.135</v>
      </c>
      <c r="N2214" s="14" t="n">
        <v>2.159</v>
      </c>
      <c r="O2214" s="14" t="n">
        <v>2.206</v>
      </c>
      <c r="P2214" s="14" t="n">
        <v>2.266</v>
      </c>
      <c r="Q2214" s="14" t="n">
        <v>4.5</v>
      </c>
      <c r="R2214" s="14" t="n">
        <v>4.5</v>
      </c>
      <c r="S2214" s="14" t="n">
        <v>10.75</v>
      </c>
    </row>
    <row r="2215" customFormat="false" ht="15" hidden="false" customHeight="false" outlineLevel="0" collapsed="false">
      <c r="A2215" s="13" t="n">
        <v>45377</v>
      </c>
      <c r="B2215" s="14" t="n">
        <v>5.32</v>
      </c>
      <c r="C2215" s="14" t="n">
        <v>5.5</v>
      </c>
      <c r="D2215" s="14" t="n">
        <v>5.25</v>
      </c>
      <c r="E2215" s="14" t="n">
        <v>3.906</v>
      </c>
      <c r="F2215" s="14" t="n">
        <v>4</v>
      </c>
      <c r="G2215" s="14" t="n">
        <v>5.25</v>
      </c>
      <c r="H2215" s="14" t="n">
        <v>5.1896</v>
      </c>
      <c r="I2215" s="14" t="n">
        <v>5.19001839231284</v>
      </c>
      <c r="J2215" s="14" t="n">
        <v>5.14481830460497</v>
      </c>
      <c r="K2215" s="14" t="n">
        <v>5.02497649564034</v>
      </c>
      <c r="L2215" s="14" t="n">
        <v>4.75917107057159</v>
      </c>
      <c r="M2215" s="14" t="n">
        <v>2.137</v>
      </c>
      <c r="N2215" s="14" t="n">
        <v>2.16</v>
      </c>
      <c r="O2215" s="14" t="n">
        <v>2.206</v>
      </c>
      <c r="P2215" s="14" t="n">
        <v>2.266</v>
      </c>
      <c r="Q2215" s="14" t="n">
        <v>4.5</v>
      </c>
      <c r="R2215" s="14" t="n">
        <v>4.5</v>
      </c>
      <c r="S2215" s="14" t="n">
        <v>10.75</v>
      </c>
    </row>
    <row r="2216" customFormat="false" ht="15" hidden="false" customHeight="false" outlineLevel="0" collapsed="false">
      <c r="A2216" s="13" t="n">
        <v>45378</v>
      </c>
      <c r="B2216" s="14" t="n">
        <v>5.33</v>
      </c>
      <c r="C2216" s="14" t="n">
        <v>5.5</v>
      </c>
      <c r="D2216" s="14" t="n">
        <v>5.25</v>
      </c>
      <c r="E2216" s="14" t="n">
        <v>3.906</v>
      </c>
      <c r="F2216" s="14" t="n">
        <v>4</v>
      </c>
      <c r="G2216" s="14" t="n">
        <v>5.25</v>
      </c>
      <c r="H2216" s="14" t="n">
        <v>5.1899</v>
      </c>
      <c r="I2216" s="14" t="n">
        <v>5.1897498319622</v>
      </c>
      <c r="J2216" s="14" t="n">
        <v>5.14315526919605</v>
      </c>
      <c r="K2216" s="14" t="n">
        <v>5.02252858053121</v>
      </c>
      <c r="L2216" s="14" t="n">
        <v>4.75290656442508</v>
      </c>
      <c r="M2216" s="14" t="n">
        <v>2.141</v>
      </c>
      <c r="N2216" s="14" t="n">
        <v>2.159</v>
      </c>
      <c r="O2216" s="14" t="n">
        <v>2.205</v>
      </c>
      <c r="P2216" s="14" t="n">
        <v>2.266</v>
      </c>
      <c r="Q2216" s="14" t="n">
        <v>4.5</v>
      </c>
      <c r="R2216" s="14" t="n">
        <v>4.5</v>
      </c>
      <c r="S2216" s="14" t="n">
        <v>10.75</v>
      </c>
    </row>
    <row r="2217" customFormat="false" ht="15" hidden="false" customHeight="false" outlineLevel="0" collapsed="false">
      <c r="A2217" s="13" t="n">
        <v>45379</v>
      </c>
      <c r="B2217" s="14" t="n">
        <v>5.34</v>
      </c>
      <c r="C2217" s="14" t="n">
        <v>5.5</v>
      </c>
      <c r="D2217" s="14" t="n">
        <v>5.25</v>
      </c>
      <c r="E2217" s="14" t="n">
        <v>3.899</v>
      </c>
      <c r="F2217" s="14" t="n">
        <v>4</v>
      </c>
      <c r="G2217" s="14" t="n">
        <v>5.25</v>
      </c>
      <c r="H2217" s="14" t="n">
        <v>5.1911</v>
      </c>
      <c r="I2217" s="14" t="n">
        <v>5.18980891692325</v>
      </c>
      <c r="J2217" s="14" t="n">
        <v>5.14669574827407</v>
      </c>
      <c r="K2217" s="14" t="n">
        <v>5.03129372372073</v>
      </c>
      <c r="L2217" s="14" t="n">
        <v>4.76057647826175</v>
      </c>
      <c r="M2217" s="14" t="n">
        <v>2.143</v>
      </c>
      <c r="N2217" s="14" t="n">
        <v>2.156</v>
      </c>
      <c r="O2217" s="14" t="n">
        <v>2.206</v>
      </c>
      <c r="P2217" s="14" t="n">
        <v>2.267</v>
      </c>
      <c r="S2217" s="14" t="n">
        <v>10.75</v>
      </c>
    </row>
    <row r="2218" customFormat="false" ht="15" hidden="false" customHeight="false" outlineLevel="0" collapsed="false">
      <c r="A2218" s="13" t="n">
        <v>45380</v>
      </c>
      <c r="C2218" s="14" t="n">
        <v>5.5</v>
      </c>
      <c r="D2218" s="14" t="n">
        <v>5.25</v>
      </c>
      <c r="F2218" s="14" t="n">
        <v>4</v>
      </c>
      <c r="M2218" s="14" t="n">
        <v>2.14</v>
      </c>
      <c r="N2218" s="14" t="n">
        <v>2.156</v>
      </c>
      <c r="O2218" s="14" t="n">
        <v>2.203</v>
      </c>
      <c r="P2218" s="14" t="n">
        <v>2.268</v>
      </c>
      <c r="S2218" s="14" t="n">
        <v>10.75</v>
      </c>
    </row>
    <row r="2219" customFormat="false" ht="15" hidden="false" customHeight="false" outlineLevel="0" collapsed="false">
      <c r="A2219" s="13" t="n">
        <v>45383</v>
      </c>
      <c r="B2219" s="14" t="n">
        <v>5.35</v>
      </c>
      <c r="C2219" s="14" t="n">
        <v>5.5</v>
      </c>
      <c r="D2219" s="14" t="n">
        <v>5.25</v>
      </c>
      <c r="F2219" s="14" t="n">
        <v>4</v>
      </c>
      <c r="M2219" s="14" t="n">
        <v>2.128</v>
      </c>
      <c r="N2219" s="14" t="n">
        <v>2.157</v>
      </c>
      <c r="O2219" s="14" t="n">
        <v>2.199</v>
      </c>
      <c r="P2219" s="14" t="n">
        <v>2.265</v>
      </c>
      <c r="S2219" s="14" t="n">
        <v>10.75</v>
      </c>
    </row>
    <row r="2220" customFormat="false" ht="15" hidden="false" customHeight="false" outlineLevel="0" collapsed="false">
      <c r="A2220" s="13" t="n">
        <v>45384</v>
      </c>
      <c r="B2220" s="14" t="n">
        <v>5.34</v>
      </c>
      <c r="C2220" s="14" t="n">
        <v>5.5</v>
      </c>
      <c r="D2220" s="14" t="n">
        <v>5.25</v>
      </c>
      <c r="E2220" s="14" t="n">
        <v>3.906</v>
      </c>
      <c r="F2220" s="14" t="n">
        <v>4</v>
      </c>
      <c r="G2220" s="14" t="n">
        <v>5.25</v>
      </c>
      <c r="H2220" s="14" t="n">
        <v>5.1956</v>
      </c>
      <c r="I2220" s="14" t="n">
        <v>5.1897247128909</v>
      </c>
      <c r="J2220" s="14" t="n">
        <v>5.14137021595751</v>
      </c>
      <c r="K2220" s="14" t="n">
        <v>5.02399430825133</v>
      </c>
      <c r="L2220" s="14" t="n">
        <v>4.77128186788014</v>
      </c>
      <c r="M2220" s="14" t="n">
        <v>2.11</v>
      </c>
      <c r="N2220" s="14" t="n">
        <v>2.151</v>
      </c>
      <c r="O2220" s="14" t="n">
        <v>2.194</v>
      </c>
      <c r="P2220" s="14" t="n">
        <v>2.262</v>
      </c>
      <c r="Q2220" s="14" t="n">
        <v>4.5</v>
      </c>
      <c r="R2220" s="14" t="n">
        <v>4.5</v>
      </c>
      <c r="S2220" s="14" t="n">
        <v>10.75</v>
      </c>
    </row>
    <row r="2221" customFormat="false" ht="15" hidden="false" customHeight="false" outlineLevel="0" collapsed="false">
      <c r="A2221" s="13" t="n">
        <v>45385</v>
      </c>
      <c r="B2221" s="14" t="n">
        <v>5.32</v>
      </c>
      <c r="C2221" s="14" t="n">
        <v>5.5</v>
      </c>
      <c r="D2221" s="14" t="n">
        <v>5.25</v>
      </c>
      <c r="E2221" s="14" t="n">
        <v>3.911</v>
      </c>
      <c r="F2221" s="14" t="n">
        <v>4</v>
      </c>
      <c r="G2221" s="14" t="n">
        <v>5.25</v>
      </c>
      <c r="H2221" s="14" t="n">
        <v>5.1952</v>
      </c>
      <c r="I2221" s="14" t="n">
        <v>5.19119475845397</v>
      </c>
      <c r="J2221" s="14" t="n">
        <v>5.13747497771715</v>
      </c>
      <c r="K2221" s="14" t="n">
        <v>5.01568770545562</v>
      </c>
      <c r="L2221" s="14" t="n">
        <v>4.76039912738345</v>
      </c>
      <c r="M2221" s="14" t="n">
        <v>2.097</v>
      </c>
      <c r="N2221" s="14" t="n">
        <v>2.143</v>
      </c>
      <c r="O2221" s="14" t="n">
        <v>2.186</v>
      </c>
      <c r="P2221" s="14" t="n">
        <v>2.256</v>
      </c>
      <c r="Q2221" s="14" t="n">
        <v>4.5</v>
      </c>
      <c r="R2221" s="14" t="n">
        <v>4.5</v>
      </c>
      <c r="S2221" s="14" t="n">
        <v>10.75</v>
      </c>
    </row>
    <row r="2222" customFormat="false" ht="15" hidden="false" customHeight="false" outlineLevel="0" collapsed="false">
      <c r="A2222" s="13" t="n">
        <v>45386</v>
      </c>
      <c r="B2222" s="14" t="n">
        <v>5.32</v>
      </c>
      <c r="C2222" s="14" t="n">
        <v>5.5</v>
      </c>
      <c r="D2222" s="14" t="n">
        <v>5.25</v>
      </c>
      <c r="E2222" s="14" t="n">
        <v>3.912</v>
      </c>
      <c r="F2222" s="14" t="n">
        <v>4</v>
      </c>
      <c r="G2222" s="14" t="n">
        <v>5.25</v>
      </c>
      <c r="H2222" s="14" t="n">
        <v>5.1949</v>
      </c>
      <c r="I2222" s="14" t="n">
        <v>5.19240409283918</v>
      </c>
      <c r="J2222" s="14" t="n">
        <v>5.1308490708832</v>
      </c>
      <c r="K2222" s="14" t="n">
        <v>5.00469410806391</v>
      </c>
      <c r="L2222" s="14" t="n">
        <v>4.7507855970404</v>
      </c>
      <c r="Q2222" s="14" t="n">
        <v>4.5</v>
      </c>
      <c r="R2222" s="14" t="n">
        <v>4.5</v>
      </c>
      <c r="S2222" s="14" t="n">
        <v>10.75</v>
      </c>
    </row>
    <row r="2223" customFormat="false" ht="15" hidden="false" customHeight="false" outlineLevel="0" collapsed="false">
      <c r="A2223" s="13" t="n">
        <v>45387</v>
      </c>
      <c r="B2223" s="14" t="n">
        <v>5.32</v>
      </c>
      <c r="C2223" s="14" t="n">
        <v>5.5</v>
      </c>
      <c r="D2223" s="14" t="n">
        <v>5.25</v>
      </c>
      <c r="E2223" s="14" t="n">
        <v>3.907</v>
      </c>
      <c r="F2223" s="14" t="n">
        <v>4</v>
      </c>
      <c r="G2223" s="14" t="n">
        <v>5.25</v>
      </c>
      <c r="H2223" s="14" t="n">
        <v>5.1949</v>
      </c>
      <c r="I2223" s="14" t="n">
        <v>5.19102418128584</v>
      </c>
      <c r="J2223" s="14" t="n">
        <v>5.12877625456679</v>
      </c>
      <c r="K2223" s="14" t="n">
        <v>5.00438367662436</v>
      </c>
      <c r="L2223" s="14" t="n">
        <v>4.75137419812441</v>
      </c>
      <c r="Q2223" s="14" t="n">
        <v>4.5</v>
      </c>
      <c r="R2223" s="14" t="n">
        <v>4.5</v>
      </c>
      <c r="S2223" s="14" t="n">
        <v>10.75</v>
      </c>
    </row>
    <row r="2224" customFormat="false" ht="15" hidden="false" customHeight="false" outlineLevel="0" collapsed="false">
      <c r="A2224" s="13" t="n">
        <v>45389</v>
      </c>
      <c r="C2224" s="14" t="n">
        <v>5.5</v>
      </c>
      <c r="D2224" s="14" t="n">
        <v>5.25</v>
      </c>
      <c r="F2224" s="14" t="n">
        <v>4</v>
      </c>
      <c r="M2224" s="14" t="n">
        <v>2.082</v>
      </c>
      <c r="N2224" s="14" t="n">
        <v>2.141</v>
      </c>
      <c r="O2224" s="14" t="n">
        <v>2.18</v>
      </c>
      <c r="P2224" s="14" t="n">
        <v>2.253</v>
      </c>
      <c r="S2224" s="14" t="n">
        <v>10.75</v>
      </c>
    </row>
    <row r="2225" customFormat="false" ht="15" hidden="false" customHeight="false" outlineLevel="0" collapsed="false">
      <c r="A2225" s="13" t="n">
        <v>45390</v>
      </c>
      <c r="B2225" s="14" t="n">
        <v>5.31</v>
      </c>
      <c r="C2225" s="14" t="n">
        <v>5.5</v>
      </c>
      <c r="D2225" s="14" t="n">
        <v>5.25</v>
      </c>
      <c r="E2225" s="14" t="n">
        <v>3.908</v>
      </c>
      <c r="F2225" s="14" t="n">
        <v>4</v>
      </c>
      <c r="G2225" s="14" t="n">
        <v>5.25</v>
      </c>
      <c r="H2225" s="14" t="n">
        <v>5.1949</v>
      </c>
      <c r="I2225" s="14" t="n">
        <v>5.19116432724461</v>
      </c>
      <c r="J2225" s="14" t="n">
        <v>5.12732317371472</v>
      </c>
      <c r="K2225" s="14" t="n">
        <v>5.005248920332</v>
      </c>
      <c r="L2225" s="14" t="n">
        <v>4.76132304178054</v>
      </c>
      <c r="M2225" s="14" t="n">
        <v>2.062</v>
      </c>
      <c r="N2225" s="14" t="n">
        <v>2.133</v>
      </c>
      <c r="O2225" s="14" t="n">
        <v>2.177</v>
      </c>
      <c r="P2225" s="14" t="n">
        <v>2.247</v>
      </c>
      <c r="Q2225" s="14" t="n">
        <v>4.5</v>
      </c>
      <c r="R2225" s="14" t="n">
        <v>4.5</v>
      </c>
      <c r="S2225" s="14" t="n">
        <v>10.75</v>
      </c>
    </row>
    <row r="2226" customFormat="false" ht="15" hidden="false" customHeight="false" outlineLevel="0" collapsed="false">
      <c r="A2226" s="13" t="n">
        <v>45391</v>
      </c>
      <c r="B2226" s="14" t="n">
        <v>5.31</v>
      </c>
      <c r="C2226" s="14" t="n">
        <v>5.5</v>
      </c>
      <c r="D2226" s="14" t="n">
        <v>5.25</v>
      </c>
      <c r="E2226" s="14" t="n">
        <v>3.909</v>
      </c>
      <c r="F2226" s="14" t="n">
        <v>4</v>
      </c>
      <c r="G2226" s="14" t="n">
        <v>5.25</v>
      </c>
      <c r="H2226" s="14" t="n">
        <v>5.1976</v>
      </c>
      <c r="I2226" s="14" t="n">
        <v>5.19152708623383</v>
      </c>
      <c r="J2226" s="14" t="n">
        <v>5.12662341459664</v>
      </c>
      <c r="K2226" s="14" t="n">
        <v>5.00120380474461</v>
      </c>
      <c r="L2226" s="14" t="n">
        <v>4.74834972783949</v>
      </c>
      <c r="M2226" s="14" t="n">
        <v>2.05</v>
      </c>
      <c r="N2226" s="14" t="n">
        <v>2.12</v>
      </c>
      <c r="O2226" s="14" t="n">
        <v>2.163</v>
      </c>
      <c r="P2226" s="14" t="n">
        <v>2.236</v>
      </c>
      <c r="Q2226" s="14" t="n">
        <v>4.5</v>
      </c>
      <c r="R2226" s="14" t="n">
        <v>4.5</v>
      </c>
      <c r="S2226" s="14" t="n">
        <v>10.75</v>
      </c>
    </row>
    <row r="2227" customFormat="false" ht="15" hidden="false" customHeight="false" outlineLevel="0" collapsed="false">
      <c r="A2227" s="13" t="n">
        <v>45392</v>
      </c>
      <c r="B2227" s="14" t="n">
        <v>5.31</v>
      </c>
      <c r="C2227" s="14" t="n">
        <v>5.5</v>
      </c>
      <c r="D2227" s="14" t="n">
        <v>5.25</v>
      </c>
      <c r="E2227" s="14" t="n">
        <v>3.907</v>
      </c>
      <c r="F2227" s="14" t="n">
        <v>4</v>
      </c>
      <c r="G2227" s="14" t="n">
        <v>5.25</v>
      </c>
      <c r="H2227" s="14" t="n">
        <v>5.1978</v>
      </c>
      <c r="I2227" s="14" t="n">
        <v>5.19379966231773</v>
      </c>
      <c r="J2227" s="14" t="n">
        <v>5.14792002831738</v>
      </c>
      <c r="K2227" s="14" t="n">
        <v>5.04935602637336</v>
      </c>
      <c r="L2227" s="14" t="n">
        <v>4.84378594364725</v>
      </c>
      <c r="M2227" s="14" t="n">
        <v>2.049</v>
      </c>
      <c r="N2227" s="14" t="n">
        <v>2.117</v>
      </c>
      <c r="O2227" s="14" t="n">
        <v>2.157</v>
      </c>
      <c r="P2227" s="14" t="n">
        <v>2.23</v>
      </c>
      <c r="Q2227" s="14" t="n">
        <v>4.5</v>
      </c>
      <c r="R2227" s="14" t="n">
        <v>4.5</v>
      </c>
      <c r="S2227" s="14" t="n">
        <v>10.75</v>
      </c>
    </row>
    <row r="2228" customFormat="false" ht="15" hidden="false" customHeight="false" outlineLevel="0" collapsed="false">
      <c r="A2228" s="13" t="n">
        <v>45393</v>
      </c>
      <c r="B2228" s="14" t="n">
        <v>5.31</v>
      </c>
      <c r="C2228" s="14" t="n">
        <v>5.5</v>
      </c>
      <c r="D2228" s="14" t="n">
        <v>5.25</v>
      </c>
      <c r="E2228" s="14" t="n">
        <v>3.907</v>
      </c>
      <c r="F2228" s="14" t="n">
        <v>4</v>
      </c>
      <c r="G2228" s="14" t="n">
        <v>5.25</v>
      </c>
      <c r="H2228" s="14" t="n">
        <v>5.198</v>
      </c>
      <c r="I2228" s="14" t="n">
        <v>5.1932201444689</v>
      </c>
      <c r="J2228" s="14" t="n">
        <v>5.15856897546392</v>
      </c>
      <c r="K2228" s="14" t="n">
        <v>5.07846335944682</v>
      </c>
      <c r="L2228" s="14" t="n">
        <v>4.89794992190078</v>
      </c>
      <c r="M2228" s="14" t="n">
        <v>2.039</v>
      </c>
      <c r="N2228" s="14" t="n">
        <v>2.105</v>
      </c>
      <c r="O2228" s="14" t="n">
        <v>2.144</v>
      </c>
      <c r="P2228" s="14" t="n">
        <v>2.222</v>
      </c>
      <c r="Q2228" s="14" t="n">
        <v>4.5</v>
      </c>
      <c r="R2228" s="14" t="n">
        <v>4.5</v>
      </c>
      <c r="S2228" s="14" t="n">
        <v>10.75</v>
      </c>
    </row>
    <row r="2229" customFormat="false" ht="15" hidden="false" customHeight="false" outlineLevel="0" collapsed="false">
      <c r="A2229" s="13" t="n">
        <v>45394</v>
      </c>
      <c r="B2229" s="14" t="n">
        <v>5.31</v>
      </c>
      <c r="C2229" s="14" t="n">
        <v>5.5</v>
      </c>
      <c r="D2229" s="14" t="n">
        <v>5.25</v>
      </c>
      <c r="E2229" s="14" t="n">
        <v>3.91</v>
      </c>
      <c r="F2229" s="14" t="n">
        <v>4</v>
      </c>
      <c r="G2229" s="14" t="n">
        <v>5.25</v>
      </c>
      <c r="H2229" s="14" t="n">
        <v>5.198</v>
      </c>
      <c r="I2229" s="14" t="n">
        <v>5.19231948597525</v>
      </c>
      <c r="J2229" s="14" t="n">
        <v>5.14596779157696</v>
      </c>
      <c r="K2229" s="14" t="n">
        <v>5.0517858332866</v>
      </c>
      <c r="L2229" s="14" t="n">
        <v>4.85054178214053</v>
      </c>
      <c r="M2229" s="14" t="n">
        <v>2.025</v>
      </c>
      <c r="N2229" s="14" t="n">
        <v>2.09</v>
      </c>
      <c r="O2229" s="14" t="n">
        <v>2.127</v>
      </c>
      <c r="P2229" s="14" t="n">
        <v>2.204</v>
      </c>
      <c r="Q2229" s="14" t="n">
        <v>4.5</v>
      </c>
      <c r="R2229" s="14" t="n">
        <v>4.5</v>
      </c>
      <c r="S2229" s="14" t="n">
        <v>10.75</v>
      </c>
    </row>
    <row r="2230" customFormat="false" ht="15" hidden="false" customHeight="false" outlineLevel="0" collapsed="false">
      <c r="A2230" s="13" t="n">
        <v>45397</v>
      </c>
      <c r="B2230" s="14" t="n">
        <v>5.32</v>
      </c>
      <c r="C2230" s="14" t="n">
        <v>5.5</v>
      </c>
      <c r="D2230" s="14" t="n">
        <v>5.25</v>
      </c>
      <c r="E2230" s="14" t="n">
        <v>3.907</v>
      </c>
      <c r="F2230" s="14" t="n">
        <v>4</v>
      </c>
      <c r="G2230" s="14" t="n">
        <v>5.25</v>
      </c>
      <c r="H2230" s="14" t="n">
        <v>5.1984</v>
      </c>
      <c r="I2230" s="14" t="n">
        <v>5.19060168679342</v>
      </c>
      <c r="J2230" s="14" t="n">
        <v>5.14545101191937</v>
      </c>
      <c r="K2230" s="14" t="n">
        <v>5.05348470099278</v>
      </c>
      <c r="L2230" s="14" t="n">
        <v>4.86931937954499</v>
      </c>
      <c r="M2230" s="14" t="n">
        <v>2.012</v>
      </c>
      <c r="N2230" s="14" t="n">
        <v>2.071</v>
      </c>
      <c r="O2230" s="14" t="n">
        <v>2.105</v>
      </c>
      <c r="P2230" s="14" t="n">
        <v>2.175</v>
      </c>
      <c r="Q2230" s="14" t="n">
        <v>4.5</v>
      </c>
      <c r="R2230" s="14" t="n">
        <v>4.5</v>
      </c>
      <c r="S2230" s="14" t="n">
        <v>10.75</v>
      </c>
    </row>
    <row r="2231" customFormat="false" ht="15" hidden="false" customHeight="false" outlineLevel="0" collapsed="false">
      <c r="A2231" s="13" t="n">
        <v>45398</v>
      </c>
      <c r="B2231" s="14" t="n">
        <v>5.31</v>
      </c>
      <c r="C2231" s="14" t="n">
        <v>5.5</v>
      </c>
      <c r="D2231" s="14" t="n">
        <v>5.25</v>
      </c>
      <c r="E2231" s="14" t="n">
        <v>3.911</v>
      </c>
      <c r="F2231" s="14" t="n">
        <v>4</v>
      </c>
      <c r="G2231" s="14" t="n">
        <v>5.25</v>
      </c>
      <c r="H2231" s="14" t="n">
        <v>5.1984</v>
      </c>
      <c r="I2231" s="14" t="n">
        <v>5.1929132354074</v>
      </c>
      <c r="J2231" s="14" t="n">
        <v>5.15717428314617</v>
      </c>
      <c r="K2231" s="14" t="n">
        <v>5.08188472130639</v>
      </c>
      <c r="L2231" s="14" t="n">
        <v>4.92697637756288</v>
      </c>
      <c r="M2231" s="14" t="n">
        <v>2.005</v>
      </c>
      <c r="N2231" s="14" t="n">
        <v>2.058</v>
      </c>
      <c r="O2231" s="14" t="n">
        <v>2.089</v>
      </c>
      <c r="P2231" s="14" t="n">
        <v>2.16</v>
      </c>
      <c r="Q2231" s="14" t="n">
        <v>4.5</v>
      </c>
      <c r="R2231" s="14" t="n">
        <v>4.5</v>
      </c>
      <c r="S2231" s="14" t="n">
        <v>10.75</v>
      </c>
    </row>
    <row r="2232" customFormat="false" ht="15" hidden="false" customHeight="false" outlineLevel="0" collapsed="false">
      <c r="A2232" s="13" t="n">
        <v>45399</v>
      </c>
      <c r="B2232" s="14" t="n">
        <v>5.31</v>
      </c>
      <c r="C2232" s="14" t="n">
        <v>5.5</v>
      </c>
      <c r="D2232" s="14" t="n">
        <v>5.25</v>
      </c>
      <c r="E2232" s="14" t="n">
        <v>3.908</v>
      </c>
      <c r="F2232" s="14" t="n">
        <v>4</v>
      </c>
      <c r="G2232" s="14" t="n">
        <v>5.25</v>
      </c>
      <c r="H2232" s="14" t="n">
        <v>5.1984</v>
      </c>
      <c r="I2232" s="14" t="n">
        <v>5.19578070252968</v>
      </c>
      <c r="J2232" s="14" t="n">
        <v>5.15757091523174</v>
      </c>
      <c r="K2232" s="14" t="n">
        <v>5.07170883373771</v>
      </c>
      <c r="L2232" s="14" t="n">
        <v>4.89982190645764</v>
      </c>
      <c r="M2232" s="14" t="n">
        <v>2</v>
      </c>
      <c r="N2232" s="14" t="n">
        <v>2.049</v>
      </c>
      <c r="O2232" s="14" t="n">
        <v>2.08</v>
      </c>
      <c r="P2232" s="14" t="n">
        <v>2.151</v>
      </c>
      <c r="Q2232" s="14" t="n">
        <v>4.5</v>
      </c>
      <c r="R2232" s="14" t="n">
        <v>4.5</v>
      </c>
      <c r="S2232" s="14" t="n">
        <v>10.75</v>
      </c>
    </row>
    <row r="2233" customFormat="false" ht="15" hidden="false" customHeight="false" outlineLevel="0" collapsed="false">
      <c r="A2233" s="13" t="n">
        <v>45400</v>
      </c>
      <c r="B2233" s="14" t="n">
        <v>5.3</v>
      </c>
      <c r="C2233" s="14" t="n">
        <v>5.5</v>
      </c>
      <c r="D2233" s="14" t="n">
        <v>5.25</v>
      </c>
      <c r="E2233" s="14" t="n">
        <v>3.909</v>
      </c>
      <c r="F2233" s="14" t="n">
        <v>4</v>
      </c>
      <c r="G2233" s="14" t="n">
        <v>5.25</v>
      </c>
      <c r="H2233" s="14" t="n">
        <v>5.1984</v>
      </c>
      <c r="I2233" s="14" t="n">
        <v>5.19647201714135</v>
      </c>
      <c r="J2233" s="14" t="n">
        <v>5.16343531429589</v>
      </c>
      <c r="K2233" s="14" t="n">
        <v>5.08489281208622</v>
      </c>
      <c r="L2233" s="14" t="n">
        <v>4.92495186826151</v>
      </c>
      <c r="M2233" s="14" t="n">
        <v>1.996</v>
      </c>
      <c r="N2233" s="14" t="n">
        <v>2.041</v>
      </c>
      <c r="O2233" s="14" t="n">
        <v>2.074</v>
      </c>
      <c r="P2233" s="14" t="n">
        <v>2.143</v>
      </c>
      <c r="Q2233" s="14" t="n">
        <v>4.5</v>
      </c>
      <c r="R2233" s="14" t="n">
        <v>4.5</v>
      </c>
      <c r="S2233" s="14" t="n">
        <v>10.75</v>
      </c>
    </row>
    <row r="2234" customFormat="false" ht="15" hidden="false" customHeight="false" outlineLevel="0" collapsed="false">
      <c r="A2234" s="13" t="n">
        <v>45401</v>
      </c>
      <c r="B2234" s="14" t="n">
        <v>5.31</v>
      </c>
      <c r="C2234" s="14" t="n">
        <v>5.5</v>
      </c>
      <c r="D2234" s="14" t="n">
        <v>5.25</v>
      </c>
      <c r="E2234" s="14" t="n">
        <v>3.91</v>
      </c>
      <c r="F2234" s="14" t="n">
        <v>4</v>
      </c>
      <c r="G2234" s="14" t="n">
        <v>5.25</v>
      </c>
      <c r="H2234" s="14" t="n">
        <v>5.1984</v>
      </c>
      <c r="I2234" s="14" t="n">
        <v>5.19107935730097</v>
      </c>
      <c r="J2234" s="14" t="n">
        <v>5.1390049346807</v>
      </c>
      <c r="K2234" s="14" t="n">
        <v>5.03924963319136</v>
      </c>
      <c r="L2234" s="14" t="n">
        <v>4.85306091607823</v>
      </c>
      <c r="M2234" s="14" t="n">
        <v>1.989</v>
      </c>
      <c r="N2234" s="14" t="n">
        <v>2.035</v>
      </c>
      <c r="O2234" s="14" t="n">
        <v>2.063</v>
      </c>
      <c r="P2234" s="14" t="n">
        <v>2.129</v>
      </c>
      <c r="Q2234" s="14" t="n">
        <v>4.5</v>
      </c>
      <c r="R2234" s="14" t="n">
        <v>4.5</v>
      </c>
      <c r="S2234" s="14" t="n">
        <v>10.75</v>
      </c>
    </row>
    <row r="2235" customFormat="false" ht="15" hidden="false" customHeight="false" outlineLevel="0" collapsed="false">
      <c r="A2235" s="13" t="n">
        <v>45404</v>
      </c>
      <c r="B2235" s="14" t="n">
        <v>5.31</v>
      </c>
      <c r="C2235" s="14" t="n">
        <v>5.5</v>
      </c>
      <c r="D2235" s="14" t="n">
        <v>5.25</v>
      </c>
      <c r="E2235" s="14" t="n">
        <v>3.91</v>
      </c>
      <c r="F2235" s="14" t="n">
        <v>4</v>
      </c>
      <c r="G2235" s="14" t="n">
        <v>5.25</v>
      </c>
      <c r="H2235" s="14" t="n">
        <v>5.1993</v>
      </c>
      <c r="I2235" s="14" t="n">
        <v>5.18407461328317</v>
      </c>
      <c r="J2235" s="14" t="n">
        <v>5.11925226780358</v>
      </c>
      <c r="K2235" s="14" t="n">
        <v>5.00275378763908</v>
      </c>
      <c r="L2235" s="14" t="n">
        <v>4.80144121589268</v>
      </c>
      <c r="M2235" s="14" t="n">
        <v>1.972</v>
      </c>
      <c r="N2235" s="14" t="n">
        <v>2.027</v>
      </c>
      <c r="O2235" s="14" t="n">
        <v>2.053</v>
      </c>
      <c r="P2235" s="14" t="n">
        <v>2.108</v>
      </c>
      <c r="Q2235" s="14" t="n">
        <v>4.5</v>
      </c>
      <c r="R2235" s="14" t="n">
        <v>4.5</v>
      </c>
      <c r="S2235" s="14" t="n">
        <v>10.75</v>
      </c>
    </row>
    <row r="2236" customFormat="false" ht="15" hidden="false" customHeight="false" outlineLevel="0" collapsed="false">
      <c r="A2236" s="13" t="n">
        <v>45405</v>
      </c>
      <c r="B2236" s="14" t="n">
        <v>5.31</v>
      </c>
      <c r="C2236" s="14" t="n">
        <v>5.5</v>
      </c>
      <c r="D2236" s="14" t="n">
        <v>5.25</v>
      </c>
      <c r="E2236" s="14" t="n">
        <v>3.908</v>
      </c>
      <c r="F2236" s="14" t="n">
        <v>4</v>
      </c>
      <c r="G2236" s="14" t="n">
        <v>5.25</v>
      </c>
      <c r="H2236" s="14" t="n">
        <v>5.1997</v>
      </c>
      <c r="I2236" s="14" t="n">
        <v>5.19367652979832</v>
      </c>
      <c r="J2236" s="14" t="n">
        <v>5.14180927056762</v>
      </c>
      <c r="K2236" s="14" t="n">
        <v>5.03411880835919</v>
      </c>
      <c r="L2236" s="14" t="n">
        <v>4.83743379769514</v>
      </c>
      <c r="M2236" s="14" t="n">
        <v>1.963</v>
      </c>
      <c r="N2236" s="14" t="n">
        <v>2.018</v>
      </c>
      <c r="O2236" s="14" t="n">
        <v>2.045</v>
      </c>
      <c r="P2236" s="14" t="n">
        <v>2.091</v>
      </c>
      <c r="Q2236" s="14" t="n">
        <v>4.5</v>
      </c>
      <c r="R2236" s="14" t="n">
        <v>4.5</v>
      </c>
      <c r="S2236" s="14" t="n">
        <v>10.75</v>
      </c>
    </row>
    <row r="2237" customFormat="false" ht="15" hidden="false" customHeight="false" outlineLevel="0" collapsed="false">
      <c r="A2237" s="13" t="n">
        <v>45406</v>
      </c>
      <c r="B2237" s="14" t="n">
        <v>5.31</v>
      </c>
      <c r="C2237" s="14" t="n">
        <v>5.5</v>
      </c>
      <c r="D2237" s="14" t="n">
        <v>5.25</v>
      </c>
      <c r="E2237" s="14" t="n">
        <v>3.911</v>
      </c>
      <c r="F2237" s="14" t="n">
        <v>4</v>
      </c>
      <c r="G2237" s="14" t="n">
        <v>5.25</v>
      </c>
      <c r="H2237" s="14" t="n">
        <v>5.1993</v>
      </c>
      <c r="I2237" s="14" t="n">
        <v>5.19424519414138</v>
      </c>
      <c r="J2237" s="14" t="n">
        <v>5.14816749109024</v>
      </c>
      <c r="K2237" s="14" t="n">
        <v>5.05250826779514</v>
      </c>
      <c r="L2237" s="14" t="n">
        <v>4.88004062692241</v>
      </c>
      <c r="M2237" s="14" t="n">
        <v>1.959</v>
      </c>
      <c r="N2237" s="14" t="n">
        <v>2.014</v>
      </c>
      <c r="O2237" s="14" t="n">
        <v>2.041</v>
      </c>
      <c r="P2237" s="14" t="n">
        <v>2.084</v>
      </c>
      <c r="Q2237" s="14" t="n">
        <v>4.5</v>
      </c>
      <c r="R2237" s="14" t="n">
        <v>4.5</v>
      </c>
      <c r="S2237" s="14" t="n">
        <v>10.75</v>
      </c>
    </row>
    <row r="2238" customFormat="false" ht="15" hidden="false" customHeight="false" outlineLevel="0" collapsed="false">
      <c r="A2238" s="13" t="n">
        <v>45407</v>
      </c>
      <c r="B2238" s="14" t="n">
        <v>5.31</v>
      </c>
      <c r="C2238" s="14" t="n">
        <v>5.5</v>
      </c>
      <c r="D2238" s="14" t="n">
        <v>5.25</v>
      </c>
      <c r="E2238" s="14" t="n">
        <v>3.909</v>
      </c>
      <c r="F2238" s="14" t="n">
        <v>4</v>
      </c>
      <c r="G2238" s="14" t="n">
        <v>5.25</v>
      </c>
      <c r="H2238" s="14" t="n">
        <v>5.1998</v>
      </c>
      <c r="I2238" s="14" t="n">
        <v>5.19506479359324</v>
      </c>
      <c r="J2238" s="14" t="n">
        <v>5.15439299755854</v>
      </c>
      <c r="K2238" s="14" t="n">
        <v>5.06602751266076</v>
      </c>
      <c r="L2238" s="14" t="n">
        <v>4.90920574173615</v>
      </c>
      <c r="M2238" s="14" t="n">
        <v>1.956</v>
      </c>
      <c r="N2238" s="14" t="n">
        <v>1.999</v>
      </c>
      <c r="O2238" s="14" t="n">
        <v>2.027</v>
      </c>
      <c r="P2238" s="14" t="n">
        <v>2.074</v>
      </c>
      <c r="Q2238" s="14" t="n">
        <v>4.5</v>
      </c>
      <c r="R2238" s="14" t="n">
        <v>4.5</v>
      </c>
      <c r="S2238" s="14" t="n">
        <v>10.75</v>
      </c>
    </row>
    <row r="2239" customFormat="false" ht="15" hidden="false" customHeight="false" outlineLevel="0" collapsed="false">
      <c r="A2239" s="13" t="n">
        <v>45408</v>
      </c>
      <c r="B2239" s="14" t="n">
        <v>5.32</v>
      </c>
      <c r="C2239" s="14" t="n">
        <v>5.5</v>
      </c>
      <c r="D2239" s="14" t="n">
        <v>5.25</v>
      </c>
      <c r="E2239" s="14" t="n">
        <v>3.907</v>
      </c>
      <c r="F2239" s="14" t="n">
        <v>4</v>
      </c>
      <c r="G2239" s="14" t="n">
        <v>5.25</v>
      </c>
      <c r="H2239" s="14" t="n">
        <v>5.1999</v>
      </c>
      <c r="I2239" s="14" t="n">
        <v>5.19500644669237</v>
      </c>
      <c r="J2239" s="14" t="n">
        <v>5.14871432806638</v>
      </c>
      <c r="K2239" s="14" t="n">
        <v>5.05843972878698</v>
      </c>
      <c r="L2239" s="14" t="n">
        <v>4.90091254972573</v>
      </c>
      <c r="M2239" s="14" t="n">
        <v>1.952</v>
      </c>
      <c r="N2239" s="14" t="n">
        <v>1.993</v>
      </c>
      <c r="O2239" s="14" t="n">
        <v>2.018</v>
      </c>
      <c r="P2239" s="14" t="n">
        <v>2.082</v>
      </c>
      <c r="Q2239" s="14" t="n">
        <v>4.5</v>
      </c>
      <c r="R2239" s="14" t="n">
        <v>4.5</v>
      </c>
      <c r="S2239" s="14" t="n">
        <v>10.75</v>
      </c>
    </row>
    <row r="2240" customFormat="false" ht="15" hidden="false" customHeight="false" outlineLevel="0" collapsed="false">
      <c r="A2240" s="13" t="n">
        <v>45410</v>
      </c>
      <c r="C2240" s="14" t="n">
        <v>5.5</v>
      </c>
      <c r="D2240" s="14" t="n">
        <v>5.25</v>
      </c>
      <c r="F2240" s="14" t="n">
        <v>4</v>
      </c>
      <c r="M2240" s="14" t="n">
        <v>1.95</v>
      </c>
      <c r="N2240" s="14" t="n">
        <v>1.994</v>
      </c>
      <c r="O2240" s="14" t="n">
        <v>2.017</v>
      </c>
      <c r="P2240" s="14" t="n">
        <v>2.087</v>
      </c>
      <c r="S2240" s="14" t="n">
        <v>10.75</v>
      </c>
    </row>
    <row r="2241" customFormat="false" ht="15" hidden="false" customHeight="false" outlineLevel="0" collapsed="false">
      <c r="A2241" s="13" t="n">
        <v>45411</v>
      </c>
      <c r="B2241" s="14" t="n">
        <v>5.32</v>
      </c>
      <c r="C2241" s="14" t="n">
        <v>5.5</v>
      </c>
      <c r="D2241" s="14" t="n">
        <v>5.25</v>
      </c>
      <c r="E2241" s="14" t="n">
        <v>3.906</v>
      </c>
      <c r="F2241" s="14" t="n">
        <v>4</v>
      </c>
      <c r="G2241" s="14" t="n">
        <v>5.25</v>
      </c>
      <c r="H2241" s="14" t="n">
        <v>5.2</v>
      </c>
      <c r="I2241" s="14" t="n">
        <v>5.19417012865938</v>
      </c>
      <c r="J2241" s="14" t="n">
        <v>5.14610372463912</v>
      </c>
      <c r="K2241" s="14" t="n">
        <v>5.04959448733472</v>
      </c>
      <c r="L2241" s="14" t="n">
        <v>4.88051241325117</v>
      </c>
      <c r="M2241" s="14" t="n">
        <v>1.962</v>
      </c>
      <c r="N2241" s="14" t="n">
        <v>2.005</v>
      </c>
      <c r="O2241" s="14" t="n">
        <v>2.037</v>
      </c>
      <c r="P2241" s="14" t="n">
        <v>2.112</v>
      </c>
      <c r="Q2241" s="14" t="n">
        <v>4.5</v>
      </c>
      <c r="R2241" s="14" t="n">
        <v>4.5</v>
      </c>
      <c r="S2241" s="14" t="n">
        <v>10.75</v>
      </c>
    </row>
    <row r="2242" customFormat="false" ht="15" hidden="false" customHeight="false" outlineLevel="0" collapsed="false">
      <c r="A2242" s="13" t="n">
        <v>45412</v>
      </c>
      <c r="B2242" s="14" t="n">
        <v>5.34</v>
      </c>
      <c r="C2242" s="14" t="n">
        <v>5.5</v>
      </c>
      <c r="D2242" s="14" t="n">
        <v>5.25</v>
      </c>
      <c r="E2242" s="14" t="n">
        <v>3.889</v>
      </c>
      <c r="F2242" s="14" t="n">
        <v>4</v>
      </c>
      <c r="G2242" s="14" t="n">
        <v>5.25</v>
      </c>
      <c r="H2242" s="14" t="n">
        <v>5.1998</v>
      </c>
      <c r="I2242" s="14" t="n">
        <v>5.19485035741778</v>
      </c>
      <c r="J2242" s="14" t="n">
        <v>5.15395418088369</v>
      </c>
      <c r="K2242" s="14" t="n">
        <v>5.06985027287769</v>
      </c>
      <c r="L2242" s="14" t="n">
        <v>4.92067654689258</v>
      </c>
      <c r="M2242" s="14" t="n">
        <v>1.961</v>
      </c>
      <c r="N2242" s="14" t="n">
        <v>2.002</v>
      </c>
      <c r="O2242" s="14" t="n">
        <v>2.042</v>
      </c>
      <c r="P2242" s="14" t="n">
        <v>2.109</v>
      </c>
      <c r="Q2242" s="14" t="n">
        <v>4.5</v>
      </c>
      <c r="R2242" s="14" t="n">
        <v>4.5</v>
      </c>
      <c r="S2242" s="14" t="n">
        <v>10.75</v>
      </c>
    </row>
    <row r="2243" customFormat="false" ht="15" hidden="false" customHeight="false" outlineLevel="0" collapsed="false">
      <c r="A2243" s="13" t="n">
        <v>45413</v>
      </c>
      <c r="B2243" s="14" t="n">
        <v>5.32</v>
      </c>
      <c r="C2243" s="14" t="n">
        <v>5.5</v>
      </c>
      <c r="D2243" s="14" t="n">
        <v>5.25</v>
      </c>
      <c r="F2243" s="14" t="n">
        <v>4</v>
      </c>
      <c r="G2243" s="14" t="n">
        <v>5.25</v>
      </c>
      <c r="H2243" s="14" t="n">
        <v>5.2</v>
      </c>
      <c r="I2243" s="14" t="n">
        <v>5.19384275065026</v>
      </c>
      <c r="J2243" s="14" t="n">
        <v>5.14957942982469</v>
      </c>
      <c r="K2243" s="14" t="n">
        <v>5.06557028410696</v>
      </c>
      <c r="L2243" s="14" t="n">
        <v>4.9292516241125</v>
      </c>
      <c r="S2243" s="14" t="n">
        <v>10.75</v>
      </c>
    </row>
    <row r="2244" customFormat="false" ht="15" hidden="false" customHeight="false" outlineLevel="0" collapsed="false">
      <c r="A2244" s="13" t="n">
        <v>45414</v>
      </c>
      <c r="B2244" s="14" t="n">
        <v>5.31</v>
      </c>
      <c r="C2244" s="14" t="n">
        <v>5.5</v>
      </c>
      <c r="D2244" s="14" t="n">
        <v>5.25</v>
      </c>
      <c r="E2244" s="14" t="n">
        <v>3.91</v>
      </c>
      <c r="F2244" s="14" t="n">
        <v>4</v>
      </c>
      <c r="G2244" s="14" t="n">
        <v>5.25</v>
      </c>
      <c r="H2244" s="14" t="n">
        <v>5.2</v>
      </c>
      <c r="I2244" s="14" t="n">
        <v>5.18865271149954</v>
      </c>
      <c r="J2244" s="14" t="n">
        <v>5.13666794036103</v>
      </c>
      <c r="K2244" s="14" t="n">
        <v>5.0406835725789</v>
      </c>
      <c r="L2244" s="14" t="n">
        <v>4.87203085465191</v>
      </c>
      <c r="Q2244" s="14" t="n">
        <v>4.5</v>
      </c>
      <c r="R2244" s="14" t="n">
        <v>4.5</v>
      </c>
      <c r="S2244" s="14" t="n">
        <v>10.75</v>
      </c>
    </row>
    <row r="2245" customFormat="false" ht="15" hidden="false" customHeight="false" outlineLevel="0" collapsed="false">
      <c r="A2245" s="13" t="n">
        <v>45415</v>
      </c>
      <c r="B2245" s="14" t="n">
        <v>5.31</v>
      </c>
      <c r="C2245" s="14" t="n">
        <v>5.5</v>
      </c>
      <c r="D2245" s="14" t="n">
        <v>5.25</v>
      </c>
      <c r="E2245" s="14" t="n">
        <v>3.908</v>
      </c>
      <c r="F2245" s="14" t="n">
        <v>4</v>
      </c>
      <c r="G2245" s="14" t="n">
        <v>5.25</v>
      </c>
      <c r="H2245" s="14" t="n">
        <v>5.2001</v>
      </c>
      <c r="I2245" s="14" t="n">
        <v>5.18807290581786</v>
      </c>
      <c r="J2245" s="14" t="n">
        <v>5.12894150060389</v>
      </c>
      <c r="K2245" s="14" t="n">
        <v>5.02210131203415</v>
      </c>
      <c r="L2245" s="14" t="n">
        <v>4.82945148422709</v>
      </c>
      <c r="Q2245" s="14" t="n">
        <v>4.5</v>
      </c>
      <c r="R2245" s="14" t="n">
        <v>4.5</v>
      </c>
      <c r="S2245" s="14" t="n">
        <v>10.75</v>
      </c>
    </row>
    <row r="2246" customFormat="false" ht="15" hidden="false" customHeight="false" outlineLevel="0" collapsed="false">
      <c r="A2246" s="13" t="n">
        <v>45418</v>
      </c>
      <c r="B2246" s="14" t="n">
        <v>5.31</v>
      </c>
      <c r="C2246" s="14" t="n">
        <v>5.5</v>
      </c>
      <c r="D2246" s="14" t="n">
        <v>5.25</v>
      </c>
      <c r="E2246" s="14" t="n">
        <v>3.909</v>
      </c>
      <c r="F2246" s="14" t="n">
        <v>4</v>
      </c>
      <c r="M2246" s="14" t="n">
        <v>1.958</v>
      </c>
      <c r="N2246" s="14" t="n">
        <v>2.001</v>
      </c>
      <c r="O2246" s="14" t="n">
        <v>2.045</v>
      </c>
      <c r="P2246" s="14" t="n">
        <v>2.111</v>
      </c>
      <c r="Q2246" s="14" t="n">
        <v>4.5</v>
      </c>
      <c r="R2246" s="14" t="n">
        <v>4.5</v>
      </c>
      <c r="S2246" s="14" t="n">
        <v>10.75</v>
      </c>
    </row>
    <row r="2247" customFormat="false" ht="15" hidden="false" customHeight="false" outlineLevel="0" collapsed="false">
      <c r="A2247" s="13" t="n">
        <v>45419</v>
      </c>
      <c r="B2247" s="14" t="n">
        <v>5.31</v>
      </c>
      <c r="C2247" s="14" t="n">
        <v>5.5</v>
      </c>
      <c r="D2247" s="14" t="n">
        <v>5.25</v>
      </c>
      <c r="E2247" s="14" t="n">
        <v>3.906</v>
      </c>
      <c r="F2247" s="14" t="n">
        <v>4</v>
      </c>
      <c r="G2247" s="14" t="n">
        <v>5.25</v>
      </c>
      <c r="H2247" s="14" t="n">
        <v>5.2</v>
      </c>
      <c r="I2247" s="14" t="n">
        <v>5.18399558834753</v>
      </c>
      <c r="J2247" s="14" t="n">
        <v>5.12278432815406</v>
      </c>
      <c r="K2247" s="14" t="n">
        <v>5.01415169574665</v>
      </c>
      <c r="L2247" s="14" t="n">
        <v>4.80520610422761</v>
      </c>
      <c r="M2247" s="14" t="n">
        <v>1.951</v>
      </c>
      <c r="N2247" s="14" t="n">
        <v>1.996</v>
      </c>
      <c r="O2247" s="14" t="n">
        <v>2.041</v>
      </c>
      <c r="P2247" s="14" t="n">
        <v>2.108</v>
      </c>
      <c r="Q2247" s="14" t="n">
        <v>4.5</v>
      </c>
      <c r="R2247" s="14" t="n">
        <v>4.5</v>
      </c>
      <c r="S2247" s="14" t="n">
        <v>10.75</v>
      </c>
    </row>
    <row r="2248" customFormat="false" ht="15" hidden="false" customHeight="false" outlineLevel="0" collapsed="false">
      <c r="A2248" s="13" t="n">
        <v>45420</v>
      </c>
      <c r="B2248" s="14" t="n">
        <v>5.31</v>
      </c>
      <c r="C2248" s="14" t="n">
        <v>5.5</v>
      </c>
      <c r="D2248" s="14" t="n">
        <v>5.25</v>
      </c>
      <c r="E2248" s="14" t="n">
        <v>3.905</v>
      </c>
      <c r="F2248" s="14" t="n">
        <v>4</v>
      </c>
      <c r="G2248" s="14" t="n">
        <v>5.25</v>
      </c>
      <c r="H2248" s="14" t="n">
        <v>5.2</v>
      </c>
      <c r="I2248" s="14" t="n">
        <v>5.17831127471844</v>
      </c>
      <c r="J2248" s="14" t="n">
        <v>5.11046151842803</v>
      </c>
      <c r="K2248" s="14" t="n">
        <v>4.99893904262033</v>
      </c>
      <c r="L2248" s="14" t="n">
        <v>4.79669717699874</v>
      </c>
      <c r="M2248" s="14" t="n">
        <v>1.945</v>
      </c>
      <c r="N2248" s="14" t="n">
        <v>1.99</v>
      </c>
      <c r="O2248" s="14" t="n">
        <v>2.038</v>
      </c>
      <c r="P2248" s="14" t="n">
        <v>2.1035</v>
      </c>
      <c r="Q2248" s="14" t="n">
        <v>4.5</v>
      </c>
      <c r="R2248" s="14" t="n">
        <v>4.5</v>
      </c>
      <c r="S2248" s="14" t="n">
        <v>10.75</v>
      </c>
    </row>
    <row r="2249" customFormat="false" ht="15" hidden="false" customHeight="false" outlineLevel="0" collapsed="false">
      <c r="A2249" s="13" t="n">
        <v>45421</v>
      </c>
      <c r="B2249" s="14" t="n">
        <v>5.31</v>
      </c>
      <c r="C2249" s="14" t="n">
        <v>5.5</v>
      </c>
      <c r="D2249" s="14" t="n">
        <v>5.25</v>
      </c>
      <c r="E2249" s="14" t="n">
        <v>3.901</v>
      </c>
      <c r="F2249" s="14" t="n">
        <v>4</v>
      </c>
      <c r="G2249" s="14" t="n">
        <v>5.25</v>
      </c>
      <c r="H2249" s="14" t="n">
        <v>5.2</v>
      </c>
      <c r="I2249" s="14" t="n">
        <v>5.19184376527673</v>
      </c>
      <c r="J2249" s="14" t="n">
        <v>5.108140590623</v>
      </c>
      <c r="K2249" s="14" t="n">
        <v>4.98342300585563</v>
      </c>
      <c r="L2249" s="14" t="n">
        <v>4.75704945101167</v>
      </c>
      <c r="M2249" s="14" t="n">
        <v>1.943</v>
      </c>
      <c r="N2249" s="14" t="n">
        <v>1.991</v>
      </c>
      <c r="O2249" s="14" t="n">
        <v>2.036</v>
      </c>
      <c r="P2249" s="14" t="n">
        <v>2.102</v>
      </c>
      <c r="S2249" s="14" t="n">
        <v>10.5</v>
      </c>
    </row>
    <row r="2250" customFormat="false" ht="15" hidden="false" customHeight="false" outlineLevel="0" collapsed="false">
      <c r="A2250" s="13" t="n">
        <v>45422</v>
      </c>
      <c r="B2250" s="14" t="n">
        <v>5.31</v>
      </c>
      <c r="C2250" s="14" t="n">
        <v>5.5</v>
      </c>
      <c r="D2250" s="14" t="n">
        <v>5.25</v>
      </c>
      <c r="E2250" s="14" t="n">
        <v>3.906</v>
      </c>
      <c r="F2250" s="14" t="n">
        <v>4</v>
      </c>
      <c r="G2250" s="14" t="n">
        <v>5.25</v>
      </c>
      <c r="H2250" s="14" t="n">
        <v>5.2</v>
      </c>
      <c r="I2250" s="14" t="n">
        <v>5.19137077441107</v>
      </c>
      <c r="J2250" s="14" t="n">
        <v>5.10756496034133</v>
      </c>
      <c r="K2250" s="14" t="n">
        <v>4.98993804235975</v>
      </c>
      <c r="L2250" s="14" t="n">
        <v>4.7842815402945</v>
      </c>
      <c r="M2250" s="14" t="n">
        <v>1.94</v>
      </c>
      <c r="N2250" s="14" t="n">
        <v>1.989</v>
      </c>
      <c r="O2250" s="14" t="n">
        <v>2.036</v>
      </c>
      <c r="P2250" s="14" t="n">
        <v>2.1</v>
      </c>
      <c r="Q2250" s="14" t="n">
        <v>4.5</v>
      </c>
      <c r="R2250" s="14" t="n">
        <v>4.5</v>
      </c>
      <c r="S2250" s="14" t="n">
        <v>10.5</v>
      </c>
    </row>
    <row r="2251" customFormat="false" ht="15" hidden="false" customHeight="false" outlineLevel="0" collapsed="false">
      <c r="A2251" s="13" t="n">
        <v>45423</v>
      </c>
      <c r="C2251" s="14" t="n">
        <v>5.5</v>
      </c>
      <c r="D2251" s="14" t="n">
        <v>5.25</v>
      </c>
      <c r="F2251" s="14" t="n">
        <v>4</v>
      </c>
      <c r="M2251" s="14" t="n">
        <v>1.941</v>
      </c>
      <c r="N2251" s="14" t="n">
        <v>1.988</v>
      </c>
      <c r="O2251" s="14" t="n">
        <v>2.037</v>
      </c>
      <c r="P2251" s="14" t="n">
        <v>2.1</v>
      </c>
      <c r="S2251" s="14" t="n">
        <v>10.5</v>
      </c>
    </row>
    <row r="2252" customFormat="false" ht="15" hidden="false" customHeight="false" outlineLevel="0" collapsed="false">
      <c r="A2252" s="13" t="n">
        <v>45425</v>
      </c>
      <c r="B2252" s="14" t="n">
        <v>5.31</v>
      </c>
      <c r="C2252" s="14" t="n">
        <v>5.5</v>
      </c>
      <c r="D2252" s="14" t="n">
        <v>5.25</v>
      </c>
      <c r="E2252" s="14" t="n">
        <v>3.907</v>
      </c>
      <c r="F2252" s="14" t="n">
        <v>4</v>
      </c>
      <c r="G2252" s="14" t="n">
        <v>5.25</v>
      </c>
      <c r="H2252" s="14" t="n">
        <v>5.2</v>
      </c>
      <c r="I2252" s="14" t="n">
        <v>5.19177435892365</v>
      </c>
      <c r="J2252" s="14" t="n">
        <v>5.10800098961401</v>
      </c>
      <c r="K2252" s="14" t="n">
        <v>4.99265678599417</v>
      </c>
      <c r="L2252" s="14" t="n">
        <v>4.79430866381461</v>
      </c>
      <c r="M2252" s="14" t="n">
        <v>1.931</v>
      </c>
      <c r="N2252" s="14" t="n">
        <v>1.983</v>
      </c>
      <c r="O2252" s="14" t="n">
        <v>2.035</v>
      </c>
      <c r="P2252" s="14" t="n">
        <v>2.1</v>
      </c>
      <c r="Q2252" s="14" t="n">
        <v>4.5</v>
      </c>
      <c r="R2252" s="14" t="n">
        <v>4.5</v>
      </c>
      <c r="S2252" s="14" t="n">
        <v>10.5</v>
      </c>
    </row>
    <row r="2253" customFormat="false" ht="15" hidden="false" customHeight="false" outlineLevel="0" collapsed="false">
      <c r="A2253" s="13" t="n">
        <v>45426</v>
      </c>
      <c r="B2253" s="14" t="n">
        <v>5.31</v>
      </c>
      <c r="C2253" s="14" t="n">
        <v>5.5</v>
      </c>
      <c r="D2253" s="14" t="n">
        <v>5.25</v>
      </c>
      <c r="E2253" s="14" t="n">
        <v>3.907</v>
      </c>
      <c r="F2253" s="14" t="n">
        <v>4</v>
      </c>
      <c r="G2253" s="14" t="n">
        <v>5.25</v>
      </c>
      <c r="H2253" s="14" t="n">
        <v>5.2</v>
      </c>
      <c r="I2253" s="14" t="n">
        <v>5.19112111592177</v>
      </c>
      <c r="J2253" s="14" t="n">
        <v>5.10411112635698</v>
      </c>
      <c r="K2253" s="14" t="n">
        <v>4.98599282154101</v>
      </c>
      <c r="L2253" s="14" t="n">
        <v>4.78527924060988</v>
      </c>
      <c r="M2253" s="14" t="n">
        <v>1.927</v>
      </c>
      <c r="N2253" s="14" t="n">
        <v>1.977</v>
      </c>
      <c r="O2253" s="14" t="n">
        <v>2.026</v>
      </c>
      <c r="P2253" s="14" t="n">
        <v>2.099</v>
      </c>
      <c r="Q2253" s="14" t="n">
        <v>4.5</v>
      </c>
      <c r="R2253" s="14" t="n">
        <v>4.5</v>
      </c>
      <c r="S2253" s="14" t="n">
        <v>10.5</v>
      </c>
    </row>
    <row r="2254" customFormat="false" ht="15" hidden="false" customHeight="false" outlineLevel="0" collapsed="false">
      <c r="A2254" s="13" t="n">
        <v>45427</v>
      </c>
      <c r="B2254" s="14" t="n">
        <v>5.31</v>
      </c>
      <c r="C2254" s="14" t="n">
        <v>5.5</v>
      </c>
      <c r="D2254" s="14" t="n">
        <v>5.25</v>
      </c>
      <c r="E2254" s="14" t="n">
        <v>3.908</v>
      </c>
      <c r="F2254" s="14" t="n">
        <v>4</v>
      </c>
      <c r="G2254" s="14" t="n">
        <v>5.25</v>
      </c>
      <c r="H2254" s="14" t="n">
        <v>5.2</v>
      </c>
      <c r="I2254" s="14" t="n">
        <v>5.19170889499127</v>
      </c>
      <c r="J2254" s="14" t="n">
        <v>5.09483013823607</v>
      </c>
      <c r="K2254" s="14" t="n">
        <v>4.9676927992946</v>
      </c>
      <c r="L2254" s="14" t="n">
        <v>4.74712154186374</v>
      </c>
      <c r="M2254" s="14" t="n">
        <v>1.923</v>
      </c>
      <c r="N2254" s="14" t="n">
        <v>1.975</v>
      </c>
      <c r="O2254" s="14" t="n">
        <v>2.025</v>
      </c>
      <c r="P2254" s="14" t="n">
        <v>2.099</v>
      </c>
      <c r="Q2254" s="14" t="n">
        <v>4.5</v>
      </c>
      <c r="R2254" s="14" t="n">
        <v>4.5</v>
      </c>
      <c r="S2254" s="14" t="n">
        <v>10.5</v>
      </c>
    </row>
    <row r="2255" customFormat="false" ht="15" hidden="false" customHeight="false" outlineLevel="0" collapsed="false">
      <c r="A2255" s="13" t="n">
        <v>45428</v>
      </c>
      <c r="B2255" s="14" t="n">
        <v>5.31</v>
      </c>
      <c r="C2255" s="14" t="n">
        <v>5.5</v>
      </c>
      <c r="D2255" s="14" t="n">
        <v>5.25</v>
      </c>
      <c r="E2255" s="14" t="n">
        <v>3.904</v>
      </c>
      <c r="F2255" s="14" t="n">
        <v>4</v>
      </c>
      <c r="G2255" s="14" t="n">
        <v>5.25</v>
      </c>
      <c r="H2255" s="14" t="n">
        <v>5.2</v>
      </c>
      <c r="I2255" s="14" t="n">
        <v>5.18925131221964</v>
      </c>
      <c r="J2255" s="14" t="n">
        <v>5.09030954762388</v>
      </c>
      <c r="K2255" s="14" t="n">
        <v>4.96798944091744</v>
      </c>
      <c r="L2255" s="14" t="n">
        <v>4.7541957199642</v>
      </c>
      <c r="M2255" s="14" t="n">
        <v>1.911</v>
      </c>
      <c r="N2255" s="14" t="n">
        <v>1.969</v>
      </c>
      <c r="O2255" s="14" t="n">
        <v>2.019</v>
      </c>
      <c r="P2255" s="14" t="n">
        <v>2.095</v>
      </c>
      <c r="Q2255" s="14" t="n">
        <v>4.5</v>
      </c>
      <c r="R2255" s="14" t="n">
        <v>4.5</v>
      </c>
      <c r="S2255" s="14" t="n">
        <v>10.5</v>
      </c>
    </row>
    <row r="2256" customFormat="false" ht="15" hidden="false" customHeight="false" outlineLevel="0" collapsed="false">
      <c r="A2256" s="13" t="n">
        <v>45429</v>
      </c>
      <c r="B2256" s="14" t="n">
        <v>5.31</v>
      </c>
      <c r="C2256" s="14" t="n">
        <v>5.5</v>
      </c>
      <c r="D2256" s="14" t="n">
        <v>5.25</v>
      </c>
      <c r="E2256" s="14" t="n">
        <v>3.901</v>
      </c>
      <c r="F2256" s="14" t="n">
        <v>4</v>
      </c>
      <c r="G2256" s="14" t="n">
        <v>5.25</v>
      </c>
      <c r="H2256" s="14" t="n">
        <v>5.2</v>
      </c>
      <c r="I2256" s="14" t="n">
        <v>5.18876671398978</v>
      </c>
      <c r="J2256" s="14" t="n">
        <v>5.09435901940999</v>
      </c>
      <c r="K2256" s="14" t="n">
        <v>4.97674303058019</v>
      </c>
      <c r="L2256" s="14" t="n">
        <v>4.77343695194759</v>
      </c>
      <c r="M2256" s="14" t="n">
        <v>1.907</v>
      </c>
      <c r="N2256" s="14" t="n">
        <v>1.963</v>
      </c>
      <c r="O2256" s="14" t="n">
        <v>2.013</v>
      </c>
      <c r="P2256" s="14" t="n">
        <v>2.096</v>
      </c>
      <c r="S2256" s="14" t="n">
        <v>10.5</v>
      </c>
    </row>
    <row r="2257" customFormat="false" ht="15" hidden="false" customHeight="false" outlineLevel="0" collapsed="false">
      <c r="A2257" s="13" t="n">
        <v>45432</v>
      </c>
      <c r="B2257" s="14" t="n">
        <v>5.31</v>
      </c>
      <c r="C2257" s="14" t="n">
        <v>5.5</v>
      </c>
      <c r="D2257" s="14" t="n">
        <v>5.25</v>
      </c>
      <c r="E2257" s="14" t="n">
        <v>3.904</v>
      </c>
      <c r="F2257" s="14" t="n">
        <v>4</v>
      </c>
      <c r="G2257" s="14" t="n">
        <v>5.25</v>
      </c>
      <c r="H2257" s="14" t="n">
        <v>5.2</v>
      </c>
      <c r="I2257" s="14" t="n">
        <v>5.18821914612886</v>
      </c>
      <c r="J2257" s="14" t="n">
        <v>5.0929210684978</v>
      </c>
      <c r="K2257" s="14" t="n">
        <v>4.9789203477909</v>
      </c>
      <c r="L2257" s="14" t="n">
        <v>4.78669699822564</v>
      </c>
      <c r="M2257" s="14" t="n">
        <v>1.905</v>
      </c>
      <c r="N2257" s="14" t="n">
        <v>1.958</v>
      </c>
      <c r="O2257" s="14" t="n">
        <v>2.007</v>
      </c>
      <c r="P2257" s="14" t="n">
        <v>2.099</v>
      </c>
      <c r="S2257" s="14" t="n">
        <v>10.5</v>
      </c>
    </row>
    <row r="2258" customFormat="false" ht="15" hidden="false" customHeight="false" outlineLevel="0" collapsed="false">
      <c r="A2258" s="13" t="n">
        <v>45433</v>
      </c>
      <c r="B2258" s="14" t="n">
        <v>5.31</v>
      </c>
      <c r="C2258" s="14" t="n">
        <v>5.5</v>
      </c>
      <c r="D2258" s="14" t="n">
        <v>5.25</v>
      </c>
      <c r="E2258" s="14" t="n">
        <v>3.912</v>
      </c>
      <c r="F2258" s="14" t="n">
        <v>4</v>
      </c>
      <c r="G2258" s="14" t="n">
        <v>5.25</v>
      </c>
      <c r="H2258" s="14" t="n">
        <v>5.2</v>
      </c>
      <c r="I2258" s="14" t="n">
        <v>5.18680092868315</v>
      </c>
      <c r="J2258" s="14" t="n">
        <v>5.09369149908045</v>
      </c>
      <c r="K2258" s="14" t="n">
        <v>4.97871101917538</v>
      </c>
      <c r="L2258" s="14" t="n">
        <v>4.77540821477814</v>
      </c>
      <c r="M2258" s="14" t="n">
        <v>1.906</v>
      </c>
      <c r="N2258" s="14" t="n">
        <v>1.958</v>
      </c>
      <c r="O2258" s="14" t="n">
        <v>2.005</v>
      </c>
      <c r="P2258" s="14" t="n">
        <v>2.1</v>
      </c>
      <c r="Q2258" s="14" t="n">
        <v>4.5</v>
      </c>
      <c r="R2258" s="14" t="n">
        <v>4.5</v>
      </c>
      <c r="S2258" s="14" t="n">
        <v>10.5</v>
      </c>
    </row>
    <row r="2259" customFormat="false" ht="15" hidden="false" customHeight="false" outlineLevel="0" collapsed="false">
      <c r="A2259" s="13" t="n">
        <v>45434</v>
      </c>
      <c r="B2259" s="14" t="n">
        <v>5.31</v>
      </c>
      <c r="C2259" s="14" t="n">
        <v>5.5</v>
      </c>
      <c r="D2259" s="14" t="n">
        <v>5.25</v>
      </c>
      <c r="E2259" s="14" t="n">
        <v>3.91</v>
      </c>
      <c r="F2259" s="14" t="n">
        <v>4</v>
      </c>
      <c r="G2259" s="14" t="n">
        <v>5.25</v>
      </c>
      <c r="H2259" s="14" t="n">
        <v>5.2</v>
      </c>
      <c r="I2259" s="14" t="n">
        <v>5.19816291814885</v>
      </c>
      <c r="J2259" s="14" t="n">
        <v>5.16363221901477</v>
      </c>
      <c r="K2259" s="14" t="n">
        <v>5.07219759673665</v>
      </c>
      <c r="L2259" s="14" t="n">
        <v>4.87448533208261</v>
      </c>
      <c r="M2259" s="14" t="n">
        <v>1.908</v>
      </c>
      <c r="N2259" s="14" t="n">
        <v>1.958</v>
      </c>
      <c r="O2259" s="14" t="n">
        <v>2.004</v>
      </c>
      <c r="P2259" s="14" t="n">
        <v>2.1</v>
      </c>
      <c r="Q2259" s="14" t="n">
        <v>4.5</v>
      </c>
      <c r="R2259" s="14" t="n">
        <v>4.5</v>
      </c>
      <c r="S2259" s="14" t="n">
        <v>10.5</v>
      </c>
    </row>
    <row r="2260" customFormat="false" ht="15" hidden="false" customHeight="false" outlineLevel="0" collapsed="false">
      <c r="A2260" s="13" t="n">
        <v>45435</v>
      </c>
      <c r="B2260" s="14" t="n">
        <v>5.31</v>
      </c>
      <c r="C2260" s="14" t="n">
        <v>5.5</v>
      </c>
      <c r="D2260" s="14" t="n">
        <v>5.25</v>
      </c>
      <c r="E2260" s="14" t="n">
        <v>3.912</v>
      </c>
      <c r="F2260" s="14" t="n">
        <v>4</v>
      </c>
      <c r="G2260" s="14" t="n">
        <v>5.25</v>
      </c>
      <c r="H2260" s="14" t="n">
        <v>5.2</v>
      </c>
      <c r="I2260" s="14" t="n">
        <v>5.19936068865373</v>
      </c>
      <c r="J2260" s="14" t="n">
        <v>5.1693802117569</v>
      </c>
      <c r="K2260" s="14" t="n">
        <v>5.10415183517312</v>
      </c>
      <c r="L2260" s="14" t="n">
        <v>4.94948395276189</v>
      </c>
      <c r="M2260" s="14" t="n">
        <v>1.905</v>
      </c>
      <c r="N2260" s="14" t="n">
        <v>1.957</v>
      </c>
      <c r="O2260" s="14" t="n">
        <v>2.001</v>
      </c>
      <c r="P2260" s="14" t="n">
        <v>2.1</v>
      </c>
      <c r="Q2260" s="14" t="n">
        <v>4.5</v>
      </c>
      <c r="R2260" s="14" t="n">
        <v>4.5</v>
      </c>
      <c r="S2260" s="14" t="n">
        <v>10.5</v>
      </c>
    </row>
    <row r="2261" customFormat="false" ht="15" hidden="false" customHeight="false" outlineLevel="0" collapsed="false">
      <c r="A2261" s="13" t="n">
        <v>45436</v>
      </c>
      <c r="B2261" s="14" t="n">
        <v>5.32</v>
      </c>
      <c r="C2261" s="14" t="n">
        <v>5.5</v>
      </c>
      <c r="D2261" s="14" t="n">
        <v>5.25</v>
      </c>
      <c r="E2261" s="14" t="n">
        <v>3.91</v>
      </c>
      <c r="F2261" s="14" t="n">
        <v>4</v>
      </c>
      <c r="G2261" s="14" t="n">
        <v>5.25</v>
      </c>
      <c r="H2261" s="14" t="n">
        <v>5.2</v>
      </c>
      <c r="I2261" s="14" t="n">
        <v>5.19858260197544</v>
      </c>
      <c r="J2261" s="14" t="n">
        <v>5.16846957476062</v>
      </c>
      <c r="K2261" s="14" t="n">
        <v>5.10157591552315</v>
      </c>
      <c r="L2261" s="14" t="n">
        <v>4.94937038719074</v>
      </c>
      <c r="M2261" s="14" t="n">
        <v>1.905</v>
      </c>
      <c r="N2261" s="14" t="n">
        <v>1.958</v>
      </c>
      <c r="O2261" s="14" t="n">
        <v>2.001</v>
      </c>
      <c r="P2261" s="14" t="n">
        <v>2.1</v>
      </c>
      <c r="Q2261" s="14" t="n">
        <v>4.5</v>
      </c>
      <c r="R2261" s="14" t="n">
        <v>4.5</v>
      </c>
      <c r="S2261" s="14" t="n">
        <v>10.5</v>
      </c>
    </row>
    <row r="2262" customFormat="false" ht="15" hidden="false" customHeight="false" outlineLevel="0" collapsed="false">
      <c r="A2262" s="13" t="n">
        <v>45439</v>
      </c>
      <c r="C2262" s="14" t="n">
        <v>5.5</v>
      </c>
      <c r="D2262" s="14" t="n">
        <v>5.25</v>
      </c>
      <c r="E2262" s="14" t="n">
        <v>3.911</v>
      </c>
      <c r="F2262" s="14" t="n">
        <v>4</v>
      </c>
      <c r="M2262" s="14" t="n">
        <v>1.904</v>
      </c>
      <c r="N2262" s="14" t="n">
        <v>1.958</v>
      </c>
      <c r="O2262" s="14" t="n">
        <v>2</v>
      </c>
      <c r="P2262" s="14" t="n">
        <v>2.102</v>
      </c>
      <c r="Q2262" s="14" t="n">
        <v>4.5</v>
      </c>
      <c r="R2262" s="14" t="n">
        <v>4.5</v>
      </c>
      <c r="S2262" s="14" t="n">
        <v>10.5</v>
      </c>
    </row>
    <row r="2263" customFormat="false" ht="15" hidden="false" customHeight="false" outlineLevel="0" collapsed="false">
      <c r="A2263" s="13" t="n">
        <v>45440</v>
      </c>
      <c r="B2263" s="14" t="n">
        <v>5.32</v>
      </c>
      <c r="C2263" s="14" t="n">
        <v>5.5</v>
      </c>
      <c r="D2263" s="14" t="n">
        <v>5.25</v>
      </c>
      <c r="E2263" s="14" t="n">
        <v>3.909</v>
      </c>
      <c r="F2263" s="14" t="n">
        <v>4</v>
      </c>
      <c r="G2263" s="14" t="n">
        <v>5.25</v>
      </c>
      <c r="H2263" s="14" t="n">
        <v>5.2</v>
      </c>
      <c r="I2263" s="14" t="n">
        <v>5.19890571150159</v>
      </c>
      <c r="J2263" s="14" t="n">
        <v>5.16818504643641</v>
      </c>
      <c r="K2263" s="14" t="n">
        <v>5.10146831782868</v>
      </c>
      <c r="L2263" s="14" t="n">
        <v>4.94884800169754</v>
      </c>
      <c r="M2263" s="14" t="n">
        <v>1.905</v>
      </c>
      <c r="N2263" s="14" t="n">
        <v>1.957</v>
      </c>
      <c r="O2263" s="14" t="n">
        <v>2</v>
      </c>
      <c r="P2263" s="14" t="n">
        <v>2.101</v>
      </c>
      <c r="Q2263" s="14" t="n">
        <v>4.5</v>
      </c>
      <c r="R2263" s="14" t="n">
        <v>4.5</v>
      </c>
      <c r="S2263" s="14" t="n">
        <v>10.5</v>
      </c>
    </row>
    <row r="2264" customFormat="false" ht="15" hidden="false" customHeight="false" outlineLevel="0" collapsed="false">
      <c r="A2264" s="13" t="n">
        <v>45441</v>
      </c>
      <c r="B2264" s="14" t="n">
        <v>5.33</v>
      </c>
      <c r="C2264" s="14" t="n">
        <v>5.5</v>
      </c>
      <c r="D2264" s="14" t="n">
        <v>5.25</v>
      </c>
      <c r="E2264" s="14" t="n">
        <v>3.909</v>
      </c>
      <c r="F2264" s="14" t="n">
        <v>4</v>
      </c>
      <c r="G2264" s="14" t="n">
        <v>5.25</v>
      </c>
      <c r="H2264" s="14" t="n">
        <v>5.2</v>
      </c>
      <c r="I2264" s="14" t="n">
        <v>5.19930322140158</v>
      </c>
      <c r="J2264" s="14" t="n">
        <v>5.17207231780092</v>
      </c>
      <c r="K2264" s="14" t="n">
        <v>5.10998403914505</v>
      </c>
      <c r="L2264" s="14" t="n">
        <v>4.9745938253991</v>
      </c>
      <c r="M2264" s="14" t="n">
        <v>1.905</v>
      </c>
      <c r="N2264" s="14" t="n">
        <v>1.957</v>
      </c>
      <c r="O2264" s="14" t="n">
        <v>2</v>
      </c>
      <c r="P2264" s="14" t="n">
        <v>2.1</v>
      </c>
      <c r="Q2264" s="14" t="n">
        <v>4.5</v>
      </c>
      <c r="R2264" s="14" t="n">
        <v>4.5</v>
      </c>
      <c r="S2264" s="14" t="n">
        <v>10.5</v>
      </c>
    </row>
    <row r="2265" customFormat="false" ht="15" hidden="false" customHeight="false" outlineLevel="0" collapsed="false">
      <c r="A2265" s="13" t="n">
        <v>45442</v>
      </c>
      <c r="B2265" s="14" t="n">
        <v>5.33</v>
      </c>
      <c r="C2265" s="14" t="n">
        <v>5.5</v>
      </c>
      <c r="D2265" s="14" t="n">
        <v>5.25</v>
      </c>
      <c r="E2265" s="14" t="n">
        <v>3.91</v>
      </c>
      <c r="F2265" s="14" t="n">
        <v>4</v>
      </c>
      <c r="G2265" s="14" t="n">
        <v>5.25</v>
      </c>
      <c r="H2265" s="14" t="n">
        <v>5.2</v>
      </c>
      <c r="I2265" s="14" t="n">
        <v>5.19887966161391</v>
      </c>
      <c r="J2265" s="14" t="n">
        <v>5.16689002913109</v>
      </c>
      <c r="K2265" s="14" t="n">
        <v>5.09918420930605</v>
      </c>
      <c r="L2265" s="14" t="n">
        <v>4.94765407142884</v>
      </c>
      <c r="M2265" s="14" t="n">
        <v>1.906</v>
      </c>
      <c r="N2265" s="14" t="n">
        <v>1.957</v>
      </c>
      <c r="O2265" s="14" t="n">
        <v>2</v>
      </c>
      <c r="P2265" s="14" t="n">
        <v>2.1</v>
      </c>
      <c r="Q2265" s="14" t="n">
        <v>4.5</v>
      </c>
      <c r="R2265" s="14" t="n">
        <v>4.5</v>
      </c>
      <c r="S2265" s="14" t="n">
        <v>10.5</v>
      </c>
    </row>
    <row r="2266" customFormat="false" ht="15" hidden="false" customHeight="false" outlineLevel="0" collapsed="false">
      <c r="A2266" s="13" t="n">
        <v>45443</v>
      </c>
      <c r="B2266" s="14" t="n">
        <v>5.34</v>
      </c>
      <c r="C2266" s="14" t="n">
        <v>5.5</v>
      </c>
      <c r="D2266" s="14" t="n">
        <v>5.25</v>
      </c>
      <c r="E2266" s="14" t="n">
        <v>3.892</v>
      </c>
      <c r="F2266" s="14" t="n">
        <v>4</v>
      </c>
      <c r="G2266" s="14" t="n">
        <v>5.25</v>
      </c>
      <c r="H2266" s="14" t="n">
        <v>5.2</v>
      </c>
      <c r="I2266" s="14" t="n">
        <v>5.19900159869286</v>
      </c>
      <c r="J2266" s="14" t="n">
        <v>5.16776514757739</v>
      </c>
      <c r="K2266" s="14" t="n">
        <v>5.1003018598843</v>
      </c>
      <c r="L2266" s="14" t="n">
        <v>4.94065509906608</v>
      </c>
      <c r="M2266" s="14" t="n">
        <v>1.907</v>
      </c>
      <c r="N2266" s="14" t="n">
        <v>1.955</v>
      </c>
      <c r="O2266" s="14" t="n">
        <v>1.999</v>
      </c>
      <c r="P2266" s="14" t="n">
        <v>2.099</v>
      </c>
      <c r="Q2266" s="14" t="n">
        <v>4.5</v>
      </c>
      <c r="R2266" s="14" t="n">
        <v>4.5</v>
      </c>
      <c r="S2266" s="14" t="n">
        <v>10.5</v>
      </c>
    </row>
    <row r="2267" customFormat="false" ht="15" hidden="false" customHeight="false" outlineLevel="0" collapsed="false">
      <c r="A2267" s="13" t="n">
        <v>45446</v>
      </c>
      <c r="B2267" s="14" t="n">
        <v>5.35</v>
      </c>
      <c r="C2267" s="14" t="n">
        <v>5.5</v>
      </c>
      <c r="D2267" s="14" t="n">
        <v>5.25</v>
      </c>
      <c r="E2267" s="14" t="n">
        <v>3.913</v>
      </c>
      <c r="F2267" s="14" t="n">
        <v>4</v>
      </c>
      <c r="G2267" s="14" t="n">
        <v>5.25</v>
      </c>
      <c r="H2267" s="14" t="n">
        <v>5.2</v>
      </c>
      <c r="I2267" s="14" t="n">
        <v>5.19513123167449</v>
      </c>
      <c r="J2267" s="14" t="n">
        <v>5.15811565842861</v>
      </c>
      <c r="K2267" s="14" t="n">
        <v>5.08021740273695</v>
      </c>
      <c r="L2267" s="14" t="n">
        <v>4.90722903948042</v>
      </c>
      <c r="M2267" s="14" t="n">
        <v>1.905</v>
      </c>
      <c r="N2267" s="14" t="n">
        <v>1.953</v>
      </c>
      <c r="O2267" s="14" t="n">
        <v>1.998</v>
      </c>
      <c r="P2267" s="14" t="n">
        <v>2.099</v>
      </c>
      <c r="Q2267" s="14" t="n">
        <v>4.5</v>
      </c>
      <c r="R2267" s="14" t="n">
        <v>4.5</v>
      </c>
      <c r="S2267" s="14" t="n">
        <v>10.5</v>
      </c>
    </row>
    <row r="2268" customFormat="false" ht="15" hidden="false" customHeight="false" outlineLevel="0" collapsed="false">
      <c r="A2268" s="13" t="n">
        <v>45447</v>
      </c>
      <c r="B2268" s="14" t="n">
        <v>5.33</v>
      </c>
      <c r="C2268" s="14" t="n">
        <v>5.5</v>
      </c>
      <c r="D2268" s="14" t="n">
        <v>5.25</v>
      </c>
      <c r="E2268" s="14" t="n">
        <v>3.911</v>
      </c>
      <c r="F2268" s="14" t="n">
        <v>4</v>
      </c>
      <c r="G2268" s="14" t="n">
        <v>5.25</v>
      </c>
      <c r="H2268" s="14" t="n">
        <v>5.2</v>
      </c>
      <c r="I2268" s="14" t="n">
        <v>5.19585208157127</v>
      </c>
      <c r="J2268" s="14" t="n">
        <v>5.1589808269129</v>
      </c>
      <c r="K2268" s="14" t="n">
        <v>5.07900115663156</v>
      </c>
      <c r="L2268" s="14" t="n">
        <v>4.90030842911506</v>
      </c>
      <c r="M2268" s="14" t="n">
        <v>1.9</v>
      </c>
      <c r="N2268" s="14" t="n">
        <v>1.949</v>
      </c>
      <c r="O2268" s="14" t="n">
        <v>1.996</v>
      </c>
      <c r="P2268" s="14" t="n">
        <v>2.097</v>
      </c>
      <c r="Q2268" s="14" t="n">
        <v>4.5</v>
      </c>
      <c r="R2268" s="14" t="n">
        <v>4.5</v>
      </c>
      <c r="S2268" s="14" t="n">
        <v>10.5</v>
      </c>
    </row>
    <row r="2269" customFormat="false" ht="15" hidden="false" customHeight="false" outlineLevel="0" collapsed="false">
      <c r="A2269" s="13" t="n">
        <v>45448</v>
      </c>
      <c r="B2269" s="14" t="n">
        <v>5.33</v>
      </c>
      <c r="C2269" s="14" t="n">
        <v>5.5</v>
      </c>
      <c r="D2269" s="14" t="n">
        <v>5.25</v>
      </c>
      <c r="E2269" s="14" t="n">
        <v>3.913</v>
      </c>
      <c r="F2269" s="14" t="n">
        <v>4</v>
      </c>
      <c r="G2269" s="14" t="n">
        <v>5.25</v>
      </c>
      <c r="H2269" s="14" t="n">
        <v>5.2</v>
      </c>
      <c r="I2269" s="14" t="n">
        <v>5.1969330713828</v>
      </c>
      <c r="J2269" s="14" t="n">
        <v>5.16168635696615</v>
      </c>
      <c r="K2269" s="14" t="n">
        <v>5.08350205081508</v>
      </c>
      <c r="L2269" s="14" t="n">
        <v>4.90500225031058</v>
      </c>
      <c r="M2269" s="14" t="n">
        <v>1.899</v>
      </c>
      <c r="N2269" s="14" t="n">
        <v>1.948</v>
      </c>
      <c r="O2269" s="14" t="n">
        <v>1.997</v>
      </c>
      <c r="P2269" s="14" t="n">
        <v>2.095</v>
      </c>
      <c r="Q2269" s="14" t="n">
        <v>4.5</v>
      </c>
      <c r="R2269" s="14" t="n">
        <v>4.5</v>
      </c>
      <c r="S2269" s="14" t="n">
        <v>10.5</v>
      </c>
    </row>
    <row r="2270" customFormat="false" ht="15" hidden="false" customHeight="false" outlineLevel="0" collapsed="false">
      <c r="A2270" s="13" t="n">
        <v>45449</v>
      </c>
      <c r="B2270" s="14" t="n">
        <v>5.33</v>
      </c>
      <c r="C2270" s="14" t="n">
        <v>5.5</v>
      </c>
      <c r="D2270" s="14" t="n">
        <v>5.25</v>
      </c>
      <c r="E2270" s="14" t="n">
        <v>3.911</v>
      </c>
      <c r="F2270" s="14" t="n">
        <v>4</v>
      </c>
      <c r="G2270" s="14" t="n">
        <v>5.25</v>
      </c>
      <c r="H2270" s="14" t="n">
        <v>5.2</v>
      </c>
      <c r="I2270" s="14" t="n">
        <v>5.19216242706813</v>
      </c>
      <c r="J2270" s="14" t="n">
        <v>5.15297115225189</v>
      </c>
      <c r="K2270" s="14" t="n">
        <v>5.06860421061385</v>
      </c>
      <c r="L2270" s="14" t="n">
        <v>4.87841320200378</v>
      </c>
      <c r="M2270" s="14" t="n">
        <v>1.897</v>
      </c>
      <c r="N2270" s="14" t="n">
        <v>1.948</v>
      </c>
      <c r="O2270" s="14" t="n">
        <v>1.996</v>
      </c>
      <c r="P2270" s="14" t="n">
        <v>2.089</v>
      </c>
      <c r="Q2270" s="14" t="n">
        <v>4.5</v>
      </c>
      <c r="R2270" s="14" t="n">
        <v>4.5</v>
      </c>
      <c r="S2270" s="14" t="n">
        <v>10.5</v>
      </c>
    </row>
    <row r="2271" customFormat="false" ht="15" hidden="false" customHeight="false" outlineLevel="0" collapsed="false">
      <c r="A2271" s="13" t="n">
        <v>45450</v>
      </c>
      <c r="B2271" s="14" t="n">
        <v>5.33</v>
      </c>
      <c r="C2271" s="14" t="n">
        <v>5.5</v>
      </c>
      <c r="D2271" s="14" t="n">
        <v>5.25</v>
      </c>
      <c r="E2271" s="14" t="n">
        <v>3.912</v>
      </c>
      <c r="F2271" s="14" t="n">
        <v>4</v>
      </c>
      <c r="G2271" s="14" t="n">
        <v>5.25</v>
      </c>
      <c r="H2271" s="14" t="n">
        <v>5.2</v>
      </c>
      <c r="I2271" s="14" t="n">
        <v>5.19320521905057</v>
      </c>
      <c r="J2271" s="14" t="n">
        <v>5.15529015470253</v>
      </c>
      <c r="K2271" s="14" t="n">
        <v>5.08014320248997</v>
      </c>
      <c r="L2271" s="14" t="n">
        <v>4.91194676328977</v>
      </c>
      <c r="M2271" s="14" t="n">
        <v>1.898</v>
      </c>
      <c r="N2271" s="14" t="n">
        <v>1.949</v>
      </c>
      <c r="O2271" s="14" t="n">
        <v>1.996</v>
      </c>
      <c r="P2271" s="14" t="n">
        <v>2.085</v>
      </c>
      <c r="Q2271" s="14" t="n">
        <v>4.5</v>
      </c>
      <c r="R2271" s="14" t="n">
        <v>4.5</v>
      </c>
      <c r="S2271" s="14" t="n">
        <v>10.5</v>
      </c>
    </row>
    <row r="2272" customFormat="false" ht="15" hidden="false" customHeight="false" outlineLevel="0" collapsed="false">
      <c r="A2272" s="13" t="n">
        <v>45453</v>
      </c>
      <c r="B2272" s="14" t="n">
        <v>5.32</v>
      </c>
      <c r="C2272" s="14" t="n">
        <v>5.5</v>
      </c>
      <c r="D2272" s="14" t="n">
        <v>5.25</v>
      </c>
      <c r="E2272" s="14" t="n">
        <v>3.912</v>
      </c>
      <c r="F2272" s="14" t="n">
        <v>4</v>
      </c>
      <c r="G2272" s="14" t="n">
        <v>5.25</v>
      </c>
      <c r="H2272" s="14" t="n">
        <v>5.2</v>
      </c>
      <c r="I2272" s="14" t="n">
        <v>5.1932306788488</v>
      </c>
      <c r="J2272" s="14" t="n">
        <v>5.15896004007323</v>
      </c>
      <c r="K2272" s="14" t="n">
        <v>5.08969056747624</v>
      </c>
      <c r="L2272" s="14" t="n">
        <v>4.93401794181808</v>
      </c>
      <c r="Q2272" s="14" t="n">
        <v>4.5</v>
      </c>
      <c r="R2272" s="14" t="n">
        <v>4.5</v>
      </c>
      <c r="S2272" s="14" t="n">
        <v>10.5</v>
      </c>
    </row>
    <row r="2273" customFormat="false" ht="15" hidden="false" customHeight="false" outlineLevel="0" collapsed="false">
      <c r="A2273" s="13" t="n">
        <v>45454</v>
      </c>
      <c r="B2273" s="14" t="n">
        <v>5.32</v>
      </c>
      <c r="C2273" s="14" t="n">
        <v>5.5</v>
      </c>
      <c r="D2273" s="14" t="n">
        <v>5.25</v>
      </c>
      <c r="E2273" s="14" t="n">
        <v>3.909</v>
      </c>
      <c r="F2273" s="14" t="n">
        <v>4</v>
      </c>
      <c r="G2273" s="14" t="n">
        <v>5.25</v>
      </c>
      <c r="H2273" s="14" t="n">
        <v>5.2</v>
      </c>
      <c r="I2273" s="14" t="n">
        <v>5.19019965749631</v>
      </c>
      <c r="J2273" s="14" t="n">
        <v>5.14890835708078</v>
      </c>
      <c r="K2273" s="14" t="n">
        <v>5.07194472655256</v>
      </c>
      <c r="L2273" s="14" t="n">
        <v>4.90632915432528</v>
      </c>
      <c r="M2273" s="14" t="n">
        <v>1.9</v>
      </c>
      <c r="N2273" s="14" t="n">
        <v>1.947</v>
      </c>
      <c r="O2273" s="14" t="n">
        <v>1.995</v>
      </c>
      <c r="P2273" s="14" t="n">
        <v>2.081</v>
      </c>
      <c r="Q2273" s="14" t="n">
        <v>4.5</v>
      </c>
      <c r="R2273" s="14" t="n">
        <v>4.5</v>
      </c>
      <c r="S2273" s="14" t="n">
        <v>10.5</v>
      </c>
    </row>
    <row r="2274" customFormat="false" ht="15" hidden="false" customHeight="false" outlineLevel="0" collapsed="false">
      <c r="A2274" s="13" t="n">
        <v>45455</v>
      </c>
      <c r="B2274" s="14" t="n">
        <v>5.31</v>
      </c>
      <c r="C2274" s="14" t="n">
        <v>5.5</v>
      </c>
      <c r="D2274" s="14" t="n">
        <v>5.25</v>
      </c>
      <c r="E2274" s="14" t="n">
        <v>3.662</v>
      </c>
      <c r="F2274" s="14" t="n">
        <v>3.75</v>
      </c>
      <c r="G2274" s="14" t="n">
        <v>5.25</v>
      </c>
      <c r="H2274" s="14" t="n">
        <v>5.2</v>
      </c>
      <c r="I2274" s="14" t="n">
        <v>5.18658253962923</v>
      </c>
      <c r="J2274" s="14" t="n">
        <v>5.13614148699002</v>
      </c>
      <c r="K2274" s="14" t="n">
        <v>5.0433167673291</v>
      </c>
      <c r="L2274" s="14" t="n">
        <v>4.84270604504046</v>
      </c>
      <c r="M2274" s="14" t="n">
        <v>1.898</v>
      </c>
      <c r="N2274" s="14" t="n">
        <v>1.943</v>
      </c>
      <c r="O2274" s="14" t="n">
        <v>1.994</v>
      </c>
      <c r="P2274" s="14" t="n">
        <v>2.075</v>
      </c>
      <c r="Q2274" s="14" t="n">
        <v>4.5</v>
      </c>
      <c r="R2274" s="14" t="n">
        <v>4.5</v>
      </c>
      <c r="S2274" s="14" t="n">
        <v>10.5</v>
      </c>
    </row>
    <row r="2275" customFormat="false" ht="15" hidden="false" customHeight="false" outlineLevel="0" collapsed="false">
      <c r="A2275" s="13" t="n">
        <v>45456</v>
      </c>
      <c r="B2275" s="14" t="n">
        <v>5.31</v>
      </c>
      <c r="C2275" s="14" t="n">
        <v>5.5</v>
      </c>
      <c r="D2275" s="14" t="n">
        <v>5.25</v>
      </c>
      <c r="E2275" s="14" t="n">
        <v>3.661</v>
      </c>
      <c r="F2275" s="14" t="n">
        <v>3.75</v>
      </c>
      <c r="G2275" s="14" t="n">
        <v>5.25</v>
      </c>
      <c r="H2275" s="14" t="n">
        <v>5.2</v>
      </c>
      <c r="I2275" s="14" t="n">
        <v>5.18347317085622</v>
      </c>
      <c r="J2275" s="14" t="n">
        <v>5.13033130216064</v>
      </c>
      <c r="K2275" s="14" t="n">
        <v>5.03463202754503</v>
      </c>
      <c r="L2275" s="14" t="n">
        <v>4.82963175475843</v>
      </c>
      <c r="M2275" s="14" t="n">
        <v>1.9</v>
      </c>
      <c r="N2275" s="14" t="n">
        <v>1.94</v>
      </c>
      <c r="O2275" s="14" t="n">
        <v>1.989</v>
      </c>
      <c r="P2275" s="14" t="n">
        <v>2.073</v>
      </c>
      <c r="Q2275" s="14" t="n">
        <v>4.5</v>
      </c>
      <c r="R2275" s="14" t="n">
        <v>4.5</v>
      </c>
      <c r="S2275" s="14" t="n">
        <v>10.5</v>
      </c>
    </row>
    <row r="2276" customFormat="false" ht="15" hidden="false" customHeight="false" outlineLevel="0" collapsed="false">
      <c r="A2276" s="13" t="n">
        <v>45457</v>
      </c>
      <c r="B2276" s="14" t="n">
        <v>5.31</v>
      </c>
      <c r="C2276" s="14" t="n">
        <v>5.5</v>
      </c>
      <c r="D2276" s="14" t="n">
        <v>5.25</v>
      </c>
      <c r="E2276" s="14" t="n">
        <v>3.662</v>
      </c>
      <c r="F2276" s="14" t="n">
        <v>3.75</v>
      </c>
      <c r="G2276" s="14" t="n">
        <v>5.25</v>
      </c>
      <c r="H2276" s="14" t="n">
        <v>5.2</v>
      </c>
      <c r="I2276" s="14" t="n">
        <v>5.1911866713358</v>
      </c>
      <c r="J2276" s="14" t="n">
        <v>5.1372335997082</v>
      </c>
      <c r="K2276" s="14" t="n">
        <v>5.03743302331865</v>
      </c>
      <c r="L2276" s="14" t="n">
        <v>4.81707353839888</v>
      </c>
      <c r="M2276" s="14" t="n">
        <v>1.9</v>
      </c>
      <c r="N2276" s="14" t="n">
        <v>1.939</v>
      </c>
      <c r="O2276" s="14" t="n">
        <v>1.986</v>
      </c>
      <c r="P2276" s="14" t="n">
        <v>2.069</v>
      </c>
      <c r="Q2276" s="14" t="n">
        <v>4.5</v>
      </c>
      <c r="R2276" s="14" t="n">
        <v>4.5</v>
      </c>
      <c r="S2276" s="14" t="n">
        <v>10.5</v>
      </c>
    </row>
    <row r="2277" customFormat="false" ht="15" hidden="false" customHeight="false" outlineLevel="0" collapsed="false">
      <c r="A2277" s="13" t="n">
        <v>45460</v>
      </c>
      <c r="B2277" s="14" t="n">
        <v>5.33</v>
      </c>
      <c r="C2277" s="14" t="n">
        <v>5.5</v>
      </c>
      <c r="D2277" s="14" t="n">
        <v>5.25</v>
      </c>
      <c r="E2277" s="14" t="n">
        <v>3.662</v>
      </c>
      <c r="F2277" s="14" t="n">
        <v>3.75</v>
      </c>
      <c r="G2277" s="14" t="n">
        <v>5.25</v>
      </c>
      <c r="H2277" s="14" t="n">
        <v>5.2</v>
      </c>
      <c r="I2277" s="14" t="n">
        <v>5.18539169882712</v>
      </c>
      <c r="J2277" s="14" t="n">
        <v>5.13286539596265</v>
      </c>
      <c r="K2277" s="14" t="n">
        <v>5.0389715525035</v>
      </c>
      <c r="L2277" s="14" t="n">
        <v>4.82886108444772</v>
      </c>
      <c r="M2277" s="14" t="n">
        <v>1.898</v>
      </c>
      <c r="N2277" s="14" t="n">
        <v>1.935</v>
      </c>
      <c r="O2277" s="14" t="n">
        <v>1.985</v>
      </c>
      <c r="P2277" s="14" t="n">
        <v>2.068</v>
      </c>
      <c r="Q2277" s="14" t="n">
        <v>4.5</v>
      </c>
      <c r="R2277" s="14" t="n">
        <v>4.5</v>
      </c>
      <c r="S2277" s="14" t="n">
        <v>10.5</v>
      </c>
    </row>
    <row r="2278" customFormat="false" ht="15" hidden="false" customHeight="false" outlineLevel="0" collapsed="false">
      <c r="A2278" s="13" t="n">
        <v>45461</v>
      </c>
      <c r="B2278" s="14" t="n">
        <v>5.33</v>
      </c>
      <c r="C2278" s="14" t="n">
        <v>5.5</v>
      </c>
      <c r="D2278" s="14" t="n">
        <v>5.25</v>
      </c>
      <c r="E2278" s="14" t="n">
        <v>3.666</v>
      </c>
      <c r="F2278" s="14" t="n">
        <v>3.75</v>
      </c>
      <c r="G2278" s="14" t="n">
        <v>5.25</v>
      </c>
      <c r="H2278" s="14" t="n">
        <v>5.2</v>
      </c>
      <c r="I2278" s="14" t="n">
        <v>5.17886419427613</v>
      </c>
      <c r="J2278" s="14" t="n">
        <v>5.12337650558</v>
      </c>
      <c r="K2278" s="14" t="n">
        <v>5.02221882946435</v>
      </c>
      <c r="L2278" s="14" t="n">
        <v>4.7951211068531</v>
      </c>
      <c r="M2278" s="14" t="n">
        <v>1.9</v>
      </c>
      <c r="N2278" s="14" t="n">
        <v>1.934</v>
      </c>
      <c r="O2278" s="14" t="n">
        <v>1.987</v>
      </c>
      <c r="P2278" s="14" t="n">
        <v>2.067</v>
      </c>
      <c r="Q2278" s="14" t="n">
        <v>4.5</v>
      </c>
      <c r="R2278" s="14" t="n">
        <v>4.5</v>
      </c>
      <c r="S2278" s="14" t="n">
        <v>10.5</v>
      </c>
    </row>
    <row r="2279" customFormat="false" ht="15" hidden="false" customHeight="false" outlineLevel="0" collapsed="false">
      <c r="A2279" s="13" t="n">
        <v>45462</v>
      </c>
      <c r="C2279" s="14" t="n">
        <v>5.5</v>
      </c>
      <c r="D2279" s="14" t="n">
        <v>5.25</v>
      </c>
      <c r="E2279" s="14" t="n">
        <v>3.663</v>
      </c>
      <c r="F2279" s="14" t="n">
        <v>3.75</v>
      </c>
      <c r="G2279" s="14" t="n">
        <v>5.25</v>
      </c>
      <c r="H2279" s="14" t="n">
        <v>5.2</v>
      </c>
      <c r="I2279" s="14" t="n">
        <v>5.19426090833504</v>
      </c>
      <c r="J2279" s="14" t="n">
        <v>5.14867386621963</v>
      </c>
      <c r="K2279" s="14" t="n">
        <v>5.04898970016306</v>
      </c>
      <c r="L2279" s="14" t="n">
        <v>4.82266162680043</v>
      </c>
      <c r="M2279" s="14" t="n">
        <v>1.9</v>
      </c>
      <c r="N2279" s="14" t="n">
        <v>1.929</v>
      </c>
      <c r="O2279" s="14" t="n">
        <v>1.985</v>
      </c>
      <c r="P2279" s="14" t="n">
        <v>2.067</v>
      </c>
      <c r="Q2279" s="14" t="n">
        <v>4.5</v>
      </c>
      <c r="R2279" s="14" t="n">
        <v>4.5</v>
      </c>
      <c r="S2279" s="14" t="n">
        <v>10.5</v>
      </c>
    </row>
    <row r="2280" customFormat="false" ht="15" hidden="false" customHeight="false" outlineLevel="0" collapsed="false">
      <c r="A2280" s="13" t="n">
        <v>45463</v>
      </c>
      <c r="B2280" s="14" t="n">
        <v>5.32</v>
      </c>
      <c r="C2280" s="14" t="n">
        <v>5.5</v>
      </c>
      <c r="D2280" s="14" t="n">
        <v>5.25</v>
      </c>
      <c r="E2280" s="14" t="n">
        <v>3.663</v>
      </c>
      <c r="F2280" s="14" t="n">
        <v>3.75</v>
      </c>
      <c r="G2280" s="14" t="n">
        <v>5.25</v>
      </c>
      <c r="H2280" s="14" t="n">
        <v>5.2</v>
      </c>
      <c r="I2280" s="14" t="n">
        <v>5.19139241706731</v>
      </c>
      <c r="J2280" s="14" t="n">
        <v>5.11603242432395</v>
      </c>
      <c r="K2280" s="14" t="n">
        <v>4.9992421801811</v>
      </c>
      <c r="L2280" s="14" t="n">
        <v>4.76640204610683</v>
      </c>
      <c r="M2280" s="14" t="n">
        <v>1.9</v>
      </c>
      <c r="N2280" s="14" t="n">
        <v>1.927</v>
      </c>
      <c r="O2280" s="14" t="n">
        <v>1.983</v>
      </c>
      <c r="P2280" s="14" t="n">
        <v>2.063</v>
      </c>
      <c r="Q2280" s="14" t="n">
        <v>4.5</v>
      </c>
      <c r="R2280" s="14" t="n">
        <v>4.5</v>
      </c>
      <c r="S2280" s="14" t="n">
        <v>10.5</v>
      </c>
    </row>
    <row r="2281" customFormat="false" ht="15" hidden="false" customHeight="false" outlineLevel="0" collapsed="false">
      <c r="A2281" s="13" t="n">
        <v>45464</v>
      </c>
      <c r="B2281" s="14" t="n">
        <v>5.31</v>
      </c>
      <c r="C2281" s="14" t="n">
        <v>5.5</v>
      </c>
      <c r="D2281" s="14" t="n">
        <v>5.25</v>
      </c>
      <c r="E2281" s="14" t="n">
        <v>3.664</v>
      </c>
      <c r="F2281" s="14" t="n">
        <v>3.75</v>
      </c>
      <c r="G2281" s="14" t="n">
        <v>5.25</v>
      </c>
      <c r="H2281" s="14" t="n">
        <v>5.2</v>
      </c>
      <c r="I2281" s="14" t="n">
        <v>5.19175790463123</v>
      </c>
      <c r="J2281" s="14" t="n">
        <v>5.11468405764885</v>
      </c>
      <c r="K2281" s="14" t="n">
        <v>5.0015244134407</v>
      </c>
      <c r="L2281" s="14" t="n">
        <v>4.7674975779445</v>
      </c>
      <c r="M2281" s="14" t="n">
        <v>1.9</v>
      </c>
      <c r="N2281" s="14" t="n">
        <v>1.923</v>
      </c>
      <c r="O2281" s="14" t="n">
        <v>1.977</v>
      </c>
      <c r="P2281" s="14" t="n">
        <v>2.059</v>
      </c>
      <c r="Q2281" s="14" t="n">
        <v>4.5</v>
      </c>
      <c r="R2281" s="14" t="n">
        <v>4.5</v>
      </c>
      <c r="S2281" s="14" t="n">
        <v>10.5</v>
      </c>
    </row>
    <row r="2282" customFormat="false" ht="15" hidden="false" customHeight="false" outlineLevel="0" collapsed="false">
      <c r="A2282" s="13" t="n">
        <v>45467</v>
      </c>
      <c r="B2282" s="14" t="n">
        <v>5.31</v>
      </c>
      <c r="C2282" s="14" t="n">
        <v>5.5</v>
      </c>
      <c r="D2282" s="14" t="n">
        <v>5.25</v>
      </c>
      <c r="E2282" s="14" t="n">
        <v>3.663</v>
      </c>
      <c r="F2282" s="14" t="n">
        <v>3.75</v>
      </c>
      <c r="G2282" s="14" t="n">
        <v>5.25</v>
      </c>
      <c r="H2282" s="14" t="n">
        <v>5.2</v>
      </c>
      <c r="I2282" s="14" t="n">
        <v>5.18862850642669</v>
      </c>
      <c r="J2282" s="14" t="n">
        <v>5.10509649915259</v>
      </c>
      <c r="K2282" s="14" t="n">
        <v>4.99251106032718</v>
      </c>
      <c r="L2282" s="14" t="n">
        <v>4.76632173896094</v>
      </c>
      <c r="M2282" s="14" t="n">
        <v>1.9</v>
      </c>
      <c r="N2282" s="14" t="n">
        <v>1.922</v>
      </c>
      <c r="O2282" s="14" t="n">
        <v>1.979</v>
      </c>
      <c r="P2282" s="14" t="n">
        <v>2.059</v>
      </c>
      <c r="Q2282" s="14" t="n">
        <v>4.5</v>
      </c>
      <c r="R2282" s="14" t="n">
        <v>4.5</v>
      </c>
      <c r="S2282" s="14" t="n">
        <v>10.5</v>
      </c>
    </row>
    <row r="2283" customFormat="false" ht="15" hidden="false" customHeight="false" outlineLevel="0" collapsed="false">
      <c r="A2283" s="13" t="n">
        <v>45468</v>
      </c>
      <c r="B2283" s="14" t="n">
        <v>5.33</v>
      </c>
      <c r="C2283" s="14" t="n">
        <v>5.5</v>
      </c>
      <c r="D2283" s="14" t="n">
        <v>5.25</v>
      </c>
      <c r="E2283" s="14" t="n">
        <v>3.663</v>
      </c>
      <c r="F2283" s="14" t="n">
        <v>3.75</v>
      </c>
      <c r="G2283" s="14" t="n">
        <v>5.25</v>
      </c>
      <c r="H2283" s="14" t="n">
        <v>5.2</v>
      </c>
      <c r="I2283" s="14" t="n">
        <v>5.18841990190155</v>
      </c>
      <c r="J2283" s="14" t="n">
        <v>5.10746853568865</v>
      </c>
      <c r="K2283" s="14" t="n">
        <v>4.9999595756132</v>
      </c>
      <c r="L2283" s="14" t="n">
        <v>4.77557254400075</v>
      </c>
      <c r="M2283" s="14" t="n">
        <v>1.9</v>
      </c>
      <c r="N2283" s="14" t="n">
        <v>1.921</v>
      </c>
      <c r="O2283" s="14" t="n">
        <v>1.978</v>
      </c>
      <c r="P2283" s="14" t="n">
        <v>2.058</v>
      </c>
      <c r="Q2283" s="14" t="n">
        <v>4.5</v>
      </c>
      <c r="R2283" s="14" t="n">
        <v>4.5</v>
      </c>
      <c r="S2283" s="14" t="n">
        <v>10.5</v>
      </c>
    </row>
    <row r="2284" customFormat="false" ht="15" hidden="false" customHeight="false" outlineLevel="0" collapsed="false">
      <c r="A2284" s="13" t="n">
        <v>45469</v>
      </c>
      <c r="B2284" s="14" t="n">
        <v>5.34</v>
      </c>
      <c r="C2284" s="14" t="n">
        <v>5.5</v>
      </c>
      <c r="D2284" s="14" t="n">
        <v>5.25</v>
      </c>
      <c r="E2284" s="14" t="n">
        <v>3.661</v>
      </c>
      <c r="F2284" s="14" t="n">
        <v>3.75</v>
      </c>
      <c r="G2284" s="14" t="n">
        <v>5.25</v>
      </c>
      <c r="H2284" s="14" t="n">
        <v>5.2</v>
      </c>
      <c r="I2284" s="14" t="n">
        <v>5.18826255778324</v>
      </c>
      <c r="J2284" s="14" t="n">
        <v>5.1086541871329</v>
      </c>
      <c r="K2284" s="14" t="n">
        <v>5.00603768718973</v>
      </c>
      <c r="L2284" s="14" t="n">
        <v>4.79626866226197</v>
      </c>
      <c r="M2284" s="14" t="n">
        <v>1.9</v>
      </c>
      <c r="N2284" s="14" t="n">
        <v>1.919</v>
      </c>
      <c r="O2284" s="14" t="n">
        <v>1.979</v>
      </c>
      <c r="P2284" s="14" t="n">
        <v>2.055</v>
      </c>
      <c r="Q2284" s="14" t="n">
        <v>4.5</v>
      </c>
      <c r="R2284" s="14" t="n">
        <v>4.5</v>
      </c>
      <c r="S2284" s="14" t="n">
        <v>10.5</v>
      </c>
    </row>
    <row r="2285" customFormat="false" ht="15" hidden="false" customHeight="false" outlineLevel="0" collapsed="false">
      <c r="A2285" s="13" t="n">
        <v>45470</v>
      </c>
      <c r="B2285" s="14" t="n">
        <v>5.34</v>
      </c>
      <c r="C2285" s="14" t="n">
        <v>5.5</v>
      </c>
      <c r="D2285" s="14" t="n">
        <v>5.25</v>
      </c>
      <c r="E2285" s="14" t="n">
        <v>3.662</v>
      </c>
      <c r="F2285" s="14" t="n">
        <v>3.75</v>
      </c>
      <c r="G2285" s="14" t="n">
        <v>5.25</v>
      </c>
      <c r="H2285" s="14" t="n">
        <v>5.2</v>
      </c>
      <c r="I2285" s="14" t="n">
        <v>5.18756004987228</v>
      </c>
      <c r="J2285" s="14" t="n">
        <v>5.10247330779718</v>
      </c>
      <c r="K2285" s="14" t="n">
        <v>4.99879125291936</v>
      </c>
      <c r="L2285" s="14" t="n">
        <v>4.79564073627568</v>
      </c>
      <c r="M2285" s="14" t="n">
        <v>1.9</v>
      </c>
      <c r="N2285" s="14" t="n">
        <v>1.918</v>
      </c>
      <c r="O2285" s="14" t="n">
        <v>1.979</v>
      </c>
      <c r="P2285" s="14" t="n">
        <v>2.051</v>
      </c>
      <c r="Q2285" s="14" t="n">
        <v>4.5</v>
      </c>
      <c r="R2285" s="14" t="n">
        <v>4.5</v>
      </c>
      <c r="S2285" s="14" t="n">
        <v>10.5</v>
      </c>
    </row>
    <row r="2286" customFormat="false" ht="15" hidden="false" customHeight="false" outlineLevel="0" collapsed="false">
      <c r="A2286" s="13" t="n">
        <v>45471</v>
      </c>
      <c r="B2286" s="14" t="n">
        <v>5.33</v>
      </c>
      <c r="C2286" s="14" t="n">
        <v>5.5</v>
      </c>
      <c r="D2286" s="14" t="n">
        <v>5.25</v>
      </c>
      <c r="E2286" s="14" t="n">
        <v>3.656</v>
      </c>
      <c r="F2286" s="14" t="n">
        <v>3.75</v>
      </c>
      <c r="G2286" s="14" t="n">
        <v>5.25</v>
      </c>
      <c r="H2286" s="14" t="n">
        <v>5.2</v>
      </c>
      <c r="I2286" s="14" t="n">
        <v>5.18700864866241</v>
      </c>
      <c r="J2286" s="14" t="n">
        <v>5.10129777334851</v>
      </c>
      <c r="K2286" s="14" t="n">
        <v>4.99523319729019</v>
      </c>
      <c r="L2286" s="14" t="n">
        <v>4.78250716684951</v>
      </c>
      <c r="M2286" s="14" t="n">
        <v>1.9</v>
      </c>
      <c r="N2286" s="14" t="n">
        <v>1.918</v>
      </c>
      <c r="O2286" s="14" t="n">
        <v>1.979</v>
      </c>
      <c r="P2286" s="14" t="n">
        <v>2.049</v>
      </c>
      <c r="Q2286" s="14" t="n">
        <v>4.5</v>
      </c>
      <c r="R2286" s="14" t="n">
        <v>4.5</v>
      </c>
      <c r="S2286" s="14" t="n">
        <v>10.5</v>
      </c>
    </row>
    <row r="2287" customFormat="false" ht="15" hidden="false" customHeight="false" outlineLevel="0" collapsed="false">
      <c r="A2287" s="13" t="n">
        <v>45474</v>
      </c>
      <c r="B2287" s="14" t="n">
        <v>5.4</v>
      </c>
      <c r="C2287" s="14" t="n">
        <v>5.5</v>
      </c>
      <c r="D2287" s="14" t="n">
        <v>5.25</v>
      </c>
      <c r="E2287" s="14" t="n">
        <v>3.665</v>
      </c>
      <c r="F2287" s="14" t="n">
        <v>3.75</v>
      </c>
      <c r="G2287" s="14" t="n">
        <v>5.25</v>
      </c>
      <c r="H2287" s="14" t="n">
        <v>5.2</v>
      </c>
      <c r="I2287" s="14" t="n">
        <v>5.18584733814864</v>
      </c>
      <c r="J2287" s="14" t="n">
        <v>5.09929945235209</v>
      </c>
      <c r="K2287" s="14" t="n">
        <v>4.99811152810627</v>
      </c>
      <c r="L2287" s="14" t="n">
        <v>4.79998996247829</v>
      </c>
      <c r="M2287" s="14" t="n">
        <v>1.899</v>
      </c>
      <c r="N2287" s="14" t="n">
        <v>1.917</v>
      </c>
      <c r="O2287" s="14" t="n">
        <v>1.976</v>
      </c>
      <c r="P2287" s="14" t="n">
        <v>2.046</v>
      </c>
      <c r="Q2287" s="14" t="n">
        <v>4.5</v>
      </c>
      <c r="R2287" s="14" t="n">
        <v>4.5</v>
      </c>
      <c r="S2287" s="14" t="n">
        <v>10.5</v>
      </c>
    </row>
    <row r="2288" customFormat="false" ht="15" hidden="false" customHeight="false" outlineLevel="0" collapsed="false">
      <c r="A2288" s="13" t="n">
        <v>45475</v>
      </c>
      <c r="B2288" s="14" t="n">
        <v>5.35</v>
      </c>
      <c r="C2288" s="14" t="n">
        <v>5.5</v>
      </c>
      <c r="D2288" s="14" t="n">
        <v>5.25</v>
      </c>
      <c r="E2288" s="14" t="n">
        <v>3.662</v>
      </c>
      <c r="F2288" s="14" t="n">
        <v>3.75</v>
      </c>
      <c r="G2288" s="14" t="n">
        <v>5.25</v>
      </c>
      <c r="H2288" s="14" t="n">
        <v>5.2</v>
      </c>
      <c r="I2288" s="14" t="n">
        <v>5.1824219588937</v>
      </c>
      <c r="J2288" s="14" t="n">
        <v>5.09444251845157</v>
      </c>
      <c r="K2288" s="14" t="n">
        <v>4.99022518589447</v>
      </c>
      <c r="L2288" s="14" t="n">
        <v>4.7886207338392</v>
      </c>
      <c r="M2288" s="14" t="n">
        <v>1.896</v>
      </c>
      <c r="N2288" s="14" t="n">
        <v>1.917</v>
      </c>
      <c r="O2288" s="14" t="n">
        <v>1.973</v>
      </c>
      <c r="P2288" s="14" t="n">
        <v>2.042</v>
      </c>
      <c r="Q2288" s="14" t="n">
        <v>4.5</v>
      </c>
      <c r="R2288" s="14" t="n">
        <v>4.5</v>
      </c>
      <c r="S2288" s="14" t="n">
        <v>10.5</v>
      </c>
    </row>
    <row r="2289" customFormat="false" ht="15" hidden="false" customHeight="false" outlineLevel="0" collapsed="false">
      <c r="A2289" s="13" t="n">
        <v>45476</v>
      </c>
      <c r="B2289" s="14" t="n">
        <v>5.33</v>
      </c>
      <c r="C2289" s="14" t="n">
        <v>5.5</v>
      </c>
      <c r="D2289" s="14" t="n">
        <v>5.25</v>
      </c>
      <c r="E2289" s="14" t="n">
        <v>3.663</v>
      </c>
      <c r="F2289" s="14" t="n">
        <v>3.75</v>
      </c>
      <c r="G2289" s="14" t="n">
        <v>5.25</v>
      </c>
      <c r="H2289" s="14" t="n">
        <v>5.2</v>
      </c>
      <c r="I2289" s="14" t="n">
        <v>5.17615956619077</v>
      </c>
      <c r="J2289" s="14" t="n">
        <v>5.08536168666121</v>
      </c>
      <c r="K2289" s="14" t="n">
        <v>4.97800921105178</v>
      </c>
      <c r="L2289" s="14" t="n">
        <v>4.76941369416157</v>
      </c>
      <c r="M2289" s="14" t="n">
        <v>1.895</v>
      </c>
      <c r="N2289" s="14" t="n">
        <v>1.914</v>
      </c>
      <c r="O2289" s="14" t="n">
        <v>1.967</v>
      </c>
      <c r="P2289" s="14" t="n">
        <v>2.034</v>
      </c>
      <c r="Q2289" s="14" t="n">
        <v>4.5</v>
      </c>
      <c r="R2289" s="14" t="n">
        <v>4.5</v>
      </c>
      <c r="S2289" s="14" t="n">
        <v>10.5</v>
      </c>
    </row>
    <row r="2290" customFormat="false" ht="15" hidden="false" customHeight="false" outlineLevel="0" collapsed="false">
      <c r="A2290" s="13" t="n">
        <v>45477</v>
      </c>
      <c r="C2290" s="14" t="n">
        <v>5.5</v>
      </c>
      <c r="D2290" s="14" t="n">
        <v>5.25</v>
      </c>
      <c r="E2290" s="14" t="n">
        <v>3.663</v>
      </c>
      <c r="F2290" s="14" t="n">
        <v>3.75</v>
      </c>
      <c r="G2290" s="14" t="n">
        <v>5.25</v>
      </c>
      <c r="H2290" s="14" t="n">
        <v>5.2</v>
      </c>
      <c r="I2290" s="14" t="n">
        <v>5.17480968926332</v>
      </c>
      <c r="J2290" s="14" t="n">
        <v>5.08229735663997</v>
      </c>
      <c r="K2290" s="14" t="n">
        <v>4.97283733381923</v>
      </c>
      <c r="L2290" s="14" t="n">
        <v>4.76055386203659</v>
      </c>
      <c r="M2290" s="14" t="n">
        <v>1.892</v>
      </c>
      <c r="N2290" s="14" t="n">
        <v>1.91</v>
      </c>
      <c r="O2290" s="14" t="n">
        <v>1.962</v>
      </c>
      <c r="P2290" s="14" t="n">
        <v>2.029</v>
      </c>
      <c r="Q2290" s="14" t="n">
        <v>4.5</v>
      </c>
      <c r="R2290" s="14" t="n">
        <v>4.5</v>
      </c>
      <c r="S2290" s="14" t="n">
        <v>10.5</v>
      </c>
    </row>
    <row r="2291" customFormat="false" ht="15" hidden="false" customHeight="false" outlineLevel="0" collapsed="false">
      <c r="A2291" s="13" t="n">
        <v>45478</v>
      </c>
      <c r="B2291" s="14" t="n">
        <v>5.32</v>
      </c>
      <c r="C2291" s="14" t="n">
        <v>5.5</v>
      </c>
      <c r="D2291" s="14" t="n">
        <v>5.25</v>
      </c>
      <c r="E2291" s="14" t="n">
        <v>3.663</v>
      </c>
      <c r="F2291" s="14" t="n">
        <v>3.75</v>
      </c>
      <c r="G2291" s="14" t="n">
        <v>5.25</v>
      </c>
      <c r="H2291" s="14" t="n">
        <v>5.2</v>
      </c>
      <c r="I2291" s="14" t="n">
        <v>5.17117869572852</v>
      </c>
      <c r="J2291" s="14" t="n">
        <v>5.07175637663107</v>
      </c>
      <c r="K2291" s="14" t="n">
        <v>4.95499987893086</v>
      </c>
      <c r="L2291" s="14" t="n">
        <v>4.72870882672682</v>
      </c>
      <c r="M2291" s="14" t="n">
        <v>1.888</v>
      </c>
      <c r="N2291" s="14" t="n">
        <v>1.908</v>
      </c>
      <c r="O2291" s="14" t="n">
        <v>1.958</v>
      </c>
      <c r="P2291" s="14" t="n">
        <v>2.015</v>
      </c>
      <c r="Q2291" s="14" t="n">
        <v>4.5</v>
      </c>
      <c r="R2291" s="14" t="n">
        <v>4.5</v>
      </c>
      <c r="S2291" s="14" t="n">
        <v>10.5</v>
      </c>
    </row>
    <row r="2292" customFormat="false" ht="15" hidden="false" customHeight="false" outlineLevel="0" collapsed="false">
      <c r="A2292" s="13" t="n">
        <v>45481</v>
      </c>
      <c r="B2292" s="14" t="n">
        <v>5.32</v>
      </c>
      <c r="C2292" s="14" t="n">
        <v>5.5</v>
      </c>
      <c r="D2292" s="14" t="n">
        <v>5.25</v>
      </c>
      <c r="E2292" s="14" t="n">
        <v>3.662</v>
      </c>
      <c r="F2292" s="14" t="n">
        <v>3.75</v>
      </c>
      <c r="G2292" s="14" t="n">
        <v>5.25</v>
      </c>
      <c r="H2292" s="14" t="n">
        <v>5.2</v>
      </c>
      <c r="I2292" s="14" t="n">
        <v>5.16414420565958</v>
      </c>
      <c r="J2292" s="14" t="n">
        <v>5.06927478494599</v>
      </c>
      <c r="K2292" s="14" t="n">
        <v>4.95501117305751</v>
      </c>
      <c r="L2292" s="14" t="n">
        <v>4.7271251274719</v>
      </c>
      <c r="M2292" s="14" t="n">
        <v>1.887</v>
      </c>
      <c r="N2292" s="14" t="n">
        <v>1.907</v>
      </c>
      <c r="O2292" s="14" t="n">
        <v>1.959</v>
      </c>
      <c r="P2292" s="14" t="n">
        <v>2.02</v>
      </c>
      <c r="Q2292" s="14" t="n">
        <v>4.5</v>
      </c>
      <c r="R2292" s="14" t="n">
        <v>4.5</v>
      </c>
      <c r="S2292" s="14" t="n">
        <v>10.5</v>
      </c>
    </row>
    <row r="2293" customFormat="false" ht="15" hidden="false" customHeight="false" outlineLevel="0" collapsed="false">
      <c r="A2293" s="13" t="n">
        <v>45482</v>
      </c>
      <c r="B2293" s="14" t="n">
        <v>5.34</v>
      </c>
      <c r="C2293" s="14" t="n">
        <v>5.5</v>
      </c>
      <c r="D2293" s="14" t="n">
        <v>5.25</v>
      </c>
      <c r="E2293" s="14" t="n">
        <v>3.662</v>
      </c>
      <c r="F2293" s="14" t="n">
        <v>3.75</v>
      </c>
      <c r="G2293" s="14" t="n">
        <v>5.25</v>
      </c>
      <c r="H2293" s="14" t="n">
        <v>5.2</v>
      </c>
      <c r="I2293" s="14" t="n">
        <v>5.16177552989492</v>
      </c>
      <c r="J2293" s="14" t="n">
        <v>5.0674861224489</v>
      </c>
      <c r="K2293" s="14" t="n">
        <v>4.95398544618665</v>
      </c>
      <c r="L2293" s="14" t="n">
        <v>4.73089336789136</v>
      </c>
      <c r="M2293" s="14" t="n">
        <v>1.886</v>
      </c>
      <c r="N2293" s="14" t="n">
        <v>1.907</v>
      </c>
      <c r="O2293" s="14" t="n">
        <v>1.959</v>
      </c>
      <c r="P2293" s="14" t="n">
        <v>2.019</v>
      </c>
      <c r="Q2293" s="14" t="n">
        <v>4.5</v>
      </c>
      <c r="R2293" s="14" t="n">
        <v>4.5</v>
      </c>
      <c r="S2293" s="14" t="n">
        <v>10.5</v>
      </c>
    </row>
    <row r="2294" customFormat="false" ht="15" hidden="false" customHeight="false" outlineLevel="0" collapsed="false">
      <c r="A2294" s="13" t="n">
        <v>45483</v>
      </c>
      <c r="B2294" s="14" t="n">
        <v>5.34</v>
      </c>
      <c r="C2294" s="14" t="n">
        <v>5.5</v>
      </c>
      <c r="D2294" s="14" t="n">
        <v>5.25</v>
      </c>
      <c r="E2294" s="14" t="n">
        <v>3.663</v>
      </c>
      <c r="F2294" s="14" t="n">
        <v>3.75</v>
      </c>
      <c r="G2294" s="14" t="n">
        <v>5.25</v>
      </c>
      <c r="H2294" s="14" t="n">
        <v>5.2</v>
      </c>
      <c r="I2294" s="14" t="n">
        <v>5.1637036584228</v>
      </c>
      <c r="J2294" s="14" t="n">
        <v>5.07632457941353</v>
      </c>
      <c r="K2294" s="14" t="n">
        <v>4.96027096231262</v>
      </c>
      <c r="L2294" s="14" t="n">
        <v>4.73163537710802</v>
      </c>
      <c r="M2294" s="14" t="n">
        <v>1.883</v>
      </c>
      <c r="N2294" s="14" t="n">
        <v>1.906</v>
      </c>
      <c r="O2294" s="14" t="n">
        <v>1.959</v>
      </c>
      <c r="P2294" s="14" t="n">
        <v>2.018</v>
      </c>
      <c r="Q2294" s="14" t="n">
        <v>4.5</v>
      </c>
      <c r="R2294" s="14" t="n">
        <v>4.5</v>
      </c>
      <c r="S2294" s="14" t="n">
        <v>10.5</v>
      </c>
    </row>
    <row r="2295" customFormat="false" ht="15" hidden="false" customHeight="false" outlineLevel="0" collapsed="false">
      <c r="A2295" s="13" t="n">
        <v>45484</v>
      </c>
      <c r="B2295" s="14" t="n">
        <v>5.34</v>
      </c>
      <c r="C2295" s="14" t="n">
        <v>5.5</v>
      </c>
      <c r="D2295" s="14" t="n">
        <v>5.25</v>
      </c>
      <c r="E2295" s="14" t="n">
        <v>3.662</v>
      </c>
      <c r="F2295" s="14" t="n">
        <v>3.75</v>
      </c>
      <c r="G2295" s="14" t="n">
        <v>5.25</v>
      </c>
      <c r="H2295" s="14" t="n">
        <v>5.2</v>
      </c>
      <c r="I2295" s="14" t="n">
        <v>5.1581166732568</v>
      </c>
      <c r="J2295" s="14" t="n">
        <v>5.06746933571679</v>
      </c>
      <c r="K2295" s="14" t="n">
        <v>4.94602273432108</v>
      </c>
      <c r="L2295" s="14" t="n">
        <v>4.6929480869568</v>
      </c>
      <c r="M2295" s="14" t="n">
        <v>1.879</v>
      </c>
      <c r="N2295" s="14" t="n">
        <v>1.904</v>
      </c>
      <c r="O2295" s="14" t="n">
        <v>1.958</v>
      </c>
      <c r="P2295" s="14" t="n">
        <v>2.014</v>
      </c>
      <c r="Q2295" s="14" t="n">
        <v>4.5</v>
      </c>
      <c r="R2295" s="14" t="n">
        <v>4.5</v>
      </c>
      <c r="S2295" s="14" t="n">
        <v>10.5</v>
      </c>
    </row>
    <row r="2296" customFormat="false" ht="15" hidden="false" customHeight="false" outlineLevel="0" collapsed="false">
      <c r="A2296" s="13" t="n">
        <v>45485</v>
      </c>
      <c r="B2296" s="14" t="n">
        <v>5.34</v>
      </c>
      <c r="C2296" s="14" t="n">
        <v>5.5</v>
      </c>
      <c r="D2296" s="14" t="n">
        <v>5.25</v>
      </c>
      <c r="E2296" s="14" t="n">
        <v>3.661</v>
      </c>
      <c r="F2296" s="14" t="n">
        <v>3.75</v>
      </c>
      <c r="G2296" s="14" t="n">
        <v>5.25</v>
      </c>
      <c r="H2296" s="14" t="n">
        <v>5.2</v>
      </c>
      <c r="I2296" s="14" t="n">
        <v>5.16093210266005</v>
      </c>
      <c r="J2296" s="14" t="n">
        <v>5.0766441598588</v>
      </c>
      <c r="K2296" s="14" t="n">
        <v>4.95562048810336</v>
      </c>
      <c r="L2296" s="14" t="n">
        <v>4.70673732208026</v>
      </c>
      <c r="M2296" s="14" t="n">
        <v>1.878</v>
      </c>
      <c r="N2296" s="14" t="n">
        <v>1.899</v>
      </c>
      <c r="O2296" s="14" t="n">
        <v>1.955</v>
      </c>
      <c r="P2296" s="14" t="n">
        <v>2.009</v>
      </c>
      <c r="Q2296" s="14" t="n">
        <v>4.5</v>
      </c>
      <c r="R2296" s="14" t="n">
        <v>4.5</v>
      </c>
      <c r="S2296" s="14" t="n">
        <v>10.5</v>
      </c>
    </row>
    <row r="2297" customFormat="false" ht="15" hidden="false" customHeight="false" outlineLevel="0" collapsed="false">
      <c r="A2297" s="13" t="n">
        <v>45488</v>
      </c>
      <c r="B2297" s="14" t="n">
        <v>5.34</v>
      </c>
      <c r="C2297" s="14" t="n">
        <v>5.5</v>
      </c>
      <c r="D2297" s="14" t="n">
        <v>5.25</v>
      </c>
      <c r="E2297" s="14" t="n">
        <v>3.661</v>
      </c>
      <c r="F2297" s="14" t="n">
        <v>3.75</v>
      </c>
      <c r="G2297" s="14" t="n">
        <v>5.25</v>
      </c>
      <c r="H2297" s="14" t="n">
        <v>5.2</v>
      </c>
      <c r="I2297" s="14" t="n">
        <v>5.15081676405154</v>
      </c>
      <c r="J2297" s="14" t="n">
        <v>5.07337967072051</v>
      </c>
      <c r="K2297" s="14" t="n">
        <v>4.95104342404502</v>
      </c>
      <c r="L2297" s="14" t="n">
        <v>4.69719270592222</v>
      </c>
      <c r="M2297" s="14" t="n">
        <v>1.879</v>
      </c>
      <c r="N2297" s="14" t="n">
        <v>1.897</v>
      </c>
      <c r="O2297" s="14" t="n">
        <v>1.957</v>
      </c>
      <c r="P2297" s="14" t="n">
        <v>2.007</v>
      </c>
      <c r="Q2297" s="14" t="n">
        <v>4.5</v>
      </c>
      <c r="R2297" s="14" t="n">
        <v>4.5</v>
      </c>
      <c r="S2297" s="14" t="n">
        <v>10.5</v>
      </c>
    </row>
    <row r="2298" customFormat="false" ht="15" hidden="false" customHeight="false" outlineLevel="0" collapsed="false">
      <c r="A2298" s="13" t="n">
        <v>45489</v>
      </c>
      <c r="B2298" s="14" t="n">
        <v>5.35</v>
      </c>
      <c r="C2298" s="14" t="n">
        <v>5.5</v>
      </c>
      <c r="D2298" s="14" t="n">
        <v>5.25</v>
      </c>
      <c r="E2298" s="14" t="n">
        <v>3.662</v>
      </c>
      <c r="F2298" s="14" t="n">
        <v>3.75</v>
      </c>
      <c r="G2298" s="14" t="n">
        <v>5.25</v>
      </c>
      <c r="H2298" s="14" t="n">
        <v>5.2</v>
      </c>
      <c r="I2298" s="14" t="n">
        <v>5.14856812544409</v>
      </c>
      <c r="J2298" s="14" t="n">
        <v>5.07303435759334</v>
      </c>
      <c r="K2298" s="14" t="n">
        <v>4.94909515065257</v>
      </c>
      <c r="L2298" s="14" t="n">
        <v>4.68427952324405</v>
      </c>
      <c r="M2298" s="14" t="n">
        <v>1.878</v>
      </c>
      <c r="N2298" s="14" t="n">
        <v>1.897</v>
      </c>
      <c r="O2298" s="14" t="n">
        <v>1.957</v>
      </c>
      <c r="P2298" s="14" t="n">
        <v>2.007</v>
      </c>
      <c r="Q2298" s="14" t="n">
        <v>4.5</v>
      </c>
      <c r="R2298" s="14" t="n">
        <v>4.5</v>
      </c>
      <c r="S2298" s="14" t="n">
        <v>10.5</v>
      </c>
    </row>
    <row r="2299" customFormat="false" ht="15" hidden="false" customHeight="false" outlineLevel="0" collapsed="false">
      <c r="A2299" s="13" t="n">
        <v>45490</v>
      </c>
      <c r="B2299" s="14" t="n">
        <v>5.35</v>
      </c>
      <c r="C2299" s="14" t="n">
        <v>5.5</v>
      </c>
      <c r="D2299" s="14" t="n">
        <v>5.25</v>
      </c>
      <c r="E2299" s="14" t="n">
        <v>3.662</v>
      </c>
      <c r="F2299" s="14" t="n">
        <v>3.75</v>
      </c>
      <c r="G2299" s="14" t="n">
        <v>5.25</v>
      </c>
      <c r="H2299" s="14" t="n">
        <v>5.2</v>
      </c>
      <c r="I2299" s="14" t="n">
        <v>5.15882706029562</v>
      </c>
      <c r="J2299" s="14" t="n">
        <v>5.09224412673302</v>
      </c>
      <c r="K2299" s="14" t="n">
        <v>4.9715667934021</v>
      </c>
      <c r="L2299" s="14" t="n">
        <v>4.71183119497293</v>
      </c>
      <c r="M2299" s="14" t="n">
        <v>1.878</v>
      </c>
      <c r="N2299" s="14" t="n">
        <v>1.896</v>
      </c>
      <c r="O2299" s="14" t="n">
        <v>1.956</v>
      </c>
      <c r="P2299" s="14" t="n">
        <v>2.005</v>
      </c>
      <c r="Q2299" s="14" t="n">
        <v>4.5</v>
      </c>
      <c r="R2299" s="14" t="n">
        <v>4.5</v>
      </c>
      <c r="S2299" s="14" t="n">
        <v>10.5</v>
      </c>
    </row>
    <row r="2300" customFormat="false" ht="15" hidden="false" customHeight="false" outlineLevel="0" collapsed="false">
      <c r="A2300" s="13" t="n">
        <v>45491</v>
      </c>
      <c r="B2300" s="14" t="n">
        <v>5.34</v>
      </c>
      <c r="C2300" s="14" t="n">
        <v>5.5</v>
      </c>
      <c r="D2300" s="14" t="n">
        <v>5.25</v>
      </c>
      <c r="E2300" s="14" t="n">
        <v>3.663</v>
      </c>
      <c r="F2300" s="14" t="n">
        <v>3.75</v>
      </c>
      <c r="G2300" s="14" t="n">
        <v>5.25</v>
      </c>
      <c r="H2300" s="14" t="n">
        <v>5.2</v>
      </c>
      <c r="I2300" s="14" t="n">
        <v>5.14452431419768</v>
      </c>
      <c r="J2300" s="14" t="n">
        <v>5.07322571453645</v>
      </c>
      <c r="K2300" s="14" t="n">
        <v>4.95180583971982</v>
      </c>
      <c r="L2300" s="14" t="n">
        <v>4.68485914376651</v>
      </c>
      <c r="M2300" s="14" t="n">
        <v>1.879</v>
      </c>
      <c r="N2300" s="14" t="n">
        <v>1.897</v>
      </c>
      <c r="O2300" s="14" t="n">
        <v>1.954</v>
      </c>
      <c r="P2300" s="14" t="n">
        <v>2.002</v>
      </c>
      <c r="Q2300" s="14" t="n">
        <v>4.5</v>
      </c>
      <c r="R2300" s="14" t="n">
        <v>4.5</v>
      </c>
      <c r="S2300" s="14" t="n">
        <v>10.5</v>
      </c>
    </row>
    <row r="2301" customFormat="false" ht="15" hidden="false" customHeight="false" outlineLevel="0" collapsed="false">
      <c r="A2301" s="13" t="n">
        <v>45492</v>
      </c>
      <c r="B2301" s="14" t="n">
        <v>5.34</v>
      </c>
      <c r="C2301" s="14" t="n">
        <v>5.5</v>
      </c>
      <c r="D2301" s="14" t="n">
        <v>5.25</v>
      </c>
      <c r="E2301" s="14" t="n">
        <v>3.663</v>
      </c>
      <c r="F2301" s="14" t="n">
        <v>3.75</v>
      </c>
      <c r="G2301" s="14" t="n">
        <v>5.25</v>
      </c>
      <c r="H2301" s="14" t="n">
        <v>5.2</v>
      </c>
      <c r="I2301" s="14" t="n">
        <v>5.13709827077721</v>
      </c>
      <c r="J2301" s="14" t="n">
        <v>5.06946750145302</v>
      </c>
      <c r="K2301" s="14" t="n">
        <v>4.95375907969491</v>
      </c>
      <c r="L2301" s="14" t="n">
        <v>4.70197955086709</v>
      </c>
      <c r="M2301" s="14" t="n">
        <v>1.877</v>
      </c>
      <c r="N2301" s="14" t="n">
        <v>1.895</v>
      </c>
      <c r="O2301" s="14" t="n">
        <v>1.948</v>
      </c>
      <c r="P2301" s="14" t="n">
        <v>2</v>
      </c>
      <c r="Q2301" s="14" t="n">
        <v>4.5</v>
      </c>
      <c r="R2301" s="14" t="n">
        <v>4.5</v>
      </c>
      <c r="S2301" s="14" t="n">
        <v>10.5</v>
      </c>
    </row>
    <row r="2302" customFormat="false" ht="15" hidden="false" customHeight="false" outlineLevel="0" collapsed="false">
      <c r="A2302" s="13" t="n">
        <v>45495</v>
      </c>
      <c r="B2302" s="14" t="n">
        <v>5.33</v>
      </c>
      <c r="C2302" s="14" t="n">
        <v>5.5</v>
      </c>
      <c r="D2302" s="14" t="n">
        <v>5.25</v>
      </c>
      <c r="E2302" s="14" t="n">
        <v>3.664</v>
      </c>
      <c r="F2302" s="14" t="n">
        <v>3.75</v>
      </c>
      <c r="G2302" s="14" t="n">
        <v>5.25</v>
      </c>
      <c r="H2302" s="14" t="n">
        <v>5.2</v>
      </c>
      <c r="I2302" s="14" t="n">
        <v>5.13599935193911</v>
      </c>
      <c r="J2302" s="14" t="n">
        <v>5.07802515068305</v>
      </c>
      <c r="K2302" s="14" t="n">
        <v>4.97062773723132</v>
      </c>
      <c r="L2302" s="14" t="n">
        <v>4.73798180139959</v>
      </c>
      <c r="M2302" s="14" t="n">
        <v>1.873</v>
      </c>
      <c r="N2302" s="14" t="n">
        <v>1.894</v>
      </c>
      <c r="O2302" s="14" t="n">
        <v>1.944</v>
      </c>
      <c r="P2302" s="14" t="n">
        <v>1.997</v>
      </c>
      <c r="Q2302" s="14" t="n">
        <v>4.5</v>
      </c>
      <c r="R2302" s="14" t="n">
        <v>4.5</v>
      </c>
      <c r="S2302" s="14" t="n">
        <v>10.5</v>
      </c>
    </row>
    <row r="2303" customFormat="false" ht="15" hidden="false" customHeight="false" outlineLevel="0" collapsed="false">
      <c r="A2303" s="13" t="n">
        <v>45496</v>
      </c>
      <c r="B2303" s="14" t="n">
        <v>5.34</v>
      </c>
      <c r="C2303" s="14" t="n">
        <v>5.5</v>
      </c>
      <c r="D2303" s="14" t="n">
        <v>5.25</v>
      </c>
      <c r="E2303" s="14" t="n">
        <v>3.665</v>
      </c>
      <c r="F2303" s="14" t="n">
        <v>3.75</v>
      </c>
      <c r="G2303" s="14" t="n">
        <v>5.25</v>
      </c>
      <c r="H2303" s="14" t="n">
        <v>5.2</v>
      </c>
      <c r="I2303" s="14" t="n">
        <v>5.1308960672467</v>
      </c>
      <c r="J2303" s="14" t="n">
        <v>5.06753172890485</v>
      </c>
      <c r="K2303" s="14" t="n">
        <v>4.9506281977306</v>
      </c>
      <c r="L2303" s="14" t="n">
        <v>4.70896023570176</v>
      </c>
      <c r="M2303" s="14" t="n">
        <v>1.867</v>
      </c>
      <c r="N2303" s="14" t="n">
        <v>1.888</v>
      </c>
      <c r="O2303" s="14" t="n">
        <v>1.94</v>
      </c>
      <c r="P2303" s="14" t="n">
        <v>1.997</v>
      </c>
      <c r="Q2303" s="14" t="n">
        <v>4.5</v>
      </c>
      <c r="R2303" s="14" t="n">
        <v>4.5</v>
      </c>
      <c r="S2303" s="14" t="n">
        <v>10.5</v>
      </c>
    </row>
    <row r="2304" customFormat="false" ht="15" hidden="false" customHeight="false" outlineLevel="0" collapsed="false">
      <c r="A2304" s="13" t="n">
        <v>45497</v>
      </c>
      <c r="B2304" s="14" t="n">
        <v>5.34</v>
      </c>
      <c r="C2304" s="14" t="n">
        <v>5.5</v>
      </c>
      <c r="D2304" s="14" t="n">
        <v>5.25</v>
      </c>
      <c r="E2304" s="14" t="n">
        <v>3.665</v>
      </c>
      <c r="F2304" s="14" t="n">
        <v>3.75</v>
      </c>
      <c r="G2304" s="14" t="n">
        <v>5.25</v>
      </c>
      <c r="H2304" s="14" t="n">
        <v>5.2</v>
      </c>
      <c r="I2304" s="14" t="n">
        <v>5.1195087603598</v>
      </c>
      <c r="J2304" s="14" t="n">
        <v>5.05493002024205</v>
      </c>
      <c r="K2304" s="14" t="n">
        <v>4.93397714432138</v>
      </c>
      <c r="L2304" s="14" t="n">
        <v>4.68446686765234</v>
      </c>
      <c r="M2304" s="14" t="n">
        <v>1.862</v>
      </c>
      <c r="N2304" s="14" t="n">
        <v>1.887</v>
      </c>
      <c r="O2304" s="14" t="n">
        <v>1.937</v>
      </c>
      <c r="P2304" s="14" t="n">
        <v>1.993</v>
      </c>
      <c r="Q2304" s="14" t="n">
        <v>4.5</v>
      </c>
      <c r="R2304" s="14" t="n">
        <v>4.5</v>
      </c>
      <c r="S2304" s="14" t="n">
        <v>10.5</v>
      </c>
    </row>
    <row r="2305" customFormat="false" ht="15" hidden="false" customHeight="false" outlineLevel="0" collapsed="false">
      <c r="A2305" s="13" t="n">
        <v>45498</v>
      </c>
      <c r="B2305" s="14" t="n">
        <v>5.35</v>
      </c>
      <c r="C2305" s="14" t="n">
        <v>5.5</v>
      </c>
      <c r="D2305" s="14" t="n">
        <v>5.25</v>
      </c>
      <c r="E2305" s="14" t="n">
        <v>3.665</v>
      </c>
      <c r="F2305" s="14" t="n">
        <v>3.75</v>
      </c>
      <c r="G2305" s="14" t="n">
        <v>5.25</v>
      </c>
      <c r="H2305" s="14" t="n">
        <v>5.2</v>
      </c>
      <c r="I2305" s="14" t="n">
        <v>5.10440605040949</v>
      </c>
      <c r="J2305" s="14" t="n">
        <v>5.03802689707745</v>
      </c>
      <c r="K2305" s="14" t="n">
        <v>4.91509935942976</v>
      </c>
      <c r="L2305" s="14" t="n">
        <v>4.65708644455636</v>
      </c>
      <c r="M2305" s="14" t="n">
        <v>1.855</v>
      </c>
      <c r="N2305" s="14" t="n">
        <v>1.882</v>
      </c>
      <c r="O2305" s="14" t="n">
        <v>1.932</v>
      </c>
      <c r="P2305" s="14" t="n">
        <v>1.985</v>
      </c>
      <c r="Q2305" s="14" t="n">
        <v>4.5</v>
      </c>
      <c r="R2305" s="14" t="n">
        <v>4.5</v>
      </c>
      <c r="S2305" s="14" t="n">
        <v>10.5</v>
      </c>
    </row>
    <row r="2306" customFormat="false" ht="15" hidden="false" customHeight="false" outlineLevel="0" collapsed="false">
      <c r="A2306" s="13" t="n">
        <v>45499</v>
      </c>
      <c r="B2306" s="14" t="n">
        <v>5.35</v>
      </c>
      <c r="C2306" s="14" t="n">
        <v>5.5</v>
      </c>
      <c r="D2306" s="14" t="n">
        <v>5.25</v>
      </c>
      <c r="E2306" s="14" t="n">
        <v>3.663</v>
      </c>
      <c r="F2306" s="14" t="n">
        <v>3.75</v>
      </c>
      <c r="G2306" s="14" t="n">
        <v>5.25</v>
      </c>
      <c r="H2306" s="14" t="n">
        <v>5.2</v>
      </c>
      <c r="I2306" s="14" t="n">
        <v>5.08962268991272</v>
      </c>
      <c r="J2306" s="14" t="n">
        <v>5.02389684233227</v>
      </c>
      <c r="K2306" s="14" t="n">
        <v>4.89928167295859</v>
      </c>
      <c r="L2306" s="14" t="n">
        <v>4.63779773464828</v>
      </c>
      <c r="M2306" s="14" t="n">
        <v>1.848</v>
      </c>
      <c r="N2306" s="14" t="n">
        <v>1.877</v>
      </c>
      <c r="O2306" s="14" t="n">
        <v>1.927</v>
      </c>
      <c r="P2306" s="14" t="n">
        <v>1.979</v>
      </c>
      <c r="Q2306" s="14" t="n">
        <v>4.5</v>
      </c>
      <c r="R2306" s="14" t="n">
        <v>4.5</v>
      </c>
      <c r="S2306" s="14" t="n">
        <v>10.5</v>
      </c>
    </row>
    <row r="2307" customFormat="false" ht="15" hidden="false" customHeight="false" outlineLevel="0" collapsed="false">
      <c r="A2307" s="13" t="n">
        <v>45502</v>
      </c>
      <c r="B2307" s="14" t="n">
        <v>5.33</v>
      </c>
      <c r="C2307" s="14" t="n">
        <v>5.5</v>
      </c>
      <c r="D2307" s="14" t="n">
        <v>5.25</v>
      </c>
      <c r="E2307" s="14" t="n">
        <v>3.663</v>
      </c>
      <c r="F2307" s="14" t="n">
        <v>3.75</v>
      </c>
      <c r="G2307" s="14" t="n">
        <v>5.25</v>
      </c>
      <c r="H2307" s="14" t="n">
        <v>5.2</v>
      </c>
      <c r="I2307" s="14" t="n">
        <v>5.07783551520309</v>
      </c>
      <c r="J2307" s="14" t="n">
        <v>5.01606450518999</v>
      </c>
      <c r="K2307" s="14" t="n">
        <v>4.88945609083755</v>
      </c>
      <c r="L2307" s="14" t="n">
        <v>4.62917916322156</v>
      </c>
      <c r="M2307" s="14" t="n">
        <v>1.843</v>
      </c>
      <c r="N2307" s="14" t="n">
        <v>1.869</v>
      </c>
      <c r="O2307" s="14" t="n">
        <v>1.92</v>
      </c>
      <c r="P2307" s="14" t="n">
        <v>1.9729</v>
      </c>
      <c r="Q2307" s="14" t="n">
        <v>4.5</v>
      </c>
      <c r="R2307" s="14" t="n">
        <v>4.5</v>
      </c>
      <c r="S2307" s="14" t="n">
        <v>10.5</v>
      </c>
    </row>
    <row r="2308" customFormat="false" ht="15" hidden="false" customHeight="false" outlineLevel="0" collapsed="false">
      <c r="A2308" s="13" t="n">
        <v>45503</v>
      </c>
      <c r="B2308" s="14" t="n">
        <v>5.33</v>
      </c>
      <c r="C2308" s="14" t="n">
        <v>5.5</v>
      </c>
      <c r="D2308" s="14" t="n">
        <v>5.25</v>
      </c>
      <c r="E2308" s="14" t="n">
        <v>3.665</v>
      </c>
      <c r="F2308" s="14" t="n">
        <v>3.75</v>
      </c>
      <c r="G2308" s="14" t="n">
        <v>5.25</v>
      </c>
      <c r="H2308" s="14" t="n">
        <v>5.2</v>
      </c>
      <c r="I2308" s="14" t="n">
        <v>5.0689359918656</v>
      </c>
      <c r="J2308" s="14" t="n">
        <v>5.01064735155588</v>
      </c>
      <c r="K2308" s="14" t="n">
        <v>4.88393929527957</v>
      </c>
      <c r="L2308" s="14" t="n">
        <v>4.61098437851281</v>
      </c>
      <c r="M2308" s="14" t="n">
        <v>1.839</v>
      </c>
      <c r="N2308" s="14" t="n">
        <v>1.865</v>
      </c>
      <c r="O2308" s="14" t="n">
        <v>1.916</v>
      </c>
      <c r="P2308" s="14" t="n">
        <v>1.966</v>
      </c>
      <c r="Q2308" s="14" t="n">
        <v>4.5</v>
      </c>
      <c r="R2308" s="14" t="n">
        <v>4.5</v>
      </c>
      <c r="S2308" s="14" t="n">
        <v>10.5</v>
      </c>
    </row>
    <row r="2309" customFormat="false" ht="15" hidden="false" customHeight="false" outlineLevel="0" collapsed="false">
      <c r="A2309" s="13" t="n">
        <v>45504</v>
      </c>
      <c r="B2309" s="14" t="n">
        <v>5.38</v>
      </c>
      <c r="C2309" s="14" t="n">
        <v>5.5</v>
      </c>
      <c r="D2309" s="14" t="n">
        <v>5.25</v>
      </c>
      <c r="E2309" s="14" t="n">
        <v>3.653</v>
      </c>
      <c r="F2309" s="14" t="n">
        <v>3.75</v>
      </c>
      <c r="G2309" s="14" t="n">
        <v>5.25</v>
      </c>
      <c r="H2309" s="14" t="n">
        <v>5.2</v>
      </c>
      <c r="I2309" s="14" t="n">
        <v>5.05350611137823</v>
      </c>
      <c r="J2309" s="14" t="n">
        <v>5.00004279167332</v>
      </c>
      <c r="K2309" s="14" t="n">
        <v>4.86818964754227</v>
      </c>
      <c r="L2309" s="14" t="n">
        <v>4.58962111949275</v>
      </c>
      <c r="M2309" s="14" t="n">
        <v>1.835</v>
      </c>
      <c r="N2309" s="14" t="n">
        <v>1.86</v>
      </c>
      <c r="O2309" s="14" t="n">
        <v>1.913</v>
      </c>
      <c r="P2309" s="14" t="n">
        <v>1.96</v>
      </c>
      <c r="Q2309" s="14" t="n">
        <v>4.5</v>
      </c>
      <c r="R2309" s="14" t="n">
        <v>4.5</v>
      </c>
      <c r="S2309" s="14" t="n">
        <v>10.5</v>
      </c>
    </row>
    <row r="2310" customFormat="false" ht="15" hidden="false" customHeight="false" outlineLevel="0" collapsed="false">
      <c r="A2310" s="13" t="n">
        <v>45505</v>
      </c>
      <c r="B2310" s="14" t="n">
        <v>5.35</v>
      </c>
      <c r="C2310" s="14" t="n">
        <v>5.5</v>
      </c>
      <c r="D2310" s="14" t="n">
        <v>5.25</v>
      </c>
      <c r="E2310" s="14" t="n">
        <v>3.664</v>
      </c>
      <c r="F2310" s="14" t="n">
        <v>3.75</v>
      </c>
      <c r="G2310" s="14" t="n">
        <v>5</v>
      </c>
      <c r="H2310" s="14" t="n">
        <v>4.95</v>
      </c>
      <c r="I2310" s="14" t="n">
        <v>4.95477692740993</v>
      </c>
      <c r="J2310" s="14" t="n">
        <v>4.91281374216657</v>
      </c>
      <c r="K2310" s="14" t="n">
        <v>4.78279081621537</v>
      </c>
      <c r="L2310" s="14" t="n">
        <v>4.47592319837692</v>
      </c>
      <c r="M2310" s="14" t="n">
        <v>1.828</v>
      </c>
      <c r="N2310" s="14" t="n">
        <v>1.857</v>
      </c>
      <c r="O2310" s="14" t="n">
        <v>1.906</v>
      </c>
      <c r="P2310" s="14" t="n">
        <v>1.956</v>
      </c>
      <c r="Q2310" s="14" t="n">
        <v>4.5</v>
      </c>
      <c r="R2310" s="14" t="n">
        <v>4.5</v>
      </c>
      <c r="S2310" s="14" t="n">
        <v>10.5</v>
      </c>
    </row>
    <row r="2311" customFormat="false" ht="15" hidden="false" customHeight="false" outlineLevel="0" collapsed="false">
      <c r="A2311" s="13" t="n">
        <v>45506</v>
      </c>
      <c r="B2311" s="14" t="n">
        <v>5.35</v>
      </c>
      <c r="C2311" s="14" t="n">
        <v>5.5</v>
      </c>
      <c r="D2311" s="14" t="n">
        <v>5.25</v>
      </c>
      <c r="E2311" s="14" t="n">
        <v>3.664</v>
      </c>
      <c r="F2311" s="14" t="n">
        <v>3.75</v>
      </c>
      <c r="G2311" s="14" t="n">
        <v>5</v>
      </c>
      <c r="H2311" s="14" t="n">
        <v>4.95</v>
      </c>
      <c r="I2311" s="14" t="n">
        <v>4.95056333631224</v>
      </c>
      <c r="J2311" s="14" t="n">
        <v>4.87909099339815</v>
      </c>
      <c r="K2311" s="14" t="n">
        <v>4.71612872339802</v>
      </c>
      <c r="L2311" s="14" t="n">
        <v>4.38369277727594</v>
      </c>
      <c r="M2311" s="14" t="n">
        <v>1.825</v>
      </c>
      <c r="N2311" s="14" t="n">
        <v>1.853</v>
      </c>
      <c r="O2311" s="14" t="n">
        <v>1.902</v>
      </c>
      <c r="P2311" s="14" t="n">
        <v>1.946</v>
      </c>
      <c r="Q2311" s="14" t="n">
        <v>4.5</v>
      </c>
      <c r="R2311" s="14" t="n">
        <v>4.5</v>
      </c>
      <c r="S2311" s="14" t="n">
        <v>10.5</v>
      </c>
    </row>
    <row r="2312" customFormat="false" ht="15" hidden="false" customHeight="false" outlineLevel="0" collapsed="false">
      <c r="A2312" s="13" t="n">
        <v>45509</v>
      </c>
      <c r="B2312" s="14" t="n">
        <v>5.32</v>
      </c>
      <c r="C2312" s="14" t="n">
        <v>5.5</v>
      </c>
      <c r="D2312" s="14" t="n">
        <v>5.25</v>
      </c>
      <c r="E2312" s="14" t="n">
        <v>3.664</v>
      </c>
      <c r="F2312" s="14" t="n">
        <v>3.75</v>
      </c>
      <c r="G2312" s="14" t="n">
        <v>5</v>
      </c>
      <c r="H2312" s="14" t="n">
        <v>4.95</v>
      </c>
      <c r="I2312" s="14" t="n">
        <v>4.9452514728937</v>
      </c>
      <c r="J2312" s="14" t="n">
        <v>4.87969226609247</v>
      </c>
      <c r="K2312" s="14" t="n">
        <v>4.72365811339411</v>
      </c>
      <c r="L2312" s="14" t="n">
        <v>4.41149963000747</v>
      </c>
      <c r="M2312" s="14" t="n">
        <v>1.818</v>
      </c>
      <c r="N2312" s="14" t="n">
        <v>1.849</v>
      </c>
      <c r="O2312" s="14" t="n">
        <v>1.899</v>
      </c>
      <c r="P2312" s="14" t="n">
        <v>1.937</v>
      </c>
      <c r="Q2312" s="14" t="n">
        <v>4.5</v>
      </c>
      <c r="R2312" s="14" t="n">
        <v>4.5</v>
      </c>
      <c r="S2312" s="14" t="n">
        <v>10.5</v>
      </c>
    </row>
    <row r="2313" customFormat="false" ht="15" hidden="false" customHeight="false" outlineLevel="0" collapsed="false">
      <c r="A2313" s="13" t="n">
        <v>45510</v>
      </c>
      <c r="B2313" s="14" t="n">
        <v>5.33</v>
      </c>
      <c r="C2313" s="14" t="n">
        <v>5.5</v>
      </c>
      <c r="D2313" s="14" t="n">
        <v>5.25</v>
      </c>
      <c r="E2313" s="14" t="n">
        <v>3.663</v>
      </c>
      <c r="F2313" s="14" t="n">
        <v>3.75</v>
      </c>
      <c r="G2313" s="14" t="n">
        <v>5</v>
      </c>
      <c r="H2313" s="14" t="n">
        <v>4.95</v>
      </c>
      <c r="I2313" s="14" t="n">
        <v>4.94713348840438</v>
      </c>
      <c r="J2313" s="14" t="n">
        <v>4.87863392878591</v>
      </c>
      <c r="K2313" s="14" t="n">
        <v>4.72509644588243</v>
      </c>
      <c r="L2313" s="14" t="n">
        <v>4.41694492968076</v>
      </c>
      <c r="M2313" s="14" t="n">
        <v>1.813</v>
      </c>
      <c r="N2313" s="14" t="n">
        <v>1.844</v>
      </c>
      <c r="O2313" s="14" t="n">
        <v>1.894</v>
      </c>
      <c r="P2313" s="14" t="n">
        <v>1.928</v>
      </c>
      <c r="Q2313" s="14" t="n">
        <v>4.5</v>
      </c>
      <c r="R2313" s="14" t="n">
        <v>4.5</v>
      </c>
      <c r="S2313" s="14" t="n">
        <v>10.5</v>
      </c>
    </row>
    <row r="2314" customFormat="false" ht="15" hidden="false" customHeight="false" outlineLevel="0" collapsed="false">
      <c r="A2314" s="13" t="n">
        <v>45511</v>
      </c>
      <c r="B2314" s="14" t="n">
        <v>5.33</v>
      </c>
      <c r="C2314" s="14" t="n">
        <v>5.5</v>
      </c>
      <c r="D2314" s="14" t="n">
        <v>5.25</v>
      </c>
      <c r="E2314" s="14" t="n">
        <v>3.663</v>
      </c>
      <c r="F2314" s="14" t="n">
        <v>3.75</v>
      </c>
      <c r="G2314" s="14" t="n">
        <v>5</v>
      </c>
      <c r="H2314" s="14" t="n">
        <v>4.95</v>
      </c>
      <c r="I2314" s="14" t="n">
        <v>4.94667170789491</v>
      </c>
      <c r="J2314" s="14" t="n">
        <v>4.87632368672824</v>
      </c>
      <c r="K2314" s="14" t="n">
        <v>4.71737465540126</v>
      </c>
      <c r="L2314" s="14" t="n">
        <v>4.40371670571454</v>
      </c>
      <c r="M2314" s="14" t="n">
        <v>1.807</v>
      </c>
      <c r="N2314" s="14" t="n">
        <v>1.839</v>
      </c>
      <c r="O2314" s="14" t="n">
        <v>1.888</v>
      </c>
      <c r="P2314" s="14" t="n">
        <v>1.923</v>
      </c>
      <c r="Q2314" s="14" t="n">
        <v>4.5</v>
      </c>
      <c r="R2314" s="14" t="n">
        <v>4.5</v>
      </c>
      <c r="S2314" s="14" t="n">
        <v>10.5</v>
      </c>
    </row>
    <row r="2315" customFormat="false" ht="15" hidden="false" customHeight="false" outlineLevel="0" collapsed="false">
      <c r="A2315" s="13" t="n">
        <v>45512</v>
      </c>
      <c r="B2315" s="14" t="n">
        <v>5.34</v>
      </c>
      <c r="C2315" s="14" t="n">
        <v>5.5</v>
      </c>
      <c r="D2315" s="14" t="n">
        <v>5.25</v>
      </c>
      <c r="E2315" s="14" t="n">
        <v>3.665</v>
      </c>
      <c r="F2315" s="14" t="n">
        <v>3.75</v>
      </c>
      <c r="G2315" s="14" t="n">
        <v>5</v>
      </c>
      <c r="H2315" s="14" t="n">
        <v>4.95</v>
      </c>
      <c r="I2315" s="14" t="n">
        <v>4.94745145869182</v>
      </c>
      <c r="J2315" s="14" t="n">
        <v>4.88142847105776</v>
      </c>
      <c r="K2315" s="14" t="n">
        <v>4.7295511893058</v>
      </c>
      <c r="L2315" s="14" t="n">
        <v>4.42619756784271</v>
      </c>
      <c r="M2315" s="14" t="n">
        <v>1.805</v>
      </c>
      <c r="N2315" s="14" t="n">
        <v>1.835</v>
      </c>
      <c r="O2315" s="14" t="n">
        <v>1.885</v>
      </c>
      <c r="P2315" s="14" t="n">
        <v>1.917</v>
      </c>
      <c r="Q2315" s="14" t="n">
        <v>4.5</v>
      </c>
      <c r="R2315" s="14" t="n">
        <v>4.5</v>
      </c>
      <c r="S2315" s="14" t="n">
        <v>10.5</v>
      </c>
    </row>
    <row r="2316" customFormat="false" ht="15" hidden="false" customHeight="false" outlineLevel="0" collapsed="false">
      <c r="A2316" s="13" t="n">
        <v>45513</v>
      </c>
      <c r="B2316" s="14" t="n">
        <v>5.34</v>
      </c>
      <c r="C2316" s="14" t="n">
        <v>5.5</v>
      </c>
      <c r="D2316" s="14" t="n">
        <v>5.25</v>
      </c>
      <c r="E2316" s="14" t="n">
        <v>3.663</v>
      </c>
      <c r="F2316" s="14" t="n">
        <v>3.75</v>
      </c>
      <c r="G2316" s="14" t="n">
        <v>5</v>
      </c>
      <c r="H2316" s="14" t="n">
        <v>4.95</v>
      </c>
      <c r="I2316" s="14" t="n">
        <v>4.9470216557129</v>
      </c>
      <c r="J2316" s="14" t="n">
        <v>4.87406308365545</v>
      </c>
      <c r="K2316" s="14" t="n">
        <v>4.71723994416997</v>
      </c>
      <c r="L2316" s="14" t="n">
        <v>4.41045983317252</v>
      </c>
      <c r="M2316" s="14" t="n">
        <v>1.803</v>
      </c>
      <c r="N2316" s="14" t="n">
        <v>1.8335</v>
      </c>
      <c r="O2316" s="14" t="n">
        <v>1.8835</v>
      </c>
      <c r="P2316" s="14" t="n">
        <v>1.916</v>
      </c>
      <c r="Q2316" s="14" t="n">
        <v>4.5</v>
      </c>
      <c r="R2316" s="14" t="n">
        <v>4.5</v>
      </c>
      <c r="S2316" s="14" t="n">
        <v>10.5</v>
      </c>
    </row>
    <row r="2317" customFormat="false" ht="15" hidden="false" customHeight="false" outlineLevel="0" collapsed="false">
      <c r="A2317" s="13" t="n">
        <v>45516</v>
      </c>
      <c r="B2317" s="14" t="n">
        <v>5.34</v>
      </c>
      <c r="C2317" s="14" t="n">
        <v>5.5</v>
      </c>
      <c r="D2317" s="14" t="n">
        <v>5.25</v>
      </c>
      <c r="E2317" s="14" t="n">
        <v>3.664</v>
      </c>
      <c r="F2317" s="14" t="n">
        <v>3.75</v>
      </c>
      <c r="G2317" s="14" t="n">
        <v>5</v>
      </c>
      <c r="H2317" s="14" t="n">
        <v>4.95</v>
      </c>
      <c r="I2317" s="14" t="n">
        <v>4.94658246651993</v>
      </c>
      <c r="J2317" s="14" t="n">
        <v>4.87235231628321</v>
      </c>
      <c r="K2317" s="14" t="n">
        <v>4.71651403216241</v>
      </c>
      <c r="L2317" s="14" t="n">
        <v>4.41162774530056</v>
      </c>
      <c r="M2317" s="14" t="n">
        <v>1.806</v>
      </c>
      <c r="N2317" s="14" t="n">
        <v>1.833</v>
      </c>
      <c r="O2317" s="14" t="n">
        <v>1.884</v>
      </c>
      <c r="P2317" s="14" t="n">
        <v>1.922</v>
      </c>
      <c r="Q2317" s="14" t="n">
        <v>4.5</v>
      </c>
      <c r="R2317" s="14" t="n">
        <v>4.5</v>
      </c>
      <c r="S2317" s="14" t="n">
        <v>10.5</v>
      </c>
    </row>
    <row r="2318" customFormat="false" ht="15" hidden="false" customHeight="false" outlineLevel="0" collapsed="false">
      <c r="A2318" s="13" t="n">
        <v>45517</v>
      </c>
      <c r="B2318" s="14" t="n">
        <v>5.34</v>
      </c>
      <c r="C2318" s="14" t="n">
        <v>5.5</v>
      </c>
      <c r="D2318" s="14" t="n">
        <v>5.25</v>
      </c>
      <c r="E2318" s="14" t="n">
        <v>3.664</v>
      </c>
      <c r="F2318" s="14" t="n">
        <v>3.75</v>
      </c>
      <c r="G2318" s="14" t="n">
        <v>5</v>
      </c>
      <c r="H2318" s="14" t="n">
        <v>4.95</v>
      </c>
      <c r="I2318" s="14" t="n">
        <v>4.94708192154289</v>
      </c>
      <c r="J2318" s="14" t="n">
        <v>4.87255777657022</v>
      </c>
      <c r="K2318" s="14" t="n">
        <v>4.70952994223061</v>
      </c>
      <c r="L2318" s="14" t="n">
        <v>4.38739459011051</v>
      </c>
      <c r="M2318" s="14" t="n">
        <v>1.813</v>
      </c>
      <c r="N2318" s="14" t="n">
        <v>1.837</v>
      </c>
      <c r="O2318" s="14" t="n">
        <v>1.885</v>
      </c>
      <c r="P2318" s="14" t="n">
        <v>1.923</v>
      </c>
      <c r="Q2318" s="14" t="n">
        <v>4.5</v>
      </c>
      <c r="R2318" s="14" t="n">
        <v>4.5</v>
      </c>
      <c r="S2318" s="14" t="n">
        <v>10.5</v>
      </c>
    </row>
    <row r="2319" customFormat="false" ht="15" hidden="false" customHeight="false" outlineLevel="0" collapsed="false">
      <c r="A2319" s="13" t="n">
        <v>45518</v>
      </c>
      <c r="B2319" s="14" t="n">
        <v>5.33</v>
      </c>
      <c r="C2319" s="14" t="n">
        <v>5.5</v>
      </c>
      <c r="D2319" s="14" t="n">
        <v>5.25</v>
      </c>
      <c r="E2319" s="14" t="n">
        <v>3.662</v>
      </c>
      <c r="F2319" s="14" t="n">
        <v>3.75</v>
      </c>
      <c r="G2319" s="14" t="n">
        <v>5</v>
      </c>
      <c r="H2319" s="14" t="n">
        <v>4.95</v>
      </c>
      <c r="I2319" s="14" t="n">
        <v>4.94899495093581</v>
      </c>
      <c r="J2319" s="14" t="n">
        <v>4.86846105699661</v>
      </c>
      <c r="K2319" s="14" t="n">
        <v>4.69728780909667</v>
      </c>
      <c r="L2319" s="14" t="n">
        <v>4.36736768958646</v>
      </c>
      <c r="M2319" s="14" t="n">
        <v>1.812</v>
      </c>
      <c r="N2319" s="14" t="n">
        <v>1.838</v>
      </c>
      <c r="O2319" s="14" t="n">
        <v>1.884</v>
      </c>
      <c r="P2319" s="14" t="n">
        <v>1.923</v>
      </c>
      <c r="Q2319" s="14" t="n">
        <v>4.5</v>
      </c>
      <c r="R2319" s="14" t="n">
        <v>4.5</v>
      </c>
      <c r="S2319" s="14" t="n">
        <v>10.5</v>
      </c>
    </row>
    <row r="2320" customFormat="false" ht="15" hidden="false" customHeight="false" outlineLevel="0" collapsed="false">
      <c r="A2320" s="13" t="n">
        <v>45519</v>
      </c>
      <c r="B2320" s="14" t="n">
        <v>5.35</v>
      </c>
      <c r="C2320" s="14" t="n">
        <v>5.5</v>
      </c>
      <c r="D2320" s="14" t="n">
        <v>5.25</v>
      </c>
      <c r="E2320" s="14" t="n">
        <v>3.662</v>
      </c>
      <c r="F2320" s="14" t="n">
        <v>3.75</v>
      </c>
      <c r="G2320" s="14" t="n">
        <v>5</v>
      </c>
      <c r="H2320" s="14" t="n">
        <v>4.95</v>
      </c>
      <c r="I2320" s="14" t="n">
        <v>4.94907076220955</v>
      </c>
      <c r="J2320" s="14" t="n">
        <v>4.87746732475394</v>
      </c>
      <c r="K2320" s="14" t="n">
        <v>4.7251668495259</v>
      </c>
      <c r="L2320" s="14" t="n">
        <v>4.42118637351215</v>
      </c>
      <c r="M2320" s="14" t="n">
        <v>1.811</v>
      </c>
      <c r="N2320" s="14" t="n">
        <v>1.84</v>
      </c>
      <c r="O2320" s="14" t="n">
        <v>1.882</v>
      </c>
      <c r="P2320" s="14" t="n">
        <v>1.922</v>
      </c>
      <c r="Q2320" s="14" t="n">
        <v>4.5</v>
      </c>
      <c r="R2320" s="14" t="n">
        <v>4.5</v>
      </c>
      <c r="S2320" s="14" t="n">
        <v>10.5</v>
      </c>
    </row>
    <row r="2321" customFormat="false" ht="15" hidden="false" customHeight="false" outlineLevel="0" collapsed="false">
      <c r="A2321" s="13" t="n">
        <v>45520</v>
      </c>
      <c r="B2321" s="14" t="n">
        <v>5.32</v>
      </c>
      <c r="C2321" s="14" t="n">
        <v>5.5</v>
      </c>
      <c r="D2321" s="14" t="n">
        <v>5.25</v>
      </c>
      <c r="E2321" s="14" t="n">
        <v>3.664</v>
      </c>
      <c r="F2321" s="14" t="n">
        <v>3.75</v>
      </c>
      <c r="G2321" s="14" t="n">
        <v>5</v>
      </c>
      <c r="H2321" s="14" t="n">
        <v>4.95</v>
      </c>
      <c r="I2321" s="14" t="n">
        <v>4.94795765171988</v>
      </c>
      <c r="J2321" s="14" t="n">
        <v>4.87172022970649</v>
      </c>
      <c r="K2321" s="14" t="n">
        <v>4.71833344774597</v>
      </c>
      <c r="L2321" s="14" t="n">
        <v>4.42283825976565</v>
      </c>
      <c r="M2321" s="14" t="n">
        <v>1.809</v>
      </c>
      <c r="N2321" s="14" t="n">
        <v>1.838</v>
      </c>
      <c r="O2321" s="14" t="n">
        <v>1.883</v>
      </c>
      <c r="P2321" s="14" t="n">
        <v>1.922</v>
      </c>
      <c r="Q2321" s="14" t="n">
        <v>4.5</v>
      </c>
      <c r="R2321" s="14" t="n">
        <v>4.5</v>
      </c>
      <c r="S2321" s="14" t="n">
        <v>10.5</v>
      </c>
    </row>
    <row r="2322" customFormat="false" ht="15" hidden="false" customHeight="false" outlineLevel="0" collapsed="false">
      <c r="A2322" s="13" t="n">
        <v>45523</v>
      </c>
      <c r="B2322" s="14" t="n">
        <v>5.32</v>
      </c>
      <c r="C2322" s="14" t="n">
        <v>5.5</v>
      </c>
      <c r="D2322" s="14" t="n">
        <v>5.25</v>
      </c>
      <c r="E2322" s="14" t="n">
        <v>3.664</v>
      </c>
      <c r="F2322" s="14" t="n">
        <v>3.75</v>
      </c>
      <c r="G2322" s="14" t="n">
        <v>5</v>
      </c>
      <c r="H2322" s="14" t="n">
        <v>4.95</v>
      </c>
      <c r="I2322" s="14" t="n">
        <v>4.94757766123681</v>
      </c>
      <c r="J2322" s="14" t="n">
        <v>4.86984405692679</v>
      </c>
      <c r="K2322" s="14" t="n">
        <v>4.71826492721159</v>
      </c>
      <c r="L2322" s="14" t="n">
        <v>4.42436050808903</v>
      </c>
      <c r="M2322" s="14" t="n">
        <v>1.81</v>
      </c>
      <c r="N2322" s="14" t="n">
        <v>1.837</v>
      </c>
      <c r="O2322" s="14" t="n">
        <v>1.881</v>
      </c>
      <c r="P2322" s="14" t="n">
        <v>1.922</v>
      </c>
      <c r="Q2322" s="14" t="n">
        <v>4.5</v>
      </c>
      <c r="R2322" s="14" t="n">
        <v>4.5</v>
      </c>
      <c r="S2322" s="14" t="n">
        <v>10.5</v>
      </c>
    </row>
    <row r="2323" customFormat="false" ht="15" hidden="false" customHeight="false" outlineLevel="0" collapsed="false">
      <c r="A2323" s="13" t="n">
        <v>45524</v>
      </c>
      <c r="B2323" s="14" t="n">
        <v>5.32</v>
      </c>
      <c r="C2323" s="14" t="n">
        <v>5.5</v>
      </c>
      <c r="D2323" s="14" t="n">
        <v>5.25</v>
      </c>
      <c r="E2323" s="14" t="n">
        <v>3.664</v>
      </c>
      <c r="F2323" s="14" t="n">
        <v>3.75</v>
      </c>
      <c r="G2323" s="14" t="n">
        <v>5</v>
      </c>
      <c r="H2323" s="14" t="n">
        <v>4.95</v>
      </c>
      <c r="I2323" s="14" t="n">
        <v>4.94688225230429</v>
      </c>
      <c r="J2323" s="14" t="n">
        <v>4.86861047820298</v>
      </c>
      <c r="K2323" s="14" t="n">
        <v>4.71342756173182</v>
      </c>
      <c r="L2323" s="14" t="n">
        <v>4.41386084329869</v>
      </c>
      <c r="M2323" s="14" t="n">
        <v>1.812</v>
      </c>
      <c r="N2323" s="14" t="n">
        <v>1.838</v>
      </c>
      <c r="O2323" s="14" t="n">
        <v>1.88</v>
      </c>
      <c r="P2323" s="14" t="n">
        <v>1.926</v>
      </c>
      <c r="Q2323" s="14" t="n">
        <v>4.5</v>
      </c>
      <c r="R2323" s="14" t="n">
        <v>4.5</v>
      </c>
      <c r="S2323" s="14" t="n">
        <v>10.5</v>
      </c>
    </row>
    <row r="2324" customFormat="false" ht="15" hidden="false" customHeight="false" outlineLevel="0" collapsed="false">
      <c r="A2324" s="13" t="n">
        <v>45525</v>
      </c>
      <c r="B2324" s="14" t="n">
        <v>5.31</v>
      </c>
      <c r="C2324" s="14" t="n">
        <v>5.5</v>
      </c>
      <c r="D2324" s="14" t="n">
        <v>5.25</v>
      </c>
      <c r="E2324" s="14" t="n">
        <v>3.663</v>
      </c>
      <c r="F2324" s="14" t="n">
        <v>3.75</v>
      </c>
      <c r="G2324" s="14" t="n">
        <v>5</v>
      </c>
      <c r="H2324" s="14" t="n">
        <v>4.95</v>
      </c>
      <c r="I2324" s="14" t="n">
        <v>4.94510945270251</v>
      </c>
      <c r="J2324" s="14" t="n">
        <v>4.86395044125881</v>
      </c>
      <c r="K2324" s="14" t="n">
        <v>4.6993968307745</v>
      </c>
      <c r="L2324" s="14" t="n">
        <v>4.38459715253789</v>
      </c>
      <c r="M2324" s="14" t="n">
        <v>1.812</v>
      </c>
      <c r="N2324" s="14" t="n">
        <v>1.84</v>
      </c>
      <c r="O2324" s="14" t="n">
        <v>1.882</v>
      </c>
      <c r="P2324" s="14" t="n">
        <v>1.932</v>
      </c>
      <c r="Q2324" s="14" t="n">
        <v>4.5</v>
      </c>
      <c r="R2324" s="14" t="n">
        <v>4.5</v>
      </c>
      <c r="S2324" s="14" t="n">
        <v>10.5</v>
      </c>
    </row>
    <row r="2325" customFormat="false" ht="15" hidden="false" customHeight="false" outlineLevel="0" collapsed="false">
      <c r="A2325" s="13" t="n">
        <v>45526</v>
      </c>
      <c r="B2325" s="14" t="n">
        <v>5.31</v>
      </c>
      <c r="C2325" s="14" t="n">
        <v>5.5</v>
      </c>
      <c r="D2325" s="14" t="n">
        <v>5.25</v>
      </c>
      <c r="E2325" s="14" t="n">
        <v>3.664</v>
      </c>
      <c r="F2325" s="14" t="n">
        <v>3.75</v>
      </c>
      <c r="G2325" s="14" t="n">
        <v>5</v>
      </c>
      <c r="H2325" s="14" t="n">
        <v>4.95</v>
      </c>
      <c r="I2325" s="14" t="n">
        <v>4.94695237958692</v>
      </c>
      <c r="J2325" s="14" t="n">
        <v>4.87010305512026</v>
      </c>
      <c r="K2325" s="14" t="n">
        <v>4.71290505986839</v>
      </c>
      <c r="L2325" s="14" t="n">
        <v>4.40997293007526</v>
      </c>
      <c r="M2325" s="14" t="n">
        <v>1.815</v>
      </c>
      <c r="N2325" s="14" t="n">
        <v>1.843</v>
      </c>
      <c r="O2325" s="14" t="n">
        <v>1.886</v>
      </c>
      <c r="P2325" s="14" t="n">
        <v>1.936</v>
      </c>
      <c r="Q2325" s="14" t="n">
        <v>4.5</v>
      </c>
      <c r="R2325" s="14" t="n">
        <v>4.5</v>
      </c>
      <c r="S2325" s="14" t="n">
        <v>10.5</v>
      </c>
    </row>
    <row r="2326" customFormat="false" ht="15" hidden="false" customHeight="false" outlineLevel="0" collapsed="false">
      <c r="A2326" s="13" t="n">
        <v>45527</v>
      </c>
      <c r="B2326" s="14" t="n">
        <v>5.33</v>
      </c>
      <c r="C2326" s="14" t="n">
        <v>5.5</v>
      </c>
      <c r="D2326" s="14" t="n">
        <v>5.25</v>
      </c>
      <c r="E2326" s="14" t="n">
        <v>3.664</v>
      </c>
      <c r="F2326" s="14" t="n">
        <v>3.75</v>
      </c>
      <c r="G2326" s="14" t="n">
        <v>5</v>
      </c>
      <c r="H2326" s="14" t="n">
        <v>4.95</v>
      </c>
      <c r="I2326" s="14" t="n">
        <v>4.94452519978983</v>
      </c>
      <c r="J2326" s="14" t="n">
        <v>4.86190402014182</v>
      </c>
      <c r="K2326" s="14" t="n">
        <v>4.69548792495438</v>
      </c>
      <c r="L2326" s="14" t="n">
        <v>4.38045765249631</v>
      </c>
      <c r="M2326" s="14" t="n">
        <v>1.819</v>
      </c>
      <c r="N2326" s="14" t="n">
        <v>1.844</v>
      </c>
      <c r="O2326" s="14" t="n">
        <v>1.892</v>
      </c>
      <c r="P2326" s="14" t="n">
        <v>1.942</v>
      </c>
      <c r="Q2326" s="14" t="n">
        <v>4.5</v>
      </c>
      <c r="R2326" s="14" t="n">
        <v>4.5</v>
      </c>
      <c r="S2326" s="14" t="n">
        <v>10.5</v>
      </c>
    </row>
    <row r="2327" customFormat="false" ht="15" hidden="false" customHeight="false" outlineLevel="0" collapsed="false">
      <c r="A2327" s="13" t="n">
        <v>45530</v>
      </c>
      <c r="B2327" s="14" t="n">
        <v>5.34</v>
      </c>
      <c r="C2327" s="14" t="n">
        <v>5.5</v>
      </c>
      <c r="D2327" s="14" t="n">
        <v>5.25</v>
      </c>
      <c r="E2327" s="14" t="n">
        <v>3.665</v>
      </c>
      <c r="F2327" s="14" t="n">
        <v>3.75</v>
      </c>
      <c r="M2327" s="14" t="n">
        <v>1.823</v>
      </c>
      <c r="N2327" s="14" t="n">
        <v>1.845</v>
      </c>
      <c r="O2327" s="14" t="n">
        <v>1.894</v>
      </c>
      <c r="P2327" s="14" t="n">
        <v>1.945</v>
      </c>
      <c r="Q2327" s="14" t="n">
        <v>4.5</v>
      </c>
      <c r="R2327" s="14" t="n">
        <v>4.5</v>
      </c>
      <c r="S2327" s="14" t="n">
        <v>10.5</v>
      </c>
    </row>
    <row r="2328" customFormat="false" ht="15" hidden="false" customHeight="false" outlineLevel="0" collapsed="false">
      <c r="A2328" s="13" t="n">
        <v>45531</v>
      </c>
      <c r="B2328" s="14" t="n">
        <v>5.35</v>
      </c>
      <c r="C2328" s="14" t="n">
        <v>5.5</v>
      </c>
      <c r="D2328" s="14" t="n">
        <v>5.25</v>
      </c>
      <c r="E2328" s="14" t="n">
        <v>3.665</v>
      </c>
      <c r="F2328" s="14" t="n">
        <v>3.75</v>
      </c>
      <c r="G2328" s="14" t="n">
        <v>5</v>
      </c>
      <c r="H2328" s="14" t="n">
        <v>4.95</v>
      </c>
      <c r="I2328" s="14" t="n">
        <v>4.94190977910876</v>
      </c>
      <c r="J2328" s="14" t="n">
        <v>4.85857671805433</v>
      </c>
      <c r="K2328" s="14" t="n">
        <v>4.69415216377696</v>
      </c>
      <c r="L2328" s="14" t="n">
        <v>4.38910276627454</v>
      </c>
      <c r="M2328" s="14" t="n">
        <v>1.824</v>
      </c>
      <c r="N2328" s="14" t="n">
        <v>1.849</v>
      </c>
      <c r="O2328" s="14" t="n">
        <v>1.896</v>
      </c>
      <c r="P2328" s="14" t="n">
        <v>1.95</v>
      </c>
      <c r="Q2328" s="14" t="n">
        <v>4.5</v>
      </c>
      <c r="R2328" s="14" t="n">
        <v>4.5</v>
      </c>
      <c r="S2328" s="14" t="n">
        <v>10.5</v>
      </c>
    </row>
    <row r="2329" customFormat="false" ht="15" hidden="false" customHeight="false" outlineLevel="0" collapsed="false">
      <c r="A2329" s="13" t="n">
        <v>45532</v>
      </c>
      <c r="B2329" s="14" t="n">
        <v>5.35</v>
      </c>
      <c r="C2329" s="14" t="n">
        <v>5.5</v>
      </c>
      <c r="D2329" s="14" t="n">
        <v>5.25</v>
      </c>
      <c r="E2329" s="14" t="n">
        <v>3.666</v>
      </c>
      <c r="F2329" s="14" t="n">
        <v>3.75</v>
      </c>
      <c r="G2329" s="14" t="n">
        <v>5</v>
      </c>
      <c r="H2329" s="14" t="n">
        <v>4.95</v>
      </c>
      <c r="I2329" s="14" t="n">
        <v>4.94202491507404</v>
      </c>
      <c r="J2329" s="14" t="n">
        <v>4.85922376606421</v>
      </c>
      <c r="K2329" s="14" t="n">
        <v>4.69510874603711</v>
      </c>
      <c r="L2329" s="14" t="n">
        <v>4.39300827393712</v>
      </c>
      <c r="M2329" s="14" t="n">
        <v>1.824</v>
      </c>
      <c r="N2329" s="14" t="n">
        <v>1.85</v>
      </c>
      <c r="O2329" s="14" t="n">
        <v>1.9</v>
      </c>
      <c r="P2329" s="14" t="n">
        <v>1.956</v>
      </c>
      <c r="Q2329" s="14" t="n">
        <v>4.5</v>
      </c>
      <c r="R2329" s="14" t="n">
        <v>4.5</v>
      </c>
      <c r="S2329" s="14" t="n">
        <v>10.5</v>
      </c>
    </row>
    <row r="2330" customFormat="false" ht="15" hidden="false" customHeight="false" outlineLevel="0" collapsed="false">
      <c r="A2330" s="13" t="n">
        <v>45533</v>
      </c>
      <c r="B2330" s="14" t="n">
        <v>5.33</v>
      </c>
      <c r="C2330" s="14" t="n">
        <v>5.5</v>
      </c>
      <c r="D2330" s="14" t="n">
        <v>5.25</v>
      </c>
      <c r="E2330" s="14" t="n">
        <v>3.664</v>
      </c>
      <c r="F2330" s="14" t="n">
        <v>3.75</v>
      </c>
      <c r="G2330" s="14" t="n">
        <v>5</v>
      </c>
      <c r="H2330" s="14" t="n">
        <v>4.95</v>
      </c>
      <c r="I2330" s="14" t="n">
        <v>4.94136176517191</v>
      </c>
      <c r="J2330" s="14" t="n">
        <v>4.85587957105051</v>
      </c>
      <c r="K2330" s="14" t="n">
        <v>4.69079257805195</v>
      </c>
      <c r="L2330" s="14" t="n">
        <v>4.3810445078896</v>
      </c>
      <c r="M2330" s="14" t="n">
        <v>1.822</v>
      </c>
      <c r="N2330" s="14" t="n">
        <v>1.85</v>
      </c>
      <c r="O2330" s="14" t="n">
        <v>1.9</v>
      </c>
      <c r="P2330" s="14" t="n">
        <v>1.958</v>
      </c>
      <c r="Q2330" s="14" t="n">
        <v>4.5</v>
      </c>
      <c r="R2330" s="14" t="n">
        <v>4.5</v>
      </c>
      <c r="S2330" s="14" t="n">
        <v>10.5</v>
      </c>
    </row>
    <row r="2331" customFormat="false" ht="15" hidden="false" customHeight="false" outlineLevel="0" collapsed="false">
      <c r="A2331" s="13" t="n">
        <v>45534</v>
      </c>
      <c r="B2331" s="14" t="n">
        <v>5.32</v>
      </c>
      <c r="C2331" s="14" t="n">
        <v>5.5</v>
      </c>
      <c r="D2331" s="14" t="n">
        <v>5.25</v>
      </c>
      <c r="E2331" s="14" t="n">
        <v>3.654</v>
      </c>
      <c r="F2331" s="14" t="n">
        <v>3.75</v>
      </c>
      <c r="G2331" s="14" t="n">
        <v>5</v>
      </c>
      <c r="H2331" s="14" t="n">
        <v>4.95</v>
      </c>
      <c r="I2331" s="14" t="n">
        <v>4.94022840736314</v>
      </c>
      <c r="J2331" s="14" t="n">
        <v>4.85650051623424</v>
      </c>
      <c r="K2331" s="14" t="n">
        <v>4.68949846779429</v>
      </c>
      <c r="L2331" s="14" t="n">
        <v>4.38398559301374</v>
      </c>
      <c r="M2331" s="14" t="n">
        <v>1.822</v>
      </c>
      <c r="N2331" s="14" t="n">
        <v>1.85</v>
      </c>
      <c r="O2331" s="14" t="n">
        <v>1.9</v>
      </c>
      <c r="P2331" s="14" t="n">
        <v>1.961</v>
      </c>
      <c r="Q2331" s="14" t="n">
        <v>4.5</v>
      </c>
      <c r="R2331" s="14" t="n">
        <v>4.5</v>
      </c>
      <c r="S2331" s="14" t="n">
        <v>10.5</v>
      </c>
    </row>
    <row r="2332" customFormat="false" ht="15" hidden="false" customHeight="false" outlineLevel="0" collapsed="false">
      <c r="A2332" s="13" t="n">
        <v>45537</v>
      </c>
      <c r="C2332" s="14" t="n">
        <v>5.5</v>
      </c>
      <c r="D2332" s="14" t="n">
        <v>5.25</v>
      </c>
      <c r="E2332" s="14" t="n">
        <v>3.664</v>
      </c>
      <c r="F2332" s="14" t="n">
        <v>3.75</v>
      </c>
      <c r="G2332" s="14" t="n">
        <v>5</v>
      </c>
      <c r="H2332" s="14" t="n">
        <v>4.95</v>
      </c>
      <c r="I2332" s="14" t="n">
        <v>4.9347473294193</v>
      </c>
      <c r="J2332" s="14" t="n">
        <v>4.84787039373816</v>
      </c>
      <c r="K2332" s="14" t="n">
        <v>4.67921626993983</v>
      </c>
      <c r="L2332" s="14" t="n">
        <v>4.3761802583702</v>
      </c>
      <c r="M2332" s="14" t="n">
        <v>1.821</v>
      </c>
      <c r="N2332" s="14" t="n">
        <v>1.85</v>
      </c>
      <c r="O2332" s="14" t="n">
        <v>1.9</v>
      </c>
      <c r="P2332" s="14" t="n">
        <v>1.959</v>
      </c>
      <c r="Q2332" s="14" t="n">
        <v>4.5</v>
      </c>
      <c r="R2332" s="14" t="n">
        <v>4.5</v>
      </c>
      <c r="S2332" s="14" t="n">
        <v>10.5</v>
      </c>
    </row>
    <row r="2333" customFormat="false" ht="15" hidden="false" customHeight="false" outlineLevel="0" collapsed="false">
      <c r="A2333" s="13" t="n">
        <v>45538</v>
      </c>
      <c r="B2333" s="14" t="n">
        <v>5.34</v>
      </c>
      <c r="C2333" s="14" t="n">
        <v>5.5</v>
      </c>
      <c r="D2333" s="14" t="n">
        <v>5.25</v>
      </c>
      <c r="E2333" s="14" t="n">
        <v>3.663</v>
      </c>
      <c r="F2333" s="14" t="n">
        <v>3.75</v>
      </c>
      <c r="G2333" s="14" t="n">
        <v>5</v>
      </c>
      <c r="H2333" s="14" t="n">
        <v>4.95</v>
      </c>
      <c r="I2333" s="14" t="n">
        <v>4.93209649472864</v>
      </c>
      <c r="J2333" s="14" t="n">
        <v>4.84255209213577</v>
      </c>
      <c r="K2333" s="14" t="n">
        <v>4.66920648674617</v>
      </c>
      <c r="L2333" s="14" t="n">
        <v>4.35847484691953</v>
      </c>
      <c r="M2333" s="14" t="n">
        <v>1.822</v>
      </c>
      <c r="N2333" s="14" t="n">
        <v>1.85</v>
      </c>
      <c r="O2333" s="14" t="n">
        <v>1.902</v>
      </c>
      <c r="P2333" s="14" t="n">
        <v>1.96</v>
      </c>
      <c r="Q2333" s="14" t="n">
        <v>4.5</v>
      </c>
      <c r="R2333" s="14" t="n">
        <v>4.5</v>
      </c>
      <c r="S2333" s="14" t="n">
        <v>10.5</v>
      </c>
    </row>
    <row r="2334" customFormat="false" ht="15" hidden="false" customHeight="false" outlineLevel="0" collapsed="false">
      <c r="A2334" s="13" t="n">
        <v>45539</v>
      </c>
      <c r="B2334" s="14" t="n">
        <v>5.35</v>
      </c>
      <c r="C2334" s="14" t="n">
        <v>5.5</v>
      </c>
      <c r="D2334" s="14" t="n">
        <v>5.25</v>
      </c>
      <c r="E2334" s="14" t="n">
        <v>3.663</v>
      </c>
      <c r="F2334" s="14" t="n">
        <v>3.75</v>
      </c>
      <c r="G2334" s="14" t="n">
        <v>5</v>
      </c>
      <c r="H2334" s="14" t="n">
        <v>4.95</v>
      </c>
      <c r="I2334" s="14" t="n">
        <v>4.9240135585884</v>
      </c>
      <c r="J2334" s="14" t="n">
        <v>4.82742838048269</v>
      </c>
      <c r="K2334" s="14" t="n">
        <v>4.64335074550207</v>
      </c>
      <c r="L2334" s="14" t="n">
        <v>4.31425352810147</v>
      </c>
      <c r="M2334" s="14" t="n">
        <v>1.823</v>
      </c>
      <c r="N2334" s="14" t="n">
        <v>1.85</v>
      </c>
      <c r="O2334" s="14" t="n">
        <v>1.902</v>
      </c>
      <c r="P2334" s="14" t="n">
        <v>1.96</v>
      </c>
      <c r="Q2334" s="14" t="n">
        <v>4.5</v>
      </c>
      <c r="R2334" s="14" t="n">
        <v>4.5</v>
      </c>
      <c r="S2334" s="14" t="n">
        <v>10.5</v>
      </c>
    </row>
    <row r="2335" customFormat="false" ht="15" hidden="false" customHeight="false" outlineLevel="0" collapsed="false">
      <c r="A2335" s="13" t="n">
        <v>45540</v>
      </c>
      <c r="B2335" s="14" t="n">
        <v>5.35</v>
      </c>
      <c r="C2335" s="14" t="n">
        <v>5.5</v>
      </c>
      <c r="D2335" s="14" t="n">
        <v>5.25</v>
      </c>
      <c r="E2335" s="14" t="n">
        <v>3.662</v>
      </c>
      <c r="F2335" s="14" t="n">
        <v>3.75</v>
      </c>
      <c r="G2335" s="14" t="n">
        <v>5</v>
      </c>
      <c r="H2335" s="14" t="n">
        <v>4.95</v>
      </c>
      <c r="I2335" s="14" t="n">
        <v>4.92374559054199</v>
      </c>
      <c r="J2335" s="14" t="n">
        <v>4.82695281490098</v>
      </c>
      <c r="K2335" s="14" t="n">
        <v>4.63757039690077</v>
      </c>
      <c r="L2335" s="14" t="n">
        <v>4.29444937367155</v>
      </c>
      <c r="M2335" s="14" t="n">
        <v>1.825</v>
      </c>
      <c r="N2335" s="14" t="n">
        <v>1.85</v>
      </c>
      <c r="O2335" s="14" t="n">
        <v>1.901</v>
      </c>
      <c r="P2335" s="14" t="n">
        <v>1.96</v>
      </c>
      <c r="Q2335" s="14" t="n">
        <v>4.5</v>
      </c>
      <c r="R2335" s="14" t="n">
        <v>4.5</v>
      </c>
      <c r="S2335" s="14" t="n">
        <v>10.5</v>
      </c>
    </row>
    <row r="2336" customFormat="false" ht="15" hidden="false" customHeight="false" outlineLevel="0" collapsed="false">
      <c r="A2336" s="13" t="n">
        <v>45541</v>
      </c>
      <c r="B2336" s="14" t="n">
        <v>5.34</v>
      </c>
      <c r="C2336" s="14" t="n">
        <v>5.5</v>
      </c>
      <c r="D2336" s="14" t="n">
        <v>5.25</v>
      </c>
      <c r="E2336" s="14" t="n">
        <v>3.663</v>
      </c>
      <c r="F2336" s="14" t="n">
        <v>3.75</v>
      </c>
      <c r="G2336" s="14" t="n">
        <v>5</v>
      </c>
      <c r="H2336" s="14" t="n">
        <v>4.95</v>
      </c>
      <c r="I2336" s="14" t="n">
        <v>4.93290469943502</v>
      </c>
      <c r="J2336" s="14" t="n">
        <v>4.83771346012095</v>
      </c>
      <c r="K2336" s="14" t="n">
        <v>4.64077951203017</v>
      </c>
      <c r="L2336" s="14" t="n">
        <v>4.28407565521177</v>
      </c>
      <c r="M2336" s="14" t="n">
        <v>1.831</v>
      </c>
      <c r="N2336" s="14" t="n">
        <v>1.85</v>
      </c>
      <c r="O2336" s="14" t="n">
        <v>1.901</v>
      </c>
      <c r="P2336" s="14" t="n">
        <v>1.96</v>
      </c>
      <c r="Q2336" s="14" t="n">
        <v>4.5</v>
      </c>
      <c r="R2336" s="14" t="n">
        <v>4.5</v>
      </c>
      <c r="S2336" s="14" t="n">
        <v>10.5</v>
      </c>
    </row>
    <row r="2337" customFormat="false" ht="15" hidden="false" customHeight="false" outlineLevel="0" collapsed="false">
      <c r="A2337" s="13" t="n">
        <v>45544</v>
      </c>
      <c r="B2337" s="14" t="n">
        <v>5.34</v>
      </c>
      <c r="C2337" s="14" t="n">
        <v>5.5</v>
      </c>
      <c r="D2337" s="14" t="n">
        <v>5.25</v>
      </c>
      <c r="E2337" s="14" t="n">
        <v>3.663</v>
      </c>
      <c r="F2337" s="14" t="n">
        <v>3.75</v>
      </c>
      <c r="G2337" s="14" t="n">
        <v>5</v>
      </c>
      <c r="H2337" s="14" t="n">
        <v>4.95</v>
      </c>
      <c r="I2337" s="14" t="n">
        <v>4.91847048447858</v>
      </c>
      <c r="J2337" s="14" t="n">
        <v>4.81285784575583</v>
      </c>
      <c r="K2337" s="14" t="n">
        <v>4.60179676413652</v>
      </c>
      <c r="L2337" s="14" t="n">
        <v>4.21096687689737</v>
      </c>
      <c r="M2337" s="14" t="n">
        <v>1.831</v>
      </c>
      <c r="N2337" s="14" t="n">
        <v>1.85</v>
      </c>
      <c r="O2337" s="14" t="n">
        <v>1.903</v>
      </c>
      <c r="P2337" s="14" t="n">
        <v>1.962</v>
      </c>
      <c r="Q2337" s="14" t="n">
        <v>4.5</v>
      </c>
      <c r="R2337" s="14" t="n">
        <v>4.5</v>
      </c>
      <c r="S2337" s="14" t="n">
        <v>10.5</v>
      </c>
    </row>
    <row r="2338" customFormat="false" ht="15" hidden="false" customHeight="false" outlineLevel="0" collapsed="false">
      <c r="A2338" s="13" t="n">
        <v>45545</v>
      </c>
      <c r="B2338" s="14" t="n">
        <v>5.33</v>
      </c>
      <c r="C2338" s="14" t="n">
        <v>5.5</v>
      </c>
      <c r="D2338" s="14" t="n">
        <v>5.25</v>
      </c>
      <c r="E2338" s="14" t="n">
        <v>3.664</v>
      </c>
      <c r="F2338" s="14" t="n">
        <v>3.75</v>
      </c>
      <c r="G2338" s="14" t="n">
        <v>5</v>
      </c>
      <c r="H2338" s="14" t="n">
        <v>4.95</v>
      </c>
      <c r="I2338" s="14" t="n">
        <v>4.92390709843232</v>
      </c>
      <c r="J2338" s="14" t="n">
        <v>4.81966793190789</v>
      </c>
      <c r="K2338" s="14" t="n">
        <v>4.6057196910521</v>
      </c>
      <c r="L2338" s="14" t="n">
        <v>4.20494952044601</v>
      </c>
      <c r="M2338" s="14" t="n">
        <v>1.832</v>
      </c>
      <c r="N2338" s="14" t="n">
        <v>1.851</v>
      </c>
      <c r="O2338" s="14" t="n">
        <v>1.906</v>
      </c>
      <c r="P2338" s="14" t="n">
        <v>1.962</v>
      </c>
      <c r="Q2338" s="14" t="n">
        <v>4.5</v>
      </c>
      <c r="R2338" s="14" t="n">
        <v>4.5</v>
      </c>
      <c r="S2338" s="14" t="n">
        <v>10.5</v>
      </c>
    </row>
    <row r="2339" customFormat="false" ht="15" hidden="false" customHeight="false" outlineLevel="0" collapsed="false">
      <c r="A2339" s="13" t="n">
        <v>45546</v>
      </c>
      <c r="B2339" s="14" t="n">
        <v>5.32</v>
      </c>
      <c r="C2339" s="14" t="n">
        <v>5.5</v>
      </c>
      <c r="D2339" s="14" t="n">
        <v>5.25</v>
      </c>
      <c r="E2339" s="14" t="n">
        <v>3.664</v>
      </c>
      <c r="F2339" s="14" t="n">
        <v>3.75</v>
      </c>
      <c r="G2339" s="14" t="n">
        <v>5</v>
      </c>
      <c r="H2339" s="14" t="n">
        <v>4.95</v>
      </c>
      <c r="I2339" s="14" t="n">
        <v>4.92710484008989</v>
      </c>
      <c r="J2339" s="14" t="n">
        <v>4.81319623700571</v>
      </c>
      <c r="K2339" s="14" t="n">
        <v>4.58127012802765</v>
      </c>
      <c r="L2339" s="14" t="n">
        <v>4.15537722245102</v>
      </c>
      <c r="M2339" s="14" t="n">
        <v>1.834</v>
      </c>
      <c r="N2339" s="14" t="n">
        <v>1.851</v>
      </c>
      <c r="O2339" s="14" t="n">
        <v>1.914</v>
      </c>
      <c r="P2339" s="14" t="n">
        <v>1.962</v>
      </c>
      <c r="Q2339" s="14" t="n">
        <v>4.5</v>
      </c>
      <c r="R2339" s="14" t="n">
        <v>4.5</v>
      </c>
      <c r="S2339" s="14" t="n">
        <v>10.5</v>
      </c>
    </row>
    <row r="2340" customFormat="false" ht="15" hidden="false" customHeight="false" outlineLevel="0" collapsed="false">
      <c r="A2340" s="13" t="n">
        <v>45547</v>
      </c>
      <c r="B2340" s="14" t="n">
        <v>5.33</v>
      </c>
      <c r="C2340" s="14" t="n">
        <v>5.5</v>
      </c>
      <c r="D2340" s="14" t="n">
        <v>5.25</v>
      </c>
      <c r="E2340" s="14" t="n">
        <v>3.664</v>
      </c>
      <c r="F2340" s="14" t="n">
        <v>3.75</v>
      </c>
      <c r="G2340" s="14" t="n">
        <v>5</v>
      </c>
      <c r="H2340" s="14" t="n">
        <v>4.95</v>
      </c>
      <c r="I2340" s="14" t="n">
        <v>4.92915035629699</v>
      </c>
      <c r="J2340" s="14" t="n">
        <v>4.82086079211632</v>
      </c>
      <c r="K2340" s="14" t="n">
        <v>4.60159842218546</v>
      </c>
      <c r="L2340" s="14" t="n">
        <v>4.19534952346619</v>
      </c>
      <c r="M2340" s="14" t="n">
        <v>1.83</v>
      </c>
      <c r="N2340" s="14" t="n">
        <v>1.85</v>
      </c>
      <c r="O2340" s="14" t="n">
        <v>1.912</v>
      </c>
      <c r="P2340" s="14" t="n">
        <v>1.96</v>
      </c>
      <c r="Q2340" s="14" t="n">
        <v>4.5</v>
      </c>
      <c r="R2340" s="14" t="n">
        <v>4.5</v>
      </c>
      <c r="S2340" s="14" t="n">
        <v>10.5</v>
      </c>
    </row>
    <row r="2341" customFormat="false" ht="15" hidden="false" customHeight="false" outlineLevel="0" collapsed="false">
      <c r="A2341" s="13" t="n">
        <v>45548</v>
      </c>
      <c r="B2341" s="14" t="n">
        <v>5.33</v>
      </c>
      <c r="C2341" s="14" t="n">
        <v>5.5</v>
      </c>
      <c r="D2341" s="14" t="n">
        <v>5.25</v>
      </c>
      <c r="E2341" s="14" t="n">
        <v>3.663</v>
      </c>
      <c r="F2341" s="14" t="n">
        <v>3.75</v>
      </c>
      <c r="G2341" s="14" t="n">
        <v>5</v>
      </c>
      <c r="H2341" s="14" t="n">
        <v>4.95</v>
      </c>
      <c r="I2341" s="14" t="n">
        <v>4.90482226057431</v>
      </c>
      <c r="J2341" s="14" t="n">
        <v>4.78619839236408</v>
      </c>
      <c r="K2341" s="14" t="n">
        <v>4.55631866711098</v>
      </c>
      <c r="L2341" s="14" t="n">
        <v>4.12809243814225</v>
      </c>
      <c r="M2341" s="14" t="n">
        <v>1.83</v>
      </c>
      <c r="N2341" s="14" t="n">
        <v>1.85</v>
      </c>
      <c r="O2341" s="14" t="n">
        <v>1.91</v>
      </c>
      <c r="P2341" s="14" t="n">
        <v>1.96</v>
      </c>
      <c r="Q2341" s="14" t="n">
        <v>4.5</v>
      </c>
      <c r="R2341" s="14" t="n">
        <v>4.5</v>
      </c>
      <c r="S2341" s="14" t="n">
        <v>10.5</v>
      </c>
    </row>
    <row r="2342" customFormat="false" ht="15" hidden="false" customHeight="false" outlineLevel="0" collapsed="false">
      <c r="A2342" s="13" t="n">
        <v>45549</v>
      </c>
      <c r="C2342" s="14" t="n">
        <v>5.5</v>
      </c>
      <c r="D2342" s="14" t="n">
        <v>5.25</v>
      </c>
      <c r="F2342" s="14" t="n">
        <v>3.75</v>
      </c>
      <c r="M2342" s="14" t="n">
        <v>1.83</v>
      </c>
      <c r="N2342" s="14" t="n">
        <v>1.85</v>
      </c>
      <c r="O2342" s="14" t="n">
        <v>1.91</v>
      </c>
      <c r="P2342" s="14" t="n">
        <v>1.9585</v>
      </c>
      <c r="S2342" s="14" t="n">
        <v>10.5</v>
      </c>
    </row>
    <row r="2343" customFormat="false" ht="15" hidden="false" customHeight="false" outlineLevel="0" collapsed="false">
      <c r="A2343" s="13" t="n">
        <v>45551</v>
      </c>
      <c r="B2343" s="14" t="n">
        <v>5.38</v>
      </c>
      <c r="C2343" s="14" t="n">
        <v>5.5</v>
      </c>
      <c r="D2343" s="14" t="n">
        <v>5.25</v>
      </c>
      <c r="E2343" s="14" t="n">
        <v>3.662</v>
      </c>
      <c r="F2343" s="14" t="n">
        <v>3.75</v>
      </c>
      <c r="G2343" s="14" t="n">
        <v>5</v>
      </c>
      <c r="H2343" s="14" t="n">
        <v>4.95</v>
      </c>
      <c r="I2343" s="14" t="n">
        <v>4.89615485977624</v>
      </c>
      <c r="J2343" s="14" t="n">
        <v>4.77071404356188</v>
      </c>
      <c r="K2343" s="14" t="n">
        <v>4.5314339700858</v>
      </c>
      <c r="L2343" s="14" t="n">
        <v>4.09484338737014</v>
      </c>
      <c r="Q2343" s="14" t="n">
        <v>4.5</v>
      </c>
      <c r="R2343" s="14" t="n">
        <v>4.5</v>
      </c>
      <c r="S2343" s="14" t="n">
        <v>10.5</v>
      </c>
    </row>
    <row r="2344" customFormat="false" ht="15" hidden="false" customHeight="false" outlineLevel="0" collapsed="false">
      <c r="A2344" s="13" t="n">
        <v>45552</v>
      </c>
      <c r="B2344" s="14" t="n">
        <v>5.38</v>
      </c>
      <c r="C2344" s="14" t="n">
        <v>5.5</v>
      </c>
      <c r="D2344" s="14" t="n">
        <v>5.25</v>
      </c>
      <c r="E2344" s="14" t="n">
        <v>3.665</v>
      </c>
      <c r="F2344" s="14" t="n">
        <v>3.75</v>
      </c>
      <c r="G2344" s="14" t="n">
        <v>5</v>
      </c>
      <c r="H2344" s="14" t="n">
        <v>4.95</v>
      </c>
      <c r="I2344" s="14" t="n">
        <v>4.89401882922533</v>
      </c>
      <c r="J2344" s="14" t="n">
        <v>4.76943578667707</v>
      </c>
      <c r="K2344" s="14" t="n">
        <v>4.53592856302358</v>
      </c>
      <c r="L2344" s="14" t="n">
        <v>4.11697867148987</v>
      </c>
      <c r="Q2344" s="14" t="n">
        <v>4.5</v>
      </c>
      <c r="R2344" s="14" t="n">
        <v>4.5</v>
      </c>
      <c r="S2344" s="14" t="n">
        <v>10.5</v>
      </c>
    </row>
    <row r="2345" customFormat="false" ht="15" hidden="false" customHeight="false" outlineLevel="0" collapsed="false">
      <c r="A2345" s="13" t="n">
        <v>45553</v>
      </c>
      <c r="B2345" s="14" t="n">
        <v>5.33</v>
      </c>
      <c r="C2345" s="14" t="n">
        <v>5.5</v>
      </c>
      <c r="D2345" s="14" t="n">
        <v>5.25</v>
      </c>
      <c r="E2345" s="14" t="n">
        <v>3.416</v>
      </c>
      <c r="F2345" s="14" t="n">
        <v>3.5</v>
      </c>
      <c r="G2345" s="14" t="n">
        <v>5</v>
      </c>
      <c r="H2345" s="14" t="n">
        <v>4.95</v>
      </c>
      <c r="I2345" s="14" t="n">
        <v>4.91297494545975</v>
      </c>
      <c r="J2345" s="14" t="n">
        <v>4.78872071593332</v>
      </c>
      <c r="K2345" s="14" t="n">
        <v>4.56723009361414</v>
      </c>
      <c r="L2345" s="14" t="n">
        <v>4.17730742370663</v>
      </c>
      <c r="M2345" s="14" t="n">
        <v>1.831</v>
      </c>
      <c r="N2345" s="14" t="n">
        <v>1.85</v>
      </c>
      <c r="O2345" s="14" t="n">
        <v>1.91</v>
      </c>
      <c r="P2345" s="14" t="n">
        <v>1.958</v>
      </c>
      <c r="Q2345" s="14" t="n">
        <v>4.5</v>
      </c>
      <c r="R2345" s="14" t="n">
        <v>4.5</v>
      </c>
      <c r="S2345" s="14" t="n">
        <v>10.5</v>
      </c>
    </row>
    <row r="2346" customFormat="false" ht="15" hidden="false" customHeight="false" outlineLevel="0" collapsed="false">
      <c r="A2346" s="13" t="n">
        <v>45554</v>
      </c>
      <c r="B2346" s="14" t="n">
        <v>4.82</v>
      </c>
      <c r="C2346" s="14" t="n">
        <v>5</v>
      </c>
      <c r="D2346" s="14" t="n">
        <v>4.75</v>
      </c>
      <c r="E2346" s="14" t="n">
        <v>3.414</v>
      </c>
      <c r="F2346" s="14" t="n">
        <v>3.5</v>
      </c>
      <c r="G2346" s="14" t="n">
        <v>5</v>
      </c>
      <c r="H2346" s="14" t="n">
        <v>4.95</v>
      </c>
      <c r="I2346" s="14" t="n">
        <v>4.94558266588865</v>
      </c>
      <c r="J2346" s="14" t="n">
        <v>4.82112080349152</v>
      </c>
      <c r="K2346" s="14" t="n">
        <v>4.60445976634632</v>
      </c>
      <c r="L2346" s="14" t="n">
        <v>4.20793694322455</v>
      </c>
      <c r="M2346" s="14" t="n">
        <v>1.833</v>
      </c>
      <c r="N2346" s="14" t="n">
        <v>1.851</v>
      </c>
      <c r="O2346" s="14" t="n">
        <v>1.911</v>
      </c>
      <c r="P2346" s="14" t="n">
        <v>1.957</v>
      </c>
      <c r="Q2346" s="14" t="n">
        <v>4.5</v>
      </c>
      <c r="R2346" s="14" t="n">
        <v>4.5</v>
      </c>
      <c r="S2346" s="14" t="n">
        <v>10.75</v>
      </c>
    </row>
    <row r="2347" customFormat="false" ht="15" hidden="false" customHeight="false" outlineLevel="0" collapsed="false">
      <c r="A2347" s="13" t="n">
        <v>45555</v>
      </c>
      <c r="B2347" s="14" t="n">
        <v>4.83</v>
      </c>
      <c r="C2347" s="14" t="n">
        <v>5</v>
      </c>
      <c r="D2347" s="14" t="n">
        <v>4.75</v>
      </c>
      <c r="E2347" s="14" t="n">
        <v>3.412</v>
      </c>
      <c r="F2347" s="14" t="n">
        <v>3.5</v>
      </c>
      <c r="G2347" s="14" t="n">
        <v>5</v>
      </c>
      <c r="H2347" s="14" t="n">
        <v>4.95</v>
      </c>
      <c r="I2347" s="14" t="n">
        <v>4.9430867268201</v>
      </c>
      <c r="J2347" s="14" t="n">
        <v>4.82347648822154</v>
      </c>
      <c r="K2347" s="14" t="n">
        <v>4.6095904283836</v>
      </c>
      <c r="L2347" s="14" t="n">
        <v>4.20033142398237</v>
      </c>
      <c r="M2347" s="14" t="n">
        <v>1.834</v>
      </c>
      <c r="N2347" s="14" t="n">
        <v>1.852</v>
      </c>
      <c r="O2347" s="14" t="n">
        <v>1.914</v>
      </c>
      <c r="P2347" s="14" t="n">
        <v>1.958</v>
      </c>
      <c r="Q2347" s="14" t="n">
        <v>4.5</v>
      </c>
      <c r="R2347" s="14" t="n">
        <v>4.5</v>
      </c>
      <c r="S2347" s="14" t="n">
        <v>10.75</v>
      </c>
    </row>
    <row r="2348" customFormat="false" ht="15" hidden="false" customHeight="false" outlineLevel="0" collapsed="false">
      <c r="A2348" s="13" t="n">
        <v>45558</v>
      </c>
      <c r="B2348" s="14" t="n">
        <v>4.83</v>
      </c>
      <c r="C2348" s="14" t="n">
        <v>5</v>
      </c>
      <c r="D2348" s="14" t="n">
        <v>4.75</v>
      </c>
      <c r="E2348" s="14" t="n">
        <v>3.414</v>
      </c>
      <c r="F2348" s="14" t="n">
        <v>3.5</v>
      </c>
      <c r="G2348" s="14" t="n">
        <v>5</v>
      </c>
      <c r="H2348" s="14" t="n">
        <v>4.95</v>
      </c>
      <c r="I2348" s="14" t="n">
        <v>4.93982789521012</v>
      </c>
      <c r="J2348" s="14" t="n">
        <v>4.80676977818069</v>
      </c>
      <c r="K2348" s="14" t="n">
        <v>4.58803107695933</v>
      </c>
      <c r="L2348" s="14" t="n">
        <v>4.17882739972783</v>
      </c>
      <c r="M2348" s="14" t="n">
        <v>1.837</v>
      </c>
      <c r="N2348" s="14" t="n">
        <v>1.854</v>
      </c>
      <c r="O2348" s="14" t="n">
        <v>1.913</v>
      </c>
      <c r="P2348" s="14" t="n">
        <v>1.957</v>
      </c>
      <c r="Q2348" s="14" t="n">
        <v>4.5</v>
      </c>
      <c r="R2348" s="14" t="n">
        <v>4.5</v>
      </c>
      <c r="S2348" s="14" t="n">
        <v>10.75</v>
      </c>
    </row>
    <row r="2349" customFormat="false" ht="15" hidden="false" customHeight="false" outlineLevel="0" collapsed="false">
      <c r="A2349" s="13" t="n">
        <v>45559</v>
      </c>
      <c r="B2349" s="14" t="n">
        <v>4.84</v>
      </c>
      <c r="C2349" s="14" t="n">
        <v>5</v>
      </c>
      <c r="D2349" s="14" t="n">
        <v>4.75</v>
      </c>
      <c r="E2349" s="14" t="n">
        <v>3.415</v>
      </c>
      <c r="F2349" s="14" t="n">
        <v>3.5</v>
      </c>
      <c r="G2349" s="14" t="n">
        <v>5</v>
      </c>
      <c r="H2349" s="14" t="n">
        <v>4.95</v>
      </c>
      <c r="I2349" s="14" t="n">
        <v>4.93875751710943</v>
      </c>
      <c r="J2349" s="14" t="n">
        <v>4.80226228082067</v>
      </c>
      <c r="K2349" s="14" t="n">
        <v>4.5789520072843</v>
      </c>
      <c r="L2349" s="14" t="n">
        <v>4.16442884654947</v>
      </c>
      <c r="M2349" s="14" t="n">
        <v>1.836</v>
      </c>
      <c r="N2349" s="14" t="n">
        <v>1.85</v>
      </c>
      <c r="O2349" s="14" t="n">
        <v>1.905</v>
      </c>
      <c r="P2349" s="14" t="n">
        <v>1.943</v>
      </c>
      <c r="Q2349" s="14" t="n">
        <v>4.5</v>
      </c>
      <c r="R2349" s="14" t="n">
        <v>4.5</v>
      </c>
      <c r="S2349" s="14" t="n">
        <v>10.75</v>
      </c>
    </row>
    <row r="2350" customFormat="false" ht="15" hidden="false" customHeight="false" outlineLevel="0" collapsed="false">
      <c r="A2350" s="13" t="n">
        <v>45560</v>
      </c>
      <c r="B2350" s="14" t="n">
        <v>4.84</v>
      </c>
      <c r="C2350" s="14" t="n">
        <v>5</v>
      </c>
      <c r="D2350" s="14" t="n">
        <v>4.75</v>
      </c>
      <c r="E2350" s="14" t="n">
        <v>3.416</v>
      </c>
      <c r="F2350" s="14" t="n">
        <v>3.5</v>
      </c>
      <c r="G2350" s="14" t="n">
        <v>5</v>
      </c>
      <c r="H2350" s="14" t="n">
        <v>4.95</v>
      </c>
      <c r="I2350" s="14" t="n">
        <v>4.93892362003227</v>
      </c>
      <c r="J2350" s="14" t="n">
        <v>4.80348296579475</v>
      </c>
      <c r="K2350" s="14" t="n">
        <v>4.58733099787123</v>
      </c>
      <c r="L2350" s="14" t="n">
        <v>4.19213101441335</v>
      </c>
      <c r="M2350" s="14" t="n">
        <v>1.83</v>
      </c>
      <c r="N2350" s="14" t="n">
        <v>1.845</v>
      </c>
      <c r="O2350" s="14" t="n">
        <v>1.898</v>
      </c>
      <c r="P2350" s="14" t="n">
        <v>1.932</v>
      </c>
      <c r="Q2350" s="14" t="n">
        <v>4.5</v>
      </c>
      <c r="R2350" s="14" t="n">
        <v>4.5</v>
      </c>
      <c r="S2350" s="14" t="n">
        <v>10.75</v>
      </c>
    </row>
    <row r="2351" customFormat="false" ht="15" hidden="false" customHeight="false" outlineLevel="0" collapsed="false">
      <c r="A2351" s="13" t="n">
        <v>45561</v>
      </c>
      <c r="B2351" s="14" t="n">
        <v>4.83</v>
      </c>
      <c r="C2351" s="14" t="n">
        <v>5</v>
      </c>
      <c r="D2351" s="14" t="n">
        <v>4.75</v>
      </c>
      <c r="E2351" s="14" t="n">
        <v>3.415</v>
      </c>
      <c r="F2351" s="14" t="n">
        <v>3.5</v>
      </c>
      <c r="G2351" s="14" t="n">
        <v>5</v>
      </c>
      <c r="H2351" s="14" t="n">
        <v>4.95</v>
      </c>
      <c r="I2351" s="14" t="n">
        <v>4.93953699947939</v>
      </c>
      <c r="J2351" s="14" t="n">
        <v>4.80475042715092</v>
      </c>
      <c r="K2351" s="14" t="n">
        <v>4.59656836078403</v>
      </c>
      <c r="L2351" s="14" t="n">
        <v>4.21393313828334</v>
      </c>
      <c r="M2351" s="14" t="n">
        <v>1.825</v>
      </c>
      <c r="N2351" s="14" t="n">
        <v>1.836</v>
      </c>
      <c r="O2351" s="14" t="n">
        <v>1.891</v>
      </c>
      <c r="P2351" s="14" t="n">
        <v>1.926</v>
      </c>
      <c r="Q2351" s="14" t="n">
        <v>4.5</v>
      </c>
      <c r="R2351" s="14" t="n">
        <v>4.5</v>
      </c>
      <c r="S2351" s="14" t="n">
        <v>10.75</v>
      </c>
    </row>
    <row r="2352" customFormat="false" ht="15" hidden="false" customHeight="false" outlineLevel="0" collapsed="false">
      <c r="A2352" s="13" t="n">
        <v>45562</v>
      </c>
      <c r="B2352" s="14" t="n">
        <v>4.84</v>
      </c>
      <c r="C2352" s="14" t="n">
        <v>5</v>
      </c>
      <c r="D2352" s="14" t="n">
        <v>4.75</v>
      </c>
      <c r="E2352" s="14" t="n">
        <v>3.415</v>
      </c>
      <c r="F2352" s="14" t="n">
        <v>3.5</v>
      </c>
      <c r="G2352" s="14" t="n">
        <v>5</v>
      </c>
      <c r="H2352" s="14" t="n">
        <v>4.95</v>
      </c>
      <c r="I2352" s="14" t="n">
        <v>4.9395817718731</v>
      </c>
      <c r="J2352" s="14" t="n">
        <v>4.801692269544</v>
      </c>
      <c r="K2352" s="14" t="n">
        <v>4.58071915735452</v>
      </c>
      <c r="L2352" s="14" t="n">
        <v>4.17063168160125</v>
      </c>
      <c r="M2352" s="14" t="n">
        <v>1.822</v>
      </c>
      <c r="N2352" s="14" t="n">
        <v>1.835</v>
      </c>
      <c r="O2352" s="14" t="n">
        <v>1.887</v>
      </c>
      <c r="P2352" s="14" t="n">
        <v>1.923</v>
      </c>
      <c r="Q2352" s="14" t="n">
        <v>4.5</v>
      </c>
      <c r="R2352" s="14" t="n">
        <v>4.5</v>
      </c>
      <c r="S2352" s="14" t="n">
        <v>10.75</v>
      </c>
    </row>
    <row r="2353" customFormat="false" ht="15" hidden="false" customHeight="false" outlineLevel="0" collapsed="false">
      <c r="A2353" s="13" t="n">
        <v>45564</v>
      </c>
      <c r="C2353" s="14" t="n">
        <v>5</v>
      </c>
      <c r="D2353" s="14" t="n">
        <v>4.75</v>
      </c>
      <c r="F2353" s="14" t="n">
        <v>3.5</v>
      </c>
      <c r="M2353" s="14" t="n">
        <v>1.82</v>
      </c>
      <c r="N2353" s="14" t="n">
        <v>1.836</v>
      </c>
      <c r="O2353" s="14" t="n">
        <v>1.888</v>
      </c>
      <c r="P2353" s="14" t="n">
        <v>1.922</v>
      </c>
      <c r="S2353" s="14" t="n">
        <v>10.75</v>
      </c>
    </row>
    <row r="2354" customFormat="false" ht="15" hidden="false" customHeight="false" outlineLevel="0" collapsed="false">
      <c r="A2354" s="13" t="n">
        <v>45565</v>
      </c>
      <c r="B2354" s="14" t="n">
        <v>4.96</v>
      </c>
      <c r="C2354" s="14" t="n">
        <v>5</v>
      </c>
      <c r="D2354" s="14" t="n">
        <v>4.75</v>
      </c>
      <c r="E2354" s="14" t="n">
        <v>3.41</v>
      </c>
      <c r="F2354" s="14" t="n">
        <v>3.5</v>
      </c>
      <c r="G2354" s="14" t="n">
        <v>5</v>
      </c>
      <c r="H2354" s="14" t="n">
        <v>4.95</v>
      </c>
      <c r="I2354" s="14" t="n">
        <v>4.93757746647558</v>
      </c>
      <c r="J2354" s="14" t="n">
        <v>4.79796333289108</v>
      </c>
      <c r="K2354" s="14" t="n">
        <v>4.58910599688786</v>
      </c>
      <c r="L2354" s="14" t="n">
        <v>4.2063061633014</v>
      </c>
      <c r="M2354" s="14" t="n">
        <v>1.82</v>
      </c>
      <c r="N2354" s="14" t="n">
        <v>1.84</v>
      </c>
      <c r="O2354" s="14" t="n">
        <v>1.889</v>
      </c>
      <c r="P2354" s="14" t="n">
        <v>1.923</v>
      </c>
      <c r="Q2354" s="14" t="n">
        <v>4.5</v>
      </c>
      <c r="R2354" s="14" t="n">
        <v>4.5</v>
      </c>
      <c r="S2354" s="14" t="n">
        <v>10.75</v>
      </c>
    </row>
    <row r="2355" customFormat="false" ht="15" hidden="false" customHeight="false" outlineLevel="0" collapsed="false">
      <c r="A2355" s="13" t="n">
        <v>45566</v>
      </c>
      <c r="B2355" s="14" t="n">
        <v>5.05</v>
      </c>
      <c r="C2355" s="14" t="n">
        <v>5</v>
      </c>
      <c r="D2355" s="14" t="n">
        <v>4.75</v>
      </c>
      <c r="E2355" s="14" t="n">
        <v>3.416</v>
      </c>
      <c r="F2355" s="14" t="n">
        <v>3.5</v>
      </c>
      <c r="G2355" s="14" t="n">
        <v>5</v>
      </c>
      <c r="H2355" s="14" t="n">
        <v>4.95</v>
      </c>
      <c r="I2355" s="14" t="n">
        <v>4.93542522667087</v>
      </c>
      <c r="J2355" s="14" t="n">
        <v>4.79062420537553</v>
      </c>
      <c r="K2355" s="14" t="n">
        <v>4.57775627812961</v>
      </c>
      <c r="L2355" s="14" t="n">
        <v>4.19278942220835</v>
      </c>
      <c r="Q2355" s="14" t="n">
        <v>4.5</v>
      </c>
      <c r="R2355" s="14" t="n">
        <v>4.5</v>
      </c>
      <c r="S2355" s="14" t="n">
        <v>10.75</v>
      </c>
    </row>
    <row r="2356" customFormat="false" ht="15" hidden="false" customHeight="false" outlineLevel="0" collapsed="false">
      <c r="A2356" s="13" t="n">
        <v>45567</v>
      </c>
      <c r="B2356" s="14" t="n">
        <v>4.92</v>
      </c>
      <c r="C2356" s="14" t="n">
        <v>5</v>
      </c>
      <c r="D2356" s="14" t="n">
        <v>4.75</v>
      </c>
      <c r="E2356" s="14" t="n">
        <v>3.41</v>
      </c>
      <c r="F2356" s="14" t="n">
        <v>3.5</v>
      </c>
      <c r="G2356" s="14" t="n">
        <v>5</v>
      </c>
      <c r="H2356" s="14" t="n">
        <v>4.95</v>
      </c>
      <c r="I2356" s="14" t="n">
        <v>4.93622202126418</v>
      </c>
      <c r="J2356" s="14" t="n">
        <v>4.79347249313052</v>
      </c>
      <c r="K2356" s="14" t="n">
        <v>4.59292772821527</v>
      </c>
      <c r="L2356" s="14" t="n">
        <v>4.22769048233268</v>
      </c>
      <c r="Q2356" s="14" t="n">
        <v>4.5</v>
      </c>
      <c r="R2356" s="14" t="n">
        <v>4.5</v>
      </c>
      <c r="S2356" s="14" t="n">
        <v>10.75</v>
      </c>
    </row>
    <row r="2357" customFormat="false" ht="15" hidden="false" customHeight="false" outlineLevel="0" collapsed="false">
      <c r="A2357" s="13" t="n">
        <v>45568</v>
      </c>
      <c r="B2357" s="14" t="n">
        <v>4.85</v>
      </c>
      <c r="C2357" s="14" t="n">
        <v>5</v>
      </c>
      <c r="D2357" s="14" t="n">
        <v>4.75</v>
      </c>
      <c r="E2357" s="14" t="n">
        <v>3.407</v>
      </c>
      <c r="F2357" s="14" t="n">
        <v>3.5</v>
      </c>
      <c r="G2357" s="14" t="n">
        <v>5</v>
      </c>
      <c r="H2357" s="14" t="n">
        <v>4.95</v>
      </c>
      <c r="I2357" s="14" t="n">
        <v>4.93399885977208</v>
      </c>
      <c r="J2357" s="14" t="n">
        <v>4.7699867051727</v>
      </c>
      <c r="K2357" s="14" t="n">
        <v>4.54330944376333</v>
      </c>
      <c r="L2357" s="14" t="n">
        <v>4.16524356101016</v>
      </c>
      <c r="Q2357" s="14" t="n">
        <v>4.5</v>
      </c>
      <c r="R2357" s="14" t="n">
        <v>4.5</v>
      </c>
      <c r="S2357" s="14" t="n">
        <v>10.75</v>
      </c>
    </row>
    <row r="2358" customFormat="false" ht="15" hidden="false" customHeight="false" outlineLevel="0" collapsed="false">
      <c r="A2358" s="13" t="n">
        <v>45569</v>
      </c>
      <c r="B2358" s="14" t="n">
        <v>4.83</v>
      </c>
      <c r="C2358" s="14" t="n">
        <v>5</v>
      </c>
      <c r="D2358" s="14" t="n">
        <v>4.75</v>
      </c>
      <c r="E2358" s="14" t="n">
        <v>3.414</v>
      </c>
      <c r="F2358" s="14" t="n">
        <v>3.5</v>
      </c>
      <c r="G2358" s="14" t="n">
        <v>5</v>
      </c>
      <c r="H2358" s="14" t="n">
        <v>4.95</v>
      </c>
      <c r="I2358" s="14" t="n">
        <v>4.93396614505988</v>
      </c>
      <c r="J2358" s="14" t="n">
        <v>4.78034981594627</v>
      </c>
      <c r="K2358" s="14" t="n">
        <v>4.58689346425337</v>
      </c>
      <c r="L2358" s="14" t="n">
        <v>4.29047466436428</v>
      </c>
      <c r="Q2358" s="14" t="n">
        <v>4.5</v>
      </c>
      <c r="R2358" s="14" t="n">
        <v>4.5</v>
      </c>
      <c r="S2358" s="14" t="n">
        <v>10.75</v>
      </c>
    </row>
    <row r="2359" customFormat="false" ht="15" hidden="false" customHeight="false" outlineLevel="0" collapsed="false">
      <c r="A2359" s="13" t="n">
        <v>45572</v>
      </c>
      <c r="B2359" s="14" t="n">
        <v>4.83</v>
      </c>
      <c r="C2359" s="14" t="n">
        <v>5</v>
      </c>
      <c r="D2359" s="14" t="n">
        <v>4.75</v>
      </c>
      <c r="E2359" s="14" t="n">
        <v>3.413</v>
      </c>
      <c r="F2359" s="14" t="n">
        <v>3.5</v>
      </c>
      <c r="G2359" s="14" t="n">
        <v>5</v>
      </c>
      <c r="H2359" s="14" t="n">
        <v>4.95</v>
      </c>
      <c r="I2359" s="14" t="n">
        <v>4.93118072364849</v>
      </c>
      <c r="J2359" s="14" t="n">
        <v>4.77894660318607</v>
      </c>
      <c r="K2359" s="14" t="n">
        <v>4.59577222487238</v>
      </c>
      <c r="L2359" s="14" t="n">
        <v>4.31829609662106</v>
      </c>
      <c r="Q2359" s="14" t="n">
        <v>4.5</v>
      </c>
      <c r="R2359" s="14" t="n">
        <v>4.5</v>
      </c>
      <c r="S2359" s="14" t="n">
        <v>10.75</v>
      </c>
    </row>
    <row r="2360" customFormat="false" ht="15" hidden="false" customHeight="false" outlineLevel="0" collapsed="false">
      <c r="A2360" s="13" t="n">
        <v>45573</v>
      </c>
      <c r="B2360" s="14" t="n">
        <v>4.84</v>
      </c>
      <c r="C2360" s="14" t="n">
        <v>5</v>
      </c>
      <c r="D2360" s="14" t="n">
        <v>4.75</v>
      </c>
      <c r="E2360" s="14" t="n">
        <v>3.414</v>
      </c>
      <c r="F2360" s="14" t="n">
        <v>3.5</v>
      </c>
      <c r="G2360" s="14" t="n">
        <v>5</v>
      </c>
      <c r="H2360" s="14" t="n">
        <v>4.95</v>
      </c>
      <c r="I2360" s="14" t="n">
        <v>4.92635761081367</v>
      </c>
      <c r="J2360" s="14" t="n">
        <v>4.77113765867329</v>
      </c>
      <c r="K2360" s="14" t="n">
        <v>4.58164468787144</v>
      </c>
      <c r="L2360" s="14" t="n">
        <v>4.28753389156809</v>
      </c>
      <c r="M2360" s="14" t="n">
        <v>1.82</v>
      </c>
      <c r="N2360" s="14" t="n">
        <v>1.84</v>
      </c>
      <c r="O2360" s="14" t="n">
        <v>1.892</v>
      </c>
      <c r="P2360" s="14" t="n">
        <v>1.927</v>
      </c>
      <c r="Q2360" s="14" t="n">
        <v>4.5</v>
      </c>
      <c r="R2360" s="14" t="n">
        <v>4.5</v>
      </c>
      <c r="S2360" s="14" t="n">
        <v>10.75</v>
      </c>
    </row>
    <row r="2361" customFormat="false" ht="15" hidden="false" customHeight="false" outlineLevel="0" collapsed="false">
      <c r="A2361" s="13" t="n">
        <v>45574</v>
      </c>
      <c r="B2361" s="14" t="n">
        <v>4.83</v>
      </c>
      <c r="C2361" s="14" t="n">
        <v>5</v>
      </c>
      <c r="D2361" s="14" t="n">
        <v>4.75</v>
      </c>
      <c r="E2361" s="14" t="n">
        <v>3.415</v>
      </c>
      <c r="F2361" s="14" t="n">
        <v>3.5</v>
      </c>
      <c r="G2361" s="14" t="n">
        <v>5</v>
      </c>
      <c r="H2361" s="14" t="n">
        <v>4.95</v>
      </c>
      <c r="I2361" s="14" t="n">
        <v>4.91764069535576</v>
      </c>
      <c r="J2361" s="14" t="n">
        <v>4.76943436755235</v>
      </c>
      <c r="K2361" s="14" t="n">
        <v>4.59011740645196</v>
      </c>
      <c r="L2361" s="14" t="n">
        <v>4.30698018988713</v>
      </c>
      <c r="M2361" s="14" t="n">
        <v>1.82</v>
      </c>
      <c r="N2361" s="14" t="n">
        <v>1.841</v>
      </c>
      <c r="O2361" s="14" t="n">
        <v>1.892</v>
      </c>
      <c r="P2361" s="14" t="n">
        <v>1.932</v>
      </c>
      <c r="Q2361" s="14" t="n">
        <v>4.5</v>
      </c>
      <c r="R2361" s="14" t="n">
        <v>4.5</v>
      </c>
      <c r="S2361" s="14" t="n">
        <v>10.75</v>
      </c>
    </row>
    <row r="2362" customFormat="false" ht="15" hidden="false" customHeight="false" outlineLevel="0" collapsed="false">
      <c r="A2362" s="13" t="n">
        <v>45575</v>
      </c>
      <c r="B2362" s="14" t="n">
        <v>4.82</v>
      </c>
      <c r="C2362" s="14" t="n">
        <v>5</v>
      </c>
      <c r="D2362" s="14" t="n">
        <v>4.75</v>
      </c>
      <c r="E2362" s="14" t="n">
        <v>3.414</v>
      </c>
      <c r="F2362" s="14" t="n">
        <v>3.5</v>
      </c>
      <c r="G2362" s="14" t="n">
        <v>5</v>
      </c>
      <c r="H2362" s="14" t="n">
        <v>4.95</v>
      </c>
      <c r="I2362" s="14" t="n">
        <v>4.91607037617832</v>
      </c>
      <c r="J2362" s="14" t="n">
        <v>4.76609178480662</v>
      </c>
      <c r="K2362" s="14" t="n">
        <v>4.58045222738618</v>
      </c>
      <c r="L2362" s="14" t="n">
        <v>4.28485643974621</v>
      </c>
      <c r="M2362" s="14" t="n">
        <v>1.82</v>
      </c>
      <c r="N2362" s="14" t="n">
        <v>1.841</v>
      </c>
      <c r="O2362" s="14" t="n">
        <v>1.894</v>
      </c>
      <c r="P2362" s="14" t="n">
        <v>1.934</v>
      </c>
      <c r="Q2362" s="14" t="n">
        <v>4.5</v>
      </c>
      <c r="R2362" s="14" t="n">
        <v>4.5</v>
      </c>
      <c r="S2362" s="14" t="n">
        <v>10.75</v>
      </c>
    </row>
    <row r="2363" customFormat="false" ht="15" hidden="false" customHeight="false" outlineLevel="0" collapsed="false">
      <c r="A2363" s="13" t="n">
        <v>45576</v>
      </c>
      <c r="B2363" s="14" t="n">
        <v>4.81</v>
      </c>
      <c r="C2363" s="14" t="n">
        <v>5</v>
      </c>
      <c r="D2363" s="14" t="n">
        <v>4.75</v>
      </c>
      <c r="E2363" s="14" t="n">
        <v>3.413</v>
      </c>
      <c r="F2363" s="14" t="n">
        <v>3.5</v>
      </c>
      <c r="G2363" s="14" t="n">
        <v>5</v>
      </c>
      <c r="H2363" s="14" t="n">
        <v>4.95</v>
      </c>
      <c r="I2363" s="14" t="n">
        <v>4.91437480662877</v>
      </c>
      <c r="J2363" s="14" t="n">
        <v>4.75781187059462</v>
      </c>
      <c r="K2363" s="14" t="n">
        <v>4.56059345364848</v>
      </c>
      <c r="L2363" s="14" t="n">
        <v>4.25037716157833</v>
      </c>
      <c r="M2363" s="14" t="n">
        <v>1.82</v>
      </c>
      <c r="N2363" s="14" t="n">
        <v>1.841</v>
      </c>
      <c r="O2363" s="14" t="n">
        <v>1.892</v>
      </c>
      <c r="P2363" s="14" t="n">
        <v>1.93</v>
      </c>
      <c r="Q2363" s="14" t="n">
        <v>4.5</v>
      </c>
      <c r="R2363" s="14" t="n">
        <v>4.5</v>
      </c>
      <c r="S2363" s="14" t="n">
        <v>10.75</v>
      </c>
    </row>
    <row r="2364" customFormat="false" ht="15" hidden="false" customHeight="false" outlineLevel="0" collapsed="false">
      <c r="A2364" s="13" t="n">
        <v>45577</v>
      </c>
      <c r="C2364" s="14" t="n">
        <v>5</v>
      </c>
      <c r="D2364" s="14" t="n">
        <v>4.75</v>
      </c>
      <c r="F2364" s="14" t="n">
        <v>3.5</v>
      </c>
      <c r="M2364" s="14" t="n">
        <v>1.82</v>
      </c>
      <c r="N2364" s="14" t="n">
        <v>1.841</v>
      </c>
      <c r="O2364" s="14" t="n">
        <v>1.891</v>
      </c>
      <c r="P2364" s="14" t="n">
        <v>1.931</v>
      </c>
      <c r="S2364" s="14" t="n">
        <v>10.75</v>
      </c>
    </row>
    <row r="2365" customFormat="false" ht="15" hidden="false" customHeight="false" outlineLevel="0" collapsed="false">
      <c r="A2365" s="13" t="n">
        <v>45579</v>
      </c>
      <c r="C2365" s="14" t="n">
        <v>5</v>
      </c>
      <c r="D2365" s="14" t="n">
        <v>4.75</v>
      </c>
      <c r="E2365" s="14" t="n">
        <v>3.413</v>
      </c>
      <c r="F2365" s="14" t="n">
        <v>3.5</v>
      </c>
      <c r="G2365" s="14" t="n">
        <v>5</v>
      </c>
      <c r="H2365" s="14" t="n">
        <v>4.95</v>
      </c>
      <c r="I2365" s="14" t="n">
        <v>4.90106232488989</v>
      </c>
      <c r="J2365" s="14" t="n">
        <v>4.7504855759073</v>
      </c>
      <c r="K2365" s="14" t="n">
        <v>4.56625106625776</v>
      </c>
      <c r="L2365" s="14" t="n">
        <v>4.26305031428623</v>
      </c>
      <c r="M2365" s="14" t="n">
        <v>1.82</v>
      </c>
      <c r="N2365" s="14" t="n">
        <v>1.841</v>
      </c>
      <c r="O2365" s="14" t="n">
        <v>1.891</v>
      </c>
      <c r="P2365" s="14" t="n">
        <v>1.93</v>
      </c>
      <c r="Q2365" s="14" t="n">
        <v>4.5</v>
      </c>
      <c r="R2365" s="14" t="n">
        <v>4.5</v>
      </c>
      <c r="S2365" s="14" t="n">
        <v>10.75</v>
      </c>
    </row>
    <row r="2366" customFormat="false" ht="15" hidden="false" customHeight="false" outlineLevel="0" collapsed="false">
      <c r="A2366" s="13" t="n">
        <v>45580</v>
      </c>
      <c r="B2366" s="14" t="n">
        <v>4.86</v>
      </c>
      <c r="C2366" s="14" t="n">
        <v>5</v>
      </c>
      <c r="D2366" s="14" t="n">
        <v>4.75</v>
      </c>
      <c r="E2366" s="14" t="n">
        <v>3.413</v>
      </c>
      <c r="F2366" s="14" t="n">
        <v>3.5</v>
      </c>
      <c r="G2366" s="14" t="n">
        <v>5</v>
      </c>
      <c r="H2366" s="14" t="n">
        <v>4.95</v>
      </c>
      <c r="I2366" s="14" t="n">
        <v>4.89882036850934</v>
      </c>
      <c r="J2366" s="14" t="n">
        <v>4.74718911703591</v>
      </c>
      <c r="K2366" s="14" t="n">
        <v>4.55601506636619</v>
      </c>
      <c r="L2366" s="14" t="n">
        <v>4.24026531590085</v>
      </c>
      <c r="M2366" s="14" t="n">
        <v>1.82</v>
      </c>
      <c r="N2366" s="14" t="n">
        <v>1.842</v>
      </c>
      <c r="O2366" s="14" t="n">
        <v>1.891</v>
      </c>
      <c r="P2366" s="14" t="n">
        <v>1.93</v>
      </c>
      <c r="Q2366" s="14" t="n">
        <v>4.5</v>
      </c>
      <c r="R2366" s="14" t="n">
        <v>4.5</v>
      </c>
      <c r="S2366" s="14" t="n">
        <v>10.75</v>
      </c>
    </row>
    <row r="2367" customFormat="false" ht="15" hidden="false" customHeight="false" outlineLevel="0" collapsed="false">
      <c r="A2367" s="13" t="n">
        <v>45581</v>
      </c>
      <c r="B2367" s="14" t="n">
        <v>4.86</v>
      </c>
      <c r="C2367" s="14" t="n">
        <v>5</v>
      </c>
      <c r="D2367" s="14" t="n">
        <v>4.75</v>
      </c>
      <c r="E2367" s="14" t="n">
        <v>3.414</v>
      </c>
      <c r="F2367" s="14" t="n">
        <v>3.5</v>
      </c>
      <c r="G2367" s="14" t="n">
        <v>5</v>
      </c>
      <c r="H2367" s="14" t="n">
        <v>4.95</v>
      </c>
      <c r="I2367" s="14" t="n">
        <v>4.88400871810488</v>
      </c>
      <c r="J2367" s="14" t="n">
        <v>4.70885160704467</v>
      </c>
      <c r="K2367" s="14" t="n">
        <v>4.49606214602135</v>
      </c>
      <c r="L2367" s="14" t="n">
        <v>4.15789333650124</v>
      </c>
      <c r="M2367" s="14" t="n">
        <v>1.819</v>
      </c>
      <c r="N2367" s="14" t="n">
        <v>1.846</v>
      </c>
      <c r="O2367" s="14" t="n">
        <v>1.895</v>
      </c>
      <c r="P2367" s="14" t="n">
        <v>1.932</v>
      </c>
      <c r="Q2367" s="14" t="n">
        <v>4.5</v>
      </c>
      <c r="R2367" s="14" t="n">
        <v>4.5</v>
      </c>
      <c r="S2367" s="14" t="n">
        <v>10.75</v>
      </c>
    </row>
    <row r="2368" customFormat="false" ht="15" hidden="false" customHeight="false" outlineLevel="0" collapsed="false">
      <c r="A2368" s="13" t="n">
        <v>45582</v>
      </c>
      <c r="B2368" s="14" t="n">
        <v>4.85</v>
      </c>
      <c r="C2368" s="14" t="n">
        <v>5</v>
      </c>
      <c r="D2368" s="14" t="n">
        <v>4.75</v>
      </c>
      <c r="E2368" s="14" t="n">
        <v>3.415</v>
      </c>
      <c r="F2368" s="14" t="n">
        <v>3.5</v>
      </c>
      <c r="G2368" s="14" t="n">
        <v>5</v>
      </c>
      <c r="H2368" s="14" t="n">
        <v>4.95</v>
      </c>
      <c r="I2368" s="14" t="n">
        <v>4.88239785903488</v>
      </c>
      <c r="J2368" s="14" t="n">
        <v>4.71028276658867</v>
      </c>
      <c r="K2368" s="14" t="n">
        <v>4.49831770565524</v>
      </c>
      <c r="L2368" s="14" t="n">
        <v>4.15969959490332</v>
      </c>
      <c r="M2368" s="14" t="n">
        <v>1.819</v>
      </c>
      <c r="N2368" s="14" t="n">
        <v>1.855</v>
      </c>
      <c r="O2368" s="14" t="n">
        <v>1.903</v>
      </c>
      <c r="P2368" s="14" t="n">
        <v>1.934</v>
      </c>
      <c r="Q2368" s="14" t="n">
        <v>4.5</v>
      </c>
      <c r="R2368" s="14" t="n">
        <v>4.5</v>
      </c>
      <c r="S2368" s="14" t="n">
        <v>10.75</v>
      </c>
    </row>
    <row r="2369" customFormat="false" ht="15" hidden="false" customHeight="false" outlineLevel="0" collapsed="false">
      <c r="A2369" s="13" t="n">
        <v>45583</v>
      </c>
      <c r="B2369" s="14" t="n">
        <v>4.84</v>
      </c>
      <c r="C2369" s="14" t="n">
        <v>5</v>
      </c>
      <c r="D2369" s="14" t="n">
        <v>4.75</v>
      </c>
      <c r="E2369" s="14" t="n">
        <v>3.415</v>
      </c>
      <c r="F2369" s="14" t="n">
        <v>3.5</v>
      </c>
      <c r="G2369" s="14" t="n">
        <v>5</v>
      </c>
      <c r="H2369" s="14" t="n">
        <v>4.95</v>
      </c>
      <c r="I2369" s="14" t="n">
        <v>4.87336840723663</v>
      </c>
      <c r="J2369" s="14" t="n">
        <v>4.69950186198524</v>
      </c>
      <c r="K2369" s="14" t="n">
        <v>4.48441734247655</v>
      </c>
      <c r="L2369" s="14" t="n">
        <v>4.12858439952061</v>
      </c>
      <c r="M2369" s="14" t="n">
        <v>1.818</v>
      </c>
      <c r="N2369" s="14" t="n">
        <v>1.858</v>
      </c>
      <c r="O2369" s="14" t="n">
        <v>1.903</v>
      </c>
      <c r="P2369" s="14" t="n">
        <v>1.932</v>
      </c>
      <c r="Q2369" s="14" t="n">
        <v>4.5</v>
      </c>
      <c r="R2369" s="14" t="n">
        <v>4.5</v>
      </c>
      <c r="S2369" s="14" t="n">
        <v>10.75</v>
      </c>
    </row>
    <row r="2370" customFormat="false" ht="15" hidden="false" customHeight="false" outlineLevel="0" collapsed="false">
      <c r="A2370" s="13" t="n">
        <v>45586</v>
      </c>
      <c r="B2370" s="14" t="n">
        <v>4.82</v>
      </c>
      <c r="C2370" s="14" t="n">
        <v>5</v>
      </c>
      <c r="D2370" s="14" t="n">
        <v>4.75</v>
      </c>
      <c r="E2370" s="14" t="n">
        <v>3.415</v>
      </c>
      <c r="F2370" s="14" t="n">
        <v>3.5</v>
      </c>
      <c r="G2370" s="14" t="n">
        <v>5</v>
      </c>
      <c r="H2370" s="14" t="n">
        <v>4.95</v>
      </c>
      <c r="I2370" s="14" t="n">
        <v>4.84750642180395</v>
      </c>
      <c r="J2370" s="14" t="n">
        <v>4.68583465060215</v>
      </c>
      <c r="K2370" s="14" t="n">
        <v>4.47912026150049</v>
      </c>
      <c r="L2370" s="14" t="n">
        <v>4.14128720822508</v>
      </c>
      <c r="M2370" s="14" t="n">
        <v>1.819</v>
      </c>
      <c r="N2370" s="14" t="n">
        <v>1.864</v>
      </c>
      <c r="O2370" s="14" t="n">
        <v>1.906</v>
      </c>
      <c r="P2370" s="14" t="n">
        <v>1.934</v>
      </c>
      <c r="Q2370" s="14" t="n">
        <v>4.5</v>
      </c>
      <c r="R2370" s="14" t="n">
        <v>4.5</v>
      </c>
      <c r="S2370" s="14" t="n">
        <v>10.75</v>
      </c>
    </row>
    <row r="2371" customFormat="false" ht="15" hidden="false" customHeight="false" outlineLevel="0" collapsed="false">
      <c r="A2371" s="13" t="n">
        <v>45587</v>
      </c>
      <c r="B2371" s="14" t="n">
        <v>4.83</v>
      </c>
      <c r="C2371" s="14" t="n">
        <v>5</v>
      </c>
      <c r="D2371" s="14" t="n">
        <v>4.75</v>
      </c>
      <c r="E2371" s="14" t="n">
        <v>3.416</v>
      </c>
      <c r="F2371" s="14" t="n">
        <v>3.5</v>
      </c>
      <c r="G2371" s="14" t="n">
        <v>5</v>
      </c>
      <c r="H2371" s="14" t="n">
        <v>4.95</v>
      </c>
      <c r="I2371" s="14" t="n">
        <v>4.84023433877828</v>
      </c>
      <c r="J2371" s="14" t="n">
        <v>4.68196361494515</v>
      </c>
      <c r="K2371" s="14" t="n">
        <v>4.4777547682087</v>
      </c>
      <c r="L2371" s="14" t="n">
        <v>4.14887370565956</v>
      </c>
      <c r="M2371" s="14" t="n">
        <v>1.82</v>
      </c>
      <c r="N2371" s="14" t="n">
        <v>1.869</v>
      </c>
      <c r="O2371" s="14" t="n">
        <v>1.913</v>
      </c>
      <c r="P2371" s="14" t="n">
        <v>1.938</v>
      </c>
      <c r="Q2371" s="14" t="n">
        <v>4.5</v>
      </c>
      <c r="R2371" s="14" t="n">
        <v>4.5</v>
      </c>
      <c r="S2371" s="14" t="n">
        <v>10.75</v>
      </c>
    </row>
    <row r="2372" customFormat="false" ht="15" hidden="false" customHeight="false" outlineLevel="0" collapsed="false">
      <c r="A2372" s="13" t="n">
        <v>45588</v>
      </c>
      <c r="B2372" s="14" t="n">
        <v>4.83</v>
      </c>
      <c r="C2372" s="14" t="n">
        <v>5</v>
      </c>
      <c r="D2372" s="14" t="n">
        <v>4.75</v>
      </c>
      <c r="E2372" s="14" t="n">
        <v>3.166</v>
      </c>
      <c r="F2372" s="14" t="n">
        <v>3.25</v>
      </c>
      <c r="G2372" s="14" t="n">
        <v>5</v>
      </c>
      <c r="H2372" s="14" t="n">
        <v>4.95</v>
      </c>
      <c r="I2372" s="14" t="n">
        <v>4.83263935150715</v>
      </c>
      <c r="J2372" s="14" t="n">
        <v>4.677092006222</v>
      </c>
      <c r="K2372" s="14" t="n">
        <v>4.47406033312215</v>
      </c>
      <c r="L2372" s="14" t="n">
        <v>4.151980033677</v>
      </c>
      <c r="M2372" s="14" t="n">
        <v>1.82</v>
      </c>
      <c r="N2372" s="14" t="n">
        <v>1.873</v>
      </c>
      <c r="O2372" s="14" t="n">
        <v>1.915</v>
      </c>
      <c r="P2372" s="14" t="n">
        <v>1.942</v>
      </c>
      <c r="Q2372" s="14" t="n">
        <v>4.5</v>
      </c>
      <c r="R2372" s="14" t="n">
        <v>4.5</v>
      </c>
      <c r="S2372" s="14" t="n">
        <v>10.75</v>
      </c>
    </row>
    <row r="2373" customFormat="false" ht="15" hidden="false" customHeight="false" outlineLevel="0" collapsed="false">
      <c r="A2373" s="13" t="n">
        <v>45589</v>
      </c>
      <c r="B2373" s="14" t="n">
        <v>4.83</v>
      </c>
      <c r="C2373" s="14" t="n">
        <v>5</v>
      </c>
      <c r="D2373" s="14" t="n">
        <v>4.75</v>
      </c>
      <c r="E2373" s="14" t="n">
        <v>3.166</v>
      </c>
      <c r="F2373" s="14" t="n">
        <v>3.25</v>
      </c>
      <c r="G2373" s="14" t="n">
        <v>5</v>
      </c>
      <c r="H2373" s="14" t="n">
        <v>4.95</v>
      </c>
      <c r="I2373" s="14" t="n">
        <v>4.82853948133726</v>
      </c>
      <c r="J2373" s="14" t="n">
        <v>4.68237273171506</v>
      </c>
      <c r="K2373" s="14" t="n">
        <v>4.48550706170645</v>
      </c>
      <c r="L2373" s="14" t="n">
        <v>4.17402233280399</v>
      </c>
      <c r="M2373" s="14" t="n">
        <v>1.822</v>
      </c>
      <c r="N2373" s="14" t="n">
        <v>1.879</v>
      </c>
      <c r="O2373" s="14" t="n">
        <v>1.92</v>
      </c>
      <c r="P2373" s="14" t="n">
        <v>1.944</v>
      </c>
      <c r="Q2373" s="14" t="n">
        <v>4.5</v>
      </c>
      <c r="R2373" s="14" t="n">
        <v>4.5</v>
      </c>
      <c r="S2373" s="14" t="n">
        <v>10.75</v>
      </c>
    </row>
    <row r="2374" customFormat="false" ht="15" hidden="false" customHeight="false" outlineLevel="0" collapsed="false">
      <c r="A2374" s="13" t="n">
        <v>45590</v>
      </c>
      <c r="B2374" s="14" t="n">
        <v>4.83</v>
      </c>
      <c r="C2374" s="14" t="n">
        <v>5</v>
      </c>
      <c r="D2374" s="14" t="n">
        <v>4.75</v>
      </c>
      <c r="E2374" s="14" t="n">
        <v>3.166</v>
      </c>
      <c r="F2374" s="14" t="n">
        <v>3.25</v>
      </c>
      <c r="G2374" s="14" t="n">
        <v>5</v>
      </c>
      <c r="H2374" s="14" t="n">
        <v>4.95</v>
      </c>
      <c r="I2374" s="14" t="n">
        <v>4.81872105987732</v>
      </c>
      <c r="J2374" s="14" t="n">
        <v>4.67877180622645</v>
      </c>
      <c r="K2374" s="14" t="n">
        <v>4.48677302981056</v>
      </c>
      <c r="L2374" s="14" t="n">
        <v>4.18552931967109</v>
      </c>
      <c r="M2374" s="14" t="n">
        <v>1.823</v>
      </c>
      <c r="N2374" s="14" t="n">
        <v>1.883</v>
      </c>
      <c r="O2374" s="14" t="n">
        <v>1.922</v>
      </c>
      <c r="P2374" s="14" t="n">
        <v>1.947</v>
      </c>
      <c r="Q2374" s="14" t="n">
        <v>4.5</v>
      </c>
      <c r="R2374" s="14" t="n">
        <v>4.5</v>
      </c>
      <c r="S2374" s="14" t="n">
        <v>10.75</v>
      </c>
    </row>
    <row r="2375" customFormat="false" ht="15" hidden="false" customHeight="false" outlineLevel="0" collapsed="false">
      <c r="A2375" s="13" t="n">
        <v>45593</v>
      </c>
      <c r="B2375" s="14" t="n">
        <v>4.82</v>
      </c>
      <c r="C2375" s="14" t="n">
        <v>5</v>
      </c>
      <c r="D2375" s="14" t="n">
        <v>4.75</v>
      </c>
      <c r="E2375" s="14" t="n">
        <v>3.164</v>
      </c>
      <c r="F2375" s="14" t="n">
        <v>3.25</v>
      </c>
      <c r="G2375" s="14" t="n">
        <v>5</v>
      </c>
      <c r="H2375" s="14" t="n">
        <v>4.95</v>
      </c>
      <c r="I2375" s="14" t="n">
        <v>4.79400689275828</v>
      </c>
      <c r="J2375" s="14" t="n">
        <v>4.66113731657061</v>
      </c>
      <c r="K2375" s="14" t="n">
        <v>4.46796582812721</v>
      </c>
      <c r="L2375" s="14" t="n">
        <v>4.17364917929878</v>
      </c>
      <c r="M2375" s="14" t="n">
        <v>1.821</v>
      </c>
      <c r="N2375" s="14" t="n">
        <v>1.884</v>
      </c>
      <c r="O2375" s="14" t="n">
        <v>1.922</v>
      </c>
      <c r="P2375" s="14" t="n">
        <v>1.948</v>
      </c>
      <c r="Q2375" s="14" t="n">
        <v>4.5</v>
      </c>
      <c r="R2375" s="14" t="n">
        <v>4.5</v>
      </c>
      <c r="S2375" s="14" t="n">
        <v>10.75</v>
      </c>
    </row>
    <row r="2376" customFormat="false" ht="15" hidden="false" customHeight="false" outlineLevel="0" collapsed="false">
      <c r="A2376" s="13" t="n">
        <v>45594</v>
      </c>
      <c r="B2376" s="14" t="n">
        <v>4.82</v>
      </c>
      <c r="C2376" s="14" t="n">
        <v>5</v>
      </c>
      <c r="D2376" s="14" t="n">
        <v>4.75</v>
      </c>
      <c r="E2376" s="14" t="n">
        <v>3.164</v>
      </c>
      <c r="F2376" s="14" t="n">
        <v>3.25</v>
      </c>
      <c r="G2376" s="14" t="n">
        <v>5</v>
      </c>
      <c r="H2376" s="14" t="n">
        <v>4.95</v>
      </c>
      <c r="I2376" s="14" t="n">
        <v>4.78744617212368</v>
      </c>
      <c r="J2376" s="14" t="n">
        <v>4.6626986968284</v>
      </c>
      <c r="K2376" s="14" t="n">
        <v>4.47643570811703</v>
      </c>
      <c r="L2376" s="14" t="n">
        <v>4.19657538760058</v>
      </c>
      <c r="M2376" s="14" t="n">
        <v>1.82</v>
      </c>
      <c r="N2376" s="14" t="n">
        <v>1.884</v>
      </c>
      <c r="O2376" s="14" t="n">
        <v>1.922</v>
      </c>
      <c r="P2376" s="14" t="n">
        <v>1.949</v>
      </c>
      <c r="Q2376" s="14" t="n">
        <v>4.5</v>
      </c>
      <c r="R2376" s="14" t="n">
        <v>4.5</v>
      </c>
      <c r="S2376" s="14" t="n">
        <v>10.75</v>
      </c>
    </row>
    <row r="2377" customFormat="false" ht="15" hidden="false" customHeight="false" outlineLevel="0" collapsed="false">
      <c r="A2377" s="13" t="n">
        <v>45595</v>
      </c>
      <c r="B2377" s="14" t="n">
        <v>4.81</v>
      </c>
      <c r="C2377" s="14" t="n">
        <v>5</v>
      </c>
      <c r="D2377" s="14" t="n">
        <v>4.75</v>
      </c>
      <c r="E2377" s="14" t="n">
        <v>3.165</v>
      </c>
      <c r="F2377" s="14" t="n">
        <v>3.25</v>
      </c>
      <c r="G2377" s="14" t="n">
        <v>5</v>
      </c>
      <c r="H2377" s="14" t="n">
        <v>4.95</v>
      </c>
      <c r="I2377" s="14" t="n">
        <v>4.79161609401571</v>
      </c>
      <c r="J2377" s="14" t="n">
        <v>4.6977064593703</v>
      </c>
      <c r="K2377" s="14" t="n">
        <v>4.55330884855174</v>
      </c>
      <c r="L2377" s="14" t="n">
        <v>4.32184205962314</v>
      </c>
      <c r="M2377" s="14" t="n">
        <v>1.82</v>
      </c>
      <c r="N2377" s="14" t="n">
        <v>1.884</v>
      </c>
      <c r="O2377" s="14" t="n">
        <v>1.922</v>
      </c>
      <c r="P2377" s="14" t="n">
        <v>1.949</v>
      </c>
      <c r="Q2377" s="14" t="n">
        <v>4.5</v>
      </c>
      <c r="R2377" s="14" t="n">
        <v>4.5</v>
      </c>
      <c r="S2377" s="14" t="n">
        <v>10.75</v>
      </c>
    </row>
    <row r="2378" customFormat="false" ht="15" hidden="false" customHeight="false" outlineLevel="0" collapsed="false">
      <c r="A2378" s="13" t="n">
        <v>45596</v>
      </c>
      <c r="B2378" s="14" t="n">
        <v>4.9</v>
      </c>
      <c r="C2378" s="14" t="n">
        <v>5</v>
      </c>
      <c r="D2378" s="14" t="n">
        <v>4.75</v>
      </c>
      <c r="E2378" s="14" t="n">
        <v>3.155</v>
      </c>
      <c r="F2378" s="14" t="n">
        <v>3.25</v>
      </c>
      <c r="G2378" s="14" t="n">
        <v>5</v>
      </c>
      <c r="H2378" s="14" t="n">
        <v>4.95</v>
      </c>
      <c r="I2378" s="14" t="n">
        <v>4.78098647621389</v>
      </c>
      <c r="J2378" s="14" t="n">
        <v>4.68993057122655</v>
      </c>
      <c r="K2378" s="14" t="n">
        <v>4.55297862142325</v>
      </c>
      <c r="L2378" s="14" t="n">
        <v>4.35110547944209</v>
      </c>
      <c r="M2378" s="14" t="n">
        <v>1.82</v>
      </c>
      <c r="N2378" s="14" t="n">
        <v>1.884</v>
      </c>
      <c r="O2378" s="14" t="n">
        <v>1.922</v>
      </c>
      <c r="P2378" s="14" t="n">
        <v>1.948</v>
      </c>
      <c r="Q2378" s="14" t="n">
        <v>4.5</v>
      </c>
      <c r="R2378" s="14" t="n">
        <v>4.5</v>
      </c>
      <c r="S2378" s="14" t="n">
        <v>10.75</v>
      </c>
    </row>
    <row r="2379" customFormat="false" ht="15" hidden="false" customHeight="false" outlineLevel="0" collapsed="false">
      <c r="A2379" s="13" t="n">
        <v>45597</v>
      </c>
      <c r="B2379" s="14" t="n">
        <v>4.86</v>
      </c>
      <c r="C2379" s="14" t="n">
        <v>5</v>
      </c>
      <c r="D2379" s="14" t="n">
        <v>4.75</v>
      </c>
      <c r="E2379" s="14" t="n">
        <v>3.163</v>
      </c>
      <c r="F2379" s="14" t="n">
        <v>3.25</v>
      </c>
      <c r="G2379" s="14" t="n">
        <v>5</v>
      </c>
      <c r="H2379" s="14" t="n">
        <v>4.95</v>
      </c>
      <c r="I2379" s="14" t="n">
        <v>4.77065761140922</v>
      </c>
      <c r="J2379" s="14" t="n">
        <v>4.68996199353707</v>
      </c>
      <c r="K2379" s="14" t="n">
        <v>4.55452955144855</v>
      </c>
      <c r="L2379" s="14" t="n">
        <v>4.34759319068915</v>
      </c>
      <c r="M2379" s="14" t="n">
        <v>1.818</v>
      </c>
      <c r="N2379" s="14" t="n">
        <v>1.879</v>
      </c>
      <c r="O2379" s="14" t="n">
        <v>1.917</v>
      </c>
      <c r="P2379" s="14" t="n">
        <v>1.943</v>
      </c>
      <c r="Q2379" s="14" t="n">
        <v>4.5</v>
      </c>
      <c r="R2379" s="14" t="n">
        <v>4.5</v>
      </c>
      <c r="S2379" s="14" t="n">
        <v>10.75</v>
      </c>
    </row>
    <row r="2380" customFormat="false" ht="15" hidden="false" customHeight="false" outlineLevel="0" collapsed="false">
      <c r="A2380" s="13" t="n">
        <v>45600</v>
      </c>
      <c r="B2380" s="14" t="n">
        <v>4.82</v>
      </c>
      <c r="C2380" s="14" t="n">
        <v>5</v>
      </c>
      <c r="D2380" s="14" t="n">
        <v>4.75</v>
      </c>
      <c r="E2380" s="14" t="n">
        <v>3.163</v>
      </c>
      <c r="F2380" s="14" t="n">
        <v>3.25</v>
      </c>
      <c r="G2380" s="14" t="n">
        <v>5</v>
      </c>
      <c r="H2380" s="14" t="n">
        <v>4.95</v>
      </c>
      <c r="I2380" s="14" t="n">
        <v>4.74310675210004</v>
      </c>
      <c r="J2380" s="14" t="n">
        <v>4.67463796476963</v>
      </c>
      <c r="K2380" s="14" t="n">
        <v>4.54920081980095</v>
      </c>
      <c r="L2380" s="14" t="n">
        <v>4.35483181937381</v>
      </c>
      <c r="M2380" s="14" t="n">
        <v>1.815</v>
      </c>
      <c r="N2380" s="14" t="n">
        <v>1.878</v>
      </c>
      <c r="O2380" s="14" t="n">
        <v>1.914</v>
      </c>
      <c r="P2380" s="14" t="n">
        <v>1.937</v>
      </c>
      <c r="Q2380" s="14" t="n">
        <v>4.5</v>
      </c>
      <c r="R2380" s="14" t="n">
        <v>4.5</v>
      </c>
      <c r="S2380" s="14" t="n">
        <v>10.75</v>
      </c>
    </row>
    <row r="2381" customFormat="false" ht="15" hidden="false" customHeight="false" outlineLevel="0" collapsed="false">
      <c r="A2381" s="13" t="n">
        <v>45601</v>
      </c>
      <c r="B2381" s="14" t="n">
        <v>4.82</v>
      </c>
      <c r="C2381" s="14" t="n">
        <v>5</v>
      </c>
      <c r="D2381" s="14" t="n">
        <v>4.75</v>
      </c>
      <c r="E2381" s="14" t="n">
        <v>3.163</v>
      </c>
      <c r="F2381" s="14" t="n">
        <v>3.25</v>
      </c>
      <c r="G2381" s="14" t="n">
        <v>5</v>
      </c>
      <c r="H2381" s="14" t="n">
        <v>4.95</v>
      </c>
      <c r="I2381" s="14" t="n">
        <v>4.73254684557201</v>
      </c>
      <c r="J2381" s="14" t="n">
        <v>4.66578492085431</v>
      </c>
      <c r="K2381" s="14" t="n">
        <v>4.54111939080889</v>
      </c>
      <c r="L2381" s="14" t="n">
        <v>4.36680752601018</v>
      </c>
      <c r="M2381" s="14" t="n">
        <v>1.811</v>
      </c>
      <c r="N2381" s="14" t="n">
        <v>1.877</v>
      </c>
      <c r="O2381" s="14" t="n">
        <v>1.91</v>
      </c>
      <c r="P2381" s="14" t="n">
        <v>1.935</v>
      </c>
      <c r="Q2381" s="14" t="n">
        <v>4.5</v>
      </c>
      <c r="R2381" s="14" t="n">
        <v>4.5</v>
      </c>
      <c r="S2381" s="14" t="n">
        <v>10.75</v>
      </c>
    </row>
    <row r="2382" customFormat="false" ht="15" hidden="false" customHeight="false" outlineLevel="0" collapsed="false">
      <c r="A2382" s="13" t="n">
        <v>45602</v>
      </c>
      <c r="B2382" s="14" t="n">
        <v>4.81</v>
      </c>
      <c r="C2382" s="14" t="n">
        <v>5</v>
      </c>
      <c r="D2382" s="14" t="n">
        <v>4.75</v>
      </c>
      <c r="E2382" s="14" t="n">
        <v>3.162</v>
      </c>
      <c r="F2382" s="14" t="n">
        <v>3.25</v>
      </c>
      <c r="G2382" s="14" t="n">
        <v>5</v>
      </c>
      <c r="H2382" s="14" t="n">
        <v>4.95</v>
      </c>
      <c r="I2382" s="14" t="n">
        <v>4.71973396611541</v>
      </c>
      <c r="J2382" s="14" t="n">
        <v>4.65423472955581</v>
      </c>
      <c r="K2382" s="14" t="n">
        <v>4.52212918712885</v>
      </c>
      <c r="L2382" s="14" t="n">
        <v>4.34096671511514</v>
      </c>
      <c r="M2382" s="14" t="n">
        <v>1.808</v>
      </c>
      <c r="N2382" s="14" t="n">
        <v>1.876</v>
      </c>
      <c r="O2382" s="14" t="n">
        <v>1.907</v>
      </c>
      <c r="P2382" s="14" t="n">
        <v>1.93</v>
      </c>
      <c r="Q2382" s="14" t="n">
        <v>4.5</v>
      </c>
      <c r="R2382" s="14" t="n">
        <v>4.5</v>
      </c>
      <c r="S2382" s="14" t="n">
        <v>10.75</v>
      </c>
    </row>
    <row r="2383" customFormat="false" ht="15" hidden="false" customHeight="false" outlineLevel="0" collapsed="false">
      <c r="A2383" s="13" t="n">
        <v>45603</v>
      </c>
      <c r="B2383" s="14" t="n">
        <v>4.82</v>
      </c>
      <c r="C2383" s="14" t="n">
        <v>5</v>
      </c>
      <c r="D2383" s="14" t="n">
        <v>4.75</v>
      </c>
      <c r="E2383" s="14" t="n">
        <v>3.163</v>
      </c>
      <c r="F2383" s="14" t="n">
        <v>3.25</v>
      </c>
      <c r="G2383" s="14" t="n">
        <v>4.75</v>
      </c>
      <c r="H2383" s="14" t="n">
        <v>4.7</v>
      </c>
      <c r="I2383" s="14" t="n">
        <v>4.70362409195461</v>
      </c>
      <c r="J2383" s="14" t="n">
        <v>4.65542892447712</v>
      </c>
      <c r="K2383" s="14" t="n">
        <v>4.52684710735117</v>
      </c>
      <c r="L2383" s="14" t="n">
        <v>4.32051620511396</v>
      </c>
      <c r="M2383" s="14" t="n">
        <v>1.803</v>
      </c>
      <c r="N2383" s="14" t="n">
        <v>1.87</v>
      </c>
      <c r="O2383" s="14" t="n">
        <v>1.901</v>
      </c>
      <c r="P2383" s="14" t="n">
        <v>1.925</v>
      </c>
      <c r="Q2383" s="14" t="n">
        <v>4.5</v>
      </c>
      <c r="R2383" s="14" t="n">
        <v>4.5</v>
      </c>
      <c r="S2383" s="14" t="n">
        <v>11.25</v>
      </c>
    </row>
    <row r="2384" customFormat="false" ht="15" hidden="false" customHeight="false" outlineLevel="0" collapsed="false">
      <c r="A2384" s="13" t="n">
        <v>45604</v>
      </c>
      <c r="B2384" s="14" t="n">
        <v>4.6</v>
      </c>
      <c r="C2384" s="14" t="n">
        <v>4.75</v>
      </c>
      <c r="D2384" s="14" t="n">
        <v>4.5</v>
      </c>
      <c r="E2384" s="14" t="n">
        <v>3.163</v>
      </c>
      <c r="F2384" s="14" t="n">
        <v>3.25</v>
      </c>
      <c r="G2384" s="14" t="n">
        <v>4.75</v>
      </c>
      <c r="H2384" s="14" t="n">
        <v>4.7</v>
      </c>
      <c r="I2384" s="14" t="n">
        <v>4.701901745585</v>
      </c>
      <c r="J2384" s="14" t="n">
        <v>4.65357449036471</v>
      </c>
      <c r="K2384" s="14" t="n">
        <v>4.53356552767145</v>
      </c>
      <c r="L2384" s="14" t="n">
        <v>4.33901328103663</v>
      </c>
      <c r="M2384" s="14" t="n">
        <v>1.799</v>
      </c>
      <c r="N2384" s="14" t="n">
        <v>1.864</v>
      </c>
      <c r="O2384" s="14" t="n">
        <v>1.895</v>
      </c>
      <c r="P2384" s="14" t="n">
        <v>1.92</v>
      </c>
      <c r="Q2384" s="14" t="n">
        <v>4.5</v>
      </c>
      <c r="R2384" s="14" t="n">
        <v>4.5</v>
      </c>
      <c r="S2384" s="14" t="n">
        <v>11.25</v>
      </c>
    </row>
    <row r="2385" customFormat="false" ht="15" hidden="false" customHeight="false" outlineLevel="0" collapsed="false">
      <c r="A2385" s="13" t="n">
        <v>45607</v>
      </c>
      <c r="C2385" s="14" t="n">
        <v>4.75</v>
      </c>
      <c r="D2385" s="14" t="n">
        <v>4.5</v>
      </c>
      <c r="E2385" s="14" t="n">
        <v>3.162</v>
      </c>
      <c r="F2385" s="14" t="n">
        <v>3.25</v>
      </c>
      <c r="G2385" s="14" t="n">
        <v>4.75</v>
      </c>
      <c r="H2385" s="14" t="n">
        <v>4.7</v>
      </c>
      <c r="I2385" s="14" t="n">
        <v>4.7032945902624</v>
      </c>
      <c r="J2385" s="14" t="n">
        <v>4.64992684863838</v>
      </c>
      <c r="K2385" s="14" t="n">
        <v>4.52977536409881</v>
      </c>
      <c r="L2385" s="14" t="n">
        <v>4.34066260277079</v>
      </c>
      <c r="M2385" s="14" t="n">
        <v>1.797</v>
      </c>
      <c r="N2385" s="14" t="n">
        <v>1.862</v>
      </c>
      <c r="O2385" s="14" t="n">
        <v>1.893</v>
      </c>
      <c r="P2385" s="14" t="n">
        <v>1.916</v>
      </c>
      <c r="Q2385" s="14" t="n">
        <v>4.5</v>
      </c>
      <c r="R2385" s="14" t="n">
        <v>4.5</v>
      </c>
      <c r="S2385" s="14" t="n">
        <v>11.25</v>
      </c>
    </row>
    <row r="2386" customFormat="false" ht="15" hidden="false" customHeight="false" outlineLevel="0" collapsed="false">
      <c r="A2386" s="13" t="n">
        <v>45608</v>
      </c>
      <c r="B2386" s="14" t="n">
        <v>4.6</v>
      </c>
      <c r="C2386" s="14" t="n">
        <v>4.75</v>
      </c>
      <c r="D2386" s="14" t="n">
        <v>4.5</v>
      </c>
      <c r="E2386" s="14" t="n">
        <v>3.163</v>
      </c>
      <c r="F2386" s="14" t="n">
        <v>3.25</v>
      </c>
      <c r="G2386" s="14" t="n">
        <v>4.75</v>
      </c>
      <c r="H2386" s="14" t="n">
        <v>4.7</v>
      </c>
      <c r="I2386" s="14" t="n">
        <v>4.70249734694976</v>
      </c>
      <c r="J2386" s="14" t="n">
        <v>4.65761207687381</v>
      </c>
      <c r="K2386" s="14" t="n">
        <v>4.55347156722854</v>
      </c>
      <c r="L2386" s="14" t="n">
        <v>4.39225660210762</v>
      </c>
      <c r="M2386" s="14" t="n">
        <v>1.797</v>
      </c>
      <c r="N2386" s="14" t="n">
        <v>1.859</v>
      </c>
      <c r="O2386" s="14" t="n">
        <v>1.889</v>
      </c>
      <c r="P2386" s="14" t="n">
        <v>1.913</v>
      </c>
      <c r="Q2386" s="14" t="n">
        <v>4.5</v>
      </c>
      <c r="R2386" s="14" t="n">
        <v>4.5</v>
      </c>
      <c r="S2386" s="14" t="n">
        <v>11.25</v>
      </c>
    </row>
    <row r="2387" customFormat="false" ht="15" hidden="false" customHeight="false" outlineLevel="0" collapsed="false">
      <c r="A2387" s="13" t="n">
        <v>45609</v>
      </c>
      <c r="B2387" s="14" t="n">
        <v>4.59</v>
      </c>
      <c r="C2387" s="14" t="n">
        <v>4.75</v>
      </c>
      <c r="D2387" s="14" t="n">
        <v>4.5</v>
      </c>
      <c r="E2387" s="14" t="n">
        <v>3.164</v>
      </c>
      <c r="F2387" s="14" t="n">
        <v>3.25</v>
      </c>
      <c r="G2387" s="14" t="n">
        <v>4.75</v>
      </c>
      <c r="H2387" s="14" t="n">
        <v>4.7</v>
      </c>
      <c r="I2387" s="14" t="n">
        <v>4.70218990925887</v>
      </c>
      <c r="J2387" s="14" t="n">
        <v>4.65649688872882</v>
      </c>
      <c r="K2387" s="14" t="n">
        <v>4.55330589275939</v>
      </c>
      <c r="L2387" s="14" t="n">
        <v>4.39450693102994</v>
      </c>
      <c r="M2387" s="14" t="n">
        <v>1.797</v>
      </c>
      <c r="N2387" s="14" t="n">
        <v>1.859</v>
      </c>
      <c r="O2387" s="14" t="n">
        <v>1.884</v>
      </c>
      <c r="P2387" s="14" t="n">
        <v>1.907</v>
      </c>
      <c r="Q2387" s="14" t="n">
        <v>4.5</v>
      </c>
      <c r="R2387" s="14" t="n">
        <v>4.5</v>
      </c>
      <c r="S2387" s="14" t="n">
        <v>11.25</v>
      </c>
    </row>
    <row r="2388" customFormat="false" ht="15" hidden="false" customHeight="false" outlineLevel="0" collapsed="false">
      <c r="A2388" s="13" t="n">
        <v>45610</v>
      </c>
      <c r="B2388" s="14" t="n">
        <v>4.58</v>
      </c>
      <c r="C2388" s="14" t="n">
        <v>4.75</v>
      </c>
      <c r="D2388" s="14" t="n">
        <v>4.5</v>
      </c>
      <c r="E2388" s="14" t="n">
        <v>3.165</v>
      </c>
      <c r="F2388" s="14" t="n">
        <v>3.25</v>
      </c>
      <c r="G2388" s="14" t="n">
        <v>4.75</v>
      </c>
      <c r="H2388" s="14" t="n">
        <v>4.7</v>
      </c>
      <c r="I2388" s="14" t="n">
        <v>4.70291066543274</v>
      </c>
      <c r="J2388" s="14" t="n">
        <v>4.65533097170415</v>
      </c>
      <c r="K2388" s="14" t="n">
        <v>4.54822935825805</v>
      </c>
      <c r="L2388" s="14" t="n">
        <v>4.37256439824801</v>
      </c>
      <c r="M2388" s="14" t="n">
        <v>1.796</v>
      </c>
      <c r="N2388" s="14" t="n">
        <v>1.858</v>
      </c>
      <c r="O2388" s="14" t="n">
        <v>1.881</v>
      </c>
      <c r="P2388" s="14" t="n">
        <v>1.904</v>
      </c>
      <c r="Q2388" s="14" t="n">
        <v>4.5</v>
      </c>
      <c r="R2388" s="14" t="n">
        <v>4.5</v>
      </c>
      <c r="S2388" s="14" t="n">
        <v>11.25</v>
      </c>
    </row>
    <row r="2389" customFormat="false" ht="15" hidden="false" customHeight="false" outlineLevel="0" collapsed="false">
      <c r="A2389" s="13" t="n">
        <v>45611</v>
      </c>
      <c r="B2389" s="14" t="n">
        <v>4.57</v>
      </c>
      <c r="C2389" s="14" t="n">
        <v>4.75</v>
      </c>
      <c r="D2389" s="14" t="n">
        <v>4.5</v>
      </c>
      <c r="E2389" s="14" t="n">
        <v>3.165</v>
      </c>
      <c r="F2389" s="14" t="n">
        <v>3.25</v>
      </c>
      <c r="G2389" s="14" t="n">
        <v>4.75</v>
      </c>
      <c r="H2389" s="14" t="n">
        <v>4.7</v>
      </c>
      <c r="I2389" s="14" t="n">
        <v>4.70277747071115</v>
      </c>
      <c r="J2389" s="14" t="n">
        <v>4.65220836083274</v>
      </c>
      <c r="K2389" s="14" t="n">
        <v>4.53870640991256</v>
      </c>
      <c r="L2389" s="14" t="n">
        <v>4.35644104753602</v>
      </c>
      <c r="M2389" s="14" t="n">
        <v>1.796</v>
      </c>
      <c r="N2389" s="14" t="n">
        <v>1.856</v>
      </c>
      <c r="O2389" s="14" t="n">
        <v>1.878</v>
      </c>
      <c r="P2389" s="14" t="n">
        <v>1.899</v>
      </c>
      <c r="Q2389" s="14" t="n">
        <v>4.5</v>
      </c>
      <c r="R2389" s="14" t="n">
        <v>4.5</v>
      </c>
      <c r="S2389" s="14" t="n">
        <v>11.25</v>
      </c>
    </row>
    <row r="2390" customFormat="false" ht="15" hidden="false" customHeight="false" outlineLevel="0" collapsed="false">
      <c r="A2390" s="13" t="n">
        <v>45614</v>
      </c>
      <c r="B2390" s="14" t="n">
        <v>4.57</v>
      </c>
      <c r="C2390" s="14" t="n">
        <v>4.75</v>
      </c>
      <c r="D2390" s="14" t="n">
        <v>4.5</v>
      </c>
      <c r="E2390" s="14" t="n">
        <v>3.165</v>
      </c>
      <c r="F2390" s="14" t="n">
        <v>3.25</v>
      </c>
      <c r="G2390" s="14" t="n">
        <v>4.75</v>
      </c>
      <c r="H2390" s="14" t="n">
        <v>4.7</v>
      </c>
      <c r="I2390" s="14" t="n">
        <v>4.70291721711651</v>
      </c>
      <c r="J2390" s="14" t="n">
        <v>4.65018475460034</v>
      </c>
      <c r="K2390" s="14" t="n">
        <v>4.53761313374337</v>
      </c>
      <c r="L2390" s="14" t="n">
        <v>4.36050981268024</v>
      </c>
      <c r="M2390" s="14" t="n">
        <v>1.794</v>
      </c>
      <c r="N2390" s="14" t="n">
        <v>1.856</v>
      </c>
      <c r="O2390" s="14" t="n">
        <v>1.878</v>
      </c>
      <c r="P2390" s="14" t="n">
        <v>1.899</v>
      </c>
      <c r="Q2390" s="14" t="n">
        <v>4.5</v>
      </c>
      <c r="R2390" s="14" t="n">
        <v>4.5</v>
      </c>
      <c r="S2390" s="14" t="n">
        <v>11.25</v>
      </c>
    </row>
    <row r="2391" customFormat="false" ht="15" hidden="false" customHeight="false" outlineLevel="0" collapsed="false">
      <c r="A2391" s="13" t="n">
        <v>45615</v>
      </c>
      <c r="B2391" s="14" t="n">
        <v>4.57</v>
      </c>
      <c r="C2391" s="14" t="n">
        <v>4.75</v>
      </c>
      <c r="D2391" s="14" t="n">
        <v>4.5</v>
      </c>
      <c r="E2391" s="14" t="n">
        <v>3.166</v>
      </c>
      <c r="F2391" s="14" t="n">
        <v>3.25</v>
      </c>
      <c r="G2391" s="14" t="n">
        <v>4.75</v>
      </c>
      <c r="H2391" s="14" t="n">
        <v>4.7</v>
      </c>
      <c r="I2391" s="14" t="n">
        <v>4.70290416257092</v>
      </c>
      <c r="J2391" s="14" t="n">
        <v>4.64903392202111</v>
      </c>
      <c r="K2391" s="14" t="n">
        <v>4.53385718444601</v>
      </c>
      <c r="L2391" s="14" t="n">
        <v>4.35336423241038</v>
      </c>
      <c r="M2391" s="14" t="n">
        <v>1.792</v>
      </c>
      <c r="N2391" s="14" t="n">
        <v>1.856</v>
      </c>
      <c r="O2391" s="14" t="n">
        <v>1.879</v>
      </c>
      <c r="P2391" s="14" t="n">
        <v>1.898</v>
      </c>
      <c r="Q2391" s="14" t="n">
        <v>4.5</v>
      </c>
      <c r="R2391" s="14" t="n">
        <v>4.5</v>
      </c>
      <c r="S2391" s="14" t="n">
        <v>11.25</v>
      </c>
    </row>
    <row r="2392" customFormat="false" ht="15" hidden="false" customHeight="false" outlineLevel="0" collapsed="false">
      <c r="A2392" s="13" t="n">
        <v>45616</v>
      </c>
      <c r="B2392" s="14" t="n">
        <v>4.56</v>
      </c>
      <c r="C2392" s="14" t="n">
        <v>4.75</v>
      </c>
      <c r="D2392" s="14" t="n">
        <v>4.5</v>
      </c>
      <c r="E2392" s="14" t="n">
        <v>3.167</v>
      </c>
      <c r="F2392" s="14" t="n">
        <v>3.25</v>
      </c>
      <c r="G2392" s="14" t="n">
        <v>4.75</v>
      </c>
      <c r="H2392" s="14" t="n">
        <v>4.7</v>
      </c>
      <c r="I2392" s="14" t="n">
        <v>4.70301370356343</v>
      </c>
      <c r="J2392" s="14" t="n">
        <v>4.6540567846842</v>
      </c>
      <c r="K2392" s="14" t="n">
        <v>4.54217270559006</v>
      </c>
      <c r="L2392" s="14" t="n">
        <v>4.35638340351181</v>
      </c>
      <c r="M2392" s="14" t="n">
        <v>1.791</v>
      </c>
      <c r="N2392" s="14" t="n">
        <v>1.857</v>
      </c>
      <c r="O2392" s="14" t="n">
        <v>1.879</v>
      </c>
      <c r="P2392" s="14" t="n">
        <v>1.897</v>
      </c>
      <c r="Q2392" s="14" t="n">
        <v>4.5</v>
      </c>
      <c r="R2392" s="14" t="n">
        <v>4.5</v>
      </c>
      <c r="S2392" s="14" t="n">
        <v>11.25</v>
      </c>
    </row>
    <row r="2393" customFormat="false" ht="15" hidden="false" customHeight="false" outlineLevel="0" collapsed="false">
      <c r="A2393" s="13" t="n">
        <v>45617</v>
      </c>
      <c r="B2393" s="14" t="n">
        <v>4.57</v>
      </c>
      <c r="C2393" s="14" t="n">
        <v>4.75</v>
      </c>
      <c r="D2393" s="14" t="n">
        <v>4.5</v>
      </c>
      <c r="E2393" s="14" t="n">
        <v>3.167</v>
      </c>
      <c r="F2393" s="14" t="n">
        <v>3.25</v>
      </c>
      <c r="G2393" s="14" t="n">
        <v>4.75</v>
      </c>
      <c r="H2393" s="14" t="n">
        <v>4.7</v>
      </c>
      <c r="I2393" s="14" t="n">
        <v>4.70241187007786</v>
      </c>
      <c r="J2393" s="14" t="n">
        <v>4.65184263684288</v>
      </c>
      <c r="K2393" s="14" t="n">
        <v>4.53441850500955</v>
      </c>
      <c r="L2393" s="14" t="n">
        <v>4.33832656672004</v>
      </c>
      <c r="M2393" s="14" t="n">
        <v>1.792</v>
      </c>
      <c r="N2393" s="14" t="n">
        <v>1.86</v>
      </c>
      <c r="O2393" s="14" t="n">
        <v>1.88</v>
      </c>
      <c r="P2393" s="14" t="n">
        <v>1.898</v>
      </c>
      <c r="Q2393" s="14" t="n">
        <v>4.5</v>
      </c>
      <c r="R2393" s="14" t="n">
        <v>4.5</v>
      </c>
      <c r="S2393" s="14" t="n">
        <v>11.25</v>
      </c>
    </row>
    <row r="2394" customFormat="false" ht="15" hidden="false" customHeight="false" outlineLevel="0" collapsed="false">
      <c r="A2394" s="13" t="n">
        <v>45618</v>
      </c>
      <c r="B2394" s="14" t="n">
        <v>4.57</v>
      </c>
      <c r="C2394" s="14" t="n">
        <v>4.75</v>
      </c>
      <c r="D2394" s="14" t="n">
        <v>4.5</v>
      </c>
      <c r="E2394" s="14" t="n">
        <v>3.168</v>
      </c>
      <c r="F2394" s="14" t="n">
        <v>3.25</v>
      </c>
      <c r="G2394" s="14" t="n">
        <v>4.75</v>
      </c>
      <c r="H2394" s="14" t="n">
        <v>4.7</v>
      </c>
      <c r="I2394" s="14" t="n">
        <v>4.70125733532907</v>
      </c>
      <c r="J2394" s="14" t="n">
        <v>4.6383276579835</v>
      </c>
      <c r="K2394" s="14" t="n">
        <v>4.50614840706267</v>
      </c>
      <c r="L2394" s="14" t="n">
        <v>4.29672836771477</v>
      </c>
      <c r="M2394" s="14" t="n">
        <v>1.789</v>
      </c>
      <c r="N2394" s="14" t="n">
        <v>1.86</v>
      </c>
      <c r="O2394" s="14" t="n">
        <v>1.878</v>
      </c>
      <c r="P2394" s="14" t="n">
        <v>1.898</v>
      </c>
      <c r="Q2394" s="14" t="n">
        <v>4.5</v>
      </c>
      <c r="R2394" s="14" t="n">
        <v>4.5</v>
      </c>
      <c r="S2394" s="14" t="n">
        <v>11.25</v>
      </c>
    </row>
    <row r="2395" customFormat="false" ht="15" hidden="false" customHeight="false" outlineLevel="0" collapsed="false">
      <c r="A2395" s="13" t="n">
        <v>45621</v>
      </c>
      <c r="B2395" s="14" t="n">
        <v>4.58</v>
      </c>
      <c r="C2395" s="14" t="n">
        <v>4.75</v>
      </c>
      <c r="D2395" s="14" t="n">
        <v>4.5</v>
      </c>
      <c r="E2395" s="14" t="n">
        <v>3.167</v>
      </c>
      <c r="F2395" s="14" t="n">
        <v>3.25</v>
      </c>
      <c r="G2395" s="14" t="n">
        <v>4.75</v>
      </c>
      <c r="H2395" s="14" t="n">
        <v>4.7</v>
      </c>
      <c r="I2395" s="14" t="n">
        <v>4.70006334708862</v>
      </c>
      <c r="J2395" s="14" t="n">
        <v>4.63643284779914</v>
      </c>
      <c r="K2395" s="14" t="n">
        <v>4.50680423330572</v>
      </c>
      <c r="L2395" s="14" t="n">
        <v>4.30198888623977</v>
      </c>
      <c r="M2395" s="14" t="n">
        <v>1.787</v>
      </c>
      <c r="N2395" s="14" t="n">
        <v>1.86</v>
      </c>
      <c r="O2395" s="14" t="n">
        <v>1.879</v>
      </c>
      <c r="P2395" s="14" t="n">
        <v>1.899</v>
      </c>
      <c r="Q2395" s="14" t="n">
        <v>4.5</v>
      </c>
      <c r="R2395" s="14" t="n">
        <v>4.5</v>
      </c>
      <c r="S2395" s="14" t="n">
        <v>11.25</v>
      </c>
    </row>
    <row r="2396" customFormat="false" ht="15" hidden="false" customHeight="false" outlineLevel="0" collapsed="false">
      <c r="A2396" s="13" t="n">
        <v>45622</v>
      </c>
      <c r="B2396" s="14" t="n">
        <v>4.58</v>
      </c>
      <c r="C2396" s="14" t="n">
        <v>4.75</v>
      </c>
      <c r="D2396" s="14" t="n">
        <v>4.5</v>
      </c>
      <c r="E2396" s="14" t="n">
        <v>3.165</v>
      </c>
      <c r="F2396" s="14" t="n">
        <v>3.25</v>
      </c>
      <c r="G2396" s="14" t="n">
        <v>4.75</v>
      </c>
      <c r="H2396" s="14" t="n">
        <v>4.7</v>
      </c>
      <c r="I2396" s="14" t="n">
        <v>4.69994646247066</v>
      </c>
      <c r="J2396" s="14" t="n">
        <v>4.63444732992207</v>
      </c>
      <c r="K2396" s="14" t="n">
        <v>4.50465945124661</v>
      </c>
      <c r="L2396" s="14" t="n">
        <v>4.30079180012455</v>
      </c>
      <c r="M2396" s="14" t="n">
        <v>1.785</v>
      </c>
      <c r="N2396" s="14" t="n">
        <v>1.86</v>
      </c>
      <c r="O2396" s="14" t="n">
        <v>1.879</v>
      </c>
      <c r="P2396" s="14" t="n">
        <v>1.899</v>
      </c>
      <c r="Q2396" s="14" t="n">
        <v>4.5</v>
      </c>
      <c r="R2396" s="14" t="n">
        <v>4.5</v>
      </c>
      <c r="S2396" s="14" t="n">
        <v>11.25</v>
      </c>
    </row>
    <row r="2397" customFormat="false" ht="15" hidden="false" customHeight="false" outlineLevel="0" collapsed="false">
      <c r="A2397" s="13" t="n">
        <v>45623</v>
      </c>
      <c r="B2397" s="14" t="n">
        <v>4.57</v>
      </c>
      <c r="C2397" s="14" t="n">
        <v>4.75</v>
      </c>
      <c r="D2397" s="14" t="n">
        <v>4.5</v>
      </c>
      <c r="E2397" s="14" t="n">
        <v>3.165</v>
      </c>
      <c r="F2397" s="14" t="n">
        <v>3.25</v>
      </c>
      <c r="G2397" s="14" t="n">
        <v>4.75</v>
      </c>
      <c r="H2397" s="14" t="n">
        <v>4.7</v>
      </c>
      <c r="I2397" s="14" t="n">
        <v>4.69936625307357</v>
      </c>
      <c r="J2397" s="14" t="n">
        <v>4.6341401262182</v>
      </c>
      <c r="K2397" s="14" t="n">
        <v>4.50619311191966</v>
      </c>
      <c r="L2397" s="14" t="n">
        <v>4.30408855771389</v>
      </c>
      <c r="M2397" s="14" t="n">
        <v>1.784</v>
      </c>
      <c r="N2397" s="14" t="n">
        <v>1.859</v>
      </c>
      <c r="O2397" s="14" t="n">
        <v>1.879</v>
      </c>
      <c r="P2397" s="14" t="n">
        <v>1.899</v>
      </c>
      <c r="Q2397" s="14" t="n">
        <v>4.5</v>
      </c>
      <c r="R2397" s="14" t="n">
        <v>4.5</v>
      </c>
      <c r="S2397" s="14" t="n">
        <v>11.25</v>
      </c>
    </row>
    <row r="2398" customFormat="false" ht="15" hidden="false" customHeight="false" outlineLevel="0" collapsed="false">
      <c r="A2398" s="13" t="n">
        <v>45624</v>
      </c>
      <c r="C2398" s="14" t="n">
        <v>4.75</v>
      </c>
      <c r="D2398" s="14" t="n">
        <v>4.5</v>
      </c>
      <c r="E2398" s="14" t="n">
        <v>3.164</v>
      </c>
      <c r="F2398" s="14" t="n">
        <v>3.25</v>
      </c>
      <c r="G2398" s="14" t="n">
        <v>4.75</v>
      </c>
      <c r="H2398" s="14" t="n">
        <v>4.7</v>
      </c>
      <c r="I2398" s="14" t="n">
        <v>4.69927872537289</v>
      </c>
      <c r="J2398" s="14" t="n">
        <v>4.63497523887335</v>
      </c>
      <c r="K2398" s="14" t="n">
        <v>4.50637387306773</v>
      </c>
      <c r="L2398" s="14" t="n">
        <v>4.300619736842</v>
      </c>
      <c r="M2398" s="14" t="n">
        <v>1.779</v>
      </c>
      <c r="N2398" s="14" t="n">
        <v>1.858</v>
      </c>
      <c r="O2398" s="14" t="n">
        <v>1.879</v>
      </c>
      <c r="P2398" s="14" t="n">
        <v>1.899</v>
      </c>
      <c r="Q2398" s="14" t="n">
        <v>4.5</v>
      </c>
      <c r="R2398" s="14" t="n">
        <v>4.5</v>
      </c>
      <c r="S2398" s="14" t="n">
        <v>11.25</v>
      </c>
    </row>
    <row r="2399" customFormat="false" ht="15" hidden="false" customHeight="false" outlineLevel="0" collapsed="false">
      <c r="A2399" s="13" t="n">
        <v>45625</v>
      </c>
      <c r="B2399" s="14" t="n">
        <v>4.59</v>
      </c>
      <c r="C2399" s="14" t="n">
        <v>4.75</v>
      </c>
      <c r="D2399" s="14" t="n">
        <v>4.5</v>
      </c>
      <c r="E2399" s="14" t="n">
        <v>3.163</v>
      </c>
      <c r="F2399" s="14" t="n">
        <v>3.25</v>
      </c>
      <c r="G2399" s="14" t="n">
        <v>4.75</v>
      </c>
      <c r="H2399" s="14" t="n">
        <v>4.7</v>
      </c>
      <c r="I2399" s="14" t="n">
        <v>4.69857715361256</v>
      </c>
      <c r="J2399" s="14" t="n">
        <v>4.63102648230463</v>
      </c>
      <c r="K2399" s="14" t="n">
        <v>4.49765343826906</v>
      </c>
      <c r="L2399" s="14" t="n">
        <v>4.28461672198667</v>
      </c>
      <c r="M2399" s="14" t="n">
        <v>1.772</v>
      </c>
      <c r="N2399" s="14" t="n">
        <v>1.852</v>
      </c>
      <c r="O2399" s="14" t="n">
        <v>1.871</v>
      </c>
      <c r="P2399" s="14" t="n">
        <v>1.893</v>
      </c>
      <c r="Q2399" s="14" t="n">
        <v>4.5</v>
      </c>
      <c r="R2399" s="14" t="n">
        <v>4.5</v>
      </c>
      <c r="S2399" s="14" t="n">
        <v>11.25</v>
      </c>
    </row>
    <row r="2400" customFormat="false" ht="15" hidden="false" customHeight="false" outlineLevel="0" collapsed="false">
      <c r="A2400" s="13" t="n">
        <v>45628</v>
      </c>
      <c r="B2400" s="14" t="n">
        <v>4.64</v>
      </c>
      <c r="C2400" s="14" t="n">
        <v>4.75</v>
      </c>
      <c r="D2400" s="14" t="n">
        <v>4.5</v>
      </c>
      <c r="E2400" s="14" t="n">
        <v>3.165</v>
      </c>
      <c r="F2400" s="14" t="n">
        <v>3.25</v>
      </c>
      <c r="G2400" s="14" t="n">
        <v>4.75</v>
      </c>
      <c r="H2400" s="14" t="n">
        <v>4.7</v>
      </c>
      <c r="I2400" s="14" t="n">
        <v>4.69671592426766</v>
      </c>
      <c r="J2400" s="14" t="n">
        <v>4.62565939781365</v>
      </c>
      <c r="K2400" s="14" t="n">
        <v>4.48649402455732</v>
      </c>
      <c r="L2400" s="14" t="n">
        <v>4.26574491435458</v>
      </c>
      <c r="M2400" s="14" t="n">
        <v>1.754</v>
      </c>
      <c r="N2400" s="14" t="n">
        <v>1.825</v>
      </c>
      <c r="O2400" s="14" t="n">
        <v>1.848</v>
      </c>
      <c r="P2400" s="14" t="n">
        <v>1.868</v>
      </c>
      <c r="Q2400" s="14" t="n">
        <v>4.5</v>
      </c>
      <c r="R2400" s="14" t="n">
        <v>4.5</v>
      </c>
      <c r="S2400" s="14" t="n">
        <v>11.25</v>
      </c>
    </row>
    <row r="2401" customFormat="false" ht="15" hidden="false" customHeight="false" outlineLevel="0" collapsed="false">
      <c r="A2401" s="13" t="n">
        <v>45629</v>
      </c>
      <c r="B2401" s="14" t="n">
        <v>4.64</v>
      </c>
      <c r="C2401" s="14" t="n">
        <v>4.75</v>
      </c>
      <c r="D2401" s="14" t="n">
        <v>4.5</v>
      </c>
      <c r="E2401" s="14" t="n">
        <v>3.164</v>
      </c>
      <c r="F2401" s="14" t="n">
        <v>3.25</v>
      </c>
      <c r="G2401" s="14" t="n">
        <v>4.75</v>
      </c>
      <c r="H2401" s="14" t="n">
        <v>4.7</v>
      </c>
      <c r="I2401" s="14" t="n">
        <v>4.69690103388529</v>
      </c>
      <c r="J2401" s="14" t="n">
        <v>4.62629394659684</v>
      </c>
      <c r="K2401" s="14" t="n">
        <v>4.48684425281079</v>
      </c>
      <c r="L2401" s="14" t="n">
        <v>4.26283804384325</v>
      </c>
      <c r="M2401" s="14" t="n">
        <v>1.736</v>
      </c>
      <c r="N2401" s="14" t="n">
        <v>1.795</v>
      </c>
      <c r="O2401" s="14" t="n">
        <v>1.815</v>
      </c>
      <c r="P2401" s="14" t="n">
        <v>1.835</v>
      </c>
      <c r="Q2401" s="14" t="n">
        <v>4.5</v>
      </c>
      <c r="R2401" s="14" t="n">
        <v>4.5</v>
      </c>
      <c r="S2401" s="14" t="n">
        <v>11.25</v>
      </c>
    </row>
    <row r="2402" customFormat="false" ht="15" hidden="false" customHeight="false" outlineLevel="0" collapsed="false">
      <c r="A2402" s="13" t="n">
        <v>45630</v>
      </c>
      <c r="B2402" s="14" t="n">
        <v>4.59</v>
      </c>
      <c r="C2402" s="14" t="n">
        <v>4.75</v>
      </c>
      <c r="D2402" s="14" t="n">
        <v>4.5</v>
      </c>
      <c r="E2402" s="14" t="n">
        <v>3.165</v>
      </c>
      <c r="F2402" s="14" t="n">
        <v>3.25</v>
      </c>
      <c r="G2402" s="14" t="n">
        <v>4.75</v>
      </c>
      <c r="H2402" s="14" t="n">
        <v>4.7</v>
      </c>
      <c r="I2402" s="14" t="n">
        <v>4.69535191232365</v>
      </c>
      <c r="J2402" s="14" t="n">
        <v>4.62557442029094</v>
      </c>
      <c r="K2402" s="14" t="n">
        <v>4.48797895951427</v>
      </c>
      <c r="L2402" s="14" t="n">
        <v>4.26407824141065</v>
      </c>
      <c r="M2402" s="14" t="n">
        <v>1.716</v>
      </c>
      <c r="N2402" s="14" t="n">
        <v>1.772</v>
      </c>
      <c r="O2402" s="14" t="n">
        <v>1.792</v>
      </c>
      <c r="P2402" s="14" t="n">
        <v>1.815</v>
      </c>
      <c r="Q2402" s="14" t="n">
        <v>4.5</v>
      </c>
      <c r="R2402" s="14" t="n">
        <v>4.5</v>
      </c>
      <c r="S2402" s="14" t="n">
        <v>11.25</v>
      </c>
    </row>
    <row r="2403" customFormat="false" ht="15" hidden="false" customHeight="false" outlineLevel="0" collapsed="false">
      <c r="A2403" s="13" t="n">
        <v>45631</v>
      </c>
      <c r="B2403" s="14" t="n">
        <v>4.59</v>
      </c>
      <c r="C2403" s="14" t="n">
        <v>4.75</v>
      </c>
      <c r="D2403" s="14" t="n">
        <v>4.5</v>
      </c>
      <c r="E2403" s="14" t="n">
        <v>3.165</v>
      </c>
      <c r="F2403" s="14" t="n">
        <v>3.25</v>
      </c>
      <c r="G2403" s="14" t="n">
        <v>4.75</v>
      </c>
      <c r="H2403" s="14" t="n">
        <v>4.7</v>
      </c>
      <c r="I2403" s="14" t="n">
        <v>4.69622372612569</v>
      </c>
      <c r="J2403" s="14" t="n">
        <v>4.62710057425599</v>
      </c>
      <c r="K2403" s="14" t="n">
        <v>4.49440717603557</v>
      </c>
      <c r="L2403" s="14" t="n">
        <v>4.28312873304731</v>
      </c>
      <c r="M2403" s="14" t="n">
        <v>1.711</v>
      </c>
      <c r="N2403" s="14" t="n">
        <v>1.762</v>
      </c>
      <c r="O2403" s="14" t="n">
        <v>1.78</v>
      </c>
      <c r="P2403" s="14" t="n">
        <v>1.807</v>
      </c>
      <c r="Q2403" s="14" t="n">
        <v>4.5</v>
      </c>
      <c r="R2403" s="14" t="n">
        <v>4.5</v>
      </c>
      <c r="S2403" s="14" t="n">
        <v>11.25</v>
      </c>
    </row>
    <row r="2404" customFormat="false" ht="15" hidden="false" customHeight="false" outlineLevel="0" collapsed="false">
      <c r="A2404" s="13" t="n">
        <v>45632</v>
      </c>
      <c r="B2404" s="14" t="n">
        <v>4.6</v>
      </c>
      <c r="C2404" s="14" t="n">
        <v>4.75</v>
      </c>
      <c r="D2404" s="14" t="n">
        <v>4.5</v>
      </c>
      <c r="E2404" s="14" t="n">
        <v>3.165</v>
      </c>
      <c r="F2404" s="14" t="n">
        <v>3.25</v>
      </c>
      <c r="G2404" s="14" t="n">
        <v>4.75</v>
      </c>
      <c r="H2404" s="14" t="n">
        <v>4.7</v>
      </c>
      <c r="I2404" s="14" t="n">
        <v>4.7011991383554</v>
      </c>
      <c r="J2404" s="14" t="n">
        <v>4.63205891133795</v>
      </c>
      <c r="K2404" s="14" t="n">
        <v>4.49590493889716</v>
      </c>
      <c r="L2404" s="14" t="n">
        <v>4.28082111083934</v>
      </c>
      <c r="M2404" s="14" t="n">
        <v>1.711</v>
      </c>
      <c r="N2404" s="14" t="n">
        <v>1.755</v>
      </c>
      <c r="O2404" s="14" t="n">
        <v>1.774</v>
      </c>
      <c r="P2404" s="14" t="n">
        <v>1.803</v>
      </c>
      <c r="Q2404" s="14" t="n">
        <v>4.5</v>
      </c>
      <c r="R2404" s="14" t="n">
        <v>4.5</v>
      </c>
      <c r="S2404" s="14" t="n">
        <v>11.25</v>
      </c>
    </row>
    <row r="2405" customFormat="false" ht="15" hidden="false" customHeight="false" outlineLevel="0" collapsed="false">
      <c r="A2405" s="13" t="n">
        <v>45635</v>
      </c>
      <c r="B2405" s="14" t="n">
        <v>4.63</v>
      </c>
      <c r="C2405" s="14" t="n">
        <v>4.75</v>
      </c>
      <c r="D2405" s="14" t="n">
        <v>4.5</v>
      </c>
      <c r="E2405" s="14" t="n">
        <v>3.164</v>
      </c>
      <c r="F2405" s="14" t="n">
        <v>3.25</v>
      </c>
      <c r="G2405" s="14" t="n">
        <v>4.75</v>
      </c>
      <c r="H2405" s="14" t="n">
        <v>4.7</v>
      </c>
      <c r="I2405" s="14" t="n">
        <v>4.69433860963931</v>
      </c>
      <c r="J2405" s="14" t="n">
        <v>4.6203682801594</v>
      </c>
      <c r="K2405" s="14" t="n">
        <v>4.4806565340227</v>
      </c>
      <c r="L2405" s="14" t="n">
        <v>4.25779834527565</v>
      </c>
      <c r="M2405" s="14" t="n">
        <v>1.71</v>
      </c>
      <c r="N2405" s="14" t="n">
        <v>1.753</v>
      </c>
      <c r="O2405" s="14" t="n">
        <v>1.77</v>
      </c>
      <c r="P2405" s="14" t="n">
        <v>1.8</v>
      </c>
      <c r="Q2405" s="14" t="n">
        <v>4.5</v>
      </c>
      <c r="R2405" s="14" t="n">
        <v>4.5</v>
      </c>
      <c r="S2405" s="14" t="n">
        <v>11.25</v>
      </c>
    </row>
    <row r="2406" customFormat="false" ht="15" hidden="false" customHeight="false" outlineLevel="0" collapsed="false">
      <c r="A2406" s="13" t="n">
        <v>45636</v>
      </c>
      <c r="B2406" s="14" t="n">
        <v>4.64</v>
      </c>
      <c r="C2406" s="14" t="n">
        <v>4.75</v>
      </c>
      <c r="D2406" s="14" t="n">
        <v>4.5</v>
      </c>
      <c r="E2406" s="14" t="n">
        <v>3.163</v>
      </c>
      <c r="F2406" s="14" t="n">
        <v>3.25</v>
      </c>
      <c r="G2406" s="14" t="n">
        <v>4.75</v>
      </c>
      <c r="H2406" s="14" t="n">
        <v>4.7</v>
      </c>
      <c r="I2406" s="14" t="n">
        <v>4.69345702441525</v>
      </c>
      <c r="J2406" s="14" t="n">
        <v>4.61832196030108</v>
      </c>
      <c r="K2406" s="14" t="n">
        <v>4.48165191860557</v>
      </c>
      <c r="L2406" s="14" t="n">
        <v>4.26882369112043</v>
      </c>
      <c r="M2406" s="14" t="n">
        <v>1.711</v>
      </c>
      <c r="N2406" s="14" t="n">
        <v>1.748</v>
      </c>
      <c r="O2406" s="14" t="n">
        <v>1.765</v>
      </c>
      <c r="P2406" s="14" t="n">
        <v>1.793</v>
      </c>
      <c r="Q2406" s="14" t="n">
        <v>4.5</v>
      </c>
      <c r="R2406" s="14" t="n">
        <v>4.5</v>
      </c>
      <c r="S2406" s="14" t="n">
        <v>11.25</v>
      </c>
    </row>
    <row r="2407" customFormat="false" ht="15" hidden="false" customHeight="false" outlineLevel="0" collapsed="false">
      <c r="A2407" s="13" t="n">
        <v>45637</v>
      </c>
      <c r="B2407" s="14" t="n">
        <v>4.62</v>
      </c>
      <c r="C2407" s="14" t="n">
        <v>4.75</v>
      </c>
      <c r="D2407" s="14" t="n">
        <v>4.5</v>
      </c>
      <c r="E2407" s="14" t="n">
        <v>3.164</v>
      </c>
      <c r="F2407" s="14" t="n">
        <v>3.25</v>
      </c>
      <c r="G2407" s="14" t="n">
        <v>4.75</v>
      </c>
      <c r="H2407" s="14" t="n">
        <v>4.7</v>
      </c>
      <c r="I2407" s="14" t="n">
        <v>4.69508150295925</v>
      </c>
      <c r="J2407" s="14" t="n">
        <v>4.61811174441836</v>
      </c>
      <c r="K2407" s="14" t="n">
        <v>4.47866788458802</v>
      </c>
      <c r="L2407" s="14" t="n">
        <v>4.26267576631318</v>
      </c>
      <c r="M2407" s="14" t="n">
        <v>1.711</v>
      </c>
      <c r="N2407" s="14" t="n">
        <v>1.744</v>
      </c>
      <c r="O2407" s="14" t="n">
        <v>1.759</v>
      </c>
      <c r="P2407" s="14" t="n">
        <v>1.785</v>
      </c>
      <c r="Q2407" s="14" t="n">
        <v>4.5</v>
      </c>
      <c r="R2407" s="14" t="n">
        <v>4.5</v>
      </c>
      <c r="S2407" s="14" t="n">
        <v>11.25</v>
      </c>
    </row>
    <row r="2408" customFormat="false" ht="15" hidden="false" customHeight="false" outlineLevel="0" collapsed="false">
      <c r="A2408" s="13" t="n">
        <v>45638</v>
      </c>
      <c r="B2408" s="14" t="n">
        <v>4.62</v>
      </c>
      <c r="C2408" s="14" t="n">
        <v>4.75</v>
      </c>
      <c r="D2408" s="14" t="n">
        <v>4.5</v>
      </c>
      <c r="E2408" s="14" t="n">
        <v>3.164</v>
      </c>
      <c r="F2408" s="14" t="n">
        <v>3.25</v>
      </c>
      <c r="G2408" s="14" t="n">
        <v>4.75</v>
      </c>
      <c r="H2408" s="14" t="n">
        <v>4.7</v>
      </c>
      <c r="I2408" s="14" t="n">
        <v>4.69083582127107</v>
      </c>
      <c r="J2408" s="14" t="n">
        <v>4.61473752973815</v>
      </c>
      <c r="K2408" s="14" t="n">
        <v>4.4799164823133</v>
      </c>
      <c r="L2408" s="14" t="n">
        <v>4.27452390476169</v>
      </c>
      <c r="M2408" s="14" t="n">
        <v>1.712</v>
      </c>
      <c r="N2408" s="14" t="n">
        <v>1.74</v>
      </c>
      <c r="O2408" s="14" t="n">
        <v>1.753</v>
      </c>
      <c r="P2408" s="14" t="n">
        <v>1.78</v>
      </c>
      <c r="Q2408" s="14" t="n">
        <v>4.5</v>
      </c>
      <c r="R2408" s="14" t="n">
        <v>4.5</v>
      </c>
      <c r="S2408" s="14" t="n">
        <v>12.25</v>
      </c>
    </row>
    <row r="2409" customFormat="false" ht="15" hidden="false" customHeight="false" outlineLevel="0" collapsed="false">
      <c r="A2409" s="13" t="n">
        <v>45639</v>
      </c>
      <c r="B2409" s="14" t="n">
        <v>4.6</v>
      </c>
      <c r="C2409" s="14" t="n">
        <v>4.75</v>
      </c>
      <c r="D2409" s="14" t="n">
        <v>4.5</v>
      </c>
      <c r="E2409" s="14" t="n">
        <v>3.167</v>
      </c>
      <c r="F2409" s="14" t="n">
        <v>3.25</v>
      </c>
      <c r="G2409" s="14" t="n">
        <v>4.75</v>
      </c>
      <c r="H2409" s="14" t="n">
        <v>4.7</v>
      </c>
      <c r="I2409" s="14" t="n">
        <v>4.68399059196393</v>
      </c>
      <c r="J2409" s="14" t="n">
        <v>4.60987768097835</v>
      </c>
      <c r="K2409" s="14" t="n">
        <v>4.48179120149386</v>
      </c>
      <c r="L2409" s="14" t="n">
        <v>4.28365170597649</v>
      </c>
      <c r="M2409" s="14" t="n">
        <v>1.71</v>
      </c>
      <c r="N2409" s="14" t="n">
        <v>1.735</v>
      </c>
      <c r="O2409" s="14" t="n">
        <v>1.744</v>
      </c>
      <c r="P2409" s="14" t="n">
        <v>1.774</v>
      </c>
      <c r="Q2409" s="14" t="n">
        <v>4.5</v>
      </c>
      <c r="R2409" s="14" t="n">
        <v>4.5</v>
      </c>
      <c r="S2409" s="14" t="n">
        <v>12.25</v>
      </c>
    </row>
    <row r="2410" customFormat="false" ht="15" hidden="false" customHeight="false" outlineLevel="0" collapsed="false">
      <c r="A2410" s="13" t="n">
        <v>45642</v>
      </c>
      <c r="B2410" s="14" t="n">
        <v>4.65</v>
      </c>
      <c r="C2410" s="14" t="n">
        <v>4.75</v>
      </c>
      <c r="D2410" s="14" t="n">
        <v>4.5</v>
      </c>
      <c r="E2410" s="14" t="n">
        <v>3.165</v>
      </c>
      <c r="F2410" s="14" t="n">
        <v>3.25</v>
      </c>
      <c r="G2410" s="14" t="n">
        <v>4.75</v>
      </c>
      <c r="H2410" s="14" t="n">
        <v>4.7</v>
      </c>
      <c r="I2410" s="14" t="n">
        <v>4.68207787960311</v>
      </c>
      <c r="J2410" s="14" t="n">
        <v>4.60362990674414</v>
      </c>
      <c r="K2410" s="14" t="n">
        <v>4.47636303924216</v>
      </c>
      <c r="L2410" s="14" t="n">
        <v>4.28883411578958</v>
      </c>
      <c r="M2410" s="14" t="n">
        <v>1.708</v>
      </c>
      <c r="N2410" s="14" t="n">
        <v>1.725</v>
      </c>
      <c r="O2410" s="14" t="n">
        <v>1.733</v>
      </c>
      <c r="P2410" s="14" t="n">
        <v>1.76</v>
      </c>
      <c r="Q2410" s="14" t="n">
        <v>4.5</v>
      </c>
      <c r="R2410" s="14" t="n">
        <v>4.5</v>
      </c>
      <c r="S2410" s="14" t="n">
        <v>12.25</v>
      </c>
    </row>
    <row r="2411" customFormat="false" ht="15" hidden="false" customHeight="false" outlineLevel="0" collapsed="false">
      <c r="A2411" s="13" t="n">
        <v>45643</v>
      </c>
      <c r="B2411" s="14" t="n">
        <v>4.62</v>
      </c>
      <c r="C2411" s="14" t="n">
        <v>4.75</v>
      </c>
      <c r="D2411" s="14" t="n">
        <v>4.5</v>
      </c>
      <c r="E2411" s="14" t="n">
        <v>3.164</v>
      </c>
      <c r="F2411" s="14" t="n">
        <v>3.25</v>
      </c>
      <c r="G2411" s="14" t="n">
        <v>4.75</v>
      </c>
      <c r="H2411" s="14" t="n">
        <v>4.7</v>
      </c>
      <c r="I2411" s="14" t="n">
        <v>4.69683701088448</v>
      </c>
      <c r="J2411" s="14" t="n">
        <v>4.6386184250141</v>
      </c>
      <c r="K2411" s="14" t="n">
        <v>4.54983100574616</v>
      </c>
      <c r="L2411" s="14" t="n">
        <v>4.40865858015006</v>
      </c>
      <c r="M2411" s="14" t="n">
        <v>1.706</v>
      </c>
      <c r="N2411" s="14" t="n">
        <v>1.718</v>
      </c>
      <c r="O2411" s="14" t="n">
        <v>1.726</v>
      </c>
      <c r="P2411" s="14" t="n">
        <v>1.754</v>
      </c>
      <c r="Q2411" s="14" t="n">
        <v>4.5</v>
      </c>
      <c r="R2411" s="14" t="n">
        <v>4.5</v>
      </c>
      <c r="S2411" s="14" t="n">
        <v>12.25</v>
      </c>
    </row>
    <row r="2412" customFormat="false" ht="15" hidden="false" customHeight="false" outlineLevel="0" collapsed="false">
      <c r="A2412" s="13" t="n">
        <v>45644</v>
      </c>
      <c r="B2412" s="14" t="n">
        <v>4.57</v>
      </c>
      <c r="C2412" s="14" t="n">
        <v>4.75</v>
      </c>
      <c r="D2412" s="14" t="n">
        <v>4.5</v>
      </c>
      <c r="E2412" s="14" t="n">
        <v>2.917</v>
      </c>
      <c r="F2412" s="14" t="n">
        <v>3</v>
      </c>
      <c r="G2412" s="14" t="n">
        <v>4.75</v>
      </c>
      <c r="H2412" s="14" t="n">
        <v>4.7</v>
      </c>
      <c r="I2412" s="14" t="n">
        <v>4.69635887730888</v>
      </c>
      <c r="J2412" s="14" t="n">
        <v>4.63384057450351</v>
      </c>
      <c r="K2412" s="14" t="n">
        <v>4.54466768569159</v>
      </c>
      <c r="L2412" s="14" t="n">
        <v>4.41751641700419</v>
      </c>
      <c r="M2412" s="14" t="n">
        <v>1.704</v>
      </c>
      <c r="N2412" s="14" t="n">
        <v>1.715</v>
      </c>
      <c r="O2412" s="14" t="n">
        <v>1.724</v>
      </c>
      <c r="P2412" s="14" t="n">
        <v>1.748</v>
      </c>
      <c r="Q2412" s="14" t="n">
        <v>4.5</v>
      </c>
      <c r="R2412" s="14" t="n">
        <v>4.5</v>
      </c>
      <c r="S2412" s="14" t="n">
        <v>12.25</v>
      </c>
    </row>
    <row r="2413" customFormat="false" ht="15" hidden="false" customHeight="false" outlineLevel="0" collapsed="false">
      <c r="A2413" s="13" t="n">
        <v>45645</v>
      </c>
      <c r="B2413" s="14" t="n">
        <v>4.3</v>
      </c>
      <c r="C2413" s="14" t="n">
        <v>4.5</v>
      </c>
      <c r="D2413" s="14" t="n">
        <v>4.25</v>
      </c>
      <c r="E2413" s="14" t="n">
        <v>2.919</v>
      </c>
      <c r="F2413" s="14" t="n">
        <v>3</v>
      </c>
      <c r="G2413" s="14" t="n">
        <v>4.75</v>
      </c>
      <c r="H2413" s="14" t="n">
        <v>4.7</v>
      </c>
      <c r="I2413" s="14" t="n">
        <v>4.69642779753026</v>
      </c>
      <c r="J2413" s="14" t="n">
        <v>4.6224061532173</v>
      </c>
      <c r="K2413" s="14" t="n">
        <v>4.52525449867349</v>
      </c>
      <c r="L2413" s="14" t="n">
        <v>4.38910536906678</v>
      </c>
      <c r="M2413" s="14" t="n">
        <v>1.701</v>
      </c>
      <c r="N2413" s="14" t="n">
        <v>1.712</v>
      </c>
      <c r="O2413" s="14" t="n">
        <v>1.72</v>
      </c>
      <c r="P2413" s="14" t="n">
        <v>1.745</v>
      </c>
      <c r="Q2413" s="14" t="n">
        <v>4.5</v>
      </c>
      <c r="R2413" s="14" t="n">
        <v>4.5</v>
      </c>
      <c r="S2413" s="14" t="n">
        <v>12.25</v>
      </c>
    </row>
    <row r="2414" customFormat="false" ht="15" hidden="false" customHeight="false" outlineLevel="0" collapsed="false">
      <c r="A2414" s="13" t="n">
        <v>45646</v>
      </c>
      <c r="B2414" s="14" t="n">
        <v>4.3</v>
      </c>
      <c r="C2414" s="14" t="n">
        <v>4.5</v>
      </c>
      <c r="D2414" s="14" t="n">
        <v>4.25</v>
      </c>
      <c r="E2414" s="14" t="n">
        <v>2.916</v>
      </c>
      <c r="F2414" s="14" t="n">
        <v>3</v>
      </c>
      <c r="G2414" s="14" t="n">
        <v>4.75</v>
      </c>
      <c r="H2414" s="14" t="n">
        <v>4.7</v>
      </c>
      <c r="I2414" s="14" t="n">
        <v>4.69531337167755</v>
      </c>
      <c r="J2414" s="14" t="n">
        <v>4.62081187663518</v>
      </c>
      <c r="K2414" s="14" t="n">
        <v>4.517980045855</v>
      </c>
      <c r="L2414" s="14" t="n">
        <v>4.3664169456854</v>
      </c>
      <c r="M2414" s="14" t="n">
        <v>1.7</v>
      </c>
      <c r="N2414" s="14" t="n">
        <v>1.708</v>
      </c>
      <c r="O2414" s="14" t="n">
        <v>1.717</v>
      </c>
      <c r="P2414" s="14" t="n">
        <v>1.74</v>
      </c>
      <c r="Q2414" s="14" t="n">
        <v>4.5</v>
      </c>
      <c r="R2414" s="14" t="n">
        <v>4.5</v>
      </c>
      <c r="S2414" s="14" t="n">
        <v>12.25</v>
      </c>
    </row>
    <row r="2415" customFormat="false" ht="15" hidden="false" customHeight="false" outlineLevel="0" collapsed="false">
      <c r="A2415" s="13" t="n">
        <v>45649</v>
      </c>
      <c r="B2415" s="14" t="n">
        <v>4.31</v>
      </c>
      <c r="C2415" s="14" t="n">
        <v>4.5</v>
      </c>
      <c r="D2415" s="14" t="n">
        <v>4.25</v>
      </c>
      <c r="E2415" s="14" t="n">
        <v>2.911</v>
      </c>
      <c r="F2415" s="14" t="n">
        <v>3</v>
      </c>
      <c r="G2415" s="14" t="n">
        <v>4.75</v>
      </c>
      <c r="H2415" s="14" t="n">
        <v>4.7</v>
      </c>
      <c r="I2415" s="14" t="n">
        <v>4.69350182854584</v>
      </c>
      <c r="J2415" s="14" t="n">
        <v>4.61808692956506</v>
      </c>
      <c r="K2415" s="14" t="n">
        <v>4.52200585654271</v>
      </c>
      <c r="L2415" s="14" t="n">
        <v>4.37340601507704</v>
      </c>
      <c r="M2415" s="14" t="n">
        <v>1.699</v>
      </c>
      <c r="N2415" s="14" t="n">
        <v>1.705</v>
      </c>
      <c r="O2415" s="14" t="n">
        <v>1.712</v>
      </c>
      <c r="P2415" s="14" t="n">
        <v>1.732</v>
      </c>
      <c r="Q2415" s="14" t="n">
        <v>4.5</v>
      </c>
      <c r="R2415" s="14" t="n">
        <v>4.5</v>
      </c>
      <c r="S2415" s="14" t="n">
        <v>12.25</v>
      </c>
    </row>
    <row r="2416" customFormat="false" ht="15" hidden="false" customHeight="false" outlineLevel="0" collapsed="false">
      <c r="A2416" s="13" t="n">
        <v>45650</v>
      </c>
      <c r="B2416" s="14" t="n">
        <v>4.4</v>
      </c>
      <c r="C2416" s="14" t="n">
        <v>4.5</v>
      </c>
      <c r="D2416" s="14" t="n">
        <v>4.25</v>
      </c>
      <c r="E2416" s="14" t="n">
        <v>2.909</v>
      </c>
      <c r="F2416" s="14" t="n">
        <v>3</v>
      </c>
      <c r="G2416" s="14" t="n">
        <v>4.75</v>
      </c>
      <c r="H2416" s="14" t="n">
        <v>4.7</v>
      </c>
      <c r="I2416" s="14" t="n">
        <v>4.69287793275274</v>
      </c>
      <c r="J2416" s="14" t="n">
        <v>4.61937791859808</v>
      </c>
      <c r="K2416" s="14" t="n">
        <v>4.52509531318394</v>
      </c>
      <c r="L2416" s="14" t="n">
        <v>4.39030070478417</v>
      </c>
      <c r="M2416" s="14" t="n">
        <v>1.695</v>
      </c>
      <c r="N2416" s="14" t="n">
        <v>1.6985</v>
      </c>
      <c r="O2416" s="14" t="n">
        <v>1.707</v>
      </c>
      <c r="P2416" s="14" t="n">
        <v>1.725</v>
      </c>
      <c r="S2416" s="14" t="n">
        <v>12.25</v>
      </c>
    </row>
    <row r="2417" customFormat="false" ht="15" hidden="false" customHeight="false" outlineLevel="0" collapsed="false">
      <c r="A2417" s="13" t="n">
        <v>45651</v>
      </c>
      <c r="C2417" s="14" t="n">
        <v>4.5</v>
      </c>
      <c r="D2417" s="14" t="n">
        <v>4.25</v>
      </c>
      <c r="F2417" s="14" t="n">
        <v>3</v>
      </c>
      <c r="M2417" s="14" t="n">
        <v>1.69</v>
      </c>
      <c r="N2417" s="14" t="n">
        <v>1.693</v>
      </c>
      <c r="O2417" s="14" t="n">
        <v>1.702</v>
      </c>
      <c r="P2417" s="14" t="n">
        <v>1.7185</v>
      </c>
      <c r="S2417" s="14" t="n">
        <v>12.25</v>
      </c>
    </row>
    <row r="2418" customFormat="false" ht="15" hidden="false" customHeight="false" outlineLevel="0" collapsed="false">
      <c r="A2418" s="13" t="n">
        <v>45652</v>
      </c>
      <c r="B2418" s="14" t="n">
        <v>4.53</v>
      </c>
      <c r="C2418" s="14" t="n">
        <v>4.5</v>
      </c>
      <c r="D2418" s="14" t="n">
        <v>4.25</v>
      </c>
      <c r="F2418" s="14" t="n">
        <v>3</v>
      </c>
      <c r="M2418" s="14" t="n">
        <v>1.689</v>
      </c>
      <c r="N2418" s="14" t="n">
        <v>1.6922</v>
      </c>
      <c r="O2418" s="14" t="n">
        <v>1.701</v>
      </c>
      <c r="P2418" s="14" t="n">
        <v>1.7145</v>
      </c>
      <c r="S2418" s="14" t="n">
        <v>12.25</v>
      </c>
    </row>
    <row r="2419" customFormat="false" ht="15" hidden="false" customHeight="false" outlineLevel="0" collapsed="false">
      <c r="A2419" s="13" t="n">
        <v>45653</v>
      </c>
      <c r="B2419" s="14" t="n">
        <v>4.46</v>
      </c>
      <c r="C2419" s="14" t="n">
        <v>4.5</v>
      </c>
      <c r="D2419" s="14" t="n">
        <v>4.25</v>
      </c>
      <c r="E2419" s="14" t="n">
        <v>2.916</v>
      </c>
      <c r="F2419" s="14" t="n">
        <v>3</v>
      </c>
      <c r="G2419" s="14" t="n">
        <v>4.75</v>
      </c>
      <c r="H2419" s="14" t="n">
        <v>4.7</v>
      </c>
      <c r="I2419" s="14" t="n">
        <v>4.69173445585116</v>
      </c>
      <c r="J2419" s="14" t="n">
        <v>4.61384140318988</v>
      </c>
      <c r="K2419" s="14" t="n">
        <v>4.52573213999342</v>
      </c>
      <c r="L2419" s="14" t="n">
        <v>4.39684908876072</v>
      </c>
      <c r="M2419" s="14" t="n">
        <v>1.686</v>
      </c>
      <c r="N2419" s="14" t="n">
        <v>1.69</v>
      </c>
      <c r="O2419" s="14" t="n">
        <v>1.699</v>
      </c>
      <c r="P2419" s="14" t="n">
        <v>1.7125</v>
      </c>
      <c r="Q2419" s="14" t="n">
        <v>4.5</v>
      </c>
      <c r="R2419" s="14" t="n">
        <v>4.5</v>
      </c>
      <c r="S2419" s="14" t="n">
        <v>12.25</v>
      </c>
    </row>
    <row r="2420" customFormat="false" ht="15" hidden="false" customHeight="false" outlineLevel="0" collapsed="false">
      <c r="A2420" s="13" t="n">
        <v>45656</v>
      </c>
      <c r="B2420" s="14" t="n">
        <v>4.37</v>
      </c>
      <c r="C2420" s="14" t="n">
        <v>4.5</v>
      </c>
      <c r="D2420" s="14" t="n">
        <v>4.25</v>
      </c>
      <c r="E2420" s="14" t="n">
        <v>2.915</v>
      </c>
      <c r="F2420" s="14" t="n">
        <v>3</v>
      </c>
      <c r="G2420" s="14" t="n">
        <v>4.75</v>
      </c>
      <c r="H2420" s="14" t="n">
        <v>4.7</v>
      </c>
      <c r="I2420" s="14" t="n">
        <v>4.6907340380522</v>
      </c>
      <c r="J2420" s="14" t="n">
        <v>4.60962057262662</v>
      </c>
      <c r="K2420" s="14" t="n">
        <v>4.5202894836638</v>
      </c>
      <c r="L2420" s="14" t="n">
        <v>4.38726558445962</v>
      </c>
      <c r="M2420" s="14" t="n">
        <v>1.6846</v>
      </c>
      <c r="N2420" s="14" t="n">
        <v>1.685</v>
      </c>
      <c r="O2420" s="14" t="n">
        <v>1.6955</v>
      </c>
      <c r="P2420" s="14" t="n">
        <v>1.7112</v>
      </c>
      <c r="Q2420" s="14" t="n">
        <v>4.5</v>
      </c>
      <c r="R2420" s="14" t="n">
        <v>4.5</v>
      </c>
      <c r="S2420" s="14" t="n">
        <v>12.25</v>
      </c>
    </row>
    <row r="2421" customFormat="false" ht="15" hidden="false" customHeight="false" outlineLevel="0" collapsed="false">
      <c r="A2421" s="13" t="n">
        <v>45657</v>
      </c>
      <c r="B2421" s="14" t="n">
        <v>4.49</v>
      </c>
      <c r="C2421" s="14" t="n">
        <v>4.5</v>
      </c>
      <c r="D2421" s="14" t="n">
        <v>4.25</v>
      </c>
      <c r="E2421" s="14" t="n">
        <v>2.905</v>
      </c>
      <c r="F2421" s="14" t="n">
        <v>3</v>
      </c>
      <c r="G2421" s="14" t="n">
        <v>4.75</v>
      </c>
      <c r="H2421" s="14" t="n">
        <v>4.7003</v>
      </c>
      <c r="I2421" s="14" t="n">
        <v>4.68858806910401</v>
      </c>
      <c r="J2421" s="14" t="n">
        <v>4.60051477943281</v>
      </c>
      <c r="K2421" s="14" t="n">
        <v>4.51133858105817</v>
      </c>
      <c r="L2421" s="14" t="n">
        <v>4.37932656068768</v>
      </c>
      <c r="M2421" s="14" t="n">
        <v>1.681</v>
      </c>
      <c r="N2421" s="14" t="n">
        <v>1.6855</v>
      </c>
      <c r="O2421" s="14" t="n">
        <v>1.694</v>
      </c>
      <c r="P2421" s="14" t="n">
        <v>1.708</v>
      </c>
      <c r="Q2421" s="14" t="n">
        <v>4.5</v>
      </c>
      <c r="R2421" s="14" t="n">
        <v>4.5</v>
      </c>
      <c r="S2421" s="14" t="n">
        <v>12.25</v>
      </c>
    </row>
    <row r="2422" customFormat="false" ht="15" hidden="false" customHeight="false" outlineLevel="0" collapsed="false">
      <c r="A2422" s="13" t="n">
        <v>45658</v>
      </c>
      <c r="C2422" s="14" t="n">
        <v>4.5</v>
      </c>
      <c r="D2422" s="14" t="n">
        <v>4.25</v>
      </c>
      <c r="F2422" s="14" t="n">
        <v>3</v>
      </c>
      <c r="S2422" s="14" t="n">
        <v>12.25</v>
      </c>
    </row>
    <row r="2423" customFormat="false" ht="15" hidden="false" customHeight="false" outlineLevel="0" collapsed="false">
      <c r="A2423" s="13" t="n">
        <v>45659</v>
      </c>
      <c r="B2423" s="14" t="n">
        <v>4.4</v>
      </c>
      <c r="C2423" s="14" t="n">
        <v>4.5</v>
      </c>
      <c r="D2423" s="14" t="n">
        <v>4.25</v>
      </c>
      <c r="E2423" s="14" t="n">
        <v>2.92</v>
      </c>
      <c r="F2423" s="14" t="n">
        <v>3</v>
      </c>
      <c r="G2423" s="14" t="n">
        <v>4.75</v>
      </c>
      <c r="H2423" s="14" t="n">
        <v>4.7</v>
      </c>
      <c r="I2423" s="14" t="n">
        <v>4.68552887067784</v>
      </c>
      <c r="J2423" s="14" t="n">
        <v>4.59090027353334</v>
      </c>
      <c r="K2423" s="14" t="n">
        <v>4.49322906095711</v>
      </c>
      <c r="L2423" s="14" t="n">
        <v>4.35219075594987</v>
      </c>
      <c r="M2423" s="14" t="n">
        <v>1.676</v>
      </c>
      <c r="N2423" s="14" t="n">
        <v>1.6825</v>
      </c>
      <c r="O2423" s="14" t="n">
        <v>1.689</v>
      </c>
      <c r="P2423" s="14" t="n">
        <v>1.7045</v>
      </c>
      <c r="Q2423" s="14" t="n">
        <v>4.5</v>
      </c>
      <c r="R2423" s="14" t="n">
        <v>4.5</v>
      </c>
      <c r="S2423" s="14" t="n">
        <v>12.25</v>
      </c>
    </row>
    <row r="2424" customFormat="false" ht="15" hidden="false" customHeight="false" outlineLevel="0" collapsed="false">
      <c r="A2424" s="13" t="n">
        <v>45660</v>
      </c>
      <c r="B2424" s="14" t="n">
        <v>4.31</v>
      </c>
      <c r="C2424" s="14" t="n">
        <v>4.5</v>
      </c>
      <c r="D2424" s="14" t="n">
        <v>4.25</v>
      </c>
      <c r="E2424" s="14" t="n">
        <v>2.919</v>
      </c>
      <c r="F2424" s="14" t="n">
        <v>3</v>
      </c>
      <c r="G2424" s="14" t="n">
        <v>4.75</v>
      </c>
      <c r="H2424" s="14" t="n">
        <v>4.7</v>
      </c>
      <c r="I2424" s="14" t="n">
        <v>4.68499823973355</v>
      </c>
      <c r="J2424" s="14" t="n">
        <v>4.59102472629394</v>
      </c>
      <c r="K2424" s="14" t="n">
        <v>4.49634260452473</v>
      </c>
      <c r="L2424" s="14" t="n">
        <v>4.36138717724116</v>
      </c>
      <c r="M2424" s="14" t="n">
        <v>1.67</v>
      </c>
      <c r="N2424" s="14" t="n">
        <v>1.677</v>
      </c>
      <c r="O2424" s="14" t="n">
        <v>1.6855</v>
      </c>
      <c r="P2424" s="14" t="n">
        <v>1.7002</v>
      </c>
      <c r="Q2424" s="14" t="n">
        <v>4.5</v>
      </c>
      <c r="R2424" s="14" t="n">
        <v>4.5</v>
      </c>
      <c r="S2424" s="14" t="n">
        <v>12.25</v>
      </c>
    </row>
    <row r="2425" customFormat="false" ht="15" hidden="false" customHeight="false" outlineLevel="0" collapsed="false">
      <c r="A2425" s="13" t="n">
        <v>45663</v>
      </c>
      <c r="B2425" s="14" t="n">
        <v>4.27</v>
      </c>
      <c r="C2425" s="14" t="n">
        <v>4.5</v>
      </c>
      <c r="D2425" s="14" t="n">
        <v>4.25</v>
      </c>
      <c r="E2425" s="14" t="n">
        <v>2.917</v>
      </c>
      <c r="F2425" s="14" t="n">
        <v>3</v>
      </c>
      <c r="G2425" s="14" t="n">
        <v>4.75</v>
      </c>
      <c r="H2425" s="14" t="n">
        <v>4.7</v>
      </c>
      <c r="I2425" s="14" t="n">
        <v>4.68086935728171</v>
      </c>
      <c r="J2425" s="14" t="n">
        <v>4.5789032752116</v>
      </c>
      <c r="K2425" s="14" t="n">
        <v>4.48348878998744</v>
      </c>
      <c r="L2425" s="14" t="n">
        <v>4.35159207463241</v>
      </c>
      <c r="M2425" s="14" t="n">
        <v>1.646</v>
      </c>
      <c r="N2425" s="14" t="n">
        <v>1.663</v>
      </c>
      <c r="O2425" s="14" t="n">
        <v>1.6725</v>
      </c>
      <c r="P2425" s="14" t="n">
        <v>1.691</v>
      </c>
      <c r="Q2425" s="14" t="n">
        <v>4.5</v>
      </c>
      <c r="R2425" s="14" t="n">
        <v>4.5</v>
      </c>
      <c r="S2425" s="14" t="n">
        <v>12.25</v>
      </c>
    </row>
    <row r="2426" customFormat="false" ht="15" hidden="false" customHeight="false" outlineLevel="0" collapsed="false">
      <c r="A2426" s="13" t="n">
        <v>45664</v>
      </c>
      <c r="B2426" s="14" t="n">
        <v>4.27</v>
      </c>
      <c r="C2426" s="14" t="n">
        <v>4.5</v>
      </c>
      <c r="D2426" s="14" t="n">
        <v>4.25</v>
      </c>
      <c r="E2426" s="14" t="n">
        <v>2.918</v>
      </c>
      <c r="F2426" s="14" t="n">
        <v>3</v>
      </c>
      <c r="G2426" s="14" t="n">
        <v>4.75</v>
      </c>
      <c r="H2426" s="14" t="n">
        <v>4.7</v>
      </c>
      <c r="I2426" s="14" t="n">
        <v>4.67705270795065</v>
      </c>
      <c r="J2426" s="14" t="n">
        <v>4.57471979178124</v>
      </c>
      <c r="K2426" s="14" t="n">
        <v>4.48006907056876</v>
      </c>
      <c r="L2426" s="14" t="n">
        <v>4.35359436146612</v>
      </c>
      <c r="M2426" s="14" t="n">
        <v>1.641</v>
      </c>
      <c r="N2426" s="14" t="n">
        <v>1.655</v>
      </c>
      <c r="O2426" s="14" t="n">
        <v>1.667</v>
      </c>
      <c r="P2426" s="14" t="n">
        <v>1.685</v>
      </c>
      <c r="Q2426" s="14" t="n">
        <v>4.5</v>
      </c>
      <c r="R2426" s="14" t="n">
        <v>4.5</v>
      </c>
      <c r="S2426" s="14" t="n">
        <v>12.25</v>
      </c>
    </row>
    <row r="2427" customFormat="false" ht="15" hidden="false" customHeight="false" outlineLevel="0" collapsed="false">
      <c r="A2427" s="13" t="n">
        <v>45665</v>
      </c>
      <c r="B2427" s="14" t="n">
        <v>4.29</v>
      </c>
      <c r="C2427" s="14" t="n">
        <v>4.5</v>
      </c>
      <c r="D2427" s="14" t="n">
        <v>4.25</v>
      </c>
      <c r="E2427" s="14" t="n">
        <v>2.917</v>
      </c>
      <c r="F2427" s="14" t="n">
        <v>3</v>
      </c>
      <c r="G2427" s="14" t="n">
        <v>4.75</v>
      </c>
      <c r="H2427" s="14" t="n">
        <v>4.7</v>
      </c>
      <c r="I2427" s="14" t="n">
        <v>4.67305181335142</v>
      </c>
      <c r="J2427" s="14" t="n">
        <v>4.58083204149251</v>
      </c>
      <c r="K2427" s="14" t="n">
        <v>4.50018466307211</v>
      </c>
      <c r="L2427" s="14" t="n">
        <v>4.40041608202059</v>
      </c>
      <c r="M2427" s="14" t="n">
        <v>1.636</v>
      </c>
      <c r="N2427" s="14" t="n">
        <v>1.652</v>
      </c>
      <c r="O2427" s="14" t="n">
        <v>1.661</v>
      </c>
      <c r="P2427" s="14" t="n">
        <v>1.6795</v>
      </c>
      <c r="Q2427" s="14" t="n">
        <v>4.5</v>
      </c>
      <c r="R2427" s="14" t="n">
        <v>4.5</v>
      </c>
      <c r="S2427" s="14" t="n">
        <v>12.25</v>
      </c>
    </row>
    <row r="2428" customFormat="false" ht="15" hidden="false" customHeight="false" outlineLevel="0" collapsed="false">
      <c r="A2428" s="13" t="n">
        <v>45666</v>
      </c>
      <c r="B2428" s="14" t="n">
        <v>4.3</v>
      </c>
      <c r="C2428" s="14" t="n">
        <v>4.5</v>
      </c>
      <c r="D2428" s="14" t="n">
        <v>4.25</v>
      </c>
      <c r="E2428" s="14" t="n">
        <v>2.92</v>
      </c>
      <c r="F2428" s="14" t="n">
        <v>3</v>
      </c>
      <c r="G2428" s="14" t="n">
        <v>4.75</v>
      </c>
      <c r="H2428" s="14" t="n">
        <v>4.7</v>
      </c>
      <c r="I2428" s="14" t="n">
        <v>4.66963945125224</v>
      </c>
      <c r="J2428" s="14" t="n">
        <v>4.56822377337757</v>
      </c>
      <c r="K2428" s="14" t="n">
        <v>4.48156044610788</v>
      </c>
      <c r="L2428" s="14" t="n">
        <v>4.37783866178215</v>
      </c>
      <c r="M2428" s="14" t="n">
        <v>1.631</v>
      </c>
      <c r="N2428" s="14" t="n">
        <v>1.645</v>
      </c>
      <c r="O2428" s="14" t="n">
        <v>1.656</v>
      </c>
      <c r="P2428" s="14" t="n">
        <v>1.674</v>
      </c>
      <c r="Q2428" s="14" t="n">
        <v>4.5</v>
      </c>
      <c r="R2428" s="14" t="n">
        <v>4.5</v>
      </c>
      <c r="S2428" s="14" t="n">
        <v>12.25</v>
      </c>
    </row>
    <row r="2429" customFormat="false" ht="15" hidden="false" customHeight="false" outlineLevel="0" collapsed="false">
      <c r="A2429" s="13" t="n">
        <v>45667</v>
      </c>
      <c r="B2429" s="14" t="n">
        <v>4.3</v>
      </c>
      <c r="C2429" s="14" t="n">
        <v>4.5</v>
      </c>
      <c r="D2429" s="14" t="n">
        <v>4.25</v>
      </c>
      <c r="E2429" s="14" t="n">
        <v>2.917</v>
      </c>
      <c r="F2429" s="14" t="n">
        <v>3</v>
      </c>
      <c r="G2429" s="14" t="n">
        <v>4.75</v>
      </c>
      <c r="H2429" s="14" t="n">
        <v>4.7</v>
      </c>
      <c r="I2429" s="14" t="n">
        <v>4.66660487879583</v>
      </c>
      <c r="J2429" s="14" t="n">
        <v>4.56668377372691</v>
      </c>
      <c r="K2429" s="14" t="n">
        <v>4.48419118151904</v>
      </c>
      <c r="L2429" s="14" t="n">
        <v>4.39068654798582</v>
      </c>
      <c r="M2429" s="14" t="n">
        <v>1.63</v>
      </c>
      <c r="N2429" s="14" t="n">
        <v>1.643</v>
      </c>
      <c r="O2429" s="14" t="n">
        <v>1.655</v>
      </c>
      <c r="P2429" s="14" t="n">
        <v>1.672</v>
      </c>
      <c r="Q2429" s="14" t="n">
        <v>4.5</v>
      </c>
      <c r="R2429" s="14" t="n">
        <v>4.5</v>
      </c>
      <c r="S2429" s="14" t="n">
        <v>12.25</v>
      </c>
    </row>
    <row r="2430" customFormat="false" ht="15" hidden="false" customHeight="false" outlineLevel="0" collapsed="false">
      <c r="A2430" s="13" t="n">
        <v>45670</v>
      </c>
      <c r="B2430" s="14" t="n">
        <v>4.29</v>
      </c>
      <c r="C2430" s="14" t="n">
        <v>4.5</v>
      </c>
      <c r="D2430" s="14" t="n">
        <v>4.25</v>
      </c>
      <c r="E2430" s="14" t="n">
        <v>2.918</v>
      </c>
      <c r="F2430" s="14" t="n">
        <v>3</v>
      </c>
      <c r="G2430" s="14" t="n">
        <v>4.75</v>
      </c>
      <c r="H2430" s="14" t="n">
        <v>4.7</v>
      </c>
      <c r="I2430" s="14" t="n">
        <v>4.65735983432236</v>
      </c>
      <c r="J2430" s="14" t="n">
        <v>4.56345451821861</v>
      </c>
      <c r="K2430" s="14" t="n">
        <v>4.49376629378721</v>
      </c>
      <c r="L2430" s="14" t="n">
        <v>4.41028352328115</v>
      </c>
      <c r="M2430" s="14" t="n">
        <v>1.649</v>
      </c>
      <c r="N2430" s="14" t="n">
        <v>1.648</v>
      </c>
      <c r="O2430" s="14" t="n">
        <v>1.662</v>
      </c>
      <c r="P2430" s="14" t="n">
        <v>1.675</v>
      </c>
      <c r="Q2430" s="14" t="n">
        <v>4.5</v>
      </c>
      <c r="R2430" s="14" t="n">
        <v>4.5</v>
      </c>
      <c r="S2430" s="14" t="n">
        <v>12.25</v>
      </c>
    </row>
    <row r="2431" customFormat="false" ht="15" hidden="false" customHeight="false" outlineLevel="0" collapsed="false">
      <c r="A2431" s="13" t="n">
        <v>45671</v>
      </c>
      <c r="B2431" s="14" t="n">
        <v>4.28</v>
      </c>
      <c r="C2431" s="14" t="n">
        <v>4.5</v>
      </c>
      <c r="D2431" s="14" t="n">
        <v>4.25</v>
      </c>
      <c r="E2431" s="14" t="n">
        <v>2.919</v>
      </c>
      <c r="F2431" s="14" t="n">
        <v>3</v>
      </c>
      <c r="G2431" s="14" t="n">
        <v>4.75</v>
      </c>
      <c r="H2431" s="14" t="n">
        <v>4.7</v>
      </c>
      <c r="I2431" s="14" t="n">
        <v>4.65873590055673</v>
      </c>
      <c r="J2431" s="14" t="n">
        <v>4.57995111480348</v>
      </c>
      <c r="K2431" s="14" t="n">
        <v>4.52023687769641</v>
      </c>
      <c r="L2431" s="14" t="n">
        <v>4.44730822790272</v>
      </c>
      <c r="M2431" s="14" t="n">
        <v>1.662</v>
      </c>
      <c r="N2431" s="14" t="n">
        <v>1.658</v>
      </c>
      <c r="O2431" s="14" t="n">
        <v>1.669</v>
      </c>
      <c r="P2431" s="14" t="n">
        <v>1.686</v>
      </c>
      <c r="Q2431" s="14" t="n">
        <v>4.5</v>
      </c>
      <c r="R2431" s="14" t="n">
        <v>4.5</v>
      </c>
      <c r="S2431" s="14" t="n">
        <v>12.25</v>
      </c>
    </row>
    <row r="2432" customFormat="false" ht="15" hidden="false" customHeight="false" outlineLevel="0" collapsed="false">
      <c r="A2432" s="13" t="n">
        <v>45672</v>
      </c>
      <c r="B2432" s="14" t="n">
        <v>4.28</v>
      </c>
      <c r="C2432" s="14" t="n">
        <v>4.5</v>
      </c>
      <c r="D2432" s="14" t="n">
        <v>4.25</v>
      </c>
      <c r="E2432" s="14" t="n">
        <v>2.92</v>
      </c>
      <c r="F2432" s="14" t="n">
        <v>3</v>
      </c>
      <c r="G2432" s="14" t="n">
        <v>4.75</v>
      </c>
      <c r="H2432" s="14" t="n">
        <v>4.7001</v>
      </c>
      <c r="I2432" s="14" t="n">
        <v>4.63743368535043</v>
      </c>
      <c r="J2432" s="14" t="n">
        <v>4.52196395656503</v>
      </c>
      <c r="K2432" s="14" t="n">
        <v>4.43073377474828</v>
      </c>
      <c r="L2432" s="14" t="n">
        <v>4.31376517943408</v>
      </c>
      <c r="M2432" s="14" t="n">
        <v>1.668</v>
      </c>
      <c r="N2432" s="14" t="n">
        <v>1.6665</v>
      </c>
      <c r="O2432" s="14" t="n">
        <v>1.676</v>
      </c>
      <c r="P2432" s="14" t="n">
        <v>1.6905</v>
      </c>
      <c r="Q2432" s="14" t="n">
        <v>4.5</v>
      </c>
      <c r="R2432" s="14" t="n">
        <v>4.5</v>
      </c>
      <c r="S2432" s="14" t="n">
        <v>12.25</v>
      </c>
    </row>
    <row r="2433" customFormat="false" ht="15" hidden="false" customHeight="false" outlineLevel="0" collapsed="false">
      <c r="A2433" s="13" t="n">
        <v>45673</v>
      </c>
      <c r="B2433" s="14" t="n">
        <v>4.29</v>
      </c>
      <c r="C2433" s="14" t="n">
        <v>4.5</v>
      </c>
      <c r="D2433" s="14" t="n">
        <v>4.25</v>
      </c>
      <c r="E2433" s="14" t="n">
        <v>2.92</v>
      </c>
      <c r="F2433" s="14" t="n">
        <v>3</v>
      </c>
      <c r="G2433" s="14" t="n">
        <v>4.75</v>
      </c>
      <c r="H2433" s="14" t="n">
        <v>4.7</v>
      </c>
      <c r="I2433" s="14" t="n">
        <v>4.63465542447079</v>
      </c>
      <c r="J2433" s="14" t="n">
        <v>4.52034448545792</v>
      </c>
      <c r="K2433" s="14" t="n">
        <v>4.42461976406698</v>
      </c>
      <c r="L2433" s="14" t="n">
        <v>4.29360115859852</v>
      </c>
      <c r="M2433" s="14" t="n">
        <v>1.681</v>
      </c>
      <c r="N2433" s="14" t="n">
        <v>1.674</v>
      </c>
      <c r="O2433" s="14" t="n">
        <v>1.682</v>
      </c>
      <c r="P2433" s="14" t="n">
        <v>1.694</v>
      </c>
      <c r="Q2433" s="14" t="n">
        <v>4.5</v>
      </c>
      <c r="R2433" s="14" t="n">
        <v>4.5</v>
      </c>
      <c r="S2433" s="14" t="n">
        <v>12.25</v>
      </c>
    </row>
    <row r="2434" customFormat="false" ht="15" hidden="false" customHeight="false" outlineLevel="0" collapsed="false">
      <c r="A2434" s="13" t="n">
        <v>45674</v>
      </c>
      <c r="B2434" s="14" t="n">
        <v>4.29</v>
      </c>
      <c r="C2434" s="14" t="n">
        <v>4.5</v>
      </c>
      <c r="D2434" s="14" t="n">
        <v>4.25</v>
      </c>
      <c r="E2434" s="14" t="n">
        <v>2.92</v>
      </c>
      <c r="F2434" s="14" t="n">
        <v>3</v>
      </c>
      <c r="G2434" s="14" t="n">
        <v>4.75</v>
      </c>
      <c r="H2434" s="14" t="n">
        <v>4.7</v>
      </c>
      <c r="I2434" s="14" t="n">
        <v>4.62614339822612</v>
      </c>
      <c r="J2434" s="14" t="n">
        <v>4.50537782952075</v>
      </c>
      <c r="K2434" s="14" t="n">
        <v>4.40229174961946</v>
      </c>
      <c r="L2434" s="14" t="n">
        <v>4.26736093528373</v>
      </c>
      <c r="M2434" s="14" t="n">
        <v>1.688</v>
      </c>
      <c r="N2434" s="14" t="n">
        <v>1.677</v>
      </c>
      <c r="O2434" s="14" t="n">
        <v>1.6852</v>
      </c>
      <c r="P2434" s="14" t="n">
        <v>1.6974</v>
      </c>
      <c r="Q2434" s="14" t="n">
        <v>4.5</v>
      </c>
      <c r="R2434" s="14" t="n">
        <v>4.5</v>
      </c>
      <c r="S2434" s="14" t="n">
        <v>12.25</v>
      </c>
    </row>
    <row r="2435" customFormat="false" ht="15" hidden="false" customHeight="false" outlineLevel="0" collapsed="false">
      <c r="A2435" s="13" t="n">
        <v>45677</v>
      </c>
      <c r="C2435" s="14" t="n">
        <v>4.5</v>
      </c>
      <c r="D2435" s="14" t="n">
        <v>4.25</v>
      </c>
      <c r="E2435" s="14" t="n">
        <v>2.919</v>
      </c>
      <c r="F2435" s="14" t="n">
        <v>3</v>
      </c>
      <c r="G2435" s="14" t="n">
        <v>4.75</v>
      </c>
      <c r="H2435" s="14" t="n">
        <v>4.7</v>
      </c>
      <c r="I2435" s="14" t="n">
        <v>4.60500226551293</v>
      </c>
      <c r="J2435" s="14" t="n">
        <v>4.49900453510545</v>
      </c>
      <c r="K2435" s="14" t="n">
        <v>4.40163739677991</v>
      </c>
      <c r="L2435" s="14" t="n">
        <v>4.26907815139966</v>
      </c>
      <c r="M2435" s="14" t="n">
        <v>1.6925</v>
      </c>
      <c r="N2435" s="14" t="n">
        <v>1.687</v>
      </c>
      <c r="O2435" s="14" t="n">
        <v>1.693</v>
      </c>
      <c r="P2435" s="14" t="n">
        <v>1.703</v>
      </c>
      <c r="Q2435" s="14" t="n">
        <v>4.5</v>
      </c>
      <c r="R2435" s="14" t="n">
        <v>4.5</v>
      </c>
      <c r="S2435" s="14" t="n">
        <v>12.25</v>
      </c>
    </row>
    <row r="2436" customFormat="false" ht="15" hidden="false" customHeight="false" outlineLevel="0" collapsed="false">
      <c r="A2436" s="13" t="n">
        <v>45678</v>
      </c>
      <c r="B2436" s="14" t="n">
        <v>4.29</v>
      </c>
      <c r="C2436" s="14" t="n">
        <v>4.5</v>
      </c>
      <c r="D2436" s="14" t="n">
        <v>4.25</v>
      </c>
      <c r="E2436" s="14" t="n">
        <v>2.921</v>
      </c>
      <c r="F2436" s="14" t="n">
        <v>3</v>
      </c>
      <c r="G2436" s="14" t="n">
        <v>4.75</v>
      </c>
      <c r="H2436" s="14" t="n">
        <v>4.7</v>
      </c>
      <c r="I2436" s="14" t="n">
        <v>4.5942970992757</v>
      </c>
      <c r="J2436" s="14" t="n">
        <v>4.48947793835711</v>
      </c>
      <c r="K2436" s="14" t="n">
        <v>4.39251016386186</v>
      </c>
      <c r="L2436" s="14" t="n">
        <v>4.26104554839454</v>
      </c>
      <c r="M2436" s="14" t="n">
        <v>1.702</v>
      </c>
      <c r="N2436" s="14" t="n">
        <v>1.6935</v>
      </c>
      <c r="O2436" s="14" t="n">
        <v>1.699</v>
      </c>
      <c r="P2436" s="14" t="n">
        <v>1.7122</v>
      </c>
      <c r="Q2436" s="14" t="n">
        <v>4.5</v>
      </c>
      <c r="R2436" s="14" t="n">
        <v>4.5</v>
      </c>
      <c r="S2436" s="14" t="n">
        <v>12.25</v>
      </c>
    </row>
    <row r="2437" customFormat="false" ht="15" hidden="false" customHeight="false" outlineLevel="0" collapsed="false">
      <c r="A2437" s="13" t="n">
        <v>45679</v>
      </c>
      <c r="B2437" s="14" t="n">
        <v>4.3</v>
      </c>
      <c r="C2437" s="14" t="n">
        <v>4.5</v>
      </c>
      <c r="D2437" s="14" t="n">
        <v>4.25</v>
      </c>
      <c r="E2437" s="14" t="n">
        <v>2.92</v>
      </c>
      <c r="F2437" s="14" t="n">
        <v>3</v>
      </c>
      <c r="G2437" s="14" t="n">
        <v>4.75</v>
      </c>
      <c r="H2437" s="14" t="n">
        <v>4.7</v>
      </c>
      <c r="I2437" s="14" t="n">
        <v>4.5866537967714</v>
      </c>
      <c r="J2437" s="14" t="n">
        <v>4.48599593801488</v>
      </c>
      <c r="K2437" s="14" t="n">
        <v>4.38910454706806</v>
      </c>
      <c r="L2437" s="14" t="n">
        <v>4.25194675861766</v>
      </c>
      <c r="M2437" s="14" t="n">
        <v>1.702</v>
      </c>
      <c r="N2437" s="14" t="n">
        <v>1.693</v>
      </c>
      <c r="O2437" s="14" t="n">
        <v>1.701</v>
      </c>
      <c r="P2437" s="14" t="n">
        <v>1.714</v>
      </c>
      <c r="Q2437" s="14" t="n">
        <v>4.5</v>
      </c>
      <c r="R2437" s="14" t="n">
        <v>4.5</v>
      </c>
      <c r="S2437" s="14" t="n">
        <v>12.25</v>
      </c>
    </row>
    <row r="2438" customFormat="false" ht="15" hidden="false" customHeight="false" outlineLevel="0" collapsed="false">
      <c r="A2438" s="13" t="n">
        <v>45680</v>
      </c>
      <c r="B2438" s="14" t="n">
        <v>4.35</v>
      </c>
      <c r="C2438" s="14" t="n">
        <v>4.5</v>
      </c>
      <c r="D2438" s="14" t="n">
        <v>4.25</v>
      </c>
      <c r="E2438" s="14" t="n">
        <v>2.922</v>
      </c>
      <c r="F2438" s="14" t="n">
        <v>3</v>
      </c>
      <c r="G2438" s="14" t="n">
        <v>4.75</v>
      </c>
      <c r="H2438" s="14" t="n">
        <v>4.7001</v>
      </c>
      <c r="I2438" s="14" t="n">
        <v>4.57904167638473</v>
      </c>
      <c r="J2438" s="14" t="n">
        <v>4.47938197867726</v>
      </c>
      <c r="K2438" s="14" t="n">
        <v>4.377903579476</v>
      </c>
      <c r="L2438" s="14" t="n">
        <v>4.22824633181246</v>
      </c>
      <c r="M2438" s="14" t="n">
        <v>1.704</v>
      </c>
      <c r="N2438" s="14" t="n">
        <v>1.694</v>
      </c>
      <c r="O2438" s="14" t="n">
        <v>1.703</v>
      </c>
      <c r="P2438" s="14" t="n">
        <v>1.721</v>
      </c>
      <c r="Q2438" s="14" t="n">
        <v>4.5</v>
      </c>
      <c r="R2438" s="14" t="n">
        <v>4.5</v>
      </c>
      <c r="S2438" s="14" t="n">
        <v>12.25</v>
      </c>
    </row>
    <row r="2439" customFormat="false" ht="15" hidden="false" customHeight="false" outlineLevel="0" collapsed="false">
      <c r="A2439" s="13" t="n">
        <v>45681</v>
      </c>
      <c r="B2439" s="14" t="n">
        <v>4.34</v>
      </c>
      <c r="C2439" s="14" t="n">
        <v>4.5</v>
      </c>
      <c r="D2439" s="14" t="n">
        <v>4.25</v>
      </c>
      <c r="E2439" s="14" t="n">
        <v>2.921</v>
      </c>
      <c r="F2439" s="14" t="n">
        <v>3</v>
      </c>
      <c r="G2439" s="14" t="n">
        <v>4.75</v>
      </c>
      <c r="H2439" s="14" t="n">
        <v>4.7</v>
      </c>
      <c r="I2439" s="14" t="n">
        <v>4.57126209266339</v>
      </c>
      <c r="J2439" s="14" t="n">
        <v>4.47864814451966</v>
      </c>
      <c r="K2439" s="14" t="n">
        <v>4.38334550803481</v>
      </c>
      <c r="L2439" s="14" t="n">
        <v>4.24391860252551</v>
      </c>
      <c r="M2439" s="14" t="n">
        <v>1.705</v>
      </c>
      <c r="N2439" s="14" t="n">
        <v>1.697</v>
      </c>
      <c r="O2439" s="14" t="n">
        <v>1.707</v>
      </c>
      <c r="P2439" s="14" t="n">
        <v>1.725</v>
      </c>
      <c r="Q2439" s="14" t="n">
        <v>4.5</v>
      </c>
      <c r="R2439" s="14" t="n">
        <v>4.5</v>
      </c>
      <c r="S2439" s="14" t="n">
        <v>12.25</v>
      </c>
    </row>
    <row r="2440" customFormat="false" ht="15" hidden="false" customHeight="false" outlineLevel="0" collapsed="false">
      <c r="A2440" s="13" t="n">
        <v>45683</v>
      </c>
      <c r="C2440" s="14" t="n">
        <v>4.5</v>
      </c>
      <c r="D2440" s="14" t="n">
        <v>4.25</v>
      </c>
      <c r="F2440" s="14" t="n">
        <v>3</v>
      </c>
      <c r="M2440" s="14" t="n">
        <v>1.705</v>
      </c>
      <c r="N2440" s="14" t="n">
        <v>1.6995</v>
      </c>
      <c r="O2440" s="14" t="n">
        <v>1.7125</v>
      </c>
      <c r="P2440" s="14" t="n">
        <v>1.728</v>
      </c>
      <c r="S2440" s="14" t="n">
        <v>12.25</v>
      </c>
    </row>
    <row r="2441" customFormat="false" ht="15" hidden="false" customHeight="false" outlineLevel="0" collapsed="false">
      <c r="A2441" s="13" t="n">
        <v>45684</v>
      </c>
      <c r="B2441" s="14" t="n">
        <v>4.34</v>
      </c>
      <c r="C2441" s="14" t="n">
        <v>4.5</v>
      </c>
      <c r="D2441" s="14" t="n">
        <v>4.25</v>
      </c>
      <c r="E2441" s="14" t="n">
        <v>2.921</v>
      </c>
      <c r="F2441" s="14" t="n">
        <v>3</v>
      </c>
      <c r="G2441" s="14" t="n">
        <v>4.75</v>
      </c>
      <c r="H2441" s="14" t="n">
        <v>4.7</v>
      </c>
      <c r="I2441" s="14" t="n">
        <v>4.54424145163947</v>
      </c>
      <c r="J2441" s="14" t="n">
        <v>4.46169989373312</v>
      </c>
      <c r="K2441" s="14" t="n">
        <v>4.36047988619583</v>
      </c>
      <c r="L2441" s="14" t="n">
        <v>4.202372012123</v>
      </c>
      <c r="M2441" s="14" t="n">
        <v>1.706</v>
      </c>
      <c r="N2441" s="14" t="n">
        <v>1.702</v>
      </c>
      <c r="O2441" s="14" t="n">
        <v>1.715</v>
      </c>
      <c r="P2441" s="14" t="n">
        <v>1.7305</v>
      </c>
      <c r="Q2441" s="14" t="n">
        <v>4.5</v>
      </c>
      <c r="R2441" s="14" t="n">
        <v>4.5</v>
      </c>
      <c r="S2441" s="14" t="n">
        <v>12.25</v>
      </c>
    </row>
    <row r="2442" customFormat="false" ht="15" hidden="false" customHeight="false" outlineLevel="0" collapsed="false">
      <c r="A2442" s="13" t="n">
        <v>45685</v>
      </c>
      <c r="B2442" s="14" t="n">
        <v>4.35</v>
      </c>
      <c r="C2442" s="14" t="n">
        <v>4.5</v>
      </c>
      <c r="D2442" s="14" t="n">
        <v>4.25</v>
      </c>
      <c r="E2442" s="14" t="n">
        <v>2.921</v>
      </c>
      <c r="F2442" s="14" t="n">
        <v>3</v>
      </c>
      <c r="G2442" s="14" t="n">
        <v>4.75</v>
      </c>
      <c r="H2442" s="14" t="n">
        <v>4.7</v>
      </c>
      <c r="I2442" s="14" t="n">
        <v>4.53473748430172</v>
      </c>
      <c r="J2442" s="14" t="n">
        <v>4.45649007708979</v>
      </c>
      <c r="K2442" s="14" t="n">
        <v>4.35932931096866</v>
      </c>
      <c r="L2442" s="14" t="n">
        <v>4.21614389699272</v>
      </c>
      <c r="Q2442" s="14" t="n">
        <v>4.5</v>
      </c>
      <c r="R2442" s="14" t="n">
        <v>4.5</v>
      </c>
      <c r="S2442" s="14" t="n">
        <v>12.25</v>
      </c>
    </row>
    <row r="2443" customFormat="false" ht="15" hidden="false" customHeight="false" outlineLevel="0" collapsed="false">
      <c r="A2443" s="13" t="n">
        <v>45686</v>
      </c>
      <c r="B2443" s="14" t="n">
        <v>4.35</v>
      </c>
      <c r="C2443" s="14" t="n">
        <v>4.5</v>
      </c>
      <c r="D2443" s="14" t="n">
        <v>4.25</v>
      </c>
      <c r="E2443" s="14" t="n">
        <v>2.923</v>
      </c>
      <c r="F2443" s="14" t="n">
        <v>3</v>
      </c>
      <c r="G2443" s="14" t="n">
        <v>4.75</v>
      </c>
      <c r="H2443" s="14" t="n">
        <v>4.7006</v>
      </c>
      <c r="I2443" s="14" t="n">
        <v>4.52812820742164</v>
      </c>
      <c r="J2443" s="14" t="n">
        <v>4.45423190721446</v>
      </c>
      <c r="K2443" s="14" t="n">
        <v>4.35938169914101</v>
      </c>
      <c r="L2443" s="14" t="n">
        <v>4.21790734996652</v>
      </c>
      <c r="Q2443" s="14" t="n">
        <v>4.5</v>
      </c>
      <c r="R2443" s="14" t="n">
        <v>4.5</v>
      </c>
      <c r="S2443" s="14" t="n">
        <v>12.25</v>
      </c>
    </row>
    <row r="2444" customFormat="false" ht="15" hidden="false" customHeight="false" outlineLevel="0" collapsed="false">
      <c r="A2444" s="13" t="n">
        <v>45687</v>
      </c>
      <c r="B2444" s="14" t="n">
        <v>4.36</v>
      </c>
      <c r="C2444" s="14" t="n">
        <v>4.5</v>
      </c>
      <c r="D2444" s="14" t="n">
        <v>4.25</v>
      </c>
      <c r="E2444" s="14" t="n">
        <v>2.923</v>
      </c>
      <c r="F2444" s="14" t="n">
        <v>3</v>
      </c>
      <c r="G2444" s="14" t="n">
        <v>4.75</v>
      </c>
      <c r="H2444" s="14" t="n">
        <v>4.7008</v>
      </c>
      <c r="I2444" s="14" t="n">
        <v>4.51980694964492</v>
      </c>
      <c r="J2444" s="14" t="n">
        <v>4.4458095055707</v>
      </c>
      <c r="K2444" s="14" t="n">
        <v>4.3438037873584</v>
      </c>
      <c r="L2444" s="14" t="n">
        <v>4.19099936376131</v>
      </c>
      <c r="Q2444" s="14" t="n">
        <v>4.5</v>
      </c>
      <c r="R2444" s="14" t="n">
        <v>4.5</v>
      </c>
      <c r="S2444" s="14" t="n">
        <v>13.25</v>
      </c>
    </row>
    <row r="2445" customFormat="false" ht="15" hidden="false" customHeight="false" outlineLevel="0" collapsed="false">
      <c r="A2445" s="13" t="n">
        <v>45688</v>
      </c>
      <c r="B2445" s="14" t="n">
        <v>4.38</v>
      </c>
      <c r="C2445" s="14" t="n">
        <v>4.5</v>
      </c>
      <c r="D2445" s="14" t="n">
        <v>4.25</v>
      </c>
      <c r="E2445" s="14" t="n">
        <v>2.912</v>
      </c>
      <c r="F2445" s="14" t="n">
        <v>3</v>
      </c>
      <c r="G2445" s="14" t="n">
        <v>4.75</v>
      </c>
      <c r="H2445" s="14" t="n">
        <v>4.7037</v>
      </c>
      <c r="I2445" s="14" t="n">
        <v>4.50735432835459</v>
      </c>
      <c r="J2445" s="14" t="n">
        <v>4.4382573990323</v>
      </c>
      <c r="K2445" s="14" t="n">
        <v>4.33069158566257</v>
      </c>
      <c r="L2445" s="14" t="n">
        <v>4.17036792968438</v>
      </c>
      <c r="Q2445" s="14" t="n">
        <v>4.5</v>
      </c>
      <c r="R2445" s="14" t="n">
        <v>4.5</v>
      </c>
      <c r="S2445" s="14" t="n">
        <v>13.25</v>
      </c>
    </row>
    <row r="2446" customFormat="false" ht="15" hidden="false" customHeight="false" outlineLevel="0" collapsed="false">
      <c r="A2446" s="13" t="n">
        <v>45691</v>
      </c>
      <c r="B2446" s="14" t="n">
        <v>4.35</v>
      </c>
      <c r="C2446" s="14" t="n">
        <v>4.5</v>
      </c>
      <c r="D2446" s="14" t="n">
        <v>4.25</v>
      </c>
      <c r="E2446" s="14" t="n">
        <v>2.918</v>
      </c>
      <c r="F2446" s="14" t="n">
        <v>3</v>
      </c>
      <c r="G2446" s="14" t="n">
        <v>4.75</v>
      </c>
      <c r="H2446" s="14" t="n">
        <v>4.7042</v>
      </c>
      <c r="I2446" s="14" t="n">
        <v>4.48234653056594</v>
      </c>
      <c r="J2446" s="14" t="n">
        <v>4.42084707420943</v>
      </c>
      <c r="K2446" s="14" t="n">
        <v>4.30677106654022</v>
      </c>
      <c r="L2446" s="14" t="n">
        <v>4.13437260963049</v>
      </c>
      <c r="Q2446" s="14" t="n">
        <v>4.5</v>
      </c>
      <c r="R2446" s="14" t="n">
        <v>4.5</v>
      </c>
      <c r="S2446" s="14" t="n">
        <v>13.25</v>
      </c>
    </row>
    <row r="2447" customFormat="false" ht="15" hidden="false" customHeight="false" outlineLevel="0" collapsed="false">
      <c r="A2447" s="13" t="n">
        <v>45692</v>
      </c>
      <c r="B2447" s="14" t="n">
        <v>4.33</v>
      </c>
      <c r="C2447" s="14" t="n">
        <v>4.5</v>
      </c>
      <c r="D2447" s="14" t="n">
        <v>4.25</v>
      </c>
      <c r="E2447" s="14" t="n">
        <v>2.917</v>
      </c>
      <c r="F2447" s="14" t="n">
        <v>3</v>
      </c>
      <c r="G2447" s="14" t="n">
        <v>4.75</v>
      </c>
      <c r="H2447" s="14" t="n">
        <v>4.7049</v>
      </c>
      <c r="I2447" s="14" t="n">
        <v>4.47552648710301</v>
      </c>
      <c r="J2447" s="14" t="n">
        <v>4.41756205776707</v>
      </c>
      <c r="K2447" s="14" t="n">
        <v>4.30014983117728</v>
      </c>
      <c r="L2447" s="14" t="n">
        <v>4.12655367865669</v>
      </c>
      <c r="Q2447" s="14" t="n">
        <v>4.5</v>
      </c>
      <c r="R2447" s="14" t="n">
        <v>4.5</v>
      </c>
      <c r="S2447" s="14" t="n">
        <v>13.25</v>
      </c>
    </row>
    <row r="2448" customFormat="false" ht="15" hidden="false" customHeight="false" outlineLevel="0" collapsed="false">
      <c r="A2448" s="13" t="n">
        <v>45693</v>
      </c>
      <c r="B2448" s="14" t="n">
        <v>4.33</v>
      </c>
      <c r="C2448" s="14" t="n">
        <v>4.5</v>
      </c>
      <c r="D2448" s="14" t="n">
        <v>4.25</v>
      </c>
      <c r="E2448" s="14" t="n">
        <v>2.666</v>
      </c>
      <c r="F2448" s="14" t="n">
        <v>2.75</v>
      </c>
      <c r="G2448" s="14" t="n">
        <v>4.75</v>
      </c>
      <c r="H2448" s="14" t="n">
        <v>4.7045</v>
      </c>
      <c r="I2448" s="14" t="n">
        <v>4.46836527566739</v>
      </c>
      <c r="J2448" s="14" t="n">
        <v>4.41646704365359</v>
      </c>
      <c r="K2448" s="14" t="n">
        <v>4.29687312374984</v>
      </c>
      <c r="L2448" s="14" t="n">
        <v>4.11176362562939</v>
      </c>
      <c r="M2448" s="14" t="n">
        <v>1.708</v>
      </c>
      <c r="N2448" s="14" t="n">
        <v>1.707</v>
      </c>
      <c r="O2448" s="14" t="n">
        <v>1.722</v>
      </c>
      <c r="P2448" s="14" t="n">
        <v>1.735</v>
      </c>
      <c r="Q2448" s="14" t="n">
        <v>4.5</v>
      </c>
      <c r="R2448" s="14" t="n">
        <v>4.5</v>
      </c>
      <c r="S2448" s="14" t="n">
        <v>13.25</v>
      </c>
    </row>
    <row r="2449" customFormat="false" ht="15" hidden="false" customHeight="false" outlineLevel="0" collapsed="false">
      <c r="A2449" s="13" t="n">
        <v>45694</v>
      </c>
      <c r="B2449" s="14" t="n">
        <v>4.36</v>
      </c>
      <c r="C2449" s="14" t="n">
        <v>4.5</v>
      </c>
      <c r="D2449" s="14" t="n">
        <v>4.25</v>
      </c>
      <c r="E2449" s="14" t="n">
        <v>2.669</v>
      </c>
      <c r="F2449" s="14" t="n">
        <v>2.75</v>
      </c>
      <c r="G2449" s="14" t="n">
        <v>4.5</v>
      </c>
      <c r="H2449" s="14" t="n">
        <v>4.4544</v>
      </c>
      <c r="I2449" s="14" t="n">
        <v>4.45843649553794</v>
      </c>
      <c r="J2449" s="14" t="n">
        <v>4.40133825353015</v>
      </c>
      <c r="K2449" s="14" t="n">
        <v>4.27579151772286</v>
      </c>
      <c r="L2449" s="14" t="n">
        <v>4.09295043893378</v>
      </c>
      <c r="M2449" s="14" t="n">
        <v>1.708</v>
      </c>
      <c r="N2449" s="14" t="n">
        <v>1.71</v>
      </c>
      <c r="O2449" s="14" t="n">
        <v>1.727</v>
      </c>
      <c r="P2449" s="14" t="n">
        <v>1.739</v>
      </c>
      <c r="Q2449" s="14" t="n">
        <v>4.5</v>
      </c>
      <c r="R2449" s="14" t="n">
        <v>4.5</v>
      </c>
      <c r="S2449" s="14" t="n">
        <v>13.25</v>
      </c>
    </row>
    <row r="2450" customFormat="false" ht="15" hidden="false" customHeight="false" outlineLevel="0" collapsed="false">
      <c r="A2450" s="13" t="n">
        <v>45695</v>
      </c>
      <c r="B2450" s="14" t="n">
        <v>4.35</v>
      </c>
      <c r="C2450" s="14" t="n">
        <v>4.5</v>
      </c>
      <c r="D2450" s="14" t="n">
        <v>4.25</v>
      </c>
      <c r="E2450" s="14" t="n">
        <v>2.665</v>
      </c>
      <c r="F2450" s="14" t="n">
        <v>2.75</v>
      </c>
      <c r="G2450" s="14" t="n">
        <v>4.5</v>
      </c>
      <c r="H2450" s="14" t="n">
        <v>4.454</v>
      </c>
      <c r="I2450" s="14" t="n">
        <v>4.45942754644764</v>
      </c>
      <c r="J2450" s="14" t="n">
        <v>4.40313967614577</v>
      </c>
      <c r="K2450" s="14" t="n">
        <v>4.27804143694246</v>
      </c>
      <c r="L2450" s="14" t="n">
        <v>4.10275287511987</v>
      </c>
      <c r="M2450" s="14" t="n">
        <v>1.705</v>
      </c>
      <c r="N2450" s="14" t="n">
        <v>1.711</v>
      </c>
      <c r="O2450" s="14" t="n">
        <v>1.724</v>
      </c>
      <c r="P2450" s="14" t="n">
        <v>1.735</v>
      </c>
      <c r="Q2450" s="14" t="n">
        <v>4.5</v>
      </c>
      <c r="R2450" s="14" t="n">
        <v>4.5</v>
      </c>
      <c r="S2450" s="14" t="n">
        <v>13.25</v>
      </c>
    </row>
    <row r="2451" customFormat="false" ht="15" hidden="false" customHeight="false" outlineLevel="0" collapsed="false">
      <c r="A2451" s="13" t="n">
        <v>45696</v>
      </c>
      <c r="C2451" s="14" t="n">
        <v>4.5</v>
      </c>
      <c r="D2451" s="14" t="n">
        <v>4.25</v>
      </c>
      <c r="F2451" s="14" t="n">
        <v>2.75</v>
      </c>
      <c r="M2451" s="14" t="n">
        <v>1.703</v>
      </c>
      <c r="N2451" s="14" t="n">
        <v>1.712</v>
      </c>
      <c r="O2451" s="14" t="n">
        <v>1.72</v>
      </c>
      <c r="P2451" s="14" t="n">
        <v>1.734</v>
      </c>
      <c r="S2451" s="14" t="n">
        <v>13.25</v>
      </c>
    </row>
    <row r="2452" customFormat="false" ht="15" hidden="false" customHeight="false" outlineLevel="0" collapsed="false">
      <c r="A2452" s="13" t="n">
        <v>45698</v>
      </c>
      <c r="B2452" s="14" t="n">
        <v>4.35</v>
      </c>
      <c r="C2452" s="14" t="n">
        <v>4.5</v>
      </c>
      <c r="D2452" s="14" t="n">
        <v>4.25</v>
      </c>
      <c r="E2452" s="14" t="n">
        <v>2.664</v>
      </c>
      <c r="F2452" s="14" t="n">
        <v>2.75</v>
      </c>
      <c r="G2452" s="14" t="n">
        <v>4.5</v>
      </c>
      <c r="H2452" s="14" t="n">
        <v>4.454</v>
      </c>
      <c r="I2452" s="14" t="n">
        <v>4.45838273319576</v>
      </c>
      <c r="J2452" s="14" t="n">
        <v>4.3924015193205</v>
      </c>
      <c r="K2452" s="14" t="n">
        <v>4.2593423062356</v>
      </c>
      <c r="L2452" s="14" t="n">
        <v>4.06648895939015</v>
      </c>
      <c r="M2452" s="14" t="n">
        <v>1.7</v>
      </c>
      <c r="N2452" s="14" t="n">
        <v>1.714</v>
      </c>
      <c r="O2452" s="14" t="n">
        <v>1.723</v>
      </c>
      <c r="P2452" s="14" t="n">
        <v>1.733</v>
      </c>
      <c r="Q2452" s="14" t="n">
        <v>4.5</v>
      </c>
      <c r="R2452" s="14" t="n">
        <v>4.5</v>
      </c>
      <c r="S2452" s="14" t="n">
        <v>13.25</v>
      </c>
    </row>
    <row r="2453" customFormat="false" ht="15" hidden="false" customHeight="false" outlineLevel="0" collapsed="false">
      <c r="A2453" s="13" t="n">
        <v>45699</v>
      </c>
      <c r="B2453" s="14" t="n">
        <v>4.34</v>
      </c>
      <c r="C2453" s="14" t="n">
        <v>4.5</v>
      </c>
      <c r="D2453" s="14" t="n">
        <v>4.25</v>
      </c>
      <c r="E2453" s="14" t="n">
        <v>2.666</v>
      </c>
      <c r="F2453" s="14" t="n">
        <v>2.75</v>
      </c>
      <c r="G2453" s="14" t="n">
        <v>4.5</v>
      </c>
      <c r="H2453" s="14" t="n">
        <v>4.4541</v>
      </c>
      <c r="I2453" s="14" t="n">
        <v>4.45802957647718</v>
      </c>
      <c r="J2453" s="14" t="n">
        <v>4.39691394780266</v>
      </c>
      <c r="K2453" s="14" t="n">
        <v>4.26917707735132</v>
      </c>
      <c r="L2453" s="14" t="n">
        <v>4.08993070076695</v>
      </c>
      <c r="M2453" s="14" t="n">
        <v>1.71</v>
      </c>
      <c r="N2453" s="14" t="n">
        <v>1.721</v>
      </c>
      <c r="O2453" s="14" t="n">
        <v>1.731</v>
      </c>
      <c r="P2453" s="14" t="n">
        <v>1.741</v>
      </c>
      <c r="Q2453" s="14" t="n">
        <v>4.5</v>
      </c>
      <c r="R2453" s="14" t="n">
        <v>4.5</v>
      </c>
      <c r="S2453" s="14" t="n">
        <v>13.25</v>
      </c>
    </row>
    <row r="2454" customFormat="false" ht="15" hidden="false" customHeight="false" outlineLevel="0" collapsed="false">
      <c r="A2454" s="13" t="n">
        <v>45700</v>
      </c>
      <c r="B2454" s="14" t="n">
        <v>4.32</v>
      </c>
      <c r="C2454" s="14" t="n">
        <v>4.5</v>
      </c>
      <c r="D2454" s="14" t="n">
        <v>4.25</v>
      </c>
      <c r="E2454" s="14" t="n">
        <v>2.665</v>
      </c>
      <c r="F2454" s="14" t="n">
        <v>2.75</v>
      </c>
      <c r="G2454" s="14" t="n">
        <v>4.5</v>
      </c>
      <c r="H2454" s="14" t="n">
        <v>4.4539</v>
      </c>
      <c r="I2454" s="14" t="n">
        <v>4.45829529528198</v>
      </c>
      <c r="J2454" s="14" t="n">
        <v>4.39608016262151</v>
      </c>
      <c r="K2454" s="14" t="n">
        <v>4.26708656942783</v>
      </c>
      <c r="L2454" s="14" t="n">
        <v>4.08755938934418</v>
      </c>
      <c r="M2454" s="14" t="n">
        <v>1.715</v>
      </c>
      <c r="N2454" s="14" t="n">
        <v>1.726</v>
      </c>
      <c r="O2454" s="14" t="n">
        <v>1.736</v>
      </c>
      <c r="P2454" s="14" t="n">
        <v>1.746</v>
      </c>
      <c r="Q2454" s="14" t="n">
        <v>4.5</v>
      </c>
      <c r="R2454" s="14" t="n">
        <v>4.5</v>
      </c>
      <c r="S2454" s="14" t="n">
        <v>13.25</v>
      </c>
    </row>
    <row r="2455" customFormat="false" ht="15" hidden="false" customHeight="false" outlineLevel="0" collapsed="false">
      <c r="A2455" s="13" t="n">
        <v>45701</v>
      </c>
      <c r="B2455" s="14" t="n">
        <v>4.33</v>
      </c>
      <c r="C2455" s="14" t="n">
        <v>4.5</v>
      </c>
      <c r="D2455" s="14" t="n">
        <v>4.25</v>
      </c>
      <c r="E2455" s="14" t="n">
        <v>2.667</v>
      </c>
      <c r="F2455" s="14" t="n">
        <v>2.75</v>
      </c>
      <c r="G2455" s="14" t="n">
        <v>4.5</v>
      </c>
      <c r="H2455" s="14" t="n">
        <v>4.4544</v>
      </c>
      <c r="I2455" s="14" t="n">
        <v>4.46031599215118</v>
      </c>
      <c r="J2455" s="14" t="n">
        <v>4.4053637017221</v>
      </c>
      <c r="K2455" s="14" t="n">
        <v>4.2821714328881</v>
      </c>
      <c r="L2455" s="14" t="n">
        <v>4.10699634904793</v>
      </c>
      <c r="M2455" s="14" t="n">
        <v>1.719</v>
      </c>
      <c r="N2455" s="14" t="n">
        <v>1.73</v>
      </c>
      <c r="O2455" s="14" t="n">
        <v>1.742</v>
      </c>
      <c r="P2455" s="14" t="n">
        <v>1.753</v>
      </c>
      <c r="Q2455" s="14" t="n">
        <v>4.5</v>
      </c>
      <c r="R2455" s="14" t="n">
        <v>4.5</v>
      </c>
      <c r="S2455" s="14" t="n">
        <v>13.25</v>
      </c>
    </row>
    <row r="2456" customFormat="false" ht="15" hidden="false" customHeight="false" outlineLevel="0" collapsed="false">
      <c r="A2456" s="13" t="n">
        <v>45702</v>
      </c>
      <c r="B2456" s="14" t="n">
        <v>4.33</v>
      </c>
      <c r="C2456" s="14" t="n">
        <v>4.5</v>
      </c>
      <c r="D2456" s="14" t="n">
        <v>4.25</v>
      </c>
      <c r="E2456" s="14" t="n">
        <v>2.666</v>
      </c>
      <c r="F2456" s="14" t="n">
        <v>2.75</v>
      </c>
      <c r="G2456" s="14" t="n">
        <v>4.5</v>
      </c>
      <c r="H2456" s="14" t="n">
        <v>4.4543</v>
      </c>
      <c r="I2456" s="14" t="n">
        <v>4.46076754086591</v>
      </c>
      <c r="J2456" s="14" t="n">
        <v>4.40839848992063</v>
      </c>
      <c r="K2456" s="14" t="n">
        <v>4.28593687837312</v>
      </c>
      <c r="L2456" s="14" t="n">
        <v>4.1128385279264</v>
      </c>
      <c r="M2456" s="14" t="n">
        <v>1.731</v>
      </c>
      <c r="N2456" s="14" t="n">
        <v>1.738</v>
      </c>
      <c r="O2456" s="14" t="n">
        <v>1.75</v>
      </c>
      <c r="P2456" s="14" t="n">
        <v>1.764</v>
      </c>
      <c r="Q2456" s="14" t="n">
        <v>4.5</v>
      </c>
      <c r="R2456" s="14" t="n">
        <v>4.5</v>
      </c>
      <c r="S2456" s="14" t="n">
        <v>13.25</v>
      </c>
    </row>
    <row r="2457" customFormat="false" ht="15" hidden="false" customHeight="false" outlineLevel="0" collapsed="false">
      <c r="A2457" s="13" t="n">
        <v>45705</v>
      </c>
      <c r="C2457" s="14" t="n">
        <v>4.5</v>
      </c>
      <c r="D2457" s="14" t="n">
        <v>4.25</v>
      </c>
      <c r="E2457" s="14" t="n">
        <v>2.665</v>
      </c>
      <c r="F2457" s="14" t="n">
        <v>2.75</v>
      </c>
      <c r="G2457" s="14" t="n">
        <v>4.5</v>
      </c>
      <c r="H2457" s="14" t="n">
        <v>4.4541</v>
      </c>
      <c r="I2457" s="14" t="n">
        <v>4.45838574007589</v>
      </c>
      <c r="J2457" s="14" t="n">
        <v>4.39693214430749</v>
      </c>
      <c r="K2457" s="14" t="n">
        <v>4.27154380671267</v>
      </c>
      <c r="L2457" s="14" t="n">
        <v>4.09795971888631</v>
      </c>
      <c r="M2457" s="14" t="n">
        <v>1.747</v>
      </c>
      <c r="N2457" s="14" t="n">
        <v>1.75</v>
      </c>
      <c r="O2457" s="14" t="n">
        <v>1.763</v>
      </c>
      <c r="P2457" s="14" t="n">
        <v>1.775</v>
      </c>
      <c r="Q2457" s="14" t="n">
        <v>4.5</v>
      </c>
      <c r="R2457" s="14" t="n">
        <v>4.5</v>
      </c>
      <c r="S2457" s="14" t="n">
        <v>13.25</v>
      </c>
    </row>
    <row r="2458" customFormat="false" ht="15" hidden="false" customHeight="false" outlineLevel="0" collapsed="false">
      <c r="A2458" s="13" t="n">
        <v>45706</v>
      </c>
      <c r="B2458" s="14" t="n">
        <v>4.37</v>
      </c>
      <c r="C2458" s="14" t="n">
        <v>4.5</v>
      </c>
      <c r="D2458" s="14" t="n">
        <v>4.25</v>
      </c>
      <c r="E2458" s="14" t="n">
        <v>2.666</v>
      </c>
      <c r="F2458" s="14" t="n">
        <v>2.75</v>
      </c>
      <c r="G2458" s="14" t="n">
        <v>4.5</v>
      </c>
      <c r="H2458" s="14" t="n">
        <v>4.4542</v>
      </c>
      <c r="I2458" s="14" t="n">
        <v>4.46010872988788</v>
      </c>
      <c r="J2458" s="14" t="n">
        <v>4.40507889427767</v>
      </c>
      <c r="K2458" s="14" t="n">
        <v>4.28734824085345</v>
      </c>
      <c r="L2458" s="14" t="n">
        <v>4.12554056254079</v>
      </c>
      <c r="M2458" s="14" t="n">
        <v>1.766</v>
      </c>
      <c r="N2458" s="14" t="n">
        <v>1.763</v>
      </c>
      <c r="O2458" s="14" t="n">
        <v>1.773</v>
      </c>
      <c r="P2458" s="14" t="n">
        <v>1.796</v>
      </c>
      <c r="Q2458" s="14" t="n">
        <v>4.5</v>
      </c>
      <c r="R2458" s="14" t="n">
        <v>4.5</v>
      </c>
      <c r="S2458" s="14" t="n">
        <v>13.25</v>
      </c>
    </row>
    <row r="2459" customFormat="false" ht="15" hidden="false" customHeight="false" outlineLevel="0" collapsed="false">
      <c r="A2459" s="13" t="n">
        <v>45707</v>
      </c>
      <c r="B2459" s="14" t="n">
        <v>4.35</v>
      </c>
      <c r="C2459" s="14" t="n">
        <v>4.5</v>
      </c>
      <c r="D2459" s="14" t="n">
        <v>4.25</v>
      </c>
      <c r="E2459" s="14" t="n">
        <v>2.665</v>
      </c>
      <c r="F2459" s="14" t="n">
        <v>2.75</v>
      </c>
      <c r="G2459" s="14" t="n">
        <v>4.5</v>
      </c>
      <c r="H2459" s="14" t="n">
        <v>4.4543</v>
      </c>
      <c r="I2459" s="14" t="n">
        <v>4.46255483513064</v>
      </c>
      <c r="J2459" s="14" t="n">
        <v>4.41031040439053</v>
      </c>
      <c r="K2459" s="14" t="n">
        <v>4.29413267115429</v>
      </c>
      <c r="L2459" s="14" t="n">
        <v>4.14085960485843</v>
      </c>
      <c r="M2459" s="14" t="n">
        <v>1.77</v>
      </c>
      <c r="N2459" s="14" t="n">
        <v>1.7702</v>
      </c>
      <c r="O2459" s="14" t="n">
        <v>1.784</v>
      </c>
      <c r="P2459" s="14" t="n">
        <v>1.812</v>
      </c>
      <c r="Q2459" s="14" t="n">
        <v>4.5</v>
      </c>
      <c r="R2459" s="14" t="n">
        <v>4.5</v>
      </c>
      <c r="S2459" s="14" t="n">
        <v>13.25</v>
      </c>
    </row>
    <row r="2460" customFormat="false" ht="15" hidden="false" customHeight="false" outlineLevel="0" collapsed="false">
      <c r="A2460" s="13" t="n">
        <v>45708</v>
      </c>
      <c r="B2460" s="14" t="n">
        <v>4.33</v>
      </c>
      <c r="C2460" s="14" t="n">
        <v>4.5</v>
      </c>
      <c r="D2460" s="14" t="n">
        <v>4.25</v>
      </c>
      <c r="E2460" s="14" t="n">
        <v>2.667</v>
      </c>
      <c r="F2460" s="14" t="n">
        <v>2.75</v>
      </c>
      <c r="G2460" s="14" t="n">
        <v>4.5</v>
      </c>
      <c r="H2460" s="14" t="n">
        <v>4.4543</v>
      </c>
      <c r="I2460" s="14" t="n">
        <v>4.46042711475561</v>
      </c>
      <c r="J2460" s="14" t="n">
        <v>4.41072072996928</v>
      </c>
      <c r="K2460" s="14" t="n">
        <v>4.29724860755704</v>
      </c>
      <c r="L2460" s="14" t="n">
        <v>4.14126458087722</v>
      </c>
      <c r="M2460" s="14" t="n">
        <v>1.778</v>
      </c>
      <c r="N2460" s="14" t="n">
        <v>1.7802</v>
      </c>
      <c r="O2460" s="14" t="n">
        <v>1.794</v>
      </c>
      <c r="P2460" s="14" t="n">
        <v>1.823</v>
      </c>
      <c r="Q2460" s="14" t="n">
        <v>4.5</v>
      </c>
      <c r="R2460" s="14" t="n">
        <v>4.5</v>
      </c>
      <c r="S2460" s="14" t="n">
        <v>13.25</v>
      </c>
    </row>
    <row r="2461" customFormat="false" ht="15" hidden="false" customHeight="false" outlineLevel="0" collapsed="false">
      <c r="A2461" s="13" t="n">
        <v>45709</v>
      </c>
      <c r="B2461" s="14" t="n">
        <v>4.34</v>
      </c>
      <c r="C2461" s="14" t="n">
        <v>4.5</v>
      </c>
      <c r="D2461" s="14" t="n">
        <v>4.25</v>
      </c>
      <c r="E2461" s="14" t="n">
        <v>2.666</v>
      </c>
      <c r="F2461" s="14" t="n">
        <v>2.75</v>
      </c>
      <c r="G2461" s="14" t="n">
        <v>4.5</v>
      </c>
      <c r="H2461" s="14" t="n">
        <v>4.4549</v>
      </c>
      <c r="I2461" s="14" t="n">
        <v>4.45903254459906</v>
      </c>
      <c r="J2461" s="14" t="n">
        <v>4.40467076264068</v>
      </c>
      <c r="K2461" s="14" t="n">
        <v>4.28913425136691</v>
      </c>
      <c r="L2461" s="14" t="n">
        <v>4.13121639211584</v>
      </c>
      <c r="M2461" s="14" t="n">
        <v>1.787</v>
      </c>
      <c r="N2461" s="14" t="n">
        <v>1.7912</v>
      </c>
      <c r="O2461" s="14" t="n">
        <v>1.802</v>
      </c>
      <c r="P2461" s="14" t="n">
        <v>1.831</v>
      </c>
      <c r="Q2461" s="14" t="n">
        <v>4.5</v>
      </c>
      <c r="R2461" s="14" t="n">
        <v>4.5</v>
      </c>
      <c r="S2461" s="14" t="n">
        <v>13.25</v>
      </c>
    </row>
    <row r="2462" customFormat="false" ht="15" hidden="false" customHeight="false" outlineLevel="0" collapsed="false">
      <c r="A2462" s="13" t="n">
        <v>45712</v>
      </c>
      <c r="B2462" s="14" t="n">
        <v>4.34</v>
      </c>
      <c r="C2462" s="14" t="n">
        <v>4.5</v>
      </c>
      <c r="D2462" s="14" t="n">
        <v>4.25</v>
      </c>
      <c r="E2462" s="14" t="n">
        <v>2.666</v>
      </c>
      <c r="F2462" s="14" t="n">
        <v>2.75</v>
      </c>
      <c r="G2462" s="14" t="n">
        <v>4.5</v>
      </c>
      <c r="H2462" s="14" t="n">
        <v>4.4545</v>
      </c>
      <c r="I2462" s="14" t="n">
        <v>4.4585871940381</v>
      </c>
      <c r="J2462" s="14" t="n">
        <v>4.40272417883832</v>
      </c>
      <c r="K2462" s="14" t="n">
        <v>4.290317301014</v>
      </c>
      <c r="L2462" s="14" t="n">
        <v>4.13055599338375</v>
      </c>
      <c r="M2462" s="14" t="n">
        <v>1.79</v>
      </c>
      <c r="N2462" s="14" t="n">
        <v>1.797</v>
      </c>
      <c r="O2462" s="14" t="n">
        <v>1.806</v>
      </c>
      <c r="P2462" s="14" t="n">
        <v>1.839</v>
      </c>
      <c r="Q2462" s="14" t="n">
        <v>4.5</v>
      </c>
      <c r="R2462" s="14" t="n">
        <v>4.5</v>
      </c>
      <c r="S2462" s="14" t="n">
        <v>13.25</v>
      </c>
    </row>
    <row r="2463" customFormat="false" ht="15" hidden="false" customHeight="false" outlineLevel="0" collapsed="false">
      <c r="A2463" s="13" t="n">
        <v>45713</v>
      </c>
      <c r="B2463" s="14" t="n">
        <v>4.33</v>
      </c>
      <c r="C2463" s="14" t="n">
        <v>4.5</v>
      </c>
      <c r="D2463" s="14" t="n">
        <v>4.25</v>
      </c>
      <c r="E2463" s="14" t="n">
        <v>2.666</v>
      </c>
      <c r="F2463" s="14" t="n">
        <v>2.75</v>
      </c>
      <c r="G2463" s="14" t="n">
        <v>4.5</v>
      </c>
      <c r="H2463" s="14" t="n">
        <v>4.4547</v>
      </c>
      <c r="I2463" s="14" t="n">
        <v>4.45715827865244</v>
      </c>
      <c r="J2463" s="14" t="n">
        <v>4.39879984209683</v>
      </c>
      <c r="K2463" s="14" t="n">
        <v>4.28089201827927</v>
      </c>
      <c r="L2463" s="14" t="n">
        <v>4.10807684155675</v>
      </c>
      <c r="M2463" s="14" t="n">
        <v>1.792</v>
      </c>
      <c r="N2463" s="14" t="n">
        <v>1.818</v>
      </c>
      <c r="O2463" s="14" t="n">
        <v>1.837</v>
      </c>
      <c r="P2463" s="14" t="n">
        <v>1.855</v>
      </c>
      <c r="Q2463" s="14" t="n">
        <v>4.5</v>
      </c>
      <c r="R2463" s="14" t="n">
        <v>4.5</v>
      </c>
      <c r="S2463" s="14" t="n">
        <v>13.25</v>
      </c>
    </row>
    <row r="2464" customFormat="false" ht="15" hidden="false" customHeight="false" outlineLevel="0" collapsed="false">
      <c r="A2464" s="13" t="n">
        <v>45714</v>
      </c>
      <c r="B2464" s="14" t="n">
        <v>4.33</v>
      </c>
      <c r="C2464" s="14" t="n">
        <v>4.5</v>
      </c>
      <c r="D2464" s="14" t="n">
        <v>4.25</v>
      </c>
      <c r="E2464" s="14" t="n">
        <v>2.665</v>
      </c>
      <c r="F2464" s="14" t="n">
        <v>2.75</v>
      </c>
      <c r="G2464" s="14" t="n">
        <v>4.5</v>
      </c>
      <c r="H2464" s="14" t="n">
        <v>4.4547</v>
      </c>
      <c r="I2464" s="14" t="n">
        <v>4.45775354189872</v>
      </c>
      <c r="J2464" s="14" t="n">
        <v>4.39731824606117</v>
      </c>
      <c r="K2464" s="14" t="n">
        <v>4.27853954400188</v>
      </c>
      <c r="L2464" s="14" t="n">
        <v>4.10782718394636</v>
      </c>
      <c r="M2464" s="14" t="n">
        <v>1.812</v>
      </c>
      <c r="N2464" s="14" t="n">
        <v>1.8555</v>
      </c>
      <c r="O2464" s="14" t="n">
        <v>1.879</v>
      </c>
      <c r="P2464" s="14" t="n">
        <v>1.887</v>
      </c>
      <c r="Q2464" s="14" t="n">
        <v>4.5</v>
      </c>
      <c r="R2464" s="14" t="n">
        <v>4.5</v>
      </c>
      <c r="S2464" s="14" t="n">
        <v>13.25</v>
      </c>
    </row>
    <row r="2465" customFormat="false" ht="15" hidden="false" customHeight="false" outlineLevel="0" collapsed="false">
      <c r="A2465" s="13" t="n">
        <v>45715</v>
      </c>
      <c r="B2465" s="14" t="n">
        <v>4.36</v>
      </c>
      <c r="C2465" s="14" t="n">
        <v>4.5</v>
      </c>
      <c r="D2465" s="14" t="n">
        <v>4.25</v>
      </c>
      <c r="E2465" s="14" t="n">
        <v>2.666</v>
      </c>
      <c r="F2465" s="14" t="n">
        <v>2.75</v>
      </c>
      <c r="G2465" s="14" t="n">
        <v>4.5</v>
      </c>
      <c r="H2465" s="14" t="n">
        <v>4.4547</v>
      </c>
      <c r="I2465" s="14" t="n">
        <v>4.45731892005371</v>
      </c>
      <c r="J2465" s="14" t="n">
        <v>4.39549567568909</v>
      </c>
      <c r="K2465" s="14" t="n">
        <v>4.27650251859306</v>
      </c>
      <c r="L2465" s="14" t="n">
        <v>4.10581447920395</v>
      </c>
      <c r="M2465" s="14" t="n">
        <v>1.847</v>
      </c>
      <c r="N2465" s="14" t="n">
        <v>1.89</v>
      </c>
      <c r="O2465" s="14" t="n">
        <v>1.915</v>
      </c>
      <c r="P2465" s="14" t="n">
        <v>1.92</v>
      </c>
      <c r="Q2465" s="14" t="n">
        <v>4.5</v>
      </c>
      <c r="R2465" s="14" t="n">
        <v>4.5</v>
      </c>
      <c r="S2465" s="14" t="n">
        <v>13.25</v>
      </c>
    </row>
    <row r="2466" customFormat="false" ht="15" hidden="false" customHeight="false" outlineLevel="0" collapsed="false">
      <c r="A2466" s="13" t="n">
        <v>45716</v>
      </c>
      <c r="B2466" s="14" t="n">
        <v>4.39</v>
      </c>
      <c r="C2466" s="14" t="n">
        <v>4.5</v>
      </c>
      <c r="D2466" s="14" t="n">
        <v>4.25</v>
      </c>
      <c r="E2466" s="14" t="n">
        <v>2.658</v>
      </c>
      <c r="F2466" s="14" t="n">
        <v>2.75</v>
      </c>
      <c r="G2466" s="14" t="n">
        <v>4.5</v>
      </c>
      <c r="H2466" s="14" t="n">
        <v>4.4552</v>
      </c>
      <c r="I2466" s="14" t="n">
        <v>4.45872711498372</v>
      </c>
      <c r="J2466" s="14" t="n">
        <v>4.39683320685497</v>
      </c>
      <c r="K2466" s="14" t="n">
        <v>4.27608959286849</v>
      </c>
      <c r="L2466" s="14" t="n">
        <v>4.1000447046276</v>
      </c>
      <c r="M2466" s="14" t="n">
        <v>1.868</v>
      </c>
      <c r="N2466" s="14" t="n">
        <v>1.922</v>
      </c>
      <c r="O2466" s="14" t="n">
        <v>1.946</v>
      </c>
      <c r="P2466" s="14" t="n">
        <v>1.944</v>
      </c>
      <c r="Q2466" s="14" t="n">
        <v>4.5</v>
      </c>
      <c r="R2466" s="14" t="n">
        <v>4.5</v>
      </c>
      <c r="S2466" s="14" t="n">
        <v>13.25</v>
      </c>
    </row>
    <row r="2467" customFormat="false" ht="15" hidden="false" customHeight="false" outlineLevel="0" collapsed="false">
      <c r="A2467" s="13" t="n">
        <v>45719</v>
      </c>
      <c r="B2467" s="14" t="n">
        <v>4.33</v>
      </c>
      <c r="C2467" s="14" t="n">
        <v>4.5</v>
      </c>
      <c r="D2467" s="14" t="n">
        <v>4.25</v>
      </c>
      <c r="E2467" s="14" t="n">
        <v>2.663</v>
      </c>
      <c r="F2467" s="14" t="n">
        <v>2.75</v>
      </c>
      <c r="G2467" s="14" t="n">
        <v>4.5</v>
      </c>
      <c r="H2467" s="14" t="n">
        <v>4.455</v>
      </c>
      <c r="I2467" s="14" t="n">
        <v>4.45722865958818</v>
      </c>
      <c r="J2467" s="14" t="n">
        <v>4.39655366311707</v>
      </c>
      <c r="K2467" s="14" t="n">
        <v>4.2811393664637</v>
      </c>
      <c r="L2467" s="14" t="n">
        <v>4.12245279196517</v>
      </c>
      <c r="M2467" s="14" t="n">
        <v>1.883</v>
      </c>
      <c r="N2467" s="14" t="n">
        <v>1.946</v>
      </c>
      <c r="O2467" s="14" t="n">
        <v>1.968</v>
      </c>
      <c r="P2467" s="14" t="n">
        <v>1.957</v>
      </c>
      <c r="Q2467" s="14" t="n">
        <v>4.5</v>
      </c>
      <c r="R2467" s="14" t="n">
        <v>4.5</v>
      </c>
      <c r="S2467" s="14" t="n">
        <v>13.25</v>
      </c>
    </row>
    <row r="2468" customFormat="false" ht="15" hidden="false" customHeight="false" outlineLevel="0" collapsed="false">
      <c r="A2468" s="13" t="n">
        <v>45720</v>
      </c>
      <c r="B2468" s="14" t="n">
        <v>4.33</v>
      </c>
      <c r="C2468" s="14" t="n">
        <v>4.5</v>
      </c>
      <c r="D2468" s="14" t="n">
        <v>4.25</v>
      </c>
      <c r="E2468" s="14" t="n">
        <v>2.664</v>
      </c>
      <c r="F2468" s="14" t="n">
        <v>2.75</v>
      </c>
      <c r="G2468" s="14" t="n">
        <v>4.5</v>
      </c>
      <c r="H2468" s="14" t="n">
        <v>4.4551</v>
      </c>
      <c r="I2468" s="14" t="n">
        <v>4.45509679610307</v>
      </c>
      <c r="J2468" s="14" t="n">
        <v>4.39135300961973</v>
      </c>
      <c r="K2468" s="14" t="n">
        <v>4.2728112996144</v>
      </c>
      <c r="L2468" s="14" t="n">
        <v>4.10360479084692</v>
      </c>
      <c r="M2468" s="14" t="n">
        <v>1.892</v>
      </c>
      <c r="N2468" s="14" t="n">
        <v>1.9625</v>
      </c>
      <c r="O2468" s="14" t="n">
        <v>1.979</v>
      </c>
      <c r="P2468" s="14" t="n">
        <v>1.967</v>
      </c>
      <c r="Q2468" s="14" t="n">
        <v>4.5</v>
      </c>
      <c r="R2468" s="14" t="n">
        <v>4.5</v>
      </c>
      <c r="S2468" s="14" t="n">
        <v>13.25</v>
      </c>
    </row>
    <row r="2469" customFormat="false" ht="15" hidden="false" customHeight="false" outlineLevel="0" collapsed="false">
      <c r="A2469" s="13" t="n">
        <v>45721</v>
      </c>
      <c r="B2469" s="14" t="n">
        <v>4.34</v>
      </c>
      <c r="C2469" s="14" t="n">
        <v>4.5</v>
      </c>
      <c r="D2469" s="14" t="n">
        <v>4.25</v>
      </c>
      <c r="E2469" s="14" t="n">
        <v>2.664</v>
      </c>
      <c r="F2469" s="14" t="n">
        <v>2.75</v>
      </c>
      <c r="G2469" s="14" t="n">
        <v>4.5</v>
      </c>
      <c r="H2469" s="14" t="n">
        <v>4.455</v>
      </c>
      <c r="I2469" s="14" t="n">
        <v>4.45815287780152</v>
      </c>
      <c r="J2469" s="14" t="n">
        <v>4.39831068153462</v>
      </c>
      <c r="K2469" s="14" t="n">
        <v>4.28791535438849</v>
      </c>
      <c r="L2469" s="14" t="n">
        <v>4.13971875308748</v>
      </c>
      <c r="M2469" s="14" t="n">
        <v>1.908</v>
      </c>
      <c r="N2469" s="14" t="n">
        <v>1.975</v>
      </c>
      <c r="O2469" s="14" t="n">
        <v>1.989</v>
      </c>
      <c r="P2469" s="14" t="n">
        <v>1.976</v>
      </c>
      <c r="Q2469" s="14" t="n">
        <v>4.5</v>
      </c>
      <c r="R2469" s="14" t="n">
        <v>4.5</v>
      </c>
      <c r="S2469" s="14" t="n">
        <v>13.25</v>
      </c>
    </row>
    <row r="2470" customFormat="false" ht="15" hidden="false" customHeight="false" outlineLevel="0" collapsed="false">
      <c r="A2470" s="13" t="n">
        <v>45722</v>
      </c>
      <c r="B2470" s="14" t="n">
        <v>4.35</v>
      </c>
      <c r="C2470" s="14" t="n">
        <v>4.5</v>
      </c>
      <c r="D2470" s="14" t="n">
        <v>4.25</v>
      </c>
      <c r="E2470" s="14" t="n">
        <v>2.666</v>
      </c>
      <c r="F2470" s="14" t="n">
        <v>2.75</v>
      </c>
      <c r="G2470" s="14" t="n">
        <v>4.5</v>
      </c>
      <c r="H2470" s="14" t="n">
        <v>4.4557</v>
      </c>
      <c r="I2470" s="14" t="n">
        <v>4.45923938768784</v>
      </c>
      <c r="J2470" s="14" t="n">
        <v>4.39625033445131</v>
      </c>
      <c r="K2470" s="14" t="n">
        <v>4.28424556828577</v>
      </c>
      <c r="L2470" s="14" t="n">
        <v>4.13222071026624</v>
      </c>
      <c r="M2470" s="14" t="n">
        <v>1.91</v>
      </c>
      <c r="N2470" s="14" t="n">
        <v>1.982</v>
      </c>
      <c r="O2470" s="14" t="n">
        <v>1.993</v>
      </c>
      <c r="P2470" s="14" t="n">
        <v>1.982</v>
      </c>
      <c r="Q2470" s="14" t="n">
        <v>4.5</v>
      </c>
      <c r="R2470" s="14" t="n">
        <v>4.5</v>
      </c>
      <c r="S2470" s="14" t="n">
        <v>13.25</v>
      </c>
    </row>
    <row r="2471" customFormat="false" ht="15" hidden="false" customHeight="false" outlineLevel="0" collapsed="false">
      <c r="A2471" s="13" t="n">
        <v>45723</v>
      </c>
      <c r="B2471" s="14" t="n">
        <v>4.34</v>
      </c>
      <c r="C2471" s="14" t="n">
        <v>4.5</v>
      </c>
      <c r="D2471" s="14" t="n">
        <v>4.25</v>
      </c>
      <c r="E2471" s="14" t="n">
        <v>2.665</v>
      </c>
      <c r="F2471" s="14" t="n">
        <v>2.75</v>
      </c>
      <c r="G2471" s="14" t="n">
        <v>4.5</v>
      </c>
      <c r="H2471" s="14" t="n">
        <v>4.4548</v>
      </c>
      <c r="I2471" s="14" t="n">
        <v>4.45597692935963</v>
      </c>
      <c r="J2471" s="14" t="n">
        <v>4.38896249691433</v>
      </c>
      <c r="K2471" s="14" t="n">
        <v>4.26939640920767</v>
      </c>
      <c r="L2471" s="14" t="n">
        <v>4.10966060666998</v>
      </c>
      <c r="M2471" s="14" t="n">
        <v>1.916</v>
      </c>
      <c r="N2471" s="14" t="n">
        <v>1.991</v>
      </c>
      <c r="O2471" s="14" t="n">
        <v>1.998</v>
      </c>
      <c r="P2471" s="14" t="n">
        <v>1.988</v>
      </c>
      <c r="Q2471" s="14" t="n">
        <v>4.5</v>
      </c>
      <c r="R2471" s="14" t="n">
        <v>4.5</v>
      </c>
      <c r="S2471" s="14" t="n">
        <v>13.25</v>
      </c>
    </row>
    <row r="2472" customFormat="false" ht="15" hidden="false" customHeight="false" outlineLevel="0" collapsed="false">
      <c r="A2472" s="13" t="n">
        <v>45726</v>
      </c>
      <c r="B2472" s="14" t="n">
        <v>4.33</v>
      </c>
      <c r="C2472" s="14" t="n">
        <v>4.5</v>
      </c>
      <c r="D2472" s="14" t="n">
        <v>4.25</v>
      </c>
      <c r="E2472" s="14" t="n">
        <v>2.663</v>
      </c>
      <c r="F2472" s="14" t="n">
        <v>2.75</v>
      </c>
      <c r="G2472" s="14" t="n">
        <v>4.5</v>
      </c>
      <c r="H2472" s="14" t="n">
        <v>4.4547</v>
      </c>
      <c r="I2472" s="14" t="n">
        <v>4.45206532125996</v>
      </c>
      <c r="J2472" s="14" t="n">
        <v>4.38287428024426</v>
      </c>
      <c r="K2472" s="14" t="n">
        <v>4.26335787942649</v>
      </c>
      <c r="L2472" s="14" t="n">
        <v>4.09735370036777</v>
      </c>
      <c r="M2472" s="14" t="n">
        <v>1.937</v>
      </c>
      <c r="N2472" s="14" t="n">
        <v>2.005</v>
      </c>
      <c r="O2472" s="14" t="n">
        <v>2.002</v>
      </c>
      <c r="P2472" s="14" t="n">
        <v>1.994</v>
      </c>
      <c r="Q2472" s="14" t="n">
        <v>4.5</v>
      </c>
      <c r="R2472" s="14" t="n">
        <v>4.5</v>
      </c>
      <c r="S2472" s="14" t="n">
        <v>13.25</v>
      </c>
    </row>
    <row r="2473" customFormat="false" ht="15" hidden="false" customHeight="false" outlineLevel="0" collapsed="false">
      <c r="A2473" s="13" t="n">
        <v>45727</v>
      </c>
      <c r="B2473" s="14" t="n">
        <v>4.32</v>
      </c>
      <c r="C2473" s="14" t="n">
        <v>4.5</v>
      </c>
      <c r="D2473" s="14" t="n">
        <v>4.25</v>
      </c>
      <c r="E2473" s="14" t="n">
        <v>2.663</v>
      </c>
      <c r="F2473" s="14" t="n">
        <v>2.75</v>
      </c>
      <c r="G2473" s="14" t="n">
        <v>4.5</v>
      </c>
      <c r="H2473" s="14" t="n">
        <v>4.4546</v>
      </c>
      <c r="I2473" s="14" t="n">
        <v>4.45144955939005</v>
      </c>
      <c r="J2473" s="14" t="n">
        <v>4.38061135184741</v>
      </c>
      <c r="K2473" s="14" t="n">
        <v>4.25775440342625</v>
      </c>
      <c r="L2473" s="14" t="n">
        <v>4.08530312470626</v>
      </c>
      <c r="M2473" s="14" t="n">
        <v>1.948</v>
      </c>
      <c r="N2473" s="14" t="n">
        <v>2.01</v>
      </c>
      <c r="O2473" s="14" t="n">
        <v>2.001</v>
      </c>
      <c r="P2473" s="14" t="n">
        <v>1.998</v>
      </c>
      <c r="Q2473" s="14" t="n">
        <v>4.5</v>
      </c>
      <c r="R2473" s="14" t="n">
        <v>4.5</v>
      </c>
      <c r="S2473" s="14" t="n">
        <v>13.25</v>
      </c>
    </row>
    <row r="2474" customFormat="false" ht="15" hidden="false" customHeight="false" outlineLevel="0" collapsed="false">
      <c r="A2474" s="13" t="n">
        <v>45728</v>
      </c>
      <c r="B2474" s="14" t="n">
        <v>4.31</v>
      </c>
      <c r="C2474" s="14" t="n">
        <v>4.5</v>
      </c>
      <c r="D2474" s="14" t="n">
        <v>4.25</v>
      </c>
      <c r="E2474" s="14" t="n">
        <v>2.412</v>
      </c>
      <c r="F2474" s="14" t="n">
        <v>2.5</v>
      </c>
      <c r="G2474" s="14" t="n">
        <v>4.5</v>
      </c>
      <c r="H2474" s="14" t="n">
        <v>4.4545</v>
      </c>
      <c r="I2474" s="14" t="n">
        <v>4.45213514966135</v>
      </c>
      <c r="J2474" s="14" t="n">
        <v>4.3803905796746</v>
      </c>
      <c r="K2474" s="14" t="n">
        <v>4.26184064071836</v>
      </c>
      <c r="L2474" s="14" t="n">
        <v>4.10828671843845</v>
      </c>
      <c r="M2474" s="14" t="n">
        <v>1.954</v>
      </c>
      <c r="N2474" s="14" t="n">
        <v>2.015</v>
      </c>
      <c r="O2474" s="14" t="n">
        <v>2.002</v>
      </c>
      <c r="P2474" s="14" t="n">
        <v>2.004</v>
      </c>
      <c r="Q2474" s="14" t="n">
        <v>4.5</v>
      </c>
      <c r="R2474" s="14" t="n">
        <v>4.5</v>
      </c>
      <c r="S2474" s="14" t="n">
        <v>13.25</v>
      </c>
    </row>
    <row r="2475" customFormat="false" ht="15" hidden="false" customHeight="false" outlineLevel="0" collapsed="false">
      <c r="A2475" s="13" t="n">
        <v>45729</v>
      </c>
      <c r="B2475" s="14" t="n">
        <v>4.3</v>
      </c>
      <c r="C2475" s="14" t="n">
        <v>4.5</v>
      </c>
      <c r="D2475" s="14" t="n">
        <v>4.25</v>
      </c>
      <c r="E2475" s="14" t="n">
        <v>2.413</v>
      </c>
      <c r="F2475" s="14" t="n">
        <v>2.5</v>
      </c>
      <c r="G2475" s="14" t="n">
        <v>4.5</v>
      </c>
      <c r="H2475" s="14" t="n">
        <v>4.455</v>
      </c>
      <c r="I2475" s="14" t="n">
        <v>4.45183423730051</v>
      </c>
      <c r="J2475" s="14" t="n">
        <v>4.37874434949473</v>
      </c>
      <c r="K2475" s="14" t="n">
        <v>4.25804204813162</v>
      </c>
      <c r="L2475" s="14" t="n">
        <v>4.09292799779177</v>
      </c>
      <c r="M2475" s="14" t="n">
        <v>1.961</v>
      </c>
      <c r="N2475" s="14" t="n">
        <v>2.012</v>
      </c>
      <c r="O2475" s="14" t="n">
        <v>2.001</v>
      </c>
      <c r="P2475" s="14" t="n">
        <v>2.002</v>
      </c>
      <c r="Q2475" s="14" t="n">
        <v>4.5</v>
      </c>
      <c r="R2475" s="14" t="n">
        <v>4.5</v>
      </c>
      <c r="S2475" s="14" t="n">
        <v>13.25</v>
      </c>
    </row>
    <row r="2476" customFormat="false" ht="15" hidden="false" customHeight="false" outlineLevel="0" collapsed="false">
      <c r="A2476" s="13" t="n">
        <v>45730</v>
      </c>
      <c r="B2476" s="14" t="n">
        <v>4.3</v>
      </c>
      <c r="C2476" s="14" t="n">
        <v>4.5</v>
      </c>
      <c r="D2476" s="14" t="n">
        <v>4.25</v>
      </c>
      <c r="E2476" s="14" t="n">
        <v>2.417</v>
      </c>
      <c r="F2476" s="14" t="n">
        <v>2.5</v>
      </c>
      <c r="G2476" s="14" t="n">
        <v>4.5</v>
      </c>
      <c r="H2476" s="14" t="n">
        <v>4.4549</v>
      </c>
      <c r="I2476" s="14" t="n">
        <v>4.45050080682648</v>
      </c>
      <c r="J2476" s="14" t="n">
        <v>4.38070700014229</v>
      </c>
      <c r="K2476" s="14" t="n">
        <v>4.266437929627</v>
      </c>
      <c r="L2476" s="14" t="n">
        <v>4.10506114608117</v>
      </c>
      <c r="M2476" s="14" t="n">
        <v>1.963</v>
      </c>
      <c r="N2476" s="14" t="n">
        <v>2.004</v>
      </c>
      <c r="O2476" s="14" t="n">
        <v>1.999</v>
      </c>
      <c r="P2476" s="14" t="n">
        <v>1.998</v>
      </c>
      <c r="Q2476" s="14" t="n">
        <v>4.5</v>
      </c>
      <c r="R2476" s="14" t="n">
        <v>4.5</v>
      </c>
      <c r="S2476" s="14" t="n">
        <v>13.25</v>
      </c>
    </row>
    <row r="2477" customFormat="false" ht="15" hidden="false" customHeight="false" outlineLevel="0" collapsed="false">
      <c r="A2477" s="13" t="n">
        <v>45733</v>
      </c>
      <c r="B2477" s="14" t="n">
        <v>4.32</v>
      </c>
      <c r="C2477" s="14" t="n">
        <v>4.5</v>
      </c>
      <c r="D2477" s="14" t="n">
        <v>4.25</v>
      </c>
      <c r="E2477" s="14" t="n">
        <v>2.417</v>
      </c>
      <c r="F2477" s="14" t="n">
        <v>2.5</v>
      </c>
      <c r="G2477" s="14" t="n">
        <v>4.5</v>
      </c>
      <c r="H2477" s="14" t="n">
        <v>4.4544</v>
      </c>
      <c r="I2477" s="14" t="n">
        <v>4.44496405324724</v>
      </c>
      <c r="J2477" s="14" t="n">
        <v>4.37118791521777</v>
      </c>
      <c r="K2477" s="14" t="n">
        <v>4.26124123597282</v>
      </c>
      <c r="L2477" s="14" t="n">
        <v>4.11084090865347</v>
      </c>
      <c r="M2477" s="14" t="n">
        <v>1.965</v>
      </c>
      <c r="N2477" s="14" t="n">
        <v>1.994</v>
      </c>
      <c r="O2477" s="14" t="n">
        <v>1.995</v>
      </c>
      <c r="P2477" s="14" t="n">
        <v>1.995</v>
      </c>
      <c r="Q2477" s="14" t="n">
        <v>4.5</v>
      </c>
      <c r="R2477" s="14" t="n">
        <v>4.5</v>
      </c>
      <c r="S2477" s="14" t="n">
        <v>13.25</v>
      </c>
    </row>
    <row r="2478" customFormat="false" ht="15" hidden="false" customHeight="false" outlineLevel="0" collapsed="false">
      <c r="A2478" s="13" t="n">
        <v>45734</v>
      </c>
      <c r="B2478" s="14" t="n">
        <v>4.31</v>
      </c>
      <c r="C2478" s="14" t="n">
        <v>4.5</v>
      </c>
      <c r="D2478" s="14" t="n">
        <v>4.25</v>
      </c>
      <c r="E2478" s="14" t="n">
        <v>2.417</v>
      </c>
      <c r="F2478" s="14" t="n">
        <v>2.5</v>
      </c>
      <c r="G2478" s="14" t="n">
        <v>4.5</v>
      </c>
      <c r="H2478" s="14" t="n">
        <v>4.4548</v>
      </c>
      <c r="I2478" s="14" t="n">
        <v>4.44807577181714</v>
      </c>
      <c r="J2478" s="14" t="n">
        <v>4.37336064302664</v>
      </c>
      <c r="K2478" s="14" t="n">
        <v>4.26165741772137</v>
      </c>
      <c r="L2478" s="14" t="n">
        <v>4.1076051646883</v>
      </c>
      <c r="M2478" s="14" t="n">
        <v>1.967</v>
      </c>
      <c r="N2478" s="14" t="n">
        <v>1.992</v>
      </c>
      <c r="O2478" s="14" t="n">
        <v>1.993</v>
      </c>
      <c r="P2478" s="14" t="n">
        <v>1.994</v>
      </c>
      <c r="Q2478" s="14" t="n">
        <v>4.5</v>
      </c>
      <c r="R2478" s="14" t="n">
        <v>4.5</v>
      </c>
      <c r="S2478" s="14" t="n">
        <v>13.25</v>
      </c>
    </row>
    <row r="2479" customFormat="false" ht="15" hidden="false" customHeight="false" outlineLevel="0" collapsed="false">
      <c r="A2479" s="13" t="n">
        <v>45735</v>
      </c>
      <c r="B2479" s="14" t="n">
        <v>4.29</v>
      </c>
      <c r="C2479" s="14" t="n">
        <v>4.5</v>
      </c>
      <c r="D2479" s="14" t="n">
        <v>4.25</v>
      </c>
      <c r="E2479" s="14" t="n">
        <v>2.416</v>
      </c>
      <c r="F2479" s="14" t="n">
        <v>2.5</v>
      </c>
      <c r="G2479" s="14" t="n">
        <v>4.5</v>
      </c>
      <c r="H2479" s="14" t="n">
        <v>4.4558</v>
      </c>
      <c r="I2479" s="14" t="n">
        <v>4.44880231906986</v>
      </c>
      <c r="J2479" s="14" t="n">
        <v>4.37456895463409</v>
      </c>
      <c r="K2479" s="14" t="n">
        <v>4.26493697199816</v>
      </c>
      <c r="L2479" s="14" t="n">
        <v>4.11718582243364</v>
      </c>
      <c r="M2479" s="14" t="n">
        <v>1.974</v>
      </c>
      <c r="N2479" s="14" t="n">
        <v>1.987</v>
      </c>
      <c r="O2479" s="14" t="n">
        <v>1.987</v>
      </c>
      <c r="P2479" s="14" t="n">
        <v>1.99</v>
      </c>
      <c r="Q2479" s="14" t="n">
        <v>4.5</v>
      </c>
      <c r="R2479" s="14" t="n">
        <v>4.5</v>
      </c>
      <c r="S2479" s="14" t="n">
        <v>13.25</v>
      </c>
    </row>
    <row r="2480" customFormat="false" ht="15" hidden="false" customHeight="false" outlineLevel="0" collapsed="false">
      <c r="A2480" s="13" t="n">
        <v>45736</v>
      </c>
      <c r="B2480" s="14" t="n">
        <v>4.29</v>
      </c>
      <c r="C2480" s="14" t="n">
        <v>4.5</v>
      </c>
      <c r="D2480" s="14" t="n">
        <v>4.25</v>
      </c>
      <c r="E2480" s="14" t="n">
        <v>2.417</v>
      </c>
      <c r="F2480" s="14" t="n">
        <v>2.5</v>
      </c>
      <c r="G2480" s="14" t="n">
        <v>4.5</v>
      </c>
      <c r="H2480" s="14" t="n">
        <v>4.4562</v>
      </c>
      <c r="I2480" s="14" t="n">
        <v>4.45229398375548</v>
      </c>
      <c r="J2480" s="14" t="n">
        <v>4.38225691082059</v>
      </c>
      <c r="K2480" s="14" t="n">
        <v>4.28569971690455</v>
      </c>
      <c r="L2480" s="14" t="n">
        <v>4.1486118555635</v>
      </c>
      <c r="M2480" s="14" t="n">
        <v>1.971</v>
      </c>
      <c r="N2480" s="14" t="n">
        <v>1.98</v>
      </c>
      <c r="O2480" s="14" t="n">
        <v>1.98</v>
      </c>
      <c r="P2480" s="14" t="n">
        <v>1.989</v>
      </c>
      <c r="Q2480" s="14" t="n">
        <v>4.5</v>
      </c>
      <c r="R2480" s="14" t="n">
        <v>4.5</v>
      </c>
      <c r="S2480" s="14" t="n">
        <v>14.25</v>
      </c>
    </row>
    <row r="2481" customFormat="false" ht="15" hidden="false" customHeight="false" outlineLevel="0" collapsed="false">
      <c r="A2481" s="13" t="n">
        <v>45737</v>
      </c>
      <c r="B2481" s="14" t="n">
        <v>4.3</v>
      </c>
      <c r="C2481" s="14" t="n">
        <v>4.5</v>
      </c>
      <c r="D2481" s="14" t="n">
        <v>4.25</v>
      </c>
      <c r="E2481" s="14" t="n">
        <v>2.417</v>
      </c>
      <c r="F2481" s="14" t="n">
        <v>2.5</v>
      </c>
      <c r="G2481" s="14" t="n">
        <v>4.5</v>
      </c>
      <c r="H2481" s="14" t="n">
        <v>4.4563</v>
      </c>
      <c r="I2481" s="14" t="n">
        <v>4.45369571213422</v>
      </c>
      <c r="J2481" s="14" t="n">
        <v>4.38304255244922</v>
      </c>
      <c r="K2481" s="14" t="n">
        <v>4.28859864034779</v>
      </c>
      <c r="L2481" s="14" t="n">
        <v>4.1577258125369</v>
      </c>
      <c r="M2481" s="14" t="n">
        <v>1.971</v>
      </c>
      <c r="N2481" s="14" t="n">
        <v>1.968</v>
      </c>
      <c r="O2481" s="14" t="n">
        <v>1.968</v>
      </c>
      <c r="P2481" s="14" t="n">
        <v>1.973</v>
      </c>
      <c r="Q2481" s="14" t="n">
        <v>4.5</v>
      </c>
      <c r="R2481" s="14" t="n">
        <v>4.5</v>
      </c>
      <c r="S2481" s="14" t="n">
        <v>14.25</v>
      </c>
    </row>
    <row r="2482" customFormat="false" ht="15" hidden="false" customHeight="false" outlineLevel="0" collapsed="false">
      <c r="A2482" s="13" t="n">
        <v>45740</v>
      </c>
      <c r="B2482" s="14" t="n">
        <v>4.31</v>
      </c>
      <c r="C2482" s="14" t="n">
        <v>4.5</v>
      </c>
      <c r="D2482" s="14" t="n">
        <v>4.25</v>
      </c>
      <c r="E2482" s="14" t="n">
        <v>2.418</v>
      </c>
      <c r="F2482" s="14" t="n">
        <v>2.5</v>
      </c>
      <c r="G2482" s="14" t="n">
        <v>4.5</v>
      </c>
      <c r="H2482" s="14" t="n">
        <v>4.457</v>
      </c>
      <c r="I2482" s="14" t="n">
        <v>4.4498419166242</v>
      </c>
      <c r="J2482" s="14" t="n">
        <v>4.37955493939663</v>
      </c>
      <c r="K2482" s="14" t="n">
        <v>4.29286750569978</v>
      </c>
      <c r="L2482" s="14" t="n">
        <v>4.16974064334998</v>
      </c>
      <c r="M2482" s="14" t="n">
        <v>1.966</v>
      </c>
      <c r="N2482" s="14" t="n">
        <v>1.961</v>
      </c>
      <c r="O2482" s="14" t="n">
        <v>1.961</v>
      </c>
      <c r="P2482" s="14" t="n">
        <v>1.963</v>
      </c>
      <c r="Q2482" s="14" t="n">
        <v>4.5</v>
      </c>
      <c r="R2482" s="14" t="n">
        <v>4.5</v>
      </c>
      <c r="S2482" s="14" t="n">
        <v>14.25</v>
      </c>
    </row>
    <row r="2483" customFormat="false" ht="15" hidden="false" customHeight="false" outlineLevel="0" collapsed="false">
      <c r="A2483" s="13" t="n">
        <v>45741</v>
      </c>
      <c r="B2483" s="14" t="n">
        <v>4.33</v>
      </c>
      <c r="C2483" s="14" t="n">
        <v>4.5</v>
      </c>
      <c r="D2483" s="14" t="n">
        <v>4.25</v>
      </c>
      <c r="E2483" s="14" t="n">
        <v>2.418</v>
      </c>
      <c r="F2483" s="14" t="n">
        <v>2.5</v>
      </c>
      <c r="G2483" s="14" t="n">
        <v>4.5</v>
      </c>
      <c r="H2483" s="14" t="n">
        <v>4.4568</v>
      </c>
      <c r="I2483" s="14" t="n">
        <v>4.44937013443794</v>
      </c>
      <c r="J2483" s="14" t="n">
        <v>4.38056684145365</v>
      </c>
      <c r="K2483" s="14" t="n">
        <v>4.29907029058768</v>
      </c>
      <c r="L2483" s="14" t="n">
        <v>4.18571682928102</v>
      </c>
      <c r="M2483" s="14" t="n">
        <v>1.955</v>
      </c>
      <c r="N2483" s="14" t="n">
        <v>1.942</v>
      </c>
      <c r="O2483" s="14" t="n">
        <v>1.949</v>
      </c>
      <c r="P2483" s="14" t="n">
        <v>1.949</v>
      </c>
      <c r="Q2483" s="14" t="n">
        <v>4.5</v>
      </c>
      <c r="R2483" s="14" t="n">
        <v>4.5</v>
      </c>
      <c r="S2483" s="14" t="n">
        <v>14.25</v>
      </c>
    </row>
    <row r="2484" customFormat="false" ht="15" hidden="false" customHeight="false" outlineLevel="0" collapsed="false">
      <c r="A2484" s="13" t="n">
        <v>45742</v>
      </c>
      <c r="B2484" s="14" t="n">
        <v>4.35</v>
      </c>
      <c r="C2484" s="14" t="n">
        <v>4.5</v>
      </c>
      <c r="D2484" s="14" t="n">
        <v>4.25</v>
      </c>
      <c r="E2484" s="14" t="n">
        <v>2.417</v>
      </c>
      <c r="F2484" s="14" t="n">
        <v>2.5</v>
      </c>
      <c r="G2484" s="14" t="n">
        <v>4.5</v>
      </c>
      <c r="H2484" s="14" t="n">
        <v>4.4572</v>
      </c>
      <c r="I2484" s="14" t="n">
        <v>4.44815532176131</v>
      </c>
      <c r="J2484" s="14" t="n">
        <v>4.3590219067464</v>
      </c>
      <c r="K2484" s="14" t="n">
        <v>4.259265749471</v>
      </c>
      <c r="L2484" s="14" t="n">
        <v>4.13431716316531</v>
      </c>
      <c r="M2484" s="14" t="n">
        <v>1.951</v>
      </c>
      <c r="N2484" s="14" t="n">
        <v>1.934</v>
      </c>
      <c r="O2484" s="14" t="n">
        <v>1.941</v>
      </c>
      <c r="P2484" s="14" t="n">
        <v>1.942</v>
      </c>
      <c r="Q2484" s="14" t="n">
        <v>4.5</v>
      </c>
      <c r="R2484" s="14" t="n">
        <v>4.5</v>
      </c>
      <c r="S2484" s="14" t="n">
        <v>14.25</v>
      </c>
    </row>
    <row r="2485" customFormat="false" ht="15" hidden="false" customHeight="false" outlineLevel="0" collapsed="false">
      <c r="A2485" s="13" t="n">
        <v>45743</v>
      </c>
      <c r="B2485" s="14" t="n">
        <v>4.36</v>
      </c>
      <c r="C2485" s="14" t="n">
        <v>4.5</v>
      </c>
      <c r="D2485" s="14" t="n">
        <v>4.25</v>
      </c>
      <c r="E2485" s="14" t="n">
        <v>2.417</v>
      </c>
      <c r="F2485" s="14" t="n">
        <v>2.5</v>
      </c>
      <c r="G2485" s="14" t="n">
        <v>4.5</v>
      </c>
      <c r="H2485" s="14" t="n">
        <v>4.4556</v>
      </c>
      <c r="I2485" s="14" t="n">
        <v>4.44846755367088</v>
      </c>
      <c r="J2485" s="14" t="n">
        <v>4.36101115039968</v>
      </c>
      <c r="K2485" s="14" t="n">
        <v>4.26448676685841</v>
      </c>
      <c r="L2485" s="14" t="n">
        <v>4.13671581527727</v>
      </c>
      <c r="M2485" s="14" t="n">
        <v>1.945</v>
      </c>
      <c r="N2485" s="14" t="n">
        <v>1.924</v>
      </c>
      <c r="O2485" s="14" t="n">
        <v>1.932</v>
      </c>
      <c r="P2485" s="14" t="n">
        <v>1.936</v>
      </c>
      <c r="Q2485" s="14" t="n">
        <v>4.5</v>
      </c>
      <c r="R2485" s="14" t="n">
        <v>4.5</v>
      </c>
      <c r="S2485" s="14" t="n">
        <v>14.25</v>
      </c>
    </row>
    <row r="2486" customFormat="false" ht="15" hidden="false" customHeight="false" outlineLevel="0" collapsed="false">
      <c r="A2486" s="13" t="n">
        <v>45744</v>
      </c>
      <c r="B2486" s="14" t="n">
        <v>4.34</v>
      </c>
      <c r="C2486" s="14" t="n">
        <v>4.5</v>
      </c>
      <c r="D2486" s="14" t="n">
        <v>4.25</v>
      </c>
      <c r="E2486" s="14" t="n">
        <v>2.417</v>
      </c>
      <c r="F2486" s="14" t="n">
        <v>2.5</v>
      </c>
      <c r="G2486" s="14" t="n">
        <v>4.5</v>
      </c>
      <c r="H2486" s="14" t="n">
        <v>4.4558</v>
      </c>
      <c r="I2486" s="14" t="n">
        <v>4.44873876783758</v>
      </c>
      <c r="J2486" s="14" t="n">
        <v>4.35213785105079</v>
      </c>
      <c r="K2486" s="14" t="n">
        <v>4.24681236202966</v>
      </c>
      <c r="L2486" s="14" t="n">
        <v>4.10115585813073</v>
      </c>
      <c r="M2486" s="14" t="n">
        <v>1.939</v>
      </c>
      <c r="N2486" s="14" t="n">
        <v>1.921</v>
      </c>
      <c r="O2486" s="14" t="n">
        <v>1.928</v>
      </c>
      <c r="P2486" s="14" t="n">
        <v>1.933</v>
      </c>
      <c r="Q2486" s="14" t="n">
        <v>4.5</v>
      </c>
      <c r="R2486" s="14" t="n">
        <v>4.5</v>
      </c>
      <c r="S2486" s="14" t="n">
        <v>14.25</v>
      </c>
    </row>
    <row r="2487" customFormat="false" ht="15" hidden="false" customHeight="false" outlineLevel="0" collapsed="false">
      <c r="A2487" s="13" t="n">
        <v>45747</v>
      </c>
      <c r="B2487" s="14" t="n">
        <v>4.41</v>
      </c>
      <c r="C2487" s="14" t="n">
        <v>4.5</v>
      </c>
      <c r="D2487" s="14" t="n">
        <v>4.25</v>
      </c>
      <c r="E2487" s="14" t="n">
        <v>2.415</v>
      </c>
      <c r="F2487" s="14" t="n">
        <v>2.5</v>
      </c>
      <c r="G2487" s="14" t="n">
        <v>4.5</v>
      </c>
      <c r="H2487" s="14" t="n">
        <v>4.4554</v>
      </c>
      <c r="I2487" s="14" t="n">
        <v>4.44571131016511</v>
      </c>
      <c r="J2487" s="14" t="n">
        <v>4.34792617270209</v>
      </c>
      <c r="K2487" s="14" t="n">
        <v>4.24324883044802</v>
      </c>
      <c r="L2487" s="14" t="n">
        <v>4.10425727347521</v>
      </c>
      <c r="M2487" s="14" t="n">
        <v>1.928</v>
      </c>
      <c r="N2487" s="14" t="n">
        <v>1.912</v>
      </c>
      <c r="O2487" s="14" t="n">
        <v>1.923</v>
      </c>
      <c r="P2487" s="14" t="n">
        <v>1.926</v>
      </c>
      <c r="Q2487" s="14" t="n">
        <v>4.5</v>
      </c>
      <c r="R2487" s="14" t="n">
        <v>4.5</v>
      </c>
      <c r="S2487" s="14" t="n">
        <v>14.25</v>
      </c>
    </row>
    <row r="2488" customFormat="false" ht="15" hidden="false" customHeight="false" outlineLevel="0" collapsed="false">
      <c r="A2488" s="13" t="n">
        <v>45748</v>
      </c>
      <c r="B2488" s="14" t="n">
        <v>4.39</v>
      </c>
      <c r="C2488" s="14" t="n">
        <v>4.5</v>
      </c>
      <c r="D2488" s="14" t="n">
        <v>4.25</v>
      </c>
      <c r="E2488" s="14" t="n">
        <v>2.42</v>
      </c>
      <c r="F2488" s="14" t="n">
        <v>2.5</v>
      </c>
      <c r="G2488" s="14" t="n">
        <v>4.5</v>
      </c>
      <c r="H2488" s="14" t="n">
        <v>4.4555</v>
      </c>
      <c r="I2488" s="14" t="n">
        <v>4.44289902958369</v>
      </c>
      <c r="J2488" s="14" t="n">
        <v>4.34247573490874</v>
      </c>
      <c r="K2488" s="14" t="n">
        <v>4.23963243431761</v>
      </c>
      <c r="L2488" s="14" t="n">
        <v>4.09819393019061</v>
      </c>
      <c r="M2488" s="14" t="n">
        <v>1.916</v>
      </c>
      <c r="N2488" s="14" t="n">
        <v>1.907</v>
      </c>
      <c r="O2488" s="14" t="n">
        <v>1.916</v>
      </c>
      <c r="P2488" s="14" t="n">
        <v>1.921</v>
      </c>
      <c r="Q2488" s="14" t="n">
        <v>4.5</v>
      </c>
      <c r="R2488" s="14" t="n">
        <v>4.5</v>
      </c>
      <c r="S2488" s="14" t="n">
        <v>14.25</v>
      </c>
    </row>
    <row r="2489" customFormat="false" ht="15" hidden="false" customHeight="false" outlineLevel="0" collapsed="false">
      <c r="A2489" s="13" t="n">
        <v>45749</v>
      </c>
      <c r="B2489" s="14" t="n">
        <v>4.37</v>
      </c>
      <c r="C2489" s="14" t="n">
        <v>4.5</v>
      </c>
      <c r="D2489" s="14" t="n">
        <v>4.25</v>
      </c>
      <c r="E2489" s="14" t="n">
        <v>2.417</v>
      </c>
      <c r="F2489" s="14" t="n">
        <v>2.5</v>
      </c>
      <c r="G2489" s="14" t="n">
        <v>4.5</v>
      </c>
      <c r="H2489" s="14" t="n">
        <v>4.4549</v>
      </c>
      <c r="I2489" s="14" t="n">
        <v>4.44162382447379</v>
      </c>
      <c r="J2489" s="14" t="n">
        <v>4.33885208934991</v>
      </c>
      <c r="K2489" s="14" t="n">
        <v>4.2320786905994</v>
      </c>
      <c r="L2489" s="14" t="n">
        <v>4.08921721727121</v>
      </c>
      <c r="M2489" s="14" t="n">
        <v>1.905</v>
      </c>
      <c r="N2489" s="14" t="n">
        <v>1.902</v>
      </c>
      <c r="O2489" s="14" t="n">
        <v>1.91</v>
      </c>
      <c r="P2489" s="14" t="n">
        <v>1.914</v>
      </c>
      <c r="Q2489" s="14" t="n">
        <v>4.5</v>
      </c>
      <c r="R2489" s="14" t="n">
        <v>4.5</v>
      </c>
      <c r="S2489" s="14" t="n">
        <v>14.25</v>
      </c>
    </row>
    <row r="2490" customFormat="false" ht="15" hidden="false" customHeight="false" outlineLevel="0" collapsed="false">
      <c r="A2490" s="13" t="n">
        <v>45750</v>
      </c>
      <c r="B2490" s="14" t="n">
        <v>4.39</v>
      </c>
      <c r="C2490" s="14" t="n">
        <v>4.5</v>
      </c>
      <c r="D2490" s="14" t="n">
        <v>4.25</v>
      </c>
      <c r="E2490" s="14" t="n">
        <v>2.416</v>
      </c>
      <c r="F2490" s="14" t="n">
        <v>2.5</v>
      </c>
      <c r="G2490" s="14" t="n">
        <v>4.5</v>
      </c>
      <c r="H2490" s="14" t="n">
        <v>4.4553</v>
      </c>
      <c r="I2490" s="14" t="n">
        <v>4.44056099677666</v>
      </c>
      <c r="J2490" s="14" t="n">
        <v>4.31610524726141</v>
      </c>
      <c r="K2490" s="14" t="n">
        <v>4.18425479367283</v>
      </c>
      <c r="L2490" s="14" t="n">
        <v>4.00468715600174</v>
      </c>
      <c r="M2490" s="14" t="n">
        <v>1.865</v>
      </c>
      <c r="N2490" s="14" t="n">
        <v>1.871</v>
      </c>
      <c r="O2490" s="14" t="n">
        <v>1.886</v>
      </c>
      <c r="P2490" s="14" t="n">
        <v>1.887</v>
      </c>
      <c r="Q2490" s="14" t="n">
        <v>4.5</v>
      </c>
      <c r="R2490" s="14" t="n">
        <v>4.5</v>
      </c>
      <c r="S2490" s="14" t="n">
        <v>14.25</v>
      </c>
    </row>
    <row r="2491" customFormat="false" ht="15" hidden="false" customHeight="false" outlineLevel="0" collapsed="false">
      <c r="A2491" s="13" t="n">
        <v>45751</v>
      </c>
      <c r="B2491" s="14" t="n">
        <v>4.35</v>
      </c>
      <c r="C2491" s="14" t="n">
        <v>4.5</v>
      </c>
      <c r="D2491" s="14" t="n">
        <v>4.25</v>
      </c>
      <c r="E2491" s="14" t="n">
        <v>2.415</v>
      </c>
      <c r="F2491" s="14" t="n">
        <v>2.5</v>
      </c>
      <c r="G2491" s="14" t="n">
        <v>4.5</v>
      </c>
      <c r="H2491" s="14" t="n">
        <v>4.4554</v>
      </c>
      <c r="I2491" s="14" t="n">
        <v>4.42971377442189</v>
      </c>
      <c r="J2491" s="14" t="n">
        <v>4.29133376732157</v>
      </c>
      <c r="K2491" s="14" t="n">
        <v>4.14078912198424</v>
      </c>
      <c r="L2491" s="14" t="n">
        <v>3.93190333860835</v>
      </c>
      <c r="Q2491" s="14" t="n">
        <v>4.5</v>
      </c>
      <c r="R2491" s="14" t="n">
        <v>4.5</v>
      </c>
      <c r="S2491" s="14" t="n">
        <v>14.25</v>
      </c>
    </row>
    <row r="2492" customFormat="false" ht="15" hidden="false" customHeight="false" outlineLevel="0" collapsed="false">
      <c r="A2492" s="13" t="n">
        <v>45754</v>
      </c>
      <c r="B2492" s="14" t="n">
        <v>4.33</v>
      </c>
      <c r="C2492" s="14" t="n">
        <v>4.5</v>
      </c>
      <c r="D2492" s="14" t="n">
        <v>4.25</v>
      </c>
      <c r="E2492" s="14" t="n">
        <v>2.414</v>
      </c>
      <c r="F2492" s="14" t="n">
        <v>2.5</v>
      </c>
      <c r="G2492" s="14" t="n">
        <v>4.5</v>
      </c>
      <c r="H2492" s="14" t="n">
        <v>4.4561</v>
      </c>
      <c r="I2492" s="14" t="n">
        <v>4.42438226797764</v>
      </c>
      <c r="J2492" s="14" t="n">
        <v>4.27696324601656</v>
      </c>
      <c r="K2492" s="14" t="n">
        <v>4.13056599208199</v>
      </c>
      <c r="L2492" s="14" t="n">
        <v>3.94484932668827</v>
      </c>
      <c r="M2492" s="14" t="n">
        <v>1.819</v>
      </c>
      <c r="N2492" s="14" t="n">
        <v>1.824</v>
      </c>
      <c r="O2492" s="14" t="n">
        <v>1.844</v>
      </c>
      <c r="P2492" s="14" t="n">
        <v>1.837</v>
      </c>
      <c r="Q2492" s="14" t="n">
        <v>4.5</v>
      </c>
      <c r="R2492" s="14" t="n">
        <v>4.5</v>
      </c>
      <c r="S2492" s="14" t="n">
        <v>14.25</v>
      </c>
    </row>
    <row r="2493" customFormat="false" ht="15" hidden="false" customHeight="false" outlineLevel="0" collapsed="false">
      <c r="A2493" s="13" t="n">
        <v>45755</v>
      </c>
      <c r="B2493" s="14" t="n">
        <v>4.4</v>
      </c>
      <c r="C2493" s="14" t="n">
        <v>4.5</v>
      </c>
      <c r="D2493" s="14" t="n">
        <v>4.25</v>
      </c>
      <c r="E2493" s="14" t="n">
        <v>2.415</v>
      </c>
      <c r="F2493" s="14" t="n">
        <v>2.5</v>
      </c>
      <c r="G2493" s="14" t="n">
        <v>4.5</v>
      </c>
      <c r="H2493" s="14" t="n">
        <v>4.4565</v>
      </c>
      <c r="I2493" s="14" t="n">
        <v>4.41537828277883</v>
      </c>
      <c r="J2493" s="14" t="n">
        <v>4.24665819633787</v>
      </c>
      <c r="K2493" s="14" t="n">
        <v>4.07295647939027</v>
      </c>
      <c r="L2493" s="14" t="n">
        <v>3.86022769216808</v>
      </c>
      <c r="M2493" s="14" t="n">
        <v>1.811</v>
      </c>
      <c r="N2493" s="14" t="n">
        <v>1.81</v>
      </c>
      <c r="O2493" s="14" t="n">
        <v>1.827</v>
      </c>
      <c r="P2493" s="14" t="n">
        <v>1.813</v>
      </c>
      <c r="Q2493" s="14" t="n">
        <v>4.5</v>
      </c>
      <c r="R2493" s="14" t="n">
        <v>4.5</v>
      </c>
      <c r="S2493" s="14" t="n">
        <v>14.25</v>
      </c>
    </row>
    <row r="2494" customFormat="false" ht="15" hidden="false" customHeight="false" outlineLevel="0" collapsed="false">
      <c r="A2494" s="13" t="n">
        <v>45756</v>
      </c>
      <c r="B2494" s="14" t="n">
        <v>4.42</v>
      </c>
      <c r="C2494" s="14" t="n">
        <v>4.5</v>
      </c>
      <c r="D2494" s="14" t="n">
        <v>4.25</v>
      </c>
      <c r="E2494" s="14" t="n">
        <v>2.415</v>
      </c>
      <c r="F2494" s="14" t="n">
        <v>2.5</v>
      </c>
      <c r="G2494" s="14" t="n">
        <v>4.5</v>
      </c>
      <c r="H2494" s="14" t="n">
        <v>4.4565</v>
      </c>
      <c r="I2494" s="14" t="n">
        <v>4.39815991196157</v>
      </c>
      <c r="J2494" s="14" t="n">
        <v>4.23338914133101</v>
      </c>
      <c r="K2494" s="14" t="n">
        <v>4.06677844595307</v>
      </c>
      <c r="L2494" s="14" t="n">
        <v>3.87067662797394</v>
      </c>
      <c r="M2494" s="14" t="n">
        <v>1.804</v>
      </c>
      <c r="N2494" s="14" t="n">
        <v>1.806</v>
      </c>
      <c r="O2494" s="14" t="n">
        <v>1.817</v>
      </c>
      <c r="P2494" s="14" t="n">
        <v>1.81</v>
      </c>
      <c r="Q2494" s="14" t="n">
        <v>4.5</v>
      </c>
      <c r="R2494" s="14" t="n">
        <v>4.5</v>
      </c>
      <c r="S2494" s="14" t="n">
        <v>14.25</v>
      </c>
    </row>
    <row r="2495" customFormat="false" ht="15" hidden="false" customHeight="false" outlineLevel="0" collapsed="false">
      <c r="A2495" s="13" t="n">
        <v>45757</v>
      </c>
      <c r="B2495" s="14" t="n">
        <v>4.37</v>
      </c>
      <c r="C2495" s="14" t="n">
        <v>4.5</v>
      </c>
      <c r="D2495" s="14" t="n">
        <v>4.25</v>
      </c>
      <c r="E2495" s="14" t="n">
        <v>2.416</v>
      </c>
      <c r="F2495" s="14" t="n">
        <v>2.5</v>
      </c>
      <c r="G2495" s="14" t="n">
        <v>4.5</v>
      </c>
      <c r="H2495" s="14" t="n">
        <v>4.4579</v>
      </c>
      <c r="I2495" s="14" t="n">
        <v>4.40821020244869</v>
      </c>
      <c r="J2495" s="14" t="n">
        <v>4.25118213210785</v>
      </c>
      <c r="K2495" s="14" t="n">
        <v>4.07264073217384</v>
      </c>
      <c r="L2495" s="14" t="n">
        <v>3.82570870608665</v>
      </c>
      <c r="M2495" s="14" t="n">
        <v>1.795</v>
      </c>
      <c r="N2495" s="14" t="n">
        <v>1.8</v>
      </c>
      <c r="O2495" s="14" t="n">
        <v>1.81</v>
      </c>
      <c r="P2495" s="14" t="n">
        <v>1.807</v>
      </c>
      <c r="Q2495" s="14" t="n">
        <v>4.5</v>
      </c>
      <c r="R2495" s="14" t="n">
        <v>4.5</v>
      </c>
      <c r="S2495" s="14" t="n">
        <v>14.25</v>
      </c>
    </row>
    <row r="2496" customFormat="false" ht="15" hidden="false" customHeight="false" outlineLevel="0" collapsed="false">
      <c r="A2496" s="13" t="n">
        <v>45758</v>
      </c>
      <c r="B2496" s="14" t="n">
        <v>4.33</v>
      </c>
      <c r="C2496" s="14" t="n">
        <v>4.5</v>
      </c>
      <c r="D2496" s="14" t="n">
        <v>4.25</v>
      </c>
      <c r="E2496" s="14" t="n">
        <v>2.416</v>
      </c>
      <c r="F2496" s="14" t="n">
        <v>2.5</v>
      </c>
      <c r="G2496" s="14" t="n">
        <v>4.5</v>
      </c>
      <c r="H2496" s="14" t="n">
        <v>4.4584</v>
      </c>
      <c r="I2496" s="14" t="n">
        <v>4.40968384295823</v>
      </c>
      <c r="J2496" s="14" t="n">
        <v>4.27081853901105</v>
      </c>
      <c r="K2496" s="14" t="n">
        <v>4.12263733064547</v>
      </c>
      <c r="L2496" s="14" t="n">
        <v>3.91969665163986</v>
      </c>
      <c r="M2496" s="14" t="n">
        <v>1.787</v>
      </c>
      <c r="N2496" s="14" t="n">
        <v>1.786</v>
      </c>
      <c r="O2496" s="14" t="n">
        <v>1.795</v>
      </c>
      <c r="P2496" s="14" t="n">
        <v>1.791</v>
      </c>
      <c r="Q2496" s="14" t="n">
        <v>4.5</v>
      </c>
      <c r="R2496" s="14" t="n">
        <v>4.5</v>
      </c>
      <c r="S2496" s="14" t="n">
        <v>14.25</v>
      </c>
    </row>
    <row r="2497" customFormat="false" ht="15" hidden="false" customHeight="false" outlineLevel="0" collapsed="false">
      <c r="A2497" s="13" t="n">
        <v>45761</v>
      </c>
      <c r="B2497" s="14" t="n">
        <v>4.33</v>
      </c>
      <c r="C2497" s="14" t="n">
        <v>4.5</v>
      </c>
      <c r="D2497" s="14" t="n">
        <v>4.25</v>
      </c>
      <c r="E2497" s="14" t="n">
        <v>2.417</v>
      </c>
      <c r="F2497" s="14" t="n">
        <v>2.5</v>
      </c>
      <c r="G2497" s="14" t="n">
        <v>4.5</v>
      </c>
      <c r="H2497" s="14" t="n">
        <v>4.4582</v>
      </c>
      <c r="I2497" s="14" t="n">
        <v>4.40321828708228</v>
      </c>
      <c r="J2497" s="14" t="n">
        <v>4.26534371651328</v>
      </c>
      <c r="K2497" s="14" t="n">
        <v>4.11956400771915</v>
      </c>
      <c r="L2497" s="14" t="n">
        <v>3.91609297483472</v>
      </c>
      <c r="M2497" s="14" t="n">
        <v>1.782</v>
      </c>
      <c r="N2497" s="14" t="n">
        <v>1.777</v>
      </c>
      <c r="O2497" s="14" t="n">
        <v>1.788</v>
      </c>
      <c r="P2497" s="14" t="n">
        <v>1.786</v>
      </c>
      <c r="Q2497" s="14" t="n">
        <v>4.5</v>
      </c>
      <c r="R2497" s="14" t="n">
        <v>4.5</v>
      </c>
      <c r="S2497" s="14" t="n">
        <v>14.25</v>
      </c>
    </row>
    <row r="2498" customFormat="false" ht="15" hidden="false" customHeight="false" outlineLevel="0" collapsed="false">
      <c r="A2498" s="13" t="n">
        <v>45762</v>
      </c>
      <c r="B2498" s="14" t="n">
        <v>4.36</v>
      </c>
      <c r="C2498" s="14" t="n">
        <v>4.5</v>
      </c>
      <c r="D2498" s="14" t="n">
        <v>4.25</v>
      </c>
      <c r="E2498" s="14" t="n">
        <v>2.416</v>
      </c>
      <c r="F2498" s="14" t="n">
        <v>2.5</v>
      </c>
      <c r="G2498" s="14" t="n">
        <v>4.5</v>
      </c>
      <c r="H2498" s="14" t="n">
        <v>4.4585</v>
      </c>
      <c r="I2498" s="14" t="n">
        <v>4.39883354772975</v>
      </c>
      <c r="J2498" s="14" t="n">
        <v>4.25545752862354</v>
      </c>
      <c r="K2498" s="14" t="n">
        <v>4.09864947693715</v>
      </c>
      <c r="L2498" s="14" t="n">
        <v>3.87410188476657</v>
      </c>
      <c r="M2498" s="14" t="n">
        <v>1.776</v>
      </c>
      <c r="N2498" s="14" t="n">
        <v>1.775</v>
      </c>
      <c r="O2498" s="14" t="n">
        <v>1.785</v>
      </c>
      <c r="P2498" s="14" t="n">
        <v>1.785</v>
      </c>
      <c r="Q2498" s="14" t="n">
        <v>4.5</v>
      </c>
      <c r="R2498" s="14" t="n">
        <v>4.5</v>
      </c>
      <c r="S2498" s="14" t="n">
        <v>14.25</v>
      </c>
    </row>
    <row r="2499" customFormat="false" ht="15" hidden="false" customHeight="false" outlineLevel="0" collapsed="false">
      <c r="A2499" s="13" t="n">
        <v>45763</v>
      </c>
      <c r="B2499" s="14" t="n">
        <v>4.31</v>
      </c>
      <c r="C2499" s="14" t="n">
        <v>4.5</v>
      </c>
      <c r="D2499" s="14" t="n">
        <v>4.25</v>
      </c>
      <c r="E2499" s="14" t="n">
        <v>2.418</v>
      </c>
      <c r="F2499" s="14" t="n">
        <v>2.5</v>
      </c>
      <c r="G2499" s="14" t="n">
        <v>4.5</v>
      </c>
      <c r="H2499" s="14" t="n">
        <v>4.4585</v>
      </c>
      <c r="I2499" s="14" t="n">
        <v>4.38835268368861</v>
      </c>
      <c r="J2499" s="14" t="n">
        <v>4.23451891603299</v>
      </c>
      <c r="K2499" s="14" t="n">
        <v>4.08169344517766</v>
      </c>
      <c r="L2499" s="14" t="n">
        <v>3.87003692893852</v>
      </c>
      <c r="M2499" s="14" t="n">
        <v>1.772</v>
      </c>
      <c r="N2499" s="14" t="n">
        <v>1.772</v>
      </c>
      <c r="O2499" s="14" t="n">
        <v>1.782</v>
      </c>
      <c r="P2499" s="14" t="n">
        <v>1.783</v>
      </c>
      <c r="Q2499" s="14" t="n">
        <v>4.5</v>
      </c>
      <c r="R2499" s="14" t="n">
        <v>4.5</v>
      </c>
      <c r="S2499" s="14" t="n">
        <v>14.25</v>
      </c>
    </row>
    <row r="2500" customFormat="false" ht="15" hidden="false" customHeight="false" outlineLevel="0" collapsed="false">
      <c r="A2500" s="13" t="n">
        <v>45764</v>
      </c>
      <c r="B2500" s="14" t="n">
        <v>4.32</v>
      </c>
      <c r="C2500" s="14" t="n">
        <v>4.5</v>
      </c>
      <c r="D2500" s="14" t="n">
        <v>4.25</v>
      </c>
      <c r="E2500" s="14" t="n">
        <v>2.417</v>
      </c>
      <c r="F2500" s="14" t="n">
        <v>2.5</v>
      </c>
      <c r="G2500" s="14" t="n">
        <v>4.5</v>
      </c>
      <c r="H2500" s="14" t="n">
        <v>4.459</v>
      </c>
      <c r="I2500" s="14" t="n">
        <v>4.38243370072233</v>
      </c>
      <c r="J2500" s="14" t="n">
        <v>4.22442906405772</v>
      </c>
      <c r="K2500" s="14" t="n">
        <v>4.05961909759147</v>
      </c>
      <c r="L2500" s="14" t="n">
        <v>3.83064521136455</v>
      </c>
      <c r="M2500" s="14" t="n">
        <v>1.766</v>
      </c>
      <c r="N2500" s="14" t="n">
        <v>1.767</v>
      </c>
      <c r="O2500" s="14" t="n">
        <v>1.776</v>
      </c>
      <c r="P2500" s="14" t="n">
        <v>1.777</v>
      </c>
      <c r="S2500" s="14" t="n">
        <v>14.25</v>
      </c>
    </row>
    <row r="2501" customFormat="false" ht="15" hidden="false" customHeight="false" outlineLevel="0" collapsed="false">
      <c r="A2501" s="13" t="n">
        <v>45765</v>
      </c>
      <c r="C2501" s="14" t="n">
        <v>4.5</v>
      </c>
      <c r="D2501" s="14" t="n">
        <v>4.25</v>
      </c>
      <c r="F2501" s="14" t="n">
        <v>2.5</v>
      </c>
      <c r="M2501" s="14" t="n">
        <v>1.763</v>
      </c>
      <c r="N2501" s="14" t="n">
        <v>1.761</v>
      </c>
      <c r="O2501" s="14" t="n">
        <v>1.771</v>
      </c>
      <c r="P2501" s="14" t="n">
        <v>1.772</v>
      </c>
      <c r="S2501" s="14" t="n">
        <v>14.25</v>
      </c>
    </row>
    <row r="2502" customFormat="false" ht="15" hidden="false" customHeight="false" outlineLevel="0" collapsed="false">
      <c r="A2502" s="13" t="n">
        <v>45768</v>
      </c>
      <c r="B2502" s="14" t="n">
        <v>4.32</v>
      </c>
      <c r="C2502" s="14" t="n">
        <v>4.5</v>
      </c>
      <c r="D2502" s="14" t="n">
        <v>4.25</v>
      </c>
      <c r="F2502" s="14" t="n">
        <v>2.5</v>
      </c>
      <c r="M2502" s="14" t="n">
        <v>1.758</v>
      </c>
      <c r="N2502" s="14" t="n">
        <v>1.759</v>
      </c>
      <c r="O2502" s="14" t="n">
        <v>1.77</v>
      </c>
      <c r="P2502" s="14" t="n">
        <v>1.769</v>
      </c>
      <c r="S2502" s="14" t="n">
        <v>14.25</v>
      </c>
    </row>
    <row r="2503" customFormat="false" ht="15" hidden="false" customHeight="false" outlineLevel="0" collapsed="false">
      <c r="A2503" s="13" t="n">
        <v>45769</v>
      </c>
      <c r="B2503" s="14" t="n">
        <v>4.3</v>
      </c>
      <c r="C2503" s="14" t="n">
        <v>4.5</v>
      </c>
      <c r="D2503" s="14" t="n">
        <v>4.25</v>
      </c>
      <c r="E2503" s="14" t="n">
        <v>2.417</v>
      </c>
      <c r="F2503" s="14" t="n">
        <v>2.5</v>
      </c>
      <c r="G2503" s="14" t="n">
        <v>4.5</v>
      </c>
      <c r="H2503" s="14" t="n">
        <v>4.4593</v>
      </c>
      <c r="I2503" s="14" t="n">
        <v>4.3407338710006</v>
      </c>
      <c r="J2503" s="14" t="n">
        <v>4.19591600238446</v>
      </c>
      <c r="K2503" s="14" t="n">
        <v>4.0280707952095</v>
      </c>
      <c r="L2503" s="14" t="n">
        <v>3.78081865320865</v>
      </c>
      <c r="M2503" s="14" t="n">
        <v>1.754</v>
      </c>
      <c r="N2503" s="14" t="n">
        <v>1.755</v>
      </c>
      <c r="O2503" s="14" t="n">
        <v>1.768</v>
      </c>
      <c r="P2503" s="14" t="n">
        <v>1.768</v>
      </c>
      <c r="Q2503" s="14" t="n">
        <v>4.5</v>
      </c>
      <c r="R2503" s="14" t="n">
        <v>4.47</v>
      </c>
      <c r="S2503" s="14" t="n">
        <v>14.25</v>
      </c>
    </row>
    <row r="2504" customFormat="false" ht="15" hidden="false" customHeight="false" outlineLevel="0" collapsed="false">
      <c r="A2504" s="13" t="n">
        <v>45770</v>
      </c>
      <c r="B2504" s="14" t="n">
        <v>4.28</v>
      </c>
      <c r="C2504" s="14" t="n">
        <v>4.5</v>
      </c>
      <c r="D2504" s="14" t="n">
        <v>4.25</v>
      </c>
      <c r="E2504" s="14" t="n">
        <v>2.167</v>
      </c>
      <c r="F2504" s="14" t="n">
        <v>2.25</v>
      </c>
      <c r="G2504" s="14" t="n">
        <v>4.5</v>
      </c>
      <c r="H2504" s="14" t="n">
        <v>4.459</v>
      </c>
      <c r="I2504" s="14" t="n">
        <v>4.32963318575613</v>
      </c>
      <c r="J2504" s="14" t="n">
        <v>4.19151492964664</v>
      </c>
      <c r="K2504" s="14" t="n">
        <v>4.03498634333351</v>
      </c>
      <c r="L2504" s="14" t="n">
        <v>3.81676429415137</v>
      </c>
      <c r="M2504" s="14" t="n">
        <v>1.749</v>
      </c>
      <c r="N2504" s="14" t="n">
        <v>1.753</v>
      </c>
      <c r="O2504" s="14" t="n">
        <v>1.765</v>
      </c>
      <c r="P2504" s="14" t="n">
        <v>1.766</v>
      </c>
      <c r="Q2504" s="14" t="n">
        <v>4.5</v>
      </c>
      <c r="R2504" s="14" t="n">
        <v>4.5</v>
      </c>
      <c r="S2504" s="14" t="n">
        <v>14.25</v>
      </c>
    </row>
    <row r="2505" customFormat="false" ht="15" hidden="false" customHeight="false" outlineLevel="0" collapsed="false">
      <c r="A2505" s="13" t="n">
        <v>45771</v>
      </c>
      <c r="B2505" s="14" t="n">
        <v>4.29</v>
      </c>
      <c r="C2505" s="14" t="n">
        <v>4.5</v>
      </c>
      <c r="D2505" s="14" t="n">
        <v>4.25</v>
      </c>
      <c r="E2505" s="14" t="n">
        <v>2.169</v>
      </c>
      <c r="F2505" s="14" t="n">
        <v>2.25</v>
      </c>
      <c r="G2505" s="14" t="n">
        <v>4.5</v>
      </c>
      <c r="H2505" s="14" t="n">
        <v>4.4592</v>
      </c>
      <c r="I2505" s="14" t="n">
        <v>4.31618314990373</v>
      </c>
      <c r="J2505" s="14" t="n">
        <v>4.1716163136712</v>
      </c>
      <c r="K2505" s="14" t="n">
        <v>4.00773865877299</v>
      </c>
      <c r="L2505" s="14" t="n">
        <v>3.77897387189892</v>
      </c>
      <c r="M2505" s="14" t="n">
        <v>1.747</v>
      </c>
      <c r="N2505" s="14" t="n">
        <v>1.75</v>
      </c>
      <c r="O2505" s="14" t="n">
        <v>1.764</v>
      </c>
      <c r="P2505" s="14" t="n">
        <v>1.766</v>
      </c>
      <c r="Q2505" s="14" t="n">
        <v>4.5</v>
      </c>
      <c r="R2505" s="14" t="n">
        <v>4.5</v>
      </c>
      <c r="S2505" s="14" t="n">
        <v>14.25</v>
      </c>
    </row>
    <row r="2506" customFormat="false" ht="15" hidden="false" customHeight="false" outlineLevel="0" collapsed="false">
      <c r="A2506" s="13" t="n">
        <v>45772</v>
      </c>
      <c r="B2506" s="14" t="n">
        <v>4.33</v>
      </c>
      <c r="C2506" s="14" t="n">
        <v>4.5</v>
      </c>
      <c r="D2506" s="14" t="n">
        <v>4.25</v>
      </c>
      <c r="E2506" s="14" t="n">
        <v>2.167</v>
      </c>
      <c r="F2506" s="14" t="n">
        <v>2.25</v>
      </c>
      <c r="G2506" s="14" t="n">
        <v>4.5</v>
      </c>
      <c r="H2506" s="14" t="n">
        <v>4.4591</v>
      </c>
      <c r="I2506" s="14" t="n">
        <v>4.31193884728546</v>
      </c>
      <c r="J2506" s="14" t="n">
        <v>4.17471891116197</v>
      </c>
      <c r="K2506" s="14" t="n">
        <v>4.0134770032016</v>
      </c>
      <c r="L2506" s="14" t="n">
        <v>3.78115378232024</v>
      </c>
      <c r="M2506" s="14" t="n">
        <v>1.747</v>
      </c>
      <c r="N2506" s="14" t="n">
        <v>1.75</v>
      </c>
      <c r="O2506" s="14" t="n">
        <v>1.761</v>
      </c>
      <c r="P2506" s="14" t="n">
        <v>1.766</v>
      </c>
      <c r="Q2506" s="14" t="n">
        <v>4.5</v>
      </c>
      <c r="R2506" s="14" t="n">
        <v>4.5</v>
      </c>
      <c r="S2506" s="14" t="n">
        <v>14.25</v>
      </c>
    </row>
    <row r="2507" customFormat="false" ht="15" hidden="false" customHeight="false" outlineLevel="0" collapsed="false">
      <c r="A2507" s="13" t="n">
        <v>45774</v>
      </c>
      <c r="C2507" s="14" t="n">
        <v>4.5</v>
      </c>
      <c r="D2507" s="14" t="n">
        <v>4.25</v>
      </c>
      <c r="F2507" s="14" t="n">
        <v>2.25</v>
      </c>
      <c r="M2507" s="14" t="n">
        <v>1.748</v>
      </c>
      <c r="N2507" s="14" t="n">
        <v>1.75</v>
      </c>
      <c r="O2507" s="14" t="n">
        <v>1.76</v>
      </c>
      <c r="P2507" s="14" t="n">
        <v>1.767</v>
      </c>
      <c r="S2507" s="14" t="n">
        <v>14.25</v>
      </c>
    </row>
    <row r="2508" customFormat="false" ht="15" hidden="false" customHeight="false" outlineLevel="0" collapsed="false">
      <c r="A2508" s="13" t="n">
        <v>45775</v>
      </c>
      <c r="B2508" s="14" t="n">
        <v>4.36</v>
      </c>
      <c r="C2508" s="14" t="n">
        <v>4.5</v>
      </c>
      <c r="D2508" s="14" t="n">
        <v>4.25</v>
      </c>
      <c r="E2508" s="14" t="n">
        <v>2.167</v>
      </c>
      <c r="F2508" s="14" t="n">
        <v>2.25</v>
      </c>
      <c r="G2508" s="14" t="n">
        <v>4.5</v>
      </c>
      <c r="H2508" s="14" t="n">
        <v>4.459</v>
      </c>
      <c r="I2508" s="14" t="n">
        <v>4.2853669960918</v>
      </c>
      <c r="J2508" s="14" t="n">
        <v>4.16205756249228</v>
      </c>
      <c r="K2508" s="14" t="n">
        <v>4.0012420376908</v>
      </c>
      <c r="L2508" s="14" t="n">
        <v>3.76804993958334</v>
      </c>
      <c r="M2508" s="14" t="n">
        <v>1.747</v>
      </c>
      <c r="N2508" s="14" t="n">
        <v>1.75</v>
      </c>
      <c r="O2508" s="14" t="n">
        <v>1.76</v>
      </c>
      <c r="P2508" s="14" t="n">
        <v>1.768</v>
      </c>
      <c r="Q2508" s="14" t="n">
        <v>4.5</v>
      </c>
      <c r="R2508" s="14" t="n">
        <v>4.5</v>
      </c>
      <c r="S2508" s="14" t="n">
        <v>14.25</v>
      </c>
    </row>
    <row r="2509" customFormat="false" ht="15" hidden="false" customHeight="false" outlineLevel="0" collapsed="false">
      <c r="A2509" s="13" t="n">
        <v>45776</v>
      </c>
      <c r="B2509" s="14" t="n">
        <v>4.36</v>
      </c>
      <c r="C2509" s="14" t="n">
        <v>4.5</v>
      </c>
      <c r="D2509" s="14" t="n">
        <v>4.25</v>
      </c>
      <c r="E2509" s="14" t="n">
        <v>2.167</v>
      </c>
      <c r="F2509" s="14" t="n">
        <v>2.25</v>
      </c>
      <c r="G2509" s="14" t="n">
        <v>4.5</v>
      </c>
      <c r="H2509" s="14" t="n">
        <v>4.4592</v>
      </c>
      <c r="I2509" s="14" t="n">
        <v>4.27575705889362</v>
      </c>
      <c r="J2509" s="14" t="n">
        <v>4.15511758335419</v>
      </c>
      <c r="K2509" s="14" t="n">
        <v>3.99140219751775</v>
      </c>
      <c r="L2509" s="14" t="n">
        <v>3.75265219190486</v>
      </c>
      <c r="M2509" s="14" t="n">
        <v>1.745</v>
      </c>
      <c r="N2509" s="14" t="n">
        <v>1.75</v>
      </c>
      <c r="O2509" s="14" t="n">
        <v>1.76</v>
      </c>
      <c r="P2509" s="14" t="n">
        <v>1.767</v>
      </c>
      <c r="Q2509" s="14" t="n">
        <v>4.5</v>
      </c>
      <c r="R2509" s="14" t="n">
        <v>4.5</v>
      </c>
      <c r="S2509" s="14" t="n">
        <v>14.25</v>
      </c>
    </row>
    <row r="2510" customFormat="false" ht="15" hidden="false" customHeight="false" outlineLevel="0" collapsed="false">
      <c r="A2510" s="13" t="n">
        <v>45777</v>
      </c>
      <c r="B2510" s="14" t="n">
        <v>4.41</v>
      </c>
      <c r="C2510" s="14" t="n">
        <v>4.5</v>
      </c>
      <c r="D2510" s="14" t="n">
        <v>4.25</v>
      </c>
      <c r="E2510" s="14" t="n">
        <v>2.156</v>
      </c>
      <c r="F2510" s="14" t="n">
        <v>2.25</v>
      </c>
      <c r="G2510" s="14" t="n">
        <v>4.5</v>
      </c>
      <c r="H2510" s="14" t="n">
        <v>4.4592</v>
      </c>
      <c r="I2510" s="14" t="n">
        <v>4.26879313343776</v>
      </c>
      <c r="J2510" s="14" t="n">
        <v>4.14543727793988</v>
      </c>
      <c r="K2510" s="14" t="n">
        <v>3.97249078768491</v>
      </c>
      <c r="L2510" s="14" t="n">
        <v>3.72433947351915</v>
      </c>
      <c r="M2510" s="14" t="n">
        <v>1.743</v>
      </c>
      <c r="N2510" s="14" t="n">
        <v>1.75</v>
      </c>
      <c r="O2510" s="14" t="n">
        <v>1.759</v>
      </c>
      <c r="P2510" s="14" t="n">
        <v>1.766</v>
      </c>
      <c r="Q2510" s="14" t="n">
        <v>4.5</v>
      </c>
      <c r="R2510" s="14" t="n">
        <v>4.5</v>
      </c>
      <c r="S2510" s="14" t="n">
        <v>14.25</v>
      </c>
    </row>
    <row r="2511" customFormat="false" ht="15" hidden="false" customHeight="false" outlineLevel="0" collapsed="false">
      <c r="A2511" s="13" t="n">
        <v>45778</v>
      </c>
      <c r="B2511" s="14" t="n">
        <v>4.39</v>
      </c>
      <c r="C2511" s="14" t="n">
        <v>4.5</v>
      </c>
      <c r="D2511" s="14" t="n">
        <v>4.25</v>
      </c>
      <c r="F2511" s="14" t="n">
        <v>2.25</v>
      </c>
      <c r="G2511" s="14" t="n">
        <v>4.5</v>
      </c>
      <c r="H2511" s="14" t="n">
        <v>4.4586</v>
      </c>
      <c r="I2511" s="14" t="n">
        <v>4.25441584567805</v>
      </c>
      <c r="J2511" s="14" t="n">
        <v>4.13825051454149</v>
      </c>
      <c r="K2511" s="14" t="n">
        <v>3.9667439472112</v>
      </c>
      <c r="L2511" s="14" t="n">
        <v>3.71915804282882</v>
      </c>
      <c r="S2511" s="14" t="n">
        <v>14.25</v>
      </c>
    </row>
    <row r="2512" customFormat="false" ht="15" hidden="false" customHeight="false" outlineLevel="0" collapsed="false">
      <c r="A2512" s="13" t="n">
        <v>45779</v>
      </c>
      <c r="B2512" s="14" t="n">
        <v>4.36</v>
      </c>
      <c r="C2512" s="14" t="n">
        <v>4.5</v>
      </c>
      <c r="D2512" s="14" t="n">
        <v>4.25</v>
      </c>
      <c r="E2512" s="14" t="n">
        <v>2.168</v>
      </c>
      <c r="F2512" s="14" t="n">
        <v>2.25</v>
      </c>
      <c r="G2512" s="14" t="n">
        <v>4.5</v>
      </c>
      <c r="H2512" s="14" t="n">
        <v>4.4594</v>
      </c>
      <c r="I2512" s="14" t="n">
        <v>4.24834486517303</v>
      </c>
      <c r="J2512" s="14" t="n">
        <v>4.14670625263176</v>
      </c>
      <c r="K2512" s="14" t="n">
        <v>3.98679205613347</v>
      </c>
      <c r="L2512" s="14" t="n">
        <v>3.75143075053611</v>
      </c>
      <c r="Q2512" s="14" t="n">
        <v>4.5</v>
      </c>
      <c r="R2512" s="14" t="n">
        <v>4.5</v>
      </c>
      <c r="S2512" s="14" t="n">
        <v>14.25</v>
      </c>
    </row>
    <row r="2513" customFormat="false" ht="15" hidden="false" customHeight="false" outlineLevel="0" collapsed="false">
      <c r="A2513" s="13" t="n">
        <v>45782</v>
      </c>
      <c r="B2513" s="14" t="n">
        <v>4.33</v>
      </c>
      <c r="C2513" s="14" t="n">
        <v>4.5</v>
      </c>
      <c r="D2513" s="14" t="n">
        <v>4.25</v>
      </c>
      <c r="E2513" s="14" t="n">
        <v>2.167</v>
      </c>
      <c r="F2513" s="14" t="n">
        <v>2.25</v>
      </c>
      <c r="Q2513" s="14" t="n">
        <v>4.5</v>
      </c>
      <c r="R2513" s="14" t="n">
        <v>4.5</v>
      </c>
      <c r="S2513" s="14" t="n">
        <v>14.25</v>
      </c>
    </row>
    <row r="2514" customFormat="false" ht="15" hidden="false" customHeight="false" outlineLevel="0" collapsed="false">
      <c r="A2514" s="13" t="n">
        <v>45783</v>
      </c>
      <c r="B2514" s="14" t="n">
        <v>4.32</v>
      </c>
      <c r="C2514" s="14" t="n">
        <v>4.5</v>
      </c>
      <c r="D2514" s="14" t="n">
        <v>4.25</v>
      </c>
      <c r="E2514" s="14" t="n">
        <v>2.167</v>
      </c>
      <c r="F2514" s="14" t="n">
        <v>2.25</v>
      </c>
      <c r="G2514" s="14" t="n">
        <v>4.5</v>
      </c>
      <c r="H2514" s="14" t="n">
        <v>4.459</v>
      </c>
      <c r="I2514" s="14" t="n">
        <v>4.20884440882537</v>
      </c>
      <c r="J2514" s="14" t="n">
        <v>4.11686747999796</v>
      </c>
      <c r="K2514" s="14" t="n">
        <v>3.95284355659181</v>
      </c>
      <c r="L2514" s="14" t="n">
        <v>3.72038189961591</v>
      </c>
      <c r="M2514" s="14" t="n">
        <v>1.732</v>
      </c>
      <c r="N2514" s="14" t="n">
        <v>1.748</v>
      </c>
      <c r="O2514" s="14" t="n">
        <v>1.757</v>
      </c>
      <c r="P2514" s="14" t="n">
        <v>1.765</v>
      </c>
      <c r="Q2514" s="14" t="n">
        <v>4.5</v>
      </c>
      <c r="R2514" s="14" t="n">
        <v>4.5</v>
      </c>
      <c r="S2514" s="14" t="n">
        <v>14.25</v>
      </c>
    </row>
    <row r="2515" customFormat="false" ht="15" hidden="false" customHeight="false" outlineLevel="0" collapsed="false">
      <c r="A2515" s="13" t="n">
        <v>45784</v>
      </c>
      <c r="B2515" s="14" t="n">
        <v>4.3</v>
      </c>
      <c r="C2515" s="14" t="n">
        <v>4.5</v>
      </c>
      <c r="D2515" s="14" t="n">
        <v>4.25</v>
      </c>
      <c r="E2515" s="14" t="n">
        <v>2.169</v>
      </c>
      <c r="F2515" s="14" t="n">
        <v>2.25</v>
      </c>
      <c r="G2515" s="14" t="n">
        <v>4.5</v>
      </c>
      <c r="H2515" s="14" t="n">
        <v>4.4601</v>
      </c>
      <c r="I2515" s="14" t="n">
        <v>4.2084330086722</v>
      </c>
      <c r="J2515" s="14" t="n">
        <v>4.11963880662614</v>
      </c>
      <c r="K2515" s="14" t="n">
        <v>3.95439057908808</v>
      </c>
      <c r="L2515" s="14" t="n">
        <v>3.71972749218713</v>
      </c>
      <c r="M2515" s="14" t="n">
        <v>1.719</v>
      </c>
      <c r="N2515" s="14" t="n">
        <v>1.737</v>
      </c>
      <c r="O2515" s="14" t="n">
        <v>1.746</v>
      </c>
      <c r="P2515" s="14" t="n">
        <v>1.752</v>
      </c>
      <c r="Q2515" s="14" t="n">
        <v>4.5</v>
      </c>
      <c r="R2515" s="14" t="n">
        <v>4.5</v>
      </c>
      <c r="S2515" s="14" t="n">
        <v>14.25</v>
      </c>
    </row>
    <row r="2516" customFormat="false" ht="15" hidden="false" customHeight="false" outlineLevel="0" collapsed="false">
      <c r="A2516" s="13" t="n">
        <v>45785</v>
      </c>
      <c r="B2516" s="14" t="n">
        <v>4.29</v>
      </c>
      <c r="C2516" s="14" t="n">
        <v>4.5</v>
      </c>
      <c r="D2516" s="14" t="n">
        <v>4.25</v>
      </c>
      <c r="E2516" s="14" t="n">
        <v>2.171</v>
      </c>
      <c r="F2516" s="14" t="n">
        <v>2.25</v>
      </c>
      <c r="G2516" s="14" t="n">
        <v>4.25</v>
      </c>
      <c r="H2516" s="14" t="n">
        <v>4.21</v>
      </c>
      <c r="I2516" s="14" t="n">
        <v>4.21424613833546</v>
      </c>
      <c r="J2516" s="14" t="n">
        <v>4.16927538538344</v>
      </c>
      <c r="K2516" s="14" t="n">
        <v>4.04453783793217</v>
      </c>
      <c r="L2516" s="14" t="n">
        <v>3.83435390838905</v>
      </c>
      <c r="M2516" s="14" t="n">
        <v>1.702</v>
      </c>
      <c r="N2516" s="14" t="n">
        <v>1.72</v>
      </c>
      <c r="O2516" s="14" t="n">
        <v>1.729</v>
      </c>
      <c r="P2516" s="14" t="n">
        <v>1.735</v>
      </c>
      <c r="Q2516" s="14" t="n">
        <v>4.5</v>
      </c>
      <c r="R2516" s="14" t="n">
        <v>4.5</v>
      </c>
      <c r="S2516" s="14" t="n">
        <v>14.75</v>
      </c>
    </row>
    <row r="2517" customFormat="false" ht="15" hidden="false" customHeight="false" outlineLevel="0" collapsed="false">
      <c r="A2517" s="13" t="n">
        <v>45786</v>
      </c>
      <c r="B2517" s="14" t="n">
        <v>4.28</v>
      </c>
      <c r="C2517" s="14" t="n">
        <v>4.5</v>
      </c>
      <c r="D2517" s="14" t="n">
        <v>4.25</v>
      </c>
      <c r="E2517" s="14" t="n">
        <v>2.169</v>
      </c>
      <c r="F2517" s="14" t="n">
        <v>2.25</v>
      </c>
      <c r="G2517" s="14" t="n">
        <v>4.25</v>
      </c>
      <c r="H2517" s="14" t="n">
        <v>4.2103</v>
      </c>
      <c r="I2517" s="14" t="n">
        <v>4.21361026480209</v>
      </c>
      <c r="J2517" s="14" t="n">
        <v>4.16418403391227</v>
      </c>
      <c r="K2517" s="14" t="n">
        <v>4.03788154919759</v>
      </c>
      <c r="L2517" s="14" t="n">
        <v>3.82242651044071</v>
      </c>
      <c r="M2517" s="14" t="n">
        <v>1.684</v>
      </c>
      <c r="N2517" s="14" t="n">
        <v>1.696</v>
      </c>
      <c r="O2517" s="14" t="n">
        <v>1.704</v>
      </c>
      <c r="P2517" s="14" t="n">
        <v>1.711</v>
      </c>
      <c r="Q2517" s="14" t="n">
        <v>4.5</v>
      </c>
      <c r="R2517" s="14" t="n">
        <v>4.5</v>
      </c>
      <c r="S2517" s="14" t="n">
        <v>14.75</v>
      </c>
    </row>
    <row r="2518" customFormat="false" ht="15" hidden="false" customHeight="false" outlineLevel="0" collapsed="false">
      <c r="A2518" s="13" t="n">
        <v>45789</v>
      </c>
      <c r="B2518" s="14" t="n">
        <v>4.28</v>
      </c>
      <c r="C2518" s="14" t="n">
        <v>4.5</v>
      </c>
      <c r="D2518" s="14" t="n">
        <v>4.25</v>
      </c>
      <c r="E2518" s="14" t="n">
        <v>2.17</v>
      </c>
      <c r="F2518" s="14" t="n">
        <v>2.25</v>
      </c>
      <c r="G2518" s="14" t="n">
        <v>4.25</v>
      </c>
      <c r="H2518" s="14" t="n">
        <v>4.21</v>
      </c>
      <c r="I2518" s="14" t="n">
        <v>4.21550942432285</v>
      </c>
      <c r="J2518" s="14" t="n">
        <v>4.1725917611755</v>
      </c>
      <c r="K2518" s="14" t="n">
        <v>4.06197635266899</v>
      </c>
      <c r="L2518" s="14" t="n">
        <v>3.8877163217313</v>
      </c>
      <c r="M2518" s="14" t="n">
        <v>1.661</v>
      </c>
      <c r="N2518" s="14" t="n">
        <v>1.672</v>
      </c>
      <c r="O2518" s="14" t="n">
        <v>1.685</v>
      </c>
      <c r="P2518" s="14" t="n">
        <v>1.695</v>
      </c>
      <c r="Q2518" s="14" t="n">
        <v>4.5</v>
      </c>
      <c r="R2518" s="14" t="n">
        <v>4.5</v>
      </c>
      <c r="S2518" s="14" t="n">
        <v>14.75</v>
      </c>
    </row>
    <row r="2519" customFormat="false" ht="15" hidden="false" customHeight="false" outlineLevel="0" collapsed="false">
      <c r="A2519" s="13" t="n">
        <v>45790</v>
      </c>
      <c r="B2519" s="14" t="n">
        <v>4.3</v>
      </c>
      <c r="C2519" s="14" t="n">
        <v>4.5</v>
      </c>
      <c r="D2519" s="14" t="n">
        <v>4.25</v>
      </c>
      <c r="E2519" s="14" t="n">
        <v>2.172</v>
      </c>
      <c r="F2519" s="14" t="n">
        <v>2.25</v>
      </c>
      <c r="G2519" s="14" t="n">
        <v>4.25</v>
      </c>
      <c r="H2519" s="14" t="n">
        <v>4.2106</v>
      </c>
      <c r="I2519" s="14" t="n">
        <v>4.21582202807698</v>
      </c>
      <c r="J2519" s="14" t="n">
        <v>4.176633551331</v>
      </c>
      <c r="K2519" s="14" t="n">
        <v>4.06708713373533</v>
      </c>
      <c r="L2519" s="14" t="n">
        <v>3.88224550937043</v>
      </c>
      <c r="M2519" s="14" t="n">
        <v>1.647</v>
      </c>
      <c r="N2519" s="14" t="n">
        <v>1.662</v>
      </c>
      <c r="O2519" s="14" t="n">
        <v>1.672</v>
      </c>
      <c r="P2519" s="14" t="n">
        <v>1.684</v>
      </c>
      <c r="Q2519" s="14" t="n">
        <v>4.5</v>
      </c>
      <c r="R2519" s="14" t="n">
        <v>4.5</v>
      </c>
      <c r="S2519" s="14" t="n">
        <v>14.75</v>
      </c>
    </row>
    <row r="2520" customFormat="false" ht="15" hidden="false" customHeight="false" outlineLevel="0" collapsed="false">
      <c r="A2520" s="13" t="n">
        <v>45791</v>
      </c>
      <c r="B2520" s="14" t="n">
        <v>4.29</v>
      </c>
      <c r="C2520" s="14" t="n">
        <v>4.5</v>
      </c>
      <c r="D2520" s="14" t="n">
        <v>4.25</v>
      </c>
      <c r="E2520" s="14" t="n">
        <v>2.172</v>
      </c>
      <c r="F2520" s="14" t="n">
        <v>2.25</v>
      </c>
      <c r="G2520" s="14" t="n">
        <v>4.25</v>
      </c>
      <c r="H2520" s="14" t="n">
        <v>4.2108</v>
      </c>
      <c r="I2520" s="14" t="n">
        <v>4.21716400060507</v>
      </c>
      <c r="J2520" s="14" t="n">
        <v>4.17874805787256</v>
      </c>
      <c r="K2520" s="14" t="n">
        <v>4.0840927852255</v>
      </c>
      <c r="L2520" s="14" t="n">
        <v>3.92299323655774</v>
      </c>
      <c r="M2520" s="14" t="n">
        <v>1.639</v>
      </c>
      <c r="N2520" s="14" t="n">
        <v>1.653</v>
      </c>
      <c r="O2520" s="14" t="n">
        <v>1.663</v>
      </c>
      <c r="P2520" s="14" t="n">
        <v>1.677</v>
      </c>
      <c r="Q2520" s="14" t="n">
        <v>4.5</v>
      </c>
      <c r="R2520" s="14" t="n">
        <v>4.5</v>
      </c>
      <c r="S2520" s="14" t="n">
        <v>14.75</v>
      </c>
    </row>
    <row r="2521" customFormat="false" ht="15" hidden="false" customHeight="false" outlineLevel="0" collapsed="false">
      <c r="A2521" s="13" t="n">
        <v>45792</v>
      </c>
      <c r="B2521" s="14" t="n">
        <v>4.31</v>
      </c>
      <c r="C2521" s="14" t="n">
        <v>4.5</v>
      </c>
      <c r="D2521" s="14" t="n">
        <v>4.25</v>
      </c>
      <c r="E2521" s="14" t="n">
        <v>2.172</v>
      </c>
      <c r="F2521" s="14" t="n">
        <v>2.25</v>
      </c>
      <c r="G2521" s="14" t="n">
        <v>4.25</v>
      </c>
      <c r="H2521" s="14" t="n">
        <v>4.2111</v>
      </c>
      <c r="I2521" s="14" t="n">
        <v>4.21785582646489</v>
      </c>
      <c r="J2521" s="14" t="n">
        <v>4.1778603051545</v>
      </c>
      <c r="K2521" s="14" t="n">
        <v>4.07792180999641</v>
      </c>
      <c r="L2521" s="14" t="n">
        <v>3.90195140424339</v>
      </c>
      <c r="M2521" s="14" t="n">
        <v>1.629</v>
      </c>
      <c r="N2521" s="14" t="n">
        <v>1.645</v>
      </c>
      <c r="O2521" s="14" t="n">
        <v>1.658</v>
      </c>
      <c r="P2521" s="14" t="n">
        <v>1.673</v>
      </c>
      <c r="Q2521" s="14" t="n">
        <v>4.5</v>
      </c>
      <c r="R2521" s="14" t="n">
        <v>4.5</v>
      </c>
      <c r="S2521" s="14" t="n">
        <v>14.75</v>
      </c>
    </row>
    <row r="2522" customFormat="false" ht="15" hidden="false" customHeight="false" outlineLevel="0" collapsed="false">
      <c r="A2522" s="13" t="n">
        <v>45793</v>
      </c>
      <c r="B2522" s="14" t="n">
        <v>4.3</v>
      </c>
      <c r="C2522" s="14" t="n">
        <v>4.5</v>
      </c>
      <c r="D2522" s="14" t="n">
        <v>4.25</v>
      </c>
      <c r="E2522" s="14" t="n">
        <v>2.17</v>
      </c>
      <c r="F2522" s="14" t="n">
        <v>2.25</v>
      </c>
      <c r="G2522" s="14" t="n">
        <v>4.25</v>
      </c>
      <c r="H2522" s="14" t="n">
        <v>4.2106</v>
      </c>
      <c r="I2522" s="14" t="n">
        <v>4.21718740388764</v>
      </c>
      <c r="J2522" s="14" t="n">
        <v>4.18129931906201</v>
      </c>
      <c r="K2522" s="14" t="n">
        <v>4.0879345344732</v>
      </c>
      <c r="L2522" s="14" t="n">
        <v>3.91701037965582</v>
      </c>
      <c r="M2522" s="14" t="n">
        <v>1.625</v>
      </c>
      <c r="N2522" s="14" t="n">
        <v>1.647</v>
      </c>
      <c r="O2522" s="14" t="n">
        <v>1.656</v>
      </c>
      <c r="P2522" s="14" t="n">
        <v>1.671</v>
      </c>
      <c r="Q2522" s="14" t="n">
        <v>4.5</v>
      </c>
      <c r="R2522" s="14" t="n">
        <v>4.5</v>
      </c>
      <c r="S2522" s="14" t="n">
        <v>14.75</v>
      </c>
    </row>
    <row r="2523" customFormat="false" ht="15" hidden="false" customHeight="false" outlineLevel="0" collapsed="false">
      <c r="A2523" s="13" t="n">
        <v>45796</v>
      </c>
      <c r="B2523" s="14" t="n">
        <v>4.29</v>
      </c>
      <c r="C2523" s="14" t="n">
        <v>4.5</v>
      </c>
      <c r="D2523" s="14" t="n">
        <v>4.25</v>
      </c>
      <c r="E2523" s="14" t="n">
        <v>2.171</v>
      </c>
      <c r="F2523" s="14" t="n">
        <v>2.25</v>
      </c>
      <c r="G2523" s="14" t="n">
        <v>4.25</v>
      </c>
      <c r="H2523" s="14" t="n">
        <v>4.2109</v>
      </c>
      <c r="I2523" s="14" t="n">
        <v>4.21898494252383</v>
      </c>
      <c r="J2523" s="14" t="n">
        <v>4.17394812561019</v>
      </c>
      <c r="K2523" s="14" t="n">
        <v>4.0744506417303</v>
      </c>
      <c r="L2523" s="14" t="n">
        <v>3.90670599157724</v>
      </c>
      <c r="M2523" s="14" t="n">
        <v>1.624</v>
      </c>
      <c r="N2523" s="14" t="n">
        <v>1.645</v>
      </c>
      <c r="O2523" s="14" t="n">
        <v>1.656</v>
      </c>
      <c r="P2523" s="14" t="n">
        <v>1.673</v>
      </c>
      <c r="Q2523" s="14" t="n">
        <v>4.5</v>
      </c>
      <c r="R2523" s="14" t="n">
        <v>4.5</v>
      </c>
      <c r="S2523" s="14" t="n">
        <v>14.75</v>
      </c>
    </row>
    <row r="2524" customFormat="false" ht="15" hidden="false" customHeight="false" outlineLevel="0" collapsed="false">
      <c r="A2524" s="13" t="n">
        <v>45797</v>
      </c>
      <c r="B2524" s="14" t="n">
        <v>4.27</v>
      </c>
      <c r="C2524" s="14" t="n">
        <v>4.5</v>
      </c>
      <c r="D2524" s="14" t="n">
        <v>4.25</v>
      </c>
      <c r="E2524" s="14" t="n">
        <v>2.172</v>
      </c>
      <c r="F2524" s="14" t="n">
        <v>2.25</v>
      </c>
      <c r="G2524" s="14" t="n">
        <v>4.25</v>
      </c>
      <c r="H2524" s="14" t="n">
        <v>4.2108</v>
      </c>
      <c r="I2524" s="14" t="n">
        <v>4.21730684841057</v>
      </c>
      <c r="J2524" s="14" t="n">
        <v>4.17658375803878</v>
      </c>
      <c r="K2524" s="14" t="n">
        <v>4.08208695484833</v>
      </c>
      <c r="L2524" s="14" t="n">
        <v>3.92275595016662</v>
      </c>
      <c r="M2524" s="14" t="n">
        <v>1.617</v>
      </c>
      <c r="N2524" s="14" t="n">
        <v>1.642</v>
      </c>
      <c r="O2524" s="14" t="n">
        <v>1.654</v>
      </c>
      <c r="P2524" s="14" t="n">
        <v>1.671</v>
      </c>
      <c r="Q2524" s="14" t="n">
        <v>4.5</v>
      </c>
      <c r="R2524" s="14" t="n">
        <v>4.5</v>
      </c>
      <c r="S2524" s="14" t="n">
        <v>14.75</v>
      </c>
    </row>
    <row r="2525" customFormat="false" ht="15" hidden="false" customHeight="false" outlineLevel="0" collapsed="false">
      <c r="A2525" s="13" t="n">
        <v>45798</v>
      </c>
      <c r="B2525" s="14" t="n">
        <v>4.26</v>
      </c>
      <c r="C2525" s="14" t="n">
        <v>4.5</v>
      </c>
      <c r="D2525" s="14" t="n">
        <v>4.25</v>
      </c>
      <c r="E2525" s="14" t="n">
        <v>2.169</v>
      </c>
      <c r="F2525" s="14" t="n">
        <v>2.25</v>
      </c>
      <c r="G2525" s="14" t="n">
        <v>4.25</v>
      </c>
      <c r="H2525" s="14" t="n">
        <v>4.2115</v>
      </c>
      <c r="I2525" s="14" t="n">
        <v>4.21597471688268</v>
      </c>
      <c r="J2525" s="14" t="n">
        <v>4.18663937705667</v>
      </c>
      <c r="K2525" s="14" t="n">
        <v>4.10437608597265</v>
      </c>
      <c r="L2525" s="14" t="n">
        <v>3.94948406156502</v>
      </c>
      <c r="M2525" s="14" t="n">
        <v>1.615</v>
      </c>
      <c r="N2525" s="14" t="n">
        <v>1.64</v>
      </c>
      <c r="O2525" s="14" t="n">
        <v>1.653</v>
      </c>
      <c r="P2525" s="14" t="n">
        <v>1.674</v>
      </c>
      <c r="Q2525" s="14" t="n">
        <v>4.5</v>
      </c>
      <c r="R2525" s="14" t="n">
        <v>4.5</v>
      </c>
      <c r="S2525" s="14" t="n">
        <v>14.75</v>
      </c>
    </row>
    <row r="2526" customFormat="false" ht="15" hidden="false" customHeight="false" outlineLevel="0" collapsed="false">
      <c r="A2526" s="13" t="n">
        <v>45799</v>
      </c>
      <c r="B2526" s="14" t="n">
        <v>4.26</v>
      </c>
      <c r="C2526" s="14" t="n">
        <v>4.5</v>
      </c>
      <c r="D2526" s="14" t="n">
        <v>4.25</v>
      </c>
      <c r="E2526" s="14" t="n">
        <v>2.173</v>
      </c>
      <c r="F2526" s="14" t="n">
        <v>2.25</v>
      </c>
      <c r="G2526" s="14" t="n">
        <v>4.25</v>
      </c>
      <c r="H2526" s="14" t="n">
        <v>4.2114</v>
      </c>
      <c r="I2526" s="14" t="n">
        <v>4.21717537256502</v>
      </c>
      <c r="J2526" s="14" t="n">
        <v>4.18432017376055</v>
      </c>
      <c r="K2526" s="14" t="n">
        <v>4.09688046596617</v>
      </c>
      <c r="L2526" s="14" t="n">
        <v>3.92770374255867</v>
      </c>
      <c r="M2526" s="14" t="n">
        <v>1.613</v>
      </c>
      <c r="N2526" s="14" t="n">
        <v>1.64</v>
      </c>
      <c r="O2526" s="14" t="n">
        <v>1.652</v>
      </c>
      <c r="P2526" s="14" t="n">
        <v>1.676</v>
      </c>
      <c r="Q2526" s="14" t="n">
        <v>4.5</v>
      </c>
      <c r="R2526" s="14" t="n">
        <v>4.5</v>
      </c>
      <c r="S2526" s="14" t="n">
        <v>14.75</v>
      </c>
    </row>
    <row r="2527" customFormat="false" ht="15" hidden="false" customHeight="false" outlineLevel="0" collapsed="false">
      <c r="A2527" s="13" t="n">
        <v>45800</v>
      </c>
      <c r="B2527" s="14" t="n">
        <v>4.26</v>
      </c>
      <c r="C2527" s="14" t="n">
        <v>4.5</v>
      </c>
      <c r="D2527" s="14" t="n">
        <v>4.25</v>
      </c>
      <c r="E2527" s="14" t="n">
        <v>2.17</v>
      </c>
      <c r="F2527" s="14" t="n">
        <v>2.25</v>
      </c>
      <c r="G2527" s="14" t="n">
        <v>4.25</v>
      </c>
      <c r="H2527" s="14" t="n">
        <v>4.2108</v>
      </c>
      <c r="I2527" s="14" t="n">
        <v>4.21863267400892</v>
      </c>
      <c r="J2527" s="14" t="n">
        <v>4.18523421357699</v>
      </c>
      <c r="K2527" s="14" t="n">
        <v>4.09629014371132</v>
      </c>
      <c r="L2527" s="14" t="n">
        <v>3.92654882756518</v>
      </c>
      <c r="M2527" s="14" t="n">
        <v>1.611</v>
      </c>
      <c r="N2527" s="14" t="n">
        <v>1.642</v>
      </c>
      <c r="O2527" s="14" t="n">
        <v>1.655</v>
      </c>
      <c r="P2527" s="14" t="n">
        <v>1.682</v>
      </c>
      <c r="Q2527" s="14" t="n">
        <v>4.5</v>
      </c>
      <c r="R2527" s="14" t="n">
        <v>4.5</v>
      </c>
      <c r="S2527" s="14" t="n">
        <v>14.75</v>
      </c>
    </row>
    <row r="2528" customFormat="false" ht="15" hidden="false" customHeight="false" outlineLevel="0" collapsed="false">
      <c r="A2528" s="13" t="n">
        <v>45803</v>
      </c>
      <c r="C2528" s="14" t="n">
        <v>4.5</v>
      </c>
      <c r="D2528" s="14" t="n">
        <v>4.25</v>
      </c>
      <c r="E2528" s="14" t="n">
        <v>2.168</v>
      </c>
      <c r="F2528" s="14" t="n">
        <v>2.25</v>
      </c>
      <c r="M2528" s="14" t="n">
        <v>1.612</v>
      </c>
      <c r="N2528" s="14" t="n">
        <v>1.643</v>
      </c>
      <c r="O2528" s="14" t="n">
        <v>1.662</v>
      </c>
      <c r="P2528" s="14" t="n">
        <v>1.685</v>
      </c>
      <c r="Q2528" s="14" t="n">
        <v>4.5</v>
      </c>
      <c r="R2528" s="14" t="n">
        <v>4.5</v>
      </c>
      <c r="S2528" s="14" t="n">
        <v>14.75</v>
      </c>
    </row>
    <row r="2529" customFormat="false" ht="15" hidden="false" customHeight="false" outlineLevel="0" collapsed="false">
      <c r="A2529" s="13" t="n">
        <v>45804</v>
      </c>
      <c r="B2529" s="14" t="n">
        <v>4.31</v>
      </c>
      <c r="C2529" s="14" t="n">
        <v>4.5</v>
      </c>
      <c r="D2529" s="14" t="n">
        <v>4.25</v>
      </c>
      <c r="E2529" s="14" t="n">
        <v>2.172</v>
      </c>
      <c r="F2529" s="14" t="n">
        <v>2.25</v>
      </c>
      <c r="G2529" s="14" t="n">
        <v>4.25</v>
      </c>
      <c r="H2529" s="14" t="n">
        <v>4.2107</v>
      </c>
      <c r="I2529" s="14" t="n">
        <v>4.21701370349598</v>
      </c>
      <c r="J2529" s="14" t="n">
        <v>4.19052215604571</v>
      </c>
      <c r="K2529" s="14" t="n">
        <v>4.11077217882031</v>
      </c>
      <c r="L2529" s="14" t="n">
        <v>3.94895038418294</v>
      </c>
      <c r="M2529" s="14" t="n">
        <v>1.614</v>
      </c>
      <c r="N2529" s="14" t="n">
        <v>1.644</v>
      </c>
      <c r="O2529" s="14" t="n">
        <v>1.665</v>
      </c>
      <c r="P2529" s="14" t="n">
        <v>1.692</v>
      </c>
      <c r="Q2529" s="14" t="n">
        <v>4.5</v>
      </c>
      <c r="R2529" s="14" t="n">
        <v>4.5</v>
      </c>
      <c r="S2529" s="14" t="n">
        <v>14.75</v>
      </c>
    </row>
    <row r="2530" customFormat="false" ht="15" hidden="false" customHeight="false" outlineLevel="0" collapsed="false">
      <c r="A2530" s="13" t="n">
        <v>45805</v>
      </c>
      <c r="B2530" s="14" t="n">
        <v>4.33</v>
      </c>
      <c r="C2530" s="14" t="n">
        <v>4.5</v>
      </c>
      <c r="D2530" s="14" t="n">
        <v>4.25</v>
      </c>
      <c r="E2530" s="14" t="n">
        <v>2.167</v>
      </c>
      <c r="F2530" s="14" t="n">
        <v>2.25</v>
      </c>
      <c r="G2530" s="14" t="n">
        <v>4.25</v>
      </c>
      <c r="H2530" s="14" t="n">
        <v>4.2104</v>
      </c>
      <c r="I2530" s="14" t="n">
        <v>4.2174011160098</v>
      </c>
      <c r="J2530" s="14" t="n">
        <v>4.1849905271965</v>
      </c>
      <c r="K2530" s="14" t="n">
        <v>4.10470385572507</v>
      </c>
      <c r="L2530" s="14" t="n">
        <v>3.9550363529606</v>
      </c>
      <c r="M2530" s="14" t="n">
        <v>1.615</v>
      </c>
      <c r="N2530" s="14" t="n">
        <v>1.647</v>
      </c>
      <c r="O2530" s="14" t="n">
        <v>1.672</v>
      </c>
      <c r="P2530" s="14" t="n">
        <v>1.694</v>
      </c>
      <c r="Q2530" s="14" t="n">
        <v>4.5</v>
      </c>
      <c r="R2530" s="14" t="n">
        <v>4.5</v>
      </c>
      <c r="S2530" s="14" t="n">
        <v>14.75</v>
      </c>
    </row>
    <row r="2531" customFormat="false" ht="15" hidden="false" customHeight="false" outlineLevel="0" collapsed="false">
      <c r="A2531" s="13" t="n">
        <v>45806</v>
      </c>
      <c r="B2531" s="14" t="n">
        <v>4.33</v>
      </c>
      <c r="C2531" s="14" t="n">
        <v>4.5</v>
      </c>
      <c r="D2531" s="14" t="n">
        <v>4.25</v>
      </c>
      <c r="E2531" s="14" t="n">
        <v>2.161</v>
      </c>
      <c r="F2531" s="14" t="n">
        <v>2.25</v>
      </c>
      <c r="G2531" s="14" t="n">
        <v>4.25</v>
      </c>
      <c r="H2531" s="14" t="n">
        <v>4.2107</v>
      </c>
      <c r="I2531" s="14" t="n">
        <v>4.2145233260956</v>
      </c>
      <c r="J2531" s="14" t="n">
        <v>4.18251065925694</v>
      </c>
      <c r="K2531" s="14" t="n">
        <v>4.09968240597019</v>
      </c>
      <c r="L2531" s="14" t="n">
        <v>3.92472654881026</v>
      </c>
      <c r="M2531" s="14" t="n">
        <v>1.621</v>
      </c>
      <c r="N2531" s="14" t="n">
        <v>1.652</v>
      </c>
      <c r="O2531" s="14" t="n">
        <v>1.673</v>
      </c>
      <c r="P2531" s="14" t="n">
        <v>1.695</v>
      </c>
      <c r="S2531" s="14" t="n">
        <v>14.75</v>
      </c>
    </row>
    <row r="2532" customFormat="false" ht="15" hidden="false" customHeight="false" outlineLevel="0" collapsed="false">
      <c r="A2532" s="13" t="n">
        <v>45807</v>
      </c>
      <c r="B2532" s="14" t="n">
        <v>4.35</v>
      </c>
      <c r="C2532" s="14" t="n">
        <v>4.5</v>
      </c>
      <c r="D2532" s="14" t="n">
        <v>4.25</v>
      </c>
      <c r="E2532" s="14" t="n">
        <v>2.161</v>
      </c>
      <c r="F2532" s="14" t="n">
        <v>2.25</v>
      </c>
      <c r="G2532" s="14" t="n">
        <v>4.25</v>
      </c>
      <c r="H2532" s="14" t="n">
        <v>4.2111</v>
      </c>
      <c r="I2532" s="14" t="n">
        <v>4.2119068880618</v>
      </c>
      <c r="J2532" s="14" t="n">
        <v>4.17766591827574</v>
      </c>
      <c r="K2532" s="14" t="n">
        <v>4.09526566671789</v>
      </c>
      <c r="L2532" s="14" t="n">
        <v>3.92910785917584</v>
      </c>
      <c r="M2532" s="14" t="n">
        <v>1.62</v>
      </c>
      <c r="N2532" s="14" t="n">
        <v>1.652</v>
      </c>
      <c r="O2532" s="14" t="n">
        <v>1.672</v>
      </c>
      <c r="P2532" s="14" t="n">
        <v>1.698</v>
      </c>
      <c r="Q2532" s="14" t="n">
        <v>4.5</v>
      </c>
      <c r="R2532" s="14" t="n">
        <v>4.5</v>
      </c>
      <c r="S2532" s="14" t="n">
        <v>14.75</v>
      </c>
    </row>
    <row r="2533" customFormat="false" ht="15" hidden="false" customHeight="false" outlineLevel="0" collapsed="false">
      <c r="A2533" s="13" t="n">
        <v>45810</v>
      </c>
      <c r="B2533" s="14" t="n">
        <v>4.35</v>
      </c>
      <c r="C2533" s="14" t="n">
        <v>4.5</v>
      </c>
      <c r="D2533" s="14" t="n">
        <v>4.25</v>
      </c>
      <c r="E2533" s="14" t="n">
        <v>2.172</v>
      </c>
      <c r="F2533" s="14" t="n">
        <v>2.25</v>
      </c>
      <c r="G2533" s="14" t="n">
        <v>4.25</v>
      </c>
      <c r="H2533" s="14" t="n">
        <v>4.2112</v>
      </c>
      <c r="I2533" s="14" t="n">
        <v>4.21470868388713</v>
      </c>
      <c r="J2533" s="14" t="n">
        <v>4.17413226841016</v>
      </c>
      <c r="K2533" s="14" t="n">
        <v>4.08541753677186</v>
      </c>
      <c r="L2533" s="14" t="n">
        <v>3.92821476752442</v>
      </c>
      <c r="Q2533" s="14" t="n">
        <v>4.5</v>
      </c>
      <c r="R2533" s="14" t="n">
        <v>4.5</v>
      </c>
      <c r="S2533" s="14" t="n">
        <v>14.75</v>
      </c>
    </row>
    <row r="2534" customFormat="false" ht="15" hidden="false" customHeight="false" outlineLevel="0" collapsed="false">
      <c r="A2534" s="13" t="n">
        <v>45811</v>
      </c>
      <c r="B2534" s="14" t="n">
        <v>4.32</v>
      </c>
      <c r="C2534" s="14" t="n">
        <v>4.5</v>
      </c>
      <c r="D2534" s="14" t="n">
        <v>4.25</v>
      </c>
      <c r="E2534" s="14" t="n">
        <v>2.172</v>
      </c>
      <c r="F2534" s="14" t="n">
        <v>2.25</v>
      </c>
      <c r="G2534" s="14" t="n">
        <v>4.25</v>
      </c>
      <c r="H2534" s="14" t="n">
        <v>4.2112</v>
      </c>
      <c r="I2534" s="14" t="n">
        <v>4.21450523724748</v>
      </c>
      <c r="J2534" s="14" t="n">
        <v>4.17013431383017</v>
      </c>
      <c r="K2534" s="14" t="n">
        <v>4.07513535523027</v>
      </c>
      <c r="L2534" s="14" t="n">
        <v>3.90939453515532</v>
      </c>
      <c r="M2534" s="14" t="n">
        <v>1.62</v>
      </c>
      <c r="N2534" s="14" t="n">
        <v>1.652</v>
      </c>
      <c r="O2534" s="14" t="n">
        <v>1.672</v>
      </c>
      <c r="P2534" s="14" t="n">
        <v>1.7</v>
      </c>
      <c r="Q2534" s="14" t="n">
        <v>4.5</v>
      </c>
      <c r="R2534" s="14" t="n">
        <v>4.5</v>
      </c>
      <c r="S2534" s="14" t="n">
        <v>14.75</v>
      </c>
    </row>
    <row r="2535" customFormat="false" ht="15" hidden="false" customHeight="false" outlineLevel="0" collapsed="false">
      <c r="A2535" s="13" t="n">
        <v>45812</v>
      </c>
      <c r="B2535" s="14" t="n">
        <v>4.28</v>
      </c>
      <c r="C2535" s="14" t="n">
        <v>4.5</v>
      </c>
      <c r="D2535" s="14" t="n">
        <v>4.25</v>
      </c>
      <c r="E2535" s="14" t="n">
        <v>2.173</v>
      </c>
      <c r="F2535" s="14" t="n">
        <v>2.25</v>
      </c>
      <c r="G2535" s="14" t="n">
        <v>4.25</v>
      </c>
      <c r="H2535" s="14" t="n">
        <v>4.2111</v>
      </c>
      <c r="I2535" s="14" t="n">
        <v>4.21259733799504</v>
      </c>
      <c r="J2535" s="14" t="n">
        <v>4.16427809556304</v>
      </c>
      <c r="K2535" s="14" t="n">
        <v>4.06333175866812</v>
      </c>
      <c r="L2535" s="14" t="n">
        <v>3.88989663016321</v>
      </c>
      <c r="M2535" s="14" t="n">
        <v>1.62</v>
      </c>
      <c r="N2535" s="14" t="n">
        <v>1.652</v>
      </c>
      <c r="O2535" s="14" t="n">
        <v>1.672</v>
      </c>
      <c r="P2535" s="14" t="n">
        <v>1.703</v>
      </c>
      <c r="Q2535" s="14" t="n">
        <v>4.5</v>
      </c>
      <c r="R2535" s="14" t="n">
        <v>4.5</v>
      </c>
      <c r="S2535" s="14" t="n">
        <v>14.75</v>
      </c>
    </row>
    <row r="2536" customFormat="false" ht="15" hidden="false" customHeight="false" outlineLevel="0" collapsed="false">
      <c r="A2536" s="13" t="n">
        <v>45813</v>
      </c>
      <c r="B2536" s="14" t="n">
        <v>4.29</v>
      </c>
      <c r="C2536" s="14" t="n">
        <v>4.5</v>
      </c>
      <c r="D2536" s="14" t="n">
        <v>4.25</v>
      </c>
      <c r="E2536" s="14" t="n">
        <v>2.174</v>
      </c>
      <c r="F2536" s="14" t="n">
        <v>2.25</v>
      </c>
      <c r="G2536" s="14" t="n">
        <v>4.25</v>
      </c>
      <c r="H2536" s="14" t="n">
        <v>4.2119</v>
      </c>
      <c r="I2536" s="14" t="n">
        <v>4.21479972596488</v>
      </c>
      <c r="J2536" s="14" t="n">
        <v>4.16438951168519</v>
      </c>
      <c r="K2536" s="14" t="n">
        <v>4.06405699949718</v>
      </c>
      <c r="L2536" s="14" t="n">
        <v>3.899202361643</v>
      </c>
      <c r="M2536" s="14" t="n">
        <v>1.62</v>
      </c>
      <c r="N2536" s="14" t="n">
        <v>1.652</v>
      </c>
      <c r="O2536" s="14" t="n">
        <v>1.672</v>
      </c>
      <c r="P2536" s="14" t="n">
        <v>1.702</v>
      </c>
      <c r="Q2536" s="14" t="n">
        <v>4.5</v>
      </c>
      <c r="R2536" s="14" t="n">
        <v>4.5</v>
      </c>
      <c r="S2536" s="14" t="n">
        <v>14.75</v>
      </c>
    </row>
    <row r="2537" customFormat="false" ht="15" hidden="false" customHeight="false" outlineLevel="0" collapsed="false">
      <c r="A2537" s="13" t="n">
        <v>45814</v>
      </c>
      <c r="B2537" s="14" t="n">
        <v>4.29</v>
      </c>
      <c r="C2537" s="14" t="n">
        <v>4.5</v>
      </c>
      <c r="D2537" s="14" t="n">
        <v>4.25</v>
      </c>
      <c r="E2537" s="14" t="n">
        <v>2.173</v>
      </c>
      <c r="F2537" s="14" t="n">
        <v>2.25</v>
      </c>
      <c r="G2537" s="14" t="n">
        <v>4.25</v>
      </c>
      <c r="H2537" s="14" t="n">
        <v>4.2118</v>
      </c>
      <c r="I2537" s="14" t="n">
        <v>4.21656693617296</v>
      </c>
      <c r="J2537" s="14" t="n">
        <v>4.16713912175336</v>
      </c>
      <c r="K2537" s="14" t="n">
        <v>4.07279228749195</v>
      </c>
      <c r="L2537" s="14" t="n">
        <v>3.91214912106444</v>
      </c>
      <c r="M2537" s="14" t="n">
        <v>1.619</v>
      </c>
      <c r="N2537" s="14" t="n">
        <v>1.651</v>
      </c>
      <c r="O2537" s="14" t="n">
        <v>1.671</v>
      </c>
      <c r="P2537" s="14" t="n">
        <v>1.697</v>
      </c>
      <c r="Q2537" s="14" t="n">
        <v>4.5</v>
      </c>
      <c r="R2537" s="14" t="n">
        <v>4.5</v>
      </c>
      <c r="S2537" s="14" t="n">
        <v>14.75</v>
      </c>
    </row>
    <row r="2538" customFormat="false" ht="15" hidden="false" customHeight="false" outlineLevel="0" collapsed="false">
      <c r="A2538" s="13" t="n">
        <v>45817</v>
      </c>
      <c r="B2538" s="14" t="n">
        <v>4.29</v>
      </c>
      <c r="C2538" s="14" t="n">
        <v>4.5</v>
      </c>
      <c r="D2538" s="14" t="n">
        <v>4.25</v>
      </c>
      <c r="E2538" s="14" t="n">
        <v>2.17</v>
      </c>
      <c r="F2538" s="14" t="n">
        <v>2.25</v>
      </c>
      <c r="G2538" s="14" t="n">
        <v>4.25</v>
      </c>
      <c r="H2538" s="14" t="n">
        <v>4.2128</v>
      </c>
      <c r="I2538" s="14" t="n">
        <v>4.21053267932706</v>
      </c>
      <c r="J2538" s="14" t="n">
        <v>4.154012050008</v>
      </c>
      <c r="K2538" s="14" t="n">
        <v>4.05020600280025</v>
      </c>
      <c r="L2538" s="14" t="n">
        <v>3.88668444513113</v>
      </c>
      <c r="M2538" s="14" t="n">
        <v>1.618</v>
      </c>
      <c r="N2538" s="14" t="n">
        <v>1.649</v>
      </c>
      <c r="O2538" s="14" t="n">
        <v>1.667</v>
      </c>
      <c r="P2538" s="14" t="n">
        <v>1.693</v>
      </c>
      <c r="S2538" s="14" t="n">
        <v>14.75</v>
      </c>
    </row>
    <row r="2539" customFormat="false" ht="15" hidden="false" customHeight="false" outlineLevel="0" collapsed="false">
      <c r="A2539" s="13" t="n">
        <v>45818</v>
      </c>
      <c r="B2539" s="14" t="n">
        <v>4.28</v>
      </c>
      <c r="C2539" s="14" t="n">
        <v>4.5</v>
      </c>
      <c r="D2539" s="14" t="n">
        <v>4.25</v>
      </c>
      <c r="E2539" s="14" t="n">
        <v>2.174</v>
      </c>
      <c r="F2539" s="14" t="n">
        <v>2.25</v>
      </c>
      <c r="G2539" s="14" t="n">
        <v>4.25</v>
      </c>
      <c r="H2539" s="14" t="n">
        <v>4.2126</v>
      </c>
      <c r="I2539" s="14" t="n">
        <v>4.20539787552215</v>
      </c>
      <c r="J2539" s="14" t="n">
        <v>4.13531464721605</v>
      </c>
      <c r="K2539" s="14" t="n">
        <v>4.01036471257085</v>
      </c>
      <c r="L2539" s="14" t="n">
        <v>3.82011145544152</v>
      </c>
      <c r="M2539" s="14" t="n">
        <v>1.62</v>
      </c>
      <c r="N2539" s="14" t="n">
        <v>1.645</v>
      </c>
      <c r="O2539" s="14" t="n">
        <v>1.663</v>
      </c>
      <c r="P2539" s="14" t="n">
        <v>1.687</v>
      </c>
      <c r="Q2539" s="14" t="n">
        <v>4.5</v>
      </c>
      <c r="R2539" s="14" t="n">
        <v>4.5</v>
      </c>
      <c r="S2539" s="14" t="n">
        <v>14.75</v>
      </c>
    </row>
    <row r="2540" customFormat="false" ht="15" hidden="false" customHeight="false" outlineLevel="0" collapsed="false">
      <c r="A2540" s="13" t="n">
        <v>45819</v>
      </c>
      <c r="B2540" s="14" t="n">
        <v>4.28</v>
      </c>
      <c r="C2540" s="14" t="n">
        <v>4.5</v>
      </c>
      <c r="D2540" s="14" t="n">
        <v>4.25</v>
      </c>
      <c r="E2540" s="14" t="n">
        <v>1.924</v>
      </c>
      <c r="F2540" s="14" t="n">
        <v>2</v>
      </c>
      <c r="G2540" s="14" t="n">
        <v>4.25</v>
      </c>
      <c r="H2540" s="14" t="n">
        <v>4.2129</v>
      </c>
      <c r="I2540" s="14" t="n">
        <v>4.20598684148158</v>
      </c>
      <c r="J2540" s="14" t="n">
        <v>4.13488373878447</v>
      </c>
      <c r="K2540" s="14" t="n">
        <v>4.01020174975441</v>
      </c>
      <c r="L2540" s="14" t="n">
        <v>3.82109271039789</v>
      </c>
      <c r="M2540" s="14" t="n">
        <v>1.62</v>
      </c>
      <c r="N2540" s="14" t="n">
        <v>1.642</v>
      </c>
      <c r="O2540" s="14" t="n">
        <v>1.658</v>
      </c>
      <c r="P2540" s="14" t="n">
        <v>1.684</v>
      </c>
      <c r="Q2540" s="14" t="n">
        <v>4.5</v>
      </c>
      <c r="R2540" s="14" t="n">
        <v>4.5</v>
      </c>
      <c r="S2540" s="14" t="n">
        <v>14.75</v>
      </c>
    </row>
    <row r="2541" customFormat="false" ht="15" hidden="false" customHeight="false" outlineLevel="0" collapsed="false">
      <c r="A2541" s="13" t="n">
        <v>45820</v>
      </c>
      <c r="B2541" s="14" t="n">
        <v>4.28</v>
      </c>
      <c r="C2541" s="14" t="n">
        <v>4.5</v>
      </c>
      <c r="D2541" s="14" t="n">
        <v>4.25</v>
      </c>
      <c r="E2541" s="14" t="n">
        <v>1.923</v>
      </c>
      <c r="F2541" s="14" t="n">
        <v>2</v>
      </c>
      <c r="G2541" s="14" t="n">
        <v>4.25</v>
      </c>
      <c r="H2541" s="14" t="n">
        <v>4.2126</v>
      </c>
      <c r="I2541" s="14" t="n">
        <v>4.2023223049511</v>
      </c>
      <c r="J2541" s="14" t="n">
        <v>4.12802941924161</v>
      </c>
      <c r="K2541" s="14" t="n">
        <v>3.99732206732846</v>
      </c>
      <c r="L2541" s="14" t="n">
        <v>3.79358471293827</v>
      </c>
      <c r="M2541" s="14" t="n">
        <v>1.62</v>
      </c>
      <c r="N2541" s="14" t="n">
        <v>1.639</v>
      </c>
      <c r="O2541" s="14" t="n">
        <v>1.657</v>
      </c>
      <c r="P2541" s="14" t="n">
        <v>1.68</v>
      </c>
      <c r="Q2541" s="14" t="n">
        <v>4.5</v>
      </c>
      <c r="R2541" s="14" t="n">
        <v>4.5</v>
      </c>
      <c r="S2541" s="14" t="n">
        <v>14.75</v>
      </c>
    </row>
    <row r="2542" customFormat="false" ht="15" hidden="false" customHeight="false" outlineLevel="0" collapsed="false">
      <c r="A2542" s="13" t="n">
        <v>45821</v>
      </c>
      <c r="B2542" s="14" t="n">
        <v>4.28</v>
      </c>
      <c r="C2542" s="14" t="n">
        <v>4.5</v>
      </c>
      <c r="D2542" s="14" t="n">
        <v>4.25</v>
      </c>
      <c r="E2542" s="14" t="n">
        <v>1.925</v>
      </c>
      <c r="F2542" s="14" t="n">
        <v>2</v>
      </c>
      <c r="G2542" s="14" t="n">
        <v>4.25</v>
      </c>
      <c r="H2542" s="14" t="n">
        <v>4.2127</v>
      </c>
      <c r="I2542" s="14" t="n">
        <v>4.20298460850177</v>
      </c>
      <c r="J2542" s="14" t="n">
        <v>4.12901266111359</v>
      </c>
      <c r="K2542" s="14" t="n">
        <v>4.00886858873</v>
      </c>
      <c r="L2542" s="14" t="n">
        <v>3.82657652771387</v>
      </c>
      <c r="M2542" s="14" t="n">
        <v>1.622</v>
      </c>
      <c r="N2542" s="14" t="n">
        <v>1.638</v>
      </c>
      <c r="O2542" s="14" t="n">
        <v>1.656</v>
      </c>
      <c r="P2542" s="14" t="n">
        <v>1.68</v>
      </c>
      <c r="Q2542" s="14" t="n">
        <v>4.5</v>
      </c>
      <c r="R2542" s="14" t="n">
        <v>4.5</v>
      </c>
      <c r="S2542" s="14" t="n">
        <v>14.75</v>
      </c>
    </row>
    <row r="2543" customFormat="false" ht="15" hidden="false" customHeight="false" outlineLevel="0" collapsed="false">
      <c r="A2543" s="13" t="n">
        <v>45824</v>
      </c>
      <c r="B2543" s="14" t="n">
        <v>4.32</v>
      </c>
      <c r="C2543" s="14" t="n">
        <v>4.5</v>
      </c>
      <c r="D2543" s="14" t="n">
        <v>4.25</v>
      </c>
      <c r="E2543" s="14" t="n">
        <v>1.924</v>
      </c>
      <c r="F2543" s="14" t="n">
        <v>2</v>
      </c>
      <c r="G2543" s="14" t="n">
        <v>4.25</v>
      </c>
      <c r="H2543" s="14" t="n">
        <v>4.2148</v>
      </c>
      <c r="I2543" s="14" t="n">
        <v>4.20167707211406</v>
      </c>
      <c r="J2543" s="14" t="n">
        <v>4.1256211410635</v>
      </c>
      <c r="K2543" s="14" t="n">
        <v>4.00271855290005</v>
      </c>
      <c r="L2543" s="14" t="n">
        <v>3.81198375704376</v>
      </c>
      <c r="M2543" s="14" t="n">
        <v>1.621</v>
      </c>
      <c r="N2543" s="14" t="n">
        <v>1.636</v>
      </c>
      <c r="O2543" s="14" t="n">
        <v>1.655</v>
      </c>
      <c r="P2543" s="14" t="n">
        <v>1.68</v>
      </c>
      <c r="Q2543" s="14" t="n">
        <v>4.5</v>
      </c>
      <c r="R2543" s="14" t="n">
        <v>4.5</v>
      </c>
      <c r="S2543" s="14" t="n">
        <v>14.75</v>
      </c>
    </row>
    <row r="2544" customFormat="false" ht="15" hidden="false" customHeight="false" outlineLevel="0" collapsed="false">
      <c r="A2544" s="13" t="n">
        <v>45825</v>
      </c>
      <c r="B2544" s="14" t="n">
        <v>4.31</v>
      </c>
      <c r="C2544" s="14" t="n">
        <v>4.5</v>
      </c>
      <c r="D2544" s="14" t="n">
        <v>4.25</v>
      </c>
      <c r="E2544" s="14" t="n">
        <v>1.924</v>
      </c>
      <c r="F2544" s="14" t="n">
        <v>2</v>
      </c>
      <c r="G2544" s="14" t="n">
        <v>4.25</v>
      </c>
      <c r="H2544" s="14" t="n">
        <v>4.216</v>
      </c>
      <c r="I2544" s="14" t="n">
        <v>4.20242998404398</v>
      </c>
      <c r="J2544" s="14" t="n">
        <v>4.12531312131152</v>
      </c>
      <c r="K2544" s="14" t="n">
        <v>4.00112485006567</v>
      </c>
      <c r="L2544" s="14" t="n">
        <v>3.80813079888492</v>
      </c>
      <c r="M2544" s="14" t="n">
        <v>1.621</v>
      </c>
      <c r="N2544" s="14" t="n">
        <v>1.634</v>
      </c>
      <c r="O2544" s="14" t="n">
        <v>1.653</v>
      </c>
      <c r="P2544" s="14" t="n">
        <v>1.679</v>
      </c>
      <c r="Q2544" s="14" t="n">
        <v>4.5</v>
      </c>
      <c r="R2544" s="14" t="n">
        <v>4.5</v>
      </c>
      <c r="S2544" s="14" t="n">
        <v>14.75</v>
      </c>
    </row>
    <row r="2545" customFormat="false" ht="15" hidden="false" customHeight="false" outlineLevel="0" collapsed="false">
      <c r="A2545" s="13" t="n">
        <v>45826</v>
      </c>
      <c r="B2545" s="14" t="n">
        <v>4.28</v>
      </c>
      <c r="C2545" s="14" t="n">
        <v>4.5</v>
      </c>
      <c r="D2545" s="14" t="n">
        <v>4.25</v>
      </c>
      <c r="E2545" s="14" t="n">
        <v>1.922</v>
      </c>
      <c r="F2545" s="14" t="n">
        <v>2</v>
      </c>
      <c r="G2545" s="14" t="n">
        <v>4.25</v>
      </c>
      <c r="H2545" s="14" t="n">
        <v>4.2163</v>
      </c>
      <c r="I2545" s="14" t="n">
        <v>4.20990284364134</v>
      </c>
      <c r="J2545" s="14" t="n">
        <v>4.1314514383277</v>
      </c>
      <c r="K2545" s="14" t="n">
        <v>4.00917515363864</v>
      </c>
      <c r="L2545" s="14" t="n">
        <v>3.81682821630806</v>
      </c>
      <c r="M2545" s="14" t="n">
        <v>1.62</v>
      </c>
      <c r="N2545" s="14" t="n">
        <v>1.63</v>
      </c>
      <c r="O2545" s="14" t="n">
        <v>1.647</v>
      </c>
      <c r="P2545" s="14" t="n">
        <v>1.676</v>
      </c>
      <c r="Q2545" s="14" t="n">
        <v>4.5</v>
      </c>
      <c r="R2545" s="14" t="n">
        <v>4.5</v>
      </c>
      <c r="S2545" s="14" t="n">
        <v>14.75</v>
      </c>
    </row>
    <row r="2546" customFormat="false" ht="15" hidden="false" customHeight="false" outlineLevel="0" collapsed="false">
      <c r="A2546" s="13" t="n">
        <v>45827</v>
      </c>
      <c r="C2546" s="14" t="n">
        <v>4.5</v>
      </c>
      <c r="D2546" s="14" t="n">
        <v>4.25</v>
      </c>
      <c r="E2546" s="14" t="n">
        <v>1.917</v>
      </c>
      <c r="F2546" s="14" t="n">
        <v>2</v>
      </c>
      <c r="G2546" s="14" t="n">
        <v>4.25</v>
      </c>
      <c r="H2546" s="14" t="n">
        <v>4.2169</v>
      </c>
      <c r="I2546" s="14" t="n">
        <v>4.21206854719086</v>
      </c>
      <c r="J2546" s="14" t="n">
        <v>4.12875085058487</v>
      </c>
      <c r="K2546" s="14" t="n">
        <v>4.00209781761166</v>
      </c>
      <c r="L2546" s="14" t="n">
        <v>3.81427109225564</v>
      </c>
      <c r="M2546" s="14" t="n">
        <v>1.621</v>
      </c>
      <c r="N2546" s="14" t="n">
        <v>1.63</v>
      </c>
      <c r="O2546" s="14" t="n">
        <v>1.644</v>
      </c>
      <c r="P2546" s="14" t="n">
        <v>1.671</v>
      </c>
      <c r="Q2546" s="14" t="n">
        <v>4.5</v>
      </c>
      <c r="R2546" s="14" t="n">
        <v>4.5</v>
      </c>
      <c r="S2546" s="14" t="n">
        <v>15</v>
      </c>
    </row>
    <row r="2547" customFormat="false" ht="15" hidden="false" customHeight="false" outlineLevel="0" collapsed="false">
      <c r="A2547" s="13" t="n">
        <v>45828</v>
      </c>
      <c r="B2547" s="14" t="n">
        <v>4.29</v>
      </c>
      <c r="C2547" s="14" t="n">
        <v>4.5</v>
      </c>
      <c r="D2547" s="14" t="n">
        <v>4.25</v>
      </c>
      <c r="E2547" s="14" t="n">
        <v>1.923</v>
      </c>
      <c r="F2547" s="14" t="n">
        <v>2</v>
      </c>
      <c r="G2547" s="14" t="n">
        <v>4.25</v>
      </c>
      <c r="H2547" s="14" t="n">
        <v>4.2164</v>
      </c>
      <c r="I2547" s="14" t="n">
        <v>4.21271797629343</v>
      </c>
      <c r="J2547" s="14" t="n">
        <v>4.12516307666801</v>
      </c>
      <c r="K2547" s="14" t="n">
        <v>3.99708668325387</v>
      </c>
      <c r="L2547" s="14" t="n">
        <v>3.80963900024094</v>
      </c>
      <c r="M2547" s="14" t="n">
        <v>1.62</v>
      </c>
      <c r="N2547" s="14" t="n">
        <v>1.629</v>
      </c>
      <c r="O2547" s="14" t="n">
        <v>1.639</v>
      </c>
      <c r="P2547" s="14" t="n">
        <v>1.667</v>
      </c>
      <c r="Q2547" s="14" t="n">
        <v>4.25</v>
      </c>
      <c r="R2547" s="14" t="n">
        <v>4.25</v>
      </c>
      <c r="S2547" s="14" t="n">
        <v>15</v>
      </c>
    </row>
    <row r="2548" customFormat="false" ht="15" hidden="false" customHeight="false" outlineLevel="0" collapsed="false">
      <c r="A2548" s="13" t="n">
        <v>45831</v>
      </c>
      <c r="B2548" s="14" t="n">
        <v>4.29</v>
      </c>
      <c r="C2548" s="14" t="n">
        <v>4.5</v>
      </c>
      <c r="D2548" s="14" t="n">
        <v>4.25</v>
      </c>
      <c r="E2548" s="14" t="n">
        <v>1.925</v>
      </c>
      <c r="F2548" s="14" t="n">
        <v>2</v>
      </c>
      <c r="G2548" s="14" t="n">
        <v>4.25</v>
      </c>
      <c r="H2548" s="14" t="n">
        <v>4.2166</v>
      </c>
      <c r="I2548" s="14" t="n">
        <v>4.20819491327654</v>
      </c>
      <c r="J2548" s="14" t="n">
        <v>4.11765121773615</v>
      </c>
      <c r="K2548" s="14" t="n">
        <v>3.9921750873016</v>
      </c>
      <c r="L2548" s="14" t="n">
        <v>3.79921591440183</v>
      </c>
      <c r="M2548" s="14" t="n">
        <v>1.62</v>
      </c>
      <c r="N2548" s="14" t="n">
        <v>1.629</v>
      </c>
      <c r="O2548" s="14" t="n">
        <v>1.639</v>
      </c>
      <c r="P2548" s="14" t="n">
        <v>1.666</v>
      </c>
      <c r="Q2548" s="14" t="n">
        <v>4.25</v>
      </c>
      <c r="R2548" s="14" t="n">
        <v>4.25</v>
      </c>
      <c r="S2548" s="14" t="n">
        <v>15</v>
      </c>
    </row>
    <row r="2549" customFormat="false" ht="15" hidden="false" customHeight="false" outlineLevel="0" collapsed="false">
      <c r="A2549" s="13" t="n">
        <v>45832</v>
      </c>
      <c r="B2549" s="14" t="n">
        <v>4.3</v>
      </c>
      <c r="C2549" s="14" t="n">
        <v>4.5</v>
      </c>
      <c r="D2549" s="14" t="n">
        <v>4.25</v>
      </c>
      <c r="E2549" s="14" t="n">
        <v>1.926</v>
      </c>
      <c r="F2549" s="14" t="n">
        <v>2</v>
      </c>
      <c r="G2549" s="14" t="n">
        <v>4.25</v>
      </c>
      <c r="H2549" s="14" t="n">
        <v>4.217</v>
      </c>
      <c r="I2549" s="14" t="n">
        <v>4.20828414656002</v>
      </c>
      <c r="J2549" s="14" t="n">
        <v>4.11017276412046</v>
      </c>
      <c r="K2549" s="14" t="n">
        <v>3.97577081244167</v>
      </c>
      <c r="L2549" s="14" t="n">
        <v>3.77312626338091</v>
      </c>
      <c r="M2549" s="14" t="n">
        <v>1.62</v>
      </c>
      <c r="N2549" s="14" t="n">
        <v>1.629</v>
      </c>
      <c r="O2549" s="14" t="n">
        <v>1.639</v>
      </c>
      <c r="P2549" s="14" t="n">
        <v>1.662</v>
      </c>
      <c r="Q2549" s="14" t="n">
        <v>4.25</v>
      </c>
      <c r="R2549" s="14" t="n">
        <v>4.25</v>
      </c>
      <c r="S2549" s="14" t="n">
        <v>15</v>
      </c>
    </row>
    <row r="2550" customFormat="false" ht="15" hidden="false" customHeight="false" outlineLevel="0" collapsed="false">
      <c r="A2550" s="13" t="n">
        <v>45833</v>
      </c>
      <c r="B2550" s="14" t="n">
        <v>4.36</v>
      </c>
      <c r="C2550" s="14" t="n">
        <v>4.5</v>
      </c>
      <c r="D2550" s="14" t="n">
        <v>4.25</v>
      </c>
      <c r="E2550" s="14" t="n">
        <v>1.925</v>
      </c>
      <c r="F2550" s="14" t="n">
        <v>2</v>
      </c>
      <c r="G2550" s="14" t="n">
        <v>4.25</v>
      </c>
      <c r="H2550" s="14" t="n">
        <v>4.2172</v>
      </c>
      <c r="I2550" s="14" t="n">
        <v>4.20828123578034</v>
      </c>
      <c r="J2550" s="14" t="n">
        <v>4.10617550348029</v>
      </c>
      <c r="K2550" s="14" t="n">
        <v>3.96622618018208</v>
      </c>
      <c r="L2550" s="14" t="n">
        <v>3.75120635681473</v>
      </c>
      <c r="M2550" s="14" t="n">
        <v>1.622</v>
      </c>
      <c r="N2550" s="14" t="n">
        <v>1.63</v>
      </c>
      <c r="O2550" s="14" t="n">
        <v>1.639</v>
      </c>
      <c r="P2550" s="14" t="n">
        <v>1.659</v>
      </c>
      <c r="Q2550" s="14" t="n">
        <v>4.25</v>
      </c>
      <c r="R2550" s="14" t="n">
        <v>4.25</v>
      </c>
      <c r="S2550" s="14" t="n">
        <v>15</v>
      </c>
    </row>
    <row r="2551" customFormat="false" ht="15" hidden="false" customHeight="false" outlineLevel="0" collapsed="false">
      <c r="A2551" s="13" t="n">
        <v>45834</v>
      </c>
      <c r="B2551" s="14" t="n">
        <v>4.4</v>
      </c>
      <c r="C2551" s="14" t="n">
        <v>4.5</v>
      </c>
      <c r="D2551" s="14" t="n">
        <v>4.25</v>
      </c>
      <c r="E2551" s="14" t="n">
        <v>1.929</v>
      </c>
      <c r="F2551" s="14" t="n">
        <v>2</v>
      </c>
      <c r="G2551" s="14" t="n">
        <v>4.25</v>
      </c>
      <c r="H2551" s="14" t="n">
        <v>4.217</v>
      </c>
      <c r="I2551" s="14" t="n">
        <v>4.20849850115158</v>
      </c>
      <c r="J2551" s="14" t="n">
        <v>4.1050896525417</v>
      </c>
      <c r="K2551" s="14" t="n">
        <v>3.96585054397753</v>
      </c>
      <c r="L2551" s="14" t="n">
        <v>3.7425916578283</v>
      </c>
      <c r="M2551" s="14" t="n">
        <v>1.622</v>
      </c>
      <c r="N2551" s="14" t="n">
        <v>1.63</v>
      </c>
      <c r="O2551" s="14" t="n">
        <v>1.64</v>
      </c>
      <c r="P2551" s="14" t="n">
        <v>1.658</v>
      </c>
      <c r="Q2551" s="14" t="n">
        <v>4.25</v>
      </c>
      <c r="R2551" s="14" t="n">
        <v>4.25</v>
      </c>
      <c r="S2551" s="14" t="n">
        <v>15</v>
      </c>
    </row>
    <row r="2552" customFormat="false" ht="15" hidden="false" customHeight="false" outlineLevel="0" collapsed="false">
      <c r="A2552" s="13" t="n">
        <v>45835</v>
      </c>
      <c r="B2552" s="14" t="n">
        <v>4.39</v>
      </c>
      <c r="C2552" s="14" t="n">
        <v>4.5</v>
      </c>
      <c r="D2552" s="14" t="n">
        <v>4.25</v>
      </c>
      <c r="E2552" s="14" t="n">
        <v>1.928</v>
      </c>
      <c r="F2552" s="14" t="n">
        <v>2</v>
      </c>
      <c r="G2552" s="14" t="n">
        <v>4.25</v>
      </c>
      <c r="H2552" s="14" t="n">
        <v>4.2172</v>
      </c>
      <c r="I2552" s="14" t="n">
        <v>4.20696904606793</v>
      </c>
      <c r="J2552" s="14" t="n">
        <v>4.10280665145962</v>
      </c>
      <c r="K2552" s="14" t="n">
        <v>3.96604829087553</v>
      </c>
      <c r="L2552" s="14" t="n">
        <v>3.74823284287414</v>
      </c>
      <c r="M2552" s="14" t="n">
        <v>1.62</v>
      </c>
      <c r="N2552" s="14" t="n">
        <v>1.63</v>
      </c>
      <c r="O2552" s="14" t="n">
        <v>1.64</v>
      </c>
      <c r="P2552" s="14" t="n">
        <v>1.656</v>
      </c>
      <c r="Q2552" s="14" t="n">
        <v>4.25</v>
      </c>
      <c r="R2552" s="14" t="n">
        <v>4.25</v>
      </c>
      <c r="S2552" s="14" t="n">
        <v>15</v>
      </c>
    </row>
    <row r="2553" customFormat="false" ht="15" hidden="false" customHeight="false" outlineLevel="0" collapsed="false">
      <c r="A2553" s="13" t="n">
        <v>45838</v>
      </c>
      <c r="B2553" s="14" t="n">
        <v>4.45</v>
      </c>
      <c r="C2553" s="14" t="n">
        <v>4.5</v>
      </c>
      <c r="D2553" s="14" t="n">
        <v>4.25</v>
      </c>
      <c r="E2553" s="14" t="n">
        <v>1.921</v>
      </c>
      <c r="F2553" s="14" t="n">
        <v>2</v>
      </c>
      <c r="G2553" s="14" t="n">
        <v>4.25</v>
      </c>
      <c r="H2553" s="14" t="n">
        <v>4.2171</v>
      </c>
      <c r="I2553" s="14" t="n">
        <v>4.20585143273858</v>
      </c>
      <c r="J2553" s="14" t="n">
        <v>4.09231842905678</v>
      </c>
      <c r="K2553" s="14" t="n">
        <v>3.94873337908116</v>
      </c>
      <c r="L2553" s="14" t="n">
        <v>3.72812844911498</v>
      </c>
      <c r="M2553" s="14" t="n">
        <v>1.622</v>
      </c>
      <c r="N2553" s="14" t="n">
        <v>1.63</v>
      </c>
      <c r="O2553" s="14" t="n">
        <v>1.64</v>
      </c>
      <c r="P2553" s="14" t="n">
        <v>1.657</v>
      </c>
      <c r="Q2553" s="14" t="n">
        <v>4.25</v>
      </c>
      <c r="R2553" s="14" t="n">
        <v>4.25</v>
      </c>
      <c r="S2553" s="14" t="n">
        <v>15</v>
      </c>
    </row>
    <row r="2554" customFormat="false" ht="15" hidden="false" customHeight="false" outlineLevel="0" collapsed="false">
      <c r="A2554" s="13" t="n">
        <v>45839</v>
      </c>
      <c r="B2554" s="14" t="n">
        <v>4.44</v>
      </c>
      <c r="C2554" s="14" t="n">
        <v>4.5</v>
      </c>
      <c r="D2554" s="14" t="n">
        <v>4.25</v>
      </c>
      <c r="E2554" s="14" t="n">
        <v>1.921</v>
      </c>
      <c r="F2554" s="14" t="n">
        <v>2</v>
      </c>
      <c r="G2554" s="14" t="n">
        <v>4.25</v>
      </c>
      <c r="H2554" s="14" t="n">
        <v>4.2176</v>
      </c>
      <c r="I2554" s="14" t="n">
        <v>4.20342577317572</v>
      </c>
      <c r="J2554" s="14" t="n">
        <v>4.08637380843738</v>
      </c>
      <c r="K2554" s="14" t="n">
        <v>3.94362363682876</v>
      </c>
      <c r="L2554" s="14" t="n">
        <v>3.73064318588795</v>
      </c>
      <c r="M2554" s="14" t="n">
        <v>1.617</v>
      </c>
      <c r="N2554" s="14" t="n">
        <v>1.628</v>
      </c>
      <c r="O2554" s="14" t="n">
        <v>1.637</v>
      </c>
      <c r="P2554" s="14" t="n">
        <v>1.656</v>
      </c>
      <c r="Q2554" s="14" t="n">
        <v>4.25</v>
      </c>
      <c r="R2554" s="14" t="n">
        <v>4.25</v>
      </c>
      <c r="S2554" s="14" t="n">
        <v>15</v>
      </c>
    </row>
    <row r="2555" customFormat="false" ht="15" hidden="false" customHeight="false" outlineLevel="0" collapsed="false">
      <c r="A2555" s="13" t="n">
        <v>45840</v>
      </c>
      <c r="B2555" s="14" t="n">
        <v>4.4</v>
      </c>
      <c r="C2555" s="14" t="n">
        <v>4.5</v>
      </c>
      <c r="D2555" s="14" t="n">
        <v>4.25</v>
      </c>
      <c r="E2555" s="14" t="n">
        <v>1.923</v>
      </c>
      <c r="F2555" s="14" t="n">
        <v>2</v>
      </c>
      <c r="G2555" s="14" t="n">
        <v>4.25</v>
      </c>
      <c r="H2555" s="14" t="n">
        <v>4.2171</v>
      </c>
      <c r="I2555" s="14" t="n">
        <v>4.20332861611778</v>
      </c>
      <c r="J2555" s="14" t="n">
        <v>4.08424362223232</v>
      </c>
      <c r="K2555" s="14" t="n">
        <v>3.94902507361009</v>
      </c>
      <c r="L2555" s="14" t="n">
        <v>3.75465471462896</v>
      </c>
      <c r="M2555" s="14" t="n">
        <v>1.6095</v>
      </c>
      <c r="N2555" s="14" t="n">
        <v>1.6195</v>
      </c>
      <c r="O2555" s="14" t="n">
        <v>1.6315</v>
      </c>
      <c r="P2555" s="14" t="n">
        <v>1.6515</v>
      </c>
      <c r="Q2555" s="14" t="n">
        <v>4.25</v>
      </c>
      <c r="R2555" s="14" t="n">
        <v>4.25</v>
      </c>
      <c r="S2555" s="14" t="n">
        <v>15</v>
      </c>
    </row>
    <row r="2556" customFormat="false" ht="15" hidden="false" customHeight="false" outlineLevel="0" collapsed="false">
      <c r="A2556" s="13" t="n">
        <v>45841</v>
      </c>
      <c r="B2556" s="14" t="n">
        <v>4.35</v>
      </c>
      <c r="C2556" s="14" t="n">
        <v>4.5</v>
      </c>
      <c r="D2556" s="14" t="n">
        <v>4.25</v>
      </c>
      <c r="E2556" s="14" t="n">
        <v>1.922</v>
      </c>
      <c r="F2556" s="14" t="n">
        <v>2</v>
      </c>
      <c r="G2556" s="14" t="n">
        <v>4.25</v>
      </c>
      <c r="H2556" s="14" t="n">
        <v>4.2173</v>
      </c>
      <c r="I2556" s="14" t="n">
        <v>4.20184079641857</v>
      </c>
      <c r="J2556" s="14" t="n">
        <v>4.07941389016118</v>
      </c>
      <c r="K2556" s="14" t="n">
        <v>3.939405459574</v>
      </c>
      <c r="L2556" s="14" t="n">
        <v>3.73202654623633</v>
      </c>
      <c r="M2556" s="14" t="n">
        <v>1.594</v>
      </c>
      <c r="N2556" s="14" t="n">
        <v>1.606</v>
      </c>
      <c r="O2556" s="14" t="n">
        <v>1.619</v>
      </c>
      <c r="P2556" s="14" t="n">
        <v>1.638</v>
      </c>
      <c r="Q2556" s="14" t="n">
        <v>4.25</v>
      </c>
      <c r="R2556" s="14" t="n">
        <v>4.25</v>
      </c>
      <c r="S2556" s="14" t="n">
        <v>15</v>
      </c>
    </row>
    <row r="2557" customFormat="false" ht="15" hidden="false" customHeight="false" outlineLevel="0" collapsed="false">
      <c r="A2557" s="13" t="n">
        <v>45842</v>
      </c>
      <c r="C2557" s="14" t="n">
        <v>4.5</v>
      </c>
      <c r="D2557" s="14" t="n">
        <v>4.25</v>
      </c>
      <c r="E2557" s="14" t="n">
        <v>1.92</v>
      </c>
      <c r="F2557" s="14" t="n">
        <v>2</v>
      </c>
      <c r="G2557" s="14" t="n">
        <v>4.25</v>
      </c>
      <c r="H2557" s="14" t="n">
        <v>4.2173</v>
      </c>
      <c r="I2557" s="14" t="n">
        <v>4.19988897903764</v>
      </c>
      <c r="J2557" s="14" t="n">
        <v>4.07596828651704</v>
      </c>
      <c r="K2557" s="14" t="n">
        <v>3.93387817470618</v>
      </c>
      <c r="L2557" s="14" t="n">
        <v>3.72520650396527</v>
      </c>
      <c r="M2557" s="14" t="n">
        <v>1.581</v>
      </c>
      <c r="N2557" s="14" t="n">
        <v>1.597</v>
      </c>
      <c r="O2557" s="14" t="n">
        <v>1.611</v>
      </c>
      <c r="P2557" s="14" t="n">
        <v>1.629</v>
      </c>
      <c r="Q2557" s="14" t="n">
        <v>4.25</v>
      </c>
      <c r="R2557" s="14" t="n">
        <v>4.25</v>
      </c>
      <c r="S2557" s="14" t="n">
        <v>15</v>
      </c>
    </row>
    <row r="2558" customFormat="false" ht="15" hidden="false" customHeight="false" outlineLevel="0" collapsed="false">
      <c r="A2558" s="13" t="n">
        <v>45845</v>
      </c>
      <c r="B2558" s="14" t="n">
        <v>4.33</v>
      </c>
      <c r="C2558" s="14" t="n">
        <v>4.5</v>
      </c>
      <c r="D2558" s="14" t="n">
        <v>4.25</v>
      </c>
      <c r="E2558" s="14" t="n">
        <v>1.92</v>
      </c>
      <c r="F2558" s="14" t="n">
        <v>2</v>
      </c>
      <c r="G2558" s="14" t="n">
        <v>4.25</v>
      </c>
      <c r="H2558" s="14" t="n">
        <v>4.217</v>
      </c>
      <c r="I2558" s="14" t="n">
        <v>4.19790137803355</v>
      </c>
      <c r="J2558" s="14" t="n">
        <v>4.06789097374898</v>
      </c>
      <c r="K2558" s="14" t="n">
        <v>3.92916778821995</v>
      </c>
      <c r="L2558" s="14" t="n">
        <v>3.72901654149808</v>
      </c>
      <c r="M2558" s="14" t="n">
        <v>1.557</v>
      </c>
      <c r="N2558" s="14" t="n">
        <v>1.579</v>
      </c>
      <c r="O2558" s="14" t="n">
        <v>1.6</v>
      </c>
      <c r="P2558" s="14" t="n">
        <v>1.616</v>
      </c>
      <c r="Q2558" s="14" t="n">
        <v>4.25</v>
      </c>
      <c r="R2558" s="14" t="n">
        <v>4.25</v>
      </c>
      <c r="S2558" s="14" t="n">
        <v>15</v>
      </c>
    </row>
    <row r="2559" customFormat="false" ht="15" hidden="false" customHeight="false" outlineLevel="0" collapsed="false">
      <c r="A2559" s="13" t="n">
        <v>45846</v>
      </c>
      <c r="B2559" s="14" t="n">
        <v>4.34</v>
      </c>
      <c r="C2559" s="14" t="n">
        <v>4.5</v>
      </c>
      <c r="D2559" s="14" t="n">
        <v>4.25</v>
      </c>
      <c r="E2559" s="14" t="n">
        <v>1.919</v>
      </c>
      <c r="F2559" s="14" t="n">
        <v>2</v>
      </c>
      <c r="G2559" s="14" t="n">
        <v>4.25</v>
      </c>
      <c r="H2559" s="14" t="n">
        <v>4.217</v>
      </c>
      <c r="I2559" s="14" t="n">
        <v>4.19330480740813</v>
      </c>
      <c r="J2559" s="14" t="n">
        <v>4.06913434628507</v>
      </c>
      <c r="K2559" s="14" t="n">
        <v>3.93562073179963</v>
      </c>
      <c r="L2559" s="14" t="n">
        <v>3.74130068228127</v>
      </c>
      <c r="M2559" s="14" t="n">
        <v>1.546</v>
      </c>
      <c r="N2559" s="14" t="n">
        <v>1.57</v>
      </c>
      <c r="O2559" s="14" t="n">
        <v>1.597</v>
      </c>
      <c r="P2559" s="14" t="n">
        <v>1.612</v>
      </c>
      <c r="Q2559" s="14" t="n">
        <v>4.25</v>
      </c>
      <c r="R2559" s="14" t="n">
        <v>4.25</v>
      </c>
      <c r="S2559" s="14" t="n">
        <v>15</v>
      </c>
    </row>
    <row r="2560" customFormat="false" ht="15" hidden="false" customHeight="false" outlineLevel="0" collapsed="false">
      <c r="A2560" s="13" t="n">
        <v>45847</v>
      </c>
      <c r="B2560" s="14" t="n">
        <v>4.32</v>
      </c>
      <c r="C2560" s="14" t="n">
        <v>4.5</v>
      </c>
      <c r="D2560" s="14" t="n">
        <v>4.25</v>
      </c>
      <c r="E2560" s="14" t="n">
        <v>1.919</v>
      </c>
      <c r="F2560" s="14" t="n">
        <v>2</v>
      </c>
      <c r="G2560" s="14" t="n">
        <v>4.25</v>
      </c>
      <c r="H2560" s="14" t="n">
        <v>4.2169</v>
      </c>
      <c r="I2560" s="14" t="n">
        <v>4.18577368244976</v>
      </c>
      <c r="J2560" s="14" t="n">
        <v>4.06224240557191</v>
      </c>
      <c r="K2560" s="14" t="n">
        <v>3.9307774699593</v>
      </c>
      <c r="L2560" s="14" t="n">
        <v>3.73639796703294</v>
      </c>
      <c r="M2560" s="14" t="n">
        <v>1.539</v>
      </c>
      <c r="N2560" s="14" t="n">
        <v>1.562</v>
      </c>
      <c r="O2560" s="14" t="n">
        <v>1.593</v>
      </c>
      <c r="P2560" s="14" t="n">
        <v>1.613</v>
      </c>
      <c r="Q2560" s="14" t="n">
        <v>4.25</v>
      </c>
      <c r="R2560" s="14" t="n">
        <v>4.25</v>
      </c>
      <c r="S2560" s="14" t="n">
        <v>15</v>
      </c>
    </row>
    <row r="2561" customFormat="false" ht="15" hidden="false" customHeight="false" outlineLevel="0" collapsed="false">
      <c r="A2561" s="13" t="n">
        <v>45848</v>
      </c>
      <c r="B2561" s="14" t="n">
        <v>4.31</v>
      </c>
      <c r="C2561" s="14" t="n">
        <v>4.5</v>
      </c>
      <c r="D2561" s="14" t="n">
        <v>4.25</v>
      </c>
      <c r="E2561" s="14" t="n">
        <v>1.921</v>
      </c>
      <c r="F2561" s="14" t="n">
        <v>2</v>
      </c>
      <c r="G2561" s="14" t="n">
        <v>4.25</v>
      </c>
      <c r="H2561" s="14" t="n">
        <v>4.2175</v>
      </c>
      <c r="I2561" s="14" t="n">
        <v>4.1828640141696</v>
      </c>
      <c r="J2561" s="14" t="n">
        <v>4.05723973857335</v>
      </c>
      <c r="K2561" s="14" t="n">
        <v>3.92663227135249</v>
      </c>
      <c r="L2561" s="14" t="n">
        <v>3.73136253336119</v>
      </c>
      <c r="M2561" s="14" t="n">
        <v>1.538</v>
      </c>
      <c r="N2561" s="14" t="n">
        <v>1.559</v>
      </c>
      <c r="O2561" s="14" t="n">
        <v>1.589</v>
      </c>
      <c r="P2561" s="14" t="n">
        <v>1.613</v>
      </c>
      <c r="Q2561" s="14" t="n">
        <v>4.25</v>
      </c>
      <c r="R2561" s="14" t="n">
        <v>4.25</v>
      </c>
      <c r="S2561" s="14" t="n">
        <v>15</v>
      </c>
    </row>
    <row r="2562" customFormat="false" ht="15" hidden="false" customHeight="false" outlineLevel="0" collapsed="false">
      <c r="A2562" s="13" t="n">
        <v>45849</v>
      </c>
      <c r="B2562" s="14" t="n">
        <v>4.31</v>
      </c>
      <c r="C2562" s="14" t="n">
        <v>4.5</v>
      </c>
      <c r="D2562" s="14" t="n">
        <v>4.25</v>
      </c>
      <c r="E2562" s="14" t="n">
        <v>1.923</v>
      </c>
      <c r="F2562" s="14" t="n">
        <v>2</v>
      </c>
      <c r="G2562" s="14" t="n">
        <v>4.25</v>
      </c>
      <c r="H2562" s="14" t="n">
        <v>4.2172</v>
      </c>
      <c r="I2562" s="14" t="n">
        <v>4.18206559694129</v>
      </c>
      <c r="J2562" s="14" t="n">
        <v>4.0576803127656</v>
      </c>
      <c r="K2562" s="14" t="n">
        <v>3.92601452149699</v>
      </c>
      <c r="L2562" s="14" t="n">
        <v>3.73206573685234</v>
      </c>
      <c r="M2562" s="14" t="n">
        <v>1.535</v>
      </c>
      <c r="N2562" s="14" t="n">
        <v>1.557</v>
      </c>
      <c r="O2562" s="14" t="n">
        <v>1.591</v>
      </c>
      <c r="P2562" s="14" t="n">
        <v>1.616</v>
      </c>
      <c r="Q2562" s="14" t="n">
        <v>4.25</v>
      </c>
      <c r="R2562" s="14" t="n">
        <v>4.25</v>
      </c>
      <c r="S2562" s="14" t="n">
        <v>15</v>
      </c>
    </row>
    <row r="2563" customFormat="false" ht="15" hidden="false" customHeight="false" outlineLevel="0" collapsed="false">
      <c r="A2563" s="13" t="n">
        <v>45852</v>
      </c>
      <c r="B2563" s="14" t="n">
        <v>4.33</v>
      </c>
      <c r="C2563" s="14" t="n">
        <v>4.5</v>
      </c>
      <c r="D2563" s="14" t="n">
        <v>4.25</v>
      </c>
      <c r="E2563" s="14" t="n">
        <v>1.923</v>
      </c>
      <c r="F2563" s="14" t="n">
        <v>2</v>
      </c>
      <c r="G2563" s="14" t="n">
        <v>4.25</v>
      </c>
      <c r="H2563" s="14" t="n">
        <v>4.2171</v>
      </c>
      <c r="I2563" s="14" t="n">
        <v>4.16599978679482</v>
      </c>
      <c r="J2563" s="14" t="n">
        <v>4.03073619619008</v>
      </c>
      <c r="K2563" s="14" t="n">
        <v>3.89093671184716</v>
      </c>
      <c r="L2563" s="14" t="n">
        <v>3.68763286064595</v>
      </c>
      <c r="M2563" s="14" t="n">
        <v>1.538</v>
      </c>
      <c r="N2563" s="14" t="n">
        <v>1.561</v>
      </c>
      <c r="O2563" s="14" t="n">
        <v>1.594</v>
      </c>
      <c r="P2563" s="14" t="n">
        <v>1.623</v>
      </c>
      <c r="Q2563" s="14" t="n">
        <v>4.25</v>
      </c>
      <c r="R2563" s="14" t="n">
        <v>4.25</v>
      </c>
      <c r="S2563" s="14" t="n">
        <v>15</v>
      </c>
    </row>
    <row r="2564" customFormat="false" ht="15" hidden="false" customHeight="false" outlineLevel="0" collapsed="false">
      <c r="A2564" s="13" t="n">
        <v>45853</v>
      </c>
      <c r="B2564" s="14" t="n">
        <v>4.37</v>
      </c>
      <c r="C2564" s="14" t="n">
        <v>4.5</v>
      </c>
      <c r="D2564" s="14" t="n">
        <v>4.25</v>
      </c>
      <c r="E2564" s="14" t="n">
        <v>1.922</v>
      </c>
      <c r="F2564" s="14" t="n">
        <v>2</v>
      </c>
      <c r="G2564" s="14" t="n">
        <v>4.25</v>
      </c>
      <c r="H2564" s="14" t="n">
        <v>4.2172</v>
      </c>
      <c r="I2564" s="14" t="n">
        <v>4.16444902697985</v>
      </c>
      <c r="J2564" s="14" t="n">
        <v>4.03391739213009</v>
      </c>
      <c r="K2564" s="14" t="n">
        <v>3.9002134253175</v>
      </c>
      <c r="L2564" s="14" t="n">
        <v>3.7082638676765</v>
      </c>
      <c r="M2564" s="14" t="n">
        <v>1.541</v>
      </c>
      <c r="N2564" s="14" t="n">
        <v>1.559</v>
      </c>
      <c r="O2564" s="14" t="n">
        <v>1.591</v>
      </c>
      <c r="P2564" s="14" t="n">
        <v>1.623</v>
      </c>
      <c r="Q2564" s="14" t="n">
        <v>4.25</v>
      </c>
      <c r="R2564" s="14" t="n">
        <v>4.25</v>
      </c>
      <c r="S2564" s="14" t="n">
        <v>15</v>
      </c>
    </row>
    <row r="2565" customFormat="false" ht="15" hidden="false" customHeight="false" outlineLevel="0" collapsed="false">
      <c r="A2565" s="13" t="n">
        <v>45854</v>
      </c>
      <c r="B2565" s="14" t="n">
        <v>4.34</v>
      </c>
      <c r="C2565" s="14" t="n">
        <v>4.5</v>
      </c>
      <c r="D2565" s="14" t="n">
        <v>4.25</v>
      </c>
      <c r="E2565" s="14" t="n">
        <v>1.923</v>
      </c>
      <c r="F2565" s="14" t="n">
        <v>2</v>
      </c>
      <c r="G2565" s="14" t="n">
        <v>4.25</v>
      </c>
      <c r="H2565" s="14" t="n">
        <v>4.217</v>
      </c>
      <c r="I2565" s="14" t="n">
        <v>4.15849398772143</v>
      </c>
      <c r="J2565" s="14" t="n">
        <v>4.04003458246032</v>
      </c>
      <c r="K2565" s="14" t="n">
        <v>3.91885290542163</v>
      </c>
      <c r="L2565" s="14" t="n">
        <v>3.72836138167102</v>
      </c>
      <c r="M2565" s="14" t="n">
        <v>1.54</v>
      </c>
      <c r="N2565" s="14" t="n">
        <v>1.559</v>
      </c>
      <c r="O2565" s="14" t="n">
        <v>1.592</v>
      </c>
      <c r="P2565" s="14" t="n">
        <v>1.621</v>
      </c>
      <c r="Q2565" s="14" t="n">
        <v>4.25</v>
      </c>
      <c r="R2565" s="14" t="n">
        <v>4.25</v>
      </c>
      <c r="S2565" s="14" t="n">
        <v>15</v>
      </c>
    </row>
    <row r="2566" customFormat="false" ht="15" hidden="false" customHeight="false" outlineLevel="0" collapsed="false">
      <c r="A2566" s="13" t="n">
        <v>45855</v>
      </c>
      <c r="B2566" s="14" t="n">
        <v>4.34</v>
      </c>
      <c r="C2566" s="14" t="n">
        <v>4.5</v>
      </c>
      <c r="D2566" s="14" t="n">
        <v>4.25</v>
      </c>
      <c r="E2566" s="14" t="n">
        <v>1.925</v>
      </c>
      <c r="F2566" s="14" t="n">
        <v>2</v>
      </c>
      <c r="G2566" s="14" t="n">
        <v>4.25</v>
      </c>
      <c r="H2566" s="14" t="n">
        <v>4.2175</v>
      </c>
      <c r="I2566" s="14" t="n">
        <v>4.15229515985492</v>
      </c>
      <c r="J2566" s="14" t="n">
        <v>4.03574458547258</v>
      </c>
      <c r="K2566" s="14" t="n">
        <v>3.92791023997311</v>
      </c>
      <c r="L2566" s="14" t="n">
        <v>3.76267150257633</v>
      </c>
      <c r="M2566" s="14" t="n">
        <v>1.539</v>
      </c>
      <c r="N2566" s="14" t="n">
        <v>1.557</v>
      </c>
      <c r="O2566" s="14" t="n">
        <v>1.592</v>
      </c>
      <c r="P2566" s="14" t="n">
        <v>1.621</v>
      </c>
      <c r="Q2566" s="14" t="n">
        <v>4.25</v>
      </c>
      <c r="R2566" s="14" t="n">
        <v>4.25</v>
      </c>
      <c r="S2566" s="14" t="n">
        <v>15</v>
      </c>
    </row>
    <row r="2567" customFormat="false" ht="15" hidden="false" customHeight="false" outlineLevel="0" collapsed="false">
      <c r="A2567" s="13" t="n">
        <v>45856</v>
      </c>
      <c r="B2567" s="14" t="n">
        <v>4.3</v>
      </c>
      <c r="C2567" s="14" t="n">
        <v>4.5</v>
      </c>
      <c r="D2567" s="14" t="n">
        <v>4.25</v>
      </c>
      <c r="E2567" s="14" t="n">
        <v>1.923</v>
      </c>
      <c r="F2567" s="14" t="n">
        <v>2</v>
      </c>
      <c r="G2567" s="14" t="n">
        <v>4.25</v>
      </c>
      <c r="H2567" s="14" t="n">
        <v>4.2174</v>
      </c>
      <c r="I2567" s="14" t="n">
        <v>4.14605301908651</v>
      </c>
      <c r="J2567" s="14" t="n">
        <v>4.03374058387259</v>
      </c>
      <c r="K2567" s="14" t="n">
        <v>3.92501223487094</v>
      </c>
      <c r="L2567" s="14" t="n">
        <v>3.75432091537765</v>
      </c>
      <c r="M2567" s="14" t="n">
        <v>1.536</v>
      </c>
      <c r="N2567" s="14" t="n">
        <v>1.555</v>
      </c>
      <c r="O2567" s="14" t="n">
        <v>1.593</v>
      </c>
      <c r="P2567" s="14" t="n">
        <v>1.621</v>
      </c>
      <c r="Q2567" s="14" t="n">
        <v>4.25</v>
      </c>
      <c r="R2567" s="14" t="n">
        <v>4.25</v>
      </c>
      <c r="S2567" s="14" t="n">
        <v>15</v>
      </c>
    </row>
    <row r="2568" customFormat="false" ht="15" hidden="false" customHeight="false" outlineLevel="0" collapsed="false">
      <c r="A2568" s="13" t="n">
        <v>45859</v>
      </c>
      <c r="B2568" s="14" t="n">
        <v>4.28</v>
      </c>
      <c r="C2568" s="14" t="n">
        <v>4.5</v>
      </c>
      <c r="D2568" s="14" t="n">
        <v>4.25</v>
      </c>
      <c r="E2568" s="14" t="n">
        <v>1.924</v>
      </c>
      <c r="F2568" s="14" t="n">
        <v>2</v>
      </c>
      <c r="G2568" s="14" t="n">
        <v>4.25</v>
      </c>
      <c r="H2568" s="14" t="n">
        <v>4.2168</v>
      </c>
      <c r="I2568" s="14" t="n">
        <v>4.1191627994068</v>
      </c>
      <c r="J2568" s="14" t="n">
        <v>4.01575407217339</v>
      </c>
      <c r="K2568" s="14" t="n">
        <v>3.91221841372018</v>
      </c>
      <c r="L2568" s="14" t="n">
        <v>3.74624793062947</v>
      </c>
      <c r="M2568" s="14" t="n">
        <v>1.534</v>
      </c>
      <c r="N2568" s="14" t="n">
        <v>1.553</v>
      </c>
      <c r="O2568" s="14" t="n">
        <v>1.592</v>
      </c>
      <c r="P2568" s="14" t="n">
        <v>1.622</v>
      </c>
      <c r="Q2568" s="14" t="n">
        <v>4.25</v>
      </c>
      <c r="R2568" s="14" t="n">
        <v>4.25</v>
      </c>
      <c r="S2568" s="14" t="n">
        <v>15</v>
      </c>
    </row>
    <row r="2569" customFormat="false" ht="15" hidden="false" customHeight="false" outlineLevel="0" collapsed="false">
      <c r="A2569" s="13" t="n">
        <v>45860</v>
      </c>
      <c r="B2569" s="14" t="n">
        <v>4.28</v>
      </c>
      <c r="C2569" s="14" t="n">
        <v>4.5</v>
      </c>
      <c r="D2569" s="14" t="n">
        <v>4.25</v>
      </c>
      <c r="E2569" s="14" t="n">
        <v>1.923</v>
      </c>
      <c r="F2569" s="14" t="n">
        <v>2</v>
      </c>
      <c r="G2569" s="14" t="n">
        <v>4.25</v>
      </c>
      <c r="H2569" s="14" t="n">
        <v>4.2172</v>
      </c>
      <c r="I2569" s="14" t="n">
        <v>4.11146509343076</v>
      </c>
      <c r="J2569" s="14" t="n">
        <v>4.00662962729388</v>
      </c>
      <c r="K2569" s="14" t="n">
        <v>3.89860375194797</v>
      </c>
      <c r="L2569" s="14" t="n">
        <v>3.72150990702393</v>
      </c>
      <c r="M2569" s="14" t="n">
        <v>1.529</v>
      </c>
      <c r="N2569" s="14" t="n">
        <v>1.549</v>
      </c>
      <c r="O2569" s="14" t="n">
        <v>1.591</v>
      </c>
      <c r="P2569" s="14" t="n">
        <v>1.621</v>
      </c>
      <c r="Q2569" s="14" t="n">
        <v>4.25</v>
      </c>
      <c r="R2569" s="14" t="n">
        <v>4.25</v>
      </c>
      <c r="S2569" s="14" t="n">
        <v>15</v>
      </c>
    </row>
    <row r="2570" customFormat="false" ht="15" hidden="false" customHeight="false" outlineLevel="0" collapsed="false">
      <c r="A2570" s="13" t="n">
        <v>45861</v>
      </c>
      <c r="B2570" s="14" t="n">
        <v>4.28</v>
      </c>
      <c r="C2570" s="14" t="n">
        <v>4.5</v>
      </c>
      <c r="D2570" s="14" t="n">
        <v>4.25</v>
      </c>
      <c r="E2570" s="14" t="n">
        <v>1.924</v>
      </c>
      <c r="F2570" s="14" t="n">
        <v>2</v>
      </c>
      <c r="G2570" s="14" t="n">
        <v>4.25</v>
      </c>
      <c r="H2570" s="14" t="n">
        <v>4.2172</v>
      </c>
      <c r="I2570" s="14" t="n">
        <v>4.1008900542044</v>
      </c>
      <c r="J2570" s="14" t="n">
        <v>4.00092303444328</v>
      </c>
      <c r="K2570" s="14" t="n">
        <v>3.89923854299163</v>
      </c>
      <c r="L2570" s="14" t="n">
        <v>3.73617620666577</v>
      </c>
      <c r="M2570" s="14" t="n">
        <v>1.529</v>
      </c>
      <c r="N2570" s="14" t="n">
        <v>1.551</v>
      </c>
      <c r="O2570" s="14" t="n">
        <v>1.596</v>
      </c>
      <c r="P2570" s="14" t="n">
        <v>1.625</v>
      </c>
      <c r="Q2570" s="14" t="n">
        <v>4.25</v>
      </c>
      <c r="R2570" s="14" t="n">
        <v>4.25</v>
      </c>
      <c r="S2570" s="14" t="n">
        <v>15</v>
      </c>
    </row>
    <row r="2571" customFormat="false" ht="15" hidden="false" customHeight="false" outlineLevel="0" collapsed="false">
      <c r="A2571" s="13" t="n">
        <v>45862</v>
      </c>
      <c r="B2571" s="14" t="n">
        <v>4.3</v>
      </c>
      <c r="C2571" s="14" t="n">
        <v>4.5</v>
      </c>
      <c r="D2571" s="14" t="n">
        <v>4.25</v>
      </c>
      <c r="E2571" s="14" t="n">
        <v>1.924</v>
      </c>
      <c r="F2571" s="14" t="n">
        <v>2</v>
      </c>
      <c r="G2571" s="14" t="n">
        <v>4.25</v>
      </c>
      <c r="H2571" s="14" t="n">
        <v>4.2174</v>
      </c>
      <c r="I2571" s="14" t="n">
        <v>4.09557365067394</v>
      </c>
      <c r="J2571" s="14" t="n">
        <v>3.99838969124129</v>
      </c>
      <c r="K2571" s="14" t="n">
        <v>3.89619897638754</v>
      </c>
      <c r="L2571" s="14" t="n">
        <v>3.7296798169365</v>
      </c>
      <c r="M2571" s="14" t="n">
        <v>1.536</v>
      </c>
      <c r="N2571" s="14" t="n">
        <v>1.553</v>
      </c>
      <c r="O2571" s="14" t="n">
        <v>1.605</v>
      </c>
      <c r="P2571" s="14" t="n">
        <v>1.631</v>
      </c>
      <c r="Q2571" s="14" t="n">
        <v>4.25</v>
      </c>
      <c r="R2571" s="14" t="n">
        <v>4.25</v>
      </c>
      <c r="S2571" s="14" t="n">
        <v>15</v>
      </c>
    </row>
    <row r="2572" customFormat="false" ht="15" hidden="false" customHeight="false" outlineLevel="0" collapsed="false">
      <c r="A2572" s="13" t="n">
        <v>45863</v>
      </c>
      <c r="B2572" s="14" t="n">
        <v>4.36</v>
      </c>
      <c r="C2572" s="14" t="n">
        <v>4.5</v>
      </c>
      <c r="D2572" s="14" t="n">
        <v>4.25</v>
      </c>
      <c r="E2572" s="14" t="n">
        <v>1.925</v>
      </c>
      <c r="F2572" s="14" t="n">
        <v>2</v>
      </c>
      <c r="G2572" s="14" t="n">
        <v>4.25</v>
      </c>
      <c r="H2572" s="14" t="n">
        <v>4.2174</v>
      </c>
      <c r="I2572" s="14" t="n">
        <v>4.08743206366579</v>
      </c>
      <c r="J2572" s="14" t="n">
        <v>3.99710143902332</v>
      </c>
      <c r="K2572" s="14" t="n">
        <v>3.90210080960026</v>
      </c>
      <c r="L2572" s="14" t="n">
        <v>3.74809289757541</v>
      </c>
      <c r="M2572" s="14" t="n">
        <v>1.545</v>
      </c>
      <c r="N2572" s="14" t="n">
        <v>1.559</v>
      </c>
      <c r="O2572" s="14" t="n">
        <v>1.611</v>
      </c>
      <c r="P2572" s="14" t="n">
        <v>1.639</v>
      </c>
      <c r="Q2572" s="14" t="n">
        <v>4.25</v>
      </c>
      <c r="R2572" s="14" t="n">
        <v>4.25</v>
      </c>
      <c r="S2572" s="14" t="n">
        <v>15</v>
      </c>
    </row>
    <row r="2573" customFormat="false" ht="15" hidden="false" customHeight="false" outlineLevel="0" collapsed="false">
      <c r="A2573" s="13" t="n">
        <v>45866</v>
      </c>
      <c r="B2573" s="14" t="n">
        <v>4.36</v>
      </c>
      <c r="C2573" s="14" t="n">
        <v>4.5</v>
      </c>
      <c r="D2573" s="14" t="n">
        <v>4.25</v>
      </c>
      <c r="E2573" s="14" t="n">
        <v>1.923</v>
      </c>
      <c r="F2573" s="14" t="n">
        <v>2</v>
      </c>
      <c r="G2573" s="14" t="n">
        <v>4.25</v>
      </c>
      <c r="H2573" s="14" t="n">
        <v>4.2171</v>
      </c>
      <c r="I2573" s="14" t="n">
        <v>4.06498418028497</v>
      </c>
      <c r="J2573" s="14" t="n">
        <v>3.98680056356115</v>
      </c>
      <c r="K2573" s="14" t="n">
        <v>3.8923001983603</v>
      </c>
      <c r="L2573" s="14" t="n">
        <v>3.74278207862016</v>
      </c>
      <c r="M2573" s="14" t="n">
        <v>1.549</v>
      </c>
      <c r="N2573" s="14" t="n">
        <v>1.56</v>
      </c>
      <c r="O2573" s="14" t="n">
        <v>1.613</v>
      </c>
      <c r="P2573" s="14" t="n">
        <v>1.642</v>
      </c>
      <c r="Q2573" s="14" t="n">
        <v>4.25</v>
      </c>
      <c r="R2573" s="14" t="n">
        <v>4.25</v>
      </c>
      <c r="S2573" s="14" t="n">
        <v>15</v>
      </c>
    </row>
    <row r="2574" customFormat="false" ht="15" hidden="false" customHeight="false" outlineLevel="0" collapsed="false">
      <c r="A2574" s="13" t="n">
        <v>45867</v>
      </c>
      <c r="B2574" s="14" t="n">
        <v>4.36</v>
      </c>
      <c r="C2574" s="14" t="n">
        <v>4.5</v>
      </c>
      <c r="D2574" s="14" t="n">
        <v>4.25</v>
      </c>
      <c r="E2574" s="14" t="n">
        <v>1.923</v>
      </c>
      <c r="F2574" s="14" t="n">
        <v>2</v>
      </c>
      <c r="G2574" s="14" t="n">
        <v>4.25</v>
      </c>
      <c r="H2574" s="14" t="n">
        <v>4.2171</v>
      </c>
      <c r="I2574" s="14" t="n">
        <v>4.05657988450685</v>
      </c>
      <c r="J2574" s="14" t="n">
        <v>3.98599354513815</v>
      </c>
      <c r="K2574" s="14" t="n">
        <v>3.89256902777849</v>
      </c>
      <c r="L2574" s="14" t="n">
        <v>3.73873786797539</v>
      </c>
      <c r="M2574" s="14" t="n">
        <v>1.55</v>
      </c>
      <c r="N2574" s="14" t="n">
        <v>1.56</v>
      </c>
      <c r="O2574" s="14" t="n">
        <v>1.613</v>
      </c>
      <c r="P2574" s="14" t="n">
        <v>1.644</v>
      </c>
      <c r="Q2574" s="14" t="n">
        <v>4.25</v>
      </c>
      <c r="R2574" s="14" t="n">
        <v>4.25</v>
      </c>
      <c r="S2574" s="14" t="n">
        <v>15</v>
      </c>
    </row>
    <row r="2575" customFormat="false" ht="15" hidden="false" customHeight="false" outlineLevel="0" collapsed="false">
      <c r="A2575" s="13" t="n">
        <v>45868</v>
      </c>
      <c r="B2575" s="14" t="n">
        <v>4.32</v>
      </c>
      <c r="C2575" s="14" t="n">
        <v>4.5</v>
      </c>
      <c r="D2575" s="14" t="n">
        <v>4.25</v>
      </c>
      <c r="E2575" s="14" t="n">
        <v>1.924</v>
      </c>
      <c r="F2575" s="14" t="n">
        <v>2</v>
      </c>
      <c r="G2575" s="14" t="n">
        <v>4.25</v>
      </c>
      <c r="H2575" s="14" t="n">
        <v>4.2171</v>
      </c>
      <c r="I2575" s="14" t="n">
        <v>4.05112349079313</v>
      </c>
      <c r="J2575" s="14" t="n">
        <v>3.98354233972113</v>
      </c>
      <c r="K2575" s="14" t="n">
        <v>3.89225911369165</v>
      </c>
      <c r="L2575" s="14" t="n">
        <v>3.74410600028338</v>
      </c>
      <c r="M2575" s="14" t="n">
        <v>1.55</v>
      </c>
      <c r="N2575" s="14" t="n">
        <v>1.564</v>
      </c>
      <c r="O2575" s="14" t="n">
        <v>1.612</v>
      </c>
      <c r="P2575" s="14" t="n">
        <v>1.647</v>
      </c>
      <c r="Q2575" s="14" t="n">
        <v>4.25</v>
      </c>
      <c r="R2575" s="14" t="n">
        <v>4.25</v>
      </c>
      <c r="S2575" s="14" t="n">
        <v>15</v>
      </c>
    </row>
    <row r="2576" customFormat="false" ht="15" hidden="false" customHeight="false" outlineLevel="0" collapsed="false">
      <c r="A2576" s="13" t="n">
        <v>45869</v>
      </c>
      <c r="B2576" s="14" t="n">
        <v>4.39</v>
      </c>
      <c r="C2576" s="14" t="n">
        <v>4.5</v>
      </c>
      <c r="D2576" s="14" t="n">
        <v>4.25</v>
      </c>
      <c r="E2576" s="14" t="n">
        <v>1.919</v>
      </c>
      <c r="F2576" s="14" t="n">
        <v>2</v>
      </c>
      <c r="G2576" s="14" t="n">
        <v>4.25</v>
      </c>
      <c r="H2576" s="14" t="n">
        <v>4.217</v>
      </c>
      <c r="I2576" s="14" t="n">
        <v>4.04263272129013</v>
      </c>
      <c r="J2576" s="14" t="n">
        <v>3.98000383590344</v>
      </c>
      <c r="K2576" s="14" t="n">
        <v>3.89269451533017</v>
      </c>
      <c r="L2576" s="14" t="n">
        <v>3.73665003410644</v>
      </c>
      <c r="M2576" s="14" t="n">
        <v>1.55</v>
      </c>
      <c r="N2576" s="14" t="n">
        <v>1.566</v>
      </c>
      <c r="O2576" s="14" t="n">
        <v>1.612</v>
      </c>
      <c r="P2576" s="14" t="n">
        <v>1.648</v>
      </c>
      <c r="Q2576" s="14" t="n">
        <v>4.25</v>
      </c>
      <c r="R2576" s="14" t="n">
        <v>4.25</v>
      </c>
      <c r="S2576" s="14" t="n">
        <v>15</v>
      </c>
    </row>
    <row r="2577" customFormat="false" ht="15" hidden="false" customHeight="false" outlineLevel="0" collapsed="false">
      <c r="A2577" s="13" t="n">
        <v>45870</v>
      </c>
      <c r="B2577" s="14" t="n">
        <v>4.34</v>
      </c>
      <c r="C2577" s="14" t="n">
        <v>4.5</v>
      </c>
      <c r="D2577" s="14" t="n">
        <v>4.25</v>
      </c>
      <c r="E2577" s="14" t="n">
        <v>1.927</v>
      </c>
      <c r="F2577" s="14" t="n">
        <v>2</v>
      </c>
      <c r="G2577" s="14" t="n">
        <v>4.25</v>
      </c>
      <c r="H2577" s="14" t="n">
        <v>4.2176</v>
      </c>
      <c r="I2577" s="14" t="n">
        <v>4.02641099170186</v>
      </c>
      <c r="J2577" s="14" t="n">
        <v>3.95761143567951</v>
      </c>
      <c r="K2577" s="14" t="n">
        <v>3.84480457732482</v>
      </c>
      <c r="L2577" s="14" t="n">
        <v>3.66468716317348</v>
      </c>
      <c r="M2577" s="14" t="n">
        <v>1.549</v>
      </c>
      <c r="N2577" s="14" t="n">
        <v>1.563</v>
      </c>
      <c r="O2577" s="14" t="n">
        <v>1.61</v>
      </c>
      <c r="P2577" s="14" t="n">
        <v>1.645</v>
      </c>
      <c r="Q2577" s="14" t="n">
        <v>4.25</v>
      </c>
      <c r="R2577" s="14" t="n">
        <v>4.25</v>
      </c>
      <c r="S2577" s="14" t="n">
        <v>15</v>
      </c>
    </row>
    <row r="2578" customFormat="false" ht="15" hidden="false" customHeight="false" outlineLevel="0" collapsed="false">
      <c r="A2578" s="13" t="n">
        <v>45873</v>
      </c>
      <c r="B2578" s="14" t="n">
        <v>4.33</v>
      </c>
      <c r="C2578" s="14" t="n">
        <v>4.5</v>
      </c>
      <c r="D2578" s="14" t="n">
        <v>4.25</v>
      </c>
      <c r="E2578" s="14" t="n">
        <v>1.925</v>
      </c>
      <c r="F2578" s="14" t="n">
        <v>2</v>
      </c>
      <c r="G2578" s="14" t="n">
        <v>4.25</v>
      </c>
      <c r="H2578" s="14" t="n">
        <v>4.2169</v>
      </c>
      <c r="I2578" s="14" t="n">
        <v>4.00142146120238</v>
      </c>
      <c r="J2578" s="14" t="n">
        <v>3.95194541009339</v>
      </c>
      <c r="K2578" s="14" t="n">
        <v>3.85172687952894</v>
      </c>
      <c r="L2578" s="14" t="n">
        <v>3.68619942984572</v>
      </c>
      <c r="M2578" s="14" t="n">
        <v>1.547</v>
      </c>
      <c r="N2578" s="14" t="n">
        <v>1.559</v>
      </c>
      <c r="O2578" s="14" t="n">
        <v>1.608</v>
      </c>
      <c r="P2578" s="14" t="n">
        <v>1.641</v>
      </c>
      <c r="Q2578" s="14" t="n">
        <v>4.25</v>
      </c>
      <c r="R2578" s="14" t="n">
        <v>4.25</v>
      </c>
      <c r="S2578" s="14" t="n">
        <v>15</v>
      </c>
    </row>
    <row r="2579" customFormat="false" ht="15" hidden="false" customHeight="false" outlineLevel="0" collapsed="false">
      <c r="A2579" s="13" t="n">
        <v>45874</v>
      </c>
      <c r="B2579" s="14" t="n">
        <v>4.34</v>
      </c>
      <c r="C2579" s="14" t="n">
        <v>4.5</v>
      </c>
      <c r="D2579" s="14" t="n">
        <v>4.25</v>
      </c>
      <c r="E2579" s="14" t="n">
        <v>1.924</v>
      </c>
      <c r="F2579" s="14" t="n">
        <v>2</v>
      </c>
      <c r="G2579" s="14" t="n">
        <v>4.25</v>
      </c>
      <c r="H2579" s="14" t="n">
        <v>4.2168</v>
      </c>
      <c r="I2579" s="14" t="n">
        <v>3.99416824797248</v>
      </c>
      <c r="J2579" s="14" t="n">
        <v>3.95220214934972</v>
      </c>
      <c r="K2579" s="14" t="n">
        <v>3.8595734109083</v>
      </c>
      <c r="L2579" s="14" t="n">
        <v>3.70271689576458</v>
      </c>
      <c r="M2579" s="14" t="n">
        <v>1.543</v>
      </c>
      <c r="N2579" s="14" t="n">
        <v>1.558</v>
      </c>
      <c r="O2579" s="14" t="n">
        <v>1.606</v>
      </c>
      <c r="P2579" s="14" t="n">
        <v>1.638</v>
      </c>
      <c r="Q2579" s="14" t="n">
        <v>4.25</v>
      </c>
      <c r="R2579" s="14" t="n">
        <v>4.25</v>
      </c>
      <c r="S2579" s="14" t="n">
        <v>15</v>
      </c>
    </row>
    <row r="2580" customFormat="false" ht="15" hidden="false" customHeight="false" outlineLevel="0" collapsed="false">
      <c r="A2580" s="13" t="n">
        <v>45875</v>
      </c>
      <c r="B2580" s="14" t="n">
        <v>4.34</v>
      </c>
      <c r="C2580" s="14" t="n">
        <v>4.5</v>
      </c>
      <c r="D2580" s="14" t="n">
        <v>4.25</v>
      </c>
      <c r="E2580" s="14" t="n">
        <v>1.922</v>
      </c>
      <c r="F2580" s="14" t="n">
        <v>2</v>
      </c>
      <c r="G2580" s="14" t="n">
        <v>4.25</v>
      </c>
      <c r="H2580" s="14" t="n">
        <v>4.217</v>
      </c>
      <c r="I2580" s="14" t="n">
        <v>3.98769522697223</v>
      </c>
      <c r="J2580" s="14" t="n">
        <v>3.9485181161052</v>
      </c>
      <c r="K2580" s="14" t="n">
        <v>3.85438128517356</v>
      </c>
      <c r="L2580" s="14" t="n">
        <v>3.69313312938566</v>
      </c>
      <c r="M2580" s="14" t="n">
        <v>1.533</v>
      </c>
      <c r="N2580" s="14" t="n">
        <v>1.559</v>
      </c>
      <c r="O2580" s="14" t="n">
        <v>1.609</v>
      </c>
      <c r="P2580" s="14" t="n">
        <v>1.638</v>
      </c>
      <c r="Q2580" s="14" t="n">
        <v>4.25</v>
      </c>
      <c r="R2580" s="14" t="n">
        <v>4.25</v>
      </c>
      <c r="S2580" s="14" t="n">
        <v>15</v>
      </c>
    </row>
    <row r="2581" customFormat="false" ht="15" hidden="false" customHeight="false" outlineLevel="0" collapsed="false">
      <c r="A2581" s="13" t="n">
        <v>45876</v>
      </c>
      <c r="B2581" s="14" t="n">
        <v>4.35</v>
      </c>
      <c r="C2581" s="14" t="n">
        <v>4.5</v>
      </c>
      <c r="D2581" s="14" t="n">
        <v>4.25</v>
      </c>
      <c r="E2581" s="14" t="n">
        <v>1.923</v>
      </c>
      <c r="F2581" s="14" t="n">
        <v>2</v>
      </c>
      <c r="G2581" s="14" t="n">
        <v>4</v>
      </c>
      <c r="H2581" s="14" t="n">
        <v>3.9676</v>
      </c>
      <c r="I2581" s="14" t="n">
        <v>3.97109283064896</v>
      </c>
      <c r="J2581" s="14" t="n">
        <v>3.95006257988194</v>
      </c>
      <c r="K2581" s="14" t="n">
        <v>3.88021868322595</v>
      </c>
      <c r="L2581" s="14" t="n">
        <v>3.74381156031045</v>
      </c>
      <c r="M2581" s="14" t="n">
        <v>1.529</v>
      </c>
      <c r="N2581" s="14" t="n">
        <v>1.56</v>
      </c>
      <c r="O2581" s="14" t="n">
        <v>1.61</v>
      </c>
      <c r="P2581" s="14" t="n">
        <v>1.639</v>
      </c>
      <c r="Q2581" s="14" t="n">
        <v>4.25</v>
      </c>
      <c r="R2581" s="14" t="n">
        <v>4.25</v>
      </c>
      <c r="S2581" s="14" t="n">
        <v>15</v>
      </c>
    </row>
    <row r="2582" customFormat="false" ht="15" hidden="false" customHeight="false" outlineLevel="0" collapsed="false">
      <c r="A2582" s="13" t="n">
        <v>45877</v>
      </c>
      <c r="B2582" s="14" t="n">
        <v>4.35</v>
      </c>
      <c r="C2582" s="14" t="n">
        <v>4.5</v>
      </c>
      <c r="D2582" s="14" t="n">
        <v>4.25</v>
      </c>
      <c r="E2582" s="14" t="n">
        <v>1.922</v>
      </c>
      <c r="F2582" s="14" t="n">
        <v>2</v>
      </c>
      <c r="G2582" s="14" t="n">
        <v>4</v>
      </c>
      <c r="H2582" s="14" t="n">
        <v>3.9672</v>
      </c>
      <c r="I2582" s="14" t="n">
        <v>3.97051067610637</v>
      </c>
      <c r="J2582" s="14" t="n">
        <v>3.95880102568881</v>
      </c>
      <c r="K2582" s="14" t="n">
        <v>3.89501828369013</v>
      </c>
      <c r="L2582" s="14" t="n">
        <v>3.75127714584739</v>
      </c>
      <c r="M2582" s="14" t="n">
        <v>1.5256</v>
      </c>
      <c r="N2582" s="14" t="n">
        <v>1.5544</v>
      </c>
      <c r="O2582" s="14" t="n">
        <v>1.61</v>
      </c>
      <c r="P2582" s="14" t="n">
        <v>1.6378</v>
      </c>
      <c r="Q2582" s="14" t="n">
        <v>4.25</v>
      </c>
      <c r="R2582" s="14" t="n">
        <v>4.25</v>
      </c>
      <c r="S2582" s="14" t="n">
        <v>15</v>
      </c>
    </row>
    <row r="2583" customFormat="false" ht="15" hidden="false" customHeight="false" outlineLevel="0" collapsed="false">
      <c r="A2583" s="13" t="n">
        <v>45880</v>
      </c>
      <c r="B2583" s="14" t="n">
        <v>4.34</v>
      </c>
      <c r="C2583" s="14" t="n">
        <v>4.5</v>
      </c>
      <c r="D2583" s="14" t="n">
        <v>4.25</v>
      </c>
      <c r="E2583" s="14" t="n">
        <v>1.918</v>
      </c>
      <c r="F2583" s="14" t="n">
        <v>2</v>
      </c>
      <c r="G2583" s="14" t="n">
        <v>4</v>
      </c>
      <c r="H2583" s="14" t="n">
        <v>3.9669</v>
      </c>
      <c r="I2583" s="14" t="n">
        <v>3.97088511372335</v>
      </c>
      <c r="J2583" s="14" t="n">
        <v>3.94666192859738</v>
      </c>
      <c r="K2583" s="14" t="n">
        <v>3.871986078401</v>
      </c>
      <c r="L2583" s="14" t="n">
        <v>3.72812692926471</v>
      </c>
      <c r="M2583" s="14" t="n">
        <v>1.527</v>
      </c>
      <c r="N2583" s="14" t="n">
        <v>1.549</v>
      </c>
      <c r="O2583" s="14" t="n">
        <v>1.61</v>
      </c>
      <c r="P2583" s="14" t="n">
        <v>1.638</v>
      </c>
      <c r="Q2583" s="14" t="n">
        <v>4.25</v>
      </c>
      <c r="R2583" s="14" t="n">
        <v>4.25</v>
      </c>
      <c r="S2583" s="14" t="n">
        <v>15</v>
      </c>
    </row>
    <row r="2584" customFormat="false" ht="15" hidden="false" customHeight="false" outlineLevel="0" collapsed="false">
      <c r="A2584" s="13" t="n">
        <v>45881</v>
      </c>
      <c r="B2584" s="14" t="n">
        <v>4.36</v>
      </c>
      <c r="C2584" s="14" t="n">
        <v>4.5</v>
      </c>
      <c r="D2584" s="14" t="n">
        <v>4.25</v>
      </c>
      <c r="E2584" s="14" t="n">
        <v>1.922</v>
      </c>
      <c r="F2584" s="14" t="n">
        <v>2</v>
      </c>
      <c r="G2584" s="14" t="n">
        <v>4</v>
      </c>
      <c r="H2584" s="14" t="n">
        <v>3.967</v>
      </c>
      <c r="I2584" s="14" t="n">
        <v>3.97064310987566</v>
      </c>
      <c r="J2584" s="14" t="n">
        <v>3.95060683091722</v>
      </c>
      <c r="K2584" s="14" t="n">
        <v>3.8835970500319</v>
      </c>
      <c r="L2584" s="14" t="n">
        <v>3.74694594041136</v>
      </c>
      <c r="M2584" s="14" t="n">
        <v>1.527</v>
      </c>
      <c r="N2584" s="14" t="n">
        <v>1.548</v>
      </c>
      <c r="O2584" s="14" t="n">
        <v>1.609</v>
      </c>
      <c r="P2584" s="14" t="n">
        <v>1.638</v>
      </c>
      <c r="Q2584" s="14" t="n">
        <v>4.25</v>
      </c>
      <c r="R2584" s="14" t="n">
        <v>4.25</v>
      </c>
      <c r="S2584" s="14" t="n">
        <v>15</v>
      </c>
    </row>
    <row r="2585" customFormat="false" ht="15" hidden="false" customHeight="false" outlineLevel="0" collapsed="false">
      <c r="A2585" s="13" t="n">
        <v>45882</v>
      </c>
      <c r="B2585" s="14" t="n">
        <v>4.33</v>
      </c>
      <c r="C2585" s="14" t="n">
        <v>4.5</v>
      </c>
      <c r="D2585" s="14" t="n">
        <v>4.25</v>
      </c>
      <c r="E2585" s="14" t="n">
        <v>1.923</v>
      </c>
      <c r="F2585" s="14" t="n">
        <v>2</v>
      </c>
      <c r="G2585" s="14" t="n">
        <v>4</v>
      </c>
      <c r="H2585" s="14" t="n">
        <v>3.9672</v>
      </c>
      <c r="I2585" s="14" t="n">
        <v>3.97106118591091</v>
      </c>
      <c r="J2585" s="14" t="n">
        <v>3.95200727379542</v>
      </c>
      <c r="K2585" s="14" t="n">
        <v>3.88332404475653</v>
      </c>
      <c r="L2585" s="14" t="n">
        <v>3.74282841729852</v>
      </c>
      <c r="M2585" s="14" t="n">
        <v>1.526</v>
      </c>
      <c r="N2585" s="14" t="n">
        <v>1.548</v>
      </c>
      <c r="O2585" s="14" t="n">
        <v>1.609</v>
      </c>
      <c r="P2585" s="14" t="n">
        <v>1.64</v>
      </c>
      <c r="Q2585" s="14" t="n">
        <v>4.25</v>
      </c>
      <c r="R2585" s="14" t="n">
        <v>4.25</v>
      </c>
      <c r="S2585" s="14" t="n">
        <v>15</v>
      </c>
    </row>
    <row r="2586" customFormat="false" ht="15" hidden="false" customHeight="false" outlineLevel="0" collapsed="false">
      <c r="A2586" s="13" t="n">
        <v>45883</v>
      </c>
      <c r="B2586" s="14" t="n">
        <v>4.34</v>
      </c>
      <c r="C2586" s="14" t="n">
        <v>4.5</v>
      </c>
      <c r="D2586" s="14" t="n">
        <v>4.25</v>
      </c>
      <c r="E2586" s="14" t="n">
        <v>1.926</v>
      </c>
      <c r="F2586" s="14" t="n">
        <v>2</v>
      </c>
      <c r="G2586" s="14" t="n">
        <v>4</v>
      </c>
      <c r="H2586" s="14" t="n">
        <v>3.9674</v>
      </c>
      <c r="I2586" s="14" t="n">
        <v>3.97051275763111</v>
      </c>
      <c r="J2586" s="14" t="n">
        <v>3.95310962314348</v>
      </c>
      <c r="K2586" s="14" t="n">
        <v>3.89138719968512</v>
      </c>
      <c r="L2586" s="14" t="n">
        <v>3.75765298803889</v>
      </c>
      <c r="M2586" s="14" t="n">
        <v>1.525</v>
      </c>
      <c r="N2586" s="14" t="n">
        <v>1.549</v>
      </c>
      <c r="O2586" s="14" t="n">
        <v>1.609</v>
      </c>
      <c r="P2586" s="14" t="n">
        <v>1.64</v>
      </c>
      <c r="Q2586" s="14" t="n">
        <v>4.25</v>
      </c>
      <c r="R2586" s="14" t="n">
        <v>4.25</v>
      </c>
      <c r="S2586" s="14" t="n">
        <v>15</v>
      </c>
    </row>
    <row r="2587" customFormat="false" ht="15" hidden="false" customHeight="false" outlineLevel="0" collapsed="false">
      <c r="A2587" s="13" t="n">
        <v>45884</v>
      </c>
      <c r="B2587" s="14" t="n">
        <v>4.36</v>
      </c>
      <c r="C2587" s="14" t="n">
        <v>4.5</v>
      </c>
      <c r="D2587" s="14" t="n">
        <v>4.25</v>
      </c>
      <c r="E2587" s="14" t="n">
        <v>1.924</v>
      </c>
      <c r="F2587" s="14" t="n">
        <v>2</v>
      </c>
      <c r="G2587" s="14" t="n">
        <v>4</v>
      </c>
      <c r="H2587" s="14" t="n">
        <v>3.9671</v>
      </c>
      <c r="I2587" s="14" t="n">
        <v>3.97077840102325</v>
      </c>
      <c r="J2587" s="14" t="n">
        <v>3.95610769124488</v>
      </c>
      <c r="K2587" s="14" t="n">
        <v>3.89617632962988</v>
      </c>
      <c r="L2587" s="14" t="n">
        <v>3.76947084385949</v>
      </c>
      <c r="M2587" s="14" t="n">
        <v>1.526</v>
      </c>
      <c r="N2587" s="14" t="n">
        <v>1.547</v>
      </c>
      <c r="O2587" s="14" t="n">
        <v>1.607</v>
      </c>
      <c r="P2587" s="14" t="n">
        <v>1.64</v>
      </c>
      <c r="Q2587" s="14" t="n">
        <v>4.25</v>
      </c>
      <c r="R2587" s="14" t="n">
        <v>4.25</v>
      </c>
      <c r="S2587" s="14" t="n">
        <v>15</v>
      </c>
    </row>
    <row r="2588" customFormat="false" ht="15" hidden="false" customHeight="false" outlineLevel="0" collapsed="false">
      <c r="A2588" s="13" t="n">
        <v>45887</v>
      </c>
      <c r="B2588" s="14" t="n">
        <v>4.34</v>
      </c>
      <c r="C2588" s="14" t="n">
        <v>4.5</v>
      </c>
      <c r="D2588" s="14" t="n">
        <v>4.25</v>
      </c>
      <c r="E2588" s="14" t="n">
        <v>1.924</v>
      </c>
      <c r="F2588" s="14" t="n">
        <v>2</v>
      </c>
      <c r="G2588" s="14" t="n">
        <v>4</v>
      </c>
      <c r="H2588" s="14" t="n">
        <v>3.9669</v>
      </c>
      <c r="I2588" s="14" t="n">
        <v>3.96971378884153</v>
      </c>
      <c r="J2588" s="14" t="n">
        <v>3.95193754919233</v>
      </c>
      <c r="K2588" s="14" t="n">
        <v>3.89525563032839</v>
      </c>
      <c r="L2588" s="14" t="n">
        <v>3.77954761956604</v>
      </c>
      <c r="M2588" s="14" t="n">
        <v>1.528</v>
      </c>
      <c r="N2588" s="14" t="n">
        <v>1.549</v>
      </c>
      <c r="O2588" s="14" t="n">
        <v>1.608</v>
      </c>
      <c r="P2588" s="14" t="n">
        <v>1.643</v>
      </c>
      <c r="Q2588" s="14" t="n">
        <v>4.25</v>
      </c>
      <c r="R2588" s="14" t="n">
        <v>4.25</v>
      </c>
      <c r="S2588" s="14" t="n">
        <v>15</v>
      </c>
    </row>
    <row r="2589" customFormat="false" ht="15" hidden="false" customHeight="false" outlineLevel="0" collapsed="false">
      <c r="A2589" s="13" t="n">
        <v>45888</v>
      </c>
      <c r="B2589" s="14" t="n">
        <v>4.33</v>
      </c>
      <c r="C2589" s="14" t="n">
        <v>4.5</v>
      </c>
      <c r="D2589" s="14" t="n">
        <v>4.25</v>
      </c>
      <c r="E2589" s="14" t="n">
        <v>1.925</v>
      </c>
      <c r="F2589" s="14" t="n">
        <v>2</v>
      </c>
      <c r="G2589" s="14" t="n">
        <v>4</v>
      </c>
      <c r="H2589" s="14" t="n">
        <v>3.9671</v>
      </c>
      <c r="I2589" s="14" t="n">
        <v>3.9695466479019</v>
      </c>
      <c r="J2589" s="14" t="n">
        <v>3.9502626429932</v>
      </c>
      <c r="K2589" s="14" t="n">
        <v>3.89438956215804</v>
      </c>
      <c r="L2589" s="14" t="n">
        <v>3.78624664451871</v>
      </c>
      <c r="M2589" s="14" t="n">
        <v>1.528</v>
      </c>
      <c r="N2589" s="14" t="n">
        <v>1.55</v>
      </c>
      <c r="O2589" s="14" t="n">
        <v>1.61</v>
      </c>
      <c r="P2589" s="14" t="n">
        <v>1.647</v>
      </c>
      <c r="Q2589" s="14" t="n">
        <v>4.25</v>
      </c>
      <c r="R2589" s="14" t="n">
        <v>4.25</v>
      </c>
      <c r="S2589" s="14" t="n">
        <v>15</v>
      </c>
    </row>
    <row r="2590" customFormat="false" ht="15" hidden="false" customHeight="false" outlineLevel="0" collapsed="false">
      <c r="A2590" s="13" t="n">
        <v>45889</v>
      </c>
      <c r="B2590" s="14" t="n">
        <v>4.31</v>
      </c>
      <c r="C2590" s="14" t="n">
        <v>4.5</v>
      </c>
      <c r="D2590" s="14" t="n">
        <v>4.25</v>
      </c>
      <c r="E2590" s="14" t="n">
        <v>1.926</v>
      </c>
      <c r="F2590" s="14" t="n">
        <v>2</v>
      </c>
      <c r="G2590" s="14" t="n">
        <v>4</v>
      </c>
      <c r="H2590" s="14" t="n">
        <v>3.9673</v>
      </c>
      <c r="I2590" s="14" t="n">
        <v>3.9696999414169</v>
      </c>
      <c r="J2590" s="14" t="n">
        <v>3.95169020947728</v>
      </c>
      <c r="K2590" s="14" t="n">
        <v>3.89332231447091</v>
      </c>
      <c r="L2590" s="14" t="n">
        <v>3.77021963986413</v>
      </c>
      <c r="M2590" s="14" t="n">
        <v>1.532</v>
      </c>
      <c r="N2590" s="14" t="n">
        <v>1.55</v>
      </c>
      <c r="O2590" s="14" t="n">
        <v>1.61</v>
      </c>
      <c r="P2590" s="14" t="n">
        <v>1.649</v>
      </c>
      <c r="Q2590" s="14" t="n">
        <v>4.25</v>
      </c>
      <c r="R2590" s="14" t="n">
        <v>4.25</v>
      </c>
      <c r="S2590" s="14" t="n">
        <v>15</v>
      </c>
    </row>
    <row r="2591" customFormat="false" ht="15" hidden="false" customHeight="false" outlineLevel="0" collapsed="false">
      <c r="A2591" s="13" t="n">
        <v>45890</v>
      </c>
      <c r="B2591" s="14" t="n">
        <v>4.32</v>
      </c>
      <c r="C2591" s="14" t="n">
        <v>4.5</v>
      </c>
      <c r="D2591" s="14" t="n">
        <v>4.25</v>
      </c>
      <c r="E2591" s="14" t="n">
        <v>1.926</v>
      </c>
      <c r="F2591" s="14" t="n">
        <v>2</v>
      </c>
      <c r="G2591" s="14" t="n">
        <v>4</v>
      </c>
      <c r="H2591" s="14" t="n">
        <v>3.9675</v>
      </c>
      <c r="I2591" s="14" t="n">
        <v>3.96912556651442</v>
      </c>
      <c r="J2591" s="14" t="n">
        <v>3.9566535961131</v>
      </c>
      <c r="K2591" s="14" t="n">
        <v>3.91029679654833</v>
      </c>
      <c r="L2591" s="14" t="n">
        <v>3.79915314091447</v>
      </c>
      <c r="M2591" s="14" t="n">
        <v>1.533</v>
      </c>
      <c r="N2591" s="14" t="n">
        <v>1.55</v>
      </c>
      <c r="O2591" s="14" t="n">
        <v>1.61</v>
      </c>
      <c r="P2591" s="14" t="n">
        <v>1.653</v>
      </c>
      <c r="Q2591" s="14" t="n">
        <v>4.25</v>
      </c>
      <c r="R2591" s="14" t="n">
        <v>4.25</v>
      </c>
      <c r="S2591" s="14" t="n">
        <v>15</v>
      </c>
    </row>
    <row r="2592" customFormat="false" ht="15" hidden="false" customHeight="false" outlineLevel="0" collapsed="false">
      <c r="A2592" s="13" t="n">
        <v>45891</v>
      </c>
      <c r="B2592" s="14" t="n">
        <v>4.36</v>
      </c>
      <c r="C2592" s="14" t="n">
        <v>4.5</v>
      </c>
      <c r="D2592" s="14" t="n">
        <v>4.25</v>
      </c>
      <c r="E2592" s="14" t="n">
        <v>1.926</v>
      </c>
      <c r="F2592" s="14" t="n">
        <v>2</v>
      </c>
      <c r="G2592" s="14" t="n">
        <v>4</v>
      </c>
      <c r="H2592" s="14" t="n">
        <v>3.9671</v>
      </c>
      <c r="I2592" s="14" t="n">
        <v>3.96916068944228</v>
      </c>
      <c r="J2592" s="14" t="n">
        <v>3.95618659913573</v>
      </c>
      <c r="K2592" s="14" t="n">
        <v>3.90402841666468</v>
      </c>
      <c r="L2592" s="14" t="n">
        <v>3.78839399636319</v>
      </c>
      <c r="M2592" s="14" t="n">
        <v>1.53</v>
      </c>
      <c r="N2592" s="14" t="n">
        <v>1.55</v>
      </c>
      <c r="O2592" s="14" t="n">
        <v>1.61</v>
      </c>
      <c r="P2592" s="14" t="n">
        <v>1.653</v>
      </c>
      <c r="Q2592" s="14" t="n">
        <v>4.25</v>
      </c>
      <c r="R2592" s="14" t="n">
        <v>4.25</v>
      </c>
      <c r="S2592" s="14" t="n">
        <v>15</v>
      </c>
    </row>
    <row r="2593" customFormat="false" ht="15" hidden="false" customHeight="false" outlineLevel="0" collapsed="false">
      <c r="A2593" s="13" t="n">
        <v>45894</v>
      </c>
      <c r="B2593" s="14" t="n">
        <v>4.37</v>
      </c>
      <c r="C2593" s="14" t="n">
        <v>4.5</v>
      </c>
      <c r="D2593" s="14" t="n">
        <v>4.25</v>
      </c>
      <c r="E2593" s="14" t="n">
        <v>1.925</v>
      </c>
      <c r="F2593" s="14" t="n">
        <v>2</v>
      </c>
      <c r="M2593" s="14" t="n">
        <v>1.53</v>
      </c>
      <c r="N2593" s="14" t="n">
        <v>1.55</v>
      </c>
      <c r="O2593" s="14" t="n">
        <v>1.61</v>
      </c>
      <c r="P2593" s="14" t="n">
        <v>1.652</v>
      </c>
      <c r="Q2593" s="14" t="n">
        <v>4.25</v>
      </c>
      <c r="R2593" s="14" t="n">
        <v>4.25</v>
      </c>
      <c r="S2593" s="14" t="n">
        <v>15</v>
      </c>
    </row>
    <row r="2594" customFormat="false" ht="15" hidden="false" customHeight="false" outlineLevel="0" collapsed="false">
      <c r="A2594" s="13" t="n">
        <v>45895</v>
      </c>
      <c r="B2594" s="14" t="n">
        <v>4.38</v>
      </c>
      <c r="C2594" s="14" t="n">
        <v>4.5</v>
      </c>
      <c r="D2594" s="14" t="n">
        <v>4.25</v>
      </c>
      <c r="E2594" s="14" t="n">
        <v>1.926</v>
      </c>
      <c r="F2594" s="14" t="n">
        <v>2</v>
      </c>
      <c r="G2594" s="14" t="n">
        <v>4</v>
      </c>
      <c r="H2594" s="14" t="n">
        <v>3.9674</v>
      </c>
      <c r="I2594" s="14" t="n">
        <v>3.96828906386479</v>
      </c>
      <c r="J2594" s="14" t="n">
        <v>3.9534380944859</v>
      </c>
      <c r="K2594" s="14" t="n">
        <v>3.90221227381996</v>
      </c>
      <c r="L2594" s="14" t="n">
        <v>3.79594340139651</v>
      </c>
      <c r="M2594" s="14" t="n">
        <v>1.53</v>
      </c>
      <c r="N2594" s="14" t="n">
        <v>1.55</v>
      </c>
      <c r="O2594" s="14" t="n">
        <v>1.61</v>
      </c>
      <c r="P2594" s="14" t="n">
        <v>1.652</v>
      </c>
      <c r="Q2594" s="14" t="n">
        <v>4.25</v>
      </c>
      <c r="R2594" s="14" t="n">
        <v>4.25</v>
      </c>
      <c r="S2594" s="14" t="n">
        <v>15</v>
      </c>
    </row>
    <row r="2595" customFormat="false" ht="15" hidden="false" customHeight="false" outlineLevel="0" collapsed="false">
      <c r="A2595" s="13" t="n">
        <v>45896</v>
      </c>
      <c r="B2595" s="14" t="n">
        <v>4.36</v>
      </c>
      <c r="C2595" s="14" t="n">
        <v>4.5</v>
      </c>
      <c r="D2595" s="14" t="n">
        <v>4.25</v>
      </c>
      <c r="E2595" s="14" t="n">
        <v>1.925</v>
      </c>
      <c r="F2595" s="14" t="n">
        <v>2</v>
      </c>
      <c r="G2595" s="14" t="n">
        <v>4</v>
      </c>
      <c r="H2595" s="14" t="n">
        <v>3.9675</v>
      </c>
      <c r="I2595" s="14" t="n">
        <v>3.96972232141516</v>
      </c>
      <c r="J2595" s="14" t="n">
        <v>3.95613786380786</v>
      </c>
      <c r="K2595" s="14" t="n">
        <v>3.90611934359106</v>
      </c>
      <c r="L2595" s="14" t="n">
        <v>3.79884695537204</v>
      </c>
      <c r="M2595" s="14" t="n">
        <v>1.526</v>
      </c>
      <c r="N2595" s="14" t="n">
        <v>1.55</v>
      </c>
      <c r="O2595" s="14" t="n">
        <v>1.61</v>
      </c>
      <c r="P2595" s="14" t="n">
        <v>1.653</v>
      </c>
      <c r="Q2595" s="14" t="n">
        <v>4.25</v>
      </c>
      <c r="R2595" s="14" t="n">
        <v>4.25</v>
      </c>
      <c r="S2595" s="14" t="n">
        <v>15</v>
      </c>
    </row>
    <row r="2596" customFormat="false" ht="15" hidden="false" customHeight="false" outlineLevel="0" collapsed="false">
      <c r="A2596" s="13" t="n">
        <v>45897</v>
      </c>
      <c r="B2596" s="14" t="n">
        <v>4.34</v>
      </c>
      <c r="C2596" s="14" t="n">
        <v>4.5</v>
      </c>
      <c r="D2596" s="14" t="n">
        <v>4.25</v>
      </c>
      <c r="E2596" s="14" t="n">
        <v>1.925</v>
      </c>
      <c r="F2596" s="14" t="n">
        <v>2</v>
      </c>
      <c r="G2596" s="14" t="n">
        <v>4</v>
      </c>
      <c r="H2596" s="14" t="n">
        <v>3.9675</v>
      </c>
      <c r="I2596" s="14" t="n">
        <v>3.96960619075043</v>
      </c>
      <c r="J2596" s="14" t="n">
        <v>3.95428930057937</v>
      </c>
      <c r="K2596" s="14" t="n">
        <v>3.90352215560209</v>
      </c>
      <c r="L2596" s="14" t="n">
        <v>3.78747787620677</v>
      </c>
      <c r="M2596" s="14" t="n">
        <v>1.529</v>
      </c>
      <c r="N2596" s="14" t="n">
        <v>1.55</v>
      </c>
      <c r="O2596" s="14" t="n">
        <v>1.61</v>
      </c>
      <c r="P2596" s="14" t="n">
        <v>1.653</v>
      </c>
      <c r="Q2596" s="14" t="n">
        <v>4.25</v>
      </c>
      <c r="R2596" s="14" t="n">
        <v>4.25</v>
      </c>
      <c r="S2596" s="14" t="n">
        <v>15</v>
      </c>
    </row>
    <row r="2597" customFormat="false" ht="15" hidden="false" customHeight="false" outlineLevel="0" collapsed="false">
      <c r="A2597" s="13" t="n">
        <v>45898</v>
      </c>
      <c r="B2597" s="14" t="n">
        <v>4.34</v>
      </c>
      <c r="C2597" s="14" t="n">
        <v>4.5</v>
      </c>
      <c r="D2597" s="14" t="n">
        <v>4.25</v>
      </c>
      <c r="E2597" s="14" t="n">
        <v>1.92</v>
      </c>
      <c r="F2597" s="14" t="n">
        <v>2</v>
      </c>
      <c r="G2597" s="14" t="n">
        <v>4</v>
      </c>
      <c r="H2597" s="14" t="n">
        <v>3.9665</v>
      </c>
      <c r="I2597" s="14" t="n">
        <v>3.96908499699897</v>
      </c>
      <c r="J2597" s="14" t="n">
        <v>3.95485503581085</v>
      </c>
      <c r="K2597" s="14" t="n">
        <v>3.90401109351427</v>
      </c>
      <c r="L2597" s="14" t="n">
        <v>3.791909077238</v>
      </c>
      <c r="M2597" s="14" t="n">
        <v>1.527</v>
      </c>
      <c r="N2597" s="14" t="n">
        <v>1.55</v>
      </c>
      <c r="O2597" s="14" t="n">
        <v>1.61</v>
      </c>
      <c r="P2597" s="14" t="n">
        <v>1.652</v>
      </c>
      <c r="Q2597" s="14" t="n">
        <v>4.25</v>
      </c>
      <c r="R2597" s="14" t="n">
        <v>4.25</v>
      </c>
      <c r="S2597" s="14" t="n">
        <v>15</v>
      </c>
    </row>
    <row r="2598" customFormat="false" ht="15" hidden="false" customHeight="false" outlineLevel="0" collapsed="false">
      <c r="A2598" s="13" t="n">
        <v>45901</v>
      </c>
      <c r="C2598" s="14" t="n">
        <v>4.5</v>
      </c>
      <c r="D2598" s="14" t="n">
        <v>4.25</v>
      </c>
      <c r="E2598" s="14" t="n">
        <v>1.925</v>
      </c>
      <c r="F2598" s="14" t="n">
        <v>2</v>
      </c>
      <c r="G2598" s="14" t="n">
        <v>4</v>
      </c>
      <c r="H2598" s="14" t="n">
        <v>3.9669</v>
      </c>
      <c r="I2598" s="14" t="n">
        <v>3.9687858634908</v>
      </c>
      <c r="J2598" s="14" t="n">
        <v>3.9519741569119</v>
      </c>
      <c r="K2598" s="14" t="n">
        <v>3.899389283982</v>
      </c>
      <c r="L2598" s="14" t="n">
        <v>3.79151906612947</v>
      </c>
      <c r="M2598" s="14" t="n">
        <v>1.521</v>
      </c>
      <c r="N2598" s="14" t="n">
        <v>1.549</v>
      </c>
      <c r="O2598" s="14" t="n">
        <v>1.61</v>
      </c>
      <c r="P2598" s="14" t="n">
        <v>1.654</v>
      </c>
      <c r="Q2598" s="14" t="n">
        <v>4.25</v>
      </c>
      <c r="R2598" s="14" t="n">
        <v>4.25</v>
      </c>
      <c r="S2598" s="14" t="n">
        <v>15</v>
      </c>
    </row>
    <row r="2599" customFormat="false" ht="15" hidden="false" customHeight="false" outlineLevel="0" collapsed="false">
      <c r="A2599" s="13" t="n">
        <v>45902</v>
      </c>
      <c r="B2599" s="14" t="n">
        <v>4.39</v>
      </c>
      <c r="C2599" s="14" t="n">
        <v>4.5</v>
      </c>
      <c r="D2599" s="14" t="n">
        <v>4.25</v>
      </c>
      <c r="E2599" s="14" t="n">
        <v>1.922</v>
      </c>
      <c r="F2599" s="14" t="n">
        <v>2</v>
      </c>
      <c r="G2599" s="14" t="n">
        <v>4</v>
      </c>
      <c r="H2599" s="14" t="n">
        <v>3.9669</v>
      </c>
      <c r="I2599" s="14" t="n">
        <v>3.96829222021794</v>
      </c>
      <c r="J2599" s="14" t="n">
        <v>3.95186369769681</v>
      </c>
      <c r="K2599" s="14" t="n">
        <v>3.90172687130418</v>
      </c>
      <c r="L2599" s="14" t="n">
        <v>3.79936288137757</v>
      </c>
      <c r="M2599" s="14" t="n">
        <v>1.518</v>
      </c>
      <c r="N2599" s="14" t="n">
        <v>1.549</v>
      </c>
      <c r="O2599" s="14" t="n">
        <v>1.61</v>
      </c>
      <c r="P2599" s="14" t="n">
        <v>1.655</v>
      </c>
      <c r="Q2599" s="14" t="n">
        <v>4.25</v>
      </c>
      <c r="R2599" s="14" t="n">
        <v>4.25</v>
      </c>
      <c r="S2599" s="14" t="n">
        <v>15</v>
      </c>
    </row>
    <row r="2600" customFormat="false" ht="15" hidden="false" customHeight="false" outlineLevel="0" collapsed="false">
      <c r="A2600" s="13" t="n">
        <v>45903</v>
      </c>
      <c r="B2600" s="14" t="n">
        <v>4.39</v>
      </c>
      <c r="C2600" s="14" t="n">
        <v>4.5</v>
      </c>
      <c r="D2600" s="14" t="n">
        <v>4.25</v>
      </c>
      <c r="E2600" s="14" t="n">
        <v>1.923</v>
      </c>
      <c r="F2600" s="14" t="n">
        <v>2</v>
      </c>
      <c r="G2600" s="14" t="n">
        <v>4</v>
      </c>
      <c r="H2600" s="14" t="n">
        <v>3.967</v>
      </c>
      <c r="I2600" s="14" t="n">
        <v>3.96867068422184</v>
      </c>
      <c r="J2600" s="14" t="n">
        <v>3.95183252799393</v>
      </c>
      <c r="K2600" s="14" t="n">
        <v>3.89837676903662</v>
      </c>
      <c r="L2600" s="14" t="n">
        <v>3.7884787425984</v>
      </c>
      <c r="M2600" s="14" t="n">
        <v>1.517</v>
      </c>
      <c r="N2600" s="14" t="n">
        <v>1.55</v>
      </c>
      <c r="O2600" s="14" t="n">
        <v>1.61</v>
      </c>
      <c r="P2600" s="14" t="n">
        <v>1.656</v>
      </c>
      <c r="Q2600" s="14" t="n">
        <v>4.25</v>
      </c>
      <c r="R2600" s="14" t="n">
        <v>4.25</v>
      </c>
      <c r="S2600" s="14" t="n">
        <v>15</v>
      </c>
    </row>
    <row r="2601" customFormat="false" ht="15" hidden="false" customHeight="false" outlineLevel="0" collapsed="false">
      <c r="A2601" s="13" t="n">
        <v>45904</v>
      </c>
      <c r="B2601" s="14" t="n">
        <v>4.41</v>
      </c>
      <c r="C2601" s="14" t="n">
        <v>4.5</v>
      </c>
      <c r="D2601" s="14" t="n">
        <v>4.25</v>
      </c>
      <c r="E2601" s="14" t="n">
        <v>1.925</v>
      </c>
      <c r="F2601" s="14" t="n">
        <v>2</v>
      </c>
      <c r="G2601" s="14" t="n">
        <v>4</v>
      </c>
      <c r="H2601" s="14" t="n">
        <v>3.9671</v>
      </c>
      <c r="I2601" s="14" t="n">
        <v>3.96817965930757</v>
      </c>
      <c r="J2601" s="14" t="n">
        <v>3.95029479768412</v>
      </c>
      <c r="K2601" s="14" t="n">
        <v>3.89411824403013</v>
      </c>
      <c r="L2601" s="14" t="n">
        <v>3.77861377095317</v>
      </c>
      <c r="M2601" s="14" t="n">
        <v>1.519</v>
      </c>
      <c r="N2601" s="14" t="n">
        <v>1.55</v>
      </c>
      <c r="O2601" s="14" t="n">
        <v>1.609</v>
      </c>
      <c r="P2601" s="14" t="n">
        <v>1.658</v>
      </c>
      <c r="Q2601" s="14" t="n">
        <v>4.25</v>
      </c>
      <c r="R2601" s="14" t="n">
        <v>4.25</v>
      </c>
      <c r="S2601" s="14" t="n">
        <v>15</v>
      </c>
    </row>
    <row r="2602" customFormat="false" ht="15" hidden="false" customHeight="false" outlineLevel="0" collapsed="false">
      <c r="A2602" s="13" t="n">
        <v>45905</v>
      </c>
      <c r="B2602" s="14" t="n">
        <v>4.42</v>
      </c>
      <c r="C2602" s="14" t="n">
        <v>4.5</v>
      </c>
      <c r="D2602" s="14" t="n">
        <v>4.25</v>
      </c>
      <c r="E2602" s="14" t="n">
        <v>1.923</v>
      </c>
      <c r="F2602" s="14" t="n">
        <v>2</v>
      </c>
      <c r="G2602" s="14" t="n">
        <v>4</v>
      </c>
      <c r="H2602" s="14" t="n">
        <v>3.9669</v>
      </c>
      <c r="I2602" s="14" t="n">
        <v>3.96970938753064</v>
      </c>
      <c r="J2602" s="14" t="n">
        <v>3.95028614447272</v>
      </c>
      <c r="K2602" s="14" t="n">
        <v>3.88355915703025</v>
      </c>
      <c r="L2602" s="14" t="n">
        <v>3.75826919645352</v>
      </c>
      <c r="M2602" s="14" t="n">
        <v>1.52</v>
      </c>
      <c r="N2602" s="14" t="n">
        <v>1.55</v>
      </c>
      <c r="O2602" s="14" t="n">
        <v>1.61</v>
      </c>
      <c r="P2602" s="14" t="n">
        <v>1.66</v>
      </c>
      <c r="Q2602" s="14" t="n">
        <v>4.25</v>
      </c>
      <c r="R2602" s="14" t="n">
        <v>4.25</v>
      </c>
      <c r="S2602" s="14" t="n">
        <v>15</v>
      </c>
    </row>
    <row r="2603" customFormat="false" ht="15" hidden="false" customHeight="false" outlineLevel="0" collapsed="false">
      <c r="A2603" s="13" t="n">
        <v>45908</v>
      </c>
      <c r="B2603" s="14" t="n">
        <v>4.4</v>
      </c>
      <c r="C2603" s="14" t="n">
        <v>4.5</v>
      </c>
      <c r="D2603" s="14" t="n">
        <v>4.25</v>
      </c>
      <c r="E2603" s="14" t="n">
        <v>1.922</v>
      </c>
      <c r="F2603" s="14" t="n">
        <v>2</v>
      </c>
      <c r="G2603" s="14" t="n">
        <v>4</v>
      </c>
      <c r="H2603" s="14" t="n">
        <v>3.967</v>
      </c>
      <c r="I2603" s="14" t="n">
        <v>3.96971780868316</v>
      </c>
      <c r="J2603" s="14" t="n">
        <v>3.94605879844497</v>
      </c>
      <c r="K2603" s="14" t="n">
        <v>3.88106355432332</v>
      </c>
      <c r="L2603" s="14" t="n">
        <v>3.75236678758414</v>
      </c>
      <c r="M2603" s="14" t="n">
        <v>1.52</v>
      </c>
      <c r="N2603" s="14" t="n">
        <v>1.55</v>
      </c>
      <c r="O2603" s="14" t="n">
        <v>1.611</v>
      </c>
      <c r="P2603" s="14" t="n">
        <v>1.66</v>
      </c>
      <c r="Q2603" s="14" t="n">
        <v>4.25</v>
      </c>
      <c r="R2603" s="14" t="n">
        <v>4.25</v>
      </c>
      <c r="S2603" s="14" t="n">
        <v>15</v>
      </c>
    </row>
    <row r="2604" customFormat="false" ht="15" hidden="false" customHeight="false" outlineLevel="0" collapsed="false">
      <c r="A2604" s="13" t="n">
        <v>45909</v>
      </c>
      <c r="B2604" s="14" t="n">
        <v>4.4</v>
      </c>
      <c r="C2604" s="14" t="n">
        <v>4.5</v>
      </c>
      <c r="D2604" s="14" t="n">
        <v>4.25</v>
      </c>
      <c r="E2604" s="14" t="n">
        <v>1.923</v>
      </c>
      <c r="F2604" s="14" t="n">
        <v>2</v>
      </c>
      <c r="G2604" s="14" t="n">
        <v>4</v>
      </c>
      <c r="H2604" s="14" t="n">
        <v>3.967</v>
      </c>
      <c r="I2604" s="14" t="n">
        <v>3.9674498640578</v>
      </c>
      <c r="J2604" s="14" t="n">
        <v>3.94469136660119</v>
      </c>
      <c r="K2604" s="14" t="n">
        <v>3.88127587240179</v>
      </c>
      <c r="L2604" s="14" t="n">
        <v>3.75587108071179</v>
      </c>
      <c r="M2604" s="14" t="n">
        <v>1.522</v>
      </c>
      <c r="N2604" s="14" t="n">
        <v>1.551</v>
      </c>
      <c r="O2604" s="14" t="n">
        <v>1.615</v>
      </c>
      <c r="P2604" s="14" t="n">
        <v>1.661</v>
      </c>
      <c r="Q2604" s="14" t="n">
        <v>4.25</v>
      </c>
      <c r="R2604" s="14" t="n">
        <v>4.25</v>
      </c>
      <c r="S2604" s="14" t="n">
        <v>15</v>
      </c>
    </row>
    <row r="2605" customFormat="false" ht="15" hidden="false" customHeight="false" outlineLevel="0" collapsed="false">
      <c r="A2605" s="13" t="n">
        <v>45910</v>
      </c>
      <c r="B2605" s="14" t="n">
        <v>4.39</v>
      </c>
      <c r="C2605" s="14" t="n">
        <v>4.5</v>
      </c>
      <c r="D2605" s="14" t="n">
        <v>4.25</v>
      </c>
      <c r="E2605" s="14" t="n">
        <v>1.922</v>
      </c>
      <c r="F2605" s="14" t="n">
        <v>2</v>
      </c>
      <c r="G2605" s="14" t="n">
        <v>4</v>
      </c>
      <c r="H2605" s="14" t="n">
        <v>3.967</v>
      </c>
      <c r="I2605" s="14" t="n">
        <v>3.96693412378177</v>
      </c>
      <c r="J2605" s="14" t="n">
        <v>3.94434345286874</v>
      </c>
      <c r="K2605" s="14" t="n">
        <v>3.88433380756975</v>
      </c>
      <c r="L2605" s="14" t="n">
        <v>3.76893308592164</v>
      </c>
      <c r="M2605" s="14" t="n">
        <v>1.528</v>
      </c>
      <c r="N2605" s="14" t="n">
        <v>1.553</v>
      </c>
      <c r="O2605" s="14" t="n">
        <v>1.621</v>
      </c>
      <c r="P2605" s="14" t="n">
        <v>1.663</v>
      </c>
      <c r="Q2605" s="14" t="n">
        <v>4.25</v>
      </c>
      <c r="R2605" s="14" t="n">
        <v>4.25</v>
      </c>
      <c r="S2605" s="14" t="n">
        <v>15</v>
      </c>
    </row>
    <row r="2606" customFormat="false" ht="15" hidden="false" customHeight="false" outlineLevel="0" collapsed="false">
      <c r="A2606" s="13" t="n">
        <v>45911</v>
      </c>
      <c r="B2606" s="14" t="n">
        <v>4.41</v>
      </c>
      <c r="C2606" s="14" t="n">
        <v>4.5</v>
      </c>
      <c r="D2606" s="14" t="n">
        <v>4.25</v>
      </c>
      <c r="E2606" s="14" t="n">
        <v>1.925</v>
      </c>
      <c r="F2606" s="14" t="n">
        <v>2</v>
      </c>
      <c r="G2606" s="14" t="n">
        <v>4</v>
      </c>
      <c r="H2606" s="14" t="n">
        <v>3.967</v>
      </c>
      <c r="I2606" s="14" t="n">
        <v>3.9675524960334</v>
      </c>
      <c r="J2606" s="14" t="n">
        <v>3.94442471548527</v>
      </c>
      <c r="K2606" s="14" t="n">
        <v>3.88299100655971</v>
      </c>
      <c r="L2606" s="14" t="n">
        <v>3.76544027405564</v>
      </c>
      <c r="M2606" s="14" t="n">
        <v>1.53</v>
      </c>
      <c r="N2606" s="14" t="n">
        <v>1.553</v>
      </c>
      <c r="O2606" s="14" t="n">
        <v>1.623</v>
      </c>
      <c r="P2606" s="14" t="n">
        <v>1.665</v>
      </c>
      <c r="Q2606" s="14" t="n">
        <v>4.25</v>
      </c>
      <c r="R2606" s="14" t="n">
        <v>4.25</v>
      </c>
      <c r="S2606" s="14" t="n">
        <v>15</v>
      </c>
    </row>
    <row r="2607" customFormat="false" ht="15" hidden="false" customHeight="false" outlineLevel="0" collapsed="false">
      <c r="A2607" s="13" t="n">
        <v>45912</v>
      </c>
      <c r="B2607" s="14" t="n">
        <v>4.42</v>
      </c>
      <c r="C2607" s="14" t="n">
        <v>4.5</v>
      </c>
      <c r="D2607" s="14" t="n">
        <v>4.25</v>
      </c>
      <c r="E2607" s="14" t="n">
        <v>1.925</v>
      </c>
      <c r="F2607" s="14" t="n">
        <v>2</v>
      </c>
      <c r="G2607" s="14" t="n">
        <v>4</v>
      </c>
      <c r="H2607" s="14" t="n">
        <v>3.9672</v>
      </c>
      <c r="I2607" s="14" t="n">
        <v>3.96815984428497</v>
      </c>
      <c r="J2607" s="14" t="n">
        <v>3.95077551543878</v>
      </c>
      <c r="K2607" s="14" t="n">
        <v>3.89573864019479</v>
      </c>
      <c r="L2607" s="14" t="n">
        <v>3.78680299099731</v>
      </c>
      <c r="M2607" s="14" t="n">
        <v>1.532</v>
      </c>
      <c r="N2607" s="14" t="n">
        <v>1.553</v>
      </c>
      <c r="O2607" s="14" t="n">
        <v>1.624</v>
      </c>
      <c r="P2607" s="14" t="n">
        <v>1.667</v>
      </c>
      <c r="Q2607" s="14" t="n">
        <v>4.25</v>
      </c>
      <c r="R2607" s="14" t="n">
        <v>4.25</v>
      </c>
      <c r="S2607" s="14" t="n">
        <v>15</v>
      </c>
    </row>
    <row r="2608" customFormat="false" ht="15" hidden="false" customHeight="false" outlineLevel="0" collapsed="false">
      <c r="A2608" s="13" t="n">
        <v>45915</v>
      </c>
      <c r="B2608" s="14" t="n">
        <v>4.51</v>
      </c>
      <c r="C2608" s="14" t="n">
        <v>4.5</v>
      </c>
      <c r="D2608" s="14" t="n">
        <v>4.25</v>
      </c>
      <c r="E2608" s="14" t="n">
        <v>1.926</v>
      </c>
      <c r="F2608" s="14" t="n">
        <v>2</v>
      </c>
      <c r="G2608" s="14" t="n">
        <v>4</v>
      </c>
      <c r="H2608" s="14" t="n">
        <v>3.9676</v>
      </c>
      <c r="I2608" s="14" t="n">
        <v>3.9641358194724</v>
      </c>
      <c r="J2608" s="14" t="n">
        <v>3.94394737869097</v>
      </c>
      <c r="K2608" s="14" t="n">
        <v>3.88765417923544</v>
      </c>
      <c r="L2608" s="14" t="n">
        <v>3.77343413908873</v>
      </c>
      <c r="M2608" s="14" t="n">
        <v>1.533</v>
      </c>
      <c r="N2608" s="14" t="n">
        <v>1.553</v>
      </c>
      <c r="O2608" s="14" t="n">
        <v>1.626</v>
      </c>
      <c r="P2608" s="14" t="n">
        <v>1.671</v>
      </c>
      <c r="Q2608" s="14" t="n">
        <v>4.25</v>
      </c>
      <c r="R2608" s="14" t="n">
        <v>4.25</v>
      </c>
      <c r="S2608" s="14" t="n">
        <v>15</v>
      </c>
    </row>
    <row r="2609" customFormat="false" ht="15" hidden="false" customHeight="false" outlineLevel="0" collapsed="false">
      <c r="A2609" s="13" t="n">
        <v>45916</v>
      </c>
      <c r="B2609" s="14" t="n">
        <v>4.39</v>
      </c>
      <c r="C2609" s="14" t="n">
        <v>4.5</v>
      </c>
      <c r="D2609" s="14" t="n">
        <v>4.25</v>
      </c>
      <c r="E2609" s="14" t="n">
        <v>1.926</v>
      </c>
      <c r="F2609" s="14" t="n">
        <v>2</v>
      </c>
      <c r="G2609" s="14" t="n">
        <v>4</v>
      </c>
      <c r="H2609" s="14" t="n">
        <v>3.9673</v>
      </c>
      <c r="I2609" s="14" t="n">
        <v>3.96802765893131</v>
      </c>
      <c r="J2609" s="14" t="n">
        <v>3.94646500036865</v>
      </c>
      <c r="K2609" s="14" t="n">
        <v>3.88843528702855</v>
      </c>
      <c r="L2609" s="14" t="n">
        <v>3.77472017407003</v>
      </c>
      <c r="M2609" s="14" t="n">
        <v>1.535</v>
      </c>
      <c r="N2609" s="14" t="n">
        <v>1.553</v>
      </c>
      <c r="O2609" s="14" t="n">
        <v>1.63</v>
      </c>
      <c r="P2609" s="14" t="n">
        <v>1.671</v>
      </c>
      <c r="Q2609" s="14" t="n">
        <v>4.25</v>
      </c>
      <c r="R2609" s="14" t="n">
        <v>4.25</v>
      </c>
      <c r="S2609" s="14" t="n">
        <v>15</v>
      </c>
    </row>
    <row r="2610" customFormat="false" ht="15" hidden="false" customHeight="false" outlineLevel="0" collapsed="false">
      <c r="A2610" s="13" t="n">
        <v>45917</v>
      </c>
      <c r="B2610" s="14" t="n">
        <v>4.38</v>
      </c>
      <c r="C2610" s="14" t="n">
        <v>4.5</v>
      </c>
      <c r="D2610" s="14" t="n">
        <v>4.25</v>
      </c>
      <c r="E2610" s="14" t="n">
        <v>1.927</v>
      </c>
      <c r="F2610" s="14" t="n">
        <v>2</v>
      </c>
      <c r="G2610" s="14" t="n">
        <v>4</v>
      </c>
      <c r="H2610" s="14" t="n">
        <v>3.9674</v>
      </c>
      <c r="I2610" s="14" t="n">
        <v>3.96785108995262</v>
      </c>
      <c r="J2610" s="14" t="n">
        <v>3.95124865371581</v>
      </c>
      <c r="K2610" s="14" t="n">
        <v>3.90002410075611</v>
      </c>
      <c r="L2610" s="14" t="n">
        <v>3.79170392876146</v>
      </c>
      <c r="M2610" s="14" t="n">
        <v>1.541</v>
      </c>
      <c r="N2610" s="14" t="n">
        <v>1.554</v>
      </c>
      <c r="O2610" s="14" t="n">
        <v>1.63</v>
      </c>
      <c r="P2610" s="14" t="n">
        <v>1.671</v>
      </c>
      <c r="Q2610" s="14" t="n">
        <v>4.25</v>
      </c>
      <c r="R2610" s="14" t="n">
        <v>4.25</v>
      </c>
      <c r="S2610" s="14" t="n">
        <v>15</v>
      </c>
    </row>
    <row r="2611" customFormat="false" ht="15" hidden="false" customHeight="false" outlineLevel="0" collapsed="false">
      <c r="A2611" s="13" t="n">
        <v>45918</v>
      </c>
      <c r="B2611" s="14" t="n">
        <v>4.14</v>
      </c>
      <c r="C2611" s="14" t="n">
        <v>4.25</v>
      </c>
      <c r="D2611" s="14" t="n">
        <v>4</v>
      </c>
      <c r="E2611" s="14" t="n">
        <v>1.926</v>
      </c>
      <c r="F2611" s="14" t="n">
        <v>2</v>
      </c>
      <c r="G2611" s="14" t="n">
        <v>4</v>
      </c>
      <c r="H2611" s="14" t="n">
        <v>3.9674</v>
      </c>
      <c r="I2611" s="14" t="n">
        <v>3.96834018202339</v>
      </c>
      <c r="J2611" s="14" t="n">
        <v>3.95189282167949</v>
      </c>
      <c r="K2611" s="14" t="n">
        <v>3.8992818758227</v>
      </c>
      <c r="L2611" s="14" t="n">
        <v>3.78500062752924</v>
      </c>
      <c r="M2611" s="14" t="n">
        <v>1.544</v>
      </c>
      <c r="N2611" s="14" t="n">
        <v>1.556</v>
      </c>
      <c r="O2611" s="14" t="n">
        <v>1.631</v>
      </c>
      <c r="P2611" s="14" t="n">
        <v>1.673</v>
      </c>
      <c r="Q2611" s="14" t="n">
        <v>4.25</v>
      </c>
      <c r="R2611" s="14" t="n">
        <v>4.25</v>
      </c>
      <c r="S2611" s="14" t="n">
        <v>15</v>
      </c>
    </row>
    <row r="2612" customFormat="false" ht="15" hidden="false" customHeight="false" outlineLevel="0" collapsed="false">
      <c r="A2612" s="13" t="n">
        <v>45919</v>
      </c>
      <c r="B2612" s="14" t="n">
        <v>4.14</v>
      </c>
      <c r="C2612" s="14" t="n">
        <v>4.25</v>
      </c>
      <c r="D2612" s="14" t="n">
        <v>4</v>
      </c>
      <c r="E2612" s="14" t="n">
        <v>1.925</v>
      </c>
      <c r="F2612" s="14" t="n">
        <v>2</v>
      </c>
      <c r="G2612" s="14" t="n">
        <v>4</v>
      </c>
      <c r="H2612" s="14" t="n">
        <v>3.9673</v>
      </c>
      <c r="I2612" s="14" t="n">
        <v>3.96905552993406</v>
      </c>
      <c r="J2612" s="14" t="n">
        <v>3.95472456297166</v>
      </c>
      <c r="K2612" s="14" t="n">
        <v>3.9012850684682</v>
      </c>
      <c r="L2612" s="14" t="n">
        <v>3.79088451806719</v>
      </c>
      <c r="M2612" s="14" t="n">
        <v>1.547</v>
      </c>
      <c r="N2612" s="14" t="n">
        <v>1.562</v>
      </c>
      <c r="O2612" s="14" t="n">
        <v>1.632</v>
      </c>
      <c r="P2612" s="14" t="n">
        <v>1.673</v>
      </c>
      <c r="Q2612" s="14" t="n">
        <v>4</v>
      </c>
      <c r="R2612" s="14" t="n">
        <v>4</v>
      </c>
      <c r="S2612" s="14" t="n">
        <v>15</v>
      </c>
    </row>
    <row r="2613" customFormat="false" ht="15" hidden="false" customHeight="false" outlineLevel="0" collapsed="false">
      <c r="A2613" s="13" t="n">
        <v>45922</v>
      </c>
      <c r="B2613" s="14" t="n">
        <v>4.14</v>
      </c>
      <c r="C2613" s="14" t="n">
        <v>4.25</v>
      </c>
      <c r="D2613" s="14" t="n">
        <v>4</v>
      </c>
      <c r="E2613" s="14" t="n">
        <v>1.925</v>
      </c>
      <c r="F2613" s="14" t="n">
        <v>2</v>
      </c>
      <c r="G2613" s="14" t="n">
        <v>4</v>
      </c>
      <c r="H2613" s="14" t="n">
        <v>3.9671</v>
      </c>
      <c r="I2613" s="14" t="n">
        <v>3.96890633350478</v>
      </c>
      <c r="J2613" s="14" t="n">
        <v>3.95222921041065</v>
      </c>
      <c r="K2613" s="14" t="n">
        <v>3.90123722831511</v>
      </c>
      <c r="L2613" s="14" t="n">
        <v>3.78961610941086</v>
      </c>
      <c r="M2613" s="14" t="n">
        <v>1.55</v>
      </c>
      <c r="N2613" s="14" t="n">
        <v>1.562</v>
      </c>
      <c r="O2613" s="14" t="n">
        <v>1.63</v>
      </c>
      <c r="P2613" s="14" t="n">
        <v>1.673</v>
      </c>
      <c r="Q2613" s="14" t="n">
        <v>4</v>
      </c>
      <c r="R2613" s="14" t="n">
        <v>4</v>
      </c>
      <c r="S2613" s="14" t="n">
        <v>15</v>
      </c>
    </row>
    <row r="2614" customFormat="false" ht="15" hidden="false" customHeight="false" outlineLevel="0" collapsed="false">
      <c r="A2614" s="13" t="n">
        <v>45923</v>
      </c>
      <c r="B2614" s="14" t="n">
        <v>4.12</v>
      </c>
      <c r="C2614" s="14" t="n">
        <v>4.25</v>
      </c>
      <c r="D2614" s="14" t="n">
        <v>4</v>
      </c>
      <c r="E2614" s="14" t="n">
        <v>1.927</v>
      </c>
      <c r="F2614" s="14" t="n">
        <v>2</v>
      </c>
      <c r="G2614" s="14" t="n">
        <v>4</v>
      </c>
      <c r="H2614" s="14" t="n">
        <v>3.9678</v>
      </c>
      <c r="I2614" s="14" t="n">
        <v>3.96902565974524</v>
      </c>
      <c r="J2614" s="14" t="n">
        <v>3.95160342835094</v>
      </c>
      <c r="K2614" s="14" t="n">
        <v>3.893687902316</v>
      </c>
      <c r="L2614" s="14" t="n">
        <v>3.77490369107917</v>
      </c>
      <c r="M2614" s="14" t="n">
        <v>1.551</v>
      </c>
      <c r="N2614" s="14" t="n">
        <v>1.562</v>
      </c>
      <c r="O2614" s="14" t="n">
        <v>1.63</v>
      </c>
      <c r="P2614" s="14" t="n">
        <v>1.672</v>
      </c>
      <c r="Q2614" s="14" t="n">
        <v>4</v>
      </c>
      <c r="R2614" s="14" t="n">
        <v>4</v>
      </c>
      <c r="S2614" s="14" t="n">
        <v>15</v>
      </c>
    </row>
    <row r="2615" customFormat="false" ht="15" hidden="false" customHeight="false" outlineLevel="0" collapsed="false">
      <c r="A2615" s="13" t="n">
        <v>45924</v>
      </c>
      <c r="B2615" s="14" t="n">
        <v>4.13</v>
      </c>
      <c r="C2615" s="14" t="n">
        <v>4.25</v>
      </c>
      <c r="D2615" s="14" t="n">
        <v>4</v>
      </c>
      <c r="E2615" s="14" t="n">
        <v>1.928</v>
      </c>
      <c r="F2615" s="14" t="n">
        <v>2</v>
      </c>
      <c r="G2615" s="14" t="n">
        <v>4</v>
      </c>
      <c r="H2615" s="14" t="n">
        <v>3.9677</v>
      </c>
      <c r="I2615" s="14" t="n">
        <v>3.97066178293693</v>
      </c>
      <c r="J2615" s="14" t="n">
        <v>3.95199817144342</v>
      </c>
      <c r="K2615" s="14" t="n">
        <v>3.89264541952249</v>
      </c>
      <c r="L2615" s="14" t="n">
        <v>3.77020858230216</v>
      </c>
      <c r="M2615" s="14" t="n">
        <v>1.556</v>
      </c>
      <c r="N2615" s="14" t="n">
        <v>1.566</v>
      </c>
      <c r="O2615" s="14" t="n">
        <v>1.632</v>
      </c>
      <c r="P2615" s="14" t="n">
        <v>1.674</v>
      </c>
      <c r="Q2615" s="14" t="n">
        <v>4</v>
      </c>
      <c r="R2615" s="14" t="n">
        <v>4</v>
      </c>
      <c r="S2615" s="14" t="n">
        <v>15</v>
      </c>
    </row>
    <row r="2616" customFormat="false" ht="15" hidden="false" customHeight="false" outlineLevel="0" collapsed="false">
      <c r="A2616" s="13" t="n">
        <v>45925</v>
      </c>
      <c r="B2616" s="14" t="n">
        <v>4.18</v>
      </c>
      <c r="C2616" s="14" t="n">
        <v>4.25</v>
      </c>
      <c r="D2616" s="14" t="n">
        <v>4</v>
      </c>
      <c r="E2616" s="14" t="n">
        <v>1.927</v>
      </c>
      <c r="F2616" s="14" t="n">
        <v>2</v>
      </c>
      <c r="G2616" s="14" t="n">
        <v>4</v>
      </c>
      <c r="H2616" s="14" t="n">
        <v>3.9675</v>
      </c>
      <c r="I2616" s="14" t="n">
        <v>3.96893961676293</v>
      </c>
      <c r="J2616" s="14" t="n">
        <v>3.95378310725476</v>
      </c>
      <c r="K2616" s="14" t="n">
        <v>3.90215526477028</v>
      </c>
      <c r="L2616" s="14" t="n">
        <v>3.79623265506478</v>
      </c>
      <c r="M2616" s="14" t="n">
        <v>1.564</v>
      </c>
      <c r="N2616" s="14" t="n">
        <v>1.574</v>
      </c>
      <c r="O2616" s="14" t="n">
        <v>1.635</v>
      </c>
      <c r="P2616" s="14" t="n">
        <v>1.679</v>
      </c>
      <c r="Q2616" s="14" t="n">
        <v>4</v>
      </c>
      <c r="R2616" s="14" t="n">
        <v>4</v>
      </c>
      <c r="S2616" s="14" t="n">
        <v>15</v>
      </c>
    </row>
    <row r="2617" customFormat="false" ht="15" hidden="false" customHeight="false" outlineLevel="0" collapsed="false">
      <c r="A2617" s="13" t="n">
        <v>45926</v>
      </c>
      <c r="B2617" s="14" t="n">
        <v>4.16</v>
      </c>
      <c r="C2617" s="14" t="n">
        <v>4.25</v>
      </c>
      <c r="D2617" s="14" t="n">
        <v>4</v>
      </c>
      <c r="E2617" s="14" t="n">
        <v>1.926</v>
      </c>
      <c r="F2617" s="14" t="n">
        <v>2</v>
      </c>
      <c r="G2617" s="14" t="n">
        <v>4</v>
      </c>
      <c r="H2617" s="14" t="n">
        <v>3.9669</v>
      </c>
      <c r="I2617" s="14" t="n">
        <v>3.97111540288742</v>
      </c>
      <c r="J2617" s="14" t="n">
        <v>3.95567101724253</v>
      </c>
      <c r="K2617" s="14" t="n">
        <v>3.90485438239405</v>
      </c>
      <c r="L2617" s="14" t="n">
        <v>3.80527849522658</v>
      </c>
      <c r="M2617" s="14" t="n">
        <v>1.566</v>
      </c>
      <c r="N2617" s="14" t="n">
        <v>1.576</v>
      </c>
      <c r="O2617" s="14" t="n">
        <v>1.639</v>
      </c>
      <c r="P2617" s="14" t="n">
        <v>1.681</v>
      </c>
      <c r="Q2617" s="14" t="n">
        <v>4</v>
      </c>
      <c r="R2617" s="14" t="n">
        <v>4</v>
      </c>
      <c r="S2617" s="14" t="n">
        <v>15</v>
      </c>
    </row>
    <row r="2618" customFormat="false" ht="15" hidden="false" customHeight="false" outlineLevel="0" collapsed="false">
      <c r="A2618" s="13" t="n">
        <v>45928</v>
      </c>
      <c r="C2618" s="14" t="n">
        <v>4.25</v>
      </c>
      <c r="D2618" s="14" t="n">
        <v>4</v>
      </c>
      <c r="F2618" s="14" t="n">
        <v>2</v>
      </c>
      <c r="M2618" s="14" t="n">
        <v>1.57</v>
      </c>
      <c r="N2618" s="14" t="n">
        <v>1.58</v>
      </c>
      <c r="O2618" s="14" t="n">
        <v>1.64</v>
      </c>
      <c r="P2618" s="14" t="n">
        <v>1.68</v>
      </c>
      <c r="S2618" s="14" t="n">
        <v>15</v>
      </c>
    </row>
    <row r="2619" customFormat="false" ht="15" hidden="false" customHeight="false" outlineLevel="0" collapsed="false">
      <c r="A2619" s="13" t="n">
        <v>45929</v>
      </c>
      <c r="B2619" s="14" t="n">
        <v>4.13</v>
      </c>
      <c r="C2619" s="14" t="n">
        <v>4.25</v>
      </c>
      <c r="D2619" s="14" t="n">
        <v>4</v>
      </c>
      <c r="E2619" s="14" t="n">
        <v>1.926</v>
      </c>
      <c r="F2619" s="14" t="n">
        <v>2</v>
      </c>
      <c r="G2619" s="14" t="n">
        <v>4</v>
      </c>
      <c r="H2619" s="14" t="n">
        <v>3.9667</v>
      </c>
      <c r="I2619" s="14" t="n">
        <v>3.96974628026886</v>
      </c>
      <c r="J2619" s="14" t="n">
        <v>3.95313112535066</v>
      </c>
      <c r="K2619" s="14" t="n">
        <v>3.90054269948814</v>
      </c>
      <c r="L2619" s="14" t="n">
        <v>3.79216784916086</v>
      </c>
      <c r="M2619" s="14" t="n">
        <v>1.571</v>
      </c>
      <c r="N2619" s="14" t="n">
        <v>1.58</v>
      </c>
      <c r="O2619" s="14" t="n">
        <v>1.64</v>
      </c>
      <c r="P2619" s="14" t="n">
        <v>1.68</v>
      </c>
      <c r="Q2619" s="14" t="n">
        <v>4</v>
      </c>
      <c r="R2619" s="14" t="n">
        <v>4</v>
      </c>
      <c r="S2619" s="14" t="n">
        <v>15</v>
      </c>
    </row>
    <row r="2620" customFormat="false" ht="15" hidden="false" customHeight="false" outlineLevel="0" collapsed="false">
      <c r="A2620" s="13" t="n">
        <v>45930</v>
      </c>
      <c r="B2620" s="14" t="n">
        <v>4.24</v>
      </c>
      <c r="C2620" s="14" t="n">
        <v>4.25</v>
      </c>
      <c r="D2620" s="14" t="n">
        <v>4</v>
      </c>
      <c r="E2620" s="14" t="n">
        <v>1.916</v>
      </c>
      <c r="F2620" s="14" t="n">
        <v>2</v>
      </c>
      <c r="G2620" s="14" t="n">
        <v>4</v>
      </c>
      <c r="H2620" s="14" t="n">
        <v>3.9671</v>
      </c>
      <c r="I2620" s="14" t="n">
        <v>3.96870229988719</v>
      </c>
      <c r="J2620" s="14" t="n">
        <v>3.95139656610553</v>
      </c>
      <c r="K2620" s="14" t="n">
        <v>3.89825534887011</v>
      </c>
      <c r="L2620" s="14" t="n">
        <v>3.78908490930117</v>
      </c>
      <c r="M2620" s="14" t="n">
        <v>1.57</v>
      </c>
      <c r="N2620" s="14" t="n">
        <v>1.58</v>
      </c>
      <c r="O2620" s="14" t="n">
        <v>1.64</v>
      </c>
      <c r="P2620" s="14" t="n">
        <v>1.68</v>
      </c>
      <c r="Q2620" s="14" t="n">
        <v>4</v>
      </c>
      <c r="R2620" s="14" t="n">
        <v>4</v>
      </c>
      <c r="S2620" s="14" t="n">
        <v>15</v>
      </c>
    </row>
    <row r="2621" customFormat="false" ht="15" hidden="false" customHeight="false" outlineLevel="0" collapsed="false">
      <c r="A2621" s="13" t="n">
        <v>45931</v>
      </c>
      <c r="B2621" s="14" t="n">
        <v>4.2</v>
      </c>
      <c r="C2621" s="14" t="n">
        <v>4.25</v>
      </c>
      <c r="D2621" s="14" t="n">
        <v>4</v>
      </c>
      <c r="E2621" s="14" t="n">
        <v>1.927</v>
      </c>
      <c r="F2621" s="14" t="n">
        <v>2</v>
      </c>
      <c r="G2621" s="14" t="n">
        <v>4</v>
      </c>
      <c r="H2621" s="14" t="n">
        <v>3.9674</v>
      </c>
      <c r="I2621" s="14" t="n">
        <v>3.9677321112026</v>
      </c>
      <c r="J2621" s="14" t="n">
        <v>3.94861024447664</v>
      </c>
      <c r="K2621" s="14" t="n">
        <v>3.89264170015671</v>
      </c>
      <c r="L2621" s="14" t="n">
        <v>3.77879792988314</v>
      </c>
      <c r="Q2621" s="14" t="n">
        <v>4</v>
      </c>
      <c r="R2621" s="14" t="n">
        <v>4</v>
      </c>
      <c r="S2621" s="14" t="n">
        <v>15</v>
      </c>
    </row>
    <row r="2622" customFormat="false" ht="15" hidden="false" customHeight="false" outlineLevel="0" collapsed="false">
      <c r="A2622" s="13" t="n">
        <v>45932</v>
      </c>
      <c r="B2622" s="14" t="n">
        <v>4.2</v>
      </c>
      <c r="C2622" s="14" t="n">
        <v>4.25</v>
      </c>
      <c r="D2622" s="14" t="n">
        <v>4</v>
      </c>
      <c r="E2622" s="14" t="n">
        <v>1.923</v>
      </c>
      <c r="F2622" s="14" t="n">
        <v>2</v>
      </c>
      <c r="G2622" s="14" t="n">
        <v>4</v>
      </c>
      <c r="H2622" s="14" t="n">
        <v>3.9674</v>
      </c>
      <c r="I2622" s="14" t="n">
        <v>3.96976725952434</v>
      </c>
      <c r="J2622" s="14" t="n">
        <v>3.95238576780931</v>
      </c>
      <c r="K2622" s="14" t="n">
        <v>3.89799647180959</v>
      </c>
      <c r="L2622" s="14" t="n">
        <v>3.78680199260999</v>
      </c>
      <c r="Q2622" s="14" t="n">
        <v>4</v>
      </c>
      <c r="R2622" s="14" t="n">
        <v>4</v>
      </c>
      <c r="S2622" s="14" t="n">
        <v>15</v>
      </c>
    </row>
    <row r="2623" customFormat="false" ht="15" hidden="false" customHeight="false" outlineLevel="0" collapsed="false">
      <c r="A2623" s="13" t="n">
        <v>45933</v>
      </c>
      <c r="B2623" s="14" t="n">
        <v>4.18</v>
      </c>
      <c r="C2623" s="14" t="n">
        <v>4.25</v>
      </c>
      <c r="D2623" s="14" t="n">
        <v>4</v>
      </c>
      <c r="E2623" s="14" t="n">
        <v>1.921</v>
      </c>
      <c r="F2623" s="14" t="n">
        <v>2</v>
      </c>
      <c r="G2623" s="14" t="n">
        <v>4</v>
      </c>
      <c r="H2623" s="14" t="n">
        <v>3.9672</v>
      </c>
      <c r="I2623" s="14" t="n">
        <v>3.96957389512474</v>
      </c>
      <c r="J2623" s="14" t="n">
        <v>3.95101948253033</v>
      </c>
      <c r="K2623" s="14" t="n">
        <v>3.89327912827798</v>
      </c>
      <c r="L2623" s="14" t="n">
        <v>3.77200606093368</v>
      </c>
      <c r="Q2623" s="14" t="n">
        <v>4</v>
      </c>
      <c r="R2623" s="14" t="n">
        <v>4</v>
      </c>
      <c r="S2623" s="14" t="n">
        <v>15</v>
      </c>
    </row>
    <row r="2624" customFormat="false" ht="15" hidden="false" customHeight="false" outlineLevel="0" collapsed="false">
      <c r="A2624" s="13" t="n">
        <v>45936</v>
      </c>
      <c r="B2624" s="14" t="n">
        <v>4.15</v>
      </c>
      <c r="C2624" s="14" t="n">
        <v>4.25</v>
      </c>
      <c r="D2624" s="14" t="n">
        <v>4</v>
      </c>
      <c r="E2624" s="14" t="n">
        <v>1.925</v>
      </c>
      <c r="F2624" s="14" t="n">
        <v>2</v>
      </c>
      <c r="G2624" s="14" t="n">
        <v>4</v>
      </c>
      <c r="H2624" s="14" t="n">
        <v>3.9674</v>
      </c>
      <c r="I2624" s="14" t="n">
        <v>3.96972392340723</v>
      </c>
      <c r="J2624" s="14" t="n">
        <v>3.94816016309975</v>
      </c>
      <c r="K2624" s="14" t="n">
        <v>3.89084934565684</v>
      </c>
      <c r="L2624" s="14" t="n">
        <v>3.78378168206363</v>
      </c>
      <c r="Q2624" s="14" t="n">
        <v>4</v>
      </c>
      <c r="R2624" s="14" t="n">
        <v>4</v>
      </c>
      <c r="S2624" s="14" t="n">
        <v>15</v>
      </c>
    </row>
    <row r="2625" customFormat="false" ht="15" hidden="false" customHeight="false" outlineLevel="0" collapsed="false">
      <c r="A2625" s="13" t="n">
        <v>45937</v>
      </c>
      <c r="B2625" s="14" t="n">
        <v>4.14</v>
      </c>
      <c r="C2625" s="14" t="n">
        <v>4.25</v>
      </c>
      <c r="D2625" s="14" t="n">
        <v>4</v>
      </c>
      <c r="E2625" s="14" t="n">
        <v>1.926</v>
      </c>
      <c r="F2625" s="14" t="n">
        <v>2</v>
      </c>
      <c r="G2625" s="14" t="n">
        <v>4</v>
      </c>
      <c r="H2625" s="14" t="n">
        <v>3.9676</v>
      </c>
      <c r="I2625" s="14" t="n">
        <v>3.96817679593326</v>
      </c>
      <c r="J2625" s="14" t="n">
        <v>3.9477779639367</v>
      </c>
      <c r="K2625" s="14" t="n">
        <v>3.89175840015112</v>
      </c>
      <c r="L2625" s="14" t="n">
        <v>3.78608770042046</v>
      </c>
      <c r="Q2625" s="14" t="n">
        <v>4</v>
      </c>
      <c r="R2625" s="14" t="n">
        <v>4</v>
      </c>
      <c r="S2625" s="14" t="n">
        <v>15</v>
      </c>
    </row>
    <row r="2626" customFormat="false" ht="15" hidden="false" customHeight="false" outlineLevel="0" collapsed="false">
      <c r="A2626" s="13" t="n">
        <v>45938</v>
      </c>
      <c r="B2626" s="14" t="n">
        <v>4.12</v>
      </c>
      <c r="C2626" s="14" t="n">
        <v>4.25</v>
      </c>
      <c r="D2626" s="14" t="n">
        <v>4</v>
      </c>
      <c r="E2626" s="14" t="n">
        <v>1.924</v>
      </c>
      <c r="F2626" s="14" t="n">
        <v>2</v>
      </c>
      <c r="G2626" s="14" t="n">
        <v>4</v>
      </c>
      <c r="H2626" s="14" t="n">
        <v>3.9677</v>
      </c>
      <c r="I2626" s="14" t="n">
        <v>3.96754423630816</v>
      </c>
      <c r="J2626" s="14" t="n">
        <v>3.94727343247426</v>
      </c>
      <c r="K2626" s="14" t="n">
        <v>3.89093352537945</v>
      </c>
      <c r="L2626" s="14" t="n">
        <v>3.78566356011183</v>
      </c>
      <c r="Q2626" s="14" t="n">
        <v>4</v>
      </c>
      <c r="R2626" s="14" t="n">
        <v>4</v>
      </c>
      <c r="S2626" s="14" t="n">
        <v>15</v>
      </c>
    </row>
    <row r="2627" customFormat="false" ht="15" hidden="false" customHeight="false" outlineLevel="0" collapsed="false">
      <c r="A2627" s="13" t="n">
        <v>45939</v>
      </c>
      <c r="B2627" s="14" t="n">
        <v>4.13</v>
      </c>
      <c r="C2627" s="14" t="n">
        <v>4.25</v>
      </c>
      <c r="D2627" s="14" t="n">
        <v>4</v>
      </c>
      <c r="E2627" s="14" t="n">
        <v>1.927</v>
      </c>
      <c r="F2627" s="14" t="n">
        <v>2</v>
      </c>
      <c r="G2627" s="14" t="n">
        <v>4</v>
      </c>
      <c r="H2627" s="14" t="n">
        <v>3.9678</v>
      </c>
      <c r="I2627" s="14" t="n">
        <v>3.96879029881724</v>
      </c>
      <c r="J2627" s="14" t="n">
        <v>3.94827266669417</v>
      </c>
      <c r="K2627" s="14" t="n">
        <v>3.8935086697985</v>
      </c>
      <c r="L2627" s="14" t="n">
        <v>3.79326981084276</v>
      </c>
      <c r="M2627" s="14" t="n">
        <v>1.567</v>
      </c>
      <c r="N2627" s="14" t="n">
        <v>1.579</v>
      </c>
      <c r="O2627" s="14" t="n">
        <v>1.638</v>
      </c>
      <c r="P2627" s="14" t="n">
        <v>1.677</v>
      </c>
      <c r="Q2627" s="14" t="n">
        <v>4</v>
      </c>
      <c r="R2627" s="14" t="n">
        <v>4</v>
      </c>
      <c r="S2627" s="14" t="n">
        <v>15</v>
      </c>
    </row>
    <row r="2628" customFormat="false" ht="15" hidden="false" customHeight="false" outlineLevel="0" collapsed="false">
      <c r="A2628" s="13" t="n">
        <v>45940</v>
      </c>
      <c r="B2628" s="14" t="n">
        <v>4.15</v>
      </c>
      <c r="C2628" s="14" t="n">
        <v>4.25</v>
      </c>
      <c r="D2628" s="14" t="n">
        <v>4</v>
      </c>
      <c r="E2628" s="14" t="n">
        <v>1.926</v>
      </c>
      <c r="F2628" s="14" t="n">
        <v>2</v>
      </c>
      <c r="G2628" s="14" t="n">
        <v>4</v>
      </c>
      <c r="H2628" s="14" t="n">
        <v>3.9678</v>
      </c>
      <c r="I2628" s="14" t="n">
        <v>3.96885412265583</v>
      </c>
      <c r="J2628" s="14" t="n">
        <v>3.94513181560807</v>
      </c>
      <c r="K2628" s="14" t="n">
        <v>3.8842382664341</v>
      </c>
      <c r="L2628" s="14" t="n">
        <v>3.77158567482123</v>
      </c>
      <c r="M2628" s="14" t="n">
        <v>1.559</v>
      </c>
      <c r="N2628" s="14" t="n">
        <v>1.578</v>
      </c>
      <c r="O2628" s="14" t="n">
        <v>1.636</v>
      </c>
      <c r="P2628" s="14" t="n">
        <v>1.675</v>
      </c>
      <c r="Q2628" s="14" t="n">
        <v>4</v>
      </c>
      <c r="R2628" s="14" t="n">
        <v>4</v>
      </c>
      <c r="S2628" s="14" t="n">
        <v>15</v>
      </c>
    </row>
    <row r="2629" customFormat="false" ht="15" hidden="false" customHeight="false" outlineLevel="0" collapsed="false">
      <c r="A2629" s="13" t="n">
        <v>45941</v>
      </c>
      <c r="C2629" s="14" t="n">
        <v>4.25</v>
      </c>
      <c r="D2629" s="14" t="n">
        <v>4</v>
      </c>
      <c r="F2629" s="14" t="n">
        <v>2</v>
      </c>
      <c r="M2629" s="14" t="n">
        <v>1.558</v>
      </c>
      <c r="N2629" s="14" t="n">
        <v>1.581</v>
      </c>
      <c r="O2629" s="14" t="n">
        <v>1.638</v>
      </c>
      <c r="P2629" s="14" t="n">
        <v>1.674</v>
      </c>
      <c r="S2629" s="14" t="n">
        <v>15</v>
      </c>
    </row>
    <row r="2630" customFormat="false" ht="15" hidden="false" customHeight="false" outlineLevel="0" collapsed="false">
      <c r="A2630" s="13" t="n">
        <v>45943</v>
      </c>
      <c r="C2630" s="14" t="n">
        <v>4.25</v>
      </c>
      <c r="D2630" s="14" t="n">
        <v>4</v>
      </c>
      <c r="E2630" s="14" t="n">
        <v>1.926</v>
      </c>
      <c r="F2630" s="14" t="n">
        <v>2</v>
      </c>
      <c r="G2630" s="14" t="n">
        <v>4</v>
      </c>
      <c r="H2630" s="14" t="n">
        <v>3.9672</v>
      </c>
      <c r="I2630" s="14" t="n">
        <v>3.9671891641992</v>
      </c>
      <c r="J2630" s="14" t="n">
        <v>3.94006193903805</v>
      </c>
      <c r="K2630" s="14" t="n">
        <v>3.87385394184638</v>
      </c>
      <c r="L2630" s="14" t="n">
        <v>3.75448977656493</v>
      </c>
      <c r="M2630" s="14" t="n">
        <v>1.557</v>
      </c>
      <c r="N2630" s="14" t="n">
        <v>1.58</v>
      </c>
      <c r="O2630" s="14" t="n">
        <v>1.639</v>
      </c>
      <c r="P2630" s="14" t="n">
        <v>1.669</v>
      </c>
      <c r="Q2630" s="14" t="n">
        <v>4</v>
      </c>
      <c r="R2630" s="14" t="n">
        <v>4</v>
      </c>
      <c r="S2630" s="14" t="n">
        <v>15</v>
      </c>
    </row>
    <row r="2631" customFormat="false" ht="15" hidden="false" customHeight="false" outlineLevel="0" collapsed="false">
      <c r="A2631" s="13" t="n">
        <v>45944</v>
      </c>
      <c r="B2631" s="14" t="n">
        <v>4.19</v>
      </c>
      <c r="C2631" s="14" t="n">
        <v>4.25</v>
      </c>
      <c r="D2631" s="14" t="n">
        <v>4</v>
      </c>
      <c r="E2631" s="14" t="n">
        <v>1.927</v>
      </c>
      <c r="F2631" s="14" t="n">
        <v>2</v>
      </c>
      <c r="G2631" s="14" t="n">
        <v>4</v>
      </c>
      <c r="H2631" s="14" t="n">
        <v>3.9674</v>
      </c>
      <c r="I2631" s="14" t="n">
        <v>3.96448000736</v>
      </c>
      <c r="J2631" s="14" t="n">
        <v>3.92558169317229</v>
      </c>
      <c r="K2631" s="14" t="n">
        <v>3.84476154149182</v>
      </c>
      <c r="L2631" s="14" t="n">
        <v>3.70769900108363</v>
      </c>
      <c r="M2631" s="14" t="n">
        <v>1.56</v>
      </c>
      <c r="N2631" s="14" t="n">
        <v>1.581</v>
      </c>
      <c r="O2631" s="14" t="n">
        <v>1.638</v>
      </c>
      <c r="P2631" s="14" t="n">
        <v>1.669</v>
      </c>
      <c r="Q2631" s="14" t="n">
        <v>4</v>
      </c>
      <c r="R2631" s="14" t="n">
        <v>4</v>
      </c>
      <c r="S2631" s="14" t="n">
        <v>15</v>
      </c>
    </row>
    <row r="2632" customFormat="false" ht="15" hidden="false" customHeight="false" outlineLevel="0" collapsed="false">
      <c r="A2632" s="13" t="n">
        <v>45945</v>
      </c>
      <c r="B2632" s="14" t="n">
        <v>4.29</v>
      </c>
      <c r="C2632" s="14" t="n">
        <v>4.25</v>
      </c>
      <c r="D2632" s="14" t="n">
        <v>4</v>
      </c>
      <c r="E2632" s="14" t="n">
        <v>1.928</v>
      </c>
      <c r="F2632" s="14" t="n">
        <v>2</v>
      </c>
      <c r="G2632" s="14" t="n">
        <v>4</v>
      </c>
      <c r="H2632" s="14" t="n">
        <v>3.9671</v>
      </c>
      <c r="I2632" s="14" t="n">
        <v>3.96346305962454</v>
      </c>
      <c r="J2632" s="14" t="n">
        <v>3.92377481154557</v>
      </c>
      <c r="K2632" s="14" t="n">
        <v>3.83950555691642</v>
      </c>
      <c r="L2632" s="14" t="n">
        <v>3.70053473186616</v>
      </c>
      <c r="M2632" s="14" t="n">
        <v>1.559</v>
      </c>
      <c r="N2632" s="14" t="n">
        <v>1.581</v>
      </c>
      <c r="O2632" s="14" t="n">
        <v>1.638</v>
      </c>
      <c r="P2632" s="14" t="n">
        <v>1.669</v>
      </c>
      <c r="Q2632" s="14" t="n">
        <v>4</v>
      </c>
      <c r="R2632" s="14" t="n">
        <v>4</v>
      </c>
      <c r="S2632" s="14" t="n">
        <v>15</v>
      </c>
    </row>
    <row r="2633" customFormat="false" ht="15" hidden="false" customHeight="false" outlineLevel="0" collapsed="false">
      <c r="A2633" s="13" t="n">
        <v>45946</v>
      </c>
      <c r="B2633" s="14" t="n">
        <v>4.3</v>
      </c>
      <c r="C2633" s="14" t="n">
        <v>4.25</v>
      </c>
      <c r="D2633" s="14" t="n">
        <v>4</v>
      </c>
      <c r="E2633" s="14" t="n">
        <v>1.928</v>
      </c>
      <c r="F2633" s="14" t="n">
        <v>2</v>
      </c>
      <c r="G2633" s="14" t="n">
        <v>4</v>
      </c>
      <c r="H2633" s="14" t="n">
        <v>3.9676</v>
      </c>
      <c r="I2633" s="14" t="n">
        <v>3.96225355679945</v>
      </c>
      <c r="J2633" s="14" t="n">
        <v>3.91592122879207</v>
      </c>
      <c r="K2633" s="14" t="n">
        <v>3.82124842047536</v>
      </c>
      <c r="L2633" s="14" t="n">
        <v>3.67134031894462</v>
      </c>
      <c r="M2633" s="14" t="n">
        <v>1.559</v>
      </c>
      <c r="N2633" s="14" t="n">
        <v>1.581</v>
      </c>
      <c r="O2633" s="14" t="n">
        <v>1.638</v>
      </c>
      <c r="P2633" s="14" t="n">
        <v>1.669</v>
      </c>
      <c r="Q2633" s="14" t="n">
        <v>4</v>
      </c>
      <c r="R2633" s="14" t="n">
        <v>4</v>
      </c>
      <c r="S2633" s="14" t="n">
        <v>15</v>
      </c>
    </row>
    <row r="2634" customFormat="false" ht="15" hidden="false" customHeight="false" outlineLevel="0" collapsed="false">
      <c r="A2634" s="13" t="n">
        <v>45947</v>
      </c>
      <c r="B2634" s="14" t="n">
        <v>4.18</v>
      </c>
      <c r="C2634" s="14" t="n">
        <v>4.25</v>
      </c>
      <c r="D2634" s="14" t="n">
        <v>4</v>
      </c>
      <c r="E2634" s="14" t="n">
        <v>1.928</v>
      </c>
      <c r="F2634" s="14" t="n">
        <v>2</v>
      </c>
      <c r="G2634" s="14" t="n">
        <v>4</v>
      </c>
      <c r="H2634" s="14" t="n">
        <v>3.9682</v>
      </c>
      <c r="I2634" s="14" t="n">
        <v>3.9625801956715</v>
      </c>
      <c r="J2634" s="14" t="n">
        <v>3.92041925117928</v>
      </c>
      <c r="K2634" s="14" t="n">
        <v>3.83099268970407</v>
      </c>
      <c r="L2634" s="14" t="n">
        <v>3.68864240367281</v>
      </c>
      <c r="M2634" s="14" t="n">
        <v>1.559</v>
      </c>
      <c r="N2634" s="14" t="n">
        <v>1.58</v>
      </c>
      <c r="O2634" s="14" t="n">
        <v>1.64</v>
      </c>
      <c r="P2634" s="14" t="n">
        <v>1.67</v>
      </c>
      <c r="Q2634" s="14" t="n">
        <v>4</v>
      </c>
      <c r="R2634" s="14" t="n">
        <v>4</v>
      </c>
      <c r="S2634" s="14" t="n">
        <v>15</v>
      </c>
    </row>
    <row r="2635" customFormat="false" ht="15" hidden="false" customHeight="false" outlineLevel="0" collapsed="false">
      <c r="A2635" s="13" t="n">
        <v>45950</v>
      </c>
      <c r="B2635" s="14" t="n">
        <v>4.16</v>
      </c>
      <c r="C2635" s="14" t="n">
        <v>4.25</v>
      </c>
      <c r="D2635" s="14" t="n">
        <v>4</v>
      </c>
      <c r="E2635" s="14" t="n">
        <v>1.927</v>
      </c>
      <c r="F2635" s="14" t="n">
        <v>2</v>
      </c>
      <c r="G2635" s="14" t="n">
        <v>4</v>
      </c>
      <c r="H2635" s="14" t="n">
        <v>3.9682</v>
      </c>
      <c r="I2635" s="14" t="n">
        <v>3.95779044105959</v>
      </c>
      <c r="J2635" s="14" t="n">
        <v>3.91258128829486</v>
      </c>
      <c r="K2635" s="14" t="n">
        <v>3.82140948699083</v>
      </c>
      <c r="L2635" s="14" t="n">
        <v>3.6756398041452</v>
      </c>
      <c r="M2635" s="14" t="n">
        <v>1.557</v>
      </c>
      <c r="N2635" s="14" t="n">
        <v>1.582</v>
      </c>
      <c r="O2635" s="14" t="n">
        <v>1.64</v>
      </c>
      <c r="P2635" s="14" t="n">
        <v>1.67</v>
      </c>
      <c r="Q2635" s="14" t="n">
        <v>4</v>
      </c>
      <c r="R2635" s="14" t="n">
        <v>4</v>
      </c>
      <c r="S2635" s="14" t="n">
        <v>15</v>
      </c>
    </row>
    <row r="2636" customFormat="false" ht="15" hidden="false" customHeight="false" outlineLevel="0" collapsed="false">
      <c r="A2636" s="13" t="n">
        <v>45951</v>
      </c>
      <c r="B2636" s="14" t="n">
        <v>4.23</v>
      </c>
      <c r="C2636" s="14" t="n">
        <v>4.25</v>
      </c>
      <c r="D2636" s="14" t="n">
        <v>4</v>
      </c>
      <c r="E2636" s="14" t="n">
        <v>1.928</v>
      </c>
      <c r="F2636" s="14" t="n">
        <v>2</v>
      </c>
      <c r="G2636" s="14" t="n">
        <v>4</v>
      </c>
      <c r="H2636" s="14" t="n">
        <v>3.9688</v>
      </c>
      <c r="I2636" s="14" t="n">
        <v>3.95890476462742</v>
      </c>
      <c r="J2636" s="14" t="n">
        <v>3.91464390637642</v>
      </c>
      <c r="K2636" s="14" t="n">
        <v>3.82539937417549</v>
      </c>
      <c r="L2636" s="14" t="n">
        <v>3.68456362568861</v>
      </c>
      <c r="M2636" s="14" t="n">
        <v>1.557</v>
      </c>
      <c r="N2636" s="14" t="n">
        <v>1.586</v>
      </c>
      <c r="O2636" s="14" t="n">
        <v>1.641</v>
      </c>
      <c r="P2636" s="14" t="n">
        <v>1.675</v>
      </c>
      <c r="Q2636" s="14" t="n">
        <v>4</v>
      </c>
      <c r="R2636" s="14" t="n">
        <v>4</v>
      </c>
      <c r="S2636" s="14" t="n">
        <v>15</v>
      </c>
    </row>
    <row r="2637" customFormat="false" ht="15" hidden="false" customHeight="false" outlineLevel="0" collapsed="false">
      <c r="A2637" s="13" t="n">
        <v>45952</v>
      </c>
      <c r="B2637" s="14" t="n">
        <v>4.21</v>
      </c>
      <c r="C2637" s="14" t="n">
        <v>4.25</v>
      </c>
      <c r="D2637" s="14" t="n">
        <v>4</v>
      </c>
      <c r="E2637" s="14" t="n">
        <v>1.927</v>
      </c>
      <c r="F2637" s="14" t="n">
        <v>2</v>
      </c>
      <c r="G2637" s="14" t="n">
        <v>4</v>
      </c>
      <c r="H2637" s="14" t="n">
        <v>3.9687</v>
      </c>
      <c r="I2637" s="14" t="n">
        <v>3.92903395222531</v>
      </c>
      <c r="J2637" s="14" t="n">
        <v>3.85796129067417</v>
      </c>
      <c r="K2637" s="14" t="n">
        <v>3.75005498447559</v>
      </c>
      <c r="L2637" s="14" t="n">
        <v>3.59117217469198</v>
      </c>
      <c r="M2637" s="14" t="n">
        <v>1.557</v>
      </c>
      <c r="N2637" s="14" t="n">
        <v>1.592</v>
      </c>
      <c r="O2637" s="14" t="n">
        <v>1.641</v>
      </c>
      <c r="P2637" s="14" t="n">
        <v>1.679</v>
      </c>
      <c r="Q2637" s="14" t="n">
        <v>4</v>
      </c>
      <c r="R2637" s="14" t="n">
        <v>4</v>
      </c>
      <c r="S2637" s="14" t="n">
        <v>15</v>
      </c>
    </row>
    <row r="2638" customFormat="false" ht="15" hidden="false" customHeight="false" outlineLevel="0" collapsed="false">
      <c r="A2638" s="13" t="n">
        <v>45953</v>
      </c>
      <c r="B2638" s="14" t="n">
        <v>4.24</v>
      </c>
      <c r="C2638" s="14" t="n">
        <v>4.25</v>
      </c>
      <c r="D2638" s="14" t="n">
        <v>4</v>
      </c>
      <c r="E2638" s="14" t="n">
        <v>1.929</v>
      </c>
      <c r="F2638" s="14" t="n">
        <v>2</v>
      </c>
      <c r="G2638" s="14" t="n">
        <v>4</v>
      </c>
      <c r="H2638" s="14" t="n">
        <v>3.9691</v>
      </c>
      <c r="I2638" s="14" t="n">
        <v>3.92824278500192</v>
      </c>
      <c r="J2638" s="14" t="n">
        <v>3.85919937701798</v>
      </c>
      <c r="K2638" s="14" t="n">
        <v>3.7493551607509</v>
      </c>
      <c r="L2638" s="14" t="n">
        <v>3.58843176271428</v>
      </c>
      <c r="M2638" s="14" t="n">
        <v>1.556</v>
      </c>
      <c r="N2638" s="14" t="n">
        <v>1.594</v>
      </c>
      <c r="O2638" s="14" t="n">
        <v>1.641</v>
      </c>
      <c r="P2638" s="14" t="n">
        <v>1.68</v>
      </c>
      <c r="Q2638" s="14" t="n">
        <v>4</v>
      </c>
      <c r="R2638" s="14" t="n">
        <v>4</v>
      </c>
      <c r="S2638" s="14" t="n">
        <v>15</v>
      </c>
    </row>
    <row r="2639" customFormat="false" ht="15" hidden="false" customHeight="false" outlineLevel="0" collapsed="false">
      <c r="A2639" s="13" t="n">
        <v>45954</v>
      </c>
      <c r="B2639" s="14" t="n">
        <v>4.24</v>
      </c>
      <c r="C2639" s="14" t="n">
        <v>4.25</v>
      </c>
      <c r="D2639" s="14" t="n">
        <v>4</v>
      </c>
      <c r="E2639" s="14" t="n">
        <v>1.928</v>
      </c>
      <c r="F2639" s="14" t="n">
        <v>2</v>
      </c>
      <c r="G2639" s="14" t="n">
        <v>4</v>
      </c>
      <c r="H2639" s="14" t="n">
        <v>3.9691</v>
      </c>
      <c r="I2639" s="14" t="n">
        <v>3.93996322455857</v>
      </c>
      <c r="J2639" s="14" t="n">
        <v>3.87485210585257</v>
      </c>
      <c r="K2639" s="14" t="n">
        <v>3.76216129586901</v>
      </c>
      <c r="L2639" s="14" t="n">
        <v>3.60372980122177</v>
      </c>
      <c r="M2639" s="14" t="n">
        <v>1.557</v>
      </c>
      <c r="N2639" s="14" t="n">
        <v>1.594</v>
      </c>
      <c r="O2639" s="14" t="n">
        <v>1.641</v>
      </c>
      <c r="P2639" s="14" t="n">
        <v>1.68</v>
      </c>
      <c r="Q2639" s="14" t="n">
        <v>4</v>
      </c>
      <c r="R2639" s="14" t="n">
        <v>4</v>
      </c>
      <c r="S2639" s="14" t="n">
        <v>15</v>
      </c>
    </row>
    <row r="2640" customFormat="false" ht="15" hidden="false" customHeight="false" outlineLevel="0" collapsed="false">
      <c r="A2640" s="13" t="n">
        <v>45957</v>
      </c>
      <c r="B2640" s="14" t="n">
        <v>4.27</v>
      </c>
      <c r="C2640" s="14" t="n">
        <v>4.25</v>
      </c>
      <c r="D2640" s="14" t="n">
        <v>4</v>
      </c>
      <c r="E2640" s="14" t="n">
        <v>1.929</v>
      </c>
      <c r="F2640" s="14" t="n">
        <v>2</v>
      </c>
      <c r="G2640" s="14" t="n">
        <v>4</v>
      </c>
      <c r="H2640" s="14" t="n">
        <v>3.9693</v>
      </c>
      <c r="I2640" s="14" t="n">
        <v>3.92799001229467</v>
      </c>
      <c r="J2640" s="14" t="n">
        <v>3.86687072142245</v>
      </c>
      <c r="K2640" s="14" t="n">
        <v>3.76089614653755</v>
      </c>
      <c r="L2640" s="14" t="n">
        <v>3.60689120476935</v>
      </c>
      <c r="M2640" s="14" t="n">
        <v>1.557</v>
      </c>
      <c r="N2640" s="14" t="n">
        <v>1.595</v>
      </c>
      <c r="O2640" s="14" t="n">
        <v>1.642</v>
      </c>
      <c r="P2640" s="14" t="n">
        <v>1.68</v>
      </c>
      <c r="Q2640" s="14" t="n">
        <v>4</v>
      </c>
      <c r="R2640" s="14" t="n">
        <v>4</v>
      </c>
      <c r="S2640" s="14" t="n">
        <v>15</v>
      </c>
    </row>
    <row r="2641" customFormat="false" ht="15" hidden="false" customHeight="false" outlineLevel="0" collapsed="false">
      <c r="A2641" s="13" t="n">
        <v>45958</v>
      </c>
      <c r="B2641" s="14" t="n">
        <v>4.31</v>
      </c>
      <c r="C2641" s="14" t="n">
        <v>4.25</v>
      </c>
      <c r="D2641" s="14" t="n">
        <v>4</v>
      </c>
      <c r="E2641" s="14" t="n">
        <v>1.93</v>
      </c>
      <c r="F2641" s="14" t="n">
        <v>2</v>
      </c>
      <c r="G2641" s="14" t="n">
        <v>4</v>
      </c>
      <c r="H2641" s="14" t="n">
        <v>3.9694</v>
      </c>
      <c r="I2641" s="14" t="n">
        <v>3.91759347731682</v>
      </c>
      <c r="J2641" s="14" t="n">
        <v>3.85386790787243</v>
      </c>
      <c r="K2641" s="14" t="n">
        <v>3.74365999576124</v>
      </c>
      <c r="L2641" s="14" t="n">
        <v>3.58232029065065</v>
      </c>
      <c r="M2641" s="14" t="n">
        <v>1.557</v>
      </c>
      <c r="N2641" s="14" t="n">
        <v>1.599</v>
      </c>
      <c r="O2641" s="14" t="n">
        <v>1.642</v>
      </c>
      <c r="P2641" s="14" t="n">
        <v>1.678</v>
      </c>
      <c r="Q2641" s="14" t="n">
        <v>4</v>
      </c>
      <c r="R2641" s="14" t="n">
        <v>4</v>
      </c>
      <c r="S2641" s="14" t="n">
        <v>15</v>
      </c>
    </row>
    <row r="2642" customFormat="false" ht="15" hidden="false" customHeight="false" outlineLevel="0" collapsed="false">
      <c r="A2642" s="13" t="n">
        <v>45959</v>
      </c>
      <c r="B2642" s="14" t="n">
        <v>4.27</v>
      </c>
      <c r="C2642" s="14" t="n">
        <v>4.25</v>
      </c>
      <c r="D2642" s="14" t="n">
        <v>4</v>
      </c>
      <c r="E2642" s="14" t="n">
        <v>1.931</v>
      </c>
      <c r="F2642" s="14" t="n">
        <v>2</v>
      </c>
      <c r="G2642" s="14" t="n">
        <v>4</v>
      </c>
      <c r="H2642" s="14" t="n">
        <v>3.9693</v>
      </c>
      <c r="I2642" s="14" t="n">
        <v>3.92431511931902</v>
      </c>
      <c r="J2642" s="14" t="n">
        <v>3.86036636641681</v>
      </c>
      <c r="K2642" s="14" t="n">
        <v>3.74602453994602</v>
      </c>
      <c r="L2642" s="14" t="n">
        <v>3.5819253643571</v>
      </c>
      <c r="M2642" s="14" t="n">
        <v>1.556</v>
      </c>
      <c r="N2642" s="14" t="n">
        <v>1.599</v>
      </c>
      <c r="O2642" s="14" t="n">
        <v>1.64</v>
      </c>
      <c r="P2642" s="14" t="n">
        <v>1.675</v>
      </c>
      <c r="Q2642" s="14" t="n">
        <v>4</v>
      </c>
      <c r="R2642" s="14" t="n">
        <v>4</v>
      </c>
      <c r="S2642" s="14" t="n">
        <v>15</v>
      </c>
    </row>
    <row r="2643" customFormat="false" ht="15" hidden="false" customHeight="false" outlineLevel="0" collapsed="false">
      <c r="A2643" s="13" t="n">
        <v>45960</v>
      </c>
      <c r="B2643" s="14" t="n">
        <v>4.04</v>
      </c>
      <c r="C2643" s="14" t="n">
        <v>4</v>
      </c>
      <c r="D2643" s="14" t="n">
        <v>3.75</v>
      </c>
      <c r="E2643" s="14" t="n">
        <v>1.931</v>
      </c>
      <c r="F2643" s="14" t="n">
        <v>2</v>
      </c>
      <c r="G2643" s="14" t="n">
        <v>4</v>
      </c>
      <c r="H2643" s="14" t="n">
        <v>3.9693</v>
      </c>
      <c r="I2643" s="14" t="n">
        <v>3.92156163575038</v>
      </c>
      <c r="J2643" s="14" t="n">
        <v>3.86132798908667</v>
      </c>
      <c r="K2643" s="14" t="n">
        <v>3.75239642208114</v>
      </c>
      <c r="L2643" s="14" t="n">
        <v>3.59506357930148</v>
      </c>
      <c r="M2643" s="14" t="n">
        <v>1.549</v>
      </c>
      <c r="N2643" s="14" t="n">
        <v>1.597</v>
      </c>
      <c r="O2643" s="14" t="n">
        <v>1.64</v>
      </c>
      <c r="P2643" s="14" t="n">
        <v>1.673</v>
      </c>
      <c r="Q2643" s="14" t="n">
        <v>4</v>
      </c>
      <c r="R2643" s="14" t="n">
        <v>4</v>
      </c>
      <c r="S2643" s="14" t="n">
        <v>15</v>
      </c>
    </row>
    <row r="2644" customFormat="false" ht="15" hidden="false" customHeight="false" outlineLevel="0" collapsed="false">
      <c r="A2644" s="13" t="n">
        <v>45961</v>
      </c>
      <c r="B2644" s="14" t="n">
        <v>4.22</v>
      </c>
      <c r="C2644" s="14" t="n">
        <v>4</v>
      </c>
      <c r="D2644" s="14" t="n">
        <v>3.75</v>
      </c>
      <c r="E2644" s="14" t="n">
        <v>1.921</v>
      </c>
      <c r="F2644" s="14" t="n">
        <v>2</v>
      </c>
      <c r="G2644" s="14" t="n">
        <v>4</v>
      </c>
      <c r="H2644" s="14" t="n">
        <v>3.9689</v>
      </c>
      <c r="I2644" s="14" t="n">
        <v>3.91209857205327</v>
      </c>
      <c r="J2644" s="14" t="n">
        <v>3.85024945377576</v>
      </c>
      <c r="K2644" s="14" t="n">
        <v>3.74057220655989</v>
      </c>
      <c r="L2644" s="14" t="n">
        <v>3.58435153060817</v>
      </c>
      <c r="M2644" s="14" t="n">
        <v>1.547</v>
      </c>
      <c r="N2644" s="14" t="n">
        <v>1.596</v>
      </c>
      <c r="O2644" s="14" t="n">
        <v>1.637</v>
      </c>
      <c r="P2644" s="14" t="n">
        <v>1.667</v>
      </c>
      <c r="Q2644" s="14" t="n">
        <v>4</v>
      </c>
      <c r="R2644" s="14" t="n">
        <v>4</v>
      </c>
      <c r="S2644" s="14" t="n">
        <v>15</v>
      </c>
    </row>
    <row r="2645" customFormat="false" ht="15" hidden="false" customHeight="false" outlineLevel="0" collapsed="false">
      <c r="A2645" s="13" t="n">
        <v>45964</v>
      </c>
      <c r="B2645" s="14" t="n">
        <v>4.13</v>
      </c>
      <c r="C2645" s="14" t="n">
        <v>4</v>
      </c>
      <c r="D2645" s="14" t="n">
        <v>3.75</v>
      </c>
      <c r="E2645" s="14" t="n">
        <v>1.932</v>
      </c>
      <c r="F2645" s="14" t="n">
        <v>2</v>
      </c>
      <c r="G2645" s="14" t="n">
        <v>4</v>
      </c>
      <c r="H2645" s="14" t="n">
        <v>3.9694</v>
      </c>
      <c r="I2645" s="14" t="n">
        <v>3.90323024752978</v>
      </c>
      <c r="J2645" s="14" t="n">
        <v>3.84304087783342</v>
      </c>
      <c r="K2645" s="14" t="n">
        <v>3.73907447771014</v>
      </c>
      <c r="L2645" s="14" t="n">
        <v>3.58930731762344</v>
      </c>
      <c r="M2645" s="14" t="n">
        <v>1.546</v>
      </c>
      <c r="N2645" s="14" t="n">
        <v>1.595</v>
      </c>
      <c r="O2645" s="14" t="n">
        <v>1.633</v>
      </c>
      <c r="P2645" s="14" t="n">
        <v>1.664</v>
      </c>
      <c r="Q2645" s="14" t="n">
        <v>4</v>
      </c>
      <c r="R2645" s="14" t="n">
        <v>4</v>
      </c>
      <c r="S2645" s="14" t="n">
        <v>15</v>
      </c>
    </row>
    <row r="2646" customFormat="false" ht="15" hidden="false" customHeight="false" outlineLevel="0" collapsed="false">
      <c r="A2646" s="13" t="n">
        <v>45965</v>
      </c>
      <c r="B2646" s="14" t="n">
        <v>4</v>
      </c>
      <c r="C2646" s="14" t="n">
        <v>4</v>
      </c>
      <c r="D2646" s="14" t="n">
        <v>3.75</v>
      </c>
      <c r="E2646" s="14" t="n">
        <v>1.931</v>
      </c>
      <c r="F2646" s="14" t="n">
        <v>2</v>
      </c>
      <c r="G2646" s="14" t="n">
        <v>4</v>
      </c>
      <c r="H2646" s="14" t="n">
        <v>3.9694</v>
      </c>
      <c r="I2646" s="14" t="n">
        <v>3.89604103521631</v>
      </c>
      <c r="J2646" s="14" t="n">
        <v>3.83523194807659</v>
      </c>
      <c r="K2646" s="14" t="n">
        <v>3.72914907184978</v>
      </c>
      <c r="L2646" s="14" t="n">
        <v>3.57966083620727</v>
      </c>
      <c r="M2646" s="14" t="n">
        <v>1.546</v>
      </c>
      <c r="N2646" s="14" t="n">
        <v>1.594</v>
      </c>
      <c r="O2646" s="14" t="n">
        <v>1.6265</v>
      </c>
      <c r="P2646" s="14" t="n">
        <v>1.658</v>
      </c>
      <c r="Q2646" s="14" t="n">
        <v>4</v>
      </c>
      <c r="R2646" s="14" t="n">
        <v>4</v>
      </c>
      <c r="S2646" s="14" t="n">
        <v>15</v>
      </c>
    </row>
    <row r="2647" customFormat="false" ht="15" hidden="false" customHeight="false" outlineLevel="0" collapsed="false">
      <c r="A2647" s="13" t="n">
        <v>45966</v>
      </c>
      <c r="B2647" s="14" t="n">
        <v>3.91</v>
      </c>
      <c r="C2647" s="14" t="n">
        <v>4</v>
      </c>
      <c r="D2647" s="14" t="n">
        <v>3.75</v>
      </c>
      <c r="E2647" s="14" t="n">
        <v>1.929</v>
      </c>
      <c r="F2647" s="14" t="n">
        <v>2</v>
      </c>
      <c r="G2647" s="14" t="n">
        <v>4</v>
      </c>
      <c r="H2647" s="14" t="n">
        <v>3.9694</v>
      </c>
      <c r="I2647" s="14" t="n">
        <v>3.90739852816417</v>
      </c>
      <c r="J2647" s="14" t="n">
        <v>3.8492315049863</v>
      </c>
      <c r="K2647" s="14" t="n">
        <v>3.7485345781512</v>
      </c>
      <c r="L2647" s="14" t="n">
        <v>3.60916774751198</v>
      </c>
      <c r="M2647" s="14" t="n">
        <v>1.5415</v>
      </c>
      <c r="N2647" s="14" t="n">
        <v>1.589</v>
      </c>
      <c r="O2647" s="14" t="n">
        <v>1.6255</v>
      </c>
      <c r="P2647" s="14" t="n">
        <v>1.655</v>
      </c>
      <c r="Q2647" s="14" t="n">
        <v>4</v>
      </c>
      <c r="R2647" s="14" t="n">
        <v>4</v>
      </c>
      <c r="S2647" s="14" t="n">
        <v>15</v>
      </c>
    </row>
    <row r="2648" customFormat="false" ht="15" hidden="false" customHeight="false" outlineLevel="0" collapsed="false">
      <c r="A2648" s="13" t="n">
        <v>45967</v>
      </c>
      <c r="B2648" s="14" t="n">
        <v>3.92</v>
      </c>
      <c r="C2648" s="14" t="n">
        <v>4</v>
      </c>
      <c r="D2648" s="14" t="n">
        <v>3.75</v>
      </c>
      <c r="E2648" s="14" t="n">
        <v>1.93</v>
      </c>
      <c r="F2648" s="14" t="n">
        <v>2</v>
      </c>
      <c r="G2648" s="14" t="n">
        <v>4</v>
      </c>
      <c r="H2648" s="14" t="n">
        <v>3.9693</v>
      </c>
      <c r="I2648" s="14" t="n">
        <v>3.96219796493199</v>
      </c>
      <c r="J2648" s="14" t="n">
        <v>3.87236286963195</v>
      </c>
      <c r="K2648" s="14" t="n">
        <v>3.75452360678556</v>
      </c>
      <c r="L2648" s="14" t="n">
        <v>3.60436623062061</v>
      </c>
      <c r="M2648" s="14" t="n">
        <v>1.534</v>
      </c>
      <c r="N2648" s="14" t="n">
        <v>1.5875</v>
      </c>
      <c r="O2648" s="14" t="n">
        <v>1.624</v>
      </c>
      <c r="P2648" s="14" t="n">
        <v>1.6525</v>
      </c>
      <c r="Q2648" s="14" t="n">
        <v>4</v>
      </c>
      <c r="R2648" s="14" t="n">
        <v>4</v>
      </c>
      <c r="S2648" s="14" t="n">
        <v>15</v>
      </c>
    </row>
    <row r="2649" customFormat="false" ht="15" hidden="false" customHeight="false" outlineLevel="0" collapsed="false">
      <c r="A2649" s="13" t="n">
        <v>45968</v>
      </c>
      <c r="B2649" s="14" t="n">
        <v>3.93</v>
      </c>
      <c r="C2649" s="14" t="n">
        <v>4</v>
      </c>
      <c r="D2649" s="14" t="n">
        <v>3.75</v>
      </c>
      <c r="E2649" s="14" t="n">
        <v>1.932</v>
      </c>
      <c r="F2649" s="14" t="n">
        <v>2</v>
      </c>
      <c r="G2649" s="14" t="n">
        <v>4</v>
      </c>
      <c r="H2649" s="14" t="n">
        <v>3.9697</v>
      </c>
      <c r="I2649" s="14" t="n">
        <v>3.96291753794414</v>
      </c>
      <c r="J2649" s="14" t="n">
        <v>3.8707518884465</v>
      </c>
      <c r="K2649" s="14" t="n">
        <v>3.75558781402542</v>
      </c>
      <c r="L2649" s="14" t="n">
        <v>3.60865348019731</v>
      </c>
      <c r="M2649" s="14" t="n">
        <v>1.526</v>
      </c>
      <c r="N2649" s="14" t="n">
        <v>1.584</v>
      </c>
      <c r="O2649" s="14" t="n">
        <v>1.62</v>
      </c>
      <c r="P2649" s="14" t="n">
        <v>1.65</v>
      </c>
      <c r="Q2649" s="14" t="n">
        <v>4</v>
      </c>
      <c r="R2649" s="14" t="n">
        <v>4</v>
      </c>
      <c r="S2649" s="14" t="n">
        <v>15</v>
      </c>
    </row>
    <row r="2650" customFormat="false" ht="15" hidden="false" customHeight="false" outlineLevel="0" collapsed="false">
      <c r="A2650" s="13" t="n">
        <v>45971</v>
      </c>
      <c r="B2650" s="14" t="n">
        <v>3.95</v>
      </c>
      <c r="C2650" s="14" t="n">
        <v>4</v>
      </c>
      <c r="D2650" s="14" t="n">
        <v>3.75</v>
      </c>
      <c r="E2650" s="14" t="n">
        <v>1.931</v>
      </c>
      <c r="F2650" s="14" t="n">
        <v>2</v>
      </c>
      <c r="G2650" s="14" t="n">
        <v>4</v>
      </c>
      <c r="H2650" s="14" t="n">
        <v>3.9694</v>
      </c>
      <c r="I2650" s="14" t="n">
        <v>3.95958155264987</v>
      </c>
      <c r="J2650" s="14" t="n">
        <v>3.86398836618522</v>
      </c>
      <c r="K2650" s="14" t="n">
        <v>3.75305934762393</v>
      </c>
      <c r="L2650" s="14" t="n">
        <v>3.60907291354008</v>
      </c>
      <c r="M2650" s="14" t="n">
        <v>1.525</v>
      </c>
      <c r="N2650" s="14" t="n">
        <v>1.58</v>
      </c>
      <c r="O2650" s="14" t="n">
        <v>1.6185</v>
      </c>
      <c r="P2650" s="14" t="n">
        <v>1.65</v>
      </c>
      <c r="Q2650" s="14" t="n">
        <v>4</v>
      </c>
      <c r="R2650" s="14" t="n">
        <v>4</v>
      </c>
      <c r="S2650" s="14" t="n">
        <v>15</v>
      </c>
    </row>
    <row r="2651" customFormat="false" ht="15" hidden="false" customHeight="false" outlineLevel="0" collapsed="false">
      <c r="A2651" s="13" t="n">
        <v>45972</v>
      </c>
      <c r="C2651" s="14" t="n">
        <v>4</v>
      </c>
      <c r="D2651" s="14" t="n">
        <v>3.75</v>
      </c>
      <c r="E2651" s="14" t="n">
        <v>1.93</v>
      </c>
      <c r="F2651" s="14" t="n">
        <v>2</v>
      </c>
      <c r="G2651" s="14" t="n">
        <v>4</v>
      </c>
      <c r="H2651" s="14" t="n">
        <v>3.9694</v>
      </c>
      <c r="I2651" s="14" t="n">
        <v>3.95634720030175</v>
      </c>
      <c r="J2651" s="14" t="n">
        <v>3.83798101351044</v>
      </c>
      <c r="K2651" s="14" t="n">
        <v>3.70440940566678</v>
      </c>
      <c r="L2651" s="14" t="n">
        <v>3.54043983537641</v>
      </c>
      <c r="M2651" s="14" t="n">
        <v>1.525</v>
      </c>
      <c r="N2651" s="14" t="n">
        <v>1.58</v>
      </c>
      <c r="O2651" s="14" t="n">
        <v>1.618</v>
      </c>
      <c r="P2651" s="14" t="n">
        <v>1.65</v>
      </c>
      <c r="Q2651" s="14" t="n">
        <v>4</v>
      </c>
      <c r="R2651" s="14" t="n">
        <v>4</v>
      </c>
      <c r="S2651" s="14" t="n">
        <v>15</v>
      </c>
    </row>
    <row r="2652" customFormat="false" ht="15" hidden="false" customHeight="false" outlineLevel="0" collapsed="false">
      <c r="A2652" s="13" t="n">
        <v>45973</v>
      </c>
      <c r="B2652" s="14" t="n">
        <v>3.98</v>
      </c>
      <c r="C2652" s="14" t="n">
        <v>4</v>
      </c>
      <c r="D2652" s="14" t="n">
        <v>3.75</v>
      </c>
      <c r="E2652" s="14" t="n">
        <v>1.93</v>
      </c>
      <c r="F2652" s="14" t="n">
        <v>2</v>
      </c>
      <c r="G2652" s="14" t="n">
        <v>4</v>
      </c>
      <c r="H2652" s="14" t="n">
        <v>3.9692</v>
      </c>
      <c r="I2652" s="14" t="n">
        <v>3.9556770869233</v>
      </c>
      <c r="J2652" s="14" t="n">
        <v>3.83601777195619</v>
      </c>
      <c r="K2652" s="14" t="n">
        <v>3.7011651637044</v>
      </c>
      <c r="L2652" s="14" t="n">
        <v>3.53811315682039</v>
      </c>
      <c r="M2652" s="14" t="n">
        <v>1.523</v>
      </c>
      <c r="N2652" s="14" t="n">
        <v>1.58</v>
      </c>
      <c r="O2652" s="14" t="n">
        <v>1.619</v>
      </c>
      <c r="P2652" s="14" t="n">
        <v>1.649</v>
      </c>
      <c r="Q2652" s="14" t="n">
        <v>4</v>
      </c>
      <c r="R2652" s="14" t="n">
        <v>4</v>
      </c>
      <c r="S2652" s="14" t="n">
        <v>15</v>
      </c>
    </row>
    <row r="2653" customFormat="false" ht="15" hidden="false" customHeight="false" outlineLevel="0" collapsed="false">
      <c r="A2653" s="13" t="n">
        <v>45974</v>
      </c>
      <c r="B2653" s="14" t="n">
        <v>4</v>
      </c>
      <c r="C2653" s="14" t="n">
        <v>4</v>
      </c>
      <c r="D2653" s="14" t="n">
        <v>3.75</v>
      </c>
      <c r="E2653" s="14" t="n">
        <v>1.93</v>
      </c>
      <c r="F2653" s="14" t="n">
        <v>2</v>
      </c>
      <c r="G2653" s="14" t="n">
        <v>4</v>
      </c>
      <c r="H2653" s="14" t="n">
        <v>3.9698</v>
      </c>
      <c r="I2653" s="14" t="n">
        <v>3.95607681840443</v>
      </c>
      <c r="J2653" s="14" t="n">
        <v>3.8367851879027</v>
      </c>
      <c r="K2653" s="14" t="n">
        <v>3.70783594891614</v>
      </c>
      <c r="L2653" s="14" t="n">
        <v>3.55366579736297</v>
      </c>
      <c r="M2653" s="14" t="n">
        <v>1.518</v>
      </c>
      <c r="N2653" s="14" t="n">
        <v>1.58</v>
      </c>
      <c r="O2653" s="14" t="n">
        <v>1.62</v>
      </c>
      <c r="P2653" s="14" t="n">
        <v>1.65</v>
      </c>
      <c r="Q2653" s="14" t="n">
        <v>4</v>
      </c>
      <c r="R2653" s="14" t="n">
        <v>4</v>
      </c>
      <c r="S2653" s="14" t="n">
        <v>15</v>
      </c>
    </row>
    <row r="2654" customFormat="false" ht="15" hidden="false" customHeight="false" outlineLevel="0" collapsed="false">
      <c r="A2654" s="13" t="n">
        <v>45975</v>
      </c>
      <c r="B2654" s="14" t="n">
        <v>3.95</v>
      </c>
      <c r="C2654" s="14" t="n">
        <v>4</v>
      </c>
      <c r="D2654" s="14" t="n">
        <v>3.75</v>
      </c>
      <c r="E2654" s="14" t="n">
        <v>1.931</v>
      </c>
      <c r="F2654" s="14" t="n">
        <v>2</v>
      </c>
      <c r="G2654" s="14" t="n">
        <v>4</v>
      </c>
      <c r="H2654" s="14" t="n">
        <v>3.9694</v>
      </c>
      <c r="I2654" s="14" t="n">
        <v>3.95529891830786</v>
      </c>
      <c r="J2654" s="14" t="n">
        <v>3.84313288789265</v>
      </c>
      <c r="K2654" s="14" t="n">
        <v>3.73058234076288</v>
      </c>
      <c r="L2654" s="14" t="n">
        <v>3.60335968998834</v>
      </c>
      <c r="M2654" s="14" t="n">
        <v>1.518</v>
      </c>
      <c r="N2654" s="14" t="n">
        <v>1.58</v>
      </c>
      <c r="O2654" s="14" t="n">
        <v>1.62</v>
      </c>
      <c r="P2654" s="14" t="n">
        <v>1.65</v>
      </c>
      <c r="Q2654" s="14" t="n">
        <v>4</v>
      </c>
      <c r="R2654" s="14" t="n">
        <v>4</v>
      </c>
      <c r="S2654" s="14" t="n">
        <v>15</v>
      </c>
    </row>
    <row r="2655" customFormat="false" ht="15" hidden="false" customHeight="false" outlineLevel="0" collapsed="false">
      <c r="A2655" s="13" t="n">
        <v>45978</v>
      </c>
      <c r="B2655" s="14" t="n">
        <v>4</v>
      </c>
      <c r="C2655" s="14" t="n">
        <v>4</v>
      </c>
      <c r="D2655" s="14" t="n">
        <v>3.75</v>
      </c>
      <c r="E2655" s="14" t="n">
        <v>1.929</v>
      </c>
      <c r="F2655" s="14" t="n">
        <v>2</v>
      </c>
      <c r="G2655" s="14" t="n">
        <v>4</v>
      </c>
      <c r="H2655" s="14" t="n">
        <v>3.9692</v>
      </c>
      <c r="I2655" s="14" t="n">
        <v>3.9521574305178</v>
      </c>
      <c r="J2655" s="14" t="n">
        <v>3.83820564046882</v>
      </c>
      <c r="K2655" s="14" t="n">
        <v>3.72596456711353</v>
      </c>
      <c r="L2655" s="14" t="n">
        <v>3.58955788383317</v>
      </c>
      <c r="M2655" s="14" t="n">
        <v>1.52</v>
      </c>
      <c r="N2655" s="14" t="n">
        <v>1.58</v>
      </c>
      <c r="O2655" s="14" t="n">
        <v>1.62</v>
      </c>
      <c r="P2655" s="14" t="n">
        <v>1.65</v>
      </c>
      <c r="Q2655" s="14" t="n">
        <v>4</v>
      </c>
      <c r="R2655" s="14" t="n">
        <v>4</v>
      </c>
      <c r="S2655" s="14" t="n">
        <v>15</v>
      </c>
    </row>
    <row r="2656" customFormat="false" ht="15" hidden="false" customHeight="false" outlineLevel="0" collapsed="false">
      <c r="A2656" s="13" t="n">
        <v>45979</v>
      </c>
      <c r="B2656" s="14" t="n">
        <v>3.94</v>
      </c>
      <c r="C2656" s="14" t="n">
        <v>4</v>
      </c>
      <c r="D2656" s="14" t="n">
        <v>3.75</v>
      </c>
      <c r="E2656" s="14" t="n">
        <v>1.93</v>
      </c>
      <c r="F2656" s="14" t="n">
        <v>2</v>
      </c>
      <c r="G2656" s="14" t="n">
        <v>4</v>
      </c>
      <c r="H2656" s="14" t="n">
        <v>3.9694</v>
      </c>
      <c r="I2656" s="14" t="n">
        <v>3.9504461122643</v>
      </c>
      <c r="J2656" s="14" t="n">
        <v>3.83143680375789</v>
      </c>
      <c r="K2656" s="14" t="n">
        <v>3.71666140434969</v>
      </c>
      <c r="L2656" s="14" t="n">
        <v>3.57728828920505</v>
      </c>
      <c r="M2656" s="14" t="n">
        <v>1.52</v>
      </c>
      <c r="N2656" s="14" t="n">
        <v>1.58</v>
      </c>
      <c r="O2656" s="14" t="n">
        <v>1.62</v>
      </c>
      <c r="P2656" s="14" t="n">
        <v>1.65</v>
      </c>
      <c r="Q2656" s="14" t="n">
        <v>4</v>
      </c>
      <c r="R2656" s="14" t="n">
        <v>4</v>
      </c>
      <c r="S2656" s="14" t="n">
        <v>15</v>
      </c>
    </row>
    <row r="2657" customFormat="false" ht="15" hidden="false" customHeight="false" outlineLevel="0" collapsed="false">
      <c r="A2657" s="13" t="n">
        <v>45980</v>
      </c>
      <c r="B2657" s="14" t="n">
        <v>3.91</v>
      </c>
      <c r="C2657" s="14" t="n">
        <v>4</v>
      </c>
      <c r="D2657" s="14" t="n">
        <v>3.75</v>
      </c>
      <c r="E2657" s="14" t="n">
        <v>1.929</v>
      </c>
      <c r="F2657" s="14" t="n">
        <v>2</v>
      </c>
      <c r="G2657" s="14" t="n">
        <v>4</v>
      </c>
      <c r="H2657" s="14" t="n">
        <v>3.9693</v>
      </c>
      <c r="I2657" s="14" t="n">
        <v>3.94367815673509</v>
      </c>
      <c r="J2657" s="14" t="n">
        <v>3.81924596473245</v>
      </c>
      <c r="K2657" s="14" t="n">
        <v>3.71071939949628</v>
      </c>
      <c r="L2657" s="14" t="n">
        <v>3.58039151844203</v>
      </c>
      <c r="M2657" s="14" t="n">
        <v>1.52</v>
      </c>
      <c r="N2657" s="14" t="n">
        <v>1.58</v>
      </c>
      <c r="O2657" s="14" t="n">
        <v>1.62</v>
      </c>
      <c r="P2657" s="14" t="n">
        <v>1.65</v>
      </c>
      <c r="Q2657" s="14" t="n">
        <v>4</v>
      </c>
      <c r="R2657" s="14" t="n">
        <v>4</v>
      </c>
      <c r="S2657" s="14" t="n">
        <v>15</v>
      </c>
    </row>
    <row r="2658" customFormat="false" ht="15" hidden="false" customHeight="false" outlineLevel="0" collapsed="false">
      <c r="A2658" s="13" t="n">
        <v>45981</v>
      </c>
      <c r="B2658" s="14" t="n">
        <v>3.91</v>
      </c>
      <c r="C2658" s="14" t="n">
        <v>4</v>
      </c>
      <c r="D2658" s="14" t="n">
        <v>3.75</v>
      </c>
      <c r="E2658" s="14" t="n">
        <v>1.929</v>
      </c>
      <c r="F2658" s="14" t="n">
        <v>2</v>
      </c>
      <c r="G2658" s="14" t="n">
        <v>4</v>
      </c>
      <c r="H2658" s="14" t="n">
        <v>3.969</v>
      </c>
      <c r="I2658" s="14" t="n">
        <v>3.93595188319538</v>
      </c>
      <c r="J2658" s="14" t="n">
        <v>3.81579234584614</v>
      </c>
      <c r="K2658" s="14" t="n">
        <v>3.70412272278903</v>
      </c>
      <c r="L2658" s="14" t="n">
        <v>3.56484092401703</v>
      </c>
      <c r="M2658" s="14" t="n">
        <v>1.518</v>
      </c>
      <c r="N2658" s="14" t="n">
        <v>1.579</v>
      </c>
      <c r="O2658" s="14" t="n">
        <v>1.62</v>
      </c>
      <c r="P2658" s="14" t="n">
        <v>1.65</v>
      </c>
      <c r="Q2658" s="14" t="n">
        <v>4</v>
      </c>
      <c r="R2658" s="14" t="n">
        <v>4</v>
      </c>
      <c r="S2658" s="14" t="n">
        <v>15</v>
      </c>
    </row>
    <row r="2659" customFormat="false" ht="15" hidden="false" customHeight="false" outlineLevel="0" collapsed="false">
      <c r="A2659" s="13" t="n">
        <v>45982</v>
      </c>
      <c r="B2659" s="14" t="n">
        <v>3.93</v>
      </c>
      <c r="C2659" s="14" t="n">
        <v>4</v>
      </c>
      <c r="D2659" s="14" t="n">
        <v>3.75</v>
      </c>
      <c r="E2659" s="14" t="n">
        <v>1.926</v>
      </c>
      <c r="F2659" s="14" t="n">
        <v>2</v>
      </c>
      <c r="G2659" s="14" t="n">
        <v>4</v>
      </c>
      <c r="H2659" s="14" t="n">
        <v>3.969</v>
      </c>
      <c r="I2659" s="14" t="n">
        <v>3.93183952936837</v>
      </c>
      <c r="J2659" s="14" t="n">
        <v>3.80607823365745</v>
      </c>
      <c r="K2659" s="14" t="n">
        <v>3.69433496141574</v>
      </c>
      <c r="L2659" s="14" t="n">
        <v>3.55551477555342</v>
      </c>
      <c r="M2659" s="14" t="n">
        <v>1.519</v>
      </c>
      <c r="N2659" s="14" t="n">
        <v>1.578</v>
      </c>
      <c r="O2659" s="14" t="n">
        <v>1.62</v>
      </c>
      <c r="P2659" s="14" t="n">
        <v>1.65</v>
      </c>
      <c r="Q2659" s="14" t="n">
        <v>4</v>
      </c>
      <c r="R2659" s="14" t="n">
        <v>4</v>
      </c>
      <c r="S2659" s="14" t="n">
        <v>15</v>
      </c>
    </row>
    <row r="2660" customFormat="false" ht="15" hidden="false" customHeight="false" outlineLevel="0" collapsed="false">
      <c r="A2660" s="13" t="n">
        <v>45985</v>
      </c>
      <c r="B2660" s="14" t="n">
        <v>3.96</v>
      </c>
      <c r="C2660" s="14" t="n">
        <v>4</v>
      </c>
      <c r="D2660" s="14" t="n">
        <v>3.75</v>
      </c>
      <c r="E2660" s="14" t="n">
        <v>1.924</v>
      </c>
      <c r="F2660" s="14" t="n">
        <v>2</v>
      </c>
      <c r="G2660" s="14" t="n">
        <v>4</v>
      </c>
      <c r="H2660" s="14" t="n">
        <v>3.9688</v>
      </c>
      <c r="I2660" s="14" t="n">
        <v>3.92220290047342</v>
      </c>
      <c r="J2660" s="14" t="n">
        <v>3.8022986263584</v>
      </c>
      <c r="K2660" s="14" t="n">
        <v>3.6971694852581</v>
      </c>
      <c r="L2660" s="14" t="n">
        <v>3.56179255827966</v>
      </c>
      <c r="M2660" s="14" t="n">
        <v>1.52</v>
      </c>
      <c r="N2660" s="14" t="n">
        <v>1.58</v>
      </c>
      <c r="O2660" s="14" t="n">
        <v>1.62</v>
      </c>
      <c r="P2660" s="14" t="n">
        <v>1.65</v>
      </c>
      <c r="Q2660" s="14" t="n">
        <v>4</v>
      </c>
      <c r="R2660" s="14" t="n">
        <v>4</v>
      </c>
      <c r="S2660" s="14" t="n">
        <v>15</v>
      </c>
    </row>
    <row r="2661" customFormat="false" ht="15" hidden="false" customHeight="false" outlineLevel="0" collapsed="false">
      <c r="A2661" s="13" t="n">
        <v>45986</v>
      </c>
      <c r="B2661" s="14" t="n">
        <v>4.01</v>
      </c>
      <c r="C2661" s="14" t="n">
        <v>4</v>
      </c>
      <c r="D2661" s="14" t="n">
        <v>3.75</v>
      </c>
      <c r="E2661" s="14" t="n">
        <v>1.926</v>
      </c>
      <c r="F2661" s="14" t="n">
        <v>2</v>
      </c>
      <c r="G2661" s="14" t="n">
        <v>4</v>
      </c>
      <c r="H2661" s="14" t="n">
        <v>3.9688</v>
      </c>
      <c r="I2661" s="14" t="n">
        <v>3.91369233974841</v>
      </c>
      <c r="J2661" s="14" t="n">
        <v>3.79316300131778</v>
      </c>
      <c r="K2661" s="14" t="n">
        <v>3.68545144922877</v>
      </c>
      <c r="L2661" s="14" t="n">
        <v>3.54220317370196</v>
      </c>
      <c r="M2661" s="14" t="n">
        <v>1.52</v>
      </c>
      <c r="N2661" s="14" t="n">
        <v>1.58</v>
      </c>
      <c r="O2661" s="14" t="n">
        <v>1.62</v>
      </c>
      <c r="P2661" s="14" t="n">
        <v>1.65</v>
      </c>
      <c r="Q2661" s="14" t="n">
        <v>4</v>
      </c>
      <c r="R2661" s="14" t="n">
        <v>4</v>
      </c>
      <c r="S2661" s="14" t="n">
        <v>15</v>
      </c>
    </row>
    <row r="2662" customFormat="false" ht="15" hidden="false" customHeight="false" outlineLevel="0" collapsed="false">
      <c r="A2662" s="13" t="n">
        <v>45987</v>
      </c>
      <c r="B2662" s="14" t="n">
        <v>4.05</v>
      </c>
      <c r="C2662" s="14" t="n">
        <v>4</v>
      </c>
      <c r="D2662" s="14" t="n">
        <v>3.75</v>
      </c>
      <c r="E2662" s="14" t="n">
        <v>1.928</v>
      </c>
      <c r="F2662" s="14" t="n">
        <v>2</v>
      </c>
      <c r="G2662" s="14" t="n">
        <v>4</v>
      </c>
      <c r="H2662" s="14" t="n">
        <v>3.969</v>
      </c>
      <c r="I2662" s="14" t="n">
        <v>3.90690438182648</v>
      </c>
      <c r="J2662" s="14" t="n">
        <v>3.7834741871616</v>
      </c>
      <c r="K2662" s="14" t="n">
        <v>3.67495839569106</v>
      </c>
      <c r="L2662" s="14" t="n">
        <v>3.53028276984582</v>
      </c>
      <c r="M2662" s="14" t="n">
        <v>1.519</v>
      </c>
      <c r="N2662" s="14" t="n">
        <v>1.579</v>
      </c>
      <c r="O2662" s="14" t="n">
        <v>1.62</v>
      </c>
      <c r="P2662" s="14" t="n">
        <v>1.65</v>
      </c>
      <c r="Q2662" s="14" t="n">
        <v>4</v>
      </c>
      <c r="R2662" s="14" t="n">
        <v>4</v>
      </c>
      <c r="S2662" s="14" t="n">
        <v>15</v>
      </c>
    </row>
    <row r="2663" customFormat="false" ht="15" hidden="false" customHeight="false" outlineLevel="0" collapsed="false">
      <c r="A2663" s="13" t="n">
        <v>45988</v>
      </c>
      <c r="C2663" s="14" t="n">
        <v>4</v>
      </c>
      <c r="D2663" s="14" t="n">
        <v>3.75</v>
      </c>
      <c r="E2663" s="14" t="n">
        <v>1.927</v>
      </c>
      <c r="F2663" s="14" t="n">
        <v>2</v>
      </c>
      <c r="G2663" s="14" t="n">
        <v>4</v>
      </c>
      <c r="H2663" s="14" t="n">
        <v>3.9688</v>
      </c>
      <c r="I2663" s="14" t="n">
        <v>3.90392500093228</v>
      </c>
      <c r="J2663" s="14" t="n">
        <v>3.78046161925325</v>
      </c>
      <c r="K2663" s="14" t="n">
        <v>3.67383195056763</v>
      </c>
      <c r="L2663" s="14" t="n">
        <v>3.53391535053456</v>
      </c>
      <c r="M2663" s="14" t="n">
        <v>1.52</v>
      </c>
      <c r="N2663" s="14" t="n">
        <v>1.58</v>
      </c>
      <c r="O2663" s="14" t="n">
        <v>1.62</v>
      </c>
      <c r="P2663" s="14" t="n">
        <v>1.65</v>
      </c>
      <c r="Q2663" s="14" t="n">
        <v>4</v>
      </c>
      <c r="R2663" s="14" t="n">
        <v>4</v>
      </c>
      <c r="S2663" s="14" t="n">
        <v>15</v>
      </c>
    </row>
    <row r="2664" customFormat="false" ht="15" hidden="false" customHeight="false" outlineLevel="0" collapsed="false">
      <c r="A2664" s="13" t="n">
        <v>45989</v>
      </c>
      <c r="B2664" s="14" t="n">
        <v>4.12</v>
      </c>
      <c r="C2664" s="14" t="n">
        <v>4</v>
      </c>
      <c r="D2664" s="14" t="n">
        <v>3.75</v>
      </c>
      <c r="E2664" s="14" t="n">
        <v>1.925</v>
      </c>
      <c r="F2664" s="14" t="n">
        <v>2</v>
      </c>
      <c r="G2664" s="14" t="n">
        <v>4</v>
      </c>
      <c r="H2664" s="14" t="n">
        <v>3.9693</v>
      </c>
      <c r="I2664" s="14" t="n">
        <v>3.89270921645936</v>
      </c>
      <c r="J2664" s="14" t="n">
        <v>3.77667651141199</v>
      </c>
      <c r="K2664" s="14" t="n">
        <v>3.67099005263948</v>
      </c>
      <c r="L2664" s="14" t="n">
        <v>3.53375141941989</v>
      </c>
      <c r="M2664" s="14" t="n">
        <v>1.52</v>
      </c>
      <c r="N2664" s="14" t="n">
        <v>1.58</v>
      </c>
      <c r="O2664" s="14" t="n">
        <v>1.62</v>
      </c>
      <c r="P2664" s="14" t="n">
        <v>1.65</v>
      </c>
      <c r="Q2664" s="14" t="n">
        <v>4</v>
      </c>
      <c r="R2664" s="14" t="n">
        <v>4</v>
      </c>
      <c r="S2664" s="14" t="n">
        <v>15</v>
      </c>
    </row>
    <row r="2665" customFormat="false" ht="15" hidden="false" customHeight="false" outlineLevel="0" collapsed="false">
      <c r="A2665" s="13" t="n">
        <v>45992</v>
      </c>
      <c r="B2665" s="14" t="n">
        <v>4.12</v>
      </c>
      <c r="C2665" s="14" t="n">
        <v>4</v>
      </c>
      <c r="D2665" s="14" t="n">
        <v>3.75</v>
      </c>
      <c r="E2665" s="14" t="n">
        <v>1.93</v>
      </c>
      <c r="F2665" s="14" t="n">
        <v>2</v>
      </c>
      <c r="G2665" s="14" t="n">
        <v>4</v>
      </c>
      <c r="H2665" s="14" t="n">
        <v>3.9702</v>
      </c>
      <c r="I2665" s="14" t="n">
        <v>3.87340531507809</v>
      </c>
      <c r="J2665" s="14" t="n">
        <v>3.76712530360826</v>
      </c>
      <c r="K2665" s="14" t="n">
        <v>3.66876479408926</v>
      </c>
      <c r="L2665" s="14" t="n">
        <v>3.53313818761913</v>
      </c>
      <c r="M2665" s="14" t="n">
        <v>1.519</v>
      </c>
      <c r="N2665" s="14" t="n">
        <v>1.58</v>
      </c>
      <c r="O2665" s="14" t="n">
        <v>1.62</v>
      </c>
      <c r="P2665" s="14" t="n">
        <v>1.65</v>
      </c>
      <c r="Q2665" s="14" t="n">
        <v>4</v>
      </c>
      <c r="R2665" s="14" t="n">
        <v>4</v>
      </c>
      <c r="S2665" s="14" t="n">
        <v>15</v>
      </c>
    </row>
    <row r="2666" customFormat="false" ht="15" hidden="false" customHeight="false" outlineLevel="0" collapsed="false">
      <c r="A2666" s="13" t="n">
        <v>45993</v>
      </c>
      <c r="B2666" s="14" t="n">
        <v>4.01</v>
      </c>
      <c r="C2666" s="14" t="n">
        <v>4</v>
      </c>
      <c r="D2666" s="14" t="n">
        <v>3.75</v>
      </c>
      <c r="E2666" s="14" t="n">
        <v>1.929</v>
      </c>
      <c r="F2666" s="14" t="n">
        <v>2</v>
      </c>
      <c r="G2666" s="14" t="n">
        <v>4</v>
      </c>
      <c r="H2666" s="14" t="n">
        <v>3.9713</v>
      </c>
      <c r="I2666" s="14" t="n">
        <v>3.86655157072355</v>
      </c>
      <c r="J2666" s="14" t="n">
        <v>3.76300392103307</v>
      </c>
      <c r="K2666" s="14" t="n">
        <v>3.66509253095805</v>
      </c>
      <c r="L2666" s="14" t="n">
        <v>3.52623486894716</v>
      </c>
      <c r="M2666" s="14" t="n">
        <v>1.519</v>
      </c>
      <c r="N2666" s="14" t="n">
        <v>1.58</v>
      </c>
      <c r="O2666" s="14" t="n">
        <v>1.62</v>
      </c>
      <c r="P2666" s="14" t="n">
        <v>1.65</v>
      </c>
      <c r="Q2666" s="14" t="n">
        <v>4</v>
      </c>
      <c r="R2666" s="14" t="n">
        <v>4</v>
      </c>
      <c r="S2666" s="14" t="n">
        <v>15</v>
      </c>
    </row>
    <row r="2667" customFormat="false" ht="15" hidden="false" customHeight="false" outlineLevel="0" collapsed="false">
      <c r="A2667" s="13" t="n">
        <v>45994</v>
      </c>
      <c r="B2667" s="14" t="n">
        <v>3.95</v>
      </c>
      <c r="C2667" s="14" t="n">
        <v>4</v>
      </c>
      <c r="D2667" s="14" t="n">
        <v>3.75</v>
      </c>
      <c r="E2667" s="14" t="n">
        <v>1.926</v>
      </c>
      <c r="F2667" s="14" t="n">
        <v>2</v>
      </c>
      <c r="G2667" s="14" t="n">
        <v>4</v>
      </c>
      <c r="H2667" s="14" t="n">
        <v>3.9716</v>
      </c>
      <c r="I2667" s="14" t="n">
        <v>3.86036808192259</v>
      </c>
      <c r="J2667" s="14" t="n">
        <v>3.75946262317815</v>
      </c>
      <c r="K2667" s="14" t="n">
        <v>3.65944724665754</v>
      </c>
      <c r="L2667" s="14" t="n">
        <v>3.516958302619</v>
      </c>
      <c r="M2667" s="14" t="n">
        <v>1.52</v>
      </c>
      <c r="N2667" s="14" t="n">
        <v>1.58</v>
      </c>
      <c r="O2667" s="14" t="n">
        <v>1.62</v>
      </c>
      <c r="P2667" s="14" t="n">
        <v>1.65</v>
      </c>
      <c r="Q2667" s="14" t="n">
        <v>4</v>
      </c>
      <c r="R2667" s="14" t="n">
        <v>4</v>
      </c>
      <c r="S2667" s="14" t="n">
        <v>15</v>
      </c>
    </row>
    <row r="2668" customFormat="false" ht="15" hidden="false" customHeight="false" outlineLevel="0" collapsed="false">
      <c r="A2668" s="13" t="n">
        <v>45995</v>
      </c>
      <c r="B2668" s="14" t="n">
        <v>3.92</v>
      </c>
      <c r="C2668" s="14" t="n">
        <v>4</v>
      </c>
      <c r="D2668" s="14" t="n">
        <v>3.75</v>
      </c>
      <c r="E2668" s="14" t="n">
        <v>1.929</v>
      </c>
      <c r="F2668" s="14" t="n">
        <v>2</v>
      </c>
      <c r="G2668" s="14" t="n">
        <v>4</v>
      </c>
      <c r="H2668" s="14" t="n">
        <v>3.9732</v>
      </c>
      <c r="I2668" s="14" t="n">
        <v>3.85551202038439</v>
      </c>
      <c r="J2668" s="14" t="n">
        <v>3.75826309585358</v>
      </c>
      <c r="K2668" s="14" t="n">
        <v>3.65113433974619</v>
      </c>
      <c r="L2668" s="14" t="n">
        <v>3.51291187850703</v>
      </c>
      <c r="M2668" s="14" t="n">
        <v>1.52</v>
      </c>
      <c r="N2668" s="14" t="n">
        <v>1.58</v>
      </c>
      <c r="O2668" s="14" t="n">
        <v>1.62</v>
      </c>
      <c r="P2668" s="14" t="n">
        <v>1.65</v>
      </c>
      <c r="Q2668" s="14" t="n">
        <v>4</v>
      </c>
      <c r="R2668" s="14" t="n">
        <v>4</v>
      </c>
      <c r="S2668" s="14" t="n">
        <v>15</v>
      </c>
    </row>
    <row r="2669" customFormat="false" ht="15" hidden="false" customHeight="false" outlineLevel="0" collapsed="false">
      <c r="A2669" s="13" t="n">
        <v>45996</v>
      </c>
      <c r="B2669" s="14" t="n">
        <v>3.93</v>
      </c>
      <c r="C2669" s="14" t="n">
        <v>4</v>
      </c>
      <c r="D2669" s="14" t="n">
        <v>3.75</v>
      </c>
      <c r="E2669" s="14" t="n">
        <v>1.929</v>
      </c>
      <c r="F2669" s="14" t="n">
        <v>2</v>
      </c>
      <c r="G2669" s="14" t="n">
        <v>4</v>
      </c>
      <c r="H2669" s="14" t="n">
        <v>3.9741</v>
      </c>
      <c r="I2669" s="14" t="n">
        <v>3.84537951988823</v>
      </c>
      <c r="J2669" s="14" t="n">
        <v>3.75881640613338</v>
      </c>
      <c r="K2669" s="14" t="n">
        <v>3.66481039504528</v>
      </c>
      <c r="L2669" s="14" t="n">
        <v>3.53982276252229</v>
      </c>
      <c r="M2669" s="14" t="n">
        <v>1.52</v>
      </c>
      <c r="N2669" s="14" t="n">
        <v>1.58</v>
      </c>
      <c r="O2669" s="14" t="n">
        <v>1.62</v>
      </c>
      <c r="P2669" s="14" t="n">
        <v>1.65</v>
      </c>
      <c r="Q2669" s="14" t="n">
        <v>4</v>
      </c>
      <c r="R2669" s="14" t="n">
        <v>4</v>
      </c>
      <c r="S2669" s="14" t="n">
        <v>15</v>
      </c>
    </row>
    <row r="2670" customFormat="false" ht="15" hidden="false" customHeight="false" outlineLevel="0" collapsed="false">
      <c r="A2670" s="13" t="n">
        <v>45999</v>
      </c>
      <c r="B2670" s="14" t="n">
        <v>3.95</v>
      </c>
      <c r="C2670" s="14" t="n">
        <v>4</v>
      </c>
      <c r="D2670" s="14" t="n">
        <v>3.75</v>
      </c>
      <c r="E2670" s="14" t="n">
        <v>1.93</v>
      </c>
      <c r="F2670" s="14" t="n">
        <v>2</v>
      </c>
      <c r="G2670" s="14" t="n">
        <v>4</v>
      </c>
      <c r="H2670" s="14" t="n">
        <v>3.974</v>
      </c>
      <c r="I2670" s="14" t="n">
        <v>3.82829377802724</v>
      </c>
      <c r="J2670" s="14" t="n">
        <v>3.75514621849165</v>
      </c>
      <c r="K2670" s="14" t="n">
        <v>3.67727673885493</v>
      </c>
      <c r="L2670" s="14" t="n">
        <v>3.56994698398076</v>
      </c>
      <c r="M2670" s="14" t="n">
        <v>1.521</v>
      </c>
      <c r="N2670" s="14" t="n">
        <v>1.58</v>
      </c>
      <c r="O2670" s="14" t="n">
        <v>1.62</v>
      </c>
      <c r="P2670" s="14" t="n">
        <v>1.65</v>
      </c>
      <c r="Q2670" s="14" t="n">
        <v>4</v>
      </c>
      <c r="R2670" s="14" t="n">
        <v>4</v>
      </c>
      <c r="S2670" s="14" t="n">
        <v>15</v>
      </c>
    </row>
    <row r="2671" customFormat="false" ht="15" hidden="false" customHeight="false" outlineLevel="0" collapsed="false">
      <c r="A2671" s="13" t="n">
        <v>46000</v>
      </c>
      <c r="B2671" s="14" t="n">
        <v>3.93</v>
      </c>
      <c r="C2671" s="14" t="n">
        <v>4</v>
      </c>
      <c r="D2671" s="14" t="n">
        <v>3.75</v>
      </c>
      <c r="E2671" s="14" t="n">
        <v>1.929</v>
      </c>
      <c r="F2671" s="14" t="n">
        <v>2</v>
      </c>
      <c r="G2671" s="14" t="n">
        <v>4</v>
      </c>
      <c r="H2671" s="14" t="n">
        <v>3.9749</v>
      </c>
      <c r="I2671" s="14" t="n">
        <v>3.81627497637561</v>
      </c>
      <c r="J2671" s="14" t="n">
        <v>3.74533355253707</v>
      </c>
      <c r="K2671" s="14" t="n">
        <v>3.66436019653069</v>
      </c>
      <c r="L2671" s="14" t="n">
        <v>3.55444133812103</v>
      </c>
      <c r="M2671" s="14" t="n">
        <v>1.523</v>
      </c>
      <c r="N2671" s="14" t="n">
        <v>1.581</v>
      </c>
      <c r="O2671" s="14" t="n">
        <v>1.623</v>
      </c>
      <c r="P2671" s="14" t="n">
        <v>1.65</v>
      </c>
      <c r="Q2671" s="14" t="n">
        <v>4</v>
      </c>
      <c r="R2671" s="14" t="n">
        <v>4</v>
      </c>
      <c r="S2671" s="14" t="n">
        <v>15</v>
      </c>
    </row>
    <row r="2672" customFormat="false" ht="15" hidden="false" customHeight="false" outlineLevel="0" collapsed="false">
      <c r="A2672" s="13" t="n">
        <v>46001</v>
      </c>
      <c r="B2672" s="14" t="n">
        <v>3.9</v>
      </c>
      <c r="C2672" s="14" t="n">
        <v>4</v>
      </c>
      <c r="D2672" s="14" t="n">
        <v>3.75</v>
      </c>
      <c r="E2672" s="14" t="n">
        <v>1.929</v>
      </c>
      <c r="F2672" s="14" t="n">
        <v>2</v>
      </c>
      <c r="G2672" s="14" t="n">
        <v>4</v>
      </c>
      <c r="H2672" s="14" t="n">
        <v>3.9743</v>
      </c>
      <c r="I2672" s="14" t="n">
        <v>3.80939229831507</v>
      </c>
      <c r="J2672" s="14" t="n">
        <v>3.7437911577066</v>
      </c>
      <c r="K2672" s="14" t="n">
        <v>3.66460118427153</v>
      </c>
      <c r="L2672" s="14" t="n">
        <v>3.55829756915991</v>
      </c>
      <c r="M2672" s="14" t="n">
        <v>1.523</v>
      </c>
      <c r="N2672" s="14" t="n">
        <v>1.582</v>
      </c>
      <c r="O2672" s="14" t="n">
        <v>1.624</v>
      </c>
      <c r="P2672" s="14" t="n">
        <v>1.65</v>
      </c>
      <c r="Q2672" s="14" t="n">
        <v>4</v>
      </c>
      <c r="R2672" s="14" t="n">
        <v>4</v>
      </c>
      <c r="S2672" s="14" t="n">
        <v>15</v>
      </c>
    </row>
    <row r="2673" customFormat="false" ht="15" hidden="false" customHeight="false" outlineLevel="0" collapsed="false">
      <c r="A2673" s="13" t="n">
        <v>46002</v>
      </c>
      <c r="B2673" s="14" t="n">
        <v>3.66</v>
      </c>
      <c r="C2673" s="14" t="n">
        <v>3.75</v>
      </c>
      <c r="D2673" s="14" t="n">
        <v>3.5</v>
      </c>
      <c r="E2673" s="14" t="n">
        <v>1.93</v>
      </c>
      <c r="F2673" s="14" t="n">
        <v>2</v>
      </c>
      <c r="G2673" s="14" t="n">
        <v>4</v>
      </c>
      <c r="H2673" s="14" t="n">
        <v>3.975</v>
      </c>
      <c r="I2673" s="14" t="n">
        <v>3.80311740129462</v>
      </c>
      <c r="J2673" s="14" t="n">
        <v>3.74055366013688</v>
      </c>
      <c r="K2673" s="14" t="n">
        <v>3.65779866780467</v>
      </c>
      <c r="L2673" s="14" t="n">
        <v>3.54369143419231</v>
      </c>
      <c r="M2673" s="14" t="n">
        <v>1.524</v>
      </c>
      <c r="N2673" s="14" t="n">
        <v>1.584</v>
      </c>
      <c r="O2673" s="14" t="n">
        <v>1.623</v>
      </c>
      <c r="P2673" s="14" t="n">
        <v>1.651</v>
      </c>
      <c r="Q2673" s="14" t="n">
        <v>4</v>
      </c>
      <c r="R2673" s="14" t="n">
        <v>4</v>
      </c>
      <c r="S2673" s="14" t="n">
        <v>15</v>
      </c>
    </row>
    <row r="2674" customFormat="false" ht="15" hidden="false" customHeight="false" outlineLevel="0" collapsed="false">
      <c r="A2674" s="13" t="n">
        <v>46003</v>
      </c>
      <c r="B2674" s="14" t="n">
        <v>3.67</v>
      </c>
      <c r="C2674" s="14" t="n">
        <v>3.75</v>
      </c>
      <c r="D2674" s="14" t="n">
        <v>3.5</v>
      </c>
      <c r="E2674" s="14" t="n">
        <v>1.932</v>
      </c>
      <c r="F2674" s="14" t="n">
        <v>2</v>
      </c>
      <c r="G2674" s="14" t="n">
        <v>4</v>
      </c>
      <c r="H2674" s="14" t="n">
        <v>3.9743</v>
      </c>
      <c r="I2674" s="14" t="n">
        <v>3.79743629730522</v>
      </c>
      <c r="J2674" s="14" t="n">
        <v>3.73519882946514</v>
      </c>
      <c r="K2674" s="14" t="n">
        <v>3.64440322334864</v>
      </c>
      <c r="L2674" s="14" t="n">
        <v>3.52108961624218</v>
      </c>
      <c r="M2674" s="14" t="n">
        <v>1.525</v>
      </c>
      <c r="N2674" s="14" t="n">
        <v>1.585</v>
      </c>
      <c r="O2674" s="14" t="n">
        <v>1.624</v>
      </c>
      <c r="P2674" s="14" t="n">
        <v>1.651</v>
      </c>
      <c r="Q2674" s="14" t="n">
        <v>4</v>
      </c>
      <c r="R2674" s="14" t="n">
        <v>4</v>
      </c>
      <c r="S2674" s="14" t="n">
        <v>15</v>
      </c>
    </row>
    <row r="2675" customFormat="false" ht="15" hidden="false" customHeight="false" outlineLevel="0" collapsed="false">
      <c r="A2675" s="13" t="n">
        <v>46006</v>
      </c>
      <c r="B2675" s="14" t="n">
        <v>3.75</v>
      </c>
      <c r="C2675" s="14" t="n">
        <v>3.75</v>
      </c>
      <c r="D2675" s="14" t="n">
        <v>3.5</v>
      </c>
      <c r="E2675" s="14" t="n">
        <v>1.93</v>
      </c>
      <c r="F2675" s="14" t="n">
        <v>2</v>
      </c>
      <c r="G2675" s="14" t="n">
        <v>4</v>
      </c>
      <c r="H2675" s="14" t="n">
        <v>3.9746</v>
      </c>
      <c r="I2675" s="14" t="n">
        <v>3.77415745401996</v>
      </c>
      <c r="J2675" s="14" t="n">
        <v>3.72395377351889</v>
      </c>
      <c r="K2675" s="14" t="n">
        <v>3.63481613374847</v>
      </c>
      <c r="L2675" s="14" t="n">
        <v>3.51018510909588</v>
      </c>
      <c r="M2675" s="14" t="n">
        <v>1.533</v>
      </c>
      <c r="N2675" s="14" t="n">
        <v>1.591</v>
      </c>
      <c r="O2675" s="14" t="n">
        <v>1.625</v>
      </c>
      <c r="P2675" s="14" t="n">
        <v>1.652</v>
      </c>
      <c r="Q2675" s="14" t="n">
        <v>4</v>
      </c>
      <c r="R2675" s="14" t="n">
        <v>4</v>
      </c>
      <c r="S2675" s="14" t="n">
        <v>15</v>
      </c>
    </row>
    <row r="2676" customFormat="false" ht="15" hidden="false" customHeight="false" outlineLevel="0" collapsed="false">
      <c r="A2676" s="13" t="n">
        <v>46007</v>
      </c>
      <c r="B2676" s="14" t="n">
        <v>3.69</v>
      </c>
      <c r="C2676" s="14" t="n">
        <v>3.75</v>
      </c>
      <c r="D2676" s="14" t="n">
        <v>3.5</v>
      </c>
      <c r="E2676" s="14" t="n">
        <v>1.932</v>
      </c>
      <c r="F2676" s="14" t="n">
        <v>2</v>
      </c>
      <c r="G2676" s="14" t="n">
        <v>4</v>
      </c>
      <c r="H2676" s="14" t="n">
        <v>3.9748</v>
      </c>
      <c r="I2676" s="14" t="n">
        <v>3.76331889677265</v>
      </c>
      <c r="J2676" s="14" t="n">
        <v>3.72622147132009</v>
      </c>
      <c r="K2676" s="14" t="n">
        <v>3.65203497571421</v>
      </c>
      <c r="L2676" s="14" t="n">
        <v>3.53930500245442</v>
      </c>
      <c r="M2676" s="14" t="n">
        <v>1.537</v>
      </c>
      <c r="N2676" s="14" t="n">
        <v>1.595</v>
      </c>
      <c r="O2676" s="14" t="n">
        <v>1.629</v>
      </c>
      <c r="P2676" s="14" t="n">
        <v>1.653</v>
      </c>
      <c r="Q2676" s="14" t="n">
        <v>4</v>
      </c>
      <c r="R2676" s="14" t="n">
        <v>4</v>
      </c>
      <c r="S2676" s="14" t="n">
        <v>15</v>
      </c>
    </row>
    <row r="2677" customFormat="false" ht="15" hidden="false" customHeight="false" outlineLevel="0" collapsed="false">
      <c r="A2677" s="13" t="n">
        <v>46008</v>
      </c>
      <c r="B2677" s="14" t="n">
        <v>3.69</v>
      </c>
      <c r="C2677" s="14" t="n">
        <v>3.75</v>
      </c>
      <c r="D2677" s="14" t="n">
        <v>3.5</v>
      </c>
      <c r="E2677" s="14" t="n">
        <v>1.932</v>
      </c>
      <c r="F2677" s="14" t="n">
        <v>2</v>
      </c>
      <c r="G2677" s="14" t="n">
        <v>4</v>
      </c>
      <c r="H2677" s="14" t="n">
        <v>3.9749</v>
      </c>
      <c r="I2677" s="14" t="n">
        <v>3.74069117792471</v>
      </c>
      <c r="J2677" s="14" t="n">
        <v>3.69555549797404</v>
      </c>
      <c r="K2677" s="14" t="n">
        <v>3.60371283247951</v>
      </c>
      <c r="L2677" s="14" t="n">
        <v>3.47460874207301</v>
      </c>
      <c r="M2677" s="14" t="n">
        <v>1.541</v>
      </c>
      <c r="N2677" s="14" t="n">
        <v>1.601</v>
      </c>
      <c r="O2677" s="14" t="n">
        <v>1.632</v>
      </c>
      <c r="P2677" s="14" t="n">
        <v>1.653</v>
      </c>
      <c r="Q2677" s="14" t="n">
        <v>4</v>
      </c>
      <c r="R2677" s="14" t="n">
        <v>4</v>
      </c>
      <c r="S2677" s="14" t="n">
        <v>15</v>
      </c>
    </row>
    <row r="2678" customFormat="false" ht="15" hidden="false" customHeight="false" outlineLevel="0" collapsed="false">
      <c r="A2678" s="13" t="n">
        <v>46009</v>
      </c>
      <c r="B2678" s="14" t="n">
        <v>3.66</v>
      </c>
      <c r="C2678" s="14" t="n">
        <v>3.75</v>
      </c>
      <c r="D2678" s="14" t="n">
        <v>3.5</v>
      </c>
      <c r="E2678" s="14" t="n">
        <v>1.931</v>
      </c>
      <c r="F2678" s="14" t="n">
        <v>2</v>
      </c>
      <c r="G2678" s="14" t="n">
        <v>3.75</v>
      </c>
      <c r="H2678" s="14" t="n">
        <v>3.7264</v>
      </c>
      <c r="I2678" s="14" t="n">
        <v>3.73022243659445</v>
      </c>
      <c r="J2678" s="14" t="n">
        <v>3.70535896680448</v>
      </c>
      <c r="K2678" s="14" t="n">
        <v>3.62836279070656</v>
      </c>
      <c r="L2678" s="14" t="n">
        <v>3.50516971112036</v>
      </c>
      <c r="M2678" s="14" t="n">
        <v>1.55</v>
      </c>
      <c r="N2678" s="14" t="n">
        <v>1.603</v>
      </c>
      <c r="O2678" s="14" t="n">
        <v>1.633</v>
      </c>
      <c r="P2678" s="14" t="n">
        <v>1.653</v>
      </c>
      <c r="Q2678" s="14" t="n">
        <v>4</v>
      </c>
      <c r="R2678" s="14" t="n">
        <v>4</v>
      </c>
      <c r="S2678" s="14" t="n">
        <v>15</v>
      </c>
    </row>
    <row r="2679" customFormat="false" ht="15" hidden="false" customHeight="false" outlineLevel="0" collapsed="false">
      <c r="A2679" s="13" t="n">
        <v>46010</v>
      </c>
      <c r="B2679" s="14" t="n">
        <v>3.66</v>
      </c>
      <c r="C2679" s="14" t="n">
        <v>3.75</v>
      </c>
      <c r="D2679" s="14" t="n">
        <v>3.5</v>
      </c>
      <c r="E2679" s="14" t="n">
        <v>1.933</v>
      </c>
      <c r="F2679" s="14" t="n">
        <v>2</v>
      </c>
      <c r="G2679" s="14" t="n">
        <v>3.75</v>
      </c>
      <c r="H2679" s="14" t="n">
        <v>3.7236</v>
      </c>
      <c r="I2679" s="14" t="n">
        <v>3.73081543940678</v>
      </c>
      <c r="J2679" s="14" t="n">
        <v>3.70985545484845</v>
      </c>
      <c r="K2679" s="14" t="n">
        <v>3.63735549938838</v>
      </c>
      <c r="L2679" s="14" t="n">
        <v>3.51628739233466</v>
      </c>
      <c r="M2679" s="14" t="n">
        <v>1.5544</v>
      </c>
      <c r="N2679" s="14" t="n">
        <v>1.6022</v>
      </c>
      <c r="O2679" s="14" t="n">
        <v>1.6311</v>
      </c>
      <c r="P2679" s="14" t="n">
        <v>1.6511</v>
      </c>
      <c r="Q2679" s="14" t="n">
        <v>4</v>
      </c>
      <c r="R2679" s="14" t="n">
        <v>4</v>
      </c>
      <c r="S2679" s="14" t="n">
        <v>15</v>
      </c>
    </row>
    <row r="2680" customFormat="false" ht="15" hidden="false" customHeight="false" outlineLevel="0" collapsed="false">
      <c r="A2680" s="13" t="n">
        <v>46013</v>
      </c>
      <c r="B2680" s="14" t="n">
        <v>3.68</v>
      </c>
      <c r="C2680" s="14" t="n">
        <v>3.75</v>
      </c>
      <c r="D2680" s="14" t="n">
        <v>3.5</v>
      </c>
      <c r="E2680" s="14" t="n">
        <v>1.932</v>
      </c>
      <c r="F2680" s="14" t="n">
        <v>2</v>
      </c>
      <c r="G2680" s="14" t="n">
        <v>3.75</v>
      </c>
      <c r="H2680" s="14" t="n">
        <v>3.7231</v>
      </c>
      <c r="I2680" s="14" t="n">
        <v>3.73178750882925</v>
      </c>
      <c r="J2680" s="14" t="n">
        <v>3.70777486710428</v>
      </c>
      <c r="K2680" s="14" t="n">
        <v>3.63072135291731</v>
      </c>
      <c r="L2680" s="14" t="n">
        <v>3.5055474097254</v>
      </c>
      <c r="M2680" s="14" t="n">
        <v>1.559</v>
      </c>
      <c r="N2680" s="14" t="n">
        <v>1.601</v>
      </c>
      <c r="O2680" s="14" t="n">
        <v>1.629</v>
      </c>
      <c r="P2680" s="14" t="n">
        <v>1.65</v>
      </c>
      <c r="Q2680" s="14" t="n">
        <v>4</v>
      </c>
      <c r="R2680" s="14" t="n">
        <v>4</v>
      </c>
      <c r="S2680" s="14" t="n">
        <v>15</v>
      </c>
    </row>
    <row r="2681" customFormat="false" ht="15" hidden="false" customHeight="false" outlineLevel="0" collapsed="false">
      <c r="A2681" s="13" t="n">
        <v>46014</v>
      </c>
      <c r="B2681" s="14" t="n">
        <v>3.66</v>
      </c>
      <c r="C2681" s="14" t="n">
        <v>3.75</v>
      </c>
      <c r="D2681" s="14" t="n">
        <v>3.5</v>
      </c>
      <c r="E2681" s="14" t="n">
        <v>1.925</v>
      </c>
      <c r="F2681" s="14" t="n">
        <v>2</v>
      </c>
      <c r="G2681" s="14" t="n">
        <v>3.75</v>
      </c>
      <c r="H2681" s="14" t="n">
        <v>3.7248</v>
      </c>
      <c r="I2681" s="14" t="n">
        <v>3.73069788866603</v>
      </c>
      <c r="J2681" s="14" t="n">
        <v>3.70724384294733</v>
      </c>
      <c r="K2681" s="14" t="n">
        <v>3.63183853749805</v>
      </c>
      <c r="L2681" s="14" t="n">
        <v>3.51029105580081</v>
      </c>
      <c r="M2681" s="14" t="n">
        <v>1.567</v>
      </c>
      <c r="N2681" s="14" t="n">
        <v>1.6</v>
      </c>
      <c r="O2681" s="14" t="n">
        <v>1.63</v>
      </c>
      <c r="P2681" s="14" t="n">
        <v>1.65</v>
      </c>
      <c r="Q2681" s="14" t="n">
        <v>4</v>
      </c>
      <c r="R2681" s="14" t="n">
        <v>4</v>
      </c>
      <c r="S2681" s="14" t="n">
        <v>15</v>
      </c>
    </row>
    <row r="2682" customFormat="false" ht="15" hidden="false" customHeight="false" outlineLevel="0" collapsed="false">
      <c r="A2682" s="13" t="n">
        <v>46015</v>
      </c>
      <c r="B2682" s="14" t="n">
        <v>3.66</v>
      </c>
      <c r="C2682" s="14" t="n">
        <v>3.75</v>
      </c>
      <c r="D2682" s="14" t="n">
        <v>3.5</v>
      </c>
      <c r="E2682" s="14" t="n">
        <v>1.926</v>
      </c>
      <c r="F2682" s="14" t="n">
        <v>2</v>
      </c>
      <c r="G2682" s="14" t="n">
        <v>3.75</v>
      </c>
      <c r="H2682" s="14" t="n">
        <v>3.725</v>
      </c>
      <c r="I2682" s="14" t="n">
        <v>3.73284906037634</v>
      </c>
      <c r="J2682" s="14" t="n">
        <v>3.7088846498345</v>
      </c>
      <c r="K2682" s="14" t="n">
        <v>3.63378824032429</v>
      </c>
      <c r="L2682" s="14" t="n">
        <v>3.51184479829123</v>
      </c>
      <c r="M2682" s="14" t="n">
        <v>1.579</v>
      </c>
      <c r="N2682" s="14" t="n">
        <v>1.6</v>
      </c>
      <c r="O2682" s="14" t="n">
        <v>1.629</v>
      </c>
      <c r="P2682" s="14" t="n">
        <v>1.65</v>
      </c>
      <c r="S2682" s="14" t="n">
        <v>15</v>
      </c>
    </row>
    <row r="2683" customFormat="false" ht="15" hidden="false" customHeight="false" outlineLevel="0" collapsed="false">
      <c r="A2683" s="13" t="n">
        <v>46016</v>
      </c>
      <c r="C2683" s="14" t="n">
        <v>3.75</v>
      </c>
      <c r="D2683" s="14" t="n">
        <v>3.5</v>
      </c>
      <c r="F2683" s="14" t="n">
        <v>2</v>
      </c>
      <c r="M2683" s="14" t="n">
        <v>1.584</v>
      </c>
      <c r="N2683" s="14" t="n">
        <v>1.6</v>
      </c>
      <c r="O2683" s="14" t="n">
        <v>1.627</v>
      </c>
      <c r="P2683" s="14" t="n">
        <v>1.65</v>
      </c>
      <c r="S2683" s="14" t="n">
        <v>15</v>
      </c>
    </row>
    <row r="2684" customFormat="false" ht="15" hidden="false" customHeight="false" outlineLevel="0" collapsed="false">
      <c r="A2684" s="13" t="n">
        <v>46017</v>
      </c>
      <c r="B2684" s="14" t="n">
        <v>3.76</v>
      </c>
      <c r="C2684" s="14" t="n">
        <v>3.75</v>
      </c>
      <c r="D2684" s="14" t="n">
        <v>3.5</v>
      </c>
      <c r="F2684" s="14" t="n">
        <v>2</v>
      </c>
      <c r="M2684" s="14" t="n">
        <v>1.584</v>
      </c>
      <c r="N2684" s="14" t="n">
        <v>1.6</v>
      </c>
      <c r="O2684" s="14" t="n">
        <v>1.628</v>
      </c>
      <c r="P2684" s="14" t="n">
        <v>1.65</v>
      </c>
      <c r="S2684" s="14" t="n">
        <v>15</v>
      </c>
    </row>
    <row r="2685" customFormat="false" ht="15" hidden="false" customHeight="false" outlineLevel="0" collapsed="false">
      <c r="A2685" s="13" t="n">
        <v>46020</v>
      </c>
      <c r="B2685" s="14" t="n">
        <v>3.77</v>
      </c>
      <c r="C2685" s="14" t="n">
        <v>3.75</v>
      </c>
      <c r="D2685" s="14" t="n">
        <v>3.5</v>
      </c>
      <c r="E2685" s="14" t="n">
        <v>1.934</v>
      </c>
      <c r="F2685" s="14" t="n">
        <v>2</v>
      </c>
      <c r="G2685" s="14" t="n">
        <v>3.75</v>
      </c>
      <c r="H2685" s="14" t="n">
        <v>3.7251</v>
      </c>
      <c r="I2685" s="14" t="n">
        <v>3.73202909686289</v>
      </c>
      <c r="J2685" s="14" t="n">
        <v>3.70138282626931</v>
      </c>
      <c r="K2685" s="14" t="n">
        <v>3.61969938062434</v>
      </c>
      <c r="L2685" s="14" t="n">
        <v>3.49508593860459</v>
      </c>
      <c r="M2685" s="14" t="n">
        <v>1.584</v>
      </c>
      <c r="N2685" s="14" t="n">
        <v>1.6</v>
      </c>
      <c r="O2685" s="14" t="n">
        <v>1.63</v>
      </c>
      <c r="P2685" s="14" t="n">
        <v>1.65</v>
      </c>
      <c r="Q2685" s="14" t="n">
        <v>4</v>
      </c>
      <c r="R2685" s="14" t="n">
        <v>4</v>
      </c>
      <c r="S2685" s="14" t="n">
        <v>15</v>
      </c>
    </row>
    <row r="2686" customFormat="false" ht="15" hidden="false" customHeight="false" outlineLevel="0" collapsed="false">
      <c r="A2686" s="13" t="n">
        <v>46021</v>
      </c>
      <c r="B2686" s="14" t="n">
        <v>3.71</v>
      </c>
      <c r="C2686" s="14" t="n">
        <v>3.75</v>
      </c>
      <c r="D2686" s="14" t="n">
        <v>3.5</v>
      </c>
      <c r="E2686" s="14" t="n">
        <v>1.93</v>
      </c>
      <c r="F2686" s="14" t="n">
        <v>2</v>
      </c>
      <c r="G2686" s="14" t="n">
        <v>3.75</v>
      </c>
      <c r="H2686" s="14" t="n">
        <v>3.7254</v>
      </c>
      <c r="I2686" s="14" t="n">
        <v>3.73098118771786</v>
      </c>
      <c r="J2686" s="14" t="n">
        <v>3.6992794759734</v>
      </c>
      <c r="K2686" s="14" t="n">
        <v>3.61585517869248</v>
      </c>
      <c r="L2686" s="14" t="n">
        <v>3.48991270375746</v>
      </c>
      <c r="M2686" s="14" t="n">
        <v>1.585</v>
      </c>
      <c r="N2686" s="14" t="n">
        <v>1.6</v>
      </c>
      <c r="O2686" s="14" t="n">
        <v>1.63</v>
      </c>
      <c r="P2686" s="14" t="n">
        <v>1.65</v>
      </c>
      <c r="Q2686" s="14" t="n">
        <v>4</v>
      </c>
      <c r="R2686" s="14" t="n">
        <v>4</v>
      </c>
      <c r="S2686" s="14" t="n">
        <v>15</v>
      </c>
    </row>
    <row r="2687" customFormat="false" ht="15" hidden="false" customHeight="false" outlineLevel="0" collapsed="false">
      <c r="A2687" s="13" t="n">
        <v>46022</v>
      </c>
      <c r="B2687" s="14" t="n">
        <v>3.87</v>
      </c>
      <c r="C2687" s="14" t="n">
        <v>3.75</v>
      </c>
      <c r="D2687" s="14" t="n">
        <v>3.5</v>
      </c>
      <c r="E2687" s="14" t="n">
        <v>1.921</v>
      </c>
      <c r="F2687" s="14" t="n">
        <v>2</v>
      </c>
      <c r="G2687" s="14" t="n">
        <v>3.75</v>
      </c>
      <c r="H2687" s="14" t="n">
        <v>3.7257</v>
      </c>
      <c r="I2687" s="14" t="n">
        <v>3.72958450136937</v>
      </c>
      <c r="J2687" s="14" t="n">
        <v>3.69793763250634</v>
      </c>
      <c r="K2687" s="14" t="n">
        <v>3.61394085473836</v>
      </c>
      <c r="L2687" s="14" t="n">
        <v>3.4856178066535</v>
      </c>
      <c r="M2687" s="14" t="n">
        <v>1.588</v>
      </c>
      <c r="N2687" s="14" t="n">
        <v>1.6</v>
      </c>
      <c r="O2687" s="14" t="n">
        <v>1.629</v>
      </c>
      <c r="P2687" s="14" t="n">
        <v>1.65</v>
      </c>
      <c r="Q2687" s="14" t="n">
        <v>4</v>
      </c>
      <c r="R2687" s="14" t="n">
        <v>4</v>
      </c>
      <c r="S2687" s="14" t="n">
        <v>15</v>
      </c>
    </row>
    <row r="2688" customFormat="false" ht="15" hidden="false" customHeight="false" outlineLevel="0" collapsed="false">
      <c r="A2688" s="13" t="n">
        <v>46023</v>
      </c>
      <c r="C2688" s="14" t="n">
        <v>3.75</v>
      </c>
      <c r="D2688" s="14" t="n">
        <v>3.5</v>
      </c>
      <c r="F2688" s="14" t="n">
        <v>2</v>
      </c>
      <c r="S2688" s="14" t="n">
        <v>15</v>
      </c>
    </row>
    <row r="2689" customFormat="false" ht="15" hidden="false" customHeight="false" outlineLevel="0" collapsed="false">
      <c r="A2689" s="13" t="n">
        <v>46024</v>
      </c>
      <c r="B2689" s="14" t="n">
        <v>3.75</v>
      </c>
      <c r="C2689" s="14" t="n">
        <v>3.75</v>
      </c>
      <c r="D2689" s="14" t="n">
        <v>3.5</v>
      </c>
      <c r="E2689" s="14" t="n">
        <v>1.936</v>
      </c>
      <c r="F2689" s="14" t="n">
        <v>2</v>
      </c>
      <c r="G2689" s="14" t="n">
        <v>3.75</v>
      </c>
      <c r="H2689" s="14" t="n">
        <v>3.7263</v>
      </c>
      <c r="I2689" s="14" t="n">
        <v>3.73110011856006</v>
      </c>
      <c r="J2689" s="14" t="n">
        <v>3.69515416169047</v>
      </c>
      <c r="K2689" s="14" t="n">
        <v>3.61225081336954</v>
      </c>
      <c r="L2689" s="14" t="n">
        <v>3.49080857879237</v>
      </c>
      <c r="Q2689" s="14" t="n">
        <v>4</v>
      </c>
      <c r="R2689" s="14" t="n">
        <v>4</v>
      </c>
      <c r="S2689" s="14" t="n">
        <v>15</v>
      </c>
    </row>
    <row r="2690" customFormat="false" ht="15" hidden="false" customHeight="false" outlineLevel="0" collapsed="false">
      <c r="A2690" s="13" t="n">
        <v>46026</v>
      </c>
      <c r="C2690" s="14" t="n">
        <v>3.75</v>
      </c>
      <c r="D2690" s="14" t="n">
        <v>3.5</v>
      </c>
      <c r="F2690" s="14" t="n">
        <v>2</v>
      </c>
      <c r="M2690" s="14" t="n">
        <v>1.579</v>
      </c>
      <c r="N2690" s="14" t="n">
        <v>1.598</v>
      </c>
      <c r="O2690" s="14" t="n">
        <v>1.624</v>
      </c>
      <c r="P2690" s="14" t="n">
        <v>1.649</v>
      </c>
      <c r="S2690" s="14" t="n">
        <v>15</v>
      </c>
    </row>
    <row r="2691" customFormat="false" ht="15" hidden="false" customHeight="false" outlineLevel="0" collapsed="false">
      <c r="A2691" s="13" t="n">
        <v>46027</v>
      </c>
      <c r="B2691" s="14" t="n">
        <v>3.7</v>
      </c>
      <c r="C2691" s="14" t="n">
        <v>3.75</v>
      </c>
      <c r="D2691" s="14" t="n">
        <v>3.5</v>
      </c>
      <c r="E2691" s="14" t="n">
        <v>1.933</v>
      </c>
      <c r="F2691" s="14" t="n">
        <v>2</v>
      </c>
      <c r="G2691" s="14" t="n">
        <v>3.75</v>
      </c>
      <c r="H2691" s="14" t="n">
        <v>3.7251</v>
      </c>
      <c r="I2691" s="14" t="n">
        <v>3.72877522884882</v>
      </c>
      <c r="J2691" s="14" t="n">
        <v>3.69098270107258</v>
      </c>
      <c r="K2691" s="14" t="n">
        <v>3.6046967961964</v>
      </c>
      <c r="L2691" s="14" t="n">
        <v>3.48039085904708</v>
      </c>
      <c r="M2691" s="14" t="n">
        <v>1.574</v>
      </c>
      <c r="N2691" s="14" t="n">
        <v>1.596</v>
      </c>
      <c r="O2691" s="14" t="n">
        <v>1.617</v>
      </c>
      <c r="P2691" s="14" t="n">
        <v>1.648</v>
      </c>
      <c r="Q2691" s="14" t="n">
        <v>4</v>
      </c>
      <c r="R2691" s="14" t="n">
        <v>4</v>
      </c>
      <c r="S2691" s="14" t="n">
        <v>15</v>
      </c>
    </row>
    <row r="2692" customFormat="false" ht="15" hidden="false" customHeight="false" outlineLevel="0" collapsed="false">
      <c r="A2692" s="13" t="n">
        <v>46028</v>
      </c>
      <c r="B2692" s="14" t="n">
        <v>3.66</v>
      </c>
      <c r="C2692" s="14" t="n">
        <v>3.75</v>
      </c>
      <c r="D2692" s="14" t="n">
        <v>3.5</v>
      </c>
      <c r="E2692" s="14" t="n">
        <v>1.933</v>
      </c>
      <c r="F2692" s="14" t="n">
        <v>2</v>
      </c>
      <c r="G2692" s="14" t="n">
        <v>3.75</v>
      </c>
      <c r="H2692" s="14" t="n">
        <v>3.7245</v>
      </c>
      <c r="I2692" s="14" t="n">
        <v>3.72800868892927</v>
      </c>
      <c r="J2692" s="14" t="n">
        <v>3.69140094512339</v>
      </c>
      <c r="K2692" s="14" t="n">
        <v>3.60620924736449</v>
      </c>
      <c r="L2692" s="14" t="n">
        <v>3.48253851417035</v>
      </c>
      <c r="M2692" s="14" t="n">
        <v>1.569</v>
      </c>
      <c r="N2692" s="14" t="n">
        <v>1.596</v>
      </c>
      <c r="O2692" s="14" t="n">
        <v>1.618</v>
      </c>
      <c r="P2692" s="14" t="n">
        <v>1.648</v>
      </c>
      <c r="Q2692" s="14" t="n">
        <v>4</v>
      </c>
      <c r="R2692" s="14" t="n">
        <v>4</v>
      </c>
      <c r="S2692" s="14" t="n">
        <v>15</v>
      </c>
    </row>
    <row r="2693" customFormat="false" ht="15" hidden="false" customHeight="false" outlineLevel="0" collapsed="false">
      <c r="A2693" s="13" t="n">
        <v>46029</v>
      </c>
      <c r="B2693" s="14" t="n">
        <v>3.65</v>
      </c>
      <c r="C2693" s="14" t="n">
        <v>3.75</v>
      </c>
      <c r="D2693" s="14" t="n">
        <v>3.5</v>
      </c>
      <c r="E2693" s="14" t="n">
        <v>1.933</v>
      </c>
      <c r="F2693" s="14" t="n">
        <v>2</v>
      </c>
      <c r="G2693" s="14" t="n">
        <v>3.75</v>
      </c>
      <c r="H2693" s="14" t="n">
        <v>3.7248</v>
      </c>
      <c r="I2693" s="14" t="n">
        <v>3.72872019909199</v>
      </c>
      <c r="J2693" s="14" t="n">
        <v>3.6877867090161</v>
      </c>
      <c r="K2693" s="14" t="n">
        <v>3.59994094450876</v>
      </c>
      <c r="L2693" s="14" t="n">
        <v>3.46931845148924</v>
      </c>
      <c r="M2693" s="14" t="n">
        <v>1.564</v>
      </c>
      <c r="N2693" s="14" t="n">
        <v>1.597</v>
      </c>
      <c r="O2693" s="14" t="n">
        <v>1.619</v>
      </c>
      <c r="P2693" s="14" t="n">
        <v>1.649</v>
      </c>
      <c r="Q2693" s="14" t="n">
        <v>4</v>
      </c>
      <c r="R2693" s="14" t="n">
        <v>4</v>
      </c>
      <c r="S2693" s="14" t="n">
        <v>15</v>
      </c>
    </row>
    <row r="2694" customFormat="false" ht="15" hidden="false" customHeight="false" outlineLevel="0" collapsed="false">
      <c r="A2694" s="13" t="n">
        <v>46030</v>
      </c>
      <c r="B2694" s="14" t="n">
        <v>3.64</v>
      </c>
      <c r="C2694" s="14" t="n">
        <v>3.75</v>
      </c>
      <c r="D2694" s="14" t="n">
        <v>3.5</v>
      </c>
      <c r="E2694" s="14" t="n">
        <v>1.933</v>
      </c>
      <c r="F2694" s="14" t="n">
        <v>2</v>
      </c>
      <c r="G2694" s="14" t="n">
        <v>3.75</v>
      </c>
      <c r="H2694" s="14" t="n">
        <v>3.7249</v>
      </c>
      <c r="I2694" s="14" t="n">
        <v>3.72666043861254</v>
      </c>
      <c r="J2694" s="14" t="n">
        <v>3.68792912350921</v>
      </c>
      <c r="K2694" s="14" t="n">
        <v>3.59888673684318</v>
      </c>
      <c r="L2694" s="14" t="n">
        <v>3.46803692137296</v>
      </c>
      <c r="M2694" s="14" t="n">
        <v>1.559</v>
      </c>
      <c r="N2694" s="14" t="n">
        <v>1.595</v>
      </c>
      <c r="O2694" s="14" t="n">
        <v>1.619</v>
      </c>
      <c r="P2694" s="14" t="n">
        <v>1.648</v>
      </c>
      <c r="Q2694" s="14" t="n">
        <v>4</v>
      </c>
      <c r="R2694" s="14" t="n">
        <v>4</v>
      </c>
      <c r="S2694" s="14" t="n">
        <v>15</v>
      </c>
    </row>
    <row r="2695" customFormat="false" ht="15" hidden="false" customHeight="false" outlineLevel="0" collapsed="false">
      <c r="A2695" s="13" t="n">
        <v>46031</v>
      </c>
      <c r="B2695" s="14" t="n">
        <v>3.64</v>
      </c>
      <c r="C2695" s="14" t="n">
        <v>3.75</v>
      </c>
      <c r="D2695" s="14" t="n">
        <v>3.5</v>
      </c>
      <c r="E2695" s="14" t="n">
        <v>1.932</v>
      </c>
      <c r="F2695" s="14" t="n">
        <v>2</v>
      </c>
      <c r="G2695" s="14" t="n">
        <v>3.75</v>
      </c>
      <c r="H2695" s="14" t="n">
        <v>3.7246</v>
      </c>
      <c r="I2695" s="14" t="n">
        <v>3.72783327886542</v>
      </c>
      <c r="J2695" s="14" t="n">
        <v>3.68705987781994</v>
      </c>
      <c r="K2695" s="14" t="n">
        <v>3.59558075053798</v>
      </c>
      <c r="L2695" s="14" t="n">
        <v>3.45972019530716</v>
      </c>
      <c r="M2695" s="14" t="n">
        <v>1.557</v>
      </c>
      <c r="N2695" s="14" t="n">
        <v>1.595</v>
      </c>
      <c r="O2695" s="14" t="n">
        <v>1.618</v>
      </c>
      <c r="P2695" s="14" t="n">
        <v>1.646</v>
      </c>
      <c r="Q2695" s="14" t="n">
        <v>4</v>
      </c>
      <c r="R2695" s="14" t="n">
        <v>4</v>
      </c>
      <c r="S2695" s="14" t="n">
        <v>15</v>
      </c>
    </row>
    <row r="2696" customFormat="false" ht="15" hidden="false" customHeight="false" outlineLevel="0" collapsed="false">
      <c r="A2696" s="13" t="n">
        <v>46034</v>
      </c>
      <c r="B2696" s="14" t="n">
        <v>3.64</v>
      </c>
      <c r="C2696" s="14" t="n">
        <v>3.75</v>
      </c>
      <c r="D2696" s="14" t="n">
        <v>3.5</v>
      </c>
      <c r="E2696" s="14" t="n">
        <v>1.931</v>
      </c>
      <c r="F2696" s="14" t="n">
        <v>2</v>
      </c>
      <c r="G2696" s="14" t="n">
        <v>3.75</v>
      </c>
      <c r="H2696" s="14" t="n">
        <v>3.7246</v>
      </c>
      <c r="I2696" s="14" t="n">
        <v>3.72591465985743</v>
      </c>
      <c r="J2696" s="14" t="n">
        <v>3.68526760300629</v>
      </c>
      <c r="K2696" s="14" t="n">
        <v>3.59429220296773</v>
      </c>
      <c r="L2696" s="14" t="n">
        <v>3.45975291630811</v>
      </c>
      <c r="M2696" s="14" t="n">
        <v>1.556</v>
      </c>
      <c r="N2696" s="14" t="n">
        <v>1.598</v>
      </c>
      <c r="O2696" s="14" t="n">
        <v>1.62</v>
      </c>
      <c r="P2696" s="14" t="n">
        <v>1.648</v>
      </c>
      <c r="Q2696" s="14" t="n">
        <v>4</v>
      </c>
      <c r="R2696" s="14" t="n">
        <v>4</v>
      </c>
      <c r="S2696" s="14" t="n">
        <v>15</v>
      </c>
    </row>
    <row r="2697" customFormat="false" ht="15" hidden="false" customHeight="false" outlineLevel="0" collapsed="false">
      <c r="A2697" s="13" t="n">
        <v>46035</v>
      </c>
      <c r="B2697" s="14" t="n">
        <v>3.65</v>
      </c>
      <c r="C2697" s="14" t="n">
        <v>3.75</v>
      </c>
      <c r="D2697" s="14" t="n">
        <v>3.5</v>
      </c>
      <c r="E2697" s="14" t="n">
        <v>1.93</v>
      </c>
      <c r="F2697" s="14" t="n">
        <v>2</v>
      </c>
      <c r="G2697" s="14" t="n">
        <v>3.75</v>
      </c>
      <c r="H2697" s="14" t="n">
        <v>3.725</v>
      </c>
      <c r="I2697" s="14" t="n">
        <v>3.72580319211426</v>
      </c>
      <c r="J2697" s="14" t="n">
        <v>3.68749366791611</v>
      </c>
      <c r="K2697" s="14" t="n">
        <v>3.59710665359469</v>
      </c>
      <c r="L2697" s="14" t="n">
        <v>3.46290609764784</v>
      </c>
      <c r="M2697" s="14" t="n">
        <v>1.559</v>
      </c>
      <c r="N2697" s="14" t="n">
        <v>1.6</v>
      </c>
      <c r="O2697" s="14" t="n">
        <v>1.62</v>
      </c>
      <c r="P2697" s="14" t="n">
        <v>1.649</v>
      </c>
      <c r="Q2697" s="14" t="n">
        <v>4</v>
      </c>
      <c r="R2697" s="14" t="n">
        <v>4</v>
      </c>
      <c r="S2697" s="14" t="n">
        <v>15</v>
      </c>
    </row>
    <row r="2698" customFormat="false" ht="15" hidden="false" customHeight="false" outlineLevel="0" collapsed="false">
      <c r="A2698" s="13" t="n">
        <v>46036</v>
      </c>
      <c r="B2698" s="14" t="n">
        <v>3.64</v>
      </c>
      <c r="C2698" s="14" t="n">
        <v>3.75</v>
      </c>
      <c r="D2698" s="14" t="n">
        <v>3.5</v>
      </c>
      <c r="E2698" s="14" t="n">
        <v>1.931</v>
      </c>
      <c r="F2698" s="14" t="n">
        <v>2</v>
      </c>
      <c r="G2698" s="14" t="n">
        <v>3.75</v>
      </c>
      <c r="H2698" s="14" t="n">
        <v>3.7248</v>
      </c>
      <c r="I2698" s="14" t="n">
        <v>3.72620458327099</v>
      </c>
      <c r="J2698" s="14" t="n">
        <v>3.68424739642149</v>
      </c>
      <c r="K2698" s="14" t="n">
        <v>3.58685379392949</v>
      </c>
      <c r="L2698" s="14" t="n">
        <v>3.44439426167151</v>
      </c>
      <c r="M2698" s="14" t="n">
        <v>1.56</v>
      </c>
      <c r="N2698" s="14" t="n">
        <v>1.6</v>
      </c>
      <c r="O2698" s="14" t="n">
        <v>1.62</v>
      </c>
      <c r="P2698" s="14" t="n">
        <v>1.65</v>
      </c>
      <c r="Q2698" s="14" t="n">
        <v>4</v>
      </c>
      <c r="R2698" s="14" t="n">
        <v>4</v>
      </c>
      <c r="S2698" s="14" t="n">
        <v>15</v>
      </c>
    </row>
    <row r="2699" customFormat="false" ht="15" hidden="false" customHeight="false" outlineLevel="0" collapsed="false">
      <c r="A2699" s="13" t="n">
        <v>46037</v>
      </c>
      <c r="B2699" s="14" t="n">
        <v>3.66</v>
      </c>
      <c r="C2699" s="14" t="n">
        <v>3.75</v>
      </c>
      <c r="D2699" s="14" t="n">
        <v>3.5</v>
      </c>
      <c r="E2699" s="14" t="n">
        <v>1.93</v>
      </c>
      <c r="F2699" s="14" t="n">
        <v>2</v>
      </c>
      <c r="G2699" s="14" t="n">
        <v>3.75</v>
      </c>
      <c r="H2699" s="14" t="n">
        <v>3.7239</v>
      </c>
      <c r="I2699" s="14" t="n">
        <v>3.72574057180613</v>
      </c>
      <c r="J2699" s="14" t="n">
        <v>3.68943521798018</v>
      </c>
      <c r="K2699" s="14" t="n">
        <v>3.60089718675042</v>
      </c>
      <c r="L2699" s="14" t="n">
        <v>3.47430409683947</v>
      </c>
      <c r="M2699" s="14" t="n">
        <v>1.5596</v>
      </c>
      <c r="N2699" s="14" t="n">
        <v>1.6</v>
      </c>
      <c r="O2699" s="14" t="n">
        <v>1.62</v>
      </c>
      <c r="P2699" s="14" t="n">
        <v>1.649</v>
      </c>
      <c r="Q2699" s="14" t="n">
        <v>4</v>
      </c>
      <c r="R2699" s="14" t="n">
        <v>4</v>
      </c>
      <c r="S2699" s="14" t="n">
        <v>15</v>
      </c>
    </row>
    <row r="2700" customFormat="false" ht="15" hidden="false" customHeight="false" outlineLevel="0" collapsed="false">
      <c r="A2700" s="13" t="n">
        <v>46038</v>
      </c>
      <c r="B2700" s="14" t="n">
        <v>3.65</v>
      </c>
      <c r="C2700" s="14" t="n">
        <v>3.75</v>
      </c>
      <c r="D2700" s="14" t="n">
        <v>3.5</v>
      </c>
      <c r="E2700" s="14" t="n">
        <v>1.93</v>
      </c>
      <c r="F2700" s="14" t="n">
        <v>2</v>
      </c>
      <c r="G2700" s="14" t="n">
        <v>3.75</v>
      </c>
      <c r="H2700" s="14" t="n">
        <v>3.7243</v>
      </c>
      <c r="I2700" s="14" t="n">
        <v>3.72574548763154</v>
      </c>
      <c r="J2700" s="14" t="n">
        <v>3.69103609792166</v>
      </c>
      <c r="K2700" s="14" t="n">
        <v>3.6058009304922</v>
      </c>
      <c r="L2700" s="14" t="n">
        <v>3.48365492561012</v>
      </c>
      <c r="M2700" s="14" t="n">
        <v>1.558</v>
      </c>
      <c r="N2700" s="14" t="n">
        <v>1.6</v>
      </c>
      <c r="O2700" s="14" t="n">
        <v>1.62</v>
      </c>
      <c r="P2700" s="14" t="n">
        <v>1.65</v>
      </c>
      <c r="Q2700" s="14" t="n">
        <v>4</v>
      </c>
      <c r="R2700" s="14" t="n">
        <v>4</v>
      </c>
      <c r="S2700" s="14" t="n">
        <v>15</v>
      </c>
    </row>
    <row r="2701" customFormat="false" ht="15" hidden="false" customHeight="false" outlineLevel="0" collapsed="false">
      <c r="A2701" s="13" t="n">
        <v>46041</v>
      </c>
      <c r="C2701" s="14" t="n">
        <v>3.75</v>
      </c>
      <c r="D2701" s="14" t="n">
        <v>3.5</v>
      </c>
      <c r="E2701" s="14" t="n">
        <v>1.929</v>
      </c>
      <c r="F2701" s="14" t="n">
        <v>2</v>
      </c>
      <c r="G2701" s="14" t="n">
        <v>3.75</v>
      </c>
      <c r="H2701" s="14" t="n">
        <v>3.7244</v>
      </c>
      <c r="I2701" s="14" t="n">
        <v>3.7240896046429</v>
      </c>
      <c r="J2701" s="14" t="n">
        <v>3.68472862679269</v>
      </c>
      <c r="K2701" s="14" t="n">
        <v>3.59339729254927</v>
      </c>
      <c r="L2701" s="14" t="n">
        <v>3.4663038861915</v>
      </c>
      <c r="M2701" s="14" t="n">
        <v>1.557</v>
      </c>
      <c r="N2701" s="14" t="n">
        <v>1.6</v>
      </c>
      <c r="O2701" s="14" t="n">
        <v>1.62</v>
      </c>
      <c r="P2701" s="14" t="n">
        <v>1.649</v>
      </c>
      <c r="Q2701" s="14" t="n">
        <v>4</v>
      </c>
      <c r="R2701" s="14" t="n">
        <v>4</v>
      </c>
      <c r="S2701" s="14" t="n">
        <v>15</v>
      </c>
    </row>
    <row r="2702" customFormat="false" ht="15" hidden="false" customHeight="false" outlineLevel="0" collapsed="false">
      <c r="A2702" s="13" t="n">
        <v>46042</v>
      </c>
      <c r="B2702" s="14" t="n">
        <v>3.64</v>
      </c>
      <c r="C2702" s="14" t="n">
        <v>3.75</v>
      </c>
      <c r="D2702" s="14" t="n">
        <v>3.5</v>
      </c>
      <c r="E2702" s="14" t="n">
        <v>1.932</v>
      </c>
      <c r="F2702" s="14" t="n">
        <v>2</v>
      </c>
      <c r="G2702" s="14" t="n">
        <v>3.75</v>
      </c>
      <c r="H2702" s="14" t="n">
        <v>3.7241</v>
      </c>
      <c r="I2702" s="14" t="n">
        <v>3.72697974770847</v>
      </c>
      <c r="J2702" s="14" t="n">
        <v>3.68860527257859</v>
      </c>
      <c r="K2702" s="14" t="n">
        <v>3.59507340952673</v>
      </c>
      <c r="L2702" s="14" t="n">
        <v>3.4686217204805</v>
      </c>
      <c r="M2702" s="14" t="n">
        <v>1.56</v>
      </c>
      <c r="N2702" s="14" t="n">
        <v>1.6</v>
      </c>
      <c r="O2702" s="14" t="n">
        <v>1.62</v>
      </c>
      <c r="P2702" s="14" t="n">
        <v>1.649</v>
      </c>
      <c r="Q2702" s="14" t="n">
        <v>4</v>
      </c>
      <c r="R2702" s="14" t="n">
        <v>4</v>
      </c>
      <c r="S2702" s="14" t="n">
        <v>15</v>
      </c>
    </row>
    <row r="2703" customFormat="false" ht="15" hidden="false" customHeight="false" outlineLevel="0" collapsed="false">
      <c r="A2703" s="13" t="n">
        <v>46043</v>
      </c>
      <c r="B2703" s="14" t="n">
        <v>3.63</v>
      </c>
      <c r="C2703" s="14" t="n">
        <v>3.75</v>
      </c>
      <c r="D2703" s="14" t="n">
        <v>3.5</v>
      </c>
      <c r="E2703" s="14" t="n">
        <v>1.932</v>
      </c>
      <c r="F2703" s="14" t="n">
        <v>2</v>
      </c>
      <c r="G2703" s="14" t="n">
        <v>3.75</v>
      </c>
      <c r="H2703" s="14" t="n">
        <v>3.7246</v>
      </c>
      <c r="I2703" s="14" t="n">
        <v>3.72584147597294</v>
      </c>
      <c r="J2703" s="14" t="n">
        <v>3.68741904131983</v>
      </c>
      <c r="K2703" s="14" t="n">
        <v>3.58734714973392</v>
      </c>
      <c r="L2703" s="14" t="n">
        <v>3.45296256233991</v>
      </c>
      <c r="M2703" s="14" t="n">
        <v>1.559</v>
      </c>
      <c r="N2703" s="14" t="n">
        <v>1.6</v>
      </c>
      <c r="O2703" s="14" t="n">
        <v>1.62</v>
      </c>
      <c r="P2703" s="14" t="n">
        <v>1.648</v>
      </c>
      <c r="Q2703" s="14" t="n">
        <v>4</v>
      </c>
      <c r="R2703" s="14" t="n">
        <v>4</v>
      </c>
      <c r="S2703" s="14" t="n">
        <v>15</v>
      </c>
    </row>
    <row r="2704" customFormat="false" ht="15" hidden="false" customHeight="false" outlineLevel="0" collapsed="false">
      <c r="A2704" s="13" t="n">
        <v>46044</v>
      </c>
      <c r="B2704" s="14" t="n">
        <v>3.64</v>
      </c>
      <c r="C2704" s="14" t="n">
        <v>3.75</v>
      </c>
      <c r="D2704" s="14" t="n">
        <v>3.5</v>
      </c>
      <c r="E2704" s="14" t="n">
        <v>1.933</v>
      </c>
      <c r="F2704" s="14" t="n">
        <v>2</v>
      </c>
      <c r="G2704" s="14" t="n">
        <v>3.75</v>
      </c>
      <c r="H2704" s="14" t="n">
        <v>3.726</v>
      </c>
      <c r="I2704" s="14" t="n">
        <v>3.72672126265179</v>
      </c>
      <c r="J2704" s="14" t="n">
        <v>3.68816837823318</v>
      </c>
      <c r="K2704" s="14" t="n">
        <v>3.59086989858034</v>
      </c>
      <c r="L2704" s="14" t="n">
        <v>3.46347506454654</v>
      </c>
      <c r="M2704" s="14" t="n">
        <v>1.557</v>
      </c>
      <c r="N2704" s="14" t="n">
        <v>1.598</v>
      </c>
      <c r="O2704" s="14" t="n">
        <v>1.616</v>
      </c>
      <c r="P2704" s="14" t="n">
        <v>1.6458</v>
      </c>
      <c r="Q2704" s="14" t="n">
        <v>4</v>
      </c>
      <c r="R2704" s="14" t="n">
        <v>4</v>
      </c>
      <c r="S2704" s="14" t="n">
        <v>15</v>
      </c>
    </row>
    <row r="2705" customFormat="false" ht="15" hidden="false" customHeight="false" outlineLevel="0" collapsed="false">
      <c r="A2705" s="13" t="n">
        <v>46045</v>
      </c>
      <c r="B2705" s="14" t="n">
        <v>3.65</v>
      </c>
      <c r="C2705" s="14" t="n">
        <v>3.75</v>
      </c>
      <c r="D2705" s="14" t="n">
        <v>3.5</v>
      </c>
      <c r="E2705" s="14" t="n">
        <v>1.933</v>
      </c>
      <c r="F2705" s="14" t="n">
        <v>2</v>
      </c>
      <c r="G2705" s="14" t="n">
        <v>3.75</v>
      </c>
      <c r="H2705" s="14" t="n">
        <v>3.7265</v>
      </c>
      <c r="I2705" s="14" t="n">
        <v>3.72766029701793</v>
      </c>
      <c r="J2705" s="14" t="n">
        <v>3.69934156032975</v>
      </c>
      <c r="K2705" s="14" t="n">
        <v>3.61277997635</v>
      </c>
      <c r="L2705" s="14" t="n">
        <v>3.49632080438877</v>
      </c>
      <c r="M2705" s="14" t="n">
        <v>1.5577</v>
      </c>
      <c r="N2705" s="14" t="n">
        <v>1.598</v>
      </c>
      <c r="O2705" s="14" t="n">
        <v>1.615</v>
      </c>
      <c r="P2705" s="14" t="n">
        <v>1.6441</v>
      </c>
      <c r="Q2705" s="14" t="n">
        <v>4</v>
      </c>
      <c r="R2705" s="14" t="n">
        <v>4</v>
      </c>
      <c r="S2705" s="14" t="n">
        <v>15</v>
      </c>
    </row>
    <row r="2706" customFormat="false" ht="15" hidden="false" customHeight="false" outlineLevel="0" collapsed="false">
      <c r="A2706" s="13" t="n">
        <v>46048</v>
      </c>
      <c r="B2706" s="14" t="n">
        <v>3.66</v>
      </c>
      <c r="C2706" s="14" t="n">
        <v>3.75</v>
      </c>
      <c r="D2706" s="14" t="n">
        <v>3.5</v>
      </c>
      <c r="E2706" s="14" t="n">
        <v>1.934</v>
      </c>
      <c r="F2706" s="14" t="n">
        <v>2</v>
      </c>
      <c r="G2706" s="14" t="n">
        <v>3.75</v>
      </c>
      <c r="H2706" s="14" t="n">
        <v>3.7259</v>
      </c>
      <c r="I2706" s="14" t="n">
        <v>3.7274105396575</v>
      </c>
      <c r="J2706" s="14" t="n">
        <v>3.69652429729785</v>
      </c>
      <c r="K2706" s="14" t="n">
        <v>3.61044172785208</v>
      </c>
      <c r="L2706" s="14" t="n">
        <v>3.49911208533717</v>
      </c>
      <c r="M2706" s="14" t="n">
        <v>1.5558</v>
      </c>
      <c r="N2706" s="14" t="n">
        <v>1.5978</v>
      </c>
      <c r="O2706" s="14" t="n">
        <v>1.6135</v>
      </c>
      <c r="P2706" s="14" t="n">
        <v>1.639</v>
      </c>
      <c r="Q2706" s="14" t="n">
        <v>4</v>
      </c>
      <c r="R2706" s="14" t="n">
        <v>4</v>
      </c>
      <c r="S2706" s="14" t="n">
        <v>15</v>
      </c>
    </row>
    <row r="2707" customFormat="false" ht="15" hidden="false" customHeight="false" outlineLevel="0" collapsed="false">
      <c r="A2707" s="13" t="n">
        <v>46049</v>
      </c>
      <c r="B2707" s="14" t="n">
        <v>3.66</v>
      </c>
      <c r="C2707" s="14" t="n">
        <v>3.75</v>
      </c>
      <c r="D2707" s="14" t="n">
        <v>3.5</v>
      </c>
      <c r="E2707" s="14" t="n">
        <v>1.934</v>
      </c>
      <c r="F2707" s="14" t="n">
        <v>2</v>
      </c>
      <c r="G2707" s="14" t="n">
        <v>3.75</v>
      </c>
      <c r="H2707" s="14" t="n">
        <v>3.7256</v>
      </c>
      <c r="I2707" s="14" t="n">
        <v>3.72670842671686</v>
      </c>
      <c r="J2707" s="14" t="n">
        <v>3.69735460439208</v>
      </c>
      <c r="K2707" s="14" t="n">
        <v>3.61495198161089</v>
      </c>
      <c r="L2707" s="14" t="n">
        <v>3.50888001207408</v>
      </c>
      <c r="M2707" s="14" t="n">
        <v>1.5556</v>
      </c>
      <c r="N2707" s="14" t="n">
        <v>1.5968</v>
      </c>
      <c r="O2707" s="14" t="n">
        <v>1.6094</v>
      </c>
      <c r="P2707" s="14" t="n">
        <v>1.637</v>
      </c>
      <c r="Q2707" s="14" t="n">
        <v>4</v>
      </c>
      <c r="R2707" s="14" t="n">
        <v>4</v>
      </c>
      <c r="S2707" s="14" t="n">
        <v>15</v>
      </c>
    </row>
    <row r="2708" customFormat="false" ht="15" hidden="false" customHeight="false" outlineLevel="0" collapsed="false">
      <c r="A2708" s="13" t="n">
        <v>46050</v>
      </c>
      <c r="B2708" s="14" t="n">
        <v>3.64</v>
      </c>
      <c r="C2708" s="14" t="n">
        <v>3.75</v>
      </c>
      <c r="D2708" s="14" t="n">
        <v>3.5</v>
      </c>
      <c r="E2708" s="14" t="n">
        <v>1.933</v>
      </c>
      <c r="F2708" s="14" t="n">
        <v>2</v>
      </c>
      <c r="G2708" s="14" t="n">
        <v>3.75</v>
      </c>
      <c r="H2708" s="14" t="n">
        <v>3.7248</v>
      </c>
      <c r="I2708" s="14" t="n">
        <v>3.72638432831278</v>
      </c>
      <c r="J2708" s="14" t="n">
        <v>3.69516034617264</v>
      </c>
      <c r="K2708" s="14" t="n">
        <v>3.61345656471405</v>
      </c>
      <c r="L2708" s="14" t="n">
        <v>3.50865201618679</v>
      </c>
      <c r="M2708" s="14" t="n">
        <v>1.5546</v>
      </c>
      <c r="N2708" s="14" t="n">
        <v>1.5947</v>
      </c>
      <c r="O2708" s="14" t="n">
        <v>1.6099</v>
      </c>
      <c r="P2708" s="14" t="n">
        <v>1.6337</v>
      </c>
      <c r="Q2708" s="14" t="n">
        <v>4</v>
      </c>
      <c r="R2708" s="14" t="n">
        <v>4</v>
      </c>
      <c r="S2708" s="14" t="n">
        <v>15</v>
      </c>
    </row>
    <row r="2709" customFormat="false" ht="15" hidden="false" customHeight="false" outlineLevel="0" collapsed="false">
      <c r="A2709" s="13" t="n">
        <v>46051</v>
      </c>
      <c r="B2709" s="14" t="n">
        <v>3.65</v>
      </c>
      <c r="C2709" s="14" t="n">
        <v>3.75</v>
      </c>
      <c r="D2709" s="14" t="n">
        <v>3.5</v>
      </c>
      <c r="E2709" s="14" t="n">
        <v>1.933</v>
      </c>
      <c r="F2709" s="14" t="n">
        <v>2</v>
      </c>
      <c r="G2709" s="14" t="n">
        <v>3.75</v>
      </c>
      <c r="H2709" s="14" t="n">
        <v>3.7247</v>
      </c>
      <c r="I2709" s="14" t="n">
        <v>3.72460078383276</v>
      </c>
      <c r="J2709" s="14" t="n">
        <v>3.68927665054235</v>
      </c>
      <c r="K2709" s="14" t="n">
        <v>3.60443513462547</v>
      </c>
      <c r="L2709" s="14" t="n">
        <v>3.49362208474971</v>
      </c>
      <c r="M2709" s="14" t="n">
        <v>1.552</v>
      </c>
      <c r="N2709" s="14" t="n">
        <v>1.591</v>
      </c>
      <c r="O2709" s="14" t="n">
        <v>1.608</v>
      </c>
      <c r="P2709" s="14" t="n">
        <v>1.629</v>
      </c>
      <c r="Q2709" s="14" t="n">
        <v>4</v>
      </c>
      <c r="R2709" s="14" t="n">
        <v>4</v>
      </c>
      <c r="S2709" s="14" t="n">
        <v>15</v>
      </c>
    </row>
    <row r="2710" customFormat="false" ht="15" hidden="false" customHeight="false" outlineLevel="0" collapsed="false">
      <c r="A2710" s="13" t="n">
        <v>46052</v>
      </c>
      <c r="B2710" s="14" t="n">
        <v>3.68</v>
      </c>
      <c r="C2710" s="14" t="n">
        <v>3.75</v>
      </c>
      <c r="D2710" s="14" t="n">
        <v>3.5</v>
      </c>
      <c r="E2710" s="14" t="n">
        <v>1.926</v>
      </c>
      <c r="F2710" s="14" t="n">
        <v>2</v>
      </c>
      <c r="G2710" s="14" t="n">
        <v>3.75</v>
      </c>
      <c r="H2710" s="14" t="n">
        <v>3.7254</v>
      </c>
      <c r="I2710" s="14" t="n">
        <v>3.72484278477123</v>
      </c>
      <c r="J2710" s="14" t="n">
        <v>3.69067197120612</v>
      </c>
      <c r="K2710" s="14" t="n">
        <v>3.60396909325083</v>
      </c>
      <c r="L2710" s="14" t="n">
        <v>3.49167602608053</v>
      </c>
      <c r="M2710" s="14" t="n">
        <v>1.551</v>
      </c>
      <c r="N2710" s="14" t="n">
        <v>1.589</v>
      </c>
      <c r="O2710" s="14" t="n">
        <v>1.609</v>
      </c>
      <c r="P2710" s="14" t="n">
        <v>1.628</v>
      </c>
      <c r="Q2710" s="14" t="n">
        <v>4</v>
      </c>
      <c r="R2710" s="14" t="n">
        <v>4</v>
      </c>
      <c r="S2710" s="14" t="n">
        <v>15</v>
      </c>
    </row>
    <row r="2711" customFormat="false" ht="15" hidden="false" customHeight="false" outlineLevel="0" collapsed="false">
      <c r="A2711" s="13" t="n">
        <v>46055</v>
      </c>
      <c r="B2711" s="14" t="n">
        <v>3.69</v>
      </c>
      <c r="C2711" s="14" t="n">
        <v>3.75</v>
      </c>
      <c r="D2711" s="14" t="n">
        <v>3.5</v>
      </c>
      <c r="E2711" s="14" t="n">
        <v>1.933</v>
      </c>
      <c r="F2711" s="14" t="n">
        <v>2</v>
      </c>
      <c r="G2711" s="14" t="n">
        <v>3.75</v>
      </c>
      <c r="H2711" s="14" t="n">
        <v>3.726</v>
      </c>
      <c r="I2711" s="14" t="n">
        <v>3.72469352686511</v>
      </c>
      <c r="J2711" s="14" t="n">
        <v>3.68537108346283</v>
      </c>
      <c r="K2711" s="14" t="n">
        <v>3.59814701374274</v>
      </c>
      <c r="L2711" s="14" t="n">
        <v>3.48750695089173</v>
      </c>
      <c r="M2711" s="14" t="n">
        <v>1.55</v>
      </c>
      <c r="N2711" s="14" t="n">
        <v>1.5889</v>
      </c>
      <c r="O2711" s="14" t="n">
        <v>1.6069</v>
      </c>
      <c r="P2711" s="14" t="n">
        <v>1.6248</v>
      </c>
      <c r="Q2711" s="14" t="n">
        <v>4</v>
      </c>
      <c r="R2711" s="14" t="n">
        <v>4</v>
      </c>
      <c r="S2711" s="14" t="n">
        <v>15</v>
      </c>
    </row>
    <row r="2712" customFormat="false" ht="15" hidden="false" customHeight="false" outlineLevel="0" collapsed="false">
      <c r="A2712" s="13" t="n">
        <v>46056</v>
      </c>
      <c r="B2712" s="14" t="n">
        <v>3.69</v>
      </c>
      <c r="C2712" s="14" t="n">
        <v>3.75</v>
      </c>
      <c r="D2712" s="14" t="n">
        <v>3.5</v>
      </c>
      <c r="E2712" s="14" t="n">
        <v>1.931</v>
      </c>
      <c r="F2712" s="14" t="n">
        <v>2</v>
      </c>
      <c r="G2712" s="14" t="n">
        <v>3.75</v>
      </c>
      <c r="H2712" s="14" t="n">
        <v>3.726</v>
      </c>
      <c r="I2712" s="14" t="n">
        <v>3.72459195975401</v>
      </c>
      <c r="J2712" s="14" t="n">
        <v>3.68432693532844</v>
      </c>
      <c r="K2712" s="14" t="n">
        <v>3.59656259198705</v>
      </c>
      <c r="L2712" s="14" t="n">
        <v>3.49149617584997</v>
      </c>
      <c r="M2712" s="14" t="n">
        <v>1.55</v>
      </c>
      <c r="N2712" s="14" t="n">
        <v>1.5859</v>
      </c>
      <c r="O2712" s="14" t="n">
        <v>1.6042</v>
      </c>
      <c r="P2712" s="14" t="n">
        <v>1.6215</v>
      </c>
      <c r="Q2712" s="14" t="n">
        <v>4</v>
      </c>
      <c r="R2712" s="14" t="n">
        <v>4</v>
      </c>
      <c r="S2712" s="14" t="n">
        <v>15</v>
      </c>
    </row>
    <row r="2713" customFormat="false" ht="15" hidden="false" customHeight="false" outlineLevel="0" collapsed="false">
      <c r="A2713" s="13" t="n">
        <v>46057</v>
      </c>
      <c r="B2713" s="14" t="n">
        <v>3.65</v>
      </c>
      <c r="C2713" s="14" t="n">
        <v>3.75</v>
      </c>
      <c r="D2713" s="14" t="n">
        <v>3.5</v>
      </c>
      <c r="E2713" s="14" t="n">
        <v>1.932</v>
      </c>
      <c r="F2713" s="14" t="n">
        <v>2</v>
      </c>
      <c r="G2713" s="14" t="n">
        <v>3.75</v>
      </c>
      <c r="H2713" s="14" t="n">
        <v>3.7265</v>
      </c>
      <c r="I2713" s="14" t="n">
        <v>3.72208009880451</v>
      </c>
      <c r="J2713" s="14" t="n">
        <v>3.68097620540316</v>
      </c>
      <c r="K2713" s="14" t="n">
        <v>3.59603164884964</v>
      </c>
      <c r="L2713" s="14" t="n">
        <v>3.48946581806269</v>
      </c>
      <c r="M2713" s="14" t="n">
        <v>1.55</v>
      </c>
      <c r="N2713" s="14" t="n">
        <v>1.5846</v>
      </c>
      <c r="O2713" s="14" t="n">
        <v>1.6</v>
      </c>
      <c r="P2713" s="14" t="n">
        <v>1.619</v>
      </c>
      <c r="Q2713" s="14" t="n">
        <v>4</v>
      </c>
      <c r="R2713" s="14" t="n">
        <v>4</v>
      </c>
      <c r="S2713" s="14" t="n">
        <v>15</v>
      </c>
    </row>
    <row r="2714" customFormat="false" ht="15" hidden="false" customHeight="false" outlineLevel="0" collapsed="false">
      <c r="A2714" s="13" t="n">
        <v>46058</v>
      </c>
      <c r="B2714" s="14" t="n">
        <v>3.65</v>
      </c>
      <c r="C2714" s="14" t="n">
        <v>3.75</v>
      </c>
      <c r="D2714" s="14" t="n">
        <v>3.5</v>
      </c>
      <c r="E2714" s="14" t="n">
        <v>1.931</v>
      </c>
      <c r="F2714" s="14" t="n">
        <v>2</v>
      </c>
      <c r="G2714" s="14" t="n">
        <v>3.75</v>
      </c>
      <c r="H2714" s="14" t="n">
        <v>3.7278</v>
      </c>
      <c r="I2714" s="14" t="n">
        <v>3.71778855542781</v>
      </c>
      <c r="J2714" s="14" t="n">
        <v>3.63796811335069</v>
      </c>
      <c r="K2714" s="14" t="n">
        <v>3.53710361268594</v>
      </c>
      <c r="L2714" s="14" t="n">
        <v>3.42609632290607</v>
      </c>
      <c r="M2714" s="14" t="n">
        <v>1.5505</v>
      </c>
      <c r="N2714" s="14" t="n">
        <v>1.5805</v>
      </c>
      <c r="O2714" s="14" t="n">
        <v>1.6</v>
      </c>
      <c r="P2714" s="14" t="n">
        <v>1.6189</v>
      </c>
      <c r="Q2714" s="14" t="n">
        <v>4</v>
      </c>
      <c r="R2714" s="14" t="n">
        <v>4</v>
      </c>
      <c r="S2714" s="14" t="n">
        <v>15</v>
      </c>
    </row>
    <row r="2715" customFormat="false" ht="15" hidden="false" customHeight="false" outlineLevel="0" collapsed="false">
      <c r="A2715" s="13" t="n">
        <v>46059</v>
      </c>
      <c r="B2715" s="14" t="n">
        <v>3.64</v>
      </c>
      <c r="C2715" s="14" t="n">
        <v>3.75</v>
      </c>
      <c r="D2715" s="14" t="n">
        <v>3.5</v>
      </c>
      <c r="E2715" s="14" t="n">
        <v>1.93</v>
      </c>
      <c r="F2715" s="14" t="n">
        <v>2</v>
      </c>
      <c r="G2715" s="14" t="n">
        <v>3.75</v>
      </c>
      <c r="H2715" s="14" t="n">
        <v>3.7279</v>
      </c>
      <c r="I2715" s="14" t="n">
        <v>3.71666761649532</v>
      </c>
      <c r="J2715" s="14" t="n">
        <v>3.62880199165481</v>
      </c>
      <c r="K2715" s="14" t="n">
        <v>3.52517271394354</v>
      </c>
      <c r="L2715" s="14" t="n">
        <v>3.40959064361731</v>
      </c>
      <c r="M2715" s="14" t="n">
        <v>1.55</v>
      </c>
      <c r="N2715" s="14" t="n">
        <v>1.58</v>
      </c>
      <c r="O2715" s="14" t="n">
        <v>1.597</v>
      </c>
      <c r="P2715" s="14" t="n">
        <v>1.6169</v>
      </c>
      <c r="Q2715" s="14" t="n">
        <v>4</v>
      </c>
      <c r="R2715" s="14" t="n">
        <v>4</v>
      </c>
      <c r="S2715" s="14" t="n">
        <v>15</v>
      </c>
    </row>
    <row r="2716" customFormat="false" ht="15" hidden="false" customHeight="false" outlineLevel="0" collapsed="false">
      <c r="A2716" s="13" t="n">
        <v>46062</v>
      </c>
      <c r="B2716" s="14" t="n">
        <v>3.63</v>
      </c>
      <c r="C2716" s="14" t="n">
        <v>3.75</v>
      </c>
      <c r="D2716" s="14" t="n">
        <v>3.5</v>
      </c>
      <c r="E2716" s="14" t="n">
        <v>1.93</v>
      </c>
      <c r="F2716" s="14" t="n">
        <v>2</v>
      </c>
      <c r="G2716" s="14" t="n">
        <v>3.75</v>
      </c>
      <c r="H2716" s="14" t="n">
        <v>3.7271</v>
      </c>
      <c r="I2716" s="14" t="n">
        <v>3.71355072380815</v>
      </c>
      <c r="J2716" s="14" t="n">
        <v>3.62092122111455</v>
      </c>
      <c r="K2716" s="14" t="n">
        <v>3.52315576917566</v>
      </c>
      <c r="L2716" s="14" t="n">
        <v>3.41380508121013</v>
      </c>
      <c r="M2716" s="14" t="n">
        <v>1.55</v>
      </c>
      <c r="N2716" s="14" t="n">
        <v>1.58</v>
      </c>
      <c r="O2716" s="14" t="n">
        <v>1.5967</v>
      </c>
      <c r="P2716" s="14" t="n">
        <v>1.6147</v>
      </c>
      <c r="Q2716" s="14" t="n">
        <v>4</v>
      </c>
      <c r="R2716" s="14" t="n">
        <v>4</v>
      </c>
      <c r="S2716" s="14" t="n">
        <v>15</v>
      </c>
    </row>
    <row r="2717" customFormat="false" ht="15" hidden="false" customHeight="false" outlineLevel="0" collapsed="false">
      <c r="A2717" s="13" t="n">
        <v>46063</v>
      </c>
      <c r="B2717" s="14" t="n">
        <v>3.65</v>
      </c>
      <c r="C2717" s="14" t="n">
        <v>3.75</v>
      </c>
      <c r="D2717" s="14" t="n">
        <v>3.5</v>
      </c>
      <c r="E2717" s="14" t="n">
        <v>1.929</v>
      </c>
      <c r="F2717" s="14" t="n">
        <v>2</v>
      </c>
      <c r="G2717" s="14" t="n">
        <v>3.75</v>
      </c>
      <c r="H2717" s="14" t="n">
        <v>3.727</v>
      </c>
      <c r="I2717" s="14" t="n">
        <v>3.71269507240033</v>
      </c>
      <c r="J2717" s="14" t="n">
        <v>3.61877679203589</v>
      </c>
      <c r="K2717" s="14" t="n">
        <v>3.52274019718774</v>
      </c>
      <c r="L2717" s="14" t="n">
        <v>3.41786761874779</v>
      </c>
      <c r="M2717" s="14" t="n">
        <v>1.551</v>
      </c>
      <c r="N2717" s="14" t="n">
        <v>1.58</v>
      </c>
      <c r="O2717" s="14" t="n">
        <v>1.5977</v>
      </c>
      <c r="P2717" s="14" t="n">
        <v>1.6115</v>
      </c>
      <c r="Q2717" s="14" t="n">
        <v>4</v>
      </c>
      <c r="R2717" s="14" t="n">
        <v>4</v>
      </c>
      <c r="S2717" s="14" t="n">
        <v>15</v>
      </c>
    </row>
    <row r="2718" customFormat="false" ht="15" hidden="false" customHeight="false" outlineLevel="0" collapsed="false">
      <c r="A2718" s="13" t="n">
        <v>46064</v>
      </c>
      <c r="B2718" s="14" t="n">
        <v>3.65</v>
      </c>
      <c r="C2718" s="14" t="n">
        <v>3.75</v>
      </c>
      <c r="D2718" s="14" t="n">
        <v>3.5</v>
      </c>
      <c r="E2718" s="14" t="n">
        <v>1.93</v>
      </c>
      <c r="F2718" s="14" t="n">
        <v>2</v>
      </c>
      <c r="G2718" s="14" t="n">
        <v>3.75</v>
      </c>
      <c r="H2718" s="14" t="n">
        <v>3.7274</v>
      </c>
      <c r="I2718" s="14" t="n">
        <v>3.71132145072801</v>
      </c>
      <c r="J2718" s="14" t="n">
        <v>3.61546989637141</v>
      </c>
      <c r="K2718" s="14" t="n">
        <v>3.52025530878253</v>
      </c>
      <c r="L2718" s="14" t="n">
        <v>3.41398159321788</v>
      </c>
      <c r="M2718" s="14" t="n">
        <v>1.5511</v>
      </c>
      <c r="N2718" s="14" t="n">
        <v>1.58</v>
      </c>
      <c r="O2718" s="14" t="n">
        <v>1.5958</v>
      </c>
      <c r="P2718" s="14" t="n">
        <v>1.6092</v>
      </c>
      <c r="Q2718" s="14" t="n">
        <v>4</v>
      </c>
      <c r="R2718" s="14" t="n">
        <v>4</v>
      </c>
      <c r="S2718" s="14" t="n">
        <v>15</v>
      </c>
    </row>
    <row r="2719" customFormat="false" ht="15" hidden="false" customHeight="false" outlineLevel="0" collapsed="false">
      <c r="A2719" s="13" t="n">
        <v>46065</v>
      </c>
      <c r="B2719" s="14" t="n">
        <v>3.65</v>
      </c>
      <c r="C2719" s="14" t="n">
        <v>3.75</v>
      </c>
      <c r="D2719" s="14" t="n">
        <v>3.5</v>
      </c>
      <c r="E2719" s="14" t="n">
        <v>1.931</v>
      </c>
      <c r="F2719" s="14" t="n">
        <v>2</v>
      </c>
      <c r="G2719" s="14" t="n">
        <v>3.75</v>
      </c>
      <c r="H2719" s="14" t="n">
        <v>3.7272</v>
      </c>
      <c r="I2719" s="14" t="n">
        <v>3.70899555045634</v>
      </c>
      <c r="J2719" s="14" t="n">
        <v>3.60934761466921</v>
      </c>
      <c r="K2719" s="14" t="n">
        <v>3.51395242784381</v>
      </c>
      <c r="L2719" s="14" t="n">
        <v>3.40365978446252</v>
      </c>
      <c r="M2719" s="14" t="n">
        <v>1.55</v>
      </c>
      <c r="N2719" s="14" t="n">
        <v>1.58</v>
      </c>
      <c r="O2719" s="14" t="n">
        <v>1.5951</v>
      </c>
      <c r="P2719" s="14" t="n">
        <v>1.6089</v>
      </c>
      <c r="Q2719" s="14" t="n">
        <v>4</v>
      </c>
      <c r="R2719" s="14" t="n">
        <v>4</v>
      </c>
      <c r="S2719" s="14" t="n">
        <v>15</v>
      </c>
    </row>
    <row r="2720" customFormat="false" ht="15" hidden="false" customHeight="false" outlineLevel="0" collapsed="false">
      <c r="A2720" s="13" t="n">
        <v>46066</v>
      </c>
      <c r="B2720" s="14" t="n">
        <v>3.66</v>
      </c>
      <c r="C2720" s="14" t="n">
        <v>3.75</v>
      </c>
      <c r="D2720" s="14" t="n">
        <v>3.5</v>
      </c>
      <c r="E2720" s="14" t="n">
        <v>1.93</v>
      </c>
      <c r="F2720" s="14" t="n">
        <v>2</v>
      </c>
      <c r="G2720" s="14" t="n">
        <v>3.75</v>
      </c>
      <c r="H2720" s="14" t="n">
        <v>3.7267</v>
      </c>
      <c r="I2720" s="14" t="n">
        <v>3.70840394141102</v>
      </c>
      <c r="J2720" s="14" t="n">
        <v>3.60544528752683</v>
      </c>
      <c r="K2720" s="14" t="n">
        <v>3.50755393265927</v>
      </c>
      <c r="L2720" s="14" t="n">
        <v>3.39551126838243</v>
      </c>
      <c r="M2720" s="14" t="n">
        <v>1.55</v>
      </c>
      <c r="N2720" s="14" t="n">
        <v>1.579</v>
      </c>
      <c r="O2720" s="14" t="n">
        <v>1.593</v>
      </c>
      <c r="P2720" s="14" t="n">
        <v>1.61</v>
      </c>
      <c r="Q2720" s="14" t="n">
        <v>4</v>
      </c>
      <c r="R2720" s="14" t="n">
        <v>4</v>
      </c>
      <c r="S2720" s="14" t="n">
        <v>15</v>
      </c>
    </row>
    <row r="2721" customFormat="false" ht="15" hidden="false" customHeight="false" outlineLevel="0" collapsed="false">
      <c r="A2721" s="13" t="n">
        <v>46067</v>
      </c>
      <c r="C2721" s="14" t="n">
        <v>3.75</v>
      </c>
      <c r="D2721" s="14" t="n">
        <v>3.5</v>
      </c>
      <c r="F2721" s="14" t="n">
        <v>2</v>
      </c>
      <c r="M2721" s="14" t="n">
        <v>1.55</v>
      </c>
      <c r="N2721" s="14" t="n">
        <v>1.58</v>
      </c>
      <c r="O2721" s="14" t="n">
        <v>1.59</v>
      </c>
      <c r="P2721" s="14" t="n">
        <v>1.61</v>
      </c>
      <c r="S2721" s="14" t="n">
        <v>15</v>
      </c>
    </row>
    <row r="2722" customFormat="false" ht="15" hidden="false" customHeight="false" outlineLevel="0" collapsed="false">
      <c r="A2722" s="13" t="n">
        <v>46069</v>
      </c>
      <c r="C2722" s="14" t="n">
        <v>3.75</v>
      </c>
      <c r="D2722" s="14" t="n">
        <v>3.5</v>
      </c>
      <c r="E2722" s="14" t="n">
        <v>1.929</v>
      </c>
      <c r="F2722" s="14" t="n">
        <v>2</v>
      </c>
      <c r="G2722" s="14" t="n">
        <v>3.75</v>
      </c>
      <c r="H2722" s="14" t="n">
        <v>3.7276</v>
      </c>
      <c r="I2722" s="14" t="n">
        <v>3.70518816934435</v>
      </c>
      <c r="J2722" s="14" t="n">
        <v>3.59783434368754</v>
      </c>
      <c r="K2722" s="14" t="n">
        <v>3.50307327018376</v>
      </c>
      <c r="L2722" s="14" t="n">
        <v>3.39072721546508</v>
      </c>
      <c r="Q2722" s="14" t="n">
        <v>4</v>
      </c>
      <c r="R2722" s="14" t="n">
        <v>4</v>
      </c>
      <c r="S2722" s="14" t="n">
        <v>15</v>
      </c>
    </row>
    <row r="2723" customFormat="false" ht="15" hidden="false" customHeight="false" outlineLevel="0" collapsed="false">
      <c r="A2723" s="13" t="n">
        <v>46070</v>
      </c>
      <c r="B2723" s="14" t="n">
        <v>3.71</v>
      </c>
      <c r="C2723" s="14" t="n">
        <v>3.75</v>
      </c>
      <c r="D2723" s="14" t="n">
        <v>3.5</v>
      </c>
      <c r="E2723" s="14" t="n">
        <v>1.931</v>
      </c>
      <c r="F2723" s="14" t="n">
        <v>2</v>
      </c>
      <c r="G2723" s="14" t="n">
        <v>3.75</v>
      </c>
      <c r="H2723" s="14" t="n">
        <v>3.7276</v>
      </c>
      <c r="I2723" s="14" t="n">
        <v>3.70201126583755</v>
      </c>
      <c r="J2723" s="14" t="n">
        <v>3.58986499499223</v>
      </c>
      <c r="K2723" s="14" t="n">
        <v>3.49673281629557</v>
      </c>
      <c r="L2723" s="14" t="n">
        <v>3.38590341255357</v>
      </c>
      <c r="Q2723" s="14" t="n">
        <v>4</v>
      </c>
      <c r="R2723" s="14" t="n">
        <v>4</v>
      </c>
      <c r="S2723" s="14" t="n">
        <v>15</v>
      </c>
    </row>
    <row r="2724" customFormat="false" ht="15" hidden="false" customHeight="false" outlineLevel="0" collapsed="false">
      <c r="A2724" s="13" t="n">
        <v>46071</v>
      </c>
      <c r="B2724" s="14" t="n">
        <v>3.73</v>
      </c>
      <c r="C2724" s="14" t="n">
        <v>3.75</v>
      </c>
      <c r="D2724" s="14" t="n">
        <v>3.5</v>
      </c>
      <c r="E2724" s="14" t="n">
        <v>1.931</v>
      </c>
      <c r="F2724" s="14" t="n">
        <v>2</v>
      </c>
      <c r="G2724" s="14" t="n">
        <v>3.75</v>
      </c>
      <c r="H2724" s="14" t="n">
        <v>3.7277</v>
      </c>
      <c r="I2724" s="14" t="n">
        <v>3.70027243365782</v>
      </c>
      <c r="J2724" s="14" t="n">
        <v>3.58291150848512</v>
      </c>
      <c r="K2724" s="14" t="n">
        <v>3.48822173677197</v>
      </c>
      <c r="L2724" s="14" t="n">
        <v>3.3770023227503</v>
      </c>
      <c r="Q2724" s="14" t="n">
        <v>4</v>
      </c>
      <c r="R2724" s="14" t="n">
        <v>4</v>
      </c>
      <c r="S2724" s="14" t="n">
        <v>15</v>
      </c>
    </row>
    <row r="2725" customFormat="false" ht="15" hidden="false" customHeight="false" outlineLevel="0" collapsed="false">
      <c r="A2725" s="13" t="n">
        <v>46072</v>
      </c>
      <c r="B2725" s="14" t="n">
        <v>3.67</v>
      </c>
      <c r="C2725" s="14" t="n">
        <v>3.75</v>
      </c>
      <c r="D2725" s="14" t="n">
        <v>3.5</v>
      </c>
      <c r="E2725" s="14" t="n">
        <v>1.933</v>
      </c>
      <c r="F2725" s="14" t="n">
        <v>2</v>
      </c>
      <c r="G2725" s="14" t="n">
        <v>3.75</v>
      </c>
      <c r="H2725" s="14" t="n">
        <v>3.7276</v>
      </c>
      <c r="I2725" s="14" t="n">
        <v>3.69857385646384</v>
      </c>
      <c r="J2725" s="14" t="n">
        <v>3.57922681484447</v>
      </c>
      <c r="K2725" s="14" t="n">
        <v>3.48439424545246</v>
      </c>
      <c r="L2725" s="14" t="n">
        <v>3.36943965285927</v>
      </c>
      <c r="Q2725" s="14" t="n">
        <v>4</v>
      </c>
      <c r="R2725" s="14" t="n">
        <v>4</v>
      </c>
      <c r="S2725" s="14" t="n">
        <v>15</v>
      </c>
    </row>
    <row r="2726" customFormat="false" ht="15" hidden="false" customHeight="false" outlineLevel="0" collapsed="false">
      <c r="A2726" s="13" t="n">
        <v>46073</v>
      </c>
      <c r="B2726" s="14" t="n">
        <v>3.66</v>
      </c>
      <c r="C2726" s="14" t="n">
        <v>3.75</v>
      </c>
      <c r="D2726" s="14" t="n">
        <v>3.5</v>
      </c>
      <c r="E2726" s="14" t="n">
        <v>1.932</v>
      </c>
      <c r="F2726" s="14" t="n">
        <v>2</v>
      </c>
      <c r="G2726" s="14" t="n">
        <v>3.75</v>
      </c>
      <c r="H2726" s="14" t="n">
        <v>3.7282</v>
      </c>
      <c r="I2726" s="14" t="n">
        <v>3.69463378321866</v>
      </c>
      <c r="J2726" s="14" t="n">
        <v>3.57936558846855</v>
      </c>
      <c r="K2726" s="14" t="n">
        <v>3.48828305974312</v>
      </c>
      <c r="L2726" s="14" t="n">
        <v>3.37945753277982</v>
      </c>
      <c r="Q2726" s="14" t="n">
        <v>4</v>
      </c>
      <c r="R2726" s="14" t="n">
        <v>4</v>
      </c>
      <c r="S2726" s="14" t="n">
        <v>15</v>
      </c>
    </row>
    <row r="2727" customFormat="false" ht="15" hidden="false" customHeight="false" outlineLevel="0" collapsed="false">
      <c r="A2727" s="13" t="n">
        <v>46076</v>
      </c>
      <c r="B2727" s="14" t="n">
        <v>3.66</v>
      </c>
      <c r="C2727" s="14" t="n">
        <v>3.75</v>
      </c>
      <c r="D2727" s="14" t="n">
        <v>3.5</v>
      </c>
      <c r="E2727" s="14" t="n">
        <v>1.931</v>
      </c>
      <c r="F2727" s="14" t="n">
        <v>2</v>
      </c>
      <c r="G2727" s="14" t="n">
        <v>3.75</v>
      </c>
      <c r="H2727" s="14" t="n">
        <v>3.728</v>
      </c>
      <c r="I2727" s="14" t="n">
        <v>3.68304648175917</v>
      </c>
      <c r="J2727" s="14" t="n">
        <v>3.5710917536271</v>
      </c>
      <c r="K2727" s="14" t="n">
        <v>3.48383165752233</v>
      </c>
      <c r="L2727" s="14" t="n">
        <v>3.37279280066897</v>
      </c>
      <c r="Q2727" s="14" t="n">
        <v>4</v>
      </c>
      <c r="R2727" s="14" t="n">
        <v>4</v>
      </c>
      <c r="S2727" s="14" t="n">
        <v>15</v>
      </c>
    </row>
    <row r="2728" customFormat="false" ht="15" hidden="false" customHeight="false" outlineLevel="0" collapsed="false">
      <c r="A2728" s="13" t="n">
        <v>46077</v>
      </c>
      <c r="B2728" s="14" t="n">
        <v>3.67</v>
      </c>
      <c r="C2728" s="14" t="n">
        <v>3.75</v>
      </c>
      <c r="D2728" s="14" t="n">
        <v>3.5</v>
      </c>
      <c r="E2728" s="14" t="n">
        <v>1.932</v>
      </c>
      <c r="F2728" s="14" t="n">
        <v>2</v>
      </c>
      <c r="G2728" s="14" t="n">
        <v>3.75</v>
      </c>
      <c r="H2728" s="14" t="n">
        <v>3.7278</v>
      </c>
      <c r="I2728" s="14" t="n">
        <v>3.68184943946954</v>
      </c>
      <c r="J2728" s="14" t="n">
        <v>3.57434050871445</v>
      </c>
      <c r="K2728" s="14" t="n">
        <v>3.48871156977752</v>
      </c>
      <c r="L2728" s="14" t="n">
        <v>3.37977988456024</v>
      </c>
      <c r="M2728" s="14" t="n">
        <v>1.55</v>
      </c>
      <c r="N2728" s="14" t="n">
        <v>1.578</v>
      </c>
      <c r="O2728" s="14" t="n">
        <v>1.59</v>
      </c>
      <c r="P2728" s="14" t="n">
        <v>1.61</v>
      </c>
      <c r="Q2728" s="14" t="n">
        <v>4</v>
      </c>
      <c r="R2728" s="14" t="n">
        <v>4</v>
      </c>
      <c r="S2728" s="14" t="n">
        <v>15</v>
      </c>
    </row>
    <row r="2729" customFormat="false" ht="15" hidden="false" customHeight="false" outlineLevel="0" collapsed="false">
      <c r="A2729" s="13" t="n">
        <v>46078</v>
      </c>
      <c r="B2729" s="14" t="n">
        <v>3.67</v>
      </c>
      <c r="C2729" s="14" t="n">
        <v>3.75</v>
      </c>
      <c r="D2729" s="14" t="n">
        <v>3.5</v>
      </c>
      <c r="E2729" s="14" t="n">
        <v>1.933</v>
      </c>
      <c r="F2729" s="14" t="n">
        <v>2</v>
      </c>
      <c r="G2729" s="14" t="n">
        <v>3.75</v>
      </c>
      <c r="H2729" s="14" t="n">
        <v>3.7276</v>
      </c>
      <c r="I2729" s="14" t="n">
        <v>3.6805392346672</v>
      </c>
      <c r="J2729" s="14" t="n">
        <v>3.5727014136457</v>
      </c>
      <c r="K2729" s="14" t="n">
        <v>3.48602599624916</v>
      </c>
      <c r="L2729" s="14" t="n">
        <v>3.38038742911811</v>
      </c>
      <c r="M2729" s="14" t="n">
        <v>1.55</v>
      </c>
      <c r="N2729" s="14" t="n">
        <v>1.5778</v>
      </c>
      <c r="O2729" s="14" t="n">
        <v>1.59</v>
      </c>
      <c r="P2729" s="14" t="n">
        <v>1.608</v>
      </c>
      <c r="Q2729" s="14" t="n">
        <v>4</v>
      </c>
      <c r="R2729" s="14" t="n">
        <v>4</v>
      </c>
      <c r="S2729" s="14" t="n">
        <v>15</v>
      </c>
    </row>
    <row r="2730" customFormat="false" ht="15" hidden="false" customHeight="false" outlineLevel="0" collapsed="false">
      <c r="A2730" s="13" t="n">
        <v>46079</v>
      </c>
      <c r="B2730" s="14" t="n">
        <v>3.67</v>
      </c>
      <c r="C2730" s="14" t="n">
        <v>3.75</v>
      </c>
      <c r="D2730" s="14" t="n">
        <v>3.5</v>
      </c>
      <c r="E2730" s="14" t="n">
        <v>1.935</v>
      </c>
      <c r="F2730" s="14" t="n">
        <v>2</v>
      </c>
      <c r="G2730" s="14" t="n">
        <v>3.75</v>
      </c>
      <c r="H2730" s="14" t="n">
        <v>3.7286</v>
      </c>
      <c r="I2730" s="14" t="n">
        <v>3.66882698785468</v>
      </c>
      <c r="J2730" s="14" t="n">
        <v>3.55519186225973</v>
      </c>
      <c r="K2730" s="14" t="n">
        <v>3.4677007804821</v>
      </c>
      <c r="L2730" s="14" t="n">
        <v>3.35343298623493</v>
      </c>
      <c r="M2730" s="14" t="n">
        <v>1.55</v>
      </c>
      <c r="N2730" s="14" t="n">
        <v>1.5748</v>
      </c>
      <c r="O2730" s="14" t="n">
        <v>1.588</v>
      </c>
      <c r="P2730" s="14" t="n">
        <v>1.6068</v>
      </c>
      <c r="Q2730" s="14" t="n">
        <v>4</v>
      </c>
      <c r="R2730" s="14" t="n">
        <v>4</v>
      </c>
      <c r="S2730" s="14" t="n">
        <v>15</v>
      </c>
    </row>
    <row r="2731" customFormat="false" ht="15" hidden="false" customHeight="false" outlineLevel="0" collapsed="false">
      <c r="A2731" s="13" t="n">
        <v>46080</v>
      </c>
      <c r="B2731" s="14" t="n">
        <v>3.68</v>
      </c>
      <c r="C2731" s="14" t="n">
        <v>3.75</v>
      </c>
      <c r="D2731" s="14" t="n">
        <v>3.5</v>
      </c>
      <c r="E2731" s="14" t="n">
        <v>1.93</v>
      </c>
      <c r="F2731" s="14" t="n">
        <v>2</v>
      </c>
      <c r="G2731" s="14" t="n">
        <v>3.75</v>
      </c>
      <c r="H2731" s="14" t="n">
        <v>3.7267</v>
      </c>
      <c r="I2731" s="14" t="n">
        <v>3.65099659320871</v>
      </c>
      <c r="J2731" s="14" t="n">
        <v>3.5451022863002</v>
      </c>
      <c r="K2731" s="14" t="n">
        <v>3.46161117506281</v>
      </c>
      <c r="L2731" s="14" t="n">
        <v>3.34867214517157</v>
      </c>
      <c r="M2731" s="14" t="n">
        <v>1.55</v>
      </c>
      <c r="N2731" s="14" t="n">
        <v>1.569</v>
      </c>
      <c r="O2731" s="14" t="n">
        <v>1.586</v>
      </c>
      <c r="P2731" s="14" t="n">
        <v>1.605</v>
      </c>
      <c r="Q2731" s="14" t="n">
        <v>4</v>
      </c>
      <c r="R2731" s="14" t="n">
        <v>4</v>
      </c>
      <c r="S2731" s="14" t="n">
        <v>15</v>
      </c>
    </row>
    <row r="2732" customFormat="false" ht="15" hidden="false" customHeight="false" outlineLevel="0" collapsed="false">
      <c r="A2732" s="13" t="n">
        <v>46081</v>
      </c>
      <c r="C2732" s="14" t="n">
        <v>3.75</v>
      </c>
      <c r="D2732" s="14" t="n">
        <v>3.5</v>
      </c>
      <c r="F2732" s="14" t="n">
        <v>2</v>
      </c>
      <c r="M2732" s="14" t="n">
        <v>1.55</v>
      </c>
      <c r="N2732" s="14" t="n">
        <v>1.5679</v>
      </c>
      <c r="O2732" s="14" t="n">
        <v>1.5846</v>
      </c>
      <c r="P2732" s="14" t="n">
        <v>1.604</v>
      </c>
      <c r="S2732" s="14" t="n">
        <v>15</v>
      </c>
    </row>
    <row r="2733" customFormat="false" ht="15" hidden="false" customHeight="false" outlineLevel="0" collapsed="false">
      <c r="A2733" s="13" t="n">
        <v>46083</v>
      </c>
      <c r="B2733" s="14" t="n">
        <v>3.71</v>
      </c>
      <c r="C2733" s="14" t="n">
        <v>3.75</v>
      </c>
      <c r="D2733" s="14" t="n">
        <v>3.5</v>
      </c>
      <c r="E2733" s="14" t="n">
        <v>1.934</v>
      </c>
      <c r="F2733" s="14" t="n">
        <v>2</v>
      </c>
      <c r="G2733" s="14" t="n">
        <v>3.75</v>
      </c>
      <c r="H2733" s="14" t="n">
        <v>3.7271</v>
      </c>
      <c r="I2733" s="14" t="n">
        <v>3.67404672960104</v>
      </c>
      <c r="J2733" s="14" t="n">
        <v>3.60488014973312</v>
      </c>
      <c r="K2733" s="14" t="n">
        <v>3.54065555090255</v>
      </c>
      <c r="L2733" s="14" t="n">
        <v>3.46019326585562</v>
      </c>
      <c r="M2733" s="14" t="n">
        <v>1.55</v>
      </c>
      <c r="N2733" s="14" t="n">
        <v>1.5678</v>
      </c>
      <c r="O2733" s="14" t="n">
        <v>1.582</v>
      </c>
      <c r="P2733" s="14" t="n">
        <v>1.5994</v>
      </c>
      <c r="Q2733" s="14" t="n">
        <v>4</v>
      </c>
      <c r="R2733" s="14" t="n">
        <v>4</v>
      </c>
      <c r="S2733" s="14" t="n">
        <v>15</v>
      </c>
    </row>
    <row r="2734" customFormat="false" ht="15" hidden="false" customHeight="false" outlineLevel="0" collapsed="false">
      <c r="A2734" s="13" t="n">
        <v>46084</v>
      </c>
      <c r="B2734" s="14" t="n">
        <v>3.7</v>
      </c>
      <c r="C2734" s="14" t="n">
        <v>3.75</v>
      </c>
      <c r="D2734" s="14" t="n">
        <v>3.5</v>
      </c>
      <c r="E2734" s="14" t="n">
        <v>1.934</v>
      </c>
      <c r="F2734" s="14" t="n">
        <v>2</v>
      </c>
      <c r="G2734" s="14" t="n">
        <v>3.75</v>
      </c>
      <c r="H2734" s="14" t="n">
        <v>3.7286</v>
      </c>
      <c r="I2734" s="14" t="n">
        <v>3.69440119180711</v>
      </c>
      <c r="J2734" s="14" t="n">
        <v>3.64484480610272</v>
      </c>
      <c r="K2734" s="14" t="n">
        <v>3.58672919855467</v>
      </c>
      <c r="L2734" s="14" t="n">
        <v>3.5240471102343</v>
      </c>
      <c r="M2734" s="14" t="n">
        <v>1.55</v>
      </c>
      <c r="N2734" s="14" t="n">
        <v>1.565</v>
      </c>
      <c r="O2734" s="14" t="n">
        <v>1.577</v>
      </c>
      <c r="P2734" s="14" t="n">
        <v>1.595</v>
      </c>
      <c r="Q2734" s="14" t="n">
        <v>4</v>
      </c>
      <c r="R2734" s="14" t="n">
        <v>4</v>
      </c>
      <c r="S2734" s="14" t="n">
        <v>15</v>
      </c>
    </row>
    <row r="2735" customFormat="false" ht="15" hidden="false" customHeight="false" outlineLevel="0" collapsed="false">
      <c r="A2735" s="13" t="n">
        <v>46085</v>
      </c>
      <c r="B2735" s="14" t="n">
        <v>3.67</v>
      </c>
      <c r="C2735" s="14" t="n">
        <v>3.75</v>
      </c>
      <c r="D2735" s="14" t="n">
        <v>3.5</v>
      </c>
      <c r="E2735" s="14" t="n">
        <v>1.934</v>
      </c>
      <c r="F2735" s="14" t="n">
        <v>2</v>
      </c>
      <c r="G2735" s="14" t="n">
        <v>3.75</v>
      </c>
      <c r="H2735" s="14" t="n">
        <v>3.7301</v>
      </c>
      <c r="I2735" s="14" t="n">
        <v>3.6966082057737</v>
      </c>
      <c r="J2735" s="14" t="n">
        <v>3.63971170910319</v>
      </c>
      <c r="K2735" s="14" t="n">
        <v>3.56651799794982</v>
      </c>
      <c r="L2735" s="14" t="n">
        <v>3.48642489115692</v>
      </c>
      <c r="M2735" s="14" t="n">
        <v>1.548</v>
      </c>
      <c r="N2735" s="14" t="n">
        <v>1.5605</v>
      </c>
      <c r="O2735" s="14" t="n">
        <v>1.5727</v>
      </c>
      <c r="P2735" s="14" t="n">
        <v>1.5915</v>
      </c>
      <c r="Q2735" s="14" t="n">
        <v>4</v>
      </c>
      <c r="R2735" s="14" t="n">
        <v>4</v>
      </c>
      <c r="S2735" s="14" t="n">
        <v>15</v>
      </c>
    </row>
    <row r="2736" customFormat="false" ht="15" hidden="false" customHeight="false" outlineLevel="0" collapsed="false">
      <c r="A2736" s="13" t="n">
        <v>46086</v>
      </c>
      <c r="B2736" s="14" t="n">
        <v>3.66</v>
      </c>
      <c r="C2736" s="14" t="n">
        <v>3.75</v>
      </c>
      <c r="D2736" s="14" t="n">
        <v>3.5</v>
      </c>
      <c r="E2736" s="14" t="n">
        <v>1.935</v>
      </c>
      <c r="F2736" s="14" t="n">
        <v>2</v>
      </c>
      <c r="G2736" s="14" t="n">
        <v>3.75</v>
      </c>
      <c r="H2736" s="14" t="n">
        <v>3.7303</v>
      </c>
      <c r="I2736" s="14" t="n">
        <v>3.70889538413321</v>
      </c>
      <c r="J2736" s="14" t="n">
        <v>3.67174244526892</v>
      </c>
      <c r="K2736" s="14" t="n">
        <v>3.62258792527581</v>
      </c>
      <c r="L2736" s="14" t="n">
        <v>3.5706876103134</v>
      </c>
      <c r="M2736" s="14" t="n">
        <v>1.5468</v>
      </c>
      <c r="N2736" s="14" t="n">
        <v>1.558</v>
      </c>
      <c r="O2736" s="14" t="n">
        <v>1.57</v>
      </c>
      <c r="P2736" s="14" t="n">
        <v>1.588</v>
      </c>
      <c r="Q2736" s="14" t="n">
        <v>4</v>
      </c>
      <c r="R2736" s="14" t="n">
        <v>4</v>
      </c>
      <c r="S2736" s="14" t="n">
        <v>15</v>
      </c>
    </row>
    <row r="2737" customFormat="false" ht="15" hidden="false" customHeight="false" outlineLevel="0" collapsed="false">
      <c r="A2737" s="13" t="n">
        <v>46087</v>
      </c>
      <c r="B2737" s="14" t="n">
        <v>3.65</v>
      </c>
      <c r="C2737" s="14" t="n">
        <v>3.75</v>
      </c>
      <c r="D2737" s="14" t="n">
        <v>3.5</v>
      </c>
      <c r="E2737" s="14" t="n">
        <v>1.933</v>
      </c>
      <c r="F2737" s="14" t="n">
        <v>2</v>
      </c>
      <c r="G2737" s="14" t="n">
        <v>3.75</v>
      </c>
      <c r="H2737" s="14" t="n">
        <v>3.7302</v>
      </c>
      <c r="I2737" s="14" t="n">
        <v>3.71333557355513</v>
      </c>
      <c r="J2737" s="14" t="n">
        <v>3.69016277582188</v>
      </c>
      <c r="K2737" s="14" t="n">
        <v>3.66337644048967</v>
      </c>
      <c r="L2737" s="14" t="n">
        <v>3.6543981717536</v>
      </c>
      <c r="M2737" s="14" t="n">
        <v>1.5417</v>
      </c>
      <c r="N2737" s="14" t="n">
        <v>1.5548</v>
      </c>
      <c r="O2737" s="14" t="n">
        <v>1.566</v>
      </c>
      <c r="P2737" s="14" t="n">
        <v>1.5848</v>
      </c>
      <c r="Q2737" s="14" t="n">
        <v>4</v>
      </c>
      <c r="R2737" s="14" t="n">
        <v>4</v>
      </c>
      <c r="S2737" s="14" t="n">
        <v>15</v>
      </c>
    </row>
    <row r="2738" customFormat="false" ht="15" hidden="false" customHeight="false" outlineLevel="0" collapsed="false">
      <c r="A2738" s="13" t="n">
        <v>46090</v>
      </c>
      <c r="B2738" s="14" t="n">
        <v>3.65</v>
      </c>
      <c r="C2738" s="14" t="n">
        <v>3.75</v>
      </c>
      <c r="D2738" s="14" t="n">
        <v>3.5</v>
      </c>
      <c r="E2738" s="14" t="n">
        <v>1.932</v>
      </c>
      <c r="F2738" s="14" t="n">
        <v>2</v>
      </c>
      <c r="G2738" s="14" t="n">
        <v>3.75</v>
      </c>
      <c r="H2738" s="14" t="n">
        <v>3.7296</v>
      </c>
      <c r="I2738" s="14" t="n">
        <v>3.72987217409768</v>
      </c>
      <c r="J2738" s="14" t="n">
        <v>3.72431794470593</v>
      </c>
      <c r="K2738" s="14" t="n">
        <v>3.72312719730201</v>
      </c>
      <c r="L2738" s="14" t="n">
        <v>3.74567665708459</v>
      </c>
      <c r="M2738" s="14" t="n">
        <v>1.5392</v>
      </c>
      <c r="N2738" s="14" t="n">
        <v>1.5515</v>
      </c>
      <c r="O2738" s="14" t="n">
        <v>1.5636</v>
      </c>
      <c r="P2738" s="14" t="n">
        <v>1.5825</v>
      </c>
      <c r="Q2738" s="14" t="n">
        <v>4</v>
      </c>
      <c r="R2738" s="14" t="n">
        <v>4</v>
      </c>
      <c r="S2738" s="14" t="n">
        <v>15</v>
      </c>
    </row>
    <row r="2739" customFormat="false" ht="15" hidden="false" customHeight="false" outlineLevel="0" collapsed="false">
      <c r="A2739" s="13" t="n">
        <v>46091</v>
      </c>
      <c r="B2739" s="14" t="n">
        <v>3.64</v>
      </c>
      <c r="C2739" s="14" t="n">
        <v>3.75</v>
      </c>
      <c r="D2739" s="14" t="n">
        <v>3.5</v>
      </c>
      <c r="E2739" s="14" t="n">
        <v>1.933</v>
      </c>
      <c r="F2739" s="14" t="n">
        <v>2</v>
      </c>
      <c r="G2739" s="14" t="n">
        <v>3.75</v>
      </c>
      <c r="H2739" s="14" t="n">
        <v>3.7294</v>
      </c>
      <c r="I2739" s="14" t="n">
        <v>3.70553670857982</v>
      </c>
      <c r="J2739" s="14" t="n">
        <v>3.67347011940044</v>
      </c>
      <c r="K2739" s="14" t="n">
        <v>3.6371607494628</v>
      </c>
      <c r="L2739" s="14" t="n">
        <v>3.61013638099661</v>
      </c>
      <c r="M2739" s="14" t="n">
        <v>1.5359</v>
      </c>
      <c r="N2739" s="14" t="n">
        <v>1.5492</v>
      </c>
      <c r="O2739" s="14" t="n">
        <v>1.5614</v>
      </c>
      <c r="P2739" s="14" t="n">
        <v>1.5803</v>
      </c>
      <c r="Q2739" s="14" t="n">
        <v>4</v>
      </c>
      <c r="R2739" s="14" t="n">
        <v>4</v>
      </c>
      <c r="S2739" s="14" t="n">
        <v>15</v>
      </c>
    </row>
    <row r="2740" customFormat="false" ht="15" hidden="false" customHeight="false" outlineLevel="0" collapsed="false">
      <c r="A2740" s="13" t="n">
        <v>46092</v>
      </c>
      <c r="B2740" s="14" t="n">
        <v>3.64</v>
      </c>
      <c r="C2740" s="14" t="n">
        <v>3.75</v>
      </c>
      <c r="D2740" s="14" t="n">
        <v>3.5</v>
      </c>
      <c r="E2740" s="14" t="n">
        <v>1.931</v>
      </c>
      <c r="F2740" s="14" t="n">
        <v>2</v>
      </c>
      <c r="G2740" s="14" t="n">
        <v>3.75</v>
      </c>
      <c r="H2740" s="14" t="n">
        <v>3.7295</v>
      </c>
      <c r="I2740" s="14" t="n">
        <v>3.71812180152494</v>
      </c>
      <c r="J2740" s="14" t="n">
        <v>3.71087821998625</v>
      </c>
      <c r="K2740" s="14" t="n">
        <v>3.7192148946106</v>
      </c>
      <c r="L2740" s="14" t="n">
        <v>3.76112896653824</v>
      </c>
      <c r="M2740" s="14" t="n">
        <v>1.535</v>
      </c>
      <c r="N2740" s="14" t="n">
        <v>1.547</v>
      </c>
      <c r="O2740" s="14" t="n">
        <v>1.561</v>
      </c>
      <c r="P2740" s="14" t="n">
        <v>1.58</v>
      </c>
      <c r="Q2740" s="14" t="n">
        <v>4</v>
      </c>
      <c r="R2740" s="14" t="n">
        <v>4</v>
      </c>
      <c r="S2740" s="14" t="n">
        <v>15</v>
      </c>
    </row>
    <row r="2741" customFormat="false" ht="15" hidden="false" customHeight="false" outlineLevel="0" collapsed="false">
      <c r="A2741" s="13" t="n">
        <v>46093</v>
      </c>
      <c r="B2741" s="14" t="n">
        <v>3.65</v>
      </c>
      <c r="C2741" s="14" t="n">
        <v>3.75</v>
      </c>
      <c r="D2741" s="14" t="n">
        <v>3.5</v>
      </c>
      <c r="E2741" s="14" t="n">
        <v>1.932</v>
      </c>
      <c r="F2741" s="14" t="n">
        <v>2</v>
      </c>
      <c r="G2741" s="14" t="n">
        <v>3.75</v>
      </c>
      <c r="H2741" s="14" t="n">
        <v>3.7293</v>
      </c>
      <c r="I2741" s="14" t="n">
        <v>3.72596070522591</v>
      </c>
      <c r="J2741" s="14" t="n">
        <v>3.72575700757226</v>
      </c>
      <c r="K2741" s="14" t="n">
        <v>3.75966873901815</v>
      </c>
      <c r="L2741" s="14" t="n">
        <v>3.841540961608</v>
      </c>
      <c r="M2741" s="14" t="n">
        <v>1.535</v>
      </c>
      <c r="N2741" s="14" t="n">
        <v>1.546</v>
      </c>
      <c r="O2741" s="14" t="n">
        <v>1.56</v>
      </c>
      <c r="P2741" s="14" t="n">
        <v>1.579</v>
      </c>
      <c r="Q2741" s="14" t="n">
        <v>4</v>
      </c>
      <c r="R2741" s="14" t="n">
        <v>4</v>
      </c>
      <c r="S2741" s="14" t="n">
        <v>15</v>
      </c>
    </row>
    <row r="2742" customFormat="false" ht="15" hidden="false" customHeight="false" outlineLevel="0" collapsed="false">
      <c r="A2742" s="13" t="n">
        <v>46094</v>
      </c>
      <c r="B2742" s="14" t="n">
        <v>3.65</v>
      </c>
      <c r="C2742" s="14" t="n">
        <v>3.75</v>
      </c>
      <c r="D2742" s="14" t="n">
        <v>3.5</v>
      </c>
      <c r="E2742" s="14" t="n">
        <v>1.93</v>
      </c>
      <c r="F2742" s="14" t="n">
        <v>2</v>
      </c>
      <c r="G2742" s="14" t="n">
        <v>3.75</v>
      </c>
      <c r="H2742" s="14" t="n">
        <v>3.7295</v>
      </c>
      <c r="I2742" s="14" t="n">
        <v>3.72438761452647</v>
      </c>
      <c r="J2742" s="14" t="n">
        <v>3.72652916720948</v>
      </c>
      <c r="K2742" s="14" t="n">
        <v>3.77122377071301</v>
      </c>
      <c r="L2742" s="14" t="n">
        <v>3.86808054699512</v>
      </c>
      <c r="M2742" s="14" t="n">
        <v>1.533</v>
      </c>
      <c r="N2742" s="14" t="n">
        <v>1.542</v>
      </c>
      <c r="O2742" s="14" t="n">
        <v>1.556</v>
      </c>
      <c r="P2742" s="14" t="n">
        <v>1.576</v>
      </c>
      <c r="Q2742" s="14" t="n">
        <v>4</v>
      </c>
      <c r="R2742" s="14" t="n">
        <v>4</v>
      </c>
      <c r="S2742" s="14" t="n">
        <v>15</v>
      </c>
    </row>
    <row r="2743" customFormat="false" ht="15" hidden="false" customHeight="false" outlineLevel="0" collapsed="false">
      <c r="A2743" s="13" t="n">
        <v>46097</v>
      </c>
      <c r="B2743" s="14" t="n">
        <v>3.7</v>
      </c>
      <c r="C2743" s="14" t="n">
        <v>3.75</v>
      </c>
      <c r="D2743" s="14" t="n">
        <v>3.5</v>
      </c>
      <c r="E2743" s="14" t="n">
        <v>1.932</v>
      </c>
      <c r="F2743" s="14" t="n">
        <v>2</v>
      </c>
      <c r="G2743" s="14" t="n">
        <v>3.75</v>
      </c>
      <c r="H2743" s="14" t="n">
        <v>3.7289</v>
      </c>
      <c r="I2743" s="14" t="n">
        <v>3.72439577962105</v>
      </c>
      <c r="J2743" s="14" t="n">
        <v>3.72294004980553</v>
      </c>
      <c r="K2743" s="14" t="n">
        <v>3.75465971513623</v>
      </c>
      <c r="L2743" s="14" t="n">
        <v>3.82734608394507</v>
      </c>
      <c r="M2743" s="14" t="n">
        <v>1.5283</v>
      </c>
      <c r="N2743" s="14" t="n">
        <v>1.538</v>
      </c>
      <c r="O2743" s="14" t="n">
        <v>1.5516</v>
      </c>
      <c r="P2743" s="14" t="n">
        <v>1.5716</v>
      </c>
      <c r="Q2743" s="14" t="n">
        <v>4</v>
      </c>
      <c r="R2743" s="14" t="n">
        <v>4</v>
      </c>
      <c r="S2743" s="14" t="n">
        <v>15</v>
      </c>
    </row>
    <row r="2744" customFormat="false" ht="15" hidden="false" customHeight="false" outlineLevel="0" collapsed="false">
      <c r="A2744" s="13" t="n">
        <v>46098</v>
      </c>
      <c r="B2744" s="14" t="n">
        <v>3.65</v>
      </c>
      <c r="C2744" s="14" t="n">
        <v>3.75</v>
      </c>
      <c r="D2744" s="14" t="n">
        <v>3.5</v>
      </c>
      <c r="E2744" s="14" t="n">
        <v>1.932</v>
      </c>
      <c r="F2744" s="14" t="n">
        <v>2</v>
      </c>
      <c r="G2744" s="14" t="n">
        <v>3.75</v>
      </c>
      <c r="H2744" s="14" t="n">
        <v>3.729</v>
      </c>
      <c r="I2744" s="14" t="n">
        <v>3.72394105575223</v>
      </c>
      <c r="J2744" s="14" t="n">
        <v>3.722824674427</v>
      </c>
      <c r="K2744" s="14" t="n">
        <v>3.74873961783326</v>
      </c>
      <c r="L2744" s="14" t="n">
        <v>3.80691708251694</v>
      </c>
      <c r="M2744" s="14" t="n">
        <v>1.5248</v>
      </c>
      <c r="N2744" s="14" t="n">
        <v>1.5358</v>
      </c>
      <c r="O2744" s="14" t="n">
        <v>1.547</v>
      </c>
      <c r="P2744" s="14" t="n">
        <v>1.567</v>
      </c>
      <c r="Q2744" s="14" t="n">
        <v>4</v>
      </c>
      <c r="R2744" s="14" t="n">
        <v>4</v>
      </c>
      <c r="S2744" s="14" t="n">
        <v>15</v>
      </c>
    </row>
    <row r="2745" customFormat="false" ht="15" hidden="false" customHeight="false" outlineLevel="0" collapsed="false">
      <c r="A2745" s="13" t="n">
        <v>46099</v>
      </c>
      <c r="B2745" s="14" t="n">
        <v>3.62</v>
      </c>
      <c r="C2745" s="14" t="n">
        <v>3.75</v>
      </c>
      <c r="D2745" s="14" t="n">
        <v>3.5</v>
      </c>
      <c r="E2745" s="14" t="n">
        <v>1.933</v>
      </c>
      <c r="F2745" s="14" t="n">
        <v>2</v>
      </c>
      <c r="G2745" s="14" t="n">
        <v>3.75</v>
      </c>
      <c r="H2745" s="14" t="n">
        <v>3.7296</v>
      </c>
      <c r="I2745" s="14" t="n">
        <v>3.7254753490781</v>
      </c>
      <c r="J2745" s="14" t="n">
        <v>3.73414665403986</v>
      </c>
      <c r="K2745" s="14" t="n">
        <v>3.77999450170411</v>
      </c>
      <c r="L2745" s="14" t="n">
        <v>3.86037748177695</v>
      </c>
      <c r="M2745" s="14" t="n">
        <v>1.52</v>
      </c>
      <c r="N2745" s="14" t="n">
        <v>1.532</v>
      </c>
      <c r="O2745" s="14" t="n">
        <v>1.543</v>
      </c>
      <c r="P2745" s="14" t="n">
        <v>1.565</v>
      </c>
      <c r="Q2745" s="14" t="n">
        <v>4</v>
      </c>
      <c r="R2745" s="14" t="n">
        <v>4</v>
      </c>
      <c r="S2745" s="14" t="n">
        <v>15</v>
      </c>
    </row>
    <row r="2746" customFormat="false" ht="15" hidden="false" customHeight="false" outlineLevel="0" collapsed="false">
      <c r="A2746" s="13" t="n">
        <v>46100</v>
      </c>
      <c r="B2746" s="14" t="n">
        <v>3.62</v>
      </c>
      <c r="C2746" s="14" t="n">
        <v>3.75</v>
      </c>
      <c r="D2746" s="14" t="n">
        <v>3.5</v>
      </c>
      <c r="E2746" s="14" t="n">
        <v>1.934</v>
      </c>
      <c r="F2746" s="14" t="n">
        <v>2</v>
      </c>
      <c r="G2746" s="14" t="n">
        <v>3.75</v>
      </c>
      <c r="H2746" s="14" t="n">
        <v>3.7294</v>
      </c>
      <c r="I2746" s="14" t="n">
        <v>3.73536902308021</v>
      </c>
      <c r="J2746" s="14" t="n">
        <v>3.82766519144167</v>
      </c>
      <c r="K2746" s="14" t="n">
        <v>4.00992649191265</v>
      </c>
      <c r="L2746" s="14" t="n">
        <v>4.23403589013088</v>
      </c>
      <c r="M2746" s="14" t="n">
        <v>1.518</v>
      </c>
      <c r="N2746" s="14" t="n">
        <v>1.528</v>
      </c>
      <c r="O2746" s="14" t="n">
        <v>1.538</v>
      </c>
      <c r="P2746" s="14" t="n">
        <v>1.5595</v>
      </c>
      <c r="Q2746" s="14" t="n">
        <v>4</v>
      </c>
      <c r="R2746" s="14" t="n">
        <v>4</v>
      </c>
      <c r="S2746" s="14" t="n">
        <v>14.75</v>
      </c>
    </row>
    <row r="2747" customFormat="false" ht="15" hidden="false" customHeight="false" outlineLevel="0" collapsed="false">
      <c r="A2747" s="13" t="n">
        <v>46101</v>
      </c>
      <c r="B2747" s="14" t="n">
        <v>3.62</v>
      </c>
      <c r="C2747" s="14" t="n">
        <v>3.75</v>
      </c>
      <c r="D2747" s="14" t="n">
        <v>3.5</v>
      </c>
      <c r="E2747" s="14" t="n">
        <v>1.932</v>
      </c>
      <c r="F2747" s="14" t="n">
        <v>2</v>
      </c>
      <c r="G2747" s="14" t="n">
        <v>3.75</v>
      </c>
      <c r="H2747" s="14" t="n">
        <v>3.7281</v>
      </c>
      <c r="I2747" s="14" t="n">
        <v>3.732306870166</v>
      </c>
      <c r="J2747" s="14" t="n">
        <v>3.85365142973163</v>
      </c>
      <c r="K2747" s="14" t="n">
        <v>4.05730355601783</v>
      </c>
      <c r="L2747" s="14" t="n">
        <v>4.31275601055315</v>
      </c>
      <c r="M2747" s="14" t="n">
        <v>1.514</v>
      </c>
      <c r="N2747" s="14" t="n">
        <v>1.522</v>
      </c>
      <c r="O2747" s="14" t="n">
        <v>1.534</v>
      </c>
      <c r="P2747" s="14" t="n">
        <v>1.555</v>
      </c>
      <c r="Q2747" s="14" t="n">
        <v>4</v>
      </c>
      <c r="R2747" s="14" t="n">
        <v>4</v>
      </c>
      <c r="S2747" s="14" t="n">
        <v>14.75</v>
      </c>
    </row>
    <row r="2748" customFormat="false" ht="15" hidden="false" customHeight="false" outlineLevel="0" collapsed="false">
      <c r="A2748" s="13" t="n">
        <v>46104</v>
      </c>
      <c r="B2748" s="14" t="n">
        <v>3.62</v>
      </c>
      <c r="C2748" s="14" t="n">
        <v>3.75</v>
      </c>
      <c r="D2748" s="14" t="n">
        <v>3.5</v>
      </c>
      <c r="E2748" s="14" t="n">
        <v>1.932</v>
      </c>
      <c r="F2748" s="14" t="n">
        <v>2</v>
      </c>
      <c r="G2748" s="14" t="n">
        <v>3.75</v>
      </c>
      <c r="H2748" s="14" t="n">
        <v>3.7274</v>
      </c>
      <c r="I2748" s="14" t="n">
        <v>3.74029432088624</v>
      </c>
      <c r="J2748" s="14" t="n">
        <v>3.844435176805</v>
      </c>
      <c r="K2748" s="14" t="n">
        <v>3.99350486493385</v>
      </c>
      <c r="L2748" s="14" t="n">
        <v>4.16765007715749</v>
      </c>
      <c r="M2748" s="14" t="n">
        <v>1.5095</v>
      </c>
      <c r="N2748" s="14" t="n">
        <v>1.5182</v>
      </c>
      <c r="O2748" s="14" t="n">
        <v>1.529</v>
      </c>
      <c r="P2748" s="14" t="n">
        <v>1.5485</v>
      </c>
      <c r="Q2748" s="14" t="n">
        <v>4</v>
      </c>
      <c r="R2748" s="14" t="n">
        <v>4</v>
      </c>
      <c r="S2748" s="14" t="n">
        <v>14.75</v>
      </c>
    </row>
    <row r="2749" customFormat="false" ht="15" hidden="false" customHeight="false" outlineLevel="0" collapsed="false">
      <c r="A2749" s="13" t="n">
        <v>46105</v>
      </c>
      <c r="B2749" s="14" t="n">
        <v>3.63</v>
      </c>
      <c r="C2749" s="14" t="n">
        <v>3.75</v>
      </c>
      <c r="D2749" s="14" t="n">
        <v>3.5</v>
      </c>
      <c r="E2749" s="14" t="n">
        <v>1.932</v>
      </c>
      <c r="F2749" s="14" t="n">
        <v>2</v>
      </c>
      <c r="G2749" s="14" t="n">
        <v>3.75</v>
      </c>
      <c r="H2749" s="14" t="n">
        <v>3.7274</v>
      </c>
      <c r="I2749" s="14" t="n">
        <v>3.74149707261994</v>
      </c>
      <c r="J2749" s="14" t="n">
        <v>3.86561252077516</v>
      </c>
      <c r="K2749" s="14" t="n">
        <v>4.0555913737487</v>
      </c>
      <c r="L2749" s="14" t="n">
        <v>4.26050203575509</v>
      </c>
      <c r="M2749" s="14" t="n">
        <v>1.504</v>
      </c>
      <c r="N2749" s="14" t="n">
        <v>1.516</v>
      </c>
      <c r="O2749" s="14" t="n">
        <v>1.527</v>
      </c>
      <c r="P2749" s="14" t="n">
        <v>1.547</v>
      </c>
      <c r="Q2749" s="14" t="n">
        <v>4</v>
      </c>
      <c r="R2749" s="14" t="n">
        <v>4</v>
      </c>
      <c r="S2749" s="14" t="n">
        <v>14.75</v>
      </c>
    </row>
    <row r="2750" customFormat="false" ht="15" hidden="false" customHeight="false" outlineLevel="0" collapsed="false">
      <c r="A2750" s="13" t="n">
        <v>46106</v>
      </c>
      <c r="B2750" s="14" t="n">
        <v>3.64</v>
      </c>
      <c r="C2750" s="14" t="n">
        <v>3.75</v>
      </c>
      <c r="D2750" s="14" t="n">
        <v>3.5</v>
      </c>
      <c r="E2750" s="14" t="n">
        <v>1.93</v>
      </c>
      <c r="F2750" s="14" t="n">
        <v>2</v>
      </c>
      <c r="G2750" s="14" t="n">
        <v>3.75</v>
      </c>
      <c r="H2750" s="14" t="n">
        <v>3.7278</v>
      </c>
      <c r="I2750" s="14" t="n">
        <v>3.74032395873377</v>
      </c>
      <c r="J2750" s="14" t="n">
        <v>3.8482827465456</v>
      </c>
      <c r="K2750" s="14" t="n">
        <v>4.00416054624461</v>
      </c>
      <c r="L2750" s="14" t="n">
        <v>4.17674699762488</v>
      </c>
      <c r="M2750" s="14" t="n">
        <v>1.5045</v>
      </c>
      <c r="N2750" s="14" t="n">
        <v>1.5155</v>
      </c>
      <c r="O2750" s="14" t="n">
        <v>1.5265</v>
      </c>
      <c r="P2750" s="14" t="n">
        <v>1.5455</v>
      </c>
      <c r="Q2750" s="14" t="n">
        <v>4</v>
      </c>
      <c r="R2750" s="14" t="n">
        <v>4</v>
      </c>
      <c r="S2750" s="14" t="n">
        <v>14.75</v>
      </c>
    </row>
    <row r="2751" customFormat="false" ht="15" hidden="false" customHeight="false" outlineLevel="0" collapsed="false">
      <c r="A2751" s="13" t="n">
        <v>46107</v>
      </c>
      <c r="B2751" s="14" t="n">
        <v>3.65</v>
      </c>
      <c r="C2751" s="14" t="n">
        <v>3.75</v>
      </c>
      <c r="D2751" s="14" t="n">
        <v>3.5</v>
      </c>
      <c r="E2751" s="14" t="n">
        <v>1.93</v>
      </c>
      <c r="F2751" s="14" t="n">
        <v>2</v>
      </c>
      <c r="G2751" s="14" t="n">
        <v>3.75</v>
      </c>
      <c r="H2751" s="14" t="n">
        <v>3.7282</v>
      </c>
      <c r="I2751" s="14" t="n">
        <v>3.73833149967859</v>
      </c>
      <c r="J2751" s="14" t="n">
        <v>3.85369600853259</v>
      </c>
      <c r="K2751" s="14" t="n">
        <v>4.03676480300947</v>
      </c>
      <c r="L2751" s="14" t="n">
        <v>4.26162861111849</v>
      </c>
      <c r="M2751" s="14" t="n">
        <v>1.503</v>
      </c>
      <c r="N2751" s="14" t="n">
        <v>1.5135</v>
      </c>
      <c r="O2751" s="14" t="n">
        <v>1.5242</v>
      </c>
      <c r="P2751" s="14" t="n">
        <v>1.5441</v>
      </c>
      <c r="Q2751" s="14" t="n">
        <v>4</v>
      </c>
      <c r="R2751" s="14" t="n">
        <v>4</v>
      </c>
      <c r="S2751" s="14" t="n">
        <v>14.75</v>
      </c>
    </row>
    <row r="2752" customFormat="false" ht="15" hidden="false" customHeight="false" outlineLevel="0" collapsed="false">
      <c r="A2752" s="13" t="n">
        <v>46108</v>
      </c>
      <c r="B2752" s="14" t="n">
        <v>3.63</v>
      </c>
      <c r="C2752" s="14" t="n">
        <v>3.75</v>
      </c>
      <c r="D2752" s="14" t="n">
        <v>3.5</v>
      </c>
      <c r="E2752" s="14" t="n">
        <v>1.93</v>
      </c>
      <c r="F2752" s="14" t="n">
        <v>2</v>
      </c>
      <c r="G2752" s="14" t="n">
        <v>3.75</v>
      </c>
      <c r="H2752" s="14" t="n">
        <v>3.7284</v>
      </c>
      <c r="I2752" s="14" t="n">
        <v>3.7367596910791</v>
      </c>
      <c r="J2752" s="14" t="n">
        <v>3.83648646408652</v>
      </c>
      <c r="K2752" s="14" t="n">
        <v>4.00401959151713</v>
      </c>
      <c r="L2752" s="14" t="n">
        <v>4.20947560533503</v>
      </c>
      <c r="M2752" s="14" t="n">
        <v>1.4985</v>
      </c>
      <c r="N2752" s="14" t="n">
        <v>1.509</v>
      </c>
      <c r="O2752" s="14" t="n">
        <v>1.5205</v>
      </c>
      <c r="P2752" s="14" t="n">
        <v>1.5405</v>
      </c>
      <c r="Q2752" s="14" t="n">
        <v>4</v>
      </c>
      <c r="R2752" s="14" t="n">
        <v>4</v>
      </c>
      <c r="S2752" s="14" t="n">
        <v>14.75</v>
      </c>
    </row>
    <row r="2753" customFormat="false" ht="15" hidden="false" customHeight="false" outlineLevel="0" collapsed="false">
      <c r="A2753" s="13" t="n">
        <v>46111</v>
      </c>
      <c r="B2753" s="14" t="n">
        <v>3.63</v>
      </c>
      <c r="C2753" s="14" t="n">
        <v>3.75</v>
      </c>
      <c r="D2753" s="14" t="n">
        <v>3.5</v>
      </c>
      <c r="E2753" s="14" t="n">
        <v>1.932</v>
      </c>
      <c r="F2753" s="14" t="n">
        <v>2</v>
      </c>
      <c r="G2753" s="14" t="n">
        <v>3.75</v>
      </c>
      <c r="H2753" s="14" t="n">
        <v>3.7281</v>
      </c>
      <c r="I2753" s="14" t="n">
        <v>3.73409186904958</v>
      </c>
      <c r="J2753" s="14" t="n">
        <v>3.83047012460278</v>
      </c>
      <c r="K2753" s="14" t="n">
        <v>3.99100100738477</v>
      </c>
      <c r="L2753" s="14" t="n">
        <v>4.17835538807502</v>
      </c>
      <c r="M2753" s="14" t="n">
        <v>1.497</v>
      </c>
      <c r="N2753" s="14" t="n">
        <v>1.509</v>
      </c>
      <c r="O2753" s="14" t="n">
        <v>1.52</v>
      </c>
      <c r="P2753" s="14" t="n">
        <v>1.54</v>
      </c>
      <c r="Q2753" s="14" t="n">
        <v>4</v>
      </c>
      <c r="R2753" s="14" t="n">
        <v>4</v>
      </c>
      <c r="S2753" s="14" t="n">
        <v>14.75</v>
      </c>
    </row>
    <row r="2754" customFormat="false" ht="15" hidden="false" customHeight="false" outlineLevel="0" collapsed="false">
      <c r="A2754" s="13" t="n">
        <v>46112</v>
      </c>
      <c r="B2754" s="14" t="n">
        <v>3.68</v>
      </c>
      <c r="C2754" s="14" t="n">
        <v>3.75</v>
      </c>
      <c r="D2754" s="14" t="n">
        <v>3.5</v>
      </c>
      <c r="E2754" s="14" t="n">
        <v>1.929</v>
      </c>
      <c r="F2754" s="14" t="n">
        <v>2</v>
      </c>
      <c r="G2754" s="14" t="n">
        <v>3.75</v>
      </c>
      <c r="H2754" s="14" t="n">
        <v>3.7296</v>
      </c>
      <c r="I2754" s="14" t="n">
        <v>3.73531222635866</v>
      </c>
      <c r="J2754" s="14" t="n">
        <v>3.81555797923559</v>
      </c>
      <c r="K2754" s="14" t="n">
        <v>3.95074716670662</v>
      </c>
      <c r="L2754" s="14" t="n">
        <v>4.10294814182972</v>
      </c>
      <c r="M2754" s="14" t="n">
        <v>1.495</v>
      </c>
      <c r="N2754" s="14" t="n">
        <v>1.507</v>
      </c>
      <c r="O2754" s="14" t="n">
        <v>1.52</v>
      </c>
      <c r="P2754" s="14" t="n">
        <v>1.538</v>
      </c>
      <c r="Q2754" s="14" t="n">
        <v>4</v>
      </c>
      <c r="R2754" s="14" t="n">
        <v>4</v>
      </c>
      <c r="S2754" s="14" t="n">
        <v>14.75</v>
      </c>
    </row>
    <row r="2755" customFormat="false" ht="15" hidden="false" customHeight="false" outlineLevel="0" collapsed="false">
      <c r="A2755" s="13" t="n">
        <v>46113</v>
      </c>
      <c r="B2755" s="14" t="n">
        <v>3.65</v>
      </c>
      <c r="C2755" s="14" t="n">
        <v>3.75</v>
      </c>
      <c r="D2755" s="14" t="n">
        <v>3.5</v>
      </c>
      <c r="E2755" s="14" t="n">
        <v>1.93</v>
      </c>
      <c r="F2755" s="14" t="n">
        <v>2</v>
      </c>
      <c r="G2755" s="14" t="n">
        <v>3.75</v>
      </c>
      <c r="H2755" s="14" t="n">
        <v>3.7297</v>
      </c>
      <c r="I2755" s="14" t="n">
        <v>3.73202543578631</v>
      </c>
      <c r="J2755" s="14" t="n">
        <v>3.7990643008712</v>
      </c>
      <c r="K2755" s="14" t="n">
        <v>3.91854862113487</v>
      </c>
      <c r="L2755" s="14" t="n">
        <v>4.06587662296097</v>
      </c>
      <c r="M2755" s="14" t="n">
        <v>1.493</v>
      </c>
      <c r="N2755" s="14" t="n">
        <v>1.504</v>
      </c>
      <c r="O2755" s="14" t="n">
        <v>1.518</v>
      </c>
      <c r="P2755" s="14" t="n">
        <v>1.536</v>
      </c>
      <c r="Q2755" s="14" t="n">
        <v>4</v>
      </c>
      <c r="R2755" s="14" t="n">
        <v>4</v>
      </c>
      <c r="S2755" s="14" t="n">
        <v>14.75</v>
      </c>
    </row>
    <row r="2756" customFormat="false" ht="15" hidden="false" customHeight="false" outlineLevel="0" collapsed="false">
      <c r="A2756" s="13" t="n">
        <v>46114</v>
      </c>
      <c r="B2756" s="14" t="n">
        <v>3.66</v>
      </c>
      <c r="C2756" s="14" t="n">
        <v>3.75</v>
      </c>
      <c r="D2756" s="14" t="n">
        <v>3.5</v>
      </c>
      <c r="E2756" s="14" t="n">
        <v>1.931</v>
      </c>
      <c r="F2756" s="14" t="n">
        <v>2</v>
      </c>
      <c r="G2756" s="14" t="n">
        <v>3.75</v>
      </c>
      <c r="H2756" s="14" t="n">
        <v>3.73</v>
      </c>
      <c r="I2756" s="14" t="n">
        <v>3.73617891461729</v>
      </c>
      <c r="J2756" s="14" t="n">
        <v>3.8104609422054</v>
      </c>
      <c r="K2756" s="14" t="n">
        <v>3.93930979810571</v>
      </c>
      <c r="L2756" s="14" t="n">
        <v>4.09313503780476</v>
      </c>
      <c r="M2756" s="14" t="n">
        <v>1.4885</v>
      </c>
      <c r="N2756" s="14" t="n">
        <v>1.4995</v>
      </c>
      <c r="O2756" s="14" t="n">
        <v>1.5145</v>
      </c>
      <c r="P2756" s="14" t="n">
        <v>1.5345</v>
      </c>
      <c r="S2756" s="14" t="n">
        <v>14.75</v>
      </c>
    </row>
    <row r="2757" customFormat="false" ht="15" hidden="false" customHeight="false" outlineLevel="0" collapsed="false">
      <c r="A2757" s="13" t="n">
        <v>46115</v>
      </c>
      <c r="C2757" s="14" t="n">
        <v>3.75</v>
      </c>
      <c r="D2757" s="14" t="n">
        <v>3.5</v>
      </c>
      <c r="F2757" s="14" t="n">
        <v>2</v>
      </c>
      <c r="M2757" s="14" t="n">
        <v>1.479</v>
      </c>
      <c r="N2757" s="14" t="n">
        <v>1.493</v>
      </c>
      <c r="O2757" s="14" t="n">
        <v>1.504</v>
      </c>
      <c r="P2757" s="14" t="n">
        <v>1.526</v>
      </c>
      <c r="S2757" s="14" t="n">
        <v>14.75</v>
      </c>
    </row>
    <row r="2758" customFormat="false" ht="15" hidden="false" customHeight="false" outlineLevel="0" collapsed="false">
      <c r="A2758" s="13" t="n">
        <v>46118</v>
      </c>
      <c r="B2758" s="14" t="n">
        <v>3.65</v>
      </c>
      <c r="C2758" s="14" t="n">
        <v>3.75</v>
      </c>
      <c r="D2758" s="14" t="n">
        <v>3.5</v>
      </c>
      <c r="F2758" s="14" t="n">
        <v>2</v>
      </c>
      <c r="S2758" s="14" t="n">
        <v>14.75</v>
      </c>
    </row>
    <row r="2759" customFormat="false" ht="15" hidden="false" customHeight="false" outlineLevel="0" collapsed="false">
      <c r="A2759" s="13" t="n">
        <v>46119</v>
      </c>
      <c r="B2759" s="14" t="n">
        <v>3.62</v>
      </c>
      <c r="C2759" s="14" t="n">
        <v>3.75</v>
      </c>
      <c r="D2759" s="14" t="n">
        <v>3.5</v>
      </c>
      <c r="E2759" s="14" t="n">
        <v>1.931</v>
      </c>
      <c r="F2759" s="14" t="n">
        <v>2</v>
      </c>
      <c r="G2759" s="14" t="n">
        <v>3.75</v>
      </c>
      <c r="H2759" s="14" t="n">
        <v>3.7294</v>
      </c>
      <c r="I2759" s="14" t="n">
        <v>3.74767649399707</v>
      </c>
      <c r="J2759" s="14" t="n">
        <v>3.84052202346924</v>
      </c>
      <c r="K2759" s="14" t="n">
        <v>3.98837507956003</v>
      </c>
      <c r="L2759" s="14" t="n">
        <v>4.15713615541145</v>
      </c>
      <c r="M2759" s="14" t="n">
        <v>1.472</v>
      </c>
      <c r="N2759" s="14" t="n">
        <v>1.484</v>
      </c>
      <c r="O2759" s="14" t="n">
        <v>1.496</v>
      </c>
      <c r="P2759" s="14" t="n">
        <v>1.518</v>
      </c>
      <c r="Q2759" s="14" t="n">
        <v>4</v>
      </c>
      <c r="R2759" s="14" t="n">
        <v>4</v>
      </c>
      <c r="S2759" s="14" t="n">
        <v>14.75</v>
      </c>
    </row>
    <row r="2760" customFormat="false" ht="15" hidden="false" customHeight="false" outlineLevel="0" collapsed="false">
      <c r="A2760" s="13" t="n">
        <v>46120</v>
      </c>
      <c r="B2760" s="14" t="n">
        <v>3.59</v>
      </c>
      <c r="C2760" s="14" t="n">
        <v>3.75</v>
      </c>
      <c r="D2760" s="14" t="n">
        <v>3.5</v>
      </c>
      <c r="E2760" s="14" t="n">
        <v>1.931</v>
      </c>
      <c r="F2760" s="14" t="n">
        <v>2</v>
      </c>
      <c r="G2760" s="14" t="n">
        <v>3.75</v>
      </c>
      <c r="H2760" s="14" t="n">
        <v>3.7287</v>
      </c>
      <c r="I2760" s="14" t="n">
        <v>3.73642269275134</v>
      </c>
      <c r="J2760" s="14" t="n">
        <v>3.7849886973403</v>
      </c>
      <c r="K2760" s="14" t="n">
        <v>3.87036810896062</v>
      </c>
      <c r="L2760" s="14" t="n">
        <v>3.96304264221269</v>
      </c>
      <c r="M2760" s="14" t="n">
        <v>1.4685</v>
      </c>
      <c r="N2760" s="14" t="n">
        <v>1.4795</v>
      </c>
      <c r="O2760" s="14" t="n">
        <v>1.4945</v>
      </c>
      <c r="P2760" s="14" t="n">
        <v>1.5165</v>
      </c>
      <c r="Q2760" s="14" t="n">
        <v>4</v>
      </c>
      <c r="R2760" s="14" t="n">
        <v>4</v>
      </c>
      <c r="S2760" s="14" t="n">
        <v>14.75</v>
      </c>
    </row>
    <row r="2761" customFormat="false" ht="15" hidden="false" customHeight="false" outlineLevel="0" collapsed="false">
      <c r="A2761" s="13" t="n">
        <v>46121</v>
      </c>
      <c r="B2761" s="14" t="n">
        <v>3.57</v>
      </c>
      <c r="C2761" s="14" t="n">
        <v>3.75</v>
      </c>
      <c r="D2761" s="14" t="n">
        <v>3.5</v>
      </c>
      <c r="E2761" s="14" t="n">
        <v>1.931</v>
      </c>
      <c r="F2761" s="14" t="n">
        <v>2</v>
      </c>
      <c r="G2761" s="14" t="n">
        <v>3.75</v>
      </c>
      <c r="H2761" s="14" t="n">
        <v>3.7294</v>
      </c>
      <c r="I2761" s="14" t="n">
        <v>3.73513685979842</v>
      </c>
      <c r="J2761" s="14" t="n">
        <v>3.78614846952009</v>
      </c>
      <c r="K2761" s="14" t="n">
        <v>3.87200300775549</v>
      </c>
      <c r="L2761" s="14" t="n">
        <v>3.96893548852161</v>
      </c>
      <c r="M2761" s="14" t="n">
        <v>1.466</v>
      </c>
      <c r="N2761" s="14" t="n">
        <v>1.476</v>
      </c>
      <c r="O2761" s="14" t="n">
        <v>1.4895</v>
      </c>
      <c r="P2761" s="14" t="n">
        <v>1.5105</v>
      </c>
      <c r="Q2761" s="14" t="n">
        <v>4</v>
      </c>
      <c r="R2761" s="14" t="n">
        <v>4</v>
      </c>
      <c r="S2761" s="14" t="n">
        <v>14.75</v>
      </c>
    </row>
    <row r="2762" customFormat="false" ht="15" hidden="false" customHeight="false" outlineLevel="0" collapsed="false">
      <c r="A2762" s="13" t="n">
        <v>46122</v>
      </c>
      <c r="B2762" s="14" t="n">
        <v>3.61</v>
      </c>
      <c r="C2762" s="14" t="n">
        <v>3.75</v>
      </c>
      <c r="D2762" s="14" t="n">
        <v>3.5</v>
      </c>
      <c r="E2762" s="14" t="n">
        <v>1.932</v>
      </c>
      <c r="F2762" s="14" t="n">
        <v>2</v>
      </c>
      <c r="G2762" s="14" t="n">
        <v>3.75</v>
      </c>
      <c r="H2762" s="14" t="n">
        <v>3.7295</v>
      </c>
      <c r="I2762" s="14" t="n">
        <v>3.74203490865309</v>
      </c>
      <c r="J2762" s="14" t="n">
        <v>3.80139603159041</v>
      </c>
      <c r="K2762" s="14" t="n">
        <v>3.91012605910645</v>
      </c>
      <c r="L2762" s="14" t="n">
        <v>4.0379608749443</v>
      </c>
      <c r="M2762" s="14" t="n">
        <v>1.4615</v>
      </c>
      <c r="N2762" s="14" t="n">
        <v>1.4715</v>
      </c>
      <c r="O2762" s="14" t="n">
        <v>1.483</v>
      </c>
      <c r="P2762" s="14" t="n">
        <v>1.505</v>
      </c>
      <c r="Q2762" s="14" t="n">
        <v>4</v>
      </c>
      <c r="R2762" s="14" t="n">
        <v>4</v>
      </c>
      <c r="S2762" s="14" t="n">
        <v>14.75</v>
      </c>
    </row>
    <row r="2763" customFormat="false" ht="15" hidden="false" customHeight="false" outlineLevel="0" collapsed="false">
      <c r="A2763" s="13" t="n">
        <v>46125</v>
      </c>
      <c r="B2763" s="14" t="n">
        <v>3.63</v>
      </c>
      <c r="C2763" s="14" t="n">
        <v>3.75</v>
      </c>
      <c r="D2763" s="14" t="n">
        <v>3.5</v>
      </c>
      <c r="E2763" s="14" t="n">
        <v>1.932</v>
      </c>
      <c r="F2763" s="14" t="n">
        <v>2</v>
      </c>
      <c r="G2763" s="14" t="n">
        <v>3.75</v>
      </c>
      <c r="H2763" s="14" t="n">
        <v>3.729</v>
      </c>
      <c r="I2763" s="14" t="n">
        <v>3.74657526492744</v>
      </c>
      <c r="J2763" s="14" t="n">
        <v>3.80673622241001</v>
      </c>
      <c r="K2763" s="14" t="n">
        <v>3.9192725254975</v>
      </c>
      <c r="L2763" s="14" t="n">
        <v>4.05314544894861</v>
      </c>
      <c r="M2763" s="14" t="n">
        <v>1.455</v>
      </c>
      <c r="N2763" s="14" t="n">
        <v>1.466</v>
      </c>
      <c r="O2763" s="14" t="n">
        <v>1.4765</v>
      </c>
      <c r="P2763" s="14" t="n">
        <v>1.4985</v>
      </c>
      <c r="Q2763" s="14" t="n">
        <v>4</v>
      </c>
      <c r="R2763" s="14" t="n">
        <v>4</v>
      </c>
      <c r="S2763" s="14" t="n">
        <v>14.75</v>
      </c>
    </row>
    <row r="2764" customFormat="false" ht="15" hidden="false" customHeight="false" outlineLevel="0" collapsed="false">
      <c r="A2764" s="13" t="n">
        <v>46126</v>
      </c>
      <c r="B2764" s="14" t="n">
        <v>3.66</v>
      </c>
      <c r="C2764" s="14" t="n">
        <v>3.75</v>
      </c>
      <c r="D2764" s="14" t="n">
        <v>3.5</v>
      </c>
      <c r="E2764" s="14" t="n">
        <v>1.932</v>
      </c>
      <c r="F2764" s="14" t="n">
        <v>2</v>
      </c>
      <c r="G2764" s="14" t="n">
        <v>3.75</v>
      </c>
      <c r="H2764" s="14" t="n">
        <v>3.7293</v>
      </c>
      <c r="I2764" s="14" t="n">
        <v>3.73945172053202</v>
      </c>
      <c r="J2764" s="14" t="n">
        <v>3.78201624757564</v>
      </c>
      <c r="K2764" s="14" t="n">
        <v>3.86951800925425</v>
      </c>
      <c r="L2764" s="14" t="n">
        <v>3.97449806780707</v>
      </c>
      <c r="M2764" s="14" t="n">
        <v>1.4535</v>
      </c>
      <c r="N2764" s="14" t="n">
        <v>1.4635</v>
      </c>
      <c r="O2764" s="14" t="n">
        <v>1.473</v>
      </c>
      <c r="P2764" s="14" t="n">
        <v>1.497</v>
      </c>
      <c r="Q2764" s="14" t="n">
        <v>4</v>
      </c>
      <c r="R2764" s="14" t="n">
        <v>4</v>
      </c>
      <c r="S2764" s="14" t="n">
        <v>14.75</v>
      </c>
    </row>
    <row r="2765" customFormat="false" ht="15" hidden="false" customHeight="false" outlineLevel="0" collapsed="false">
      <c r="A2765" s="13" t="n">
        <v>46127</v>
      </c>
      <c r="B2765" s="14" t="n">
        <v>3.72</v>
      </c>
      <c r="C2765" s="14" t="n">
        <v>3.75</v>
      </c>
      <c r="D2765" s="14" t="n">
        <v>3.5</v>
      </c>
      <c r="E2765" s="14" t="n">
        <v>1.932</v>
      </c>
      <c r="F2765" s="14" t="n">
        <v>2</v>
      </c>
      <c r="G2765" s="14" t="n">
        <v>3.75</v>
      </c>
      <c r="H2765" s="14" t="n">
        <v>3.7301</v>
      </c>
      <c r="I2765" s="14" t="n">
        <v>3.7414375300564</v>
      </c>
      <c r="J2765" s="14" t="n">
        <v>3.79010307407011</v>
      </c>
      <c r="K2765" s="14" t="n">
        <v>3.8883477155925</v>
      </c>
      <c r="L2765" s="14" t="n">
        <v>4.00232641805686</v>
      </c>
      <c r="M2765" s="14" t="n">
        <v>1.4515</v>
      </c>
      <c r="N2765" s="14" t="n">
        <v>1.4615</v>
      </c>
      <c r="O2765" s="14" t="n">
        <v>1.4725</v>
      </c>
      <c r="P2765" s="14" t="n">
        <v>1.4975</v>
      </c>
      <c r="Q2765" s="14" t="n">
        <v>4</v>
      </c>
      <c r="R2765" s="14" t="n">
        <v>4</v>
      </c>
      <c r="S2765" s="14" t="n">
        <v>14.75</v>
      </c>
    </row>
    <row r="2766" customFormat="false" ht="15" hidden="false" customHeight="false" outlineLevel="0" collapsed="false">
      <c r="A2766" s="13" t="n">
        <v>46128</v>
      </c>
      <c r="B2766" s="14" t="n">
        <v>3.67</v>
      </c>
      <c r="C2766" s="14" t="n">
        <v>3.75</v>
      </c>
      <c r="D2766" s="14" t="n">
        <v>3.5</v>
      </c>
      <c r="E2766" s="14" t="n">
        <v>1.932</v>
      </c>
      <c r="F2766" s="14" t="n">
        <v>2</v>
      </c>
      <c r="G2766" s="14" t="n">
        <v>3.75</v>
      </c>
      <c r="H2766" s="14" t="n">
        <v>3.7301</v>
      </c>
      <c r="I2766" s="14" t="n">
        <v>3.73783680016165</v>
      </c>
      <c r="J2766" s="14" t="n">
        <v>3.77660339515771</v>
      </c>
      <c r="K2766" s="14" t="n">
        <v>3.86895714456194</v>
      </c>
      <c r="L2766" s="14" t="n">
        <v>3.98358081333586</v>
      </c>
      <c r="M2766" s="14" t="n">
        <v>1.448</v>
      </c>
      <c r="N2766" s="14" t="n">
        <v>1.455</v>
      </c>
      <c r="O2766" s="14" t="n">
        <v>1.469</v>
      </c>
      <c r="P2766" s="14" t="n">
        <v>1.4975</v>
      </c>
      <c r="Q2766" s="14" t="n">
        <v>4</v>
      </c>
      <c r="R2766" s="14" t="n">
        <v>4</v>
      </c>
      <c r="S2766" s="14" t="n">
        <v>14.75</v>
      </c>
    </row>
    <row r="2767" customFormat="false" ht="15" hidden="false" customHeight="false" outlineLevel="0" collapsed="false">
      <c r="A2767" s="13" t="n">
        <v>46129</v>
      </c>
      <c r="B2767" s="14" t="n">
        <v>3.65</v>
      </c>
      <c r="C2767" s="14" t="n">
        <v>3.75</v>
      </c>
      <c r="D2767" s="14" t="n">
        <v>3.5</v>
      </c>
      <c r="E2767" s="14" t="n">
        <v>1.932</v>
      </c>
      <c r="F2767" s="14" t="n">
        <v>2</v>
      </c>
      <c r="G2767" s="14" t="n">
        <v>3.75</v>
      </c>
      <c r="H2767" s="14" t="n">
        <v>3.73</v>
      </c>
      <c r="I2767" s="14" t="n">
        <v>3.73311144762083</v>
      </c>
      <c r="J2767" s="14" t="n">
        <v>3.76165333988162</v>
      </c>
      <c r="K2767" s="14" t="n">
        <v>3.82633830983303</v>
      </c>
      <c r="L2767" s="14" t="n">
        <v>3.89418522083331</v>
      </c>
      <c r="M2767" s="14" t="n">
        <v>1.441</v>
      </c>
      <c r="N2767" s="14" t="n">
        <v>1.4525</v>
      </c>
      <c r="O2767" s="14" t="n">
        <v>1.4655</v>
      </c>
      <c r="P2767" s="14" t="n">
        <v>1.4965</v>
      </c>
      <c r="Q2767" s="14" t="n">
        <v>4</v>
      </c>
      <c r="R2767" s="14" t="n">
        <v>4</v>
      </c>
      <c r="S2767" s="14" t="n">
        <v>14.75</v>
      </c>
    </row>
    <row r="2768" customFormat="false" ht="15" hidden="false" customHeight="false" outlineLevel="0" collapsed="false">
      <c r="A2768" s="13" t="n">
        <v>46132</v>
      </c>
      <c r="B2768" s="14" t="n">
        <v>3.63</v>
      </c>
      <c r="C2768" s="14" t="n">
        <v>3.75</v>
      </c>
      <c r="D2768" s="14" t="n">
        <v>3.5</v>
      </c>
      <c r="E2768" s="14" t="n">
        <v>1.931</v>
      </c>
      <c r="F2768" s="14" t="n">
        <v>2</v>
      </c>
      <c r="G2768" s="14" t="n">
        <v>3.75</v>
      </c>
      <c r="H2768" s="14" t="n">
        <v>3.7304</v>
      </c>
      <c r="I2768" s="14" t="n">
        <v>3.73559243437188</v>
      </c>
      <c r="J2768" s="14" t="n">
        <v>3.77265924625505</v>
      </c>
      <c r="K2768" s="14" t="n">
        <v>3.85363395732435</v>
      </c>
      <c r="L2768" s="14" t="n">
        <v>3.94936883085638</v>
      </c>
      <c r="M2768" s="14" t="n">
        <v>1.435</v>
      </c>
      <c r="N2768" s="14" t="n">
        <v>1.449</v>
      </c>
      <c r="O2768" s="14" t="n">
        <v>1.4665</v>
      </c>
      <c r="P2768" s="14" t="n">
        <v>1.4955</v>
      </c>
      <c r="Q2768" s="14" t="n">
        <v>4</v>
      </c>
      <c r="R2768" s="14" t="n">
        <v>4</v>
      </c>
      <c r="S2768" s="14" t="n">
        <v>14.75</v>
      </c>
    </row>
    <row r="2769" customFormat="false" ht="15" hidden="false" customHeight="false" outlineLevel="0" collapsed="false">
      <c r="A2769" s="13" t="n">
        <v>46133</v>
      </c>
      <c r="B2769" s="14" t="n">
        <v>3.63</v>
      </c>
      <c r="C2769" s="14" t="n">
        <v>3.75</v>
      </c>
      <c r="D2769" s="14" t="n">
        <v>3.5</v>
      </c>
      <c r="E2769" s="14" t="n">
        <v>1.932</v>
      </c>
      <c r="F2769" s="14" t="n">
        <v>2</v>
      </c>
      <c r="G2769" s="14" t="n">
        <v>3.75</v>
      </c>
      <c r="H2769" s="14" t="n">
        <v>3.7307</v>
      </c>
      <c r="I2769" s="14" t="n">
        <v>3.74403324811715</v>
      </c>
      <c r="J2769" s="14" t="n">
        <v>3.79703814241303</v>
      </c>
      <c r="K2769" s="14" t="n">
        <v>3.90621055910183</v>
      </c>
      <c r="L2769" s="14" t="n">
        <v>4.03762437804518</v>
      </c>
      <c r="M2769" s="14" t="n">
        <v>1.4265</v>
      </c>
      <c r="N2769" s="14" t="n">
        <v>1.442</v>
      </c>
      <c r="O2769" s="14" t="n">
        <v>1.4645</v>
      </c>
      <c r="P2769" s="14" t="n">
        <v>1.4935</v>
      </c>
      <c r="Q2769" s="14" t="n">
        <v>4</v>
      </c>
      <c r="R2769" s="14" t="n">
        <v>4</v>
      </c>
      <c r="S2769" s="14" t="n">
        <v>14.75</v>
      </c>
    </row>
    <row r="2770" customFormat="false" ht="15" hidden="false" customHeight="false" outlineLevel="0" collapsed="false">
      <c r="A2770" s="13" t="n">
        <v>46134</v>
      </c>
      <c r="B2770" s="14" t="n">
        <v>3.64</v>
      </c>
      <c r="C2770" s="14" t="n">
        <v>3.75</v>
      </c>
      <c r="D2770" s="14" t="n">
        <v>3.5</v>
      </c>
      <c r="E2770" s="14" t="n">
        <v>1.931</v>
      </c>
      <c r="F2770" s="14" t="n">
        <v>2</v>
      </c>
      <c r="G2770" s="14" t="n">
        <v>3.75</v>
      </c>
      <c r="H2770" s="14" t="n">
        <v>3.7304</v>
      </c>
      <c r="I2770" s="14" t="n">
        <v>3.74084420764186</v>
      </c>
      <c r="J2770" s="14" t="n">
        <v>3.80525155300964</v>
      </c>
      <c r="K2770" s="14" t="n">
        <v>3.93553639778505</v>
      </c>
      <c r="L2770" s="14" t="n">
        <v>4.08881407890874</v>
      </c>
      <c r="M2770" s="14" t="n">
        <v>1.4195</v>
      </c>
      <c r="N2770" s="14" t="n">
        <v>1.4375</v>
      </c>
      <c r="O2770" s="14" t="n">
        <v>1.457</v>
      </c>
      <c r="P2770" s="14" t="n">
        <v>1.4865</v>
      </c>
      <c r="Q2770" s="14" t="n">
        <v>4</v>
      </c>
      <c r="R2770" s="14" t="n">
        <v>4</v>
      </c>
      <c r="S2770" s="14" t="n">
        <v>14.75</v>
      </c>
    </row>
    <row r="2771" customFormat="false" ht="15" hidden="false" customHeight="false" outlineLevel="0" collapsed="false">
      <c r="A2771" s="13" t="n">
        <v>46135</v>
      </c>
      <c r="B2771" s="14" t="n">
        <v>3.65</v>
      </c>
      <c r="C2771" s="14" t="n">
        <v>3.75</v>
      </c>
      <c r="D2771" s="14" t="n">
        <v>3.5</v>
      </c>
      <c r="E2771" s="14" t="n">
        <v>1.933</v>
      </c>
      <c r="F2771" s="14" t="n">
        <v>2</v>
      </c>
      <c r="G2771" s="14" t="n">
        <v>3.75</v>
      </c>
      <c r="H2771" s="14" t="n">
        <v>3.7311</v>
      </c>
      <c r="I2771" s="14" t="n">
        <v>3.74452777794927</v>
      </c>
      <c r="J2771" s="14" t="n">
        <v>3.81815957991137</v>
      </c>
      <c r="K2771" s="14" t="n">
        <v>3.96249816759118</v>
      </c>
      <c r="L2771" s="14" t="n">
        <v>4.13071323779745</v>
      </c>
      <c r="M2771" s="14" t="n">
        <v>1.412</v>
      </c>
      <c r="N2771" s="14" t="n">
        <v>1.4345</v>
      </c>
      <c r="O2771" s="14" t="n">
        <v>1.4535</v>
      </c>
      <c r="P2771" s="14" t="n">
        <v>1.4825</v>
      </c>
      <c r="Q2771" s="14" t="n">
        <v>4</v>
      </c>
      <c r="R2771" s="14" t="n">
        <v>4</v>
      </c>
      <c r="S2771" s="14" t="n">
        <v>14.75</v>
      </c>
    </row>
    <row r="2772" customFormat="false" ht="15" hidden="false" customHeight="false" outlineLevel="0" collapsed="false">
      <c r="A2772" s="13" t="n">
        <v>46136</v>
      </c>
      <c r="B2772" s="14" t="n">
        <v>3.66</v>
      </c>
      <c r="C2772" s="14" t="n">
        <v>3.75</v>
      </c>
      <c r="D2772" s="14" t="n">
        <v>3.5</v>
      </c>
      <c r="E2772" s="14" t="n">
        <v>1.933</v>
      </c>
      <c r="F2772" s="14" t="n">
        <v>2</v>
      </c>
      <c r="G2772" s="14" t="n">
        <v>3.75</v>
      </c>
      <c r="H2772" s="14" t="n">
        <v>3.7305</v>
      </c>
      <c r="I2772" s="14" t="n">
        <v>3.74427419236896</v>
      </c>
      <c r="J2772" s="14" t="n">
        <v>3.81398347552718</v>
      </c>
      <c r="K2772" s="14" t="n">
        <v>3.95620523442931</v>
      </c>
      <c r="L2772" s="14" t="n">
        <v>4.11655546329813</v>
      </c>
      <c r="M2772" s="14" t="n">
        <v>1.405</v>
      </c>
      <c r="N2772" s="14" t="n">
        <v>1.4275</v>
      </c>
      <c r="O2772" s="14" t="n">
        <v>1.4505</v>
      </c>
      <c r="P2772" s="14" t="n">
        <v>1.478</v>
      </c>
      <c r="Q2772" s="14" t="n">
        <v>4</v>
      </c>
      <c r="R2772" s="14" t="n">
        <v>4</v>
      </c>
      <c r="S2772" s="14" t="n">
        <v>14.75</v>
      </c>
    </row>
    <row r="2773" customFormat="false" ht="15" hidden="false" customHeight="false" outlineLevel="0" collapsed="false">
      <c r="A2773" s="13" t="n">
        <v>46139</v>
      </c>
      <c r="B2773" s="14" t="n">
        <v>3.66</v>
      </c>
      <c r="C2773" s="14" t="n">
        <v>3.75</v>
      </c>
      <c r="D2773" s="14" t="n">
        <v>3.5</v>
      </c>
      <c r="E2773" s="14" t="n">
        <v>1.932</v>
      </c>
      <c r="F2773" s="14" t="n">
        <v>2</v>
      </c>
      <c r="G2773" s="14" t="n">
        <v>3.75</v>
      </c>
      <c r="H2773" s="14" t="n">
        <v>3.7307</v>
      </c>
      <c r="I2773" s="14" t="n">
        <v>3.74259317712918</v>
      </c>
      <c r="J2773" s="14" t="n">
        <v>3.82180708684907</v>
      </c>
      <c r="K2773" s="14" t="n">
        <v>3.9736001262982</v>
      </c>
      <c r="L2773" s="14" t="n">
        <v>4.14893430804464</v>
      </c>
      <c r="M2773" s="14" t="n">
        <v>1.4015</v>
      </c>
      <c r="N2773" s="14" t="n">
        <v>1.429</v>
      </c>
      <c r="O2773" s="14" t="n">
        <v>1.446</v>
      </c>
      <c r="P2773" s="14" t="n">
        <v>1.4765</v>
      </c>
      <c r="Q2773" s="14" t="n">
        <v>4</v>
      </c>
      <c r="R2773" s="14" t="n">
        <v>4</v>
      </c>
      <c r="S2773" s="14" t="n">
        <v>14.75</v>
      </c>
    </row>
    <row r="2774" customFormat="false" ht="15" hidden="false" customHeight="false" outlineLevel="0" collapsed="false">
      <c r="A2774" s="13" t="n">
        <v>46140</v>
      </c>
      <c r="B2774" s="14" t="n">
        <v>3.64</v>
      </c>
      <c r="C2774" s="14" t="n">
        <v>3.75</v>
      </c>
      <c r="D2774" s="14" t="n">
        <v>3.5</v>
      </c>
      <c r="E2774" s="14" t="n">
        <v>1.932</v>
      </c>
      <c r="F2774" s="14" t="n">
        <v>2</v>
      </c>
      <c r="G2774" s="14" t="n">
        <v>3.75</v>
      </c>
      <c r="H2774" s="14" t="n">
        <v>3.7306</v>
      </c>
      <c r="I2774" s="14" t="n">
        <v>3.73713494088341</v>
      </c>
      <c r="J2774" s="14" t="n">
        <v>3.82756683663102</v>
      </c>
      <c r="K2774" s="14" t="n">
        <v>3.99536897749475</v>
      </c>
      <c r="L2774" s="14" t="n">
        <v>4.19120115836364</v>
      </c>
      <c r="M2774" s="14" t="n">
        <v>1.399</v>
      </c>
      <c r="N2774" s="14" t="n">
        <v>1.424</v>
      </c>
      <c r="O2774" s="14" t="n">
        <v>1.4465</v>
      </c>
      <c r="P2774" s="14" t="n">
        <v>1.4765</v>
      </c>
      <c r="Q2774" s="14" t="n">
        <v>4</v>
      </c>
      <c r="R2774" s="14" t="n">
        <v>4</v>
      </c>
      <c r="S2774" s="14" t="n">
        <v>14.75</v>
      </c>
    </row>
    <row r="2775" customFormat="false" ht="15" hidden="false" customHeight="false" outlineLevel="0" collapsed="false">
      <c r="A2775" s="13" t="n">
        <v>46141</v>
      </c>
      <c r="B2775" s="14" t="n">
        <v>3.63</v>
      </c>
      <c r="C2775" s="14" t="n">
        <v>3.75</v>
      </c>
      <c r="D2775" s="14" t="n">
        <v>3.5</v>
      </c>
      <c r="E2775" s="14" t="n">
        <v>1.932</v>
      </c>
      <c r="F2775" s="14" t="n">
        <v>2</v>
      </c>
      <c r="G2775" s="14" t="n">
        <v>3.75</v>
      </c>
      <c r="H2775" s="14" t="n">
        <v>3.7298</v>
      </c>
      <c r="I2775" s="14" t="n">
        <v>3.74627088544336</v>
      </c>
      <c r="J2775" s="14" t="n">
        <v>3.84363378543668</v>
      </c>
      <c r="K2775" s="14" t="n">
        <v>4.03911790460896</v>
      </c>
      <c r="L2775" s="14" t="n">
        <v>4.279009312446</v>
      </c>
      <c r="M2775" s="14" t="n">
        <v>1.395</v>
      </c>
      <c r="N2775" s="14" t="n">
        <v>1.4195</v>
      </c>
      <c r="O2775" s="14" t="n">
        <v>1.4465</v>
      </c>
      <c r="P2775" s="14" t="n">
        <v>1.4745</v>
      </c>
      <c r="Q2775" s="14" t="n">
        <v>4</v>
      </c>
      <c r="R2775" s="14" t="n">
        <v>4</v>
      </c>
      <c r="S2775" s="14" t="n">
        <v>14.75</v>
      </c>
    </row>
    <row r="2776" customFormat="false" ht="15" hidden="false" customHeight="false" outlineLevel="0" collapsed="false">
      <c r="A2776" s="13" t="n">
        <v>46142</v>
      </c>
      <c r="B2776" s="14" t="n">
        <v>3.66</v>
      </c>
      <c r="C2776" s="14" t="n">
        <v>3.75</v>
      </c>
      <c r="D2776" s="14" t="n">
        <v>3.5</v>
      </c>
      <c r="E2776" s="14" t="n">
        <v>1.93</v>
      </c>
      <c r="F2776" s="14" t="n">
        <v>2</v>
      </c>
      <c r="G2776" s="14" t="n">
        <v>3.75</v>
      </c>
      <c r="H2776" s="14" t="n">
        <v>3.7299</v>
      </c>
      <c r="I2776" s="14" t="n">
        <v>3.73019058700853</v>
      </c>
      <c r="J2776" s="14" t="n">
        <v>3.8073254049877</v>
      </c>
      <c r="K2776" s="14" t="n">
        <v>3.96888772344792</v>
      </c>
      <c r="L2776" s="14" t="n">
        <v>4.19026176108383</v>
      </c>
      <c r="M2776" s="14" t="n">
        <v>1.396</v>
      </c>
      <c r="N2776" s="14" t="n">
        <v>1.416</v>
      </c>
      <c r="O2776" s="14" t="n">
        <v>1.4465</v>
      </c>
      <c r="P2776" s="14" t="n">
        <v>1.472</v>
      </c>
      <c r="Q2776" s="14" t="n">
        <v>4</v>
      </c>
      <c r="R2776" s="14" t="n">
        <v>4</v>
      </c>
      <c r="S2776" s="14" t="n">
        <v>14.5</v>
      </c>
    </row>
    <row r="2777" customFormat="false" ht="15" hidden="false" customHeight="false" outlineLevel="0" collapsed="false">
      <c r="A2777" s="13" t="n">
        <v>46143</v>
      </c>
      <c r="B2777" s="14" t="n">
        <v>3.64</v>
      </c>
      <c r="C2777" s="14" t="n">
        <v>3.75</v>
      </c>
      <c r="D2777" s="14" t="n">
        <v>3.5</v>
      </c>
      <c r="F2777" s="14" t="n">
        <v>2</v>
      </c>
      <c r="G2777" s="14" t="n">
        <v>3.75</v>
      </c>
      <c r="H2777" s="14" t="n">
        <v>3.7295</v>
      </c>
      <c r="I2777" s="14" t="n">
        <v>3.72807042636759</v>
      </c>
      <c r="J2777" s="14" t="n">
        <v>3.79891476458045</v>
      </c>
      <c r="K2777" s="14" t="n">
        <v>3.95134656758446</v>
      </c>
      <c r="L2777" s="14" t="n">
        <v>4.15792523937336</v>
      </c>
      <c r="S2777" s="14" t="n">
        <v>14.5</v>
      </c>
    </row>
    <row r="2778" customFormat="false" ht="15" hidden="false" customHeight="false" outlineLevel="0" collapsed="false">
      <c r="A2778" s="13" t="n">
        <v>46146</v>
      </c>
      <c r="B2778" s="14" t="n">
        <v>3.63</v>
      </c>
      <c r="C2778" s="14" t="n">
        <v>3.75</v>
      </c>
      <c r="D2778" s="14" t="n">
        <v>3.5</v>
      </c>
      <c r="E2778" s="14" t="n">
        <v>1.932</v>
      </c>
      <c r="F2778" s="14" t="n">
        <v>2</v>
      </c>
      <c r="Q2778" s="14" t="n">
        <v>4</v>
      </c>
      <c r="R2778" s="14" t="n">
        <v>4</v>
      </c>
      <c r="S2778" s="14" t="n">
        <v>14.5</v>
      </c>
    </row>
    <row r="2779" customFormat="false" ht="15" hidden="false" customHeight="false" outlineLevel="0" collapsed="false">
      <c r="A2779" s="13" t="n">
        <v>46147</v>
      </c>
      <c r="B2779" s="14" t="n">
        <v>3.62</v>
      </c>
      <c r="C2779" s="14" t="n">
        <v>3.75</v>
      </c>
      <c r="D2779" s="14" t="n">
        <v>3.5</v>
      </c>
      <c r="E2779" s="14" t="n">
        <v>1.932</v>
      </c>
      <c r="F2779" s="14" t="n">
        <v>2</v>
      </c>
      <c r="G2779" s="14" t="n">
        <v>3.75</v>
      </c>
      <c r="H2779" s="14" t="n">
        <v>3.7291</v>
      </c>
      <c r="I2779" s="14" t="n">
        <v>3.73270491414142</v>
      </c>
      <c r="J2779" s="14" t="n">
        <v>3.82562981121871</v>
      </c>
      <c r="K2779" s="14" t="n">
        <v>3.99623003630898</v>
      </c>
      <c r="L2779" s="14" t="n">
        <v>4.22480506699466</v>
      </c>
      <c r="Q2779" s="14" t="n">
        <v>4</v>
      </c>
      <c r="R2779" s="14" t="n">
        <v>4</v>
      </c>
      <c r="S2779" s="14" t="n">
        <v>14.5</v>
      </c>
    </row>
    <row r="2780" customFormat="false" ht="15" hidden="false" customHeight="false" outlineLevel="0" collapsed="false">
      <c r="A2780" s="13" t="n">
        <v>46148</v>
      </c>
      <c r="B2780" s="14" t="n">
        <v>3.61</v>
      </c>
      <c r="C2780" s="14" t="n">
        <v>3.75</v>
      </c>
      <c r="D2780" s="14" t="n">
        <v>3.5</v>
      </c>
      <c r="E2780" s="14" t="n">
        <v>1.931</v>
      </c>
      <c r="F2780" s="14" t="n">
        <v>2</v>
      </c>
      <c r="G2780" s="14" t="n">
        <v>3.75</v>
      </c>
      <c r="H2780" s="14" t="n">
        <v>3.7292</v>
      </c>
      <c r="I2780" s="14" t="n">
        <v>3.73153070015759</v>
      </c>
      <c r="J2780" s="14" t="n">
        <v>3.80113871711395</v>
      </c>
      <c r="K2780" s="14" t="n">
        <v>3.93710441108384</v>
      </c>
      <c r="L2780" s="14" t="n">
        <v>4.11777938183424</v>
      </c>
      <c r="M2780" s="14" t="n">
        <v>1.4</v>
      </c>
      <c r="N2780" s="14" t="n">
        <v>1.42</v>
      </c>
      <c r="O2780" s="14" t="n">
        <v>1.448</v>
      </c>
      <c r="P2780" s="14" t="n">
        <v>1.471</v>
      </c>
      <c r="Q2780" s="14" t="n">
        <v>4</v>
      </c>
      <c r="R2780" s="14" t="n">
        <v>4</v>
      </c>
      <c r="S2780" s="14" t="n">
        <v>14.5</v>
      </c>
    </row>
    <row r="2781" customFormat="false" ht="15" hidden="false" customHeight="false" outlineLevel="0" collapsed="false">
      <c r="A2781" s="13" t="n">
        <v>46149</v>
      </c>
      <c r="B2781" s="14" t="n">
        <v>3.6</v>
      </c>
      <c r="C2781" s="14" t="n">
        <v>3.75</v>
      </c>
      <c r="D2781" s="14" t="n">
        <v>3.5</v>
      </c>
      <c r="E2781" s="14" t="n">
        <v>1.93</v>
      </c>
      <c r="F2781" s="14" t="n">
        <v>2</v>
      </c>
      <c r="G2781" s="14" t="n">
        <v>3.75</v>
      </c>
      <c r="H2781" s="14" t="n">
        <v>3.7299</v>
      </c>
      <c r="I2781" s="14" t="n">
        <v>3.73071313520783</v>
      </c>
      <c r="J2781" s="14" t="n">
        <v>3.80160317880544</v>
      </c>
      <c r="K2781" s="14" t="n">
        <v>3.94453054680814</v>
      </c>
      <c r="L2781" s="14" t="n">
        <v>4.13053300121793</v>
      </c>
      <c r="M2781" s="14" t="n">
        <v>1.4</v>
      </c>
      <c r="N2781" s="14" t="n">
        <v>1.417</v>
      </c>
      <c r="O2781" s="14" t="n">
        <v>1.448</v>
      </c>
      <c r="P2781" s="14" t="n">
        <v>1.47</v>
      </c>
      <c r="Q2781" s="14" t="n">
        <v>4</v>
      </c>
      <c r="R2781" s="14" t="n">
        <v>4</v>
      </c>
      <c r="S2781" s="14" t="n">
        <v>14.5</v>
      </c>
    </row>
    <row r="2782" customFormat="false" ht="15" hidden="false" customHeight="false" outlineLevel="0" collapsed="false">
      <c r="A2782" s="13" t="n">
        <v>46150</v>
      </c>
      <c r="B2782" s="14" t="n">
        <v>3.6</v>
      </c>
      <c r="C2782" s="14" t="n">
        <v>3.75</v>
      </c>
      <c r="D2782" s="14" t="n">
        <v>3.5</v>
      </c>
      <c r="E2782" s="14" t="n">
        <v>1.929</v>
      </c>
      <c r="F2782" s="14" t="n">
        <v>2</v>
      </c>
      <c r="G2782" s="14" t="n">
        <v>3.75</v>
      </c>
      <c r="H2782" s="14" t="n">
        <v>3.7294</v>
      </c>
      <c r="I2782" s="14" t="n">
        <v>3.7311470725505</v>
      </c>
      <c r="J2782" s="14" t="n">
        <v>3.79938700250568</v>
      </c>
      <c r="K2782" s="14" t="n">
        <v>3.93702268766209</v>
      </c>
      <c r="L2782" s="14" t="n">
        <v>4.12071615213607</v>
      </c>
      <c r="M2782" s="14" t="n">
        <v>1.398</v>
      </c>
      <c r="N2782" s="14" t="n">
        <v>1.417</v>
      </c>
      <c r="O2782" s="14" t="n">
        <v>1.447</v>
      </c>
      <c r="P2782" s="14" t="n">
        <v>1.469</v>
      </c>
      <c r="Q2782" s="14" t="n">
        <v>4.25</v>
      </c>
      <c r="R2782" s="14" t="n">
        <v>4.25</v>
      </c>
      <c r="S2782" s="14" t="n">
        <v>14.5</v>
      </c>
    </row>
    <row r="2783" customFormat="false" ht="15" hidden="false" customHeight="false" outlineLevel="0" collapsed="false">
      <c r="A2783" s="13" t="n">
        <v>46151</v>
      </c>
      <c r="C2783" s="14" t="n">
        <v>3.75</v>
      </c>
      <c r="D2783" s="14" t="n">
        <v>3.5</v>
      </c>
      <c r="F2783" s="14" t="n">
        <v>2</v>
      </c>
      <c r="M2783" s="14" t="n">
        <v>1.397</v>
      </c>
      <c r="N2783" s="14" t="n">
        <v>1.414</v>
      </c>
      <c r="O2783" s="14" t="n">
        <v>1.444</v>
      </c>
      <c r="P2783" s="14" t="n">
        <v>1.469</v>
      </c>
      <c r="S2783" s="14" t="n">
        <v>14.5</v>
      </c>
    </row>
    <row r="2784" customFormat="false" ht="15" hidden="false" customHeight="false" outlineLevel="0" collapsed="false">
      <c r="A2784" s="13" t="n">
        <v>46153</v>
      </c>
      <c r="B2784" s="14" t="n">
        <v>3.6</v>
      </c>
      <c r="C2784" s="14" t="n">
        <v>3.75</v>
      </c>
      <c r="D2784" s="14" t="n">
        <v>3.5</v>
      </c>
      <c r="E2784" s="14" t="n">
        <v>1.931</v>
      </c>
      <c r="F2784" s="14" t="n">
        <v>2</v>
      </c>
      <c r="G2784" s="14" t="n">
        <v>3.75</v>
      </c>
      <c r="H2784" s="14" t="n">
        <v>3.729</v>
      </c>
      <c r="I2784" s="14" t="n">
        <v>3.73252564405264</v>
      </c>
      <c r="J2784" s="14" t="n">
        <v>3.82268999379462</v>
      </c>
      <c r="K2784" s="14" t="n">
        <v>3.98492554691435</v>
      </c>
      <c r="L2784" s="14" t="n">
        <v>4.20341963464806</v>
      </c>
      <c r="M2784" s="14" t="n">
        <v>1.395</v>
      </c>
      <c r="N2784" s="14" t="n">
        <v>1.414</v>
      </c>
      <c r="O2784" s="14" t="n">
        <v>1.441</v>
      </c>
      <c r="P2784" s="14" t="n">
        <v>1.469</v>
      </c>
      <c r="Q2784" s="14" t="n">
        <v>4.25</v>
      </c>
      <c r="R2784" s="14" t="n">
        <v>4.25</v>
      </c>
      <c r="S2784" s="14" t="n">
        <v>14.5</v>
      </c>
    </row>
    <row r="2785" customFormat="false" ht="15" hidden="false" customHeight="false" outlineLevel="0" collapsed="false">
      <c r="A2785" s="13" t="n">
        <v>46154</v>
      </c>
      <c r="B2785" s="14" t="n">
        <v>3.6</v>
      </c>
      <c r="C2785" s="14" t="n">
        <v>3.75</v>
      </c>
      <c r="D2785" s="14" t="n">
        <v>3.5</v>
      </c>
      <c r="E2785" s="14" t="n">
        <v>1.929</v>
      </c>
      <c r="F2785" s="14" t="n">
        <v>2</v>
      </c>
      <c r="G2785" s="14" t="n">
        <v>3.75</v>
      </c>
      <c r="H2785" s="14" t="n">
        <v>3.7292</v>
      </c>
      <c r="I2785" s="14" t="n">
        <v>3.7331056790892</v>
      </c>
      <c r="J2785" s="14" t="n">
        <v>3.82433456423649</v>
      </c>
      <c r="K2785" s="14" t="n">
        <v>3.98970487591514</v>
      </c>
      <c r="L2785" s="14" t="n">
        <v>4.22798479424986</v>
      </c>
      <c r="M2785" s="14" t="n">
        <v>1.394</v>
      </c>
      <c r="N2785" s="14" t="n">
        <v>1.412</v>
      </c>
      <c r="O2785" s="14" t="n">
        <v>1.438</v>
      </c>
      <c r="P2785" s="14" t="n">
        <v>1.469</v>
      </c>
      <c r="Q2785" s="14" t="n">
        <v>4.25</v>
      </c>
      <c r="R2785" s="14" t="n">
        <v>4.25</v>
      </c>
      <c r="S2785" s="14" t="n">
        <v>14.5</v>
      </c>
    </row>
    <row r="2786" customFormat="false" ht="15" hidden="false" customHeight="false" outlineLevel="0" collapsed="false">
      <c r="A2786" s="13" t="n">
        <v>46155</v>
      </c>
      <c r="B2786" s="14" t="n">
        <v>3.59</v>
      </c>
      <c r="C2786" s="14" t="n">
        <v>3.75</v>
      </c>
      <c r="D2786" s="14" t="n">
        <v>3.5</v>
      </c>
      <c r="E2786" s="14" t="n">
        <v>1.928</v>
      </c>
      <c r="F2786" s="14" t="n">
        <v>2</v>
      </c>
      <c r="G2786" s="14" t="n">
        <v>3.75</v>
      </c>
      <c r="H2786" s="14" t="n">
        <v>3.729</v>
      </c>
      <c r="I2786" s="14" t="n">
        <v>3.73304039099048</v>
      </c>
      <c r="J2786" s="14" t="n">
        <v>3.81105588858079</v>
      </c>
      <c r="K2786" s="14" t="n">
        <v>3.95821701029806</v>
      </c>
      <c r="L2786" s="14" t="n">
        <v>4.17886698744984</v>
      </c>
      <c r="M2786" s="14" t="n">
        <v>1.391</v>
      </c>
      <c r="N2786" s="14" t="n">
        <v>1.409</v>
      </c>
      <c r="O2786" s="14" t="n">
        <v>1.436</v>
      </c>
      <c r="P2786" s="14" t="n">
        <v>1.468</v>
      </c>
      <c r="Q2786" s="14" t="n">
        <v>4.25</v>
      </c>
      <c r="R2786" s="14" t="n">
        <v>4.25</v>
      </c>
      <c r="S2786" s="14" t="n">
        <v>14.5</v>
      </c>
    </row>
    <row r="2787" customFormat="false" ht="15" hidden="false" customHeight="false" outlineLevel="0" collapsed="false">
      <c r="A2787" s="13" t="n">
        <v>46156</v>
      </c>
      <c r="B2787" s="14" t="n">
        <v>3.56</v>
      </c>
      <c r="C2787" s="14" t="n">
        <v>3.75</v>
      </c>
      <c r="D2787" s="14" t="n">
        <v>3.5</v>
      </c>
      <c r="E2787" s="14" t="n">
        <v>1.93</v>
      </c>
      <c r="F2787" s="14" t="n">
        <v>2</v>
      </c>
      <c r="G2787" s="14" t="n">
        <v>3.75</v>
      </c>
      <c r="H2787" s="14" t="n">
        <v>3.73</v>
      </c>
      <c r="I2787" s="14" t="n">
        <v>3.73266351921987</v>
      </c>
      <c r="J2787" s="14" t="n">
        <v>3.79942707917427</v>
      </c>
      <c r="K2787" s="14" t="n">
        <v>3.93720524658576</v>
      </c>
      <c r="L2787" s="14" t="n">
        <v>4.14955325798262</v>
      </c>
      <c r="M2787" s="14" t="n">
        <v>1.39</v>
      </c>
      <c r="N2787" s="14" t="n">
        <v>1.406</v>
      </c>
      <c r="O2787" s="14" t="n">
        <v>1.4355</v>
      </c>
      <c r="P2787" s="14" t="n">
        <v>1.468</v>
      </c>
      <c r="S2787" s="14" t="n">
        <v>14.5</v>
      </c>
    </row>
    <row r="2788" customFormat="false" ht="15" hidden="false" customHeight="false" outlineLevel="0" collapsed="false">
      <c r="A2788" s="13" t="n">
        <v>46157</v>
      </c>
      <c r="B2788" s="14" t="n">
        <v>3.55</v>
      </c>
      <c r="C2788" s="14" t="n">
        <v>3.75</v>
      </c>
      <c r="D2788" s="14" t="n">
        <v>3.5</v>
      </c>
      <c r="E2788" s="14" t="n">
        <v>1.931</v>
      </c>
      <c r="F2788" s="14" t="n">
        <v>2</v>
      </c>
      <c r="G2788" s="14" t="n">
        <v>3.75</v>
      </c>
      <c r="H2788" s="14" t="n">
        <v>3.7299</v>
      </c>
      <c r="I2788" s="14" t="n">
        <v>3.73388792527463</v>
      </c>
      <c r="J2788" s="14" t="n">
        <v>3.81447226053336</v>
      </c>
      <c r="K2788" s="14" t="n">
        <v>3.96145296890376</v>
      </c>
      <c r="L2788" s="14" t="n">
        <v>4.20495943183119</v>
      </c>
      <c r="M2788" s="14" t="n">
        <v>1.388</v>
      </c>
      <c r="N2788" s="14" t="n">
        <v>1.408</v>
      </c>
      <c r="O2788" s="14" t="n">
        <v>1.4335</v>
      </c>
      <c r="P2788" s="14" t="n">
        <v>1.468</v>
      </c>
      <c r="Q2788" s="14" t="n">
        <v>4.25</v>
      </c>
      <c r="R2788" s="14" t="n">
        <v>4.25</v>
      </c>
      <c r="S2788" s="14" t="n">
        <v>14.5</v>
      </c>
    </row>
    <row r="2789" customFormat="false" ht="15" hidden="false" customHeight="false" outlineLevel="0" collapsed="false">
      <c r="A2789" s="13" t="n">
        <v>46160</v>
      </c>
      <c r="B2789" s="14" t="n">
        <v>3.53</v>
      </c>
      <c r="C2789" s="14" t="n">
        <v>3.75</v>
      </c>
      <c r="D2789" s="14" t="n">
        <v>3.5</v>
      </c>
      <c r="E2789" s="14" t="n">
        <v>1.931</v>
      </c>
      <c r="F2789" s="14" t="n">
        <v>2</v>
      </c>
      <c r="G2789" s="14" t="n">
        <v>3.75</v>
      </c>
      <c r="H2789" s="14" t="n">
        <v>3.7297</v>
      </c>
      <c r="I2789" s="14" t="n">
        <v>3.7336665974126</v>
      </c>
      <c r="J2789" s="14" t="n">
        <v>3.80524747035011</v>
      </c>
      <c r="K2789" s="14" t="n">
        <v>3.93951877119651</v>
      </c>
      <c r="L2789" s="14" t="n">
        <v>4.16766138428957</v>
      </c>
      <c r="M2789" s="14" t="n">
        <v>1.386</v>
      </c>
      <c r="N2789" s="14" t="n">
        <v>1.405</v>
      </c>
      <c r="O2789" s="14" t="n">
        <v>1.4325</v>
      </c>
      <c r="P2789" s="14" t="n">
        <v>1.467</v>
      </c>
      <c r="Q2789" s="14" t="n">
        <v>4.25</v>
      </c>
      <c r="R2789" s="14" t="n">
        <v>4.25</v>
      </c>
      <c r="S2789" s="14" t="n">
        <v>14.5</v>
      </c>
    </row>
    <row r="2790" customFormat="false" ht="15" hidden="false" customHeight="false" outlineLevel="0" collapsed="false">
      <c r="A2790" s="13" t="n">
        <v>46161</v>
      </c>
      <c r="B2790" s="14" t="n">
        <v>3.51</v>
      </c>
      <c r="C2790" s="14" t="n">
        <v>3.75</v>
      </c>
      <c r="D2790" s="14" t="n">
        <v>3.5</v>
      </c>
      <c r="E2790" s="14" t="n">
        <v>1.929</v>
      </c>
      <c r="F2790" s="14" t="n">
        <v>2</v>
      </c>
      <c r="G2790" s="14" t="n">
        <v>3.75</v>
      </c>
      <c r="H2790" s="14" t="n">
        <v>3.7302</v>
      </c>
      <c r="I2790" s="14" t="n">
        <v>3.73087299178192</v>
      </c>
      <c r="J2790" s="14" t="n">
        <v>3.79865093174652</v>
      </c>
      <c r="K2790" s="14" t="n">
        <v>3.93450132060338</v>
      </c>
      <c r="L2790" s="14" t="n">
        <v>4.16680863140365</v>
      </c>
      <c r="M2790" s="14" t="n">
        <v>1.385</v>
      </c>
      <c r="N2790" s="14" t="n">
        <v>1.404</v>
      </c>
      <c r="O2790" s="14" t="n">
        <v>1.4305</v>
      </c>
      <c r="P2790" s="14" t="n">
        <v>1.466</v>
      </c>
      <c r="Q2790" s="14" t="n">
        <v>4.25</v>
      </c>
      <c r="R2790" s="14" t="n">
        <v>4.25</v>
      </c>
      <c r="S2790" s="14" t="n">
        <v>14.5</v>
      </c>
    </row>
    <row r="2791" customFormat="false" ht="15" hidden="false" customHeight="false" outlineLevel="0" collapsed="false">
      <c r="A2791" s="13" t="n">
        <v>46162</v>
      </c>
      <c r="B2791" s="14" t="n">
        <v>3.5</v>
      </c>
      <c r="C2791" s="14" t="n">
        <v>3.75</v>
      </c>
      <c r="D2791" s="14" t="n">
        <v>3.5</v>
      </c>
      <c r="E2791" s="14" t="n">
        <v>1.931</v>
      </c>
      <c r="F2791" s="14" t="n">
        <v>2</v>
      </c>
      <c r="G2791" s="14" t="n">
        <v>3.75</v>
      </c>
      <c r="H2791" s="14" t="n">
        <v>3.7301</v>
      </c>
      <c r="I2791" s="14" t="n">
        <v>3.72904497090511</v>
      </c>
      <c r="J2791" s="14" t="n">
        <v>3.76846420238971</v>
      </c>
      <c r="K2791" s="14" t="n">
        <v>3.87180678165121</v>
      </c>
      <c r="L2791" s="14" t="n">
        <v>4.06211488871421</v>
      </c>
      <c r="M2791" s="14" t="n">
        <v>1.3855</v>
      </c>
      <c r="N2791" s="14" t="n">
        <v>1.4045</v>
      </c>
      <c r="O2791" s="14" t="n">
        <v>1.43</v>
      </c>
      <c r="P2791" s="14" t="n">
        <v>1.4655</v>
      </c>
      <c r="Q2791" s="14" t="n">
        <v>4.25</v>
      </c>
      <c r="R2791" s="14" t="n">
        <v>4.25</v>
      </c>
      <c r="S2791" s="14" t="n">
        <v>14.5</v>
      </c>
    </row>
    <row r="2792" customFormat="false" ht="15" hidden="false" customHeight="false" outlineLevel="0" collapsed="false">
      <c r="A2792" s="13" t="n">
        <v>46163</v>
      </c>
      <c r="B2792" s="14" t="n">
        <v>3.51</v>
      </c>
      <c r="C2792" s="14" t="n">
        <v>3.75</v>
      </c>
      <c r="D2792" s="14" t="n">
        <v>3.5</v>
      </c>
      <c r="E2792" s="14" t="n">
        <v>1.932</v>
      </c>
      <c r="F2792" s="14" t="n">
        <v>2</v>
      </c>
      <c r="G2792" s="14" t="n">
        <v>3.75</v>
      </c>
      <c r="H2792" s="14" t="n">
        <v>3.7309</v>
      </c>
      <c r="I2792" s="14" t="n">
        <v>3.72963919865121</v>
      </c>
      <c r="J2792" s="14" t="n">
        <v>3.77470195439508</v>
      </c>
      <c r="K2792" s="14" t="n">
        <v>3.87679480400902</v>
      </c>
      <c r="L2792" s="14" t="n">
        <v>4.05999745958983</v>
      </c>
      <c r="M2792" s="14" t="n">
        <v>1.3855</v>
      </c>
      <c r="N2792" s="14" t="n">
        <v>1.4065</v>
      </c>
      <c r="O2792" s="14" t="n">
        <v>1.429</v>
      </c>
      <c r="P2792" s="14" t="n">
        <v>1.4655</v>
      </c>
      <c r="Q2792" s="14" t="n">
        <v>4.25</v>
      </c>
      <c r="R2792" s="14" t="n">
        <v>4.25</v>
      </c>
      <c r="S2792" s="14" t="n">
        <v>14.5</v>
      </c>
    </row>
    <row r="2793" customFormat="false" ht="15" hidden="false" customHeight="false" outlineLevel="0" collapsed="false">
      <c r="A2793" s="13" t="n">
        <v>46164</v>
      </c>
      <c r="B2793" s="14" t="n">
        <v>3.55</v>
      </c>
      <c r="C2793" s="14" t="n">
        <v>3.75</v>
      </c>
      <c r="D2793" s="14" t="n">
        <v>3.5</v>
      </c>
      <c r="E2793" s="14" t="n">
        <v>1.929</v>
      </c>
      <c r="F2793" s="14" t="n">
        <v>2</v>
      </c>
      <c r="G2793" s="14" t="n">
        <v>3.75</v>
      </c>
      <c r="H2793" s="14" t="n">
        <v>3.7301</v>
      </c>
      <c r="I2793" s="14" t="n">
        <v>3.73280392532602</v>
      </c>
      <c r="J2793" s="14" t="n">
        <v>3.77722058963374</v>
      </c>
      <c r="K2793" s="14" t="n">
        <v>3.88114202350818</v>
      </c>
      <c r="L2793" s="14" t="n">
        <v>4.0684033501325</v>
      </c>
      <c r="M2793" s="14" t="n">
        <v>1.388</v>
      </c>
      <c r="N2793" s="14" t="n">
        <v>1.405</v>
      </c>
      <c r="O2793" s="14" t="n">
        <v>1.429</v>
      </c>
      <c r="P2793" s="14" t="n">
        <v>1.4685</v>
      </c>
      <c r="Q2793" s="14" t="n">
        <v>4.25</v>
      </c>
      <c r="R2793" s="14" t="n">
        <v>4.25</v>
      </c>
      <c r="S2793" s="14" t="n">
        <v>14.5</v>
      </c>
    </row>
    <row r="2794" customFormat="false" ht="15" hidden="false" customHeight="false" outlineLevel="0" collapsed="false">
      <c r="A2794" s="13" t="n">
        <v>46167</v>
      </c>
      <c r="C2794" s="14" t="n">
        <v>3.75</v>
      </c>
      <c r="D2794" s="14" t="n">
        <v>3.5</v>
      </c>
      <c r="E2794" s="14" t="n">
        <v>1.931</v>
      </c>
      <c r="F2794" s="14" t="n">
        <v>2</v>
      </c>
      <c r="M2794" s="14" t="n">
        <v>1.392</v>
      </c>
      <c r="N2794" s="14" t="n">
        <v>1.4065</v>
      </c>
      <c r="O2794" s="14" t="n">
        <v>1.43</v>
      </c>
      <c r="P2794" s="14" t="n">
        <v>1.4675</v>
      </c>
      <c r="S2794" s="14" t="n">
        <v>14.5</v>
      </c>
    </row>
    <row r="2795" customFormat="false" ht="15" hidden="false" customHeight="false" outlineLevel="0" collapsed="false">
      <c r="A2795" s="13" t="n">
        <v>46168</v>
      </c>
      <c r="B2795" s="14" t="n">
        <v>3.63</v>
      </c>
      <c r="C2795" s="14" t="n">
        <v>3.75</v>
      </c>
      <c r="D2795" s="14" t="n">
        <v>3.5</v>
      </c>
      <c r="E2795" s="14" t="n">
        <v>1.932</v>
      </c>
      <c r="F2795" s="14" t="n">
        <v>2</v>
      </c>
      <c r="G2795" s="14" t="n">
        <v>3.75</v>
      </c>
      <c r="H2795" s="14" t="n">
        <v>3.729</v>
      </c>
      <c r="I2795" s="14" t="n">
        <v>3.73357777862091</v>
      </c>
      <c r="J2795" s="14" t="n">
        <v>3.77806659156792</v>
      </c>
      <c r="K2795" s="14" t="n">
        <v>3.87481938234365</v>
      </c>
      <c r="L2795" s="14" t="n">
        <v>4.03262702871804</v>
      </c>
      <c r="M2795" s="14" t="n">
        <v>1.391</v>
      </c>
      <c r="N2795" s="14" t="n">
        <v>1.4065</v>
      </c>
      <c r="O2795" s="14" t="n">
        <v>1.429</v>
      </c>
      <c r="P2795" s="14" t="n">
        <v>1.4665</v>
      </c>
      <c r="Q2795" s="14" t="n">
        <v>4.25</v>
      </c>
      <c r="R2795" s="14" t="n">
        <v>4.25</v>
      </c>
      <c r="S2795" s="14" t="n">
        <v>14.5</v>
      </c>
    </row>
    <row r="2796" customFormat="false" ht="15" hidden="false" customHeight="false" outlineLevel="0" collapsed="false">
      <c r="A2796" s="13" t="n">
        <v>46169</v>
      </c>
      <c r="B2796" s="14" t="n">
        <v>3.63</v>
      </c>
      <c r="C2796" s="14" t="n">
        <v>3.75</v>
      </c>
      <c r="D2796" s="14" t="n">
        <v>3.5</v>
      </c>
      <c r="E2796" s="14" t="n">
        <v>1.932</v>
      </c>
      <c r="F2796" s="14" t="n">
        <v>2</v>
      </c>
      <c r="G2796" s="14" t="n">
        <v>3.75</v>
      </c>
      <c r="H2796" s="14" t="n">
        <v>3.729</v>
      </c>
      <c r="I2796" s="14" t="n">
        <v>3.73512985050852</v>
      </c>
      <c r="J2796" s="14" t="n">
        <v>3.77759304562137</v>
      </c>
      <c r="K2796" s="14" t="n">
        <v>3.86517577421051</v>
      </c>
      <c r="L2796" s="14" t="n">
        <v>4.00947372694171</v>
      </c>
      <c r="M2796" s="14" t="n">
        <v>1.39</v>
      </c>
      <c r="N2796" s="14" t="n">
        <v>1.4045</v>
      </c>
      <c r="O2796" s="14" t="n">
        <v>1.429</v>
      </c>
      <c r="P2796" s="14" t="n">
        <v>1.4655</v>
      </c>
      <c r="Q2796" s="14" t="n">
        <v>4.25</v>
      </c>
      <c r="R2796" s="14" t="n">
        <v>4.25</v>
      </c>
      <c r="S2796" s="14" t="n">
        <v>14.5</v>
      </c>
    </row>
    <row r="2797" customFormat="false" ht="15" hidden="false" customHeight="false" outlineLevel="0" collapsed="false">
      <c r="A2797" s="13" t="n">
        <v>46170</v>
      </c>
      <c r="B2797" s="14" t="n">
        <v>3.62</v>
      </c>
      <c r="C2797" s="14" t="n">
        <v>3.75</v>
      </c>
      <c r="D2797" s="14" t="n">
        <v>3.5</v>
      </c>
      <c r="E2797" s="14" t="n">
        <v>1.933</v>
      </c>
      <c r="F2797" s="14" t="n">
        <v>2</v>
      </c>
      <c r="G2797" s="14" t="n">
        <v>3.75</v>
      </c>
      <c r="H2797" s="14" t="n">
        <v>3.7295</v>
      </c>
      <c r="I2797" s="14" t="n">
        <v>3.73264654889349</v>
      </c>
      <c r="J2797" s="14" t="n">
        <v>3.77058141334738</v>
      </c>
      <c r="K2797" s="14" t="n">
        <v>3.8560818948004</v>
      </c>
      <c r="L2797" s="14" t="n">
        <v>3.98847205718872</v>
      </c>
      <c r="M2797" s="14" t="n">
        <v>1.389</v>
      </c>
      <c r="N2797" s="14" t="n">
        <v>1.4055</v>
      </c>
      <c r="O2797" s="14" t="n">
        <v>1.428</v>
      </c>
      <c r="P2797" s="14" t="n">
        <v>1.4655</v>
      </c>
      <c r="Q2797" s="14" t="n">
        <v>4.25</v>
      </c>
      <c r="R2797" s="14" t="n">
        <v>4.25</v>
      </c>
      <c r="S2797" s="14" t="n">
        <v>14.5</v>
      </c>
    </row>
    <row r="2798" customFormat="false" ht="15" hidden="false" customHeight="false" outlineLevel="0" collapsed="false">
      <c r="A2798" s="13" t="n">
        <v>46171</v>
      </c>
      <c r="B2798" s="14" t="n">
        <v>3.63</v>
      </c>
      <c r="C2798" s="14" t="n">
        <v>3.75</v>
      </c>
      <c r="D2798" s="14" t="n">
        <v>3.5</v>
      </c>
      <c r="E2798" s="14" t="n">
        <v>1.93</v>
      </c>
      <c r="F2798" s="14" t="n">
        <v>2</v>
      </c>
      <c r="G2798" s="14" t="n">
        <v>3.75</v>
      </c>
      <c r="H2798" s="14" t="n">
        <v>3.7302</v>
      </c>
      <c r="I2798" s="14" t="n">
        <v>3.72973349884861</v>
      </c>
      <c r="J2798" s="14" t="n">
        <v>3.76055445761798</v>
      </c>
      <c r="K2798" s="14" t="n">
        <v>3.83756774299108</v>
      </c>
      <c r="L2798" s="14" t="n">
        <v>3.95586092291008</v>
      </c>
      <c r="M2798" s="14" t="n">
        <v>1.39</v>
      </c>
      <c r="N2798" s="14" t="n">
        <v>1.4075</v>
      </c>
      <c r="O2798" s="14" t="n">
        <v>1.429</v>
      </c>
      <c r="P2798" s="14" t="n">
        <v>1.4655</v>
      </c>
      <c r="Q2798" s="14" t="n">
        <v>4.25</v>
      </c>
      <c r="R2798" s="14" t="n">
        <v>4.25</v>
      </c>
      <c r="S2798" s="14" t="n">
        <v>14.5</v>
      </c>
    </row>
    <row r="2799" customFormat="false" ht="15" hidden="false" customHeight="false" outlineLevel="0" collapsed="false">
      <c r="A2799" s="13" t="n">
        <v>46174</v>
      </c>
      <c r="B2799" s="14" t="n">
        <v>3.65</v>
      </c>
      <c r="C2799" s="14" t="n">
        <v>3.75</v>
      </c>
      <c r="D2799" s="14" t="n">
        <v>3.5</v>
      </c>
      <c r="E2799" s="14" t="n">
        <v>1.931</v>
      </c>
      <c r="F2799" s="14" t="n">
        <v>2</v>
      </c>
      <c r="G2799" s="14" t="n">
        <v>3.75</v>
      </c>
      <c r="H2799" s="14" t="n">
        <v>3.7291</v>
      </c>
      <c r="I2799" s="14" t="n">
        <v>3.73217125288729</v>
      </c>
      <c r="J2799" s="14" t="n">
        <v>3.77553723500182</v>
      </c>
      <c r="K2799" s="14" t="n">
        <v>3.88081927941749</v>
      </c>
      <c r="L2799" s="14" t="n">
        <v>4.05310774959759</v>
      </c>
      <c r="M2799" s="14" t="n">
        <v>1.39</v>
      </c>
      <c r="N2799" s="14" t="n">
        <v>1.4065</v>
      </c>
      <c r="O2799" s="14" t="n">
        <v>1.428</v>
      </c>
      <c r="P2799" s="14" t="n">
        <v>1.4645</v>
      </c>
      <c r="Q2799" s="14" t="n">
        <v>4.25</v>
      </c>
      <c r="R2799" s="14" t="n">
        <v>4.25</v>
      </c>
      <c r="S2799" s="14" t="n">
        <v>14.5</v>
      </c>
    </row>
    <row r="2800" customFormat="false" ht="15" hidden="false" customHeight="false" outlineLevel="0" collapsed="false">
      <c r="A2800" s="13" t="n">
        <v>46175</v>
      </c>
      <c r="B2800" s="14" t="n">
        <v>3.63</v>
      </c>
      <c r="C2800" s="14" t="n">
        <v>3.75</v>
      </c>
      <c r="D2800" s="14" t="n">
        <v>3.5</v>
      </c>
      <c r="E2800" s="14" t="n">
        <v>1.932</v>
      </c>
      <c r="F2800" s="14" t="n">
        <v>2</v>
      </c>
      <c r="G2800" s="14" t="n">
        <v>3.75</v>
      </c>
      <c r="H2800" s="14" t="n">
        <v>3.7308</v>
      </c>
      <c r="I2800" s="14" t="n">
        <v>3.74059415284528</v>
      </c>
      <c r="J2800" s="14" t="n">
        <v>3.79608301622677</v>
      </c>
      <c r="K2800" s="14" t="n">
        <v>3.90624447982039</v>
      </c>
      <c r="L2800" s="14" t="n">
        <v>4.07451875318251</v>
      </c>
      <c r="M2800" s="14" t="n">
        <v>1.389</v>
      </c>
      <c r="N2800" s="14" t="n">
        <v>1.4035</v>
      </c>
      <c r="O2800" s="14" t="n">
        <v>1.428</v>
      </c>
      <c r="P2800" s="14" t="n">
        <v>1.4625</v>
      </c>
      <c r="Q2800" s="14" t="n">
        <v>4.25</v>
      </c>
      <c r="R2800" s="14" t="n">
        <v>4.25</v>
      </c>
      <c r="S2800" s="14" t="n">
        <v>14.5</v>
      </c>
    </row>
    <row r="2801" customFormat="false" ht="15" hidden="false" customHeight="false" outlineLevel="0" collapsed="false">
      <c r="A2801" s="13" t="n">
        <v>46176</v>
      </c>
      <c r="B2801" s="14" t="n">
        <v>3.61</v>
      </c>
      <c r="C2801" s="14" t="n">
        <v>3.75</v>
      </c>
      <c r="D2801" s="14" t="n">
        <v>3.5</v>
      </c>
      <c r="E2801" s="14" t="n">
        <v>1.931</v>
      </c>
      <c r="F2801" s="14" t="n">
        <v>2</v>
      </c>
      <c r="G2801" s="14" t="n">
        <v>3.75</v>
      </c>
      <c r="H2801" s="14" t="n">
        <v>3.7306</v>
      </c>
      <c r="I2801" s="14" t="n">
        <v>3.73601373850179</v>
      </c>
      <c r="J2801" s="14" t="n">
        <v>3.79168199401204</v>
      </c>
      <c r="K2801" s="14" t="n">
        <v>3.91123500695668</v>
      </c>
      <c r="L2801" s="14" t="n">
        <v>4.09566943117818</v>
      </c>
      <c r="M2801" s="14" t="n">
        <v>1.386</v>
      </c>
      <c r="N2801" s="14" t="n">
        <v>1.4035</v>
      </c>
      <c r="O2801" s="14" t="n">
        <v>1.428</v>
      </c>
      <c r="P2801" s="14" t="n">
        <v>1.4605</v>
      </c>
      <c r="Q2801" s="14" t="n">
        <v>4.25</v>
      </c>
      <c r="R2801" s="14" t="n">
        <v>4.25</v>
      </c>
      <c r="S2801" s="14" t="n">
        <v>14.5</v>
      </c>
    </row>
    <row r="2802" customFormat="false" ht="15" hidden="false" customHeight="false" outlineLevel="0" collapsed="false">
      <c r="A2802" s="13" t="n">
        <v>46177</v>
      </c>
      <c r="B2802" s="14" t="n">
        <v>3.62</v>
      </c>
      <c r="C2802" s="14" t="n">
        <v>3.75</v>
      </c>
      <c r="D2802" s="14" t="n">
        <v>3.5</v>
      </c>
      <c r="E2802" s="14" t="n">
        <v>1.933</v>
      </c>
      <c r="F2802" s="14" t="n">
        <v>2</v>
      </c>
      <c r="G2802" s="14" t="n">
        <v>3.75</v>
      </c>
      <c r="H2802" s="14" t="n">
        <v>3.7308</v>
      </c>
      <c r="I2802" s="14" t="n">
        <v>3.73607119000451</v>
      </c>
      <c r="J2802" s="14" t="n">
        <v>3.783722874845</v>
      </c>
      <c r="K2802" s="14" t="n">
        <v>3.88682847895442</v>
      </c>
      <c r="L2802" s="14" t="n">
        <v>4.04918350723815</v>
      </c>
      <c r="M2802" s="14" t="n">
        <v>1.385</v>
      </c>
      <c r="N2802" s="14" t="n">
        <v>1.4015</v>
      </c>
      <c r="O2802" s="14" t="n">
        <v>1.427</v>
      </c>
      <c r="P2802" s="14" t="n">
        <v>1.459</v>
      </c>
      <c r="Q2802" s="14" t="n">
        <v>4.25</v>
      </c>
      <c r="R2802" s="14" t="n">
        <v>4.25</v>
      </c>
      <c r="S2802" s="14" t="n">
        <v>14.5</v>
      </c>
    </row>
    <row r="2803" customFormat="false" ht="15" hidden="false" customHeight="false" outlineLevel="0" collapsed="false">
      <c r="A2803" s="13" t="n">
        <v>46178</v>
      </c>
      <c r="B2803" s="14" t="n">
        <v>3.63</v>
      </c>
      <c r="C2803" s="14" t="n">
        <v>3.75</v>
      </c>
      <c r="D2803" s="14" t="n">
        <v>3.5</v>
      </c>
      <c r="E2803" s="14" t="n">
        <v>1.931</v>
      </c>
      <c r="F2803" s="14" t="n">
        <v>2</v>
      </c>
      <c r="G2803" s="14" t="n">
        <v>3.75</v>
      </c>
      <c r="H2803" s="14" t="n">
        <v>3.7312</v>
      </c>
      <c r="I2803" s="14" t="n">
        <v>3.73215722512189</v>
      </c>
      <c r="J2803" s="14" t="n">
        <v>3.77851107465109</v>
      </c>
      <c r="K2803" s="14" t="n">
        <v>3.88603227610894</v>
      </c>
      <c r="L2803" s="14" t="n">
        <v>4.05628846441424</v>
      </c>
      <c r="M2803" s="14" t="n">
        <v>1.3865</v>
      </c>
      <c r="N2803" s="14" t="n">
        <v>1.402</v>
      </c>
      <c r="O2803" s="14" t="n">
        <v>1.4265</v>
      </c>
      <c r="P2803" s="14" t="n">
        <v>1.459</v>
      </c>
      <c r="Q2803" s="14" t="n">
        <v>4.25</v>
      </c>
      <c r="R2803" s="14" t="n">
        <v>4.25</v>
      </c>
      <c r="S2803" s="14" t="n">
        <v>14.5</v>
      </c>
    </row>
    <row r="2804" customFormat="false" ht="15" hidden="false" customHeight="false" outlineLevel="0" collapsed="false">
      <c r="A2804" s="13" t="n">
        <v>46181</v>
      </c>
      <c r="B2804" s="14" t="n">
        <v>3.63</v>
      </c>
      <c r="C2804" s="14" t="n">
        <v>3.75</v>
      </c>
      <c r="D2804" s="14" t="n">
        <v>3.5</v>
      </c>
      <c r="E2804" s="14" t="n">
        <v>1.93</v>
      </c>
      <c r="F2804" s="14" t="n">
        <v>2</v>
      </c>
      <c r="G2804" s="14" t="n">
        <v>3.75</v>
      </c>
      <c r="H2804" s="14" t="n">
        <v>3.73</v>
      </c>
      <c r="I2804" s="14" t="n">
        <v>3.73929584670321</v>
      </c>
      <c r="J2804" s="14" t="n">
        <v>3.79557511696118</v>
      </c>
      <c r="K2804" s="14" t="n">
        <v>3.91678401194713</v>
      </c>
      <c r="L2804" s="14" t="n">
        <v>4.10659330068181</v>
      </c>
      <c r="M2804" s="14" t="n">
        <v>1.3885</v>
      </c>
      <c r="N2804" s="14" t="n">
        <v>1.402</v>
      </c>
      <c r="O2804" s="14" t="n">
        <v>1.4265</v>
      </c>
      <c r="P2804" s="14" t="n">
        <v>1.46</v>
      </c>
      <c r="Q2804" s="14" t="n">
        <v>4.25</v>
      </c>
      <c r="R2804" s="14" t="n">
        <v>4.25</v>
      </c>
      <c r="S2804" s="14" t="n">
        <v>14.5</v>
      </c>
    </row>
    <row r="2805" customFormat="false" ht="15" hidden="false" customHeight="false" outlineLevel="0" collapsed="false">
      <c r="A2805" s="13" t="n">
        <v>46182</v>
      </c>
      <c r="B2805" s="14" t="n">
        <v>3.6</v>
      </c>
      <c r="C2805" s="14" t="n">
        <v>3.75</v>
      </c>
      <c r="D2805" s="14" t="n">
        <v>3.5</v>
      </c>
      <c r="E2805" s="14" t="n">
        <v>1.93</v>
      </c>
      <c r="F2805" s="14" t="n">
        <v>2</v>
      </c>
      <c r="G2805" s="14" t="n">
        <v>3.75</v>
      </c>
      <c r="H2805" s="14" t="n">
        <v>3.7271</v>
      </c>
      <c r="I2805" s="14" t="n">
        <v>3.73560316838095</v>
      </c>
      <c r="J2805" s="14" t="n">
        <v>3.79067188261154</v>
      </c>
      <c r="K2805" s="14" t="n">
        <v>3.90489251855668</v>
      </c>
      <c r="L2805" s="14" t="n">
        <v>4.08146819787685</v>
      </c>
      <c r="M2805" s="14" t="n">
        <v>1.391</v>
      </c>
      <c r="N2805" s="14" t="n">
        <v>1.402</v>
      </c>
      <c r="O2805" s="14" t="n">
        <v>1.4275</v>
      </c>
      <c r="P2805" s="14" t="n">
        <v>1.46</v>
      </c>
      <c r="Q2805" s="14" t="n">
        <v>4.25</v>
      </c>
      <c r="R2805" s="14" t="n">
        <v>4.25</v>
      </c>
      <c r="S2805" s="14" t="n">
        <v>14.5</v>
      </c>
    </row>
    <row r="2806" customFormat="false" ht="15" hidden="false" customHeight="false" outlineLevel="0" collapsed="false">
      <c r="A2806" s="13" t="n">
        <v>46183</v>
      </c>
      <c r="B2806" s="14" t="n">
        <v>3.59</v>
      </c>
      <c r="C2806" s="14" t="n">
        <v>3.75</v>
      </c>
      <c r="D2806" s="14" t="n">
        <v>3.5</v>
      </c>
      <c r="E2806" s="14" t="n">
        <v>1.93</v>
      </c>
      <c r="F2806" s="14" t="n">
        <v>2</v>
      </c>
      <c r="G2806" s="14" t="n">
        <v>3.75</v>
      </c>
      <c r="H2806" s="14" t="n">
        <v>3.7296</v>
      </c>
      <c r="I2806" s="14" t="n">
        <v>3.74112153649572</v>
      </c>
      <c r="J2806" s="14" t="n">
        <v>3.79759857929074</v>
      </c>
      <c r="K2806" s="14" t="n">
        <v>3.91795179228914</v>
      </c>
      <c r="L2806" s="14" t="n">
        <v>4.10673248517533</v>
      </c>
      <c r="M2806" s="14" t="n">
        <v>1.393</v>
      </c>
      <c r="N2806" s="14" t="n">
        <v>1.402</v>
      </c>
      <c r="O2806" s="14" t="n">
        <v>1.4275</v>
      </c>
      <c r="P2806" s="14" t="n">
        <v>1.46</v>
      </c>
      <c r="Q2806" s="14" t="n">
        <v>4.25</v>
      </c>
      <c r="R2806" s="14" t="n">
        <v>4.25</v>
      </c>
      <c r="S2806" s="14" t="n">
        <v>14.5</v>
      </c>
    </row>
    <row r="2807" customFormat="false" ht="15" hidden="false" customHeight="false" outlineLevel="0" collapsed="false">
      <c r="A2807" s="13" t="n">
        <v>46184</v>
      </c>
      <c r="B2807" s="14" t="n">
        <v>3.6</v>
      </c>
      <c r="C2807" s="14" t="n">
        <v>3.75</v>
      </c>
      <c r="D2807" s="14" t="n">
        <v>3.5</v>
      </c>
      <c r="E2807" s="14" t="n">
        <v>1.931</v>
      </c>
      <c r="F2807" s="14" t="n">
        <v>2</v>
      </c>
      <c r="G2807" s="14" t="n">
        <v>3.75</v>
      </c>
      <c r="H2807" s="14" t="n">
        <v>3.7305</v>
      </c>
      <c r="I2807" s="14" t="n">
        <v>3.74116523055697</v>
      </c>
      <c r="J2807" s="14" t="n">
        <v>3.79417214992597</v>
      </c>
      <c r="K2807" s="14" t="n">
        <v>3.90576220159112</v>
      </c>
      <c r="L2807" s="14" t="n">
        <v>4.08626742608139</v>
      </c>
      <c r="M2807" s="14" t="n">
        <v>1.396</v>
      </c>
      <c r="N2807" s="14" t="n">
        <v>1.408</v>
      </c>
      <c r="O2807" s="14" t="n">
        <v>1.431</v>
      </c>
      <c r="P2807" s="14" t="n">
        <v>1.463</v>
      </c>
      <c r="Q2807" s="14" t="n">
        <v>4.25</v>
      </c>
      <c r="R2807" s="14" t="n">
        <v>4.25</v>
      </c>
      <c r="S2807" s="14" t="n">
        <v>14.5</v>
      </c>
    </row>
    <row r="2808" customFormat="false" ht="15" hidden="false" customHeight="false" outlineLevel="0" collapsed="false">
      <c r="A2808" s="13" t="n">
        <v>46185</v>
      </c>
      <c r="B2808" s="14" t="n">
        <v>3.65</v>
      </c>
      <c r="C2808" s="14" t="n">
        <v>3.75</v>
      </c>
      <c r="D2808" s="14" t="n">
        <v>3.5</v>
      </c>
      <c r="E2808" s="14" t="n">
        <v>1.931</v>
      </c>
      <c r="F2808" s="14" t="n">
        <v>2</v>
      </c>
      <c r="G2808" s="14" t="n">
        <v>3.75</v>
      </c>
      <c r="H2808" s="14" t="n">
        <v>3.7301</v>
      </c>
      <c r="I2808" s="14" t="n">
        <v>3.73418641871977</v>
      </c>
      <c r="J2808" s="14" t="n">
        <v>3.77073801186169</v>
      </c>
      <c r="K2808" s="14" t="n">
        <v>3.85003578733948</v>
      </c>
      <c r="L2808" s="14" t="n">
        <v>3.98078917003129</v>
      </c>
      <c r="M2808" s="14" t="n">
        <v>1.403</v>
      </c>
      <c r="N2808" s="14" t="n">
        <v>1.414</v>
      </c>
      <c r="O2808" s="14" t="n">
        <v>1.435</v>
      </c>
      <c r="P2808" s="14" t="n">
        <v>1.465</v>
      </c>
      <c r="Q2808" s="14" t="n">
        <v>4.25</v>
      </c>
      <c r="R2808" s="14" t="n">
        <v>4.25</v>
      </c>
      <c r="S2808" s="14" t="n">
        <v>14.5</v>
      </c>
    </row>
    <row r="2809" customFormat="false" ht="15" hidden="false" customHeight="false" outlineLevel="0" collapsed="false">
      <c r="A2809" s="13" t="n">
        <v>46188</v>
      </c>
      <c r="B2809" s="14" t="n">
        <v>3.69</v>
      </c>
      <c r="C2809" s="14" t="n">
        <v>3.75</v>
      </c>
      <c r="D2809" s="14" t="n">
        <v>3.5</v>
      </c>
      <c r="E2809" s="14" t="n">
        <v>1.931</v>
      </c>
      <c r="F2809" s="14" t="n">
        <v>2</v>
      </c>
      <c r="G2809" s="14" t="n">
        <v>3.75</v>
      </c>
      <c r="H2809" s="14" t="n">
        <v>3.7296</v>
      </c>
      <c r="I2809" s="14" t="n">
        <v>3.7363381885763</v>
      </c>
      <c r="J2809" s="14" t="n">
        <v>3.77253154040016</v>
      </c>
      <c r="K2809" s="14" t="n">
        <v>3.84446832049776</v>
      </c>
      <c r="L2809" s="14" t="n">
        <v>3.95836615512623</v>
      </c>
      <c r="M2809" s="14" t="n">
        <v>1.409</v>
      </c>
      <c r="N2809" s="14" t="n">
        <v>1.4225</v>
      </c>
      <c r="O2809" s="14" t="n">
        <v>1.443</v>
      </c>
      <c r="P2809" s="14" t="n">
        <v>1.472</v>
      </c>
      <c r="Q2809" s="14" t="n">
        <v>4.25</v>
      </c>
      <c r="R2809" s="14" t="n">
        <v>4.25</v>
      </c>
      <c r="S2809" s="14" t="n">
        <v>14.5</v>
      </c>
    </row>
    <row r="2810" customFormat="false" ht="15" hidden="false" customHeight="false" outlineLevel="0" collapsed="false">
      <c r="A2810" s="13" t="n">
        <v>46189</v>
      </c>
      <c r="B2810" s="14" t="n">
        <v>3.63</v>
      </c>
      <c r="C2810" s="14" t="n">
        <v>3.75</v>
      </c>
      <c r="D2810" s="14" t="n">
        <v>3.5</v>
      </c>
      <c r="E2810" s="14" t="n">
        <v>1.931</v>
      </c>
      <c r="F2810" s="14" t="n">
        <v>2</v>
      </c>
      <c r="G2810" s="14" t="n">
        <v>3.75</v>
      </c>
      <c r="H2810" s="14" t="n">
        <v>3.7304</v>
      </c>
      <c r="I2810" s="14" t="n">
        <v>3.73396379224786</v>
      </c>
      <c r="J2810" s="14" t="n">
        <v>3.76830458641269</v>
      </c>
      <c r="K2810" s="14" t="n">
        <v>3.83993976631724</v>
      </c>
      <c r="L2810" s="14" t="n">
        <v>3.95324439321123</v>
      </c>
      <c r="M2810" s="14" t="n">
        <v>1.415</v>
      </c>
      <c r="N2810" s="14" t="n">
        <v>1.428</v>
      </c>
      <c r="O2810" s="14" t="n">
        <v>1.449</v>
      </c>
      <c r="P2810" s="14" t="n">
        <v>1.478</v>
      </c>
      <c r="Q2810" s="14" t="n">
        <v>4.25</v>
      </c>
      <c r="R2810" s="14" t="n">
        <v>4.25</v>
      </c>
      <c r="S2810" s="14" t="n">
        <v>14.5</v>
      </c>
    </row>
    <row r="2811" customFormat="false" ht="15" hidden="false" customHeight="false" outlineLevel="0" collapsed="false">
      <c r="A2811" s="13" t="n">
        <v>46190</v>
      </c>
      <c r="B2811" s="14" t="n">
        <v>3.63</v>
      </c>
      <c r="C2811" s="14" t="n">
        <v>3.75</v>
      </c>
      <c r="D2811" s="14" t="n">
        <v>3.5</v>
      </c>
      <c r="E2811" s="14" t="n">
        <v>2.182</v>
      </c>
      <c r="F2811" s="14" t="n">
        <v>2.25</v>
      </c>
      <c r="G2811" s="14" t="n">
        <v>3.75</v>
      </c>
      <c r="H2811" s="14" t="n">
        <v>3.7303</v>
      </c>
      <c r="I2811" s="14" t="n">
        <v>3.73195585156421</v>
      </c>
      <c r="J2811" s="14" t="n">
        <v>3.76238054541902</v>
      </c>
      <c r="K2811" s="14" t="n">
        <v>3.83171582331813</v>
      </c>
      <c r="L2811" s="14" t="n">
        <v>3.94048801569758</v>
      </c>
      <c r="M2811" s="14" t="n">
        <v>1.4185</v>
      </c>
      <c r="N2811" s="14" t="n">
        <v>1.429</v>
      </c>
      <c r="O2811" s="14" t="n">
        <v>1.449</v>
      </c>
      <c r="P2811" s="14" t="n">
        <v>1.4785</v>
      </c>
      <c r="Q2811" s="14" t="n">
        <v>4.25</v>
      </c>
      <c r="R2811" s="14" t="n">
        <v>4.25</v>
      </c>
      <c r="S2811" s="14" t="n">
        <v>14.5</v>
      </c>
    </row>
    <row r="2812" customFormat="false" ht="15" hidden="false" customHeight="false" outlineLevel="0" collapsed="false">
      <c r="A2812" s="13" t="n">
        <v>46191</v>
      </c>
      <c r="B2812" s="14" t="n">
        <v>3.62</v>
      </c>
      <c r="C2812" s="14" t="n">
        <v>3.75</v>
      </c>
      <c r="D2812" s="14" t="n">
        <v>3.5</v>
      </c>
      <c r="E2812" s="14" t="n">
        <v>2.18</v>
      </c>
      <c r="F2812" s="14" t="n">
        <v>2.25</v>
      </c>
      <c r="G2812" s="14" t="n">
        <v>3.75</v>
      </c>
      <c r="H2812" s="14" t="n">
        <v>3.73</v>
      </c>
      <c r="I2812" s="14" t="n">
        <v>3.74609357652503</v>
      </c>
      <c r="J2812" s="14" t="n">
        <v>3.7900365507119</v>
      </c>
      <c r="K2812" s="14" t="n">
        <v>3.83400529418435</v>
      </c>
      <c r="L2812" s="14" t="n">
        <v>3.95212882622967</v>
      </c>
      <c r="M2812" s="14" t="n">
        <v>1.42</v>
      </c>
      <c r="N2812" s="14" t="n">
        <v>1.43</v>
      </c>
      <c r="O2812" s="14" t="n">
        <v>1.45</v>
      </c>
      <c r="P2812" s="14" t="n">
        <v>1.48</v>
      </c>
      <c r="Q2812" s="14" t="n">
        <v>4.25</v>
      </c>
      <c r="R2812" s="14" t="n">
        <v>4.25</v>
      </c>
      <c r="S2812" s="14" t="n">
        <v>14.25</v>
      </c>
    </row>
    <row r="2813" customFormat="false" ht="15" hidden="false" customHeight="false" outlineLevel="0" collapsed="false">
      <c r="A2813" s="13" t="n">
        <v>46192</v>
      </c>
      <c r="C2813" s="14" t="n">
        <v>3.75</v>
      </c>
      <c r="D2813" s="14" t="n">
        <v>3.5</v>
      </c>
      <c r="E2813" s="14" t="n">
        <v>2.181</v>
      </c>
      <c r="F2813" s="14" t="n">
        <v>2.25</v>
      </c>
      <c r="G2813" s="14" t="n">
        <v>3.75</v>
      </c>
      <c r="H2813" s="14" t="n">
        <v>3.7294</v>
      </c>
      <c r="I2813" s="14" t="n">
        <v>3.7314046765422</v>
      </c>
      <c r="J2813" s="14" t="n">
        <v>3.76211636963005</v>
      </c>
      <c r="K2813" s="14" t="n">
        <v>3.84250138011567</v>
      </c>
      <c r="L2813" s="14" t="n">
        <v>3.99195836112177</v>
      </c>
      <c r="Q2813" s="14" t="n">
        <v>4.25</v>
      </c>
      <c r="R2813" s="14" t="n">
        <v>4.25</v>
      </c>
      <c r="S2813" s="14" t="n">
        <v>14.25</v>
      </c>
    </row>
    <row r="2814" customFormat="false" ht="15" hidden="false" customHeight="false" outlineLevel="0" collapsed="false">
      <c r="A2814" s="13" t="n">
        <v>46195</v>
      </c>
      <c r="B2814" s="14" t="n">
        <v>3.61</v>
      </c>
      <c r="C2814" s="14" t="n">
        <v>3.75</v>
      </c>
      <c r="D2814" s="14" t="n">
        <v>3.5</v>
      </c>
      <c r="E2814" s="14" t="n">
        <v>2.181</v>
      </c>
      <c r="F2814" s="14" t="n">
        <v>2.25</v>
      </c>
      <c r="G2814" s="14" t="n">
        <v>3.75</v>
      </c>
      <c r="H2814" s="14" t="n">
        <v>3.7292</v>
      </c>
      <c r="I2814" s="14" t="n">
        <v>3.7324558528869</v>
      </c>
      <c r="J2814" s="14" t="n">
        <v>3.75972523336867</v>
      </c>
      <c r="K2814" s="14" t="n">
        <v>3.8300737941703</v>
      </c>
      <c r="L2814" s="14" t="n">
        <v>3.96191660554975</v>
      </c>
      <c r="M2814" s="14" t="n">
        <v>1.421</v>
      </c>
      <c r="N2814" s="14" t="n">
        <v>1.43</v>
      </c>
      <c r="O2814" s="14" t="n">
        <v>1.45</v>
      </c>
      <c r="P2814" s="14" t="n">
        <v>1.48</v>
      </c>
      <c r="Q2814" s="14" t="n">
        <v>4.25</v>
      </c>
      <c r="R2814" s="14" t="n">
        <v>4.25</v>
      </c>
      <c r="S2814" s="14" t="n">
        <v>14.25</v>
      </c>
    </row>
    <row r="2815" customFormat="false" ht="15" hidden="false" customHeight="false" outlineLevel="0" collapsed="false">
      <c r="A2815" s="13" t="n">
        <v>46196</v>
      </c>
      <c r="B2815" s="14" t="n">
        <v>3.62</v>
      </c>
      <c r="C2815" s="14" t="n">
        <v>3.75</v>
      </c>
      <c r="D2815" s="14" t="n">
        <v>3.5</v>
      </c>
      <c r="E2815" s="14" t="n">
        <v>2.182</v>
      </c>
      <c r="F2815" s="14" t="n">
        <v>2.25</v>
      </c>
      <c r="G2815" s="14" t="n">
        <v>3.75</v>
      </c>
      <c r="H2815" s="14" t="n">
        <v>3.7295</v>
      </c>
      <c r="I2815" s="14" t="n">
        <v>3.73292053498225</v>
      </c>
      <c r="J2815" s="14" t="n">
        <v>3.75694557165869</v>
      </c>
      <c r="K2815" s="14" t="n">
        <v>3.81928843488908</v>
      </c>
      <c r="L2815" s="14" t="n">
        <v>3.93793394679961</v>
      </c>
      <c r="M2815" s="14" t="n">
        <v>1.425</v>
      </c>
      <c r="N2815" s="14" t="n">
        <v>1.431</v>
      </c>
      <c r="O2815" s="14" t="n">
        <v>1.451</v>
      </c>
      <c r="P2815" s="14" t="n">
        <v>1.482</v>
      </c>
      <c r="Q2815" s="14" t="n">
        <v>4.25</v>
      </c>
      <c r="R2815" s="14" t="n">
        <v>4.25</v>
      </c>
      <c r="S2815" s="14" t="n">
        <v>14.25</v>
      </c>
    </row>
    <row r="2816" customFormat="false" ht="15" hidden="false" customHeight="false" outlineLevel="0" collapsed="false">
      <c r="A2816" s="13" t="n">
        <v>46197</v>
      </c>
      <c r="B2816" s="14" t="n">
        <v>3.62</v>
      </c>
      <c r="C2816" s="14" t="n">
        <v>3.75</v>
      </c>
      <c r="D2816" s="14" t="n">
        <v>3.5</v>
      </c>
      <c r="E2816" s="14" t="n">
        <v>2.181</v>
      </c>
      <c r="F2816" s="14" t="n">
        <v>2.25</v>
      </c>
      <c r="G2816" s="14" t="n">
        <v>3.75</v>
      </c>
      <c r="H2816" s="14" t="n">
        <v>3.729</v>
      </c>
      <c r="I2816" s="14" t="n">
        <v>3.73250738052248</v>
      </c>
      <c r="J2816" s="14" t="n">
        <v>3.75408915261743</v>
      </c>
      <c r="K2816" s="14" t="n">
        <v>3.81334942436959</v>
      </c>
      <c r="L2816" s="14" t="n">
        <v>3.91748833143829</v>
      </c>
      <c r="M2816" s="14" t="n">
        <v>1.43</v>
      </c>
      <c r="N2816" s="14" t="n">
        <v>1.436</v>
      </c>
      <c r="O2816" s="14" t="n">
        <v>1.454</v>
      </c>
      <c r="P2816" s="14" t="n">
        <v>1.484</v>
      </c>
      <c r="Q2816" s="14" t="n">
        <v>4.25</v>
      </c>
      <c r="R2816" s="14" t="n">
        <v>4.25</v>
      </c>
      <c r="S2816" s="14" t="n">
        <v>14.25</v>
      </c>
    </row>
    <row r="2817" customFormat="false" ht="15" hidden="false" customHeight="false" outlineLevel="0" collapsed="false">
      <c r="A2817" s="13" t="n">
        <v>46198</v>
      </c>
      <c r="B2817" s="14" t="n">
        <v>3.64</v>
      </c>
      <c r="C2817" s="14" t="n">
        <v>3.75</v>
      </c>
      <c r="D2817" s="14" t="n">
        <v>3.5</v>
      </c>
      <c r="E2817" s="14" t="n">
        <v>2.183</v>
      </c>
      <c r="F2817" s="14" t="n">
        <v>2.25</v>
      </c>
      <c r="G2817" s="14" t="n">
        <v>3.75</v>
      </c>
      <c r="H2817" s="14" t="n">
        <v>3.7287</v>
      </c>
      <c r="I2817" s="14" t="n">
        <v>3.73262715553502</v>
      </c>
      <c r="J2817" s="14" t="n">
        <v>3.75338477415189</v>
      </c>
      <c r="K2817" s="14" t="n">
        <v>3.80951884765496</v>
      </c>
      <c r="L2817" s="14" t="n">
        <v>3.89690940830636</v>
      </c>
      <c r="M2817" s="14" t="n">
        <v>1.43</v>
      </c>
      <c r="N2817" s="14" t="n">
        <v>1.4395</v>
      </c>
      <c r="O2817" s="14" t="n">
        <v>1.454</v>
      </c>
      <c r="P2817" s="14" t="n">
        <v>1.481</v>
      </c>
      <c r="Q2817" s="14" t="n">
        <v>4.25</v>
      </c>
      <c r="R2817" s="14" t="n">
        <v>4.25</v>
      </c>
      <c r="S2817" s="14" t="n">
        <v>14.25</v>
      </c>
    </row>
    <row r="2818" customFormat="false" ht="15" hidden="false" customHeight="false" outlineLevel="0" collapsed="false">
      <c r="A2818" s="13" t="n">
        <v>46199</v>
      </c>
      <c r="B2818" s="14" t="n">
        <v>3.62</v>
      </c>
      <c r="C2818" s="14" t="n">
        <v>3.75</v>
      </c>
      <c r="D2818" s="14" t="n">
        <v>3.5</v>
      </c>
      <c r="E2818" s="14" t="n">
        <v>2.181</v>
      </c>
      <c r="F2818" s="14" t="n">
        <v>2.25</v>
      </c>
      <c r="G2818" s="14" t="n">
        <v>3.75</v>
      </c>
      <c r="H2818" s="14" t="n">
        <v>3.729</v>
      </c>
      <c r="I2818" s="14" t="n">
        <v>3.73262666414446</v>
      </c>
      <c r="J2818" s="14" t="n">
        <v>3.75475266444444</v>
      </c>
      <c r="K2818" s="14" t="n">
        <v>3.81199733898697</v>
      </c>
      <c r="L2818" s="14" t="n">
        <v>3.9030431093486</v>
      </c>
      <c r="M2818" s="14" t="n">
        <v>1.43</v>
      </c>
      <c r="N2818" s="14" t="n">
        <v>1.44</v>
      </c>
      <c r="O2818" s="14" t="n">
        <v>1.45</v>
      </c>
      <c r="P2818" s="14" t="n">
        <v>1.48</v>
      </c>
      <c r="Q2818" s="14" t="n">
        <v>4.25</v>
      </c>
      <c r="R2818" s="14" t="n">
        <v>4.25</v>
      </c>
      <c r="S2818" s="14" t="n">
        <v>14.25</v>
      </c>
    </row>
    <row r="2819" customFormat="false" ht="15" hidden="false" customHeight="false" outlineLevel="0" collapsed="false">
      <c r="A2819" s="13" t="n">
        <v>46202</v>
      </c>
      <c r="B2819" s="14" t="n">
        <v>3.62</v>
      </c>
      <c r="C2819" s="14" t="n">
        <v>3.75</v>
      </c>
      <c r="D2819" s="14" t="n">
        <v>3.5</v>
      </c>
      <c r="E2819" s="14" t="n">
        <v>2.182</v>
      </c>
      <c r="F2819" s="14" t="n">
        <v>2.25</v>
      </c>
      <c r="G2819" s="14" t="n">
        <v>3.75</v>
      </c>
      <c r="H2819" s="14" t="n">
        <v>3.7292</v>
      </c>
      <c r="I2819" s="14" t="n">
        <v>3.73155563884957</v>
      </c>
      <c r="J2819" s="14" t="n">
        <v>3.75399088795166</v>
      </c>
      <c r="K2819" s="14" t="n">
        <v>3.8114441589244</v>
      </c>
      <c r="L2819" s="14" t="n">
        <v>3.90749397815186</v>
      </c>
      <c r="M2819" s="14" t="n">
        <v>1.427</v>
      </c>
      <c r="N2819" s="14" t="n">
        <v>1.437</v>
      </c>
      <c r="O2819" s="14" t="n">
        <v>1.45</v>
      </c>
      <c r="P2819" s="14" t="n">
        <v>1.48</v>
      </c>
      <c r="Q2819" s="14" t="n">
        <v>4.25</v>
      </c>
      <c r="R2819" s="14" t="n">
        <v>4.25</v>
      </c>
      <c r="S2819" s="14" t="n">
        <v>14.25</v>
      </c>
    </row>
    <row r="2820" customFormat="false" ht="15" hidden="false" customHeight="false" outlineLevel="0" collapsed="false">
      <c r="A2820" s="13" t="n">
        <v>46203</v>
      </c>
      <c r="B2820" s="14" t="n">
        <v>3.68</v>
      </c>
      <c r="C2820" s="14" t="n">
        <v>3.75</v>
      </c>
      <c r="D2820" s="14" t="n">
        <v>3.5</v>
      </c>
      <c r="E2820" s="14" t="n">
        <v>2.182</v>
      </c>
      <c r="F2820" s="14" t="n">
        <v>2.25</v>
      </c>
      <c r="G2820" s="14" t="n">
        <v>3.75</v>
      </c>
      <c r="H2820" s="14" t="n">
        <v>3.7318</v>
      </c>
      <c r="I2820" s="14" t="n">
        <v>3.73219892623446</v>
      </c>
      <c r="J2820" s="14" t="n">
        <v>3.75406583025164</v>
      </c>
      <c r="K2820" s="14" t="n">
        <v>3.81049024230436</v>
      </c>
      <c r="L2820" s="14" t="n">
        <v>3.90960254941215</v>
      </c>
      <c r="M2820" s="14" t="n">
        <v>1.426</v>
      </c>
      <c r="N2820" s="14" t="n">
        <v>1.438</v>
      </c>
      <c r="O2820" s="14" t="n">
        <v>1.45</v>
      </c>
      <c r="P2820" s="14" t="n">
        <v>1.48</v>
      </c>
      <c r="Q2820" s="14" t="n">
        <v>4.25</v>
      </c>
      <c r="R2820" s="14" t="n">
        <v>4.25</v>
      </c>
      <c r="S2820" s="14" t="n">
        <v>14.25</v>
      </c>
    </row>
    <row r="2821" customFormat="false" ht="15" hidden="false" customHeight="false" outlineLevel="0" collapsed="false">
      <c r="A2821" s="13" t="n">
        <v>46204</v>
      </c>
      <c r="B2821" s="14" t="n">
        <v>3.66</v>
      </c>
      <c r="C2821" s="14" t="n">
        <v>3.75</v>
      </c>
      <c r="D2821" s="14" t="n">
        <v>3.5</v>
      </c>
      <c r="E2821" s="14" t="n">
        <v>2.183</v>
      </c>
      <c r="F2821" s="14" t="n">
        <v>2.25</v>
      </c>
      <c r="G2821" s="14" t="n">
        <v>3.75</v>
      </c>
      <c r="H2821" s="14" t="n">
        <v>3.7309</v>
      </c>
      <c r="I2821" s="14" t="n">
        <v>3.73254077114697</v>
      </c>
      <c r="J2821" s="14" t="n">
        <v>3.74705736410474</v>
      </c>
      <c r="K2821" s="14" t="n">
        <v>3.7943368964445</v>
      </c>
      <c r="L2821" s="14" t="n">
        <v>3.87814237268466</v>
      </c>
      <c r="M2821" s="14" t="n">
        <v>1.426</v>
      </c>
      <c r="N2821" s="14" t="n">
        <v>1.438</v>
      </c>
      <c r="O2821" s="14" t="n">
        <v>1.45</v>
      </c>
      <c r="P2821" s="14" t="n">
        <v>1.48</v>
      </c>
      <c r="Q2821" s="14" t="n">
        <v>4.25</v>
      </c>
      <c r="R2821" s="14" t="n">
        <v>4.25</v>
      </c>
      <c r="S2821" s="14" t="n">
        <v>14.25</v>
      </c>
    </row>
    <row r="2822" customFormat="false" ht="15" hidden="false" customHeight="false" outlineLevel="0" collapsed="false">
      <c r="A2822" s="13" t="n">
        <v>46205</v>
      </c>
      <c r="B2822" s="14" t="n">
        <v>3.64</v>
      </c>
      <c r="C2822" s="14" t="n">
        <v>3.75</v>
      </c>
      <c r="D2822" s="14" t="n">
        <v>3.5</v>
      </c>
      <c r="E2822" s="14" t="n">
        <v>2.183</v>
      </c>
      <c r="F2822" s="14" t="n">
        <v>2.25</v>
      </c>
      <c r="G2822" s="14" t="n">
        <v>3.75</v>
      </c>
      <c r="H2822" s="14" t="n">
        <v>3.7305</v>
      </c>
      <c r="I2822" s="14" t="n">
        <v>3.73148502331047</v>
      </c>
      <c r="J2822" s="14" t="n">
        <v>3.74612162976715</v>
      </c>
      <c r="K2822" s="14" t="n">
        <v>3.79256364122208</v>
      </c>
      <c r="L2822" s="14" t="n">
        <v>3.87547231157477</v>
      </c>
      <c r="M2822" s="14" t="n">
        <v>1.426</v>
      </c>
      <c r="N2822" s="14" t="n">
        <v>1.437</v>
      </c>
      <c r="O2822" s="14" t="n">
        <v>1.45</v>
      </c>
      <c r="P2822" s="14" t="n">
        <v>1.479</v>
      </c>
      <c r="Q2822" s="14" t="n">
        <v>4.25</v>
      </c>
      <c r="R2822" s="14" t="n">
        <v>4.25</v>
      </c>
      <c r="S2822" s="14" t="n">
        <v>14.25</v>
      </c>
    </row>
    <row r="2823" customFormat="false" ht="15" hidden="false" customHeight="false" outlineLevel="0" collapsed="false">
      <c r="A2823" s="13" t="n">
        <v>46206</v>
      </c>
      <c r="C2823" s="14" t="n">
        <v>3.75</v>
      </c>
      <c r="D2823" s="14" t="n">
        <v>3.5</v>
      </c>
      <c r="E2823" s="14" t="n">
        <v>2.183</v>
      </c>
      <c r="F2823" s="14" t="n">
        <v>2.25</v>
      </c>
      <c r="G2823" s="14" t="n">
        <v>3.75</v>
      </c>
      <c r="H2823" s="14" t="n">
        <v>3.7302</v>
      </c>
      <c r="I2823" s="14" t="n">
        <v>3.7319191394836</v>
      </c>
      <c r="J2823" s="14" t="n">
        <v>3.74565116021633</v>
      </c>
      <c r="K2823" s="14" t="n">
        <v>3.79059416582282</v>
      </c>
      <c r="L2823" s="14" t="n">
        <v>3.87291661392795</v>
      </c>
      <c r="M2823" s="14" t="n">
        <v>1.421</v>
      </c>
      <c r="N2823" s="14" t="n">
        <v>1.435</v>
      </c>
      <c r="O2823" s="14" t="n">
        <v>1.448</v>
      </c>
      <c r="P2823" s="14" t="n">
        <v>1.478</v>
      </c>
      <c r="Q2823" s="14" t="n">
        <v>4.25</v>
      </c>
      <c r="R2823" s="14" t="n">
        <v>4.25</v>
      </c>
      <c r="S2823" s="14" t="n">
        <v>14.25</v>
      </c>
    </row>
    <row r="2824" customFormat="false" ht="15" hidden="false" customHeight="false" outlineLevel="0" collapsed="false">
      <c r="A2824" s="13" t="n">
        <v>46209</v>
      </c>
      <c r="B2824" s="14" t="n">
        <v>3.63</v>
      </c>
      <c r="C2824" s="14" t="n">
        <v>3.75</v>
      </c>
      <c r="D2824" s="14" t="n">
        <v>3.5</v>
      </c>
      <c r="E2824" s="14" t="n">
        <v>2.182</v>
      </c>
      <c r="F2824" s="14" t="n">
        <v>2.25</v>
      </c>
      <c r="G2824" s="14" t="n">
        <v>3.75</v>
      </c>
      <c r="H2824" s="14" t="n">
        <v>3.7297</v>
      </c>
      <c r="I2824" s="14" t="n">
        <v>3.73242861593048</v>
      </c>
      <c r="J2824" s="14" t="n">
        <v>3.74708667536062</v>
      </c>
      <c r="K2824" s="14" t="n">
        <v>3.79182424544204</v>
      </c>
      <c r="L2824" s="14" t="n">
        <v>3.87273649455865</v>
      </c>
      <c r="M2824" s="14" t="n">
        <v>1.418</v>
      </c>
      <c r="N2824" s="14" t="n">
        <v>1.4345</v>
      </c>
      <c r="O2824" s="14" t="n">
        <v>1.4475</v>
      </c>
      <c r="P2824" s="14" t="n">
        <v>1.4775</v>
      </c>
      <c r="Q2824" s="14" t="n">
        <v>4.25</v>
      </c>
      <c r="R2824" s="14" t="n">
        <v>4.25</v>
      </c>
      <c r="S2824" s="14" t="n">
        <v>14.25</v>
      </c>
    </row>
    <row r="2825" customFormat="false" ht="15" hidden="false" customHeight="false" outlineLevel="0" collapsed="false">
      <c r="A2825" s="13" t="n">
        <v>46210</v>
      </c>
      <c r="B2825" s="14" t="n">
        <v>3.62</v>
      </c>
      <c r="C2825" s="14" t="n">
        <v>3.75</v>
      </c>
      <c r="D2825" s="14" t="n">
        <v>3.5</v>
      </c>
      <c r="E2825" s="14" t="n">
        <v>2.182</v>
      </c>
      <c r="F2825" s="14" t="n">
        <v>2.25</v>
      </c>
      <c r="G2825" s="14" t="n">
        <v>3.75</v>
      </c>
      <c r="H2825" s="14" t="n">
        <v>3.7297</v>
      </c>
      <c r="I2825" s="14" t="n">
        <v>3.73152703200353</v>
      </c>
      <c r="J2825" s="14" t="n">
        <v>3.75391726252135</v>
      </c>
      <c r="K2825" s="14" t="n">
        <v>3.81165170978514</v>
      </c>
      <c r="L2825" s="14" t="n">
        <v>3.91020044691455</v>
      </c>
      <c r="M2825" s="14" t="n">
        <v>1.4158</v>
      </c>
      <c r="N2825" s="14" t="n">
        <v>1.4319</v>
      </c>
      <c r="O2825" s="14" t="n">
        <v>1.4453</v>
      </c>
      <c r="P2825" s="14" t="n">
        <v>1.4742</v>
      </c>
      <c r="Q2825" s="14" t="n">
        <v>4.25</v>
      </c>
      <c r="R2825" s="14" t="n">
        <v>4.25</v>
      </c>
      <c r="S2825" s="14" t="n">
        <v>14.25</v>
      </c>
    </row>
    <row r="2826" customFormat="false" ht="15" hidden="false" customHeight="false" outlineLevel="0" collapsed="false">
      <c r="A2826" s="13" t="n">
        <v>46211</v>
      </c>
      <c r="B2826" s="14" t="n">
        <v>3.58</v>
      </c>
      <c r="C2826" s="14" t="n">
        <v>3.75</v>
      </c>
      <c r="D2826" s="14" t="n">
        <v>3.5</v>
      </c>
      <c r="E2826" s="14" t="n">
        <v>2.182</v>
      </c>
      <c r="F2826" s="14" t="n">
        <v>2.25</v>
      </c>
      <c r="G2826" s="14" t="n">
        <v>3.75</v>
      </c>
      <c r="H2826" s="14" t="n">
        <v>3.7303</v>
      </c>
      <c r="I2826" s="14" t="n">
        <v>3.73803344050598</v>
      </c>
      <c r="J2826" s="14" t="n">
        <v>3.78596537604235</v>
      </c>
      <c r="K2826" s="14" t="n">
        <v>3.87988497129357</v>
      </c>
      <c r="L2826" s="14" t="n">
        <v>4.02596051077113</v>
      </c>
      <c r="M2826" s="14" t="n">
        <v>1.4151</v>
      </c>
      <c r="N2826" s="14" t="n">
        <v>1.4312</v>
      </c>
      <c r="O2826" s="14" t="n">
        <v>1.445</v>
      </c>
      <c r="P2826" s="14" t="n">
        <v>1.4739</v>
      </c>
      <c r="Q2826" s="14" t="n">
        <v>4.25</v>
      </c>
      <c r="R2826" s="14" t="n">
        <v>4.25</v>
      </c>
      <c r="S2826" s="14" t="n">
        <v>14.25</v>
      </c>
    </row>
    <row r="2827" customFormat="false" ht="15" hidden="false" customHeight="false" outlineLevel="0" collapsed="false">
      <c r="A2827" s="13" t="n">
        <v>46212</v>
      </c>
      <c r="B2827" s="14" t="n">
        <v>3.53</v>
      </c>
      <c r="C2827" s="14" t="n">
        <v>3.75</v>
      </c>
      <c r="D2827" s="14" t="n">
        <v>3.5</v>
      </c>
      <c r="E2827" s="14" t="n">
        <v>2.182</v>
      </c>
      <c r="F2827" s="14" t="n">
        <v>2.25</v>
      </c>
      <c r="G2827" s="14" t="n">
        <v>3.75</v>
      </c>
      <c r="H2827" s="14" t="n">
        <v>3.7311</v>
      </c>
      <c r="I2827" s="14" t="n">
        <v>3.73462315293521</v>
      </c>
      <c r="J2827" s="14" t="n">
        <v>3.77299088351529</v>
      </c>
      <c r="K2827" s="14" t="n">
        <v>3.85530398957922</v>
      </c>
      <c r="L2827" s="14" t="n">
        <v>3.97822516784181</v>
      </c>
      <c r="M2827" s="14" t="n">
        <v>1.4135</v>
      </c>
      <c r="N2827" s="14" t="n">
        <v>1.429</v>
      </c>
      <c r="O2827" s="14" t="n">
        <v>1.4445</v>
      </c>
      <c r="P2827" s="14" t="n">
        <v>1.4725</v>
      </c>
      <c r="Q2827" s="14" t="n">
        <v>4.25</v>
      </c>
      <c r="R2827" s="14" t="n">
        <v>4.25</v>
      </c>
      <c r="S2827" s="14" t="n">
        <v>14.25</v>
      </c>
    </row>
    <row r="2828" customFormat="false" ht="15" hidden="false" customHeight="false" outlineLevel="0" collapsed="false">
      <c r="A2828" s="13" t="n">
        <v>46213</v>
      </c>
      <c r="B2828" s="14" t="n">
        <v>3.55</v>
      </c>
      <c r="C2828" s="14" t="n">
        <v>3.75</v>
      </c>
      <c r="D2828" s="14" t="n">
        <v>3.5</v>
      </c>
      <c r="E2828" s="14" t="n">
        <v>2.182</v>
      </c>
      <c r="F2828" s="14" t="n">
        <v>2.25</v>
      </c>
      <c r="G2828" s="14" t="n">
        <v>3.75</v>
      </c>
      <c r="H2828" s="14" t="n">
        <v>3.731</v>
      </c>
      <c r="I2828" s="14" t="n">
        <v>3.73347414974605</v>
      </c>
      <c r="J2828" s="14" t="n">
        <v>3.77034828375148</v>
      </c>
      <c r="K2828" s="14" t="n">
        <v>3.85136195953198</v>
      </c>
      <c r="L2828" s="14" t="n">
        <v>3.97178184621021</v>
      </c>
      <c r="M2828" s="14" t="n">
        <v>1.4109</v>
      </c>
      <c r="N2828" s="14" t="n">
        <v>1.4279</v>
      </c>
      <c r="O2828" s="14" t="n">
        <v>1.444</v>
      </c>
      <c r="P2828" s="14" t="n">
        <v>1.4728</v>
      </c>
      <c r="Q2828" s="14" t="n">
        <v>4.25</v>
      </c>
      <c r="R2828" s="14" t="n">
        <v>4.25</v>
      </c>
      <c r="S2828" s="14" t="n">
        <v>14.25</v>
      </c>
    </row>
    <row r="2829" customFormat="false" ht="15" hidden="false" customHeight="false" outlineLevel="0" collapsed="false">
      <c r="A2829" s="13" t="n">
        <v>46216</v>
      </c>
      <c r="B2829" s="14" t="n">
        <v>3.6</v>
      </c>
      <c r="C2829" s="14" t="n">
        <v>3.75</v>
      </c>
      <c r="D2829" s="14" t="n">
        <v>3.5</v>
      </c>
      <c r="E2829" s="14" t="n">
        <v>2.184</v>
      </c>
      <c r="F2829" s="14" t="n">
        <v>2.25</v>
      </c>
      <c r="G2829" s="14" t="n">
        <v>3.75</v>
      </c>
      <c r="H2829" s="14" t="n">
        <v>3.7308</v>
      </c>
      <c r="I2829" s="14" t="n">
        <v>3.74467367399059</v>
      </c>
      <c r="J2829" s="14" t="n">
        <v>3.80953137166434</v>
      </c>
      <c r="K2829" s="14" t="n">
        <v>3.93265548704902</v>
      </c>
      <c r="L2829" s="14" t="n">
        <v>4.10152148754441</v>
      </c>
      <c r="M2829" s="14" t="n">
        <v>1.412</v>
      </c>
      <c r="N2829" s="14" t="n">
        <v>1.429</v>
      </c>
      <c r="O2829" s="14" t="n">
        <v>1.4435</v>
      </c>
      <c r="P2829" s="14" t="n">
        <v>1.4735</v>
      </c>
      <c r="Q2829" s="14" t="n">
        <v>4.25</v>
      </c>
      <c r="R2829" s="14" t="n">
        <v>4.25</v>
      </c>
      <c r="S2829" s="14" t="n">
        <v>14.25</v>
      </c>
    </row>
    <row r="2830" customFormat="false" ht="15" hidden="false" customHeight="false" outlineLevel="0" collapsed="false">
      <c r="A2830" s="13" t="n">
        <v>46217</v>
      </c>
      <c r="B2830" s="14" t="n">
        <v>3.63</v>
      </c>
      <c r="C2830" s="14" t="n">
        <v>3.75</v>
      </c>
      <c r="D2830" s="14" t="n">
        <v>3.5</v>
      </c>
      <c r="E2830" s="14" t="n">
        <v>2.184</v>
      </c>
      <c r="F2830" s="14" t="n">
        <v>2.25</v>
      </c>
      <c r="G2830" s="14" t="n">
        <v>3.75</v>
      </c>
      <c r="H2830" s="14" t="n">
        <v>3.7311</v>
      </c>
      <c r="I2830" s="14" t="n">
        <v>3.74141578846469</v>
      </c>
      <c r="J2830" s="14" t="n">
        <v>3.801064647797</v>
      </c>
      <c r="K2830" s="14" t="n">
        <v>3.91811563821481</v>
      </c>
      <c r="L2830" s="14" t="n">
        <v>4.07977382928065</v>
      </c>
      <c r="M2830" s="14" t="n">
        <v>1.4132</v>
      </c>
      <c r="N2830" s="14" t="n">
        <v>1.4299</v>
      </c>
      <c r="O2830" s="14" t="n">
        <v>1.4444</v>
      </c>
      <c r="P2830" s="14" t="n">
        <v>1.4734</v>
      </c>
      <c r="Q2830" s="14" t="n">
        <v>4.25</v>
      </c>
      <c r="R2830" s="14" t="n">
        <v>4.25</v>
      </c>
      <c r="S2830" s="14" t="n">
        <v>14.25</v>
      </c>
    </row>
    <row r="2831" customFormat="false" ht="15" hidden="false" customHeight="false" outlineLevel="0" collapsed="false">
      <c r="A2831" s="13" t="n">
        <v>46218</v>
      </c>
      <c r="B2831" s="14" t="n">
        <v>3.64</v>
      </c>
      <c r="C2831" s="14" t="n">
        <v>3.75</v>
      </c>
      <c r="D2831" s="14" t="n">
        <v>3.5</v>
      </c>
      <c r="E2831" s="14" t="n">
        <v>2.184</v>
      </c>
      <c r="F2831" s="14" t="n">
        <v>2.25</v>
      </c>
      <c r="G2831" s="14" t="n">
        <v>3.75</v>
      </c>
      <c r="H2831" s="14" t="n">
        <v>3.7308</v>
      </c>
      <c r="I2831" s="14" t="n">
        <v>3.73699067302527</v>
      </c>
      <c r="J2831" s="14" t="n">
        <v>3.78627821059227</v>
      </c>
      <c r="K2831" s="14" t="n">
        <v>3.89353943010936</v>
      </c>
      <c r="L2831" s="14" t="n">
        <v>4.04694539283254</v>
      </c>
      <c r="M2831" s="14" t="n">
        <v>1.4168</v>
      </c>
      <c r="N2831" s="14" t="n">
        <v>1.43</v>
      </c>
      <c r="O2831" s="14" t="n">
        <v>1.444</v>
      </c>
      <c r="P2831" s="14" t="n">
        <v>1.4723</v>
      </c>
      <c r="Q2831" s="14" t="n">
        <v>4.25</v>
      </c>
      <c r="R2831" s="14" t="n">
        <v>4.25</v>
      </c>
      <c r="S2831" s="14" t="n">
        <v>14.25</v>
      </c>
    </row>
    <row r="2832" customFormat="false" ht="15" hidden="false" customHeight="false" outlineLevel="0" collapsed="false">
      <c r="A2832" s="13" t="n">
        <v>46219</v>
      </c>
      <c r="B2832" s="14" t="n">
        <v>3.62</v>
      </c>
      <c r="C2832" s="14" t="n">
        <v>3.75</v>
      </c>
      <c r="D2832" s="14" t="n">
        <v>3.5</v>
      </c>
      <c r="E2832" s="14" t="n">
        <v>2.185</v>
      </c>
      <c r="F2832" s="14" t="n">
        <v>2.25</v>
      </c>
      <c r="G2832" s="14" t="n">
        <v>3.75</v>
      </c>
      <c r="H2832" s="14" t="n">
        <v>3.7308</v>
      </c>
      <c r="I2832" s="14" t="n">
        <v>3.73999589632114</v>
      </c>
      <c r="J2832" s="14" t="n">
        <v>3.78850799182466</v>
      </c>
      <c r="K2832" s="14" t="n">
        <v>3.89778550321656</v>
      </c>
      <c r="L2832" s="14" t="n">
        <v>4.05697728376167</v>
      </c>
      <c r="M2832" s="14" t="n">
        <v>1.419</v>
      </c>
      <c r="N2832" s="14" t="n">
        <v>1.43</v>
      </c>
      <c r="O2832" s="14" t="n">
        <v>1.444</v>
      </c>
      <c r="P2832" s="14" t="n">
        <v>1.4715</v>
      </c>
      <c r="Q2832" s="14" t="n">
        <v>4.25</v>
      </c>
      <c r="R2832" s="14" t="n">
        <v>4.25</v>
      </c>
      <c r="S2832" s="14" t="n">
        <v>14.25</v>
      </c>
    </row>
    <row r="2833" customFormat="false" ht="15" hidden="false" customHeight="false" outlineLevel="0" collapsed="false">
      <c r="A2833" s="13" t="n">
        <v>46220</v>
      </c>
      <c r="B2833" s="14" t="n">
        <v>3.59</v>
      </c>
      <c r="C2833" s="14" t="n">
        <v>3.75</v>
      </c>
      <c r="D2833" s="14" t="n">
        <v>3.5</v>
      </c>
      <c r="E2833" s="14" t="n">
        <v>2.186</v>
      </c>
      <c r="F2833" s="14" t="n">
        <v>2.25</v>
      </c>
      <c r="G2833" s="14" t="n">
        <v>3.75</v>
      </c>
      <c r="H2833" s="14" t="n">
        <v>3.7307</v>
      </c>
      <c r="I2833" s="14" t="n">
        <v>3.74319642689046</v>
      </c>
      <c r="J2833" s="14" t="n">
        <v>3.79964086145705</v>
      </c>
      <c r="K2833" s="14" t="n">
        <v>3.92364291932979</v>
      </c>
      <c r="L2833" s="14" t="n">
        <v>4.1063520487164</v>
      </c>
      <c r="M2833" s="14" t="n">
        <v>1.4199</v>
      </c>
      <c r="N2833" s="14" t="n">
        <v>1.43</v>
      </c>
      <c r="O2833" s="14" t="n">
        <v>1.4459</v>
      </c>
      <c r="P2833" s="14" t="n">
        <v>1.4722</v>
      </c>
      <c r="Q2833" s="14" t="n">
        <v>4.25</v>
      </c>
      <c r="R2833" s="14" t="n">
        <v>4.25</v>
      </c>
      <c r="S2833" s="14" t="n">
        <v>14.25</v>
      </c>
    </row>
    <row r="2834" customFormat="false" ht="15" hidden="false" customHeight="false" outlineLevel="0" collapsed="false">
      <c r="A2834" s="13" t="n">
        <v>46223</v>
      </c>
      <c r="B2834" s="14" t="n">
        <v>3.57</v>
      </c>
      <c r="C2834" s="14" t="n">
        <v>3.75</v>
      </c>
      <c r="D2834" s="14" t="n">
        <v>3.5</v>
      </c>
      <c r="E2834" s="14" t="n">
        <v>2.184</v>
      </c>
      <c r="F2834" s="14" t="n">
        <v>2.25</v>
      </c>
      <c r="G2834" s="14" t="n">
        <v>3.75</v>
      </c>
      <c r="H2834" s="14" t="n">
        <v>3.7307</v>
      </c>
      <c r="I2834" s="14" t="n">
        <v>3.74625283506683</v>
      </c>
      <c r="J2834" s="14" t="n">
        <v>3.80545874407844</v>
      </c>
      <c r="K2834" s="14" t="n">
        <v>3.92837524878933</v>
      </c>
      <c r="L2834" s="14" t="n">
        <v>4.11236572166844</v>
      </c>
      <c r="M2834" s="14" t="n">
        <v>1.42</v>
      </c>
      <c r="N2834" s="14" t="n">
        <v>1.43</v>
      </c>
      <c r="O2834" s="14" t="n">
        <v>1.4491</v>
      </c>
      <c r="P2834" s="14" t="n">
        <v>1.4722</v>
      </c>
      <c r="Q2834" s="14" t="n">
        <v>4.25</v>
      </c>
      <c r="R2834" s="14" t="n">
        <v>4.25</v>
      </c>
      <c r="S2834" s="14" t="n">
        <v>14.25</v>
      </c>
    </row>
    <row r="2835" customFormat="false" ht="15" hidden="false" customHeight="false" outlineLevel="0" collapsed="false">
      <c r="A2835" s="13" t="n">
        <v>46224</v>
      </c>
      <c r="B2835" s="14" t="n">
        <v>3.61</v>
      </c>
      <c r="C2835" s="14" t="n">
        <v>3.75</v>
      </c>
      <c r="D2835" s="14" t="n">
        <v>3.5</v>
      </c>
      <c r="E2835" s="14" t="n">
        <v>2.183</v>
      </c>
      <c r="F2835" s="14" t="n">
        <v>2.25</v>
      </c>
      <c r="G2835" s="14" t="n">
        <v>3.75</v>
      </c>
      <c r="H2835" s="14" t="n">
        <v>3.7302</v>
      </c>
      <c r="I2835" s="14" t="n">
        <v>3.74429271862459</v>
      </c>
      <c r="J2835" s="14" t="n">
        <v>3.79920457810037</v>
      </c>
      <c r="K2835" s="14" t="n">
        <v>3.91556966240172</v>
      </c>
      <c r="L2835" s="14" t="n">
        <v>4.10460727287344</v>
      </c>
      <c r="M2835" s="14" t="n">
        <v>1.42</v>
      </c>
      <c r="N2835" s="14" t="n">
        <v>1.43</v>
      </c>
      <c r="O2835" s="14" t="n">
        <v>1.45</v>
      </c>
      <c r="P2835" s="14" t="n">
        <v>1.474</v>
      </c>
      <c r="Q2835" s="14" t="n">
        <v>4.25</v>
      </c>
      <c r="R2835" s="14" t="n">
        <v>4.25</v>
      </c>
      <c r="S2835" s="14" t="n">
        <v>14.25</v>
      </c>
    </row>
    <row r="2836" customFormat="false" ht="15" hidden="false" customHeight="false" outlineLevel="0" collapsed="false">
      <c r="A2836" s="13" t="n">
        <v>46225</v>
      </c>
      <c r="B2836" s="14" t="n">
        <v>3.62</v>
      </c>
      <c r="C2836" s="14" t="n">
        <v>3.75</v>
      </c>
      <c r="D2836" s="14" t="n">
        <v>3.5</v>
      </c>
      <c r="E2836" s="14" t="n">
        <v>2.184</v>
      </c>
      <c r="F2836" s="14" t="n">
        <v>2.25</v>
      </c>
      <c r="G2836" s="14" t="n">
        <v>3.75</v>
      </c>
      <c r="H2836" s="14" t="n">
        <v>3.7303</v>
      </c>
      <c r="I2836" s="14" t="n">
        <v>3.73896064658019</v>
      </c>
      <c r="J2836" s="14" t="n">
        <v>3.79751886546261</v>
      </c>
      <c r="K2836" s="14" t="n">
        <v>3.92670433707201</v>
      </c>
      <c r="L2836" s="14" t="n">
        <v>4.13108347612334</v>
      </c>
      <c r="M2836" s="14" t="n">
        <v>1.42</v>
      </c>
      <c r="N2836" s="14" t="n">
        <v>1.43</v>
      </c>
      <c r="O2836" s="14" t="n">
        <v>1.45</v>
      </c>
      <c r="P2836" s="14" t="n">
        <v>1.4755</v>
      </c>
      <c r="Q2836" s="14" t="n">
        <v>4.25</v>
      </c>
      <c r="R2836" s="14" t="n">
        <v>4.25</v>
      </c>
      <c r="S2836" s="14" t="n">
        <v>14.25</v>
      </c>
    </row>
    <row r="2837" customFormat="false" ht="15" hidden="false" customHeight="false" outlineLevel="0" collapsed="false">
      <c r="A2837" s="13" t="n">
        <v>46226</v>
      </c>
      <c r="B2837" s="14" t="n">
        <v>3.64</v>
      </c>
      <c r="C2837" s="14" t="n">
        <v>3.75</v>
      </c>
      <c r="D2837" s="14" t="n">
        <v>3.5</v>
      </c>
      <c r="E2837" s="14" t="n">
        <v>2.185</v>
      </c>
      <c r="F2837" s="14" t="n">
        <v>2.25</v>
      </c>
      <c r="G2837" s="14" t="n">
        <v>3.75</v>
      </c>
      <c r="H2837" s="14" t="n">
        <v>3.731</v>
      </c>
      <c r="I2837" s="14" t="n">
        <v>3.74691120400334</v>
      </c>
      <c r="J2837" s="14" t="n">
        <v>3.8169462933789</v>
      </c>
      <c r="K2837" s="14" t="n">
        <v>3.96218809156264</v>
      </c>
      <c r="L2837" s="14" t="n">
        <v>4.18354195513721</v>
      </c>
      <c r="M2837" s="14" t="n">
        <v>1.42</v>
      </c>
      <c r="N2837" s="14" t="n">
        <v>1.43</v>
      </c>
      <c r="O2837" s="14" t="n">
        <v>1.45</v>
      </c>
      <c r="P2837" s="14" t="n">
        <v>1.4765</v>
      </c>
      <c r="Q2837" s="14" t="n">
        <v>4.25</v>
      </c>
      <c r="R2837" s="14" t="n">
        <v>4.25</v>
      </c>
      <c r="S2837" s="14" t="n">
        <v>14.25</v>
      </c>
    </row>
    <row r="2838" customFormat="false" ht="15" hidden="false" customHeight="false" outlineLevel="0" collapsed="false">
      <c r="A2838" s="13" t="n">
        <v>46227</v>
      </c>
      <c r="B2838" s="14" t="n">
        <v>3.64</v>
      </c>
      <c r="C2838" s="14" t="n">
        <v>3.75</v>
      </c>
      <c r="D2838" s="14" t="n">
        <v>3.5</v>
      </c>
      <c r="E2838" s="14" t="n">
        <v>2.186</v>
      </c>
      <c r="F2838" s="14" t="n">
        <v>2.25</v>
      </c>
      <c r="G2838" s="14" t="n">
        <v>3.75</v>
      </c>
      <c r="H2838" s="14" t="n">
        <v>3.7307</v>
      </c>
      <c r="I2838" s="14" t="n">
        <v>3.73645969108702</v>
      </c>
      <c r="J2838" s="14" t="n">
        <v>3.79877816609673</v>
      </c>
      <c r="K2838" s="14" t="n">
        <v>3.9306313592881</v>
      </c>
      <c r="L2838" s="14" t="n">
        <v>4.13012933941292</v>
      </c>
      <c r="M2838" s="14" t="n">
        <v>1.418</v>
      </c>
      <c r="N2838" s="14" t="n">
        <v>1.428</v>
      </c>
      <c r="O2838" s="14" t="n">
        <v>1.45</v>
      </c>
      <c r="P2838" s="14" t="n">
        <v>1.4791</v>
      </c>
      <c r="Q2838" s="14" t="n">
        <v>4.25</v>
      </c>
      <c r="R2838" s="14" t="n">
        <v>4.25</v>
      </c>
      <c r="S2838" s="14" t="n">
        <v>14.25</v>
      </c>
    </row>
    <row r="2839" customFormat="false" ht="15" hidden="false" customHeight="false" outlineLevel="0" collapsed="false">
      <c r="A2839" s="13" t="n">
        <v>46230</v>
      </c>
      <c r="B2839" s="14" t="n">
        <v>3.64</v>
      </c>
      <c r="C2839" s="14" t="n">
        <v>3.75</v>
      </c>
      <c r="D2839" s="14" t="n">
        <v>3.5</v>
      </c>
      <c r="E2839" s="14" t="n">
        <v>2.185</v>
      </c>
      <c r="F2839" s="14" t="n">
        <v>2.25</v>
      </c>
      <c r="G2839" s="14" t="n">
        <v>3.75</v>
      </c>
      <c r="H2839" s="14" t="n">
        <v>3.7312</v>
      </c>
      <c r="I2839" s="14" t="n">
        <v>3.73643615624211</v>
      </c>
      <c r="J2839" s="14" t="n">
        <v>3.8010249447304</v>
      </c>
      <c r="K2839" s="14" t="n">
        <v>3.9248216091823</v>
      </c>
      <c r="L2839" s="14" t="n">
        <v>4.1076593445058</v>
      </c>
      <c r="M2839" s="14" t="n">
        <v>1.42</v>
      </c>
      <c r="N2839" s="14" t="n">
        <v>1.43</v>
      </c>
      <c r="O2839" s="14" t="n">
        <v>1.45</v>
      </c>
      <c r="P2839" s="14" t="n">
        <v>1.48</v>
      </c>
      <c r="Q2839" s="14" t="n">
        <v>4.25</v>
      </c>
      <c r="R2839" s="14" t="n">
        <v>4.25</v>
      </c>
      <c r="S2839" s="14" t="n">
        <v>14.25</v>
      </c>
    </row>
    <row r="2840" customFormat="false" ht="15" hidden="false" customHeight="false" outlineLevel="0" collapsed="false">
      <c r="A2840" s="13" t="n">
        <v>46231</v>
      </c>
      <c r="B2840" s="14" t="n">
        <v>3.65</v>
      </c>
      <c r="C2840" s="14" t="n">
        <v>3.75</v>
      </c>
      <c r="D2840" s="14" t="n">
        <v>3.5</v>
      </c>
      <c r="E2840" s="14" t="n">
        <v>2.184</v>
      </c>
      <c r="F2840" s="14" t="n">
        <v>2.25</v>
      </c>
      <c r="G2840" s="14" t="n">
        <v>3.75</v>
      </c>
      <c r="H2840" s="14" t="n">
        <v>3.7316</v>
      </c>
      <c r="I2840" s="14" t="n">
        <v>3.73638121056143</v>
      </c>
      <c r="J2840" s="14" t="n">
        <v>3.78728322681905</v>
      </c>
      <c r="K2840" s="14" t="n">
        <v>3.88972736286277</v>
      </c>
      <c r="L2840" s="14" t="n">
        <v>4.04992296491971</v>
      </c>
      <c r="M2840" s="14" t="n">
        <v>1.42</v>
      </c>
      <c r="N2840" s="14" t="n">
        <v>1.43</v>
      </c>
      <c r="O2840" s="14" t="n">
        <v>1.4505</v>
      </c>
      <c r="P2840" s="14" t="n">
        <v>1.48</v>
      </c>
      <c r="Q2840" s="14" t="n">
        <v>4.25</v>
      </c>
      <c r="R2840" s="14" t="n">
        <v>4.25</v>
      </c>
      <c r="S2840" s="14" t="n">
        <v>14.25</v>
      </c>
    </row>
    <row r="2841" customFormat="false" ht="15" hidden="false" customHeight="false" outlineLevel="0" collapsed="false">
      <c r="A2841" s="13" t="n">
        <v>46232</v>
      </c>
      <c r="B2841" s="14" t="n">
        <v>3.65</v>
      </c>
      <c r="C2841" s="14" t="n">
        <v>3.75</v>
      </c>
      <c r="D2841" s="14" t="n">
        <v>3.5</v>
      </c>
      <c r="E2841" s="14" t="n">
        <v>2.185</v>
      </c>
      <c r="F2841" s="14" t="n">
        <v>2.25</v>
      </c>
      <c r="G2841" s="14" t="n">
        <v>3.75</v>
      </c>
      <c r="H2841" s="14" t="n">
        <v>3.7313</v>
      </c>
      <c r="I2841" s="14" t="n">
        <v>3.73781109967606</v>
      </c>
      <c r="J2841" s="14" t="n">
        <v>3.81077805324728</v>
      </c>
      <c r="K2841" s="14" t="n">
        <v>3.94504484304318</v>
      </c>
      <c r="L2841" s="14" t="n">
        <v>4.14729925309545</v>
      </c>
      <c r="M2841" s="14" t="n">
        <v>1.421</v>
      </c>
      <c r="N2841" s="14" t="n">
        <v>1.431</v>
      </c>
      <c r="O2841" s="14" t="n">
        <v>1.4505</v>
      </c>
      <c r="P2841" s="14" t="n">
        <v>1.481</v>
      </c>
      <c r="Q2841" s="14" t="n">
        <v>4.25</v>
      </c>
      <c r="R2841" s="14" t="n">
        <v>4.25</v>
      </c>
      <c r="S2841" s="14" t="n">
        <v>14.25</v>
      </c>
    </row>
    <row r="2842" customFormat="false" ht="15" hidden="false" customHeight="false" outlineLevel="0" collapsed="false">
      <c r="A2842" s="13" t="n">
        <v>46233</v>
      </c>
      <c r="B2842" s="14" t="n">
        <v>3.65</v>
      </c>
      <c r="C2842" s="14" t="n">
        <v>3.75</v>
      </c>
      <c r="D2842" s="14" t="n">
        <v>3.5</v>
      </c>
      <c r="E2842" s="14" t="n">
        <v>2.185</v>
      </c>
      <c r="F2842" s="14" t="n">
        <v>2.25</v>
      </c>
      <c r="G2842" s="14" t="n">
        <v>3.75</v>
      </c>
      <c r="H2842" s="14" t="n">
        <v>3.732</v>
      </c>
      <c r="I2842" s="14" t="n">
        <v>3.7292262446436</v>
      </c>
      <c r="J2842" s="14" t="n">
        <v>3.77800679571925</v>
      </c>
      <c r="K2842" s="14" t="n">
        <v>3.87549831152434</v>
      </c>
      <c r="L2842" s="14" t="n">
        <v>4.03932710246104</v>
      </c>
      <c r="M2842" s="14" t="n">
        <v>1.42</v>
      </c>
      <c r="N2842" s="14" t="n">
        <v>1.43</v>
      </c>
      <c r="O2842" s="14" t="n">
        <v>1.4515</v>
      </c>
      <c r="P2842" s="14" t="n">
        <v>1.48</v>
      </c>
      <c r="Q2842" s="14" t="n">
        <v>4.25</v>
      </c>
      <c r="R2842" s="14" t="n">
        <v>4.25</v>
      </c>
      <c r="S2842" s="14" t="n">
        <v>14.25</v>
      </c>
    </row>
    <row r="2843" customFormat="false" ht="15" hidden="false" customHeight="false" outlineLevel="0" collapsed="false">
      <c r="A2843" s="13" t="n">
        <v>46234</v>
      </c>
      <c r="B2843" s="14" t="n">
        <v>3.66</v>
      </c>
      <c r="C2843" s="14" t="n">
        <v>3.75</v>
      </c>
      <c r="D2843" s="14" t="n">
        <v>3.5</v>
      </c>
      <c r="E2843" s="14" t="n">
        <v>2.184</v>
      </c>
      <c r="F2843" s="14" t="n">
        <v>2.25</v>
      </c>
      <c r="G2843" s="14" t="n">
        <v>3.75</v>
      </c>
      <c r="H2843" s="14" t="n">
        <v>3.7313</v>
      </c>
      <c r="I2843" s="14" t="n">
        <v>3.73028551389477</v>
      </c>
      <c r="J2843" s="14" t="n">
        <v>3.77173864948594</v>
      </c>
      <c r="K2843" s="14" t="n">
        <v>3.87709844256024</v>
      </c>
      <c r="L2843" s="14" t="n">
        <v>4.06592173914738</v>
      </c>
      <c r="M2843" s="14" t="n">
        <v>1.42</v>
      </c>
      <c r="N2843" s="14" t="n">
        <v>1.43</v>
      </c>
      <c r="O2843" s="14" t="n">
        <v>1.4505</v>
      </c>
      <c r="P2843" s="14" t="n">
        <v>1.48</v>
      </c>
      <c r="Q2843" s="14" t="n">
        <v>4.25</v>
      </c>
      <c r="R2843" s="14" t="n">
        <v>4.25</v>
      </c>
      <c r="S2843" s="14" t="n">
        <v>14.25</v>
      </c>
    </row>
    <row r="2844" customFormat="false" ht="15" hidden="false" customHeight="false" outlineLevel="0" collapsed="false">
      <c r="A2844" s="13" t="n">
        <v>46237</v>
      </c>
      <c r="B2844" s="14" t="n">
        <v>3.65</v>
      </c>
      <c r="C2844" s="14" t="n">
        <v>3.75</v>
      </c>
      <c r="D2844" s="14" t="n">
        <v>3.5</v>
      </c>
      <c r="E2844" s="14" t="n">
        <v>2.185</v>
      </c>
      <c r="F2844" s="14" t="n">
        <v>2.25</v>
      </c>
      <c r="G2844" s="14" t="n">
        <v>3.75</v>
      </c>
      <c r="H2844" s="14" t="n">
        <v>3.7321</v>
      </c>
      <c r="I2844" s="14" t="n">
        <v>3.73178228563375</v>
      </c>
      <c r="J2844" s="14" t="n">
        <v>3.76851777407999</v>
      </c>
      <c r="K2844" s="14" t="n">
        <v>3.85997098663874</v>
      </c>
      <c r="L2844" s="14" t="n">
        <v>4.0194089453993</v>
      </c>
      <c r="M2844" s="14" t="n">
        <v>1.42</v>
      </c>
      <c r="N2844" s="14" t="n">
        <v>1.43</v>
      </c>
      <c r="O2844" s="14" t="n">
        <v>1.45</v>
      </c>
      <c r="P2844" s="14" t="n">
        <v>1.48</v>
      </c>
      <c r="Q2844" s="14" t="n">
        <v>4.25</v>
      </c>
      <c r="R2844" s="14" t="n">
        <v>4.25</v>
      </c>
      <c r="S2844" s="14" t="n">
        <v>14.25</v>
      </c>
    </row>
    <row r="2845" customFormat="false" ht="15" hidden="false" customHeight="false" outlineLevel="0" collapsed="false">
      <c r="A2845" s="13" t="n">
        <v>46238</v>
      </c>
      <c r="B2845" s="14" t="n">
        <v>3.66</v>
      </c>
      <c r="C2845" s="14" t="n">
        <v>3.75</v>
      </c>
      <c r="D2845" s="14" t="n">
        <v>3.5</v>
      </c>
      <c r="E2845" s="14" t="n">
        <v>2.185</v>
      </c>
      <c r="F2845" s="14" t="n">
        <v>2.25</v>
      </c>
      <c r="G2845" s="14" t="n">
        <v>3.75</v>
      </c>
      <c r="H2845" s="14" t="n">
        <v>3.7318</v>
      </c>
      <c r="I2845" s="14" t="n">
        <v>3.73034171469358</v>
      </c>
      <c r="J2845" s="14" t="n">
        <v>3.7616262918869</v>
      </c>
      <c r="K2845" s="14" t="n">
        <v>3.84159354418239</v>
      </c>
      <c r="L2845" s="14" t="n">
        <v>3.98000917626503</v>
      </c>
      <c r="M2845" s="14" t="n">
        <v>1.419</v>
      </c>
      <c r="N2845" s="14" t="n">
        <v>1.43</v>
      </c>
      <c r="O2845" s="14" t="n">
        <v>1.45</v>
      </c>
      <c r="P2845" s="14" t="n">
        <v>1.48</v>
      </c>
      <c r="Q2845" s="14" t="n">
        <v>4.25</v>
      </c>
      <c r="R2845" s="14" t="n">
        <v>4.25</v>
      </c>
      <c r="S2845" s="14" t="n">
        <v>14.25</v>
      </c>
    </row>
    <row r="2846" customFormat="false" ht="15" hidden="false" customHeight="false" outlineLevel="0" collapsed="false">
      <c r="A2846" s="13" t="n">
        <v>46239</v>
      </c>
      <c r="B2846" s="14" t="n">
        <v>3.64</v>
      </c>
      <c r="C2846" s="14" t="n">
        <v>3.75</v>
      </c>
      <c r="D2846" s="14" t="n">
        <v>3.5</v>
      </c>
      <c r="E2846" s="14" t="n">
        <v>2.185</v>
      </c>
      <c r="F2846" s="14" t="n">
        <v>2.25</v>
      </c>
      <c r="G2846" s="14" t="n">
        <v>3.75</v>
      </c>
      <c r="H2846" s="14" t="n">
        <v>3.7313</v>
      </c>
      <c r="I2846" s="14" t="n">
        <v>3.73096654097911</v>
      </c>
      <c r="J2846" s="14" t="n">
        <v>3.76130894934881</v>
      </c>
      <c r="K2846" s="14" t="n">
        <v>3.83786252407657</v>
      </c>
      <c r="L2846" s="14" t="n">
        <v>3.97186304215961</v>
      </c>
      <c r="M2846" s="14" t="n">
        <v>1.4169</v>
      </c>
      <c r="N2846" s="14" t="n">
        <v>1.43</v>
      </c>
      <c r="O2846" s="14" t="n">
        <v>1.451</v>
      </c>
      <c r="P2846" s="14" t="n">
        <v>1.48</v>
      </c>
      <c r="Q2846" s="14" t="n">
        <v>4.25</v>
      </c>
      <c r="R2846" s="14" t="n">
        <v>4.25</v>
      </c>
      <c r="S2846" s="14" t="n">
        <v>14.25</v>
      </c>
    </row>
    <row r="2847" customFormat="false" ht="15" hidden="false" customHeight="false" outlineLevel="0" collapsed="false">
      <c r="A2847" s="13" t="n">
        <v>46240</v>
      </c>
      <c r="B2847" s="14" t="n">
        <v>3.65</v>
      </c>
      <c r="C2847" s="14" t="n">
        <v>3.75</v>
      </c>
      <c r="D2847" s="14" t="n">
        <v>3.5</v>
      </c>
      <c r="E2847" s="14" t="n">
        <v>2.185</v>
      </c>
      <c r="F2847" s="14" t="n">
        <v>2.25</v>
      </c>
      <c r="G2847" s="14" t="n">
        <v>3.75</v>
      </c>
      <c r="H2847" s="14" t="n">
        <v>3.7323</v>
      </c>
      <c r="I2847" s="14" t="n">
        <v>3.73036717642255</v>
      </c>
      <c r="J2847" s="14" t="n">
        <v>3.77102812979143</v>
      </c>
      <c r="K2847" s="14" t="n">
        <v>3.86373645758677</v>
      </c>
      <c r="L2847" s="14" t="n">
        <v>4.01603710003123</v>
      </c>
      <c r="M2847" s="14" t="n">
        <v>1.416</v>
      </c>
      <c r="N2847" s="14" t="n">
        <v>1.43</v>
      </c>
      <c r="O2847" s="14" t="n">
        <v>1.45</v>
      </c>
      <c r="P2847" s="14" t="n">
        <v>1.48</v>
      </c>
      <c r="Q2847" s="14" t="n">
        <v>4.25</v>
      </c>
      <c r="R2847" s="14" t="n">
        <v>4.25</v>
      </c>
      <c r="S2847" s="14" t="n">
        <v>14</v>
      </c>
    </row>
    <row r="2848" customFormat="false" ht="15" hidden="false" customHeight="false" outlineLevel="0" collapsed="false">
      <c r="A2848" s="13" t="n">
        <v>46241</v>
      </c>
      <c r="B2848" s="14" t="n">
        <v>3.62</v>
      </c>
      <c r="C2848" s="14" t="n">
        <v>3.75</v>
      </c>
      <c r="D2848" s="14" t="n">
        <v>3.5</v>
      </c>
      <c r="E2848" s="14" t="n">
        <v>2.185</v>
      </c>
      <c r="F2848" s="14" t="n">
        <v>2.25</v>
      </c>
      <c r="G2848" s="14" t="n">
        <v>3.75</v>
      </c>
      <c r="H2848" s="14" t="n">
        <v>3.7318</v>
      </c>
      <c r="I2848" s="14" t="n">
        <v>3.73025195006419</v>
      </c>
      <c r="J2848" s="14" t="n">
        <v>3.76482774739126</v>
      </c>
      <c r="K2848" s="14" t="n">
        <v>3.84921028895115</v>
      </c>
      <c r="L2848" s="14" t="n">
        <v>3.99788589195334</v>
      </c>
      <c r="M2848" s="14" t="n">
        <v>1.4167</v>
      </c>
      <c r="N2848" s="14" t="n">
        <v>1.43</v>
      </c>
      <c r="O2848" s="14" t="n">
        <v>1.4501</v>
      </c>
      <c r="P2848" s="14" t="n">
        <v>1.48</v>
      </c>
      <c r="Q2848" s="14" t="n">
        <v>4.25</v>
      </c>
      <c r="R2848" s="14" t="n">
        <v>4.25</v>
      </c>
      <c r="S2848" s="14" t="n">
        <v>14</v>
      </c>
    </row>
    <row r="2849" customFormat="false" ht="15" hidden="false" customHeight="false" outlineLevel="0" collapsed="false">
      <c r="A2849" s="13" t="n">
        <v>46244</v>
      </c>
      <c r="B2849" s="14" t="n">
        <v>3.63</v>
      </c>
      <c r="C2849" s="14" t="n">
        <v>3.75</v>
      </c>
      <c r="D2849" s="14" t="n">
        <v>3.5</v>
      </c>
      <c r="E2849" s="14" t="n">
        <v>2.184</v>
      </c>
      <c r="F2849" s="14" t="n">
        <v>2.25</v>
      </c>
      <c r="G2849" s="14" t="n">
        <v>3.75</v>
      </c>
      <c r="H2849" s="14" t="n">
        <v>3.7315</v>
      </c>
      <c r="I2849" s="14" t="n">
        <v>3.72991440463168</v>
      </c>
      <c r="J2849" s="14" t="n">
        <v>3.77494729438245</v>
      </c>
      <c r="K2849" s="14" t="n">
        <v>3.87288016177529</v>
      </c>
      <c r="L2849" s="14" t="n">
        <v>4.04395330239364</v>
      </c>
      <c r="M2849" s="14" t="n">
        <v>1.417</v>
      </c>
      <c r="N2849" s="14" t="n">
        <v>1.43</v>
      </c>
      <c r="O2849" s="14" t="n">
        <v>1.45</v>
      </c>
      <c r="P2849" s="14" t="n">
        <v>1.48</v>
      </c>
      <c r="Q2849" s="14" t="n">
        <v>4.25</v>
      </c>
      <c r="R2849" s="14" t="n">
        <v>4.25</v>
      </c>
      <c r="S2849" s="14" t="n">
        <v>14</v>
      </c>
    </row>
    <row r="2850" customFormat="false" ht="15" hidden="false" customHeight="false" outlineLevel="0" collapsed="false">
      <c r="A2850" s="13" t="n">
        <v>46245</v>
      </c>
      <c r="B2850" s="14" t="n">
        <v>3.64</v>
      </c>
      <c r="C2850" s="14" t="n">
        <v>3.75</v>
      </c>
      <c r="D2850" s="14" t="n">
        <v>3.5</v>
      </c>
      <c r="E2850" s="14" t="n">
        <v>2.184</v>
      </c>
      <c r="F2850" s="14" t="n">
        <v>2.25</v>
      </c>
      <c r="G2850" s="14" t="n">
        <v>3.75</v>
      </c>
      <c r="H2850" s="14" t="n">
        <v>3.7315</v>
      </c>
      <c r="I2850" s="14" t="n">
        <v>3.73057791332926</v>
      </c>
      <c r="J2850" s="14" t="n">
        <v>3.77095152268218</v>
      </c>
      <c r="K2850" s="14" t="n">
        <v>3.86173474278677</v>
      </c>
      <c r="L2850" s="14" t="n">
        <v>4.02109238850876</v>
      </c>
      <c r="M2850" s="14" t="n">
        <v>1.4167</v>
      </c>
      <c r="N2850" s="14" t="n">
        <v>1.43</v>
      </c>
      <c r="O2850" s="14" t="n">
        <v>1.45</v>
      </c>
      <c r="P2850" s="14" t="n">
        <v>1.48</v>
      </c>
      <c r="Q2850" s="14" t="n">
        <v>4.25</v>
      </c>
      <c r="R2850" s="14" t="n">
        <v>4.25</v>
      </c>
      <c r="S2850" s="14" t="n">
        <v>14</v>
      </c>
    </row>
    <row r="2851" customFormat="false" ht="15" hidden="false" customHeight="false" outlineLevel="0" collapsed="false">
      <c r="A2851" s="13" t="n">
        <v>46246</v>
      </c>
      <c r="B2851" s="14" t="n">
        <v>3.62</v>
      </c>
      <c r="C2851" s="14" t="n">
        <v>3.75</v>
      </c>
      <c r="D2851" s="14" t="n">
        <v>3.5</v>
      </c>
      <c r="E2851" s="14" t="n">
        <v>2.185</v>
      </c>
      <c r="F2851" s="14" t="n">
        <v>2.25</v>
      </c>
      <c r="G2851" s="14" t="n">
        <v>3.75</v>
      </c>
      <c r="H2851" s="14" t="n">
        <v>3.731</v>
      </c>
      <c r="I2851" s="14" t="n">
        <v>3.7310814084218</v>
      </c>
      <c r="J2851" s="14" t="n">
        <v>3.77426937474863</v>
      </c>
      <c r="K2851" s="14" t="n">
        <v>3.8712767671824</v>
      </c>
      <c r="L2851" s="14" t="n">
        <v>4.03813783425346</v>
      </c>
      <c r="M2851" s="14" t="n">
        <v>1.4157</v>
      </c>
      <c r="N2851" s="14" t="n">
        <v>1.43</v>
      </c>
      <c r="O2851" s="14" t="n">
        <v>1.45</v>
      </c>
      <c r="P2851" s="14" t="n">
        <v>1.481</v>
      </c>
      <c r="Q2851" s="14" t="n">
        <v>4.25</v>
      </c>
      <c r="R2851" s="14" t="n">
        <v>4.25</v>
      </c>
      <c r="S2851" s="14" t="n">
        <v>14</v>
      </c>
    </row>
    <row r="2852" customFormat="false" ht="15" hidden="false" customHeight="false" outlineLevel="0" collapsed="false">
      <c r="A2852" s="13" t="n">
        <v>46247</v>
      </c>
      <c r="B2852" s="14" t="n">
        <v>3.62</v>
      </c>
      <c r="C2852" s="14" t="n">
        <v>3.75</v>
      </c>
      <c r="D2852" s="14" t="n">
        <v>3.5</v>
      </c>
      <c r="E2852" s="14" t="n">
        <v>2.188</v>
      </c>
      <c r="F2852" s="14" t="n">
        <v>2.25</v>
      </c>
      <c r="G2852" s="14" t="n">
        <v>3.75</v>
      </c>
      <c r="H2852" s="14" t="n">
        <v>3.7308</v>
      </c>
      <c r="I2852" s="14" t="n">
        <v>3.72992255159526</v>
      </c>
      <c r="J2852" s="14" t="n">
        <v>3.7697772085976</v>
      </c>
      <c r="K2852" s="14" t="n">
        <v>3.86251751701339</v>
      </c>
      <c r="L2852" s="14" t="n">
        <v>4.01725961070658</v>
      </c>
      <c r="M2852" s="14" t="n">
        <v>1.4157</v>
      </c>
      <c r="N2852" s="14" t="n">
        <v>1.43</v>
      </c>
      <c r="O2852" s="14" t="n">
        <v>1.45</v>
      </c>
      <c r="P2852" s="14" t="n">
        <v>1.48</v>
      </c>
      <c r="Q2852" s="14" t="n">
        <v>4.25</v>
      </c>
      <c r="R2852" s="14" t="n">
        <v>4.25</v>
      </c>
      <c r="S2852" s="14" t="n">
        <v>14</v>
      </c>
    </row>
    <row r="2853" customFormat="false" ht="15" hidden="false" customHeight="false" outlineLevel="0" collapsed="false">
      <c r="A2853" s="13" t="n">
        <v>46248</v>
      </c>
      <c r="B2853" s="14" t="n">
        <v>3.62</v>
      </c>
      <c r="C2853" s="14" t="n">
        <v>3.75</v>
      </c>
      <c r="D2853" s="14" t="n">
        <v>3.5</v>
      </c>
      <c r="E2853" s="14" t="n">
        <v>2.189</v>
      </c>
      <c r="F2853" s="14" t="n">
        <v>2.25</v>
      </c>
      <c r="G2853" s="14" t="n">
        <v>3.75</v>
      </c>
      <c r="H2853" s="14" t="n">
        <v>3.7307</v>
      </c>
      <c r="I2853" s="14" t="n">
        <v>3.7307612647391</v>
      </c>
      <c r="J2853" s="14" t="n">
        <v>3.77743329592195</v>
      </c>
      <c r="K2853" s="14" t="n">
        <v>3.87676068354878</v>
      </c>
      <c r="L2853" s="14" t="n">
        <v>4.04620659760814</v>
      </c>
      <c r="M2853" s="14" t="n">
        <v>1.4162</v>
      </c>
      <c r="N2853" s="14" t="n">
        <v>1.43</v>
      </c>
      <c r="O2853" s="14" t="n">
        <v>1.45</v>
      </c>
      <c r="P2853" s="14" t="n">
        <v>1.48</v>
      </c>
      <c r="Q2853" s="14" t="n">
        <v>4.25</v>
      </c>
      <c r="R2853" s="14" t="n">
        <v>4.25</v>
      </c>
      <c r="S2853" s="14" t="n">
        <v>14</v>
      </c>
    </row>
    <row r="2854" customFormat="false" ht="15" hidden="false" customHeight="false" outlineLevel="0" collapsed="false">
      <c r="A2854" s="13" t="n">
        <v>46251</v>
      </c>
      <c r="B2854" s="14" t="n">
        <v>3.66</v>
      </c>
      <c r="C2854" s="14" t="n">
        <v>3.75</v>
      </c>
      <c r="D2854" s="14" t="n">
        <v>3.5</v>
      </c>
      <c r="E2854" s="14" t="n">
        <v>2.187</v>
      </c>
      <c r="F2854" s="14" t="n">
        <v>2.25</v>
      </c>
      <c r="G2854" s="14" t="n">
        <v>3.75</v>
      </c>
      <c r="H2854" s="14" t="n">
        <v>3.7312</v>
      </c>
      <c r="I2854" s="14" t="n">
        <v>3.73228019818608</v>
      </c>
      <c r="J2854" s="14" t="n">
        <v>3.78584693682235</v>
      </c>
      <c r="K2854" s="14" t="n">
        <v>3.89024530074791</v>
      </c>
      <c r="L2854" s="14" t="n">
        <v>4.06438670025486</v>
      </c>
      <c r="M2854" s="14" t="n">
        <v>1.4162</v>
      </c>
      <c r="N2854" s="14" t="n">
        <v>1.43</v>
      </c>
      <c r="O2854" s="14" t="n">
        <v>1.45</v>
      </c>
      <c r="P2854" s="14" t="n">
        <v>1.48</v>
      </c>
      <c r="Q2854" s="14" t="n">
        <v>4.25</v>
      </c>
      <c r="R2854" s="14" t="n">
        <v>4.25</v>
      </c>
      <c r="S2854" s="14" t="n">
        <v>14</v>
      </c>
    </row>
    <row r="2855" customFormat="false" ht="15" hidden="false" customHeight="false" outlineLevel="0" collapsed="false">
      <c r="A2855" s="13" t="n">
        <v>46252</v>
      </c>
      <c r="B2855" s="14" t="n">
        <v>3.65</v>
      </c>
      <c r="C2855" s="14" t="n">
        <v>3.75</v>
      </c>
      <c r="D2855" s="14" t="n">
        <v>3.5</v>
      </c>
      <c r="E2855" s="14" t="n">
        <v>2.188</v>
      </c>
      <c r="F2855" s="14" t="n">
        <v>2.25</v>
      </c>
      <c r="G2855" s="14" t="n">
        <v>3.75</v>
      </c>
      <c r="H2855" s="14" t="n">
        <v>3.7311</v>
      </c>
      <c r="I2855" s="14" t="n">
        <v>3.73210011939055</v>
      </c>
      <c r="J2855" s="14" t="n">
        <v>3.78469422586208</v>
      </c>
      <c r="K2855" s="14" t="n">
        <v>3.89199541578873</v>
      </c>
      <c r="L2855" s="14" t="n">
        <v>4.0764607239654</v>
      </c>
      <c r="M2855" s="14" t="n">
        <v>1.4165</v>
      </c>
      <c r="N2855" s="14" t="n">
        <v>1.43</v>
      </c>
      <c r="O2855" s="14" t="n">
        <v>1.45</v>
      </c>
      <c r="P2855" s="14" t="n">
        <v>1.48</v>
      </c>
      <c r="Q2855" s="14" t="n">
        <v>4.25</v>
      </c>
      <c r="R2855" s="14" t="n">
        <v>4.25</v>
      </c>
      <c r="S2855" s="14" t="n">
        <v>14</v>
      </c>
    </row>
    <row r="2856" customFormat="false" ht="15" hidden="false" customHeight="false" outlineLevel="0" collapsed="false">
      <c r="A2856" s="13" t="n">
        <v>46253</v>
      </c>
      <c r="B2856" s="14" t="n">
        <v>3.62</v>
      </c>
      <c r="C2856" s="14" t="n">
        <v>3.75</v>
      </c>
      <c r="D2856" s="14" t="n">
        <v>3.5</v>
      </c>
      <c r="E2856" s="14" t="n">
        <v>2.188</v>
      </c>
      <c r="F2856" s="14" t="n">
        <v>2.25</v>
      </c>
      <c r="G2856" s="14" t="n">
        <v>3.75</v>
      </c>
      <c r="H2856" s="14" t="n">
        <v>3.7313</v>
      </c>
      <c r="I2856" s="14" t="n">
        <v>3.73178739005163</v>
      </c>
      <c r="J2856" s="14" t="n">
        <v>3.77418884078811</v>
      </c>
      <c r="K2856" s="14" t="n">
        <v>3.87713431421702</v>
      </c>
      <c r="L2856" s="14" t="n">
        <v>4.06339195352535</v>
      </c>
      <c r="M2856" s="14" t="n">
        <v>1.4175</v>
      </c>
      <c r="N2856" s="14" t="n">
        <v>1.43</v>
      </c>
      <c r="O2856" s="14" t="n">
        <v>1.45</v>
      </c>
      <c r="P2856" s="14" t="n">
        <v>1.48</v>
      </c>
      <c r="Q2856" s="14" t="n">
        <v>4.25</v>
      </c>
      <c r="R2856" s="14" t="n">
        <v>4.25</v>
      </c>
      <c r="S2856" s="14" t="n">
        <v>14</v>
      </c>
    </row>
    <row r="2857" customFormat="false" ht="15" hidden="false" customHeight="false" outlineLevel="0" collapsed="false">
      <c r="A2857" s="13" t="n">
        <v>46254</v>
      </c>
      <c r="B2857" s="14" t="n">
        <v>3.63</v>
      </c>
      <c r="C2857" s="14" t="n">
        <v>3.75</v>
      </c>
      <c r="D2857" s="14" t="n">
        <v>3.5</v>
      </c>
      <c r="E2857" s="14" t="n">
        <v>2.191</v>
      </c>
      <c r="F2857" s="14" t="n">
        <v>2.25</v>
      </c>
      <c r="G2857" s="14" t="n">
        <v>3.75</v>
      </c>
      <c r="H2857" s="14" t="n">
        <v>3.7309</v>
      </c>
      <c r="I2857" s="14" t="n">
        <v>3.73226314884881</v>
      </c>
      <c r="J2857" s="14" t="n">
        <v>3.77868096791692</v>
      </c>
      <c r="K2857" s="14" t="n">
        <v>3.88487643353441</v>
      </c>
      <c r="L2857" s="14" t="n">
        <v>4.06564631773236</v>
      </c>
      <c r="M2857" s="14" t="n">
        <v>1.4175</v>
      </c>
      <c r="N2857" s="14" t="n">
        <v>1.43</v>
      </c>
      <c r="O2857" s="14" t="n">
        <v>1.45</v>
      </c>
      <c r="P2857" s="14" t="n">
        <v>1.48</v>
      </c>
      <c r="Q2857" s="14" t="n">
        <v>4.25</v>
      </c>
      <c r="R2857" s="14" t="n">
        <v>4.25</v>
      </c>
      <c r="S2857" s="14" t="n">
        <v>14</v>
      </c>
    </row>
    <row r="2858" customFormat="false" ht="15" hidden="false" customHeight="false" outlineLevel="0" collapsed="false">
      <c r="A2858" s="13" t="n">
        <v>46255</v>
      </c>
      <c r="B2858" s="14" t="n">
        <v>3.65</v>
      </c>
      <c r="C2858" s="14" t="n">
        <v>3.75</v>
      </c>
      <c r="D2858" s="14" t="n">
        <v>3.5</v>
      </c>
      <c r="E2858" s="14" t="n">
        <v>2.189</v>
      </c>
      <c r="F2858" s="14" t="n">
        <v>2.25</v>
      </c>
      <c r="G2858" s="14" t="n">
        <v>3.75</v>
      </c>
      <c r="H2858" s="14" t="n">
        <v>3.731</v>
      </c>
      <c r="I2858" s="14" t="n">
        <v>3.73238229120288</v>
      </c>
      <c r="J2858" s="14" t="n">
        <v>3.77906772866303</v>
      </c>
      <c r="K2858" s="14" t="n">
        <v>3.88302210760605</v>
      </c>
      <c r="L2858" s="14" t="n">
        <v>4.05791817132414</v>
      </c>
      <c r="M2858" s="14" t="n">
        <v>1.4173</v>
      </c>
      <c r="N2858" s="14" t="n">
        <v>1.43</v>
      </c>
      <c r="O2858" s="14" t="n">
        <v>1.451</v>
      </c>
      <c r="P2858" s="14" t="n">
        <v>1.48</v>
      </c>
      <c r="Q2858" s="14" t="n">
        <v>4.25</v>
      </c>
      <c r="R2858" s="14" t="n">
        <v>4.25</v>
      </c>
      <c r="S2858" s="14" t="n">
        <v>14</v>
      </c>
    </row>
    <row r="2859" customFormat="false" ht="15" hidden="false" customHeight="false" outlineLevel="0" collapsed="false">
      <c r="A2859" s="13" t="n">
        <v>46258</v>
      </c>
      <c r="B2859" s="14" t="n">
        <v>3.65</v>
      </c>
      <c r="C2859" s="14" t="n">
        <v>3.75</v>
      </c>
      <c r="D2859" s="14" t="n">
        <v>3.5</v>
      </c>
      <c r="E2859" s="14" t="n">
        <v>2.189</v>
      </c>
      <c r="F2859" s="14" t="n">
        <v>2.25</v>
      </c>
      <c r="G2859" s="14" t="n">
        <v>3.75</v>
      </c>
      <c r="H2859" s="14" t="n">
        <v>3.7311</v>
      </c>
      <c r="I2859" s="14" t="n">
        <v>3.733969753018</v>
      </c>
      <c r="J2859" s="14" t="n">
        <v>3.78591956609485</v>
      </c>
      <c r="K2859" s="14" t="n">
        <v>3.89767016057037</v>
      </c>
      <c r="L2859" s="14" t="n">
        <v>4.08551233251431</v>
      </c>
      <c r="M2859" s="14" t="n">
        <v>1.4175</v>
      </c>
      <c r="N2859" s="14" t="n">
        <v>1.43</v>
      </c>
      <c r="O2859" s="14" t="n">
        <v>1.45</v>
      </c>
      <c r="P2859" s="14" t="n">
        <v>1.48</v>
      </c>
      <c r="Q2859" s="14" t="n">
        <v>4.25</v>
      </c>
      <c r="R2859" s="14" t="n">
        <v>4.25</v>
      </c>
      <c r="S2859" s="14" t="n">
        <v>14</v>
      </c>
    </row>
    <row r="2860" customFormat="false" ht="15" hidden="false" customHeight="false" outlineLevel="0" collapsed="false">
      <c r="A2860" s="13" t="n">
        <v>46259</v>
      </c>
      <c r="B2860" s="14" t="n">
        <v>3.66</v>
      </c>
      <c r="C2860" s="14" t="n">
        <v>3.75</v>
      </c>
      <c r="D2860" s="14" t="n">
        <v>3.5</v>
      </c>
      <c r="E2860" s="14" t="n">
        <v>2.189</v>
      </c>
      <c r="F2860" s="14" t="n">
        <v>2.25</v>
      </c>
      <c r="G2860" s="14" t="n">
        <v>3.75</v>
      </c>
      <c r="H2860" s="14" t="n">
        <v>3.7316</v>
      </c>
      <c r="I2860" s="14" t="n">
        <v>3.73471035101532</v>
      </c>
      <c r="J2860" s="14" t="n">
        <v>3.78212136531047</v>
      </c>
      <c r="K2860" s="14" t="n">
        <v>3.87951388557394</v>
      </c>
      <c r="L2860" s="14" t="n">
        <v>4.04101185404105</v>
      </c>
      <c r="M2860" s="14" t="n">
        <v>1.4178</v>
      </c>
      <c r="N2860" s="14" t="n">
        <v>1.43</v>
      </c>
      <c r="O2860" s="14" t="n">
        <v>1.451</v>
      </c>
      <c r="P2860" s="14" t="n">
        <v>1.48</v>
      </c>
      <c r="Q2860" s="14" t="n">
        <v>4.25</v>
      </c>
      <c r="R2860" s="14" t="n">
        <v>4.25</v>
      </c>
      <c r="S2860" s="14" t="n">
        <v>14</v>
      </c>
    </row>
    <row r="2861" customFormat="false" ht="15" hidden="false" customHeight="false" outlineLevel="0" collapsed="false">
      <c r="A2861" s="13" t="n">
        <v>46260</v>
      </c>
      <c r="B2861" s="14" t="n">
        <v>3.64</v>
      </c>
      <c r="C2861" s="14" t="n">
        <v>3.75</v>
      </c>
      <c r="D2861" s="14" t="n">
        <v>3.5</v>
      </c>
      <c r="E2861" s="14" t="n">
        <v>2.187</v>
      </c>
      <c r="F2861" s="14" t="n">
        <v>2.25</v>
      </c>
      <c r="G2861" s="14" t="n">
        <v>3.75</v>
      </c>
      <c r="H2861" s="14" t="n">
        <v>3.7309</v>
      </c>
      <c r="I2861" s="14" t="n">
        <v>3.73501743332051</v>
      </c>
      <c r="J2861" s="14" t="n">
        <v>3.7822370971589</v>
      </c>
      <c r="K2861" s="14" t="n">
        <v>3.8865687932991</v>
      </c>
      <c r="L2861" s="14" t="n">
        <v>4.06781764189164</v>
      </c>
      <c r="M2861" s="14" t="n">
        <v>1.4178</v>
      </c>
      <c r="N2861" s="14" t="n">
        <v>1.43</v>
      </c>
      <c r="O2861" s="14" t="n">
        <v>1.45</v>
      </c>
      <c r="P2861" s="14" t="n">
        <v>1.48</v>
      </c>
      <c r="Q2861" s="14" t="n">
        <v>4.25</v>
      </c>
      <c r="R2861" s="14" t="n">
        <v>4.25</v>
      </c>
      <c r="S2861" s="14" t="n">
        <v>14</v>
      </c>
    </row>
    <row r="2862" customFormat="false" ht="15" hidden="false" customHeight="false" outlineLevel="0" collapsed="false">
      <c r="A2862" s="13" t="n">
        <v>46261</v>
      </c>
      <c r="B2862" s="14" t="n">
        <v>3.64</v>
      </c>
      <c r="C2862" s="14" t="n">
        <v>3.75</v>
      </c>
      <c r="D2862" s="14" t="n">
        <v>3.5</v>
      </c>
      <c r="E2862" s="14" t="n">
        <v>2.188</v>
      </c>
      <c r="F2862" s="14" t="n">
        <v>2.25</v>
      </c>
      <c r="G2862" s="14" t="n">
        <v>3.75</v>
      </c>
      <c r="H2862" s="14" t="n">
        <v>3.7303</v>
      </c>
      <c r="I2862" s="14" t="n">
        <v>3.73443051871234</v>
      </c>
      <c r="J2862" s="14" t="n">
        <v>3.77946638394899</v>
      </c>
      <c r="K2862" s="14" t="n">
        <v>3.88127159905627</v>
      </c>
      <c r="L2862" s="14" t="n">
        <v>4.05725401266264</v>
      </c>
      <c r="M2862" s="14" t="n">
        <v>1.418</v>
      </c>
      <c r="N2862" s="14" t="n">
        <v>1.43</v>
      </c>
      <c r="O2862" s="14" t="n">
        <v>1.45</v>
      </c>
      <c r="P2862" s="14" t="n">
        <v>1.48</v>
      </c>
      <c r="Q2862" s="14" t="n">
        <v>4.25</v>
      </c>
      <c r="R2862" s="14" t="n">
        <v>4.25</v>
      </c>
      <c r="S2862" s="14" t="n">
        <v>14</v>
      </c>
    </row>
    <row r="2863" customFormat="false" ht="15" hidden="false" customHeight="false" outlineLevel="0" collapsed="false">
      <c r="A2863" s="13" t="n">
        <v>46262</v>
      </c>
      <c r="B2863" s="14" t="n">
        <v>3.65</v>
      </c>
      <c r="C2863" s="14" t="n">
        <v>3.75</v>
      </c>
      <c r="D2863" s="14" t="n">
        <v>3.5</v>
      </c>
      <c r="E2863" s="14" t="n">
        <v>2.19</v>
      </c>
      <c r="F2863" s="14" t="n">
        <v>2.25</v>
      </c>
      <c r="G2863" s="14" t="n">
        <v>3.75</v>
      </c>
      <c r="H2863" s="14" t="n">
        <v>3.7308</v>
      </c>
      <c r="I2863" s="14" t="n">
        <v>3.73542964776807</v>
      </c>
      <c r="J2863" s="14" t="n">
        <v>3.78634866274957</v>
      </c>
      <c r="K2863" s="14" t="n">
        <v>3.90134329893556</v>
      </c>
      <c r="L2863" s="14" t="n">
        <v>4.09917242732344</v>
      </c>
      <c r="M2863" s="14" t="n">
        <v>1.417</v>
      </c>
      <c r="N2863" s="14" t="n">
        <v>1.43</v>
      </c>
      <c r="O2863" s="14" t="n">
        <v>1.45</v>
      </c>
      <c r="P2863" s="14" t="n">
        <v>1.48</v>
      </c>
      <c r="Q2863" s="14" t="n">
        <v>4.25</v>
      </c>
      <c r="R2863" s="14" t="n">
        <v>4.25</v>
      </c>
      <c r="S2863" s="14" t="n">
        <v>14</v>
      </c>
    </row>
    <row r="2864" customFormat="false" ht="15" hidden="false" customHeight="false" outlineLevel="0" collapsed="false">
      <c r="A2864" s="13" t="n">
        <v>46265</v>
      </c>
      <c r="B2864" s="14" t="n">
        <v>3.68</v>
      </c>
      <c r="C2864" s="14" t="n">
        <v>3.75</v>
      </c>
      <c r="D2864" s="14" t="n">
        <v>3.5</v>
      </c>
      <c r="E2864" s="14" t="n">
        <v>2.185</v>
      </c>
      <c r="F2864" s="14" t="n">
        <v>2.25</v>
      </c>
      <c r="M2864" s="14" t="n">
        <v>1.4168</v>
      </c>
      <c r="N2864" s="14" t="n">
        <v>1.43</v>
      </c>
      <c r="O2864" s="14" t="n">
        <v>1.45</v>
      </c>
      <c r="P2864" s="14" t="n">
        <v>1.48</v>
      </c>
      <c r="Q2864" s="14" t="n">
        <v>4.25</v>
      </c>
      <c r="R2864" s="14" t="n">
        <v>4.25</v>
      </c>
      <c r="S2864" s="14" t="n">
        <v>14</v>
      </c>
    </row>
    <row r="2865" customFormat="false" ht="15" hidden="false" customHeight="false" outlineLevel="0" collapsed="false">
      <c r="A2865" s="13" t="n">
        <v>46266</v>
      </c>
      <c r="B2865" s="14" t="n">
        <v>3.66</v>
      </c>
      <c r="C2865" s="14" t="n">
        <v>3.75</v>
      </c>
      <c r="D2865" s="14" t="n">
        <v>3.5</v>
      </c>
      <c r="E2865" s="14" t="n">
        <v>2.188</v>
      </c>
      <c r="F2865" s="14" t="n">
        <v>2.25</v>
      </c>
      <c r="G2865" s="14" t="n">
        <v>3.75</v>
      </c>
      <c r="H2865" s="14" t="n">
        <v>3.7302</v>
      </c>
      <c r="I2865" s="14" t="n">
        <v>3.73964043885332</v>
      </c>
      <c r="J2865" s="14" t="n">
        <v>3.80497245125762</v>
      </c>
      <c r="K2865" s="14" t="n">
        <v>3.95187035548397</v>
      </c>
      <c r="L2865" s="14" t="n">
        <v>4.19451557908418</v>
      </c>
      <c r="M2865" s="14" t="n">
        <v>1.417</v>
      </c>
      <c r="N2865" s="14" t="n">
        <v>1.43</v>
      </c>
      <c r="O2865" s="14" t="n">
        <v>1.45</v>
      </c>
      <c r="P2865" s="14" t="n">
        <v>1.48</v>
      </c>
      <c r="Q2865" s="14" t="n">
        <v>4.25</v>
      </c>
      <c r="R2865" s="14" t="n">
        <v>4.25</v>
      </c>
      <c r="S2865" s="14" t="n">
        <v>14</v>
      </c>
    </row>
    <row r="2866" customFormat="false" ht="15" hidden="false" customHeight="false" outlineLevel="0" collapsed="false">
      <c r="A2866" s="13" t="n">
        <v>46267</v>
      </c>
      <c r="B2866" s="14" t="n">
        <v>3.65</v>
      </c>
      <c r="C2866" s="14" t="n">
        <v>3.75</v>
      </c>
      <c r="D2866" s="14" t="n">
        <v>3.5</v>
      </c>
      <c r="E2866" s="14" t="n">
        <v>2.188</v>
      </c>
      <c r="F2866" s="14" t="n">
        <v>2.25</v>
      </c>
      <c r="G2866" s="14" t="n">
        <v>3.75</v>
      </c>
      <c r="H2866" s="14" t="n">
        <v>3.7298</v>
      </c>
      <c r="I2866" s="14" t="n">
        <v>3.74289903385428</v>
      </c>
      <c r="J2866" s="14" t="n">
        <v>3.80760077704015</v>
      </c>
      <c r="K2866" s="14" t="n">
        <v>3.9469560064119</v>
      </c>
      <c r="L2866" s="14" t="n">
        <v>4.17960330137924</v>
      </c>
      <c r="M2866" s="14" t="n">
        <v>1.418</v>
      </c>
      <c r="N2866" s="14" t="n">
        <v>1.43</v>
      </c>
      <c r="O2866" s="14" t="n">
        <v>1.45</v>
      </c>
      <c r="P2866" s="14" t="n">
        <v>1.48</v>
      </c>
      <c r="Q2866" s="14" t="n">
        <v>4.25</v>
      </c>
      <c r="R2866" s="14" t="n">
        <v>4.25</v>
      </c>
      <c r="S2866" s="14" t="n">
        <v>14</v>
      </c>
    </row>
    <row r="2867" customFormat="false" ht="15" hidden="false" customHeight="false" outlineLevel="0" collapsed="false">
      <c r="A2867" s="13" t="n">
        <v>46268</v>
      </c>
      <c r="B2867" s="14" t="n">
        <v>3.66</v>
      </c>
      <c r="C2867" s="14" t="n">
        <v>3.75</v>
      </c>
      <c r="D2867" s="14" t="n">
        <v>3.5</v>
      </c>
      <c r="E2867" s="14" t="n">
        <v>2.189</v>
      </c>
      <c r="F2867" s="14" t="n">
        <v>2.25</v>
      </c>
      <c r="G2867" s="14" t="n">
        <v>3.75</v>
      </c>
      <c r="H2867" s="14" t="n">
        <v>3.7301</v>
      </c>
      <c r="I2867" s="14" t="n">
        <v>3.74225126481187</v>
      </c>
      <c r="J2867" s="14" t="n">
        <v>3.79772329695965</v>
      </c>
      <c r="K2867" s="14" t="n">
        <v>3.92097877972913</v>
      </c>
      <c r="L2867" s="14" t="n">
        <v>4.12466893302898</v>
      </c>
      <c r="M2867" s="14" t="n">
        <v>1.418</v>
      </c>
      <c r="N2867" s="14" t="n">
        <v>1.43</v>
      </c>
      <c r="O2867" s="14" t="n">
        <v>1.45</v>
      </c>
      <c r="P2867" s="14" t="n">
        <v>1.48</v>
      </c>
      <c r="Q2867" s="14" t="n">
        <v>4.25</v>
      </c>
      <c r="R2867" s="14" t="n">
        <v>4.25</v>
      </c>
      <c r="S2867" s="14" t="n">
        <v>14</v>
      </c>
    </row>
    <row r="2868" customFormat="false" ht="15" hidden="false" customHeight="false" outlineLevel="0" collapsed="false">
      <c r="A2868" s="13" t="n">
        <v>46269</v>
      </c>
      <c r="B2868" s="14" t="n">
        <v>3.65</v>
      </c>
      <c r="C2868" s="14" t="n">
        <v>3.75</v>
      </c>
      <c r="D2868" s="14" t="n">
        <v>3.5</v>
      </c>
      <c r="E2868" s="14" t="n">
        <v>2.189</v>
      </c>
      <c r="F2868" s="14" t="n">
        <v>2.25</v>
      </c>
      <c r="G2868" s="14" t="n">
        <v>3.75</v>
      </c>
      <c r="H2868" s="14" t="n">
        <v>3.7303</v>
      </c>
      <c r="I2868" s="14" t="n">
        <v>3.73499051697277</v>
      </c>
      <c r="J2868" s="14" t="n">
        <v>3.78875348521061</v>
      </c>
      <c r="K2868" s="14" t="n">
        <v>3.91504646221188</v>
      </c>
      <c r="L2868" s="14" t="n">
        <v>4.123488155927</v>
      </c>
      <c r="M2868" s="14" t="n">
        <v>1.4188</v>
      </c>
      <c r="N2868" s="14" t="n">
        <v>1.43</v>
      </c>
      <c r="O2868" s="14" t="n">
        <v>1.451</v>
      </c>
      <c r="P2868" s="14" t="n">
        <v>1.48</v>
      </c>
      <c r="Q2868" s="14" t="n">
        <v>4.25</v>
      </c>
      <c r="R2868" s="14" t="n">
        <v>4.25</v>
      </c>
      <c r="S2868" s="14" t="n">
        <v>14</v>
      </c>
    </row>
    <row r="2869" customFormat="false" ht="15" hidden="false" customHeight="false" outlineLevel="0" collapsed="false">
      <c r="A2869" s="13" t="n">
        <v>46272</v>
      </c>
      <c r="C2869" s="14" t="n">
        <v>3.75</v>
      </c>
      <c r="D2869" s="14" t="n">
        <v>3.5</v>
      </c>
      <c r="E2869" s="14" t="n">
        <v>2.188</v>
      </c>
      <c r="F2869" s="14" t="n">
        <v>2.25</v>
      </c>
      <c r="G2869" s="14" t="n">
        <v>3.75</v>
      </c>
      <c r="H2869" s="14" t="n">
        <v>3.7293</v>
      </c>
      <c r="I2869" s="14" t="n">
        <v>3.73871223849277</v>
      </c>
      <c r="J2869" s="14" t="n">
        <v>3.79810816747333</v>
      </c>
      <c r="K2869" s="14" t="n">
        <v>3.93551000848641</v>
      </c>
      <c r="L2869" s="14" t="n">
        <v>4.15593280477857</v>
      </c>
      <c r="M2869" s="14" t="n">
        <v>1.4188</v>
      </c>
      <c r="N2869" s="14" t="n">
        <v>1.43</v>
      </c>
      <c r="O2869" s="14" t="n">
        <v>1.45</v>
      </c>
      <c r="P2869" s="14" t="n">
        <v>1.48</v>
      </c>
      <c r="Q2869" s="14" t="n">
        <v>4.25</v>
      </c>
      <c r="R2869" s="14" t="n">
        <v>4.25</v>
      </c>
      <c r="S2869" s="14" t="n">
        <v>14</v>
      </c>
    </row>
    <row r="2870" customFormat="false" ht="15" hidden="false" customHeight="false" outlineLevel="0" collapsed="false">
      <c r="A2870" s="13" t="n">
        <v>46273</v>
      </c>
      <c r="B2870" s="14" t="n">
        <v>3.64</v>
      </c>
      <c r="C2870" s="14" t="n">
        <v>3.75</v>
      </c>
      <c r="D2870" s="14" t="n">
        <v>3.5</v>
      </c>
      <c r="E2870" s="14" t="n">
        <v>2.188</v>
      </c>
      <c r="F2870" s="14" t="n">
        <v>2.25</v>
      </c>
      <c r="G2870" s="14" t="n">
        <v>3.75</v>
      </c>
      <c r="H2870" s="14" t="n">
        <v>3.7302</v>
      </c>
      <c r="I2870" s="14" t="n">
        <v>3.73957121232541</v>
      </c>
      <c r="J2870" s="14" t="n">
        <v>3.80009459986496</v>
      </c>
      <c r="K2870" s="14" t="n">
        <v>3.93707172157201</v>
      </c>
      <c r="L2870" s="14" t="n">
        <v>4.16015602440755</v>
      </c>
      <c r="M2870" s="14" t="n">
        <v>1.418</v>
      </c>
      <c r="N2870" s="14" t="n">
        <v>1.43</v>
      </c>
      <c r="O2870" s="14" t="n">
        <v>1.45</v>
      </c>
      <c r="P2870" s="14" t="n">
        <v>1.48</v>
      </c>
      <c r="Q2870" s="14" t="n">
        <v>4.25</v>
      </c>
      <c r="R2870" s="14" t="n">
        <v>4.25</v>
      </c>
      <c r="S2870" s="14" t="n">
        <v>14</v>
      </c>
    </row>
    <row r="2871" customFormat="false" ht="15" hidden="false" customHeight="false" outlineLevel="0" collapsed="false">
      <c r="A2871" s="13" t="n">
        <v>46274</v>
      </c>
      <c r="B2871" s="14" t="n">
        <v>3.64</v>
      </c>
      <c r="C2871" s="14" t="n">
        <v>3.75</v>
      </c>
      <c r="D2871" s="14" t="n">
        <v>3.5</v>
      </c>
      <c r="E2871" s="14" t="n">
        <v>2.189</v>
      </c>
      <c r="F2871" s="14" t="n">
        <v>2.25</v>
      </c>
      <c r="G2871" s="14" t="n">
        <v>3.75</v>
      </c>
      <c r="H2871" s="14" t="n">
        <v>3.7296</v>
      </c>
      <c r="I2871" s="14" t="n">
        <v>3.74283185862101</v>
      </c>
      <c r="J2871" s="14" t="n">
        <v>3.81276296499767</v>
      </c>
      <c r="K2871" s="14" t="n">
        <v>3.96807153841826</v>
      </c>
      <c r="L2871" s="14" t="n">
        <v>4.22219388381252</v>
      </c>
      <c r="M2871" s="14" t="n">
        <v>1.418</v>
      </c>
      <c r="N2871" s="14" t="n">
        <v>1.43</v>
      </c>
      <c r="O2871" s="14" t="n">
        <v>1.451</v>
      </c>
      <c r="P2871" s="14" t="n">
        <v>1.48</v>
      </c>
      <c r="Q2871" s="14" t="n">
        <v>4.25</v>
      </c>
      <c r="R2871" s="14" t="n">
        <v>4.25</v>
      </c>
      <c r="S2871" s="14" t="n">
        <v>14</v>
      </c>
    </row>
    <row r="2872" customFormat="false" ht="15" hidden="false" customHeight="false" outlineLevel="0" collapsed="false">
      <c r="A2872" s="13" t="n">
        <v>46275</v>
      </c>
      <c r="B2872" s="14" t="n">
        <v>3.62</v>
      </c>
      <c r="C2872" s="14" t="n">
        <v>3.75</v>
      </c>
      <c r="D2872" s="14" t="n">
        <v>3.5</v>
      </c>
      <c r="E2872" s="14" t="n">
        <v>2.19</v>
      </c>
      <c r="F2872" s="14" t="n">
        <v>2.25</v>
      </c>
      <c r="G2872" s="14" t="n">
        <v>3.75</v>
      </c>
      <c r="H2872" s="14" t="n">
        <v>3.7305</v>
      </c>
      <c r="I2872" s="14" t="n">
        <v>3.76189647963943</v>
      </c>
      <c r="J2872" s="14" t="n">
        <v>3.85547638636335</v>
      </c>
      <c r="K2872" s="14" t="n">
        <v>4.06024581990993</v>
      </c>
      <c r="L2872" s="14" t="n">
        <v>4.38778822950324</v>
      </c>
      <c r="M2872" s="14" t="n">
        <v>1.4189</v>
      </c>
      <c r="N2872" s="14" t="n">
        <v>1.43</v>
      </c>
      <c r="O2872" s="14" t="n">
        <v>1.451</v>
      </c>
      <c r="P2872" s="14" t="n">
        <v>1.48</v>
      </c>
      <c r="Q2872" s="14" t="n">
        <v>4.25</v>
      </c>
      <c r="R2872" s="14" t="n">
        <v>4.25</v>
      </c>
      <c r="S2872" s="14" t="n">
        <v>14</v>
      </c>
    </row>
    <row r="2873" customFormat="false" ht="15" hidden="false" customHeight="false" outlineLevel="0" collapsed="false">
      <c r="A2873" s="13" t="n">
        <v>46276</v>
      </c>
      <c r="B2873" s="14" t="n">
        <v>3.62</v>
      </c>
      <c r="C2873" s="14" t="n">
        <v>3.75</v>
      </c>
      <c r="D2873" s="14" t="n">
        <v>3.5</v>
      </c>
      <c r="E2873" s="14" t="n">
        <v>2.189</v>
      </c>
      <c r="F2873" s="14" t="n">
        <v>2.25</v>
      </c>
      <c r="G2873" s="14" t="n">
        <v>3.75</v>
      </c>
      <c r="H2873" s="14" t="n">
        <v>3.7307</v>
      </c>
      <c r="I2873" s="14" t="n">
        <v>3.76949720886737</v>
      </c>
      <c r="J2873" s="14" t="n">
        <v>3.86532611644033</v>
      </c>
      <c r="K2873" s="14" t="n">
        <v>4.05670056905383</v>
      </c>
      <c r="L2873" s="14" t="n">
        <v>4.35516457839236</v>
      </c>
      <c r="M2873" s="14" t="n">
        <v>1.4189</v>
      </c>
      <c r="N2873" s="14" t="n">
        <v>1.43</v>
      </c>
      <c r="O2873" s="14" t="n">
        <v>1.452</v>
      </c>
      <c r="P2873" s="14" t="n">
        <v>1.48</v>
      </c>
      <c r="Q2873" s="14" t="n">
        <v>4.25</v>
      </c>
      <c r="R2873" s="14" t="n">
        <v>4.25</v>
      </c>
      <c r="S2873" s="14" t="n">
        <v>14</v>
      </c>
    </row>
    <row r="2874" customFormat="false" ht="15" hidden="false" customHeight="false" outlineLevel="0" collapsed="false">
      <c r="A2874" s="13" t="n">
        <v>46279</v>
      </c>
      <c r="B2874" s="14" t="n">
        <v>3.62</v>
      </c>
      <c r="C2874" s="14" t="n">
        <v>3.75</v>
      </c>
      <c r="D2874" s="14" t="n">
        <v>3.5</v>
      </c>
      <c r="E2874" s="14" t="n">
        <v>2.19</v>
      </c>
      <c r="F2874" s="14" t="n">
        <v>2.25</v>
      </c>
      <c r="G2874" s="14" t="n">
        <v>3.75</v>
      </c>
      <c r="H2874" s="14" t="n">
        <v>3.7312</v>
      </c>
      <c r="I2874" s="14" t="n">
        <v>3.78099009635168</v>
      </c>
      <c r="J2874" s="14" t="n">
        <v>3.88268922468426</v>
      </c>
      <c r="K2874" s="14" t="n">
        <v>4.075780356483</v>
      </c>
      <c r="L2874" s="14" t="n">
        <v>4.38186445849307</v>
      </c>
      <c r="M2874" s="14" t="n">
        <v>1.42</v>
      </c>
      <c r="N2874" s="14" t="n">
        <v>1.43</v>
      </c>
      <c r="O2874" s="14" t="n">
        <v>1.45</v>
      </c>
      <c r="P2874" s="14" t="n">
        <v>1.48</v>
      </c>
      <c r="Q2874" s="14" t="n">
        <v>4.25</v>
      </c>
      <c r="R2874" s="14" t="n">
        <v>4.25</v>
      </c>
      <c r="S2874" s="14" t="n">
        <v>14</v>
      </c>
    </row>
    <row r="2875" customFormat="false" ht="15" hidden="false" customHeight="false" outlineLevel="0" collapsed="false">
      <c r="A2875" s="13" t="n">
        <v>46280</v>
      </c>
      <c r="B2875" s="14" t="n">
        <v>3.64</v>
      </c>
      <c r="C2875" s="14" t="n">
        <v>3.75</v>
      </c>
      <c r="D2875" s="14" t="n">
        <v>3.5</v>
      </c>
      <c r="E2875" s="14" t="n">
        <v>2.19</v>
      </c>
      <c r="F2875" s="14" t="n">
        <v>2.25</v>
      </c>
      <c r="G2875" s="14" t="n">
        <v>3.75</v>
      </c>
      <c r="H2875" s="14" t="n">
        <v>3.7302</v>
      </c>
      <c r="I2875" s="14" t="n">
        <v>3.78549983428323</v>
      </c>
      <c r="J2875" s="14" t="n">
        <v>3.89369442319721</v>
      </c>
      <c r="K2875" s="14" t="n">
        <v>4.08879040613335</v>
      </c>
      <c r="L2875" s="14" t="n">
        <v>4.39521855618193</v>
      </c>
      <c r="M2875" s="14" t="n">
        <v>1.421</v>
      </c>
      <c r="N2875" s="14" t="n">
        <v>1.43</v>
      </c>
      <c r="O2875" s="14" t="n">
        <v>1.451</v>
      </c>
      <c r="P2875" s="14" t="n">
        <v>1.48</v>
      </c>
      <c r="Q2875" s="14" t="n">
        <v>4.25</v>
      </c>
      <c r="R2875" s="14" t="n">
        <v>4.25</v>
      </c>
      <c r="S2875" s="14" t="n">
        <v>14</v>
      </c>
    </row>
    <row r="2876" customFormat="false" ht="15" hidden="false" customHeight="false" outlineLevel="0" collapsed="false">
      <c r="A2876" s="13" t="n">
        <v>46281</v>
      </c>
      <c r="B2876" s="14" t="n">
        <v>3.62</v>
      </c>
      <c r="C2876" s="14" t="n">
        <v>3.75</v>
      </c>
      <c r="D2876" s="14" t="n">
        <v>3.5</v>
      </c>
      <c r="E2876" s="14" t="n">
        <v>2.441</v>
      </c>
      <c r="F2876" s="14" t="n">
        <v>2.5</v>
      </c>
      <c r="G2876" s="14" t="n">
        <v>3.75</v>
      </c>
      <c r="H2876" s="14" t="n">
        <v>3.7303</v>
      </c>
      <c r="I2876" s="14" t="n">
        <v>3.75063643039988</v>
      </c>
      <c r="J2876" s="14" t="n">
        <v>3.84900504240626</v>
      </c>
      <c r="K2876" s="14" t="n">
        <v>4.03113449122803</v>
      </c>
      <c r="L2876" s="14" t="n">
        <v>4.31250348455864</v>
      </c>
      <c r="M2876" s="14" t="n">
        <v>1.422</v>
      </c>
      <c r="N2876" s="14" t="n">
        <v>1.43</v>
      </c>
      <c r="O2876" s="14" t="n">
        <v>1.45</v>
      </c>
      <c r="P2876" s="14" t="n">
        <v>1.48</v>
      </c>
      <c r="Q2876" s="14" t="n">
        <v>4.25</v>
      </c>
      <c r="R2876" s="14" t="n">
        <v>4.25</v>
      </c>
      <c r="S2876" s="14" t="n">
        <v>14</v>
      </c>
    </row>
    <row r="2877" customFormat="false" ht="15" hidden="false" customHeight="false" outlineLevel="0" collapsed="false">
      <c r="A2877" s="13" t="n">
        <v>46282</v>
      </c>
      <c r="B2877" s="14" t="n">
        <v>3.85</v>
      </c>
      <c r="C2877" s="14" t="n">
        <v>4</v>
      </c>
      <c r="D2877" s="14" t="n">
        <v>3.75</v>
      </c>
      <c r="E2877" s="14" t="n">
        <v>2.44</v>
      </c>
      <c r="F2877" s="14" t="n">
        <v>2.5</v>
      </c>
      <c r="G2877" s="14" t="n">
        <v>3.75</v>
      </c>
      <c r="H2877" s="14" t="n">
        <v>3.7304</v>
      </c>
      <c r="I2877" s="14" t="n">
        <v>3.73217191650491</v>
      </c>
      <c r="J2877" s="14" t="n">
        <v>3.8381357316686</v>
      </c>
      <c r="K2877" s="14" t="n">
        <v>4.03447287754928</v>
      </c>
      <c r="L2877" s="14" t="n">
        <v>4.33866770609715</v>
      </c>
      <c r="M2877" s="14" t="n">
        <v>1.4222</v>
      </c>
      <c r="N2877" s="14" t="n">
        <v>1.43</v>
      </c>
      <c r="O2877" s="14" t="n">
        <v>1.45</v>
      </c>
      <c r="P2877" s="14" t="n">
        <v>1.48</v>
      </c>
      <c r="Q2877" s="14" t="n">
        <v>4.25</v>
      </c>
      <c r="R2877" s="14" t="n">
        <v>4.25</v>
      </c>
      <c r="S2877" s="14" t="n">
        <v>13.75</v>
      </c>
    </row>
    <row r="2878" customFormat="false" ht="15" hidden="false" customHeight="false" outlineLevel="0" collapsed="false">
      <c r="A2878" s="13" t="n">
        <v>46283</v>
      </c>
      <c r="B2878" s="14" t="n">
        <v>3.85</v>
      </c>
      <c r="C2878" s="14" t="n">
        <v>4</v>
      </c>
      <c r="D2878" s="14" t="n">
        <v>3.75</v>
      </c>
      <c r="E2878" s="14" t="n">
        <v>2.441</v>
      </c>
      <c r="F2878" s="14" t="n">
        <v>2.5</v>
      </c>
      <c r="G2878" s="14" t="n">
        <v>3.75</v>
      </c>
      <c r="H2878" s="14" t="n">
        <v>3.7301</v>
      </c>
      <c r="I2878" s="14" t="n">
        <v>3.73288703892135</v>
      </c>
      <c r="J2878" s="14" t="n">
        <v>3.83967755345598</v>
      </c>
      <c r="K2878" s="14" t="n">
        <v>4.03529870223683</v>
      </c>
      <c r="L2878" s="14" t="n">
        <v>4.35432070223853</v>
      </c>
      <c r="M2878" s="14" t="n">
        <v>1.4242</v>
      </c>
      <c r="N2878" s="14" t="n">
        <v>1.43</v>
      </c>
      <c r="O2878" s="14" t="n">
        <v>1.451</v>
      </c>
      <c r="P2878" s="14" t="n">
        <v>1.48</v>
      </c>
      <c r="Q2878" s="14" t="n">
        <v>4.25</v>
      </c>
      <c r="R2878" s="14" t="n">
        <v>4.25</v>
      </c>
      <c r="S2878" s="14" t="n">
        <v>13.75</v>
      </c>
    </row>
    <row r="2879" customFormat="false" ht="15" hidden="false" customHeight="false" outlineLevel="0" collapsed="false">
      <c r="A2879" s="13" t="n">
        <v>46285</v>
      </c>
      <c r="C2879" s="14" t="n">
        <v>4</v>
      </c>
      <c r="D2879" s="14" t="n">
        <v>3.75</v>
      </c>
      <c r="F2879" s="14" t="n">
        <v>2.5</v>
      </c>
      <c r="M2879" s="14" t="n">
        <v>1.424</v>
      </c>
      <c r="N2879" s="14" t="n">
        <v>1.431</v>
      </c>
      <c r="O2879" s="14" t="n">
        <v>1.45</v>
      </c>
      <c r="P2879" s="14" t="n">
        <v>1.48</v>
      </c>
      <c r="S2879" s="14" t="n">
        <v>13.75</v>
      </c>
    </row>
    <row r="2880" customFormat="false" ht="15" hidden="false" customHeight="false" outlineLevel="0" collapsed="false">
      <c r="A2880" s="13" t="n">
        <v>46286</v>
      </c>
      <c r="B2880" s="14" t="n">
        <v>3.85</v>
      </c>
      <c r="C2880" s="14" t="n">
        <v>4</v>
      </c>
      <c r="D2880" s="14" t="n">
        <v>3.75</v>
      </c>
      <c r="E2880" s="14" t="n">
        <v>2.44</v>
      </c>
      <c r="F2880" s="14" t="n">
        <v>2.5</v>
      </c>
      <c r="G2880" s="14" t="n">
        <v>3.75</v>
      </c>
      <c r="H2880" s="14" t="n">
        <v>3.7303</v>
      </c>
      <c r="I2880" s="14" t="n">
        <v>3.73600791813662</v>
      </c>
      <c r="J2880" s="14" t="n">
        <v>3.84018903779343</v>
      </c>
      <c r="K2880" s="14" t="n">
        <v>4.02034262001906</v>
      </c>
      <c r="L2880" s="14" t="n">
        <v>4.31003811891188</v>
      </c>
      <c r="M2880" s="14" t="n">
        <v>1.4234</v>
      </c>
      <c r="N2880" s="14" t="n">
        <v>1.43</v>
      </c>
      <c r="O2880" s="14" t="n">
        <v>1.45</v>
      </c>
      <c r="P2880" s="14" t="n">
        <v>1.48</v>
      </c>
      <c r="Q2880" s="14" t="n">
        <v>4.25</v>
      </c>
      <c r="R2880" s="14" t="n">
        <v>4.25</v>
      </c>
      <c r="S2880" s="14" t="n">
        <v>13.75</v>
      </c>
    </row>
    <row r="2881" customFormat="false" ht="15" hidden="false" customHeight="false" outlineLevel="0" collapsed="false">
      <c r="A2881" s="13" t="n">
        <v>46287</v>
      </c>
      <c r="B2881" s="14" t="n">
        <v>3.87</v>
      </c>
      <c r="C2881" s="14" t="n">
        <v>4</v>
      </c>
      <c r="D2881" s="14" t="n">
        <v>3.75</v>
      </c>
      <c r="E2881" s="14" t="n">
        <v>2.44</v>
      </c>
      <c r="F2881" s="14" t="n">
        <v>2.5</v>
      </c>
      <c r="G2881" s="14" t="n">
        <v>3.75</v>
      </c>
      <c r="H2881" s="14" t="n">
        <v>3.7305</v>
      </c>
      <c r="I2881" s="14" t="n">
        <v>3.73705314842242</v>
      </c>
      <c r="J2881" s="14" t="n">
        <v>3.84664878102296</v>
      </c>
      <c r="K2881" s="14" t="n">
        <v>4.03156729241593</v>
      </c>
      <c r="L2881" s="14" t="n">
        <v>4.33477801488128</v>
      </c>
      <c r="M2881" s="14" t="n">
        <v>1.4233</v>
      </c>
      <c r="N2881" s="14" t="n">
        <v>1.43</v>
      </c>
      <c r="O2881" s="14" t="n">
        <v>1.451</v>
      </c>
      <c r="P2881" s="14" t="n">
        <v>1.481</v>
      </c>
      <c r="Q2881" s="14" t="n">
        <v>4.25</v>
      </c>
      <c r="R2881" s="14" t="n">
        <v>4.25</v>
      </c>
      <c r="S2881" s="14" t="n">
        <v>13.75</v>
      </c>
    </row>
    <row r="2882" customFormat="false" ht="15" hidden="false" customHeight="false" outlineLevel="0" collapsed="false">
      <c r="A2882" s="13" t="n">
        <v>46288</v>
      </c>
      <c r="B2882" s="14" t="n">
        <v>3.87</v>
      </c>
      <c r="C2882" s="14" t="n">
        <v>4</v>
      </c>
      <c r="D2882" s="14" t="n">
        <v>3.75</v>
      </c>
      <c r="E2882" s="14" t="n">
        <v>2.439</v>
      </c>
      <c r="F2882" s="14" t="n">
        <v>2.5</v>
      </c>
      <c r="G2882" s="14" t="n">
        <v>3.75</v>
      </c>
      <c r="H2882" s="14" t="n">
        <v>3.7305</v>
      </c>
      <c r="I2882" s="14" t="n">
        <v>3.73764612089296</v>
      </c>
      <c r="J2882" s="14" t="n">
        <v>3.86234789286016</v>
      </c>
      <c r="K2882" s="14" t="n">
        <v>4.07086921994658</v>
      </c>
      <c r="L2882" s="14" t="n">
        <v>4.41394066635217</v>
      </c>
      <c r="M2882" s="14" t="n">
        <v>1.4253</v>
      </c>
      <c r="N2882" s="14" t="n">
        <v>1.43</v>
      </c>
      <c r="O2882" s="14" t="n">
        <v>1.4501</v>
      </c>
      <c r="P2882" s="14" t="n">
        <v>1.4801</v>
      </c>
      <c r="Q2882" s="14" t="n">
        <v>4.25</v>
      </c>
      <c r="R2882" s="14" t="n">
        <v>4.25</v>
      </c>
      <c r="S2882" s="14" t="n">
        <v>13.75</v>
      </c>
    </row>
    <row r="2883" customFormat="false" ht="15" hidden="false" customHeight="false" outlineLevel="0" collapsed="false">
      <c r="A2883" s="13" t="n">
        <v>46289</v>
      </c>
      <c r="B2883" s="14" t="n">
        <v>3.88</v>
      </c>
      <c r="C2883" s="14" t="n">
        <v>4</v>
      </c>
      <c r="D2883" s="14" t="n">
        <v>3.75</v>
      </c>
      <c r="E2883" s="14" t="n">
        <v>2.44</v>
      </c>
      <c r="F2883" s="14" t="n">
        <v>2.5</v>
      </c>
      <c r="G2883" s="14" t="n">
        <v>3.75</v>
      </c>
      <c r="H2883" s="14" t="n">
        <v>3.7305</v>
      </c>
      <c r="I2883" s="14" t="n">
        <v>3.73862587361767</v>
      </c>
      <c r="J2883" s="14" t="n">
        <v>3.85879637032921</v>
      </c>
      <c r="K2883" s="14" t="n">
        <v>4.0420362365867</v>
      </c>
      <c r="L2883" s="14" t="n">
        <v>4.34573402329091</v>
      </c>
      <c r="M2883" s="14" t="n">
        <v>1.426</v>
      </c>
      <c r="N2883" s="14" t="n">
        <v>1.43</v>
      </c>
      <c r="O2883" s="14" t="n">
        <v>1.45</v>
      </c>
      <c r="P2883" s="14" t="n">
        <v>1.48</v>
      </c>
      <c r="Q2883" s="14" t="n">
        <v>4.25</v>
      </c>
      <c r="R2883" s="14" t="n">
        <v>4.25</v>
      </c>
      <c r="S2883" s="14" t="n">
        <v>13.75</v>
      </c>
    </row>
    <row r="2884" customFormat="false" ht="15" hidden="false" customHeight="false" outlineLevel="0" collapsed="false">
      <c r="A2884" s="13" t="n">
        <v>46290</v>
      </c>
      <c r="B2884" s="14" t="n">
        <v>3.9</v>
      </c>
      <c r="C2884" s="14" t="n">
        <v>4</v>
      </c>
      <c r="D2884" s="14" t="n">
        <v>3.75</v>
      </c>
      <c r="E2884" s="14" t="n">
        <v>2.44</v>
      </c>
      <c r="F2884" s="14" t="n">
        <v>2.5</v>
      </c>
      <c r="G2884" s="14" t="n">
        <v>3.75</v>
      </c>
      <c r="H2884" s="14" t="n">
        <v>3.73</v>
      </c>
      <c r="I2884" s="14" t="n">
        <v>3.73966815473344</v>
      </c>
      <c r="J2884" s="14" t="n">
        <v>3.85335641052276</v>
      </c>
      <c r="K2884" s="14" t="n">
        <v>4.02513935510979</v>
      </c>
      <c r="L2884" s="14" t="n">
        <v>4.31001763968129</v>
      </c>
      <c r="Q2884" s="14" t="n">
        <v>4.5</v>
      </c>
      <c r="R2884" s="14" t="n">
        <v>4.5</v>
      </c>
      <c r="S2884" s="14" t="n">
        <v>13.75</v>
      </c>
    </row>
    <row r="2885" customFormat="false" ht="15" hidden="false" customHeight="false" outlineLevel="0" collapsed="false">
      <c r="A2885" s="13" t="n">
        <v>46293</v>
      </c>
      <c r="B2885" s="14" t="n">
        <v>3.9</v>
      </c>
      <c r="C2885" s="14" t="n">
        <v>4</v>
      </c>
      <c r="D2885" s="14" t="n">
        <v>3.75</v>
      </c>
      <c r="E2885" s="14" t="n">
        <v>2.44</v>
      </c>
      <c r="F2885" s="14" t="n">
        <v>2.5</v>
      </c>
      <c r="G2885" s="14" t="n">
        <v>3.75</v>
      </c>
      <c r="H2885" s="14" t="n">
        <v>3.7302</v>
      </c>
      <c r="I2885" s="14" t="n">
        <v>3.74372997629679</v>
      </c>
      <c r="J2885" s="14" t="n">
        <v>3.87425551874492</v>
      </c>
      <c r="K2885" s="14" t="n">
        <v>4.06264686166241</v>
      </c>
      <c r="L2885" s="14" t="n">
        <v>4.36515232366826</v>
      </c>
      <c r="M2885" s="14" t="n">
        <v>1.4266</v>
      </c>
      <c r="N2885" s="14" t="n">
        <v>1.43</v>
      </c>
      <c r="O2885" s="14" t="n">
        <v>1.45</v>
      </c>
      <c r="P2885" s="14" t="n">
        <v>1.48</v>
      </c>
      <c r="Q2885" s="14" t="n">
        <v>4.5</v>
      </c>
      <c r="R2885" s="14" t="n">
        <v>4.5</v>
      </c>
      <c r="S2885" s="14" t="n">
        <v>13.75</v>
      </c>
    </row>
    <row r="2886" customFormat="false" ht="15" hidden="false" customHeight="false" outlineLevel="0" collapsed="false">
      <c r="A2886" s="13" t="n">
        <v>46294</v>
      </c>
      <c r="B2886" s="14" t="n">
        <v>3.88</v>
      </c>
      <c r="C2886" s="14" t="n">
        <v>4</v>
      </c>
      <c r="D2886" s="14" t="n">
        <v>3.75</v>
      </c>
      <c r="E2886" s="14" t="n">
        <v>2.439</v>
      </c>
      <c r="F2886" s="14" t="n">
        <v>2.5</v>
      </c>
      <c r="G2886" s="14" t="n">
        <v>3.75</v>
      </c>
      <c r="H2886" s="14" t="n">
        <v>3.7321</v>
      </c>
      <c r="I2886" s="14" t="n">
        <v>3.74527837809376</v>
      </c>
      <c r="J2886" s="14" t="n">
        <v>3.87688001420961</v>
      </c>
      <c r="K2886" s="14" t="n">
        <v>4.06736627835267</v>
      </c>
      <c r="L2886" s="14" t="n">
        <v>4.37971226266547</v>
      </c>
      <c r="M2886" s="14" t="n">
        <v>1.4237</v>
      </c>
      <c r="N2886" s="14" t="n">
        <v>1.43</v>
      </c>
      <c r="O2886" s="14" t="n">
        <v>1.45</v>
      </c>
      <c r="P2886" s="14" t="n">
        <v>1.48</v>
      </c>
      <c r="Q2886" s="14" t="n">
        <v>4.5</v>
      </c>
      <c r="R2886" s="14" t="n">
        <v>4.5</v>
      </c>
      <c r="S2886" s="14" t="n">
        <v>13.75</v>
      </c>
    </row>
    <row r="2887" customFormat="false" ht="15" hidden="false" customHeight="false" outlineLevel="0" collapsed="false">
      <c r="A2887" s="13" t="n">
        <v>46295</v>
      </c>
      <c r="B2887" s="14" t="n">
        <v>3.9</v>
      </c>
      <c r="C2887" s="14" t="n">
        <v>4</v>
      </c>
      <c r="D2887" s="14" t="n">
        <v>3.75</v>
      </c>
      <c r="E2887" s="14" t="n">
        <v>2.437</v>
      </c>
      <c r="F2887" s="14" t="n">
        <v>2.5</v>
      </c>
      <c r="G2887" s="14" t="n">
        <v>3.75</v>
      </c>
      <c r="H2887" s="14" t="n">
        <v>3.7329</v>
      </c>
      <c r="I2887" s="14" t="n">
        <v>3.74286372393588</v>
      </c>
      <c r="J2887" s="14" t="n">
        <v>3.88004313816067</v>
      </c>
      <c r="K2887" s="14" t="n">
        <v>4.06987010919522</v>
      </c>
      <c r="L2887" s="14" t="n">
        <v>4.37607836054114</v>
      </c>
      <c r="M2887" s="14" t="n">
        <v>1.421</v>
      </c>
      <c r="N2887" s="14" t="n">
        <v>1.43</v>
      </c>
      <c r="O2887" s="14" t="n">
        <v>1.45</v>
      </c>
      <c r="P2887" s="14" t="n">
        <v>1.48</v>
      </c>
      <c r="Q2887" s="14" t="n">
        <v>4.5</v>
      </c>
      <c r="R2887" s="14" t="n">
        <v>4.5</v>
      </c>
      <c r="S2887" s="14" t="n">
        <v>13.75</v>
      </c>
    </row>
    <row r="2888" customFormat="false" ht="15" hidden="false" customHeight="false" outlineLevel="0" collapsed="false">
      <c r="A2888" s="13" t="n">
        <v>46296</v>
      </c>
      <c r="B2888" s="14" t="n">
        <v>3.87</v>
      </c>
      <c r="C2888" s="14" t="n">
        <v>4</v>
      </c>
      <c r="D2888" s="14" t="n">
        <v>3.75</v>
      </c>
      <c r="E2888" s="14" t="n">
        <v>2.442</v>
      </c>
      <c r="F2888" s="14" t="n">
        <v>2.5</v>
      </c>
      <c r="G2888" s="14" t="n">
        <v>3.75</v>
      </c>
      <c r="H2888" s="14" t="n">
        <v>3.7331</v>
      </c>
      <c r="I2888" s="14" t="n">
        <v>3.74389322591118</v>
      </c>
      <c r="J2888" s="14" t="n">
        <v>3.87038018789013</v>
      </c>
      <c r="K2888" s="14" t="n">
        <v>4.03385940188584</v>
      </c>
      <c r="L2888" s="14" t="n">
        <v>4.2922870485303</v>
      </c>
      <c r="Q2888" s="14" t="n">
        <v>4.5</v>
      </c>
      <c r="R2888" s="14" t="n">
        <v>4.5</v>
      </c>
      <c r="S2888" s="14" t="n">
        <v>13.75</v>
      </c>
    </row>
    <row r="2889" customFormat="false" ht="15" hidden="false" customHeight="false" outlineLevel="0" collapsed="false">
      <c r="A2889" s="13" t="n">
        <v>46297</v>
      </c>
      <c r="B2889" s="14" t="n">
        <v>3.88</v>
      </c>
      <c r="C2889" s="14" t="n">
        <v>4</v>
      </c>
      <c r="D2889" s="14" t="n">
        <v>3.75</v>
      </c>
      <c r="E2889" s="14" t="n">
        <v>2.44</v>
      </c>
      <c r="F2889" s="14" t="n">
        <v>2.5</v>
      </c>
      <c r="G2889" s="14" t="n">
        <v>3.75</v>
      </c>
      <c r="H2889" s="14" t="n">
        <v>3.7317</v>
      </c>
      <c r="I2889" s="14" t="n">
        <v>3.74735188477292</v>
      </c>
      <c r="J2889" s="14" t="n">
        <v>3.88310490231848</v>
      </c>
      <c r="K2889" s="14" t="n">
        <v>4.05829235196426</v>
      </c>
      <c r="L2889" s="14" t="n">
        <v>4.33583703304851</v>
      </c>
      <c r="Q2889" s="14" t="n">
        <v>4.5</v>
      </c>
      <c r="R2889" s="14" t="n">
        <v>4.5</v>
      </c>
      <c r="S2889" s="14" t="n">
        <v>13.75</v>
      </c>
    </row>
    <row r="2890" customFormat="false" ht="15" hidden="false" customHeight="false" outlineLevel="0" collapsed="false">
      <c r="A2890" s="13" t="n">
        <v>46300</v>
      </c>
      <c r="B2890" s="14" t="n">
        <v>3.89</v>
      </c>
      <c r="C2890" s="14" t="n">
        <v>4</v>
      </c>
      <c r="D2890" s="14" t="n">
        <v>3.75</v>
      </c>
      <c r="E2890" s="14" t="n">
        <v>2.438</v>
      </c>
      <c r="F2890" s="14" t="n">
        <v>2.5</v>
      </c>
      <c r="G2890" s="14" t="n">
        <v>3.75</v>
      </c>
      <c r="H2890" s="14" t="n">
        <v>3.7323</v>
      </c>
      <c r="I2890" s="14" t="n">
        <v>3.75017552243246</v>
      </c>
      <c r="J2890" s="14" t="n">
        <v>3.89728239391897</v>
      </c>
      <c r="K2890" s="14" t="n">
        <v>4.07608696914918</v>
      </c>
      <c r="L2890" s="14" t="n">
        <v>4.34376872004637</v>
      </c>
      <c r="Q2890" s="14" t="n">
        <v>4.5</v>
      </c>
      <c r="R2890" s="14" t="n">
        <v>4.5</v>
      </c>
      <c r="S2890" s="14" t="n">
        <v>13.75</v>
      </c>
    </row>
    <row r="2891" customFormat="false" ht="15" hidden="false" customHeight="false" outlineLevel="0" collapsed="false">
      <c r="A2891" s="13" t="n">
        <v>46301</v>
      </c>
      <c r="C2891" s="14" t="n">
        <v>4</v>
      </c>
      <c r="D2891" s="14" t="n">
        <v>3.75</v>
      </c>
      <c r="E2891" s="14" t="n">
        <v>2.439</v>
      </c>
      <c r="F2891" s="14" t="n">
        <v>2.5</v>
      </c>
      <c r="G2891" s="14" t="n">
        <v>3.75</v>
      </c>
      <c r="Q2891" s="14" t="n">
        <v>4.5</v>
      </c>
      <c r="R2891" s="14" t="n">
        <v>4.5</v>
      </c>
      <c r="S2891" s="14" t="n">
        <v>13.75</v>
      </c>
    </row>
    <row r="2892" customFormat="false" ht="15" hidden="false" customHeight="false" outlineLevel="0" collapsed="false">
      <c r="A2892" s="13" t="n">
        <v>46302</v>
      </c>
      <c r="F2892" s="14" t="n">
        <v>2.5</v>
      </c>
      <c r="S2892" s="14" t="n">
        <v>13.75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2" min="2" style="0" width="11"/>
  </cols>
  <sheetData>
    <row r="1" customFormat="false" ht="16.15" hidden="false" customHeight="false" outlineLevel="0" collapsed="false">
      <c r="A1" s="1" t="s">
        <v>659</v>
      </c>
    </row>
    <row r="2" customFormat="false" ht="15" hidden="false" customHeight="false" outlineLevel="0" collapsed="false">
      <c r="A2" s="2" t="s">
        <v>660</v>
      </c>
    </row>
    <row r="4" customFormat="false" ht="74.6" hidden="false" customHeight="false" outlineLevel="0" collapsed="false">
      <c r="A4" s="7" t="s">
        <v>5</v>
      </c>
      <c r="B4" s="8" t="s">
        <v>108</v>
      </c>
      <c r="C4" s="8" t="s">
        <v>108</v>
      </c>
      <c r="D4" s="8" t="s">
        <v>108</v>
      </c>
      <c r="E4" s="8" t="s">
        <v>108</v>
      </c>
      <c r="F4" s="8" t="s">
        <v>108</v>
      </c>
      <c r="G4" s="8" t="s">
        <v>108</v>
      </c>
      <c r="H4" s="8" t="s">
        <v>108</v>
      </c>
      <c r="I4" s="8" t="s">
        <v>108</v>
      </c>
      <c r="J4" s="8" t="s">
        <v>214</v>
      </c>
      <c r="K4" s="8" t="s">
        <v>55</v>
      </c>
      <c r="L4" s="8" t="s">
        <v>55</v>
      </c>
      <c r="M4" s="8" t="s">
        <v>223</v>
      </c>
      <c r="N4" s="8" t="s">
        <v>223</v>
      </c>
      <c r="O4" s="8" t="s">
        <v>223</v>
      </c>
      <c r="P4" s="8" t="s">
        <v>223</v>
      </c>
      <c r="Q4" s="8" t="s">
        <v>214</v>
      </c>
      <c r="R4" s="8" t="s">
        <v>133</v>
      </c>
      <c r="S4" s="8" t="s">
        <v>133</v>
      </c>
      <c r="T4" s="8" t="s">
        <v>142</v>
      </c>
      <c r="U4" s="8" t="s">
        <v>142</v>
      </c>
      <c r="V4" s="8" t="s">
        <v>142</v>
      </c>
      <c r="W4" s="8" t="s">
        <v>142</v>
      </c>
      <c r="X4" s="8" t="s">
        <v>214</v>
      </c>
      <c r="Y4" s="8" t="s">
        <v>171</v>
      </c>
      <c r="Z4" s="8" t="s">
        <v>171</v>
      </c>
      <c r="AA4" s="8" t="s">
        <v>171</v>
      </c>
      <c r="AB4" s="8" t="s">
        <v>171</v>
      </c>
      <c r="AC4" s="8" t="s">
        <v>171</v>
      </c>
      <c r="AD4" s="8" t="s">
        <v>214</v>
      </c>
      <c r="AE4" s="8" t="s">
        <v>293</v>
      </c>
      <c r="AF4" s="8" t="s">
        <v>293</v>
      </c>
      <c r="AG4" s="8" t="s">
        <v>293</v>
      </c>
      <c r="AH4" s="8" t="s">
        <v>293</v>
      </c>
      <c r="AI4" s="8" t="s">
        <v>293</v>
      </c>
      <c r="AJ4" s="8" t="s">
        <v>293</v>
      </c>
      <c r="AK4" s="8" t="s">
        <v>293</v>
      </c>
      <c r="AL4" s="8" t="s">
        <v>293</v>
      </c>
      <c r="AM4" s="8" t="s">
        <v>293</v>
      </c>
      <c r="AN4" s="8" t="s">
        <v>214</v>
      </c>
      <c r="AO4" s="8" t="s">
        <v>156</v>
      </c>
      <c r="AP4" s="8" t="s">
        <v>156</v>
      </c>
      <c r="AQ4" s="8" t="s">
        <v>156</v>
      </c>
      <c r="AR4" s="8" t="s">
        <v>156</v>
      </c>
      <c r="AS4" s="8" t="s">
        <v>343</v>
      </c>
      <c r="AT4" s="8" t="s">
        <v>343</v>
      </c>
      <c r="AU4" s="8" t="s">
        <v>214</v>
      </c>
      <c r="AV4" s="8" t="s">
        <v>180</v>
      </c>
      <c r="AW4" s="8" t="s">
        <v>214</v>
      </c>
      <c r="AX4" s="8" t="s">
        <v>214</v>
      </c>
      <c r="AY4" s="8" t="s">
        <v>214</v>
      </c>
      <c r="AZ4" s="8" t="s">
        <v>599</v>
      </c>
    </row>
    <row r="5" customFormat="false" ht="95.5" hidden="false" customHeight="false" outlineLevel="0" collapsed="false">
      <c r="A5" s="7" t="s">
        <v>6</v>
      </c>
      <c r="B5" s="8" t="s">
        <v>186</v>
      </c>
      <c r="C5" s="8" t="s">
        <v>190</v>
      </c>
      <c r="D5" s="8" t="s">
        <v>193</v>
      </c>
      <c r="E5" s="8" t="s">
        <v>195</v>
      </c>
      <c r="F5" s="8" t="s">
        <v>198</v>
      </c>
      <c r="G5" s="8" t="s">
        <v>202</v>
      </c>
      <c r="H5" s="8" t="s">
        <v>206</v>
      </c>
      <c r="I5" s="8" t="s">
        <v>210</v>
      </c>
      <c r="J5" s="8" t="s">
        <v>215</v>
      </c>
      <c r="K5" s="8" t="s">
        <v>219</v>
      </c>
      <c r="L5" s="8" t="s">
        <v>221</v>
      </c>
      <c r="M5" s="8" t="s">
        <v>224</v>
      </c>
      <c r="N5" s="8" t="s">
        <v>229</v>
      </c>
      <c r="O5" s="8" t="s">
        <v>233</v>
      </c>
      <c r="P5" s="8" t="s">
        <v>237</v>
      </c>
      <c r="Q5" s="8" t="s">
        <v>241</v>
      </c>
      <c r="R5" s="8" t="s">
        <v>246</v>
      </c>
      <c r="S5" s="8" t="s">
        <v>250</v>
      </c>
      <c r="T5" s="8" t="s">
        <v>254</v>
      </c>
      <c r="U5" s="8" t="s">
        <v>256</v>
      </c>
      <c r="V5" s="8" t="s">
        <v>258</v>
      </c>
      <c r="W5" s="8" t="s">
        <v>260</v>
      </c>
      <c r="X5" s="8" t="s">
        <v>262</v>
      </c>
      <c r="Y5" s="8" t="s">
        <v>267</v>
      </c>
      <c r="Z5" s="8" t="s">
        <v>271</v>
      </c>
      <c r="AA5" s="8" t="s">
        <v>275</v>
      </c>
      <c r="AB5" s="8" t="s">
        <v>280</v>
      </c>
      <c r="AC5" s="8" t="s">
        <v>285</v>
      </c>
      <c r="AD5" s="8" t="s">
        <v>289</v>
      </c>
      <c r="AE5" s="8" t="s">
        <v>294</v>
      </c>
      <c r="AF5" s="8" t="s">
        <v>299</v>
      </c>
      <c r="AG5" s="8" t="s">
        <v>303</v>
      </c>
      <c r="AH5" s="8" t="s">
        <v>307</v>
      </c>
      <c r="AI5" s="8" t="s">
        <v>311</v>
      </c>
      <c r="AJ5" s="8" t="s">
        <v>315</v>
      </c>
      <c r="AK5" s="8" t="s">
        <v>319</v>
      </c>
      <c r="AL5" s="8" t="s">
        <v>323</v>
      </c>
      <c r="AM5" s="8" t="s">
        <v>327</v>
      </c>
      <c r="AN5" s="8" t="s">
        <v>331</v>
      </c>
      <c r="AO5" s="8" t="s">
        <v>335</v>
      </c>
      <c r="AP5" s="8" t="s">
        <v>337</v>
      </c>
      <c r="AQ5" s="8" t="s">
        <v>339</v>
      </c>
      <c r="AR5" s="8" t="s">
        <v>341</v>
      </c>
      <c r="AS5" s="8" t="s">
        <v>344</v>
      </c>
      <c r="AT5" s="8" t="s">
        <v>350</v>
      </c>
      <c r="AU5" s="8" t="s">
        <v>355</v>
      </c>
      <c r="AV5" s="8" t="s">
        <v>359</v>
      </c>
      <c r="AW5" s="8" t="s">
        <v>363</v>
      </c>
      <c r="AX5" s="8" t="s">
        <v>367</v>
      </c>
      <c r="AY5" s="8" t="s">
        <v>371</v>
      </c>
      <c r="AZ5" s="8"/>
    </row>
    <row r="6" customFormat="false" ht="60" hidden="false" customHeight="true" outlineLevel="0" collapsed="false">
      <c r="A6" s="7" t="s">
        <v>576</v>
      </c>
      <c r="B6" s="8" t="s">
        <v>187</v>
      </c>
      <c r="C6" s="8" t="s">
        <v>115</v>
      </c>
      <c r="D6" s="8" t="s">
        <v>119</v>
      </c>
      <c r="E6" s="8" t="s">
        <v>110</v>
      </c>
      <c r="F6" s="8" t="s">
        <v>199</v>
      </c>
      <c r="G6" s="8" t="s">
        <v>203</v>
      </c>
      <c r="H6" s="8" t="s">
        <v>207</v>
      </c>
      <c r="I6" s="8" t="s">
        <v>211</v>
      </c>
      <c r="J6" s="8" t="s">
        <v>216</v>
      </c>
      <c r="K6" s="8" t="s">
        <v>129</v>
      </c>
      <c r="L6" s="8" t="s">
        <v>123</v>
      </c>
      <c r="M6" s="8" t="s">
        <v>225</v>
      </c>
      <c r="N6" s="8" t="s">
        <v>230</v>
      </c>
      <c r="O6" s="8" t="s">
        <v>234</v>
      </c>
      <c r="P6" s="8" t="s">
        <v>238</v>
      </c>
      <c r="Q6" s="8" t="s">
        <v>242</v>
      </c>
      <c r="R6" s="8" t="s">
        <v>247</v>
      </c>
      <c r="S6" s="8" t="s">
        <v>251</v>
      </c>
      <c r="T6" s="8" t="s">
        <v>144</v>
      </c>
      <c r="U6" s="8" t="s">
        <v>148</v>
      </c>
      <c r="V6" s="8" t="s">
        <v>151</v>
      </c>
      <c r="W6" s="8" t="s">
        <v>154</v>
      </c>
      <c r="X6" s="8" t="s">
        <v>263</v>
      </c>
      <c r="Y6" s="8" t="s">
        <v>268</v>
      </c>
      <c r="Z6" s="8" t="s">
        <v>272</v>
      </c>
      <c r="AA6" s="8" t="s">
        <v>276</v>
      </c>
      <c r="AB6" s="8" t="s">
        <v>281</v>
      </c>
      <c r="AC6" s="8" t="s">
        <v>286</v>
      </c>
      <c r="AD6" s="8" t="s">
        <v>290</v>
      </c>
      <c r="AE6" s="8" t="s">
        <v>661</v>
      </c>
      <c r="AF6" s="8" t="s">
        <v>662</v>
      </c>
      <c r="AG6" s="8" t="s">
        <v>663</v>
      </c>
      <c r="AH6" s="8" t="s">
        <v>664</v>
      </c>
      <c r="AI6" s="8" t="s">
        <v>665</v>
      </c>
      <c r="AJ6" s="8" t="s">
        <v>666</v>
      </c>
      <c r="AK6" s="8" t="s">
        <v>667</v>
      </c>
      <c r="AL6" s="8" t="s">
        <v>668</v>
      </c>
      <c r="AM6" s="8" t="s">
        <v>669</v>
      </c>
      <c r="AN6" s="8" t="s">
        <v>332</v>
      </c>
      <c r="AO6" s="8" t="s">
        <v>158</v>
      </c>
      <c r="AP6" s="8" t="s">
        <v>163</v>
      </c>
      <c r="AQ6" s="8" t="s">
        <v>166</v>
      </c>
      <c r="AR6" s="8" t="s">
        <v>169</v>
      </c>
      <c r="AS6" s="8" t="s">
        <v>345</v>
      </c>
      <c r="AT6" s="8" t="s">
        <v>351</v>
      </c>
      <c r="AU6" s="8" t="s">
        <v>356</v>
      </c>
      <c r="AV6" s="8" t="s">
        <v>360</v>
      </c>
      <c r="AW6" s="8" t="s">
        <v>364</v>
      </c>
      <c r="AX6" s="8" t="s">
        <v>368</v>
      </c>
      <c r="AY6" s="8" t="s">
        <v>372</v>
      </c>
      <c r="AZ6" s="8" t="s">
        <v>670</v>
      </c>
    </row>
    <row r="7" customFormat="false" ht="15" hidden="false" customHeight="false" outlineLevel="0" collapsed="false">
      <c r="A7" s="7" t="s">
        <v>9</v>
      </c>
      <c r="B7" s="8" t="s">
        <v>112</v>
      </c>
      <c r="C7" s="8" t="s">
        <v>112</v>
      </c>
      <c r="D7" s="8" t="s">
        <v>112</v>
      </c>
      <c r="E7" s="8" t="s">
        <v>112</v>
      </c>
      <c r="F7" s="8" t="s">
        <v>112</v>
      </c>
      <c r="G7" s="8" t="s">
        <v>112</v>
      </c>
      <c r="H7" s="8" t="s">
        <v>112</v>
      </c>
      <c r="I7" s="8" t="s">
        <v>112</v>
      </c>
      <c r="J7" s="8" t="s">
        <v>112</v>
      </c>
      <c r="K7" s="8" t="s">
        <v>125</v>
      </c>
      <c r="L7" s="8" t="s">
        <v>125</v>
      </c>
      <c r="M7" s="8" t="s">
        <v>125</v>
      </c>
      <c r="N7" s="8" t="s">
        <v>125</v>
      </c>
      <c r="O7" s="8" t="s">
        <v>125</v>
      </c>
      <c r="P7" s="8" t="s">
        <v>125</v>
      </c>
      <c r="Q7" s="8" t="s">
        <v>112</v>
      </c>
      <c r="R7" s="8" t="s">
        <v>125</v>
      </c>
      <c r="S7" s="8" t="s">
        <v>125</v>
      </c>
      <c r="T7" s="8" t="s">
        <v>125</v>
      </c>
      <c r="U7" s="8" t="s">
        <v>125</v>
      </c>
      <c r="V7" s="8" t="s">
        <v>125</v>
      </c>
      <c r="W7" s="8" t="s">
        <v>125</v>
      </c>
      <c r="X7" s="8" t="s">
        <v>112</v>
      </c>
      <c r="Y7" s="8" t="s">
        <v>125</v>
      </c>
      <c r="Z7" s="8" t="s">
        <v>125</v>
      </c>
      <c r="AA7" s="8" t="s">
        <v>125</v>
      </c>
      <c r="AB7" s="8" t="s">
        <v>125</v>
      </c>
      <c r="AC7" s="8" t="s">
        <v>125</v>
      </c>
      <c r="AD7" s="8" t="s">
        <v>112</v>
      </c>
      <c r="AE7" s="8" t="s">
        <v>671</v>
      </c>
      <c r="AF7" s="8" t="s">
        <v>671</v>
      </c>
      <c r="AG7" s="8" t="s">
        <v>671</v>
      </c>
      <c r="AH7" s="8" t="s">
        <v>671</v>
      </c>
      <c r="AI7" s="8" t="s">
        <v>671</v>
      </c>
      <c r="AJ7" s="8" t="s">
        <v>671</v>
      </c>
      <c r="AK7" s="8" t="s">
        <v>671</v>
      </c>
      <c r="AL7" s="8" t="s">
        <v>671</v>
      </c>
      <c r="AM7" s="8" t="s">
        <v>671</v>
      </c>
      <c r="AN7" s="8" t="s">
        <v>112</v>
      </c>
      <c r="AO7" s="8" t="s">
        <v>125</v>
      </c>
      <c r="AP7" s="8" t="s">
        <v>125</v>
      </c>
      <c r="AQ7" s="8" t="s">
        <v>125</v>
      </c>
      <c r="AR7" s="8" t="s">
        <v>125</v>
      </c>
      <c r="AS7" s="8" t="s">
        <v>125</v>
      </c>
      <c r="AT7" s="8" t="s">
        <v>125</v>
      </c>
      <c r="AU7" s="8" t="s">
        <v>112</v>
      </c>
      <c r="AV7" s="8" t="s">
        <v>125</v>
      </c>
      <c r="AW7" s="8" t="s">
        <v>112</v>
      </c>
      <c r="AX7" s="8" t="s">
        <v>112</v>
      </c>
      <c r="AY7" s="8" t="s">
        <v>112</v>
      </c>
      <c r="AZ7" s="8"/>
    </row>
    <row r="8" customFormat="false" ht="64.15" hidden="false" customHeight="false" outlineLevel="0" collapsed="false">
      <c r="A8" s="7" t="s">
        <v>10</v>
      </c>
      <c r="B8" s="8" t="s">
        <v>104</v>
      </c>
      <c r="C8" s="8" t="s">
        <v>191</v>
      </c>
      <c r="D8" s="8" t="s">
        <v>191</v>
      </c>
      <c r="E8" s="8" t="s">
        <v>196</v>
      </c>
      <c r="F8" s="8" t="s">
        <v>104</v>
      </c>
      <c r="G8" s="8" t="s">
        <v>104</v>
      </c>
      <c r="H8" s="8" t="s">
        <v>104</v>
      </c>
      <c r="I8" s="8" t="s">
        <v>104</v>
      </c>
      <c r="J8" s="8" t="s">
        <v>104</v>
      </c>
      <c r="K8" s="8" t="s">
        <v>191</v>
      </c>
      <c r="L8" s="8" t="s">
        <v>196</v>
      </c>
      <c r="M8" s="8" t="s">
        <v>227</v>
      </c>
      <c r="N8" s="8" t="s">
        <v>227</v>
      </c>
      <c r="O8" s="8" t="s">
        <v>227</v>
      </c>
      <c r="P8" s="8" t="s">
        <v>227</v>
      </c>
      <c r="Q8" s="8" t="s">
        <v>104</v>
      </c>
      <c r="R8" s="8" t="s">
        <v>227</v>
      </c>
      <c r="S8" s="8" t="s">
        <v>227</v>
      </c>
      <c r="T8" s="8" t="s">
        <v>196</v>
      </c>
      <c r="U8" s="8" t="s">
        <v>196</v>
      </c>
      <c r="V8" s="8" t="s">
        <v>196</v>
      </c>
      <c r="W8" s="8" t="s">
        <v>196</v>
      </c>
      <c r="X8" s="8" t="s">
        <v>104</v>
      </c>
      <c r="Y8" s="8" t="s">
        <v>227</v>
      </c>
      <c r="Z8" s="8" t="s">
        <v>227</v>
      </c>
      <c r="AA8" s="8" t="s">
        <v>227</v>
      </c>
      <c r="AB8" s="8" t="s">
        <v>227</v>
      </c>
      <c r="AC8" s="8" t="s">
        <v>227</v>
      </c>
      <c r="AD8" s="8" t="s">
        <v>104</v>
      </c>
      <c r="AE8" s="8" t="s">
        <v>227</v>
      </c>
      <c r="AF8" s="8" t="s">
        <v>227</v>
      </c>
      <c r="AG8" s="8" t="s">
        <v>227</v>
      </c>
      <c r="AH8" s="8" t="s">
        <v>227</v>
      </c>
      <c r="AI8" s="8" t="s">
        <v>227</v>
      </c>
      <c r="AJ8" s="8" t="s">
        <v>227</v>
      </c>
      <c r="AK8" s="8" t="s">
        <v>227</v>
      </c>
      <c r="AL8" s="8" t="s">
        <v>227</v>
      </c>
      <c r="AM8" s="8" t="s">
        <v>227</v>
      </c>
      <c r="AN8" s="8" t="s">
        <v>104</v>
      </c>
      <c r="AO8" s="8" t="s">
        <v>196</v>
      </c>
      <c r="AP8" s="8" t="s">
        <v>196</v>
      </c>
      <c r="AQ8" s="8" t="s">
        <v>196</v>
      </c>
      <c r="AR8" s="8" t="s">
        <v>196</v>
      </c>
      <c r="AS8" s="8" t="s">
        <v>347</v>
      </c>
      <c r="AT8" s="8" t="s">
        <v>347</v>
      </c>
      <c r="AU8" s="8" t="s">
        <v>104</v>
      </c>
      <c r="AV8" s="8" t="s">
        <v>104</v>
      </c>
      <c r="AW8" s="8" t="s">
        <v>104</v>
      </c>
      <c r="AX8" s="8" t="s">
        <v>104</v>
      </c>
      <c r="AY8" s="8" t="s">
        <v>104</v>
      </c>
      <c r="AZ8" s="8" t="s">
        <v>104</v>
      </c>
    </row>
    <row r="9" customFormat="false" ht="45" hidden="false" customHeight="true" outlineLevel="0" collapsed="false">
      <c r="A9" s="7" t="s">
        <v>8</v>
      </c>
      <c r="B9" s="8" t="s">
        <v>188</v>
      </c>
      <c r="C9" s="8" t="s">
        <v>116</v>
      </c>
      <c r="D9" s="8" t="s">
        <v>120</v>
      </c>
      <c r="E9" s="8" t="s">
        <v>111</v>
      </c>
      <c r="F9" s="8" t="s">
        <v>200</v>
      </c>
      <c r="G9" s="8" t="s">
        <v>204</v>
      </c>
      <c r="H9" s="8" t="s">
        <v>208</v>
      </c>
      <c r="I9" s="8" t="s">
        <v>212</v>
      </c>
      <c r="J9" s="8" t="s">
        <v>217</v>
      </c>
      <c r="K9" s="8" t="s">
        <v>130</v>
      </c>
      <c r="L9" s="8" t="s">
        <v>124</v>
      </c>
      <c r="M9" s="8" t="s">
        <v>226</v>
      </c>
      <c r="N9" s="8" t="s">
        <v>231</v>
      </c>
      <c r="O9" s="8" t="s">
        <v>235</v>
      </c>
      <c r="P9" s="8" t="s">
        <v>239</v>
      </c>
      <c r="Q9" s="8" t="s">
        <v>243</v>
      </c>
      <c r="R9" s="8" t="s">
        <v>248</v>
      </c>
      <c r="S9" s="8" t="s">
        <v>252</v>
      </c>
      <c r="T9" s="8" t="s">
        <v>145</v>
      </c>
      <c r="U9" s="8" t="s">
        <v>145</v>
      </c>
      <c r="V9" s="8" t="s">
        <v>145</v>
      </c>
      <c r="W9" s="8" t="s">
        <v>145</v>
      </c>
      <c r="X9" s="8" t="s">
        <v>264</v>
      </c>
      <c r="Y9" s="8" t="s">
        <v>269</v>
      </c>
      <c r="Z9" s="8" t="s">
        <v>273</v>
      </c>
      <c r="AA9" s="8" t="s">
        <v>277</v>
      </c>
      <c r="AB9" s="8" t="s">
        <v>282</v>
      </c>
      <c r="AC9" s="8" t="s">
        <v>287</v>
      </c>
      <c r="AD9" s="8" t="s">
        <v>291</v>
      </c>
      <c r="AE9" s="8" t="s">
        <v>296</v>
      </c>
      <c r="AF9" s="8" t="s">
        <v>301</v>
      </c>
      <c r="AG9" s="8" t="s">
        <v>305</v>
      </c>
      <c r="AH9" s="8" t="s">
        <v>309</v>
      </c>
      <c r="AI9" s="8" t="s">
        <v>313</v>
      </c>
      <c r="AJ9" s="8" t="s">
        <v>317</v>
      </c>
      <c r="AK9" s="8" t="s">
        <v>321</v>
      </c>
      <c r="AL9" s="8" t="s">
        <v>325</v>
      </c>
      <c r="AM9" s="8" t="s">
        <v>329</v>
      </c>
      <c r="AN9" s="8" t="s">
        <v>333</v>
      </c>
      <c r="AO9" s="8" t="s">
        <v>159</v>
      </c>
      <c r="AP9" s="8" t="s">
        <v>159</v>
      </c>
      <c r="AQ9" s="8" t="s">
        <v>159</v>
      </c>
      <c r="AR9" s="8" t="s">
        <v>159</v>
      </c>
      <c r="AS9" s="8" t="s">
        <v>346</v>
      </c>
      <c r="AT9" s="8" t="s">
        <v>352</v>
      </c>
      <c r="AU9" s="8" t="s">
        <v>357</v>
      </c>
      <c r="AV9" s="8" t="s">
        <v>361</v>
      </c>
      <c r="AW9" s="8" t="s">
        <v>365</v>
      </c>
      <c r="AX9" s="8" t="s">
        <v>369</v>
      </c>
      <c r="AY9" s="8" t="s">
        <v>373</v>
      </c>
      <c r="AZ9" s="8"/>
    </row>
    <row r="10" customFormat="false" ht="15" hidden="false" customHeight="false" outlineLevel="0" collapsed="false">
      <c r="A10" s="7" t="s">
        <v>577</v>
      </c>
      <c r="B10" s="9" t="n">
        <f aca="false">IFERROR(_xlfn.MINIFS($A$15:$A$144,B$15:B$144,"&gt;=-1E+99"),"N/A")</f>
        <v>42370</v>
      </c>
      <c r="C10" s="9" t="n">
        <f aca="false">IFERROR(_xlfn.MINIFS($A$15:$A$144,C$15:C$144,"&gt;=-1E+99"),"N/A")</f>
        <v>42370</v>
      </c>
      <c r="D10" s="9" t="n">
        <f aca="false">IFERROR(_xlfn.MINIFS($A$15:$A$144,D$15:D$144,"&gt;=-1E+99"),"N/A")</f>
        <v>42370</v>
      </c>
      <c r="E10" s="9" t="n">
        <f aca="false">IFERROR(_xlfn.MINIFS($A$15:$A$144,E$15:E$144,"&gt;=-1E+99"),"N/A")</f>
        <v>43191</v>
      </c>
      <c r="F10" s="9" t="n">
        <f aca="false">IFERROR(_xlfn.MINIFS($A$15:$A$144,F$15:F$144,"&gt;=-1E+99"),"N/A")</f>
        <v>42370</v>
      </c>
      <c r="G10" s="9" t="n">
        <f aca="false">IFERROR(_xlfn.MINIFS($A$15:$A$144,G$15:G$144,"&gt;=-1E+99"),"N/A")</f>
        <v>42370</v>
      </c>
      <c r="H10" s="9" t="n">
        <f aca="false">IFERROR(_xlfn.MINIFS($A$15:$A$144,H$15:H$144,"&gt;=-1E+99"),"N/A")</f>
        <v>42370</v>
      </c>
      <c r="I10" s="9" t="n">
        <f aca="false">IFERROR(_xlfn.MINIFS($A$15:$A$144,I$15:I$144,"&gt;=-1E+99"),"N/A")</f>
        <v>42370</v>
      </c>
      <c r="J10" s="9" t="n">
        <f aca="false">IFERROR(_xlfn.MINIFS($A$15:$A$144,J$15:J$144,"&gt;=-1E+99"),"N/A")</f>
        <v>42370</v>
      </c>
      <c r="K10" s="9" t="n">
        <f aca="false">IFERROR(_xlfn.MINIFS($A$15:$A$144,K$15:K$144,"&gt;=-1E+99"),"N/A")</f>
        <v>42370</v>
      </c>
      <c r="L10" s="9" t="n">
        <f aca="false">IFERROR(_xlfn.MINIFS($A$15:$A$144,L$15:L$144,"&gt;=-1E+99"),"N/A")</f>
        <v>43739</v>
      </c>
      <c r="M10" s="9" t="n">
        <f aca="false">IFERROR(_xlfn.MINIFS($A$15:$A$144,M$15:M$144,"&gt;=-1E+99"),"N/A")</f>
        <v>42370</v>
      </c>
      <c r="N10" s="9" t="n">
        <f aca="false">IFERROR(_xlfn.MINIFS($A$15:$A$144,N$15:N$144,"&gt;=-1E+99"),"N/A")</f>
        <v>42370</v>
      </c>
      <c r="O10" s="9" t="n">
        <f aca="false">IFERROR(_xlfn.MINIFS($A$15:$A$144,O$15:O$144,"&gt;=-1E+99"),"N/A")</f>
        <v>42370</v>
      </c>
      <c r="P10" s="9" t="n">
        <f aca="false">IFERROR(_xlfn.MINIFS($A$15:$A$144,P$15:P$144,"&gt;=-1E+99"),"N/A")</f>
        <v>42370</v>
      </c>
      <c r="Q10" s="9" t="n">
        <f aca="false">IFERROR(_xlfn.MINIFS($A$15:$A$144,Q$15:Q$144,"&gt;=-1E+99"),"N/A")</f>
        <v>42370</v>
      </c>
      <c r="R10" s="9" t="n">
        <f aca="false">IFERROR(_xlfn.MINIFS($A$15:$A$144,R$15:R$144,"&gt;=-1E+99"),"N/A")</f>
        <v>42370</v>
      </c>
      <c r="S10" s="9" t="n">
        <f aca="false">IFERROR(_xlfn.MINIFS($A$15:$A$144,S$15:S$144,"&gt;=-1E+99"),"N/A")</f>
        <v>42370</v>
      </c>
      <c r="T10" s="9" t="n">
        <f aca="false">IFERROR(_xlfn.MINIFS($A$15:$A$144,T$15:T$144,"&gt;=-1E+99"),"N/A")</f>
        <v>42370</v>
      </c>
      <c r="U10" s="9" t="n">
        <f aca="false">IFERROR(_xlfn.MINIFS($A$15:$A$144,U$15:U$144,"&gt;=-1E+99"),"N/A")</f>
        <v>42370</v>
      </c>
      <c r="V10" s="9" t="n">
        <f aca="false">IFERROR(_xlfn.MINIFS($A$15:$A$144,V$15:V$144,"&gt;=-1E+99"),"N/A")</f>
        <v>42370</v>
      </c>
      <c r="W10" s="9" t="n">
        <f aca="false">IFERROR(_xlfn.MINIFS($A$15:$A$144,W$15:W$144,"&gt;=-1E+99"),"N/A")</f>
        <v>42370</v>
      </c>
      <c r="X10" s="9" t="n">
        <f aca="false">IFERROR(_xlfn.MINIFS($A$15:$A$144,X$15:X$144,"&gt;=-1E+99"),"N/A")</f>
        <v>42370</v>
      </c>
      <c r="Y10" s="9" t="n">
        <f aca="false">IFERROR(_xlfn.MINIFS($A$15:$A$144,Y$15:Y$144,"&gt;=-1E+99"),"N/A")</f>
        <v>42370</v>
      </c>
      <c r="Z10" s="9" t="n">
        <f aca="false">IFERROR(_xlfn.MINIFS($A$15:$A$144,Z$15:Z$144,"&gt;=-1E+99"),"N/A")</f>
        <v>42370</v>
      </c>
      <c r="AA10" s="9" t="n">
        <f aca="false">IFERROR(_xlfn.MINIFS($A$15:$A$144,AA$15:AA$144,"&gt;=-1E+99"),"N/A")</f>
        <v>43466</v>
      </c>
      <c r="AB10" s="9" t="n">
        <f aca="false">IFERROR(_xlfn.MINIFS($A$15:$A$144,AB$15:AB$144,"&gt;=-1E+99"),"N/A")</f>
        <v>43466</v>
      </c>
      <c r="AC10" s="9" t="n">
        <f aca="false">IFERROR(_xlfn.MINIFS($A$15:$A$144,AC$15:AC$144,"&gt;=-1E+99"),"N/A")</f>
        <v>43466</v>
      </c>
      <c r="AD10" s="9" t="n">
        <f aca="false">IFERROR(_xlfn.MINIFS($A$15:$A$144,AD$15:AD$144,"&gt;=-1E+99"),"N/A")</f>
        <v>42370</v>
      </c>
      <c r="AE10" s="9" t="n">
        <f aca="false">IFERROR(_xlfn.MINIFS($A$15:$A$144,AE$15:AE$144,"&gt;=-1E+99"),"N/A")</f>
        <v>42370</v>
      </c>
      <c r="AF10" s="9" t="n">
        <f aca="false">IFERROR(_xlfn.MINIFS($A$15:$A$144,AF$15:AF$144,"&gt;=-1E+99"),"N/A")</f>
        <v>42370</v>
      </c>
      <c r="AG10" s="9" t="n">
        <f aca="false">IFERROR(_xlfn.MINIFS($A$15:$A$144,AG$15:AG$144,"&gt;=-1E+99"),"N/A")</f>
        <v>42370</v>
      </c>
      <c r="AH10" s="9" t="n">
        <f aca="false">IFERROR(_xlfn.MINIFS($A$15:$A$144,AH$15:AH$144,"&gt;=-1E+99"),"N/A")</f>
        <v>42370</v>
      </c>
      <c r="AI10" s="9" t="n">
        <f aca="false">IFERROR(_xlfn.MINIFS($A$15:$A$144,AI$15:AI$144,"&gt;=-1E+99"),"N/A")</f>
        <v>42370</v>
      </c>
      <c r="AJ10" s="9" t="n">
        <f aca="false">IFERROR(_xlfn.MINIFS($A$15:$A$144,AJ$15:AJ$144,"&gt;=-1E+99"),"N/A")</f>
        <v>42370</v>
      </c>
      <c r="AK10" s="9" t="n">
        <f aca="false">IFERROR(_xlfn.MINIFS($A$15:$A$144,AK$15:AK$144,"&gt;=-1E+99"),"N/A")</f>
        <v>42370</v>
      </c>
      <c r="AL10" s="9" t="n">
        <f aca="false">IFERROR(_xlfn.MINIFS($A$15:$A$144,AL$15:AL$144,"&gt;=-1E+99"),"N/A")</f>
        <v>42370</v>
      </c>
      <c r="AM10" s="9" t="n">
        <f aca="false">IFERROR(_xlfn.MINIFS($A$15:$A$144,AM$15:AM$144,"&gt;=-1E+99"),"N/A")</f>
        <v>42370</v>
      </c>
      <c r="AN10" s="9" t="n">
        <f aca="false">IFERROR(_xlfn.MINIFS($A$15:$A$144,AN$15:AN$144,"&gt;=-1E+99"),"N/A")</f>
        <v>42370</v>
      </c>
      <c r="AO10" s="9" t="n">
        <f aca="false">IFERROR(_xlfn.MINIFS($A$15:$A$144,AO$15:AO$144,"&gt;=-1E+99"),"N/A")</f>
        <v>42370</v>
      </c>
      <c r="AP10" s="9" t="n">
        <f aca="false">IFERROR(_xlfn.MINIFS($A$15:$A$144,AP$15:AP$144,"&gt;=-1E+99"),"N/A")</f>
        <v>42370</v>
      </c>
      <c r="AQ10" s="9" t="n">
        <f aca="false">IFERROR(_xlfn.MINIFS($A$15:$A$144,AQ$15:AQ$144,"&gt;=-1E+99"),"N/A")</f>
        <v>42370</v>
      </c>
      <c r="AR10" s="9" t="n">
        <f aca="false">IFERROR(_xlfn.MINIFS($A$15:$A$144,AR$15:AR$144,"&gt;=-1E+99"),"N/A")</f>
        <v>42370</v>
      </c>
      <c r="AS10" s="9" t="n">
        <f aca="false">IFERROR(_xlfn.MINIFS($A$15:$A$144,AS$15:AS$144,"&gt;=-1E+99"),"N/A")</f>
        <v>43678</v>
      </c>
      <c r="AT10" s="9" t="n">
        <f aca="false">IFERROR(_xlfn.MINIFS($A$15:$A$144,AT$15:AT$144,"&gt;=-1E+99"),"N/A")</f>
        <v>43678</v>
      </c>
      <c r="AU10" s="9" t="n">
        <f aca="false">IFERROR(_xlfn.MINIFS($A$15:$A$144,AU$15:AU$144,"&gt;=-1E+99"),"N/A")</f>
        <v>42370</v>
      </c>
      <c r="AV10" s="9" t="n">
        <f aca="false">IFERROR(_xlfn.MINIFS($A$15:$A$144,AV$15:AV$144,"&gt;=-1E+99"),"N/A")</f>
        <v>42370</v>
      </c>
      <c r="AW10" s="9" t="n">
        <f aca="false">IFERROR(_xlfn.MINIFS($A$15:$A$144,AW$15:AW$144,"&gt;=-1E+99"),"N/A")</f>
        <v>42370</v>
      </c>
      <c r="AX10" s="9" t="n">
        <f aca="false">IFERROR(_xlfn.MINIFS($A$15:$A$144,AX$15:AX$144,"&gt;=-1E+99"),"N/A")</f>
        <v>42370</v>
      </c>
      <c r="AY10" s="9" t="n">
        <f aca="false">IFERROR(_xlfn.MINIFS($A$15:$A$144,AY$15:AY$144,"&gt;=-1E+99"),"N/A")</f>
        <v>42370</v>
      </c>
      <c r="AZ10" s="9" t="n">
        <f aca="false">IFERROR(_xlfn.MINIFS($A$15:$A$144,AZ$15:AZ$144,"&gt;=-1E+99"),"N/A")</f>
        <v>0</v>
      </c>
    </row>
    <row r="11" customFormat="false" ht="15" hidden="false" customHeight="false" outlineLevel="0" collapsed="false">
      <c r="A11" s="7" t="s">
        <v>578</v>
      </c>
      <c r="B11" s="9" t="n">
        <f aca="false">IFERROR(_xlfn.MAXIFS($A$15:$A$144,B$15:B$144,"&gt;=-1E+99"),"N/A")</f>
        <v>46266</v>
      </c>
      <c r="C11" s="9" t="n">
        <f aca="false">IFERROR(_xlfn.MAXIFS($A$15:$A$144,C$15:C$144,"&gt;=-1E+99"),"N/A")</f>
        <v>46296</v>
      </c>
      <c r="D11" s="9" t="n">
        <f aca="false">IFERROR(_xlfn.MAXIFS($A$15:$A$144,D$15:D$144,"&gt;=-1E+99"),"N/A")</f>
        <v>46296</v>
      </c>
      <c r="E11" s="9" t="n">
        <f aca="false">IFERROR(_xlfn.MAXIFS($A$15:$A$144,E$15:E$144,"&gt;=-1E+99"),"N/A")</f>
        <v>46296</v>
      </c>
      <c r="F11" s="9" t="n">
        <f aca="false">IFERROR(_xlfn.MAXIFS($A$15:$A$144,F$15:F$144,"&gt;=-1E+99"),"N/A")</f>
        <v>46266</v>
      </c>
      <c r="G11" s="9" t="n">
        <f aca="false">IFERROR(_xlfn.MAXIFS($A$15:$A$144,G$15:G$144,"&gt;=-1E+99"),"N/A")</f>
        <v>46266</v>
      </c>
      <c r="H11" s="9" t="n">
        <f aca="false">IFERROR(_xlfn.MAXIFS($A$15:$A$144,H$15:H$144,"&gt;=-1E+99"),"N/A")</f>
        <v>46266</v>
      </c>
      <c r="I11" s="9" t="n">
        <f aca="false">IFERROR(_xlfn.MAXIFS($A$15:$A$144,I$15:I$144,"&gt;=-1E+99"),"N/A")</f>
        <v>46266</v>
      </c>
      <c r="J11" s="9" t="n">
        <f aca="false">IFERROR(_xlfn.MAXIFS($A$15:$A$144,J$15:J$144,"&gt;=-1E+99"),"N/A")</f>
        <v>46235</v>
      </c>
      <c r="K11" s="9" t="n">
        <f aca="false">IFERROR(_xlfn.MAXIFS($A$15:$A$144,K$15:K$144,"&gt;=-1E+99"),"N/A")</f>
        <v>46296</v>
      </c>
      <c r="L11" s="9" t="n">
        <f aca="false">IFERROR(_xlfn.MAXIFS($A$15:$A$144,L$15:L$144,"&gt;=-1E+99"),"N/A")</f>
        <v>46296</v>
      </c>
      <c r="M11" s="9" t="n">
        <f aca="false">IFERROR(_xlfn.MAXIFS($A$15:$A$144,M$15:M$144,"&gt;=-1E+99"),"N/A")</f>
        <v>46266</v>
      </c>
      <c r="N11" s="9" t="n">
        <f aca="false">IFERROR(_xlfn.MAXIFS($A$15:$A$144,N$15:N$144,"&gt;=-1E+99"),"N/A")</f>
        <v>46266</v>
      </c>
      <c r="O11" s="9" t="n">
        <f aca="false">IFERROR(_xlfn.MAXIFS($A$15:$A$144,O$15:O$144,"&gt;=-1E+99"),"N/A")</f>
        <v>46266</v>
      </c>
      <c r="P11" s="9" t="n">
        <f aca="false">IFERROR(_xlfn.MAXIFS($A$15:$A$144,P$15:P$144,"&gt;=-1E+99"),"N/A")</f>
        <v>46266</v>
      </c>
      <c r="Q11" s="9" t="n">
        <f aca="false">IFERROR(_xlfn.MAXIFS($A$15:$A$144,Q$15:Q$144,"&gt;=-1E+99"),"N/A")</f>
        <v>46023</v>
      </c>
      <c r="R11" s="9" t="n">
        <f aca="false">IFERROR(_xlfn.MAXIFS($A$15:$A$144,R$15:R$144,"&gt;=-1E+99"),"N/A")</f>
        <v>46266</v>
      </c>
      <c r="S11" s="9" t="n">
        <f aca="false">IFERROR(_xlfn.MAXIFS($A$15:$A$144,S$15:S$144,"&gt;=-1E+99"),"N/A")</f>
        <v>46266</v>
      </c>
      <c r="T11" s="9" t="n">
        <f aca="false">IFERROR(_xlfn.MAXIFS($A$15:$A$144,T$15:T$144,"&gt;=-1E+99"),"N/A")</f>
        <v>46296</v>
      </c>
      <c r="U11" s="9" t="n">
        <f aca="false">IFERROR(_xlfn.MAXIFS($A$15:$A$144,U$15:U$144,"&gt;=-1E+99"),"N/A")</f>
        <v>46296</v>
      </c>
      <c r="V11" s="9" t="n">
        <f aca="false">IFERROR(_xlfn.MAXIFS($A$15:$A$144,V$15:V$144,"&gt;=-1E+99"),"N/A")</f>
        <v>46296</v>
      </c>
      <c r="W11" s="9" t="n">
        <f aca="false">IFERROR(_xlfn.MAXIFS($A$15:$A$144,W$15:W$144,"&gt;=-1E+99"),"N/A")</f>
        <v>46296</v>
      </c>
      <c r="X11" s="9" t="n">
        <f aca="false">IFERROR(_xlfn.MAXIFS($A$15:$A$144,X$15:X$144,"&gt;=-1E+99"),"N/A")</f>
        <v>46023</v>
      </c>
      <c r="Y11" s="9" t="n">
        <f aca="false">IFERROR(_xlfn.MAXIFS($A$15:$A$144,Y$15:Y$144,"&gt;=-1E+99"),"N/A")</f>
        <v>46266</v>
      </c>
      <c r="Z11" s="9" t="n">
        <f aca="false">IFERROR(_xlfn.MAXIFS($A$15:$A$144,Z$15:Z$144,"&gt;=-1E+99"),"N/A")</f>
        <v>46266</v>
      </c>
      <c r="AA11" s="9" t="n">
        <f aca="false">IFERROR(_xlfn.MAXIFS($A$15:$A$144,AA$15:AA$144,"&gt;=-1E+99"),"N/A")</f>
        <v>46266</v>
      </c>
      <c r="AB11" s="9" t="n">
        <f aca="false">IFERROR(_xlfn.MAXIFS($A$15:$A$144,AB$15:AB$144,"&gt;=-1E+99"),"N/A")</f>
        <v>46266</v>
      </c>
      <c r="AC11" s="9" t="n">
        <f aca="false">IFERROR(_xlfn.MAXIFS($A$15:$A$144,AC$15:AC$144,"&gt;=-1E+99"),"N/A")</f>
        <v>46266</v>
      </c>
      <c r="AD11" s="9" t="n">
        <f aca="false">IFERROR(_xlfn.MAXIFS($A$15:$A$144,AD$15:AD$144,"&gt;=-1E+99"),"N/A")</f>
        <v>46235</v>
      </c>
      <c r="AE11" s="9" t="n">
        <f aca="false">IFERROR(_xlfn.MAXIFS($A$15:$A$144,AE$15:AE$144,"&gt;=-1E+99"),"N/A")</f>
        <v>46266</v>
      </c>
      <c r="AF11" s="9" t="n">
        <f aca="false">IFERROR(_xlfn.MAXIFS($A$15:$A$144,AF$15:AF$144,"&gt;=-1E+99"),"N/A")</f>
        <v>46266</v>
      </c>
      <c r="AG11" s="9" t="n">
        <f aca="false">IFERROR(_xlfn.MAXIFS($A$15:$A$144,AG$15:AG$144,"&gt;=-1E+99"),"N/A")</f>
        <v>46266</v>
      </c>
      <c r="AH11" s="9" t="n">
        <f aca="false">IFERROR(_xlfn.MAXIFS($A$15:$A$144,AH$15:AH$144,"&gt;=-1E+99"),"N/A")</f>
        <v>46266</v>
      </c>
      <c r="AI11" s="9" t="n">
        <f aca="false">IFERROR(_xlfn.MAXIFS($A$15:$A$144,AI$15:AI$144,"&gt;=-1E+99"),"N/A")</f>
        <v>46266</v>
      </c>
      <c r="AJ11" s="9" t="n">
        <f aca="false">IFERROR(_xlfn.MAXIFS($A$15:$A$144,AJ$15:AJ$144,"&gt;=-1E+99"),"N/A")</f>
        <v>46266</v>
      </c>
      <c r="AK11" s="9" t="n">
        <f aca="false">IFERROR(_xlfn.MAXIFS($A$15:$A$144,AK$15:AK$144,"&gt;=-1E+99"),"N/A")</f>
        <v>46266</v>
      </c>
      <c r="AL11" s="9" t="n">
        <f aca="false">IFERROR(_xlfn.MAXIFS($A$15:$A$144,AL$15:AL$144,"&gt;=-1E+99"),"N/A")</f>
        <v>46266</v>
      </c>
      <c r="AM11" s="9" t="n">
        <f aca="false">IFERROR(_xlfn.MAXIFS($A$15:$A$144,AM$15:AM$144,"&gt;=-1E+99"),"N/A")</f>
        <v>46266</v>
      </c>
      <c r="AN11" s="9" t="n">
        <f aca="false">IFERROR(_xlfn.MAXIFS($A$15:$A$144,AN$15:AN$144,"&gt;=-1E+99"),"N/A")</f>
        <v>46235</v>
      </c>
      <c r="AO11" s="9" t="n">
        <f aca="false">IFERROR(_xlfn.MAXIFS($A$15:$A$144,AO$15:AO$144,"&gt;=-1E+99"),"N/A")</f>
        <v>46266</v>
      </c>
      <c r="AP11" s="9" t="n">
        <f aca="false">IFERROR(_xlfn.MAXIFS($A$15:$A$144,AP$15:AP$144,"&gt;=-1E+99"),"N/A")</f>
        <v>46266</v>
      </c>
      <c r="AQ11" s="9" t="n">
        <f aca="false">IFERROR(_xlfn.MAXIFS($A$15:$A$144,AQ$15:AQ$144,"&gt;=-1E+99"),"N/A")</f>
        <v>46266</v>
      </c>
      <c r="AR11" s="9" t="n">
        <f aca="false">IFERROR(_xlfn.MAXIFS($A$15:$A$144,AR$15:AR$144,"&gt;=-1E+99"),"N/A")</f>
        <v>46266</v>
      </c>
      <c r="AS11" s="9" t="n">
        <f aca="false">IFERROR(_xlfn.MAXIFS($A$15:$A$144,AS$15:AS$144,"&gt;=-1E+99"),"N/A")</f>
        <v>46266</v>
      </c>
      <c r="AT11" s="9" t="n">
        <f aca="false">IFERROR(_xlfn.MAXIFS($A$15:$A$144,AT$15:AT$144,"&gt;=-1E+99"),"N/A")</f>
        <v>46266</v>
      </c>
      <c r="AU11" s="9" t="n">
        <f aca="false">IFERROR(_xlfn.MAXIFS($A$15:$A$144,AU$15:AU$144,"&gt;=-1E+99"),"N/A")</f>
        <v>46204</v>
      </c>
      <c r="AV11" s="9" t="n">
        <f aca="false">IFERROR(_xlfn.MAXIFS($A$15:$A$144,AV$15:AV$144,"&gt;=-1E+99"),"N/A")</f>
        <v>46266</v>
      </c>
      <c r="AW11" s="9" t="n">
        <f aca="false">IFERROR(_xlfn.MAXIFS($A$15:$A$144,AW$15:AW$144,"&gt;=-1E+99"),"N/A")</f>
        <v>46235</v>
      </c>
      <c r="AX11" s="9" t="n">
        <f aca="false">IFERROR(_xlfn.MAXIFS($A$15:$A$144,AX$15:AX$144,"&gt;=-1E+99"),"N/A")</f>
        <v>46204</v>
      </c>
      <c r="AY11" s="9" t="n">
        <f aca="false">IFERROR(_xlfn.MAXIFS($A$15:$A$144,AY$15:AY$144,"&gt;=-1E+99"),"N/A")</f>
        <v>46235</v>
      </c>
      <c r="AZ11" s="9" t="n">
        <f aca="false">IFERROR(_xlfn.MAXIFS($A$15:$A$144,AZ$15:AZ$144,"&gt;=-1E+99"),"N/A")</f>
        <v>0</v>
      </c>
    </row>
    <row r="12" customFormat="false" ht="15" hidden="false" customHeight="false" outlineLevel="0" collapsed="false">
      <c r="A12" s="7" t="s">
        <v>579</v>
      </c>
      <c r="B12" s="10" t="n">
        <f aca="false">IFERROR(INDEX(B$15:B$144,MATCH(B11,$A$15:$A$144,0)),"N/A")</f>
        <v>3.75</v>
      </c>
      <c r="C12" s="10" t="n">
        <f aca="false">IFERROR(INDEX(C$15:C$144,MATCH(C11,$A$15:$A$144,0)),"N/A")</f>
        <v>4</v>
      </c>
      <c r="D12" s="10" t="n">
        <f aca="false">IFERROR(INDEX(D$15:D$144,MATCH(D11,$A$15:$A$144,0)),"N/A")</f>
        <v>3.75</v>
      </c>
      <c r="E12" s="10" t="n">
        <f aca="false">IFERROR(INDEX(E$15:E$144,MATCH(E11,$A$15:$A$144,0)),"N/A")</f>
        <v>3.88</v>
      </c>
      <c r="F12" s="10" t="n">
        <f aca="false">IFERROR(INDEX(F$15:F$144,MATCH(F11,$A$15:$A$144,0)),"N/A")</f>
        <v>3.93</v>
      </c>
      <c r="G12" s="10" t="n">
        <f aca="false">IFERROR(INDEX(G$15:G$144,MATCH(G11,$A$15:$A$144,0)),"N/A")</f>
        <v>4.09</v>
      </c>
      <c r="H12" s="10" t="n">
        <f aca="false">IFERROR(INDEX(H$15:H$144,MATCH(H11,$A$15:$A$144,0)),"N/A")</f>
        <v>4.18</v>
      </c>
      <c r="I12" s="10" t="n">
        <f aca="false">IFERROR(INDEX(I$15:I$144,MATCH(I11,$A$15:$A$144,0)),"N/A")</f>
        <v>4.37</v>
      </c>
      <c r="J12" s="10" t="n">
        <f aca="false">IFERROR(INDEX(J$15:J$144,MATCH(J11,$A$15:$A$144,0)),"N/A")</f>
        <v>3.82</v>
      </c>
      <c r="K12" s="10" t="n">
        <f aca="false">IFERROR(INDEX(K$15:K$144,MATCH(K11,$A$15:$A$144,0)),"N/A")</f>
        <v>2.5</v>
      </c>
      <c r="L12" s="10" t="n">
        <f aca="false">IFERROR(INDEX(L$15:L$144,MATCH(L11,$A$15:$A$144,0)),"N/A")</f>
        <v>2.43975</v>
      </c>
      <c r="M12" s="10" t="n">
        <f aca="false">IFERROR(INDEX(M$15:M$144,MATCH(M11,$A$15:$A$144,0)),"N/A")</f>
        <v>2.4143636</v>
      </c>
      <c r="N12" s="10" t="n">
        <f aca="false">IFERROR(INDEX(N$15:N$144,MATCH(N11,$A$15:$A$144,0)),"N/A")</f>
        <v>2.6350455</v>
      </c>
      <c r="O12" s="10" t="n">
        <f aca="false">IFERROR(INDEX(O$15:O$144,MATCH(O11,$A$15:$A$144,0)),"N/A")</f>
        <v>2.9215909</v>
      </c>
      <c r="P12" s="10" t="n">
        <f aca="false">IFERROR(INDEX(P$15:P$144,MATCH(P11,$A$15:$A$144,0)),"N/A")</f>
        <v>3.247</v>
      </c>
      <c r="Q12" s="10" t="n">
        <f aca="false">IFERROR(INDEX(Q$15:Q$144,MATCH(Q11,$A$15:$A$144,0)),"N/A")</f>
        <v>2.0277272727</v>
      </c>
      <c r="R12" s="10" t="n">
        <f aca="false">IFERROR(INDEX(R$15:R$144,MATCH(R11,$A$15:$A$144,0)),"N/A")</f>
        <v>3.75</v>
      </c>
      <c r="S12" s="10" t="n">
        <f aca="false">IFERROR(INDEX(S$15:S$144,MATCH(S11,$A$15:$A$144,0)),"N/A")</f>
        <v>3.7305</v>
      </c>
      <c r="T12" s="10" t="n">
        <f aca="false">IFERROR(INDEX(T$15:T$144,MATCH(T11,$A$15:$A$144,0)),"N/A")</f>
        <v>3.74714021103885</v>
      </c>
      <c r="U12" s="10" t="n">
        <f aca="false">IFERROR(INDEX(U$15:U$144,MATCH(U11,$A$15:$A$144,0)),"N/A")</f>
        <v>3.88358916137586</v>
      </c>
      <c r="V12" s="10" t="n">
        <f aca="false">IFERROR(INDEX(V$15:V$144,MATCH(V11,$A$15:$A$144,0)),"N/A")</f>
        <v>4.05607957433309</v>
      </c>
      <c r="W12" s="10" t="n">
        <f aca="false">IFERROR(INDEX(W$15:W$144,MATCH(W11,$A$15:$A$144,0)),"N/A")</f>
        <v>4.32396426720839</v>
      </c>
      <c r="X12" s="10" t="n">
        <f aca="false">IFERROR(INDEX(X$15:X$144,MATCH(X11,$A$15:$A$144,0)),"N/A")</f>
        <v>3.71</v>
      </c>
      <c r="Y12" s="10" t="n">
        <f aca="false">IFERROR(INDEX(Y$15:Y$144,MATCH(Y11,$A$15:$A$144,0)),"N/A")</f>
        <v>4.3</v>
      </c>
      <c r="Z12" s="10" t="n">
        <f aca="false">IFERROR(INDEX(Z$15:Z$144,MATCH(Z11,$A$15:$A$144,0)),"N/A")</f>
        <v>4.3</v>
      </c>
      <c r="AA12" s="10" t="n">
        <f aca="false">IFERROR(INDEX(AA$15:AA$144,MATCH(AA11,$A$15:$A$144,0)),"N/A")</f>
        <v>4.422</v>
      </c>
      <c r="AB12" s="10" t="n">
        <f aca="false">IFERROR(INDEX(AB$15:AB$144,MATCH(AB11,$A$15:$A$144,0)),"N/A")</f>
        <v>4.552</v>
      </c>
      <c r="AC12" s="10" t="n">
        <f aca="false">IFERROR(INDEX(AC$15:AC$144,MATCH(AC11,$A$15:$A$144,0)),"N/A")</f>
        <v>4.645</v>
      </c>
      <c r="AD12" s="10" t="n">
        <f aca="false">IFERROR(INDEX(AD$15:AD$144,MATCH(AD11,$A$15:$A$144,0)),"N/A")</f>
        <v>4.51</v>
      </c>
      <c r="AE12" s="10" t="n">
        <f aca="false">IFERROR(INDEX(AE$15:AE$144,MATCH(AE11,$A$15:$A$144,0)),"N/A")</f>
        <v>3</v>
      </c>
      <c r="AF12" s="10" t="n">
        <f aca="false">IFERROR(INDEX(AF$15:AF$144,MATCH(AF11,$A$15:$A$144,0)),"N/A")</f>
        <v>3.044</v>
      </c>
      <c r="AG12" s="10" t="n">
        <f aca="false">IFERROR(INDEX(AG$15:AG$144,MATCH(AG11,$A$15:$A$144,0)),"N/A")</f>
        <v>3.17</v>
      </c>
      <c r="AH12" s="10" t="n">
        <f aca="false">IFERROR(INDEX(AH$15:AH$144,MATCH(AH11,$A$15:$A$144,0)),"N/A")</f>
        <v>3.29</v>
      </c>
      <c r="AI12" s="10" t="n">
        <f aca="false">IFERROR(INDEX(AI$15:AI$144,MATCH(AI11,$A$15:$A$144,0)),"N/A")</f>
        <v>3.6</v>
      </c>
      <c r="AJ12" s="10" t="n">
        <f aca="false">IFERROR(INDEX(AJ$15:AJ$144,MATCH(AJ11,$A$15:$A$144,0)),"N/A")</f>
        <v>3.9</v>
      </c>
      <c r="AK12" s="10" t="n">
        <f aca="false">IFERROR(INDEX(AK$15:AK$144,MATCH(AK11,$A$15:$A$144,0)),"N/A")</f>
        <v>3.063</v>
      </c>
      <c r="AL12" s="10" t="n">
        <f aca="false">IFERROR(INDEX(AL$15:AL$144,MATCH(AL11,$A$15:$A$144,0)),"N/A")</f>
        <v>3.378</v>
      </c>
      <c r="AM12" s="10" t="n">
        <f aca="false">IFERROR(INDEX(AM$15:AM$144,MATCH(AM11,$A$15:$A$144,0)),"N/A")</f>
        <v>3.585</v>
      </c>
      <c r="AN12" s="10" t="n">
        <f aca="false">IFERROR(INDEX(AN$15:AN$144,MATCH(AN11,$A$15:$A$144,0)),"N/A")</f>
        <v>2.97</v>
      </c>
      <c r="AO12" s="10" t="n">
        <f aca="false">IFERROR(INDEX(AO$15:AO$144,MATCH(AO11,$A$15:$A$144,0)),"N/A")</f>
        <v>1.42123181818182</v>
      </c>
      <c r="AP12" s="10" t="n">
        <f aca="false">IFERROR(INDEX(AP$15:AP$144,MATCH(AP11,$A$15:$A$144,0)),"N/A")</f>
        <v>1.43004545454545</v>
      </c>
      <c r="AQ12" s="10" t="n">
        <f aca="false">IFERROR(INDEX(AQ$15:AQ$144,MATCH(AQ11,$A$15:$A$144,0)),"N/A")</f>
        <v>1.45036818181818</v>
      </c>
      <c r="AR12" s="10" t="n">
        <f aca="false">IFERROR(INDEX(AR$15:AR$144,MATCH(AR11,$A$15:$A$144,0)),"N/A")</f>
        <v>1.48005</v>
      </c>
      <c r="AS12" s="10" t="n">
        <f aca="false">IFERROR(INDEX(AS$15:AS$144,MATCH(AS11,$A$15:$A$144,0)),"N/A")</f>
        <v>3</v>
      </c>
      <c r="AT12" s="10" t="n">
        <f aca="false">IFERROR(INDEX(AT$15:AT$144,MATCH(AT11,$A$15:$A$144,0)),"N/A")</f>
        <v>3.5</v>
      </c>
      <c r="AU12" s="10" t="n">
        <f aca="false">IFERROR(INDEX(AU$15:AU$144,MATCH(AU11,$A$15:$A$144,0)),"N/A")</f>
        <v>1.54</v>
      </c>
      <c r="AV12" s="10" t="n">
        <f aca="false">IFERROR(INDEX(AV$15:AV$144,MATCH(AV11,$A$15:$A$144,0)),"N/A")</f>
        <v>13.78</v>
      </c>
      <c r="AW12" s="10" t="n">
        <f aca="false">IFERROR(INDEX(AW$15:AW$144,MATCH(AW11,$A$15:$A$144,0)),"N/A")</f>
        <v>14.06</v>
      </c>
      <c r="AX12" s="10" t="n">
        <f aca="false">IFERROR(INDEX(AX$15:AX$144,MATCH(AX11,$A$15:$A$144,0)),"N/A")</f>
        <v>1.45845</v>
      </c>
      <c r="AY12" s="10" t="n">
        <f aca="false">IFERROR(INDEX(AY$15:AY$144,MATCH(AY11,$A$15:$A$144,0)),"N/A")</f>
        <v>0.977</v>
      </c>
      <c r="AZ12" s="16" t="str">
        <f aca="false">IFERROR(INDEX(AZ$15:AZ$144,MATCH(AZ11,$A$15:$A$144,0)),"N/A")</f>
        <v>N/A</v>
      </c>
    </row>
    <row r="13" customFormat="false" ht="15" hidden="false" customHeight="false" outlineLevel="0" collapsed="false">
      <c r="A13" s="7" t="s">
        <v>580</v>
      </c>
      <c r="B13" s="11" t="n">
        <f aca="false">COUNT(B$15:B$144)</f>
        <v>129</v>
      </c>
      <c r="C13" s="11" t="n">
        <f aca="false">COUNT(C$15:C$144)</f>
        <v>130</v>
      </c>
      <c r="D13" s="11" t="n">
        <f aca="false">COUNT(D$15:D$144)</f>
        <v>130</v>
      </c>
      <c r="E13" s="11" t="n">
        <f aca="false">COUNT(E$15:E$144)</f>
        <v>103</v>
      </c>
      <c r="F13" s="11" t="n">
        <f aca="false">COUNT(F$15:F$144)</f>
        <v>129</v>
      </c>
      <c r="G13" s="11" t="n">
        <f aca="false">COUNT(G$15:G$144)</f>
        <v>129</v>
      </c>
      <c r="H13" s="11" t="n">
        <f aca="false">COUNT(H$15:H$144)</f>
        <v>129</v>
      </c>
      <c r="I13" s="11" t="n">
        <f aca="false">COUNT(I$15:I$144)</f>
        <v>129</v>
      </c>
      <c r="J13" s="11" t="n">
        <f aca="false">COUNT(J$15:J$144)</f>
        <v>127</v>
      </c>
      <c r="K13" s="11" t="n">
        <f aca="false">COUNT(K$15:K$144)</f>
        <v>130</v>
      </c>
      <c r="L13" s="11" t="n">
        <f aca="false">COUNT(L$15:L$144)</f>
        <v>85</v>
      </c>
      <c r="M13" s="11" t="n">
        <f aca="false">COUNT(M$15:M$144)</f>
        <v>129</v>
      </c>
      <c r="N13" s="11" t="n">
        <f aca="false">COUNT(N$15:N$144)</f>
        <v>129</v>
      </c>
      <c r="O13" s="11" t="n">
        <f aca="false">COUNT(O$15:O$144)</f>
        <v>129</v>
      </c>
      <c r="P13" s="11" t="n">
        <f aca="false">COUNT(P$15:P$144)</f>
        <v>129</v>
      </c>
      <c r="Q13" s="11" t="n">
        <f aca="false">COUNT(Q$15:Q$144)</f>
        <v>121</v>
      </c>
      <c r="R13" s="11" t="n">
        <f aca="false">COUNT(R$15:R$144)</f>
        <v>129</v>
      </c>
      <c r="S13" s="11" t="n">
        <f aca="false">COUNT(S$15:S$144)</f>
        <v>129</v>
      </c>
      <c r="T13" s="11" t="n">
        <f aca="false">COUNT(T$15:T$144)</f>
        <v>130</v>
      </c>
      <c r="U13" s="11" t="n">
        <f aca="false">COUNT(U$15:U$144)</f>
        <v>130</v>
      </c>
      <c r="V13" s="11" t="n">
        <f aca="false">COUNT(V$15:V$144)</f>
        <v>130</v>
      </c>
      <c r="W13" s="11" t="n">
        <f aca="false">COUNT(W$15:W$144)</f>
        <v>130</v>
      </c>
      <c r="X13" s="11" t="n">
        <f aca="false">COUNT(X$15:X$144)</f>
        <v>121</v>
      </c>
      <c r="Y13" s="11" t="n">
        <f aca="false">COUNT(Y$15:Y$144)</f>
        <v>129</v>
      </c>
      <c r="Z13" s="11" t="n">
        <f aca="false">COUNT(Z$15:Z$144)</f>
        <v>129</v>
      </c>
      <c r="AA13" s="11" t="n">
        <f aca="false">COUNT(AA$15:AA$144)</f>
        <v>92</v>
      </c>
      <c r="AB13" s="11" t="n">
        <f aca="false">COUNT(AB$15:AB$144)</f>
        <v>92</v>
      </c>
      <c r="AC13" s="11" t="n">
        <f aca="false">COUNT(AC$15:AC$144)</f>
        <v>92</v>
      </c>
      <c r="AD13" s="11" t="n">
        <f aca="false">COUNT(AD$15:AD$144)</f>
        <v>128</v>
      </c>
      <c r="AE13" s="11" t="n">
        <f aca="false">COUNT(AE$15:AE$144)</f>
        <v>129</v>
      </c>
      <c r="AF13" s="11" t="n">
        <f aca="false">COUNT(AF$15:AF$144)</f>
        <v>129</v>
      </c>
      <c r="AG13" s="11" t="n">
        <f aca="false">COUNT(AG$15:AG$144)</f>
        <v>129</v>
      </c>
      <c r="AH13" s="11" t="n">
        <f aca="false">COUNT(AH$15:AH$144)</f>
        <v>129</v>
      </c>
      <c r="AI13" s="11" t="n">
        <f aca="false">COUNT(AI$15:AI$144)</f>
        <v>129</v>
      </c>
      <c r="AJ13" s="11" t="n">
        <f aca="false">COUNT(AJ$15:AJ$144)</f>
        <v>129</v>
      </c>
      <c r="AK13" s="11" t="n">
        <f aca="false">COUNT(AK$15:AK$144)</f>
        <v>129</v>
      </c>
      <c r="AL13" s="11" t="n">
        <f aca="false">COUNT(AL$15:AL$144)</f>
        <v>129</v>
      </c>
      <c r="AM13" s="11" t="n">
        <f aca="false">COUNT(AM$15:AM$144)</f>
        <v>129</v>
      </c>
      <c r="AN13" s="11" t="n">
        <f aca="false">COUNT(AN$15:AN$144)</f>
        <v>128</v>
      </c>
      <c r="AO13" s="11" t="n">
        <f aca="false">COUNT(AO$15:AO$144)</f>
        <v>129</v>
      </c>
      <c r="AP13" s="11" t="n">
        <f aca="false">COUNT(AP$15:AP$144)</f>
        <v>129</v>
      </c>
      <c r="AQ13" s="11" t="n">
        <f aca="false">COUNT(AQ$15:AQ$144)</f>
        <v>129</v>
      </c>
      <c r="AR13" s="11" t="n">
        <f aca="false">COUNT(AR$15:AR$144)</f>
        <v>129</v>
      </c>
      <c r="AS13" s="11" t="n">
        <f aca="false">COUNT(AS$15:AS$144)</f>
        <v>86</v>
      </c>
      <c r="AT13" s="11" t="n">
        <f aca="false">COUNT(AT$15:AT$144)</f>
        <v>86</v>
      </c>
      <c r="AU13" s="11" t="n">
        <f aca="false">COUNT(AU$15:AU$144)</f>
        <v>127</v>
      </c>
      <c r="AV13" s="11" t="n">
        <f aca="false">COUNT(AV$15:AV$144)</f>
        <v>129</v>
      </c>
      <c r="AW13" s="11" t="n">
        <f aca="false">COUNT(AW$15:AW$144)</f>
        <v>128</v>
      </c>
      <c r="AX13" s="11" t="n">
        <f aca="false">COUNT(AX$15:AX$144)</f>
        <v>127</v>
      </c>
      <c r="AY13" s="11" t="n">
        <f aca="false">COUNT(AY$15:AY$144)</f>
        <v>128</v>
      </c>
      <c r="AZ13" s="11" t="n">
        <f aca="false">COUNT(AZ$15:AZ$144)</f>
        <v>0</v>
      </c>
    </row>
    <row r="14" customFormat="false" ht="42" hidden="false" customHeight="true" outlineLevel="0" collapsed="false">
      <c r="A14" s="3" t="s">
        <v>621</v>
      </c>
      <c r="B14" s="12" t="s">
        <v>672</v>
      </c>
      <c r="C14" s="12" t="s">
        <v>673</v>
      </c>
      <c r="D14" s="12" t="s">
        <v>674</v>
      </c>
      <c r="E14" s="12" t="s">
        <v>675</v>
      </c>
      <c r="F14" s="12" t="s">
        <v>676</v>
      </c>
      <c r="G14" s="12" t="s">
        <v>677</v>
      </c>
      <c r="H14" s="12" t="s">
        <v>678</v>
      </c>
      <c r="I14" s="12" t="s">
        <v>679</v>
      </c>
      <c r="J14" s="12" t="s">
        <v>680</v>
      </c>
      <c r="K14" s="12" t="s">
        <v>681</v>
      </c>
      <c r="L14" s="12" t="s">
        <v>682</v>
      </c>
      <c r="M14" s="12" t="s">
        <v>683</v>
      </c>
      <c r="N14" s="12" t="s">
        <v>684</v>
      </c>
      <c r="O14" s="12" t="s">
        <v>685</v>
      </c>
      <c r="P14" s="12" t="s">
        <v>686</v>
      </c>
      <c r="Q14" s="12" t="s">
        <v>687</v>
      </c>
      <c r="R14" s="12" t="s">
        <v>688</v>
      </c>
      <c r="S14" s="12" t="s">
        <v>689</v>
      </c>
      <c r="T14" s="12" t="s">
        <v>690</v>
      </c>
      <c r="U14" s="12" t="s">
        <v>691</v>
      </c>
      <c r="V14" s="12" t="s">
        <v>692</v>
      </c>
      <c r="W14" s="12" t="s">
        <v>693</v>
      </c>
      <c r="X14" s="12" t="s">
        <v>694</v>
      </c>
      <c r="Y14" s="12" t="s">
        <v>695</v>
      </c>
      <c r="Z14" s="12" t="s">
        <v>696</v>
      </c>
      <c r="AA14" s="12" t="s">
        <v>697</v>
      </c>
      <c r="AB14" s="12" t="s">
        <v>698</v>
      </c>
      <c r="AC14" s="12" t="s">
        <v>699</v>
      </c>
      <c r="AD14" s="12" t="s">
        <v>700</v>
      </c>
      <c r="AE14" s="12" t="s">
        <v>701</v>
      </c>
      <c r="AF14" s="12" t="s">
        <v>702</v>
      </c>
      <c r="AG14" s="12" t="s">
        <v>703</v>
      </c>
      <c r="AH14" s="12" t="s">
        <v>704</v>
      </c>
      <c r="AI14" s="12" t="s">
        <v>705</v>
      </c>
      <c r="AJ14" s="12" t="s">
        <v>706</v>
      </c>
      <c r="AK14" s="12" t="s">
        <v>707</v>
      </c>
      <c r="AL14" s="12" t="s">
        <v>708</v>
      </c>
      <c r="AM14" s="12" t="s">
        <v>709</v>
      </c>
      <c r="AN14" s="12" t="s">
        <v>710</v>
      </c>
      <c r="AO14" s="12" t="s">
        <v>711</v>
      </c>
      <c r="AP14" s="12" t="s">
        <v>712</v>
      </c>
      <c r="AQ14" s="12" t="s">
        <v>713</v>
      </c>
      <c r="AR14" s="12" t="s">
        <v>714</v>
      </c>
      <c r="AS14" s="12" t="s">
        <v>715</v>
      </c>
      <c r="AT14" s="12" t="s">
        <v>716</v>
      </c>
      <c r="AU14" s="12" t="s">
        <v>717</v>
      </c>
      <c r="AV14" s="12" t="s">
        <v>718</v>
      </c>
      <c r="AW14" s="12" t="s">
        <v>719</v>
      </c>
      <c r="AX14" s="12" t="s">
        <v>720</v>
      </c>
      <c r="AY14" s="12" t="s">
        <v>721</v>
      </c>
      <c r="AZ14" s="12" t="s">
        <v>722</v>
      </c>
    </row>
    <row r="15" customFormat="false" ht="15" hidden="false" customHeight="false" outlineLevel="0" collapsed="false">
      <c r="A15" s="17" t="n">
        <v>42370</v>
      </c>
      <c r="B15" s="14" t="n">
        <v>0.34</v>
      </c>
      <c r="C15" s="10" t="n">
        <f aca="false">IFERROR(INDEX(Rates_Daily!C$15:C$2892,MATCH(_xlfn.MAXIFS(Rates_Daily!$A$15:$A$2892,Rates_Daily!$A$15:$A$2892,"&lt;="&amp;EOMONTH($A15,0),Rates_Daily!C$15:C$2892,"&gt;=-1E+99"),Rates_Daily!$A$15:$A$2892,0)),"")</f>
        <v>0.5</v>
      </c>
      <c r="D15" s="10" t="n">
        <f aca="false">IFERROR(INDEX(Rates_Daily!D$15:D$2892,MATCH(_xlfn.MAXIFS(Rates_Daily!$A$15:$A$2892,Rates_Daily!$A$15:$A$2892,"&lt;="&amp;EOMONTH($A15,0),Rates_Daily!D$15:D$2892,"&gt;=-1E+99"),Rates_Daily!$A$15:$A$2892,0)),"")</f>
        <v>0.25</v>
      </c>
      <c r="E15" s="10" t="str">
        <f aca="false">IFERROR(AVERAGEIFS(Rates_Daily!B$15:B$2892,Rates_Daily!$A$15:$A$2892,"&gt;="&amp;$A15,Rates_Daily!$A$15:$A$2892,"&lt;="&amp;EOMONTH($A15,0)),"")</f>
        <v/>
      </c>
      <c r="F15" s="14" t="n">
        <v>0.23</v>
      </c>
      <c r="G15" s="14" t="n">
        <v>0.26</v>
      </c>
      <c r="H15" s="14" t="n">
        <v>0.43</v>
      </c>
      <c r="I15" s="14" t="n">
        <v>0.54</v>
      </c>
      <c r="J15" s="14" t="n">
        <v>0.57</v>
      </c>
      <c r="K15" s="10" t="n">
        <f aca="false">IFERROR(INDEX(Rates_Daily!F$15:F$2892,MATCH(_xlfn.MAXIFS(Rates_Daily!$A$15:$A$2892,Rates_Daily!$A$15:$A$2892,"&lt;="&amp;EOMONTH($A15,0),Rates_Daily!F$15:F$2892,"&gt;=-1E+99"),Rates_Daily!$A$15:$A$2892,0)),"")</f>
        <v>-0.3</v>
      </c>
      <c r="L15" s="10" t="str">
        <f aca="false">IFERROR(AVERAGEIFS(Rates_Daily!E$15:E$2892,Rates_Daily!$A$15:$A$2892,"&gt;="&amp;$A15,Rates_Daily!$A$15:$A$2892,"&lt;="&amp;EOMONTH($A15,0)),"")</f>
        <v/>
      </c>
      <c r="M15" s="14" t="n">
        <v>-0.22265</v>
      </c>
      <c r="N15" s="14" t="n">
        <v>-0.14615</v>
      </c>
      <c r="O15" s="14" t="n">
        <v>-0.0608</v>
      </c>
      <c r="P15" s="14" t="n">
        <v>0.04235</v>
      </c>
      <c r="Q15" s="14" t="n">
        <v>-0.14615</v>
      </c>
      <c r="R15" s="14" t="n">
        <v>0.5</v>
      </c>
      <c r="S15" s="14" t="n">
        <v>0.4659</v>
      </c>
      <c r="T15" s="10" t="n">
        <f aca="false">IFERROR(AVERAGEIFS(Rates_Daily!I$15:I$2892,Rates_Daily!$A$15:$A$2892,"&gt;="&amp;$A15,Rates_Daily!$A$15:$A$2892,"&lt;="&amp;EOMONTH($A15,0)),"")</f>
        <v>0.462966456543485</v>
      </c>
      <c r="U15" s="10" t="n">
        <f aca="false">IFERROR(AVERAGEIFS(Rates_Daily!J$15:J$2892,Rates_Daily!$A$15:$A$2892,"&gt;="&amp;$A15,Rates_Daily!$A$15:$A$2892,"&lt;="&amp;EOMONTH($A15,0)),"")</f>
        <v>0.463557016327299</v>
      </c>
      <c r="V15" s="10" t="n">
        <f aca="false">IFERROR(AVERAGEIFS(Rates_Daily!K$15:K$2892,Rates_Daily!$A$15:$A$2892,"&gt;="&amp;$A15,Rates_Daily!$A$15:$A$2892,"&lt;="&amp;EOMONTH($A15,0)),"")</f>
        <v>0.463601174951115</v>
      </c>
      <c r="W15" s="10" t="n">
        <f aca="false">IFERROR(AVERAGEIFS(Rates_Daily!L$15:L$2892,Rates_Daily!$A$15:$A$2892,"&gt;="&amp;$A15,Rates_Daily!$A$15:$A$2892,"&lt;="&amp;EOMONTH($A15,0)),"")</f>
        <v>0.479242698507241</v>
      </c>
      <c r="X15" s="14" t="n">
        <v>0.58976</v>
      </c>
      <c r="Y15" s="14" t="n">
        <v>0.75</v>
      </c>
      <c r="Z15" s="14" t="n">
        <v>0.74</v>
      </c>
      <c r="AD15" s="14" t="n">
        <v>1.16</v>
      </c>
      <c r="AE15" s="14" t="n">
        <v>1.5</v>
      </c>
      <c r="AF15" s="14" t="n">
        <v>1.49</v>
      </c>
      <c r="AG15" s="14" t="n">
        <v>1.67</v>
      </c>
      <c r="AH15" s="14" t="n">
        <v>1.61</v>
      </c>
      <c r="AI15" s="14" t="n">
        <v>1.64</v>
      </c>
      <c r="AJ15" s="14" t="n">
        <v>1.66</v>
      </c>
      <c r="AK15" s="14" t="n">
        <v>1.52</v>
      </c>
      <c r="AL15" s="14" t="n">
        <v>1.588</v>
      </c>
      <c r="AM15" s="14" t="n">
        <v>1.587</v>
      </c>
      <c r="AN15" s="14" t="n">
        <v>1.67</v>
      </c>
      <c r="AO15" s="10" t="n">
        <f aca="false">IFERROR(AVERAGEIFS(Rates_Daily!M$15:M$2892,Rates_Daily!$A$15:$A$2892,"&gt;="&amp;$A15,Rates_Daily!$A$15:$A$2892,"&lt;="&amp;EOMONTH($A15,0)),"")</f>
        <v>2.990625</v>
      </c>
      <c r="AP15" s="10" t="n">
        <f aca="false">IFERROR(AVERAGEIFS(Rates_Daily!N$15:N$2892,Rates_Daily!$A$15:$A$2892,"&gt;="&amp;$A15,Rates_Daily!$A$15:$A$2892,"&lt;="&amp;EOMONTH($A15,0)),"")</f>
        <v>3.048005</v>
      </c>
      <c r="AQ15" s="10" t="n">
        <f aca="false">IFERROR(AVERAGEIFS(Rates_Daily!O$15:O$2892,Rates_Daily!$A$15:$A$2892,"&gt;="&amp;$A15,Rates_Daily!$A$15:$A$2892,"&lt;="&amp;EOMONTH($A15,0)),"")</f>
        <v>3.14602</v>
      </c>
      <c r="AR15" s="10" t="n">
        <f aca="false">IFERROR(AVERAGEIFS(Rates_Daily!P$15:P$2892,Rates_Daily!$A$15:$A$2892,"&gt;="&amp;$A15,Rates_Daily!$A$15:$A$2892,"&lt;="&amp;EOMONTH($A15,0)),"")</f>
        <v>3.29871</v>
      </c>
      <c r="AU15" s="14" t="n">
        <v>3.19</v>
      </c>
      <c r="AV15" s="14" t="n">
        <v>14.15</v>
      </c>
      <c r="AW15" s="14" t="n">
        <v>14.25</v>
      </c>
      <c r="AX15" s="14" t="n">
        <v>0.169</v>
      </c>
      <c r="AY15" s="14" t="n">
        <v>0.07</v>
      </c>
      <c r="AZ15" s="16" t="str">
        <f aca="false">IF(EOMONTH($A15,0)&gt;MAX(Rates_Daily!$A$15:$A$2892),"partial month","complete")</f>
        <v>complete</v>
      </c>
    </row>
    <row r="16" customFormat="false" ht="15" hidden="false" customHeight="false" outlineLevel="0" collapsed="false">
      <c r="A16" s="17" t="n">
        <v>42401</v>
      </c>
      <c r="B16" s="14" t="n">
        <v>0.38</v>
      </c>
      <c r="C16" s="10" t="n">
        <f aca="false">IFERROR(INDEX(Rates_Daily!C$15:C$2892,MATCH(_xlfn.MAXIFS(Rates_Daily!$A$15:$A$2892,Rates_Daily!$A$15:$A$2892,"&lt;="&amp;EOMONTH($A16,0),Rates_Daily!C$15:C$2892,"&gt;=-1E+99"),Rates_Daily!$A$15:$A$2892,0)),"")</f>
        <v>0.5</v>
      </c>
      <c r="D16" s="10" t="n">
        <f aca="false">IFERROR(INDEX(Rates_Daily!D$15:D$2892,MATCH(_xlfn.MAXIFS(Rates_Daily!$A$15:$A$2892,Rates_Daily!$A$15:$A$2892,"&lt;="&amp;EOMONTH($A16,0),Rates_Daily!D$15:D$2892,"&gt;=-1E+99"),Rates_Daily!$A$15:$A$2892,0)),"")</f>
        <v>0.25</v>
      </c>
      <c r="E16" s="10" t="str">
        <f aca="false">IFERROR(AVERAGEIFS(Rates_Daily!B$15:B$2892,Rates_Daily!$A$15:$A$2892,"&gt;="&amp;$A16,Rates_Daily!$A$15:$A$2892,"&lt;="&amp;EOMONTH($A16,0)),"")</f>
        <v/>
      </c>
      <c r="F16" s="14" t="n">
        <v>0.26</v>
      </c>
      <c r="G16" s="14" t="n">
        <v>0.31</v>
      </c>
      <c r="H16" s="14" t="n">
        <v>0.45</v>
      </c>
      <c r="I16" s="14" t="n">
        <v>0.53</v>
      </c>
      <c r="J16" s="14" t="n">
        <v>0.54</v>
      </c>
      <c r="K16" s="10" t="n">
        <f aca="false">IFERROR(INDEX(Rates_Daily!F$15:F$2892,MATCH(_xlfn.MAXIFS(Rates_Daily!$A$15:$A$2892,Rates_Daily!$A$15:$A$2892,"&lt;="&amp;EOMONTH($A16,0),Rates_Daily!F$15:F$2892,"&gt;=-1E+99"),Rates_Daily!$A$15:$A$2892,0)),"")</f>
        <v>-0.3</v>
      </c>
      <c r="L16" s="10" t="str">
        <f aca="false">IFERROR(AVERAGEIFS(Rates_Daily!E$15:E$2892,Rates_Daily!$A$15:$A$2892,"&gt;="&amp;$A16,Rates_Daily!$A$15:$A$2892,"&lt;="&amp;EOMONTH($A16,0)),"")</f>
        <v/>
      </c>
      <c r="M16" s="14" t="n">
        <v>-0.2460476</v>
      </c>
      <c r="N16" s="14" t="n">
        <v>-0.1835714</v>
      </c>
      <c r="O16" s="14" t="n">
        <v>-0.1152857</v>
      </c>
      <c r="P16" s="14" t="n">
        <v>-0.0078571</v>
      </c>
      <c r="Q16" s="14" t="n">
        <v>-0.183571428571429</v>
      </c>
      <c r="R16" s="14" t="n">
        <v>0.5</v>
      </c>
      <c r="S16" s="14" t="n">
        <v>0.4657</v>
      </c>
      <c r="T16" s="10" t="n">
        <f aca="false">IFERROR(AVERAGEIFS(Rates_Daily!I$15:I$2892,Rates_Daily!$A$15:$A$2892,"&gt;="&amp;$A16,Rates_Daily!$A$15:$A$2892,"&lt;="&amp;EOMONTH($A16,0)),"")</f>
        <v>0.462790865732422</v>
      </c>
      <c r="U16" s="10" t="n">
        <f aca="false">IFERROR(AVERAGEIFS(Rates_Daily!J$15:J$2892,Rates_Daily!$A$15:$A$2892,"&gt;="&amp;$A16,Rates_Daily!$A$15:$A$2892,"&lt;="&amp;EOMONTH($A16,0)),"")</f>
        <v>0.458006811814915</v>
      </c>
      <c r="V16" s="10" t="n">
        <f aca="false">IFERROR(AVERAGEIFS(Rates_Daily!K$15:K$2892,Rates_Daily!$A$15:$A$2892,"&gt;="&amp;$A16,Rates_Daily!$A$15:$A$2892,"&lt;="&amp;EOMONTH($A16,0)),"")</f>
        <v>0.441508951987979</v>
      </c>
      <c r="W16" s="10" t="n">
        <f aca="false">IFERROR(AVERAGEIFS(Rates_Daily!L$15:L$2892,Rates_Daily!$A$15:$A$2892,"&gt;="&amp;$A16,Rates_Daily!$A$15:$A$2892,"&lt;="&amp;EOMONTH($A16,0)),"")</f>
        <v>0.405014261300997</v>
      </c>
      <c r="X16" s="14" t="n">
        <v>0.59073</v>
      </c>
      <c r="Y16" s="14" t="n">
        <v>0.75</v>
      </c>
      <c r="Z16" s="14" t="n">
        <v>0.74</v>
      </c>
      <c r="AD16" s="14" t="n">
        <v>1.09</v>
      </c>
      <c r="AE16" s="14" t="n">
        <v>1.5</v>
      </c>
      <c r="AF16" s="14" t="n">
        <v>1.49</v>
      </c>
      <c r="AG16" s="14" t="n">
        <v>1.64</v>
      </c>
      <c r="AH16" s="14" t="n">
        <v>1.54</v>
      </c>
      <c r="AI16" s="14" t="n">
        <v>1.55</v>
      </c>
      <c r="AJ16" s="14" t="n">
        <v>1.56</v>
      </c>
      <c r="AK16" s="14" t="n">
        <v>1.465</v>
      </c>
      <c r="AL16" s="14" t="n">
        <v>1.47</v>
      </c>
      <c r="AM16" s="14" t="n">
        <v>1.469</v>
      </c>
      <c r="AN16" s="14" t="n">
        <v>1.64</v>
      </c>
      <c r="AO16" s="10" t="n">
        <f aca="false">IFERROR(AVERAGEIFS(Rates_Daily!M$15:M$2892,Rates_Daily!$A$15:$A$2892,"&gt;="&amp;$A16,Rates_Daily!$A$15:$A$2892,"&lt;="&amp;EOMONTH($A16,0)),"")</f>
        <v>2.93377777777778</v>
      </c>
      <c r="AP16" s="10" t="n">
        <f aca="false">IFERROR(AVERAGEIFS(Rates_Daily!N$15:N$2892,Rates_Daily!$A$15:$A$2892,"&gt;="&amp;$A16,Rates_Daily!$A$15:$A$2892,"&lt;="&amp;EOMONTH($A16,0)),"")</f>
        <v>2.99941666666667</v>
      </c>
      <c r="AQ16" s="10" t="n">
        <f aca="false">IFERROR(AVERAGEIFS(Rates_Daily!O$15:O$2892,Rates_Daily!$A$15:$A$2892,"&gt;="&amp;$A16,Rates_Daily!$A$15:$A$2892,"&lt;="&amp;EOMONTH($A16,0)),"")</f>
        <v>3.08106666666667</v>
      </c>
      <c r="AR16" s="10" t="n">
        <f aca="false">IFERROR(AVERAGEIFS(Rates_Daily!P$15:P$2892,Rates_Daily!$A$15:$A$2892,"&gt;="&amp;$A16,Rates_Daily!$A$15:$A$2892,"&lt;="&amp;EOMONTH($A16,0)),"")</f>
        <v>3.2355</v>
      </c>
      <c r="AU16" s="14" t="n">
        <v>2.95</v>
      </c>
      <c r="AV16" s="14" t="n">
        <v>14.15</v>
      </c>
      <c r="AW16" s="14" t="n">
        <v>14.25</v>
      </c>
      <c r="AX16" s="14" t="n">
        <v>0.098</v>
      </c>
      <c r="AY16" s="14" t="n">
        <v>0.03</v>
      </c>
      <c r="AZ16" s="16" t="str">
        <f aca="false">IF(EOMONTH($A16,0)&gt;MAX(Rates_Daily!$A$15:$A$2892),"partial month","complete")</f>
        <v>complete</v>
      </c>
    </row>
    <row r="17" customFormat="false" ht="15" hidden="false" customHeight="false" outlineLevel="0" collapsed="false">
      <c r="A17" s="17" t="n">
        <v>42430</v>
      </c>
      <c r="B17" s="14" t="n">
        <v>0.36</v>
      </c>
      <c r="C17" s="10" t="n">
        <f aca="false">IFERROR(INDEX(Rates_Daily!C$15:C$2892,MATCH(_xlfn.MAXIFS(Rates_Daily!$A$15:$A$2892,Rates_Daily!$A$15:$A$2892,"&lt;="&amp;EOMONTH($A17,0),Rates_Daily!C$15:C$2892,"&gt;=-1E+99"),Rates_Daily!$A$15:$A$2892,0)),"")</f>
        <v>0.5</v>
      </c>
      <c r="D17" s="10" t="n">
        <f aca="false">IFERROR(INDEX(Rates_Daily!D$15:D$2892,MATCH(_xlfn.MAXIFS(Rates_Daily!$A$15:$A$2892,Rates_Daily!$A$15:$A$2892,"&lt;="&amp;EOMONTH($A17,0),Rates_Daily!D$15:D$2892,"&gt;=-1E+99"),Rates_Daily!$A$15:$A$2892,0)),"")</f>
        <v>0.25</v>
      </c>
      <c r="E17" s="10" t="str">
        <f aca="false">IFERROR(AVERAGEIFS(Rates_Daily!B$15:B$2892,Rates_Daily!$A$15:$A$2892,"&gt;="&amp;$A17,Rates_Daily!$A$15:$A$2892,"&lt;="&amp;EOMONTH($A17,0)),"")</f>
        <v/>
      </c>
      <c r="F17" s="14" t="n">
        <v>0.25</v>
      </c>
      <c r="G17" s="14" t="n">
        <v>0.3</v>
      </c>
      <c r="H17" s="14" t="n">
        <v>0.47</v>
      </c>
      <c r="I17" s="14" t="n">
        <v>0.66</v>
      </c>
      <c r="J17" s="14" t="n">
        <v>0.55</v>
      </c>
      <c r="K17" s="10" t="n">
        <f aca="false">IFERROR(INDEX(Rates_Daily!F$15:F$2892,MATCH(_xlfn.MAXIFS(Rates_Daily!$A$15:$A$2892,Rates_Daily!$A$15:$A$2892,"&lt;="&amp;EOMONTH($A17,0),Rates_Daily!F$15:F$2892,"&gt;=-1E+99"),Rates_Daily!$A$15:$A$2892,0)),"")</f>
        <v>-0.4</v>
      </c>
      <c r="L17" s="10" t="str">
        <f aca="false">IFERROR(AVERAGEIFS(Rates_Daily!E$15:E$2892,Rates_Daily!$A$15:$A$2892,"&gt;="&amp;$A17,Rates_Daily!$A$15:$A$2892,"&lt;="&amp;EOMONTH($A17,0)),"")</f>
        <v/>
      </c>
      <c r="M17" s="14" t="n">
        <v>-0.3075714</v>
      </c>
      <c r="N17" s="14" t="n">
        <v>-0.2285238</v>
      </c>
      <c r="O17" s="14" t="n">
        <v>-0.1335714</v>
      </c>
      <c r="P17" s="14" t="n">
        <v>-0.012381</v>
      </c>
      <c r="Q17" s="14" t="n">
        <v>-0.22852380952381</v>
      </c>
      <c r="R17" s="14" t="n">
        <v>0.5</v>
      </c>
      <c r="S17" s="14" t="n">
        <v>0.4646</v>
      </c>
      <c r="T17" s="10" t="n">
        <f aca="false">IFERROR(AVERAGEIFS(Rates_Daily!I$15:I$2892,Rates_Daily!$A$15:$A$2892,"&gt;="&amp;$A17,Rates_Daily!$A$15:$A$2892,"&lt;="&amp;EOMONTH($A17,0)),"")</f>
        <v>0.462613991498082</v>
      </c>
      <c r="U17" s="10" t="n">
        <f aca="false">IFERROR(AVERAGEIFS(Rates_Daily!J$15:J$2892,Rates_Daily!$A$15:$A$2892,"&gt;="&amp;$A17,Rates_Daily!$A$15:$A$2892,"&lt;="&amp;EOMONTH($A17,0)),"")</f>
        <v>0.458531172836235</v>
      </c>
      <c r="V17" s="10" t="n">
        <f aca="false">IFERROR(AVERAGEIFS(Rates_Daily!K$15:K$2892,Rates_Daily!$A$15:$A$2892,"&gt;="&amp;$A17,Rates_Daily!$A$15:$A$2892,"&lt;="&amp;EOMONTH($A17,0)),"")</f>
        <v>0.447794922332833</v>
      </c>
      <c r="W17" s="10" t="n">
        <f aca="false">IFERROR(AVERAGEIFS(Rates_Daily!L$15:L$2892,Rates_Daily!$A$15:$A$2892,"&gt;="&amp;$A17,Rates_Daily!$A$15:$A$2892,"&lt;="&amp;EOMONTH($A17,0)),"")</f>
        <v>0.431370385807594</v>
      </c>
      <c r="X17" s="14" t="n">
        <v>0.58825</v>
      </c>
      <c r="Y17" s="14" t="n">
        <v>0.66</v>
      </c>
      <c r="Z17" s="14" t="n">
        <v>0.67</v>
      </c>
      <c r="AD17" s="14" t="n">
        <v>1.02</v>
      </c>
      <c r="AE17" s="14" t="n">
        <v>1.5</v>
      </c>
      <c r="AF17" s="14" t="n">
        <v>1.49</v>
      </c>
      <c r="AG17" s="14" t="n">
        <v>1.63</v>
      </c>
      <c r="AH17" s="14" t="n">
        <v>1.55</v>
      </c>
      <c r="AI17" s="14" t="n">
        <v>1.56</v>
      </c>
      <c r="AJ17" s="14" t="n">
        <v>1.58</v>
      </c>
      <c r="AK17" s="14" t="n">
        <v>1.502</v>
      </c>
      <c r="AL17" s="14" t="n">
        <v>1.505</v>
      </c>
      <c r="AM17" s="14" t="n">
        <v>1.507</v>
      </c>
      <c r="AN17" s="14" t="n">
        <v>1.63</v>
      </c>
      <c r="AO17" s="10" t="n">
        <f aca="false">IFERROR(AVERAGEIFS(Rates_Daily!M$15:M$2892,Rates_Daily!$A$15:$A$2892,"&gt;="&amp;$A17,Rates_Daily!$A$15:$A$2892,"&lt;="&amp;EOMONTH($A17,0)),"")</f>
        <v>2.70315217391304</v>
      </c>
      <c r="AP17" s="10" t="n">
        <f aca="false">IFERROR(AVERAGEIFS(Rates_Daily!N$15:N$2892,Rates_Daily!$A$15:$A$2892,"&gt;="&amp;$A17,Rates_Daily!$A$15:$A$2892,"&lt;="&amp;EOMONTH($A17,0)),"")</f>
        <v>2.81052173913043</v>
      </c>
      <c r="AQ17" s="10" t="n">
        <f aca="false">IFERROR(AVERAGEIFS(Rates_Daily!O$15:O$2892,Rates_Daily!$A$15:$A$2892,"&gt;="&amp;$A17,Rates_Daily!$A$15:$A$2892,"&lt;="&amp;EOMONTH($A17,0)),"")</f>
        <v>2.92753913043478</v>
      </c>
      <c r="AR17" s="10" t="n">
        <f aca="false">IFERROR(AVERAGEIFS(Rates_Daily!P$15:P$2892,Rates_Daily!$A$15:$A$2892,"&gt;="&amp;$A17,Rates_Daily!$A$15:$A$2892,"&lt;="&amp;EOMONTH($A17,0)),"")</f>
        <v>3.08836956521739</v>
      </c>
      <c r="AU17" s="14" t="n">
        <v>2.77</v>
      </c>
      <c r="AV17" s="14" t="n">
        <v>14.15</v>
      </c>
      <c r="AW17" s="14" t="n">
        <v>14.25</v>
      </c>
      <c r="AX17" s="14" t="n">
        <v>0.098</v>
      </c>
      <c r="AY17" s="14" t="n">
        <v>-0.003</v>
      </c>
      <c r="AZ17" s="16" t="str">
        <f aca="false">IF(EOMONTH($A17,0)&gt;MAX(Rates_Daily!$A$15:$A$2892),"partial month","complete")</f>
        <v>complete</v>
      </c>
    </row>
    <row r="18" customFormat="false" ht="15" hidden="false" customHeight="false" outlineLevel="0" collapsed="false">
      <c r="A18" s="17" t="n">
        <v>42461</v>
      </c>
      <c r="B18" s="14" t="n">
        <v>0.37</v>
      </c>
      <c r="C18" s="10" t="n">
        <f aca="false">IFERROR(INDEX(Rates_Daily!C$15:C$2892,MATCH(_xlfn.MAXIFS(Rates_Daily!$A$15:$A$2892,Rates_Daily!$A$15:$A$2892,"&lt;="&amp;EOMONTH($A18,0),Rates_Daily!C$15:C$2892,"&gt;=-1E+99"),Rates_Daily!$A$15:$A$2892,0)),"")</f>
        <v>0.5</v>
      </c>
      <c r="D18" s="10" t="n">
        <f aca="false">IFERROR(INDEX(Rates_Daily!D$15:D$2892,MATCH(_xlfn.MAXIFS(Rates_Daily!$A$15:$A$2892,Rates_Daily!$A$15:$A$2892,"&lt;="&amp;EOMONTH($A18,0),Rates_Daily!D$15:D$2892,"&gt;=-1E+99"),Rates_Daily!$A$15:$A$2892,0)),"")</f>
        <v>0.25</v>
      </c>
      <c r="E18" s="10" t="str">
        <f aca="false">IFERROR(AVERAGEIFS(Rates_Daily!B$15:B$2892,Rates_Daily!$A$15:$A$2892,"&gt;="&amp;$A18,Rates_Daily!$A$15:$A$2892,"&lt;="&amp;EOMONTH($A18,0)),"")</f>
        <v/>
      </c>
      <c r="F18" s="14" t="n">
        <v>0.19</v>
      </c>
      <c r="G18" s="14" t="n">
        <v>0.23</v>
      </c>
      <c r="H18" s="14" t="n">
        <v>0.37</v>
      </c>
      <c r="I18" s="14" t="n">
        <v>0.56</v>
      </c>
      <c r="J18" s="14" t="n">
        <v>0.55</v>
      </c>
      <c r="K18" s="10" t="n">
        <f aca="false">IFERROR(INDEX(Rates_Daily!F$15:F$2892,MATCH(_xlfn.MAXIFS(Rates_Daily!$A$15:$A$2892,Rates_Daily!$A$15:$A$2892,"&lt;="&amp;EOMONTH($A18,0),Rates_Daily!F$15:F$2892,"&gt;=-1E+99"),Rates_Daily!$A$15:$A$2892,0)),"")</f>
        <v>-0.4</v>
      </c>
      <c r="L18" s="10" t="str">
        <f aca="false">IFERROR(AVERAGEIFS(Rates_Daily!E$15:E$2892,Rates_Daily!$A$15:$A$2892,"&gt;="&amp;$A18,Rates_Daily!$A$15:$A$2892,"&lt;="&amp;EOMONTH($A18,0)),"")</f>
        <v/>
      </c>
      <c r="M18" s="14" t="n">
        <v>-0.3411905</v>
      </c>
      <c r="N18" s="14" t="n">
        <v>-0.2491905</v>
      </c>
      <c r="O18" s="14" t="n">
        <v>-0.1379524</v>
      </c>
      <c r="P18" s="14" t="n">
        <v>-0.0097619</v>
      </c>
      <c r="Q18" s="14" t="n">
        <v>-0.249190476190476</v>
      </c>
      <c r="R18" s="14" t="n">
        <v>0.5</v>
      </c>
      <c r="S18" s="14" t="n">
        <v>0.4663</v>
      </c>
      <c r="T18" s="10" t="n">
        <f aca="false">IFERROR(AVERAGEIFS(Rates_Daily!I$15:I$2892,Rates_Daily!$A$15:$A$2892,"&gt;="&amp;$A18,Rates_Daily!$A$15:$A$2892,"&lt;="&amp;EOMONTH($A18,0)),"")</f>
        <v>0.464311982455164</v>
      </c>
      <c r="U18" s="10" t="n">
        <f aca="false">IFERROR(AVERAGEIFS(Rates_Daily!J$15:J$2892,Rates_Daily!$A$15:$A$2892,"&gt;="&amp;$A18,Rates_Daily!$A$15:$A$2892,"&lt;="&amp;EOMONTH($A18,0)),"")</f>
        <v>0.457190952817399</v>
      </c>
      <c r="V18" s="10" t="n">
        <f aca="false">IFERROR(AVERAGEIFS(Rates_Daily!K$15:K$2892,Rates_Daily!$A$15:$A$2892,"&gt;="&amp;$A18,Rates_Daily!$A$15:$A$2892,"&lt;="&amp;EOMONTH($A18,0)),"")</f>
        <v>0.438095013026974</v>
      </c>
      <c r="W18" s="10" t="n">
        <f aca="false">IFERROR(AVERAGEIFS(Rates_Daily!L$15:L$2892,Rates_Daily!$A$15:$A$2892,"&gt;="&amp;$A18,Rates_Daily!$A$15:$A$2892,"&lt;="&amp;EOMONTH($A18,0)),"")</f>
        <v>0.423552710084889</v>
      </c>
      <c r="X18" s="14" t="n">
        <v>0.5889</v>
      </c>
      <c r="Y18" s="14" t="n">
        <v>0.5</v>
      </c>
      <c r="Z18" s="14" t="n">
        <v>0.49</v>
      </c>
      <c r="AD18" s="14" t="n">
        <v>0.98</v>
      </c>
      <c r="AE18" s="14" t="n">
        <v>1.5</v>
      </c>
      <c r="AF18" s="14" t="n">
        <v>1.49</v>
      </c>
      <c r="AG18" s="14" t="n">
        <v>1.61</v>
      </c>
      <c r="AH18" s="14" t="n">
        <v>1.55</v>
      </c>
      <c r="AI18" s="14" t="n">
        <v>1.56</v>
      </c>
      <c r="AJ18" s="14" t="n">
        <v>1.57</v>
      </c>
      <c r="AK18" s="14" t="n">
        <v>1.505</v>
      </c>
      <c r="AL18" s="14" t="n">
        <v>1.494</v>
      </c>
      <c r="AM18" s="14" t="n">
        <v>1.493</v>
      </c>
      <c r="AN18" s="14" t="n">
        <v>1.61</v>
      </c>
      <c r="AO18" s="10" t="n">
        <f aca="false">IFERROR(AVERAGEIFS(Rates_Daily!M$15:M$2892,Rates_Daily!$A$15:$A$2892,"&gt;="&amp;$A18,Rates_Daily!$A$15:$A$2892,"&lt;="&amp;EOMONTH($A18,0)),"")</f>
        <v>2.811575</v>
      </c>
      <c r="AP18" s="10" t="n">
        <f aca="false">IFERROR(AVERAGEIFS(Rates_Daily!N$15:N$2892,Rates_Daily!$A$15:$A$2892,"&gt;="&amp;$A18,Rates_Daily!$A$15:$A$2892,"&lt;="&amp;EOMONTH($A18,0)),"")</f>
        <v>2.85876</v>
      </c>
      <c r="AQ18" s="10" t="n">
        <f aca="false">IFERROR(AVERAGEIFS(Rates_Daily!O$15:O$2892,Rates_Daily!$A$15:$A$2892,"&gt;="&amp;$A18,Rates_Daily!$A$15:$A$2892,"&lt;="&amp;EOMONTH($A18,0)),"")</f>
        <v>2.89461</v>
      </c>
      <c r="AR18" s="10" t="n">
        <f aca="false">IFERROR(AVERAGEIFS(Rates_Daily!P$15:P$2892,Rates_Daily!$A$15:$A$2892,"&gt;="&amp;$A18,Rates_Daily!$A$15:$A$2892,"&lt;="&amp;EOMONTH($A18,0)),"")</f>
        <v>3.04395</v>
      </c>
      <c r="AU18" s="14" t="n">
        <v>2.95</v>
      </c>
      <c r="AV18" s="14" t="n">
        <v>14.15</v>
      </c>
      <c r="AW18" s="14" t="n">
        <v>14.25</v>
      </c>
      <c r="AX18" s="14" t="n">
        <v>0.06</v>
      </c>
      <c r="AY18" s="14" t="n">
        <v>-0.036</v>
      </c>
      <c r="AZ18" s="16" t="str">
        <f aca="false">IF(EOMONTH($A18,0)&gt;MAX(Rates_Daily!$A$15:$A$2892),"partial month","complete")</f>
        <v>complete</v>
      </c>
    </row>
    <row r="19" customFormat="false" ht="15" hidden="false" customHeight="false" outlineLevel="0" collapsed="false">
      <c r="A19" s="17" t="n">
        <v>42491</v>
      </c>
      <c r="B19" s="14" t="n">
        <v>0.37</v>
      </c>
      <c r="C19" s="10" t="n">
        <f aca="false">IFERROR(INDEX(Rates_Daily!C$15:C$2892,MATCH(_xlfn.MAXIFS(Rates_Daily!$A$15:$A$2892,Rates_Daily!$A$15:$A$2892,"&lt;="&amp;EOMONTH($A19,0),Rates_Daily!C$15:C$2892,"&gt;=-1E+99"),Rates_Daily!$A$15:$A$2892,0)),"")</f>
        <v>0.5</v>
      </c>
      <c r="D19" s="10" t="n">
        <f aca="false">IFERROR(INDEX(Rates_Daily!D$15:D$2892,MATCH(_xlfn.MAXIFS(Rates_Daily!$A$15:$A$2892,Rates_Daily!$A$15:$A$2892,"&lt;="&amp;EOMONTH($A19,0),Rates_Daily!D$15:D$2892,"&gt;=-1E+99"),Rates_Daily!$A$15:$A$2892,0)),"")</f>
        <v>0.25</v>
      </c>
      <c r="E19" s="10" t="str">
        <f aca="false">IFERROR(AVERAGEIFS(Rates_Daily!B$15:B$2892,Rates_Daily!$A$15:$A$2892,"&gt;="&amp;$A19,Rates_Daily!$A$15:$A$2892,"&lt;="&amp;EOMONTH($A19,0)),"")</f>
        <v/>
      </c>
      <c r="F19" s="14" t="n">
        <v>0.23</v>
      </c>
      <c r="G19" s="14" t="n">
        <v>0.28</v>
      </c>
      <c r="H19" s="14" t="n">
        <v>0.42</v>
      </c>
      <c r="I19" s="14" t="n">
        <v>0.59</v>
      </c>
      <c r="J19" s="14" t="n">
        <v>0.57</v>
      </c>
      <c r="K19" s="10" t="n">
        <f aca="false">IFERROR(INDEX(Rates_Daily!F$15:F$2892,MATCH(_xlfn.MAXIFS(Rates_Daily!$A$15:$A$2892,Rates_Daily!$A$15:$A$2892,"&lt;="&amp;EOMONTH($A19,0),Rates_Daily!F$15:F$2892,"&gt;=-1E+99"),Rates_Daily!$A$15:$A$2892,0)),"")</f>
        <v>-0.4</v>
      </c>
      <c r="L19" s="10" t="str">
        <f aca="false">IFERROR(AVERAGEIFS(Rates_Daily!E$15:E$2892,Rates_Daily!$A$15:$A$2892,"&gt;="&amp;$A19,Rates_Daily!$A$15:$A$2892,"&lt;="&amp;EOMONTH($A19,0)),"")</f>
        <v/>
      </c>
      <c r="M19" s="14" t="n">
        <v>-0.348</v>
      </c>
      <c r="N19" s="14" t="n">
        <v>-0.2571818</v>
      </c>
      <c r="O19" s="14" t="n">
        <v>-0.1445</v>
      </c>
      <c r="P19" s="14" t="n">
        <v>-0.0125909</v>
      </c>
      <c r="Q19" s="14" t="n">
        <v>-0.257181818181818</v>
      </c>
      <c r="R19" s="14" t="n">
        <v>0.5</v>
      </c>
      <c r="S19" s="14" t="n">
        <v>0.4633</v>
      </c>
      <c r="T19" s="10" t="n">
        <f aca="false">IFERROR(AVERAGEIFS(Rates_Daily!I$15:I$2892,Rates_Daily!$A$15:$A$2892,"&gt;="&amp;$A19,Rates_Daily!$A$15:$A$2892,"&lt;="&amp;EOMONTH($A19,0)),"")</f>
        <v>0.463029600550264</v>
      </c>
      <c r="U19" s="10" t="n">
        <f aca="false">IFERROR(AVERAGEIFS(Rates_Daily!J$15:J$2892,Rates_Daily!$A$15:$A$2892,"&gt;="&amp;$A19,Rates_Daily!$A$15:$A$2892,"&lt;="&amp;EOMONTH($A19,0)),"")</f>
        <v>0.44634153859286</v>
      </c>
      <c r="V19" s="10" t="n">
        <f aca="false">IFERROR(AVERAGEIFS(Rates_Daily!K$15:K$2892,Rates_Daily!$A$15:$A$2892,"&gt;="&amp;$A19,Rates_Daily!$A$15:$A$2892,"&lt;="&amp;EOMONTH($A19,0)),"")</f>
        <v>0.421811365065438</v>
      </c>
      <c r="W19" s="10" t="n">
        <f aca="false">IFERROR(AVERAGEIFS(Rates_Daily!L$15:L$2892,Rates_Daily!$A$15:$A$2892,"&gt;="&amp;$A19,Rates_Daily!$A$15:$A$2892,"&lt;="&amp;EOMONTH($A19,0)),"")</f>
        <v>0.412664482775194</v>
      </c>
      <c r="X19" s="14" t="n">
        <v>0.58929</v>
      </c>
      <c r="Y19" s="14" t="n">
        <v>0.5</v>
      </c>
      <c r="Z19" s="14" t="n">
        <v>0.49</v>
      </c>
      <c r="AD19" s="14" t="n">
        <v>0.98</v>
      </c>
      <c r="AE19" s="14" t="n">
        <v>1.5</v>
      </c>
      <c r="AF19" s="14" t="n">
        <v>1.49</v>
      </c>
      <c r="AG19" s="14" t="n">
        <v>1.58</v>
      </c>
      <c r="AH19" s="14" t="n">
        <v>1.52</v>
      </c>
      <c r="AI19" s="14" t="n">
        <v>1.53</v>
      </c>
      <c r="AJ19" s="14" t="n">
        <v>1.55</v>
      </c>
      <c r="AK19" s="14" t="n">
        <v>1.487</v>
      </c>
      <c r="AL19" s="14" t="n">
        <v>1.481</v>
      </c>
      <c r="AM19" s="14" t="n">
        <v>1.48</v>
      </c>
      <c r="AN19" s="14" t="n">
        <v>1.58</v>
      </c>
      <c r="AO19" s="10" t="n">
        <f aca="false">IFERROR(AVERAGEIFS(Rates_Daily!M$15:M$2892,Rates_Daily!$A$15:$A$2892,"&gt;="&amp;$A19,Rates_Daily!$A$15:$A$2892,"&lt;="&amp;EOMONTH($A19,0)),"")</f>
        <v>2.84104285714286</v>
      </c>
      <c r="AP19" s="10" t="n">
        <f aca="false">IFERROR(AVERAGEIFS(Rates_Daily!N$15:N$2892,Rates_Daily!$A$15:$A$2892,"&gt;="&amp;$A19,Rates_Daily!$A$15:$A$2892,"&lt;="&amp;EOMONTH($A19,0)),"")</f>
        <v>2.91659523809524</v>
      </c>
      <c r="AQ19" s="10" t="n">
        <f aca="false">IFERROR(AVERAGEIFS(Rates_Daily!O$15:O$2892,Rates_Daily!$A$15:$A$2892,"&gt;="&amp;$A19,Rates_Daily!$A$15:$A$2892,"&lt;="&amp;EOMONTH($A19,0)),"")</f>
        <v>2.95702380952381</v>
      </c>
      <c r="AR19" s="10" t="n">
        <f aca="false">IFERROR(AVERAGEIFS(Rates_Daily!P$15:P$2892,Rates_Daily!$A$15:$A$2892,"&gt;="&amp;$A19,Rates_Daily!$A$15:$A$2892,"&lt;="&amp;EOMONTH($A19,0)),"")</f>
        <v>3.04667619047619</v>
      </c>
      <c r="AU19" s="14" t="n">
        <v>2.89</v>
      </c>
      <c r="AV19" s="14" t="n">
        <v>14.15</v>
      </c>
      <c r="AW19" s="14" t="n">
        <v>14.25</v>
      </c>
      <c r="AX19" s="14" t="n">
        <v>0.06</v>
      </c>
      <c r="AY19" s="14" t="n">
        <v>-0.059</v>
      </c>
      <c r="AZ19" s="16" t="str">
        <f aca="false">IF(EOMONTH($A19,0)&gt;MAX(Rates_Daily!$A$15:$A$2892),"partial month","complete")</f>
        <v>complete</v>
      </c>
    </row>
    <row r="20" customFormat="false" ht="15" hidden="false" customHeight="false" outlineLevel="0" collapsed="false">
      <c r="A20" s="17" t="n">
        <v>42522</v>
      </c>
      <c r="B20" s="14" t="n">
        <v>0.38</v>
      </c>
      <c r="C20" s="10" t="n">
        <f aca="false">IFERROR(INDEX(Rates_Daily!C$15:C$2892,MATCH(_xlfn.MAXIFS(Rates_Daily!$A$15:$A$2892,Rates_Daily!$A$15:$A$2892,"&lt;="&amp;EOMONTH($A20,0),Rates_Daily!C$15:C$2892,"&gt;=-1E+99"),Rates_Daily!$A$15:$A$2892,0)),"")</f>
        <v>0.5</v>
      </c>
      <c r="D20" s="10" t="n">
        <f aca="false">IFERROR(INDEX(Rates_Daily!D$15:D$2892,MATCH(_xlfn.MAXIFS(Rates_Daily!$A$15:$A$2892,Rates_Daily!$A$15:$A$2892,"&lt;="&amp;EOMONTH($A20,0),Rates_Daily!D$15:D$2892,"&gt;=-1E+99"),Rates_Daily!$A$15:$A$2892,0)),"")</f>
        <v>0.25</v>
      </c>
      <c r="E20" s="10" t="str">
        <f aca="false">IFERROR(AVERAGEIFS(Rates_Daily!B$15:B$2892,Rates_Daily!$A$15:$A$2892,"&gt;="&amp;$A20,Rates_Daily!$A$15:$A$2892,"&lt;="&amp;EOMONTH($A20,0)),"")</f>
        <v/>
      </c>
      <c r="F20" s="14" t="n">
        <v>0.22</v>
      </c>
      <c r="G20" s="14" t="n">
        <v>0.27</v>
      </c>
      <c r="H20" s="14" t="n">
        <v>0.4</v>
      </c>
      <c r="I20" s="14" t="n">
        <v>0.55</v>
      </c>
      <c r="J20" s="14" t="n">
        <v>0.55</v>
      </c>
      <c r="K20" s="10" t="n">
        <f aca="false">IFERROR(INDEX(Rates_Daily!F$15:F$2892,MATCH(_xlfn.MAXIFS(Rates_Daily!$A$15:$A$2892,Rates_Daily!$A$15:$A$2892,"&lt;="&amp;EOMONTH($A20,0),Rates_Daily!F$15:F$2892,"&gt;=-1E+99"),Rates_Daily!$A$15:$A$2892,0)),"")</f>
        <v>-0.4</v>
      </c>
      <c r="L20" s="10" t="str">
        <f aca="false">IFERROR(AVERAGEIFS(Rates_Daily!E$15:E$2892,Rates_Daily!$A$15:$A$2892,"&gt;="&amp;$A20,Rates_Daily!$A$15:$A$2892,"&lt;="&amp;EOMONTH($A20,0)),"")</f>
        <v/>
      </c>
      <c r="M20" s="14" t="n">
        <v>-0.3559091</v>
      </c>
      <c r="N20" s="14" t="n">
        <v>-0.2679091</v>
      </c>
      <c r="O20" s="14" t="n">
        <v>-0.1624091</v>
      </c>
      <c r="P20" s="14" t="n">
        <v>-0.028</v>
      </c>
      <c r="Q20" s="14" t="n">
        <v>-0.267909090909091</v>
      </c>
      <c r="R20" s="14" t="n">
        <v>0.5</v>
      </c>
      <c r="S20" s="14" t="n">
        <v>0.4598</v>
      </c>
      <c r="T20" s="10" t="n">
        <f aca="false">IFERROR(AVERAGEIFS(Rates_Daily!I$15:I$2892,Rates_Daily!$A$15:$A$2892,"&gt;="&amp;$A20,Rates_Daily!$A$15:$A$2892,"&lt;="&amp;EOMONTH($A20,0)),"")</f>
        <v>0.442972560719274</v>
      </c>
      <c r="U20" s="10" t="n">
        <f aca="false">IFERROR(AVERAGEIFS(Rates_Daily!J$15:J$2892,Rates_Daily!$A$15:$A$2892,"&gt;="&amp;$A20,Rates_Daily!$A$15:$A$2892,"&lt;="&amp;EOMONTH($A20,0)),"")</f>
        <v>0.399158114618308</v>
      </c>
      <c r="V20" s="10" t="n">
        <f aca="false">IFERROR(AVERAGEIFS(Rates_Daily!K$15:K$2892,Rates_Daily!$A$15:$A$2892,"&gt;="&amp;$A20,Rates_Daily!$A$15:$A$2892,"&lt;="&amp;EOMONTH($A20,0)),"")</f>
        <v>0.365466606471599</v>
      </c>
      <c r="W20" s="10" t="n">
        <f aca="false">IFERROR(AVERAGEIFS(Rates_Daily!L$15:L$2892,Rates_Daily!$A$15:$A$2892,"&gt;="&amp;$A20,Rates_Daily!$A$15:$A$2892,"&lt;="&amp;EOMONTH($A20,0)),"")</f>
        <v>0.342408528803854</v>
      </c>
      <c r="X20" s="14" t="n">
        <v>0.57468</v>
      </c>
      <c r="Y20" s="14" t="n">
        <v>0.5</v>
      </c>
      <c r="Z20" s="14" t="n">
        <v>0.49</v>
      </c>
      <c r="AD20" s="14" t="n">
        <v>1.02</v>
      </c>
      <c r="AE20" s="14" t="n">
        <v>1.25</v>
      </c>
      <c r="AF20" s="14" t="n">
        <v>1.28</v>
      </c>
      <c r="AG20" s="14" t="n">
        <v>1.43</v>
      </c>
      <c r="AH20" s="14" t="n">
        <v>1.37</v>
      </c>
      <c r="AI20" s="14" t="n">
        <v>1.39</v>
      </c>
      <c r="AJ20" s="14" t="n">
        <v>1.43</v>
      </c>
      <c r="AK20" s="14" t="n">
        <v>1.353</v>
      </c>
      <c r="AL20" s="14" t="n">
        <v>1.36</v>
      </c>
      <c r="AM20" s="14" t="n">
        <v>1.361</v>
      </c>
      <c r="AN20" s="14" t="n">
        <v>1.43</v>
      </c>
      <c r="AO20" s="10" t="n">
        <f aca="false">IFERROR(AVERAGEIFS(Rates_Daily!M$15:M$2892,Rates_Daily!$A$15:$A$2892,"&gt;="&amp;$A20,Rates_Daily!$A$15:$A$2892,"&lt;="&amp;EOMONTH($A20,0)),"")</f>
        <v>2.85979047619048</v>
      </c>
      <c r="AP20" s="10" t="n">
        <f aca="false">IFERROR(AVERAGEIFS(Rates_Daily!N$15:N$2892,Rates_Daily!$A$15:$A$2892,"&gt;="&amp;$A20,Rates_Daily!$A$15:$A$2892,"&lt;="&amp;EOMONTH($A20,0)),"")</f>
        <v>2.95404285714286</v>
      </c>
      <c r="AQ20" s="10" t="n">
        <f aca="false">IFERROR(AVERAGEIFS(Rates_Daily!O$15:O$2892,Rates_Daily!$A$15:$A$2892,"&gt;="&amp;$A20,Rates_Daily!$A$15:$A$2892,"&lt;="&amp;EOMONTH($A20,0)),"")</f>
        <v>2.98377142857143</v>
      </c>
      <c r="AR20" s="10" t="n">
        <f aca="false">IFERROR(AVERAGEIFS(Rates_Daily!P$15:P$2892,Rates_Daily!$A$15:$A$2892,"&gt;="&amp;$A20,Rates_Daily!$A$15:$A$2892,"&lt;="&amp;EOMONTH($A20,0)),"")</f>
        <v>3.05038095238095</v>
      </c>
      <c r="AU20" s="14" t="n">
        <v>2.87</v>
      </c>
      <c r="AV20" s="14" t="n">
        <v>14.15</v>
      </c>
      <c r="AW20" s="14" t="n">
        <v>14.25</v>
      </c>
      <c r="AX20" s="14" t="n">
        <v>0.059</v>
      </c>
      <c r="AY20" s="14" t="n">
        <v>-0.055</v>
      </c>
      <c r="AZ20" s="16" t="str">
        <f aca="false">IF(EOMONTH($A20,0)&gt;MAX(Rates_Daily!$A$15:$A$2892),"partial month","complete")</f>
        <v>complete</v>
      </c>
    </row>
    <row r="21" customFormat="false" ht="15" hidden="false" customHeight="false" outlineLevel="0" collapsed="false">
      <c r="A21" s="17" t="n">
        <v>42552</v>
      </c>
      <c r="B21" s="14" t="n">
        <v>0.39</v>
      </c>
      <c r="C21" s="10" t="n">
        <f aca="false">IFERROR(INDEX(Rates_Daily!C$15:C$2892,MATCH(_xlfn.MAXIFS(Rates_Daily!$A$15:$A$2892,Rates_Daily!$A$15:$A$2892,"&lt;="&amp;EOMONTH($A21,0),Rates_Daily!C$15:C$2892,"&gt;=-1E+99"),Rates_Daily!$A$15:$A$2892,0)),"")</f>
        <v>0.5</v>
      </c>
      <c r="D21" s="10" t="n">
        <f aca="false">IFERROR(INDEX(Rates_Daily!D$15:D$2892,MATCH(_xlfn.MAXIFS(Rates_Daily!$A$15:$A$2892,Rates_Daily!$A$15:$A$2892,"&lt;="&amp;EOMONTH($A21,0),Rates_Daily!D$15:D$2892,"&gt;=-1E+99"),Rates_Daily!$A$15:$A$2892,0)),"")</f>
        <v>0.25</v>
      </c>
      <c r="E21" s="10" t="str">
        <f aca="false">IFERROR(AVERAGEIFS(Rates_Daily!B$15:B$2892,Rates_Daily!$A$15:$A$2892,"&gt;="&amp;$A21,Rates_Daily!$A$15:$A$2892,"&lt;="&amp;EOMONTH($A21,0)),"")</f>
        <v/>
      </c>
      <c r="F21" s="14" t="n">
        <v>0.26</v>
      </c>
      <c r="G21" s="14" t="n">
        <v>0.3</v>
      </c>
      <c r="H21" s="14" t="n">
        <v>0.4</v>
      </c>
      <c r="I21" s="14" t="n">
        <v>0.51</v>
      </c>
      <c r="J21" s="14" t="n">
        <v>0.62</v>
      </c>
      <c r="K21" s="10" t="n">
        <f aca="false">IFERROR(INDEX(Rates_Daily!F$15:F$2892,MATCH(_xlfn.MAXIFS(Rates_Daily!$A$15:$A$2892,Rates_Daily!$A$15:$A$2892,"&lt;="&amp;EOMONTH($A21,0),Rates_Daily!F$15:F$2892,"&gt;=-1E+99"),Rates_Daily!$A$15:$A$2892,0)),"")</f>
        <v>-0.4</v>
      </c>
      <c r="L21" s="10" t="str">
        <f aca="false">IFERROR(AVERAGEIFS(Rates_Daily!E$15:E$2892,Rates_Daily!$A$15:$A$2892,"&gt;="&amp;$A21,Rates_Daily!$A$15:$A$2892,"&lt;="&amp;EOMONTH($A21,0)),"")</f>
        <v/>
      </c>
      <c r="M21" s="14" t="n">
        <v>-0.3688095</v>
      </c>
      <c r="N21" s="14" t="n">
        <v>-0.2945238</v>
      </c>
      <c r="O21" s="14" t="n">
        <v>-0.1881905</v>
      </c>
      <c r="P21" s="14" t="n">
        <v>-0.0560476</v>
      </c>
      <c r="Q21" s="14" t="n">
        <v>-0.294523809523809</v>
      </c>
      <c r="R21" s="14" t="n">
        <v>0.5</v>
      </c>
      <c r="S21" s="14" t="n">
        <v>0.4577</v>
      </c>
      <c r="T21" s="10" t="n">
        <f aca="false">IFERROR(AVERAGEIFS(Rates_Daily!I$15:I$2892,Rates_Daily!$A$15:$A$2892,"&gt;="&amp;$A21,Rates_Daily!$A$15:$A$2892,"&lt;="&amp;EOMONTH($A21,0)),"")</f>
        <v>0.319608700898306</v>
      </c>
      <c r="U21" s="10" t="n">
        <f aca="false">IFERROR(AVERAGEIFS(Rates_Daily!J$15:J$2892,Rates_Daily!$A$15:$A$2892,"&gt;="&amp;$A21,Rates_Daily!$A$15:$A$2892,"&lt;="&amp;EOMONTH($A21,0)),"")</f>
        <v>0.2304286239852</v>
      </c>
      <c r="V21" s="10" t="n">
        <f aca="false">IFERROR(AVERAGEIFS(Rates_Daily!K$15:K$2892,Rates_Daily!$A$15:$A$2892,"&gt;="&amp;$A21,Rates_Daily!$A$15:$A$2892,"&lt;="&amp;EOMONTH($A21,0)),"")</f>
        <v>0.181599266010813</v>
      </c>
      <c r="W21" s="10" t="n">
        <f aca="false">IFERROR(AVERAGEIFS(Rates_Daily!L$15:L$2892,Rates_Daily!$A$15:$A$2892,"&gt;="&amp;$A21,Rates_Daily!$A$15:$A$2892,"&lt;="&amp;EOMONTH($A21,0)),"")</f>
        <v>0.147182039630315</v>
      </c>
      <c r="X21" s="14" t="n">
        <v>0.5136</v>
      </c>
      <c r="Y21" s="14" t="n">
        <v>0.5</v>
      </c>
      <c r="Z21" s="14" t="n">
        <v>0.49</v>
      </c>
      <c r="AD21" s="14" t="n">
        <v>1.01</v>
      </c>
      <c r="AE21" s="14" t="n">
        <v>1.25</v>
      </c>
      <c r="AF21" s="14" t="n">
        <v>1.23</v>
      </c>
      <c r="AG21" s="14" t="n">
        <v>1.36</v>
      </c>
      <c r="AH21" s="14" t="n">
        <v>1.27</v>
      </c>
      <c r="AI21" s="14" t="n">
        <v>1.29</v>
      </c>
      <c r="AJ21" s="14" t="n">
        <v>1.32</v>
      </c>
      <c r="AK21" s="14" t="n">
        <v>1.251</v>
      </c>
      <c r="AL21" s="14" t="n">
        <v>1.259</v>
      </c>
      <c r="AM21" s="14" t="n">
        <v>1.26</v>
      </c>
      <c r="AN21" s="14" t="n">
        <v>1.36</v>
      </c>
      <c r="AO21" s="10" t="n">
        <f aca="false">IFERROR(AVERAGEIFS(Rates_Daily!M$15:M$2892,Rates_Daily!$A$15:$A$2892,"&gt;="&amp;$A21,Rates_Daily!$A$15:$A$2892,"&lt;="&amp;EOMONTH($A21,0)),"")</f>
        <v>2.81547619047619</v>
      </c>
      <c r="AP21" s="10" t="n">
        <f aca="false">IFERROR(AVERAGEIFS(Rates_Daily!N$15:N$2892,Rates_Daily!$A$15:$A$2892,"&gt;="&amp;$A21,Rates_Daily!$A$15:$A$2892,"&lt;="&amp;EOMONTH($A21,0)),"")</f>
        <v>2.8958</v>
      </c>
      <c r="AQ21" s="10" t="n">
        <f aca="false">IFERROR(AVERAGEIFS(Rates_Daily!O$15:O$2892,Rates_Daily!$A$15:$A$2892,"&gt;="&amp;$A21,Rates_Daily!$A$15:$A$2892,"&lt;="&amp;EOMONTH($A21,0)),"")</f>
        <v>2.96554761904762</v>
      </c>
      <c r="AR21" s="10" t="n">
        <f aca="false">IFERROR(AVERAGEIFS(Rates_Daily!P$15:P$2892,Rates_Daily!$A$15:$A$2892,"&gt;="&amp;$A21,Rates_Daily!$A$15:$A$2892,"&lt;="&amp;EOMONTH($A21,0)),"")</f>
        <v>3.04638095238095</v>
      </c>
      <c r="AU21" s="14" t="n">
        <v>2.87</v>
      </c>
      <c r="AV21" s="14" t="n">
        <v>14.15</v>
      </c>
      <c r="AW21" s="14" t="n">
        <v>14.25</v>
      </c>
      <c r="AX21" s="14" t="n">
        <v>0.058</v>
      </c>
      <c r="AY21" s="14" t="n">
        <v>-0.043</v>
      </c>
      <c r="AZ21" s="16" t="str">
        <f aca="false">IF(EOMONTH($A21,0)&gt;MAX(Rates_Daily!$A$15:$A$2892),"partial month","complete")</f>
        <v>complete</v>
      </c>
    </row>
    <row r="22" customFormat="false" ht="15" hidden="false" customHeight="false" outlineLevel="0" collapsed="false">
      <c r="A22" s="17" t="n">
        <v>42583</v>
      </c>
      <c r="B22" s="14" t="n">
        <v>0.4</v>
      </c>
      <c r="C22" s="10" t="n">
        <f aca="false">IFERROR(INDEX(Rates_Daily!C$15:C$2892,MATCH(_xlfn.MAXIFS(Rates_Daily!$A$15:$A$2892,Rates_Daily!$A$15:$A$2892,"&lt;="&amp;EOMONTH($A22,0),Rates_Daily!C$15:C$2892,"&gt;=-1E+99"),Rates_Daily!$A$15:$A$2892,0)),"")</f>
        <v>0.5</v>
      </c>
      <c r="D22" s="10" t="n">
        <f aca="false">IFERROR(INDEX(Rates_Daily!D$15:D$2892,MATCH(_xlfn.MAXIFS(Rates_Daily!$A$15:$A$2892,Rates_Daily!$A$15:$A$2892,"&lt;="&amp;EOMONTH($A22,0),Rates_Daily!D$15:D$2892,"&gt;=-1E+99"),Rates_Daily!$A$15:$A$2892,0)),"")</f>
        <v>0.25</v>
      </c>
      <c r="E22" s="10" t="str">
        <f aca="false">IFERROR(AVERAGEIFS(Rates_Daily!B$15:B$2892,Rates_Daily!$A$15:$A$2892,"&gt;="&amp;$A22,Rates_Daily!$A$15:$A$2892,"&lt;="&amp;EOMONTH($A22,0)),"")</f>
        <v/>
      </c>
      <c r="F22" s="14" t="n">
        <v>0.26</v>
      </c>
      <c r="G22" s="14" t="n">
        <v>0.3</v>
      </c>
      <c r="H22" s="14" t="n">
        <v>0.45</v>
      </c>
      <c r="I22" s="14" t="n">
        <v>0.57</v>
      </c>
      <c r="J22" s="14" t="n">
        <v>0.73</v>
      </c>
      <c r="K22" s="10" t="n">
        <f aca="false">IFERROR(INDEX(Rates_Daily!F$15:F$2892,MATCH(_xlfn.MAXIFS(Rates_Daily!$A$15:$A$2892,Rates_Daily!$A$15:$A$2892,"&lt;="&amp;EOMONTH($A22,0),Rates_Daily!F$15:F$2892,"&gt;=-1E+99"),Rates_Daily!$A$15:$A$2892,0)),"")</f>
        <v>-0.4</v>
      </c>
      <c r="L22" s="10" t="str">
        <f aca="false">IFERROR(AVERAGEIFS(Rates_Daily!E$15:E$2892,Rates_Daily!$A$15:$A$2892,"&gt;="&amp;$A22,Rates_Daily!$A$15:$A$2892,"&lt;="&amp;EOMONTH($A22,0)),"")</f>
        <v/>
      </c>
      <c r="M22" s="14" t="n">
        <v>-0.3696957</v>
      </c>
      <c r="N22" s="14" t="n">
        <v>-0.2982174</v>
      </c>
      <c r="O22" s="14" t="n">
        <v>-0.1886522</v>
      </c>
      <c r="P22" s="14" t="n">
        <v>-0.0483043</v>
      </c>
      <c r="Q22" s="14" t="n">
        <v>-0.298217391304348</v>
      </c>
      <c r="R22" s="14" t="n">
        <v>0.2841</v>
      </c>
      <c r="S22" s="14" t="n">
        <v>0.2478</v>
      </c>
      <c r="T22" s="10" t="n">
        <f aca="false">IFERROR(AVERAGEIFS(Rates_Daily!I$15:I$2892,Rates_Daily!$A$15:$A$2892,"&gt;="&amp;$A22,Rates_Daily!$A$15:$A$2892,"&lt;="&amp;EOMONTH($A22,0)),"")</f>
        <v>0.216373681430019</v>
      </c>
      <c r="U22" s="10" t="n">
        <f aca="false">IFERROR(AVERAGEIFS(Rates_Daily!J$15:J$2892,Rates_Daily!$A$15:$A$2892,"&gt;="&amp;$A22,Rates_Daily!$A$15:$A$2892,"&lt;="&amp;EOMONTH($A22,0)),"")</f>
        <v>0.189407703489691</v>
      </c>
      <c r="V22" s="10" t="n">
        <f aca="false">IFERROR(AVERAGEIFS(Rates_Daily!K$15:K$2892,Rates_Daily!$A$15:$A$2892,"&gt;="&amp;$A22,Rates_Daily!$A$15:$A$2892,"&lt;="&amp;EOMONTH($A22,0)),"")</f>
        <v>0.155214905363637</v>
      </c>
      <c r="W22" s="10" t="n">
        <f aca="false">IFERROR(AVERAGEIFS(Rates_Daily!L$15:L$2892,Rates_Daily!$A$15:$A$2892,"&gt;="&amp;$A22,Rates_Daily!$A$15:$A$2892,"&lt;="&amp;EOMONTH($A22,0)),"")</f>
        <v>0.124298462222257</v>
      </c>
      <c r="X22" s="14" t="n">
        <v>0.40613</v>
      </c>
      <c r="Y22" s="14" t="n">
        <v>0.5</v>
      </c>
      <c r="Z22" s="14" t="n">
        <v>0.5</v>
      </c>
      <c r="AD22" s="14" t="n">
        <v>1.08</v>
      </c>
      <c r="AE22" s="14" t="n">
        <v>1.25</v>
      </c>
      <c r="AF22" s="14" t="n">
        <v>1.23</v>
      </c>
      <c r="AG22" s="14" t="n">
        <v>1.35</v>
      </c>
      <c r="AH22" s="14" t="n">
        <v>1.27</v>
      </c>
      <c r="AI22" s="14" t="n">
        <v>1.29</v>
      </c>
      <c r="AJ22" s="14" t="n">
        <v>1.32</v>
      </c>
      <c r="AK22" s="14" t="n">
        <v>1.256</v>
      </c>
      <c r="AL22" s="14" t="n">
        <v>1.266</v>
      </c>
      <c r="AM22" s="14" t="n">
        <v>1.265</v>
      </c>
      <c r="AN22" s="14" t="n">
        <v>1.35</v>
      </c>
      <c r="AO22" s="10" t="n">
        <f aca="false">IFERROR(AVERAGEIFS(Rates_Daily!M$15:M$2892,Rates_Daily!$A$15:$A$2892,"&gt;="&amp;$A22,Rates_Daily!$A$15:$A$2892,"&lt;="&amp;EOMONTH($A22,0)),"")</f>
        <v>2.7121</v>
      </c>
      <c r="AP22" s="10" t="n">
        <f aca="false">IFERROR(AVERAGEIFS(Rates_Daily!N$15:N$2892,Rates_Daily!$A$15:$A$2892,"&gt;="&amp;$A22,Rates_Daily!$A$15:$A$2892,"&lt;="&amp;EOMONTH($A22,0)),"")</f>
        <v>2.80618260869565</v>
      </c>
      <c r="AQ22" s="10" t="n">
        <f aca="false">IFERROR(AVERAGEIFS(Rates_Daily!O$15:O$2892,Rates_Daily!$A$15:$A$2892,"&gt;="&amp;$A22,Rates_Daily!$A$15:$A$2892,"&lt;="&amp;EOMONTH($A22,0)),"")</f>
        <v>2.90311739130435</v>
      </c>
      <c r="AR22" s="10" t="n">
        <f aca="false">IFERROR(AVERAGEIFS(Rates_Daily!P$15:P$2892,Rates_Daily!$A$15:$A$2892,"&gt;="&amp;$A22,Rates_Daily!$A$15:$A$2892,"&lt;="&amp;EOMONTH($A22,0)),"")</f>
        <v>3.02785217391304</v>
      </c>
      <c r="AU22" s="14" t="n">
        <v>2.77</v>
      </c>
      <c r="AV22" s="14" t="n">
        <v>14.15</v>
      </c>
      <c r="AW22" s="14" t="n">
        <v>14.25</v>
      </c>
      <c r="AX22" s="14" t="n">
        <v>0.058</v>
      </c>
      <c r="AY22" s="14" t="n">
        <v>-0.043</v>
      </c>
      <c r="AZ22" s="16" t="str">
        <f aca="false">IF(EOMONTH($A22,0)&gt;MAX(Rates_Daily!$A$15:$A$2892),"partial month","complete")</f>
        <v>complete</v>
      </c>
    </row>
    <row r="23" customFormat="false" ht="15" hidden="false" customHeight="false" outlineLevel="0" collapsed="false">
      <c r="A23" s="17" t="n">
        <v>42614</v>
      </c>
      <c r="B23" s="14" t="n">
        <v>0.4</v>
      </c>
      <c r="C23" s="10" t="n">
        <f aca="false">IFERROR(INDEX(Rates_Daily!C$15:C$2892,MATCH(_xlfn.MAXIFS(Rates_Daily!$A$15:$A$2892,Rates_Daily!$A$15:$A$2892,"&lt;="&amp;EOMONTH($A23,0),Rates_Daily!C$15:C$2892,"&gt;=-1E+99"),Rates_Daily!$A$15:$A$2892,0)),"")</f>
        <v>0.5</v>
      </c>
      <c r="D23" s="10" t="n">
        <f aca="false">IFERROR(INDEX(Rates_Daily!D$15:D$2892,MATCH(_xlfn.MAXIFS(Rates_Daily!$A$15:$A$2892,Rates_Daily!$A$15:$A$2892,"&lt;="&amp;EOMONTH($A23,0),Rates_Daily!D$15:D$2892,"&gt;=-1E+99"),Rates_Daily!$A$15:$A$2892,0)),"")</f>
        <v>0.25</v>
      </c>
      <c r="E23" s="10" t="str">
        <f aca="false">IFERROR(AVERAGEIFS(Rates_Daily!B$15:B$2892,Rates_Daily!$A$15:$A$2892,"&gt;="&amp;$A23,Rates_Daily!$A$15:$A$2892,"&lt;="&amp;EOMONTH($A23,0)),"")</f>
        <v/>
      </c>
      <c r="F23" s="14" t="n">
        <v>0.19</v>
      </c>
      <c r="G23" s="14" t="n">
        <v>0.29</v>
      </c>
      <c r="H23" s="14" t="n">
        <v>0.47</v>
      </c>
      <c r="I23" s="14" t="n">
        <v>0.59</v>
      </c>
      <c r="J23" s="14" t="n">
        <v>0.75</v>
      </c>
      <c r="K23" s="10" t="n">
        <f aca="false">IFERROR(INDEX(Rates_Daily!F$15:F$2892,MATCH(_xlfn.MAXIFS(Rates_Daily!$A$15:$A$2892,Rates_Daily!$A$15:$A$2892,"&lt;="&amp;EOMONTH($A23,0),Rates_Daily!F$15:F$2892,"&gt;=-1E+99"),Rates_Daily!$A$15:$A$2892,0)),"")</f>
        <v>-0.4</v>
      </c>
      <c r="L23" s="10" t="str">
        <f aca="false">IFERROR(AVERAGEIFS(Rates_Daily!E$15:E$2892,Rates_Daily!$A$15:$A$2892,"&gt;="&amp;$A23,Rates_Daily!$A$15:$A$2892,"&lt;="&amp;EOMONTH($A23,0)),"")</f>
        <v/>
      </c>
      <c r="M23" s="14" t="n">
        <v>-0.3713636</v>
      </c>
      <c r="N23" s="14" t="n">
        <v>-0.3016364</v>
      </c>
      <c r="O23" s="14" t="n">
        <v>-0.1991364</v>
      </c>
      <c r="P23" s="14" t="n">
        <v>-0.0570909</v>
      </c>
      <c r="Q23" s="14" t="n">
        <v>-0.301636363636364</v>
      </c>
      <c r="R23" s="14" t="n">
        <v>0.25</v>
      </c>
      <c r="S23" s="14" t="n">
        <v>0.213</v>
      </c>
      <c r="T23" s="10" t="n">
        <f aca="false">IFERROR(AVERAGEIFS(Rates_Daily!I$15:I$2892,Rates_Daily!$A$15:$A$2892,"&gt;="&amp;$A23,Rates_Daily!$A$15:$A$2892,"&lt;="&amp;EOMONTH($A23,0)),"")</f>
        <v>0.209931312555197</v>
      </c>
      <c r="U23" s="10" t="n">
        <f aca="false">IFERROR(AVERAGEIFS(Rates_Daily!J$15:J$2892,Rates_Daily!$A$15:$A$2892,"&gt;="&amp;$A23,Rates_Daily!$A$15:$A$2892,"&lt;="&amp;EOMONTH($A23,0)),"")</f>
        <v>0.187640724794103</v>
      </c>
      <c r="V23" s="10" t="n">
        <f aca="false">IFERROR(AVERAGEIFS(Rates_Daily!K$15:K$2892,Rates_Daily!$A$15:$A$2892,"&gt;="&amp;$A23,Rates_Daily!$A$15:$A$2892,"&lt;="&amp;EOMONTH($A23,0)),"")</f>
        <v>0.162734597122619</v>
      </c>
      <c r="W23" s="10" t="n">
        <f aca="false">IFERROR(AVERAGEIFS(Rates_Daily!L$15:L$2892,Rates_Daily!$A$15:$A$2892,"&gt;="&amp;$A23,Rates_Daily!$A$15:$A$2892,"&lt;="&amp;EOMONTH($A23,0)),"")</f>
        <v>0.139022007116164</v>
      </c>
      <c r="X23" s="14" t="n">
        <v>0.37907</v>
      </c>
      <c r="Y23" s="14" t="n">
        <v>0.5</v>
      </c>
      <c r="Z23" s="14" t="n">
        <v>0.57</v>
      </c>
      <c r="AD23" s="14" t="n">
        <v>1.09</v>
      </c>
      <c r="AE23" s="14" t="n">
        <v>1.25</v>
      </c>
      <c r="AF23" s="14" t="n">
        <v>1.24</v>
      </c>
      <c r="AG23" s="14" t="n">
        <v>1.34</v>
      </c>
      <c r="AH23" s="14" t="n">
        <v>1.31</v>
      </c>
      <c r="AI23" s="14" t="n">
        <v>1.35</v>
      </c>
      <c r="AJ23" s="14" t="n">
        <v>1.39</v>
      </c>
      <c r="AK23" s="14" t="n">
        <v>1.302</v>
      </c>
      <c r="AL23" s="14" t="n">
        <v>1.328</v>
      </c>
      <c r="AM23" s="14" t="n">
        <v>1.322</v>
      </c>
      <c r="AN23" s="14" t="n">
        <v>1.34</v>
      </c>
      <c r="AO23" s="10" t="n">
        <f aca="false">IFERROR(AVERAGEIFS(Rates_Daily!M$15:M$2892,Rates_Daily!$A$15:$A$2892,"&gt;="&amp;$A23,Rates_Daily!$A$15:$A$2892,"&lt;="&amp;EOMONTH($A23,0)),"")</f>
        <v>2.70258571428571</v>
      </c>
      <c r="AP23" s="10" t="n">
        <f aca="false">IFERROR(AVERAGEIFS(Rates_Daily!N$15:N$2892,Rates_Daily!$A$15:$A$2892,"&gt;="&amp;$A23,Rates_Daily!$A$15:$A$2892,"&lt;="&amp;EOMONTH($A23,0)),"")</f>
        <v>2.79327619047619</v>
      </c>
      <c r="AQ23" s="10" t="n">
        <f aca="false">IFERROR(AVERAGEIFS(Rates_Daily!O$15:O$2892,Rates_Daily!$A$15:$A$2892,"&gt;="&amp;$A23,Rates_Daily!$A$15:$A$2892,"&lt;="&amp;EOMONTH($A23,0)),"")</f>
        <v>2.88365238095238</v>
      </c>
      <c r="AR23" s="10" t="n">
        <f aca="false">IFERROR(AVERAGEIFS(Rates_Daily!P$15:P$2892,Rates_Daily!$A$15:$A$2892,"&gt;="&amp;$A23,Rates_Daily!$A$15:$A$2892,"&lt;="&amp;EOMONTH($A23,0)),"")</f>
        <v>3.02661904761905</v>
      </c>
      <c r="AU23" s="14" t="n">
        <v>2.81</v>
      </c>
      <c r="AV23" s="14" t="n">
        <v>14.15</v>
      </c>
      <c r="AW23" s="14" t="n">
        <v>14.25</v>
      </c>
      <c r="AX23" s="14" t="n">
        <v>0.056</v>
      </c>
      <c r="AY23" s="14" t="n">
        <v>-0.052</v>
      </c>
      <c r="AZ23" s="16" t="str">
        <f aca="false">IF(EOMONTH($A23,0)&gt;MAX(Rates_Daily!$A$15:$A$2892),"partial month","complete")</f>
        <v>complete</v>
      </c>
    </row>
    <row r="24" customFormat="false" ht="15" hidden="false" customHeight="false" outlineLevel="0" collapsed="false">
      <c r="A24" s="17" t="n">
        <v>42644</v>
      </c>
      <c r="B24" s="14" t="n">
        <v>0.4</v>
      </c>
      <c r="C24" s="10" t="n">
        <f aca="false">IFERROR(INDEX(Rates_Daily!C$15:C$2892,MATCH(_xlfn.MAXIFS(Rates_Daily!$A$15:$A$2892,Rates_Daily!$A$15:$A$2892,"&lt;="&amp;EOMONTH($A24,0),Rates_Daily!C$15:C$2892,"&gt;=-1E+99"),Rates_Daily!$A$15:$A$2892,0)),"")</f>
        <v>0.5</v>
      </c>
      <c r="D24" s="10" t="n">
        <f aca="false">IFERROR(INDEX(Rates_Daily!D$15:D$2892,MATCH(_xlfn.MAXIFS(Rates_Daily!$A$15:$A$2892,Rates_Daily!$A$15:$A$2892,"&lt;="&amp;EOMONTH($A24,0),Rates_Daily!D$15:D$2892,"&gt;=-1E+99"),Rates_Daily!$A$15:$A$2892,0)),"")</f>
        <v>0.25</v>
      </c>
      <c r="E24" s="10" t="str">
        <f aca="false">IFERROR(AVERAGEIFS(Rates_Daily!B$15:B$2892,Rates_Daily!$A$15:$A$2892,"&gt;="&amp;$A24,Rates_Daily!$A$15:$A$2892,"&lt;="&amp;EOMONTH($A24,0)),"")</f>
        <v/>
      </c>
      <c r="F24" s="14" t="n">
        <v>0.24</v>
      </c>
      <c r="G24" s="14" t="n">
        <v>0.33</v>
      </c>
      <c r="H24" s="14" t="n">
        <v>0.48</v>
      </c>
      <c r="I24" s="14" t="n">
        <v>0.66</v>
      </c>
      <c r="J24" s="14" t="n">
        <v>0.72</v>
      </c>
      <c r="K24" s="10" t="n">
        <f aca="false">IFERROR(INDEX(Rates_Daily!F$15:F$2892,MATCH(_xlfn.MAXIFS(Rates_Daily!$A$15:$A$2892,Rates_Daily!$A$15:$A$2892,"&lt;="&amp;EOMONTH($A24,0),Rates_Daily!F$15:F$2892,"&gt;=-1E+99"),Rates_Daily!$A$15:$A$2892,0)),"")</f>
        <v>-0.4</v>
      </c>
      <c r="L24" s="10" t="str">
        <f aca="false">IFERROR(AVERAGEIFS(Rates_Daily!E$15:E$2892,Rates_Daily!$A$15:$A$2892,"&gt;="&amp;$A24,Rates_Daily!$A$15:$A$2892,"&lt;="&amp;EOMONTH($A24,0)),"")</f>
        <v/>
      </c>
      <c r="M24" s="14" t="n">
        <v>-0.3714286</v>
      </c>
      <c r="N24" s="14" t="n">
        <v>-0.309</v>
      </c>
      <c r="O24" s="14" t="n">
        <v>-0.2070952</v>
      </c>
      <c r="P24" s="14" t="n">
        <v>-0.0687619</v>
      </c>
      <c r="Q24" s="14" t="n">
        <v>-0.309</v>
      </c>
      <c r="R24" s="14" t="n">
        <v>0.25</v>
      </c>
      <c r="S24" s="14" t="n">
        <v>0.212</v>
      </c>
      <c r="T24" s="10" t="n">
        <f aca="false">IFERROR(AVERAGEIFS(Rates_Daily!I$15:I$2892,Rates_Daily!$A$15:$A$2892,"&gt;="&amp;$A24,Rates_Daily!$A$15:$A$2892,"&lt;="&amp;EOMONTH($A24,0)),"")</f>
        <v>0.20737669107771</v>
      </c>
      <c r="U24" s="10" t="n">
        <f aca="false">IFERROR(AVERAGEIFS(Rates_Daily!J$15:J$2892,Rates_Daily!$A$15:$A$2892,"&gt;="&amp;$A24,Rates_Daily!$A$15:$A$2892,"&lt;="&amp;EOMONTH($A24,0)),"")</f>
        <v>0.196669523732312</v>
      </c>
      <c r="V24" s="10" t="n">
        <f aca="false">IFERROR(AVERAGEIFS(Rates_Daily!K$15:K$2892,Rates_Daily!$A$15:$A$2892,"&gt;="&amp;$A24,Rates_Daily!$A$15:$A$2892,"&lt;="&amp;EOMONTH($A24,0)),"")</f>
        <v>0.187148551718909</v>
      </c>
      <c r="W24" s="10" t="n">
        <f aca="false">IFERROR(AVERAGEIFS(Rates_Daily!L$15:L$2892,Rates_Daily!$A$15:$A$2892,"&gt;="&amp;$A24,Rates_Daily!$A$15:$A$2892,"&lt;="&amp;EOMONTH($A24,0)),"")</f>
        <v>0.180060024126948</v>
      </c>
      <c r="X24" s="14" t="n">
        <v>0.3975</v>
      </c>
      <c r="Y24" s="14" t="n">
        <v>0.5</v>
      </c>
      <c r="Z24" s="14" t="n">
        <v>0.49</v>
      </c>
      <c r="AD24" s="14" t="n">
        <v>1.11</v>
      </c>
      <c r="AE24" s="14" t="n">
        <v>1.25</v>
      </c>
      <c r="AF24" s="14" t="n">
        <v>1.23</v>
      </c>
      <c r="AG24" s="14" t="n">
        <v>1.35</v>
      </c>
      <c r="AH24" s="14" t="n">
        <v>1.37</v>
      </c>
      <c r="AI24" s="14" t="n">
        <v>1.44</v>
      </c>
      <c r="AJ24" s="14" t="n">
        <v>1.49</v>
      </c>
      <c r="AK24" s="14" t="n">
        <v>1.345</v>
      </c>
      <c r="AL24" s="14" t="n">
        <v>1.379</v>
      </c>
      <c r="AM24" s="14" t="n">
        <v>1.369</v>
      </c>
      <c r="AN24" s="14" t="n">
        <v>1.35</v>
      </c>
      <c r="AO24" s="10" t="n">
        <f aca="false">IFERROR(AVERAGEIFS(Rates_Daily!M$15:M$2892,Rates_Daily!$A$15:$A$2892,"&gt;="&amp;$A24,Rates_Daily!$A$15:$A$2892,"&lt;="&amp;EOMONTH($A24,0)),"")</f>
        <v>2.72436111111111</v>
      </c>
      <c r="AP24" s="10" t="n">
        <f aca="false">IFERROR(AVERAGEIFS(Rates_Daily!N$15:N$2892,Rates_Daily!$A$15:$A$2892,"&gt;="&amp;$A24,Rates_Daily!$A$15:$A$2892,"&lt;="&amp;EOMONTH($A24,0)),"")</f>
        <v>2.80827777777778</v>
      </c>
      <c r="AQ24" s="10" t="n">
        <f aca="false">IFERROR(AVERAGEIFS(Rates_Daily!O$15:O$2892,Rates_Daily!$A$15:$A$2892,"&gt;="&amp;$A24,Rates_Daily!$A$15:$A$2892,"&lt;="&amp;EOMONTH($A24,0)),"")</f>
        <v>2.89012222222222</v>
      </c>
      <c r="AR24" s="10" t="n">
        <f aca="false">IFERROR(AVERAGEIFS(Rates_Daily!P$15:P$2892,Rates_Daily!$A$15:$A$2892,"&gt;="&amp;$A24,Rates_Daily!$A$15:$A$2892,"&lt;="&amp;EOMONTH($A24,0)),"")</f>
        <v>3.02863888888889</v>
      </c>
      <c r="AU24" s="14" t="n">
        <v>2.91</v>
      </c>
      <c r="AV24" s="14" t="n">
        <v>14.05</v>
      </c>
      <c r="AW24" s="14" t="n">
        <v>14.15</v>
      </c>
      <c r="AX24" s="14" t="n">
        <v>0.056</v>
      </c>
      <c r="AY24" s="14" t="n">
        <v>-0.037</v>
      </c>
      <c r="AZ24" s="16" t="str">
        <f aca="false">IF(EOMONTH($A24,0)&gt;MAX(Rates_Daily!$A$15:$A$2892),"partial month","complete")</f>
        <v>complete</v>
      </c>
    </row>
    <row r="25" customFormat="false" ht="15" hidden="false" customHeight="false" outlineLevel="0" collapsed="false">
      <c r="A25" s="17" t="n">
        <v>42675</v>
      </c>
      <c r="B25" s="14" t="n">
        <v>0.41</v>
      </c>
      <c r="C25" s="10" t="n">
        <f aca="false">IFERROR(INDEX(Rates_Daily!C$15:C$2892,MATCH(_xlfn.MAXIFS(Rates_Daily!$A$15:$A$2892,Rates_Daily!$A$15:$A$2892,"&lt;="&amp;EOMONTH($A25,0),Rates_Daily!C$15:C$2892,"&gt;=-1E+99"),Rates_Daily!$A$15:$A$2892,0)),"")</f>
        <v>0.5</v>
      </c>
      <c r="D25" s="10" t="n">
        <f aca="false">IFERROR(INDEX(Rates_Daily!D$15:D$2892,MATCH(_xlfn.MAXIFS(Rates_Daily!$A$15:$A$2892,Rates_Daily!$A$15:$A$2892,"&lt;="&amp;EOMONTH($A25,0),Rates_Daily!D$15:D$2892,"&gt;=-1E+99"),Rates_Daily!$A$15:$A$2892,0)),"")</f>
        <v>0.25</v>
      </c>
      <c r="E25" s="10" t="str">
        <f aca="false">IFERROR(AVERAGEIFS(Rates_Daily!B$15:B$2892,Rates_Daily!$A$15:$A$2892,"&gt;="&amp;$A25,Rates_Daily!$A$15:$A$2892,"&lt;="&amp;EOMONTH($A25,0)),"")</f>
        <v/>
      </c>
      <c r="F25" s="14" t="n">
        <v>0.3</v>
      </c>
      <c r="G25" s="14" t="n">
        <v>0.45</v>
      </c>
      <c r="H25" s="14" t="n">
        <v>0.58</v>
      </c>
      <c r="I25" s="14" t="n">
        <v>0.74</v>
      </c>
      <c r="J25" s="14" t="n">
        <v>0.71</v>
      </c>
      <c r="K25" s="10" t="n">
        <f aca="false">IFERROR(INDEX(Rates_Daily!F$15:F$2892,MATCH(_xlfn.MAXIFS(Rates_Daily!$A$15:$A$2892,Rates_Daily!$A$15:$A$2892,"&lt;="&amp;EOMONTH($A25,0),Rates_Daily!F$15:F$2892,"&gt;=-1E+99"),Rates_Daily!$A$15:$A$2892,0)),"")</f>
        <v>-0.4</v>
      </c>
      <c r="L25" s="10" t="str">
        <f aca="false">IFERROR(AVERAGEIFS(Rates_Daily!E$15:E$2892,Rates_Daily!$A$15:$A$2892,"&gt;="&amp;$A25,Rates_Daily!$A$15:$A$2892,"&lt;="&amp;EOMONTH($A25,0)),"")</f>
        <v/>
      </c>
      <c r="M25" s="14" t="n">
        <v>-0.3727727</v>
      </c>
      <c r="N25" s="14" t="n">
        <v>-0.3126818</v>
      </c>
      <c r="O25" s="14" t="n">
        <v>-0.2148182</v>
      </c>
      <c r="P25" s="14" t="n">
        <v>-0.0740455</v>
      </c>
      <c r="Q25" s="14" t="n">
        <v>-0.312681818181818</v>
      </c>
      <c r="R25" s="14" t="n">
        <v>0.25</v>
      </c>
      <c r="S25" s="14" t="n">
        <v>0.2108</v>
      </c>
      <c r="T25" s="10" t="n">
        <f aca="false">IFERROR(AVERAGEIFS(Rates_Daily!I$15:I$2892,Rates_Daily!$A$15:$A$2892,"&gt;="&amp;$A25,Rates_Daily!$A$15:$A$2892,"&lt;="&amp;EOMONTH($A25,0)),"")</f>
        <v>0.207990431642404</v>
      </c>
      <c r="U25" s="10" t="n">
        <f aca="false">IFERROR(AVERAGEIFS(Rates_Daily!J$15:J$2892,Rates_Daily!$A$15:$A$2892,"&gt;="&amp;$A25,Rates_Daily!$A$15:$A$2892,"&lt;="&amp;EOMONTH($A25,0)),"")</f>
        <v>0.202473415177998</v>
      </c>
      <c r="V25" s="10" t="n">
        <f aca="false">IFERROR(AVERAGEIFS(Rates_Daily!K$15:K$2892,Rates_Daily!$A$15:$A$2892,"&gt;="&amp;$A25,Rates_Daily!$A$15:$A$2892,"&lt;="&amp;EOMONTH($A25,0)),"")</f>
        <v>0.200576536300584</v>
      </c>
      <c r="W25" s="10" t="n">
        <f aca="false">IFERROR(AVERAGEIFS(Rates_Daily!L$15:L$2892,Rates_Daily!$A$15:$A$2892,"&gt;="&amp;$A25,Rates_Daily!$A$15:$A$2892,"&lt;="&amp;EOMONTH($A25,0)),"")</f>
        <v>0.212248255444398</v>
      </c>
      <c r="X25" s="14" t="n">
        <v>0.39773</v>
      </c>
      <c r="Y25" s="14" t="n">
        <v>0.5</v>
      </c>
      <c r="Z25" s="14" t="n">
        <v>0.5</v>
      </c>
      <c r="AD25" s="14" t="n">
        <v>1.1</v>
      </c>
      <c r="AE25" s="14" t="n">
        <v>1.25</v>
      </c>
      <c r="AF25" s="14" t="n">
        <v>1.23</v>
      </c>
      <c r="AG25" s="14" t="n">
        <v>1.42</v>
      </c>
      <c r="AH25" s="14" t="n">
        <v>1.48</v>
      </c>
      <c r="AI25" s="14" t="n">
        <v>1.57</v>
      </c>
      <c r="AJ25" s="14" t="n">
        <v>1.61</v>
      </c>
      <c r="AK25" s="14" t="n">
        <v>1.42</v>
      </c>
      <c r="AL25" s="14" t="n">
        <v>1.517</v>
      </c>
      <c r="AM25" s="14" t="n">
        <v>1.511</v>
      </c>
      <c r="AN25" s="14" t="n">
        <v>1.42</v>
      </c>
      <c r="AO25" s="10" t="n">
        <f aca="false">IFERROR(AVERAGEIFS(Rates_Daily!M$15:M$2892,Rates_Daily!$A$15:$A$2892,"&gt;="&amp;$A25,Rates_Daily!$A$15:$A$2892,"&lt;="&amp;EOMONTH($A25,0)),"")</f>
        <v>2.77895454545455</v>
      </c>
      <c r="AP25" s="10" t="n">
        <f aca="false">IFERROR(AVERAGEIFS(Rates_Daily!N$15:N$2892,Rates_Daily!$A$15:$A$2892,"&gt;="&amp;$A25,Rates_Daily!$A$15:$A$2892,"&lt;="&amp;EOMONTH($A25,0)),"")</f>
        <v>2.92010454545455</v>
      </c>
      <c r="AQ25" s="10" t="n">
        <f aca="false">IFERROR(AVERAGEIFS(Rates_Daily!O$15:O$2892,Rates_Daily!$A$15:$A$2892,"&gt;="&amp;$A25,Rates_Daily!$A$15:$A$2892,"&lt;="&amp;EOMONTH($A25,0)),"")</f>
        <v>2.95737727272727</v>
      </c>
      <c r="AR25" s="10" t="n">
        <f aca="false">IFERROR(AVERAGEIFS(Rates_Daily!P$15:P$2892,Rates_Daily!$A$15:$A$2892,"&gt;="&amp;$A25,Rates_Daily!$A$15:$A$2892,"&lt;="&amp;EOMONTH($A25,0)),"")</f>
        <v>3.06788181818182</v>
      </c>
      <c r="AU25" s="14" t="n">
        <v>3.35</v>
      </c>
      <c r="AV25" s="14" t="n">
        <v>13.9</v>
      </c>
      <c r="AW25" s="14" t="n">
        <v>14</v>
      </c>
      <c r="AX25" s="14" t="n">
        <v>0.056</v>
      </c>
      <c r="AY25" s="14" t="n">
        <v>-0.049</v>
      </c>
      <c r="AZ25" s="16" t="str">
        <f aca="false">IF(EOMONTH($A25,0)&gt;MAX(Rates_Daily!$A$15:$A$2892),"partial month","complete")</f>
        <v>complete</v>
      </c>
    </row>
    <row r="26" customFormat="false" ht="15" hidden="false" customHeight="false" outlineLevel="0" collapsed="false">
      <c r="A26" s="17" t="n">
        <v>42705</v>
      </c>
      <c r="B26" s="14" t="n">
        <v>0.54</v>
      </c>
      <c r="C26" s="10" t="n">
        <f aca="false">IFERROR(INDEX(Rates_Daily!C$15:C$2892,MATCH(_xlfn.MAXIFS(Rates_Daily!$A$15:$A$2892,Rates_Daily!$A$15:$A$2892,"&lt;="&amp;EOMONTH($A26,0),Rates_Daily!C$15:C$2892,"&gt;=-1E+99"),Rates_Daily!$A$15:$A$2892,0)),"")</f>
        <v>0.75</v>
      </c>
      <c r="D26" s="10" t="n">
        <f aca="false">IFERROR(INDEX(Rates_Daily!D$15:D$2892,MATCH(_xlfn.MAXIFS(Rates_Daily!$A$15:$A$2892,Rates_Daily!$A$15:$A$2892,"&lt;="&amp;EOMONTH($A26,0),Rates_Daily!D$15:D$2892,"&gt;=-1E+99"),Rates_Daily!$A$15:$A$2892,0)),"")</f>
        <v>0.5</v>
      </c>
      <c r="E26" s="10" t="str">
        <f aca="false">IFERROR(AVERAGEIFS(Rates_Daily!B$15:B$2892,Rates_Daily!$A$15:$A$2892,"&gt;="&amp;$A26,Rates_Daily!$A$15:$A$2892,"&lt;="&amp;EOMONTH($A26,0)),"")</f>
        <v/>
      </c>
      <c r="F26" s="14" t="n">
        <v>0.42</v>
      </c>
      <c r="G26" s="14" t="n">
        <v>0.51</v>
      </c>
      <c r="H26" s="14" t="n">
        <v>0.64</v>
      </c>
      <c r="I26" s="14" t="n">
        <v>0.87</v>
      </c>
      <c r="J26" s="14" t="n">
        <v>0.87</v>
      </c>
      <c r="K26" s="10" t="n">
        <f aca="false">IFERROR(INDEX(Rates_Daily!F$15:F$2892,MATCH(_xlfn.MAXIFS(Rates_Daily!$A$15:$A$2892,Rates_Daily!$A$15:$A$2892,"&lt;="&amp;EOMONTH($A26,0),Rates_Daily!F$15:F$2892,"&gt;=-1E+99"),Rates_Daily!$A$15:$A$2892,0)),"")</f>
        <v>-0.4</v>
      </c>
      <c r="L26" s="10" t="str">
        <f aca="false">IFERROR(AVERAGEIFS(Rates_Daily!E$15:E$2892,Rates_Daily!$A$15:$A$2892,"&gt;="&amp;$A26,Rates_Daily!$A$15:$A$2892,"&lt;="&amp;EOMONTH($A26,0)),"")</f>
        <v/>
      </c>
      <c r="M26" s="14" t="n">
        <v>-0.370381</v>
      </c>
      <c r="N26" s="14" t="n">
        <v>-0.3157619</v>
      </c>
      <c r="O26" s="14" t="n">
        <v>-0.2179048</v>
      </c>
      <c r="P26" s="14" t="n">
        <v>-0.0804286</v>
      </c>
      <c r="Q26" s="14" t="n">
        <v>-0.315761904761905</v>
      </c>
      <c r="R26" s="14" t="n">
        <v>0.25</v>
      </c>
      <c r="S26" s="14" t="n">
        <v>0.2125</v>
      </c>
      <c r="T26" s="10" t="n">
        <f aca="false">IFERROR(AVERAGEIFS(Rates_Daily!I$15:I$2892,Rates_Daily!$A$15:$A$2892,"&gt;="&amp;$A26,Rates_Daily!$A$15:$A$2892,"&lt;="&amp;EOMONTH($A26,0)),"")</f>
        <v>0.205464829010121</v>
      </c>
      <c r="U26" s="10" t="n">
        <f aca="false">IFERROR(AVERAGEIFS(Rates_Daily!J$15:J$2892,Rates_Daily!$A$15:$A$2892,"&gt;="&amp;$A26,Rates_Daily!$A$15:$A$2892,"&lt;="&amp;EOMONTH($A26,0)),"")</f>
        <v>0.208990505097221</v>
      </c>
      <c r="V26" s="10" t="n">
        <f aca="false">IFERROR(AVERAGEIFS(Rates_Daily!K$15:K$2892,Rates_Daily!$A$15:$A$2892,"&gt;="&amp;$A26,Rates_Daily!$A$15:$A$2892,"&lt;="&amp;EOMONTH($A26,0)),"")</f>
        <v>0.213346511379186</v>
      </c>
      <c r="W26" s="10" t="n">
        <f aca="false">IFERROR(AVERAGEIFS(Rates_Daily!L$15:L$2892,Rates_Daily!$A$15:$A$2892,"&gt;="&amp;$A26,Rates_Daily!$A$15:$A$2892,"&lt;="&amp;EOMONTH($A26,0)),"")</f>
        <v>0.231297260870601</v>
      </c>
      <c r="X26" s="14" t="n">
        <v>0.37226</v>
      </c>
      <c r="Y26" s="14" t="n">
        <v>0.5</v>
      </c>
      <c r="Z26" s="14" t="n">
        <v>0.51</v>
      </c>
      <c r="AD26" s="14" t="n">
        <v>1.16</v>
      </c>
      <c r="AE26" s="14" t="n">
        <v>1.25</v>
      </c>
      <c r="AF26" s="14" t="n">
        <v>1.22</v>
      </c>
      <c r="AG26" s="14" t="n">
        <v>1.54</v>
      </c>
      <c r="AH26" s="14" t="n">
        <v>1.51</v>
      </c>
      <c r="AI26" s="14" t="n">
        <v>1.61</v>
      </c>
      <c r="AJ26" s="14" t="n">
        <v>1.69</v>
      </c>
      <c r="AK26" s="14" t="n">
        <v>1.422</v>
      </c>
      <c r="AL26" s="14" t="n">
        <v>1.573</v>
      </c>
      <c r="AM26" s="14" t="n">
        <v>1.576</v>
      </c>
      <c r="AN26" s="14" t="n">
        <v>1.54</v>
      </c>
      <c r="AO26" s="10" t="n">
        <f aca="false">IFERROR(AVERAGEIFS(Rates_Daily!M$15:M$2892,Rates_Daily!$A$15:$A$2892,"&gt;="&amp;$A26,Rates_Daily!$A$15:$A$2892,"&lt;="&amp;EOMONTH($A26,0)),"")</f>
        <v>3.13218181818182</v>
      </c>
      <c r="AP26" s="10" t="n">
        <f aca="false">IFERROR(AVERAGEIFS(Rates_Daily!N$15:N$2892,Rates_Daily!$A$15:$A$2892,"&gt;="&amp;$A26,Rates_Daily!$A$15:$A$2892,"&lt;="&amp;EOMONTH($A26,0)),"")</f>
        <v>3.17348181818182</v>
      </c>
      <c r="AQ26" s="10" t="n">
        <f aca="false">IFERROR(AVERAGEIFS(Rates_Daily!O$15:O$2892,Rates_Daily!$A$15:$A$2892,"&gt;="&amp;$A26,Rates_Daily!$A$15:$A$2892,"&lt;="&amp;EOMONTH($A26,0)),"")</f>
        <v>3.19187272727273</v>
      </c>
      <c r="AR26" s="10" t="n">
        <f aca="false">IFERROR(AVERAGEIFS(Rates_Daily!P$15:P$2892,Rates_Daily!$A$15:$A$2892,"&gt;="&amp;$A26,Rates_Daily!$A$15:$A$2892,"&lt;="&amp;EOMONTH($A26,0)),"")</f>
        <v>3.28443636363636</v>
      </c>
      <c r="AU26" s="14" t="n">
        <v>4.77</v>
      </c>
      <c r="AV26" s="14" t="n">
        <v>13.65</v>
      </c>
      <c r="AW26" s="14" t="n">
        <v>13.75</v>
      </c>
      <c r="AX26" s="14" t="n">
        <v>0.056</v>
      </c>
      <c r="AY26" s="14" t="n">
        <v>-0.044</v>
      </c>
      <c r="AZ26" s="16" t="str">
        <f aca="false">IF(EOMONTH($A26,0)&gt;MAX(Rates_Daily!$A$15:$A$2892),"partial month","complete")</f>
        <v>complete</v>
      </c>
    </row>
    <row r="27" customFormat="false" ht="15" hidden="false" customHeight="false" outlineLevel="0" collapsed="false">
      <c r="A27" s="17" t="n">
        <v>42736</v>
      </c>
      <c r="B27" s="14" t="n">
        <v>0.65</v>
      </c>
      <c r="C27" s="10" t="n">
        <f aca="false">IFERROR(INDEX(Rates_Daily!C$15:C$2892,MATCH(_xlfn.MAXIFS(Rates_Daily!$A$15:$A$2892,Rates_Daily!$A$15:$A$2892,"&lt;="&amp;EOMONTH($A27,0),Rates_Daily!C$15:C$2892,"&gt;=-1E+99"),Rates_Daily!$A$15:$A$2892,0)),"")</f>
        <v>0.75</v>
      </c>
      <c r="D27" s="10" t="n">
        <f aca="false">IFERROR(INDEX(Rates_Daily!D$15:D$2892,MATCH(_xlfn.MAXIFS(Rates_Daily!$A$15:$A$2892,Rates_Daily!$A$15:$A$2892,"&lt;="&amp;EOMONTH($A27,0),Rates_Daily!D$15:D$2892,"&gt;=-1E+99"),Rates_Daily!$A$15:$A$2892,0)),"")</f>
        <v>0.5</v>
      </c>
      <c r="E27" s="10" t="str">
        <f aca="false">IFERROR(AVERAGEIFS(Rates_Daily!B$15:B$2892,Rates_Daily!$A$15:$A$2892,"&gt;="&amp;$A27,Rates_Daily!$A$15:$A$2892,"&lt;="&amp;EOMONTH($A27,0)),"")</f>
        <v/>
      </c>
      <c r="F27" s="14" t="n">
        <v>0.5</v>
      </c>
      <c r="G27" s="14" t="n">
        <v>0.52</v>
      </c>
      <c r="H27" s="14" t="n">
        <v>0.62</v>
      </c>
      <c r="I27" s="14" t="n">
        <v>0.83</v>
      </c>
      <c r="J27" s="14" t="n">
        <v>0.9</v>
      </c>
      <c r="K27" s="10" t="n">
        <f aca="false">IFERROR(INDEX(Rates_Daily!F$15:F$2892,MATCH(_xlfn.MAXIFS(Rates_Daily!$A$15:$A$2892,Rates_Daily!$A$15:$A$2892,"&lt;="&amp;EOMONTH($A27,0),Rates_Daily!F$15:F$2892,"&gt;=-1E+99"),Rates_Daily!$A$15:$A$2892,0)),"")</f>
        <v>-0.4</v>
      </c>
      <c r="L27" s="10" t="str">
        <f aca="false">IFERROR(AVERAGEIFS(Rates_Daily!E$15:E$2892,Rates_Daily!$A$15:$A$2892,"&gt;="&amp;$A27,Rates_Daily!$A$15:$A$2892,"&lt;="&amp;EOMONTH($A27,0)),"")</f>
        <v/>
      </c>
      <c r="M27" s="14" t="n">
        <v>-0.3712727</v>
      </c>
      <c r="N27" s="14" t="n">
        <v>-0.3255455</v>
      </c>
      <c r="O27" s="14" t="n">
        <v>-0.2355455</v>
      </c>
      <c r="P27" s="14" t="n">
        <v>-0.0945</v>
      </c>
      <c r="Q27" s="14" t="n">
        <v>-0.325545454545455</v>
      </c>
      <c r="R27" s="14" t="n">
        <v>0.25</v>
      </c>
      <c r="S27" s="14" t="n">
        <v>0.2135</v>
      </c>
      <c r="T27" s="10" t="n">
        <f aca="false">IFERROR(AVERAGEIFS(Rates_Daily!I$15:I$2892,Rates_Daily!$A$15:$A$2892,"&gt;="&amp;$A27,Rates_Daily!$A$15:$A$2892,"&lt;="&amp;EOMONTH($A27,0)),"")</f>
        <v>0.215190912040049</v>
      </c>
      <c r="U27" s="10" t="n">
        <f aca="false">IFERROR(AVERAGEIFS(Rates_Daily!J$15:J$2892,Rates_Daily!$A$15:$A$2892,"&gt;="&amp;$A27,Rates_Daily!$A$15:$A$2892,"&lt;="&amp;EOMONTH($A27,0)),"")</f>
        <v>0.217945839500109</v>
      </c>
      <c r="V27" s="10" t="n">
        <f aca="false">IFERROR(AVERAGEIFS(Rates_Daily!K$15:K$2892,Rates_Daily!$A$15:$A$2892,"&gt;="&amp;$A27,Rates_Daily!$A$15:$A$2892,"&lt;="&amp;EOMONTH($A27,0)),"")</f>
        <v>0.2261217792521</v>
      </c>
      <c r="W27" s="10" t="n">
        <f aca="false">IFERROR(AVERAGEIFS(Rates_Daily!L$15:L$2892,Rates_Daily!$A$15:$A$2892,"&gt;="&amp;$A27,Rates_Daily!$A$15:$A$2892,"&lt;="&amp;EOMONTH($A27,0)),"")</f>
        <v>0.253843934207493</v>
      </c>
      <c r="X27" s="14" t="n">
        <v>0.3621</v>
      </c>
      <c r="Y27" s="14" t="n">
        <v>0.5</v>
      </c>
      <c r="Z27" s="14" t="n">
        <v>0.49</v>
      </c>
      <c r="AD27" s="14" t="n">
        <v>1.08</v>
      </c>
      <c r="AE27" s="14" t="n">
        <v>1.25</v>
      </c>
      <c r="AF27" s="14" t="n">
        <v>1.24</v>
      </c>
      <c r="AG27" s="14" t="n">
        <v>1.5</v>
      </c>
      <c r="AH27" s="14" t="n">
        <v>1.42</v>
      </c>
      <c r="AI27" s="14" t="n">
        <v>1.51</v>
      </c>
      <c r="AJ27" s="14" t="n">
        <v>1.59</v>
      </c>
      <c r="AK27" s="14" t="n">
        <v>1.335</v>
      </c>
      <c r="AL27" s="14" t="n">
        <v>1.5</v>
      </c>
      <c r="AM27" s="14" t="n">
        <v>1.496</v>
      </c>
      <c r="AN27" s="14" t="n">
        <v>1.5</v>
      </c>
      <c r="AO27" s="10" t="n">
        <f aca="false">IFERROR(AVERAGEIFS(Rates_Daily!M$15:M$2892,Rates_Daily!$A$15:$A$2892,"&gt;="&amp;$A27,Rates_Daily!$A$15:$A$2892,"&lt;="&amp;EOMONTH($A27,0)),"")</f>
        <v>3.64004736842105</v>
      </c>
      <c r="AP27" s="10" t="n">
        <f aca="false">IFERROR(AVERAGEIFS(Rates_Daily!N$15:N$2892,Rates_Daily!$A$15:$A$2892,"&gt;="&amp;$A27,Rates_Daily!$A$15:$A$2892,"&lt;="&amp;EOMONTH($A27,0)),"")</f>
        <v>3.65143157894737</v>
      </c>
      <c r="AQ27" s="10" t="n">
        <f aca="false">IFERROR(AVERAGEIFS(Rates_Daily!O$15:O$2892,Rates_Daily!$A$15:$A$2892,"&gt;="&amp;$A27,Rates_Daily!$A$15:$A$2892,"&lt;="&amp;EOMONTH($A27,0)),"")</f>
        <v>3.62055789473684</v>
      </c>
      <c r="AR27" s="10" t="n">
        <f aca="false">IFERROR(AVERAGEIFS(Rates_Daily!P$15:P$2892,Rates_Daily!$A$15:$A$2892,"&gt;="&amp;$A27,Rates_Daily!$A$15:$A$2892,"&lt;="&amp;EOMONTH($A27,0)),"")</f>
        <v>3.59263684210526</v>
      </c>
      <c r="AU27" s="14" t="n">
        <v>4.57</v>
      </c>
      <c r="AV27" s="14" t="n">
        <v>13.17</v>
      </c>
      <c r="AW27" s="14" t="n">
        <v>13.27</v>
      </c>
      <c r="AX27" s="14" t="n">
        <v>0.056</v>
      </c>
      <c r="AY27" s="14" t="n">
        <v>-0.045</v>
      </c>
      <c r="AZ27" s="16" t="str">
        <f aca="false">IF(EOMONTH($A27,0)&gt;MAX(Rates_Daily!$A$15:$A$2892),"partial month","complete")</f>
        <v>complete</v>
      </c>
    </row>
    <row r="28" customFormat="false" ht="15" hidden="false" customHeight="false" outlineLevel="0" collapsed="false">
      <c r="A28" s="17" t="n">
        <v>42767</v>
      </c>
      <c r="B28" s="14" t="n">
        <v>0.66</v>
      </c>
      <c r="C28" s="10" t="n">
        <f aca="false">IFERROR(INDEX(Rates_Daily!C$15:C$2892,MATCH(_xlfn.MAXIFS(Rates_Daily!$A$15:$A$2892,Rates_Daily!$A$15:$A$2892,"&lt;="&amp;EOMONTH($A28,0),Rates_Daily!C$15:C$2892,"&gt;=-1E+99"),Rates_Daily!$A$15:$A$2892,0)),"")</f>
        <v>0.75</v>
      </c>
      <c r="D28" s="10" t="n">
        <f aca="false">IFERROR(INDEX(Rates_Daily!D$15:D$2892,MATCH(_xlfn.MAXIFS(Rates_Daily!$A$15:$A$2892,Rates_Daily!$A$15:$A$2892,"&lt;="&amp;EOMONTH($A28,0),Rates_Daily!D$15:D$2892,"&gt;=-1E+99"),Rates_Daily!$A$15:$A$2892,0)),"")</f>
        <v>0.5</v>
      </c>
      <c r="E28" s="10" t="str">
        <f aca="false">IFERROR(AVERAGEIFS(Rates_Daily!B$15:B$2892,Rates_Daily!$A$15:$A$2892,"&gt;="&amp;$A28,Rates_Daily!$A$15:$A$2892,"&lt;="&amp;EOMONTH($A28,0)),"")</f>
        <v/>
      </c>
      <c r="F28" s="14" t="n">
        <v>0.48</v>
      </c>
      <c r="G28" s="14" t="n">
        <v>0.53</v>
      </c>
      <c r="H28" s="14" t="n">
        <v>0.65</v>
      </c>
      <c r="I28" s="14" t="n">
        <v>0.82</v>
      </c>
      <c r="J28" s="14" t="n">
        <v>0.87</v>
      </c>
      <c r="K28" s="10" t="n">
        <f aca="false">IFERROR(INDEX(Rates_Daily!F$15:F$2892,MATCH(_xlfn.MAXIFS(Rates_Daily!$A$15:$A$2892,Rates_Daily!$A$15:$A$2892,"&lt;="&amp;EOMONTH($A28,0),Rates_Daily!F$15:F$2892,"&gt;=-1E+99"),Rates_Daily!$A$15:$A$2892,0)),"")</f>
        <v>-0.4</v>
      </c>
      <c r="L28" s="10" t="str">
        <f aca="false">IFERROR(AVERAGEIFS(Rates_Daily!E$15:E$2892,Rates_Daily!$A$15:$A$2892,"&gt;="&amp;$A28,Rates_Daily!$A$15:$A$2892,"&lt;="&amp;EOMONTH($A28,0)),"")</f>
        <v/>
      </c>
      <c r="M28" s="14" t="n">
        <v>-0.3718</v>
      </c>
      <c r="N28" s="14" t="n">
        <v>-0.3286</v>
      </c>
      <c r="O28" s="14" t="n">
        <v>-0.24055</v>
      </c>
      <c r="P28" s="14" t="n">
        <v>-0.1059</v>
      </c>
      <c r="Q28" s="14" t="n">
        <v>-0.3286</v>
      </c>
      <c r="R28" s="14" t="n">
        <v>0.25</v>
      </c>
      <c r="S28" s="14" t="n">
        <v>0.2106</v>
      </c>
      <c r="T28" s="10" t="n">
        <f aca="false">IFERROR(AVERAGEIFS(Rates_Daily!I$15:I$2892,Rates_Daily!$A$15:$A$2892,"&gt;="&amp;$A28,Rates_Daily!$A$15:$A$2892,"&lt;="&amp;EOMONTH($A28,0)),"")</f>
        <v>0.211649981422145</v>
      </c>
      <c r="U28" s="10" t="n">
        <f aca="false">IFERROR(AVERAGEIFS(Rates_Daily!J$15:J$2892,Rates_Daily!$A$15:$A$2892,"&gt;="&amp;$A28,Rates_Daily!$A$15:$A$2892,"&lt;="&amp;EOMONTH($A28,0)),"")</f>
        <v>0.213246374268859</v>
      </c>
      <c r="V28" s="10" t="n">
        <f aca="false">IFERROR(AVERAGEIFS(Rates_Daily!K$15:K$2892,Rates_Daily!$A$15:$A$2892,"&gt;="&amp;$A28,Rates_Daily!$A$15:$A$2892,"&lt;="&amp;EOMONTH($A28,0)),"")</f>
        <v>0.218982396446768</v>
      </c>
      <c r="W28" s="10" t="n">
        <f aca="false">IFERROR(AVERAGEIFS(Rates_Daily!L$15:L$2892,Rates_Daily!$A$15:$A$2892,"&gt;="&amp;$A28,Rates_Daily!$A$15:$A$2892,"&lt;="&amp;EOMONTH($A28,0)),"")</f>
        <v>0.237268645941522</v>
      </c>
      <c r="X28" s="14" t="n">
        <v>0.35674</v>
      </c>
      <c r="Y28" s="14" t="n">
        <v>0.5</v>
      </c>
      <c r="Z28" s="14" t="n">
        <v>0.49</v>
      </c>
      <c r="AD28" s="14" t="n">
        <v>1.02</v>
      </c>
      <c r="AE28" s="14" t="n">
        <v>1.25</v>
      </c>
      <c r="AF28" s="14" t="n">
        <v>1.23</v>
      </c>
      <c r="AG28" s="14" t="n">
        <v>1.49</v>
      </c>
      <c r="AH28" s="14" t="n">
        <v>1.41</v>
      </c>
      <c r="AI28" s="14" t="n">
        <v>1.47</v>
      </c>
      <c r="AJ28" s="14" t="n">
        <v>1.56</v>
      </c>
      <c r="AK28" s="14" t="n">
        <v>1.321</v>
      </c>
      <c r="AL28" s="14" t="n">
        <v>1.465</v>
      </c>
      <c r="AM28" s="14" t="n">
        <v>1.465</v>
      </c>
      <c r="AN28" s="14" t="n">
        <v>1.49</v>
      </c>
      <c r="AO28" s="10" t="n">
        <f aca="false">IFERROR(AVERAGEIFS(Rates_Daily!M$15:M$2892,Rates_Daily!$A$15:$A$2892,"&gt;="&amp;$A28,Rates_Daily!$A$15:$A$2892,"&lt;="&amp;EOMONTH($A28,0)),"")</f>
        <v>4.01554210526316</v>
      </c>
      <c r="AP28" s="10" t="n">
        <f aca="false">IFERROR(AVERAGEIFS(Rates_Daily!N$15:N$2892,Rates_Daily!$A$15:$A$2892,"&gt;="&amp;$A28,Rates_Daily!$A$15:$A$2892,"&lt;="&amp;EOMONTH($A28,0)),"")</f>
        <v>4.17639473684211</v>
      </c>
      <c r="AQ28" s="10" t="n">
        <f aca="false">IFERROR(AVERAGEIFS(Rates_Daily!O$15:O$2892,Rates_Daily!$A$15:$A$2892,"&gt;="&amp;$A28,Rates_Daily!$A$15:$A$2892,"&lt;="&amp;EOMONTH($A28,0)),"")</f>
        <v>4.08135263157895</v>
      </c>
      <c r="AR28" s="10" t="n">
        <f aca="false">IFERROR(AVERAGEIFS(Rates_Daily!P$15:P$2892,Rates_Daily!$A$15:$A$2892,"&gt;="&amp;$A28,Rates_Daily!$A$15:$A$2892,"&lt;="&amp;EOMONTH($A28,0)),"")</f>
        <v>3.95723157894737</v>
      </c>
      <c r="AU28" s="14" t="n">
        <v>5.51</v>
      </c>
      <c r="AV28" s="14" t="n">
        <v>12.82</v>
      </c>
      <c r="AW28" s="14" t="n">
        <v>12.84</v>
      </c>
      <c r="AX28" s="14" t="n">
        <v>0.056</v>
      </c>
      <c r="AY28" s="14" t="n">
        <v>-0.038</v>
      </c>
      <c r="AZ28" s="16" t="str">
        <f aca="false">IF(EOMONTH($A28,0)&gt;MAX(Rates_Daily!$A$15:$A$2892),"partial month","complete")</f>
        <v>complete</v>
      </c>
    </row>
    <row r="29" customFormat="false" ht="15" hidden="false" customHeight="false" outlineLevel="0" collapsed="false">
      <c r="A29" s="17" t="n">
        <v>42795</v>
      </c>
      <c r="B29" s="14" t="n">
        <v>0.79</v>
      </c>
      <c r="C29" s="10" t="n">
        <f aca="false">IFERROR(INDEX(Rates_Daily!C$15:C$2892,MATCH(_xlfn.MAXIFS(Rates_Daily!$A$15:$A$2892,Rates_Daily!$A$15:$A$2892,"&lt;="&amp;EOMONTH($A29,0),Rates_Daily!C$15:C$2892,"&gt;=-1E+99"),Rates_Daily!$A$15:$A$2892,0)),"")</f>
        <v>1</v>
      </c>
      <c r="D29" s="10" t="n">
        <f aca="false">IFERROR(INDEX(Rates_Daily!D$15:D$2892,MATCH(_xlfn.MAXIFS(Rates_Daily!$A$15:$A$2892,Rates_Daily!$A$15:$A$2892,"&lt;="&amp;EOMONTH($A29,0),Rates_Daily!D$15:D$2892,"&gt;=-1E+99"),Rates_Daily!$A$15:$A$2892,0)),"")</f>
        <v>0.75</v>
      </c>
      <c r="E29" s="10" t="str">
        <f aca="false">IFERROR(AVERAGEIFS(Rates_Daily!B$15:B$2892,Rates_Daily!$A$15:$A$2892,"&gt;="&amp;$A29,Rates_Daily!$A$15:$A$2892,"&lt;="&amp;EOMONTH($A29,0)),"")</f>
        <v/>
      </c>
      <c r="F29" s="14" t="n">
        <v>0.66</v>
      </c>
      <c r="G29" s="14" t="n">
        <v>0.75</v>
      </c>
      <c r="H29" s="14" t="n">
        <v>0.89</v>
      </c>
      <c r="I29" s="14" t="n">
        <v>1.01</v>
      </c>
      <c r="J29" s="14" t="n">
        <v>0.98</v>
      </c>
      <c r="K29" s="10" t="n">
        <f aca="false">IFERROR(INDEX(Rates_Daily!F$15:F$2892,MATCH(_xlfn.MAXIFS(Rates_Daily!$A$15:$A$2892,Rates_Daily!$A$15:$A$2892,"&lt;="&amp;EOMONTH($A29,0),Rates_Daily!F$15:F$2892,"&gt;=-1E+99"),Rates_Daily!$A$15:$A$2892,0)),"")</f>
        <v>-0.4</v>
      </c>
      <c r="L29" s="10" t="str">
        <f aca="false">IFERROR(AVERAGEIFS(Rates_Daily!E$15:E$2892,Rates_Daily!$A$15:$A$2892,"&gt;="&amp;$A29,Rates_Daily!$A$15:$A$2892,"&lt;="&amp;EOMONTH($A29,0)),"")</f>
        <v/>
      </c>
      <c r="M29" s="14" t="n">
        <v>-0.3723913</v>
      </c>
      <c r="N29" s="14" t="n">
        <v>-0.3293478</v>
      </c>
      <c r="O29" s="14" t="n">
        <v>-0.2407391</v>
      </c>
      <c r="P29" s="14" t="n">
        <v>-0.1096087</v>
      </c>
      <c r="Q29" s="14" t="n">
        <v>-0.329347826086957</v>
      </c>
      <c r="R29" s="14" t="n">
        <v>0.25</v>
      </c>
      <c r="S29" s="14" t="n">
        <v>0.2095</v>
      </c>
      <c r="T29" s="10" t="n">
        <f aca="false">IFERROR(AVERAGEIFS(Rates_Daily!I$15:I$2892,Rates_Daily!$A$15:$A$2892,"&gt;="&amp;$A29,Rates_Daily!$A$15:$A$2892,"&lt;="&amp;EOMONTH($A29,0)),"")</f>
        <v>0.210090345516529</v>
      </c>
      <c r="U29" s="10" t="n">
        <f aca="false">IFERROR(AVERAGEIFS(Rates_Daily!J$15:J$2892,Rates_Daily!$A$15:$A$2892,"&gt;="&amp;$A29,Rates_Daily!$A$15:$A$2892,"&lt;="&amp;EOMONTH($A29,0)),"")</f>
        <v>0.214143099776175</v>
      </c>
      <c r="V29" s="10" t="n">
        <f aca="false">IFERROR(AVERAGEIFS(Rates_Daily!K$15:K$2892,Rates_Daily!$A$15:$A$2892,"&gt;="&amp;$A29,Rates_Daily!$A$15:$A$2892,"&lt;="&amp;EOMONTH($A29,0)),"")</f>
        <v>0.223832868558757</v>
      </c>
      <c r="W29" s="10" t="n">
        <f aca="false">IFERROR(AVERAGEIFS(Rates_Daily!L$15:L$2892,Rates_Daily!$A$15:$A$2892,"&gt;="&amp;$A29,Rates_Daily!$A$15:$A$2892,"&lt;="&amp;EOMONTH($A29,0)),"")</f>
        <v>0.253101190966974</v>
      </c>
      <c r="X29" s="14" t="n">
        <v>0.34567</v>
      </c>
      <c r="Y29" s="14" t="n">
        <v>0.5</v>
      </c>
      <c r="Z29" s="14" t="n">
        <v>0.49</v>
      </c>
      <c r="AD29" s="14" t="n">
        <v>0.96</v>
      </c>
      <c r="AE29" s="14" t="n">
        <v>1.25</v>
      </c>
      <c r="AF29" s="14" t="n">
        <v>1.23</v>
      </c>
      <c r="AG29" s="14" t="n">
        <v>1.48</v>
      </c>
      <c r="AH29" s="14" t="n">
        <v>1.43</v>
      </c>
      <c r="AI29" s="14" t="n">
        <v>1.48</v>
      </c>
      <c r="AJ29" s="14" t="n">
        <v>1.59</v>
      </c>
      <c r="AK29" s="14" t="n">
        <v>1.34</v>
      </c>
      <c r="AL29" s="14" t="n">
        <v>1.489</v>
      </c>
      <c r="AM29" s="14" t="n">
        <v>1.485</v>
      </c>
      <c r="AN29" s="14" t="n">
        <v>1.48</v>
      </c>
      <c r="AO29" s="10" t="n">
        <f aca="false">IFERROR(AVERAGEIFS(Rates_Daily!M$15:M$2892,Rates_Daily!$A$15:$A$2892,"&gt;="&amp;$A29,Rates_Daily!$A$15:$A$2892,"&lt;="&amp;EOMONTH($A29,0)),"")</f>
        <v>4.24472173913044</v>
      </c>
      <c r="AP29" s="10" t="n">
        <f aca="false">IFERROR(AVERAGEIFS(Rates_Daily!N$15:N$2892,Rates_Daily!$A$15:$A$2892,"&gt;="&amp;$A29,Rates_Daily!$A$15:$A$2892,"&lt;="&amp;EOMONTH($A29,0)),"")</f>
        <v>4.34829130434783</v>
      </c>
      <c r="AQ29" s="10" t="n">
        <f aca="false">IFERROR(AVERAGEIFS(Rates_Daily!O$15:O$2892,Rates_Daily!$A$15:$A$2892,"&gt;="&amp;$A29,Rates_Daily!$A$15:$A$2892,"&lt;="&amp;EOMONTH($A29,0)),"")</f>
        <v>4.2724652173913</v>
      </c>
      <c r="AR29" s="10" t="n">
        <f aca="false">IFERROR(AVERAGEIFS(Rates_Daily!P$15:P$2892,Rates_Daily!$A$15:$A$2892,"&gt;="&amp;$A29,Rates_Daily!$A$15:$A$2892,"&lt;="&amp;EOMONTH($A29,0)),"")</f>
        <v>4.11528695652174</v>
      </c>
      <c r="AU29" s="14" t="n">
        <v>4.86</v>
      </c>
      <c r="AV29" s="14" t="n">
        <v>12.15</v>
      </c>
      <c r="AW29" s="14" t="n">
        <v>12.25</v>
      </c>
      <c r="AX29" s="14" t="n">
        <v>0.056</v>
      </c>
      <c r="AY29" s="14" t="n">
        <v>-0.042</v>
      </c>
      <c r="AZ29" s="16" t="str">
        <f aca="false">IF(EOMONTH($A29,0)&gt;MAX(Rates_Daily!$A$15:$A$2892),"partial month","complete")</f>
        <v>complete</v>
      </c>
    </row>
    <row r="30" customFormat="false" ht="15" hidden="false" customHeight="false" outlineLevel="0" collapsed="false">
      <c r="A30" s="17" t="n">
        <v>42826</v>
      </c>
      <c r="B30" s="14" t="n">
        <v>0.9</v>
      </c>
      <c r="C30" s="10" t="n">
        <f aca="false">IFERROR(INDEX(Rates_Daily!C$15:C$2892,MATCH(_xlfn.MAXIFS(Rates_Daily!$A$15:$A$2892,Rates_Daily!$A$15:$A$2892,"&lt;="&amp;EOMONTH($A30,0),Rates_Daily!C$15:C$2892,"&gt;=-1E+99"),Rates_Daily!$A$15:$A$2892,0)),"")</f>
        <v>1</v>
      </c>
      <c r="D30" s="10" t="n">
        <f aca="false">IFERROR(INDEX(Rates_Daily!D$15:D$2892,MATCH(_xlfn.MAXIFS(Rates_Daily!$A$15:$A$2892,Rates_Daily!$A$15:$A$2892,"&lt;="&amp;EOMONTH($A30,0),Rates_Daily!D$15:D$2892,"&gt;=-1E+99"),Rates_Daily!$A$15:$A$2892,0)),"")</f>
        <v>0.75</v>
      </c>
      <c r="E30" s="10" t="str">
        <f aca="false">IFERROR(AVERAGEIFS(Rates_Daily!B$15:B$2892,Rates_Daily!$A$15:$A$2892,"&gt;="&amp;$A30,Rates_Daily!$A$15:$A$2892,"&lt;="&amp;EOMONTH($A30,0)),"")</f>
        <v/>
      </c>
      <c r="F30" s="14" t="n">
        <v>0.75</v>
      </c>
      <c r="G30" s="14" t="n">
        <v>0.81</v>
      </c>
      <c r="H30" s="14" t="n">
        <v>0.95</v>
      </c>
      <c r="I30" s="14" t="n">
        <v>1.04</v>
      </c>
      <c r="J30" s="14" t="n">
        <v>1.03</v>
      </c>
      <c r="K30" s="10" t="n">
        <f aca="false">IFERROR(INDEX(Rates_Daily!F$15:F$2892,MATCH(_xlfn.MAXIFS(Rates_Daily!$A$15:$A$2892,Rates_Daily!$A$15:$A$2892,"&lt;="&amp;EOMONTH($A30,0),Rates_Daily!F$15:F$2892,"&gt;=-1E+99"),Rates_Daily!$A$15:$A$2892,0)),"")</f>
        <v>-0.4</v>
      </c>
      <c r="L30" s="10" t="str">
        <f aca="false">IFERROR(AVERAGEIFS(Rates_Daily!E$15:E$2892,Rates_Daily!$A$15:$A$2892,"&gt;="&amp;$A30,Rates_Daily!$A$15:$A$2892,"&lt;="&amp;EOMONTH($A30,0)),"")</f>
        <v/>
      </c>
      <c r="M30" s="14" t="n">
        <v>-0.3724444</v>
      </c>
      <c r="N30" s="14" t="n">
        <v>-0.3303889</v>
      </c>
      <c r="O30" s="14" t="n">
        <v>-0.2455</v>
      </c>
      <c r="P30" s="14" t="n">
        <v>-0.119</v>
      </c>
      <c r="Q30" s="14" t="n">
        <v>-0.330388888888889</v>
      </c>
      <c r="R30" s="14" t="n">
        <v>0.25</v>
      </c>
      <c r="S30" s="14" t="n">
        <v>0.2114</v>
      </c>
      <c r="T30" s="10" t="n">
        <f aca="false">IFERROR(AVERAGEIFS(Rates_Daily!I$15:I$2892,Rates_Daily!$A$15:$A$2892,"&gt;="&amp;$A30,Rates_Daily!$A$15:$A$2892,"&lt;="&amp;EOMONTH($A30,0)),"")</f>
        <v>0.211356805765226</v>
      </c>
      <c r="U30" s="10" t="n">
        <f aca="false">IFERROR(AVERAGEIFS(Rates_Daily!J$15:J$2892,Rates_Daily!$A$15:$A$2892,"&gt;="&amp;$A30,Rates_Daily!$A$15:$A$2892,"&lt;="&amp;EOMONTH($A30,0)),"")</f>
        <v>0.213423626820778</v>
      </c>
      <c r="V30" s="10" t="n">
        <f aca="false">IFERROR(AVERAGEIFS(Rates_Daily!K$15:K$2892,Rates_Daily!$A$15:$A$2892,"&gt;="&amp;$A30,Rates_Daily!$A$15:$A$2892,"&lt;="&amp;EOMONTH($A30,0)),"")</f>
        <v>0.21939726646282</v>
      </c>
      <c r="W30" s="10" t="n">
        <f aca="false">IFERROR(AVERAGEIFS(Rates_Daily!L$15:L$2892,Rates_Daily!$A$15:$A$2892,"&gt;="&amp;$A30,Rates_Daily!$A$15:$A$2892,"&lt;="&amp;EOMONTH($A30,0)),"")</f>
        <v>0.237188361184894</v>
      </c>
      <c r="X30" s="14" t="n">
        <v>0.33513</v>
      </c>
      <c r="Y30" s="14" t="n">
        <v>0.5</v>
      </c>
      <c r="Z30" s="14" t="n">
        <v>0.49</v>
      </c>
      <c r="AD30" s="14" t="n">
        <v>0.98</v>
      </c>
      <c r="AE30" s="14" t="n">
        <v>1.25</v>
      </c>
      <c r="AF30" s="14" t="n">
        <v>1.23</v>
      </c>
      <c r="AG30" s="14" t="n">
        <v>1.43</v>
      </c>
      <c r="AH30" s="14" t="n">
        <v>1.39</v>
      </c>
      <c r="AI30" s="14" t="n">
        <v>1.44</v>
      </c>
      <c r="AJ30" s="14" t="n">
        <v>1.56</v>
      </c>
      <c r="AK30" s="14" t="n">
        <v>1.311</v>
      </c>
      <c r="AL30" s="14" t="n">
        <v>1.472</v>
      </c>
      <c r="AM30" s="14" t="n">
        <v>1.467</v>
      </c>
      <c r="AN30" s="14" t="n">
        <v>1.43</v>
      </c>
      <c r="AO30" s="10" t="n">
        <f aca="false">IFERROR(AVERAGEIFS(Rates_Daily!M$15:M$2892,Rates_Daily!$A$15:$A$2892,"&gt;="&amp;$A30,Rates_Daily!$A$15:$A$2892,"&lt;="&amp;EOMONTH($A30,0)),"")</f>
        <v>4.05640526315789</v>
      </c>
      <c r="AP30" s="10" t="n">
        <f aca="false">IFERROR(AVERAGEIFS(Rates_Daily!N$15:N$2892,Rates_Daily!$A$15:$A$2892,"&gt;="&amp;$A30,Rates_Daily!$A$15:$A$2892,"&lt;="&amp;EOMONTH($A30,0)),"")</f>
        <v>4.28730526315789</v>
      </c>
      <c r="AQ30" s="10" t="n">
        <f aca="false">IFERROR(AVERAGEIFS(Rates_Daily!O$15:O$2892,Rates_Daily!$A$15:$A$2892,"&gt;="&amp;$A30,Rates_Daily!$A$15:$A$2892,"&lt;="&amp;EOMONTH($A30,0)),"")</f>
        <v>4.32865789473684</v>
      </c>
      <c r="AR30" s="10" t="n">
        <f aca="false">IFERROR(AVERAGEIFS(Rates_Daily!P$15:P$2892,Rates_Daily!$A$15:$A$2892,"&gt;="&amp;$A30,Rates_Daily!$A$15:$A$2892,"&lt;="&amp;EOMONTH($A30,0)),"")</f>
        <v>4.20887894736842</v>
      </c>
      <c r="AU30" s="14" t="n">
        <v>4.4</v>
      </c>
      <c r="AV30" s="14" t="n">
        <v>11.59</v>
      </c>
      <c r="AW30" s="14" t="n">
        <v>11.65</v>
      </c>
      <c r="AX30" s="14" t="n">
        <v>0.056</v>
      </c>
      <c r="AY30" s="14" t="n">
        <v>-0.054</v>
      </c>
      <c r="AZ30" s="16" t="str">
        <f aca="false">IF(EOMONTH($A30,0)&gt;MAX(Rates_Daily!$A$15:$A$2892),"partial month","complete")</f>
        <v>complete</v>
      </c>
    </row>
    <row r="31" customFormat="false" ht="15" hidden="false" customHeight="false" outlineLevel="0" collapsed="false">
      <c r="A31" s="17" t="n">
        <v>42856</v>
      </c>
      <c r="B31" s="14" t="n">
        <v>0.91</v>
      </c>
      <c r="C31" s="10" t="n">
        <f aca="false">IFERROR(INDEX(Rates_Daily!C$15:C$2892,MATCH(_xlfn.MAXIFS(Rates_Daily!$A$15:$A$2892,Rates_Daily!$A$15:$A$2892,"&lt;="&amp;EOMONTH($A31,0),Rates_Daily!C$15:C$2892,"&gt;=-1E+99"),Rates_Daily!$A$15:$A$2892,0)),"")</f>
        <v>1</v>
      </c>
      <c r="D31" s="10" t="n">
        <f aca="false">IFERROR(INDEX(Rates_Daily!D$15:D$2892,MATCH(_xlfn.MAXIFS(Rates_Daily!$A$15:$A$2892,Rates_Daily!$A$15:$A$2892,"&lt;="&amp;EOMONTH($A31,0),Rates_Daily!D$15:D$2892,"&gt;=-1E+99"),Rates_Daily!$A$15:$A$2892,0)),"")</f>
        <v>0.75</v>
      </c>
      <c r="E31" s="10" t="str">
        <f aca="false">IFERROR(AVERAGEIFS(Rates_Daily!B$15:B$2892,Rates_Daily!$A$15:$A$2892,"&gt;="&amp;$A31,Rates_Daily!$A$15:$A$2892,"&lt;="&amp;EOMONTH($A31,0)),"")</f>
        <v/>
      </c>
      <c r="F31" s="14" t="n">
        <v>0.73</v>
      </c>
      <c r="G31" s="14" t="n">
        <v>0.9</v>
      </c>
      <c r="H31" s="14" t="n">
        <v>1.04</v>
      </c>
      <c r="I31" s="14" t="n">
        <v>1.12</v>
      </c>
      <c r="J31" s="14" t="n">
        <v>1.05</v>
      </c>
      <c r="K31" s="10" t="n">
        <f aca="false">IFERROR(INDEX(Rates_Daily!F$15:F$2892,MATCH(_xlfn.MAXIFS(Rates_Daily!$A$15:$A$2892,Rates_Daily!$A$15:$A$2892,"&lt;="&amp;EOMONTH($A31,0),Rates_Daily!F$15:F$2892,"&gt;=-1E+99"),Rates_Daily!$A$15:$A$2892,0)),"")</f>
        <v>-0.4</v>
      </c>
      <c r="L31" s="10" t="str">
        <f aca="false">IFERROR(AVERAGEIFS(Rates_Daily!E$15:E$2892,Rates_Daily!$A$15:$A$2892,"&gt;="&amp;$A31,Rates_Daily!$A$15:$A$2892,"&lt;="&amp;EOMONTH($A31,0)),"")</f>
        <v/>
      </c>
      <c r="M31" s="14" t="n">
        <v>-0.3731818</v>
      </c>
      <c r="N31" s="14" t="n">
        <v>-0.3294545</v>
      </c>
      <c r="O31" s="14" t="n">
        <v>-0.2508636</v>
      </c>
      <c r="P31" s="14" t="n">
        <v>-0.1272273</v>
      </c>
      <c r="Q31" s="14" t="n">
        <v>-0.329454545454545</v>
      </c>
      <c r="R31" s="14" t="n">
        <v>0.25</v>
      </c>
      <c r="S31" s="14" t="n">
        <v>0.2126</v>
      </c>
      <c r="T31" s="10" t="n">
        <f aca="false">IFERROR(AVERAGEIFS(Rates_Daily!I$15:I$2892,Rates_Daily!$A$15:$A$2892,"&gt;="&amp;$A31,Rates_Daily!$A$15:$A$2892,"&lt;="&amp;EOMONTH($A31,0)),"")</f>
        <v>0.212532608851174</v>
      </c>
      <c r="U31" s="10" t="n">
        <f aca="false">IFERROR(AVERAGEIFS(Rates_Daily!J$15:J$2892,Rates_Daily!$A$15:$A$2892,"&gt;="&amp;$A31,Rates_Daily!$A$15:$A$2892,"&lt;="&amp;EOMONTH($A31,0)),"")</f>
        <v>0.214881867086352</v>
      </c>
      <c r="V31" s="10" t="n">
        <f aca="false">IFERROR(AVERAGEIFS(Rates_Daily!K$15:K$2892,Rates_Daily!$A$15:$A$2892,"&gt;="&amp;$A31,Rates_Daily!$A$15:$A$2892,"&lt;="&amp;EOMONTH($A31,0)),"")</f>
        <v>0.223013470273158</v>
      </c>
      <c r="W31" s="10" t="n">
        <f aca="false">IFERROR(AVERAGEIFS(Rates_Daily!L$15:L$2892,Rates_Daily!$A$15:$A$2892,"&gt;="&amp;$A31,Rates_Daily!$A$15:$A$2892,"&lt;="&amp;EOMONTH($A31,0)),"")</f>
        <v>0.246672852509086</v>
      </c>
      <c r="X31" s="14" t="n">
        <v>0.31081</v>
      </c>
      <c r="Y31" s="14" t="n">
        <v>0.5</v>
      </c>
      <c r="Z31" s="14" t="n">
        <v>0.49</v>
      </c>
      <c r="AD31" s="14" t="n">
        <v>0.9</v>
      </c>
      <c r="AE31" s="14" t="n">
        <v>1.25</v>
      </c>
      <c r="AF31" s="14" t="n">
        <v>1.23</v>
      </c>
      <c r="AG31" s="14" t="n">
        <v>1.39</v>
      </c>
      <c r="AH31" s="14" t="n">
        <v>1.36</v>
      </c>
      <c r="AI31" s="14" t="n">
        <v>1.4</v>
      </c>
      <c r="AJ31" s="14" t="n">
        <v>1.54</v>
      </c>
      <c r="AK31" s="14" t="n">
        <v>1.283</v>
      </c>
      <c r="AL31" s="14" t="n">
        <v>1.461</v>
      </c>
      <c r="AM31" s="14" t="n">
        <v>1.464</v>
      </c>
      <c r="AN31" s="14" t="n">
        <v>1.39</v>
      </c>
      <c r="AO31" s="10" t="n">
        <f aca="false">IFERROR(AVERAGEIFS(Rates_Daily!M$15:M$2892,Rates_Daily!$A$15:$A$2892,"&gt;="&amp;$A31,Rates_Daily!$A$15:$A$2892,"&lt;="&amp;EOMONTH($A31,0)),"")</f>
        <v>4.05246666666667</v>
      </c>
      <c r="AP31" s="10" t="n">
        <f aca="false">IFERROR(AVERAGEIFS(Rates_Daily!N$15:N$2892,Rates_Daily!$A$15:$A$2892,"&gt;="&amp;$A31,Rates_Daily!$A$15:$A$2892,"&lt;="&amp;EOMONTH($A31,0)),"")</f>
        <v>4.43703333333333</v>
      </c>
      <c r="AQ31" s="10" t="n">
        <f aca="false">IFERROR(AVERAGEIFS(Rates_Daily!O$15:O$2892,Rates_Daily!$A$15:$A$2892,"&gt;="&amp;$A31,Rates_Daily!$A$15:$A$2892,"&lt;="&amp;EOMONTH($A31,0)),"")</f>
        <v>4.40026190476191</v>
      </c>
      <c r="AR31" s="10" t="n">
        <f aca="false">IFERROR(AVERAGEIFS(Rates_Daily!P$15:P$2892,Rates_Daily!$A$15:$A$2892,"&gt;="&amp;$A31,Rates_Daily!$A$15:$A$2892,"&lt;="&amp;EOMONTH($A31,0)),"")</f>
        <v>4.28810476190476</v>
      </c>
      <c r="AU31" s="14" t="n">
        <v>4.86</v>
      </c>
      <c r="AV31" s="14" t="n">
        <v>11.15</v>
      </c>
      <c r="AW31" s="14" t="n">
        <v>11.25</v>
      </c>
      <c r="AX31" s="14" t="n">
        <v>0.056</v>
      </c>
      <c r="AY31" s="14" t="n">
        <v>-0.053</v>
      </c>
      <c r="AZ31" s="16" t="str">
        <f aca="false">IF(EOMONTH($A31,0)&gt;MAX(Rates_Daily!$A$15:$A$2892),"partial month","complete")</f>
        <v>complete</v>
      </c>
    </row>
    <row r="32" customFormat="false" ht="15" hidden="false" customHeight="false" outlineLevel="0" collapsed="false">
      <c r="A32" s="17" t="n">
        <v>42887</v>
      </c>
      <c r="B32" s="14" t="n">
        <v>1.04</v>
      </c>
      <c r="C32" s="10" t="n">
        <f aca="false">IFERROR(INDEX(Rates_Daily!C$15:C$2892,MATCH(_xlfn.MAXIFS(Rates_Daily!$A$15:$A$2892,Rates_Daily!$A$15:$A$2892,"&lt;="&amp;EOMONTH($A32,0),Rates_Daily!C$15:C$2892,"&gt;=-1E+99"),Rates_Daily!$A$15:$A$2892,0)),"")</f>
        <v>1.25</v>
      </c>
      <c r="D32" s="10" t="n">
        <f aca="false">IFERROR(INDEX(Rates_Daily!D$15:D$2892,MATCH(_xlfn.MAXIFS(Rates_Daily!$A$15:$A$2892,Rates_Daily!$A$15:$A$2892,"&lt;="&amp;EOMONTH($A32,0),Rates_Daily!D$15:D$2892,"&gt;=-1E+99"),Rates_Daily!$A$15:$A$2892,0)),"")</f>
        <v>1</v>
      </c>
      <c r="E32" s="10" t="str">
        <f aca="false">IFERROR(AVERAGEIFS(Rates_Daily!B$15:B$2892,Rates_Daily!$A$15:$A$2892,"&gt;="&amp;$A32,Rates_Daily!$A$15:$A$2892,"&lt;="&amp;EOMONTH($A32,0)),"")</f>
        <v/>
      </c>
      <c r="F32" s="14" t="n">
        <v>0.84</v>
      </c>
      <c r="G32" s="14" t="n">
        <v>1</v>
      </c>
      <c r="H32" s="14" t="n">
        <v>1.11</v>
      </c>
      <c r="I32" s="14" t="n">
        <v>1.2</v>
      </c>
      <c r="J32" s="14" t="n">
        <v>1.16</v>
      </c>
      <c r="K32" s="10" t="n">
        <f aca="false">IFERROR(INDEX(Rates_Daily!F$15:F$2892,MATCH(_xlfn.MAXIFS(Rates_Daily!$A$15:$A$2892,Rates_Daily!$A$15:$A$2892,"&lt;="&amp;EOMONTH($A32,0),Rates_Daily!F$15:F$2892,"&gt;=-1E+99"),Rates_Daily!$A$15:$A$2892,0)),"")</f>
        <v>-0.4</v>
      </c>
      <c r="L32" s="10" t="str">
        <f aca="false">IFERROR(AVERAGEIFS(Rates_Daily!E$15:E$2892,Rates_Daily!$A$15:$A$2892,"&gt;="&amp;$A32,Rates_Daily!$A$15:$A$2892,"&lt;="&amp;EOMONTH($A32,0)),"")</f>
        <v/>
      </c>
      <c r="M32" s="14" t="n">
        <v>-0.3728182</v>
      </c>
      <c r="N32" s="14" t="n">
        <v>-0.33</v>
      </c>
      <c r="O32" s="14" t="n">
        <v>-0.2668182</v>
      </c>
      <c r="P32" s="14" t="n">
        <v>-0.1490909</v>
      </c>
      <c r="Q32" s="14" t="n">
        <v>-0.33</v>
      </c>
      <c r="R32" s="14" t="n">
        <v>0.25</v>
      </c>
      <c r="S32" s="14" t="n">
        <v>0.2121</v>
      </c>
      <c r="T32" s="10" t="n">
        <f aca="false">IFERROR(AVERAGEIFS(Rates_Daily!I$15:I$2892,Rates_Daily!$A$15:$A$2892,"&gt;="&amp;$A32,Rates_Daily!$A$15:$A$2892,"&lt;="&amp;EOMONTH($A32,0)),"")</f>
        <v>0.212992371023647</v>
      </c>
      <c r="U32" s="10" t="n">
        <f aca="false">IFERROR(AVERAGEIFS(Rates_Daily!J$15:J$2892,Rates_Daily!$A$15:$A$2892,"&gt;="&amp;$A32,Rates_Daily!$A$15:$A$2892,"&lt;="&amp;EOMONTH($A32,0)),"")</f>
        <v>0.227371185540573</v>
      </c>
      <c r="V32" s="10" t="n">
        <f aca="false">IFERROR(AVERAGEIFS(Rates_Daily!K$15:K$2892,Rates_Daily!$A$15:$A$2892,"&gt;="&amp;$A32,Rates_Daily!$A$15:$A$2892,"&lt;="&amp;EOMONTH($A32,0)),"")</f>
        <v>0.247650892628737</v>
      </c>
      <c r="W32" s="10" t="n">
        <f aca="false">IFERROR(AVERAGEIFS(Rates_Daily!L$15:L$2892,Rates_Daily!$A$15:$A$2892,"&gt;="&amp;$A32,Rates_Daily!$A$15:$A$2892,"&lt;="&amp;EOMONTH($A32,0)),"")</f>
        <v>0.283958325085798</v>
      </c>
      <c r="X32" s="14" t="n">
        <v>0.29442</v>
      </c>
      <c r="Y32" s="14" t="n">
        <v>0.5</v>
      </c>
      <c r="Z32" s="14" t="n">
        <v>0.49</v>
      </c>
      <c r="AD32" s="14" t="n">
        <v>0.87</v>
      </c>
      <c r="AE32" s="14" t="n">
        <v>1.25</v>
      </c>
      <c r="AF32" s="14" t="n">
        <v>1.24</v>
      </c>
      <c r="AG32" s="14" t="n">
        <v>1.38</v>
      </c>
      <c r="AH32" s="14" t="n">
        <v>1.36</v>
      </c>
      <c r="AI32" s="14" t="n">
        <v>1.41</v>
      </c>
      <c r="AJ32" s="14" t="n">
        <v>1.55</v>
      </c>
      <c r="AK32" s="14" t="n">
        <v>1.286</v>
      </c>
      <c r="AL32" s="14" t="n">
        <v>1.462</v>
      </c>
      <c r="AM32" s="14" t="n">
        <v>1.461</v>
      </c>
      <c r="AN32" s="14" t="n">
        <v>1.38</v>
      </c>
      <c r="AO32" s="10" t="n">
        <f aca="false">IFERROR(AVERAGEIFS(Rates_Daily!M$15:M$2892,Rates_Daily!$A$15:$A$2892,"&gt;="&amp;$A32,Rates_Daily!$A$15:$A$2892,"&lt;="&amp;EOMONTH($A32,0)),"")</f>
        <v>4.52764090909091</v>
      </c>
      <c r="AP32" s="10" t="n">
        <f aca="false">IFERROR(AVERAGEIFS(Rates_Daily!N$15:N$2892,Rates_Daily!$A$15:$A$2892,"&gt;="&amp;$A32,Rates_Daily!$A$15:$A$2892,"&lt;="&amp;EOMONTH($A32,0)),"")</f>
        <v>4.66912272727273</v>
      </c>
      <c r="AQ32" s="10" t="n">
        <f aca="false">IFERROR(AVERAGEIFS(Rates_Daily!O$15:O$2892,Rates_Daily!$A$15:$A$2892,"&gt;="&amp;$A32,Rates_Daily!$A$15:$A$2892,"&lt;="&amp;EOMONTH($A32,0)),"")</f>
        <v>4.50557272727273</v>
      </c>
      <c r="AR32" s="10" t="n">
        <f aca="false">IFERROR(AVERAGEIFS(Rates_Daily!P$15:P$2892,Rates_Daily!$A$15:$A$2892,"&gt;="&amp;$A32,Rates_Daily!$A$15:$A$2892,"&lt;="&amp;EOMONTH($A32,0)),"")</f>
        <v>4.41688181818182</v>
      </c>
      <c r="AU32" s="14" t="n">
        <v>5.13</v>
      </c>
      <c r="AV32" s="14" t="n">
        <v>10.15</v>
      </c>
      <c r="AW32" s="14" t="n">
        <v>10.25</v>
      </c>
      <c r="AX32" s="14" t="n">
        <v>0.056</v>
      </c>
      <c r="AY32" s="14" t="n">
        <v>-0.056</v>
      </c>
      <c r="AZ32" s="16" t="str">
        <f aca="false">IF(EOMONTH($A32,0)&gt;MAX(Rates_Daily!$A$15:$A$2892),"partial month","complete")</f>
        <v>complete</v>
      </c>
    </row>
    <row r="33" customFormat="false" ht="15" hidden="false" customHeight="false" outlineLevel="0" collapsed="false">
      <c r="A33" s="17" t="n">
        <v>42917</v>
      </c>
      <c r="B33" s="14" t="n">
        <v>1.15</v>
      </c>
      <c r="C33" s="10" t="n">
        <f aca="false">IFERROR(INDEX(Rates_Daily!C$15:C$2892,MATCH(_xlfn.MAXIFS(Rates_Daily!$A$15:$A$2892,Rates_Daily!$A$15:$A$2892,"&lt;="&amp;EOMONTH($A33,0),Rates_Daily!C$15:C$2892,"&gt;=-1E+99"),Rates_Daily!$A$15:$A$2892,0)),"")</f>
        <v>1.25</v>
      </c>
      <c r="D33" s="10" t="n">
        <f aca="false">IFERROR(INDEX(Rates_Daily!D$15:D$2892,MATCH(_xlfn.MAXIFS(Rates_Daily!$A$15:$A$2892,Rates_Daily!$A$15:$A$2892,"&lt;="&amp;EOMONTH($A33,0),Rates_Daily!D$15:D$2892,"&gt;=-1E+99"),Rates_Daily!$A$15:$A$2892,0)),"")</f>
        <v>1</v>
      </c>
      <c r="E33" s="10" t="str">
        <f aca="false">IFERROR(AVERAGEIFS(Rates_Daily!B$15:B$2892,Rates_Daily!$A$15:$A$2892,"&gt;="&amp;$A33,Rates_Daily!$A$15:$A$2892,"&lt;="&amp;EOMONTH($A33,0)),"")</f>
        <v/>
      </c>
      <c r="F33" s="14" t="n">
        <v>0.97</v>
      </c>
      <c r="G33" s="14" t="n">
        <v>1.09</v>
      </c>
      <c r="H33" s="14" t="n">
        <v>1.13</v>
      </c>
      <c r="I33" s="14" t="n">
        <v>1.22</v>
      </c>
      <c r="J33" s="14" t="n">
        <v>1.22</v>
      </c>
      <c r="K33" s="10" t="n">
        <f aca="false">IFERROR(INDEX(Rates_Daily!F$15:F$2892,MATCH(_xlfn.MAXIFS(Rates_Daily!$A$15:$A$2892,Rates_Daily!$A$15:$A$2892,"&lt;="&amp;EOMONTH($A33,0),Rates_Daily!F$15:F$2892,"&gt;=-1E+99"),Rates_Daily!$A$15:$A$2892,0)),"")</f>
        <v>-0.4</v>
      </c>
      <c r="L33" s="10" t="str">
        <f aca="false">IFERROR(AVERAGEIFS(Rates_Daily!E$15:E$2892,Rates_Daily!$A$15:$A$2892,"&gt;="&amp;$A33,Rates_Daily!$A$15:$A$2892,"&lt;="&amp;EOMONTH($A33,0)),"")</f>
        <v/>
      </c>
      <c r="M33" s="14" t="n">
        <v>-0.3728095</v>
      </c>
      <c r="N33" s="14" t="n">
        <v>-0.3304286</v>
      </c>
      <c r="O33" s="14" t="n">
        <v>-0.272619</v>
      </c>
      <c r="P33" s="14" t="n">
        <v>-0.1540952</v>
      </c>
      <c r="Q33" s="14" t="n">
        <v>-0.330428571428571</v>
      </c>
      <c r="R33" s="14" t="n">
        <v>0.25</v>
      </c>
      <c r="S33" s="14" t="n">
        <v>0.2124</v>
      </c>
      <c r="T33" s="10" t="n">
        <f aca="false">IFERROR(AVERAGEIFS(Rates_Daily!I$15:I$2892,Rates_Daily!$A$15:$A$2892,"&gt;="&amp;$A33,Rates_Daily!$A$15:$A$2892,"&lt;="&amp;EOMONTH($A33,0)),"")</f>
        <v>0.223769025540218</v>
      </c>
      <c r="U33" s="10" t="n">
        <f aca="false">IFERROR(AVERAGEIFS(Rates_Daily!J$15:J$2892,Rates_Daily!$A$15:$A$2892,"&gt;="&amp;$A33,Rates_Daily!$A$15:$A$2892,"&lt;="&amp;EOMONTH($A33,0)),"")</f>
        <v>0.245831538496359</v>
      </c>
      <c r="V33" s="10" t="n">
        <f aca="false">IFERROR(AVERAGEIFS(Rates_Daily!K$15:K$2892,Rates_Daily!$A$15:$A$2892,"&gt;="&amp;$A33,Rates_Daily!$A$15:$A$2892,"&lt;="&amp;EOMONTH($A33,0)),"")</f>
        <v>0.283154112395194</v>
      </c>
      <c r="W33" s="10" t="n">
        <f aca="false">IFERROR(AVERAGEIFS(Rates_Daily!L$15:L$2892,Rates_Daily!$A$15:$A$2892,"&gt;="&amp;$A33,Rates_Daily!$A$15:$A$2892,"&lt;="&amp;EOMONTH($A33,0)),"")</f>
        <v>0.3462762968054</v>
      </c>
      <c r="X33" s="14" t="n">
        <v>0.2931</v>
      </c>
      <c r="Y33" s="14" t="n">
        <v>0.5</v>
      </c>
      <c r="Z33" s="14" t="n">
        <v>0.5</v>
      </c>
      <c r="AD33" s="14" t="n">
        <v>0.84</v>
      </c>
      <c r="AE33" s="14" t="n">
        <v>1.25</v>
      </c>
      <c r="AF33" s="14" t="n">
        <v>1.24</v>
      </c>
      <c r="AG33" s="14" t="n">
        <v>1.39</v>
      </c>
      <c r="AH33" s="14" t="n">
        <v>1.37</v>
      </c>
      <c r="AI33" s="14" t="n">
        <v>1.41</v>
      </c>
      <c r="AJ33" s="14" t="n">
        <v>1.58</v>
      </c>
      <c r="AK33" s="14" t="n">
        <v>1.277</v>
      </c>
      <c r="AL33" s="14" t="n">
        <v>1.455</v>
      </c>
      <c r="AM33" s="14" t="n">
        <v>1.464</v>
      </c>
      <c r="AN33" s="14" t="n">
        <v>1.39</v>
      </c>
      <c r="AO33" s="10" t="n">
        <f aca="false">IFERROR(AVERAGEIFS(Rates_Daily!M$15:M$2892,Rates_Daily!$A$15:$A$2892,"&gt;="&amp;$A33,Rates_Daily!$A$15:$A$2892,"&lt;="&amp;EOMONTH($A33,0)),"")</f>
        <v>4.07130476190476</v>
      </c>
      <c r="AP33" s="10" t="n">
        <f aca="false">IFERROR(AVERAGEIFS(Rates_Daily!N$15:N$2892,Rates_Daily!$A$15:$A$2892,"&gt;="&amp;$A33,Rates_Daily!$A$15:$A$2892,"&lt;="&amp;EOMONTH($A33,0)),"")</f>
        <v>4.30909523809524</v>
      </c>
      <c r="AQ33" s="10" t="n">
        <f aca="false">IFERROR(AVERAGEIFS(Rates_Daily!O$15:O$2892,Rates_Daily!$A$15:$A$2892,"&gt;="&amp;$A33,Rates_Daily!$A$15:$A$2892,"&lt;="&amp;EOMONTH($A33,0)),"")</f>
        <v>4.38443333333333</v>
      </c>
      <c r="AR33" s="10" t="n">
        <f aca="false">IFERROR(AVERAGEIFS(Rates_Daily!P$15:P$2892,Rates_Daily!$A$15:$A$2892,"&gt;="&amp;$A33,Rates_Daily!$A$15:$A$2892,"&lt;="&amp;EOMONTH($A33,0)),"")</f>
        <v>4.40260952380952</v>
      </c>
      <c r="AU33" s="14" t="n">
        <v>4.35</v>
      </c>
      <c r="AV33" s="14" t="n">
        <v>10.01</v>
      </c>
      <c r="AW33" s="14" t="n">
        <v>10.09</v>
      </c>
      <c r="AX33" s="14" t="n">
        <v>0.075</v>
      </c>
      <c r="AY33" s="14" t="n">
        <v>-0.054</v>
      </c>
      <c r="AZ33" s="16" t="str">
        <f aca="false">IF(EOMONTH($A33,0)&gt;MAX(Rates_Daily!$A$15:$A$2892),"partial month","complete")</f>
        <v>complete</v>
      </c>
    </row>
    <row r="34" customFormat="false" ht="15" hidden="false" customHeight="false" outlineLevel="0" collapsed="false">
      <c r="A34" s="17" t="n">
        <v>42948</v>
      </c>
      <c r="B34" s="14" t="n">
        <v>1.16</v>
      </c>
      <c r="C34" s="10" t="n">
        <f aca="false">IFERROR(INDEX(Rates_Daily!C$15:C$2892,MATCH(_xlfn.MAXIFS(Rates_Daily!$A$15:$A$2892,Rates_Daily!$A$15:$A$2892,"&lt;="&amp;EOMONTH($A34,0),Rates_Daily!C$15:C$2892,"&gt;=-1E+99"),Rates_Daily!$A$15:$A$2892,0)),"")</f>
        <v>1.25</v>
      </c>
      <c r="D34" s="10" t="n">
        <f aca="false">IFERROR(INDEX(Rates_Daily!D$15:D$2892,MATCH(_xlfn.MAXIFS(Rates_Daily!$A$15:$A$2892,Rates_Daily!$A$15:$A$2892,"&lt;="&amp;EOMONTH($A34,0),Rates_Daily!D$15:D$2892,"&gt;=-1E+99"),Rates_Daily!$A$15:$A$2892,0)),"")</f>
        <v>1</v>
      </c>
      <c r="E34" s="10" t="str">
        <f aca="false">IFERROR(AVERAGEIFS(Rates_Daily!B$15:B$2892,Rates_Daily!$A$15:$A$2892,"&gt;="&amp;$A34,Rates_Daily!$A$15:$A$2892,"&lt;="&amp;EOMONTH($A34,0)),"")</f>
        <v/>
      </c>
      <c r="F34" s="14" t="n">
        <v>0.98</v>
      </c>
      <c r="G34" s="14" t="n">
        <v>1.03</v>
      </c>
      <c r="H34" s="14" t="n">
        <v>1.13</v>
      </c>
      <c r="I34" s="14" t="n">
        <v>1.23</v>
      </c>
      <c r="J34" s="14" t="n">
        <v>1.25</v>
      </c>
      <c r="K34" s="10" t="n">
        <f aca="false">IFERROR(INDEX(Rates_Daily!F$15:F$2892,MATCH(_xlfn.MAXIFS(Rates_Daily!$A$15:$A$2892,Rates_Daily!$A$15:$A$2892,"&lt;="&amp;EOMONTH($A34,0),Rates_Daily!F$15:F$2892,"&gt;=-1E+99"),Rates_Daily!$A$15:$A$2892,0)),"")</f>
        <v>-0.4</v>
      </c>
      <c r="L34" s="10" t="str">
        <f aca="false">IFERROR(AVERAGEIFS(Rates_Daily!E$15:E$2892,Rates_Daily!$A$15:$A$2892,"&gt;="&amp;$A34,Rates_Daily!$A$15:$A$2892,"&lt;="&amp;EOMONTH($A34,0)),"")</f>
        <v/>
      </c>
      <c r="M34" s="14" t="n">
        <v>-0.3719565</v>
      </c>
      <c r="N34" s="14" t="n">
        <v>-0.329087</v>
      </c>
      <c r="O34" s="14" t="n">
        <v>-0.2716522</v>
      </c>
      <c r="P34" s="14" t="n">
        <v>-0.1563478</v>
      </c>
      <c r="Q34" s="14" t="n">
        <v>-0.329086956521739</v>
      </c>
      <c r="R34" s="14" t="n">
        <v>0.25</v>
      </c>
      <c r="S34" s="14" t="n">
        <v>0.2132</v>
      </c>
      <c r="T34" s="10" t="n">
        <f aca="false">IFERROR(AVERAGEIFS(Rates_Daily!I$15:I$2892,Rates_Daily!$A$15:$A$2892,"&gt;="&amp;$A34,Rates_Daily!$A$15:$A$2892,"&lt;="&amp;EOMONTH($A34,0)),"")</f>
        <v>0.21396258662799</v>
      </c>
      <c r="U34" s="10" t="n">
        <f aca="false">IFERROR(AVERAGEIFS(Rates_Daily!J$15:J$2892,Rates_Daily!$A$15:$A$2892,"&gt;="&amp;$A34,Rates_Daily!$A$15:$A$2892,"&lt;="&amp;EOMONTH($A34,0)),"")</f>
        <v>0.227441729162245</v>
      </c>
      <c r="V34" s="10" t="n">
        <f aca="false">IFERROR(AVERAGEIFS(Rates_Daily!K$15:K$2892,Rates_Daily!$A$15:$A$2892,"&gt;="&amp;$A34,Rates_Daily!$A$15:$A$2892,"&lt;="&amp;EOMONTH($A34,0)),"")</f>
        <v>0.254790283018519</v>
      </c>
      <c r="W34" s="10" t="n">
        <f aca="false">IFERROR(AVERAGEIFS(Rates_Daily!L$15:L$2892,Rates_Daily!$A$15:$A$2892,"&gt;="&amp;$A34,Rates_Daily!$A$15:$A$2892,"&lt;="&amp;EOMONTH($A34,0)),"")</f>
        <v>0.300168555134985</v>
      </c>
      <c r="X34" s="14" t="n">
        <v>0.28119</v>
      </c>
      <c r="Y34" s="14" t="n">
        <v>0.5</v>
      </c>
      <c r="Z34" s="14" t="n">
        <v>0.49</v>
      </c>
      <c r="AD34" s="14" t="n">
        <v>0.8</v>
      </c>
      <c r="AE34" s="14" t="n">
        <v>1.25</v>
      </c>
      <c r="AF34" s="14" t="n">
        <v>1.23</v>
      </c>
      <c r="AG34" s="14" t="n">
        <v>1.39</v>
      </c>
      <c r="AH34" s="14" t="n">
        <v>1.36</v>
      </c>
      <c r="AI34" s="14" t="n">
        <v>1.42</v>
      </c>
      <c r="AJ34" s="14" t="n">
        <v>1.63</v>
      </c>
      <c r="AK34" s="14" t="n">
        <v>1.262</v>
      </c>
      <c r="AL34" s="14" t="n">
        <v>1.471</v>
      </c>
      <c r="AM34" s="14" t="n">
        <v>1.471</v>
      </c>
      <c r="AN34" s="14" t="n">
        <v>1.39</v>
      </c>
      <c r="AO34" s="10" t="n">
        <f aca="false">IFERROR(AVERAGEIFS(Rates_Daily!M$15:M$2892,Rates_Daily!$A$15:$A$2892,"&gt;="&amp;$A34,Rates_Daily!$A$15:$A$2892,"&lt;="&amp;EOMONTH($A34,0)),"")</f>
        <v>3.87610434782609</v>
      </c>
      <c r="AP34" s="10" t="n">
        <f aca="false">IFERROR(AVERAGEIFS(Rates_Daily!N$15:N$2892,Rates_Daily!$A$15:$A$2892,"&gt;="&amp;$A34,Rates_Daily!$A$15:$A$2892,"&lt;="&amp;EOMONTH($A34,0)),"")</f>
        <v>4.32372173913044</v>
      </c>
      <c r="AQ34" s="10" t="n">
        <f aca="false">IFERROR(AVERAGEIFS(Rates_Daily!O$15:O$2892,Rates_Daily!$A$15:$A$2892,"&gt;="&amp;$A34,Rates_Daily!$A$15:$A$2892,"&lt;="&amp;EOMONTH($A34,0)),"")</f>
        <v>4.37569565217391</v>
      </c>
      <c r="AR34" s="10" t="n">
        <f aca="false">IFERROR(AVERAGEIFS(Rates_Daily!P$15:P$2892,Rates_Daily!$A$15:$A$2892,"&gt;="&amp;$A34,Rates_Daily!$A$15:$A$2892,"&lt;="&amp;EOMONTH($A34,0)),"")</f>
        <v>4.40135217391304</v>
      </c>
      <c r="AU34" s="14" t="n">
        <v>4.48</v>
      </c>
      <c r="AV34" s="14" t="n">
        <v>9.15</v>
      </c>
      <c r="AW34" s="14" t="n">
        <v>9.25</v>
      </c>
      <c r="AX34" s="14" t="n">
        <v>0.056</v>
      </c>
      <c r="AY34" s="14" t="n">
        <v>-0.049</v>
      </c>
      <c r="AZ34" s="16" t="str">
        <f aca="false">IF(EOMONTH($A34,0)&gt;MAX(Rates_Daily!$A$15:$A$2892),"partial month","complete")</f>
        <v>complete</v>
      </c>
    </row>
    <row r="35" customFormat="false" ht="15" hidden="false" customHeight="false" outlineLevel="0" collapsed="false">
      <c r="A35" s="17" t="n">
        <v>42979</v>
      </c>
      <c r="B35" s="14" t="n">
        <v>1.15</v>
      </c>
      <c r="C35" s="10" t="n">
        <f aca="false">IFERROR(INDEX(Rates_Daily!C$15:C$2892,MATCH(_xlfn.MAXIFS(Rates_Daily!$A$15:$A$2892,Rates_Daily!$A$15:$A$2892,"&lt;="&amp;EOMONTH($A35,0),Rates_Daily!C$15:C$2892,"&gt;=-1E+99"),Rates_Daily!$A$15:$A$2892,0)),"")</f>
        <v>1.25</v>
      </c>
      <c r="D35" s="10" t="n">
        <f aca="false">IFERROR(INDEX(Rates_Daily!D$15:D$2892,MATCH(_xlfn.MAXIFS(Rates_Daily!$A$15:$A$2892,Rates_Daily!$A$15:$A$2892,"&lt;="&amp;EOMONTH($A35,0),Rates_Daily!D$15:D$2892,"&gt;=-1E+99"),Rates_Daily!$A$15:$A$2892,0)),"")</f>
        <v>1</v>
      </c>
      <c r="E35" s="10" t="str">
        <f aca="false">IFERROR(AVERAGEIFS(Rates_Daily!B$15:B$2892,Rates_Daily!$A$15:$A$2892,"&gt;="&amp;$A35,Rates_Daily!$A$15:$A$2892,"&lt;="&amp;EOMONTH($A35,0)),"")</f>
        <v/>
      </c>
      <c r="F35" s="14" t="n">
        <v>0.99</v>
      </c>
      <c r="G35" s="14" t="n">
        <v>1.05</v>
      </c>
      <c r="H35" s="14" t="n">
        <v>1.17</v>
      </c>
      <c r="I35" s="14" t="n">
        <v>1.28</v>
      </c>
      <c r="J35" s="14" t="n">
        <v>1.25</v>
      </c>
      <c r="K35" s="10" t="n">
        <f aca="false">IFERROR(INDEX(Rates_Daily!F$15:F$2892,MATCH(_xlfn.MAXIFS(Rates_Daily!$A$15:$A$2892,Rates_Daily!$A$15:$A$2892,"&lt;="&amp;EOMONTH($A35,0),Rates_Daily!F$15:F$2892,"&gt;=-1E+99"),Rates_Daily!$A$15:$A$2892,0)),"")</f>
        <v>-0.4</v>
      </c>
      <c r="L35" s="10" t="str">
        <f aca="false">IFERROR(AVERAGEIFS(Rates_Daily!E$15:E$2892,Rates_Daily!$A$15:$A$2892,"&gt;="&amp;$A35,Rates_Daily!$A$15:$A$2892,"&lt;="&amp;EOMONTH($A35,0)),"")</f>
        <v/>
      </c>
      <c r="M35" s="14" t="n">
        <v>-0.3720952</v>
      </c>
      <c r="N35" s="14" t="n">
        <v>-0.329381</v>
      </c>
      <c r="O35" s="14" t="n">
        <v>-0.272619</v>
      </c>
      <c r="P35" s="14" t="n">
        <v>-0.1682857</v>
      </c>
      <c r="Q35" s="14" t="n">
        <v>-0.329380952380952</v>
      </c>
      <c r="R35" s="14" t="n">
        <v>0.25</v>
      </c>
      <c r="S35" s="14" t="n">
        <v>0.2123</v>
      </c>
      <c r="T35" s="10" t="n">
        <f aca="false">IFERROR(AVERAGEIFS(Rates_Daily!I$15:I$2892,Rates_Daily!$A$15:$A$2892,"&gt;="&amp;$A35,Rates_Daily!$A$15:$A$2892,"&lt;="&amp;EOMONTH($A35,0)),"")</f>
        <v>0.222585260540376</v>
      </c>
      <c r="U35" s="10" t="n">
        <f aca="false">IFERROR(AVERAGEIFS(Rates_Daily!J$15:J$2892,Rates_Daily!$A$15:$A$2892,"&gt;="&amp;$A35,Rates_Daily!$A$15:$A$2892,"&lt;="&amp;EOMONTH($A35,0)),"")</f>
        <v>0.284206808798584</v>
      </c>
      <c r="V35" s="10" t="n">
        <f aca="false">IFERROR(AVERAGEIFS(Rates_Daily!K$15:K$2892,Rates_Daily!$A$15:$A$2892,"&gt;="&amp;$A35,Rates_Daily!$A$15:$A$2892,"&lt;="&amp;EOMONTH($A35,0)),"")</f>
        <v>0.346878690047919</v>
      </c>
      <c r="W35" s="10" t="n">
        <f aca="false">IFERROR(AVERAGEIFS(Rates_Daily!L$15:L$2892,Rates_Daily!$A$15:$A$2892,"&gt;="&amp;$A35,Rates_Daily!$A$15:$A$2892,"&lt;="&amp;EOMONTH($A35,0)),"")</f>
        <v>0.431222261189215</v>
      </c>
      <c r="X35" s="14" t="n">
        <v>0.30911</v>
      </c>
      <c r="Y35" s="14" t="n">
        <v>0.5</v>
      </c>
      <c r="Z35" s="14" t="n">
        <v>0.51</v>
      </c>
      <c r="AD35" s="14" t="n">
        <v>0.8</v>
      </c>
      <c r="AE35" s="14" t="n">
        <v>1.25</v>
      </c>
      <c r="AF35" s="14" t="n">
        <v>1.25</v>
      </c>
      <c r="AG35" s="14" t="n">
        <v>1.38</v>
      </c>
      <c r="AH35" s="14" t="n">
        <v>1.35</v>
      </c>
      <c r="AI35" s="14" t="n">
        <v>1.45</v>
      </c>
      <c r="AJ35" s="14" t="n">
        <v>1.67</v>
      </c>
      <c r="AK35" s="14" t="n">
        <v>1.262</v>
      </c>
      <c r="AL35" s="14" t="n">
        <v>1.488</v>
      </c>
      <c r="AM35" s="14" t="n">
        <v>1.481</v>
      </c>
      <c r="AN35" s="14" t="n">
        <v>1.38</v>
      </c>
      <c r="AO35" s="10" t="n">
        <f aca="false">IFERROR(AVERAGEIFS(Rates_Daily!M$15:M$2892,Rates_Daily!$A$15:$A$2892,"&gt;="&amp;$A35,Rates_Daily!$A$15:$A$2892,"&lt;="&amp;EOMONTH($A35,0)),"")</f>
        <v>3.96876818181818</v>
      </c>
      <c r="AP35" s="10" t="n">
        <f aca="false">IFERROR(AVERAGEIFS(Rates_Daily!N$15:N$2892,Rates_Daily!$A$15:$A$2892,"&gt;="&amp;$A35,Rates_Daily!$A$15:$A$2892,"&lt;="&amp;EOMONTH($A35,0)),"")</f>
        <v>4.37861818181818</v>
      </c>
      <c r="AQ35" s="10" t="n">
        <f aca="false">IFERROR(AVERAGEIFS(Rates_Daily!O$15:O$2892,Rates_Daily!$A$15:$A$2892,"&gt;="&amp;$A35,Rates_Daily!$A$15:$A$2892,"&lt;="&amp;EOMONTH($A35,0)),"")</f>
        <v>4.39097272727273</v>
      </c>
      <c r="AR35" s="10" t="n">
        <f aca="false">IFERROR(AVERAGEIFS(Rates_Daily!P$15:P$2892,Rates_Daily!$A$15:$A$2892,"&gt;="&amp;$A35,Rates_Daily!$A$15:$A$2892,"&lt;="&amp;EOMONTH($A35,0)),"")</f>
        <v>4.40305909090909</v>
      </c>
      <c r="AU35" s="14" t="n">
        <v>4.59</v>
      </c>
      <c r="AV35" s="14" t="n">
        <v>8.35</v>
      </c>
      <c r="AW35" s="14" t="n">
        <v>8.48</v>
      </c>
      <c r="AX35" s="14" t="n">
        <v>0.056</v>
      </c>
      <c r="AY35" s="14" t="n">
        <v>-0.058</v>
      </c>
      <c r="AZ35" s="16" t="str">
        <f aca="false">IF(EOMONTH($A35,0)&gt;MAX(Rates_Daily!$A$15:$A$2892),"partial month","complete")</f>
        <v>complete</v>
      </c>
    </row>
    <row r="36" customFormat="false" ht="15" hidden="false" customHeight="false" outlineLevel="0" collapsed="false">
      <c r="A36" s="17" t="n">
        <v>43009</v>
      </c>
      <c r="B36" s="14" t="n">
        <v>1.15</v>
      </c>
      <c r="C36" s="10" t="n">
        <f aca="false">IFERROR(INDEX(Rates_Daily!C$15:C$2892,MATCH(_xlfn.MAXIFS(Rates_Daily!$A$15:$A$2892,Rates_Daily!$A$15:$A$2892,"&lt;="&amp;EOMONTH($A36,0),Rates_Daily!C$15:C$2892,"&gt;=-1E+99"),Rates_Daily!$A$15:$A$2892,0)),"")</f>
        <v>1.25</v>
      </c>
      <c r="D36" s="10" t="n">
        <f aca="false">IFERROR(INDEX(Rates_Daily!D$15:D$2892,MATCH(_xlfn.MAXIFS(Rates_Daily!$A$15:$A$2892,Rates_Daily!$A$15:$A$2892,"&lt;="&amp;EOMONTH($A36,0),Rates_Daily!D$15:D$2892,"&gt;=-1E+99"),Rates_Daily!$A$15:$A$2892,0)),"")</f>
        <v>1</v>
      </c>
      <c r="E36" s="10" t="str">
        <f aca="false">IFERROR(AVERAGEIFS(Rates_Daily!B$15:B$2892,Rates_Daily!$A$15:$A$2892,"&gt;="&amp;$A36,Rates_Daily!$A$15:$A$2892,"&lt;="&amp;EOMONTH($A36,0)),"")</f>
        <v/>
      </c>
      <c r="F36" s="14" t="n">
        <v>1</v>
      </c>
      <c r="G36" s="14" t="n">
        <v>1.09</v>
      </c>
      <c r="H36" s="14" t="n">
        <v>1.25</v>
      </c>
      <c r="I36" s="14" t="n">
        <v>1.4</v>
      </c>
      <c r="J36" s="14" t="n">
        <v>1.26</v>
      </c>
      <c r="K36" s="10" t="n">
        <f aca="false">IFERROR(INDEX(Rates_Daily!F$15:F$2892,MATCH(_xlfn.MAXIFS(Rates_Daily!$A$15:$A$2892,Rates_Daily!$A$15:$A$2892,"&lt;="&amp;EOMONTH($A36,0),Rates_Daily!F$15:F$2892,"&gt;=-1E+99"),Rates_Daily!$A$15:$A$2892,0)),"")</f>
        <v>-0.4</v>
      </c>
      <c r="L36" s="10" t="str">
        <f aca="false">IFERROR(AVERAGEIFS(Rates_Daily!E$15:E$2892,Rates_Daily!$A$15:$A$2892,"&gt;="&amp;$A36,Rates_Daily!$A$15:$A$2892,"&lt;="&amp;EOMONTH($A36,0)),"")</f>
        <v/>
      </c>
      <c r="M36" s="14" t="n">
        <v>-0.3723182</v>
      </c>
      <c r="N36" s="14" t="n">
        <v>-0.3295455</v>
      </c>
      <c r="O36" s="14" t="n">
        <v>-0.2739091</v>
      </c>
      <c r="P36" s="14" t="n">
        <v>-0.1797727</v>
      </c>
      <c r="Q36" s="14" t="n">
        <v>-0.329545454545455</v>
      </c>
      <c r="R36" s="14" t="n">
        <v>0.25</v>
      </c>
      <c r="S36" s="14" t="n">
        <v>0.211</v>
      </c>
      <c r="T36" s="10" t="n">
        <f aca="false">IFERROR(AVERAGEIFS(Rates_Daily!I$15:I$2892,Rates_Daily!$A$15:$A$2892,"&gt;="&amp;$A36,Rates_Daily!$A$15:$A$2892,"&lt;="&amp;EOMONTH($A36,0)),"")</f>
        <v>0.310583948409051</v>
      </c>
      <c r="U36" s="10" t="n">
        <f aca="false">IFERROR(AVERAGEIFS(Rates_Daily!J$15:J$2892,Rates_Daily!$A$15:$A$2892,"&gt;="&amp;$A36,Rates_Daily!$A$15:$A$2892,"&lt;="&amp;EOMONTH($A36,0)),"")</f>
        <v>0.390260918606044</v>
      </c>
      <c r="V36" s="10" t="n">
        <f aca="false">IFERROR(AVERAGEIFS(Rates_Daily!K$15:K$2892,Rates_Daily!$A$15:$A$2892,"&gt;="&amp;$A36,Rates_Daily!$A$15:$A$2892,"&lt;="&amp;EOMONTH($A36,0)),"")</f>
        <v>0.453638347043673</v>
      </c>
      <c r="W36" s="10" t="n">
        <f aca="false">IFERROR(AVERAGEIFS(Rates_Daily!L$15:L$2892,Rates_Daily!$A$15:$A$2892,"&gt;="&amp;$A36,Rates_Daily!$A$15:$A$2892,"&lt;="&amp;EOMONTH($A36,0)),"")</f>
        <v>0.55215735693428</v>
      </c>
      <c r="X36" s="14" t="n">
        <v>0.38187</v>
      </c>
      <c r="Y36" s="14" t="n">
        <v>0.5</v>
      </c>
      <c r="Z36" s="14" t="n">
        <v>0.49</v>
      </c>
      <c r="AD36" s="14" t="n">
        <v>0.82</v>
      </c>
      <c r="AE36" s="14" t="n">
        <v>1.25</v>
      </c>
      <c r="AF36" s="14" t="n">
        <v>1.24</v>
      </c>
      <c r="AG36" s="14" t="n">
        <v>1.38</v>
      </c>
      <c r="AH36" s="14" t="n">
        <v>1.41</v>
      </c>
      <c r="AI36" s="14" t="n">
        <v>1.6</v>
      </c>
      <c r="AJ36" s="14" t="n">
        <v>1.87</v>
      </c>
      <c r="AK36" s="14" t="n">
        <v>1.334</v>
      </c>
      <c r="AL36" s="14" t="n">
        <v>1.649</v>
      </c>
      <c r="AM36" s="14" t="n">
        <v>1.654</v>
      </c>
      <c r="AN36" s="14" t="n">
        <v>1.38</v>
      </c>
      <c r="AO36" s="10" t="n">
        <f aca="false">IFERROR(AVERAGEIFS(Rates_Daily!M$15:M$2892,Rates_Daily!$A$15:$A$2892,"&gt;="&amp;$A36,Rates_Daily!$A$15:$A$2892,"&lt;="&amp;EOMONTH($A36,0)),"")</f>
        <v>4.03393529411765</v>
      </c>
      <c r="AP36" s="10" t="n">
        <f aca="false">IFERROR(AVERAGEIFS(Rates_Daily!N$15:N$2892,Rates_Daily!$A$15:$A$2892,"&gt;="&amp;$A36,Rates_Daily!$A$15:$A$2892,"&lt;="&amp;EOMONTH($A36,0)),"")</f>
        <v>4.37313529411765</v>
      </c>
      <c r="AQ36" s="10" t="n">
        <f aca="false">IFERROR(AVERAGEIFS(Rates_Daily!O$15:O$2892,Rates_Daily!$A$15:$A$2892,"&gt;="&amp;$A36,Rates_Daily!$A$15:$A$2892,"&lt;="&amp;EOMONTH($A36,0)),"")</f>
        <v>4.38945294117647</v>
      </c>
      <c r="AR36" s="10" t="n">
        <f aca="false">IFERROR(AVERAGEIFS(Rates_Daily!P$15:P$2892,Rates_Daily!$A$15:$A$2892,"&gt;="&amp;$A36,Rates_Daily!$A$15:$A$2892,"&lt;="&amp;EOMONTH($A36,0)),"")</f>
        <v>4.40388235294118</v>
      </c>
      <c r="AU36" s="14" t="n">
        <v>4.7</v>
      </c>
      <c r="AV36" s="14" t="n">
        <v>8.01</v>
      </c>
      <c r="AW36" s="14" t="n">
        <v>8.1</v>
      </c>
      <c r="AX36" s="14" t="n">
        <v>0.063</v>
      </c>
      <c r="AY36" s="14" t="n">
        <v>-0.037</v>
      </c>
      <c r="AZ36" s="16" t="str">
        <f aca="false">IF(EOMONTH($A36,0)&gt;MAX(Rates_Daily!$A$15:$A$2892),"partial month","complete")</f>
        <v>complete</v>
      </c>
    </row>
    <row r="37" customFormat="false" ht="15" hidden="false" customHeight="false" outlineLevel="0" collapsed="false">
      <c r="A37" s="17" t="n">
        <v>43040</v>
      </c>
      <c r="B37" s="14" t="n">
        <v>1.16</v>
      </c>
      <c r="C37" s="10" t="n">
        <f aca="false">IFERROR(INDEX(Rates_Daily!C$15:C$2892,MATCH(_xlfn.MAXIFS(Rates_Daily!$A$15:$A$2892,Rates_Daily!$A$15:$A$2892,"&lt;="&amp;EOMONTH($A37,0),Rates_Daily!C$15:C$2892,"&gt;=-1E+99"),Rates_Daily!$A$15:$A$2892,0)),"")</f>
        <v>1.25</v>
      </c>
      <c r="D37" s="10" t="n">
        <f aca="false">IFERROR(INDEX(Rates_Daily!D$15:D$2892,MATCH(_xlfn.MAXIFS(Rates_Daily!$A$15:$A$2892,Rates_Daily!$A$15:$A$2892,"&lt;="&amp;EOMONTH($A37,0),Rates_Daily!D$15:D$2892,"&gt;=-1E+99"),Rates_Daily!$A$15:$A$2892,0)),"")</f>
        <v>1</v>
      </c>
      <c r="E37" s="10" t="str">
        <f aca="false">IFERROR(AVERAGEIFS(Rates_Daily!B$15:B$2892,Rates_Daily!$A$15:$A$2892,"&gt;="&amp;$A37,Rates_Daily!$A$15:$A$2892,"&lt;="&amp;EOMONTH($A37,0)),"")</f>
        <v/>
      </c>
      <c r="F37" s="14" t="n">
        <v>1.09</v>
      </c>
      <c r="G37" s="14" t="n">
        <v>1.25</v>
      </c>
      <c r="H37" s="14" t="n">
        <v>1.39</v>
      </c>
      <c r="I37" s="14" t="n">
        <v>1.56</v>
      </c>
      <c r="J37" s="14" t="n">
        <v>1.32</v>
      </c>
      <c r="K37" s="10" t="n">
        <f aca="false">IFERROR(INDEX(Rates_Daily!F$15:F$2892,MATCH(_xlfn.MAXIFS(Rates_Daily!$A$15:$A$2892,Rates_Daily!$A$15:$A$2892,"&lt;="&amp;EOMONTH($A37,0),Rates_Daily!F$15:F$2892,"&gt;=-1E+99"),Rates_Daily!$A$15:$A$2892,0)),"")</f>
        <v>-0.4</v>
      </c>
      <c r="L37" s="10" t="str">
        <f aca="false">IFERROR(AVERAGEIFS(Rates_Daily!E$15:E$2892,Rates_Daily!$A$15:$A$2892,"&gt;="&amp;$A37,Rates_Daily!$A$15:$A$2892,"&lt;="&amp;EOMONTH($A37,0)),"")</f>
        <v/>
      </c>
      <c r="M37" s="14" t="n">
        <v>-0.3716364</v>
      </c>
      <c r="N37" s="14" t="n">
        <v>-0.329</v>
      </c>
      <c r="O37" s="14" t="n">
        <v>-0.2742727</v>
      </c>
      <c r="P37" s="14" t="n">
        <v>-0.1889545</v>
      </c>
      <c r="Q37" s="14" t="n">
        <v>-0.329</v>
      </c>
      <c r="R37" s="14" t="n">
        <v>0.4886</v>
      </c>
      <c r="S37" s="14" t="n">
        <v>0.4493</v>
      </c>
      <c r="T37" s="10" t="n">
        <f aca="false">IFERROR(AVERAGEIFS(Rates_Daily!I$15:I$2892,Rates_Daily!$A$15:$A$2892,"&gt;="&amp;$A37,Rates_Daily!$A$15:$A$2892,"&lt;="&amp;EOMONTH($A37,0)),"")</f>
        <v>0.459158535396546</v>
      </c>
      <c r="U37" s="10" t="n">
        <f aca="false">IFERROR(AVERAGEIFS(Rates_Daily!J$15:J$2892,Rates_Daily!$A$15:$A$2892,"&gt;="&amp;$A37,Rates_Daily!$A$15:$A$2892,"&lt;="&amp;EOMONTH($A37,0)),"")</f>
        <v>0.464472111529518</v>
      </c>
      <c r="V37" s="10" t="n">
        <f aca="false">IFERROR(AVERAGEIFS(Rates_Daily!K$15:K$2892,Rates_Daily!$A$15:$A$2892,"&gt;="&amp;$A37,Rates_Daily!$A$15:$A$2892,"&lt;="&amp;EOMONTH($A37,0)),"")</f>
        <v>0.490934876392629</v>
      </c>
      <c r="W37" s="10" t="n">
        <f aca="false">IFERROR(AVERAGEIFS(Rates_Daily!L$15:L$2892,Rates_Daily!$A$15:$A$2892,"&gt;="&amp;$A37,Rates_Daily!$A$15:$A$2892,"&lt;="&amp;EOMONTH($A37,0)),"")</f>
        <v>0.5647514384051</v>
      </c>
      <c r="X37" s="14" t="n">
        <v>0.51857</v>
      </c>
      <c r="Y37" s="14" t="n">
        <v>0.5</v>
      </c>
      <c r="Z37" s="14" t="n">
        <v>0.49</v>
      </c>
      <c r="AD37" s="14" t="n">
        <v>0.78</v>
      </c>
      <c r="AE37" s="14" t="n">
        <v>1.5</v>
      </c>
      <c r="AF37" s="14" t="n">
        <v>1.26</v>
      </c>
      <c r="AG37" s="14" t="n">
        <v>1.45</v>
      </c>
      <c r="AH37" s="14" t="n">
        <v>1.57</v>
      </c>
      <c r="AI37" s="14" t="n">
        <v>1.79</v>
      </c>
      <c r="AJ37" s="14" t="n">
        <v>2.03</v>
      </c>
      <c r="AK37" s="14" t="n">
        <v>1.432</v>
      </c>
      <c r="AL37" s="14" t="n">
        <v>1.785</v>
      </c>
      <c r="AM37" s="14" t="n">
        <v>1.787</v>
      </c>
      <c r="AN37" s="14" t="n">
        <v>1.45</v>
      </c>
      <c r="AO37" s="10" t="n">
        <f aca="false">IFERROR(AVERAGEIFS(Rates_Daily!M$15:M$2892,Rates_Daily!$A$15:$A$2892,"&gt;="&amp;$A37,Rates_Daily!$A$15:$A$2892,"&lt;="&amp;EOMONTH($A37,0)),"")</f>
        <v>4.0248</v>
      </c>
      <c r="AP37" s="10" t="n">
        <f aca="false">IFERROR(AVERAGEIFS(Rates_Daily!N$15:N$2892,Rates_Daily!$A$15:$A$2892,"&gt;="&amp;$A37,Rates_Daily!$A$15:$A$2892,"&lt;="&amp;EOMONTH($A37,0)),"")</f>
        <v>4.56281363636364</v>
      </c>
      <c r="AQ37" s="10" t="n">
        <f aca="false">IFERROR(AVERAGEIFS(Rates_Daily!O$15:O$2892,Rates_Daily!$A$15:$A$2892,"&gt;="&amp;$A37,Rates_Daily!$A$15:$A$2892,"&lt;="&amp;EOMONTH($A37,0)),"")</f>
        <v>4.53791363636364</v>
      </c>
      <c r="AR37" s="10" t="n">
        <f aca="false">IFERROR(AVERAGEIFS(Rates_Daily!P$15:P$2892,Rates_Daily!$A$15:$A$2892,"&gt;="&amp;$A37,Rates_Daily!$A$15:$A$2892,"&lt;="&amp;EOMONTH($A37,0)),"")</f>
        <v>4.52214090909091</v>
      </c>
      <c r="AU37" s="14" t="n">
        <v>4.76</v>
      </c>
      <c r="AV37" s="14" t="n">
        <v>7.4</v>
      </c>
      <c r="AW37" s="14" t="n">
        <v>7.5</v>
      </c>
      <c r="AX37" s="14" t="n">
        <v>0.063</v>
      </c>
      <c r="AY37" s="14" t="n">
        <v>-0.048</v>
      </c>
      <c r="AZ37" s="16" t="str">
        <f aca="false">IF(EOMONTH($A37,0)&gt;MAX(Rates_Daily!$A$15:$A$2892),"partial month","complete")</f>
        <v>complete</v>
      </c>
    </row>
    <row r="38" customFormat="false" ht="15" hidden="false" customHeight="false" outlineLevel="0" collapsed="false">
      <c r="A38" s="17" t="n">
        <v>43070</v>
      </c>
      <c r="B38" s="14" t="n">
        <v>1.3</v>
      </c>
      <c r="C38" s="10" t="n">
        <f aca="false">IFERROR(INDEX(Rates_Daily!C$15:C$2892,MATCH(_xlfn.MAXIFS(Rates_Daily!$A$15:$A$2892,Rates_Daily!$A$15:$A$2892,"&lt;="&amp;EOMONTH($A38,0),Rates_Daily!C$15:C$2892,"&gt;=-1E+99"),Rates_Daily!$A$15:$A$2892,0)),"")</f>
        <v>1.5</v>
      </c>
      <c r="D38" s="10" t="n">
        <f aca="false">IFERROR(INDEX(Rates_Daily!D$15:D$2892,MATCH(_xlfn.MAXIFS(Rates_Daily!$A$15:$A$2892,Rates_Daily!$A$15:$A$2892,"&lt;="&amp;EOMONTH($A38,0),Rates_Daily!D$15:D$2892,"&gt;=-1E+99"),Rates_Daily!$A$15:$A$2892,0)),"")</f>
        <v>1.25</v>
      </c>
      <c r="E38" s="10" t="str">
        <f aca="false">IFERROR(AVERAGEIFS(Rates_Daily!B$15:B$2892,Rates_Daily!$A$15:$A$2892,"&gt;="&amp;$A38,Rates_Daily!$A$15:$A$2892,"&lt;="&amp;EOMONTH($A38,0)),"")</f>
        <v/>
      </c>
      <c r="F38" s="14" t="n">
        <v>1.2</v>
      </c>
      <c r="G38" s="14" t="n">
        <v>1.34</v>
      </c>
      <c r="H38" s="14" t="n">
        <v>1.5</v>
      </c>
      <c r="I38" s="14" t="n">
        <v>1.7</v>
      </c>
      <c r="J38" s="14" t="n">
        <v>1.54</v>
      </c>
      <c r="K38" s="10" t="n">
        <f aca="false">IFERROR(INDEX(Rates_Daily!F$15:F$2892,MATCH(_xlfn.MAXIFS(Rates_Daily!$A$15:$A$2892,Rates_Daily!$A$15:$A$2892,"&lt;="&amp;EOMONTH($A38,0),Rates_Daily!F$15:F$2892,"&gt;=-1E+99"),Rates_Daily!$A$15:$A$2892,0)),"")</f>
        <v>-0.4</v>
      </c>
      <c r="L38" s="10" t="str">
        <f aca="false">IFERROR(AVERAGEIFS(Rates_Daily!E$15:E$2892,Rates_Daily!$A$15:$A$2892,"&gt;="&amp;$A38,Rates_Daily!$A$15:$A$2892,"&lt;="&amp;EOMONTH($A38,0)),"")</f>
        <v/>
      </c>
      <c r="M38" s="14" t="n">
        <v>-0.3687368</v>
      </c>
      <c r="N38" s="14" t="n">
        <v>-0.3278947</v>
      </c>
      <c r="O38" s="14" t="n">
        <v>-0.2713684</v>
      </c>
      <c r="P38" s="14" t="n">
        <v>-0.1897368</v>
      </c>
      <c r="Q38" s="14" t="n">
        <v>-0.327894736842105</v>
      </c>
      <c r="R38" s="14" t="n">
        <v>0.5</v>
      </c>
      <c r="S38" s="14" t="n">
        <v>0.4619</v>
      </c>
      <c r="T38" s="10" t="n">
        <f aca="false">IFERROR(AVERAGEIFS(Rates_Daily!I$15:I$2892,Rates_Daily!$A$15:$A$2892,"&gt;="&amp;$A38,Rates_Daily!$A$15:$A$2892,"&lt;="&amp;EOMONTH($A38,0)),"")</f>
        <v>0.459516433823444</v>
      </c>
      <c r="U38" s="10" t="n">
        <f aca="false">IFERROR(AVERAGEIFS(Rates_Daily!J$15:J$2892,Rates_Daily!$A$15:$A$2892,"&gt;="&amp;$A38,Rates_Daily!$A$15:$A$2892,"&lt;="&amp;EOMONTH($A38,0)),"")</f>
        <v>0.469646433672075</v>
      </c>
      <c r="V38" s="10" t="n">
        <f aca="false">IFERROR(AVERAGEIFS(Rates_Daily!K$15:K$2892,Rates_Daily!$A$15:$A$2892,"&gt;="&amp;$A38,Rates_Daily!$A$15:$A$2892,"&lt;="&amp;EOMONTH($A38,0)),"")</f>
        <v>0.498402952736131</v>
      </c>
      <c r="W38" s="10" t="n">
        <f aca="false">IFERROR(AVERAGEIFS(Rates_Daily!L$15:L$2892,Rates_Daily!$A$15:$A$2892,"&gt;="&amp;$A38,Rates_Daily!$A$15:$A$2892,"&lt;="&amp;EOMONTH($A38,0)),"")</f>
        <v>0.572496613867707</v>
      </c>
      <c r="X38" s="14" t="n">
        <v>0.51871</v>
      </c>
      <c r="Y38" s="14" t="n">
        <v>0.5</v>
      </c>
      <c r="Z38" s="14" t="n">
        <v>0.49</v>
      </c>
      <c r="AD38" s="14" t="n">
        <v>0.83</v>
      </c>
      <c r="AE38" s="14" t="n">
        <v>1.5</v>
      </c>
      <c r="AF38" s="14" t="n">
        <v>1.51</v>
      </c>
      <c r="AG38" s="14" t="n">
        <v>1.66</v>
      </c>
      <c r="AH38" s="14" t="n">
        <v>1.67</v>
      </c>
      <c r="AI38" s="14" t="n">
        <v>1.81</v>
      </c>
      <c r="AJ38" s="14" t="n">
        <v>1.98</v>
      </c>
      <c r="AK38" s="14" t="n">
        <v>1.538</v>
      </c>
      <c r="AL38" s="14" t="n">
        <v>1.833</v>
      </c>
      <c r="AM38" s="14" t="n">
        <v>1.833</v>
      </c>
      <c r="AN38" s="14" t="n">
        <v>1.66</v>
      </c>
      <c r="AO38" s="10" t="n">
        <f aca="false">IFERROR(AVERAGEIFS(Rates_Daily!M$15:M$2892,Rates_Daily!$A$15:$A$2892,"&gt;="&amp;$A38,Rates_Daily!$A$15:$A$2892,"&lt;="&amp;EOMONTH($A38,0)),"")</f>
        <v>4.6093</v>
      </c>
      <c r="AP38" s="10" t="n">
        <f aca="false">IFERROR(AVERAGEIFS(Rates_Daily!N$15:N$2892,Rates_Daily!$A$15:$A$2892,"&gt;="&amp;$A38,Rates_Daily!$A$15:$A$2892,"&lt;="&amp;EOMONTH($A38,0)),"")</f>
        <v>4.83689523809524</v>
      </c>
      <c r="AQ38" s="10" t="n">
        <f aca="false">IFERROR(AVERAGEIFS(Rates_Daily!O$15:O$2892,Rates_Daily!$A$15:$A$2892,"&gt;="&amp;$A38,Rates_Daily!$A$15:$A$2892,"&lt;="&amp;EOMONTH($A38,0)),"")</f>
        <v>4.804</v>
      </c>
      <c r="AR38" s="10" t="n">
        <f aca="false">IFERROR(AVERAGEIFS(Rates_Daily!P$15:P$2892,Rates_Daily!$A$15:$A$2892,"&gt;="&amp;$A38,Rates_Daily!$A$15:$A$2892,"&lt;="&amp;EOMONTH($A38,0)),"")</f>
        <v>4.69828095238095</v>
      </c>
      <c r="AU38" s="14" t="n">
        <v>5.55</v>
      </c>
      <c r="AV38" s="14" t="n">
        <v>7</v>
      </c>
      <c r="AW38" s="14" t="n">
        <v>7.1</v>
      </c>
      <c r="AX38" s="14" t="n">
        <v>0.063</v>
      </c>
      <c r="AY38" s="14" t="n">
        <v>-0.042</v>
      </c>
      <c r="AZ38" s="16" t="str">
        <f aca="false">IF(EOMONTH($A38,0)&gt;MAX(Rates_Daily!$A$15:$A$2892),"partial month","complete")</f>
        <v>complete</v>
      </c>
    </row>
    <row r="39" customFormat="false" ht="15" hidden="false" customHeight="false" outlineLevel="0" collapsed="false">
      <c r="A39" s="17" t="n">
        <v>43101</v>
      </c>
      <c r="B39" s="14" t="n">
        <v>1.41</v>
      </c>
      <c r="C39" s="10" t="n">
        <f aca="false">IFERROR(INDEX(Rates_Daily!C$15:C$2892,MATCH(_xlfn.MAXIFS(Rates_Daily!$A$15:$A$2892,Rates_Daily!$A$15:$A$2892,"&lt;="&amp;EOMONTH($A39,0),Rates_Daily!C$15:C$2892,"&gt;=-1E+99"),Rates_Daily!$A$15:$A$2892,0)),"")</f>
        <v>1.5</v>
      </c>
      <c r="D39" s="10" t="n">
        <f aca="false">IFERROR(INDEX(Rates_Daily!D$15:D$2892,MATCH(_xlfn.MAXIFS(Rates_Daily!$A$15:$A$2892,Rates_Daily!$A$15:$A$2892,"&lt;="&amp;EOMONTH($A39,0),Rates_Daily!D$15:D$2892,"&gt;=-1E+99"),Rates_Daily!$A$15:$A$2892,0)),"")</f>
        <v>1.25</v>
      </c>
      <c r="E39" s="10" t="str">
        <f aca="false">IFERROR(AVERAGEIFS(Rates_Daily!B$15:B$2892,Rates_Daily!$A$15:$A$2892,"&gt;="&amp;$A39,Rates_Daily!$A$15:$A$2892,"&lt;="&amp;EOMONTH($A39,0)),"")</f>
        <v/>
      </c>
      <c r="F39" s="14" t="n">
        <v>1.3</v>
      </c>
      <c r="G39" s="14" t="n">
        <v>1.43</v>
      </c>
      <c r="H39" s="14" t="n">
        <v>1.62</v>
      </c>
      <c r="I39" s="14" t="n">
        <v>1.8</v>
      </c>
      <c r="J39" s="14" t="n">
        <v>1.63</v>
      </c>
      <c r="K39" s="10" t="n">
        <f aca="false">IFERROR(INDEX(Rates_Daily!F$15:F$2892,MATCH(_xlfn.MAXIFS(Rates_Daily!$A$15:$A$2892,Rates_Daily!$A$15:$A$2892,"&lt;="&amp;EOMONTH($A39,0),Rates_Daily!F$15:F$2892,"&gt;=-1E+99"),Rates_Daily!$A$15:$A$2892,0)),"")</f>
        <v>-0.4</v>
      </c>
      <c r="L39" s="10" t="str">
        <f aca="false">IFERROR(AVERAGEIFS(Rates_Daily!E$15:E$2892,Rates_Daily!$A$15:$A$2892,"&gt;="&amp;$A39,Rates_Daily!$A$15:$A$2892,"&lt;="&amp;EOMONTH($A39,0)),"")</f>
        <v/>
      </c>
      <c r="M39" s="14" t="n">
        <v>-0.3688182</v>
      </c>
      <c r="N39" s="14" t="n">
        <v>-0.3284545</v>
      </c>
      <c r="O39" s="14" t="n">
        <v>-0.2741818</v>
      </c>
      <c r="P39" s="14" t="n">
        <v>-0.1886818</v>
      </c>
      <c r="Q39" s="14" t="n">
        <v>-0.328454545454546</v>
      </c>
      <c r="R39" s="14" t="n">
        <v>0.5</v>
      </c>
      <c r="S39" s="14" t="n">
        <v>0.4631</v>
      </c>
      <c r="T39" s="10" t="n">
        <f aca="false">IFERROR(AVERAGEIFS(Rates_Daily!I$15:I$2892,Rates_Daily!$A$15:$A$2892,"&gt;="&amp;$A39,Rates_Daily!$A$15:$A$2892,"&lt;="&amp;EOMONTH($A39,0)),"")</f>
        <v>0.461423923511303</v>
      </c>
      <c r="U39" s="10" t="n">
        <f aca="false">IFERROR(AVERAGEIFS(Rates_Daily!J$15:J$2892,Rates_Daily!$A$15:$A$2892,"&gt;="&amp;$A39,Rates_Daily!$A$15:$A$2892,"&lt;="&amp;EOMONTH($A39,0)),"")</f>
        <v>0.473288353932045</v>
      </c>
      <c r="V39" s="10" t="n">
        <f aca="false">IFERROR(AVERAGEIFS(Rates_Daily!K$15:K$2892,Rates_Daily!$A$15:$A$2892,"&gt;="&amp;$A39,Rates_Daily!$A$15:$A$2892,"&lt;="&amp;EOMONTH($A39,0)),"")</f>
        <v>0.51090441107743</v>
      </c>
      <c r="W39" s="10" t="n">
        <f aca="false">IFERROR(AVERAGEIFS(Rates_Daily!L$15:L$2892,Rates_Daily!$A$15:$A$2892,"&gt;="&amp;$A39,Rates_Daily!$A$15:$A$2892,"&lt;="&amp;EOMONTH($A39,0)),"")</f>
        <v>0.599726414701925</v>
      </c>
      <c r="X39" s="14" t="n">
        <v>0.5225</v>
      </c>
      <c r="Y39" s="14" t="n">
        <v>0.5</v>
      </c>
      <c r="Z39" s="14" t="n">
        <v>0.49</v>
      </c>
      <c r="AD39" s="14" t="n">
        <v>0.84</v>
      </c>
      <c r="AE39" s="14" t="n">
        <v>1.5</v>
      </c>
      <c r="AF39" s="14" t="n">
        <v>1.49</v>
      </c>
      <c r="AG39" s="14" t="n">
        <v>1.66</v>
      </c>
      <c r="AH39" s="14" t="n">
        <v>1.65</v>
      </c>
      <c r="AI39" s="14" t="n">
        <v>1.75</v>
      </c>
      <c r="AJ39" s="14" t="n">
        <v>1.95</v>
      </c>
      <c r="AK39" s="14" t="n">
        <v>1.535</v>
      </c>
      <c r="AL39" s="14" t="n">
        <v>1.838</v>
      </c>
      <c r="AM39" s="14" t="n">
        <v>1.839</v>
      </c>
      <c r="AN39" s="14" t="n">
        <v>1.66</v>
      </c>
      <c r="AO39" s="10" t="n">
        <f aca="false">IFERROR(AVERAGEIFS(Rates_Daily!M$15:M$2892,Rates_Daily!$A$15:$A$2892,"&gt;="&amp;$A39,Rates_Daily!$A$15:$A$2892,"&lt;="&amp;EOMONTH($A39,0)),"")</f>
        <v>4.21108636363636</v>
      </c>
      <c r="AP39" s="10" t="n">
        <f aca="false">IFERROR(AVERAGEIFS(Rates_Daily!N$15:N$2892,Rates_Daily!$A$15:$A$2892,"&gt;="&amp;$A39,Rates_Daily!$A$15:$A$2892,"&lt;="&amp;EOMONTH($A39,0)),"")</f>
        <v>4.70378181818182</v>
      </c>
      <c r="AQ39" s="10" t="n">
        <f aca="false">IFERROR(AVERAGEIFS(Rates_Daily!O$15:O$2892,Rates_Daily!$A$15:$A$2892,"&gt;="&amp;$A39,Rates_Daily!$A$15:$A$2892,"&lt;="&amp;EOMONTH($A39,0)),"")</f>
        <v>4.72671363636364</v>
      </c>
      <c r="AR39" s="10" t="n">
        <f aca="false">IFERROR(AVERAGEIFS(Rates_Daily!P$15:P$2892,Rates_Daily!$A$15:$A$2892,"&gt;="&amp;$A39,Rates_Daily!$A$15:$A$2892,"&lt;="&amp;EOMONTH($A39,0)),"")</f>
        <v>4.73365</v>
      </c>
      <c r="AU39" s="14" t="n">
        <v>4.85</v>
      </c>
      <c r="AV39" s="14" t="n">
        <v>6.9</v>
      </c>
      <c r="AW39" s="14" t="n">
        <v>7</v>
      </c>
      <c r="AX39" s="14" t="n">
        <v>0.068</v>
      </c>
      <c r="AY39" s="14" t="n">
        <v>-0.04</v>
      </c>
      <c r="AZ39" s="16" t="str">
        <f aca="false">IF(EOMONTH($A39,0)&gt;MAX(Rates_Daily!$A$15:$A$2892),"partial month","complete")</f>
        <v>complete</v>
      </c>
    </row>
    <row r="40" customFormat="false" ht="15" hidden="false" customHeight="false" outlineLevel="0" collapsed="false">
      <c r="A40" s="17" t="n">
        <v>43132</v>
      </c>
      <c r="B40" s="14" t="n">
        <v>1.42</v>
      </c>
      <c r="C40" s="10" t="n">
        <f aca="false">IFERROR(INDEX(Rates_Daily!C$15:C$2892,MATCH(_xlfn.MAXIFS(Rates_Daily!$A$15:$A$2892,Rates_Daily!$A$15:$A$2892,"&lt;="&amp;EOMONTH($A40,0),Rates_Daily!C$15:C$2892,"&gt;=-1E+99"),Rates_Daily!$A$15:$A$2892,0)),"")</f>
        <v>1.5</v>
      </c>
      <c r="D40" s="10" t="n">
        <f aca="false">IFERROR(INDEX(Rates_Daily!D$15:D$2892,MATCH(_xlfn.MAXIFS(Rates_Daily!$A$15:$A$2892,Rates_Daily!$A$15:$A$2892,"&lt;="&amp;EOMONTH($A40,0),Rates_Daily!D$15:D$2892,"&gt;=-1E+99"),Rates_Daily!$A$15:$A$2892,0)),"")</f>
        <v>1.25</v>
      </c>
      <c r="E40" s="10" t="str">
        <f aca="false">IFERROR(AVERAGEIFS(Rates_Daily!B$15:B$2892,Rates_Daily!$A$15:$A$2892,"&gt;="&amp;$A40,Rates_Daily!$A$15:$A$2892,"&lt;="&amp;EOMONTH($A40,0)),"")</f>
        <v/>
      </c>
      <c r="F40" s="14" t="n">
        <v>1.38</v>
      </c>
      <c r="G40" s="14" t="n">
        <v>1.59</v>
      </c>
      <c r="H40" s="14" t="n">
        <v>1.79</v>
      </c>
      <c r="I40" s="14" t="n">
        <v>1.96</v>
      </c>
      <c r="J40" s="14" t="n">
        <v>1.78</v>
      </c>
      <c r="K40" s="10" t="n">
        <f aca="false">IFERROR(INDEX(Rates_Daily!F$15:F$2892,MATCH(_xlfn.MAXIFS(Rates_Daily!$A$15:$A$2892,Rates_Daily!$A$15:$A$2892,"&lt;="&amp;EOMONTH($A40,0),Rates_Daily!F$15:F$2892,"&gt;=-1E+99"),Rates_Daily!$A$15:$A$2892,0)),"")</f>
        <v>-0.4</v>
      </c>
      <c r="L40" s="10" t="str">
        <f aca="false">IFERROR(AVERAGEIFS(Rates_Daily!E$15:E$2892,Rates_Daily!$A$15:$A$2892,"&gt;="&amp;$A40,Rates_Daily!$A$15:$A$2892,"&lt;="&amp;EOMONTH($A40,0)),"")</f>
        <v/>
      </c>
      <c r="M40" s="14" t="n">
        <v>-0.3696</v>
      </c>
      <c r="N40" s="14" t="n">
        <v>-0.3285</v>
      </c>
      <c r="O40" s="14" t="n">
        <v>-0.2749</v>
      </c>
      <c r="P40" s="14" t="n">
        <v>-0.19125</v>
      </c>
      <c r="Q40" s="14" t="n">
        <v>-0.3285</v>
      </c>
      <c r="R40" s="14" t="n">
        <v>0.5</v>
      </c>
      <c r="S40" s="14" t="n">
        <v>0.4634</v>
      </c>
      <c r="T40" s="10" t="n">
        <f aca="false">IFERROR(AVERAGEIFS(Rates_Daily!I$15:I$2892,Rates_Daily!$A$15:$A$2892,"&gt;="&amp;$A40,Rates_Daily!$A$15:$A$2892,"&lt;="&amp;EOMONTH($A40,0)),"")</f>
        <v>0.459241016004271</v>
      </c>
      <c r="U40" s="10" t="n">
        <f aca="false">IFERROR(AVERAGEIFS(Rates_Daily!J$15:J$2892,Rates_Daily!$A$15:$A$2892,"&gt;="&amp;$A40,Rates_Daily!$A$15:$A$2892,"&lt;="&amp;EOMONTH($A40,0)),"")</f>
        <v>0.499237157101019</v>
      </c>
      <c r="V40" s="10" t="n">
        <f aca="false">IFERROR(AVERAGEIFS(Rates_Daily!K$15:K$2892,Rates_Daily!$A$15:$A$2892,"&gt;="&amp;$A40,Rates_Daily!$A$15:$A$2892,"&lt;="&amp;EOMONTH($A40,0)),"")</f>
        <v>0.574773870829815</v>
      </c>
      <c r="W40" s="10" t="n">
        <f aca="false">IFERROR(AVERAGEIFS(Rates_Daily!L$15:L$2892,Rates_Daily!$A$15:$A$2892,"&gt;="&amp;$A40,Rates_Daily!$A$15:$A$2892,"&lt;="&amp;EOMONTH($A40,0)),"")</f>
        <v>0.688110322336683</v>
      </c>
      <c r="X40" s="14" t="n">
        <v>0.54683</v>
      </c>
      <c r="Y40" s="14" t="n">
        <v>0.5</v>
      </c>
      <c r="Z40" s="14" t="n">
        <v>0.49</v>
      </c>
      <c r="AD40" s="14" t="n">
        <v>0.93</v>
      </c>
      <c r="AE40" s="14" t="n">
        <v>1.5</v>
      </c>
      <c r="AF40" s="14" t="n">
        <v>1.49</v>
      </c>
      <c r="AG40" s="14" t="n">
        <v>1.65</v>
      </c>
      <c r="AH40" s="14" t="n">
        <v>1.64</v>
      </c>
      <c r="AI40" s="14" t="n">
        <v>1.73</v>
      </c>
      <c r="AJ40" s="14" t="n">
        <v>1.98</v>
      </c>
      <c r="AK40" s="14" t="n">
        <v>1.535</v>
      </c>
      <c r="AL40" s="14" t="n">
        <v>1.856</v>
      </c>
      <c r="AM40" s="14" t="n">
        <v>1.851</v>
      </c>
      <c r="AN40" s="14" t="n">
        <v>1.65</v>
      </c>
      <c r="AO40" s="10" t="n">
        <f aca="false">IFERROR(AVERAGEIFS(Rates_Daily!M$15:M$2892,Rates_Daily!$A$15:$A$2892,"&gt;="&amp;$A40,Rates_Daily!$A$15:$A$2892,"&lt;="&amp;EOMONTH($A40,0)),"")</f>
        <v>4.07534117647059</v>
      </c>
      <c r="AP40" s="10" t="n">
        <f aca="false">IFERROR(AVERAGEIFS(Rates_Daily!N$15:N$2892,Rates_Daily!$A$15:$A$2892,"&gt;="&amp;$A40,Rates_Daily!$A$15:$A$2892,"&lt;="&amp;EOMONTH($A40,0)),"")</f>
        <v>4.70897058823529</v>
      </c>
      <c r="AQ40" s="10" t="n">
        <f aca="false">IFERROR(AVERAGEIFS(Rates_Daily!O$15:O$2892,Rates_Daily!$A$15:$A$2892,"&gt;="&amp;$A40,Rates_Daily!$A$15:$A$2892,"&lt;="&amp;EOMONTH($A40,0)),"")</f>
        <v>4.72940588235294</v>
      </c>
      <c r="AR40" s="10" t="n">
        <f aca="false">IFERROR(AVERAGEIFS(Rates_Daily!P$15:P$2892,Rates_Daily!$A$15:$A$2892,"&gt;="&amp;$A40,Rates_Daily!$A$15:$A$2892,"&lt;="&amp;EOMONTH($A40,0)),"")</f>
        <v>4.74432941176471</v>
      </c>
      <c r="AU40" s="14" t="n">
        <v>4.49</v>
      </c>
      <c r="AV40" s="14" t="n">
        <v>6.72</v>
      </c>
      <c r="AW40" s="14" t="n">
        <v>6.81</v>
      </c>
      <c r="AX40" s="14" t="n">
        <v>0.068</v>
      </c>
      <c r="AY40" s="14" t="n">
        <v>-0.042</v>
      </c>
      <c r="AZ40" s="16" t="str">
        <f aca="false">IF(EOMONTH($A40,0)&gt;MAX(Rates_Daily!$A$15:$A$2892),"partial month","complete")</f>
        <v>complete</v>
      </c>
    </row>
    <row r="41" customFormat="false" ht="15" hidden="false" customHeight="false" outlineLevel="0" collapsed="false">
      <c r="A41" s="17" t="n">
        <v>43160</v>
      </c>
      <c r="B41" s="14" t="n">
        <v>1.51</v>
      </c>
      <c r="C41" s="10" t="n">
        <f aca="false">IFERROR(INDEX(Rates_Daily!C$15:C$2892,MATCH(_xlfn.MAXIFS(Rates_Daily!$A$15:$A$2892,Rates_Daily!$A$15:$A$2892,"&lt;="&amp;EOMONTH($A41,0),Rates_Daily!C$15:C$2892,"&gt;=-1E+99"),Rates_Daily!$A$15:$A$2892,0)),"")</f>
        <v>1.75</v>
      </c>
      <c r="D41" s="10" t="n">
        <f aca="false">IFERROR(INDEX(Rates_Daily!D$15:D$2892,MATCH(_xlfn.MAXIFS(Rates_Daily!$A$15:$A$2892,Rates_Daily!$A$15:$A$2892,"&lt;="&amp;EOMONTH($A41,0),Rates_Daily!D$15:D$2892,"&gt;=-1E+99"),Rates_Daily!$A$15:$A$2892,0)),"")</f>
        <v>1.5</v>
      </c>
      <c r="E41" s="10" t="str">
        <f aca="false">IFERROR(AVERAGEIFS(Rates_Daily!B$15:B$2892,Rates_Daily!$A$15:$A$2892,"&gt;="&amp;$A41,Rates_Daily!$A$15:$A$2892,"&lt;="&amp;EOMONTH($A41,0)),"")</f>
        <v/>
      </c>
      <c r="F41" s="14" t="n">
        <v>1.64</v>
      </c>
      <c r="G41" s="14" t="n">
        <v>1.73</v>
      </c>
      <c r="H41" s="14" t="n">
        <v>1.92</v>
      </c>
      <c r="I41" s="14" t="n">
        <v>2.06</v>
      </c>
      <c r="J41" s="14" t="n">
        <v>2.08</v>
      </c>
      <c r="K41" s="10" t="n">
        <f aca="false">IFERROR(INDEX(Rates_Daily!F$15:F$2892,MATCH(_xlfn.MAXIFS(Rates_Daily!$A$15:$A$2892,Rates_Daily!$A$15:$A$2892,"&lt;="&amp;EOMONTH($A41,0),Rates_Daily!F$15:F$2892,"&gt;=-1E+99"),Rates_Daily!$A$15:$A$2892,0)),"")</f>
        <v>-0.4</v>
      </c>
      <c r="L41" s="10" t="str">
        <f aca="false">IFERROR(AVERAGEIFS(Rates_Daily!E$15:E$2892,Rates_Daily!$A$15:$A$2892,"&gt;="&amp;$A41,Rates_Daily!$A$15:$A$2892,"&lt;="&amp;EOMONTH($A41,0)),"")</f>
        <v/>
      </c>
      <c r="M41" s="14" t="n">
        <v>-0.370619</v>
      </c>
      <c r="N41" s="14" t="n">
        <v>-0.3279048</v>
      </c>
      <c r="O41" s="14" t="n">
        <v>-0.2713333</v>
      </c>
      <c r="P41" s="14" t="n">
        <v>-0.191</v>
      </c>
      <c r="Q41" s="14" t="n">
        <v>-0.327904761904762</v>
      </c>
      <c r="R41" s="14" t="n">
        <v>0.5</v>
      </c>
      <c r="S41" s="14" t="n">
        <v>0.4637</v>
      </c>
      <c r="T41" s="10" t="n">
        <f aca="false">IFERROR(AVERAGEIFS(Rates_Daily!I$15:I$2892,Rates_Daily!$A$15:$A$2892,"&gt;="&amp;$A41,Rates_Daily!$A$15:$A$2892,"&lt;="&amp;EOMONTH($A41,0)),"")</f>
        <v>0.465539732115246</v>
      </c>
      <c r="U41" s="10" t="n">
        <f aca="false">IFERROR(AVERAGEIFS(Rates_Daily!J$15:J$2892,Rates_Daily!$A$15:$A$2892,"&gt;="&amp;$A41,Rates_Daily!$A$15:$A$2892,"&lt;="&amp;EOMONTH($A41,0)),"")</f>
        <v>0.540336778271697</v>
      </c>
      <c r="V41" s="10" t="n">
        <f aca="false">IFERROR(AVERAGEIFS(Rates_Daily!K$15:K$2892,Rates_Daily!$A$15:$A$2892,"&gt;="&amp;$A41,Rates_Daily!$A$15:$A$2892,"&lt;="&amp;EOMONTH($A41,0)),"")</f>
        <v>0.62600205872676</v>
      </c>
      <c r="W41" s="10" t="n">
        <f aca="false">IFERROR(AVERAGEIFS(Rates_Daily!L$15:L$2892,Rates_Daily!$A$15:$A$2892,"&gt;="&amp;$A41,Rates_Daily!$A$15:$A$2892,"&lt;="&amp;EOMONTH($A41,0)),"")</f>
        <v>0.733266439176185</v>
      </c>
      <c r="X41" s="14" t="n">
        <v>0.62842</v>
      </c>
      <c r="Y41" s="14" t="n">
        <v>0.5</v>
      </c>
      <c r="Z41" s="14" t="n">
        <v>0.49</v>
      </c>
      <c r="AD41" s="14" t="n">
        <v>1.07</v>
      </c>
      <c r="AE41" s="14" t="n">
        <v>1.5</v>
      </c>
      <c r="AF41" s="14" t="n">
        <v>1.49</v>
      </c>
      <c r="AG41" s="14" t="n">
        <v>1.65</v>
      </c>
      <c r="AH41" s="14" t="n">
        <v>1.64</v>
      </c>
      <c r="AI41" s="14" t="n">
        <v>1.78</v>
      </c>
      <c r="AJ41" s="14" t="n">
        <v>2.05</v>
      </c>
      <c r="AK41" s="14" t="n">
        <v>1.551</v>
      </c>
      <c r="AL41" s="14" t="n">
        <v>1.894</v>
      </c>
      <c r="AM41" s="14" t="n">
        <v>1.875</v>
      </c>
      <c r="AN41" s="14" t="n">
        <v>1.65</v>
      </c>
      <c r="AO41" s="10" t="n">
        <f aca="false">IFERROR(AVERAGEIFS(Rates_Daily!M$15:M$2892,Rates_Daily!$A$15:$A$2892,"&gt;="&amp;$A41,Rates_Daily!$A$15:$A$2892,"&lt;="&amp;EOMONTH($A41,0)),"")</f>
        <v>4.34028636363636</v>
      </c>
      <c r="AP41" s="10" t="n">
        <f aca="false">IFERROR(AVERAGEIFS(Rates_Daily!N$15:N$2892,Rates_Daily!$A$15:$A$2892,"&gt;="&amp;$A41,Rates_Daily!$A$15:$A$2892,"&lt;="&amp;EOMONTH($A41,0)),"")</f>
        <v>4.67956363636364</v>
      </c>
      <c r="AQ41" s="10" t="n">
        <f aca="false">IFERROR(AVERAGEIFS(Rates_Daily!O$15:O$2892,Rates_Daily!$A$15:$A$2892,"&gt;="&amp;$A41,Rates_Daily!$A$15:$A$2892,"&lt;="&amp;EOMONTH($A41,0)),"")</f>
        <v>4.71501363636364</v>
      </c>
      <c r="AR41" s="10" t="n">
        <f aca="false">IFERROR(AVERAGEIFS(Rates_Daily!P$15:P$2892,Rates_Daily!$A$15:$A$2892,"&gt;="&amp;$A41,Rates_Daily!$A$15:$A$2892,"&lt;="&amp;EOMONTH($A41,0)),"")</f>
        <v>4.73070454545455</v>
      </c>
      <c r="AU41" s="14" t="n">
        <v>4.8</v>
      </c>
      <c r="AV41" s="14" t="n">
        <v>6.58</v>
      </c>
      <c r="AW41" s="14" t="n">
        <v>6.67</v>
      </c>
      <c r="AX41" s="14" t="n">
        <v>0.097</v>
      </c>
      <c r="AY41" s="14" t="n">
        <v>-0.062</v>
      </c>
      <c r="AZ41" s="16" t="str">
        <f aca="false">IF(EOMONTH($A41,0)&gt;MAX(Rates_Daily!$A$15:$A$2892),"partial month","complete")</f>
        <v>complete</v>
      </c>
    </row>
    <row r="42" customFormat="false" ht="15" hidden="false" customHeight="false" outlineLevel="0" collapsed="false">
      <c r="A42" s="17" t="n">
        <v>43191</v>
      </c>
      <c r="B42" s="14" t="n">
        <v>1.69</v>
      </c>
      <c r="C42" s="10" t="n">
        <f aca="false">IFERROR(INDEX(Rates_Daily!C$15:C$2892,MATCH(_xlfn.MAXIFS(Rates_Daily!$A$15:$A$2892,Rates_Daily!$A$15:$A$2892,"&lt;="&amp;EOMONTH($A42,0),Rates_Daily!C$15:C$2892,"&gt;=-1E+99"),Rates_Daily!$A$15:$A$2892,0)),"")</f>
        <v>1.75</v>
      </c>
      <c r="D42" s="10" t="n">
        <f aca="false">IFERROR(INDEX(Rates_Daily!D$15:D$2892,MATCH(_xlfn.MAXIFS(Rates_Daily!$A$15:$A$2892,Rates_Daily!$A$15:$A$2892,"&lt;="&amp;EOMONTH($A42,0),Rates_Daily!D$15:D$2892,"&gt;=-1E+99"),Rates_Daily!$A$15:$A$2892,0)),"")</f>
        <v>1.5</v>
      </c>
      <c r="E42" s="10" t="n">
        <f aca="false">IFERROR(AVERAGEIFS(Rates_Daily!B$15:B$2892,Rates_Daily!$A$15:$A$2892,"&gt;="&amp;$A42,Rates_Daily!$A$15:$A$2892,"&lt;="&amp;EOMONTH($A42,0)),"")</f>
        <v>1.742</v>
      </c>
      <c r="F42" s="14" t="n">
        <v>1.66</v>
      </c>
      <c r="G42" s="14" t="n">
        <v>1.79</v>
      </c>
      <c r="H42" s="14" t="n">
        <v>1.98</v>
      </c>
      <c r="I42" s="14" t="n">
        <v>2.15</v>
      </c>
      <c r="J42" s="14" t="n">
        <v>2.2</v>
      </c>
      <c r="K42" s="10" t="n">
        <f aca="false">IFERROR(INDEX(Rates_Daily!F$15:F$2892,MATCH(_xlfn.MAXIFS(Rates_Daily!$A$15:$A$2892,Rates_Daily!$A$15:$A$2892,"&lt;="&amp;EOMONTH($A42,0),Rates_Daily!F$15:F$2892,"&gt;=-1E+99"),Rates_Daily!$A$15:$A$2892,0)),"")</f>
        <v>-0.4</v>
      </c>
      <c r="L42" s="10" t="str">
        <f aca="false">IFERROR(AVERAGEIFS(Rates_Daily!E$15:E$2892,Rates_Daily!$A$15:$A$2892,"&gt;="&amp;$A42,Rates_Daily!$A$15:$A$2892,"&lt;="&amp;EOMONTH($A42,0)),"")</f>
        <v/>
      </c>
      <c r="M42" s="14" t="n">
        <v>-0.37165</v>
      </c>
      <c r="N42" s="14" t="n">
        <v>-0.32845</v>
      </c>
      <c r="O42" s="14" t="n">
        <v>-0.2702</v>
      </c>
      <c r="P42" s="14" t="n">
        <v>-0.1897</v>
      </c>
      <c r="Q42" s="14" t="n">
        <v>-0.32845</v>
      </c>
      <c r="R42" s="14" t="n">
        <v>0.5</v>
      </c>
      <c r="S42" s="14" t="n">
        <v>0.4617</v>
      </c>
      <c r="T42" s="10" t="n">
        <f aca="false">IFERROR(AVERAGEIFS(Rates_Daily!I$15:I$2892,Rates_Daily!$A$15:$A$2892,"&gt;="&amp;$A42,Rates_Daily!$A$15:$A$2892,"&lt;="&amp;EOMONTH($A42,0)),"")</f>
        <v>0.491090812789819</v>
      </c>
      <c r="U42" s="10" t="n">
        <f aca="false">IFERROR(AVERAGEIFS(Rates_Daily!J$15:J$2892,Rates_Daily!$A$15:$A$2892,"&gt;="&amp;$A42,Rates_Daily!$A$15:$A$2892,"&lt;="&amp;EOMONTH($A42,0)),"")</f>
        <v>0.581221704299217</v>
      </c>
      <c r="V42" s="10" t="n">
        <f aca="false">IFERROR(AVERAGEIFS(Rates_Daily!K$15:K$2892,Rates_Daily!$A$15:$A$2892,"&gt;="&amp;$A42,Rates_Daily!$A$15:$A$2892,"&lt;="&amp;EOMONTH($A42,0)),"")</f>
        <v>0.64411714930112</v>
      </c>
      <c r="W42" s="10" t="n">
        <f aca="false">IFERROR(AVERAGEIFS(Rates_Daily!L$15:L$2892,Rates_Daily!$A$15:$A$2892,"&gt;="&amp;$A42,Rates_Daily!$A$15:$A$2892,"&lt;="&amp;EOMONTH($A42,0)),"")</f>
        <v>0.732570221190452</v>
      </c>
      <c r="X42" s="14" t="n">
        <v>0.75629</v>
      </c>
      <c r="Y42" s="14" t="n">
        <v>0.5</v>
      </c>
      <c r="Z42" s="14" t="n">
        <v>0.5</v>
      </c>
      <c r="AD42" s="14" t="n">
        <v>1.14</v>
      </c>
      <c r="AE42" s="14" t="n">
        <v>1.5</v>
      </c>
      <c r="AF42" s="14" t="n">
        <v>1.47</v>
      </c>
      <c r="AG42" s="14" t="n">
        <v>1.65</v>
      </c>
      <c r="AH42" s="14" t="n">
        <v>1.65</v>
      </c>
      <c r="AI42" s="14" t="n">
        <v>1.79</v>
      </c>
      <c r="AJ42" s="14" t="n">
        <v>1.99</v>
      </c>
      <c r="AK42" s="14" t="n">
        <v>1.553</v>
      </c>
      <c r="AL42" s="14" t="n">
        <v>1.871</v>
      </c>
      <c r="AM42" s="14" t="n">
        <v>1.873</v>
      </c>
      <c r="AN42" s="14" t="n">
        <v>1.65</v>
      </c>
      <c r="AO42" s="10" t="n">
        <f aca="false">IFERROR(AVERAGEIFS(Rates_Daily!M$15:M$2892,Rates_Daily!$A$15:$A$2892,"&gt;="&amp;$A42,Rates_Daily!$A$15:$A$2892,"&lt;="&amp;EOMONTH($A42,0)),"")</f>
        <v>3.888975</v>
      </c>
      <c r="AP42" s="10" t="n">
        <f aca="false">IFERROR(AVERAGEIFS(Rates_Daily!N$15:N$2892,Rates_Daily!$A$15:$A$2892,"&gt;="&amp;$A42,Rates_Daily!$A$15:$A$2892,"&lt;="&amp;EOMONTH($A42,0)),"")</f>
        <v>4.145895</v>
      </c>
      <c r="AQ42" s="10" t="n">
        <f aca="false">IFERROR(AVERAGEIFS(Rates_Daily!O$15:O$2892,Rates_Daily!$A$15:$A$2892,"&gt;="&amp;$A42,Rates_Daily!$A$15:$A$2892,"&lt;="&amp;EOMONTH($A42,0)),"")</f>
        <v>4.32577</v>
      </c>
      <c r="AR42" s="10" t="n">
        <f aca="false">IFERROR(AVERAGEIFS(Rates_Daily!P$15:P$2892,Rates_Daily!$A$15:$A$2892,"&gt;="&amp;$A42,Rates_Daily!$A$15:$A$2892,"&lt;="&amp;EOMONTH($A42,0)),"")</f>
        <v>4.49191</v>
      </c>
      <c r="AU42" s="14" t="n">
        <v>4.37</v>
      </c>
      <c r="AV42" s="14" t="n">
        <v>6.4</v>
      </c>
      <c r="AW42" s="14" t="n">
        <v>6.5</v>
      </c>
      <c r="AX42" s="14" t="n">
        <v>0.097</v>
      </c>
      <c r="AY42" s="14" t="n">
        <v>-0.063</v>
      </c>
      <c r="AZ42" s="16" t="str">
        <f aca="false">IF(EOMONTH($A42,0)&gt;MAX(Rates_Daily!$A$15:$A$2892),"partial month","complete")</f>
        <v>complete</v>
      </c>
    </row>
    <row r="43" customFormat="false" ht="15" hidden="false" customHeight="false" outlineLevel="0" collapsed="false">
      <c r="A43" s="17" t="n">
        <v>43221</v>
      </c>
      <c r="B43" s="14" t="n">
        <v>1.7</v>
      </c>
      <c r="C43" s="10" t="n">
        <f aca="false">IFERROR(INDEX(Rates_Daily!C$15:C$2892,MATCH(_xlfn.MAXIFS(Rates_Daily!$A$15:$A$2892,Rates_Daily!$A$15:$A$2892,"&lt;="&amp;EOMONTH($A43,0),Rates_Daily!C$15:C$2892,"&gt;=-1E+99"),Rates_Daily!$A$15:$A$2892,0)),"")</f>
        <v>1.75</v>
      </c>
      <c r="D43" s="10" t="n">
        <f aca="false">IFERROR(INDEX(Rates_Daily!D$15:D$2892,MATCH(_xlfn.MAXIFS(Rates_Daily!$A$15:$A$2892,Rates_Daily!$A$15:$A$2892,"&lt;="&amp;EOMONTH($A43,0),Rates_Daily!D$15:D$2892,"&gt;=-1E+99"),Rates_Daily!$A$15:$A$2892,0)),"")</f>
        <v>1.5</v>
      </c>
      <c r="E43" s="10" t="n">
        <f aca="false">IFERROR(AVERAGEIFS(Rates_Daily!B$15:B$2892,Rates_Daily!$A$15:$A$2892,"&gt;="&amp;$A43,Rates_Daily!$A$15:$A$2892,"&lt;="&amp;EOMONTH($A43,0)),"")</f>
        <v>1.73045454545455</v>
      </c>
      <c r="F43" s="14" t="n">
        <v>1.71</v>
      </c>
      <c r="G43" s="14" t="n">
        <v>1.9</v>
      </c>
      <c r="H43" s="14" t="n">
        <v>2.07</v>
      </c>
      <c r="I43" s="14" t="n">
        <v>2.27</v>
      </c>
      <c r="J43" s="14" t="n">
        <v>2.16</v>
      </c>
      <c r="K43" s="10" t="n">
        <f aca="false">IFERROR(INDEX(Rates_Daily!F$15:F$2892,MATCH(_xlfn.MAXIFS(Rates_Daily!$A$15:$A$2892,Rates_Daily!$A$15:$A$2892,"&lt;="&amp;EOMONTH($A43,0),Rates_Daily!F$15:F$2892,"&gt;=-1E+99"),Rates_Daily!$A$15:$A$2892,0)),"")</f>
        <v>-0.4</v>
      </c>
      <c r="L43" s="10" t="str">
        <f aca="false">IFERROR(AVERAGEIFS(Rates_Daily!E$15:E$2892,Rates_Daily!$A$15:$A$2892,"&gt;="&amp;$A43,Rates_Daily!$A$15:$A$2892,"&lt;="&amp;EOMONTH($A43,0)),"")</f>
        <v/>
      </c>
      <c r="M43" s="14" t="n">
        <v>-0.3708182</v>
      </c>
      <c r="N43" s="14" t="n">
        <v>-0.3252273</v>
      </c>
      <c r="O43" s="14" t="n">
        <v>-0.27</v>
      </c>
      <c r="P43" s="14" t="n">
        <v>-0.188</v>
      </c>
      <c r="Q43" s="14" t="n">
        <v>-0.325227272727273</v>
      </c>
      <c r="R43" s="14" t="n">
        <v>0.5</v>
      </c>
      <c r="S43" s="14" t="n">
        <v>0.4529</v>
      </c>
      <c r="T43" s="10" t="n">
        <f aca="false">IFERROR(AVERAGEIFS(Rates_Daily!I$15:I$2892,Rates_Daily!$A$15:$A$2892,"&gt;="&amp;$A43,Rates_Daily!$A$15:$A$2892,"&lt;="&amp;EOMONTH($A43,0)),"")</f>
        <v>0.458765879740106</v>
      </c>
      <c r="U43" s="10" t="n">
        <f aca="false">IFERROR(AVERAGEIFS(Rates_Daily!J$15:J$2892,Rates_Daily!$A$15:$A$2892,"&gt;="&amp;$A43,Rates_Daily!$A$15:$A$2892,"&lt;="&amp;EOMONTH($A43,0)),"")</f>
        <v>0.484125496901935</v>
      </c>
      <c r="V43" s="10" t="n">
        <f aca="false">IFERROR(AVERAGEIFS(Rates_Daily!K$15:K$2892,Rates_Daily!$A$15:$A$2892,"&gt;="&amp;$A43,Rates_Daily!$A$15:$A$2892,"&lt;="&amp;EOMONTH($A43,0)),"")</f>
        <v>0.536357856855206</v>
      </c>
      <c r="W43" s="10" t="n">
        <f aca="false">IFERROR(AVERAGEIFS(Rates_Daily!L$15:L$2892,Rates_Daily!$A$15:$A$2892,"&gt;="&amp;$A43,Rates_Daily!$A$15:$A$2892,"&lt;="&amp;EOMONTH($A43,0)),"")</f>
        <v>0.624398394770434</v>
      </c>
      <c r="X43" s="14" t="n">
        <v>0.64355</v>
      </c>
      <c r="Y43" s="14" t="n">
        <v>0.5</v>
      </c>
      <c r="Z43" s="14" t="n">
        <v>0.49</v>
      </c>
      <c r="AD43" s="14" t="n">
        <v>1.07</v>
      </c>
      <c r="AE43" s="14" t="n">
        <v>1.5</v>
      </c>
      <c r="AF43" s="14" t="n">
        <v>1.5</v>
      </c>
      <c r="AG43" s="14" t="n">
        <v>1.65</v>
      </c>
      <c r="AH43" s="14" t="n">
        <v>1.65</v>
      </c>
      <c r="AI43" s="14" t="n">
        <v>1.8</v>
      </c>
      <c r="AJ43" s="14" t="n">
        <v>2</v>
      </c>
      <c r="AK43" s="14" t="n">
        <v>1.562</v>
      </c>
      <c r="AL43" s="14" t="n">
        <v>1.887</v>
      </c>
      <c r="AM43" s="14" t="n">
        <v>1.887</v>
      </c>
      <c r="AN43" s="14" t="n">
        <v>1.65</v>
      </c>
      <c r="AO43" s="10" t="n">
        <f aca="false">IFERROR(AVERAGEIFS(Rates_Daily!M$15:M$2892,Rates_Daily!$A$15:$A$2892,"&gt;="&amp;$A43,Rates_Daily!$A$15:$A$2892,"&lt;="&amp;EOMONTH($A43,0)),"")</f>
        <v>3.83986363636364</v>
      </c>
      <c r="AP43" s="10" t="n">
        <f aca="false">IFERROR(AVERAGEIFS(Rates_Daily!N$15:N$2892,Rates_Daily!$A$15:$A$2892,"&gt;="&amp;$A43,Rates_Daily!$A$15:$A$2892,"&lt;="&amp;EOMONTH($A43,0)),"")</f>
        <v>4.11812272727273</v>
      </c>
      <c r="AQ43" s="10" t="n">
        <f aca="false">IFERROR(AVERAGEIFS(Rates_Daily!O$15:O$2892,Rates_Daily!$A$15:$A$2892,"&gt;="&amp;$A43,Rates_Daily!$A$15:$A$2892,"&lt;="&amp;EOMONTH($A43,0)),"")</f>
        <v>4.19681818181818</v>
      </c>
      <c r="AR43" s="10" t="n">
        <f aca="false">IFERROR(AVERAGEIFS(Rates_Daily!P$15:P$2892,Rates_Daily!$A$15:$A$2892,"&gt;="&amp;$A43,Rates_Daily!$A$15:$A$2892,"&lt;="&amp;EOMONTH($A43,0)),"")</f>
        <v>4.365</v>
      </c>
      <c r="AU43" s="14" t="n">
        <v>4.54</v>
      </c>
      <c r="AV43" s="14" t="n">
        <v>6.4</v>
      </c>
      <c r="AW43" s="14" t="n">
        <v>6.5</v>
      </c>
      <c r="AX43" s="14" t="n">
        <v>0.078</v>
      </c>
      <c r="AY43" s="14" t="n">
        <v>-0.061</v>
      </c>
      <c r="AZ43" s="16" t="str">
        <f aca="false">IF(EOMONTH($A43,0)&gt;MAX(Rates_Daily!$A$15:$A$2892),"partial month","complete")</f>
        <v>complete</v>
      </c>
    </row>
    <row r="44" customFormat="false" ht="15" hidden="false" customHeight="false" outlineLevel="0" collapsed="false">
      <c r="A44" s="17" t="n">
        <v>43252</v>
      </c>
      <c r="B44" s="14" t="n">
        <v>1.82</v>
      </c>
      <c r="C44" s="10" t="n">
        <f aca="false">IFERROR(INDEX(Rates_Daily!C$15:C$2892,MATCH(_xlfn.MAXIFS(Rates_Daily!$A$15:$A$2892,Rates_Daily!$A$15:$A$2892,"&lt;="&amp;EOMONTH($A44,0),Rates_Daily!C$15:C$2892,"&gt;=-1E+99"),Rates_Daily!$A$15:$A$2892,0)),"")</f>
        <v>2</v>
      </c>
      <c r="D44" s="10" t="n">
        <f aca="false">IFERROR(INDEX(Rates_Daily!D$15:D$2892,MATCH(_xlfn.MAXIFS(Rates_Daily!$A$15:$A$2892,Rates_Daily!$A$15:$A$2892,"&lt;="&amp;EOMONTH($A44,0),Rates_Daily!D$15:D$2892,"&gt;=-1E+99"),Rates_Daily!$A$15:$A$2892,0)),"")</f>
        <v>1.75</v>
      </c>
      <c r="E44" s="10" t="n">
        <f aca="false">IFERROR(AVERAGEIFS(Rates_Daily!B$15:B$2892,Rates_Daily!$A$15:$A$2892,"&gt;="&amp;$A44,Rates_Daily!$A$15:$A$2892,"&lt;="&amp;EOMONTH($A44,0)),"")</f>
        <v>1.83666666666667</v>
      </c>
      <c r="F44" s="14" t="n">
        <v>1.81</v>
      </c>
      <c r="G44" s="14" t="n">
        <v>1.94</v>
      </c>
      <c r="H44" s="14" t="n">
        <v>2.11</v>
      </c>
      <c r="I44" s="14" t="n">
        <v>2.33</v>
      </c>
      <c r="J44" s="14" t="n">
        <v>2.19</v>
      </c>
      <c r="K44" s="10" t="n">
        <f aca="false">IFERROR(INDEX(Rates_Daily!F$15:F$2892,MATCH(_xlfn.MAXIFS(Rates_Daily!$A$15:$A$2892,Rates_Daily!$A$15:$A$2892,"&lt;="&amp;EOMONTH($A44,0),Rates_Daily!F$15:F$2892,"&gt;=-1E+99"),Rates_Daily!$A$15:$A$2892,0)),"")</f>
        <v>-0.4</v>
      </c>
      <c r="L44" s="10" t="str">
        <f aca="false">IFERROR(AVERAGEIFS(Rates_Daily!E$15:E$2892,Rates_Daily!$A$15:$A$2892,"&gt;="&amp;$A44,Rates_Daily!$A$15:$A$2892,"&lt;="&amp;EOMONTH($A44,0)),"")</f>
        <v/>
      </c>
      <c r="M44" s="14" t="n">
        <v>-0.3703333</v>
      </c>
      <c r="N44" s="14" t="n">
        <v>-0.3220476</v>
      </c>
      <c r="O44" s="14" t="n">
        <v>-0.2685238</v>
      </c>
      <c r="P44" s="14" t="n">
        <v>-0.1814762</v>
      </c>
      <c r="Q44" s="14" t="n">
        <v>-0.322047619047619</v>
      </c>
      <c r="R44" s="14" t="n">
        <v>0.5</v>
      </c>
      <c r="S44" s="14" t="n">
        <v>0.4507</v>
      </c>
      <c r="T44" s="10" t="n">
        <f aca="false">IFERROR(AVERAGEIFS(Rates_Daily!I$15:I$2892,Rates_Daily!$A$15:$A$2892,"&gt;="&amp;$A44,Rates_Daily!$A$15:$A$2892,"&lt;="&amp;EOMONTH($A44,0)),"")</f>
        <v>0.461254748833986</v>
      </c>
      <c r="U44" s="10" t="n">
        <f aca="false">IFERROR(AVERAGEIFS(Rates_Daily!J$15:J$2892,Rates_Daily!$A$15:$A$2892,"&gt;="&amp;$A44,Rates_Daily!$A$15:$A$2892,"&lt;="&amp;EOMONTH($A44,0)),"")</f>
        <v>0.519060959893698</v>
      </c>
      <c r="V44" s="10" t="n">
        <f aca="false">IFERROR(AVERAGEIFS(Rates_Daily!K$15:K$2892,Rates_Daily!$A$15:$A$2892,"&gt;="&amp;$A44,Rates_Daily!$A$15:$A$2892,"&lt;="&amp;EOMONTH($A44,0)),"")</f>
        <v>0.57575739832665</v>
      </c>
      <c r="W44" s="10" t="n">
        <f aca="false">IFERROR(AVERAGEIFS(Rates_Daily!L$15:L$2892,Rates_Daily!$A$15:$A$2892,"&gt;="&amp;$A44,Rates_Daily!$A$15:$A$2892,"&lt;="&amp;EOMONTH($A44,0)),"")</f>
        <v>0.653508234563823</v>
      </c>
      <c r="X44" s="14" t="n">
        <v>0.63868</v>
      </c>
      <c r="Y44" s="14" t="n">
        <v>0.5</v>
      </c>
      <c r="Z44" s="14" t="n">
        <v>0.5</v>
      </c>
      <c r="AD44" s="14" t="n">
        <v>1.01</v>
      </c>
      <c r="AE44" s="14" t="n">
        <v>1.5</v>
      </c>
      <c r="AF44" s="14" t="n">
        <v>1.49</v>
      </c>
      <c r="AG44" s="14" t="n">
        <v>1.65</v>
      </c>
      <c r="AH44" s="14" t="n">
        <v>1.67</v>
      </c>
      <c r="AI44" s="14" t="n">
        <v>1.81</v>
      </c>
      <c r="AJ44" s="14" t="n">
        <v>2.01</v>
      </c>
      <c r="AK44" s="14" t="n">
        <v>1.552</v>
      </c>
      <c r="AL44" s="14" t="n">
        <v>1.858</v>
      </c>
      <c r="AM44" s="14" t="n">
        <v>1.851</v>
      </c>
      <c r="AN44" s="14" t="n">
        <v>1.65</v>
      </c>
      <c r="AO44" s="10" t="n">
        <f aca="false">IFERROR(AVERAGEIFS(Rates_Daily!M$15:M$2892,Rates_Daily!$A$15:$A$2892,"&gt;="&amp;$A44,Rates_Daily!$A$15:$A$2892,"&lt;="&amp;EOMONTH($A44,0)),"")</f>
        <v>4.0847</v>
      </c>
      <c r="AP44" s="10" t="n">
        <f aca="false">IFERROR(AVERAGEIFS(Rates_Daily!N$15:N$2892,Rates_Daily!$A$15:$A$2892,"&gt;="&amp;$A44,Rates_Daily!$A$15:$A$2892,"&lt;="&amp;EOMONTH($A44,0)),"")</f>
        <v>4.3138</v>
      </c>
      <c r="AQ44" s="10" t="n">
        <f aca="false">IFERROR(AVERAGEIFS(Rates_Daily!O$15:O$2892,Rates_Daily!$A$15:$A$2892,"&gt;="&amp;$A44,Rates_Daily!$A$15:$A$2892,"&lt;="&amp;EOMONTH($A44,0)),"")</f>
        <v>4.3034</v>
      </c>
      <c r="AR44" s="10" t="n">
        <f aca="false">IFERROR(AVERAGEIFS(Rates_Daily!P$15:P$2892,Rates_Daily!$A$15:$A$2892,"&gt;="&amp;$A44,Rates_Daily!$A$15:$A$2892,"&lt;="&amp;EOMONTH($A44,0)),"")</f>
        <v>4.38885</v>
      </c>
      <c r="AU44" s="14" t="n">
        <v>4.63</v>
      </c>
      <c r="AV44" s="14" t="n">
        <v>6.4</v>
      </c>
      <c r="AW44" s="14" t="n">
        <v>6.5</v>
      </c>
      <c r="AX44" s="14" t="n">
        <v>0.078</v>
      </c>
      <c r="AY44" s="14" t="n">
        <v>-0.071</v>
      </c>
      <c r="AZ44" s="16" t="str">
        <f aca="false">IF(EOMONTH($A44,0)&gt;MAX(Rates_Daily!$A$15:$A$2892),"partial month","complete")</f>
        <v>complete</v>
      </c>
    </row>
    <row r="45" customFormat="false" ht="15" hidden="false" customHeight="false" outlineLevel="0" collapsed="false">
      <c r="A45" s="17" t="n">
        <v>43282</v>
      </c>
      <c r="B45" s="14" t="n">
        <v>1.91</v>
      </c>
      <c r="C45" s="10" t="n">
        <f aca="false">IFERROR(INDEX(Rates_Daily!C$15:C$2892,MATCH(_xlfn.MAXIFS(Rates_Daily!$A$15:$A$2892,Rates_Daily!$A$15:$A$2892,"&lt;="&amp;EOMONTH($A45,0),Rates_Daily!C$15:C$2892,"&gt;=-1E+99"),Rates_Daily!$A$15:$A$2892,0)),"")</f>
        <v>2</v>
      </c>
      <c r="D45" s="10" t="n">
        <f aca="false">IFERROR(INDEX(Rates_Daily!D$15:D$2892,MATCH(_xlfn.MAXIFS(Rates_Daily!$A$15:$A$2892,Rates_Daily!$A$15:$A$2892,"&lt;="&amp;EOMONTH($A45,0),Rates_Daily!D$15:D$2892,"&gt;=-1E+99"),Rates_Daily!$A$15:$A$2892,0)),"")</f>
        <v>1.75</v>
      </c>
      <c r="E45" s="10" t="n">
        <f aca="false">IFERROR(AVERAGEIFS(Rates_Daily!B$15:B$2892,Rates_Daily!$A$15:$A$2892,"&gt;="&amp;$A45,Rates_Daily!$A$15:$A$2892,"&lt;="&amp;EOMONTH($A45,0)),"")</f>
        <v>1.91380952380952</v>
      </c>
      <c r="F45" s="14" t="n">
        <v>1.89</v>
      </c>
      <c r="G45" s="14" t="n">
        <v>1.99</v>
      </c>
      <c r="H45" s="14" t="n">
        <v>2.17</v>
      </c>
      <c r="I45" s="14" t="n">
        <v>2.39</v>
      </c>
      <c r="J45" s="14" t="n">
        <v>2.17</v>
      </c>
      <c r="K45" s="10" t="n">
        <f aca="false">IFERROR(INDEX(Rates_Daily!F$15:F$2892,MATCH(_xlfn.MAXIFS(Rates_Daily!$A$15:$A$2892,Rates_Daily!$A$15:$A$2892,"&lt;="&amp;EOMONTH($A45,0),Rates_Daily!F$15:F$2892,"&gt;=-1E+99"),Rates_Daily!$A$15:$A$2892,0)),"")</f>
        <v>-0.4</v>
      </c>
      <c r="L45" s="10" t="str">
        <f aca="false">IFERROR(AVERAGEIFS(Rates_Daily!E$15:E$2892,Rates_Daily!$A$15:$A$2892,"&gt;="&amp;$A45,Rates_Daily!$A$15:$A$2892,"&lt;="&amp;EOMONTH($A45,0)),"")</f>
        <v/>
      </c>
      <c r="M45" s="14" t="n">
        <v>-0.3696818</v>
      </c>
      <c r="N45" s="14" t="n">
        <v>-0.3207273</v>
      </c>
      <c r="O45" s="14" t="n">
        <v>-0.2691818</v>
      </c>
      <c r="P45" s="14" t="n">
        <v>-0.1795455</v>
      </c>
      <c r="Q45" s="14" t="n">
        <v>-0.320727272727273</v>
      </c>
      <c r="R45" s="14" t="n">
        <v>0.5</v>
      </c>
      <c r="S45" s="14" t="n">
        <v>0.4545</v>
      </c>
      <c r="T45" s="10" t="n">
        <f aca="false">IFERROR(AVERAGEIFS(Rates_Daily!I$15:I$2892,Rates_Daily!$A$15:$A$2892,"&gt;="&amp;$A45,Rates_Daily!$A$15:$A$2892,"&lt;="&amp;EOMONTH($A45,0)),"")</f>
        <v>0.55035254288572</v>
      </c>
      <c r="U45" s="10" t="n">
        <f aca="false">IFERROR(AVERAGEIFS(Rates_Daily!J$15:J$2892,Rates_Daily!$A$15:$A$2892,"&gt;="&amp;$A45,Rates_Daily!$A$15:$A$2892,"&lt;="&amp;EOMONTH($A45,0)),"")</f>
        <v>0.619941971794572</v>
      </c>
      <c r="V45" s="10" t="n">
        <f aca="false">IFERROR(AVERAGEIFS(Rates_Daily!K$15:K$2892,Rates_Daily!$A$15:$A$2892,"&gt;="&amp;$A45,Rates_Daily!$A$15:$A$2892,"&lt;="&amp;EOMONTH($A45,0)),"")</f>
        <v>0.657985435731938</v>
      </c>
      <c r="W45" s="10" t="n">
        <f aca="false">IFERROR(AVERAGEIFS(Rates_Daily!L$15:L$2892,Rates_Daily!$A$15:$A$2892,"&gt;="&amp;$A45,Rates_Daily!$A$15:$A$2892,"&lt;="&amp;EOMONTH($A45,0)),"")</f>
        <v>0.717908119419058</v>
      </c>
      <c r="X45" s="14" t="n">
        <v>0.74619</v>
      </c>
      <c r="Y45" s="14" t="n">
        <v>0.5</v>
      </c>
      <c r="Z45" s="14" t="n">
        <v>0.5</v>
      </c>
      <c r="AD45" s="14" t="n">
        <v>1.04</v>
      </c>
      <c r="AE45" s="14" t="n">
        <v>1.5</v>
      </c>
      <c r="AF45" s="14" t="n">
        <v>1.49</v>
      </c>
      <c r="AG45" s="14" t="n">
        <v>1.65</v>
      </c>
      <c r="AH45" s="14" t="n">
        <v>1.68</v>
      </c>
      <c r="AI45" s="14" t="n">
        <v>1.82</v>
      </c>
      <c r="AJ45" s="14" t="n">
        <v>2</v>
      </c>
      <c r="AK45" s="14" t="n">
        <v>1.546</v>
      </c>
      <c r="AL45" s="14" t="n">
        <v>1.848</v>
      </c>
      <c r="AM45" s="14" t="n">
        <v>1.842</v>
      </c>
      <c r="AN45" s="14" t="n">
        <v>1.65</v>
      </c>
      <c r="AO45" s="10" t="n">
        <f aca="false">IFERROR(AVERAGEIFS(Rates_Daily!M$15:M$2892,Rates_Daily!$A$15:$A$2892,"&gt;="&amp;$A45,Rates_Daily!$A$15:$A$2892,"&lt;="&amp;EOMONTH($A45,0)),"")</f>
        <v>3.29102272727273</v>
      </c>
      <c r="AP45" s="10" t="n">
        <f aca="false">IFERROR(AVERAGEIFS(Rates_Daily!N$15:N$2892,Rates_Daily!$A$15:$A$2892,"&gt;="&amp;$A45,Rates_Daily!$A$15:$A$2892,"&lt;="&amp;EOMONTH($A45,0)),"")</f>
        <v>3.59733636363636</v>
      </c>
      <c r="AQ45" s="10" t="n">
        <f aca="false">IFERROR(AVERAGEIFS(Rates_Daily!O$15:O$2892,Rates_Daily!$A$15:$A$2892,"&gt;="&amp;$A45,Rates_Daily!$A$15:$A$2892,"&lt;="&amp;EOMONTH($A45,0)),"")</f>
        <v>3.78328636363636</v>
      </c>
      <c r="AR45" s="10" t="n">
        <f aca="false">IFERROR(AVERAGEIFS(Rates_Daily!P$15:P$2892,Rates_Daily!$A$15:$A$2892,"&gt;="&amp;$A45,Rates_Daily!$A$15:$A$2892,"&lt;="&amp;EOMONTH($A45,0)),"")</f>
        <v>3.96494545454545</v>
      </c>
      <c r="AU45" s="14" t="n">
        <v>3.93</v>
      </c>
      <c r="AV45" s="14" t="n">
        <v>6.4</v>
      </c>
      <c r="AW45" s="14" t="n">
        <v>6.5</v>
      </c>
      <c r="AX45" s="14" t="n">
        <v>0.091</v>
      </c>
      <c r="AY45" s="14" t="n">
        <v>-0.07</v>
      </c>
      <c r="AZ45" s="16" t="str">
        <f aca="false">IF(EOMONTH($A45,0)&gt;MAX(Rates_Daily!$A$15:$A$2892),"partial month","complete")</f>
        <v>complete</v>
      </c>
    </row>
    <row r="46" customFormat="false" ht="15" hidden="false" customHeight="false" outlineLevel="0" collapsed="false">
      <c r="A46" s="17" t="n">
        <v>43313</v>
      </c>
      <c r="B46" s="14" t="n">
        <v>1.91</v>
      </c>
      <c r="C46" s="10" t="n">
        <f aca="false">IFERROR(INDEX(Rates_Daily!C$15:C$2892,MATCH(_xlfn.MAXIFS(Rates_Daily!$A$15:$A$2892,Rates_Daily!$A$15:$A$2892,"&lt;="&amp;EOMONTH($A46,0),Rates_Daily!C$15:C$2892,"&gt;=-1E+99"),Rates_Daily!$A$15:$A$2892,0)),"")</f>
        <v>2</v>
      </c>
      <c r="D46" s="10" t="n">
        <f aca="false">IFERROR(INDEX(Rates_Daily!D$15:D$2892,MATCH(_xlfn.MAXIFS(Rates_Daily!$A$15:$A$2892,Rates_Daily!$A$15:$A$2892,"&lt;="&amp;EOMONTH($A46,0),Rates_Daily!D$15:D$2892,"&gt;=-1E+99"),Rates_Daily!$A$15:$A$2892,0)),"")</f>
        <v>1.75</v>
      </c>
      <c r="E46" s="10" t="n">
        <f aca="false">IFERROR(AVERAGEIFS(Rates_Daily!B$15:B$2892,Rates_Daily!$A$15:$A$2892,"&gt;="&amp;$A46,Rates_Daily!$A$15:$A$2892,"&lt;="&amp;EOMONTH($A46,0)),"")</f>
        <v>1.91739130434783</v>
      </c>
      <c r="F46" s="14" t="n">
        <v>1.94</v>
      </c>
      <c r="G46" s="14" t="n">
        <v>2.07</v>
      </c>
      <c r="H46" s="14" t="n">
        <v>2.24</v>
      </c>
      <c r="I46" s="14" t="n">
        <v>2.45</v>
      </c>
      <c r="J46" s="14" t="n">
        <v>2.19</v>
      </c>
      <c r="K46" s="10" t="n">
        <f aca="false">IFERROR(INDEX(Rates_Daily!F$15:F$2892,MATCH(_xlfn.MAXIFS(Rates_Daily!$A$15:$A$2892,Rates_Daily!$A$15:$A$2892,"&lt;="&amp;EOMONTH($A46,0),Rates_Daily!F$15:F$2892,"&gt;=-1E+99"),Rates_Daily!$A$15:$A$2892,0)),"")</f>
        <v>-0.4</v>
      </c>
      <c r="L46" s="10" t="str">
        <f aca="false">IFERROR(AVERAGEIFS(Rates_Daily!E$15:E$2892,Rates_Daily!$A$15:$A$2892,"&gt;="&amp;$A46,Rates_Daily!$A$15:$A$2892,"&lt;="&amp;EOMONTH($A46,0)),"")</f>
        <v/>
      </c>
      <c r="M46" s="14" t="n">
        <v>-0.3695652</v>
      </c>
      <c r="N46" s="14" t="n">
        <v>-0.319</v>
      </c>
      <c r="O46" s="14" t="n">
        <v>-0.2667826</v>
      </c>
      <c r="P46" s="14" t="n">
        <v>-0.1692609</v>
      </c>
      <c r="Q46" s="14" t="n">
        <v>-0.319</v>
      </c>
      <c r="R46" s="14" t="n">
        <v>0.7386</v>
      </c>
      <c r="S46" s="14" t="n">
        <v>0.6911</v>
      </c>
      <c r="T46" s="10" t="n">
        <f aca="false">IFERROR(AVERAGEIFS(Rates_Daily!I$15:I$2892,Rates_Daily!$A$15:$A$2892,"&gt;="&amp;$A46,Rates_Daily!$A$15:$A$2892,"&lt;="&amp;EOMONTH($A46,0)),"")</f>
        <v>0.698755868649469</v>
      </c>
      <c r="U46" s="10" t="n">
        <f aca="false">IFERROR(AVERAGEIFS(Rates_Daily!J$15:J$2892,Rates_Daily!$A$15:$A$2892,"&gt;="&amp;$A46,Rates_Daily!$A$15:$A$2892,"&lt;="&amp;EOMONTH($A46,0)),"")</f>
        <v>0.700285882938724</v>
      </c>
      <c r="V46" s="10" t="n">
        <f aca="false">IFERROR(AVERAGEIFS(Rates_Daily!K$15:K$2892,Rates_Daily!$A$15:$A$2892,"&gt;="&amp;$A46,Rates_Daily!$A$15:$A$2892,"&lt;="&amp;EOMONTH($A46,0)),"")</f>
        <v>0.711231186039603</v>
      </c>
      <c r="W46" s="10" t="n">
        <f aca="false">IFERROR(AVERAGEIFS(Rates_Daily!L$15:L$2892,Rates_Daily!$A$15:$A$2892,"&gt;="&amp;$A46,Rates_Daily!$A$15:$A$2892,"&lt;="&amp;EOMONTH($A46,0)),"")</f>
        <v>0.759836256408486</v>
      </c>
      <c r="X46" s="14" t="n">
        <v>0.80519</v>
      </c>
      <c r="Y46" s="14" t="n">
        <v>0.5</v>
      </c>
      <c r="Z46" s="14" t="n">
        <v>0.49</v>
      </c>
      <c r="AD46" s="14" t="n">
        <v>1.04</v>
      </c>
      <c r="AE46" s="14" t="n">
        <v>1.5</v>
      </c>
      <c r="AF46" s="14" t="n">
        <v>1.5</v>
      </c>
      <c r="AG46" s="14" t="n">
        <v>1.65</v>
      </c>
      <c r="AH46" s="14" t="n">
        <v>1.67</v>
      </c>
      <c r="AI46" s="14" t="n">
        <v>1.81</v>
      </c>
      <c r="AJ46" s="14" t="n">
        <v>1.97</v>
      </c>
      <c r="AK46" s="14" t="n">
        <v>1.568</v>
      </c>
      <c r="AL46" s="14" t="n">
        <v>1.836</v>
      </c>
      <c r="AM46" s="14" t="n">
        <v>1.83</v>
      </c>
      <c r="AN46" s="14" t="n">
        <v>1.65</v>
      </c>
      <c r="AO46" s="10" t="n">
        <f aca="false">IFERROR(AVERAGEIFS(Rates_Daily!M$15:M$2892,Rates_Daily!$A$15:$A$2892,"&gt;="&amp;$A46,Rates_Daily!$A$15:$A$2892,"&lt;="&amp;EOMONTH($A46,0)),"")</f>
        <v>2.7165652173913</v>
      </c>
      <c r="AP46" s="10" t="n">
        <f aca="false">IFERROR(AVERAGEIFS(Rates_Daily!N$15:N$2892,Rates_Daily!$A$15:$A$2892,"&gt;="&amp;$A46,Rates_Daily!$A$15:$A$2892,"&lt;="&amp;EOMONTH($A46,0)),"")</f>
        <v>2.884</v>
      </c>
      <c r="AQ46" s="10" t="n">
        <f aca="false">IFERROR(AVERAGEIFS(Rates_Daily!O$15:O$2892,Rates_Daily!$A$15:$A$2892,"&gt;="&amp;$A46,Rates_Daily!$A$15:$A$2892,"&lt;="&amp;EOMONTH($A46,0)),"")</f>
        <v>3.0864347826087</v>
      </c>
      <c r="AR46" s="10" t="n">
        <f aca="false">IFERROR(AVERAGEIFS(Rates_Daily!P$15:P$2892,Rates_Daily!$A$15:$A$2892,"&gt;="&amp;$A46,Rates_Daily!$A$15:$A$2892,"&lt;="&amp;EOMONTH($A46,0)),"")</f>
        <v>3.43178260869565</v>
      </c>
      <c r="AU46" s="14" t="n">
        <v>3.23</v>
      </c>
      <c r="AV46" s="14" t="n">
        <v>6.4</v>
      </c>
      <c r="AW46" s="14" t="n">
        <v>6.5</v>
      </c>
      <c r="AX46" s="14" t="n">
        <v>0.091</v>
      </c>
      <c r="AY46" s="14" t="n">
        <v>-0.059</v>
      </c>
      <c r="AZ46" s="16" t="str">
        <f aca="false">IF(EOMONTH($A46,0)&gt;MAX(Rates_Daily!$A$15:$A$2892),"partial month","complete")</f>
        <v>complete</v>
      </c>
    </row>
    <row r="47" customFormat="false" ht="15" hidden="false" customHeight="false" outlineLevel="0" collapsed="false">
      <c r="A47" s="17" t="n">
        <v>43344</v>
      </c>
      <c r="B47" s="14" t="n">
        <v>1.95</v>
      </c>
      <c r="C47" s="10" t="n">
        <f aca="false">IFERROR(INDEX(Rates_Daily!C$15:C$2892,MATCH(_xlfn.MAXIFS(Rates_Daily!$A$15:$A$2892,Rates_Daily!$A$15:$A$2892,"&lt;="&amp;EOMONTH($A47,0),Rates_Daily!C$15:C$2892,"&gt;=-1E+99"),Rates_Daily!$A$15:$A$2892,0)),"")</f>
        <v>2.25</v>
      </c>
      <c r="D47" s="10" t="n">
        <f aca="false">IFERROR(INDEX(Rates_Daily!D$15:D$2892,MATCH(_xlfn.MAXIFS(Rates_Daily!$A$15:$A$2892,Rates_Daily!$A$15:$A$2892,"&lt;="&amp;EOMONTH($A47,0),Rates_Daily!D$15:D$2892,"&gt;=-1E+99"),Rates_Daily!$A$15:$A$2892,0)),"")</f>
        <v>2</v>
      </c>
      <c r="E47" s="10" t="n">
        <f aca="false">IFERROR(AVERAGEIFS(Rates_Daily!B$15:B$2892,Rates_Daily!$A$15:$A$2892,"&gt;="&amp;$A47,Rates_Daily!$A$15:$A$2892,"&lt;="&amp;EOMONTH($A47,0)),"")</f>
        <v>1.96842105263158</v>
      </c>
      <c r="F47" s="14" t="n">
        <v>2.04</v>
      </c>
      <c r="G47" s="14" t="n">
        <v>2.17</v>
      </c>
      <c r="H47" s="14" t="n">
        <v>2.34</v>
      </c>
      <c r="I47" s="14" t="n">
        <v>2.56</v>
      </c>
      <c r="J47" s="14" t="n">
        <v>2.24</v>
      </c>
      <c r="K47" s="10" t="n">
        <f aca="false">IFERROR(INDEX(Rates_Daily!F$15:F$2892,MATCH(_xlfn.MAXIFS(Rates_Daily!$A$15:$A$2892,Rates_Daily!$A$15:$A$2892,"&lt;="&amp;EOMONTH($A47,0),Rates_Daily!F$15:F$2892,"&gt;=-1E+99"),Rates_Daily!$A$15:$A$2892,0)),"")</f>
        <v>-0.4</v>
      </c>
      <c r="L47" s="10" t="str">
        <f aca="false">IFERROR(AVERAGEIFS(Rates_Daily!E$15:E$2892,Rates_Daily!$A$15:$A$2892,"&gt;="&amp;$A47,Rates_Daily!$A$15:$A$2892,"&lt;="&amp;EOMONTH($A47,0)),"")</f>
        <v/>
      </c>
      <c r="M47" s="14" t="n">
        <v>-0.37095</v>
      </c>
      <c r="N47" s="14" t="n">
        <v>-0.31885</v>
      </c>
      <c r="O47" s="14" t="n">
        <v>-0.26825</v>
      </c>
      <c r="P47" s="14" t="n">
        <v>-0.1662</v>
      </c>
      <c r="Q47" s="14" t="n">
        <v>-0.31885</v>
      </c>
      <c r="R47" s="14" t="n">
        <v>0.75</v>
      </c>
      <c r="S47" s="14" t="n">
        <v>0.7012</v>
      </c>
      <c r="T47" s="10" t="n">
        <f aca="false">IFERROR(AVERAGEIFS(Rates_Daily!I$15:I$2892,Rates_Daily!$A$15:$A$2892,"&gt;="&amp;$A47,Rates_Daily!$A$15:$A$2892,"&lt;="&amp;EOMONTH($A47,0)),"")</f>
        <v>0.700934902664909</v>
      </c>
      <c r="U47" s="10" t="n">
        <f aca="false">IFERROR(AVERAGEIFS(Rates_Daily!J$15:J$2892,Rates_Daily!$A$15:$A$2892,"&gt;="&amp;$A47,Rates_Daily!$A$15:$A$2892,"&lt;="&amp;EOMONTH($A47,0)),"")</f>
        <v>0.705440303060182</v>
      </c>
      <c r="V47" s="10" t="n">
        <f aca="false">IFERROR(AVERAGEIFS(Rates_Daily!K$15:K$2892,Rates_Daily!$A$15:$A$2892,"&gt;="&amp;$A47,Rates_Daily!$A$15:$A$2892,"&lt;="&amp;EOMONTH($A47,0)),"")</f>
        <v>0.722227135113458</v>
      </c>
      <c r="W47" s="10" t="n">
        <f aca="false">IFERROR(AVERAGEIFS(Rates_Daily!L$15:L$2892,Rates_Daily!$A$15:$A$2892,"&gt;="&amp;$A47,Rates_Daily!$A$15:$A$2892,"&lt;="&amp;EOMONTH($A47,0)),"")</f>
        <v>0.789444290378352</v>
      </c>
      <c r="X47" s="14" t="n">
        <v>0.80093</v>
      </c>
      <c r="Y47" s="14" t="n">
        <v>0.58</v>
      </c>
      <c r="Z47" s="14" t="n">
        <v>0.59</v>
      </c>
      <c r="AD47" s="14" t="n">
        <v>1.09</v>
      </c>
      <c r="AE47" s="14" t="n">
        <v>1.5</v>
      </c>
      <c r="AF47" s="14" t="n">
        <v>1.54</v>
      </c>
      <c r="AG47" s="14" t="n">
        <v>1.65</v>
      </c>
      <c r="AH47" s="14" t="n">
        <v>1.67</v>
      </c>
      <c r="AI47" s="14" t="n">
        <v>1.85</v>
      </c>
      <c r="AJ47" s="14" t="n">
        <v>1.97</v>
      </c>
      <c r="AK47" s="14" t="n">
        <v>1.585</v>
      </c>
      <c r="AL47" s="14" t="n">
        <v>1.82</v>
      </c>
      <c r="AM47" s="14" t="n">
        <v>1.79</v>
      </c>
      <c r="AN47" s="14" t="n">
        <v>1.65</v>
      </c>
      <c r="AO47" s="10" t="n">
        <f aca="false">IFERROR(AVERAGEIFS(Rates_Daily!M$15:M$2892,Rates_Daily!$A$15:$A$2892,"&gt;="&amp;$A47,Rates_Daily!$A$15:$A$2892,"&lt;="&amp;EOMONTH($A47,0)),"")</f>
        <v>2.75114285714286</v>
      </c>
      <c r="AP47" s="10" t="n">
        <f aca="false">IFERROR(AVERAGEIFS(Rates_Daily!N$15:N$2892,Rates_Daily!$A$15:$A$2892,"&gt;="&amp;$A47,Rates_Daily!$A$15:$A$2892,"&lt;="&amp;EOMONTH($A47,0)),"")</f>
        <v>2.83990476190476</v>
      </c>
      <c r="AQ47" s="10" t="n">
        <f aca="false">IFERROR(AVERAGEIFS(Rates_Daily!O$15:O$2892,Rates_Daily!$A$15:$A$2892,"&gt;="&amp;$A47,Rates_Daily!$A$15:$A$2892,"&lt;="&amp;EOMONTH($A47,0)),"")</f>
        <v>3.23504761904762</v>
      </c>
      <c r="AR47" s="10" t="n">
        <f aca="false">IFERROR(AVERAGEIFS(Rates_Daily!P$15:P$2892,Rates_Daily!$A$15:$A$2892,"&gt;="&amp;$A47,Rates_Daily!$A$15:$A$2892,"&lt;="&amp;EOMONTH($A47,0)),"")</f>
        <v>3.51278571428571</v>
      </c>
      <c r="AU47" s="14" t="n">
        <v>3.12</v>
      </c>
      <c r="AV47" s="14" t="n">
        <v>6.4</v>
      </c>
      <c r="AW47" s="14" t="n">
        <v>6.5</v>
      </c>
      <c r="AX47" s="14" t="n">
        <v>0.05</v>
      </c>
      <c r="AY47" s="14" t="n">
        <v>-0.058</v>
      </c>
      <c r="AZ47" s="16" t="str">
        <f aca="false">IF(EOMONTH($A47,0)&gt;MAX(Rates_Daily!$A$15:$A$2892),"partial month","complete")</f>
        <v>complete</v>
      </c>
    </row>
    <row r="48" customFormat="false" ht="15" hidden="false" customHeight="false" outlineLevel="0" collapsed="false">
      <c r="A48" s="17" t="n">
        <v>43374</v>
      </c>
      <c r="B48" s="14" t="n">
        <v>2.19</v>
      </c>
      <c r="C48" s="10" t="n">
        <f aca="false">IFERROR(INDEX(Rates_Daily!C$15:C$2892,MATCH(_xlfn.MAXIFS(Rates_Daily!$A$15:$A$2892,Rates_Daily!$A$15:$A$2892,"&lt;="&amp;EOMONTH($A48,0),Rates_Daily!C$15:C$2892,"&gt;=-1E+99"),Rates_Daily!$A$15:$A$2892,0)),"")</f>
        <v>2.25</v>
      </c>
      <c r="D48" s="10" t="n">
        <f aca="false">IFERROR(INDEX(Rates_Daily!D$15:D$2892,MATCH(_xlfn.MAXIFS(Rates_Daily!$A$15:$A$2892,Rates_Daily!$A$15:$A$2892,"&lt;="&amp;EOMONTH($A48,0),Rates_Daily!D$15:D$2892,"&gt;=-1E+99"),Rates_Daily!$A$15:$A$2892,0)),"")</f>
        <v>2</v>
      </c>
      <c r="E48" s="10" t="n">
        <f aca="false">IFERROR(AVERAGEIFS(Rates_Daily!B$15:B$2892,Rates_Daily!$A$15:$A$2892,"&gt;="&amp;$A48,Rates_Daily!$A$15:$A$2892,"&lt;="&amp;EOMONTH($A48,0)),"")</f>
        <v>2.18409090909091</v>
      </c>
      <c r="F48" s="14" t="n">
        <v>2.17</v>
      </c>
      <c r="G48" s="14" t="n">
        <v>2.29</v>
      </c>
      <c r="H48" s="14" t="n">
        <v>2.46</v>
      </c>
      <c r="I48" s="14" t="n">
        <v>2.65</v>
      </c>
      <c r="J48" s="14" t="n">
        <v>2.37</v>
      </c>
      <c r="K48" s="10" t="n">
        <f aca="false">IFERROR(INDEX(Rates_Daily!F$15:F$2892,MATCH(_xlfn.MAXIFS(Rates_Daily!$A$15:$A$2892,Rates_Daily!$A$15:$A$2892,"&lt;="&amp;EOMONTH($A48,0),Rates_Daily!F$15:F$2892,"&gt;=-1E+99"),Rates_Daily!$A$15:$A$2892,0)),"")</f>
        <v>-0.4</v>
      </c>
      <c r="L48" s="10" t="str">
        <f aca="false">IFERROR(AVERAGEIFS(Rates_Daily!E$15:E$2892,Rates_Daily!$A$15:$A$2892,"&gt;="&amp;$A48,Rates_Daily!$A$15:$A$2892,"&lt;="&amp;EOMONTH($A48,0)),"")</f>
        <v/>
      </c>
      <c r="M48" s="14" t="n">
        <v>-0.3696957</v>
      </c>
      <c r="N48" s="14" t="n">
        <v>-0.3176957</v>
      </c>
      <c r="O48" s="14" t="n">
        <v>-0.2640435</v>
      </c>
      <c r="P48" s="14" t="n">
        <v>-0.1538261</v>
      </c>
      <c r="Q48" s="14" t="n">
        <v>-0.317695652173913</v>
      </c>
      <c r="R48" s="14" t="n">
        <v>0.75</v>
      </c>
      <c r="S48" s="14" t="n">
        <v>0.7011</v>
      </c>
      <c r="T48" s="10" t="n">
        <f aca="false">IFERROR(AVERAGEIFS(Rates_Daily!I$15:I$2892,Rates_Daily!$A$15:$A$2892,"&gt;="&amp;$A48,Rates_Daily!$A$15:$A$2892,"&lt;="&amp;EOMONTH($A48,0)),"")</f>
        <v>0.704394663852522</v>
      </c>
      <c r="U48" s="10" t="n">
        <f aca="false">IFERROR(AVERAGEIFS(Rates_Daily!J$15:J$2892,Rates_Daily!$A$15:$A$2892,"&gt;="&amp;$A48,Rates_Daily!$A$15:$A$2892,"&lt;="&amp;EOMONTH($A48,0)),"")</f>
        <v>0.710554272280042</v>
      </c>
      <c r="V48" s="10" t="n">
        <f aca="false">IFERROR(AVERAGEIFS(Rates_Daily!K$15:K$2892,Rates_Daily!$A$15:$A$2892,"&gt;="&amp;$A48,Rates_Daily!$A$15:$A$2892,"&lt;="&amp;EOMONTH($A48,0)),"")</f>
        <v>0.738534209698191</v>
      </c>
      <c r="W48" s="10" t="n">
        <f aca="false">IFERROR(AVERAGEIFS(Rates_Daily!L$15:L$2892,Rates_Daily!$A$15:$A$2892,"&gt;="&amp;$A48,Rates_Daily!$A$15:$A$2892,"&lt;="&amp;EOMONTH($A48,0)),"")</f>
        <v>0.813003720569368</v>
      </c>
      <c r="X48" s="14" t="n">
        <v>0.80618</v>
      </c>
      <c r="Y48" s="14" t="n">
        <v>0.75</v>
      </c>
      <c r="Z48" s="14" t="n">
        <v>0.74</v>
      </c>
      <c r="AD48" s="14" t="n">
        <v>1.09</v>
      </c>
      <c r="AE48" s="14" t="n">
        <v>1.5</v>
      </c>
      <c r="AF48" s="14" t="n">
        <v>1.52</v>
      </c>
      <c r="AG48" s="14" t="n">
        <v>1.68</v>
      </c>
      <c r="AH48" s="14" t="n">
        <v>1.76</v>
      </c>
      <c r="AI48" s="14" t="n">
        <v>1.96</v>
      </c>
      <c r="AJ48" s="14" t="n">
        <v>2.08</v>
      </c>
      <c r="AK48" s="14" t="n">
        <v>1.663</v>
      </c>
      <c r="AL48" s="14" t="n">
        <v>1.901</v>
      </c>
      <c r="AM48" s="14" t="n">
        <v>1.853</v>
      </c>
      <c r="AN48" s="14" t="n">
        <v>1.68</v>
      </c>
      <c r="AO48" s="10" t="n">
        <f aca="false">IFERROR(AVERAGEIFS(Rates_Daily!M$15:M$2892,Rates_Daily!$A$15:$A$2892,"&gt;="&amp;$A48,Rates_Daily!$A$15:$A$2892,"&lt;="&amp;EOMONTH($A48,0)),"")</f>
        <v>2.68105555555556</v>
      </c>
      <c r="AP48" s="10" t="n">
        <f aca="false">IFERROR(AVERAGEIFS(Rates_Daily!N$15:N$2892,Rates_Daily!$A$15:$A$2892,"&gt;="&amp;$A48,Rates_Daily!$A$15:$A$2892,"&lt;="&amp;EOMONTH($A48,0)),"")</f>
        <v>2.86844444444444</v>
      </c>
      <c r="AQ48" s="10" t="n">
        <f aca="false">IFERROR(AVERAGEIFS(Rates_Daily!O$15:O$2892,Rates_Daily!$A$15:$A$2892,"&gt;="&amp;$A48,Rates_Daily!$A$15:$A$2892,"&lt;="&amp;EOMONTH($A48,0)),"")</f>
        <v>3.273</v>
      </c>
      <c r="AR48" s="10" t="n">
        <f aca="false">IFERROR(AVERAGEIFS(Rates_Daily!P$15:P$2892,Rates_Daily!$A$15:$A$2892,"&gt;="&amp;$A48,Rates_Daily!$A$15:$A$2892,"&lt;="&amp;EOMONTH($A48,0)),"")</f>
        <v>3.52216666666667</v>
      </c>
      <c r="AU48" s="14" t="n">
        <v>3.22</v>
      </c>
      <c r="AV48" s="14" t="n">
        <v>6.4</v>
      </c>
      <c r="AW48" s="14" t="n">
        <v>6.5</v>
      </c>
      <c r="AX48" s="14" t="n">
        <v>0.05</v>
      </c>
      <c r="AY48" s="14" t="n">
        <v>-0.06</v>
      </c>
      <c r="AZ48" s="16" t="str">
        <f aca="false">IF(EOMONTH($A48,0)&gt;MAX(Rates_Daily!$A$15:$A$2892),"partial month","complete")</f>
        <v>complete</v>
      </c>
    </row>
    <row r="49" customFormat="false" ht="15" hidden="false" customHeight="false" outlineLevel="0" collapsed="false">
      <c r="A49" s="17" t="n">
        <v>43405</v>
      </c>
      <c r="B49" s="14" t="n">
        <v>2.2</v>
      </c>
      <c r="C49" s="10" t="n">
        <f aca="false">IFERROR(INDEX(Rates_Daily!C$15:C$2892,MATCH(_xlfn.MAXIFS(Rates_Daily!$A$15:$A$2892,Rates_Daily!$A$15:$A$2892,"&lt;="&amp;EOMONTH($A49,0),Rates_Daily!C$15:C$2892,"&gt;=-1E+99"),Rates_Daily!$A$15:$A$2892,0)),"")</f>
        <v>2.25</v>
      </c>
      <c r="D49" s="10" t="n">
        <f aca="false">IFERROR(INDEX(Rates_Daily!D$15:D$2892,MATCH(_xlfn.MAXIFS(Rates_Daily!$A$15:$A$2892,Rates_Daily!$A$15:$A$2892,"&lt;="&amp;EOMONTH($A49,0),Rates_Daily!D$15:D$2892,"&gt;=-1E+99"),Rates_Daily!$A$15:$A$2892,0)),"")</f>
        <v>2</v>
      </c>
      <c r="E49" s="10" t="n">
        <f aca="false">IFERROR(AVERAGEIFS(Rates_Daily!B$15:B$2892,Rates_Daily!$A$15:$A$2892,"&gt;="&amp;$A49,Rates_Daily!$A$15:$A$2892,"&lt;="&amp;EOMONTH($A49,0)),"")</f>
        <v>2.2205</v>
      </c>
      <c r="F49" s="14" t="n">
        <v>2.24</v>
      </c>
      <c r="G49" s="14" t="n">
        <v>2.37</v>
      </c>
      <c r="H49" s="14" t="n">
        <v>2.52</v>
      </c>
      <c r="I49" s="14" t="n">
        <v>2.7</v>
      </c>
      <c r="J49" s="14" t="n">
        <v>2.56</v>
      </c>
      <c r="K49" s="10" t="n">
        <f aca="false">IFERROR(INDEX(Rates_Daily!F$15:F$2892,MATCH(_xlfn.MAXIFS(Rates_Daily!$A$15:$A$2892,Rates_Daily!$A$15:$A$2892,"&lt;="&amp;EOMONTH($A49,0),Rates_Daily!F$15:F$2892,"&gt;=-1E+99"),Rates_Daily!$A$15:$A$2892,0)),"")</f>
        <v>-0.4</v>
      </c>
      <c r="L49" s="10" t="str">
        <f aca="false">IFERROR(AVERAGEIFS(Rates_Daily!E$15:E$2892,Rates_Daily!$A$15:$A$2892,"&gt;="&amp;$A49,Rates_Daily!$A$15:$A$2892,"&lt;="&amp;EOMONTH($A49,0)),"")</f>
        <v/>
      </c>
      <c r="M49" s="14" t="n">
        <v>-0.3688182</v>
      </c>
      <c r="N49" s="14" t="n">
        <v>-0.3163636</v>
      </c>
      <c r="O49" s="14" t="n">
        <v>-0.2565909</v>
      </c>
      <c r="P49" s="14" t="n">
        <v>-0.1474091</v>
      </c>
      <c r="Q49" s="14" t="n">
        <v>-0.316363636363636</v>
      </c>
      <c r="R49" s="14" t="n">
        <v>0.75</v>
      </c>
      <c r="S49" s="14" t="n">
        <v>0.7017</v>
      </c>
      <c r="T49" s="10" t="n">
        <f aca="false">IFERROR(AVERAGEIFS(Rates_Daily!I$15:I$2892,Rates_Daily!$A$15:$A$2892,"&gt;="&amp;$A49,Rates_Daily!$A$15:$A$2892,"&lt;="&amp;EOMONTH($A49,0)),"")</f>
        <v>0.699354341053221</v>
      </c>
      <c r="U49" s="10" t="n">
        <f aca="false">IFERROR(AVERAGEIFS(Rates_Daily!J$15:J$2892,Rates_Daily!$A$15:$A$2892,"&gt;="&amp;$A49,Rates_Daily!$A$15:$A$2892,"&lt;="&amp;EOMONTH($A49,0)),"")</f>
        <v>0.707879619815126</v>
      </c>
      <c r="V49" s="10" t="n">
        <f aca="false">IFERROR(AVERAGEIFS(Rates_Daily!K$15:K$2892,Rates_Daily!$A$15:$A$2892,"&gt;="&amp;$A49,Rates_Daily!$A$15:$A$2892,"&lt;="&amp;EOMONTH($A49,0)),"")</f>
        <v>0.738015611154254</v>
      </c>
      <c r="W49" s="10" t="n">
        <f aca="false">IFERROR(AVERAGEIFS(Rates_Daily!L$15:L$2892,Rates_Daily!$A$15:$A$2892,"&gt;="&amp;$A49,Rates_Daily!$A$15:$A$2892,"&lt;="&amp;EOMONTH($A49,0)),"")</f>
        <v>0.800800149615117</v>
      </c>
      <c r="X49" s="14" t="n">
        <v>0.87483</v>
      </c>
      <c r="Y49" s="14" t="n">
        <v>0.75</v>
      </c>
      <c r="Z49" s="14" t="n">
        <v>0.75</v>
      </c>
      <c r="AD49" s="14" t="n">
        <v>1.2</v>
      </c>
      <c r="AE49" s="14" t="n">
        <v>1.75</v>
      </c>
      <c r="AF49" s="14" t="n">
        <v>1.51</v>
      </c>
      <c r="AG49" s="14" t="n">
        <v>1.71</v>
      </c>
      <c r="AH49" s="14" t="n">
        <v>1.81</v>
      </c>
      <c r="AI49" s="14" t="n">
        <v>1.99</v>
      </c>
      <c r="AJ49" s="14" t="n">
        <v>2.07</v>
      </c>
      <c r="AK49" s="14" t="n">
        <v>1.706</v>
      </c>
      <c r="AL49" s="14" t="n">
        <v>1.896</v>
      </c>
      <c r="AM49" s="14" t="n">
        <v>1.844</v>
      </c>
      <c r="AN49" s="14" t="n">
        <v>1.71</v>
      </c>
      <c r="AO49" s="10" t="n">
        <f aca="false">IFERROR(AVERAGEIFS(Rates_Daily!M$15:M$2892,Rates_Daily!$A$15:$A$2892,"&gt;="&amp;$A49,Rates_Daily!$A$15:$A$2892,"&lt;="&amp;EOMONTH($A49,0)),"")</f>
        <v>2.68917727272727</v>
      </c>
      <c r="AP49" s="10" t="n">
        <f aca="false">IFERROR(AVERAGEIFS(Rates_Daily!N$15:N$2892,Rates_Daily!$A$15:$A$2892,"&gt;="&amp;$A49,Rates_Daily!$A$15:$A$2892,"&lt;="&amp;EOMONTH($A49,0)),"")</f>
        <v>3.03501818181818</v>
      </c>
      <c r="AQ49" s="10" t="n">
        <f aca="false">IFERROR(AVERAGEIFS(Rates_Daily!O$15:O$2892,Rates_Daily!$A$15:$A$2892,"&gt;="&amp;$A49,Rates_Daily!$A$15:$A$2892,"&lt;="&amp;EOMONTH($A49,0)),"")</f>
        <v>3.29025909090909</v>
      </c>
      <c r="AR49" s="10" t="n">
        <f aca="false">IFERROR(AVERAGEIFS(Rates_Daily!P$15:P$2892,Rates_Daily!$A$15:$A$2892,"&gt;="&amp;$A49,Rates_Daily!$A$15:$A$2892,"&lt;="&amp;EOMONTH($A49,0)),"")</f>
        <v>3.54353636363636</v>
      </c>
      <c r="AU49" s="14" t="n">
        <v>3.37</v>
      </c>
      <c r="AV49" s="14" t="n">
        <v>6.4</v>
      </c>
      <c r="AW49" s="14" t="n">
        <v>6.5</v>
      </c>
      <c r="AX49" s="14" t="n">
        <v>0.05</v>
      </c>
      <c r="AY49" s="14" t="n">
        <v>-0.071</v>
      </c>
      <c r="AZ49" s="16" t="str">
        <f aca="false">IF(EOMONTH($A49,0)&gt;MAX(Rates_Daily!$A$15:$A$2892),"partial month","complete")</f>
        <v>complete</v>
      </c>
    </row>
    <row r="50" customFormat="false" ht="15" hidden="false" customHeight="false" outlineLevel="0" collapsed="false">
      <c r="A50" s="17" t="n">
        <v>43435</v>
      </c>
      <c r="B50" s="14" t="n">
        <v>2.27</v>
      </c>
      <c r="C50" s="10" t="n">
        <f aca="false">IFERROR(INDEX(Rates_Daily!C$15:C$2892,MATCH(_xlfn.MAXIFS(Rates_Daily!$A$15:$A$2892,Rates_Daily!$A$15:$A$2892,"&lt;="&amp;EOMONTH($A50,0),Rates_Daily!C$15:C$2892,"&gt;=-1E+99"),Rates_Daily!$A$15:$A$2892,0)),"")</f>
        <v>2.5</v>
      </c>
      <c r="D50" s="10" t="n">
        <f aca="false">IFERROR(INDEX(Rates_Daily!D$15:D$2892,MATCH(_xlfn.MAXIFS(Rates_Daily!$A$15:$A$2892,Rates_Daily!$A$15:$A$2892,"&lt;="&amp;EOMONTH($A50,0),Rates_Daily!D$15:D$2892,"&gt;=-1E+99"),Rates_Daily!$A$15:$A$2892,0)),"")</f>
        <v>2.25</v>
      </c>
      <c r="E50" s="10" t="n">
        <f aca="false">IFERROR(AVERAGEIFS(Rates_Daily!B$15:B$2892,Rates_Daily!$A$15:$A$2892,"&gt;="&amp;$A50,Rates_Daily!$A$15:$A$2892,"&lt;="&amp;EOMONTH($A50,0)),"")</f>
        <v>2.35052631578947</v>
      </c>
      <c r="F50" s="14" t="n">
        <v>2.37</v>
      </c>
      <c r="G50" s="14" t="n">
        <v>2.41</v>
      </c>
      <c r="H50" s="14" t="n">
        <v>2.54</v>
      </c>
      <c r="I50" s="14" t="n">
        <v>2.66</v>
      </c>
      <c r="J50" s="14" t="n">
        <v>2.69</v>
      </c>
      <c r="K50" s="10" t="n">
        <f aca="false">IFERROR(INDEX(Rates_Daily!F$15:F$2892,MATCH(_xlfn.MAXIFS(Rates_Daily!$A$15:$A$2892,Rates_Daily!$A$15:$A$2892,"&lt;="&amp;EOMONTH($A50,0),Rates_Daily!F$15:F$2892,"&gt;=-1E+99"),Rates_Daily!$A$15:$A$2892,0)),"")</f>
        <v>-0.4</v>
      </c>
      <c r="L50" s="10" t="str">
        <f aca="false">IFERROR(AVERAGEIFS(Rates_Daily!E$15:E$2892,Rates_Daily!$A$15:$A$2892,"&gt;="&amp;$A50,Rates_Daily!$A$15:$A$2892,"&lt;="&amp;EOMONTH($A50,0)),"")</f>
        <v/>
      </c>
      <c r="M50" s="14" t="n">
        <v>-0.3670526</v>
      </c>
      <c r="N50" s="14" t="n">
        <v>-0.3118947</v>
      </c>
      <c r="O50" s="14" t="n">
        <v>-0.2408421</v>
      </c>
      <c r="P50" s="14" t="n">
        <v>-0.1286842</v>
      </c>
      <c r="Q50" s="14" t="n">
        <v>-0.311894736842105</v>
      </c>
      <c r="R50" s="14" t="n">
        <v>0.75</v>
      </c>
      <c r="S50" s="14" t="n">
        <v>0.7026</v>
      </c>
      <c r="T50" s="10" t="n">
        <f aca="false">IFERROR(AVERAGEIFS(Rates_Daily!I$15:I$2892,Rates_Daily!$A$15:$A$2892,"&gt;="&amp;$A50,Rates_Daily!$A$15:$A$2892,"&lt;="&amp;EOMONTH($A50,0)),"")</f>
        <v>0.69585310787488</v>
      </c>
      <c r="U50" s="10" t="n">
        <f aca="false">IFERROR(AVERAGEIFS(Rates_Daily!J$15:J$2892,Rates_Daily!$A$15:$A$2892,"&gt;="&amp;$A50,Rates_Daily!$A$15:$A$2892,"&lt;="&amp;EOMONTH($A50,0)),"")</f>
        <v>0.705596877630622</v>
      </c>
      <c r="V50" s="10" t="n">
        <f aca="false">IFERROR(AVERAGEIFS(Rates_Daily!K$15:K$2892,Rates_Daily!$A$15:$A$2892,"&gt;="&amp;$A50,Rates_Daily!$A$15:$A$2892,"&lt;="&amp;EOMONTH($A50,0)),"")</f>
        <v>0.727885502371884</v>
      </c>
      <c r="W50" s="10" t="n">
        <f aca="false">IFERROR(AVERAGEIFS(Rates_Daily!L$15:L$2892,Rates_Daily!$A$15:$A$2892,"&gt;="&amp;$A50,Rates_Daily!$A$15:$A$2892,"&lt;="&amp;EOMONTH($A50,0)),"")</f>
        <v>0.779518856840491</v>
      </c>
      <c r="X50" s="14" t="n">
        <v>0.90444</v>
      </c>
      <c r="Y50" s="14" t="n">
        <v>0.75</v>
      </c>
      <c r="Z50" s="14" t="n">
        <v>0.91</v>
      </c>
      <c r="AD50" s="14" t="n">
        <v>1.28</v>
      </c>
      <c r="AE50" s="14" t="n">
        <v>1.75</v>
      </c>
      <c r="AF50" s="14" t="n">
        <v>1.77</v>
      </c>
      <c r="AG50" s="14" t="n">
        <v>1.91</v>
      </c>
      <c r="AH50" s="14" t="n">
        <v>1.89</v>
      </c>
      <c r="AI50" s="14" t="n">
        <v>1.99</v>
      </c>
      <c r="AJ50" s="14" t="n">
        <v>2.02</v>
      </c>
      <c r="AK50" s="14" t="n">
        <v>1.751</v>
      </c>
      <c r="AL50" s="14" t="n">
        <v>1.854</v>
      </c>
      <c r="AM50" s="14" t="n">
        <v>1.776</v>
      </c>
      <c r="AN50" s="14" t="n">
        <v>1.91</v>
      </c>
      <c r="AO50" s="10" t="n">
        <f aca="false">IFERROR(AVERAGEIFS(Rates_Daily!M$15:M$2892,Rates_Daily!$A$15:$A$2892,"&gt;="&amp;$A50,Rates_Daily!$A$15:$A$2892,"&lt;="&amp;EOMONTH($A50,0)),"")</f>
        <v>3.04852380952381</v>
      </c>
      <c r="AP50" s="10" t="n">
        <f aca="false">IFERROR(AVERAGEIFS(Rates_Daily!N$15:N$2892,Rates_Daily!$A$15:$A$2892,"&gt;="&amp;$A50,Rates_Daily!$A$15:$A$2892,"&lt;="&amp;EOMONTH($A50,0)),"")</f>
        <v>3.19833333333333</v>
      </c>
      <c r="AQ50" s="10" t="n">
        <f aca="false">IFERROR(AVERAGEIFS(Rates_Daily!O$15:O$2892,Rates_Daily!$A$15:$A$2892,"&gt;="&amp;$A50,Rates_Daily!$A$15:$A$2892,"&lt;="&amp;EOMONTH($A50,0)),"")</f>
        <v>3.28109523809524</v>
      </c>
      <c r="AR50" s="10" t="n">
        <f aca="false">IFERROR(AVERAGEIFS(Rates_Daily!P$15:P$2892,Rates_Daily!$A$15:$A$2892,"&gt;="&amp;$A50,Rates_Daily!$A$15:$A$2892,"&lt;="&amp;EOMONTH($A50,0)),"")</f>
        <v>3.52190476190476</v>
      </c>
      <c r="AU50" s="14" t="n">
        <v>3.87</v>
      </c>
      <c r="AV50" s="14" t="n">
        <v>6.4</v>
      </c>
      <c r="AW50" s="14" t="n">
        <v>6.5</v>
      </c>
      <c r="AX50" s="14" t="n">
        <v>0.05</v>
      </c>
      <c r="AY50" s="14" t="n">
        <v>-0.068</v>
      </c>
      <c r="AZ50" s="16" t="str">
        <f aca="false">IF(EOMONTH($A50,0)&gt;MAX(Rates_Daily!$A$15:$A$2892),"partial month","complete")</f>
        <v>complete</v>
      </c>
    </row>
    <row r="51" customFormat="false" ht="15" hidden="false" customHeight="false" outlineLevel="0" collapsed="false">
      <c r="A51" s="17" t="n">
        <v>43466</v>
      </c>
      <c r="B51" s="14" t="n">
        <v>2.4</v>
      </c>
      <c r="C51" s="10" t="n">
        <f aca="false">IFERROR(INDEX(Rates_Daily!C$15:C$2892,MATCH(_xlfn.MAXIFS(Rates_Daily!$A$15:$A$2892,Rates_Daily!$A$15:$A$2892,"&lt;="&amp;EOMONTH($A51,0),Rates_Daily!C$15:C$2892,"&gt;=-1E+99"),Rates_Daily!$A$15:$A$2892,0)),"")</f>
        <v>2.5</v>
      </c>
      <c r="D51" s="10" t="n">
        <f aca="false">IFERROR(INDEX(Rates_Daily!D$15:D$2892,MATCH(_xlfn.MAXIFS(Rates_Daily!$A$15:$A$2892,Rates_Daily!$A$15:$A$2892,"&lt;="&amp;EOMONTH($A51,0),Rates_Daily!D$15:D$2892,"&gt;=-1E+99"),Rates_Daily!$A$15:$A$2892,0)),"")</f>
        <v>2.25</v>
      </c>
      <c r="E51" s="10" t="n">
        <f aca="false">IFERROR(AVERAGEIFS(Rates_Daily!B$15:B$2892,Rates_Daily!$A$15:$A$2892,"&gt;="&amp;$A51,Rates_Daily!$A$15:$A$2892,"&lt;="&amp;EOMONTH($A51,0)),"")</f>
        <v>2.47238095238095</v>
      </c>
      <c r="F51" s="14" t="n">
        <v>2.4</v>
      </c>
      <c r="G51" s="14" t="n">
        <v>2.42</v>
      </c>
      <c r="H51" s="14" t="n">
        <v>2.51</v>
      </c>
      <c r="I51" s="14" t="n">
        <v>2.58</v>
      </c>
      <c r="J51" s="14" t="n">
        <v>2.59</v>
      </c>
      <c r="K51" s="10" t="n">
        <f aca="false">IFERROR(INDEX(Rates_Daily!F$15:F$2892,MATCH(_xlfn.MAXIFS(Rates_Daily!$A$15:$A$2892,Rates_Daily!$A$15:$A$2892,"&lt;="&amp;EOMONTH($A51,0),Rates_Daily!F$15:F$2892,"&gt;=-1E+99"),Rates_Daily!$A$15:$A$2892,0)),"")</f>
        <v>-0.4</v>
      </c>
      <c r="L51" s="10" t="str">
        <f aca="false">IFERROR(AVERAGEIFS(Rates_Daily!E$15:E$2892,Rates_Daily!$A$15:$A$2892,"&gt;="&amp;$A51,Rates_Daily!$A$15:$A$2892,"&lt;="&amp;EOMONTH($A51,0)),"")</f>
        <v/>
      </c>
      <c r="M51" s="14" t="n">
        <v>-0.3663636</v>
      </c>
      <c r="N51" s="14" t="n">
        <v>-0.308</v>
      </c>
      <c r="O51" s="14" t="n">
        <v>-0.2363636</v>
      </c>
      <c r="P51" s="14" t="n">
        <v>-0.1158636</v>
      </c>
      <c r="Q51" s="14" t="n">
        <v>-0.308</v>
      </c>
      <c r="R51" s="14" t="n">
        <v>0.75</v>
      </c>
      <c r="S51" s="14" t="n">
        <v>0.7053</v>
      </c>
      <c r="T51" s="10" t="n">
        <f aca="false">IFERROR(AVERAGEIFS(Rates_Daily!I$15:I$2892,Rates_Daily!$A$15:$A$2892,"&gt;="&amp;$A51,Rates_Daily!$A$15:$A$2892,"&lt;="&amp;EOMONTH($A51,0)),"")</f>
        <v>0.704579945420922</v>
      </c>
      <c r="U51" s="10" t="n">
        <f aca="false">IFERROR(AVERAGEIFS(Rates_Daily!J$15:J$2892,Rates_Daily!$A$15:$A$2892,"&gt;="&amp;$A51,Rates_Daily!$A$15:$A$2892,"&lt;="&amp;EOMONTH($A51,0)),"")</f>
        <v>0.711948177804749</v>
      </c>
      <c r="V51" s="10" t="n">
        <f aca="false">IFERROR(AVERAGEIFS(Rates_Daily!K$15:K$2892,Rates_Daily!$A$15:$A$2892,"&gt;="&amp;$A51,Rates_Daily!$A$15:$A$2892,"&lt;="&amp;EOMONTH($A51,0)),"")</f>
        <v>0.733055115308663</v>
      </c>
      <c r="W51" s="10" t="n">
        <f aca="false">IFERROR(AVERAGEIFS(Rates_Daily!L$15:L$2892,Rates_Daily!$A$15:$A$2892,"&gt;="&amp;$A51,Rates_Daily!$A$15:$A$2892,"&lt;="&amp;EOMONTH($A51,0)),"")</f>
        <v>0.781504065386549</v>
      </c>
      <c r="X51" s="14" t="n">
        <v>0.91822</v>
      </c>
      <c r="Y51" s="14" t="n">
        <v>0.75</v>
      </c>
      <c r="Z51" s="14" t="n">
        <v>0.74</v>
      </c>
      <c r="AA51" s="14" t="n">
        <v>0.861</v>
      </c>
      <c r="AB51" s="14" t="n">
        <v>0.933</v>
      </c>
      <c r="AC51" s="14" t="n">
        <v>0.998</v>
      </c>
      <c r="AD51" s="14" t="n">
        <v>1.26</v>
      </c>
      <c r="AE51" s="14" t="n">
        <v>1.75</v>
      </c>
      <c r="AF51" s="14" t="n">
        <v>1.75</v>
      </c>
      <c r="AG51" s="14" t="n">
        <v>1.87</v>
      </c>
      <c r="AH51" s="14" t="n">
        <v>1.86</v>
      </c>
      <c r="AI51" s="14" t="n">
        <v>1.91</v>
      </c>
      <c r="AJ51" s="14" t="n">
        <v>1.94</v>
      </c>
      <c r="AK51" s="14" t="n">
        <v>1.747</v>
      </c>
      <c r="AL51" s="14" t="n">
        <v>1.808</v>
      </c>
      <c r="AM51" s="14" t="n">
        <v>1.733</v>
      </c>
      <c r="AN51" s="14" t="n">
        <v>1.87</v>
      </c>
      <c r="AO51" s="10" t="n">
        <f aca="false">IFERROR(AVERAGEIFS(Rates_Daily!M$15:M$2892,Rates_Daily!$A$15:$A$2892,"&gt;="&amp;$A51,Rates_Daily!$A$15:$A$2892,"&lt;="&amp;EOMONTH($A51,0)),"")</f>
        <v>2.84613636363636</v>
      </c>
      <c r="AP51" s="10" t="n">
        <f aca="false">IFERROR(AVERAGEIFS(Rates_Daily!N$15:N$2892,Rates_Daily!$A$15:$A$2892,"&gt;="&amp;$A51,Rates_Daily!$A$15:$A$2892,"&lt;="&amp;EOMONTH($A51,0)),"")</f>
        <v>2.99840909090909</v>
      </c>
      <c r="AQ51" s="10" t="n">
        <f aca="false">IFERROR(AVERAGEIFS(Rates_Daily!O$15:O$2892,Rates_Daily!$A$15:$A$2892,"&gt;="&amp;$A51,Rates_Daily!$A$15:$A$2892,"&lt;="&amp;EOMONTH($A51,0)),"")</f>
        <v>3.11331818181818</v>
      </c>
      <c r="AR51" s="10" t="n">
        <f aca="false">IFERROR(AVERAGEIFS(Rates_Daily!P$15:P$2892,Rates_Daily!$A$15:$A$2892,"&gt;="&amp;$A51,Rates_Daily!$A$15:$A$2892,"&lt;="&amp;EOMONTH($A51,0)),"")</f>
        <v>3.3505</v>
      </c>
      <c r="AU51" s="14" t="n">
        <v>3.24</v>
      </c>
      <c r="AV51" s="14" t="n">
        <v>6.4</v>
      </c>
      <c r="AW51" s="14" t="n">
        <v>6.5</v>
      </c>
      <c r="AX51" s="14" t="n">
        <v>0.03</v>
      </c>
      <c r="AY51" s="14" t="n">
        <v>-0.064</v>
      </c>
      <c r="AZ51" s="16" t="str">
        <f aca="false">IF(EOMONTH($A51,0)&gt;MAX(Rates_Daily!$A$15:$A$2892),"partial month","complete")</f>
        <v>complete</v>
      </c>
    </row>
    <row r="52" customFormat="false" ht="15" hidden="false" customHeight="false" outlineLevel="0" collapsed="false">
      <c r="A52" s="17" t="n">
        <v>43497</v>
      </c>
      <c r="B52" s="14" t="n">
        <v>2.4</v>
      </c>
      <c r="C52" s="10" t="n">
        <f aca="false">IFERROR(INDEX(Rates_Daily!C$15:C$2892,MATCH(_xlfn.MAXIFS(Rates_Daily!$A$15:$A$2892,Rates_Daily!$A$15:$A$2892,"&lt;="&amp;EOMONTH($A52,0),Rates_Daily!C$15:C$2892,"&gt;=-1E+99"),Rates_Daily!$A$15:$A$2892,0)),"")</f>
        <v>2.5</v>
      </c>
      <c r="D52" s="10" t="n">
        <f aca="false">IFERROR(INDEX(Rates_Daily!D$15:D$2892,MATCH(_xlfn.MAXIFS(Rates_Daily!$A$15:$A$2892,Rates_Daily!$A$15:$A$2892,"&lt;="&amp;EOMONTH($A52,0),Rates_Daily!D$15:D$2892,"&gt;=-1E+99"),Rates_Daily!$A$15:$A$2892,0)),"")</f>
        <v>2.25</v>
      </c>
      <c r="E52" s="10" t="n">
        <f aca="false">IFERROR(AVERAGEIFS(Rates_Daily!B$15:B$2892,Rates_Daily!$A$15:$A$2892,"&gt;="&amp;$A52,Rates_Daily!$A$15:$A$2892,"&lt;="&amp;EOMONTH($A52,0)),"")</f>
        <v>2.40421052631579</v>
      </c>
      <c r="F52" s="14" t="n">
        <v>2.43</v>
      </c>
      <c r="G52" s="14" t="n">
        <v>2.44</v>
      </c>
      <c r="H52" s="14" t="n">
        <v>2.5</v>
      </c>
      <c r="I52" s="14" t="n">
        <v>2.55</v>
      </c>
      <c r="J52" s="14" t="n">
        <v>2.49</v>
      </c>
      <c r="K52" s="10" t="n">
        <f aca="false">IFERROR(INDEX(Rates_Daily!F$15:F$2892,MATCH(_xlfn.MAXIFS(Rates_Daily!$A$15:$A$2892,Rates_Daily!$A$15:$A$2892,"&lt;="&amp;EOMONTH($A52,0),Rates_Daily!F$15:F$2892,"&gt;=-1E+99"),Rates_Daily!$A$15:$A$2892,0)),"")</f>
        <v>-0.4</v>
      </c>
      <c r="L52" s="10" t="str">
        <f aca="false">IFERROR(AVERAGEIFS(Rates_Daily!E$15:E$2892,Rates_Daily!$A$15:$A$2892,"&gt;="&amp;$A52,Rates_Daily!$A$15:$A$2892,"&lt;="&amp;EOMONTH($A52,0)),"")</f>
        <v/>
      </c>
      <c r="M52" s="14" t="n">
        <v>-0.3677</v>
      </c>
      <c r="N52" s="14" t="n">
        <v>-0.30845</v>
      </c>
      <c r="O52" s="14" t="n">
        <v>-0.2318</v>
      </c>
      <c r="P52" s="14" t="n">
        <v>-0.1084</v>
      </c>
      <c r="Q52" s="14" t="n">
        <v>-0.30845</v>
      </c>
      <c r="R52" s="14" t="n">
        <v>0.75</v>
      </c>
      <c r="S52" s="14" t="n">
        <v>0.7061</v>
      </c>
      <c r="T52" s="10" t="n">
        <f aca="false">IFERROR(AVERAGEIFS(Rates_Daily!I$15:I$2892,Rates_Daily!$A$15:$A$2892,"&gt;="&amp;$A52,Rates_Daily!$A$15:$A$2892,"&lt;="&amp;EOMONTH($A52,0)),"")</f>
        <v>0.704491710462257</v>
      </c>
      <c r="U52" s="10" t="n">
        <f aca="false">IFERROR(AVERAGEIFS(Rates_Daily!J$15:J$2892,Rates_Daily!$A$15:$A$2892,"&gt;="&amp;$A52,Rates_Daily!$A$15:$A$2892,"&lt;="&amp;EOMONTH($A52,0)),"")</f>
        <v>0.704820516373535</v>
      </c>
      <c r="V52" s="10" t="n">
        <f aca="false">IFERROR(AVERAGEIFS(Rates_Daily!K$15:K$2892,Rates_Daily!$A$15:$A$2892,"&gt;="&amp;$A52,Rates_Daily!$A$15:$A$2892,"&lt;="&amp;EOMONTH($A52,0)),"")</f>
        <v>0.718482271476985</v>
      </c>
      <c r="W52" s="10" t="n">
        <f aca="false">IFERROR(AVERAGEIFS(Rates_Daily!L$15:L$2892,Rates_Daily!$A$15:$A$2892,"&gt;="&amp;$A52,Rates_Daily!$A$15:$A$2892,"&lt;="&amp;EOMONTH($A52,0)),"")</f>
        <v>0.754508412866616</v>
      </c>
      <c r="X52" s="14" t="n">
        <v>0.87598</v>
      </c>
      <c r="Y52" s="14" t="n">
        <v>0.75</v>
      </c>
      <c r="Z52" s="14" t="n">
        <v>0.75</v>
      </c>
      <c r="AA52" s="14" t="n">
        <v>1.006</v>
      </c>
      <c r="AB52" s="14" t="n">
        <v>1.026</v>
      </c>
      <c r="AC52" s="14" t="n">
        <v>1.055</v>
      </c>
      <c r="AD52" s="14" t="n">
        <v>1.27</v>
      </c>
      <c r="AE52" s="14" t="n">
        <v>1.75</v>
      </c>
      <c r="AF52" s="14" t="n">
        <v>1.76</v>
      </c>
      <c r="AG52" s="14" t="n">
        <v>1.87</v>
      </c>
      <c r="AH52" s="14" t="n">
        <v>1.86</v>
      </c>
      <c r="AI52" s="14" t="n">
        <v>1.91</v>
      </c>
      <c r="AJ52" s="14" t="n">
        <v>1.94</v>
      </c>
      <c r="AK52" s="14" t="n">
        <v>1.758</v>
      </c>
      <c r="AL52" s="14" t="n">
        <v>1.831</v>
      </c>
      <c r="AM52" s="14" t="n">
        <v>1.76</v>
      </c>
      <c r="AN52" s="14" t="n">
        <v>1.87</v>
      </c>
      <c r="AO52" s="10" t="n">
        <f aca="false">IFERROR(AVERAGEIFS(Rates_Daily!M$15:M$2892,Rates_Daily!$A$15:$A$2892,"&gt;="&amp;$A52,Rates_Daily!$A$15:$A$2892,"&lt;="&amp;EOMONTH($A52,0)),"")</f>
        <v>2.71741176470588</v>
      </c>
      <c r="AP52" s="10" t="n">
        <f aca="false">IFERROR(AVERAGEIFS(Rates_Daily!N$15:N$2892,Rates_Daily!$A$15:$A$2892,"&gt;="&amp;$A52,Rates_Daily!$A$15:$A$2892,"&lt;="&amp;EOMONTH($A52,0)),"")</f>
        <v>2.81182352941176</v>
      </c>
      <c r="AQ52" s="10" t="n">
        <f aca="false">IFERROR(AVERAGEIFS(Rates_Daily!O$15:O$2892,Rates_Daily!$A$15:$A$2892,"&gt;="&amp;$A52,Rates_Daily!$A$15:$A$2892,"&lt;="&amp;EOMONTH($A52,0)),"")</f>
        <v>2.91023529411765</v>
      </c>
      <c r="AR52" s="10" t="n">
        <f aca="false">IFERROR(AVERAGEIFS(Rates_Daily!P$15:P$2892,Rates_Daily!$A$15:$A$2892,"&gt;="&amp;$A52,Rates_Daily!$A$15:$A$2892,"&lt;="&amp;EOMONTH($A52,0)),"")</f>
        <v>3.11641176470588</v>
      </c>
      <c r="AU52" s="14" t="n">
        <v>2.91</v>
      </c>
      <c r="AV52" s="14" t="n">
        <v>6.4</v>
      </c>
      <c r="AW52" s="14" t="n">
        <v>6.5</v>
      </c>
      <c r="AX52" s="14" t="n">
        <v>0.03</v>
      </c>
      <c r="AY52" s="14" t="n">
        <v>-0.055</v>
      </c>
      <c r="AZ52" s="16" t="str">
        <f aca="false">IF(EOMONTH($A52,0)&gt;MAX(Rates_Daily!$A$15:$A$2892),"partial month","complete")</f>
        <v>complete</v>
      </c>
    </row>
    <row r="53" customFormat="false" ht="15" hidden="false" customHeight="false" outlineLevel="0" collapsed="false">
      <c r="A53" s="17" t="n">
        <v>43525</v>
      </c>
      <c r="B53" s="14" t="n">
        <v>2.41</v>
      </c>
      <c r="C53" s="10" t="n">
        <f aca="false">IFERROR(INDEX(Rates_Daily!C$15:C$2892,MATCH(_xlfn.MAXIFS(Rates_Daily!$A$15:$A$2892,Rates_Daily!$A$15:$A$2892,"&lt;="&amp;EOMONTH($A53,0),Rates_Daily!C$15:C$2892,"&gt;=-1E+99"),Rates_Daily!$A$15:$A$2892,0)),"")</f>
        <v>2.5</v>
      </c>
      <c r="D53" s="10" t="n">
        <f aca="false">IFERROR(INDEX(Rates_Daily!D$15:D$2892,MATCH(_xlfn.MAXIFS(Rates_Daily!$A$15:$A$2892,Rates_Daily!$A$15:$A$2892,"&lt;="&amp;EOMONTH($A53,0),Rates_Daily!D$15:D$2892,"&gt;=-1E+99"),Rates_Daily!$A$15:$A$2892,0)),"")</f>
        <v>2.25</v>
      </c>
      <c r="E53" s="10" t="n">
        <f aca="false">IFERROR(AVERAGEIFS(Rates_Daily!B$15:B$2892,Rates_Daily!$A$15:$A$2892,"&gt;="&amp;$A53,Rates_Daily!$A$15:$A$2892,"&lt;="&amp;EOMONTH($A53,0)),"")</f>
        <v>2.41714285714286</v>
      </c>
      <c r="F53" s="14" t="n">
        <v>2.45</v>
      </c>
      <c r="G53" s="14" t="n">
        <v>2.45</v>
      </c>
      <c r="H53" s="14" t="n">
        <v>2.51</v>
      </c>
      <c r="I53" s="14" t="n">
        <v>2.49</v>
      </c>
      <c r="J53" s="14" t="n">
        <v>2.48</v>
      </c>
      <c r="K53" s="10" t="n">
        <f aca="false">IFERROR(INDEX(Rates_Daily!F$15:F$2892,MATCH(_xlfn.MAXIFS(Rates_Daily!$A$15:$A$2892,Rates_Daily!$A$15:$A$2892,"&lt;="&amp;EOMONTH($A53,0),Rates_Daily!F$15:F$2892,"&gt;=-1E+99"),Rates_Daily!$A$15:$A$2892,0)),"")</f>
        <v>-0.4</v>
      </c>
      <c r="L53" s="10" t="str">
        <f aca="false">IFERROR(AVERAGEIFS(Rates_Daily!E$15:E$2892,Rates_Daily!$A$15:$A$2892,"&gt;="&amp;$A53,Rates_Daily!$A$15:$A$2892,"&lt;="&amp;EOMONTH($A53,0)),"")</f>
        <v/>
      </c>
      <c r="M53" s="14" t="n">
        <v>-0.3674762</v>
      </c>
      <c r="N53" s="14" t="n">
        <v>-0.3091905</v>
      </c>
      <c r="O53" s="14" t="n">
        <v>-0.2302381</v>
      </c>
      <c r="P53" s="14" t="n">
        <v>-0.1087619</v>
      </c>
      <c r="Q53" s="14" t="n">
        <v>-0.309190476190476</v>
      </c>
      <c r="R53" s="14" t="n">
        <v>0.75</v>
      </c>
      <c r="S53" s="14" t="n">
        <v>0.7053</v>
      </c>
      <c r="T53" s="10" t="n">
        <f aca="false">IFERROR(AVERAGEIFS(Rates_Daily!I$15:I$2892,Rates_Daily!$A$15:$A$2892,"&gt;="&amp;$A53,Rates_Daily!$A$15:$A$2892,"&lt;="&amp;EOMONTH($A53,0)),"")</f>
        <v>0.702416596984376</v>
      </c>
      <c r="U53" s="10" t="n">
        <f aca="false">IFERROR(AVERAGEIFS(Rates_Daily!J$15:J$2892,Rates_Daily!$A$15:$A$2892,"&gt;="&amp;$A53,Rates_Daily!$A$15:$A$2892,"&lt;="&amp;EOMONTH($A53,0)),"")</f>
        <v>0.701773238774202</v>
      </c>
      <c r="V53" s="10" t="n">
        <f aca="false">IFERROR(AVERAGEIFS(Rates_Daily!K$15:K$2892,Rates_Daily!$A$15:$A$2892,"&gt;="&amp;$A53,Rates_Daily!$A$15:$A$2892,"&lt;="&amp;EOMONTH($A53,0)),"")</f>
        <v>0.708433717391339</v>
      </c>
      <c r="W53" s="10" t="n">
        <f aca="false">IFERROR(AVERAGEIFS(Rates_Daily!L$15:L$2892,Rates_Daily!$A$15:$A$2892,"&gt;="&amp;$A53,Rates_Daily!$A$15:$A$2892,"&lt;="&amp;EOMONTH($A53,0)),"")</f>
        <v>0.734233943619602</v>
      </c>
      <c r="X53" s="14" t="n">
        <v>0.84</v>
      </c>
      <c r="Y53" s="14" t="n">
        <v>0.82</v>
      </c>
      <c r="Z53" s="14" t="n">
        <v>0.85</v>
      </c>
      <c r="AA53" s="14" t="n">
        <v>1.06</v>
      </c>
      <c r="AB53" s="14" t="n">
        <v>1.082</v>
      </c>
      <c r="AC53" s="14" t="n">
        <v>1.121</v>
      </c>
      <c r="AD53" s="14" t="n">
        <v>1.34</v>
      </c>
      <c r="AE53" s="14" t="n">
        <v>1.75</v>
      </c>
      <c r="AF53" s="14" t="n">
        <v>1.76</v>
      </c>
      <c r="AG53" s="14" t="n">
        <v>1.9</v>
      </c>
      <c r="AH53" s="14" t="n">
        <v>1.87</v>
      </c>
      <c r="AI53" s="14" t="n">
        <v>1.91</v>
      </c>
      <c r="AJ53" s="14" t="n">
        <v>1.94</v>
      </c>
      <c r="AK53" s="14" t="n">
        <v>1.767</v>
      </c>
      <c r="AL53" s="14" t="n">
        <v>1.831</v>
      </c>
      <c r="AM53" s="14" t="n">
        <v>1.769</v>
      </c>
      <c r="AN53" s="14" t="n">
        <v>1.9</v>
      </c>
      <c r="AO53" s="10" t="n">
        <f aca="false">IFERROR(AVERAGEIFS(Rates_Daily!M$15:M$2892,Rates_Daily!$A$15:$A$2892,"&gt;="&amp;$A53,Rates_Daily!$A$15:$A$2892,"&lt;="&amp;EOMONTH($A53,0)),"")</f>
        <v>2.7884380952381</v>
      </c>
      <c r="AP53" s="10" t="n">
        <f aca="false">IFERROR(AVERAGEIFS(Rates_Daily!N$15:N$2892,Rates_Daily!$A$15:$A$2892,"&gt;="&amp;$A53,Rates_Daily!$A$15:$A$2892,"&lt;="&amp;EOMONTH($A53,0)),"")</f>
        <v>2.79064285714286</v>
      </c>
      <c r="AQ53" s="10" t="n">
        <f aca="false">IFERROR(AVERAGEIFS(Rates_Daily!O$15:O$2892,Rates_Daily!$A$15:$A$2892,"&gt;="&amp;$A53,Rates_Daily!$A$15:$A$2892,"&lt;="&amp;EOMONTH($A53,0)),"")</f>
        <v>2.85457142857143</v>
      </c>
      <c r="AR53" s="10" t="n">
        <f aca="false">IFERROR(AVERAGEIFS(Rates_Daily!P$15:P$2892,Rates_Daily!$A$15:$A$2892,"&gt;="&amp;$A53,Rates_Daily!$A$15:$A$2892,"&lt;="&amp;EOMONTH($A53,0)),"")</f>
        <v>3.06995238095238</v>
      </c>
      <c r="AU53" s="14" t="n">
        <v>3.08</v>
      </c>
      <c r="AV53" s="14" t="n">
        <v>6.4</v>
      </c>
      <c r="AW53" s="14" t="n">
        <v>6.5</v>
      </c>
      <c r="AX53" s="14" t="n">
        <v>0.05</v>
      </c>
      <c r="AY53" s="14" t="n">
        <v>-0.041</v>
      </c>
      <c r="AZ53" s="16" t="str">
        <f aca="false">IF(EOMONTH($A53,0)&gt;MAX(Rates_Daily!$A$15:$A$2892),"partial month","complete")</f>
        <v>complete</v>
      </c>
    </row>
    <row r="54" customFormat="false" ht="15" hidden="false" customHeight="false" outlineLevel="0" collapsed="false">
      <c r="A54" s="17" t="n">
        <v>43556</v>
      </c>
      <c r="B54" s="14" t="n">
        <v>2.42</v>
      </c>
      <c r="C54" s="10" t="n">
        <f aca="false">IFERROR(INDEX(Rates_Daily!C$15:C$2892,MATCH(_xlfn.MAXIFS(Rates_Daily!$A$15:$A$2892,Rates_Daily!$A$15:$A$2892,"&lt;="&amp;EOMONTH($A54,0),Rates_Daily!C$15:C$2892,"&gt;=-1E+99"),Rates_Daily!$A$15:$A$2892,0)),"")</f>
        <v>2.5</v>
      </c>
      <c r="D54" s="10" t="n">
        <f aca="false">IFERROR(INDEX(Rates_Daily!D$15:D$2892,MATCH(_xlfn.MAXIFS(Rates_Daily!$A$15:$A$2892,Rates_Daily!$A$15:$A$2892,"&lt;="&amp;EOMONTH($A54,0),Rates_Daily!D$15:D$2892,"&gt;=-1E+99"),Rates_Daily!$A$15:$A$2892,0)),"")</f>
        <v>2.25</v>
      </c>
      <c r="E54" s="10" t="n">
        <f aca="false">IFERROR(AVERAGEIFS(Rates_Daily!B$15:B$2892,Rates_Daily!$A$15:$A$2892,"&gt;="&amp;$A54,Rates_Daily!$A$15:$A$2892,"&lt;="&amp;EOMONTH($A54,0)),"")</f>
        <v>2.47619047619048</v>
      </c>
      <c r="F54" s="14" t="n">
        <v>2.43</v>
      </c>
      <c r="G54" s="14" t="n">
        <v>2.43</v>
      </c>
      <c r="H54" s="14" t="n">
        <v>2.46</v>
      </c>
      <c r="I54" s="14" t="n">
        <v>2.42</v>
      </c>
      <c r="J54" s="14" t="n">
        <v>2.47</v>
      </c>
      <c r="K54" s="10" t="n">
        <f aca="false">IFERROR(INDEX(Rates_Daily!F$15:F$2892,MATCH(_xlfn.MAXIFS(Rates_Daily!$A$15:$A$2892,Rates_Daily!$A$15:$A$2892,"&lt;="&amp;EOMONTH($A54,0),Rates_Daily!F$15:F$2892,"&gt;=-1E+99"),Rates_Daily!$A$15:$A$2892,0)),"")</f>
        <v>-0.4</v>
      </c>
      <c r="L54" s="10" t="str">
        <f aca="false">IFERROR(AVERAGEIFS(Rates_Daily!E$15:E$2892,Rates_Daily!$A$15:$A$2892,"&gt;="&amp;$A54,Rates_Daily!$A$15:$A$2892,"&lt;="&amp;EOMONTH($A54,0)),"")</f>
        <v/>
      </c>
      <c r="M54" s="14" t="n">
        <v>-0.36725</v>
      </c>
      <c r="N54" s="14" t="n">
        <v>-0.31045</v>
      </c>
      <c r="O54" s="14" t="n">
        <v>-0.23075</v>
      </c>
      <c r="P54" s="14" t="n">
        <v>-0.1122</v>
      </c>
      <c r="Q54" s="14" t="n">
        <v>-0.31045</v>
      </c>
      <c r="R54" s="14" t="n">
        <v>0.75</v>
      </c>
      <c r="S54" s="14" t="n">
        <v>0.7081</v>
      </c>
      <c r="T54" s="10" t="n">
        <f aca="false">IFERROR(AVERAGEIFS(Rates_Daily!I$15:I$2892,Rates_Daily!$A$15:$A$2892,"&gt;="&amp;$A54,Rates_Daily!$A$15:$A$2892,"&lt;="&amp;EOMONTH($A54,0)),"")</f>
        <v>0.706011791798308</v>
      </c>
      <c r="U54" s="10" t="n">
        <f aca="false">IFERROR(AVERAGEIFS(Rates_Daily!J$15:J$2892,Rates_Daily!$A$15:$A$2892,"&gt;="&amp;$A54,Rates_Daily!$A$15:$A$2892,"&lt;="&amp;EOMONTH($A54,0)),"")</f>
        <v>0.703894062381455</v>
      </c>
      <c r="V54" s="10" t="n">
        <f aca="false">IFERROR(AVERAGEIFS(Rates_Daily!K$15:K$2892,Rates_Daily!$A$15:$A$2892,"&gt;="&amp;$A54,Rates_Daily!$A$15:$A$2892,"&lt;="&amp;EOMONTH($A54,0)),"")</f>
        <v>0.71039960064126</v>
      </c>
      <c r="W54" s="10" t="n">
        <f aca="false">IFERROR(AVERAGEIFS(Rates_Daily!L$15:L$2892,Rates_Daily!$A$15:$A$2892,"&gt;="&amp;$A54,Rates_Daily!$A$15:$A$2892,"&lt;="&amp;EOMONTH($A54,0)),"")</f>
        <v>0.731898760649316</v>
      </c>
      <c r="X54" s="14" t="n">
        <v>0.82</v>
      </c>
      <c r="Y54" s="14" t="n">
        <v>1</v>
      </c>
      <c r="Z54" s="14" t="n">
        <v>1</v>
      </c>
      <c r="AA54" s="14" t="n">
        <v>1.101</v>
      </c>
      <c r="AB54" s="14" t="n">
        <v>1.145</v>
      </c>
      <c r="AC54" s="14" t="n">
        <v>1.218</v>
      </c>
      <c r="AD54" s="14" t="n">
        <v>1.4</v>
      </c>
      <c r="AE54" s="14" t="n">
        <v>1.75</v>
      </c>
      <c r="AF54" s="14" t="n">
        <v>1.75</v>
      </c>
      <c r="AG54" s="14" t="n">
        <v>1.86</v>
      </c>
      <c r="AH54" s="14" t="n">
        <v>1.84</v>
      </c>
      <c r="AI54" s="14" t="n">
        <v>1.86</v>
      </c>
      <c r="AJ54" s="14" t="n">
        <v>1.87</v>
      </c>
      <c r="AK54" s="14" t="n">
        <v>1.755</v>
      </c>
      <c r="AL54" s="14" t="n">
        <v>1.77</v>
      </c>
      <c r="AM54" s="14" t="n">
        <v>1.751</v>
      </c>
      <c r="AN54" s="14" t="n">
        <v>1.86</v>
      </c>
      <c r="AO54" s="10" t="n">
        <f aca="false">IFERROR(AVERAGEIFS(Rates_Daily!M$15:M$2892,Rates_Daily!$A$15:$A$2892,"&gt;="&amp;$A54,Rates_Daily!$A$15:$A$2892,"&lt;="&amp;EOMONTH($A54,0)),"")</f>
        <v>2.76213636363636</v>
      </c>
      <c r="AP54" s="10" t="n">
        <f aca="false">IFERROR(AVERAGEIFS(Rates_Daily!N$15:N$2892,Rates_Daily!$A$15:$A$2892,"&gt;="&amp;$A54,Rates_Daily!$A$15:$A$2892,"&lt;="&amp;EOMONTH($A54,0)),"")</f>
        <v>2.81304545454545</v>
      </c>
      <c r="AQ54" s="10" t="n">
        <f aca="false">IFERROR(AVERAGEIFS(Rates_Daily!O$15:O$2892,Rates_Daily!$A$15:$A$2892,"&gt;="&amp;$A54,Rates_Daily!$A$15:$A$2892,"&lt;="&amp;EOMONTH($A54,0)),"")</f>
        <v>2.86890909090909</v>
      </c>
      <c r="AR54" s="10" t="n">
        <f aca="false">IFERROR(AVERAGEIFS(Rates_Daily!P$15:P$2892,Rates_Daily!$A$15:$A$2892,"&gt;="&amp;$A54,Rates_Daily!$A$15:$A$2892,"&lt;="&amp;EOMONTH($A54,0)),"")</f>
        <v>3.08618181818182</v>
      </c>
      <c r="AU54" s="14" t="n">
        <v>3</v>
      </c>
      <c r="AV54" s="14" t="n">
        <v>6.4</v>
      </c>
      <c r="AW54" s="14" t="n">
        <v>6.5</v>
      </c>
      <c r="AX54" s="14" t="n">
        <v>0.05</v>
      </c>
      <c r="AY54" s="14" t="n">
        <v>-0.067</v>
      </c>
      <c r="AZ54" s="16" t="str">
        <f aca="false">IF(EOMONTH($A54,0)&gt;MAX(Rates_Daily!$A$15:$A$2892),"partial month","complete")</f>
        <v>complete</v>
      </c>
    </row>
    <row r="55" customFormat="false" ht="15" hidden="false" customHeight="false" outlineLevel="0" collapsed="false">
      <c r="A55" s="17" t="n">
        <v>43586</v>
      </c>
      <c r="B55" s="14" t="n">
        <v>2.39</v>
      </c>
      <c r="C55" s="10" t="n">
        <f aca="false">IFERROR(INDEX(Rates_Daily!C$15:C$2892,MATCH(_xlfn.MAXIFS(Rates_Daily!$A$15:$A$2892,Rates_Daily!$A$15:$A$2892,"&lt;="&amp;EOMONTH($A55,0),Rates_Daily!C$15:C$2892,"&gt;=-1E+99"),Rates_Daily!$A$15:$A$2892,0)),"")</f>
        <v>2.5</v>
      </c>
      <c r="D55" s="10" t="n">
        <f aca="false">IFERROR(INDEX(Rates_Daily!D$15:D$2892,MATCH(_xlfn.MAXIFS(Rates_Daily!$A$15:$A$2892,Rates_Daily!$A$15:$A$2892,"&lt;="&amp;EOMONTH($A55,0),Rates_Daily!D$15:D$2892,"&gt;=-1E+99"),Rates_Daily!$A$15:$A$2892,0)),"")</f>
        <v>2.25</v>
      </c>
      <c r="E55" s="10" t="n">
        <f aca="false">IFERROR(AVERAGEIFS(Rates_Daily!B$15:B$2892,Rates_Daily!$A$15:$A$2892,"&gt;="&amp;$A55,Rates_Daily!$A$15:$A$2892,"&lt;="&amp;EOMONTH($A55,0)),"")</f>
        <v>2.42045454545455</v>
      </c>
      <c r="F55" s="14" t="n">
        <v>2.4</v>
      </c>
      <c r="G55" s="14" t="n">
        <v>2.4</v>
      </c>
      <c r="H55" s="14" t="n">
        <v>2.42</v>
      </c>
      <c r="I55" s="14" t="n">
        <v>2.34</v>
      </c>
      <c r="J55" s="14" t="n">
        <v>2.44</v>
      </c>
      <c r="K55" s="10" t="n">
        <f aca="false">IFERROR(INDEX(Rates_Daily!F$15:F$2892,MATCH(_xlfn.MAXIFS(Rates_Daily!$A$15:$A$2892,Rates_Daily!$A$15:$A$2892,"&lt;="&amp;EOMONTH($A55,0),Rates_Daily!F$15:F$2892,"&gt;=-1E+99"),Rates_Daily!$A$15:$A$2892,0)),"")</f>
        <v>-0.4</v>
      </c>
      <c r="L55" s="10" t="str">
        <f aca="false">IFERROR(AVERAGEIFS(Rates_Daily!E$15:E$2892,Rates_Daily!$A$15:$A$2892,"&gt;="&amp;$A55,Rates_Daily!$A$15:$A$2892,"&lt;="&amp;EOMONTH($A55,0)),"")</f>
        <v/>
      </c>
      <c r="M55" s="14" t="n">
        <v>-0.369</v>
      </c>
      <c r="N55" s="14" t="n">
        <v>-0.3118636</v>
      </c>
      <c r="O55" s="14" t="n">
        <v>-0.2373636</v>
      </c>
      <c r="P55" s="14" t="n">
        <v>-0.1339091</v>
      </c>
      <c r="Q55" s="14" t="n">
        <v>-0.311863636363636</v>
      </c>
      <c r="R55" s="14" t="n">
        <v>0.75</v>
      </c>
      <c r="S55" s="14" t="n">
        <v>0.7094</v>
      </c>
      <c r="T55" s="10" t="n">
        <f aca="false">IFERROR(AVERAGEIFS(Rates_Daily!I$15:I$2892,Rates_Daily!$A$15:$A$2892,"&gt;="&amp;$A55,Rates_Daily!$A$15:$A$2892,"&lt;="&amp;EOMONTH($A55,0)),"")</f>
        <v>0.710099681810628</v>
      </c>
      <c r="U55" s="10" t="n">
        <f aca="false">IFERROR(AVERAGEIFS(Rates_Daily!J$15:J$2892,Rates_Daily!$A$15:$A$2892,"&gt;="&amp;$A55,Rates_Daily!$A$15:$A$2892,"&lt;="&amp;EOMONTH($A55,0)),"")</f>
        <v>0.712389604395011</v>
      </c>
      <c r="V55" s="10" t="n">
        <f aca="false">IFERROR(AVERAGEIFS(Rates_Daily!K$15:K$2892,Rates_Daily!$A$15:$A$2892,"&gt;="&amp;$A55,Rates_Daily!$A$15:$A$2892,"&lt;="&amp;EOMONTH($A55,0)),"")</f>
        <v>0.717936951061728</v>
      </c>
      <c r="W55" s="10" t="n">
        <f aca="false">IFERROR(AVERAGEIFS(Rates_Daily!L$15:L$2892,Rates_Daily!$A$15:$A$2892,"&gt;="&amp;$A55,Rates_Daily!$A$15:$A$2892,"&lt;="&amp;EOMONTH($A55,0)),"")</f>
        <v>0.730476775281685</v>
      </c>
      <c r="X55" s="14" t="n">
        <v>0.8</v>
      </c>
      <c r="Y55" s="14" t="n">
        <v>1</v>
      </c>
      <c r="Z55" s="14" t="n">
        <v>1</v>
      </c>
      <c r="AA55" s="14" t="n">
        <v>1.163</v>
      </c>
      <c r="AB55" s="14" t="n">
        <v>1.207</v>
      </c>
      <c r="AC55" s="14" t="n">
        <v>1.235</v>
      </c>
      <c r="AD55" s="14" t="n">
        <v>1.46</v>
      </c>
      <c r="AE55" s="14" t="n">
        <v>1.75</v>
      </c>
      <c r="AF55" s="14" t="n">
        <v>1.75</v>
      </c>
      <c r="AG55" s="14" t="n">
        <v>1.84</v>
      </c>
      <c r="AH55" s="14" t="n">
        <v>1.8</v>
      </c>
      <c r="AI55" s="14" t="n">
        <v>1.82</v>
      </c>
      <c r="AJ55" s="14" t="n">
        <v>1.83</v>
      </c>
      <c r="AK55" s="14" t="n">
        <v>1.718</v>
      </c>
      <c r="AL55" s="14" t="n">
        <v>1.715</v>
      </c>
      <c r="AM55" s="14" t="n">
        <v>1.711</v>
      </c>
      <c r="AN55" s="14" t="n">
        <v>1.84</v>
      </c>
      <c r="AO55" s="10" t="n">
        <f aca="false">IFERROR(AVERAGEIFS(Rates_Daily!M$15:M$2892,Rates_Daily!$A$15:$A$2892,"&gt;="&amp;$A55,Rates_Daily!$A$15:$A$2892,"&lt;="&amp;EOMONTH($A55,0)),"")</f>
        <v>2.76309523809524</v>
      </c>
      <c r="AP55" s="10" t="n">
        <f aca="false">IFERROR(AVERAGEIFS(Rates_Daily!N$15:N$2892,Rates_Daily!$A$15:$A$2892,"&gt;="&amp;$A55,Rates_Daily!$A$15:$A$2892,"&lt;="&amp;EOMONTH($A55,0)),"")</f>
        <v>2.90657142857143</v>
      </c>
      <c r="AQ55" s="10" t="n">
        <f aca="false">IFERROR(AVERAGEIFS(Rates_Daily!O$15:O$2892,Rates_Daily!$A$15:$A$2892,"&gt;="&amp;$A55,Rates_Daily!$A$15:$A$2892,"&lt;="&amp;EOMONTH($A55,0)),"")</f>
        <v>2.95328571428571</v>
      </c>
      <c r="AR55" s="10" t="n">
        <f aca="false">IFERROR(AVERAGEIFS(Rates_Daily!P$15:P$2892,Rates_Daily!$A$15:$A$2892,"&gt;="&amp;$A55,Rates_Daily!$A$15:$A$2892,"&lt;="&amp;EOMONTH($A55,0)),"")</f>
        <v>3.17333333333333</v>
      </c>
      <c r="AU55" s="14" t="n">
        <v>3.15</v>
      </c>
      <c r="AV55" s="14" t="n">
        <v>6.4</v>
      </c>
      <c r="AW55" s="14" t="n">
        <v>6.5</v>
      </c>
      <c r="AX55" s="14" t="n">
        <v>0.049</v>
      </c>
      <c r="AY55" s="14" t="n">
        <v>-0.049</v>
      </c>
      <c r="AZ55" s="16" t="str">
        <f aca="false">IF(EOMONTH($A55,0)&gt;MAX(Rates_Daily!$A$15:$A$2892),"partial month","complete")</f>
        <v>complete</v>
      </c>
    </row>
    <row r="56" customFormat="false" ht="15" hidden="false" customHeight="false" outlineLevel="0" collapsed="false">
      <c r="A56" s="17" t="n">
        <v>43617</v>
      </c>
      <c r="B56" s="14" t="n">
        <v>2.38</v>
      </c>
      <c r="C56" s="10" t="n">
        <f aca="false">IFERROR(INDEX(Rates_Daily!C$15:C$2892,MATCH(_xlfn.MAXIFS(Rates_Daily!$A$15:$A$2892,Rates_Daily!$A$15:$A$2892,"&lt;="&amp;EOMONTH($A56,0),Rates_Daily!C$15:C$2892,"&gt;=-1E+99"),Rates_Daily!$A$15:$A$2892,0)),"")</f>
        <v>2.5</v>
      </c>
      <c r="D56" s="10" t="n">
        <f aca="false">IFERROR(INDEX(Rates_Daily!D$15:D$2892,MATCH(_xlfn.MAXIFS(Rates_Daily!$A$15:$A$2892,Rates_Daily!$A$15:$A$2892,"&lt;="&amp;EOMONTH($A56,0),Rates_Daily!D$15:D$2892,"&gt;=-1E+99"),Rates_Daily!$A$15:$A$2892,0)),"")</f>
        <v>2.25</v>
      </c>
      <c r="E56" s="10" t="n">
        <f aca="false">IFERROR(AVERAGEIFS(Rates_Daily!B$15:B$2892,Rates_Daily!$A$15:$A$2892,"&gt;="&amp;$A56,Rates_Daily!$A$15:$A$2892,"&lt;="&amp;EOMONTH($A56,0)),"")</f>
        <v>2.393</v>
      </c>
      <c r="F56" s="14" t="n">
        <v>2.22</v>
      </c>
      <c r="G56" s="14" t="n">
        <v>2.22</v>
      </c>
      <c r="H56" s="14" t="n">
        <v>2.17</v>
      </c>
      <c r="I56" s="14" t="n">
        <v>2</v>
      </c>
      <c r="J56" s="14" t="n">
        <v>2.3</v>
      </c>
      <c r="K56" s="10" t="n">
        <f aca="false">IFERROR(INDEX(Rates_Daily!F$15:F$2892,MATCH(_xlfn.MAXIFS(Rates_Daily!$A$15:$A$2892,Rates_Daily!$A$15:$A$2892,"&lt;="&amp;EOMONTH($A56,0),Rates_Daily!F$15:F$2892,"&gt;=-1E+99"),Rates_Daily!$A$15:$A$2892,0)),"")</f>
        <v>-0.4</v>
      </c>
      <c r="L56" s="10" t="str">
        <f aca="false">IFERROR(AVERAGEIFS(Rates_Daily!E$15:E$2892,Rates_Daily!$A$15:$A$2892,"&gt;="&amp;$A56,Rates_Daily!$A$15:$A$2892,"&lt;="&amp;EOMONTH($A56,0)),"")</f>
        <v/>
      </c>
      <c r="M56" s="14" t="n">
        <v>-0.3848</v>
      </c>
      <c r="N56" s="14" t="n">
        <v>-0.3289</v>
      </c>
      <c r="O56" s="14" t="n">
        <v>-0.279</v>
      </c>
      <c r="P56" s="14" t="n">
        <v>-0.19025</v>
      </c>
      <c r="Q56" s="14" t="n">
        <v>-0.3289</v>
      </c>
      <c r="R56" s="14" t="n">
        <v>0.75</v>
      </c>
      <c r="S56" s="14" t="n">
        <v>0.7085</v>
      </c>
      <c r="T56" s="10" t="n">
        <f aca="false">IFERROR(AVERAGEIFS(Rates_Daily!I$15:I$2892,Rates_Daily!$A$15:$A$2892,"&gt;="&amp;$A56,Rates_Daily!$A$15:$A$2892,"&lt;="&amp;EOMONTH($A56,0)),"")</f>
        <v>0.709156828122557</v>
      </c>
      <c r="U56" s="10" t="n">
        <f aca="false">IFERROR(AVERAGEIFS(Rates_Daily!J$15:J$2892,Rates_Daily!$A$15:$A$2892,"&gt;="&amp;$A56,Rates_Daily!$A$15:$A$2892,"&lt;="&amp;EOMONTH($A56,0)),"")</f>
        <v>0.708932465570985</v>
      </c>
      <c r="V56" s="10" t="n">
        <f aca="false">IFERROR(AVERAGEIFS(Rates_Daily!K$15:K$2892,Rates_Daily!$A$15:$A$2892,"&gt;="&amp;$A56,Rates_Daily!$A$15:$A$2892,"&lt;="&amp;EOMONTH($A56,0)),"")</f>
        <v>0.698814012300184</v>
      </c>
      <c r="W56" s="10" t="n">
        <f aca="false">IFERROR(AVERAGEIFS(Rates_Daily!L$15:L$2892,Rates_Daily!$A$15:$A$2892,"&gt;="&amp;$A56,Rates_Daily!$A$15:$A$2892,"&lt;="&amp;EOMONTH($A56,0)),"")</f>
        <v>0.670332914498066</v>
      </c>
      <c r="X56" s="14" t="n">
        <v>0.78</v>
      </c>
      <c r="Y56" s="14" t="n">
        <v>1.08</v>
      </c>
      <c r="Z56" s="14" t="n">
        <v>1.18</v>
      </c>
      <c r="AA56" s="14" t="n">
        <v>1.086</v>
      </c>
      <c r="AB56" s="14" t="n">
        <v>1.131</v>
      </c>
      <c r="AC56" s="14" t="n">
        <v>1.159</v>
      </c>
      <c r="AD56" s="14" t="n">
        <v>1.51</v>
      </c>
      <c r="AE56" s="14" t="n">
        <v>1.75</v>
      </c>
      <c r="AF56" s="14" t="n">
        <v>1.76</v>
      </c>
      <c r="AG56" s="14" t="n">
        <v>1.8</v>
      </c>
      <c r="AH56" s="14" t="n">
        <v>1.72</v>
      </c>
      <c r="AI56" s="14" t="n">
        <v>1.72</v>
      </c>
      <c r="AJ56" s="14" t="n">
        <v>1.71</v>
      </c>
      <c r="AK56" s="14" t="n">
        <v>1.596</v>
      </c>
      <c r="AL56" s="14" t="n">
        <v>1.566</v>
      </c>
      <c r="AM56" s="14" t="n">
        <v>1.56</v>
      </c>
      <c r="AN56" s="14" t="n">
        <v>1.8</v>
      </c>
      <c r="AO56" s="10" t="n">
        <f aca="false">IFERROR(AVERAGEIFS(Rates_Daily!M$15:M$2892,Rates_Daily!$A$15:$A$2892,"&gt;="&amp;$A56,Rates_Daily!$A$15:$A$2892,"&lt;="&amp;EOMONTH($A56,0)),"")</f>
        <v>2.8291052631579</v>
      </c>
      <c r="AP56" s="10" t="n">
        <f aca="false">IFERROR(AVERAGEIFS(Rates_Daily!N$15:N$2892,Rates_Daily!$A$15:$A$2892,"&gt;="&amp;$A56,Rates_Daily!$A$15:$A$2892,"&lt;="&amp;EOMONTH($A56,0)),"")</f>
        <v>2.88594736842105</v>
      </c>
      <c r="AQ56" s="10" t="n">
        <f aca="false">IFERROR(AVERAGEIFS(Rates_Daily!O$15:O$2892,Rates_Daily!$A$15:$A$2892,"&gt;="&amp;$A56,Rates_Daily!$A$15:$A$2892,"&lt;="&amp;EOMONTH($A56,0)),"")</f>
        <v>2.93589473684211</v>
      </c>
      <c r="AR56" s="10" t="n">
        <f aca="false">IFERROR(AVERAGEIFS(Rates_Daily!P$15:P$2892,Rates_Daily!$A$15:$A$2892,"&gt;="&amp;$A56,Rates_Daily!$A$15:$A$2892,"&lt;="&amp;EOMONTH($A56,0)),"")</f>
        <v>3.191</v>
      </c>
      <c r="AU56" s="14" t="n">
        <v>3.6</v>
      </c>
      <c r="AV56" s="14" t="n">
        <v>6.4</v>
      </c>
      <c r="AW56" s="14" t="n">
        <v>6.5</v>
      </c>
      <c r="AX56" s="14" t="n">
        <v>0.049</v>
      </c>
      <c r="AY56" s="14" t="n">
        <v>-0.062</v>
      </c>
      <c r="AZ56" s="16" t="str">
        <f aca="false">IF(EOMONTH($A56,0)&gt;MAX(Rates_Daily!$A$15:$A$2892),"partial month","complete")</f>
        <v>complete</v>
      </c>
    </row>
    <row r="57" customFormat="false" ht="15" hidden="false" customHeight="false" outlineLevel="0" collapsed="false">
      <c r="A57" s="17" t="n">
        <v>43647</v>
      </c>
      <c r="B57" s="14" t="n">
        <v>2.4</v>
      </c>
      <c r="C57" s="10" t="n">
        <f aca="false">IFERROR(INDEX(Rates_Daily!C$15:C$2892,MATCH(_xlfn.MAXIFS(Rates_Daily!$A$15:$A$2892,Rates_Daily!$A$15:$A$2892,"&lt;="&amp;EOMONTH($A57,0),Rates_Daily!C$15:C$2892,"&gt;=-1E+99"),Rates_Daily!$A$15:$A$2892,0)),"")</f>
        <v>2.5</v>
      </c>
      <c r="D57" s="10" t="n">
        <f aca="false">IFERROR(INDEX(Rates_Daily!D$15:D$2892,MATCH(_xlfn.MAXIFS(Rates_Daily!$A$15:$A$2892,Rates_Daily!$A$15:$A$2892,"&lt;="&amp;EOMONTH($A57,0),Rates_Daily!D$15:D$2892,"&gt;=-1E+99"),Rates_Daily!$A$15:$A$2892,0)),"")</f>
        <v>2.25</v>
      </c>
      <c r="E57" s="10" t="n">
        <f aca="false">IFERROR(AVERAGEIFS(Rates_Daily!B$15:B$2892,Rates_Daily!$A$15:$A$2892,"&gt;="&amp;$A57,Rates_Daily!$A$15:$A$2892,"&lt;="&amp;EOMONTH($A57,0)),"")</f>
        <v>2.44954545454545</v>
      </c>
      <c r="F57" s="14" t="n">
        <v>2.15</v>
      </c>
      <c r="G57" s="14" t="n">
        <v>2.15</v>
      </c>
      <c r="H57" s="14" t="n">
        <v>2.08</v>
      </c>
      <c r="I57" s="14" t="n">
        <v>1.96</v>
      </c>
      <c r="J57" s="14" t="n">
        <v>2.22</v>
      </c>
      <c r="K57" s="10" t="n">
        <f aca="false">IFERROR(INDEX(Rates_Daily!F$15:F$2892,MATCH(_xlfn.MAXIFS(Rates_Daily!$A$15:$A$2892,Rates_Daily!$A$15:$A$2892,"&lt;="&amp;EOMONTH($A57,0),Rates_Daily!F$15:F$2892,"&gt;=-1E+99"),Rates_Daily!$A$15:$A$2892,0)),"")</f>
        <v>-0.4</v>
      </c>
      <c r="L57" s="10" t="str">
        <f aca="false">IFERROR(AVERAGEIFS(Rates_Daily!E$15:E$2892,Rates_Daily!$A$15:$A$2892,"&gt;="&amp;$A57,Rates_Daily!$A$15:$A$2892,"&lt;="&amp;EOMONTH($A57,0)),"")</f>
        <v/>
      </c>
      <c r="M57" s="14" t="n">
        <v>-0.3951304</v>
      </c>
      <c r="N57" s="14" t="n">
        <v>-0.3648696</v>
      </c>
      <c r="O57" s="14" t="n">
        <v>-0.3473913</v>
      </c>
      <c r="P57" s="14" t="n">
        <v>-0.2833043</v>
      </c>
      <c r="Q57" s="14" t="n">
        <v>-0.364869565217391</v>
      </c>
      <c r="R57" s="14" t="n">
        <v>0.75</v>
      </c>
      <c r="S57" s="14" t="n">
        <v>0.709</v>
      </c>
      <c r="T57" s="10" t="n">
        <f aca="false">IFERROR(AVERAGEIFS(Rates_Daily!I$15:I$2892,Rates_Daily!$A$15:$A$2892,"&gt;="&amp;$A57,Rates_Daily!$A$15:$A$2892,"&lt;="&amp;EOMONTH($A57,0)),"")</f>
        <v>0.70745661991594</v>
      </c>
      <c r="U57" s="10" t="n">
        <f aca="false">IFERROR(AVERAGEIFS(Rates_Daily!J$15:J$2892,Rates_Daily!$A$15:$A$2892,"&gt;="&amp;$A57,Rates_Daily!$A$15:$A$2892,"&lt;="&amp;EOMONTH($A57,0)),"")</f>
        <v>0.694188561855407</v>
      </c>
      <c r="V57" s="10" t="n">
        <f aca="false">IFERROR(AVERAGEIFS(Rates_Daily!K$15:K$2892,Rates_Daily!$A$15:$A$2892,"&gt;="&amp;$A57,Rates_Daily!$A$15:$A$2892,"&lt;="&amp;EOMONTH($A57,0)),"")</f>
        <v>0.653321008426212</v>
      </c>
      <c r="W57" s="10" t="n">
        <f aca="false">IFERROR(AVERAGEIFS(Rates_Daily!L$15:L$2892,Rates_Daily!$A$15:$A$2892,"&gt;="&amp;$A57,Rates_Daily!$A$15:$A$2892,"&lt;="&amp;EOMONTH($A57,0)),"")</f>
        <v>0.581661012119694</v>
      </c>
      <c r="X57" s="14" t="n">
        <v>0.77</v>
      </c>
      <c r="Y57" s="14" t="n">
        <v>1.25</v>
      </c>
      <c r="Z57" s="14" t="n">
        <v>1.25</v>
      </c>
      <c r="AA57" s="14" t="n">
        <v>1.21</v>
      </c>
      <c r="AB57" s="14" t="n">
        <v>1.271</v>
      </c>
      <c r="AC57" s="14" t="n">
        <v>1.259</v>
      </c>
      <c r="AD57" s="14" t="n">
        <v>1.57</v>
      </c>
      <c r="AE57" s="14" t="n">
        <v>1.5</v>
      </c>
      <c r="AF57" s="14" t="n">
        <v>1.63</v>
      </c>
      <c r="AG57" s="14" t="n">
        <v>1.68</v>
      </c>
      <c r="AH57" s="14" t="n">
        <v>1.63</v>
      </c>
      <c r="AI57" s="14" t="n">
        <v>1.61</v>
      </c>
      <c r="AJ57" s="14" t="n">
        <v>1.58</v>
      </c>
      <c r="AK57" s="14" t="n">
        <v>1.516</v>
      </c>
      <c r="AL57" s="14" t="n">
        <v>1.467</v>
      </c>
      <c r="AM57" s="14" t="n">
        <v>1.478</v>
      </c>
      <c r="AN57" s="14" t="n">
        <v>1.68</v>
      </c>
      <c r="AO57" s="10" t="n">
        <f aca="false">IFERROR(AVERAGEIFS(Rates_Daily!M$15:M$2892,Rates_Daily!$A$15:$A$2892,"&gt;="&amp;$A57,Rates_Daily!$A$15:$A$2892,"&lt;="&amp;EOMONTH($A57,0)),"")</f>
        <v>2.54308695652174</v>
      </c>
      <c r="AP57" s="10" t="n">
        <f aca="false">IFERROR(AVERAGEIFS(Rates_Daily!N$15:N$2892,Rates_Daily!$A$15:$A$2892,"&gt;="&amp;$A57,Rates_Daily!$A$15:$A$2892,"&lt;="&amp;EOMONTH($A57,0)),"")</f>
        <v>2.62339130434783</v>
      </c>
      <c r="AQ57" s="10" t="n">
        <f aca="false">IFERROR(AVERAGEIFS(Rates_Daily!O$15:O$2892,Rates_Daily!$A$15:$A$2892,"&gt;="&amp;$A57,Rates_Daily!$A$15:$A$2892,"&lt;="&amp;EOMONTH($A57,0)),"")</f>
        <v>2.713</v>
      </c>
      <c r="AR57" s="10" t="n">
        <f aca="false">IFERROR(AVERAGEIFS(Rates_Daily!P$15:P$2892,Rates_Daily!$A$15:$A$2892,"&gt;="&amp;$A57,Rates_Daily!$A$15:$A$2892,"&lt;="&amp;EOMONTH($A57,0)),"")</f>
        <v>3.09473913043478</v>
      </c>
      <c r="AU57" s="14" t="n">
        <v>3.16</v>
      </c>
      <c r="AV57" s="14" t="n">
        <v>6.4</v>
      </c>
      <c r="AW57" s="14" t="n">
        <v>6.5</v>
      </c>
      <c r="AX57" s="14" t="n">
        <v>0.049</v>
      </c>
      <c r="AY57" s="14" t="n">
        <v>-0.071</v>
      </c>
      <c r="AZ57" s="16" t="str">
        <f aca="false">IF(EOMONTH($A57,0)&gt;MAX(Rates_Daily!$A$15:$A$2892),"partial month","complete")</f>
        <v>complete</v>
      </c>
    </row>
    <row r="58" customFormat="false" ht="15" hidden="false" customHeight="false" outlineLevel="0" collapsed="false">
      <c r="A58" s="17" t="n">
        <v>43678</v>
      </c>
      <c r="B58" s="14" t="n">
        <v>2.13</v>
      </c>
      <c r="C58" s="10" t="n">
        <f aca="false">IFERROR(INDEX(Rates_Daily!C$15:C$2892,MATCH(_xlfn.MAXIFS(Rates_Daily!$A$15:$A$2892,Rates_Daily!$A$15:$A$2892,"&lt;="&amp;EOMONTH($A58,0),Rates_Daily!C$15:C$2892,"&gt;=-1E+99"),Rates_Daily!$A$15:$A$2892,0)),"")</f>
        <v>2.25</v>
      </c>
      <c r="D58" s="10" t="n">
        <f aca="false">IFERROR(INDEX(Rates_Daily!D$15:D$2892,MATCH(_xlfn.MAXIFS(Rates_Daily!$A$15:$A$2892,Rates_Daily!$A$15:$A$2892,"&lt;="&amp;EOMONTH($A58,0),Rates_Daily!D$15:D$2892,"&gt;=-1E+99"),Rates_Daily!$A$15:$A$2892,0)),"")</f>
        <v>2</v>
      </c>
      <c r="E58" s="10" t="n">
        <f aca="false">IFERROR(AVERAGEIFS(Rates_Daily!B$15:B$2892,Rates_Daily!$A$15:$A$2892,"&gt;="&amp;$A58,Rates_Daily!$A$15:$A$2892,"&lt;="&amp;EOMONTH($A58,0)),"")</f>
        <v>2.12818181818182</v>
      </c>
      <c r="F58" s="14" t="n">
        <v>2.07</v>
      </c>
      <c r="G58" s="14" t="n">
        <v>1.99</v>
      </c>
      <c r="H58" s="14" t="n">
        <v>1.93</v>
      </c>
      <c r="I58" s="14" t="n">
        <v>1.77</v>
      </c>
      <c r="J58" s="14" t="n">
        <v>2.06</v>
      </c>
      <c r="K58" s="10" t="n">
        <f aca="false">IFERROR(INDEX(Rates_Daily!F$15:F$2892,MATCH(_xlfn.MAXIFS(Rates_Daily!$A$15:$A$2892,Rates_Daily!$A$15:$A$2892,"&lt;="&amp;EOMONTH($A58,0),Rates_Daily!F$15:F$2892,"&gt;=-1E+99"),Rates_Daily!$A$15:$A$2892,0)),"")</f>
        <v>-0.4</v>
      </c>
      <c r="L58" s="10" t="str">
        <f aca="false">IFERROR(AVERAGEIFS(Rates_Daily!E$15:E$2892,Rates_Daily!$A$15:$A$2892,"&gt;="&amp;$A58,Rates_Daily!$A$15:$A$2892,"&lt;="&amp;EOMONTH($A58,0)),"")</f>
        <v/>
      </c>
      <c r="M58" s="14" t="n">
        <v>-0.4095909</v>
      </c>
      <c r="N58" s="14" t="n">
        <v>-0.4076818</v>
      </c>
      <c r="O58" s="14" t="n">
        <v>-0.4049545</v>
      </c>
      <c r="P58" s="14" t="n">
        <v>-0.3562727</v>
      </c>
      <c r="Q58" s="14" t="n">
        <v>-0.407681818181818</v>
      </c>
      <c r="R58" s="14" t="n">
        <v>0.75</v>
      </c>
      <c r="S58" s="14" t="n">
        <v>0.7101</v>
      </c>
      <c r="T58" s="10" t="n">
        <f aca="false">IFERROR(AVERAGEIFS(Rates_Daily!I$15:I$2892,Rates_Daily!$A$15:$A$2892,"&gt;="&amp;$A58,Rates_Daily!$A$15:$A$2892,"&lt;="&amp;EOMONTH($A58,0)),"")</f>
        <v>0.7106246523773</v>
      </c>
      <c r="U58" s="10" t="n">
        <f aca="false">IFERROR(AVERAGEIFS(Rates_Daily!J$15:J$2892,Rates_Daily!$A$15:$A$2892,"&gt;="&amp;$A58,Rates_Daily!$A$15:$A$2892,"&lt;="&amp;EOMONTH($A58,0)),"")</f>
        <v>0.688259754873336</v>
      </c>
      <c r="V58" s="10" t="n">
        <f aca="false">IFERROR(AVERAGEIFS(Rates_Daily!K$15:K$2892,Rates_Daily!$A$15:$A$2892,"&gt;="&amp;$A58,Rates_Daily!$A$15:$A$2892,"&lt;="&amp;EOMONTH($A58,0)),"")</f>
        <v>0.627979438437936</v>
      </c>
      <c r="W58" s="10" t="n">
        <f aca="false">IFERROR(AVERAGEIFS(Rates_Daily!L$15:L$2892,Rates_Daily!$A$15:$A$2892,"&gt;="&amp;$A58,Rates_Daily!$A$15:$A$2892,"&lt;="&amp;EOMONTH($A58,0)),"")</f>
        <v>0.537356099870834</v>
      </c>
      <c r="X58" s="14" t="n">
        <v>0.76</v>
      </c>
      <c r="Y58" s="14" t="n">
        <v>1.25</v>
      </c>
      <c r="Z58" s="14" t="n">
        <v>1.25</v>
      </c>
      <c r="AA58" s="14" t="n">
        <v>1.263</v>
      </c>
      <c r="AB58" s="14" t="n">
        <v>1.238</v>
      </c>
      <c r="AC58" s="14" t="n">
        <v>1.24</v>
      </c>
      <c r="AD58" s="14" t="n">
        <v>1.61</v>
      </c>
      <c r="AE58" s="14" t="n">
        <v>1.5</v>
      </c>
      <c r="AF58" s="14" t="n">
        <v>1.51</v>
      </c>
      <c r="AG58" s="14" t="n">
        <v>1.49</v>
      </c>
      <c r="AH58" s="14" t="n">
        <v>1.46</v>
      </c>
      <c r="AI58" s="14" t="n">
        <v>1.41</v>
      </c>
      <c r="AJ58" s="14" t="n">
        <v>1.38</v>
      </c>
      <c r="AK58" s="14" t="n">
        <v>1.323</v>
      </c>
      <c r="AL58" s="14" t="n">
        <v>1.217</v>
      </c>
      <c r="AM58" s="14" t="n">
        <v>1.186</v>
      </c>
      <c r="AN58" s="14" t="n">
        <v>1.49</v>
      </c>
      <c r="AO58" s="10" t="n">
        <f aca="false">IFERROR(AVERAGEIFS(Rates_Daily!M$15:M$2892,Rates_Daily!$A$15:$A$2892,"&gt;="&amp;$A58,Rates_Daily!$A$15:$A$2892,"&lt;="&amp;EOMONTH($A58,0)),"")</f>
        <v>2.62750454545455</v>
      </c>
      <c r="AP58" s="10" t="n">
        <f aca="false">IFERROR(AVERAGEIFS(Rates_Daily!N$15:N$2892,Rates_Daily!$A$15:$A$2892,"&gt;="&amp;$A58,Rates_Daily!$A$15:$A$2892,"&lt;="&amp;EOMONTH($A58,0)),"")</f>
        <v>2.66228181818182</v>
      </c>
      <c r="AQ58" s="10" t="n">
        <f aca="false">IFERROR(AVERAGEIFS(Rates_Daily!O$15:O$2892,Rates_Daily!$A$15:$A$2892,"&gt;="&amp;$A58,Rates_Daily!$A$15:$A$2892,"&lt;="&amp;EOMONTH($A58,0)),"")</f>
        <v>2.72599090909091</v>
      </c>
      <c r="AR58" s="10" t="n">
        <f aca="false">IFERROR(AVERAGEIFS(Rates_Daily!P$15:P$2892,Rates_Daily!$A$15:$A$2892,"&gt;="&amp;$A58,Rates_Daily!$A$15:$A$2892,"&lt;="&amp;EOMONTH($A58,0)),"")</f>
        <v>3.07288636363636</v>
      </c>
      <c r="AS58" s="14" t="n">
        <v>4.25</v>
      </c>
      <c r="AT58" s="14" t="n">
        <v>4.85</v>
      </c>
      <c r="AU58" s="14" t="n">
        <v>3.11</v>
      </c>
      <c r="AV58" s="14" t="n">
        <v>5.9</v>
      </c>
      <c r="AW58" s="14" t="n">
        <v>6</v>
      </c>
      <c r="AX58" s="14" t="n">
        <v>0.009</v>
      </c>
      <c r="AY58" s="14" t="n">
        <v>-0.045</v>
      </c>
      <c r="AZ58" s="16" t="str">
        <f aca="false">IF(EOMONTH($A58,0)&gt;MAX(Rates_Daily!$A$15:$A$2892),"partial month","complete")</f>
        <v>complete</v>
      </c>
    </row>
    <row r="59" customFormat="false" ht="15" hidden="false" customHeight="false" outlineLevel="0" collapsed="false">
      <c r="A59" s="17" t="n">
        <v>43709</v>
      </c>
      <c r="B59" s="14" t="n">
        <v>2.04</v>
      </c>
      <c r="C59" s="10" t="n">
        <f aca="false">IFERROR(INDEX(Rates_Daily!C$15:C$2892,MATCH(_xlfn.MAXIFS(Rates_Daily!$A$15:$A$2892,Rates_Daily!$A$15:$A$2892,"&lt;="&amp;EOMONTH($A59,0),Rates_Daily!C$15:C$2892,"&gt;=-1E+99"),Rates_Daily!$A$15:$A$2892,0)),"")</f>
        <v>2</v>
      </c>
      <c r="D59" s="10" t="n">
        <f aca="false">IFERROR(INDEX(Rates_Daily!D$15:D$2892,MATCH(_xlfn.MAXIFS(Rates_Daily!$A$15:$A$2892,Rates_Daily!$A$15:$A$2892,"&lt;="&amp;EOMONTH($A59,0),Rates_Daily!D$15:D$2892,"&gt;=-1E+99"),Rates_Daily!$A$15:$A$2892,0)),"")</f>
        <v>1.75</v>
      </c>
      <c r="E59" s="10" t="n">
        <f aca="false">IFERROR(AVERAGEIFS(Rates_Daily!B$15:B$2892,Rates_Daily!$A$15:$A$2892,"&gt;="&amp;$A59,Rates_Daily!$A$15:$A$2892,"&lt;="&amp;EOMONTH($A59,0)),"")</f>
        <v>2.2715</v>
      </c>
      <c r="F59" s="14" t="n">
        <v>1.99</v>
      </c>
      <c r="G59" s="14" t="n">
        <v>1.93</v>
      </c>
      <c r="H59" s="14" t="n">
        <v>1.89</v>
      </c>
      <c r="I59" s="14" t="n">
        <v>1.8</v>
      </c>
      <c r="J59" s="14" t="n">
        <v>2.03</v>
      </c>
      <c r="K59" s="10" t="n">
        <f aca="false">IFERROR(INDEX(Rates_Daily!F$15:F$2892,MATCH(_xlfn.MAXIFS(Rates_Daily!$A$15:$A$2892,Rates_Daily!$A$15:$A$2892,"&lt;="&amp;EOMONTH($A59,0),Rates_Daily!F$15:F$2892,"&gt;=-1E+99"),Rates_Daily!$A$15:$A$2892,0)),"")</f>
        <v>-0.5</v>
      </c>
      <c r="L59" s="10" t="str">
        <f aca="false">IFERROR(AVERAGEIFS(Rates_Daily!E$15:E$2892,Rates_Daily!$A$15:$A$2892,"&gt;="&amp;$A59,Rates_Daily!$A$15:$A$2892,"&lt;="&amp;EOMONTH($A59,0)),"")</f>
        <v/>
      </c>
      <c r="M59" s="14" t="n">
        <v>-0.4482381</v>
      </c>
      <c r="N59" s="14" t="n">
        <v>-0.4175714</v>
      </c>
      <c r="O59" s="14" t="n">
        <v>-0.3938571</v>
      </c>
      <c r="P59" s="14" t="n">
        <v>-0.3391429</v>
      </c>
      <c r="Q59" s="14" t="n">
        <v>-0.417571428571429</v>
      </c>
      <c r="R59" s="14" t="n">
        <v>0.75</v>
      </c>
      <c r="S59" s="14" t="n">
        <v>0.7098</v>
      </c>
      <c r="T59" s="10" t="n">
        <f aca="false">IFERROR(AVERAGEIFS(Rates_Daily!I$15:I$2892,Rates_Daily!$A$15:$A$2892,"&gt;="&amp;$A59,Rates_Daily!$A$15:$A$2892,"&lt;="&amp;EOMONTH($A59,0)),"")</f>
        <v>0.709907947647038</v>
      </c>
      <c r="U59" s="10" t="n">
        <f aca="false">IFERROR(AVERAGEIFS(Rates_Daily!J$15:J$2892,Rates_Daily!$A$15:$A$2892,"&gt;="&amp;$A59,Rates_Daily!$A$15:$A$2892,"&lt;="&amp;EOMONTH($A59,0)),"")</f>
        <v>0.686596278203514</v>
      </c>
      <c r="V59" s="10" t="n">
        <f aca="false">IFERROR(AVERAGEIFS(Rates_Daily!K$15:K$2892,Rates_Daily!$A$15:$A$2892,"&gt;="&amp;$A59,Rates_Daily!$A$15:$A$2892,"&lt;="&amp;EOMONTH($A59,0)),"")</f>
        <v>0.647803772233584</v>
      </c>
      <c r="W59" s="10" t="n">
        <f aca="false">IFERROR(AVERAGEIFS(Rates_Daily!L$15:L$2892,Rates_Daily!$A$15:$A$2892,"&gt;="&amp;$A59,Rates_Daily!$A$15:$A$2892,"&lt;="&amp;EOMONTH($A59,0)),"")</f>
        <v>0.589578761763941</v>
      </c>
      <c r="X59" s="14" t="n">
        <v>0.77</v>
      </c>
      <c r="Y59" s="14" t="n">
        <v>1.33</v>
      </c>
      <c r="Z59" s="14" t="n">
        <v>1.35</v>
      </c>
      <c r="AA59" s="14" t="n">
        <v>1.282</v>
      </c>
      <c r="AB59" s="14" t="n">
        <v>1.271</v>
      </c>
      <c r="AC59" s="14" t="n">
        <v>1.262</v>
      </c>
      <c r="AD59" s="14" t="n">
        <v>1.7</v>
      </c>
      <c r="AE59" s="14" t="n">
        <v>1.5</v>
      </c>
      <c r="AF59" s="14" t="n">
        <v>1.52</v>
      </c>
      <c r="AG59" s="14" t="n">
        <v>1.54</v>
      </c>
      <c r="AH59" s="14" t="n">
        <v>1.49</v>
      </c>
      <c r="AI59" s="14" t="n">
        <v>1.47</v>
      </c>
      <c r="AJ59" s="14" t="n">
        <v>1.48</v>
      </c>
      <c r="AK59" s="14" t="n">
        <v>1.293</v>
      </c>
      <c r="AL59" s="14" t="n">
        <v>1.287</v>
      </c>
      <c r="AM59" s="14" t="n">
        <v>1.228</v>
      </c>
      <c r="AN59" s="14" t="n">
        <v>1.54</v>
      </c>
      <c r="AO59" s="10" t="n">
        <f aca="false">IFERROR(AVERAGEIFS(Rates_Daily!M$15:M$2892,Rates_Daily!$A$15:$A$2892,"&gt;="&amp;$A59,Rates_Daily!$A$15:$A$2892,"&lt;="&amp;EOMONTH($A59,0)),"")</f>
        <v>2.70433333333333</v>
      </c>
      <c r="AP59" s="10" t="n">
        <f aca="false">IFERROR(AVERAGEIFS(Rates_Daily!N$15:N$2892,Rates_Daily!$A$15:$A$2892,"&gt;="&amp;$A59,Rates_Daily!$A$15:$A$2892,"&lt;="&amp;EOMONTH($A59,0)),"")</f>
        <v>2.71385714285714</v>
      </c>
      <c r="AQ59" s="10" t="n">
        <f aca="false">IFERROR(AVERAGEIFS(Rates_Daily!O$15:O$2892,Rates_Daily!$A$15:$A$2892,"&gt;="&amp;$A59,Rates_Daily!$A$15:$A$2892,"&lt;="&amp;EOMONTH($A59,0)),"")</f>
        <v>2.79057142857143</v>
      </c>
      <c r="AR59" s="10" t="n">
        <f aca="false">IFERROR(AVERAGEIFS(Rates_Daily!P$15:P$2892,Rates_Daily!$A$15:$A$2892,"&gt;="&amp;$A59,Rates_Daily!$A$15:$A$2892,"&lt;="&amp;EOMONTH($A59,0)),"")</f>
        <v>3.04733333333333</v>
      </c>
      <c r="AS59" s="14" t="n">
        <v>4.2</v>
      </c>
      <c r="AT59" s="14" t="n">
        <v>4.85</v>
      </c>
      <c r="AU59" s="14" t="n">
        <v>3.3</v>
      </c>
      <c r="AV59" s="14" t="n">
        <v>5.71</v>
      </c>
      <c r="AW59" s="14" t="n">
        <v>5.8</v>
      </c>
      <c r="AX59" s="14" t="n">
        <v>0.009</v>
      </c>
      <c r="AY59" s="14" t="n">
        <v>-0.059</v>
      </c>
      <c r="AZ59" s="16" t="str">
        <f aca="false">IF(EOMONTH($A59,0)&gt;MAX(Rates_Daily!$A$15:$A$2892),"partial month","complete")</f>
        <v>complete</v>
      </c>
    </row>
    <row r="60" customFormat="false" ht="15" hidden="false" customHeight="false" outlineLevel="0" collapsed="false">
      <c r="A60" s="17" t="n">
        <v>43739</v>
      </c>
      <c r="B60" s="14" t="n">
        <v>1.83</v>
      </c>
      <c r="C60" s="10" t="n">
        <f aca="false">IFERROR(INDEX(Rates_Daily!C$15:C$2892,MATCH(_xlfn.MAXIFS(Rates_Daily!$A$15:$A$2892,Rates_Daily!$A$15:$A$2892,"&lt;="&amp;EOMONTH($A60,0),Rates_Daily!C$15:C$2892,"&gt;=-1E+99"),Rates_Daily!$A$15:$A$2892,0)),"")</f>
        <v>1.75</v>
      </c>
      <c r="D60" s="10" t="n">
        <f aca="false">IFERROR(INDEX(Rates_Daily!D$15:D$2892,MATCH(_xlfn.MAXIFS(Rates_Daily!$A$15:$A$2892,Rates_Daily!$A$15:$A$2892,"&lt;="&amp;EOMONTH($A60,0),Rates_Daily!D$15:D$2892,"&gt;=-1E+99"),Rates_Daily!$A$15:$A$2892,0)),"")</f>
        <v>1.5</v>
      </c>
      <c r="E60" s="10" t="n">
        <f aca="false">IFERROR(AVERAGEIFS(Rates_Daily!B$15:B$2892,Rates_Daily!$A$15:$A$2892,"&gt;="&amp;$A60,Rates_Daily!$A$15:$A$2892,"&lt;="&amp;EOMONTH($A60,0)),"")</f>
        <v>1.86409090909091</v>
      </c>
      <c r="F60" s="14" t="n">
        <v>1.73</v>
      </c>
      <c r="G60" s="14" t="n">
        <v>1.68</v>
      </c>
      <c r="H60" s="14" t="n">
        <v>1.67</v>
      </c>
      <c r="I60" s="14" t="n">
        <v>1.61</v>
      </c>
      <c r="J60" s="14" t="n">
        <v>1.88</v>
      </c>
      <c r="K60" s="10" t="n">
        <f aca="false">IFERROR(INDEX(Rates_Daily!F$15:F$2892,MATCH(_xlfn.MAXIFS(Rates_Daily!$A$15:$A$2892,Rates_Daily!$A$15:$A$2892,"&lt;="&amp;EOMONTH($A60,0),Rates_Daily!F$15:F$2892,"&gt;=-1E+99"),Rates_Daily!$A$15:$A$2892,0)),"")</f>
        <v>-0.5</v>
      </c>
      <c r="L60" s="10" t="n">
        <f aca="false">IFERROR(AVERAGEIFS(Rates_Daily!E$15:E$2892,Rates_Daily!$A$15:$A$2892,"&gt;="&amp;$A60,Rates_Daily!$A$15:$A$2892,"&lt;="&amp;EOMONTH($A60,0)),"")</f>
        <v>-0.549217391304348</v>
      </c>
      <c r="M60" s="14" t="n">
        <v>-0.4554783</v>
      </c>
      <c r="N60" s="14" t="n">
        <v>-0.4128696</v>
      </c>
      <c r="O60" s="14" t="n">
        <v>-0.3615652</v>
      </c>
      <c r="P60" s="14" t="n">
        <v>-0.3042174</v>
      </c>
      <c r="Q60" s="14" t="n">
        <v>-0.412869565217391</v>
      </c>
      <c r="R60" s="14" t="n">
        <v>0.75</v>
      </c>
      <c r="S60" s="14" t="n">
        <v>0.7108</v>
      </c>
      <c r="T60" s="10" t="n">
        <f aca="false">IFERROR(AVERAGEIFS(Rates_Daily!I$15:I$2892,Rates_Daily!$A$15:$A$2892,"&gt;="&amp;$A60,Rates_Daily!$A$15:$A$2892,"&lt;="&amp;EOMONTH($A60,0)),"")</f>
        <v>0.705625903742094</v>
      </c>
      <c r="U60" s="10" t="n">
        <f aca="false">IFERROR(AVERAGEIFS(Rates_Daily!J$15:J$2892,Rates_Daily!$A$15:$A$2892,"&gt;="&amp;$A60,Rates_Daily!$A$15:$A$2892,"&lt;="&amp;EOMONTH($A60,0)),"")</f>
        <v>0.675803062494083</v>
      </c>
      <c r="V60" s="10" t="n">
        <f aca="false">IFERROR(AVERAGEIFS(Rates_Daily!K$15:K$2892,Rates_Daily!$A$15:$A$2892,"&gt;="&amp;$A60,Rates_Daily!$A$15:$A$2892,"&lt;="&amp;EOMONTH($A60,0)),"")</f>
        <v>0.636380450214334</v>
      </c>
      <c r="W60" s="10" t="n">
        <f aca="false">IFERROR(AVERAGEIFS(Rates_Daily!L$15:L$2892,Rates_Daily!$A$15:$A$2892,"&gt;="&amp;$A60,Rates_Daily!$A$15:$A$2892,"&lt;="&amp;EOMONTH($A60,0)),"")</f>
        <v>0.577816625367752</v>
      </c>
      <c r="X60" s="14" t="n">
        <v>0.78</v>
      </c>
      <c r="Y60" s="14" t="n">
        <v>1.5</v>
      </c>
      <c r="Z60" s="14" t="n">
        <v>1.5</v>
      </c>
      <c r="AA60" s="14" t="n">
        <v>1.328</v>
      </c>
      <c r="AB60" s="14" t="n">
        <v>1.25</v>
      </c>
      <c r="AC60" s="14" t="n">
        <v>1.243</v>
      </c>
      <c r="AD60" s="14" t="n">
        <v>1.81</v>
      </c>
      <c r="AE60" s="14" t="n">
        <v>1.25</v>
      </c>
      <c r="AF60" s="14" t="n">
        <v>1.35</v>
      </c>
      <c r="AG60" s="14" t="n">
        <v>1.46</v>
      </c>
      <c r="AH60" s="14" t="n">
        <v>1.46</v>
      </c>
      <c r="AI60" s="14" t="n">
        <v>1.48</v>
      </c>
      <c r="AJ60" s="14" t="n">
        <v>1.48</v>
      </c>
      <c r="AK60" s="14" t="n">
        <v>1.306</v>
      </c>
      <c r="AL60" s="14" t="n">
        <v>1.334</v>
      </c>
      <c r="AM60" s="14" t="n">
        <v>1.298</v>
      </c>
      <c r="AN60" s="14" t="n">
        <v>1.46</v>
      </c>
      <c r="AO60" s="10" t="n">
        <f aca="false">IFERROR(AVERAGEIFS(Rates_Daily!M$15:M$2892,Rates_Daily!$A$15:$A$2892,"&gt;="&amp;$A60,Rates_Daily!$A$15:$A$2892,"&lt;="&amp;EOMONTH($A60,0)),"")</f>
        <v>2.73628947368421</v>
      </c>
      <c r="AP60" s="10" t="n">
        <f aca="false">IFERROR(AVERAGEIFS(Rates_Daily!N$15:N$2892,Rates_Daily!$A$15:$A$2892,"&gt;="&amp;$A60,Rates_Daily!$A$15:$A$2892,"&lt;="&amp;EOMONTH($A60,0)),"")</f>
        <v>2.77489473684211</v>
      </c>
      <c r="AQ60" s="10" t="n">
        <f aca="false">IFERROR(AVERAGEIFS(Rates_Daily!O$15:O$2892,Rates_Daily!$A$15:$A$2892,"&gt;="&amp;$A60,Rates_Daily!$A$15:$A$2892,"&lt;="&amp;EOMONTH($A60,0)),"")</f>
        <v>2.84384210526316</v>
      </c>
      <c r="AR60" s="10" t="n">
        <f aca="false">IFERROR(AVERAGEIFS(Rates_Daily!P$15:P$2892,Rates_Daily!$A$15:$A$2892,"&gt;="&amp;$A60,Rates_Daily!$A$15:$A$2892,"&lt;="&amp;EOMONTH($A60,0)),"")</f>
        <v>3.056</v>
      </c>
      <c r="AS60" s="14" t="n">
        <v>4.2</v>
      </c>
      <c r="AT60" s="14" t="n">
        <v>4.85</v>
      </c>
      <c r="AU60" s="14" t="n">
        <v>3.46</v>
      </c>
      <c r="AV60" s="14" t="n">
        <v>5.38</v>
      </c>
      <c r="AW60" s="14" t="n">
        <v>5.48</v>
      </c>
      <c r="AX60" s="14" t="n">
        <v>0.009</v>
      </c>
      <c r="AY60" s="14" t="n">
        <v>-0.021</v>
      </c>
      <c r="AZ60" s="16" t="str">
        <f aca="false">IF(EOMONTH($A60,0)&gt;MAX(Rates_Daily!$A$15:$A$2892),"partial month","complete")</f>
        <v>complete</v>
      </c>
    </row>
    <row r="61" customFormat="false" ht="15" hidden="false" customHeight="false" outlineLevel="0" collapsed="false">
      <c r="A61" s="17" t="n">
        <v>43770</v>
      </c>
      <c r="B61" s="14" t="n">
        <v>1.55</v>
      </c>
      <c r="C61" s="10" t="n">
        <f aca="false">IFERROR(INDEX(Rates_Daily!C$15:C$2892,MATCH(_xlfn.MAXIFS(Rates_Daily!$A$15:$A$2892,Rates_Daily!$A$15:$A$2892,"&lt;="&amp;EOMONTH($A61,0),Rates_Daily!C$15:C$2892,"&gt;=-1E+99"),Rates_Daily!$A$15:$A$2892,0)),"")</f>
        <v>1.75</v>
      </c>
      <c r="D61" s="10" t="n">
        <f aca="false">IFERROR(INDEX(Rates_Daily!D$15:D$2892,MATCH(_xlfn.MAXIFS(Rates_Daily!$A$15:$A$2892,Rates_Daily!$A$15:$A$2892,"&lt;="&amp;EOMONTH($A61,0),Rates_Daily!D$15:D$2892,"&gt;=-1E+99"),Rates_Daily!$A$15:$A$2892,0)),"")</f>
        <v>1.5</v>
      </c>
      <c r="E61" s="10" t="n">
        <f aca="false">IFERROR(AVERAGEIFS(Rates_Daily!B$15:B$2892,Rates_Daily!$A$15:$A$2892,"&gt;="&amp;$A61,Rates_Daily!$A$15:$A$2892,"&lt;="&amp;EOMONTH($A61,0)),"")</f>
        <v>1.57263157894737</v>
      </c>
      <c r="F61" s="14" t="n">
        <v>1.58</v>
      </c>
      <c r="G61" s="14" t="n">
        <v>1.57</v>
      </c>
      <c r="H61" s="14" t="n">
        <v>1.59</v>
      </c>
      <c r="I61" s="14" t="n">
        <v>1.57</v>
      </c>
      <c r="J61" s="14" t="n">
        <v>1.77</v>
      </c>
      <c r="K61" s="10" t="n">
        <f aca="false">IFERROR(INDEX(Rates_Daily!F$15:F$2892,MATCH(_xlfn.MAXIFS(Rates_Daily!$A$15:$A$2892,Rates_Daily!$A$15:$A$2892,"&lt;="&amp;EOMONTH($A61,0),Rates_Daily!F$15:F$2892,"&gt;=-1E+99"),Rates_Daily!$A$15:$A$2892,0)),"")</f>
        <v>-0.5</v>
      </c>
      <c r="L61" s="10" t="n">
        <f aca="false">IFERROR(AVERAGEIFS(Rates_Daily!E$15:E$2892,Rates_Daily!$A$15:$A$2892,"&gt;="&amp;$A61,Rates_Daily!$A$15:$A$2892,"&lt;="&amp;EOMONTH($A61,0)),"")</f>
        <v>-0.536285714285714</v>
      </c>
      <c r="M61" s="14" t="n">
        <v>-0.45</v>
      </c>
      <c r="N61" s="14" t="n">
        <v>-0.4012857</v>
      </c>
      <c r="O61" s="14" t="n">
        <v>-0.337381</v>
      </c>
      <c r="P61" s="14" t="n">
        <v>-0.2719524</v>
      </c>
      <c r="Q61" s="14" t="n">
        <v>-0.401285714285714</v>
      </c>
      <c r="R61" s="14" t="n">
        <v>0.75</v>
      </c>
      <c r="S61" s="14" t="n">
        <v>0.7105</v>
      </c>
      <c r="T61" s="10" t="n">
        <f aca="false">IFERROR(AVERAGEIFS(Rates_Daily!I$15:I$2892,Rates_Daily!$A$15:$A$2892,"&gt;="&amp;$A61,Rates_Daily!$A$15:$A$2892,"&lt;="&amp;EOMONTH($A61,0)),"")</f>
        <v>0.70661338297154</v>
      </c>
      <c r="U61" s="10" t="n">
        <f aca="false">IFERROR(AVERAGEIFS(Rates_Daily!J$15:J$2892,Rates_Daily!$A$15:$A$2892,"&gt;="&amp;$A61,Rates_Daily!$A$15:$A$2892,"&lt;="&amp;EOMONTH($A61,0)),"")</f>
        <v>0.681922136945921</v>
      </c>
      <c r="V61" s="10" t="n">
        <f aca="false">IFERROR(AVERAGEIFS(Rates_Daily!K$15:K$2892,Rates_Daily!$A$15:$A$2892,"&gt;="&amp;$A61,Rates_Daily!$A$15:$A$2892,"&lt;="&amp;EOMONTH($A61,0)),"")</f>
        <v>0.650404746474059</v>
      </c>
      <c r="W61" s="10" t="n">
        <f aca="false">IFERROR(AVERAGEIFS(Rates_Daily!L$15:L$2892,Rates_Daily!$A$15:$A$2892,"&gt;="&amp;$A61,Rates_Daily!$A$15:$A$2892,"&lt;="&amp;EOMONTH($A61,0)),"")</f>
        <v>0.606799840051088</v>
      </c>
      <c r="X61" s="14" t="n">
        <v>0.79</v>
      </c>
      <c r="Y61" s="14" t="n">
        <v>1.5</v>
      </c>
      <c r="Z61" s="14" t="n">
        <v>1.5</v>
      </c>
      <c r="AA61" s="14" t="n">
        <v>1.22</v>
      </c>
      <c r="AB61" s="14" t="n">
        <v>1.194</v>
      </c>
      <c r="AC61" s="14" t="n">
        <v>1.201</v>
      </c>
      <c r="AD61" s="14" t="n">
        <v>1.85</v>
      </c>
      <c r="AE61" s="14" t="n">
        <v>1.25</v>
      </c>
      <c r="AF61" s="14" t="n">
        <v>1.28</v>
      </c>
      <c r="AG61" s="14" t="n">
        <v>1.52</v>
      </c>
      <c r="AH61" s="14" t="n">
        <v>1.48</v>
      </c>
      <c r="AI61" s="14" t="n">
        <v>1.53</v>
      </c>
      <c r="AJ61" s="14" t="n">
        <v>1.6</v>
      </c>
      <c r="AK61" s="14" t="n">
        <v>1.323</v>
      </c>
      <c r="AL61" s="14" t="n">
        <v>1.421</v>
      </c>
      <c r="AM61" s="14" t="n">
        <v>1.386</v>
      </c>
      <c r="AN61" s="14" t="n">
        <v>1.52</v>
      </c>
      <c r="AO61" s="10" t="n">
        <f aca="false">IFERROR(AVERAGEIFS(Rates_Daily!M$15:M$2892,Rates_Daily!$A$15:$A$2892,"&gt;="&amp;$A61,Rates_Daily!$A$15:$A$2892,"&lt;="&amp;EOMONTH($A61,0)),"")</f>
        <v>2.77666666666667</v>
      </c>
      <c r="AP61" s="10" t="n">
        <f aca="false">IFERROR(AVERAGEIFS(Rates_Daily!N$15:N$2892,Rates_Daily!$A$15:$A$2892,"&gt;="&amp;$A61,Rates_Daily!$A$15:$A$2892,"&lt;="&amp;EOMONTH($A61,0)),"")</f>
        <v>2.99014285714286</v>
      </c>
      <c r="AQ61" s="10" t="n">
        <f aca="false">IFERROR(AVERAGEIFS(Rates_Daily!O$15:O$2892,Rates_Daily!$A$15:$A$2892,"&gt;="&amp;$A61,Rates_Daily!$A$15:$A$2892,"&lt;="&amp;EOMONTH($A61,0)),"")</f>
        <v>3.01295238095238</v>
      </c>
      <c r="AR61" s="10" t="n">
        <f aca="false">IFERROR(AVERAGEIFS(Rates_Daily!P$15:P$2892,Rates_Daily!$A$15:$A$2892,"&gt;="&amp;$A61,Rates_Daily!$A$15:$A$2892,"&lt;="&amp;EOMONTH($A61,0)),"")</f>
        <v>3.10695238095238</v>
      </c>
      <c r="AS61" s="14" t="n">
        <v>4.15</v>
      </c>
      <c r="AT61" s="14" t="n">
        <v>4.8</v>
      </c>
      <c r="AU61" s="14" t="n">
        <v>3.33</v>
      </c>
      <c r="AV61" s="14" t="n">
        <v>4.9</v>
      </c>
      <c r="AW61" s="14" t="n">
        <v>5</v>
      </c>
      <c r="AX61" s="14" t="n">
        <v>0.018</v>
      </c>
      <c r="AY61" s="14" t="n">
        <v>-0.043</v>
      </c>
      <c r="AZ61" s="16" t="str">
        <f aca="false">IF(EOMONTH($A61,0)&gt;MAX(Rates_Daily!$A$15:$A$2892),"partial month","complete")</f>
        <v>complete</v>
      </c>
    </row>
    <row r="62" customFormat="false" ht="15" hidden="false" customHeight="false" outlineLevel="0" collapsed="false">
      <c r="A62" s="17" t="n">
        <v>43800</v>
      </c>
      <c r="B62" s="14" t="n">
        <v>1.55</v>
      </c>
      <c r="C62" s="10" t="n">
        <f aca="false">IFERROR(INDEX(Rates_Daily!C$15:C$2892,MATCH(_xlfn.MAXIFS(Rates_Daily!$A$15:$A$2892,Rates_Daily!$A$15:$A$2892,"&lt;="&amp;EOMONTH($A62,0),Rates_Daily!C$15:C$2892,"&gt;=-1E+99"),Rates_Daily!$A$15:$A$2892,0)),"")</f>
        <v>1.75</v>
      </c>
      <c r="D62" s="10" t="n">
        <f aca="false">IFERROR(INDEX(Rates_Daily!D$15:D$2892,MATCH(_xlfn.MAXIFS(Rates_Daily!$A$15:$A$2892,Rates_Daily!$A$15:$A$2892,"&lt;="&amp;EOMONTH($A62,0),Rates_Daily!D$15:D$2892,"&gt;=-1E+99"),Rates_Daily!$A$15:$A$2892,0)),"")</f>
        <v>1.5</v>
      </c>
      <c r="E62" s="10" t="n">
        <f aca="false">IFERROR(AVERAGEIFS(Rates_Daily!B$15:B$2892,Rates_Daily!$A$15:$A$2892,"&gt;="&amp;$A62,Rates_Daily!$A$15:$A$2892,"&lt;="&amp;EOMONTH($A62,0)),"")</f>
        <v>1.54619047619048</v>
      </c>
      <c r="F62" s="14" t="n">
        <v>1.55</v>
      </c>
      <c r="G62" s="14" t="n">
        <v>1.57</v>
      </c>
      <c r="H62" s="14" t="n">
        <v>1.58</v>
      </c>
      <c r="I62" s="14" t="n">
        <v>1.55</v>
      </c>
      <c r="J62" s="14" t="n">
        <v>1.76</v>
      </c>
      <c r="K62" s="10" t="n">
        <f aca="false">IFERROR(INDEX(Rates_Daily!F$15:F$2892,MATCH(_xlfn.MAXIFS(Rates_Daily!$A$15:$A$2892,Rates_Daily!$A$15:$A$2892,"&lt;="&amp;EOMONTH($A62,0),Rates_Daily!F$15:F$2892,"&gt;=-1E+99"),Rates_Daily!$A$15:$A$2892,0)),"")</f>
        <v>-0.5</v>
      </c>
      <c r="L62" s="10" t="n">
        <f aca="false">IFERROR(AVERAGEIFS(Rates_Daily!E$15:E$2892,Rates_Daily!$A$15:$A$2892,"&gt;="&amp;$A62,Rates_Daily!$A$15:$A$2892,"&lt;="&amp;EOMONTH($A62,0)),"")</f>
        <v>-0.5412</v>
      </c>
      <c r="M62" s="14" t="n">
        <v>-0.4529</v>
      </c>
      <c r="N62" s="14" t="n">
        <v>-0.3947</v>
      </c>
      <c r="O62" s="14" t="n">
        <v>-0.33555</v>
      </c>
      <c r="P62" s="14" t="n">
        <v>-0.2614</v>
      </c>
      <c r="Q62" s="14" t="n">
        <v>-0.3947</v>
      </c>
      <c r="R62" s="14" t="n">
        <v>0.75</v>
      </c>
      <c r="S62" s="14" t="n">
        <v>0.7101</v>
      </c>
      <c r="T62" s="10" t="n">
        <f aca="false">IFERROR(AVERAGEIFS(Rates_Daily!I$15:I$2892,Rates_Daily!$A$15:$A$2892,"&gt;="&amp;$A62,Rates_Daily!$A$15:$A$2892,"&lt;="&amp;EOMONTH($A62,0)),"")</f>
        <v>0.696202100079079</v>
      </c>
      <c r="U62" s="10" t="n">
        <f aca="false">IFERROR(AVERAGEIFS(Rates_Daily!J$15:J$2892,Rates_Daily!$A$15:$A$2892,"&gt;="&amp;$A62,Rates_Daily!$A$15:$A$2892,"&lt;="&amp;EOMONTH($A62,0)),"")</f>
        <v>0.682840341232925</v>
      </c>
      <c r="V62" s="10" t="n">
        <f aca="false">IFERROR(AVERAGEIFS(Rates_Daily!K$15:K$2892,Rates_Daily!$A$15:$A$2892,"&gt;="&amp;$A62,Rates_Daily!$A$15:$A$2892,"&lt;="&amp;EOMONTH($A62,0)),"")</f>
        <v>0.658073099965874</v>
      </c>
      <c r="W62" s="10" t="n">
        <f aca="false">IFERROR(AVERAGEIFS(Rates_Daily!L$15:L$2892,Rates_Daily!$A$15:$A$2892,"&gt;="&amp;$A62,Rates_Daily!$A$15:$A$2892,"&lt;="&amp;EOMONTH($A62,0)),"")</f>
        <v>0.62026813135091</v>
      </c>
      <c r="X62" s="14" t="n">
        <v>0.79</v>
      </c>
      <c r="Y62" s="14" t="n">
        <v>1.5</v>
      </c>
      <c r="Z62" s="14" t="n">
        <v>1.53</v>
      </c>
      <c r="AA62" s="14" t="n">
        <v>1.122</v>
      </c>
      <c r="AB62" s="14" t="n">
        <v>1.124</v>
      </c>
      <c r="AC62" s="14" t="n">
        <v>1.195</v>
      </c>
      <c r="AD62" s="14" t="n">
        <v>1.85</v>
      </c>
      <c r="AE62" s="14" t="n">
        <v>1.25</v>
      </c>
      <c r="AF62" s="14" t="n">
        <v>1.28</v>
      </c>
      <c r="AG62" s="14" t="n">
        <v>1.53</v>
      </c>
      <c r="AH62" s="14" t="n">
        <v>1.51</v>
      </c>
      <c r="AI62" s="14" t="n">
        <v>1.55</v>
      </c>
      <c r="AJ62" s="14" t="n">
        <v>1.57</v>
      </c>
      <c r="AK62" s="14" t="n">
        <v>1.332</v>
      </c>
      <c r="AL62" s="14" t="n">
        <v>1.379</v>
      </c>
      <c r="AM62" s="14" t="n">
        <v>1.35</v>
      </c>
      <c r="AN62" s="14" t="n">
        <v>1.53</v>
      </c>
      <c r="AO62" s="10" t="n">
        <f aca="false">IFERROR(AVERAGEIFS(Rates_Daily!M$15:M$2892,Rates_Daily!$A$15:$A$2892,"&gt;="&amp;$A62,Rates_Daily!$A$15:$A$2892,"&lt;="&amp;EOMONTH($A62,0)),"")</f>
        <v>2.91433636363636</v>
      </c>
      <c r="AP62" s="10" t="n">
        <f aca="false">IFERROR(AVERAGEIFS(Rates_Daily!N$15:N$2892,Rates_Daily!$A$15:$A$2892,"&gt;="&amp;$A62,Rates_Daily!$A$15:$A$2892,"&lt;="&amp;EOMONTH($A62,0)),"")</f>
        <v>3.02899545454545</v>
      </c>
      <c r="AQ62" s="10" t="n">
        <f aca="false">IFERROR(AVERAGEIFS(Rates_Daily!O$15:O$2892,Rates_Daily!$A$15:$A$2892,"&gt;="&amp;$A62,Rates_Daily!$A$15:$A$2892,"&lt;="&amp;EOMONTH($A62,0)),"")</f>
        <v>3.05199545454546</v>
      </c>
      <c r="AR62" s="10" t="n">
        <f aca="false">IFERROR(AVERAGEIFS(Rates_Daily!P$15:P$2892,Rates_Daily!$A$15:$A$2892,"&gt;="&amp;$A62,Rates_Daily!$A$15:$A$2892,"&lt;="&amp;EOMONTH($A62,0)),"")</f>
        <v>3.11820454545455</v>
      </c>
      <c r="AS62" s="14" t="n">
        <v>4.15</v>
      </c>
      <c r="AT62" s="14" t="n">
        <v>4.8</v>
      </c>
      <c r="AU62" s="14" t="n">
        <v>3.49</v>
      </c>
      <c r="AV62" s="14" t="n">
        <v>4.59</v>
      </c>
      <c r="AW62" s="14" t="n">
        <v>4.68</v>
      </c>
      <c r="AX62" s="14" t="n">
        <v>0.021</v>
      </c>
      <c r="AY62" s="14" t="n">
        <v>-0.038</v>
      </c>
      <c r="AZ62" s="16" t="str">
        <f aca="false">IF(EOMONTH($A62,0)&gt;MAX(Rates_Daily!$A$15:$A$2892),"partial month","complete")</f>
        <v>complete</v>
      </c>
    </row>
    <row r="63" customFormat="false" ht="15" hidden="false" customHeight="false" outlineLevel="0" collapsed="false">
      <c r="A63" s="17" t="n">
        <v>43831</v>
      </c>
      <c r="B63" s="14" t="n">
        <v>1.55</v>
      </c>
      <c r="C63" s="10" t="n">
        <f aca="false">IFERROR(INDEX(Rates_Daily!C$15:C$2892,MATCH(_xlfn.MAXIFS(Rates_Daily!$A$15:$A$2892,Rates_Daily!$A$15:$A$2892,"&lt;="&amp;EOMONTH($A63,0),Rates_Daily!C$15:C$2892,"&gt;=-1E+99"),Rates_Daily!$A$15:$A$2892,0)),"")</f>
        <v>1.75</v>
      </c>
      <c r="D63" s="10" t="n">
        <f aca="false">IFERROR(INDEX(Rates_Daily!D$15:D$2892,MATCH(_xlfn.MAXIFS(Rates_Daily!$A$15:$A$2892,Rates_Daily!$A$15:$A$2892,"&lt;="&amp;EOMONTH($A63,0),Rates_Daily!D$15:D$2892,"&gt;=-1E+99"),Rates_Daily!$A$15:$A$2892,0)),"")</f>
        <v>1.5</v>
      </c>
      <c r="E63" s="10" t="n">
        <f aca="false">IFERROR(AVERAGEIFS(Rates_Daily!B$15:B$2892,Rates_Daily!$A$15:$A$2892,"&gt;="&amp;$A63,Rates_Daily!$A$15:$A$2892,"&lt;="&amp;EOMONTH($A63,0)),"")</f>
        <v>1.54809523809524</v>
      </c>
      <c r="F63" s="14" t="n">
        <v>1.53</v>
      </c>
      <c r="G63" s="14" t="n">
        <v>1.55</v>
      </c>
      <c r="H63" s="14" t="n">
        <v>1.56</v>
      </c>
      <c r="I63" s="14" t="n">
        <v>1.53</v>
      </c>
      <c r="J63" s="14" t="n">
        <v>1.65</v>
      </c>
      <c r="K63" s="10" t="n">
        <f aca="false">IFERROR(INDEX(Rates_Daily!F$15:F$2892,MATCH(_xlfn.MAXIFS(Rates_Daily!$A$15:$A$2892,Rates_Daily!$A$15:$A$2892,"&lt;="&amp;EOMONTH($A63,0),Rates_Daily!F$15:F$2892,"&gt;=-1E+99"),Rates_Daily!$A$15:$A$2892,0)),"")</f>
        <v>-0.5</v>
      </c>
      <c r="L63" s="10" t="n">
        <f aca="false">IFERROR(AVERAGEIFS(Rates_Daily!E$15:E$2892,Rates_Daily!$A$15:$A$2892,"&gt;="&amp;$A63,Rates_Daily!$A$15:$A$2892,"&lt;="&amp;EOMONTH($A63,0)),"")</f>
        <v>-0.537681818181818</v>
      </c>
      <c r="M63" s="14" t="n">
        <v>-0.4568636</v>
      </c>
      <c r="N63" s="14" t="n">
        <v>-0.3911364</v>
      </c>
      <c r="O63" s="14" t="n">
        <v>-0.3300909</v>
      </c>
      <c r="P63" s="14" t="n">
        <v>-0.2534091</v>
      </c>
      <c r="Q63" s="14" t="n">
        <v>-0.391136363636364</v>
      </c>
      <c r="R63" s="14" t="n">
        <v>0.75</v>
      </c>
      <c r="S63" s="14" t="n">
        <v>0.7113</v>
      </c>
      <c r="T63" s="10" t="n">
        <f aca="false">IFERROR(AVERAGEIFS(Rates_Daily!I$15:I$2892,Rates_Daily!$A$15:$A$2892,"&gt;="&amp;$A63,Rates_Daily!$A$15:$A$2892,"&lt;="&amp;EOMONTH($A63,0)),"")</f>
        <v>0.651582649898718</v>
      </c>
      <c r="U63" s="10" t="n">
        <f aca="false">IFERROR(AVERAGEIFS(Rates_Daily!J$15:J$2892,Rates_Daily!$A$15:$A$2892,"&gt;="&amp;$A63,Rates_Daily!$A$15:$A$2892,"&lt;="&amp;EOMONTH($A63,0)),"")</f>
        <v>0.617540822866093</v>
      </c>
      <c r="V63" s="10" t="n">
        <f aca="false">IFERROR(AVERAGEIFS(Rates_Daily!K$15:K$2892,Rates_Daily!$A$15:$A$2892,"&gt;="&amp;$A63,Rates_Daily!$A$15:$A$2892,"&lt;="&amp;EOMONTH($A63,0)),"")</f>
        <v>0.576750806346822</v>
      </c>
      <c r="W63" s="10" t="n">
        <f aca="false">IFERROR(AVERAGEIFS(Rates_Daily!L$15:L$2892,Rates_Daily!$A$15:$A$2892,"&gt;="&amp;$A63,Rates_Daily!$A$15:$A$2892,"&lt;="&amp;EOMONTH($A63,0)),"")</f>
        <v>0.524874785817564</v>
      </c>
      <c r="X63" s="14" t="n">
        <v>0.74</v>
      </c>
      <c r="Y63" s="14" t="n">
        <v>1.5</v>
      </c>
      <c r="Z63" s="14" t="n">
        <v>1.49</v>
      </c>
      <c r="AA63" s="14" t="n">
        <v>1.259</v>
      </c>
      <c r="AB63" s="14" t="n">
        <v>1.267</v>
      </c>
      <c r="AC63" s="14" t="n">
        <v>1.31</v>
      </c>
      <c r="AD63" s="14" t="n">
        <v>1.83</v>
      </c>
      <c r="AE63" s="14" t="n">
        <v>1.25</v>
      </c>
      <c r="AF63" s="14" t="n">
        <v>1.27</v>
      </c>
      <c r="AG63" s="14" t="n">
        <v>1.47</v>
      </c>
      <c r="AH63" s="14" t="n">
        <v>1.45</v>
      </c>
      <c r="AI63" s="14" t="n">
        <v>1.46</v>
      </c>
      <c r="AJ63" s="14" t="n">
        <v>1.48</v>
      </c>
      <c r="AK63" s="14" t="n">
        <v>1.295</v>
      </c>
      <c r="AL63" s="14" t="n">
        <v>1.338</v>
      </c>
      <c r="AM63" s="14" t="n">
        <v>1.316</v>
      </c>
      <c r="AN63" s="14" t="n">
        <v>1.47</v>
      </c>
      <c r="AO63" s="10" t="n">
        <f aca="false">IFERROR(AVERAGEIFS(Rates_Daily!M$15:M$2892,Rates_Daily!$A$15:$A$2892,"&gt;="&amp;$A63,Rates_Daily!$A$15:$A$2892,"&lt;="&amp;EOMONTH($A63,0)),"")</f>
        <v>2.75644117647059</v>
      </c>
      <c r="AP63" s="10" t="n">
        <f aca="false">IFERROR(AVERAGEIFS(Rates_Daily!N$15:N$2892,Rates_Daily!$A$15:$A$2892,"&gt;="&amp;$A63,Rates_Daily!$A$15:$A$2892,"&lt;="&amp;EOMONTH($A63,0)),"")</f>
        <v>2.88258823529412</v>
      </c>
      <c r="AQ63" s="10" t="n">
        <f aca="false">IFERROR(AVERAGEIFS(Rates_Daily!O$15:O$2892,Rates_Daily!$A$15:$A$2892,"&gt;="&amp;$A63,Rates_Daily!$A$15:$A$2892,"&lt;="&amp;EOMONTH($A63,0)),"")</f>
        <v>2.93170588235294</v>
      </c>
      <c r="AR63" s="10" t="n">
        <f aca="false">IFERROR(AVERAGEIFS(Rates_Daily!P$15:P$2892,Rates_Daily!$A$15:$A$2892,"&gt;="&amp;$A63,Rates_Daily!$A$15:$A$2892,"&lt;="&amp;EOMONTH($A63,0)),"")</f>
        <v>3.02029411764706</v>
      </c>
      <c r="AS63" s="14" t="n">
        <v>4.15</v>
      </c>
      <c r="AT63" s="14" t="n">
        <v>4.8</v>
      </c>
      <c r="AU63" s="14" t="n">
        <v>3.67</v>
      </c>
      <c r="AV63" s="14" t="n">
        <v>4.4</v>
      </c>
      <c r="AW63" s="14" t="n">
        <v>4.5</v>
      </c>
      <c r="AX63" s="14" t="n">
        <v>0.021</v>
      </c>
      <c r="AY63" s="14" t="n">
        <v>-0.032</v>
      </c>
      <c r="AZ63" s="16" t="str">
        <f aca="false">IF(EOMONTH($A63,0)&gt;MAX(Rates_Daily!$A$15:$A$2892),"partial month","complete")</f>
        <v>complete</v>
      </c>
    </row>
    <row r="64" customFormat="false" ht="15" hidden="false" customHeight="false" outlineLevel="0" collapsed="false">
      <c r="A64" s="17" t="n">
        <v>43862</v>
      </c>
      <c r="B64" s="14" t="n">
        <v>1.58</v>
      </c>
      <c r="C64" s="10" t="n">
        <f aca="false">IFERROR(INDEX(Rates_Daily!C$15:C$2892,MATCH(_xlfn.MAXIFS(Rates_Daily!$A$15:$A$2892,Rates_Daily!$A$15:$A$2892,"&lt;="&amp;EOMONTH($A64,0),Rates_Daily!C$15:C$2892,"&gt;=-1E+99"),Rates_Daily!$A$15:$A$2892,0)),"")</f>
        <v>1.75</v>
      </c>
      <c r="D64" s="10" t="n">
        <f aca="false">IFERROR(INDEX(Rates_Daily!D$15:D$2892,MATCH(_xlfn.MAXIFS(Rates_Daily!$A$15:$A$2892,Rates_Daily!$A$15:$A$2892,"&lt;="&amp;EOMONTH($A64,0),Rates_Daily!D$15:D$2892,"&gt;=-1E+99"),Rates_Daily!$A$15:$A$2892,0)),"")</f>
        <v>1.5</v>
      </c>
      <c r="E64" s="10" t="n">
        <f aca="false">IFERROR(AVERAGEIFS(Rates_Daily!B$15:B$2892,Rates_Daily!$A$15:$A$2892,"&gt;="&amp;$A64,Rates_Daily!$A$15:$A$2892,"&lt;="&amp;EOMONTH($A64,0)),"")</f>
        <v>1.58578947368421</v>
      </c>
      <c r="F64" s="14" t="n">
        <v>1.58</v>
      </c>
      <c r="G64" s="14" t="n">
        <v>1.54</v>
      </c>
      <c r="H64" s="14" t="n">
        <v>1.51</v>
      </c>
      <c r="I64" s="14" t="n">
        <v>1.41</v>
      </c>
      <c r="J64" s="14" t="n">
        <v>1.59</v>
      </c>
      <c r="K64" s="10" t="n">
        <f aca="false">IFERROR(INDEX(Rates_Daily!F$15:F$2892,MATCH(_xlfn.MAXIFS(Rates_Daily!$A$15:$A$2892,Rates_Daily!$A$15:$A$2892,"&lt;="&amp;EOMONTH($A64,0),Rates_Daily!F$15:F$2892,"&gt;=-1E+99"),Rates_Daily!$A$15:$A$2892,0)),"")</f>
        <v>-0.5</v>
      </c>
      <c r="L64" s="10" t="n">
        <f aca="false">IFERROR(AVERAGEIFS(Rates_Daily!E$15:E$2892,Rates_Daily!$A$15:$A$2892,"&gt;="&amp;$A64,Rates_Daily!$A$15:$A$2892,"&lt;="&amp;EOMONTH($A64,0)),"")</f>
        <v>-0.5383</v>
      </c>
      <c r="M64" s="14" t="n">
        <v>-0.47315</v>
      </c>
      <c r="N64" s="14" t="n">
        <v>-0.40885</v>
      </c>
      <c r="O64" s="14" t="n">
        <v>-0.35525</v>
      </c>
      <c r="P64" s="14" t="n">
        <v>-0.2881</v>
      </c>
      <c r="Q64" s="14" t="n">
        <v>-0.40885</v>
      </c>
      <c r="R64" s="14" t="n">
        <v>0.75</v>
      </c>
      <c r="S64" s="14" t="n">
        <v>0.7104</v>
      </c>
      <c r="T64" s="10" t="n">
        <f aca="false">IFERROR(AVERAGEIFS(Rates_Daily!I$15:I$2892,Rates_Daily!$A$15:$A$2892,"&gt;="&amp;$A64,Rates_Daily!$A$15:$A$2892,"&lt;="&amp;EOMONTH($A64,0)),"")</f>
        <v>0.70769946842556</v>
      </c>
      <c r="U64" s="10" t="n">
        <f aca="false">IFERROR(AVERAGEIFS(Rates_Daily!J$15:J$2892,Rates_Daily!$A$15:$A$2892,"&gt;="&amp;$A64,Rates_Daily!$A$15:$A$2892,"&lt;="&amp;EOMONTH($A64,0)),"")</f>
        <v>0.677177649246254</v>
      </c>
      <c r="V64" s="10" t="n">
        <f aca="false">IFERROR(AVERAGEIFS(Rates_Daily!K$15:K$2892,Rates_Daily!$A$15:$A$2892,"&gt;="&amp;$A64,Rates_Daily!$A$15:$A$2892,"&lt;="&amp;EOMONTH($A64,0)),"")</f>
        <v>0.629237607209904</v>
      </c>
      <c r="W64" s="10" t="n">
        <f aca="false">IFERROR(AVERAGEIFS(Rates_Daily!L$15:L$2892,Rates_Daily!$A$15:$A$2892,"&gt;="&amp;$A64,Rates_Daily!$A$15:$A$2892,"&lt;="&amp;EOMONTH($A64,0)),"")</f>
        <v>0.562170867431159</v>
      </c>
      <c r="X64" s="14" t="n">
        <v>0.75</v>
      </c>
      <c r="Y64" s="14" t="n">
        <v>1.5</v>
      </c>
      <c r="Z64" s="14" t="n">
        <v>1.49</v>
      </c>
      <c r="AA64" s="14" t="n">
        <v>1.4</v>
      </c>
      <c r="AB64" s="14" t="n">
        <v>1.372</v>
      </c>
      <c r="AC64" s="14" t="n">
        <v>1.355</v>
      </c>
      <c r="AD64" s="14" t="n">
        <v>1.75</v>
      </c>
      <c r="AE64" s="14" t="n">
        <v>1.25</v>
      </c>
      <c r="AF64" s="14" t="n">
        <v>1.24</v>
      </c>
      <c r="AG64" s="14" t="n">
        <v>1.42</v>
      </c>
      <c r="AH64" s="14" t="n">
        <v>1.34</v>
      </c>
      <c r="AI64" s="14" t="n">
        <v>1.35</v>
      </c>
      <c r="AJ64" s="14" t="n">
        <v>1.36</v>
      </c>
      <c r="AK64" s="14" t="n">
        <v>1.207</v>
      </c>
      <c r="AL64" s="14" t="n">
        <v>1.228</v>
      </c>
      <c r="AM64" s="14" t="n">
        <v>1.214</v>
      </c>
      <c r="AN64" s="14" t="n">
        <v>1.42</v>
      </c>
      <c r="AO64" s="10" t="n">
        <f aca="false">IFERROR(AVERAGEIFS(Rates_Daily!M$15:M$2892,Rates_Daily!$A$15:$A$2892,"&gt;="&amp;$A64,Rates_Daily!$A$15:$A$2892,"&lt;="&amp;EOMONTH($A64,0)),"")</f>
        <v>2.4713</v>
      </c>
      <c r="AP64" s="10" t="n">
        <f aca="false">IFERROR(AVERAGEIFS(Rates_Daily!N$15:N$2892,Rates_Daily!$A$15:$A$2892,"&gt;="&amp;$A64,Rates_Daily!$A$15:$A$2892,"&lt;="&amp;EOMONTH($A64,0)),"")</f>
        <v>2.60115</v>
      </c>
      <c r="AQ64" s="10" t="n">
        <f aca="false">IFERROR(AVERAGEIFS(Rates_Daily!O$15:O$2892,Rates_Daily!$A$15:$A$2892,"&gt;="&amp;$A64,Rates_Daily!$A$15:$A$2892,"&lt;="&amp;EOMONTH($A64,0)),"")</f>
        <v>2.6954</v>
      </c>
      <c r="AR64" s="10" t="n">
        <f aca="false">IFERROR(AVERAGEIFS(Rates_Daily!P$15:P$2892,Rates_Daily!$A$15:$A$2892,"&gt;="&amp;$A64,Rates_Daily!$A$15:$A$2892,"&lt;="&amp;EOMONTH($A64,0)),"")</f>
        <v>2.82665</v>
      </c>
      <c r="AS64" s="14" t="n">
        <v>4.05</v>
      </c>
      <c r="AT64" s="14" t="n">
        <v>4.75</v>
      </c>
      <c r="AU64" s="14" t="n">
        <v>2.98</v>
      </c>
      <c r="AV64" s="14" t="n">
        <v>4.19</v>
      </c>
      <c r="AW64" s="14" t="n">
        <v>4.29</v>
      </c>
      <c r="AX64" s="14" t="n">
        <v>0.021</v>
      </c>
      <c r="AY64" s="14" t="n">
        <v>-0.016</v>
      </c>
      <c r="AZ64" s="16" t="str">
        <f aca="false">IF(EOMONTH($A64,0)&gt;MAX(Rates_Daily!$A$15:$A$2892),"partial month","complete")</f>
        <v>complete</v>
      </c>
    </row>
    <row r="65" customFormat="false" ht="15" hidden="false" customHeight="false" outlineLevel="0" collapsed="false">
      <c r="A65" s="17" t="n">
        <v>43891</v>
      </c>
      <c r="B65" s="14" t="n">
        <v>0.65</v>
      </c>
      <c r="C65" s="10" t="n">
        <f aca="false">IFERROR(INDEX(Rates_Daily!C$15:C$2892,MATCH(_xlfn.MAXIFS(Rates_Daily!$A$15:$A$2892,Rates_Daily!$A$15:$A$2892,"&lt;="&amp;EOMONTH($A65,0),Rates_Daily!C$15:C$2892,"&gt;=-1E+99"),Rates_Daily!$A$15:$A$2892,0)),"")</f>
        <v>0.25</v>
      </c>
      <c r="D65" s="10" t="n">
        <f aca="false">IFERROR(INDEX(Rates_Daily!D$15:D$2892,MATCH(_xlfn.MAXIFS(Rates_Daily!$A$15:$A$2892,Rates_Daily!$A$15:$A$2892,"&lt;="&amp;EOMONTH($A65,0),Rates_Daily!D$15:D$2892,"&gt;=-1E+99"),Rates_Daily!$A$15:$A$2892,0)),"")</f>
        <v>0</v>
      </c>
      <c r="E65" s="10" t="n">
        <f aca="false">IFERROR(AVERAGEIFS(Rates_Daily!B$15:B$2892,Rates_Daily!$A$15:$A$2892,"&gt;="&amp;$A65,Rates_Daily!$A$15:$A$2892,"&lt;="&amp;EOMONTH($A65,0)),"")</f>
        <v>0.609545454545455</v>
      </c>
      <c r="F65" s="14" t="n">
        <v>0.37</v>
      </c>
      <c r="G65" s="14" t="n">
        <v>0.3</v>
      </c>
      <c r="H65" s="14" t="n">
        <v>0.3</v>
      </c>
      <c r="I65" s="14" t="n">
        <v>0.33</v>
      </c>
      <c r="J65" s="14" t="n">
        <v>1.35</v>
      </c>
      <c r="K65" s="10" t="n">
        <f aca="false">IFERROR(INDEX(Rates_Daily!F$15:F$2892,MATCH(_xlfn.MAXIFS(Rates_Daily!$A$15:$A$2892,Rates_Daily!$A$15:$A$2892,"&lt;="&amp;EOMONTH($A65,0),Rates_Daily!F$15:F$2892,"&gt;=-1E+99"),Rates_Daily!$A$15:$A$2892,0)),"")</f>
        <v>-0.5</v>
      </c>
      <c r="L65" s="10" t="n">
        <f aca="false">IFERROR(AVERAGEIFS(Rates_Daily!E$15:E$2892,Rates_Daily!$A$15:$A$2892,"&gt;="&amp;$A65,Rates_Daily!$A$15:$A$2892,"&lt;="&amp;EOMONTH($A65,0)),"")</f>
        <v>-0.533818181818182</v>
      </c>
      <c r="M65" s="14" t="n">
        <v>-0.4776818</v>
      </c>
      <c r="N65" s="14" t="n">
        <v>-0.4166364</v>
      </c>
      <c r="O65" s="14" t="n">
        <v>-0.3648636</v>
      </c>
      <c r="P65" s="14" t="n">
        <v>-0.2656364</v>
      </c>
      <c r="Q65" s="14" t="n">
        <v>-0.416636363636364</v>
      </c>
      <c r="R65" s="14" t="n">
        <v>0.3477</v>
      </c>
      <c r="S65" s="14" t="n">
        <v>0.3192</v>
      </c>
      <c r="T65" s="10" t="n">
        <f aca="false">IFERROR(AVERAGEIFS(Rates_Daily!I$15:I$2892,Rates_Daily!$A$15:$A$2892,"&gt;="&amp;$A65,Rates_Daily!$A$15:$A$2892,"&lt;="&amp;EOMONTH($A65,0)),"")</f>
        <v>0.235194819502561</v>
      </c>
      <c r="U65" s="10" t="n">
        <f aca="false">IFERROR(AVERAGEIFS(Rates_Daily!J$15:J$2892,Rates_Daily!$A$15:$A$2892,"&gt;="&amp;$A65,Rates_Daily!$A$15:$A$2892,"&lt;="&amp;EOMONTH($A65,0)),"")</f>
        <v>0.196081091710995</v>
      </c>
      <c r="V65" s="10" t="n">
        <f aca="false">IFERROR(AVERAGEIFS(Rates_Daily!K$15:K$2892,Rates_Daily!$A$15:$A$2892,"&gt;="&amp;$A65,Rates_Daily!$A$15:$A$2892,"&lt;="&amp;EOMONTH($A65,0)),"")</f>
        <v>0.177176879036273</v>
      </c>
      <c r="W65" s="10" t="n">
        <f aca="false">IFERROR(AVERAGEIFS(Rates_Daily!L$15:L$2892,Rates_Daily!$A$15:$A$2892,"&gt;="&amp;$A65,Rates_Daily!$A$15:$A$2892,"&lt;="&amp;EOMONTH($A65,0)),"")</f>
        <v>0.173606946772847</v>
      </c>
      <c r="X65" s="14" t="n">
        <v>0.53</v>
      </c>
      <c r="Y65" s="14" t="n">
        <v>0.99</v>
      </c>
      <c r="Z65" s="14" t="n">
        <v>0.98</v>
      </c>
      <c r="AA65" s="14" t="n">
        <v>0.539</v>
      </c>
      <c r="AB65" s="14" t="n">
        <v>0.527</v>
      </c>
      <c r="AC65" s="14" t="n">
        <v>0.519</v>
      </c>
      <c r="AD65" s="14" t="n">
        <v>1.39</v>
      </c>
      <c r="AE65" s="14" t="n">
        <v>0.75</v>
      </c>
      <c r="AF65" s="14" t="n">
        <v>0.98</v>
      </c>
      <c r="AG65" s="14" t="n">
        <v>1.23</v>
      </c>
      <c r="AH65" s="14" t="n">
        <v>1.16</v>
      </c>
      <c r="AI65" s="14" t="n">
        <v>1.18</v>
      </c>
      <c r="AJ65" s="14" t="n">
        <v>1.22</v>
      </c>
      <c r="AK65" s="14" t="n">
        <v>0.996</v>
      </c>
      <c r="AL65" s="14" t="n">
        <v>1.047</v>
      </c>
      <c r="AM65" s="14" t="n">
        <v>1.03</v>
      </c>
      <c r="AN65" s="14" t="n">
        <v>1.23</v>
      </c>
      <c r="AO65" s="10" t="n">
        <f aca="false">IFERROR(AVERAGEIFS(Rates_Daily!M$15:M$2892,Rates_Daily!$A$15:$A$2892,"&gt;="&amp;$A65,Rates_Daily!$A$15:$A$2892,"&lt;="&amp;EOMONTH($A65,0)),"")</f>
        <v>2.04381818181818</v>
      </c>
      <c r="AP65" s="10" t="n">
        <f aca="false">IFERROR(AVERAGEIFS(Rates_Daily!N$15:N$2892,Rates_Daily!$A$15:$A$2892,"&gt;="&amp;$A65,Rates_Daily!$A$15:$A$2892,"&lt;="&amp;EOMONTH($A65,0)),"")</f>
        <v>2.15309090909091</v>
      </c>
      <c r="AQ65" s="10" t="n">
        <f aca="false">IFERROR(AVERAGEIFS(Rates_Daily!O$15:O$2892,Rates_Daily!$A$15:$A$2892,"&gt;="&amp;$A65,Rates_Daily!$A$15:$A$2892,"&lt;="&amp;EOMONTH($A65,0)),"")</f>
        <v>2.2935</v>
      </c>
      <c r="AR65" s="10" t="n">
        <f aca="false">IFERROR(AVERAGEIFS(Rates_Daily!P$15:P$2892,Rates_Daily!$A$15:$A$2892,"&gt;="&amp;$A65,Rates_Daily!$A$15:$A$2892,"&lt;="&amp;EOMONTH($A65,0)),"")</f>
        <v>2.4905</v>
      </c>
      <c r="AS65" s="14" t="n">
        <v>4.05</v>
      </c>
      <c r="AT65" s="14" t="n">
        <v>4.75</v>
      </c>
      <c r="AU65" s="14" t="n">
        <v>2.55</v>
      </c>
      <c r="AV65" s="14" t="n">
        <v>3.95</v>
      </c>
      <c r="AW65" s="14" t="n">
        <v>4.04</v>
      </c>
      <c r="AX65" s="14" t="n">
        <v>0.006</v>
      </c>
      <c r="AY65" s="14" t="n">
        <v>-0.047</v>
      </c>
      <c r="AZ65" s="16" t="str">
        <f aca="false">IF(EOMONTH($A65,0)&gt;MAX(Rates_Daily!$A$15:$A$2892),"partial month","complete")</f>
        <v>complete</v>
      </c>
    </row>
    <row r="66" customFormat="false" ht="15" hidden="false" customHeight="false" outlineLevel="0" collapsed="false">
      <c r="A66" s="17" t="n">
        <v>43922</v>
      </c>
      <c r="B66" s="14" t="n">
        <v>0.05</v>
      </c>
      <c r="C66" s="10" t="n">
        <f aca="false">IFERROR(INDEX(Rates_Daily!C$15:C$2892,MATCH(_xlfn.MAXIFS(Rates_Daily!$A$15:$A$2892,Rates_Daily!$A$15:$A$2892,"&lt;="&amp;EOMONTH($A66,0),Rates_Daily!C$15:C$2892,"&gt;=-1E+99"),Rates_Daily!$A$15:$A$2892,0)),"")</f>
        <v>0.25</v>
      </c>
      <c r="D66" s="10" t="n">
        <f aca="false">IFERROR(INDEX(Rates_Daily!D$15:D$2892,MATCH(_xlfn.MAXIFS(Rates_Daily!$A$15:$A$2892,Rates_Daily!$A$15:$A$2892,"&lt;="&amp;EOMONTH($A66,0),Rates_Daily!D$15:D$2892,"&gt;=-1E+99"),Rates_Daily!$A$15:$A$2892,0)),"")</f>
        <v>0</v>
      </c>
      <c r="E66" s="10" t="n">
        <f aca="false">IFERROR(AVERAGEIFS(Rates_Daily!B$15:B$2892,Rates_Daily!$A$15:$A$2892,"&gt;="&amp;$A66,Rates_Daily!$A$15:$A$2892,"&lt;="&amp;EOMONTH($A66,0)),"")</f>
        <v>0.0195238095238095</v>
      </c>
      <c r="F66" s="14" t="n">
        <v>0.11</v>
      </c>
      <c r="G66" s="14" t="n">
        <v>0.14</v>
      </c>
      <c r="H66" s="14" t="n">
        <v>0.17</v>
      </c>
      <c r="I66" s="14" t="n">
        <v>0.18</v>
      </c>
      <c r="K66" s="10" t="n">
        <f aca="false">IFERROR(INDEX(Rates_Daily!F$15:F$2892,MATCH(_xlfn.MAXIFS(Rates_Daily!$A$15:$A$2892,Rates_Daily!$A$15:$A$2892,"&lt;="&amp;EOMONTH($A66,0),Rates_Daily!F$15:F$2892,"&gt;=-1E+99"),Rates_Daily!$A$15:$A$2892,0)),"")</f>
        <v>-0.5</v>
      </c>
      <c r="L66" s="10" t="n">
        <f aca="false">IFERROR(AVERAGEIFS(Rates_Daily!E$15:E$2892,Rates_Daily!$A$15:$A$2892,"&gt;="&amp;$A66,Rates_Daily!$A$15:$A$2892,"&lt;="&amp;EOMONTH($A66,0)),"")</f>
        <v>-0.53655</v>
      </c>
      <c r="M66" s="14" t="n">
        <v>-0.4281</v>
      </c>
      <c r="N66" s="14" t="n">
        <v>-0.25405</v>
      </c>
      <c r="O66" s="14" t="n">
        <v>-0.192</v>
      </c>
      <c r="P66" s="14" t="n">
        <v>-0.1082</v>
      </c>
      <c r="Q66" s="14" t="n">
        <v>-0.25405</v>
      </c>
      <c r="R66" s="14" t="n">
        <v>0.1</v>
      </c>
      <c r="S66" s="14" t="n">
        <v>0.0659</v>
      </c>
      <c r="T66" s="10" t="n">
        <f aca="false">IFERROR(AVERAGEIFS(Rates_Daily!I$15:I$2892,Rates_Daily!$A$15:$A$2892,"&gt;="&amp;$A66,Rates_Daily!$A$15:$A$2892,"&lt;="&amp;EOMONTH($A66,0)),"")</f>
        <v>0.0698265814513879</v>
      </c>
      <c r="U66" s="10" t="n">
        <f aca="false">IFERROR(AVERAGEIFS(Rates_Daily!J$15:J$2892,Rates_Daily!$A$15:$A$2892,"&gt;="&amp;$A66,Rates_Daily!$A$15:$A$2892,"&lt;="&amp;EOMONTH($A66,0)),"")</f>
        <v>0.0724920148105994</v>
      </c>
      <c r="V66" s="10" t="n">
        <f aca="false">IFERROR(AVERAGEIFS(Rates_Daily!K$15:K$2892,Rates_Daily!$A$15:$A$2892,"&gt;="&amp;$A66,Rates_Daily!$A$15:$A$2892,"&lt;="&amp;EOMONTH($A66,0)),"")</f>
        <v>0.0752452047333439</v>
      </c>
      <c r="W66" s="10" t="n">
        <f aca="false">IFERROR(AVERAGEIFS(Rates_Daily!L$15:L$2892,Rates_Daily!$A$15:$A$2892,"&gt;="&amp;$A66,Rates_Daily!$A$15:$A$2892,"&lt;="&amp;EOMONTH($A66,0)),"")</f>
        <v>0.0858872421423726</v>
      </c>
      <c r="X66" s="14" t="n">
        <v>0.65</v>
      </c>
      <c r="Y66" s="14" t="n">
        <v>0.25</v>
      </c>
      <c r="Z66" s="14" t="n">
        <v>0.24</v>
      </c>
      <c r="AA66" s="14" t="n">
        <v>0.146</v>
      </c>
      <c r="AB66" s="14" t="n">
        <v>0.186</v>
      </c>
      <c r="AC66" s="14" t="n">
        <v>0.215</v>
      </c>
      <c r="AD66" s="14" t="n">
        <v>0.76</v>
      </c>
      <c r="AE66" s="14" t="n">
        <v>0.75</v>
      </c>
      <c r="AF66" s="14" t="n">
        <v>0.74</v>
      </c>
      <c r="AG66" s="14" t="n">
        <v>1.1</v>
      </c>
      <c r="AH66" s="14" t="n">
        <v>1.06</v>
      </c>
      <c r="AI66" s="14" t="n">
        <v>1.08</v>
      </c>
      <c r="AJ66" s="14" t="n">
        <v>1.16</v>
      </c>
      <c r="AK66" s="14" t="n">
        <v>0.76</v>
      </c>
      <c r="AL66" s="14" t="n">
        <v>0.873</v>
      </c>
      <c r="AM66" s="14" t="n">
        <v>0.893</v>
      </c>
      <c r="AN66" s="14" t="n">
        <v>1.1</v>
      </c>
      <c r="AO66" s="10" t="n">
        <f aca="false">IFERROR(AVERAGEIFS(Rates_Daily!M$15:M$2892,Rates_Daily!$A$15:$A$2892,"&gt;="&amp;$A66,Rates_Daily!$A$15:$A$2892,"&lt;="&amp;EOMONTH($A66,0)),"")</f>
        <v>1.4155</v>
      </c>
      <c r="AP66" s="10" t="n">
        <f aca="false">IFERROR(AVERAGEIFS(Rates_Daily!N$15:N$2892,Rates_Daily!$A$15:$A$2892,"&gt;="&amp;$A66,Rates_Daily!$A$15:$A$2892,"&lt;="&amp;EOMONTH($A66,0)),"")</f>
        <v>1.51272727272727</v>
      </c>
      <c r="AQ66" s="10" t="n">
        <f aca="false">IFERROR(AVERAGEIFS(Rates_Daily!O$15:O$2892,Rates_Daily!$A$15:$A$2892,"&gt;="&amp;$A66,Rates_Daily!$A$15:$A$2892,"&lt;="&amp;EOMONTH($A66,0)),"")</f>
        <v>1.60890909090909</v>
      </c>
      <c r="AR66" s="10" t="n">
        <f aca="false">IFERROR(AVERAGEIFS(Rates_Daily!P$15:P$2892,Rates_Daily!$A$15:$A$2892,"&gt;="&amp;$A66,Rates_Daily!$A$15:$A$2892,"&lt;="&amp;EOMONTH($A66,0)),"")</f>
        <v>1.80190909090909</v>
      </c>
      <c r="AS66" s="14" t="n">
        <v>3.85</v>
      </c>
      <c r="AT66" s="14" t="n">
        <v>4.65</v>
      </c>
      <c r="AU66" s="14" t="n">
        <v>2.32</v>
      </c>
      <c r="AV66" s="14" t="n">
        <v>3.65</v>
      </c>
      <c r="AW66" s="14" t="n">
        <v>3.75</v>
      </c>
      <c r="AX66" s="14" t="n">
        <v>-0.039</v>
      </c>
      <c r="AY66" s="14" t="n">
        <v>-0.036</v>
      </c>
      <c r="AZ66" s="16" t="str">
        <f aca="false">IF(EOMONTH($A66,0)&gt;MAX(Rates_Daily!$A$15:$A$2892),"partial month","complete")</f>
        <v>complete</v>
      </c>
    </row>
    <row r="67" customFormat="false" ht="15" hidden="false" customHeight="false" outlineLevel="0" collapsed="false">
      <c r="A67" s="17" t="n">
        <v>43952</v>
      </c>
      <c r="B67" s="14" t="n">
        <v>0.05</v>
      </c>
      <c r="C67" s="10" t="n">
        <f aca="false">IFERROR(INDEX(Rates_Daily!C$15:C$2892,MATCH(_xlfn.MAXIFS(Rates_Daily!$A$15:$A$2892,Rates_Daily!$A$15:$A$2892,"&lt;="&amp;EOMONTH($A67,0),Rates_Daily!C$15:C$2892,"&gt;=-1E+99"),Rates_Daily!$A$15:$A$2892,0)),"")</f>
        <v>0.25</v>
      </c>
      <c r="D67" s="10" t="n">
        <f aca="false">IFERROR(INDEX(Rates_Daily!D$15:D$2892,MATCH(_xlfn.MAXIFS(Rates_Daily!$A$15:$A$2892,Rates_Daily!$A$15:$A$2892,"&lt;="&amp;EOMONTH($A67,0),Rates_Daily!D$15:D$2892,"&gt;=-1E+99"),Rates_Daily!$A$15:$A$2892,0)),"")</f>
        <v>0</v>
      </c>
      <c r="E67" s="10" t="n">
        <f aca="false">IFERROR(AVERAGEIFS(Rates_Daily!B$15:B$2892,Rates_Daily!$A$15:$A$2892,"&gt;="&amp;$A67,Rates_Daily!$A$15:$A$2892,"&lt;="&amp;EOMONTH($A67,0)),"")</f>
        <v>0.0455</v>
      </c>
      <c r="F67" s="14" t="n">
        <v>0.1</v>
      </c>
      <c r="G67" s="14" t="n">
        <v>0.13</v>
      </c>
      <c r="H67" s="14" t="n">
        <v>0.15</v>
      </c>
      <c r="I67" s="14" t="n">
        <v>0.16</v>
      </c>
      <c r="J67" s="14" t="n">
        <v>0.17</v>
      </c>
      <c r="K67" s="10" t="n">
        <f aca="false">IFERROR(INDEX(Rates_Daily!F$15:F$2892,MATCH(_xlfn.MAXIFS(Rates_Daily!$A$15:$A$2892,Rates_Daily!$A$15:$A$2892,"&lt;="&amp;EOMONTH($A67,0),Rates_Daily!F$15:F$2892,"&gt;=-1E+99"),Rates_Daily!$A$15:$A$2892,0)),"")</f>
        <v>-0.5</v>
      </c>
      <c r="L67" s="10" t="n">
        <f aca="false">IFERROR(AVERAGEIFS(Rates_Daily!E$15:E$2892,Rates_Daily!$A$15:$A$2892,"&gt;="&amp;$A67,Rates_Daily!$A$15:$A$2892,"&lt;="&amp;EOMONTH($A67,0)),"")</f>
        <v>-0.54175</v>
      </c>
      <c r="M67" s="14" t="n">
        <v>-0.46435</v>
      </c>
      <c r="N67" s="14" t="n">
        <v>-0.27195</v>
      </c>
      <c r="O67" s="14" t="n">
        <v>-0.14305</v>
      </c>
      <c r="P67" s="14" t="n">
        <v>-0.08135</v>
      </c>
      <c r="Q67" s="14" t="n">
        <v>-0.27195</v>
      </c>
      <c r="R67" s="14" t="n">
        <v>0.1</v>
      </c>
      <c r="S67" s="14" t="n">
        <v>0.0674</v>
      </c>
      <c r="T67" s="10" t="n">
        <f aca="false">IFERROR(AVERAGEIFS(Rates_Daily!I$15:I$2892,Rates_Daily!$A$15:$A$2892,"&gt;="&amp;$A67,Rates_Daily!$A$15:$A$2892,"&lt;="&amp;EOMONTH($A67,0)),"")</f>
        <v>0.0666011228730836</v>
      </c>
      <c r="U67" s="10" t="n">
        <f aca="false">IFERROR(AVERAGEIFS(Rates_Daily!J$15:J$2892,Rates_Daily!$A$15:$A$2892,"&gt;="&amp;$A67,Rates_Daily!$A$15:$A$2892,"&lt;="&amp;EOMONTH($A67,0)),"")</f>
        <v>0.0624531267191797</v>
      </c>
      <c r="V67" s="10" t="n">
        <f aca="false">IFERROR(AVERAGEIFS(Rates_Daily!K$15:K$2892,Rates_Daily!$A$15:$A$2892,"&gt;="&amp;$A67,Rates_Daily!$A$15:$A$2892,"&lt;="&amp;EOMONTH($A67,0)),"")</f>
        <v>0.0527796860819002</v>
      </c>
      <c r="W67" s="10" t="n">
        <f aca="false">IFERROR(AVERAGEIFS(Rates_Daily!L$15:L$2892,Rates_Daily!$A$15:$A$2892,"&gt;="&amp;$A67,Rates_Daily!$A$15:$A$2892,"&lt;="&amp;EOMONTH($A67,0)),"")</f>
        <v>0.0328327278816085</v>
      </c>
      <c r="X67" s="14" t="n">
        <v>0.33</v>
      </c>
      <c r="Y67" s="14" t="n">
        <v>0.05</v>
      </c>
      <c r="Z67" s="14" t="n">
        <v>0.05</v>
      </c>
      <c r="AA67" s="14" t="n">
        <v>0.031</v>
      </c>
      <c r="AB67" s="14" t="n">
        <v>0.038</v>
      </c>
      <c r="AC67" s="14" t="n">
        <v>0.042</v>
      </c>
      <c r="AD67" s="14" t="n">
        <v>0.3</v>
      </c>
      <c r="AE67" s="14" t="n">
        <v>0.5</v>
      </c>
      <c r="AF67" s="14" t="n">
        <v>0.7</v>
      </c>
      <c r="AG67" s="14" t="n">
        <v>1.02</v>
      </c>
      <c r="AH67" s="14" t="n">
        <v>0.91</v>
      </c>
      <c r="AI67" s="14" t="n">
        <v>0.93</v>
      </c>
      <c r="AJ67" s="14" t="n">
        <v>1.04</v>
      </c>
      <c r="AK67" s="14" t="n">
        <v>0.671</v>
      </c>
      <c r="AL67" s="14" t="n">
        <v>0.735</v>
      </c>
      <c r="AM67" s="14" t="n">
        <v>0.779</v>
      </c>
      <c r="AN67" s="14" t="n">
        <v>1.02</v>
      </c>
      <c r="AO67" s="10" t="n">
        <f aca="false">IFERROR(AVERAGEIFS(Rates_Daily!M$15:M$2892,Rates_Daily!$A$15:$A$2892,"&gt;="&amp;$A67,Rates_Daily!$A$15:$A$2892,"&lt;="&amp;EOMONTH($A67,0)),"")</f>
        <v>1.32189473684211</v>
      </c>
      <c r="AP67" s="10" t="n">
        <f aca="false">IFERROR(AVERAGEIFS(Rates_Daily!N$15:N$2892,Rates_Daily!$A$15:$A$2892,"&gt;="&amp;$A67,Rates_Daily!$A$15:$A$2892,"&lt;="&amp;EOMONTH($A67,0)),"")</f>
        <v>1.40473684210526</v>
      </c>
      <c r="AQ67" s="10" t="n">
        <f aca="false">IFERROR(AVERAGEIFS(Rates_Daily!O$15:O$2892,Rates_Daily!$A$15:$A$2892,"&gt;="&amp;$A67,Rates_Daily!$A$15:$A$2892,"&lt;="&amp;EOMONTH($A67,0)),"")</f>
        <v>1.49942105263158</v>
      </c>
      <c r="AR67" s="10" t="n">
        <f aca="false">IFERROR(AVERAGEIFS(Rates_Daily!P$15:P$2892,Rates_Daily!$A$15:$A$2892,"&gt;="&amp;$A67,Rates_Daily!$A$15:$A$2892,"&lt;="&amp;EOMONTH($A67,0)),"")</f>
        <v>1.70578947368421</v>
      </c>
      <c r="AS67" s="14" t="n">
        <v>3.85</v>
      </c>
      <c r="AT67" s="14" t="n">
        <v>4.65</v>
      </c>
      <c r="AU67" s="14" t="n">
        <v>2.13</v>
      </c>
      <c r="AV67" s="14" t="n">
        <v>3.01</v>
      </c>
      <c r="AW67" s="14" t="n">
        <v>3.15</v>
      </c>
      <c r="AX67" s="14" t="n">
        <v>-0.042</v>
      </c>
      <c r="AY67" s="14" t="n">
        <v>-0.047</v>
      </c>
      <c r="AZ67" s="16" t="str">
        <f aca="false">IF(EOMONTH($A67,0)&gt;MAX(Rates_Daily!$A$15:$A$2892),"partial month","complete")</f>
        <v>complete</v>
      </c>
    </row>
    <row r="68" customFormat="false" ht="15" hidden="false" customHeight="false" outlineLevel="0" collapsed="false">
      <c r="A68" s="17" t="n">
        <v>43983</v>
      </c>
      <c r="B68" s="14" t="n">
        <v>0.08</v>
      </c>
      <c r="C68" s="10" t="n">
        <f aca="false">IFERROR(INDEX(Rates_Daily!C$15:C$2892,MATCH(_xlfn.MAXIFS(Rates_Daily!$A$15:$A$2892,Rates_Daily!$A$15:$A$2892,"&lt;="&amp;EOMONTH($A68,0),Rates_Daily!C$15:C$2892,"&gt;=-1E+99"),Rates_Daily!$A$15:$A$2892,0)),"")</f>
        <v>0.25</v>
      </c>
      <c r="D68" s="10" t="n">
        <f aca="false">IFERROR(INDEX(Rates_Daily!D$15:D$2892,MATCH(_xlfn.MAXIFS(Rates_Daily!$A$15:$A$2892,Rates_Daily!$A$15:$A$2892,"&lt;="&amp;EOMONTH($A68,0),Rates_Daily!D$15:D$2892,"&gt;=-1E+99"),Rates_Daily!$A$15:$A$2892,0)),"")</f>
        <v>0</v>
      </c>
      <c r="E68" s="10" t="n">
        <f aca="false">IFERROR(AVERAGEIFS(Rates_Daily!B$15:B$2892,Rates_Daily!$A$15:$A$2892,"&gt;="&amp;$A68,Rates_Daily!$A$15:$A$2892,"&lt;="&amp;EOMONTH($A68,0)),"")</f>
        <v>0.0790909090909091</v>
      </c>
      <c r="F68" s="14" t="n">
        <v>0.13</v>
      </c>
      <c r="G68" s="14" t="n">
        <v>0.16</v>
      </c>
      <c r="H68" s="14" t="n">
        <v>0.18</v>
      </c>
      <c r="I68" s="14" t="n">
        <v>0.18</v>
      </c>
      <c r="J68" s="14" t="n">
        <v>0.2</v>
      </c>
      <c r="K68" s="10" t="n">
        <f aca="false">IFERROR(INDEX(Rates_Daily!F$15:F$2892,MATCH(_xlfn.MAXIFS(Rates_Daily!$A$15:$A$2892,Rates_Daily!$A$15:$A$2892,"&lt;="&amp;EOMONTH($A68,0),Rates_Daily!F$15:F$2892,"&gt;=-1E+99"),Rates_Daily!$A$15:$A$2892,0)),"")</f>
        <v>-0.5</v>
      </c>
      <c r="L68" s="10" t="n">
        <f aca="false">IFERROR(AVERAGEIFS(Rates_Daily!E$15:E$2892,Rates_Daily!$A$15:$A$2892,"&gt;="&amp;$A68,Rates_Daily!$A$15:$A$2892,"&lt;="&amp;EOMONTH($A68,0)),"")</f>
        <v>-0.545727272727273</v>
      </c>
      <c r="M68" s="14" t="n">
        <v>-0.4928636</v>
      </c>
      <c r="N68" s="14" t="n">
        <v>-0.376</v>
      </c>
      <c r="O68" s="14" t="n">
        <v>-0.2226818</v>
      </c>
      <c r="P68" s="14" t="n">
        <v>-0.1474545</v>
      </c>
      <c r="Q68" s="14" t="n">
        <v>-0.376</v>
      </c>
      <c r="R68" s="14" t="n">
        <v>0.1</v>
      </c>
      <c r="S68" s="14" t="n">
        <v>0.0646</v>
      </c>
      <c r="T68" s="10" t="n">
        <f aca="false">IFERROR(AVERAGEIFS(Rates_Daily!I$15:I$2892,Rates_Daily!$A$15:$A$2892,"&gt;="&amp;$A68,Rates_Daily!$A$15:$A$2892,"&lt;="&amp;EOMONTH($A68,0)),"")</f>
        <v>0.0651738807358765</v>
      </c>
      <c r="U68" s="10" t="n">
        <f aca="false">IFERROR(AVERAGEIFS(Rates_Daily!J$15:J$2892,Rates_Daily!$A$15:$A$2892,"&gt;="&amp;$A68,Rates_Daily!$A$15:$A$2892,"&lt;="&amp;EOMONTH($A68,0)),"")</f>
        <v>0.0601203424537309</v>
      </c>
      <c r="V68" s="10" t="n">
        <f aca="false">IFERROR(AVERAGEIFS(Rates_Daily!K$15:K$2892,Rates_Daily!$A$15:$A$2892,"&gt;="&amp;$A68,Rates_Daily!$A$15:$A$2892,"&lt;="&amp;EOMONTH($A68,0)),"")</f>
        <v>0.0492073410940277</v>
      </c>
      <c r="W68" s="10" t="n">
        <f aca="false">IFERROR(AVERAGEIFS(Rates_Daily!L$15:L$2892,Rates_Daily!$A$15:$A$2892,"&gt;="&amp;$A68,Rates_Daily!$A$15:$A$2892,"&lt;="&amp;EOMONTH($A68,0)),"")</f>
        <v>0.0251400940211255</v>
      </c>
      <c r="X68" s="14" t="n">
        <v>0.19</v>
      </c>
      <c r="Y68" s="14" t="n">
        <v>0</v>
      </c>
      <c r="Z68" s="14" t="n">
        <v>0</v>
      </c>
      <c r="AA68" s="14" t="n">
        <v>0.031</v>
      </c>
      <c r="AB68" s="14" t="n">
        <v>0.037</v>
      </c>
      <c r="AC68" s="14" t="n">
        <v>0.055</v>
      </c>
      <c r="AD68" s="14" t="n">
        <v>0.34</v>
      </c>
      <c r="AE68" s="14" t="n">
        <v>0.5</v>
      </c>
      <c r="AF68" s="14" t="n">
        <v>0.48</v>
      </c>
      <c r="AG68" s="14" t="n">
        <v>0.79</v>
      </c>
      <c r="AH68" s="14" t="n">
        <v>0.67</v>
      </c>
      <c r="AI68" s="14" t="n">
        <v>0.7</v>
      </c>
      <c r="AJ68" s="14" t="n">
        <v>0.88</v>
      </c>
      <c r="AK68" s="14" t="n">
        <v>0.612</v>
      </c>
      <c r="AL68" s="14" t="n">
        <v>0.672</v>
      </c>
      <c r="AM68" s="14" t="n">
        <v>0.719</v>
      </c>
      <c r="AN68" s="14" t="n">
        <v>0.79</v>
      </c>
      <c r="AO68" s="10" t="n">
        <f aca="false">IFERROR(AVERAGEIFS(Rates_Daily!M$15:M$2892,Rates_Daily!$A$15:$A$2892,"&gt;="&amp;$A68,Rates_Daily!$A$15:$A$2892,"&lt;="&amp;EOMONTH($A68,0)),"")</f>
        <v>1.84661904761905</v>
      </c>
      <c r="AP68" s="10" t="n">
        <f aca="false">IFERROR(AVERAGEIFS(Rates_Daily!N$15:N$2892,Rates_Daily!$A$15:$A$2892,"&gt;="&amp;$A68,Rates_Daily!$A$15:$A$2892,"&lt;="&amp;EOMONTH($A68,0)),"")</f>
        <v>1.88319047619048</v>
      </c>
      <c r="AQ68" s="10" t="n">
        <f aca="false">IFERROR(AVERAGEIFS(Rates_Daily!O$15:O$2892,Rates_Daily!$A$15:$A$2892,"&gt;="&amp;$A68,Rates_Daily!$A$15:$A$2892,"&lt;="&amp;EOMONTH($A68,0)),"")</f>
        <v>1.9407619047619</v>
      </c>
      <c r="AR68" s="10" t="n">
        <f aca="false">IFERROR(AVERAGEIFS(Rates_Daily!P$15:P$2892,Rates_Daily!$A$15:$A$2892,"&gt;="&amp;$A68,Rates_Daily!$A$15:$A$2892,"&lt;="&amp;EOMONTH($A68,0)),"")</f>
        <v>2.135</v>
      </c>
      <c r="AS68" s="14" t="n">
        <v>3.85</v>
      </c>
      <c r="AT68" s="14" t="n">
        <v>4.65</v>
      </c>
      <c r="AU68" s="14" t="n">
        <v>2.54</v>
      </c>
      <c r="AV68" s="14" t="n">
        <v>2.58</v>
      </c>
      <c r="AW68" s="14" t="n">
        <v>2.68</v>
      </c>
      <c r="AX68" s="14" t="n">
        <v>-0.042</v>
      </c>
      <c r="AY68" s="14" t="n">
        <v>-0.048</v>
      </c>
      <c r="AZ68" s="16" t="str">
        <f aca="false">IF(EOMONTH($A68,0)&gt;MAX(Rates_Daily!$A$15:$A$2892),"partial month","complete")</f>
        <v>complete</v>
      </c>
    </row>
    <row r="69" customFormat="false" ht="15" hidden="false" customHeight="false" outlineLevel="0" collapsed="false">
      <c r="A69" s="17" t="n">
        <v>44013</v>
      </c>
      <c r="B69" s="14" t="n">
        <v>0.09</v>
      </c>
      <c r="C69" s="10" t="n">
        <f aca="false">IFERROR(INDEX(Rates_Daily!C$15:C$2892,MATCH(_xlfn.MAXIFS(Rates_Daily!$A$15:$A$2892,Rates_Daily!$A$15:$A$2892,"&lt;="&amp;EOMONTH($A69,0),Rates_Daily!C$15:C$2892,"&gt;=-1E+99"),Rates_Daily!$A$15:$A$2892,0)),"")</f>
        <v>0.25</v>
      </c>
      <c r="D69" s="10" t="n">
        <f aca="false">IFERROR(INDEX(Rates_Daily!D$15:D$2892,MATCH(_xlfn.MAXIFS(Rates_Daily!$A$15:$A$2892,Rates_Daily!$A$15:$A$2892,"&lt;="&amp;EOMONTH($A69,0),Rates_Daily!D$15:D$2892,"&gt;=-1E+99"),Rates_Daily!$A$15:$A$2892,0)),"")</f>
        <v>0</v>
      </c>
      <c r="E69" s="10" t="n">
        <f aca="false">IFERROR(AVERAGEIFS(Rates_Daily!B$15:B$2892,Rates_Daily!$A$15:$A$2892,"&gt;="&amp;$A69,Rates_Daily!$A$15:$A$2892,"&lt;="&amp;EOMONTH($A69,0)),"")</f>
        <v>0.105454545454545</v>
      </c>
      <c r="F69" s="14" t="n">
        <v>0.11</v>
      </c>
      <c r="G69" s="14" t="n">
        <v>0.13</v>
      </c>
      <c r="H69" s="14" t="n">
        <v>0.14</v>
      </c>
      <c r="I69" s="14" t="n">
        <v>0.15</v>
      </c>
      <c r="J69" s="14" t="n">
        <v>0.18</v>
      </c>
      <c r="K69" s="10" t="n">
        <f aca="false">IFERROR(INDEX(Rates_Daily!F$15:F$2892,MATCH(_xlfn.MAXIFS(Rates_Daily!$A$15:$A$2892,Rates_Daily!$A$15:$A$2892,"&lt;="&amp;EOMONTH($A69,0),Rates_Daily!F$15:F$2892,"&gt;=-1E+99"),Rates_Daily!$A$15:$A$2892,0)),"")</f>
        <v>-0.5</v>
      </c>
      <c r="L69" s="10" t="n">
        <f aca="false">IFERROR(AVERAGEIFS(Rates_Daily!E$15:E$2892,Rates_Daily!$A$15:$A$2892,"&gt;="&amp;$A69,Rates_Daily!$A$15:$A$2892,"&lt;="&amp;EOMONTH($A69,0)),"")</f>
        <v>-0.549869565217391</v>
      </c>
      <c r="M69" s="14" t="n">
        <v>-0.5088261</v>
      </c>
      <c r="N69" s="14" t="n">
        <v>-0.4441304</v>
      </c>
      <c r="O69" s="14" t="n">
        <v>-0.3461304</v>
      </c>
      <c r="P69" s="14" t="n">
        <v>-0.2788696</v>
      </c>
      <c r="Q69" s="14" t="n">
        <v>-0.444130434782609</v>
      </c>
      <c r="R69" s="14" t="n">
        <v>0.1</v>
      </c>
      <c r="S69" s="14" t="n">
        <v>0.0599</v>
      </c>
      <c r="T69" s="10" t="n">
        <f aca="false">IFERROR(AVERAGEIFS(Rates_Daily!I$15:I$2892,Rates_Daily!$A$15:$A$2892,"&gt;="&amp;$A69,Rates_Daily!$A$15:$A$2892,"&lt;="&amp;EOMONTH($A69,0)),"")</f>
        <v>0.0592746123066624</v>
      </c>
      <c r="U69" s="10" t="n">
        <f aca="false">IFERROR(AVERAGEIFS(Rates_Daily!J$15:J$2892,Rates_Daily!$A$15:$A$2892,"&gt;="&amp;$A69,Rates_Daily!$A$15:$A$2892,"&lt;="&amp;EOMONTH($A69,0)),"")</f>
        <v>0.0531201977365449</v>
      </c>
      <c r="V69" s="10" t="n">
        <f aca="false">IFERROR(AVERAGEIFS(Rates_Daily!K$15:K$2892,Rates_Daily!$A$15:$A$2892,"&gt;="&amp;$A69,Rates_Daily!$A$15:$A$2892,"&lt;="&amp;EOMONTH($A69,0)),"")</f>
        <v>0.0395168007415745</v>
      </c>
      <c r="W69" s="10" t="n">
        <f aca="false">IFERROR(AVERAGEIFS(Rates_Daily!L$15:L$2892,Rates_Daily!$A$15:$A$2892,"&gt;="&amp;$A69,Rates_Daily!$A$15:$A$2892,"&lt;="&amp;EOMONTH($A69,0)),"")</f>
        <v>0.00568463659390008</v>
      </c>
      <c r="X69" s="14" t="n">
        <v>0.1</v>
      </c>
      <c r="Y69" s="14" t="n">
        <v>0</v>
      </c>
      <c r="Z69" s="14" t="n">
        <v>0</v>
      </c>
      <c r="AA69" s="14" t="n">
        <v>0.035</v>
      </c>
      <c r="AB69" s="14" t="n">
        <v>0.034</v>
      </c>
      <c r="AC69" s="14" t="n">
        <v>0.052</v>
      </c>
      <c r="AD69" s="14" t="n">
        <v>0.32</v>
      </c>
      <c r="AE69" s="14" t="n">
        <v>0.5</v>
      </c>
      <c r="AF69" s="14" t="n">
        <v>0.48</v>
      </c>
      <c r="AG69" s="14" t="n">
        <v>0.79</v>
      </c>
      <c r="AH69" s="14" t="n">
        <v>0.64</v>
      </c>
      <c r="AI69" s="14" t="n">
        <v>0.67</v>
      </c>
      <c r="AJ69" s="14" t="n">
        <v>0.81</v>
      </c>
      <c r="AK69" s="14" t="n">
        <v>0.594</v>
      </c>
      <c r="AL69" s="14" t="n">
        <v>0.63</v>
      </c>
      <c r="AM69" s="14" t="n">
        <v>0.689</v>
      </c>
      <c r="AN69" s="14" t="n">
        <v>0.79</v>
      </c>
      <c r="AO69" s="10" t="n">
        <f aca="false">IFERROR(AVERAGEIFS(Rates_Daily!M$15:M$2892,Rates_Daily!$A$15:$A$2892,"&gt;="&amp;$A69,Rates_Daily!$A$15:$A$2892,"&lt;="&amp;EOMONTH($A69,0)),"")</f>
        <v>2.14208695652174</v>
      </c>
      <c r="AP69" s="10" t="n">
        <f aca="false">IFERROR(AVERAGEIFS(Rates_Daily!N$15:N$2892,Rates_Daily!$A$15:$A$2892,"&gt;="&amp;$A69,Rates_Daily!$A$15:$A$2892,"&lt;="&amp;EOMONTH($A69,0)),"")</f>
        <v>2.32830434782609</v>
      </c>
      <c r="AQ69" s="10" t="n">
        <f aca="false">IFERROR(AVERAGEIFS(Rates_Daily!O$15:O$2892,Rates_Daily!$A$15:$A$2892,"&gt;="&amp;$A69,Rates_Daily!$A$15:$A$2892,"&lt;="&amp;EOMONTH($A69,0)),"")</f>
        <v>2.42686956521739</v>
      </c>
      <c r="AR69" s="10" t="n">
        <f aca="false">IFERROR(AVERAGEIFS(Rates_Daily!P$15:P$2892,Rates_Daily!$A$15:$A$2892,"&gt;="&amp;$A69,Rates_Daily!$A$15:$A$2892,"&lt;="&amp;EOMONTH($A69,0)),"")</f>
        <v>2.59169565217391</v>
      </c>
      <c r="AS69" s="14" t="n">
        <v>3.85</v>
      </c>
      <c r="AT69" s="14" t="n">
        <v>4.65</v>
      </c>
      <c r="AU69" s="14" t="n">
        <v>2.76</v>
      </c>
      <c r="AV69" s="14" t="n">
        <v>2.15</v>
      </c>
      <c r="AW69" s="14" t="n">
        <v>2.25</v>
      </c>
      <c r="AX69" s="14" t="n">
        <v>-0.065</v>
      </c>
      <c r="AY69" s="14" t="n">
        <v>-0.028</v>
      </c>
      <c r="AZ69" s="16" t="str">
        <f aca="false">IF(EOMONTH($A69,0)&gt;MAX(Rates_Daily!$A$15:$A$2892),"partial month","complete")</f>
        <v>complete</v>
      </c>
    </row>
    <row r="70" customFormat="false" ht="15" hidden="false" customHeight="false" outlineLevel="0" collapsed="false">
      <c r="A70" s="17" t="n">
        <v>44044</v>
      </c>
      <c r="B70" s="14" t="n">
        <v>0.1</v>
      </c>
      <c r="C70" s="10" t="n">
        <f aca="false">IFERROR(INDEX(Rates_Daily!C$15:C$2892,MATCH(_xlfn.MAXIFS(Rates_Daily!$A$15:$A$2892,Rates_Daily!$A$15:$A$2892,"&lt;="&amp;EOMONTH($A70,0),Rates_Daily!C$15:C$2892,"&gt;=-1E+99"),Rates_Daily!$A$15:$A$2892,0)),"")</f>
        <v>0.25</v>
      </c>
      <c r="D70" s="10" t="n">
        <f aca="false">IFERROR(INDEX(Rates_Daily!D$15:D$2892,MATCH(_xlfn.MAXIFS(Rates_Daily!$A$15:$A$2892,Rates_Daily!$A$15:$A$2892,"&lt;="&amp;EOMONTH($A70,0),Rates_Daily!D$15:D$2892,"&gt;=-1E+99"),Rates_Daily!$A$15:$A$2892,0)),"")</f>
        <v>0</v>
      </c>
      <c r="E70" s="10" t="n">
        <f aca="false">IFERROR(AVERAGEIFS(Rates_Daily!B$15:B$2892,Rates_Daily!$A$15:$A$2892,"&gt;="&amp;$A70,Rates_Daily!$A$15:$A$2892,"&lt;="&amp;EOMONTH($A70,0)),"")</f>
        <v>0.0857142857142857</v>
      </c>
      <c r="F70" s="14" t="n">
        <v>0.08</v>
      </c>
      <c r="G70" s="14" t="n">
        <v>0.1</v>
      </c>
      <c r="H70" s="14" t="n">
        <v>0.12</v>
      </c>
      <c r="I70" s="14" t="n">
        <v>0.13</v>
      </c>
      <c r="J70" s="14" t="n">
        <v>0.15</v>
      </c>
      <c r="K70" s="10" t="n">
        <f aca="false">IFERROR(INDEX(Rates_Daily!F$15:F$2892,MATCH(_xlfn.MAXIFS(Rates_Daily!$A$15:$A$2892,Rates_Daily!$A$15:$A$2892,"&lt;="&amp;EOMONTH($A70,0),Rates_Daily!F$15:F$2892,"&gt;=-1E+99"),Rates_Daily!$A$15:$A$2892,0)),"")</f>
        <v>-0.5</v>
      </c>
      <c r="L70" s="10" t="n">
        <f aca="false">IFERROR(AVERAGEIFS(Rates_Daily!E$15:E$2892,Rates_Daily!$A$15:$A$2892,"&gt;="&amp;$A70,Rates_Daily!$A$15:$A$2892,"&lt;="&amp;EOMONTH($A70,0)),"")</f>
        <v>-0.552714285714286</v>
      </c>
      <c r="M70" s="14" t="n">
        <v>-0.5173333</v>
      </c>
      <c r="N70" s="14" t="n">
        <v>-0.4797143</v>
      </c>
      <c r="O70" s="14" t="n">
        <v>-0.4329048</v>
      </c>
      <c r="P70" s="14" t="n">
        <v>-0.3589048</v>
      </c>
      <c r="Q70" s="14" t="n">
        <v>-0.479714285714286</v>
      </c>
      <c r="R70" s="14" t="n">
        <v>0.1</v>
      </c>
      <c r="S70" s="14" t="n">
        <v>0.0562</v>
      </c>
      <c r="T70" s="10" t="n">
        <f aca="false">IFERROR(AVERAGEIFS(Rates_Daily!I$15:I$2892,Rates_Daily!$A$15:$A$2892,"&gt;="&amp;$A70,Rates_Daily!$A$15:$A$2892,"&lt;="&amp;EOMONTH($A70,0)),"")</f>
        <v>0.0578298811663015</v>
      </c>
      <c r="U70" s="10" t="n">
        <f aca="false">IFERROR(AVERAGEIFS(Rates_Daily!J$15:J$2892,Rates_Daily!$A$15:$A$2892,"&gt;="&amp;$A70,Rates_Daily!$A$15:$A$2892,"&lt;="&amp;EOMONTH($A70,0)),"")</f>
        <v>0.0547589944661395</v>
      </c>
      <c r="V70" s="10" t="n">
        <f aca="false">IFERROR(AVERAGEIFS(Rates_Daily!K$15:K$2892,Rates_Daily!$A$15:$A$2892,"&gt;="&amp;$A70,Rates_Daily!$A$15:$A$2892,"&lt;="&amp;EOMONTH($A70,0)),"")</f>
        <v>0.0434643707799248</v>
      </c>
      <c r="W70" s="10" t="n">
        <f aca="false">IFERROR(AVERAGEIFS(Rates_Daily!L$15:L$2892,Rates_Daily!$A$15:$A$2892,"&gt;="&amp;$A70,Rates_Daily!$A$15:$A$2892,"&lt;="&amp;EOMONTH($A70,0)),"")</f>
        <v>0.0162987255089281</v>
      </c>
      <c r="X70" s="14" t="n">
        <v>0.07</v>
      </c>
      <c r="Y70" s="14" t="n">
        <v>0</v>
      </c>
      <c r="Z70" s="14" t="n">
        <v>-0.01</v>
      </c>
      <c r="AA70" s="14" t="n">
        <v>0.034</v>
      </c>
      <c r="AB70" s="14" t="n">
        <v>0.04</v>
      </c>
      <c r="AC70" s="14" t="n">
        <v>0.049</v>
      </c>
      <c r="AD70" s="14" t="n">
        <v>0.25</v>
      </c>
      <c r="AE70" s="14" t="n">
        <v>0.5</v>
      </c>
      <c r="AF70" s="14" t="n">
        <v>0.5</v>
      </c>
      <c r="AG70" s="14" t="n">
        <v>0.68</v>
      </c>
      <c r="AH70" s="14" t="n">
        <v>0.58</v>
      </c>
      <c r="AI70" s="14" t="n">
        <v>0.67</v>
      </c>
      <c r="AJ70" s="14" t="n">
        <v>0.8</v>
      </c>
      <c r="AK70" s="14" t="n">
        <v>0.588</v>
      </c>
      <c r="AL70" s="14" t="n">
        <v>0.62</v>
      </c>
      <c r="AM70" s="14" t="n">
        <v>0.671</v>
      </c>
      <c r="AN70" s="14" t="n">
        <v>0.68</v>
      </c>
      <c r="AO70" s="10" t="n">
        <f aca="false">IFERROR(AVERAGEIFS(Rates_Daily!M$15:M$2892,Rates_Daily!$A$15:$A$2892,"&gt;="&amp;$A70,Rates_Daily!$A$15:$A$2892,"&lt;="&amp;EOMONTH($A70,0)),"")</f>
        <v>2.31909523809524</v>
      </c>
      <c r="AP70" s="10" t="n">
        <f aca="false">IFERROR(AVERAGEIFS(Rates_Daily!N$15:N$2892,Rates_Daily!$A$15:$A$2892,"&gt;="&amp;$A70,Rates_Daily!$A$15:$A$2892,"&lt;="&amp;EOMONTH($A70,0)),"")</f>
        <v>2.60538095238095</v>
      </c>
      <c r="AQ70" s="10" t="n">
        <f aca="false">IFERROR(AVERAGEIFS(Rates_Daily!O$15:O$2892,Rates_Daily!$A$15:$A$2892,"&gt;="&amp;$A70,Rates_Daily!$A$15:$A$2892,"&lt;="&amp;EOMONTH($A70,0)),"")</f>
        <v>2.78261904761905</v>
      </c>
      <c r="AR70" s="10" t="n">
        <f aca="false">IFERROR(AVERAGEIFS(Rates_Daily!P$15:P$2892,Rates_Daily!$A$15:$A$2892,"&gt;="&amp;$A70,Rates_Daily!$A$15:$A$2892,"&lt;="&amp;EOMONTH($A70,0)),"")</f>
        <v>2.879</v>
      </c>
      <c r="AS70" s="14" t="n">
        <v>3.85</v>
      </c>
      <c r="AT70" s="14" t="n">
        <v>4.65</v>
      </c>
      <c r="AU70" s="14" t="n">
        <v>2.97</v>
      </c>
      <c r="AV70" s="14" t="n">
        <v>1.94</v>
      </c>
      <c r="AW70" s="14" t="n">
        <v>2.04</v>
      </c>
      <c r="AX70" s="14" t="n">
        <v>-0.065</v>
      </c>
      <c r="AY70" s="14" t="n">
        <v>-0.035</v>
      </c>
      <c r="AZ70" s="16" t="str">
        <f aca="false">IF(EOMONTH($A70,0)&gt;MAX(Rates_Daily!$A$15:$A$2892),"partial month","complete")</f>
        <v>complete</v>
      </c>
    </row>
    <row r="71" customFormat="false" ht="15" hidden="false" customHeight="false" outlineLevel="0" collapsed="false">
      <c r="A71" s="17" t="n">
        <v>44075</v>
      </c>
      <c r="B71" s="14" t="n">
        <v>0.09</v>
      </c>
      <c r="C71" s="10" t="n">
        <f aca="false">IFERROR(INDEX(Rates_Daily!C$15:C$2892,MATCH(_xlfn.MAXIFS(Rates_Daily!$A$15:$A$2892,Rates_Daily!$A$15:$A$2892,"&lt;="&amp;EOMONTH($A71,0),Rates_Daily!C$15:C$2892,"&gt;=-1E+99"),Rates_Daily!$A$15:$A$2892,0)),"")</f>
        <v>0.25</v>
      </c>
      <c r="D71" s="10" t="n">
        <f aca="false">IFERROR(INDEX(Rates_Daily!D$15:D$2892,MATCH(_xlfn.MAXIFS(Rates_Daily!$A$15:$A$2892,Rates_Daily!$A$15:$A$2892,"&lt;="&amp;EOMONTH($A71,0),Rates_Daily!D$15:D$2892,"&gt;=-1E+99"),Rates_Daily!$A$15:$A$2892,0)),"")</f>
        <v>0</v>
      </c>
      <c r="E71" s="10" t="n">
        <f aca="false">IFERROR(AVERAGEIFS(Rates_Daily!B$15:B$2892,Rates_Daily!$A$15:$A$2892,"&gt;="&amp;$A71,Rates_Daily!$A$15:$A$2892,"&lt;="&amp;EOMONTH($A71,0)),"")</f>
        <v>0.0857142857142857</v>
      </c>
      <c r="F71" s="14" t="n">
        <v>0.09</v>
      </c>
      <c r="G71" s="14" t="n">
        <v>0.11</v>
      </c>
      <c r="H71" s="14" t="n">
        <v>0.12</v>
      </c>
      <c r="I71" s="14" t="n">
        <v>0.13</v>
      </c>
      <c r="J71" s="14" t="n">
        <v>0.13</v>
      </c>
      <c r="K71" s="10" t="n">
        <f aca="false">IFERROR(INDEX(Rates_Daily!F$15:F$2892,MATCH(_xlfn.MAXIFS(Rates_Daily!$A$15:$A$2892,Rates_Daily!$A$15:$A$2892,"&lt;="&amp;EOMONTH($A71,0),Rates_Daily!F$15:F$2892,"&gt;=-1E+99"),Rates_Daily!$A$15:$A$2892,0)),"")</f>
        <v>-0.5</v>
      </c>
      <c r="L71" s="10" t="n">
        <f aca="false">IFERROR(AVERAGEIFS(Rates_Daily!E$15:E$2892,Rates_Daily!$A$15:$A$2892,"&gt;="&amp;$A71,Rates_Daily!$A$15:$A$2892,"&lt;="&amp;EOMONTH($A71,0)),"")</f>
        <v>-0.553954545454546</v>
      </c>
      <c r="M71" s="14" t="n">
        <v>-0.5217273</v>
      </c>
      <c r="N71" s="14" t="n">
        <v>-0.4913636</v>
      </c>
      <c r="O71" s="14" t="n">
        <v>-0.4626364</v>
      </c>
      <c r="P71" s="14" t="n">
        <v>-0.4145909</v>
      </c>
      <c r="Q71" s="14" t="n">
        <v>-0.491363636363636</v>
      </c>
      <c r="R71" s="14" t="n">
        <v>0.1</v>
      </c>
      <c r="S71" s="14" t="n">
        <v>0.0547</v>
      </c>
      <c r="T71" s="10" t="n">
        <f aca="false">IFERROR(AVERAGEIFS(Rates_Daily!I$15:I$2892,Rates_Daily!$A$15:$A$2892,"&gt;="&amp;$A71,Rates_Daily!$A$15:$A$2892,"&lt;="&amp;EOMONTH($A71,0)),"")</f>
        <v>0.0566380015777915</v>
      </c>
      <c r="U71" s="10" t="n">
        <f aca="false">IFERROR(AVERAGEIFS(Rates_Daily!J$15:J$2892,Rates_Daily!$A$15:$A$2892,"&gt;="&amp;$A71,Rates_Daily!$A$15:$A$2892,"&lt;="&amp;EOMONTH($A71,0)),"")</f>
        <v>0.0492955487069431</v>
      </c>
      <c r="V71" s="10" t="n">
        <f aca="false">IFERROR(AVERAGEIFS(Rates_Daily!K$15:K$2892,Rates_Daily!$A$15:$A$2892,"&gt;="&amp;$A71,Rates_Daily!$A$15:$A$2892,"&lt;="&amp;EOMONTH($A71,0)),"")</f>
        <v>0.0289926466630375</v>
      </c>
      <c r="W71" s="10" t="n">
        <f aca="false">IFERROR(AVERAGEIFS(Rates_Daily!L$15:L$2892,Rates_Daily!$A$15:$A$2892,"&gt;="&amp;$A71,Rates_Daily!$A$15:$A$2892,"&lt;="&amp;EOMONTH($A71,0)),"")</f>
        <v>-0.0135446355594434</v>
      </c>
      <c r="X71" s="14" t="n">
        <v>0.06</v>
      </c>
      <c r="Y71" s="14" t="n">
        <v>0</v>
      </c>
      <c r="Z71" s="14" t="n">
        <v>0</v>
      </c>
      <c r="AA71" s="14" t="n">
        <v>-0.043</v>
      </c>
      <c r="AB71" s="14" t="n">
        <v>-0.04</v>
      </c>
      <c r="AC71" s="14" t="n">
        <v>-0.022</v>
      </c>
      <c r="AD71" s="14" t="n">
        <v>0.27</v>
      </c>
      <c r="AE71" s="14" t="n">
        <v>0.5</v>
      </c>
      <c r="AF71" s="14" t="n">
        <v>0.48</v>
      </c>
      <c r="AG71" s="14" t="n">
        <v>0.63</v>
      </c>
      <c r="AH71" s="14" t="n">
        <v>0.65</v>
      </c>
      <c r="AI71" s="14" t="n">
        <v>0.78</v>
      </c>
      <c r="AJ71" s="14" t="n">
        <v>0.9</v>
      </c>
      <c r="AK71" s="14" t="n">
        <v>0.636</v>
      </c>
      <c r="AL71" s="14" t="n">
        <v>0.689</v>
      </c>
      <c r="AM71" s="14" t="n">
        <v>0.705</v>
      </c>
      <c r="AN71" s="14" t="n">
        <v>0.63</v>
      </c>
      <c r="AO71" s="10" t="n">
        <f aca="false">IFERROR(AVERAGEIFS(Rates_Daily!M$15:M$2892,Rates_Daily!$A$15:$A$2892,"&gt;="&amp;$A71,Rates_Daily!$A$15:$A$2892,"&lt;="&amp;EOMONTH($A71,0)),"")</f>
        <v>2.56017391304348</v>
      </c>
      <c r="AP71" s="10" t="n">
        <f aca="false">IFERROR(AVERAGEIFS(Rates_Daily!N$15:N$2892,Rates_Daily!$A$15:$A$2892,"&gt;="&amp;$A71,Rates_Daily!$A$15:$A$2892,"&lt;="&amp;EOMONTH($A71,0)),"")</f>
        <v>2.67669565217391</v>
      </c>
      <c r="AQ71" s="10" t="n">
        <f aca="false">IFERROR(AVERAGEIFS(Rates_Daily!O$15:O$2892,Rates_Daily!$A$15:$A$2892,"&gt;="&amp;$A71,Rates_Daily!$A$15:$A$2892,"&lt;="&amp;EOMONTH($A71,0)),"")</f>
        <v>2.90865217391304</v>
      </c>
      <c r="AR71" s="10" t="n">
        <f aca="false">IFERROR(AVERAGEIFS(Rates_Daily!P$15:P$2892,Rates_Daily!$A$15:$A$2892,"&gt;="&amp;$A71,Rates_Daily!$A$15:$A$2892,"&lt;="&amp;EOMONTH($A71,0)),"")</f>
        <v>2.99130434782609</v>
      </c>
      <c r="AS71" s="14" t="n">
        <v>3.85</v>
      </c>
      <c r="AT71" s="14" t="n">
        <v>4.65</v>
      </c>
      <c r="AU71" s="14" t="n">
        <v>2.99</v>
      </c>
      <c r="AV71" s="14" t="n">
        <v>1.9</v>
      </c>
      <c r="AW71" s="14" t="n">
        <v>2</v>
      </c>
      <c r="AX71" s="14" t="n">
        <v>-0.055</v>
      </c>
      <c r="AY71" s="14" t="n">
        <v>-0.054</v>
      </c>
      <c r="AZ71" s="16" t="str">
        <f aca="false">IF(EOMONTH($A71,0)&gt;MAX(Rates_Daily!$A$15:$A$2892),"partial month","complete")</f>
        <v>complete</v>
      </c>
    </row>
    <row r="72" customFormat="false" ht="15" hidden="false" customHeight="false" outlineLevel="0" collapsed="false">
      <c r="A72" s="17" t="n">
        <v>44105</v>
      </c>
      <c r="B72" s="14" t="n">
        <v>0.09</v>
      </c>
      <c r="C72" s="10" t="n">
        <f aca="false">IFERROR(INDEX(Rates_Daily!C$15:C$2892,MATCH(_xlfn.MAXIFS(Rates_Daily!$A$15:$A$2892,Rates_Daily!$A$15:$A$2892,"&lt;="&amp;EOMONTH($A72,0),Rates_Daily!C$15:C$2892,"&gt;=-1E+99"),Rates_Daily!$A$15:$A$2892,0)),"")</f>
        <v>0.25</v>
      </c>
      <c r="D72" s="10" t="n">
        <f aca="false">IFERROR(INDEX(Rates_Daily!D$15:D$2892,MATCH(_xlfn.MAXIFS(Rates_Daily!$A$15:$A$2892,Rates_Daily!$A$15:$A$2892,"&lt;="&amp;EOMONTH($A72,0),Rates_Daily!D$15:D$2892,"&gt;=-1E+99"),Rates_Daily!$A$15:$A$2892,0)),"")</f>
        <v>0</v>
      </c>
      <c r="E72" s="10" t="n">
        <f aca="false">IFERROR(AVERAGEIFS(Rates_Daily!B$15:B$2892,Rates_Daily!$A$15:$A$2892,"&gt;="&amp;$A72,Rates_Daily!$A$15:$A$2892,"&lt;="&amp;EOMONTH($A72,0)),"")</f>
        <v>0.0871428571428572</v>
      </c>
      <c r="F72" s="14" t="n">
        <v>0.09</v>
      </c>
      <c r="G72" s="14" t="n">
        <v>0.1</v>
      </c>
      <c r="H72" s="14" t="n">
        <v>0.11</v>
      </c>
      <c r="I72" s="14" t="n">
        <v>0.13</v>
      </c>
      <c r="J72" s="14" t="n">
        <v>0.12</v>
      </c>
      <c r="K72" s="10" t="n">
        <f aca="false">IFERROR(INDEX(Rates_Daily!F$15:F$2892,MATCH(_xlfn.MAXIFS(Rates_Daily!$A$15:$A$2892,Rates_Daily!$A$15:$A$2892,"&lt;="&amp;EOMONTH($A72,0),Rates_Daily!F$15:F$2892,"&gt;=-1E+99"),Rates_Daily!$A$15:$A$2892,0)),"")</f>
        <v>-0.5</v>
      </c>
      <c r="L72" s="10" t="n">
        <f aca="false">IFERROR(AVERAGEIFS(Rates_Daily!E$15:E$2892,Rates_Daily!$A$15:$A$2892,"&gt;="&amp;$A72,Rates_Daily!$A$15:$A$2892,"&lt;="&amp;EOMONTH($A72,0)),"")</f>
        <v>-0.554363636363636</v>
      </c>
      <c r="M72" s="14" t="n">
        <v>-0.5384545</v>
      </c>
      <c r="N72" s="14" t="n">
        <v>-0.5091364</v>
      </c>
      <c r="O72" s="14" t="n">
        <v>-0.494</v>
      </c>
      <c r="P72" s="14" t="n">
        <v>-0.466</v>
      </c>
      <c r="Q72" s="14" t="n">
        <v>-0.509136363636364</v>
      </c>
      <c r="R72" s="14" t="n">
        <v>0.1</v>
      </c>
      <c r="S72" s="14" t="n">
        <v>0.0538</v>
      </c>
      <c r="T72" s="10" t="n">
        <f aca="false">IFERROR(AVERAGEIFS(Rates_Daily!I$15:I$2892,Rates_Daily!$A$15:$A$2892,"&gt;="&amp;$A72,Rates_Daily!$A$15:$A$2892,"&lt;="&amp;EOMONTH($A72,0)),"")</f>
        <v>0.0534290860926901</v>
      </c>
      <c r="U72" s="10" t="n">
        <f aca="false">IFERROR(AVERAGEIFS(Rates_Daily!J$15:J$2892,Rates_Daily!$A$15:$A$2892,"&gt;="&amp;$A72,Rates_Daily!$A$15:$A$2892,"&lt;="&amp;EOMONTH($A72,0)),"")</f>
        <v>0.0491589607289948</v>
      </c>
      <c r="V72" s="10" t="n">
        <f aca="false">IFERROR(AVERAGEIFS(Rates_Daily!K$15:K$2892,Rates_Daily!$A$15:$A$2892,"&gt;="&amp;$A72,Rates_Daily!$A$15:$A$2892,"&lt;="&amp;EOMONTH($A72,0)),"")</f>
        <v>0.0337211060465549</v>
      </c>
      <c r="W72" s="10" t="n">
        <f aca="false">IFERROR(AVERAGEIFS(Rates_Daily!L$15:L$2892,Rates_Daily!$A$15:$A$2892,"&gt;="&amp;$A72,Rates_Daily!$A$15:$A$2892,"&lt;="&amp;EOMONTH($A72,0)),"")</f>
        <v>-0.00516809840346472</v>
      </c>
      <c r="X72" s="14" t="n">
        <v>0.05</v>
      </c>
      <c r="Y72" s="14" t="n">
        <v>0</v>
      </c>
      <c r="Z72" s="14" t="n">
        <v>0</v>
      </c>
      <c r="AA72" s="14" t="n">
        <v>-0.013</v>
      </c>
      <c r="AB72" s="14" t="n">
        <v>-0.014</v>
      </c>
      <c r="AC72" s="14" t="n">
        <v>-0.007</v>
      </c>
      <c r="AD72" s="14" t="n">
        <v>0.33</v>
      </c>
      <c r="AE72" s="14" t="n">
        <v>0.5</v>
      </c>
      <c r="AF72" s="14" t="n">
        <v>0.51</v>
      </c>
      <c r="AG72" s="14" t="n">
        <v>0.63</v>
      </c>
      <c r="AH72" s="14" t="n">
        <v>0.66</v>
      </c>
      <c r="AI72" s="14" t="n">
        <v>0.82</v>
      </c>
      <c r="AJ72" s="14" t="n">
        <v>0.9</v>
      </c>
      <c r="AK72" s="14" t="n">
        <v>0.632</v>
      </c>
      <c r="AL72" s="14" t="n">
        <v>0.698</v>
      </c>
      <c r="AM72" s="14" t="n">
        <v>0.68</v>
      </c>
      <c r="AN72" s="14" t="n">
        <v>0.63</v>
      </c>
      <c r="AO72" s="10" t="n">
        <f aca="false">IFERROR(AVERAGEIFS(Rates_Daily!M$15:M$2892,Rates_Daily!$A$15:$A$2892,"&gt;="&amp;$A72,Rates_Daily!$A$15:$A$2892,"&lt;="&amp;EOMONTH($A72,0)),"")</f>
        <v>2.65276470588235</v>
      </c>
      <c r="AP72" s="10" t="n">
        <f aca="false">IFERROR(AVERAGEIFS(Rates_Daily!N$15:N$2892,Rates_Daily!$A$15:$A$2892,"&gt;="&amp;$A72,Rates_Daily!$A$15:$A$2892,"&lt;="&amp;EOMONTH($A72,0)),"")</f>
        <v>2.83441176470588</v>
      </c>
      <c r="AQ72" s="10" t="n">
        <f aca="false">IFERROR(AVERAGEIFS(Rates_Daily!O$15:O$2892,Rates_Daily!$A$15:$A$2892,"&gt;="&amp;$A72,Rates_Daily!$A$15:$A$2892,"&lt;="&amp;EOMONTH($A72,0)),"")</f>
        <v>2.97070588235294</v>
      </c>
      <c r="AR72" s="10" t="n">
        <f aca="false">IFERROR(AVERAGEIFS(Rates_Daily!P$15:P$2892,Rates_Daily!$A$15:$A$2892,"&gt;="&amp;$A72,Rates_Daily!$A$15:$A$2892,"&lt;="&amp;EOMONTH($A72,0)),"")</f>
        <v>3.09017647058824</v>
      </c>
      <c r="AS72" s="14" t="n">
        <v>3.85</v>
      </c>
      <c r="AT72" s="14" t="n">
        <v>4.65</v>
      </c>
      <c r="AU72" s="14" t="n">
        <v>3.18</v>
      </c>
      <c r="AV72" s="14" t="n">
        <v>1.9</v>
      </c>
      <c r="AW72" s="14" t="n">
        <v>2</v>
      </c>
      <c r="AX72" s="14" t="n">
        <v>-0.055</v>
      </c>
      <c r="AY72" s="14" t="n">
        <v>-0.02</v>
      </c>
      <c r="AZ72" s="16" t="str">
        <f aca="false">IF(EOMONTH($A72,0)&gt;MAX(Rates_Daily!$A$15:$A$2892),"partial month","complete")</f>
        <v>complete</v>
      </c>
    </row>
    <row r="73" customFormat="false" ht="15" hidden="false" customHeight="false" outlineLevel="0" collapsed="false">
      <c r="A73" s="17" t="n">
        <v>44136</v>
      </c>
      <c r="B73" s="14" t="n">
        <v>0.09</v>
      </c>
      <c r="C73" s="10" t="n">
        <f aca="false">IFERROR(INDEX(Rates_Daily!C$15:C$2892,MATCH(_xlfn.MAXIFS(Rates_Daily!$A$15:$A$2892,Rates_Daily!$A$15:$A$2892,"&lt;="&amp;EOMONTH($A73,0),Rates_Daily!C$15:C$2892,"&gt;=-1E+99"),Rates_Daily!$A$15:$A$2892,0)),"")</f>
        <v>0.25</v>
      </c>
      <c r="D73" s="10" t="n">
        <f aca="false">IFERROR(INDEX(Rates_Daily!D$15:D$2892,MATCH(_xlfn.MAXIFS(Rates_Daily!$A$15:$A$2892,Rates_Daily!$A$15:$A$2892,"&lt;="&amp;EOMONTH($A73,0),Rates_Daily!D$15:D$2892,"&gt;=-1E+99"),Rates_Daily!$A$15:$A$2892,0)),"")</f>
        <v>0</v>
      </c>
      <c r="E73" s="10" t="n">
        <f aca="false">IFERROR(AVERAGEIFS(Rates_Daily!B$15:B$2892,Rates_Daily!$A$15:$A$2892,"&gt;="&amp;$A73,Rates_Daily!$A$15:$A$2892,"&lt;="&amp;EOMONTH($A73,0)),"")</f>
        <v>0.0863157894736842</v>
      </c>
      <c r="F73" s="14" t="n">
        <v>0.09</v>
      </c>
      <c r="G73" s="14" t="n">
        <v>0.09</v>
      </c>
      <c r="H73" s="14" t="n">
        <v>0.1</v>
      </c>
      <c r="I73" s="14" t="n">
        <v>0.12</v>
      </c>
      <c r="J73" s="14" t="n">
        <v>0.16</v>
      </c>
      <c r="K73" s="10" t="n">
        <f aca="false">IFERROR(INDEX(Rates_Daily!F$15:F$2892,MATCH(_xlfn.MAXIFS(Rates_Daily!$A$15:$A$2892,Rates_Daily!$A$15:$A$2892,"&lt;="&amp;EOMONTH($A73,0),Rates_Daily!F$15:F$2892,"&gt;=-1E+99"),Rates_Daily!$A$15:$A$2892,0)),"")</f>
        <v>-0.5</v>
      </c>
      <c r="L73" s="10" t="n">
        <f aca="false">IFERROR(AVERAGEIFS(Rates_Daily!E$15:E$2892,Rates_Daily!$A$15:$A$2892,"&gt;="&amp;$A73,Rates_Daily!$A$15:$A$2892,"&lt;="&amp;EOMONTH($A73,0)),"")</f>
        <v>-0.556333333333334</v>
      </c>
      <c r="M73" s="14" t="n">
        <v>-0.5414286</v>
      </c>
      <c r="N73" s="14" t="n">
        <v>-0.5208571</v>
      </c>
      <c r="O73" s="14" t="n">
        <v>-0.509</v>
      </c>
      <c r="P73" s="14" t="n">
        <v>-0.480619</v>
      </c>
      <c r="Q73" s="14" t="n">
        <v>-0.520857142857143</v>
      </c>
      <c r="R73" s="14" t="n">
        <v>0.1</v>
      </c>
      <c r="S73" s="14" t="n">
        <v>0.0537</v>
      </c>
      <c r="T73" s="10" t="n">
        <f aca="false">IFERROR(AVERAGEIFS(Rates_Daily!I$15:I$2892,Rates_Daily!$A$15:$A$2892,"&gt;="&amp;$A73,Rates_Daily!$A$15:$A$2892,"&lt;="&amp;EOMONTH($A73,0)),"")</f>
        <v>0.0522263392375494</v>
      </c>
      <c r="U73" s="10" t="n">
        <f aca="false">IFERROR(AVERAGEIFS(Rates_Daily!J$15:J$2892,Rates_Daily!$A$15:$A$2892,"&gt;="&amp;$A73,Rates_Daily!$A$15:$A$2892,"&lt;="&amp;EOMONTH($A73,0)),"")</f>
        <v>0.0471497382902517</v>
      </c>
      <c r="V73" s="10" t="n">
        <f aca="false">IFERROR(AVERAGEIFS(Rates_Daily!K$15:K$2892,Rates_Daily!$A$15:$A$2892,"&gt;="&amp;$A73,Rates_Daily!$A$15:$A$2892,"&lt;="&amp;EOMONTH($A73,0)),"")</f>
        <v>0.0344823656440018</v>
      </c>
      <c r="W73" s="10" t="n">
        <f aca="false">IFERROR(AVERAGEIFS(Rates_Daily!L$15:L$2892,Rates_Daily!$A$15:$A$2892,"&gt;="&amp;$A73,Rates_Daily!$A$15:$A$2892,"&lt;="&amp;EOMONTH($A73,0)),"")</f>
        <v>0.00888165778233432</v>
      </c>
      <c r="X73" s="14" t="n">
        <v>0.04</v>
      </c>
      <c r="Y73" s="14" t="n">
        <v>0</v>
      </c>
      <c r="Z73" s="14" t="n">
        <v>0</v>
      </c>
      <c r="AA73" s="14" t="n">
        <v>0.028</v>
      </c>
      <c r="AB73" s="14" t="n">
        <v>0.03</v>
      </c>
      <c r="AC73" s="14" t="n">
        <v>0.032</v>
      </c>
      <c r="AD73" s="14" t="n">
        <v>0.36</v>
      </c>
      <c r="AE73" s="14" t="n">
        <v>0.5</v>
      </c>
      <c r="AF73" s="14" t="n">
        <v>0.49</v>
      </c>
      <c r="AG73" s="14" t="n">
        <v>0.66</v>
      </c>
      <c r="AH73" s="14" t="n">
        <v>0.65</v>
      </c>
      <c r="AI73" s="14" t="n">
        <v>0.81</v>
      </c>
      <c r="AJ73" s="14" t="n">
        <v>0.91</v>
      </c>
      <c r="AK73" s="14" t="n">
        <v>0.647</v>
      </c>
      <c r="AL73" s="14" t="n">
        <v>0.715</v>
      </c>
      <c r="AM73" s="14" t="n">
        <v>0.7</v>
      </c>
      <c r="AN73" s="14" t="n">
        <v>0.66</v>
      </c>
      <c r="AO73" s="10" t="n">
        <f aca="false">IFERROR(AVERAGEIFS(Rates_Daily!M$15:M$2892,Rates_Daily!$A$15:$A$2892,"&gt;="&amp;$A73,Rates_Daily!$A$15:$A$2892,"&lt;="&amp;EOMONTH($A73,0)),"")</f>
        <v>2.68095238095238</v>
      </c>
      <c r="AP73" s="10" t="n">
        <f aca="false">IFERROR(AVERAGEIFS(Rates_Daily!N$15:N$2892,Rates_Daily!$A$15:$A$2892,"&gt;="&amp;$A73,Rates_Daily!$A$15:$A$2892,"&lt;="&amp;EOMONTH($A73,0)),"")</f>
        <v>3.02785714285714</v>
      </c>
      <c r="AQ73" s="10" t="n">
        <f aca="false">IFERROR(AVERAGEIFS(Rates_Daily!O$15:O$2892,Rates_Daily!$A$15:$A$2892,"&gt;="&amp;$A73,Rates_Daily!$A$15:$A$2892,"&lt;="&amp;EOMONTH($A73,0)),"")</f>
        <v>3.08566666666667</v>
      </c>
      <c r="AR73" s="10" t="n">
        <f aca="false">IFERROR(AVERAGEIFS(Rates_Daily!P$15:P$2892,Rates_Daily!$A$15:$A$2892,"&gt;="&amp;$A73,Rates_Daily!$A$15:$A$2892,"&lt;="&amp;EOMONTH($A73,0)),"")</f>
        <v>3.2247619047619</v>
      </c>
      <c r="AS73" s="14" t="n">
        <v>3.85</v>
      </c>
      <c r="AT73" s="14" t="n">
        <v>4.65</v>
      </c>
      <c r="AU73" s="14" t="n">
        <v>3.56</v>
      </c>
      <c r="AV73" s="14" t="n">
        <v>1.9</v>
      </c>
      <c r="AW73" s="14" t="n">
        <v>2</v>
      </c>
      <c r="AX73" s="14" t="n">
        <v>-0.055</v>
      </c>
      <c r="AY73" s="14" t="n">
        <v>-0.032</v>
      </c>
      <c r="AZ73" s="16" t="str">
        <f aca="false">IF(EOMONTH($A73,0)&gt;MAX(Rates_Daily!$A$15:$A$2892),"partial month","complete")</f>
        <v>complete</v>
      </c>
    </row>
    <row r="74" customFormat="false" ht="15" hidden="false" customHeight="false" outlineLevel="0" collapsed="false">
      <c r="A74" s="17" t="n">
        <v>44166</v>
      </c>
      <c r="B74" s="14" t="n">
        <v>0.09</v>
      </c>
      <c r="C74" s="10" t="n">
        <f aca="false">IFERROR(INDEX(Rates_Daily!C$15:C$2892,MATCH(_xlfn.MAXIFS(Rates_Daily!$A$15:$A$2892,Rates_Daily!$A$15:$A$2892,"&lt;="&amp;EOMONTH($A74,0),Rates_Daily!C$15:C$2892,"&gt;=-1E+99"),Rates_Daily!$A$15:$A$2892,0)),"")</f>
        <v>0.25</v>
      </c>
      <c r="D74" s="10" t="n">
        <f aca="false">IFERROR(INDEX(Rates_Daily!D$15:D$2892,MATCH(_xlfn.MAXIFS(Rates_Daily!$A$15:$A$2892,Rates_Daily!$A$15:$A$2892,"&lt;="&amp;EOMONTH($A74,0),Rates_Daily!D$15:D$2892,"&gt;=-1E+99"),Rates_Daily!$A$15:$A$2892,0)),"")</f>
        <v>0</v>
      </c>
      <c r="E74" s="10" t="n">
        <f aca="false">IFERROR(AVERAGEIFS(Rates_Daily!B$15:B$2892,Rates_Daily!$A$15:$A$2892,"&gt;="&amp;$A74,Rates_Daily!$A$15:$A$2892,"&lt;="&amp;EOMONTH($A74,0)),"")</f>
        <v>0.0822727272727273</v>
      </c>
      <c r="F74" s="14" t="n">
        <v>0.08</v>
      </c>
      <c r="G74" s="14" t="n">
        <v>0.09</v>
      </c>
      <c r="H74" s="14" t="n">
        <v>0.09</v>
      </c>
      <c r="I74" s="14" t="n">
        <v>0.1</v>
      </c>
      <c r="J74" s="14" t="n">
        <v>0.17</v>
      </c>
      <c r="K74" s="10" t="n">
        <f aca="false">IFERROR(INDEX(Rates_Daily!F$15:F$2892,MATCH(_xlfn.MAXIFS(Rates_Daily!$A$15:$A$2892,Rates_Daily!$A$15:$A$2892,"&lt;="&amp;EOMONTH($A74,0),Rates_Daily!F$15:F$2892,"&gt;=-1E+99"),Rates_Daily!$A$15:$A$2892,0)),"")</f>
        <v>-0.5</v>
      </c>
      <c r="L74" s="10" t="n">
        <f aca="false">IFERROR(AVERAGEIFS(Rates_Daily!E$15:E$2892,Rates_Daily!$A$15:$A$2892,"&gt;="&amp;$A74,Rates_Daily!$A$15:$A$2892,"&lt;="&amp;EOMONTH($A74,0)),"")</f>
        <v>-0.557454545454546</v>
      </c>
      <c r="M74" s="14" t="n">
        <v>-0.5606818</v>
      </c>
      <c r="N74" s="14" t="n">
        <v>-0.5380909</v>
      </c>
      <c r="O74" s="14" t="n">
        <v>-0.5186364</v>
      </c>
      <c r="P74" s="14" t="n">
        <v>-0.4966364</v>
      </c>
      <c r="Q74" s="14" t="n">
        <v>-0.538090909090909</v>
      </c>
      <c r="R74" s="14" t="n">
        <v>0.1</v>
      </c>
      <c r="S74" s="14" t="n">
        <v>0.0492</v>
      </c>
      <c r="T74" s="10" t="n">
        <f aca="false">IFERROR(AVERAGEIFS(Rates_Daily!I$15:I$2892,Rates_Daily!$A$15:$A$2892,"&gt;="&amp;$A74,Rates_Daily!$A$15:$A$2892,"&lt;="&amp;EOMONTH($A74,0)),"")</f>
        <v>0.045717263743811</v>
      </c>
      <c r="U74" s="10" t="n">
        <f aca="false">IFERROR(AVERAGEIFS(Rates_Daily!J$15:J$2892,Rates_Daily!$A$15:$A$2892,"&gt;="&amp;$A74,Rates_Daily!$A$15:$A$2892,"&lt;="&amp;EOMONTH($A74,0)),"")</f>
        <v>0.0379060244532063</v>
      </c>
      <c r="V74" s="10" t="n">
        <f aca="false">IFERROR(AVERAGEIFS(Rates_Daily!K$15:K$2892,Rates_Daily!$A$15:$A$2892,"&gt;="&amp;$A74,Rates_Daily!$A$15:$A$2892,"&lt;="&amp;EOMONTH($A74,0)),"")</f>
        <v>0.0252606131142358</v>
      </c>
      <c r="W74" s="10" t="n">
        <f aca="false">IFERROR(AVERAGEIFS(Rates_Daily!L$15:L$2892,Rates_Daily!$A$15:$A$2892,"&gt;="&amp;$A74,Rates_Daily!$A$15:$A$2892,"&lt;="&amp;EOMONTH($A74,0)),"")</f>
        <v>0.00157067250912698</v>
      </c>
      <c r="X74" s="14" t="n">
        <v>0.03</v>
      </c>
      <c r="Y74" s="14" t="n">
        <v>0</v>
      </c>
      <c r="Z74" s="14" t="n">
        <v>0</v>
      </c>
      <c r="AA74" s="14" t="n">
        <v>0.022</v>
      </c>
      <c r="AB74" s="14" t="n">
        <v>0.03</v>
      </c>
      <c r="AC74" s="14" t="n">
        <v>0.052</v>
      </c>
      <c r="AD74" s="14" t="n">
        <v>0.49</v>
      </c>
      <c r="AE74" s="14" t="n">
        <v>0.5</v>
      </c>
      <c r="AF74" s="14" t="n">
        <v>0.51</v>
      </c>
      <c r="AG74" s="14" t="n">
        <v>0.66</v>
      </c>
      <c r="AH74" s="14" t="n">
        <v>0.75</v>
      </c>
      <c r="AI74" s="14" t="n">
        <v>0.86</v>
      </c>
      <c r="AJ74" s="14" t="n">
        <v>0.92</v>
      </c>
      <c r="AK74" s="14" t="n">
        <v>0.656</v>
      </c>
      <c r="AL74" s="14" t="n">
        <v>0.727</v>
      </c>
      <c r="AM74" s="14" t="n">
        <v>0.719</v>
      </c>
      <c r="AN74" s="14" t="n">
        <v>0.66</v>
      </c>
      <c r="AO74" s="10" t="n">
        <f aca="false">IFERROR(AVERAGEIFS(Rates_Daily!M$15:M$2892,Rates_Daily!$A$15:$A$2892,"&gt;="&amp;$A74,Rates_Daily!$A$15:$A$2892,"&lt;="&amp;EOMONTH($A74,0)),"")</f>
        <v>2.7094347826087</v>
      </c>
      <c r="AP74" s="10" t="n">
        <f aca="false">IFERROR(AVERAGEIFS(Rates_Daily!N$15:N$2892,Rates_Daily!$A$15:$A$2892,"&gt;="&amp;$A74,Rates_Daily!$A$15:$A$2892,"&lt;="&amp;EOMONTH($A74,0)),"")</f>
        <v>2.92565217391304</v>
      </c>
      <c r="AQ74" s="10" t="n">
        <f aca="false">IFERROR(AVERAGEIFS(Rates_Daily!O$15:O$2892,Rates_Daily!$A$15:$A$2892,"&gt;="&amp;$A74,Rates_Daily!$A$15:$A$2892,"&lt;="&amp;EOMONTH($A74,0)),"")</f>
        <v>3.00517391304348</v>
      </c>
      <c r="AR74" s="10" t="n">
        <f aca="false">IFERROR(AVERAGEIFS(Rates_Daily!P$15:P$2892,Rates_Daily!$A$15:$A$2892,"&gt;="&amp;$A74,Rates_Daily!$A$15:$A$2892,"&lt;="&amp;EOMONTH($A74,0)),"")</f>
        <v>3.14064347826087</v>
      </c>
      <c r="AS74" s="14" t="n">
        <v>3.85</v>
      </c>
      <c r="AT74" s="14" t="n">
        <v>4.65</v>
      </c>
      <c r="AU74" s="14" t="n">
        <v>3.33</v>
      </c>
      <c r="AV74" s="14" t="n">
        <v>1.9</v>
      </c>
      <c r="AW74" s="14" t="n">
        <v>2</v>
      </c>
      <c r="AX74" s="14" t="n">
        <v>-0.055</v>
      </c>
      <c r="AY74" s="14" t="n">
        <v>-0.026</v>
      </c>
      <c r="AZ74" s="16" t="str">
        <f aca="false">IF(EOMONTH($A74,0)&gt;MAX(Rates_Daily!$A$15:$A$2892),"partial month","complete")</f>
        <v>complete</v>
      </c>
    </row>
    <row r="75" customFormat="false" ht="15" hidden="false" customHeight="false" outlineLevel="0" collapsed="false">
      <c r="A75" s="17" t="n">
        <v>44197</v>
      </c>
      <c r="B75" s="14" t="n">
        <v>0.09</v>
      </c>
      <c r="C75" s="10" t="n">
        <f aca="false">IFERROR(INDEX(Rates_Daily!C$15:C$2892,MATCH(_xlfn.MAXIFS(Rates_Daily!$A$15:$A$2892,Rates_Daily!$A$15:$A$2892,"&lt;="&amp;EOMONTH($A75,0),Rates_Daily!C$15:C$2892,"&gt;=-1E+99"),Rates_Daily!$A$15:$A$2892,0)),"")</f>
        <v>0.25</v>
      </c>
      <c r="D75" s="10" t="n">
        <f aca="false">IFERROR(INDEX(Rates_Daily!D$15:D$2892,MATCH(_xlfn.MAXIFS(Rates_Daily!$A$15:$A$2892,Rates_Daily!$A$15:$A$2892,"&lt;="&amp;EOMONTH($A75,0),Rates_Daily!D$15:D$2892,"&gt;=-1E+99"),Rates_Daily!$A$15:$A$2892,0)),"")</f>
        <v>0</v>
      </c>
      <c r="E75" s="10" t="n">
        <f aca="false">IFERROR(AVERAGEIFS(Rates_Daily!B$15:B$2892,Rates_Daily!$A$15:$A$2892,"&gt;="&amp;$A75,Rates_Daily!$A$15:$A$2892,"&lt;="&amp;EOMONTH($A75,0)),"")</f>
        <v>0.0710526315789474</v>
      </c>
      <c r="F75" s="14" t="n">
        <v>0.08</v>
      </c>
      <c r="G75" s="14" t="n">
        <v>0.08</v>
      </c>
      <c r="H75" s="14" t="n">
        <v>0.09</v>
      </c>
      <c r="I75" s="14" t="n">
        <v>0.1</v>
      </c>
      <c r="J75" s="14" t="n">
        <v>0.14</v>
      </c>
      <c r="K75" s="10" t="n">
        <f aca="false">IFERROR(INDEX(Rates_Daily!F$15:F$2892,MATCH(_xlfn.MAXIFS(Rates_Daily!$A$15:$A$2892,Rates_Daily!$A$15:$A$2892,"&lt;="&amp;EOMONTH($A75,0),Rates_Daily!F$15:F$2892,"&gt;=-1E+99"),Rates_Daily!$A$15:$A$2892,0)),"")</f>
        <v>-0.5</v>
      </c>
      <c r="L75" s="10" t="n">
        <f aca="false">IFERROR(AVERAGEIFS(Rates_Daily!E$15:E$2892,Rates_Daily!$A$15:$A$2892,"&gt;="&amp;$A75,Rates_Daily!$A$15:$A$2892,"&lt;="&amp;EOMONTH($A75,0)),"")</f>
        <v>-0.56335</v>
      </c>
      <c r="M75" s="14" t="n">
        <v>-0.56205</v>
      </c>
      <c r="N75" s="14" t="n">
        <v>-0.54715</v>
      </c>
      <c r="O75" s="14" t="n">
        <v>-0.5285</v>
      </c>
      <c r="P75" s="14" t="n">
        <v>-0.5047</v>
      </c>
      <c r="Q75" s="14" t="n">
        <v>-0.54715</v>
      </c>
      <c r="R75" s="14" t="n">
        <v>0.1</v>
      </c>
      <c r="S75" s="14" t="n">
        <v>0.0494</v>
      </c>
      <c r="T75" s="10" t="n">
        <f aca="false">IFERROR(AVERAGEIFS(Rates_Daily!I$15:I$2892,Rates_Daily!$A$15:$A$2892,"&gt;="&amp;$A75,Rates_Daily!$A$15:$A$2892,"&lt;="&amp;EOMONTH($A75,0)),"")</f>
        <v>0.0450026840774799</v>
      </c>
      <c r="U75" s="10" t="n">
        <f aca="false">IFERROR(AVERAGEIFS(Rates_Daily!J$15:J$2892,Rates_Daily!$A$15:$A$2892,"&gt;="&amp;$A75,Rates_Daily!$A$15:$A$2892,"&lt;="&amp;EOMONTH($A75,0)),"")</f>
        <v>0.0336079091468894</v>
      </c>
      <c r="V75" s="10" t="n">
        <f aca="false">IFERROR(AVERAGEIFS(Rates_Daily!K$15:K$2892,Rates_Daily!$A$15:$A$2892,"&gt;="&amp;$A75,Rates_Daily!$A$15:$A$2892,"&lt;="&amp;EOMONTH($A75,0)),"")</f>
        <v>0.0141643153905452</v>
      </c>
      <c r="W75" s="10" t="n">
        <f aca="false">IFERROR(AVERAGEIFS(Rates_Daily!L$15:L$2892,Rates_Daily!$A$15:$A$2892,"&gt;="&amp;$A75,Rates_Daily!$A$15:$A$2892,"&lt;="&amp;EOMONTH($A75,0)),"")</f>
        <v>-0.0192597954885393</v>
      </c>
      <c r="X75" s="14" t="n">
        <v>0.03</v>
      </c>
      <c r="Y75" s="14" t="n">
        <v>0</v>
      </c>
      <c r="Z75" s="14" t="n">
        <v>0</v>
      </c>
      <c r="AA75" s="14" t="n">
        <v>0.069</v>
      </c>
      <c r="AB75" s="14" t="n">
        <v>0.071</v>
      </c>
      <c r="AC75" s="14" t="n">
        <v>0.082</v>
      </c>
      <c r="AD75" s="14" t="n">
        <v>0.48</v>
      </c>
      <c r="AE75" s="14" t="n">
        <v>0.5</v>
      </c>
      <c r="AF75" s="14" t="n">
        <v>0.49</v>
      </c>
      <c r="AG75" s="14" t="n">
        <v>0.68</v>
      </c>
      <c r="AH75" s="14" t="n">
        <v>0.75</v>
      </c>
      <c r="AI75" s="14" t="n">
        <v>0.82</v>
      </c>
      <c r="AJ75" s="14" t="n">
        <v>0.88</v>
      </c>
      <c r="AK75" s="14" t="n">
        <v>0.55</v>
      </c>
      <c r="AL75" s="14" t="n">
        <v>0.69</v>
      </c>
      <c r="AM75" s="14" t="n">
        <v>0.695</v>
      </c>
      <c r="AN75" s="14" t="n">
        <v>0.68</v>
      </c>
      <c r="AO75" s="10" t="n">
        <f aca="false">IFERROR(AVERAGEIFS(Rates_Daily!M$15:M$2892,Rates_Daily!$A$15:$A$2892,"&gt;="&amp;$A75,Rates_Daily!$A$15:$A$2892,"&lt;="&amp;EOMONTH($A75,0)),"")</f>
        <v>2.51315</v>
      </c>
      <c r="AP75" s="10" t="n">
        <f aca="false">IFERROR(AVERAGEIFS(Rates_Daily!N$15:N$2892,Rates_Daily!$A$15:$A$2892,"&gt;="&amp;$A75,Rates_Daily!$A$15:$A$2892,"&lt;="&amp;EOMONTH($A75,0)),"")</f>
        <v>2.6309</v>
      </c>
      <c r="AQ75" s="10" t="n">
        <f aca="false">IFERROR(AVERAGEIFS(Rates_Daily!O$15:O$2892,Rates_Daily!$A$15:$A$2892,"&gt;="&amp;$A75,Rates_Daily!$A$15:$A$2892,"&lt;="&amp;EOMONTH($A75,0)),"")</f>
        <v>2.7269</v>
      </c>
      <c r="AR75" s="10" t="n">
        <f aca="false">IFERROR(AVERAGEIFS(Rates_Daily!P$15:P$2892,Rates_Daily!$A$15:$A$2892,"&gt;="&amp;$A75,Rates_Daily!$A$15:$A$2892,"&lt;="&amp;EOMONTH($A75,0)),"")</f>
        <v>2.90865</v>
      </c>
      <c r="AS75" s="14" t="n">
        <v>3.85</v>
      </c>
      <c r="AT75" s="14" t="n">
        <v>4.65</v>
      </c>
      <c r="AU75" s="14" t="n">
        <v>3.01</v>
      </c>
      <c r="AV75" s="14" t="n">
        <v>1.9</v>
      </c>
      <c r="AW75" s="14" t="n">
        <v>2</v>
      </c>
      <c r="AX75" s="14" t="n">
        <v>-0.055</v>
      </c>
      <c r="AY75" s="14" t="n">
        <v>-0.017</v>
      </c>
      <c r="AZ75" s="16" t="str">
        <f aca="false">IF(EOMONTH($A75,0)&gt;MAX(Rates_Daily!$A$15:$A$2892),"partial month","complete")</f>
        <v>complete</v>
      </c>
    </row>
    <row r="76" customFormat="false" ht="15" hidden="false" customHeight="false" outlineLevel="0" collapsed="false">
      <c r="A76" s="17" t="n">
        <v>44228</v>
      </c>
      <c r="B76" s="14" t="n">
        <v>0.08</v>
      </c>
      <c r="C76" s="10" t="n">
        <f aca="false">IFERROR(INDEX(Rates_Daily!C$15:C$2892,MATCH(_xlfn.MAXIFS(Rates_Daily!$A$15:$A$2892,Rates_Daily!$A$15:$A$2892,"&lt;="&amp;EOMONTH($A76,0),Rates_Daily!C$15:C$2892,"&gt;=-1E+99"),Rates_Daily!$A$15:$A$2892,0)),"")</f>
        <v>0.25</v>
      </c>
      <c r="D76" s="10" t="n">
        <f aca="false">IFERROR(INDEX(Rates_Daily!D$15:D$2892,MATCH(_xlfn.MAXIFS(Rates_Daily!$A$15:$A$2892,Rates_Daily!$A$15:$A$2892,"&lt;="&amp;EOMONTH($A76,0),Rates_Daily!D$15:D$2892,"&gt;=-1E+99"),Rates_Daily!$A$15:$A$2892,0)),"")</f>
        <v>0</v>
      </c>
      <c r="E76" s="10" t="n">
        <f aca="false">IFERROR(AVERAGEIFS(Rates_Daily!B$15:B$2892,Rates_Daily!$A$15:$A$2892,"&gt;="&amp;$A76,Rates_Daily!$A$15:$A$2892,"&lt;="&amp;EOMONTH($A76,0)),"")</f>
        <v>0.0415789473684211</v>
      </c>
      <c r="F76" s="14" t="n">
        <v>0.04</v>
      </c>
      <c r="G76" s="14" t="n">
        <v>0.04</v>
      </c>
      <c r="H76" s="14" t="n">
        <v>0.06</v>
      </c>
      <c r="I76" s="14" t="n">
        <v>0.07</v>
      </c>
      <c r="J76" s="14" t="n">
        <v>0.11</v>
      </c>
      <c r="K76" s="10" t="n">
        <f aca="false">IFERROR(INDEX(Rates_Daily!F$15:F$2892,MATCH(_xlfn.MAXIFS(Rates_Daily!$A$15:$A$2892,Rates_Daily!$A$15:$A$2892,"&lt;="&amp;EOMONTH($A76,0),Rates_Daily!F$15:F$2892,"&gt;=-1E+99"),Rates_Daily!$A$15:$A$2892,0)),"")</f>
        <v>-0.5</v>
      </c>
      <c r="L76" s="10" t="n">
        <f aca="false">IFERROR(AVERAGEIFS(Rates_Daily!E$15:E$2892,Rates_Daily!$A$15:$A$2892,"&gt;="&amp;$A76,Rates_Daily!$A$15:$A$2892,"&lt;="&amp;EOMONTH($A76,0)),"")</f>
        <v>-0.56375</v>
      </c>
      <c r="M76" s="14" t="n">
        <v>-0.5534</v>
      </c>
      <c r="N76" s="14" t="n">
        <v>-0.5411</v>
      </c>
      <c r="O76" s="14" t="n">
        <v>-0.5205</v>
      </c>
      <c r="P76" s="14" t="n">
        <v>-0.50085</v>
      </c>
      <c r="Q76" s="14" t="n">
        <v>-0.5411</v>
      </c>
      <c r="R76" s="14" t="n">
        <v>0.1</v>
      </c>
      <c r="S76" s="14" t="n">
        <v>0.0486</v>
      </c>
      <c r="T76" s="10" t="n">
        <f aca="false">IFERROR(AVERAGEIFS(Rates_Daily!I$15:I$2892,Rates_Daily!$A$15:$A$2892,"&gt;="&amp;$A76,Rates_Daily!$A$15:$A$2892,"&lt;="&amp;EOMONTH($A76,0)),"")</f>
        <v>0.0497457478101681</v>
      </c>
      <c r="U76" s="10" t="n">
        <f aca="false">IFERROR(AVERAGEIFS(Rates_Daily!J$15:J$2892,Rates_Daily!$A$15:$A$2892,"&gt;="&amp;$A76,Rates_Daily!$A$15:$A$2892,"&lt;="&amp;EOMONTH($A76,0)),"")</f>
        <v>0.0491297149244485</v>
      </c>
      <c r="V76" s="10" t="n">
        <f aca="false">IFERROR(AVERAGEIFS(Rates_Daily!K$15:K$2892,Rates_Daily!$A$15:$A$2892,"&gt;="&amp;$A76,Rates_Daily!$A$15:$A$2892,"&lt;="&amp;EOMONTH($A76,0)),"")</f>
        <v>0.0448993000037559</v>
      </c>
      <c r="W76" s="10" t="n">
        <f aca="false">IFERROR(AVERAGEIFS(Rates_Daily!L$15:L$2892,Rates_Daily!$A$15:$A$2892,"&gt;="&amp;$A76,Rates_Daily!$A$15:$A$2892,"&lt;="&amp;EOMONTH($A76,0)),"")</f>
        <v>0.0322136788424594</v>
      </c>
      <c r="X76" s="14" t="n">
        <v>0.05</v>
      </c>
      <c r="Y76" s="14" t="n">
        <v>0</v>
      </c>
      <c r="Z76" s="14" t="n">
        <v>0</v>
      </c>
      <c r="AA76" s="14" t="n">
        <v>0.127</v>
      </c>
      <c r="AB76" s="14" t="n">
        <v>0.123</v>
      </c>
      <c r="AC76" s="14" t="n">
        <v>0.12</v>
      </c>
      <c r="AD76" s="14" t="n">
        <v>0.45</v>
      </c>
      <c r="AE76" s="14" t="n">
        <v>0.5</v>
      </c>
      <c r="AF76" s="14" t="n">
        <v>0.49</v>
      </c>
      <c r="AG76" s="14" t="n">
        <v>0.73</v>
      </c>
      <c r="AH76" s="14" t="n">
        <v>0.74</v>
      </c>
      <c r="AI76" s="14" t="n">
        <v>0.8</v>
      </c>
      <c r="AJ76" s="14" t="n">
        <v>0.87</v>
      </c>
      <c r="AK76" s="14" t="n">
        <v>0.507</v>
      </c>
      <c r="AL76" s="14" t="n">
        <v>0.684</v>
      </c>
      <c r="AM76" s="14" t="n">
        <v>0.671</v>
      </c>
      <c r="AN76" s="14" t="n">
        <v>0.73</v>
      </c>
      <c r="AO76" s="10" t="n">
        <f aca="false">IFERROR(AVERAGEIFS(Rates_Daily!M$15:M$2892,Rates_Daily!$A$15:$A$2892,"&gt;="&amp;$A76,Rates_Daily!$A$15:$A$2892,"&lt;="&amp;EOMONTH($A76,0)),"")</f>
        <v>2.75494117647059</v>
      </c>
      <c r="AP76" s="10" t="n">
        <f aca="false">IFERROR(AVERAGEIFS(Rates_Daily!N$15:N$2892,Rates_Daily!$A$15:$A$2892,"&gt;="&amp;$A76,Rates_Daily!$A$15:$A$2892,"&lt;="&amp;EOMONTH($A76,0)),"")</f>
        <v>2.80858823529412</v>
      </c>
      <c r="AQ76" s="10" t="n">
        <f aca="false">IFERROR(AVERAGEIFS(Rates_Daily!O$15:O$2892,Rates_Daily!$A$15:$A$2892,"&gt;="&amp;$A76,Rates_Daily!$A$15:$A$2892,"&lt;="&amp;EOMONTH($A76,0)),"")</f>
        <v>2.85288235294118</v>
      </c>
      <c r="AR76" s="10" t="n">
        <f aca="false">IFERROR(AVERAGEIFS(Rates_Daily!P$15:P$2892,Rates_Daily!$A$15:$A$2892,"&gt;="&amp;$A76,Rates_Daily!$A$15:$A$2892,"&lt;="&amp;EOMONTH($A76,0)),"")</f>
        <v>3.04317647058824</v>
      </c>
      <c r="AS76" s="14" t="n">
        <v>3.85</v>
      </c>
      <c r="AT76" s="14" t="n">
        <v>4.65</v>
      </c>
      <c r="AU76" s="14" t="n">
        <v>3.25</v>
      </c>
      <c r="AV76" s="14" t="n">
        <v>1.9</v>
      </c>
      <c r="AW76" s="14" t="n">
        <v>2</v>
      </c>
      <c r="AX76" s="14" t="n">
        <v>-0.055</v>
      </c>
      <c r="AY76" s="14" t="n">
        <v>-0.016</v>
      </c>
      <c r="AZ76" s="16" t="str">
        <f aca="false">IF(EOMONTH($A76,0)&gt;MAX(Rates_Daily!$A$15:$A$2892),"partial month","complete")</f>
        <v>complete</v>
      </c>
    </row>
    <row r="77" customFormat="false" ht="15" hidden="false" customHeight="false" outlineLevel="0" collapsed="false">
      <c r="A77" s="17" t="n">
        <v>44256</v>
      </c>
      <c r="B77" s="14" t="n">
        <v>0.07</v>
      </c>
      <c r="C77" s="10" t="n">
        <f aca="false">IFERROR(INDEX(Rates_Daily!C$15:C$2892,MATCH(_xlfn.MAXIFS(Rates_Daily!$A$15:$A$2892,Rates_Daily!$A$15:$A$2892,"&lt;="&amp;EOMONTH($A77,0),Rates_Daily!C$15:C$2892,"&gt;=-1E+99"),Rates_Daily!$A$15:$A$2892,0)),"")</f>
        <v>0.25</v>
      </c>
      <c r="D77" s="10" t="n">
        <f aca="false">IFERROR(INDEX(Rates_Daily!D$15:D$2892,MATCH(_xlfn.MAXIFS(Rates_Daily!$A$15:$A$2892,Rates_Daily!$A$15:$A$2892,"&lt;="&amp;EOMONTH($A77,0),Rates_Daily!D$15:D$2892,"&gt;=-1E+99"),Rates_Daily!$A$15:$A$2892,0)),"")</f>
        <v>0</v>
      </c>
      <c r="E77" s="10" t="n">
        <f aca="false">IFERROR(AVERAGEIFS(Rates_Daily!B$15:B$2892,Rates_Daily!$A$15:$A$2892,"&gt;="&amp;$A77,Rates_Daily!$A$15:$A$2892,"&lt;="&amp;EOMONTH($A77,0)),"")</f>
        <v>0.0152173913043478</v>
      </c>
      <c r="F77" s="14" t="n">
        <v>0.02</v>
      </c>
      <c r="G77" s="14" t="n">
        <v>0.03</v>
      </c>
      <c r="H77" s="14" t="n">
        <v>0.05</v>
      </c>
      <c r="I77" s="14" t="n">
        <v>0.08</v>
      </c>
      <c r="J77" s="14" t="n">
        <v>0.1</v>
      </c>
      <c r="K77" s="10" t="n">
        <f aca="false">IFERROR(INDEX(Rates_Daily!F$15:F$2892,MATCH(_xlfn.MAXIFS(Rates_Daily!$A$15:$A$2892,Rates_Daily!$A$15:$A$2892,"&lt;="&amp;EOMONTH($A77,0),Rates_Daily!F$15:F$2892,"&gt;=-1E+99"),Rates_Daily!$A$15:$A$2892,0)),"")</f>
        <v>-0.5</v>
      </c>
      <c r="L77" s="10" t="n">
        <f aca="false">IFERROR(AVERAGEIFS(Rates_Daily!E$15:E$2892,Rates_Daily!$A$15:$A$2892,"&gt;="&amp;$A77,Rates_Daily!$A$15:$A$2892,"&lt;="&amp;EOMONTH($A77,0)),"")</f>
        <v>-0.564347826086957</v>
      </c>
      <c r="M77" s="14" t="n">
        <v>-0.5534348</v>
      </c>
      <c r="N77" s="14" t="n">
        <v>-0.539087</v>
      </c>
      <c r="O77" s="14" t="n">
        <v>-0.516</v>
      </c>
      <c r="P77" s="14" t="n">
        <v>-0.4867391</v>
      </c>
      <c r="Q77" s="14" t="n">
        <v>-0.539086956521739</v>
      </c>
      <c r="R77" s="14" t="n">
        <v>0.1</v>
      </c>
      <c r="S77" s="14" t="n">
        <v>0.0486</v>
      </c>
      <c r="T77" s="10" t="n">
        <f aca="false">IFERROR(AVERAGEIFS(Rates_Daily!I$15:I$2892,Rates_Daily!$A$15:$A$2892,"&gt;="&amp;$A77,Rates_Daily!$A$15:$A$2892,"&lt;="&amp;EOMONTH($A77,0)),"")</f>
        <v>0.0493180906541371</v>
      </c>
      <c r="U77" s="10" t="n">
        <f aca="false">IFERROR(AVERAGEIFS(Rates_Daily!J$15:J$2892,Rates_Daily!$A$15:$A$2892,"&gt;="&amp;$A77,Rates_Daily!$A$15:$A$2892,"&lt;="&amp;EOMONTH($A77,0)),"")</f>
        <v>0.050174200208168</v>
      </c>
      <c r="V77" s="10" t="n">
        <f aca="false">IFERROR(AVERAGEIFS(Rates_Daily!K$15:K$2892,Rates_Daily!$A$15:$A$2892,"&gt;="&amp;$A77,Rates_Daily!$A$15:$A$2892,"&lt;="&amp;EOMONTH($A77,0)),"")</f>
        <v>0.0508455260848058</v>
      </c>
      <c r="W77" s="10" t="n">
        <f aca="false">IFERROR(AVERAGEIFS(Rates_Daily!L$15:L$2892,Rates_Daily!$A$15:$A$2892,"&gt;="&amp;$A77,Rates_Daily!$A$15:$A$2892,"&lt;="&amp;EOMONTH($A77,0)),"")</f>
        <v>0.0530645298839168</v>
      </c>
      <c r="X77" s="14" t="n">
        <v>0.08</v>
      </c>
      <c r="Y77" s="14" t="n">
        <v>0</v>
      </c>
      <c r="Z77" s="14" t="n">
        <v>0</v>
      </c>
      <c r="AA77" s="14" t="n">
        <v>0.156</v>
      </c>
      <c r="AB77" s="14" t="n">
        <v>0.164</v>
      </c>
      <c r="AC77" s="14" t="n">
        <v>0.205</v>
      </c>
      <c r="AD77" s="14" t="n">
        <v>0.38</v>
      </c>
      <c r="AE77" s="14" t="n">
        <v>0.5</v>
      </c>
      <c r="AF77" s="14" t="n">
        <v>0.49</v>
      </c>
      <c r="AG77" s="14" t="n">
        <v>0.75</v>
      </c>
      <c r="AH77" s="14" t="n">
        <v>0.75</v>
      </c>
      <c r="AI77" s="14" t="n">
        <v>0.8</v>
      </c>
      <c r="AJ77" s="14" t="n">
        <v>0.88</v>
      </c>
      <c r="AK77" s="14" t="n">
        <v>0.501</v>
      </c>
      <c r="AL77" s="14" t="n">
        <v>0.681</v>
      </c>
      <c r="AM77" s="14" t="n">
        <v>0.684</v>
      </c>
      <c r="AN77" s="14" t="n">
        <v>0.75</v>
      </c>
      <c r="AO77" s="10" t="n">
        <f aca="false">IFERROR(AVERAGEIFS(Rates_Daily!M$15:M$2892,Rates_Daily!$A$15:$A$2892,"&gt;="&amp;$A77,Rates_Daily!$A$15:$A$2892,"&lt;="&amp;EOMONTH($A77,0)),"")</f>
        <v>2.58765217391304</v>
      </c>
      <c r="AP77" s="10" t="n">
        <f aca="false">IFERROR(AVERAGEIFS(Rates_Daily!N$15:N$2892,Rates_Daily!$A$15:$A$2892,"&gt;="&amp;$A77,Rates_Daily!$A$15:$A$2892,"&lt;="&amp;EOMONTH($A77,0)),"")</f>
        <v>2.71536956521739</v>
      </c>
      <c r="AQ77" s="10" t="n">
        <f aca="false">IFERROR(AVERAGEIFS(Rates_Daily!O$15:O$2892,Rates_Daily!$A$15:$A$2892,"&gt;="&amp;$A77,Rates_Daily!$A$15:$A$2892,"&lt;="&amp;EOMONTH($A77,0)),"")</f>
        <v>2.84539130434783</v>
      </c>
      <c r="AR77" s="10" t="n">
        <f aca="false">IFERROR(AVERAGEIFS(Rates_Daily!P$15:P$2892,Rates_Daily!$A$15:$A$2892,"&gt;="&amp;$A77,Rates_Daily!$A$15:$A$2892,"&lt;="&amp;EOMONTH($A77,0)),"")</f>
        <v>3.09708695652174</v>
      </c>
      <c r="AS77" s="14" t="n">
        <v>3.85</v>
      </c>
      <c r="AT77" s="14" t="n">
        <v>4.65</v>
      </c>
      <c r="AU77" s="14" t="n">
        <v>3.07</v>
      </c>
      <c r="AV77" s="14" t="n">
        <v>2.23</v>
      </c>
      <c r="AW77" s="14" t="n">
        <v>2.34</v>
      </c>
      <c r="AX77" s="14" t="n">
        <v>-0.065</v>
      </c>
      <c r="AY77" s="14" t="n">
        <v>-0.017</v>
      </c>
      <c r="AZ77" s="16" t="str">
        <f aca="false">IF(EOMONTH($A77,0)&gt;MAX(Rates_Daily!$A$15:$A$2892),"partial month","complete")</f>
        <v>complete</v>
      </c>
    </row>
    <row r="78" customFormat="false" ht="15" hidden="false" customHeight="false" outlineLevel="0" collapsed="false">
      <c r="A78" s="17" t="n">
        <v>44287</v>
      </c>
      <c r="B78" s="14" t="n">
        <v>0.07</v>
      </c>
      <c r="C78" s="10" t="n">
        <f aca="false">IFERROR(INDEX(Rates_Daily!C$15:C$2892,MATCH(_xlfn.MAXIFS(Rates_Daily!$A$15:$A$2892,Rates_Daily!$A$15:$A$2892,"&lt;="&amp;EOMONTH($A78,0),Rates_Daily!C$15:C$2892,"&gt;=-1E+99"),Rates_Daily!$A$15:$A$2892,0)),"")</f>
        <v>0.25</v>
      </c>
      <c r="D78" s="10" t="n">
        <f aca="false">IFERROR(INDEX(Rates_Daily!D$15:D$2892,MATCH(_xlfn.MAXIFS(Rates_Daily!$A$15:$A$2892,Rates_Daily!$A$15:$A$2892,"&lt;="&amp;EOMONTH($A78,0),Rates_Daily!D$15:D$2892,"&gt;=-1E+99"),Rates_Daily!$A$15:$A$2892,0)),"")</f>
        <v>0</v>
      </c>
      <c r="E78" s="10" t="n">
        <f aca="false">IFERROR(AVERAGEIFS(Rates_Daily!B$15:B$2892,Rates_Daily!$A$15:$A$2892,"&gt;="&amp;$A78,Rates_Daily!$A$15:$A$2892,"&lt;="&amp;EOMONTH($A78,0)),"")</f>
        <v>0.01</v>
      </c>
      <c r="F78" s="14" t="n">
        <v>0.02</v>
      </c>
      <c r="G78" s="14" t="n">
        <v>0.02</v>
      </c>
      <c r="H78" s="14" t="n">
        <v>0.04</v>
      </c>
      <c r="I78" s="14" t="n">
        <v>0.06</v>
      </c>
      <c r="J78" s="14" t="n">
        <v>0.11</v>
      </c>
      <c r="K78" s="10" t="n">
        <f aca="false">IFERROR(INDEX(Rates_Daily!F$15:F$2892,MATCH(_xlfn.MAXIFS(Rates_Daily!$A$15:$A$2892,Rates_Daily!$A$15:$A$2892,"&lt;="&amp;EOMONTH($A78,0),Rates_Daily!F$15:F$2892,"&gt;=-1E+99"),Rates_Daily!$A$15:$A$2892,0)),"")</f>
        <v>-0.5</v>
      </c>
      <c r="L78" s="10" t="n">
        <f aca="false">IFERROR(AVERAGEIFS(Rates_Daily!E$15:E$2892,Rates_Daily!$A$15:$A$2892,"&gt;="&amp;$A78,Rates_Daily!$A$15:$A$2892,"&lt;="&amp;EOMONTH($A78,0)),"")</f>
        <v>-0.5658</v>
      </c>
      <c r="M78" s="14" t="n">
        <v>-0.55505</v>
      </c>
      <c r="N78" s="14" t="n">
        <v>-0.53815</v>
      </c>
      <c r="O78" s="14" t="n">
        <v>-0.5158</v>
      </c>
      <c r="P78" s="14" t="n">
        <v>-0.4835</v>
      </c>
      <c r="Q78" s="14" t="n">
        <v>-0.53815</v>
      </c>
      <c r="R78" s="14" t="n">
        <v>0.1</v>
      </c>
      <c r="S78" s="14" t="n">
        <v>0.0486</v>
      </c>
      <c r="T78" s="10" t="n">
        <f aca="false">IFERROR(AVERAGEIFS(Rates_Daily!I$15:I$2892,Rates_Daily!$A$15:$A$2892,"&gt;="&amp;$A78,Rates_Daily!$A$15:$A$2892,"&lt;="&amp;EOMONTH($A78,0)),"")</f>
        <v>0.049413658726405</v>
      </c>
      <c r="U78" s="10" t="n">
        <f aca="false">IFERROR(AVERAGEIFS(Rates_Daily!J$15:J$2892,Rates_Daily!$A$15:$A$2892,"&gt;="&amp;$A78,Rates_Daily!$A$15:$A$2892,"&lt;="&amp;EOMONTH($A78,0)),"")</f>
        <v>0.0494890616363889</v>
      </c>
      <c r="V78" s="10" t="n">
        <f aca="false">IFERROR(AVERAGEIFS(Rates_Daily!K$15:K$2892,Rates_Daily!$A$15:$A$2892,"&gt;="&amp;$A78,Rates_Daily!$A$15:$A$2892,"&lt;="&amp;EOMONTH($A78,0)),"")</f>
        <v>0.0493375471660758</v>
      </c>
      <c r="W78" s="10" t="n">
        <f aca="false">IFERROR(AVERAGEIFS(Rates_Daily!L$15:L$2892,Rates_Daily!$A$15:$A$2892,"&gt;="&amp;$A78,Rates_Daily!$A$15:$A$2892,"&lt;="&amp;EOMONTH($A78,0)),"")</f>
        <v>0.0543507065594526</v>
      </c>
      <c r="X78" s="14" t="n">
        <v>0.09</v>
      </c>
      <c r="Y78" s="14" t="n">
        <v>0</v>
      </c>
      <c r="Z78" s="14" t="n">
        <v>0</v>
      </c>
      <c r="AA78" s="14" t="n">
        <v>0.144</v>
      </c>
      <c r="AB78" s="14" t="n">
        <v>0.157</v>
      </c>
      <c r="AC78" s="14" t="n">
        <v>0.25</v>
      </c>
      <c r="AD78" s="14" t="n">
        <v>0.3</v>
      </c>
      <c r="AE78" s="14" t="n">
        <v>0.5</v>
      </c>
      <c r="AF78" s="14" t="n">
        <v>0.48</v>
      </c>
      <c r="AG78" s="14" t="n">
        <v>0.74</v>
      </c>
      <c r="AH78" s="14" t="n">
        <v>0.72</v>
      </c>
      <c r="AI78" s="14" t="n">
        <v>0.76</v>
      </c>
      <c r="AJ78" s="14" t="n">
        <v>0.85</v>
      </c>
      <c r="AK78" s="14" t="n">
        <v>0.486</v>
      </c>
      <c r="AL78" s="14" t="n">
        <v>0.66</v>
      </c>
      <c r="AM78" s="14" t="n">
        <v>0.659</v>
      </c>
      <c r="AN78" s="14" t="n">
        <v>0.74</v>
      </c>
      <c r="AO78" s="10" t="n">
        <f aca="false">IFERROR(AVERAGEIFS(Rates_Daily!M$15:M$2892,Rates_Daily!$A$15:$A$2892,"&gt;="&amp;$A78,Rates_Daily!$A$15:$A$2892,"&lt;="&amp;EOMONTH($A78,0)),"")</f>
        <v>2.50727272727273</v>
      </c>
      <c r="AP78" s="10" t="n">
        <f aca="false">IFERROR(AVERAGEIFS(Rates_Daily!N$15:N$2892,Rates_Daily!$A$15:$A$2892,"&gt;="&amp;$A78,Rates_Daily!$A$15:$A$2892,"&lt;="&amp;EOMONTH($A78,0)),"")</f>
        <v>2.60463636363636</v>
      </c>
      <c r="AQ78" s="10" t="n">
        <f aca="false">IFERROR(AVERAGEIFS(Rates_Daily!O$15:O$2892,Rates_Daily!$A$15:$A$2892,"&gt;="&amp;$A78,Rates_Daily!$A$15:$A$2892,"&lt;="&amp;EOMONTH($A78,0)),"")</f>
        <v>2.79045454545455</v>
      </c>
      <c r="AR78" s="10" t="n">
        <f aca="false">IFERROR(AVERAGEIFS(Rates_Daily!P$15:P$2892,Rates_Daily!$A$15:$A$2892,"&gt;="&amp;$A78,Rates_Daily!$A$15:$A$2892,"&lt;="&amp;EOMONTH($A78,0)),"")</f>
        <v>3.02663636363636</v>
      </c>
      <c r="AS78" s="14" t="n">
        <v>3.85</v>
      </c>
      <c r="AT78" s="14" t="n">
        <v>4.65</v>
      </c>
      <c r="AU78" s="14" t="n">
        <v>2.82</v>
      </c>
      <c r="AV78" s="14" t="n">
        <v>2.65</v>
      </c>
      <c r="AW78" s="14" t="n">
        <v>2.75</v>
      </c>
      <c r="AX78" s="14" t="n">
        <v>-0.065</v>
      </c>
      <c r="AY78" s="14" t="n">
        <v>-0.012</v>
      </c>
      <c r="AZ78" s="16" t="str">
        <f aca="false">IF(EOMONTH($A78,0)&gt;MAX(Rates_Daily!$A$15:$A$2892),"partial month","complete")</f>
        <v>complete</v>
      </c>
    </row>
    <row r="79" customFormat="false" ht="15" hidden="false" customHeight="false" outlineLevel="0" collapsed="false">
      <c r="A79" s="17" t="n">
        <v>44317</v>
      </c>
      <c r="B79" s="14" t="n">
        <v>0.06</v>
      </c>
      <c r="C79" s="10" t="n">
        <f aca="false">IFERROR(INDEX(Rates_Daily!C$15:C$2892,MATCH(_xlfn.MAXIFS(Rates_Daily!$A$15:$A$2892,Rates_Daily!$A$15:$A$2892,"&lt;="&amp;EOMONTH($A79,0),Rates_Daily!C$15:C$2892,"&gt;=-1E+99"),Rates_Daily!$A$15:$A$2892,0)),"")</f>
        <v>0.25</v>
      </c>
      <c r="D79" s="10" t="n">
        <f aca="false">IFERROR(INDEX(Rates_Daily!D$15:D$2892,MATCH(_xlfn.MAXIFS(Rates_Daily!$A$15:$A$2892,Rates_Daily!$A$15:$A$2892,"&lt;="&amp;EOMONTH($A79,0),Rates_Daily!D$15:D$2892,"&gt;=-1E+99"),Rates_Daily!$A$15:$A$2892,0)),"")</f>
        <v>0</v>
      </c>
      <c r="E79" s="10" t="n">
        <f aca="false">IFERROR(AVERAGEIFS(Rates_Daily!B$15:B$2892,Rates_Daily!$A$15:$A$2892,"&gt;="&amp;$A79,Rates_Daily!$A$15:$A$2892,"&lt;="&amp;EOMONTH($A79,0)),"")</f>
        <v>0.01</v>
      </c>
      <c r="F79" s="14" t="n">
        <v>0.01</v>
      </c>
      <c r="G79" s="14" t="n">
        <v>0.02</v>
      </c>
      <c r="H79" s="14" t="n">
        <v>0.04</v>
      </c>
      <c r="I79" s="14" t="n">
        <v>0.05</v>
      </c>
      <c r="J79" s="14" t="n">
        <v>0.1</v>
      </c>
      <c r="K79" s="10" t="n">
        <f aca="false">IFERROR(INDEX(Rates_Daily!F$15:F$2892,MATCH(_xlfn.MAXIFS(Rates_Daily!$A$15:$A$2892,Rates_Daily!$A$15:$A$2892,"&lt;="&amp;EOMONTH($A79,0),Rates_Daily!F$15:F$2892,"&gt;=-1E+99"),Rates_Daily!$A$15:$A$2892,0)),"")</f>
        <v>-0.5</v>
      </c>
      <c r="L79" s="10" t="n">
        <f aca="false">IFERROR(AVERAGEIFS(Rates_Daily!E$15:E$2892,Rates_Daily!$A$15:$A$2892,"&gt;="&amp;$A79,Rates_Daily!$A$15:$A$2892,"&lt;="&amp;EOMONTH($A79,0)),"")</f>
        <v>-0.564714285714286</v>
      </c>
      <c r="M79" s="14" t="n">
        <v>-0.5579048</v>
      </c>
      <c r="N79" s="14" t="n">
        <v>-0.5400952</v>
      </c>
      <c r="O79" s="14" t="n">
        <v>-0.513</v>
      </c>
      <c r="P79" s="14" t="n">
        <v>-0.480619</v>
      </c>
      <c r="Q79" s="14" t="n">
        <v>-0.540095238095238</v>
      </c>
      <c r="R79" s="14" t="n">
        <v>0.1</v>
      </c>
      <c r="S79" s="14" t="n">
        <v>0.0495</v>
      </c>
      <c r="T79" s="10" t="n">
        <f aca="false">IFERROR(AVERAGEIFS(Rates_Daily!I$15:I$2892,Rates_Daily!$A$15:$A$2892,"&gt;="&amp;$A79,Rates_Daily!$A$15:$A$2892,"&lt;="&amp;EOMONTH($A79,0)),"")</f>
        <v>0.0503972536966513</v>
      </c>
      <c r="U79" s="10" t="n">
        <f aca="false">IFERROR(AVERAGEIFS(Rates_Daily!J$15:J$2892,Rates_Daily!$A$15:$A$2892,"&gt;="&amp;$A79,Rates_Daily!$A$15:$A$2892,"&lt;="&amp;EOMONTH($A79,0)),"")</f>
        <v>0.0504979740596782</v>
      </c>
      <c r="V79" s="10" t="n">
        <f aca="false">IFERROR(AVERAGEIFS(Rates_Daily!K$15:K$2892,Rates_Daily!$A$15:$A$2892,"&gt;="&amp;$A79,Rates_Daily!$A$15:$A$2892,"&lt;="&amp;EOMONTH($A79,0)),"")</f>
        <v>0.0511097535736128</v>
      </c>
      <c r="W79" s="10" t="n">
        <f aca="false">IFERROR(AVERAGEIFS(Rates_Daily!L$15:L$2892,Rates_Daily!$A$15:$A$2892,"&gt;="&amp;$A79,Rates_Daily!$A$15:$A$2892,"&lt;="&amp;EOMONTH($A79,0)),"")</f>
        <v>0.0625847660063345</v>
      </c>
      <c r="X79" s="14" t="n">
        <v>0.08</v>
      </c>
      <c r="Y79" s="14" t="n">
        <v>0</v>
      </c>
      <c r="Z79" s="14" t="n">
        <v>0</v>
      </c>
      <c r="AA79" s="14" t="n">
        <v>0.088</v>
      </c>
      <c r="AB79" s="14" t="n">
        <v>0.135</v>
      </c>
      <c r="AC79" s="14" t="n">
        <v>0.206</v>
      </c>
      <c r="AD79" s="14" t="n">
        <v>0.24</v>
      </c>
      <c r="AE79" s="14" t="n">
        <v>0.5</v>
      </c>
      <c r="AF79" s="14" t="n">
        <v>0.48</v>
      </c>
      <c r="AG79" s="14" t="n">
        <v>0.68</v>
      </c>
      <c r="AH79" s="14" t="n">
        <v>0.66</v>
      </c>
      <c r="AI79" s="14" t="n">
        <v>0.71</v>
      </c>
      <c r="AJ79" s="14" t="n">
        <v>0.81</v>
      </c>
      <c r="AK79" s="14" t="n">
        <v>0.472</v>
      </c>
      <c r="AL79" s="14" t="n">
        <v>0.639</v>
      </c>
      <c r="AM79" s="14" t="n">
        <v>0.611</v>
      </c>
      <c r="AN79" s="14" t="n">
        <v>0.68</v>
      </c>
      <c r="AO79" s="10" t="n">
        <f aca="false">IFERROR(AVERAGEIFS(Rates_Daily!M$15:M$2892,Rates_Daily!$A$15:$A$2892,"&gt;="&amp;$A79,Rates_Daily!$A$15:$A$2892,"&lt;="&amp;EOMONTH($A79,0)),"")</f>
        <v>2.42284210526316</v>
      </c>
      <c r="AP79" s="10" t="n">
        <f aca="false">IFERROR(AVERAGEIFS(Rates_Daily!N$15:N$2892,Rates_Daily!$A$15:$A$2892,"&gt;="&amp;$A79,Rates_Daily!$A$15:$A$2892,"&lt;="&amp;EOMONTH($A79,0)),"")</f>
        <v>2.51342105263158</v>
      </c>
      <c r="AQ79" s="10" t="n">
        <f aca="false">IFERROR(AVERAGEIFS(Rates_Daily!O$15:O$2892,Rates_Daily!$A$15:$A$2892,"&gt;="&amp;$A79,Rates_Daily!$A$15:$A$2892,"&lt;="&amp;EOMONTH($A79,0)),"")</f>
        <v>2.69973684210526</v>
      </c>
      <c r="AR79" s="10" t="n">
        <f aca="false">IFERROR(AVERAGEIFS(Rates_Daily!P$15:P$2892,Rates_Daily!$A$15:$A$2892,"&gt;="&amp;$A79,Rates_Daily!$A$15:$A$2892,"&lt;="&amp;EOMONTH($A79,0)),"")</f>
        <v>2.93315789473684</v>
      </c>
      <c r="AS79" s="14" t="n">
        <v>3.85</v>
      </c>
      <c r="AT79" s="14" t="n">
        <v>4.65</v>
      </c>
      <c r="AU79" s="14" t="n">
        <v>2.84</v>
      </c>
      <c r="AV79" s="14" t="n">
        <v>3.29</v>
      </c>
      <c r="AW79" s="14" t="n">
        <v>3.38</v>
      </c>
      <c r="AX79" s="14" t="n">
        <v>-0.065</v>
      </c>
      <c r="AY79" s="14" t="n">
        <v>-0.017</v>
      </c>
      <c r="AZ79" s="16" t="str">
        <f aca="false">IF(EOMONTH($A79,0)&gt;MAX(Rates_Daily!$A$15:$A$2892),"partial month","complete")</f>
        <v>complete</v>
      </c>
    </row>
    <row r="80" customFormat="false" ht="15" hidden="false" customHeight="false" outlineLevel="0" collapsed="false">
      <c r="A80" s="17" t="n">
        <v>44348</v>
      </c>
      <c r="B80" s="14" t="n">
        <v>0.08</v>
      </c>
      <c r="C80" s="10" t="n">
        <f aca="false">IFERROR(INDEX(Rates_Daily!C$15:C$2892,MATCH(_xlfn.MAXIFS(Rates_Daily!$A$15:$A$2892,Rates_Daily!$A$15:$A$2892,"&lt;="&amp;EOMONTH($A80,0),Rates_Daily!C$15:C$2892,"&gt;=-1E+99"),Rates_Daily!$A$15:$A$2892,0)),"")</f>
        <v>0.25</v>
      </c>
      <c r="D80" s="10" t="n">
        <f aca="false">IFERROR(INDEX(Rates_Daily!D$15:D$2892,MATCH(_xlfn.MAXIFS(Rates_Daily!$A$15:$A$2892,Rates_Daily!$A$15:$A$2892,"&lt;="&amp;EOMONTH($A80,0),Rates_Daily!D$15:D$2892,"&gt;=-1E+99"),Rates_Daily!$A$15:$A$2892,0)),"")</f>
        <v>0</v>
      </c>
      <c r="E80" s="10" t="n">
        <f aca="false">IFERROR(AVERAGEIFS(Rates_Daily!B$15:B$2892,Rates_Daily!$A$15:$A$2892,"&gt;="&amp;$A80,Rates_Daily!$A$15:$A$2892,"&lt;="&amp;EOMONTH($A80,0)),"")</f>
        <v>0.0281818181818182</v>
      </c>
      <c r="F80" s="14" t="n">
        <v>0.03</v>
      </c>
      <c r="G80" s="14" t="n">
        <v>0.04</v>
      </c>
      <c r="H80" s="14" t="n">
        <v>0.05</v>
      </c>
      <c r="I80" s="14" t="n">
        <v>0.07</v>
      </c>
      <c r="J80" s="14" t="n">
        <v>0.09</v>
      </c>
      <c r="K80" s="10" t="n">
        <f aca="false">IFERROR(INDEX(Rates_Daily!F$15:F$2892,MATCH(_xlfn.MAXIFS(Rates_Daily!$A$15:$A$2892,Rates_Daily!$A$15:$A$2892,"&lt;="&amp;EOMONTH($A80,0),Rates_Daily!F$15:F$2892,"&gt;=-1E+99"),Rates_Daily!$A$15:$A$2892,0)),"")</f>
        <v>-0.5</v>
      </c>
      <c r="L80" s="10" t="n">
        <f aca="false">IFERROR(AVERAGEIFS(Rates_Daily!E$15:E$2892,Rates_Daily!$A$15:$A$2892,"&gt;="&amp;$A80,Rates_Daily!$A$15:$A$2892,"&lt;="&amp;EOMONTH($A80,0)),"")</f>
        <v>-0.564590909090909</v>
      </c>
      <c r="M80" s="14" t="n">
        <v>-0.5545909</v>
      </c>
      <c r="N80" s="14" t="n">
        <v>-0.5429091</v>
      </c>
      <c r="O80" s="14" t="n">
        <v>-0.5149545</v>
      </c>
      <c r="P80" s="14" t="n">
        <v>-0.4838636</v>
      </c>
      <c r="Q80" s="14" t="n">
        <v>-0.542909090909091</v>
      </c>
      <c r="R80" s="14" t="n">
        <v>0.1</v>
      </c>
      <c r="S80" s="14" t="n">
        <v>0.0498</v>
      </c>
      <c r="T80" s="10" t="n">
        <f aca="false">IFERROR(AVERAGEIFS(Rates_Daily!I$15:I$2892,Rates_Daily!$A$15:$A$2892,"&gt;="&amp;$A80,Rates_Daily!$A$15:$A$2892,"&lt;="&amp;EOMONTH($A80,0)),"")</f>
        <v>0.0503966228657099</v>
      </c>
      <c r="U80" s="10" t="n">
        <f aca="false">IFERROR(AVERAGEIFS(Rates_Daily!J$15:J$2892,Rates_Daily!$A$15:$A$2892,"&gt;="&amp;$A80,Rates_Daily!$A$15:$A$2892,"&lt;="&amp;EOMONTH($A80,0)),"")</f>
        <v>0.0517172576616102</v>
      </c>
      <c r="V80" s="10" t="n">
        <f aca="false">IFERROR(AVERAGEIFS(Rates_Daily!K$15:K$2892,Rates_Daily!$A$15:$A$2892,"&gt;="&amp;$A80,Rates_Daily!$A$15:$A$2892,"&lt;="&amp;EOMONTH($A80,0)),"")</f>
        <v>0.0539785416817286</v>
      </c>
      <c r="W80" s="10" t="n">
        <f aca="false">IFERROR(AVERAGEIFS(Rates_Daily!L$15:L$2892,Rates_Daily!$A$15:$A$2892,"&gt;="&amp;$A80,Rates_Daily!$A$15:$A$2892,"&lt;="&amp;EOMONTH($A80,0)),"")</f>
        <v>0.0769079257296255</v>
      </c>
      <c r="X80" s="14" t="n">
        <v>0.08</v>
      </c>
      <c r="Y80" s="14" t="n">
        <v>0</v>
      </c>
      <c r="Z80" s="14" t="n">
        <v>0</v>
      </c>
      <c r="AA80" s="14" t="n">
        <v>-0.002</v>
      </c>
      <c r="AB80" s="14" t="n">
        <v>0.074</v>
      </c>
      <c r="AC80" s="14" t="n">
        <v>0.247</v>
      </c>
      <c r="AD80" s="14" t="n">
        <v>0.2</v>
      </c>
      <c r="AE80" s="14" t="n">
        <v>0.5</v>
      </c>
      <c r="AF80" s="14" t="n">
        <v>0.51</v>
      </c>
      <c r="AG80" s="14" t="n">
        <v>0.66</v>
      </c>
      <c r="AH80" s="14" t="n">
        <v>0.65</v>
      </c>
      <c r="AI80" s="14" t="n">
        <v>0.72</v>
      </c>
      <c r="AJ80" s="14" t="n">
        <v>1.04</v>
      </c>
      <c r="AK80" s="14" t="n">
        <v>0.503</v>
      </c>
      <c r="AL80" s="14" t="n">
        <v>0.861</v>
      </c>
      <c r="AM80" s="14" t="n">
        <v>0.798</v>
      </c>
      <c r="AN80" s="14" t="n">
        <v>0.66</v>
      </c>
      <c r="AO80" s="10" t="n">
        <f aca="false">IFERROR(AVERAGEIFS(Rates_Daily!M$15:M$2892,Rates_Daily!$A$15:$A$2892,"&gt;="&amp;$A80,Rates_Daily!$A$15:$A$2892,"&lt;="&amp;EOMONTH($A80,0)),"")</f>
        <v>2.39495238095238</v>
      </c>
      <c r="AP80" s="10" t="n">
        <f aca="false">IFERROR(AVERAGEIFS(Rates_Daily!N$15:N$2892,Rates_Daily!$A$15:$A$2892,"&gt;="&amp;$A80,Rates_Daily!$A$15:$A$2892,"&lt;="&amp;EOMONTH($A80,0)),"")</f>
        <v>2.45</v>
      </c>
      <c r="AQ80" s="10" t="n">
        <f aca="false">IFERROR(AVERAGEIFS(Rates_Daily!O$15:O$2892,Rates_Daily!$A$15:$A$2892,"&gt;="&amp;$A80,Rates_Daily!$A$15:$A$2892,"&lt;="&amp;EOMONTH($A80,0)),"")</f>
        <v>2.61714285714286</v>
      </c>
      <c r="AR80" s="10" t="n">
        <f aca="false">IFERROR(AVERAGEIFS(Rates_Daily!P$15:P$2892,Rates_Daily!$A$15:$A$2892,"&gt;="&amp;$A80,Rates_Daily!$A$15:$A$2892,"&lt;="&amp;EOMONTH($A80,0)),"")</f>
        <v>2.89590476190476</v>
      </c>
      <c r="AS80" s="14" t="n">
        <v>3.85</v>
      </c>
      <c r="AT80" s="14" t="n">
        <v>4.65</v>
      </c>
      <c r="AU80" s="14" t="n">
        <v>2.93</v>
      </c>
      <c r="AV80" s="14" t="n">
        <v>3.76</v>
      </c>
      <c r="AW80" s="14" t="n">
        <v>3.85</v>
      </c>
      <c r="AX80" s="14" t="n">
        <v>-0.072</v>
      </c>
      <c r="AY80" s="14" t="n">
        <v>-0.029</v>
      </c>
      <c r="AZ80" s="16" t="str">
        <f aca="false">IF(EOMONTH($A80,0)&gt;MAX(Rates_Daily!$A$15:$A$2892),"partial month","complete")</f>
        <v>complete</v>
      </c>
    </row>
    <row r="81" customFormat="false" ht="15" hidden="false" customHeight="false" outlineLevel="0" collapsed="false">
      <c r="A81" s="17" t="n">
        <v>44378</v>
      </c>
      <c r="B81" s="14" t="n">
        <v>0.1</v>
      </c>
      <c r="C81" s="10" t="n">
        <f aca="false">IFERROR(INDEX(Rates_Daily!C$15:C$2892,MATCH(_xlfn.MAXIFS(Rates_Daily!$A$15:$A$2892,Rates_Daily!$A$15:$A$2892,"&lt;="&amp;EOMONTH($A81,0),Rates_Daily!C$15:C$2892,"&gt;=-1E+99"),Rates_Daily!$A$15:$A$2892,0)),"")</f>
        <v>0.25</v>
      </c>
      <c r="D81" s="10" t="n">
        <f aca="false">IFERROR(INDEX(Rates_Daily!D$15:D$2892,MATCH(_xlfn.MAXIFS(Rates_Daily!$A$15:$A$2892,Rates_Daily!$A$15:$A$2892,"&lt;="&amp;EOMONTH($A81,0),Rates_Daily!D$15:D$2892,"&gt;=-1E+99"),Rates_Daily!$A$15:$A$2892,0)),"")</f>
        <v>0</v>
      </c>
      <c r="E81" s="10" t="n">
        <f aca="false">IFERROR(AVERAGEIFS(Rates_Daily!B$15:B$2892,Rates_Daily!$A$15:$A$2892,"&gt;="&amp;$A81,Rates_Daily!$A$15:$A$2892,"&lt;="&amp;EOMONTH($A81,0)),"")</f>
        <v>0.05</v>
      </c>
      <c r="F81" s="14" t="n">
        <v>0.05</v>
      </c>
      <c r="G81" s="14" t="n">
        <v>0.05</v>
      </c>
      <c r="H81" s="14" t="n">
        <v>0.05</v>
      </c>
      <c r="I81" s="14" t="n">
        <v>0.08</v>
      </c>
      <c r="J81" s="14" t="n">
        <v>0.1</v>
      </c>
      <c r="K81" s="10" t="n">
        <f aca="false">IFERROR(INDEX(Rates_Daily!F$15:F$2892,MATCH(_xlfn.MAXIFS(Rates_Daily!$A$15:$A$2892,Rates_Daily!$A$15:$A$2892,"&lt;="&amp;EOMONTH($A81,0),Rates_Daily!F$15:F$2892,"&gt;=-1E+99"),Rates_Daily!$A$15:$A$2892,0)),"")</f>
        <v>-0.5</v>
      </c>
      <c r="L81" s="10" t="n">
        <f aca="false">IFERROR(AVERAGEIFS(Rates_Daily!E$15:E$2892,Rates_Daily!$A$15:$A$2892,"&gt;="&amp;$A81,Rates_Daily!$A$15:$A$2892,"&lt;="&amp;EOMONTH($A81,0)),"")</f>
        <v>-0.566227272727273</v>
      </c>
      <c r="M81" s="14" t="n">
        <v>-0.5562273</v>
      </c>
      <c r="N81" s="14" t="n">
        <v>-0.5448182</v>
      </c>
      <c r="O81" s="14" t="n">
        <v>-0.5159545</v>
      </c>
      <c r="P81" s="14" t="n">
        <v>-0.4907273</v>
      </c>
      <c r="Q81" s="14" t="n">
        <v>-0.544818181818182</v>
      </c>
      <c r="R81" s="14" t="n">
        <v>0.1</v>
      </c>
      <c r="S81" s="14" t="n">
        <v>0.0506</v>
      </c>
      <c r="T81" s="10" t="n">
        <f aca="false">IFERROR(AVERAGEIFS(Rates_Daily!I$15:I$2892,Rates_Daily!$A$15:$A$2892,"&gt;="&amp;$A81,Rates_Daily!$A$15:$A$2892,"&lt;="&amp;EOMONTH($A81,0)),"")</f>
        <v>0.0507145482526247</v>
      </c>
      <c r="U81" s="10" t="n">
        <f aca="false">IFERROR(AVERAGEIFS(Rates_Daily!J$15:J$2892,Rates_Daily!$A$15:$A$2892,"&gt;="&amp;$A81,Rates_Daily!$A$15:$A$2892,"&lt;="&amp;EOMONTH($A81,0)),"")</f>
        <v>0.0528221209356777</v>
      </c>
      <c r="V81" s="10" t="n">
        <f aca="false">IFERROR(AVERAGEIFS(Rates_Daily!K$15:K$2892,Rates_Daily!$A$15:$A$2892,"&gt;="&amp;$A81,Rates_Daily!$A$15:$A$2892,"&lt;="&amp;EOMONTH($A81,0)),"")</f>
        <v>0.0583067585290902</v>
      </c>
      <c r="W81" s="10" t="n">
        <f aca="false">IFERROR(AVERAGEIFS(Rates_Daily!L$15:L$2892,Rates_Daily!$A$15:$A$2892,"&gt;="&amp;$A81,Rates_Daily!$A$15:$A$2892,"&lt;="&amp;EOMONTH($A81,0)),"")</f>
        <v>0.0940682125411568</v>
      </c>
      <c r="X81" s="14" t="n">
        <v>0.08</v>
      </c>
      <c r="Y81" s="14" t="n">
        <v>0</v>
      </c>
      <c r="Z81" s="14" t="n">
        <v>0</v>
      </c>
      <c r="AA81" s="14" t="n">
        <v>0.012</v>
      </c>
      <c r="AB81" s="14" t="n">
        <v>0.102</v>
      </c>
      <c r="AC81" s="14" t="n">
        <v>0.367</v>
      </c>
      <c r="AD81" s="14" t="n">
        <v>0.32</v>
      </c>
      <c r="AE81" s="14" t="n">
        <v>0.5</v>
      </c>
      <c r="AF81" s="14" t="n">
        <v>0.53</v>
      </c>
      <c r="AG81" s="14" t="n">
        <v>0.69</v>
      </c>
      <c r="AH81" s="14" t="n">
        <v>0.77</v>
      </c>
      <c r="AI81" s="14" t="n">
        <v>0.87</v>
      </c>
      <c r="AJ81" s="14" t="n">
        <v>1.15</v>
      </c>
      <c r="AK81" s="14" t="n">
        <v>0.599</v>
      </c>
      <c r="AL81" s="14" t="n">
        <v>0.936</v>
      </c>
      <c r="AM81" s="14" t="n">
        <v>0.91</v>
      </c>
      <c r="AN81" s="14" t="n">
        <v>0.69</v>
      </c>
      <c r="AO81" s="10" t="n">
        <f aca="false">IFERROR(AVERAGEIFS(Rates_Daily!M$15:M$2892,Rates_Daily!$A$15:$A$2892,"&gt;="&amp;$A81,Rates_Daily!$A$15:$A$2892,"&lt;="&amp;EOMONTH($A81,0)),"")</f>
        <v>2.33981818181818</v>
      </c>
      <c r="AP81" s="10" t="n">
        <f aca="false">IFERROR(AVERAGEIFS(Rates_Daily!N$15:N$2892,Rates_Daily!$A$15:$A$2892,"&gt;="&amp;$A81,Rates_Daily!$A$15:$A$2892,"&lt;="&amp;EOMONTH($A81,0)),"")</f>
        <v>2.41786363636364</v>
      </c>
      <c r="AQ81" s="10" t="n">
        <f aca="false">IFERROR(AVERAGEIFS(Rates_Daily!O$15:O$2892,Rates_Daily!$A$15:$A$2892,"&gt;="&amp;$A81,Rates_Daily!$A$15:$A$2892,"&lt;="&amp;EOMONTH($A81,0)),"")</f>
        <v>2.55672727272727</v>
      </c>
      <c r="AR81" s="10" t="n">
        <f aca="false">IFERROR(AVERAGEIFS(Rates_Daily!P$15:P$2892,Rates_Daily!$A$15:$A$2892,"&gt;="&amp;$A81,Rates_Daily!$A$15:$A$2892,"&lt;="&amp;EOMONTH($A81,0)),"")</f>
        <v>2.83509090909091</v>
      </c>
      <c r="AS81" s="14" t="n">
        <v>3.85</v>
      </c>
      <c r="AT81" s="14" t="n">
        <v>4.65</v>
      </c>
      <c r="AU81" s="14" t="n">
        <v>2.82</v>
      </c>
      <c r="AV81" s="14" t="n">
        <v>4.15</v>
      </c>
      <c r="AW81" s="14" t="n">
        <v>4.25</v>
      </c>
      <c r="AX81" s="14" t="n">
        <v>-0.072</v>
      </c>
      <c r="AY81" s="14" t="n">
        <v>-0.036</v>
      </c>
      <c r="AZ81" s="16" t="str">
        <f aca="false">IF(EOMONTH($A81,0)&gt;MAX(Rates_Daily!$A$15:$A$2892),"partial month","complete")</f>
        <v>complete</v>
      </c>
    </row>
    <row r="82" customFormat="false" ht="15" hidden="false" customHeight="false" outlineLevel="0" collapsed="false">
      <c r="A82" s="17" t="n">
        <v>44409</v>
      </c>
      <c r="B82" s="14" t="n">
        <v>0.09</v>
      </c>
      <c r="C82" s="10" t="n">
        <f aca="false">IFERROR(INDEX(Rates_Daily!C$15:C$2892,MATCH(_xlfn.MAXIFS(Rates_Daily!$A$15:$A$2892,Rates_Daily!$A$15:$A$2892,"&lt;="&amp;EOMONTH($A82,0),Rates_Daily!C$15:C$2892,"&gt;=-1E+99"),Rates_Daily!$A$15:$A$2892,0)),"")</f>
        <v>0.25</v>
      </c>
      <c r="D82" s="10" t="n">
        <f aca="false">IFERROR(INDEX(Rates_Daily!D$15:D$2892,MATCH(_xlfn.MAXIFS(Rates_Daily!$A$15:$A$2892,Rates_Daily!$A$15:$A$2892,"&lt;="&amp;EOMONTH($A82,0),Rates_Daily!D$15:D$2892,"&gt;=-1E+99"),Rates_Daily!$A$15:$A$2892,0)),"")</f>
        <v>0</v>
      </c>
      <c r="E82" s="10" t="n">
        <f aca="false">IFERROR(AVERAGEIFS(Rates_Daily!B$15:B$2892,Rates_Daily!$A$15:$A$2892,"&gt;="&amp;$A82,Rates_Daily!$A$15:$A$2892,"&lt;="&amp;EOMONTH($A82,0)),"")</f>
        <v>0.05</v>
      </c>
      <c r="F82" s="14" t="n">
        <v>0.04</v>
      </c>
      <c r="G82" s="14" t="n">
        <v>0.05</v>
      </c>
      <c r="H82" s="14" t="n">
        <v>0.06</v>
      </c>
      <c r="I82" s="14" t="n">
        <v>0.07</v>
      </c>
      <c r="J82" s="14" t="n">
        <v>0.1</v>
      </c>
      <c r="K82" s="10" t="n">
        <f aca="false">IFERROR(INDEX(Rates_Daily!F$15:F$2892,MATCH(_xlfn.MAXIFS(Rates_Daily!$A$15:$A$2892,Rates_Daily!$A$15:$A$2892,"&lt;="&amp;EOMONTH($A82,0),Rates_Daily!F$15:F$2892,"&gt;=-1E+99"),Rates_Daily!$A$15:$A$2892,0)),"")</f>
        <v>-0.5</v>
      </c>
      <c r="L82" s="10" t="n">
        <f aca="false">IFERROR(AVERAGEIFS(Rates_Daily!E$15:E$2892,Rates_Daily!$A$15:$A$2892,"&gt;="&amp;$A82,Rates_Daily!$A$15:$A$2892,"&lt;="&amp;EOMONTH($A82,0)),"")</f>
        <v>-0.567909090909091</v>
      </c>
      <c r="M82" s="14" t="n">
        <v>-0.5601364</v>
      </c>
      <c r="N82" s="14" t="n">
        <v>-0.5475909</v>
      </c>
      <c r="O82" s="14" t="n">
        <v>-0.5273636</v>
      </c>
      <c r="P82" s="14" t="n">
        <v>-0.4982273</v>
      </c>
      <c r="Q82" s="14" t="n">
        <v>-0.547590909090909</v>
      </c>
      <c r="R82" s="14" t="n">
        <v>0.1</v>
      </c>
      <c r="S82" s="14" t="n">
        <v>0.0504</v>
      </c>
      <c r="T82" s="10" t="n">
        <f aca="false">IFERROR(AVERAGEIFS(Rates_Daily!I$15:I$2892,Rates_Daily!$A$15:$A$2892,"&gt;="&amp;$A82,Rates_Daily!$A$15:$A$2892,"&lt;="&amp;EOMONTH($A82,0)),"")</f>
        <v>0.0509342058159618</v>
      </c>
      <c r="U82" s="10" t="n">
        <f aca="false">IFERROR(AVERAGEIFS(Rates_Daily!J$15:J$2892,Rates_Daily!$A$15:$A$2892,"&gt;="&amp;$A82,Rates_Daily!$A$15:$A$2892,"&lt;="&amp;EOMONTH($A82,0)),"")</f>
        <v>0.0540394588103853</v>
      </c>
      <c r="V82" s="10" t="n">
        <f aca="false">IFERROR(AVERAGEIFS(Rates_Daily!K$15:K$2892,Rates_Daily!$A$15:$A$2892,"&gt;="&amp;$A82,Rates_Daily!$A$15:$A$2892,"&lt;="&amp;EOMONTH($A82,0)),"")</f>
        <v>0.0652884775856349</v>
      </c>
      <c r="W82" s="10" t="n">
        <f aca="false">IFERROR(AVERAGEIFS(Rates_Daily!L$15:L$2892,Rates_Daily!$A$15:$A$2892,"&gt;="&amp;$A82,Rates_Daily!$A$15:$A$2892,"&lt;="&amp;EOMONTH($A82,0)),"")</f>
        <v>0.129965245283784</v>
      </c>
      <c r="X82" s="14" t="n">
        <v>0.07</v>
      </c>
      <c r="Y82" s="14" t="n">
        <v>0</v>
      </c>
      <c r="Z82" s="14" t="n">
        <v>0</v>
      </c>
      <c r="AA82" s="14" t="n">
        <v>0.086</v>
      </c>
      <c r="AB82" s="14" t="n">
        <v>0.179</v>
      </c>
      <c r="AC82" s="14" t="n">
        <v>0.343</v>
      </c>
      <c r="AD82" s="14" t="n">
        <v>0.42</v>
      </c>
      <c r="AE82" s="14" t="n">
        <v>0.75</v>
      </c>
      <c r="AF82" s="14" t="n">
        <v>0.56</v>
      </c>
      <c r="AG82" s="14" t="n">
        <v>0.77</v>
      </c>
      <c r="AH82" s="14" t="n">
        <v>0.79</v>
      </c>
      <c r="AI82" s="14" t="n">
        <v>0.96</v>
      </c>
      <c r="AJ82" s="14" t="n">
        <v>1.21</v>
      </c>
      <c r="AK82" s="14" t="n">
        <v>0.67</v>
      </c>
      <c r="AL82" s="14" t="n">
        <v>1.005</v>
      </c>
      <c r="AM82" s="14" t="n">
        <v>1.001</v>
      </c>
      <c r="AN82" s="14" t="n">
        <v>0.77</v>
      </c>
      <c r="AO82" s="10" t="n">
        <f aca="false">IFERROR(AVERAGEIFS(Rates_Daily!M$15:M$2892,Rates_Daily!$A$15:$A$2892,"&gt;="&amp;$A82,Rates_Daily!$A$15:$A$2892,"&lt;="&amp;EOMONTH($A82,0)),"")</f>
        <v>2.30072727272727</v>
      </c>
      <c r="AP82" s="10" t="n">
        <f aca="false">IFERROR(AVERAGEIFS(Rates_Daily!N$15:N$2892,Rates_Daily!$A$15:$A$2892,"&gt;="&amp;$A82,Rates_Daily!$A$15:$A$2892,"&lt;="&amp;EOMONTH($A82,0)),"")</f>
        <v>2.36268181818182</v>
      </c>
      <c r="AQ82" s="10" t="n">
        <f aca="false">IFERROR(AVERAGEIFS(Rates_Daily!O$15:O$2892,Rates_Daily!$A$15:$A$2892,"&gt;="&amp;$A82,Rates_Daily!$A$15:$A$2892,"&lt;="&amp;EOMONTH($A82,0)),"")</f>
        <v>2.48177272727273</v>
      </c>
      <c r="AR82" s="10" t="n">
        <f aca="false">IFERROR(AVERAGEIFS(Rates_Daily!P$15:P$2892,Rates_Daily!$A$15:$A$2892,"&gt;="&amp;$A82,Rates_Daily!$A$15:$A$2892,"&lt;="&amp;EOMONTH($A82,0)),"")</f>
        <v>2.7155</v>
      </c>
      <c r="AS82" s="14" t="n">
        <v>3.85</v>
      </c>
      <c r="AT82" s="14" t="n">
        <v>4.65</v>
      </c>
      <c r="AU82" s="14" t="n">
        <v>2.86</v>
      </c>
      <c r="AV82" s="14" t="n">
        <v>5.01</v>
      </c>
      <c r="AW82" s="14" t="n">
        <v>5.12</v>
      </c>
      <c r="AX82" s="14" t="n">
        <v>-0.072</v>
      </c>
      <c r="AY82" s="14" t="n">
        <v>-0.034</v>
      </c>
      <c r="AZ82" s="16" t="str">
        <f aca="false">IF(EOMONTH($A82,0)&gt;MAX(Rates_Daily!$A$15:$A$2892),"partial month","complete")</f>
        <v>complete</v>
      </c>
    </row>
    <row r="83" customFormat="false" ht="15" hidden="false" customHeight="false" outlineLevel="0" collapsed="false">
      <c r="A83" s="17" t="n">
        <v>44440</v>
      </c>
      <c r="B83" s="14" t="n">
        <v>0.08</v>
      </c>
      <c r="C83" s="10" t="n">
        <f aca="false">IFERROR(INDEX(Rates_Daily!C$15:C$2892,MATCH(_xlfn.MAXIFS(Rates_Daily!$A$15:$A$2892,Rates_Daily!$A$15:$A$2892,"&lt;="&amp;EOMONTH($A83,0),Rates_Daily!C$15:C$2892,"&gt;=-1E+99"),Rates_Daily!$A$15:$A$2892,0)),"")</f>
        <v>0.25</v>
      </c>
      <c r="D83" s="10" t="n">
        <f aca="false">IFERROR(INDEX(Rates_Daily!D$15:D$2892,MATCH(_xlfn.MAXIFS(Rates_Daily!$A$15:$A$2892,Rates_Daily!$A$15:$A$2892,"&lt;="&amp;EOMONTH($A83,0),Rates_Daily!D$15:D$2892,"&gt;=-1E+99"),Rates_Daily!$A$15:$A$2892,0)),"")</f>
        <v>0</v>
      </c>
      <c r="E83" s="10" t="n">
        <f aca="false">IFERROR(AVERAGEIFS(Rates_Daily!B$15:B$2892,Rates_Daily!$A$15:$A$2892,"&gt;="&amp;$A83,Rates_Daily!$A$15:$A$2892,"&lt;="&amp;EOMONTH($A83,0)),"")</f>
        <v>0.05</v>
      </c>
      <c r="F83" s="14" t="n">
        <v>0.05</v>
      </c>
      <c r="G83" s="14" t="n">
        <v>0.04</v>
      </c>
      <c r="H83" s="14" t="n">
        <v>0.05</v>
      </c>
      <c r="I83" s="14" t="n">
        <v>0.08</v>
      </c>
      <c r="J83" s="14" t="n">
        <v>0.1</v>
      </c>
      <c r="K83" s="10" t="n">
        <f aca="false">IFERROR(INDEX(Rates_Daily!F$15:F$2892,MATCH(_xlfn.MAXIFS(Rates_Daily!$A$15:$A$2892,Rates_Daily!$A$15:$A$2892,"&lt;="&amp;EOMONTH($A83,0),Rates_Daily!F$15:F$2892,"&gt;=-1E+99"),Rates_Daily!$A$15:$A$2892,0)),"")</f>
        <v>-0.5</v>
      </c>
      <c r="L83" s="10" t="n">
        <f aca="false">IFERROR(AVERAGEIFS(Rates_Daily!E$15:E$2892,Rates_Daily!$A$15:$A$2892,"&gt;="&amp;$A83,Rates_Daily!$A$15:$A$2892,"&lt;="&amp;EOMONTH($A83,0)),"")</f>
        <v>-0.570045454545455</v>
      </c>
      <c r="M83" s="14" t="n">
        <v>-0.5576364</v>
      </c>
      <c r="N83" s="14" t="n">
        <v>-0.5450455</v>
      </c>
      <c r="O83" s="14" t="n">
        <v>-0.5224091</v>
      </c>
      <c r="P83" s="14" t="n">
        <v>-0.4923182</v>
      </c>
      <c r="Q83" s="14" t="n">
        <v>-0.545045454545454</v>
      </c>
      <c r="R83" s="14" t="n">
        <v>0.1</v>
      </c>
      <c r="S83" s="14" t="n">
        <v>0.05</v>
      </c>
      <c r="T83" s="10" t="n">
        <f aca="false">IFERROR(AVERAGEIFS(Rates_Daily!I$15:I$2892,Rates_Daily!$A$15:$A$2892,"&gt;="&amp;$A83,Rates_Daily!$A$15:$A$2892,"&lt;="&amp;EOMONTH($A83,0)),"")</f>
        <v>0.0509788895105979</v>
      </c>
      <c r="U83" s="10" t="n">
        <f aca="false">IFERROR(AVERAGEIFS(Rates_Daily!J$15:J$2892,Rates_Daily!$A$15:$A$2892,"&gt;="&amp;$A83,Rates_Daily!$A$15:$A$2892,"&lt;="&amp;EOMONTH($A83,0)),"")</f>
        <v>0.0620030471278411</v>
      </c>
      <c r="V83" s="10" t="n">
        <f aca="false">IFERROR(AVERAGEIFS(Rates_Daily!K$15:K$2892,Rates_Daily!$A$15:$A$2892,"&gt;="&amp;$A83,Rates_Daily!$A$15:$A$2892,"&lt;="&amp;EOMONTH($A83,0)),"")</f>
        <v>0.0959856234357809</v>
      </c>
      <c r="W83" s="10" t="n">
        <f aca="false">IFERROR(AVERAGEIFS(Rates_Daily!L$15:L$2892,Rates_Daily!$A$15:$A$2892,"&gt;="&amp;$A83,Rates_Daily!$A$15:$A$2892,"&lt;="&amp;EOMONTH($A83,0)),"")</f>
        <v>0.194503217459767</v>
      </c>
      <c r="X83" s="14" t="n">
        <v>0.07</v>
      </c>
      <c r="Y83" s="14" t="n">
        <v>0.06</v>
      </c>
      <c r="Z83" s="14" t="n">
        <v>0.06</v>
      </c>
      <c r="AA83" s="14" t="n">
        <v>0.095</v>
      </c>
      <c r="AB83" s="14" t="n">
        <v>0.194</v>
      </c>
      <c r="AC83" s="14" t="n">
        <v>0.418</v>
      </c>
      <c r="AD83" s="14" t="n">
        <v>0.67</v>
      </c>
      <c r="AE83" s="14" t="n">
        <v>0.75</v>
      </c>
      <c r="AF83" s="14" t="n">
        <v>0.77</v>
      </c>
      <c r="AG83" s="14" t="n">
        <v>0.98</v>
      </c>
      <c r="AH83" s="14" t="n">
        <v>0.93</v>
      </c>
      <c r="AI83" s="14" t="n">
        <v>1.09</v>
      </c>
      <c r="AJ83" s="14" t="n">
        <v>1.32</v>
      </c>
      <c r="AK83" s="14" t="n">
        <v>0.77</v>
      </c>
      <c r="AL83" s="14" t="n">
        <v>1.069</v>
      </c>
      <c r="AM83" s="14" t="n">
        <v>1.073</v>
      </c>
      <c r="AN83" s="14" t="n">
        <v>0.98</v>
      </c>
      <c r="AO83" s="10" t="n">
        <f aca="false">IFERROR(AVERAGEIFS(Rates_Daily!M$15:M$2892,Rates_Daily!$A$15:$A$2892,"&gt;="&amp;$A83,Rates_Daily!$A$15:$A$2892,"&lt;="&amp;EOMONTH($A83,0)),"")</f>
        <v>2.35990909090909</v>
      </c>
      <c r="AP83" s="10" t="n">
        <f aca="false">IFERROR(AVERAGEIFS(Rates_Daily!N$15:N$2892,Rates_Daily!$A$15:$A$2892,"&gt;="&amp;$A83,Rates_Daily!$A$15:$A$2892,"&lt;="&amp;EOMONTH($A83,0)),"")</f>
        <v>2.37754545454545</v>
      </c>
      <c r="AQ83" s="10" t="n">
        <f aca="false">IFERROR(AVERAGEIFS(Rates_Daily!O$15:O$2892,Rates_Daily!$A$15:$A$2892,"&gt;="&amp;$A83,Rates_Daily!$A$15:$A$2892,"&lt;="&amp;EOMONTH($A83,0)),"")</f>
        <v>2.47245454545455</v>
      </c>
      <c r="AR83" s="10" t="n">
        <f aca="false">IFERROR(AVERAGEIFS(Rates_Daily!P$15:P$2892,Rates_Daily!$A$15:$A$2892,"&gt;="&amp;$A83,Rates_Daily!$A$15:$A$2892,"&lt;="&amp;EOMONTH($A83,0)),"")</f>
        <v>2.70222727272727</v>
      </c>
      <c r="AS83" s="14" t="n">
        <v>3.85</v>
      </c>
      <c r="AT83" s="14" t="n">
        <v>4.65</v>
      </c>
      <c r="AU83" s="14" t="n">
        <v>2.77</v>
      </c>
      <c r="AV83" s="14" t="n">
        <v>5.43</v>
      </c>
      <c r="AW83" s="14" t="n">
        <v>5.52</v>
      </c>
      <c r="AX83" s="14" t="n">
        <v>-0.072</v>
      </c>
      <c r="AY83" s="14" t="n">
        <v>-0.022</v>
      </c>
      <c r="AZ83" s="16" t="str">
        <f aca="false">IF(EOMONTH($A83,0)&gt;MAX(Rates_Daily!$A$15:$A$2892),"partial month","complete")</f>
        <v>complete</v>
      </c>
    </row>
    <row r="84" customFormat="false" ht="15" hidden="false" customHeight="false" outlineLevel="0" collapsed="false">
      <c r="A84" s="17" t="n">
        <v>44470</v>
      </c>
      <c r="B84" s="14" t="n">
        <v>0.08</v>
      </c>
      <c r="C84" s="10" t="n">
        <f aca="false">IFERROR(INDEX(Rates_Daily!C$15:C$2892,MATCH(_xlfn.MAXIFS(Rates_Daily!$A$15:$A$2892,Rates_Daily!$A$15:$A$2892,"&lt;="&amp;EOMONTH($A84,0),Rates_Daily!C$15:C$2892,"&gt;=-1E+99"),Rates_Daily!$A$15:$A$2892,0)),"")</f>
        <v>0.25</v>
      </c>
      <c r="D84" s="10" t="n">
        <f aca="false">IFERROR(INDEX(Rates_Daily!D$15:D$2892,MATCH(_xlfn.MAXIFS(Rates_Daily!$A$15:$A$2892,Rates_Daily!$A$15:$A$2892,"&lt;="&amp;EOMONTH($A84,0),Rates_Daily!D$15:D$2892,"&gt;=-1E+99"),Rates_Daily!$A$15:$A$2892,0)),"")</f>
        <v>0</v>
      </c>
      <c r="E84" s="10" t="n">
        <f aca="false">IFERROR(AVERAGEIFS(Rates_Daily!B$15:B$2892,Rates_Daily!$A$15:$A$2892,"&gt;="&amp;$A84,Rates_Daily!$A$15:$A$2892,"&lt;="&amp;EOMONTH($A84,0)),"")</f>
        <v>0.0465</v>
      </c>
      <c r="F84" s="14" t="n">
        <v>0.06</v>
      </c>
      <c r="G84" s="14" t="n">
        <v>0.05</v>
      </c>
      <c r="H84" s="14" t="n">
        <v>0.06</v>
      </c>
      <c r="I84" s="14" t="n">
        <v>0.11</v>
      </c>
      <c r="J84" s="14" t="n">
        <v>0.11</v>
      </c>
      <c r="K84" s="10" t="n">
        <f aca="false">IFERROR(INDEX(Rates_Daily!F$15:F$2892,MATCH(_xlfn.MAXIFS(Rates_Daily!$A$15:$A$2892,Rates_Daily!$A$15:$A$2892,"&lt;="&amp;EOMONTH($A84,0),Rates_Daily!F$15:F$2892,"&gt;=-1E+99"),Rates_Daily!$A$15:$A$2892,0)),"")</f>
        <v>-0.5</v>
      </c>
      <c r="L84" s="10" t="n">
        <f aca="false">IFERROR(AVERAGEIFS(Rates_Daily!E$15:E$2892,Rates_Daily!$A$15:$A$2892,"&gt;="&amp;$A84,Rates_Daily!$A$15:$A$2892,"&lt;="&amp;EOMONTH($A84,0)),"")</f>
        <v>-0.570571428571429</v>
      </c>
      <c r="M84" s="14" t="n">
        <v>-0.5604286</v>
      </c>
      <c r="N84" s="14" t="n">
        <v>-0.5498095</v>
      </c>
      <c r="O84" s="14" t="n">
        <v>-0.5272381</v>
      </c>
      <c r="P84" s="14" t="n">
        <v>-0.4767619</v>
      </c>
      <c r="Q84" s="14" t="n">
        <v>-0.549809523809524</v>
      </c>
      <c r="R84" s="14" t="n">
        <v>0.1</v>
      </c>
      <c r="S84" s="14" t="n">
        <v>0.0502</v>
      </c>
      <c r="T84" s="10" t="n">
        <f aca="false">IFERROR(AVERAGEIFS(Rates_Daily!I$15:I$2892,Rates_Daily!$A$15:$A$2892,"&gt;="&amp;$A84,Rates_Daily!$A$15:$A$2892,"&lt;="&amp;EOMONTH($A84,0)),"")</f>
        <v>0.0997526533018812</v>
      </c>
      <c r="U84" s="10" t="n">
        <f aca="false">IFERROR(AVERAGEIFS(Rates_Daily!J$15:J$2892,Rates_Daily!$A$15:$A$2892,"&gt;="&amp;$A84,Rates_Daily!$A$15:$A$2892,"&lt;="&amp;EOMONTH($A84,0)),"")</f>
        <v>0.192223666589675</v>
      </c>
      <c r="V84" s="10" t="n">
        <f aca="false">IFERROR(AVERAGEIFS(Rates_Daily!K$15:K$2892,Rates_Daily!$A$15:$A$2892,"&gt;="&amp;$A84,Rates_Daily!$A$15:$A$2892,"&lt;="&amp;EOMONTH($A84,0)),"")</f>
        <v>0.332036862752777</v>
      </c>
      <c r="W84" s="10" t="n">
        <f aca="false">IFERROR(AVERAGEIFS(Rates_Daily!L$15:L$2892,Rates_Daily!$A$15:$A$2892,"&gt;="&amp;$A84,Rates_Daily!$A$15:$A$2892,"&lt;="&amp;EOMONTH($A84,0)),"")</f>
        <v>0.552047611567849</v>
      </c>
      <c r="X84" s="14" t="n">
        <v>0.16</v>
      </c>
      <c r="Y84" s="14" t="n">
        <v>0.25</v>
      </c>
      <c r="Z84" s="14" t="n">
        <v>0.25</v>
      </c>
      <c r="AA84" s="14" t="n">
        <v>0.184</v>
      </c>
      <c r="AB84" s="14" t="n">
        <v>0.304</v>
      </c>
      <c r="AC84" s="14" t="n">
        <v>0.583</v>
      </c>
      <c r="AD84" s="14" t="n">
        <v>0.74</v>
      </c>
      <c r="AE84" s="14" t="n">
        <v>0.75</v>
      </c>
      <c r="AF84" s="14" t="n">
        <v>0.74</v>
      </c>
      <c r="AG84" s="14" t="n">
        <v>1.08</v>
      </c>
      <c r="AH84" s="14" t="n">
        <v>1.02</v>
      </c>
      <c r="AI84" s="14" t="n">
        <v>1.21</v>
      </c>
      <c r="AJ84" s="14" t="n">
        <v>1.47</v>
      </c>
      <c r="AK84" s="14" t="n">
        <v>0.805</v>
      </c>
      <c r="AL84" s="14" t="n">
        <v>1.204</v>
      </c>
      <c r="AM84" s="14" t="n">
        <v>1.178</v>
      </c>
      <c r="AN84" s="14" t="n">
        <v>1.08</v>
      </c>
      <c r="AO84" s="10" t="n">
        <f aca="false">IFERROR(AVERAGEIFS(Rates_Daily!M$15:M$2892,Rates_Daily!$A$15:$A$2892,"&gt;="&amp;$A84,Rates_Daily!$A$15:$A$2892,"&lt;="&amp;EOMONTH($A84,0)),"")</f>
        <v>2.37348235294118</v>
      </c>
      <c r="AP84" s="10" t="n">
        <f aca="false">IFERROR(AVERAGEIFS(Rates_Daily!N$15:N$2892,Rates_Daily!$A$15:$A$2892,"&gt;="&amp;$A84,Rates_Daily!$A$15:$A$2892,"&lt;="&amp;EOMONTH($A84,0)),"")</f>
        <v>2.43171764705882</v>
      </c>
      <c r="AQ84" s="10" t="n">
        <f aca="false">IFERROR(AVERAGEIFS(Rates_Daily!O$15:O$2892,Rates_Daily!$A$15:$A$2892,"&gt;="&amp;$A84,Rates_Daily!$A$15:$A$2892,"&lt;="&amp;EOMONTH($A84,0)),"")</f>
        <v>2.50682352941177</v>
      </c>
      <c r="AR84" s="10" t="n">
        <f aca="false">IFERROR(AVERAGEIFS(Rates_Daily!P$15:P$2892,Rates_Daily!$A$15:$A$2892,"&gt;="&amp;$A84,Rates_Daily!$A$15:$A$2892,"&lt;="&amp;EOMONTH($A84,0)),"")</f>
        <v>2.74279411764706</v>
      </c>
      <c r="AS84" s="14" t="n">
        <v>3.85</v>
      </c>
      <c r="AT84" s="14" t="n">
        <v>4.65</v>
      </c>
      <c r="AU84" s="14" t="n">
        <v>2.72</v>
      </c>
      <c r="AV84" s="14" t="n">
        <v>6.3</v>
      </c>
      <c r="AW84" s="14" t="n">
        <v>6.44</v>
      </c>
      <c r="AX84" s="14" t="n">
        <v>-0.072</v>
      </c>
      <c r="AY84" s="14" t="n">
        <v>-0.027</v>
      </c>
      <c r="AZ84" s="16" t="str">
        <f aca="false">IF(EOMONTH($A84,0)&gt;MAX(Rates_Daily!$A$15:$A$2892),"partial month","complete")</f>
        <v>complete</v>
      </c>
    </row>
    <row r="85" customFormat="false" ht="15" hidden="false" customHeight="false" outlineLevel="0" collapsed="false">
      <c r="A85" s="17" t="n">
        <v>44501</v>
      </c>
      <c r="B85" s="14" t="n">
        <v>0.08</v>
      </c>
      <c r="C85" s="10" t="n">
        <f aca="false">IFERROR(INDEX(Rates_Daily!C$15:C$2892,MATCH(_xlfn.MAXIFS(Rates_Daily!$A$15:$A$2892,Rates_Daily!$A$15:$A$2892,"&lt;="&amp;EOMONTH($A85,0),Rates_Daily!C$15:C$2892,"&gt;=-1E+99"),Rates_Daily!$A$15:$A$2892,0)),"")</f>
        <v>0.25</v>
      </c>
      <c r="D85" s="10" t="n">
        <f aca="false">IFERROR(INDEX(Rates_Daily!D$15:D$2892,MATCH(_xlfn.MAXIFS(Rates_Daily!$A$15:$A$2892,Rates_Daily!$A$15:$A$2892,"&lt;="&amp;EOMONTH($A85,0),Rates_Daily!D$15:D$2892,"&gt;=-1E+99"),Rates_Daily!$A$15:$A$2892,0)),"")</f>
        <v>0</v>
      </c>
      <c r="E85" s="10" t="n">
        <f aca="false">IFERROR(AVERAGEIFS(Rates_Daily!B$15:B$2892,Rates_Daily!$A$15:$A$2892,"&gt;="&amp;$A85,Rates_Daily!$A$15:$A$2892,"&lt;="&amp;EOMONTH($A85,0)),"")</f>
        <v>0.05</v>
      </c>
      <c r="F85" s="14" t="n">
        <v>0.07</v>
      </c>
      <c r="G85" s="14" t="n">
        <v>0.05</v>
      </c>
      <c r="H85" s="14" t="n">
        <v>0.07</v>
      </c>
      <c r="I85" s="14" t="n">
        <v>0.18</v>
      </c>
      <c r="J85" s="14" t="n">
        <v>0.14</v>
      </c>
      <c r="K85" s="10" t="n">
        <f aca="false">IFERROR(INDEX(Rates_Daily!F$15:F$2892,MATCH(_xlfn.MAXIFS(Rates_Daily!$A$15:$A$2892,Rates_Daily!$A$15:$A$2892,"&lt;="&amp;EOMONTH($A85,0),Rates_Daily!F$15:F$2892,"&gt;=-1E+99"),Rates_Daily!$A$15:$A$2892,0)),"")</f>
        <v>-0.5</v>
      </c>
      <c r="L85" s="10" t="n">
        <f aca="false">IFERROR(AVERAGEIFS(Rates_Daily!E$15:E$2892,Rates_Daily!$A$15:$A$2892,"&gt;="&amp;$A85,Rates_Daily!$A$15:$A$2892,"&lt;="&amp;EOMONTH($A85,0)),"")</f>
        <v>-0.573</v>
      </c>
      <c r="M85" s="14" t="n">
        <v>-0.5653636</v>
      </c>
      <c r="N85" s="14" t="n">
        <v>-0.5673636</v>
      </c>
      <c r="O85" s="14" t="n">
        <v>-0.534</v>
      </c>
      <c r="P85" s="14" t="n">
        <v>-0.487</v>
      </c>
      <c r="Q85" s="14" t="n">
        <v>-0.567363636363636</v>
      </c>
      <c r="R85" s="14" t="n">
        <v>0.1</v>
      </c>
      <c r="S85" s="14" t="n">
        <v>0.0468</v>
      </c>
      <c r="T85" s="10" t="n">
        <f aca="false">IFERROR(AVERAGEIFS(Rates_Daily!I$15:I$2892,Rates_Daily!$A$15:$A$2892,"&gt;="&amp;$A85,Rates_Daily!$A$15:$A$2892,"&lt;="&amp;EOMONTH($A85,0)),"")</f>
        <v>0.0807441611461454</v>
      </c>
      <c r="U85" s="10" t="n">
        <f aca="false">IFERROR(AVERAGEIFS(Rates_Daily!J$15:J$2892,Rates_Daily!$A$15:$A$2892,"&gt;="&amp;$A85,Rates_Daily!$A$15:$A$2892,"&lt;="&amp;EOMONTH($A85,0)),"")</f>
        <v>0.179080848282877</v>
      </c>
      <c r="V85" s="10" t="n">
        <f aca="false">IFERROR(AVERAGEIFS(Rates_Daily!K$15:K$2892,Rates_Daily!$A$15:$A$2892,"&gt;="&amp;$A85,Rates_Daily!$A$15:$A$2892,"&lt;="&amp;EOMONTH($A85,0)),"")</f>
        <v>0.333202794699927</v>
      </c>
      <c r="W85" s="10" t="n">
        <f aca="false">IFERROR(AVERAGEIFS(Rates_Daily!L$15:L$2892,Rates_Daily!$A$15:$A$2892,"&gt;="&amp;$A85,Rates_Daily!$A$15:$A$2892,"&lt;="&amp;EOMONTH($A85,0)),"")</f>
        <v>0.605929320868225</v>
      </c>
      <c r="X85" s="14" t="n">
        <v>0.13</v>
      </c>
      <c r="Y85" s="14" t="n">
        <v>0.25</v>
      </c>
      <c r="Z85" s="14" t="n">
        <v>0.25</v>
      </c>
      <c r="AA85" s="14" t="n">
        <v>0.409</v>
      </c>
      <c r="AB85" s="14" t="n">
        <v>0.568</v>
      </c>
      <c r="AC85" s="14" t="n">
        <v>0.721</v>
      </c>
      <c r="AD85" s="14" t="n">
        <v>0.83</v>
      </c>
      <c r="AE85" s="14" t="n">
        <v>1</v>
      </c>
      <c r="AF85" s="14" t="n">
        <v>0.796</v>
      </c>
      <c r="AG85" s="14" t="n">
        <v>1.17</v>
      </c>
      <c r="AH85" s="14" t="n">
        <v>1.2</v>
      </c>
      <c r="AI85" s="14" t="n">
        <v>1.43</v>
      </c>
      <c r="AJ85" s="14" t="n">
        <v>1.71</v>
      </c>
      <c r="AK85" s="14" t="n">
        <v>0.893</v>
      </c>
      <c r="AL85" s="14" t="n">
        <v>1.339</v>
      </c>
      <c r="AM85" s="14" t="n">
        <v>1.339</v>
      </c>
      <c r="AN85" s="14" t="n">
        <v>1.17</v>
      </c>
      <c r="AO85" s="10" t="n">
        <f aca="false">IFERROR(AVERAGEIFS(Rates_Daily!M$15:M$2892,Rates_Daily!$A$15:$A$2892,"&gt;="&amp;$A85,Rates_Daily!$A$15:$A$2892,"&lt;="&amp;EOMONTH($A85,0)),"")</f>
        <v>2.37209090909091</v>
      </c>
      <c r="AP85" s="10" t="n">
        <f aca="false">IFERROR(AVERAGEIFS(Rates_Daily!N$15:N$2892,Rates_Daily!$A$15:$A$2892,"&gt;="&amp;$A85,Rates_Daily!$A$15:$A$2892,"&lt;="&amp;EOMONTH($A85,0)),"")</f>
        <v>2.46586363636364</v>
      </c>
      <c r="AQ85" s="10" t="n">
        <f aca="false">IFERROR(AVERAGEIFS(Rates_Daily!O$15:O$2892,Rates_Daily!$A$15:$A$2892,"&gt;="&amp;$A85,Rates_Daily!$A$15:$A$2892,"&lt;="&amp;EOMONTH($A85,0)),"")</f>
        <v>2.56563636363636</v>
      </c>
      <c r="AR85" s="10" t="n">
        <f aca="false">IFERROR(AVERAGEIFS(Rates_Daily!P$15:P$2892,Rates_Daily!$A$15:$A$2892,"&gt;="&amp;$A85,Rates_Daily!$A$15:$A$2892,"&lt;="&amp;EOMONTH($A85,0)),"")</f>
        <v>2.766</v>
      </c>
      <c r="AS85" s="14" t="n">
        <v>3.85</v>
      </c>
      <c r="AT85" s="14" t="n">
        <v>4.65</v>
      </c>
      <c r="AU85" s="14" t="n">
        <v>2.94</v>
      </c>
      <c r="AV85" s="14" t="n">
        <v>7.65</v>
      </c>
      <c r="AW85" s="14" t="n">
        <v>7.75</v>
      </c>
      <c r="AX85" s="14" t="n">
        <v>-0.072</v>
      </c>
      <c r="AY85" s="14" t="n">
        <v>-0.039</v>
      </c>
      <c r="AZ85" s="16" t="str">
        <f aca="false">IF(EOMONTH($A85,0)&gt;MAX(Rates_Daily!$A$15:$A$2892),"partial month","complete")</f>
        <v>complete</v>
      </c>
    </row>
    <row r="86" customFormat="false" ht="15" hidden="false" customHeight="false" outlineLevel="0" collapsed="false">
      <c r="A86" s="17" t="n">
        <v>44531</v>
      </c>
      <c r="B86" s="14" t="n">
        <v>0.08</v>
      </c>
      <c r="C86" s="10" t="n">
        <f aca="false">IFERROR(INDEX(Rates_Daily!C$15:C$2892,MATCH(_xlfn.MAXIFS(Rates_Daily!$A$15:$A$2892,Rates_Daily!$A$15:$A$2892,"&lt;="&amp;EOMONTH($A86,0),Rates_Daily!C$15:C$2892,"&gt;=-1E+99"),Rates_Daily!$A$15:$A$2892,0)),"")</f>
        <v>0.25</v>
      </c>
      <c r="D86" s="10" t="n">
        <f aca="false">IFERROR(INDEX(Rates_Daily!D$15:D$2892,MATCH(_xlfn.MAXIFS(Rates_Daily!$A$15:$A$2892,Rates_Daily!$A$15:$A$2892,"&lt;="&amp;EOMONTH($A86,0),Rates_Daily!D$15:D$2892,"&gt;=-1E+99"),Rates_Daily!$A$15:$A$2892,0)),"")</f>
        <v>0</v>
      </c>
      <c r="E86" s="10" t="n">
        <f aca="false">IFERROR(AVERAGEIFS(Rates_Daily!B$15:B$2892,Rates_Daily!$A$15:$A$2892,"&gt;="&amp;$A86,Rates_Daily!$A$15:$A$2892,"&lt;="&amp;EOMONTH($A86,0)),"")</f>
        <v>0.0495454545454546</v>
      </c>
      <c r="F86" s="14" t="n">
        <v>0.04</v>
      </c>
      <c r="G86" s="14" t="n">
        <v>0.06</v>
      </c>
      <c r="H86" s="14" t="n">
        <v>0.15</v>
      </c>
      <c r="I86" s="14" t="n">
        <v>0.3</v>
      </c>
      <c r="J86" s="14" t="n">
        <v>0.17</v>
      </c>
      <c r="K86" s="10" t="n">
        <f aca="false">IFERROR(INDEX(Rates_Daily!F$15:F$2892,MATCH(_xlfn.MAXIFS(Rates_Daily!$A$15:$A$2892,Rates_Daily!$A$15:$A$2892,"&lt;="&amp;EOMONTH($A86,0),Rates_Daily!F$15:F$2892,"&gt;=-1E+99"),Rates_Daily!$A$15:$A$2892,0)),"")</f>
        <v>-0.5</v>
      </c>
      <c r="L86" s="10" t="n">
        <f aca="false">IFERROR(AVERAGEIFS(Rates_Daily!E$15:E$2892,Rates_Daily!$A$15:$A$2892,"&gt;="&amp;$A86,Rates_Daily!$A$15:$A$2892,"&lt;="&amp;EOMONTH($A86,0)),"")</f>
        <v>-0.577217391304348</v>
      </c>
      <c r="M86" s="14" t="n">
        <v>-0.5962609</v>
      </c>
      <c r="N86" s="14" t="n">
        <v>-0.5819565</v>
      </c>
      <c r="O86" s="14" t="n">
        <v>-0.5446087</v>
      </c>
      <c r="P86" s="14" t="n">
        <v>-0.5019565</v>
      </c>
      <c r="Q86" s="14" t="n">
        <v>-0.58195652173913</v>
      </c>
      <c r="R86" s="14" t="n">
        <v>0.1714</v>
      </c>
      <c r="S86" s="14" t="n">
        <v>0.1141</v>
      </c>
      <c r="T86" s="10" t="n">
        <f aca="false">IFERROR(AVERAGEIFS(Rates_Daily!I$15:I$2892,Rates_Daily!$A$15:$A$2892,"&gt;="&amp;$A86,Rates_Daily!$A$15:$A$2892,"&lt;="&amp;EOMONTH($A86,0)),"")</f>
        <v>0.142210883585756</v>
      </c>
      <c r="U86" s="10" t="n">
        <f aca="false">IFERROR(AVERAGEIFS(Rates_Daily!J$15:J$2892,Rates_Daily!$A$15:$A$2892,"&gt;="&amp;$A86,Rates_Daily!$A$15:$A$2892,"&lt;="&amp;EOMONTH($A86,0)),"")</f>
        <v>0.236337793551079</v>
      </c>
      <c r="V86" s="10" t="n">
        <f aca="false">IFERROR(AVERAGEIFS(Rates_Daily!K$15:K$2892,Rates_Daily!$A$15:$A$2892,"&gt;="&amp;$A86,Rates_Daily!$A$15:$A$2892,"&lt;="&amp;EOMONTH($A86,0)),"")</f>
        <v>0.387266927216271</v>
      </c>
      <c r="W86" s="10" t="n">
        <f aca="false">IFERROR(AVERAGEIFS(Rates_Daily!L$15:L$2892,Rates_Daily!$A$15:$A$2892,"&gt;="&amp;$A86,Rates_Daily!$A$15:$A$2892,"&lt;="&amp;EOMONTH($A86,0)),"")</f>
        <v>0.641956041745512</v>
      </c>
      <c r="X86" s="14" t="n">
        <v>0.16</v>
      </c>
      <c r="Y86" s="14" t="n">
        <v>0.36</v>
      </c>
      <c r="Z86" s="14" t="n">
        <v>0.36</v>
      </c>
      <c r="AA86" s="14" t="n">
        <v>0.254</v>
      </c>
      <c r="AB86" s="14" t="n">
        <v>0.508</v>
      </c>
      <c r="AC86" s="14" t="n">
        <v>0.782</v>
      </c>
      <c r="AD86" s="14" t="n">
        <v>1.02</v>
      </c>
      <c r="AE86" s="14" t="n">
        <v>1</v>
      </c>
      <c r="AF86" s="14" t="n">
        <v>1.012</v>
      </c>
      <c r="AG86" s="14" t="n">
        <v>1.27</v>
      </c>
      <c r="AH86" s="14" t="n">
        <v>1.36</v>
      </c>
      <c r="AI86" s="14" t="n">
        <v>1.58</v>
      </c>
      <c r="AJ86" s="14" t="n">
        <v>1.76</v>
      </c>
      <c r="AK86" s="14" t="n">
        <v>1</v>
      </c>
      <c r="AL86" s="14" t="n">
        <v>1.317</v>
      </c>
      <c r="AM86" s="14" t="n">
        <v>1.32</v>
      </c>
      <c r="AN86" s="14" t="n">
        <v>1.27</v>
      </c>
      <c r="AO86" s="10" t="n">
        <f aca="false">IFERROR(AVERAGEIFS(Rates_Daily!M$15:M$2892,Rates_Daily!$A$15:$A$2892,"&gt;="&amp;$A86,Rates_Daily!$A$15:$A$2892,"&lt;="&amp;EOMONTH($A86,0)),"")</f>
        <v>2.38369565217391</v>
      </c>
      <c r="AP86" s="10" t="n">
        <f aca="false">IFERROR(AVERAGEIFS(Rates_Daily!N$15:N$2892,Rates_Daily!$A$15:$A$2892,"&gt;="&amp;$A86,Rates_Daily!$A$15:$A$2892,"&lt;="&amp;EOMONTH($A86,0)),"")</f>
        <v>2.49469565217391</v>
      </c>
      <c r="AQ86" s="10" t="n">
        <f aca="false">IFERROR(AVERAGEIFS(Rates_Daily!O$15:O$2892,Rates_Daily!$A$15:$A$2892,"&gt;="&amp;$A86,Rates_Daily!$A$15:$A$2892,"&lt;="&amp;EOMONTH($A86,0)),"")</f>
        <v>2.59013043478261</v>
      </c>
      <c r="AR86" s="10" t="n">
        <f aca="false">IFERROR(AVERAGEIFS(Rates_Daily!P$15:P$2892,Rates_Daily!$A$15:$A$2892,"&gt;="&amp;$A86,Rates_Daily!$A$15:$A$2892,"&lt;="&amp;EOMONTH($A86,0)),"")</f>
        <v>2.7395652173913</v>
      </c>
      <c r="AS86" s="14" t="n">
        <v>3.8</v>
      </c>
      <c r="AT86" s="14" t="n">
        <v>4.65</v>
      </c>
      <c r="AU86" s="14" t="n">
        <v>3.08</v>
      </c>
      <c r="AV86" s="14" t="n">
        <v>8.76</v>
      </c>
      <c r="AW86" s="14" t="n">
        <v>8.86</v>
      </c>
      <c r="AX86" s="14" t="n">
        <v>-0.049</v>
      </c>
      <c r="AY86" s="14" t="n">
        <v>-0.026</v>
      </c>
      <c r="AZ86" s="16" t="str">
        <f aca="false">IF(EOMONTH($A86,0)&gt;MAX(Rates_Daily!$A$15:$A$2892),"partial month","complete")</f>
        <v>complete</v>
      </c>
    </row>
    <row r="87" customFormat="false" ht="15" hidden="false" customHeight="false" outlineLevel="0" collapsed="false">
      <c r="A87" s="17" t="n">
        <v>44562</v>
      </c>
      <c r="B87" s="14" t="n">
        <v>0.08</v>
      </c>
      <c r="C87" s="10" t="n">
        <f aca="false">IFERROR(INDEX(Rates_Daily!C$15:C$2892,MATCH(_xlfn.MAXIFS(Rates_Daily!$A$15:$A$2892,Rates_Daily!$A$15:$A$2892,"&lt;="&amp;EOMONTH($A87,0),Rates_Daily!C$15:C$2892,"&gt;=-1E+99"),Rates_Daily!$A$15:$A$2892,0)),"")</f>
        <v>0.25</v>
      </c>
      <c r="D87" s="10" t="n">
        <f aca="false">IFERROR(INDEX(Rates_Daily!D$15:D$2892,MATCH(_xlfn.MAXIFS(Rates_Daily!$A$15:$A$2892,Rates_Daily!$A$15:$A$2892,"&lt;="&amp;EOMONTH($A87,0),Rates_Daily!D$15:D$2892,"&gt;=-1E+99"),Rates_Daily!$A$15:$A$2892,0)),"")</f>
        <v>0</v>
      </c>
      <c r="E87" s="10" t="n">
        <f aca="false">IFERROR(AVERAGEIFS(Rates_Daily!B$15:B$2892,Rates_Daily!$A$15:$A$2892,"&gt;="&amp;$A87,Rates_Daily!$A$15:$A$2892,"&lt;="&amp;EOMONTH($A87,0)),"")</f>
        <v>0.048</v>
      </c>
      <c r="F87" s="14" t="n">
        <v>0.05</v>
      </c>
      <c r="G87" s="14" t="n">
        <v>0.15</v>
      </c>
      <c r="H87" s="14" t="n">
        <v>0.33</v>
      </c>
      <c r="I87" s="14" t="n">
        <v>0.55</v>
      </c>
      <c r="J87" s="14" t="n">
        <v>0.22</v>
      </c>
      <c r="K87" s="10" t="n">
        <f aca="false">IFERROR(INDEX(Rates_Daily!F$15:F$2892,MATCH(_xlfn.MAXIFS(Rates_Daily!$A$15:$A$2892,Rates_Daily!$A$15:$A$2892,"&lt;="&amp;EOMONTH($A87,0),Rates_Daily!F$15:F$2892,"&gt;=-1E+99"),Rates_Daily!$A$15:$A$2892,0)),"")</f>
        <v>-0.5</v>
      </c>
      <c r="L87" s="10" t="n">
        <f aca="false">IFERROR(AVERAGEIFS(Rates_Daily!E$15:E$2892,Rates_Daily!$A$15:$A$2892,"&gt;="&amp;$A87,Rates_Daily!$A$15:$A$2892,"&lt;="&amp;EOMONTH($A87,0)),"")</f>
        <v>-0.577857142857143</v>
      </c>
      <c r="M87" s="14" t="n">
        <v>-0.5648571</v>
      </c>
      <c r="N87" s="14" t="n">
        <v>-0.5601429</v>
      </c>
      <c r="O87" s="14" t="n">
        <v>-0.5273333</v>
      </c>
      <c r="P87" s="14" t="n">
        <v>-0.4766667</v>
      </c>
      <c r="Q87" s="14" t="n">
        <v>-0.560142857142857</v>
      </c>
      <c r="R87" s="14" t="n">
        <v>0.25</v>
      </c>
      <c r="S87" s="14" t="n">
        <v>0.1958</v>
      </c>
      <c r="T87" s="10" t="n">
        <f aca="false">IFERROR(AVERAGEIFS(Rates_Daily!I$15:I$2892,Rates_Daily!$A$15:$A$2892,"&gt;="&amp;$A87,Rates_Daily!$A$15:$A$2892,"&lt;="&amp;EOMONTH($A87,0)),"")</f>
        <v>0.293504964535392</v>
      </c>
      <c r="U87" s="10" t="n">
        <f aca="false">IFERROR(AVERAGEIFS(Rates_Daily!J$15:J$2892,Rates_Daily!$A$15:$A$2892,"&gt;="&amp;$A87,Rates_Daily!$A$15:$A$2892,"&lt;="&amp;EOMONTH($A87,0)),"")</f>
        <v>0.423526631097973</v>
      </c>
      <c r="V87" s="10" t="n">
        <f aca="false">IFERROR(AVERAGEIFS(Rates_Daily!K$15:K$2892,Rates_Daily!$A$15:$A$2892,"&gt;="&amp;$A87,Rates_Daily!$A$15:$A$2892,"&lt;="&amp;EOMONTH($A87,0)),"")</f>
        <v>0.596616994204701</v>
      </c>
      <c r="W87" s="10" t="n">
        <f aca="false">IFERROR(AVERAGEIFS(Rates_Daily!L$15:L$2892,Rates_Daily!$A$15:$A$2892,"&gt;="&amp;$A87,Rates_Daily!$A$15:$A$2892,"&lt;="&amp;EOMONTH($A87,0)),"")</f>
        <v>0.870139475820645</v>
      </c>
      <c r="X87" s="14" t="n">
        <v>0.53</v>
      </c>
      <c r="Y87" s="14" t="n">
        <v>0.5</v>
      </c>
      <c r="Z87" s="14" t="n">
        <v>0.5</v>
      </c>
      <c r="AA87" s="14" t="n">
        <v>0.558</v>
      </c>
      <c r="AB87" s="14" t="n">
        <v>0.696</v>
      </c>
      <c r="AC87" s="14" t="n">
        <v>1.035</v>
      </c>
      <c r="AD87" s="14" t="n">
        <v>1.1</v>
      </c>
      <c r="AE87" s="14" t="n">
        <v>1.25</v>
      </c>
      <c r="AF87" s="14" t="n">
        <v>1.188</v>
      </c>
      <c r="AG87" s="14" t="n">
        <v>1.39</v>
      </c>
      <c r="AH87" s="14" t="n">
        <v>1.45</v>
      </c>
      <c r="AI87" s="14" t="n">
        <v>1.62</v>
      </c>
      <c r="AJ87" s="14" t="n">
        <v>1.8</v>
      </c>
      <c r="AK87" s="14" t="n">
        <v>1.181</v>
      </c>
      <c r="AL87" s="14" t="n">
        <v>1.424</v>
      </c>
      <c r="AM87" s="14" t="n">
        <v>1.422</v>
      </c>
      <c r="AN87" s="14" t="n">
        <v>1.39</v>
      </c>
      <c r="AO87" s="10" t="n">
        <f aca="false">IFERROR(AVERAGEIFS(Rates_Daily!M$15:M$2892,Rates_Daily!$A$15:$A$2892,"&gt;="&amp;$A87,Rates_Daily!$A$15:$A$2892,"&lt;="&amp;EOMONTH($A87,0)),"")</f>
        <v>2.42371428571429</v>
      </c>
      <c r="AP87" s="10" t="n">
        <f aca="false">IFERROR(AVERAGEIFS(Rates_Daily!N$15:N$2892,Rates_Daily!$A$15:$A$2892,"&gt;="&amp;$A87,Rates_Daily!$A$15:$A$2892,"&lt;="&amp;EOMONTH($A87,0)),"")</f>
        <v>2.4822380952381</v>
      </c>
      <c r="AQ87" s="10" t="n">
        <f aca="false">IFERROR(AVERAGEIFS(Rates_Daily!O$15:O$2892,Rates_Daily!$A$15:$A$2892,"&gt;="&amp;$A87,Rates_Daily!$A$15:$A$2892,"&lt;="&amp;EOMONTH($A87,0)),"")</f>
        <v>2.54347619047619</v>
      </c>
      <c r="AR87" s="10" t="n">
        <f aca="false">IFERROR(AVERAGEIFS(Rates_Daily!P$15:P$2892,Rates_Daily!$A$15:$A$2892,"&gt;="&amp;$A87,Rates_Daily!$A$15:$A$2892,"&lt;="&amp;EOMONTH($A87,0)),"")</f>
        <v>2.69966666666667</v>
      </c>
      <c r="AS87" s="14" t="n">
        <v>3.7</v>
      </c>
      <c r="AT87" s="14" t="n">
        <v>4.6</v>
      </c>
      <c r="AU87" s="14" t="n">
        <v>3.32</v>
      </c>
      <c r="AV87" s="14" t="n">
        <v>9.15</v>
      </c>
      <c r="AW87" s="14" t="n">
        <v>9.25</v>
      </c>
      <c r="AX87" s="14" t="n">
        <v>-0.049</v>
      </c>
      <c r="AY87" s="14" t="n">
        <v>-0.02</v>
      </c>
      <c r="AZ87" s="16" t="str">
        <f aca="false">IF(EOMONTH($A87,0)&gt;MAX(Rates_Daily!$A$15:$A$2892),"partial month","complete")</f>
        <v>complete</v>
      </c>
    </row>
    <row r="88" customFormat="false" ht="15" hidden="false" customHeight="false" outlineLevel="0" collapsed="false">
      <c r="A88" s="17" t="n">
        <v>44593</v>
      </c>
      <c r="B88" s="14" t="n">
        <v>0.08</v>
      </c>
      <c r="C88" s="10" t="n">
        <f aca="false">IFERROR(INDEX(Rates_Daily!C$15:C$2892,MATCH(_xlfn.MAXIFS(Rates_Daily!$A$15:$A$2892,Rates_Daily!$A$15:$A$2892,"&lt;="&amp;EOMONTH($A88,0),Rates_Daily!C$15:C$2892,"&gt;=-1E+99"),Rates_Daily!$A$15:$A$2892,0)),"")</f>
        <v>0.25</v>
      </c>
      <c r="D88" s="10" t="n">
        <f aca="false">IFERROR(INDEX(Rates_Daily!D$15:D$2892,MATCH(_xlfn.MAXIFS(Rates_Daily!$A$15:$A$2892,Rates_Daily!$A$15:$A$2892,"&lt;="&amp;EOMONTH($A88,0),Rates_Daily!D$15:D$2892,"&gt;=-1E+99"),Rates_Daily!$A$15:$A$2892,0)),"")</f>
        <v>0</v>
      </c>
      <c r="E88" s="10" t="n">
        <f aca="false">IFERROR(AVERAGEIFS(Rates_Daily!B$15:B$2892,Rates_Daily!$A$15:$A$2892,"&gt;="&amp;$A88,Rates_Daily!$A$15:$A$2892,"&lt;="&amp;EOMONTH($A88,0)),"")</f>
        <v>0.0494736842105263</v>
      </c>
      <c r="F88" s="14" t="n">
        <v>0.04</v>
      </c>
      <c r="G88" s="14" t="n">
        <v>0.31</v>
      </c>
      <c r="H88" s="14" t="n">
        <v>0.64</v>
      </c>
      <c r="I88" s="14" t="n">
        <v>1</v>
      </c>
      <c r="J88" s="14" t="n">
        <v>0.38</v>
      </c>
      <c r="K88" s="10" t="n">
        <f aca="false">IFERROR(INDEX(Rates_Daily!F$15:F$2892,MATCH(_xlfn.MAXIFS(Rates_Daily!$A$15:$A$2892,Rates_Daily!$A$15:$A$2892,"&lt;="&amp;EOMONTH($A88,0),Rates_Daily!F$15:F$2892,"&gt;=-1E+99"),Rates_Daily!$A$15:$A$2892,0)),"")</f>
        <v>-0.5</v>
      </c>
      <c r="L88" s="10" t="n">
        <f aca="false">IFERROR(AVERAGEIFS(Rates_Daily!E$15:E$2892,Rates_Daily!$A$15:$A$2892,"&gt;="&amp;$A88,Rates_Daily!$A$15:$A$2892,"&lt;="&amp;EOMONTH($A88,0)),"")</f>
        <v>-0.57655</v>
      </c>
      <c r="M88" s="14" t="n">
        <v>-0.55305</v>
      </c>
      <c r="N88" s="14" t="n">
        <v>-0.5315</v>
      </c>
      <c r="O88" s="14" t="n">
        <v>-0.47615</v>
      </c>
      <c r="P88" s="14" t="n">
        <v>-0.33525</v>
      </c>
      <c r="Q88" s="14" t="n">
        <v>-0.53150000005</v>
      </c>
      <c r="R88" s="14" t="n">
        <v>0.475</v>
      </c>
      <c r="S88" s="14" t="n">
        <v>0.4199</v>
      </c>
      <c r="T88" s="10" t="n">
        <f aca="false">IFERROR(AVERAGEIFS(Rates_Daily!I$15:I$2892,Rates_Daily!$A$15:$A$2892,"&gt;="&amp;$A88,Rates_Daily!$A$15:$A$2892,"&lt;="&amp;EOMONTH($A88,0)),"")</f>
        <v>0.484096872977493</v>
      </c>
      <c r="U88" s="10" t="n">
        <f aca="false">IFERROR(AVERAGEIFS(Rates_Daily!J$15:J$2892,Rates_Daily!$A$15:$A$2892,"&gt;="&amp;$A88,Rates_Daily!$A$15:$A$2892,"&lt;="&amp;EOMONTH($A88,0)),"")</f>
        <v>0.709069067050876</v>
      </c>
      <c r="V88" s="10" t="n">
        <f aca="false">IFERROR(AVERAGEIFS(Rates_Daily!K$15:K$2892,Rates_Daily!$A$15:$A$2892,"&gt;="&amp;$A88,Rates_Daily!$A$15:$A$2892,"&lt;="&amp;EOMONTH($A88,0)),"")</f>
        <v>0.994526492096481</v>
      </c>
      <c r="W88" s="10" t="n">
        <f aca="false">IFERROR(AVERAGEIFS(Rates_Daily!L$15:L$2892,Rates_Daily!$A$15:$A$2892,"&gt;="&amp;$A88,Rates_Daily!$A$15:$A$2892,"&lt;="&amp;EOMONTH($A88,0)),"")</f>
        <v>1.34892918978106</v>
      </c>
      <c r="X88" s="14" t="n">
        <v>0.81</v>
      </c>
      <c r="Y88" s="14" t="n">
        <v>0.5</v>
      </c>
      <c r="Z88" s="14" t="n">
        <v>0.5</v>
      </c>
      <c r="AA88" s="14" t="n">
        <v>0.754</v>
      </c>
      <c r="AB88" s="14" t="n">
        <v>0.924</v>
      </c>
      <c r="AC88" s="14" t="n">
        <v>1.12</v>
      </c>
      <c r="AD88" s="14" t="n">
        <v>1.17</v>
      </c>
      <c r="AE88" s="14" t="n">
        <v>1.25</v>
      </c>
      <c r="AF88" s="14" t="n">
        <v>1.219</v>
      </c>
      <c r="AG88" s="14" t="n">
        <v>1.5</v>
      </c>
      <c r="AH88" s="14" t="n">
        <v>1.47</v>
      </c>
      <c r="AI88" s="14" t="n">
        <v>1.65</v>
      </c>
      <c r="AJ88" s="14" t="n">
        <v>1.94</v>
      </c>
      <c r="AK88" s="14" t="n">
        <v>1.219</v>
      </c>
      <c r="AL88" s="14" t="n">
        <v>1.547</v>
      </c>
      <c r="AM88" s="14" t="n">
        <v>1.48</v>
      </c>
      <c r="AN88" s="14" t="n">
        <v>1.5</v>
      </c>
      <c r="AO88" s="10" t="n">
        <f aca="false">IFERROR(AVERAGEIFS(Rates_Daily!M$15:M$2892,Rates_Daily!$A$15:$A$2892,"&gt;="&amp;$A88,Rates_Daily!$A$15:$A$2892,"&lt;="&amp;EOMONTH($A88,0)),"")</f>
        <v>2.3441875</v>
      </c>
      <c r="AP88" s="10" t="n">
        <f aca="false">IFERROR(AVERAGEIFS(Rates_Daily!N$15:N$2892,Rates_Daily!$A$15:$A$2892,"&gt;="&amp;$A88,Rates_Daily!$A$15:$A$2892,"&lt;="&amp;EOMONTH($A88,0)),"")</f>
        <v>2.4100625</v>
      </c>
      <c r="AQ88" s="10" t="n">
        <f aca="false">IFERROR(AVERAGEIFS(Rates_Daily!O$15:O$2892,Rates_Daily!$A$15:$A$2892,"&gt;="&amp;$A88,Rates_Daily!$A$15:$A$2892,"&lt;="&amp;EOMONTH($A88,0)),"")</f>
        <v>2.468125</v>
      </c>
      <c r="AR88" s="10" t="n">
        <f aca="false">IFERROR(AVERAGEIFS(Rates_Daily!P$15:P$2892,Rates_Daily!$A$15:$A$2892,"&gt;="&amp;$A88,Rates_Daily!$A$15:$A$2892,"&lt;="&amp;EOMONTH($A88,0)),"")</f>
        <v>2.60475</v>
      </c>
      <c r="AS88" s="14" t="n">
        <v>3.7</v>
      </c>
      <c r="AT88" s="14" t="n">
        <v>4.6</v>
      </c>
      <c r="AU88" s="14" t="n">
        <v>3.2</v>
      </c>
      <c r="AV88" s="14" t="n">
        <v>10.49</v>
      </c>
      <c r="AW88" s="14" t="n">
        <v>10.64</v>
      </c>
      <c r="AX88" s="14" t="n">
        <v>-0.049</v>
      </c>
      <c r="AY88" s="14" t="n">
        <v>-0.018</v>
      </c>
      <c r="AZ88" s="16" t="str">
        <f aca="false">IF(EOMONTH($A88,0)&gt;MAX(Rates_Daily!$A$15:$A$2892),"partial month","complete")</f>
        <v>complete</v>
      </c>
    </row>
    <row r="89" customFormat="false" ht="15" hidden="false" customHeight="false" outlineLevel="0" collapsed="false">
      <c r="A89" s="17" t="n">
        <v>44621</v>
      </c>
      <c r="B89" s="14" t="n">
        <v>0.2</v>
      </c>
      <c r="C89" s="10" t="n">
        <f aca="false">IFERROR(INDEX(Rates_Daily!C$15:C$2892,MATCH(_xlfn.MAXIFS(Rates_Daily!$A$15:$A$2892,Rates_Daily!$A$15:$A$2892,"&lt;="&amp;EOMONTH($A89,0),Rates_Daily!C$15:C$2892,"&gt;=-1E+99"),Rates_Daily!$A$15:$A$2892,0)),"")</f>
        <v>0.5</v>
      </c>
      <c r="D89" s="10" t="n">
        <f aca="false">IFERROR(INDEX(Rates_Daily!D$15:D$2892,MATCH(_xlfn.MAXIFS(Rates_Daily!$A$15:$A$2892,Rates_Daily!$A$15:$A$2892,"&lt;="&amp;EOMONTH($A89,0),Rates_Daily!D$15:D$2892,"&gt;=-1E+99"),Rates_Daily!$A$15:$A$2892,0)),"")</f>
        <v>0.25</v>
      </c>
      <c r="E89" s="10" t="n">
        <f aca="false">IFERROR(AVERAGEIFS(Rates_Daily!B$15:B$2892,Rates_Daily!$A$15:$A$2892,"&gt;="&amp;$A89,Rates_Daily!$A$15:$A$2892,"&lt;="&amp;EOMONTH($A89,0)),"")</f>
        <v>0.161304347826087</v>
      </c>
      <c r="F89" s="14" t="n">
        <v>0.18</v>
      </c>
      <c r="G89" s="14" t="n">
        <v>0.45</v>
      </c>
      <c r="H89" s="14" t="n">
        <v>0.86</v>
      </c>
      <c r="I89" s="14" t="n">
        <v>1.34</v>
      </c>
      <c r="J89" s="14" t="n">
        <v>0.73</v>
      </c>
      <c r="K89" s="10" t="n">
        <f aca="false">IFERROR(INDEX(Rates_Daily!F$15:F$2892,MATCH(_xlfn.MAXIFS(Rates_Daily!$A$15:$A$2892,Rates_Daily!$A$15:$A$2892,"&lt;="&amp;EOMONTH($A89,0),Rates_Daily!F$15:F$2892,"&gt;=-1E+99"),Rates_Daily!$A$15:$A$2892,0)),"")</f>
        <v>-0.5</v>
      </c>
      <c r="L89" s="10" t="n">
        <f aca="false">IFERROR(AVERAGEIFS(Rates_Daily!E$15:E$2892,Rates_Daily!$A$15:$A$2892,"&gt;="&amp;$A89,Rates_Daily!$A$15:$A$2892,"&lt;="&amp;EOMONTH($A89,0)),"")</f>
        <v>-0.578695652173913</v>
      </c>
      <c r="M89" s="14" t="n">
        <v>-0.5444348</v>
      </c>
      <c r="N89" s="14" t="n">
        <v>-0.4954348</v>
      </c>
      <c r="O89" s="14" t="n">
        <v>-0.4176522</v>
      </c>
      <c r="P89" s="14" t="n">
        <v>-0.2373913</v>
      </c>
      <c r="Q89" s="14" t="n">
        <v>-0.495434782608696</v>
      </c>
      <c r="R89" s="14" t="n">
        <v>0.6196</v>
      </c>
      <c r="S89" s="14" t="n">
        <v>0.5623</v>
      </c>
      <c r="T89" s="10" t="n">
        <f aca="false">IFERROR(AVERAGEIFS(Rates_Daily!I$15:I$2892,Rates_Daily!$A$15:$A$2892,"&gt;="&amp;$A89,Rates_Daily!$A$15:$A$2892,"&lt;="&amp;EOMONTH($A89,0)),"")</f>
        <v>0.668815381606997</v>
      </c>
      <c r="U89" s="10" t="n">
        <f aca="false">IFERROR(AVERAGEIFS(Rates_Daily!J$15:J$2892,Rates_Daily!$A$15:$A$2892,"&gt;="&amp;$A89,Rates_Daily!$A$15:$A$2892,"&lt;="&amp;EOMONTH($A89,0)),"")</f>
        <v>0.869637618592884</v>
      </c>
      <c r="V89" s="10" t="n">
        <f aca="false">IFERROR(AVERAGEIFS(Rates_Daily!K$15:K$2892,Rates_Daily!$A$15:$A$2892,"&gt;="&amp;$A89,Rates_Daily!$A$15:$A$2892,"&lt;="&amp;EOMONTH($A89,0)),"")</f>
        <v>1.15754017538826</v>
      </c>
      <c r="W89" s="10" t="n">
        <f aca="false">IFERROR(AVERAGEIFS(Rates_Daily!L$15:L$2892,Rates_Daily!$A$15:$A$2892,"&gt;="&amp;$A89,Rates_Daily!$A$15:$A$2892,"&lt;="&amp;EOMONTH($A89,0)),"")</f>
        <v>1.5395790527055</v>
      </c>
      <c r="X89" s="14" t="n">
        <v>0.99</v>
      </c>
      <c r="Y89" s="14" t="n">
        <v>0.55</v>
      </c>
      <c r="Z89" s="14" t="n">
        <v>0.55</v>
      </c>
      <c r="AA89" s="14" t="n">
        <v>0.725</v>
      </c>
      <c r="AB89" s="14" t="n">
        <v>0.904</v>
      </c>
      <c r="AC89" s="14" t="n">
        <v>1.228</v>
      </c>
      <c r="AD89" s="14" t="n">
        <v>1.32</v>
      </c>
      <c r="AE89" s="14" t="n">
        <v>1.25</v>
      </c>
      <c r="AF89" s="14" t="n">
        <v>1.244</v>
      </c>
      <c r="AG89" s="14" t="n">
        <v>1.5</v>
      </c>
      <c r="AH89" s="14" t="n">
        <v>1.47</v>
      </c>
      <c r="AI89" s="14" t="n">
        <v>1.67</v>
      </c>
      <c r="AJ89" s="14" t="n">
        <v>1.99</v>
      </c>
      <c r="AK89" s="14" t="n">
        <v>1.216</v>
      </c>
      <c r="AL89" s="14" t="n">
        <v>1.583</v>
      </c>
      <c r="AM89" s="14" t="n">
        <v>1.586</v>
      </c>
      <c r="AN89" s="14" t="n">
        <v>1.5</v>
      </c>
      <c r="AO89" s="10" t="n">
        <f aca="false">IFERROR(AVERAGEIFS(Rates_Daily!M$15:M$2892,Rates_Daily!$A$15:$A$2892,"&gt;="&amp;$A89,Rates_Daily!$A$15:$A$2892,"&lt;="&amp;EOMONTH($A89,0)),"")</f>
        <v>2.30408695652174</v>
      </c>
      <c r="AP89" s="10" t="n">
        <f aca="false">IFERROR(AVERAGEIFS(Rates_Daily!N$15:N$2892,Rates_Daily!$A$15:$A$2892,"&gt;="&amp;$A89,Rates_Daily!$A$15:$A$2892,"&lt;="&amp;EOMONTH($A89,0)),"")</f>
        <v>2.36586956521739</v>
      </c>
      <c r="AQ89" s="10" t="n">
        <f aca="false">IFERROR(AVERAGEIFS(Rates_Daily!O$15:O$2892,Rates_Daily!$A$15:$A$2892,"&gt;="&amp;$A89,Rates_Daily!$A$15:$A$2892,"&lt;="&amp;EOMONTH($A89,0)),"")</f>
        <v>2.45017391304348</v>
      </c>
      <c r="AR89" s="10" t="n">
        <f aca="false">IFERROR(AVERAGEIFS(Rates_Daily!P$15:P$2892,Rates_Daily!$A$15:$A$2892,"&gt;="&amp;$A89,Rates_Daily!$A$15:$A$2892,"&lt;="&amp;EOMONTH($A89,0)),"")</f>
        <v>2.58578260869565</v>
      </c>
      <c r="AS89" s="14" t="n">
        <v>3.7</v>
      </c>
      <c r="AT89" s="14" t="n">
        <v>4.6</v>
      </c>
      <c r="AU89" s="14" t="n">
        <v>3.17</v>
      </c>
      <c r="AV89" s="14" t="n">
        <v>11.15</v>
      </c>
      <c r="AW89" s="14" t="n">
        <v>11.23</v>
      </c>
      <c r="AX89" s="14" t="n">
        <v>-0.049</v>
      </c>
      <c r="AY89" s="14" t="n">
        <v>-0.008</v>
      </c>
      <c r="AZ89" s="16" t="str">
        <f aca="false">IF(EOMONTH($A89,0)&gt;MAX(Rates_Daily!$A$15:$A$2892),"partial month","complete")</f>
        <v>complete</v>
      </c>
    </row>
    <row r="90" customFormat="false" ht="15" hidden="false" customHeight="false" outlineLevel="0" collapsed="false">
      <c r="A90" s="17" t="n">
        <v>44652</v>
      </c>
      <c r="B90" s="14" t="n">
        <v>0.33</v>
      </c>
      <c r="C90" s="10" t="n">
        <f aca="false">IFERROR(INDEX(Rates_Daily!C$15:C$2892,MATCH(_xlfn.MAXIFS(Rates_Daily!$A$15:$A$2892,Rates_Daily!$A$15:$A$2892,"&lt;="&amp;EOMONTH($A90,0),Rates_Daily!C$15:C$2892,"&gt;=-1E+99"),Rates_Daily!$A$15:$A$2892,0)),"")</f>
        <v>0.5</v>
      </c>
      <c r="D90" s="10" t="n">
        <f aca="false">IFERROR(INDEX(Rates_Daily!D$15:D$2892,MATCH(_xlfn.MAXIFS(Rates_Daily!$A$15:$A$2892,Rates_Daily!$A$15:$A$2892,"&lt;="&amp;EOMONTH($A90,0),Rates_Daily!D$15:D$2892,"&gt;=-1E+99"),Rates_Daily!$A$15:$A$2892,0)),"")</f>
        <v>0.25</v>
      </c>
      <c r="E90" s="10" t="n">
        <f aca="false">IFERROR(AVERAGEIFS(Rates_Daily!B$15:B$2892,Rates_Daily!$A$15:$A$2892,"&gt;="&amp;$A90,Rates_Daily!$A$15:$A$2892,"&lt;="&amp;EOMONTH($A90,0)),"")</f>
        <v>0.286</v>
      </c>
      <c r="F90" s="14" t="n">
        <v>0.31</v>
      </c>
      <c r="G90" s="14" t="n">
        <v>0.76</v>
      </c>
      <c r="H90" s="14" t="n">
        <v>1.26</v>
      </c>
      <c r="I90" s="14" t="n">
        <v>1.89</v>
      </c>
      <c r="J90" s="14" t="n">
        <v>0.91</v>
      </c>
      <c r="K90" s="10" t="n">
        <f aca="false">IFERROR(INDEX(Rates_Daily!F$15:F$2892,MATCH(_xlfn.MAXIFS(Rates_Daily!$A$15:$A$2892,Rates_Daily!$A$15:$A$2892,"&lt;="&amp;EOMONTH($A90,0),Rates_Daily!F$15:F$2892,"&gt;=-1E+99"),Rates_Daily!$A$15:$A$2892,0)),"")</f>
        <v>-0.5</v>
      </c>
      <c r="L90" s="10" t="n">
        <f aca="false">IFERROR(AVERAGEIFS(Rates_Daily!E$15:E$2892,Rates_Daily!$A$15:$A$2892,"&gt;="&amp;$A90,Rates_Daily!$A$15:$A$2892,"&lt;="&amp;EOMONTH($A90,0)),"")</f>
        <v>-0.583684210526316</v>
      </c>
      <c r="M90" s="14" t="n">
        <v>-0.5373158</v>
      </c>
      <c r="N90" s="14" t="n">
        <v>-0.4478947</v>
      </c>
      <c r="O90" s="14" t="n">
        <v>-0.3108947</v>
      </c>
      <c r="P90" s="14" t="n">
        <v>0.0130526</v>
      </c>
      <c r="Q90" s="14" t="n">
        <v>-0.447894736842105</v>
      </c>
      <c r="R90" s="14" t="n">
        <v>0.75</v>
      </c>
      <c r="S90" s="14" t="n">
        <v>0.6906</v>
      </c>
      <c r="T90" s="10" t="n">
        <f aca="false">IFERROR(AVERAGEIFS(Rates_Daily!I$15:I$2892,Rates_Daily!$A$15:$A$2892,"&gt;="&amp;$A90,Rates_Daily!$A$15:$A$2892,"&lt;="&amp;EOMONTH($A90,0)),"")</f>
        <v>0.802729168648061</v>
      </c>
      <c r="U90" s="10" t="n">
        <f aca="false">IFERROR(AVERAGEIFS(Rates_Daily!J$15:J$2892,Rates_Daily!$A$15:$A$2892,"&gt;="&amp;$A90,Rates_Daily!$A$15:$A$2892,"&lt;="&amp;EOMONTH($A90,0)),"")</f>
        <v>1.01335727595862</v>
      </c>
      <c r="V90" s="10" t="n">
        <f aca="false">IFERROR(AVERAGEIFS(Rates_Daily!K$15:K$2892,Rates_Daily!$A$15:$A$2892,"&gt;="&amp;$A90,Rates_Daily!$A$15:$A$2892,"&lt;="&amp;EOMONTH($A90,0)),"")</f>
        <v>1.2885441741617</v>
      </c>
      <c r="W90" s="10" t="n">
        <f aca="false">IFERROR(AVERAGEIFS(Rates_Daily!L$15:L$2892,Rates_Daily!$A$15:$A$2892,"&gt;="&amp;$A90,Rates_Daily!$A$15:$A$2892,"&lt;="&amp;EOMONTH($A90,0)),"")</f>
        <v>1.72656052558129</v>
      </c>
      <c r="X90" s="14" t="n">
        <v>1.13</v>
      </c>
      <c r="Y90" s="14" t="n">
        <v>0.75</v>
      </c>
      <c r="Z90" s="14" t="n">
        <v>0.75</v>
      </c>
      <c r="AA90" s="14" t="n">
        <v>0.736</v>
      </c>
      <c r="AB90" s="14" t="n">
        <v>0.927</v>
      </c>
      <c r="AC90" s="14" t="n">
        <v>1.377</v>
      </c>
      <c r="AD90" s="14" t="n">
        <v>1.27</v>
      </c>
      <c r="AE90" s="14" t="n">
        <v>1.5</v>
      </c>
      <c r="AF90" s="14" t="n">
        <v>1.299</v>
      </c>
      <c r="AG90" s="14" t="n">
        <v>1.64</v>
      </c>
      <c r="AH90" s="14" t="n">
        <v>1.6</v>
      </c>
      <c r="AI90" s="14" t="n">
        <v>1.81</v>
      </c>
      <c r="AJ90" s="14" t="n">
        <v>2.31</v>
      </c>
      <c r="AK90" s="14" t="n">
        <v>1.41</v>
      </c>
      <c r="AL90" s="14" t="n">
        <v>1.931</v>
      </c>
      <c r="AM90" s="14" t="n">
        <v>2.002</v>
      </c>
      <c r="AN90" s="14" t="n">
        <v>1.64</v>
      </c>
      <c r="AO90" s="10" t="n">
        <f aca="false">IFERROR(AVERAGEIFS(Rates_Daily!M$15:M$2892,Rates_Daily!$A$15:$A$2892,"&gt;="&amp;$A90,Rates_Daily!$A$15:$A$2892,"&lt;="&amp;EOMONTH($A90,0)),"")</f>
        <v>2.23728571428571</v>
      </c>
      <c r="AP90" s="10" t="n">
        <f aca="false">IFERROR(AVERAGEIFS(Rates_Daily!N$15:N$2892,Rates_Daily!$A$15:$A$2892,"&gt;="&amp;$A90,Rates_Daily!$A$15:$A$2892,"&lt;="&amp;EOMONTH($A90,0)),"")</f>
        <v>2.31647619047619</v>
      </c>
      <c r="AQ90" s="10" t="n">
        <f aca="false">IFERROR(AVERAGEIFS(Rates_Daily!O$15:O$2892,Rates_Daily!$A$15:$A$2892,"&gt;="&amp;$A90,Rates_Daily!$A$15:$A$2892,"&lt;="&amp;EOMONTH($A90,0)),"")</f>
        <v>2.40757142857143</v>
      </c>
      <c r="AR90" s="10" t="n">
        <f aca="false">IFERROR(AVERAGEIFS(Rates_Daily!P$15:P$2892,Rates_Daily!$A$15:$A$2892,"&gt;="&amp;$A90,Rates_Daily!$A$15:$A$2892,"&lt;="&amp;EOMONTH($A90,0)),"")</f>
        <v>2.55433333333333</v>
      </c>
      <c r="AS90" s="14" t="n">
        <v>3.7</v>
      </c>
      <c r="AT90" s="14" t="n">
        <v>4.6</v>
      </c>
      <c r="AU90" s="14" t="n">
        <v>2.99</v>
      </c>
      <c r="AV90" s="14" t="n">
        <v>11.65</v>
      </c>
      <c r="AW90" s="14" t="n">
        <v>11.75</v>
      </c>
      <c r="AX90" s="14" t="n">
        <v>-0.049</v>
      </c>
      <c r="AY90" s="14" t="n">
        <v>-0.012</v>
      </c>
      <c r="AZ90" s="16" t="str">
        <f aca="false">IF(EOMONTH($A90,0)&gt;MAX(Rates_Daily!$A$15:$A$2892),"partial month","complete")</f>
        <v>complete</v>
      </c>
    </row>
    <row r="91" customFormat="false" ht="15" hidden="false" customHeight="false" outlineLevel="0" collapsed="false">
      <c r="A91" s="17" t="n">
        <v>44682</v>
      </c>
      <c r="B91" s="14" t="n">
        <v>0.77</v>
      </c>
      <c r="C91" s="10" t="n">
        <f aca="false">IFERROR(INDEX(Rates_Daily!C$15:C$2892,MATCH(_xlfn.MAXIFS(Rates_Daily!$A$15:$A$2892,Rates_Daily!$A$15:$A$2892,"&lt;="&amp;EOMONTH($A91,0),Rates_Daily!C$15:C$2892,"&gt;=-1E+99"),Rates_Daily!$A$15:$A$2892,0)),"")</f>
        <v>1</v>
      </c>
      <c r="D91" s="10" t="n">
        <f aca="false">IFERROR(INDEX(Rates_Daily!D$15:D$2892,MATCH(_xlfn.MAXIFS(Rates_Daily!$A$15:$A$2892,Rates_Daily!$A$15:$A$2892,"&lt;="&amp;EOMONTH($A91,0),Rates_Daily!D$15:D$2892,"&gt;=-1E+99"),Rates_Daily!$A$15:$A$2892,0)),"")</f>
        <v>0.75</v>
      </c>
      <c r="E91" s="10" t="n">
        <f aca="false">IFERROR(AVERAGEIFS(Rates_Daily!B$15:B$2892,Rates_Daily!$A$15:$A$2892,"&gt;="&amp;$A91,Rates_Daily!$A$15:$A$2892,"&lt;="&amp;EOMONTH($A91,0)),"")</f>
        <v>0.716190476190476</v>
      </c>
      <c r="F91" s="14" t="n">
        <v>0.58</v>
      </c>
      <c r="G91" s="14" t="n">
        <v>0.99</v>
      </c>
      <c r="H91" s="14" t="n">
        <v>1.49</v>
      </c>
      <c r="I91" s="14" t="n">
        <v>2.06</v>
      </c>
      <c r="J91" s="14" t="n">
        <v>1.33</v>
      </c>
      <c r="K91" s="10" t="n">
        <f aca="false">IFERROR(INDEX(Rates_Daily!F$15:F$2892,MATCH(_xlfn.MAXIFS(Rates_Daily!$A$15:$A$2892,Rates_Daily!$A$15:$A$2892,"&lt;="&amp;EOMONTH($A91,0),Rates_Daily!F$15:F$2892,"&gt;=-1E+99"),Rates_Daily!$A$15:$A$2892,0)),"")</f>
        <v>-0.5</v>
      </c>
      <c r="L91" s="10" t="n">
        <f aca="false">IFERROR(AVERAGEIFS(Rates_Daily!E$15:E$2892,Rates_Daily!$A$15:$A$2892,"&gt;="&amp;$A91,Rates_Daily!$A$15:$A$2892,"&lt;="&amp;EOMONTH($A91,0)),"")</f>
        <v>-0.584954545454545</v>
      </c>
      <c r="M91" s="14" t="n">
        <v>-0.5457273</v>
      </c>
      <c r="N91" s="14" t="n">
        <v>-0.3857273</v>
      </c>
      <c r="O91" s="14" t="n">
        <v>-0.1436364</v>
      </c>
      <c r="P91" s="14" t="n">
        <v>0.2865909</v>
      </c>
      <c r="Q91" s="14" t="n">
        <v>-0.385727272727273</v>
      </c>
      <c r="R91" s="14" t="n">
        <v>0.9762</v>
      </c>
      <c r="S91" s="14" t="n">
        <v>0.9158</v>
      </c>
      <c r="T91" s="10" t="n">
        <f aca="false">IFERROR(AVERAGEIFS(Rates_Daily!I$15:I$2892,Rates_Daily!$A$15:$A$2892,"&gt;="&amp;$A91,Rates_Daily!$A$15:$A$2892,"&lt;="&amp;EOMONTH($A91,0)),"")</f>
        <v>0.984810878534073</v>
      </c>
      <c r="U91" s="10" t="n">
        <f aca="false">IFERROR(AVERAGEIFS(Rates_Daily!J$15:J$2892,Rates_Daily!$A$15:$A$2892,"&gt;="&amp;$A91,Rates_Daily!$A$15:$A$2892,"&lt;="&amp;EOMONTH($A91,0)),"")</f>
        <v>1.19197275822792</v>
      </c>
      <c r="V91" s="10" t="n">
        <f aca="false">IFERROR(AVERAGEIFS(Rates_Daily!K$15:K$2892,Rates_Daily!$A$15:$A$2892,"&gt;="&amp;$A91,Rates_Daily!$A$15:$A$2892,"&lt;="&amp;EOMONTH($A91,0)),"")</f>
        <v>1.47006548822396</v>
      </c>
      <c r="W91" s="10" t="n">
        <f aca="false">IFERROR(AVERAGEIFS(Rates_Daily!L$15:L$2892,Rates_Daily!$A$15:$A$2892,"&gt;="&amp;$A91,Rates_Daily!$A$15:$A$2892,"&lt;="&amp;EOMONTH($A91,0)),"")</f>
        <v>1.8633722194786</v>
      </c>
      <c r="X91" s="14" t="n">
        <v>1.31</v>
      </c>
      <c r="Y91" s="14" t="n">
        <v>0.75</v>
      </c>
      <c r="Z91" s="14" t="n">
        <v>0.75</v>
      </c>
      <c r="AA91" s="14" t="n">
        <v>0.972</v>
      </c>
      <c r="AB91" s="14" t="n">
        <v>1.159</v>
      </c>
      <c r="AC91" s="14" t="n">
        <v>1.414</v>
      </c>
      <c r="AD91" s="14" t="n">
        <v>1.24</v>
      </c>
      <c r="AE91" s="14" t="n">
        <v>1.75</v>
      </c>
      <c r="AF91" s="14" t="n">
        <v>1.505</v>
      </c>
      <c r="AG91" s="14" t="n">
        <v>1.77</v>
      </c>
      <c r="AH91" s="14" t="n">
        <v>1.74</v>
      </c>
      <c r="AI91" s="14" t="n">
        <v>1.94</v>
      </c>
      <c r="AJ91" s="14" t="n">
        <v>2.44</v>
      </c>
      <c r="AK91" s="14" t="n">
        <v>1.535</v>
      </c>
      <c r="AL91" s="14" t="n">
        <v>1.956</v>
      </c>
      <c r="AM91" s="14" t="n">
        <v>2.049</v>
      </c>
      <c r="AN91" s="14" t="n">
        <v>1.77</v>
      </c>
      <c r="AO91" s="10" t="n">
        <f aca="false">IFERROR(AVERAGEIFS(Rates_Daily!M$15:M$2892,Rates_Daily!$A$15:$A$2892,"&gt;="&amp;$A91,Rates_Daily!$A$15:$A$2892,"&lt;="&amp;EOMONTH($A91,0)),"")</f>
        <v>1.97535</v>
      </c>
      <c r="AP91" s="10" t="n">
        <f aca="false">IFERROR(AVERAGEIFS(Rates_Daily!N$15:N$2892,Rates_Daily!$A$15:$A$2892,"&gt;="&amp;$A91,Rates_Daily!$A$15:$A$2892,"&lt;="&amp;EOMONTH($A91,0)),"")</f>
        <v>2.09695</v>
      </c>
      <c r="AQ91" s="10" t="n">
        <f aca="false">IFERROR(AVERAGEIFS(Rates_Daily!O$15:O$2892,Rates_Daily!$A$15:$A$2892,"&gt;="&amp;$A91,Rates_Daily!$A$15:$A$2892,"&lt;="&amp;EOMONTH($A91,0)),"")</f>
        <v>2.223</v>
      </c>
      <c r="AR91" s="10" t="n">
        <f aca="false">IFERROR(AVERAGEIFS(Rates_Daily!P$15:P$2892,Rates_Daily!$A$15:$A$2892,"&gt;="&amp;$A91,Rates_Daily!$A$15:$A$2892,"&lt;="&amp;EOMONTH($A91,0)),"")</f>
        <v>2.38145</v>
      </c>
      <c r="AS91" s="14" t="n">
        <v>3.7</v>
      </c>
      <c r="AT91" s="14" t="n">
        <v>4.45</v>
      </c>
      <c r="AU91" s="14" t="n">
        <v>2.81</v>
      </c>
      <c r="AV91" s="14" t="n">
        <v>12.51</v>
      </c>
      <c r="AW91" s="14" t="n">
        <v>12.62</v>
      </c>
      <c r="AX91" s="14" t="n">
        <v>-0.049</v>
      </c>
      <c r="AY91" s="14" t="n">
        <v>-0.018</v>
      </c>
      <c r="AZ91" s="16" t="str">
        <f aca="false">IF(EOMONTH($A91,0)&gt;MAX(Rates_Daily!$A$15:$A$2892),"partial month","complete")</f>
        <v>complete</v>
      </c>
    </row>
    <row r="92" customFormat="false" ht="15" hidden="false" customHeight="false" outlineLevel="0" collapsed="false">
      <c r="A92" s="17" t="n">
        <v>44713</v>
      </c>
      <c r="B92" s="14" t="n">
        <v>1.21</v>
      </c>
      <c r="C92" s="10" t="n">
        <f aca="false">IFERROR(INDEX(Rates_Daily!C$15:C$2892,MATCH(_xlfn.MAXIFS(Rates_Daily!$A$15:$A$2892,Rates_Daily!$A$15:$A$2892,"&lt;="&amp;EOMONTH($A92,0),Rates_Daily!C$15:C$2892,"&gt;=-1E+99"),Rates_Daily!$A$15:$A$2892,0)),"")</f>
        <v>1.75</v>
      </c>
      <c r="D92" s="10" t="n">
        <f aca="false">IFERROR(INDEX(Rates_Daily!D$15:D$2892,MATCH(_xlfn.MAXIFS(Rates_Daily!$A$15:$A$2892,Rates_Daily!$A$15:$A$2892,"&lt;="&amp;EOMONTH($A92,0),Rates_Daily!D$15:D$2892,"&gt;=-1E+99"),Rates_Daily!$A$15:$A$2892,0)),"")</f>
        <v>1.5</v>
      </c>
      <c r="E92" s="10" t="n">
        <f aca="false">IFERROR(AVERAGEIFS(Rates_Daily!B$15:B$2892,Rates_Daily!$A$15:$A$2892,"&gt;="&amp;$A92,Rates_Daily!$A$15:$A$2892,"&lt;="&amp;EOMONTH($A92,0)),"")</f>
        <v>1.09666666666667</v>
      </c>
      <c r="F92" s="14" t="n">
        <v>1.06</v>
      </c>
      <c r="G92" s="14" t="n">
        <v>1.54</v>
      </c>
      <c r="H92" s="14" t="n">
        <v>2.17</v>
      </c>
      <c r="I92" s="14" t="n">
        <v>2.65</v>
      </c>
      <c r="J92" s="14" t="n">
        <v>1.87</v>
      </c>
      <c r="K92" s="10" t="n">
        <f aca="false">IFERROR(INDEX(Rates_Daily!F$15:F$2892,MATCH(_xlfn.MAXIFS(Rates_Daily!$A$15:$A$2892,Rates_Daily!$A$15:$A$2892,"&lt;="&amp;EOMONTH($A92,0),Rates_Daily!F$15:F$2892,"&gt;=-1E+99"),Rates_Daily!$A$15:$A$2892,0)),"")</f>
        <v>-0.5</v>
      </c>
      <c r="L92" s="10" t="n">
        <f aca="false">IFERROR(AVERAGEIFS(Rates_Daily!E$15:E$2892,Rates_Daily!$A$15:$A$2892,"&gt;="&amp;$A92,Rates_Daily!$A$15:$A$2892,"&lt;="&amp;EOMONTH($A92,0)),"")</f>
        <v>-0.581954545454545</v>
      </c>
      <c r="M92" s="14" t="n">
        <v>-0.5247273</v>
      </c>
      <c r="N92" s="14" t="n">
        <v>-0.2392273</v>
      </c>
      <c r="O92" s="14" t="n">
        <v>0.1616818</v>
      </c>
      <c r="P92" s="14" t="n">
        <v>0.8522273</v>
      </c>
      <c r="Q92" s="14" t="n">
        <v>-0.239227272727273</v>
      </c>
      <c r="R92" s="14" t="n">
        <v>1.1375</v>
      </c>
      <c r="S92" s="14" t="n">
        <v>1.0767</v>
      </c>
      <c r="T92" s="10" t="n">
        <f aca="false">IFERROR(AVERAGEIFS(Rates_Daily!I$15:I$2892,Rates_Daily!$A$15:$A$2892,"&gt;="&amp;$A92,Rates_Daily!$A$15:$A$2892,"&lt;="&amp;EOMONTH($A92,0)),"")</f>
        <v>1.19414231611432</v>
      </c>
      <c r="U92" s="10" t="n">
        <f aca="false">IFERROR(AVERAGEIFS(Rates_Daily!J$15:J$2892,Rates_Daily!$A$15:$A$2892,"&gt;="&amp;$A92,Rates_Daily!$A$15:$A$2892,"&lt;="&amp;EOMONTH($A92,0)),"")</f>
        <v>1.46140252422734</v>
      </c>
      <c r="V92" s="10" t="n">
        <f aca="false">IFERROR(AVERAGEIFS(Rates_Daily!K$15:K$2892,Rates_Daily!$A$15:$A$2892,"&gt;="&amp;$A92,Rates_Daily!$A$15:$A$2892,"&lt;="&amp;EOMONTH($A92,0)),"")</f>
        <v>1.88237027809085</v>
      </c>
      <c r="W92" s="10" t="n">
        <f aca="false">IFERROR(AVERAGEIFS(Rates_Daily!L$15:L$2892,Rates_Daily!$A$15:$A$2892,"&gt;="&amp;$A92,Rates_Daily!$A$15:$A$2892,"&lt;="&amp;EOMONTH($A92,0)),"")</f>
        <v>2.44688359044322</v>
      </c>
      <c r="X92" s="14" t="n">
        <v>1.57</v>
      </c>
      <c r="Y92" s="14" t="n">
        <v>0.87</v>
      </c>
      <c r="Z92" s="14" t="n">
        <v>0.87</v>
      </c>
      <c r="AA92" s="14" t="n">
        <v>1.221</v>
      </c>
      <c r="AB92" s="14" t="n">
        <v>1.518</v>
      </c>
      <c r="AC92" s="14" t="n">
        <v>1.964</v>
      </c>
      <c r="AD92" s="14" t="n">
        <v>1.68</v>
      </c>
      <c r="AE92" s="14" t="n">
        <v>1.75</v>
      </c>
      <c r="AF92" s="14" t="n">
        <v>1.745</v>
      </c>
      <c r="AG92" s="14" t="n">
        <v>1.99</v>
      </c>
      <c r="AH92" s="14" t="n">
        <v>2.08</v>
      </c>
      <c r="AI92" s="14" t="n">
        <v>2.37</v>
      </c>
      <c r="AJ92" s="14" t="n">
        <v>3.02</v>
      </c>
      <c r="AK92" s="14" t="n">
        <v>1.812</v>
      </c>
      <c r="AL92" s="14" t="n">
        <v>2.508</v>
      </c>
      <c r="AM92" s="14" t="n">
        <v>2.599</v>
      </c>
      <c r="AN92" s="14" t="n">
        <v>1.99</v>
      </c>
      <c r="AO92" s="10" t="n">
        <f aca="false">IFERROR(AVERAGEIFS(Rates_Daily!M$15:M$2892,Rates_Daily!$A$15:$A$2892,"&gt;="&amp;$A92,Rates_Daily!$A$15:$A$2892,"&lt;="&amp;EOMONTH($A92,0)),"")</f>
        <v>1.88790476190476</v>
      </c>
      <c r="AP92" s="10" t="n">
        <f aca="false">IFERROR(AVERAGEIFS(Rates_Daily!N$15:N$2892,Rates_Daily!$A$15:$A$2892,"&gt;="&amp;$A92,Rates_Daily!$A$15:$A$2892,"&lt;="&amp;EOMONTH($A92,0)),"")</f>
        <v>2.00061904761905</v>
      </c>
      <c r="AQ92" s="10" t="n">
        <f aca="false">IFERROR(AVERAGEIFS(Rates_Daily!O$15:O$2892,Rates_Daily!$A$15:$A$2892,"&gt;="&amp;$A92,Rates_Daily!$A$15:$A$2892,"&lt;="&amp;EOMONTH($A92,0)),"")</f>
        <v>2.14057142857143</v>
      </c>
      <c r="AR92" s="10" t="n">
        <f aca="false">IFERROR(AVERAGEIFS(Rates_Daily!P$15:P$2892,Rates_Daily!$A$15:$A$2892,"&gt;="&amp;$A92,Rates_Daily!$A$15:$A$2892,"&lt;="&amp;EOMONTH($A92,0)),"")</f>
        <v>2.36171428571429</v>
      </c>
      <c r="AS92" s="14" t="n">
        <v>3.7</v>
      </c>
      <c r="AT92" s="14" t="n">
        <v>4.45</v>
      </c>
      <c r="AU92" s="14" t="n">
        <v>2.76</v>
      </c>
      <c r="AV92" s="14" t="n">
        <v>12.89</v>
      </c>
      <c r="AW92" s="14" t="n">
        <v>13</v>
      </c>
      <c r="AX92" s="14" t="n">
        <v>0.005</v>
      </c>
      <c r="AY92" s="14" t="n">
        <v>-0.038</v>
      </c>
      <c r="AZ92" s="16" t="str">
        <f aca="false">IF(EOMONTH($A92,0)&gt;MAX(Rates_Daily!$A$15:$A$2892),"partial month","complete")</f>
        <v>complete</v>
      </c>
    </row>
    <row r="93" customFormat="false" ht="15" hidden="false" customHeight="false" outlineLevel="0" collapsed="false">
      <c r="A93" s="17" t="n">
        <v>44743</v>
      </c>
      <c r="B93" s="14" t="n">
        <v>1.68</v>
      </c>
      <c r="C93" s="10" t="n">
        <f aca="false">IFERROR(INDEX(Rates_Daily!C$15:C$2892,MATCH(_xlfn.MAXIFS(Rates_Daily!$A$15:$A$2892,Rates_Daily!$A$15:$A$2892,"&lt;="&amp;EOMONTH($A93,0),Rates_Daily!C$15:C$2892,"&gt;=-1E+99"),Rates_Daily!$A$15:$A$2892,0)),"")</f>
        <v>2.5</v>
      </c>
      <c r="D93" s="10" t="n">
        <f aca="false">IFERROR(INDEX(Rates_Daily!D$15:D$2892,MATCH(_xlfn.MAXIFS(Rates_Daily!$A$15:$A$2892,Rates_Daily!$A$15:$A$2892,"&lt;="&amp;EOMONTH($A93,0),Rates_Daily!D$15:D$2892,"&gt;=-1E+99"),Rates_Daily!$A$15:$A$2892,0)),"")</f>
        <v>2.25</v>
      </c>
      <c r="E93" s="10" t="n">
        <f aca="false">IFERROR(AVERAGEIFS(Rates_Daily!B$15:B$2892,Rates_Daily!$A$15:$A$2892,"&gt;="&amp;$A93,Rates_Daily!$A$15:$A$2892,"&lt;="&amp;EOMONTH($A93,0)),"")</f>
        <v>1.607</v>
      </c>
      <c r="F93" s="14" t="n">
        <v>1.85</v>
      </c>
      <c r="G93" s="14" t="n">
        <v>2.3</v>
      </c>
      <c r="H93" s="14" t="n">
        <v>2.87</v>
      </c>
      <c r="I93" s="14" t="n">
        <v>3.02</v>
      </c>
      <c r="J93" s="14" t="n">
        <v>2.5</v>
      </c>
      <c r="K93" s="10" t="n">
        <f aca="false">IFERROR(INDEX(Rates_Daily!F$15:F$2892,MATCH(_xlfn.MAXIFS(Rates_Daily!$A$15:$A$2892,Rates_Daily!$A$15:$A$2892,"&lt;="&amp;EOMONTH($A93,0),Rates_Daily!F$15:F$2892,"&gt;=-1E+99"),Rates_Daily!$A$15:$A$2892,0)),"")</f>
        <v>0</v>
      </c>
      <c r="L93" s="10" t="n">
        <f aca="false">IFERROR(AVERAGEIFS(Rates_Daily!E$15:E$2892,Rates_Daily!$A$15:$A$2892,"&gt;="&amp;$A93,Rates_Daily!$A$15:$A$2892,"&lt;="&amp;EOMONTH($A93,0)),"")</f>
        <v>-0.510619047619048</v>
      </c>
      <c r="M93" s="14" t="n">
        <v>-0.3064286</v>
      </c>
      <c r="N93" s="14" t="n">
        <v>0.036619</v>
      </c>
      <c r="O93" s="14" t="n">
        <v>0.4664762</v>
      </c>
      <c r="P93" s="14" t="n">
        <v>0.9915238</v>
      </c>
      <c r="Q93" s="14" t="n">
        <v>0.0366190476190476</v>
      </c>
      <c r="R93" s="14" t="n">
        <v>1.25</v>
      </c>
      <c r="S93" s="14" t="n">
        <v>1.1908</v>
      </c>
      <c r="T93" s="10" t="n">
        <f aca="false">IFERROR(AVERAGEIFS(Rates_Daily!I$15:I$2892,Rates_Daily!$A$15:$A$2892,"&gt;="&amp;$A93,Rates_Daily!$A$15:$A$2892,"&lt;="&amp;EOMONTH($A93,0)),"")</f>
        <v>1.36178252120148</v>
      </c>
      <c r="U93" s="10" t="n">
        <f aca="false">IFERROR(AVERAGEIFS(Rates_Daily!J$15:J$2892,Rates_Daily!$A$15:$A$2892,"&gt;="&amp;$A93,Rates_Daily!$A$15:$A$2892,"&lt;="&amp;EOMONTH($A93,0)),"")</f>
        <v>1.70339491117263</v>
      </c>
      <c r="V93" s="10" t="n">
        <f aca="false">IFERROR(AVERAGEIFS(Rates_Daily!K$15:K$2892,Rates_Daily!$A$15:$A$2892,"&gt;="&amp;$A93,Rates_Daily!$A$15:$A$2892,"&lt;="&amp;EOMONTH($A93,0)),"")</f>
        <v>2.11193045969228</v>
      </c>
      <c r="W93" s="10" t="n">
        <f aca="false">IFERROR(AVERAGEIFS(Rates_Daily!L$15:L$2892,Rates_Daily!$A$15:$A$2892,"&gt;="&amp;$A93,Rates_Daily!$A$15:$A$2892,"&lt;="&amp;EOMONTH($A93,0)),"")</f>
        <v>2.5226049714786</v>
      </c>
      <c r="X93" s="14" t="n">
        <v>1.84</v>
      </c>
      <c r="Y93" s="14" t="n">
        <v>1.25</v>
      </c>
      <c r="Z93" s="14" t="n">
        <v>1.25</v>
      </c>
      <c r="AA93" s="14" t="n">
        <v>1.528</v>
      </c>
      <c r="AB93" s="14" t="n">
        <v>1.925</v>
      </c>
      <c r="AC93" s="14" t="n">
        <v>2.372</v>
      </c>
      <c r="AD93" s="14" t="n">
        <v>2.24</v>
      </c>
      <c r="AE93" s="14" t="n">
        <v>2.25</v>
      </c>
      <c r="AF93" s="14" t="n">
        <v>1.971</v>
      </c>
      <c r="AG93" s="14" t="n">
        <v>2.41</v>
      </c>
      <c r="AH93" s="14" t="n">
        <v>2.51</v>
      </c>
      <c r="AI93" s="14" t="n">
        <v>2.93</v>
      </c>
      <c r="AJ93" s="14" t="n">
        <v>3.6</v>
      </c>
      <c r="AK93" s="14" t="n">
        <v>2.167</v>
      </c>
      <c r="AL93" s="14" t="n">
        <v>2.956</v>
      </c>
      <c r="AM93" s="14" t="n">
        <v>2.958</v>
      </c>
      <c r="AN93" s="14" t="n">
        <v>2.41</v>
      </c>
      <c r="AO93" s="10" t="n">
        <f aca="false">IFERROR(AVERAGEIFS(Rates_Daily!M$15:M$2892,Rates_Daily!$A$15:$A$2892,"&gt;="&amp;$A93,Rates_Daily!$A$15:$A$2892,"&lt;="&amp;EOMONTH($A93,0)),"")</f>
        <v>1.78971428571429</v>
      </c>
      <c r="AP93" s="10" t="n">
        <f aca="false">IFERROR(AVERAGEIFS(Rates_Daily!N$15:N$2892,Rates_Daily!$A$15:$A$2892,"&gt;="&amp;$A93,Rates_Daily!$A$15:$A$2892,"&lt;="&amp;EOMONTH($A93,0)),"")</f>
        <v>1.94590476190476</v>
      </c>
      <c r="AQ93" s="10" t="n">
        <f aca="false">IFERROR(AVERAGEIFS(Rates_Daily!O$15:O$2892,Rates_Daily!$A$15:$A$2892,"&gt;="&amp;$A93,Rates_Daily!$A$15:$A$2892,"&lt;="&amp;EOMONTH($A93,0)),"")</f>
        <v>2.0882380952381</v>
      </c>
      <c r="AR93" s="10" t="n">
        <f aca="false">IFERROR(AVERAGEIFS(Rates_Daily!P$15:P$2892,Rates_Daily!$A$15:$A$2892,"&gt;="&amp;$A93,Rates_Daily!$A$15:$A$2892,"&lt;="&amp;EOMONTH($A93,0)),"")</f>
        <v>2.30895238095238</v>
      </c>
      <c r="AS93" s="14" t="n">
        <v>3.7</v>
      </c>
      <c r="AT93" s="14" t="n">
        <v>4.45</v>
      </c>
      <c r="AU93" s="14" t="n">
        <v>2.79</v>
      </c>
      <c r="AV93" s="14" t="n">
        <v>13.15</v>
      </c>
      <c r="AW93" s="14" t="n">
        <v>13.25</v>
      </c>
      <c r="AX93" s="14" t="n">
        <v>-0.031</v>
      </c>
      <c r="AY93" s="14" t="n">
        <v>-0.012</v>
      </c>
      <c r="AZ93" s="16" t="str">
        <f aca="false">IF(EOMONTH($A93,0)&gt;MAX(Rates_Daily!$A$15:$A$2892),"partial month","complete")</f>
        <v>complete</v>
      </c>
    </row>
    <row r="94" customFormat="false" ht="15" hidden="false" customHeight="false" outlineLevel="0" collapsed="false">
      <c r="A94" s="17" t="n">
        <v>44774</v>
      </c>
      <c r="B94" s="14" t="n">
        <v>2.33</v>
      </c>
      <c r="C94" s="10" t="n">
        <f aca="false">IFERROR(INDEX(Rates_Daily!C$15:C$2892,MATCH(_xlfn.MAXIFS(Rates_Daily!$A$15:$A$2892,Rates_Daily!$A$15:$A$2892,"&lt;="&amp;EOMONTH($A94,0),Rates_Daily!C$15:C$2892,"&gt;=-1E+99"),Rates_Daily!$A$15:$A$2892,0)),"")</f>
        <v>2.5</v>
      </c>
      <c r="D94" s="10" t="n">
        <f aca="false">IFERROR(INDEX(Rates_Daily!D$15:D$2892,MATCH(_xlfn.MAXIFS(Rates_Daily!$A$15:$A$2892,Rates_Daily!$A$15:$A$2892,"&lt;="&amp;EOMONTH($A94,0),Rates_Daily!D$15:D$2892,"&gt;=-1E+99"),Rates_Daily!$A$15:$A$2892,0)),"")</f>
        <v>2.25</v>
      </c>
      <c r="E94" s="10" t="n">
        <f aca="false">IFERROR(AVERAGEIFS(Rates_Daily!B$15:B$2892,Rates_Daily!$A$15:$A$2892,"&gt;="&amp;$A94,Rates_Daily!$A$15:$A$2892,"&lt;="&amp;EOMONTH($A94,0)),"")</f>
        <v>2.28347826086957</v>
      </c>
      <c r="F94" s="14" t="n">
        <v>2.28</v>
      </c>
      <c r="G94" s="14" t="n">
        <v>2.72</v>
      </c>
      <c r="H94" s="14" t="n">
        <v>3.15</v>
      </c>
      <c r="I94" s="14" t="n">
        <v>3.28</v>
      </c>
      <c r="J94" s="14" t="n">
        <v>2.76</v>
      </c>
      <c r="K94" s="10" t="n">
        <f aca="false">IFERROR(INDEX(Rates_Daily!F$15:F$2892,MATCH(_xlfn.MAXIFS(Rates_Daily!$A$15:$A$2892,Rates_Daily!$A$15:$A$2892,"&lt;="&amp;EOMONTH($A94,0),Rates_Daily!F$15:F$2892,"&gt;=-1E+99"),Rates_Daily!$A$15:$A$2892,0)),"")</f>
        <v>0</v>
      </c>
      <c r="L94" s="10" t="n">
        <f aca="false">IFERROR(AVERAGEIFS(Rates_Daily!E$15:E$2892,Rates_Daily!$A$15:$A$2892,"&gt;="&amp;$A94,Rates_Daily!$A$15:$A$2892,"&lt;="&amp;EOMONTH($A94,0)),"")</f>
        <v>-0.0847826086956522</v>
      </c>
      <c r="M94" s="14" t="n">
        <v>0.0224348</v>
      </c>
      <c r="N94" s="14" t="n">
        <v>0.3947391</v>
      </c>
      <c r="O94" s="14" t="n">
        <v>0.8370435</v>
      </c>
      <c r="P94" s="14" t="n">
        <v>1.2494783</v>
      </c>
      <c r="Q94" s="14" t="n">
        <v>0.394739130434783</v>
      </c>
      <c r="R94" s="14" t="n">
        <v>1.6818</v>
      </c>
      <c r="S94" s="14" t="n">
        <v>1.622</v>
      </c>
      <c r="T94" s="10" t="n">
        <f aca="false">IFERROR(AVERAGEIFS(Rates_Daily!I$15:I$2892,Rates_Daily!$A$15:$A$2892,"&gt;="&amp;$A94,Rates_Daily!$A$15:$A$2892,"&lt;="&amp;EOMONTH($A94,0)),"")</f>
        <v>1.75294405103089</v>
      </c>
      <c r="U94" s="10" t="n">
        <f aca="false">IFERROR(AVERAGEIFS(Rates_Daily!J$15:J$2892,Rates_Daily!$A$15:$A$2892,"&gt;="&amp;$A94,Rates_Daily!$A$15:$A$2892,"&lt;="&amp;EOMONTH($A94,0)),"")</f>
        <v>2.10146383543425</v>
      </c>
      <c r="V94" s="10" t="n">
        <f aca="false">IFERROR(AVERAGEIFS(Rates_Daily!K$15:K$2892,Rates_Daily!$A$15:$A$2892,"&gt;="&amp;$A94,Rates_Daily!$A$15:$A$2892,"&lt;="&amp;EOMONTH($A94,0)),"")</f>
        <v>2.54049797205725</v>
      </c>
      <c r="W94" s="10" t="n">
        <f aca="false">IFERROR(AVERAGEIFS(Rates_Daily!L$15:L$2892,Rates_Daily!$A$15:$A$2892,"&gt;="&amp;$A94,Rates_Daily!$A$15:$A$2892,"&lt;="&amp;EOMONTH($A94,0)),"")</f>
        <v>3.01340242703522</v>
      </c>
      <c r="X94" s="14" t="n">
        <v>2.23</v>
      </c>
      <c r="Y94" s="14" t="n">
        <v>1.45</v>
      </c>
      <c r="Z94" s="14" t="n">
        <v>1.45</v>
      </c>
      <c r="AA94" s="14" t="n">
        <v>2.163</v>
      </c>
      <c r="AB94" s="14" t="n">
        <v>2.485</v>
      </c>
      <c r="AC94" s="14" t="n">
        <v>2.746</v>
      </c>
      <c r="AD94" s="14" t="n">
        <v>2.6</v>
      </c>
      <c r="AE94" s="14" t="n">
        <v>2.5</v>
      </c>
      <c r="AF94" s="14" t="n">
        <v>2.263</v>
      </c>
      <c r="AG94" s="14" t="n">
        <v>2.79</v>
      </c>
      <c r="AH94" s="14" t="n">
        <v>2.7</v>
      </c>
      <c r="AI94" s="14" t="n">
        <v>3.12</v>
      </c>
      <c r="AJ94" s="14" t="n">
        <v>3.5</v>
      </c>
      <c r="AK94" s="14" t="n">
        <v>2.407</v>
      </c>
      <c r="AL94" s="14" t="n">
        <v>3.007</v>
      </c>
      <c r="AM94" s="14" t="n">
        <v>2.987</v>
      </c>
      <c r="AN94" s="14" t="n">
        <v>2.79</v>
      </c>
      <c r="AO94" s="10" t="n">
        <f aca="false">IFERROR(AVERAGEIFS(Rates_Daily!M$15:M$2892,Rates_Daily!$A$15:$A$2892,"&gt;="&amp;$A94,Rates_Daily!$A$15:$A$2892,"&lt;="&amp;EOMONTH($A94,0)),"")</f>
        <v>1.54143913043478</v>
      </c>
      <c r="AP94" s="10" t="n">
        <f aca="false">IFERROR(AVERAGEIFS(Rates_Daily!N$15:N$2892,Rates_Daily!$A$15:$A$2892,"&gt;="&amp;$A94,Rates_Daily!$A$15:$A$2892,"&lt;="&amp;EOMONTH($A94,0)),"")</f>
        <v>1.64280869565217</v>
      </c>
      <c r="AQ94" s="10" t="n">
        <f aca="false">IFERROR(AVERAGEIFS(Rates_Daily!O$15:O$2892,Rates_Daily!$A$15:$A$2892,"&gt;="&amp;$A94,Rates_Daily!$A$15:$A$2892,"&lt;="&amp;EOMONTH($A94,0)),"")</f>
        <v>1.78676956521739</v>
      </c>
      <c r="AR94" s="10" t="n">
        <f aca="false">IFERROR(AVERAGEIFS(Rates_Daily!P$15:P$2892,Rates_Daily!$A$15:$A$2892,"&gt;="&amp;$A94,Rates_Daily!$A$15:$A$2892,"&lt;="&amp;EOMONTH($A94,0)),"")</f>
        <v>2.0055652173913</v>
      </c>
      <c r="AS94" s="14" t="n">
        <v>3.65</v>
      </c>
      <c r="AT94" s="14" t="n">
        <v>4.3</v>
      </c>
      <c r="AU94" s="14" t="n">
        <v>2.5</v>
      </c>
      <c r="AV94" s="14" t="n">
        <v>13.58</v>
      </c>
      <c r="AW94" s="14" t="n">
        <v>13.7</v>
      </c>
      <c r="AX94" s="14" t="n">
        <v>-0.02</v>
      </c>
      <c r="AY94" s="14" t="n">
        <v>-0.018</v>
      </c>
      <c r="AZ94" s="16" t="str">
        <f aca="false">IF(EOMONTH($A94,0)&gt;MAX(Rates_Daily!$A$15:$A$2892),"partial month","complete")</f>
        <v>complete</v>
      </c>
    </row>
    <row r="95" customFormat="false" ht="15" hidden="false" customHeight="false" outlineLevel="0" collapsed="false">
      <c r="A95" s="17" t="n">
        <v>44805</v>
      </c>
      <c r="B95" s="14" t="n">
        <v>2.56</v>
      </c>
      <c r="C95" s="10" t="n">
        <f aca="false">IFERROR(INDEX(Rates_Daily!C$15:C$2892,MATCH(_xlfn.MAXIFS(Rates_Daily!$A$15:$A$2892,Rates_Daily!$A$15:$A$2892,"&lt;="&amp;EOMONTH($A95,0),Rates_Daily!C$15:C$2892,"&gt;=-1E+99"),Rates_Daily!$A$15:$A$2892,0)),"")</f>
        <v>3.25</v>
      </c>
      <c r="D95" s="10" t="n">
        <f aca="false">IFERROR(INDEX(Rates_Daily!D$15:D$2892,MATCH(_xlfn.MAXIFS(Rates_Daily!$A$15:$A$2892,Rates_Daily!$A$15:$A$2892,"&lt;="&amp;EOMONTH($A95,0),Rates_Daily!D$15:D$2892,"&gt;=-1E+99"),Rates_Daily!$A$15:$A$2892,0)),"")</f>
        <v>3</v>
      </c>
      <c r="E95" s="10" t="n">
        <f aca="false">IFERROR(AVERAGEIFS(Rates_Daily!B$15:B$2892,Rates_Daily!$A$15:$A$2892,"&gt;="&amp;$A95,Rates_Daily!$A$15:$A$2892,"&lt;="&amp;EOMONTH($A95,0)),"")</f>
        <v>2.51142857142857</v>
      </c>
      <c r="F95" s="14" t="n">
        <v>2.61</v>
      </c>
      <c r="G95" s="14" t="n">
        <v>3.22</v>
      </c>
      <c r="H95" s="14" t="n">
        <v>3.71</v>
      </c>
      <c r="I95" s="14" t="n">
        <v>3.89</v>
      </c>
      <c r="J95" s="14" t="n">
        <v>3.21</v>
      </c>
      <c r="K95" s="10" t="n">
        <f aca="false">IFERROR(INDEX(Rates_Daily!F$15:F$2892,MATCH(_xlfn.MAXIFS(Rates_Daily!$A$15:$A$2892,Rates_Daily!$A$15:$A$2892,"&lt;="&amp;EOMONTH($A95,0),Rates_Daily!F$15:F$2892,"&gt;=-1E+99"),Rates_Daily!$A$15:$A$2892,0)),"")</f>
        <v>0.75</v>
      </c>
      <c r="L95" s="10" t="n">
        <f aca="false">IFERROR(AVERAGEIFS(Rates_Daily!E$15:E$2892,Rates_Daily!$A$15:$A$2892,"&gt;="&amp;$A95,Rates_Daily!$A$15:$A$2892,"&lt;="&amp;EOMONTH($A95,0)),"")</f>
        <v>0.355318181818182</v>
      </c>
      <c r="M95" s="14" t="n">
        <v>0.5738636</v>
      </c>
      <c r="N95" s="14" t="n">
        <v>1.0108636</v>
      </c>
      <c r="O95" s="14" t="n">
        <v>1.5960909</v>
      </c>
      <c r="P95" s="14" t="n">
        <v>2.233</v>
      </c>
      <c r="Q95" s="14" t="n">
        <v>1.01086363636364</v>
      </c>
      <c r="R95" s="14" t="n">
        <v>1.9167</v>
      </c>
      <c r="S95" s="14" t="n">
        <v>1.8569</v>
      </c>
      <c r="T95" s="10" t="n">
        <f aca="false">IFERROR(AVERAGEIFS(Rates_Daily!I$15:I$2892,Rates_Daily!$A$15:$A$2892,"&gt;="&amp;$A95,Rates_Daily!$A$15:$A$2892,"&lt;="&amp;EOMONTH($A95,0)),"")</f>
        <v>2.24015713221137</v>
      </c>
      <c r="U95" s="10" t="n">
        <f aca="false">IFERROR(AVERAGEIFS(Rates_Daily!J$15:J$2892,Rates_Daily!$A$15:$A$2892,"&gt;="&amp;$A95,Rates_Daily!$A$15:$A$2892,"&lt;="&amp;EOMONTH($A95,0)),"")</f>
        <v>2.79175721453741</v>
      </c>
      <c r="V95" s="10" t="n">
        <f aca="false">IFERROR(AVERAGEIFS(Rates_Daily!K$15:K$2892,Rates_Daily!$A$15:$A$2892,"&gt;="&amp;$A95,Rates_Daily!$A$15:$A$2892,"&lt;="&amp;EOMONTH($A95,0)),"")</f>
        <v>3.45999477163497</v>
      </c>
      <c r="W95" s="10" t="n">
        <f aca="false">IFERROR(AVERAGEIFS(Rates_Daily!L$15:L$2892,Rates_Daily!$A$15:$A$2892,"&gt;="&amp;$A95,Rates_Daily!$A$15:$A$2892,"&lt;="&amp;EOMONTH($A95,0)),"")</f>
        <v>4.13802683079355</v>
      </c>
      <c r="X95" s="14" t="n">
        <v>2.91</v>
      </c>
      <c r="Y95" s="14" t="n">
        <v>1.89</v>
      </c>
      <c r="Z95" s="14" t="n">
        <v>1.89</v>
      </c>
      <c r="AA95" s="14" t="n">
        <v>2.481</v>
      </c>
      <c r="AB95" s="14" t="n">
        <v>2.809</v>
      </c>
      <c r="AC95" s="14" t="n">
        <v>3.081</v>
      </c>
      <c r="AD95" s="14" t="n">
        <v>2.94</v>
      </c>
      <c r="AE95" s="14" t="n">
        <v>2.5</v>
      </c>
      <c r="AF95" s="14" t="n">
        <v>2.533</v>
      </c>
      <c r="AG95" s="14" t="n">
        <v>3.01</v>
      </c>
      <c r="AH95" s="14" t="n">
        <v>2.97</v>
      </c>
      <c r="AI95" s="14" t="n">
        <v>3.45</v>
      </c>
      <c r="AJ95" s="14" t="n">
        <v>3.94</v>
      </c>
      <c r="AK95" s="14" t="n">
        <v>2.708</v>
      </c>
      <c r="AL95" s="14" t="n">
        <v>3.397</v>
      </c>
      <c r="AM95" s="14" t="n">
        <v>3.287</v>
      </c>
      <c r="AN95" s="14" t="n">
        <v>3.01</v>
      </c>
      <c r="AO95" s="10" t="n">
        <f aca="false">IFERROR(AVERAGEIFS(Rates_Daily!M$15:M$2892,Rates_Daily!$A$15:$A$2892,"&gt;="&amp;$A95,Rates_Daily!$A$15:$A$2892,"&lt;="&amp;EOMONTH($A95,0)),"")</f>
        <v>1.5662380952381</v>
      </c>
      <c r="AP95" s="10" t="n">
        <f aca="false">IFERROR(AVERAGEIFS(Rates_Daily!N$15:N$2892,Rates_Daily!$A$15:$A$2892,"&gt;="&amp;$A95,Rates_Daily!$A$15:$A$2892,"&lt;="&amp;EOMONTH($A95,0)),"")</f>
        <v>1.6132380952381</v>
      </c>
      <c r="AQ95" s="10" t="n">
        <f aca="false">IFERROR(AVERAGEIFS(Rates_Daily!O$15:O$2892,Rates_Daily!$A$15:$A$2892,"&gt;="&amp;$A95,Rates_Daily!$A$15:$A$2892,"&lt;="&amp;EOMONTH($A95,0)),"")</f>
        <v>1.76661904761905</v>
      </c>
      <c r="AR95" s="10" t="n">
        <f aca="false">IFERROR(AVERAGEIFS(Rates_Daily!P$15:P$2892,Rates_Daily!$A$15:$A$2892,"&gt;="&amp;$A95,Rates_Daily!$A$15:$A$2892,"&lt;="&amp;EOMONTH($A95,0)),"")</f>
        <v>1.98480952380952</v>
      </c>
      <c r="AS95" s="14" t="n">
        <v>3.65</v>
      </c>
      <c r="AT95" s="14" t="n">
        <v>4.3</v>
      </c>
      <c r="AU95" s="14" t="n">
        <v>2.36</v>
      </c>
      <c r="AV95" s="14" t="n">
        <v>13.65</v>
      </c>
      <c r="AW95" s="14" t="n">
        <v>13.75</v>
      </c>
      <c r="AX95" s="14" t="n">
        <v>-0.016</v>
      </c>
      <c r="AY95" s="14" t="n">
        <v>-0.049</v>
      </c>
      <c r="AZ95" s="16" t="str">
        <f aca="false">IF(EOMONTH($A95,0)&gt;MAX(Rates_Daily!$A$15:$A$2892),"partial month","complete")</f>
        <v>complete</v>
      </c>
    </row>
    <row r="96" customFormat="false" ht="15" hidden="false" customHeight="false" outlineLevel="0" collapsed="false">
      <c r="A96" s="17" t="n">
        <v>44835</v>
      </c>
      <c r="B96" s="14" t="n">
        <v>3.08</v>
      </c>
      <c r="C96" s="10" t="n">
        <f aca="false">IFERROR(INDEX(Rates_Daily!C$15:C$2892,MATCH(_xlfn.MAXIFS(Rates_Daily!$A$15:$A$2892,Rates_Daily!$A$15:$A$2892,"&lt;="&amp;EOMONTH($A96,0),Rates_Daily!C$15:C$2892,"&gt;=-1E+99"),Rates_Daily!$A$15:$A$2892,0)),"")</f>
        <v>3.25</v>
      </c>
      <c r="D96" s="10" t="n">
        <f aca="false">IFERROR(INDEX(Rates_Daily!D$15:D$2892,MATCH(_xlfn.MAXIFS(Rates_Daily!$A$15:$A$2892,Rates_Daily!$A$15:$A$2892,"&lt;="&amp;EOMONTH($A96,0),Rates_Daily!D$15:D$2892,"&gt;=-1E+99"),Rates_Daily!$A$15:$A$2892,0)),"")</f>
        <v>3</v>
      </c>
      <c r="E96" s="10" t="n">
        <f aca="false">IFERROR(AVERAGEIFS(Rates_Daily!B$15:B$2892,Rates_Daily!$A$15:$A$2892,"&gt;="&amp;$A96,Rates_Daily!$A$15:$A$2892,"&lt;="&amp;EOMONTH($A96,0)),"")</f>
        <v>3.0365</v>
      </c>
      <c r="F96" s="14" t="n">
        <v>3.32</v>
      </c>
      <c r="G96" s="14" t="n">
        <v>3.87</v>
      </c>
      <c r="H96" s="14" t="n">
        <v>4.31</v>
      </c>
      <c r="I96" s="14" t="n">
        <v>4.43</v>
      </c>
      <c r="J96" s="14" t="n">
        <v>3.85</v>
      </c>
      <c r="K96" s="10" t="n">
        <f aca="false">IFERROR(INDEX(Rates_Daily!F$15:F$2892,MATCH(_xlfn.MAXIFS(Rates_Daily!$A$15:$A$2892,Rates_Daily!$A$15:$A$2892,"&lt;="&amp;EOMONTH($A96,0),Rates_Daily!F$15:F$2892,"&gt;=-1E+99"),Rates_Daily!$A$15:$A$2892,0)),"")</f>
        <v>0.75</v>
      </c>
      <c r="L96" s="10" t="n">
        <f aca="false">IFERROR(AVERAGEIFS(Rates_Daily!E$15:E$2892,Rates_Daily!$A$15:$A$2892,"&gt;="&amp;$A96,Rates_Daily!$A$15:$A$2892,"&lt;="&amp;EOMONTH($A96,0)),"")</f>
        <v>0.656</v>
      </c>
      <c r="M96" s="14" t="n">
        <v>0.9151905</v>
      </c>
      <c r="N96" s="14" t="n">
        <v>1.4276667</v>
      </c>
      <c r="O96" s="14" t="n">
        <v>1.997381</v>
      </c>
      <c r="P96" s="14" t="n">
        <v>2.629381</v>
      </c>
      <c r="Q96" s="14" t="n">
        <v>1.42766666666667</v>
      </c>
      <c r="R96" s="14" t="n">
        <v>2.25</v>
      </c>
      <c r="S96" s="14" t="n">
        <v>2.1857</v>
      </c>
      <c r="T96" s="10" t="n">
        <f aca="false">IFERROR(AVERAGEIFS(Rates_Daily!I$15:I$2892,Rates_Daily!$A$15:$A$2892,"&gt;="&amp;$A96,Rates_Daily!$A$15:$A$2892,"&lt;="&amp;EOMONTH($A96,0)),"")</f>
        <v>2.55951941087958</v>
      </c>
      <c r="U96" s="10" t="n">
        <f aca="false">IFERROR(AVERAGEIFS(Rates_Daily!J$15:J$2892,Rates_Daily!$A$15:$A$2892,"&gt;="&amp;$A96,Rates_Daily!$A$15:$A$2892,"&lt;="&amp;EOMONTH($A96,0)),"")</f>
        <v>3.22734586859768</v>
      </c>
      <c r="V96" s="10" t="n">
        <f aca="false">IFERROR(AVERAGEIFS(Rates_Daily!K$15:K$2892,Rates_Daily!$A$15:$A$2892,"&gt;="&amp;$A96,Rates_Daily!$A$15:$A$2892,"&lt;="&amp;EOMONTH($A96,0)),"")</f>
        <v>3.9439644059691</v>
      </c>
      <c r="W96" s="10" t="n">
        <f aca="false">IFERROR(AVERAGEIFS(Rates_Daily!L$15:L$2892,Rates_Daily!$A$15:$A$2892,"&gt;="&amp;$A96,Rates_Daily!$A$15:$A$2892,"&lt;="&amp;EOMONTH($A96,0)),"")</f>
        <v>4.61744710241153</v>
      </c>
      <c r="X96" s="14" t="n">
        <v>3.39</v>
      </c>
      <c r="Y96" s="14" t="n">
        <v>2.25</v>
      </c>
      <c r="Z96" s="14" t="n">
        <v>2.25</v>
      </c>
      <c r="AA96" s="14" t="n">
        <v>2.508</v>
      </c>
      <c r="AB96" s="14" t="n">
        <v>2.746</v>
      </c>
      <c r="AC96" s="14" t="n">
        <v>3.124</v>
      </c>
      <c r="AD96" s="14" t="n">
        <v>3.33</v>
      </c>
      <c r="AE96" s="14" t="n">
        <v>3</v>
      </c>
      <c r="AF96" s="14" t="n">
        <v>2.959</v>
      </c>
      <c r="AG96" s="14" t="n">
        <v>3.69</v>
      </c>
      <c r="AH96" s="14" t="n">
        <v>3.52</v>
      </c>
      <c r="AI96" s="14" t="n">
        <v>4.02</v>
      </c>
      <c r="AJ96" s="14" t="n">
        <v>4.57</v>
      </c>
      <c r="AK96" s="14" t="n">
        <v>3.03</v>
      </c>
      <c r="AL96" s="14" t="n">
        <v>3.593</v>
      </c>
      <c r="AM96" s="14" t="n">
        <v>3.602</v>
      </c>
      <c r="AN96" s="14" t="n">
        <v>3.69</v>
      </c>
      <c r="AO96" s="10" t="n">
        <f aca="false">IFERROR(AVERAGEIFS(Rates_Daily!M$15:M$2892,Rates_Daily!$A$15:$A$2892,"&gt;="&amp;$A96,Rates_Daily!$A$15:$A$2892,"&lt;="&amp;EOMONTH($A96,0)),"")</f>
        <v>1.63883333333333</v>
      </c>
      <c r="AP96" s="10" t="n">
        <f aca="false">IFERROR(AVERAGEIFS(Rates_Daily!N$15:N$2892,Rates_Daily!$A$15:$A$2892,"&gt;="&amp;$A96,Rates_Daily!$A$15:$A$2892,"&lt;="&amp;EOMONTH($A96,0)),"")</f>
        <v>1.69955555555556</v>
      </c>
      <c r="AQ96" s="10" t="n">
        <f aca="false">IFERROR(AVERAGEIFS(Rates_Daily!O$15:O$2892,Rates_Daily!$A$15:$A$2892,"&gt;="&amp;$A96,Rates_Daily!$A$15:$A$2892,"&lt;="&amp;EOMONTH($A96,0)),"")</f>
        <v>1.82911111111111</v>
      </c>
      <c r="AR96" s="10" t="n">
        <f aca="false">IFERROR(AVERAGEIFS(Rates_Daily!P$15:P$2892,Rates_Daily!$A$15:$A$2892,"&gt;="&amp;$A96,Rates_Daily!$A$15:$A$2892,"&lt;="&amp;EOMONTH($A96,0)),"")</f>
        <v>2.01422222222222</v>
      </c>
      <c r="AS96" s="14" t="n">
        <v>3.65</v>
      </c>
      <c r="AT96" s="14" t="n">
        <v>4.3</v>
      </c>
      <c r="AU96" s="14" t="n">
        <v>2.43</v>
      </c>
      <c r="AV96" s="14" t="n">
        <v>13.65</v>
      </c>
      <c r="AW96" s="14" t="n">
        <v>13.75</v>
      </c>
      <c r="AX96" s="14" t="n">
        <v>-0.016</v>
      </c>
      <c r="AY96" s="14" t="n">
        <v>-0.05</v>
      </c>
      <c r="AZ96" s="16" t="str">
        <f aca="false">IF(EOMONTH($A96,0)&gt;MAX(Rates_Daily!$A$15:$A$2892),"partial month","complete")</f>
        <v>complete</v>
      </c>
    </row>
    <row r="97" customFormat="false" ht="15" hidden="false" customHeight="false" outlineLevel="0" collapsed="false">
      <c r="A97" s="17" t="n">
        <v>44866</v>
      </c>
      <c r="B97" s="14" t="n">
        <v>3.78</v>
      </c>
      <c r="C97" s="10" t="n">
        <f aca="false">IFERROR(INDEX(Rates_Daily!C$15:C$2892,MATCH(_xlfn.MAXIFS(Rates_Daily!$A$15:$A$2892,Rates_Daily!$A$15:$A$2892,"&lt;="&amp;EOMONTH($A97,0),Rates_Daily!C$15:C$2892,"&gt;=-1E+99"),Rates_Daily!$A$15:$A$2892,0)),"")</f>
        <v>4</v>
      </c>
      <c r="D97" s="10" t="n">
        <f aca="false">IFERROR(INDEX(Rates_Daily!D$15:D$2892,MATCH(_xlfn.MAXIFS(Rates_Daily!$A$15:$A$2892,Rates_Daily!$A$15:$A$2892,"&lt;="&amp;EOMONTH($A97,0),Rates_Daily!D$15:D$2892,"&gt;=-1E+99"),Rates_Daily!$A$15:$A$2892,0)),"")</f>
        <v>3.75</v>
      </c>
      <c r="E97" s="10" t="n">
        <f aca="false">IFERROR(AVERAGEIFS(Rates_Daily!B$15:B$2892,Rates_Daily!$A$15:$A$2892,"&gt;="&amp;$A97,Rates_Daily!$A$15:$A$2892,"&lt;="&amp;EOMONTH($A97,0)),"")</f>
        <v>3.722</v>
      </c>
      <c r="F97" s="14" t="n">
        <v>3.87</v>
      </c>
      <c r="G97" s="14" t="n">
        <v>4.32</v>
      </c>
      <c r="H97" s="14" t="n">
        <v>4.61</v>
      </c>
      <c r="I97" s="14" t="n">
        <v>4.73</v>
      </c>
      <c r="J97" s="14" t="n">
        <v>4.46</v>
      </c>
      <c r="K97" s="10" t="n">
        <f aca="false">IFERROR(INDEX(Rates_Daily!F$15:F$2892,MATCH(_xlfn.MAXIFS(Rates_Daily!$A$15:$A$2892,Rates_Daily!$A$15:$A$2892,"&lt;="&amp;EOMONTH($A97,0),Rates_Daily!F$15:F$2892,"&gt;=-1E+99"),Rates_Daily!$A$15:$A$2892,0)),"")</f>
        <v>1.5</v>
      </c>
      <c r="L97" s="10" t="n">
        <f aca="false">IFERROR(AVERAGEIFS(Rates_Daily!E$15:E$2892,Rates_Daily!$A$15:$A$2892,"&gt;="&amp;$A97,Rates_Daily!$A$15:$A$2892,"&lt;="&amp;EOMONTH($A97,0)),"")</f>
        <v>1.36795454545455</v>
      </c>
      <c r="M97" s="14" t="n">
        <v>1.4231364</v>
      </c>
      <c r="N97" s="14" t="n">
        <v>1.8252273</v>
      </c>
      <c r="O97" s="14" t="n">
        <v>2.3212273</v>
      </c>
      <c r="P97" s="14" t="n">
        <v>2.8283182</v>
      </c>
      <c r="Q97" s="14" t="n">
        <v>1.82522727272727</v>
      </c>
      <c r="R97" s="14" t="n">
        <v>2.9318</v>
      </c>
      <c r="S97" s="14" t="n">
        <v>2.8599</v>
      </c>
      <c r="T97" s="10" t="n">
        <f aca="false">IFERROR(AVERAGEIFS(Rates_Daily!I$15:I$2892,Rates_Daily!$A$15:$A$2892,"&gt;="&amp;$A97,Rates_Daily!$A$15:$A$2892,"&lt;="&amp;EOMONTH($A97,0)),"")</f>
        <v>3.0119946660838</v>
      </c>
      <c r="U97" s="10" t="n">
        <f aca="false">IFERROR(AVERAGEIFS(Rates_Daily!J$15:J$2892,Rates_Daily!$A$15:$A$2892,"&gt;="&amp;$A97,Rates_Daily!$A$15:$A$2892,"&lt;="&amp;EOMONTH($A97,0)),"")</f>
        <v>3.38749097628744</v>
      </c>
      <c r="V97" s="10" t="n">
        <f aca="false">IFERROR(AVERAGEIFS(Rates_Daily!K$15:K$2892,Rates_Daily!$A$15:$A$2892,"&gt;="&amp;$A97,Rates_Daily!$A$15:$A$2892,"&lt;="&amp;EOMONTH($A97,0)),"")</f>
        <v>3.80073778084996</v>
      </c>
      <c r="W97" s="10" t="n">
        <f aca="false">IFERROR(AVERAGEIFS(Rates_Daily!L$15:L$2892,Rates_Daily!$A$15:$A$2892,"&gt;="&amp;$A97,Rates_Daily!$A$15:$A$2892,"&lt;="&amp;EOMONTH($A97,0)),"")</f>
        <v>4.19499259223676</v>
      </c>
      <c r="X97" s="14" t="n">
        <v>3.52</v>
      </c>
      <c r="Y97" s="14" t="n">
        <v>2.47</v>
      </c>
      <c r="Z97" s="14" t="n">
        <v>2.47</v>
      </c>
      <c r="AA97" s="14" t="n">
        <v>2.841</v>
      </c>
      <c r="AB97" s="14" t="n">
        <v>3.034</v>
      </c>
      <c r="AC97" s="14" t="n">
        <v>3.163</v>
      </c>
      <c r="AD97" s="14" t="n">
        <v>3.51</v>
      </c>
      <c r="AE97" s="14" t="n">
        <v>3.25</v>
      </c>
      <c r="AF97" s="14" t="n">
        <v>3.096</v>
      </c>
      <c r="AG97" s="14" t="n">
        <v>3.99</v>
      </c>
      <c r="AH97" s="14" t="n">
        <v>4.02</v>
      </c>
      <c r="AI97" s="14" t="n">
        <v>4.59</v>
      </c>
      <c r="AJ97" s="14" t="n">
        <v>5</v>
      </c>
      <c r="AK97" s="14" t="n">
        <v>3.346</v>
      </c>
      <c r="AL97" s="14" t="n">
        <v>3.812</v>
      </c>
      <c r="AM97" s="14" t="n">
        <v>3.838</v>
      </c>
      <c r="AN97" s="14" t="n">
        <v>3.99</v>
      </c>
      <c r="AO97" s="10" t="n">
        <f aca="false">IFERROR(AVERAGEIFS(Rates_Daily!M$15:M$2892,Rates_Daily!$A$15:$A$2892,"&gt;="&amp;$A97,Rates_Daily!$A$15:$A$2892,"&lt;="&amp;EOMONTH($A97,0)),"")</f>
        <v>1.81718181818182</v>
      </c>
      <c r="AP97" s="10" t="n">
        <f aca="false">IFERROR(AVERAGEIFS(Rates_Daily!N$15:N$2892,Rates_Daily!$A$15:$A$2892,"&gt;="&amp;$A97,Rates_Daily!$A$15:$A$2892,"&lt;="&amp;EOMONTH($A97,0)),"")</f>
        <v>2.01113636363636</v>
      </c>
      <c r="AQ97" s="10" t="n">
        <f aca="false">IFERROR(AVERAGEIFS(Rates_Daily!O$15:O$2892,Rates_Daily!$A$15:$A$2892,"&gt;="&amp;$A97,Rates_Daily!$A$15:$A$2892,"&lt;="&amp;EOMONTH($A97,0)),"")</f>
        <v>2.10872727272727</v>
      </c>
      <c r="AR97" s="10" t="n">
        <f aca="false">IFERROR(AVERAGEIFS(Rates_Daily!P$15:P$2892,Rates_Daily!$A$15:$A$2892,"&gt;="&amp;$A97,Rates_Daily!$A$15:$A$2892,"&lt;="&amp;EOMONTH($A97,0)),"")</f>
        <v>2.25618181818182</v>
      </c>
      <c r="AS97" s="14" t="n">
        <v>3.65</v>
      </c>
      <c r="AT97" s="14" t="n">
        <v>4.3</v>
      </c>
      <c r="AU97" s="14" t="n">
        <v>2.68</v>
      </c>
      <c r="AV97" s="14" t="n">
        <v>13.65</v>
      </c>
      <c r="AW97" s="14" t="n">
        <v>13.75</v>
      </c>
      <c r="AX97" s="14" t="n">
        <v>-0.016</v>
      </c>
      <c r="AY97" s="14" t="n">
        <v>-0.067</v>
      </c>
      <c r="AZ97" s="16" t="str">
        <f aca="false">IF(EOMONTH($A97,0)&gt;MAX(Rates_Daily!$A$15:$A$2892),"partial month","complete")</f>
        <v>complete</v>
      </c>
    </row>
    <row r="98" customFormat="false" ht="15" hidden="false" customHeight="false" outlineLevel="0" collapsed="false">
      <c r="A98" s="17" t="n">
        <v>44896</v>
      </c>
      <c r="B98" s="14" t="n">
        <v>4.1</v>
      </c>
      <c r="C98" s="10" t="n">
        <f aca="false">IFERROR(INDEX(Rates_Daily!C$15:C$2892,MATCH(_xlfn.MAXIFS(Rates_Daily!$A$15:$A$2892,Rates_Daily!$A$15:$A$2892,"&lt;="&amp;EOMONTH($A98,0),Rates_Daily!C$15:C$2892,"&gt;=-1E+99"),Rates_Daily!$A$15:$A$2892,0)),"")</f>
        <v>4.5</v>
      </c>
      <c r="D98" s="10" t="n">
        <f aca="false">IFERROR(INDEX(Rates_Daily!D$15:D$2892,MATCH(_xlfn.MAXIFS(Rates_Daily!$A$15:$A$2892,Rates_Daily!$A$15:$A$2892,"&lt;="&amp;EOMONTH($A98,0),Rates_Daily!D$15:D$2892,"&gt;=-1E+99"),Rates_Daily!$A$15:$A$2892,0)),"")</f>
        <v>4.25</v>
      </c>
      <c r="E98" s="10" t="n">
        <f aca="false">IFERROR(AVERAGEIFS(Rates_Daily!B$15:B$2892,Rates_Daily!$A$15:$A$2892,"&gt;="&amp;$A98,Rates_Daily!$A$15:$A$2892,"&lt;="&amp;EOMONTH($A98,0)),"")</f>
        <v>4.06571428571429</v>
      </c>
      <c r="F98" s="14" t="n">
        <v>3.9</v>
      </c>
      <c r="G98" s="14" t="n">
        <v>4.36</v>
      </c>
      <c r="H98" s="14" t="n">
        <v>4.71</v>
      </c>
      <c r="I98" s="14" t="n">
        <v>4.68</v>
      </c>
      <c r="J98" s="14" t="n">
        <v>4.51</v>
      </c>
      <c r="K98" s="10" t="n">
        <f aca="false">IFERROR(INDEX(Rates_Daily!F$15:F$2892,MATCH(_xlfn.MAXIFS(Rates_Daily!$A$15:$A$2892,Rates_Daily!$A$15:$A$2892,"&lt;="&amp;EOMONTH($A98,0),Rates_Daily!F$15:F$2892,"&gt;=-1E+99"),Rates_Daily!$A$15:$A$2892,0)),"")</f>
        <v>2</v>
      </c>
      <c r="L98" s="10" t="n">
        <f aca="false">IFERROR(AVERAGEIFS(Rates_Daily!E$15:E$2892,Rates_Daily!$A$15:$A$2892,"&gt;="&amp;$A98,Rates_Daily!$A$15:$A$2892,"&lt;="&amp;EOMONTH($A98,0)),"")</f>
        <v>1.56838095238095</v>
      </c>
      <c r="M98" s="14" t="n">
        <v>1.7243333</v>
      </c>
      <c r="N98" s="14" t="n">
        <v>2.0634762</v>
      </c>
      <c r="O98" s="14" t="n">
        <v>2.5603333</v>
      </c>
      <c r="P98" s="14" t="n">
        <v>3.0181429</v>
      </c>
      <c r="Q98" s="14" t="n">
        <v>2.06347619047619</v>
      </c>
      <c r="R98" s="14" t="n">
        <v>3.25</v>
      </c>
      <c r="S98" s="14" t="n">
        <v>3.1779</v>
      </c>
      <c r="T98" s="10" t="n">
        <f aca="false">IFERROR(AVERAGEIFS(Rates_Daily!I$15:I$2892,Rates_Daily!$A$15:$A$2892,"&gt;="&amp;$A98,Rates_Daily!$A$15:$A$2892,"&lt;="&amp;EOMONTH($A98,0)),"")</f>
        <v>3.3867203950755</v>
      </c>
      <c r="U98" s="10" t="n">
        <f aca="false">IFERROR(AVERAGEIFS(Rates_Daily!J$15:J$2892,Rates_Daily!$A$15:$A$2892,"&gt;="&amp;$A98,Rates_Daily!$A$15:$A$2892,"&lt;="&amp;EOMONTH($A98,0)),"")</f>
        <v>3.650207849411</v>
      </c>
      <c r="V98" s="10" t="n">
        <f aca="false">IFERROR(AVERAGEIFS(Rates_Daily!K$15:K$2892,Rates_Daily!$A$15:$A$2892,"&gt;="&amp;$A98,Rates_Daily!$A$15:$A$2892,"&lt;="&amp;EOMONTH($A98,0)),"")</f>
        <v>3.97960071480523</v>
      </c>
      <c r="W98" s="10" t="n">
        <f aca="false">IFERROR(AVERAGEIFS(Rates_Daily!L$15:L$2892,Rates_Daily!$A$15:$A$2892,"&gt;="&amp;$A98,Rates_Daily!$A$15:$A$2892,"&lt;="&amp;EOMONTH($A98,0)),"")</f>
        <v>4.29792977932642</v>
      </c>
      <c r="X98" s="14" t="n">
        <v>3.78</v>
      </c>
      <c r="Y98" s="14" t="n">
        <v>2.62</v>
      </c>
      <c r="Z98" s="14" t="n">
        <v>2.62</v>
      </c>
      <c r="AA98" s="14" t="n">
        <v>2.896</v>
      </c>
      <c r="AB98" s="14" t="n">
        <v>3.019</v>
      </c>
      <c r="AC98" s="14" t="n">
        <v>3.101</v>
      </c>
      <c r="AD98" s="14" t="n">
        <v>3.26</v>
      </c>
      <c r="AE98" s="14" t="n">
        <v>3.25</v>
      </c>
      <c r="AF98" s="14" t="n">
        <v>3.235</v>
      </c>
      <c r="AG98" s="14" t="n">
        <v>4.02</v>
      </c>
      <c r="AH98" s="14" t="n">
        <v>4.03</v>
      </c>
      <c r="AI98" s="14" t="n">
        <v>4.45</v>
      </c>
      <c r="AJ98" s="14" t="n">
        <v>4.55</v>
      </c>
      <c r="AK98" s="14" t="n">
        <v>3.444</v>
      </c>
      <c r="AL98" s="14" t="n">
        <v>3.728</v>
      </c>
      <c r="AM98" s="14" t="n">
        <v>3.705</v>
      </c>
      <c r="AN98" s="14" t="n">
        <v>4.02</v>
      </c>
      <c r="AO98" s="10" t="n">
        <f aca="false">IFERROR(AVERAGEIFS(Rates_Daily!M$15:M$2892,Rates_Daily!$A$15:$A$2892,"&gt;="&amp;$A98,Rates_Daily!$A$15:$A$2892,"&lt;="&amp;EOMONTH($A98,0)),"")</f>
        <v>2.13118181818182</v>
      </c>
      <c r="AP98" s="10" t="n">
        <f aca="false">IFERROR(AVERAGEIFS(Rates_Daily!N$15:N$2892,Rates_Daily!$A$15:$A$2892,"&gt;="&amp;$A98,Rates_Daily!$A$15:$A$2892,"&lt;="&amp;EOMONTH($A98,0)),"")</f>
        <v>2.31945454545455</v>
      </c>
      <c r="AQ98" s="10" t="n">
        <f aca="false">IFERROR(AVERAGEIFS(Rates_Daily!O$15:O$2892,Rates_Daily!$A$15:$A$2892,"&gt;="&amp;$A98,Rates_Daily!$A$15:$A$2892,"&lt;="&amp;EOMONTH($A98,0)),"")</f>
        <v>2.42484090909091</v>
      </c>
      <c r="AR98" s="10" t="n">
        <f aca="false">IFERROR(AVERAGEIFS(Rates_Daily!P$15:P$2892,Rates_Daily!$A$15:$A$2892,"&gt;="&amp;$A98,Rates_Daily!$A$15:$A$2892,"&lt;="&amp;EOMONTH($A98,0)),"")</f>
        <v>2.55422727272727</v>
      </c>
      <c r="AS98" s="14" t="n">
        <v>3.65</v>
      </c>
      <c r="AT98" s="14" t="n">
        <v>4.3</v>
      </c>
      <c r="AU98" s="14" t="n">
        <v>2.79</v>
      </c>
      <c r="AV98" s="14" t="n">
        <v>13.65</v>
      </c>
      <c r="AW98" s="14" t="n">
        <v>13.75</v>
      </c>
      <c r="AX98" s="14" t="n">
        <v>-0.015</v>
      </c>
      <c r="AY98" s="14" t="n">
        <v>-0.07</v>
      </c>
      <c r="AZ98" s="16" t="str">
        <f aca="false">IF(EOMONTH($A98,0)&gt;MAX(Rates_Daily!$A$15:$A$2892),"partial month","complete")</f>
        <v>complete</v>
      </c>
    </row>
    <row r="99" customFormat="false" ht="15" hidden="false" customHeight="false" outlineLevel="0" collapsed="false">
      <c r="A99" s="17" t="n">
        <v>44927</v>
      </c>
      <c r="B99" s="14" t="n">
        <v>4.33</v>
      </c>
      <c r="C99" s="10" t="n">
        <f aca="false">IFERROR(INDEX(Rates_Daily!C$15:C$2892,MATCH(_xlfn.MAXIFS(Rates_Daily!$A$15:$A$2892,Rates_Daily!$A$15:$A$2892,"&lt;="&amp;EOMONTH($A99,0),Rates_Daily!C$15:C$2892,"&gt;=-1E+99"),Rates_Daily!$A$15:$A$2892,0)),"")</f>
        <v>4.5</v>
      </c>
      <c r="D99" s="10" t="n">
        <f aca="false">IFERROR(INDEX(Rates_Daily!D$15:D$2892,MATCH(_xlfn.MAXIFS(Rates_Daily!$A$15:$A$2892,Rates_Daily!$A$15:$A$2892,"&lt;="&amp;EOMONTH($A99,0),Rates_Daily!D$15:D$2892,"&gt;=-1E+99"),Rates_Daily!$A$15:$A$2892,0)),"")</f>
        <v>4.25</v>
      </c>
      <c r="E99" s="10" t="n">
        <f aca="false">IFERROR(AVERAGEIFS(Rates_Daily!B$15:B$2892,Rates_Daily!$A$15:$A$2892,"&gt;="&amp;$A99,Rates_Daily!$A$15:$A$2892,"&lt;="&amp;EOMONTH($A99,0)),"")</f>
        <v>4.3045</v>
      </c>
      <c r="F99" s="14" t="n">
        <v>4.52</v>
      </c>
      <c r="G99" s="14" t="n">
        <v>4.69</v>
      </c>
      <c r="H99" s="14" t="n">
        <v>4.8</v>
      </c>
      <c r="I99" s="14" t="n">
        <v>4.69</v>
      </c>
      <c r="J99" s="14" t="n">
        <v>4.61</v>
      </c>
      <c r="K99" s="10" t="n">
        <f aca="false">IFERROR(INDEX(Rates_Daily!F$15:F$2892,MATCH(_xlfn.MAXIFS(Rates_Daily!$A$15:$A$2892,Rates_Daily!$A$15:$A$2892,"&lt;="&amp;EOMONTH($A99,0),Rates_Daily!F$15:F$2892,"&gt;=-1E+99"),Rates_Daily!$A$15:$A$2892,0)),"")</f>
        <v>2</v>
      </c>
      <c r="L99" s="10" t="n">
        <f aca="false">IFERROR(AVERAGEIFS(Rates_Daily!E$15:E$2892,Rates_Daily!$A$15:$A$2892,"&gt;="&amp;$A99,Rates_Daily!$A$15:$A$2892,"&lt;="&amp;EOMONTH($A99,0)),"")</f>
        <v>1.90190909090909</v>
      </c>
      <c r="M99" s="14" t="n">
        <v>1.9811818</v>
      </c>
      <c r="N99" s="14" t="n">
        <v>2.3448636</v>
      </c>
      <c r="O99" s="14" t="n">
        <v>2.8578636</v>
      </c>
      <c r="P99" s="14" t="n">
        <v>3.3370455</v>
      </c>
      <c r="Q99" s="14" t="n">
        <v>2.34486363636364</v>
      </c>
      <c r="R99" s="14" t="n">
        <v>3.5</v>
      </c>
      <c r="S99" s="14" t="n">
        <v>3.4275</v>
      </c>
      <c r="T99" s="10" t="n">
        <f aca="false">IFERROR(AVERAGEIFS(Rates_Daily!I$15:I$2892,Rates_Daily!$A$15:$A$2892,"&gt;="&amp;$A99,Rates_Daily!$A$15:$A$2892,"&lt;="&amp;EOMONTH($A99,0)),"")</f>
        <v>3.63326731271674</v>
      </c>
      <c r="U99" s="10" t="n">
        <f aca="false">IFERROR(AVERAGEIFS(Rates_Daily!J$15:J$2892,Rates_Daily!$A$15:$A$2892,"&gt;="&amp;$A99,Rates_Daily!$A$15:$A$2892,"&lt;="&amp;EOMONTH($A99,0)),"")</f>
        <v>3.87691524836565</v>
      </c>
      <c r="V99" s="10" t="n">
        <f aca="false">IFERROR(AVERAGEIFS(Rates_Daily!K$15:K$2892,Rates_Daily!$A$15:$A$2892,"&gt;="&amp;$A99,Rates_Daily!$A$15:$A$2892,"&lt;="&amp;EOMONTH($A99,0)),"")</f>
        <v>4.10424249815155</v>
      </c>
      <c r="W99" s="10" t="n">
        <f aca="false">IFERROR(AVERAGEIFS(Rates_Daily!L$15:L$2892,Rates_Daily!$A$15:$A$2892,"&gt;="&amp;$A99,Rates_Daily!$A$15:$A$2892,"&lt;="&amp;EOMONTH($A99,0)),"")</f>
        <v>4.25548446144806</v>
      </c>
      <c r="X99" s="14" t="n">
        <v>4.01</v>
      </c>
      <c r="Y99" s="14" t="n">
        <v>2.75</v>
      </c>
      <c r="Z99" s="14" t="n">
        <v>2.75</v>
      </c>
      <c r="AA99" s="14" t="n">
        <v>2.852</v>
      </c>
      <c r="AB99" s="14" t="n">
        <v>3.016</v>
      </c>
      <c r="AC99" s="14" t="n">
        <v>3.094</v>
      </c>
      <c r="AD99" s="14" t="n">
        <v>3.27</v>
      </c>
      <c r="AE99" s="14" t="n">
        <v>3.5</v>
      </c>
      <c r="AF99" s="14" t="n">
        <v>3.269</v>
      </c>
      <c r="AG99" s="14" t="n">
        <v>3.8</v>
      </c>
      <c r="AH99" s="14" t="n">
        <v>3.74</v>
      </c>
      <c r="AI99" s="14" t="n">
        <v>3.91</v>
      </c>
      <c r="AJ99" s="14" t="n">
        <v>3.95</v>
      </c>
      <c r="AK99" s="14" t="n">
        <v>3.46</v>
      </c>
      <c r="AL99" s="14" t="n">
        <v>3.556</v>
      </c>
      <c r="AM99" s="14" t="n">
        <v>3.584</v>
      </c>
      <c r="AN99" s="14" t="n">
        <v>3.8</v>
      </c>
      <c r="AO99" s="10" t="n">
        <f aca="false">IFERROR(AVERAGEIFS(Rates_Daily!M$15:M$2892,Rates_Daily!$A$15:$A$2892,"&gt;="&amp;$A99,Rates_Daily!$A$15:$A$2892,"&lt;="&amp;EOMONTH($A99,0)),"")</f>
        <v>2.23166666666667</v>
      </c>
      <c r="AP99" s="10" t="n">
        <f aca="false">IFERROR(AVERAGEIFS(Rates_Daily!N$15:N$2892,Rates_Daily!$A$15:$A$2892,"&gt;="&amp;$A99,Rates_Daily!$A$15:$A$2892,"&lt;="&amp;EOMONTH($A99,0)),"")</f>
        <v>2.36233333333333</v>
      </c>
      <c r="AQ99" s="10" t="n">
        <f aca="false">IFERROR(AVERAGEIFS(Rates_Daily!O$15:O$2892,Rates_Daily!$A$15:$A$2892,"&gt;="&amp;$A99,Rates_Daily!$A$15:$A$2892,"&lt;="&amp;EOMONTH($A99,0)),"")</f>
        <v>2.45122222222222</v>
      </c>
      <c r="AR99" s="10" t="n">
        <f aca="false">IFERROR(AVERAGEIFS(Rates_Daily!P$15:P$2892,Rates_Daily!$A$15:$A$2892,"&gt;="&amp;$A99,Rates_Daily!$A$15:$A$2892,"&lt;="&amp;EOMONTH($A99,0)),"")</f>
        <v>2.56272222222222</v>
      </c>
      <c r="AS99" s="14" t="n">
        <v>3.65</v>
      </c>
      <c r="AT99" s="14" t="n">
        <v>4.3</v>
      </c>
      <c r="AU99" s="14" t="n">
        <v>2.9</v>
      </c>
      <c r="AV99" s="14" t="n">
        <v>13.65</v>
      </c>
      <c r="AW99" s="14" t="n">
        <v>13.75</v>
      </c>
      <c r="AX99" s="14" t="n">
        <v>-0.006</v>
      </c>
      <c r="AY99" s="14" t="n">
        <v>-0.02</v>
      </c>
      <c r="AZ99" s="16" t="str">
        <f aca="false">IF(EOMONTH($A99,0)&gt;MAX(Rates_Daily!$A$15:$A$2892),"partial month","complete")</f>
        <v>complete</v>
      </c>
    </row>
    <row r="100" customFormat="false" ht="15" hidden="false" customHeight="false" outlineLevel="0" collapsed="false">
      <c r="A100" s="17" t="n">
        <v>44958</v>
      </c>
      <c r="B100" s="14" t="n">
        <v>4.57</v>
      </c>
      <c r="C100" s="10" t="n">
        <f aca="false">IFERROR(INDEX(Rates_Daily!C$15:C$2892,MATCH(_xlfn.MAXIFS(Rates_Daily!$A$15:$A$2892,Rates_Daily!$A$15:$A$2892,"&lt;="&amp;EOMONTH($A100,0),Rates_Daily!C$15:C$2892,"&gt;=-1E+99"),Rates_Daily!$A$15:$A$2892,0)),"")</f>
        <v>4.75</v>
      </c>
      <c r="D100" s="10" t="n">
        <f aca="false">IFERROR(INDEX(Rates_Daily!D$15:D$2892,MATCH(_xlfn.MAXIFS(Rates_Daily!$A$15:$A$2892,Rates_Daily!$A$15:$A$2892,"&lt;="&amp;EOMONTH($A100,0),Rates_Daily!D$15:D$2892,"&gt;=-1E+99"),Rates_Daily!$A$15:$A$2892,0)),"")</f>
        <v>4.5</v>
      </c>
      <c r="E100" s="10" t="n">
        <f aca="false">IFERROR(AVERAGEIFS(Rates_Daily!B$15:B$2892,Rates_Daily!$A$15:$A$2892,"&gt;="&amp;$A100,Rates_Daily!$A$15:$A$2892,"&lt;="&amp;EOMONTH($A100,0)),"")</f>
        <v>4.53789473684211</v>
      </c>
      <c r="F100" s="14" t="n">
        <v>4.64</v>
      </c>
      <c r="G100" s="14" t="n">
        <v>4.79</v>
      </c>
      <c r="H100" s="14" t="n">
        <v>4.97</v>
      </c>
      <c r="I100" s="14" t="n">
        <v>4.93</v>
      </c>
      <c r="J100" s="14" t="n">
        <v>4.74</v>
      </c>
      <c r="K100" s="10" t="n">
        <f aca="false">IFERROR(INDEX(Rates_Daily!F$15:F$2892,MATCH(_xlfn.MAXIFS(Rates_Daily!$A$15:$A$2892,Rates_Daily!$A$15:$A$2892,"&lt;="&amp;EOMONTH($A100,0),Rates_Daily!F$15:F$2892,"&gt;=-1E+99"),Rates_Daily!$A$15:$A$2892,0)),"")</f>
        <v>2.5</v>
      </c>
      <c r="L100" s="10" t="n">
        <f aca="false">IFERROR(AVERAGEIFS(Rates_Daily!E$15:E$2892,Rates_Daily!$A$15:$A$2892,"&gt;="&amp;$A100,Rates_Daily!$A$15:$A$2892,"&lt;="&amp;EOMONTH($A100,0)),"")</f>
        <v>2.2745</v>
      </c>
      <c r="M100" s="14" t="n">
        <v>2.3688</v>
      </c>
      <c r="N100" s="14" t="n">
        <v>2.64035</v>
      </c>
      <c r="O100" s="14" t="n">
        <v>3.13535</v>
      </c>
      <c r="P100" s="14" t="n">
        <v>3.5336</v>
      </c>
      <c r="Q100" s="14" t="n">
        <v>2.64035</v>
      </c>
      <c r="R100" s="14" t="n">
        <v>3.975</v>
      </c>
      <c r="S100" s="14" t="n">
        <v>3.9021</v>
      </c>
      <c r="T100" s="10" t="n">
        <f aca="false">IFERROR(AVERAGEIFS(Rates_Daily!I$15:I$2892,Rates_Daily!$A$15:$A$2892,"&gt;="&amp;$A100,Rates_Daily!$A$15:$A$2892,"&lt;="&amp;EOMONTH($A100,0)),"")</f>
        <v>3.93954860157349</v>
      </c>
      <c r="U100" s="10" t="n">
        <f aca="false">IFERROR(AVERAGEIFS(Rates_Daily!J$15:J$2892,Rates_Daily!$A$15:$A$2892,"&gt;="&amp;$A100,Rates_Daily!$A$15:$A$2892,"&lt;="&amp;EOMONTH($A100,0)),"")</f>
        <v>4.07455740150507</v>
      </c>
      <c r="V100" s="10" t="n">
        <f aca="false">IFERROR(AVERAGEIFS(Rates_Daily!K$15:K$2892,Rates_Daily!$A$15:$A$2892,"&gt;="&amp;$A100,Rates_Daily!$A$15:$A$2892,"&lt;="&amp;EOMONTH($A100,0)),"")</f>
        <v>4.2259339673316</v>
      </c>
      <c r="W100" s="10" t="n">
        <f aca="false">IFERROR(AVERAGEIFS(Rates_Daily!L$15:L$2892,Rates_Daily!$A$15:$A$2892,"&gt;="&amp;$A100,Rates_Daily!$A$15:$A$2892,"&lt;="&amp;EOMONTH($A100,0)),"")</f>
        <v>4.30990845649444</v>
      </c>
      <c r="X100" s="14" t="n">
        <v>4.21</v>
      </c>
      <c r="Y100" s="14" t="n">
        <v>2.75</v>
      </c>
      <c r="Z100" s="14" t="n">
        <v>2.75</v>
      </c>
      <c r="AA100" s="14" t="n">
        <v>3.084</v>
      </c>
      <c r="AB100" s="14" t="n">
        <v>3.224</v>
      </c>
      <c r="AC100" s="14" t="n">
        <v>3.273</v>
      </c>
      <c r="AD100" s="14" t="n">
        <v>3.25</v>
      </c>
      <c r="AE100" s="14" t="n">
        <v>3.5</v>
      </c>
      <c r="AF100" s="14" t="n">
        <v>3.425</v>
      </c>
      <c r="AG100" s="14" t="n">
        <v>3.52</v>
      </c>
      <c r="AH100" s="14" t="n">
        <v>3.54</v>
      </c>
      <c r="AI100" s="14" t="n">
        <v>3.62</v>
      </c>
      <c r="AJ100" s="14" t="n">
        <v>3.67</v>
      </c>
      <c r="AK100" s="14" t="n">
        <v>3.464</v>
      </c>
      <c r="AL100" s="14" t="n">
        <v>3.539</v>
      </c>
      <c r="AM100" s="14" t="n">
        <v>3.528</v>
      </c>
      <c r="AN100" s="14" t="n">
        <v>3.52</v>
      </c>
      <c r="AO100" s="10" t="n">
        <f aca="false">IFERROR(AVERAGEIFS(Rates_Daily!M$15:M$2892,Rates_Daily!$A$15:$A$2892,"&gt;="&amp;$A100,Rates_Daily!$A$15:$A$2892,"&lt;="&amp;EOMONTH($A100,0)),"")</f>
        <v>2.2222</v>
      </c>
      <c r="AP100" s="10" t="n">
        <f aca="false">IFERROR(AVERAGEIFS(Rates_Daily!N$15:N$2892,Rates_Daily!$A$15:$A$2892,"&gt;="&amp;$A100,Rates_Daily!$A$15:$A$2892,"&lt;="&amp;EOMONTH($A100,0)),"")</f>
        <v>2.38345</v>
      </c>
      <c r="AQ100" s="10" t="n">
        <f aca="false">IFERROR(AVERAGEIFS(Rates_Daily!O$15:O$2892,Rates_Daily!$A$15:$A$2892,"&gt;="&amp;$A100,Rates_Daily!$A$15:$A$2892,"&lt;="&amp;EOMONTH($A100,0)),"")</f>
        <v>2.49595</v>
      </c>
      <c r="AR100" s="10" t="n">
        <f aca="false">IFERROR(AVERAGEIFS(Rates_Daily!P$15:P$2892,Rates_Daily!$A$15:$A$2892,"&gt;="&amp;$A100,Rates_Daily!$A$15:$A$2892,"&lt;="&amp;EOMONTH($A100,0)),"")</f>
        <v>2.63165</v>
      </c>
      <c r="AS100" s="14" t="n">
        <v>3.65</v>
      </c>
      <c r="AT100" s="14" t="n">
        <v>4.3</v>
      </c>
      <c r="AU100" s="14" t="n">
        <v>2.94</v>
      </c>
      <c r="AV100" s="14" t="n">
        <v>13.65</v>
      </c>
      <c r="AW100" s="14" t="n">
        <v>13.75</v>
      </c>
      <c r="AX100" s="14" t="n">
        <v>0.001</v>
      </c>
      <c r="AY100" s="14" t="n">
        <v>-0.019</v>
      </c>
      <c r="AZ100" s="16" t="str">
        <f aca="false">IF(EOMONTH($A100,0)&gt;MAX(Rates_Daily!$A$15:$A$2892),"partial month","complete")</f>
        <v>complete</v>
      </c>
    </row>
    <row r="101" customFormat="false" ht="15" hidden="false" customHeight="false" outlineLevel="0" collapsed="false">
      <c r="A101" s="17" t="n">
        <v>44986</v>
      </c>
      <c r="B101" s="14" t="n">
        <v>4.65</v>
      </c>
      <c r="C101" s="10" t="n">
        <f aca="false">IFERROR(INDEX(Rates_Daily!C$15:C$2892,MATCH(_xlfn.MAXIFS(Rates_Daily!$A$15:$A$2892,Rates_Daily!$A$15:$A$2892,"&lt;="&amp;EOMONTH($A101,0),Rates_Daily!C$15:C$2892,"&gt;=-1E+99"),Rates_Daily!$A$15:$A$2892,0)),"")</f>
        <v>5</v>
      </c>
      <c r="D101" s="10" t="n">
        <f aca="false">IFERROR(INDEX(Rates_Daily!D$15:D$2892,MATCH(_xlfn.MAXIFS(Rates_Daily!$A$15:$A$2892,Rates_Daily!$A$15:$A$2892,"&lt;="&amp;EOMONTH($A101,0),Rates_Daily!D$15:D$2892,"&gt;=-1E+99"),Rates_Daily!$A$15:$A$2892,0)),"")</f>
        <v>4.75</v>
      </c>
      <c r="E101" s="10" t="n">
        <f aca="false">IFERROR(AVERAGEIFS(Rates_Daily!B$15:B$2892,Rates_Daily!$A$15:$A$2892,"&gt;="&amp;$A101,Rates_Daily!$A$15:$A$2892,"&lt;="&amp;EOMONTH($A101,0)),"")</f>
        <v>4.63565217391304</v>
      </c>
      <c r="F101" s="14" t="n">
        <v>4.49</v>
      </c>
      <c r="G101" s="14" t="n">
        <v>4.86</v>
      </c>
      <c r="H101" s="14" t="n">
        <v>4.99</v>
      </c>
      <c r="I101" s="14" t="n">
        <v>4.68</v>
      </c>
      <c r="J101" s="14" t="n">
        <v>4.91</v>
      </c>
      <c r="K101" s="10" t="n">
        <f aca="false">IFERROR(INDEX(Rates_Daily!F$15:F$2892,MATCH(_xlfn.MAXIFS(Rates_Daily!$A$15:$A$2892,Rates_Daily!$A$15:$A$2892,"&lt;="&amp;EOMONTH($A101,0),Rates_Daily!F$15:F$2892,"&gt;=-1E+99"),Rates_Daily!$A$15:$A$2892,0)),"")</f>
        <v>3</v>
      </c>
      <c r="L101" s="10" t="n">
        <f aca="false">IFERROR(AVERAGEIFS(Rates_Daily!E$15:E$2892,Rates_Daily!$A$15:$A$2892,"&gt;="&amp;$A101,Rates_Daily!$A$15:$A$2892,"&lt;="&amp;EOMONTH($A101,0)),"")</f>
        <v>2.57213043478261</v>
      </c>
      <c r="M101" s="14" t="n">
        <v>2.709913</v>
      </c>
      <c r="N101" s="14" t="n">
        <v>2.9105652</v>
      </c>
      <c r="O101" s="14" t="n">
        <v>3.2674348</v>
      </c>
      <c r="P101" s="14" t="n">
        <v>3.6466087</v>
      </c>
      <c r="Q101" s="14" t="n">
        <v>2.91056521739131</v>
      </c>
      <c r="R101" s="14" t="n">
        <v>4.0761</v>
      </c>
      <c r="S101" s="14" t="n">
        <v>4.0031</v>
      </c>
      <c r="T101" s="10" t="n">
        <f aca="false">IFERROR(AVERAGEIFS(Rates_Daily!I$15:I$2892,Rates_Daily!$A$15:$A$2892,"&gt;="&amp;$A101,Rates_Daily!$A$15:$A$2892,"&lt;="&amp;EOMONTH($A101,0)),"")</f>
        <v>4.07203869956624</v>
      </c>
      <c r="U101" s="10" t="n">
        <f aca="false">IFERROR(AVERAGEIFS(Rates_Daily!J$15:J$2892,Rates_Daily!$A$15:$A$2892,"&gt;="&amp;$A101,Rates_Daily!$A$15:$A$2892,"&lt;="&amp;EOMONTH($A101,0)),"")</f>
        <v>4.18401918644935</v>
      </c>
      <c r="V101" s="10" t="n">
        <f aca="false">IFERROR(AVERAGEIFS(Rates_Daily!K$15:K$2892,Rates_Daily!$A$15:$A$2892,"&gt;="&amp;$A101,Rates_Daily!$A$15:$A$2892,"&lt;="&amp;EOMONTH($A101,0)),"")</f>
        <v>4.3113223449329</v>
      </c>
      <c r="W101" s="10" t="n">
        <f aca="false">IFERROR(AVERAGEIFS(Rates_Daily!L$15:L$2892,Rates_Daily!$A$15:$A$2892,"&gt;="&amp;$A101,Rates_Daily!$A$15:$A$2892,"&lt;="&amp;EOMONTH($A101,0)),"")</f>
        <v>4.38085961683336</v>
      </c>
      <c r="X101" s="14" t="n">
        <v>4.33</v>
      </c>
      <c r="Y101" s="14" t="n">
        <v>2.82</v>
      </c>
      <c r="Z101" s="14" t="n">
        <v>2.82</v>
      </c>
      <c r="AA101" s="14" t="n">
        <v>3.061</v>
      </c>
      <c r="AB101" s="14" t="n">
        <v>3.213</v>
      </c>
      <c r="AC101" s="14" t="n">
        <v>3.294</v>
      </c>
      <c r="AD101" s="14" t="n">
        <v>3.69</v>
      </c>
      <c r="AE101" s="14" t="n">
        <v>3.5</v>
      </c>
      <c r="AF101" s="14" t="n">
        <v>3.425</v>
      </c>
      <c r="AG101" s="14" t="n">
        <v>3.61</v>
      </c>
      <c r="AH101" s="14" t="n">
        <v>3.59</v>
      </c>
      <c r="AI101" s="14" t="n">
        <v>3.68</v>
      </c>
      <c r="AJ101" s="14" t="n">
        <v>3.74</v>
      </c>
      <c r="AK101" s="14" t="n">
        <v>3.434</v>
      </c>
      <c r="AL101" s="14" t="n">
        <v>3.482</v>
      </c>
      <c r="AM101" s="14" t="n">
        <v>3.452</v>
      </c>
      <c r="AN101" s="14" t="n">
        <v>3.61</v>
      </c>
      <c r="AO101" s="10" t="n">
        <f aca="false">IFERROR(AVERAGEIFS(Rates_Daily!M$15:M$2892,Rates_Daily!$A$15:$A$2892,"&gt;="&amp;$A101,Rates_Daily!$A$15:$A$2892,"&lt;="&amp;EOMONTH($A101,0)),"")</f>
        <v>2.3675652173913</v>
      </c>
      <c r="AP101" s="10" t="n">
        <f aca="false">IFERROR(AVERAGEIFS(Rates_Daily!N$15:N$2892,Rates_Daily!$A$15:$A$2892,"&gt;="&amp;$A101,Rates_Daily!$A$15:$A$2892,"&lt;="&amp;EOMONTH($A101,0)),"")</f>
        <v>2.47773913043478</v>
      </c>
      <c r="AQ101" s="10" t="n">
        <f aca="false">IFERROR(AVERAGEIFS(Rates_Daily!O$15:O$2892,Rates_Daily!$A$15:$A$2892,"&gt;="&amp;$A101,Rates_Daily!$A$15:$A$2892,"&lt;="&amp;EOMONTH($A101,0)),"")</f>
        <v>2.57182608695652</v>
      </c>
      <c r="AR101" s="10" t="n">
        <f aca="false">IFERROR(AVERAGEIFS(Rates_Daily!P$15:P$2892,Rates_Daily!$A$15:$A$2892,"&gt;="&amp;$A101,Rates_Daily!$A$15:$A$2892,"&lt;="&amp;EOMONTH($A101,0)),"")</f>
        <v>2.71378260869565</v>
      </c>
      <c r="AS101" s="14" t="n">
        <v>3.65</v>
      </c>
      <c r="AT101" s="14" t="n">
        <v>4.3</v>
      </c>
      <c r="AU101" s="14" t="n">
        <v>3.05</v>
      </c>
      <c r="AV101" s="14" t="n">
        <v>13.65</v>
      </c>
      <c r="AW101" s="14" t="n">
        <v>13.75</v>
      </c>
      <c r="AX101" s="14" t="n">
        <v>-0.008</v>
      </c>
      <c r="AY101" s="14" t="n">
        <v>-0.017</v>
      </c>
      <c r="AZ101" s="16" t="str">
        <f aca="false">IF(EOMONTH($A101,0)&gt;MAX(Rates_Daily!$A$15:$A$2892),"partial month","complete")</f>
        <v>complete</v>
      </c>
    </row>
    <row r="102" customFormat="false" ht="15" hidden="false" customHeight="false" outlineLevel="0" collapsed="false">
      <c r="A102" s="17" t="n">
        <v>45017</v>
      </c>
      <c r="B102" s="14" t="n">
        <v>4.83</v>
      </c>
      <c r="C102" s="10" t="n">
        <f aca="false">IFERROR(INDEX(Rates_Daily!C$15:C$2892,MATCH(_xlfn.MAXIFS(Rates_Daily!$A$15:$A$2892,Rates_Daily!$A$15:$A$2892,"&lt;="&amp;EOMONTH($A102,0),Rates_Daily!C$15:C$2892,"&gt;=-1E+99"),Rates_Daily!$A$15:$A$2892,0)),"")</f>
        <v>5</v>
      </c>
      <c r="D102" s="10" t="n">
        <f aca="false">IFERROR(INDEX(Rates_Daily!D$15:D$2892,MATCH(_xlfn.MAXIFS(Rates_Daily!$A$15:$A$2892,Rates_Daily!$A$15:$A$2892,"&lt;="&amp;EOMONTH($A102,0),Rates_Daily!D$15:D$2892,"&gt;=-1E+99"),Rates_Daily!$A$15:$A$2892,0)),"")</f>
        <v>4.75</v>
      </c>
      <c r="E102" s="10" t="n">
        <f aca="false">IFERROR(AVERAGEIFS(Rates_Daily!B$15:B$2892,Rates_Daily!$A$15:$A$2892,"&gt;="&amp;$A102,Rates_Daily!$A$15:$A$2892,"&lt;="&amp;EOMONTH($A102,0)),"")</f>
        <v>4.80631578947368</v>
      </c>
      <c r="F102" s="14" t="n">
        <v>4.17</v>
      </c>
      <c r="G102" s="14" t="n">
        <v>5.07</v>
      </c>
      <c r="H102" s="14" t="n">
        <v>4.99</v>
      </c>
      <c r="I102" s="14" t="n">
        <v>4.68</v>
      </c>
      <c r="J102" s="14" t="n">
        <v>5.03</v>
      </c>
      <c r="K102" s="10" t="n">
        <f aca="false">IFERROR(INDEX(Rates_Daily!F$15:F$2892,MATCH(_xlfn.MAXIFS(Rates_Daily!$A$15:$A$2892,Rates_Daily!$A$15:$A$2892,"&lt;="&amp;EOMONTH($A102,0),Rates_Daily!F$15:F$2892,"&gt;=-1E+99"),Rates_Daily!$A$15:$A$2892,0)),"")</f>
        <v>3</v>
      </c>
      <c r="L102" s="10" t="n">
        <f aca="false">IFERROR(AVERAGEIFS(Rates_Daily!E$15:E$2892,Rates_Daily!$A$15:$A$2892,"&gt;="&amp;$A102,Rates_Daily!$A$15:$A$2892,"&lt;="&amp;EOMONTH($A102,0)),"")</f>
        <v>2.89983333333333</v>
      </c>
      <c r="M102" s="14" t="n">
        <v>2.9608889</v>
      </c>
      <c r="N102" s="14" t="n">
        <v>3.1794444</v>
      </c>
      <c r="O102" s="14" t="n">
        <v>3.5156111</v>
      </c>
      <c r="P102" s="14" t="n">
        <v>3.7565556</v>
      </c>
      <c r="Q102" s="14" t="n">
        <v>3.167</v>
      </c>
      <c r="R102" s="14" t="n">
        <v>4.25</v>
      </c>
      <c r="S102" s="14" t="n">
        <v>4.1774</v>
      </c>
      <c r="T102" s="10" t="n">
        <f aca="false">IFERROR(AVERAGEIFS(Rates_Daily!I$15:I$2892,Rates_Daily!$A$15:$A$2892,"&gt;="&amp;$A102,Rates_Daily!$A$15:$A$2892,"&lt;="&amp;EOMONTH($A102,0)),"")</f>
        <v>4.22753896076508</v>
      </c>
      <c r="U102" s="10" t="n">
        <f aca="false">IFERROR(AVERAGEIFS(Rates_Daily!J$15:J$2892,Rates_Daily!$A$15:$A$2892,"&gt;="&amp;$A102,Rates_Daily!$A$15:$A$2892,"&lt;="&amp;EOMONTH($A102,0)),"")</f>
        <v>4.38334689245143</v>
      </c>
      <c r="V102" s="10" t="n">
        <f aca="false">IFERROR(AVERAGEIFS(Rates_Daily!K$15:K$2892,Rates_Daily!$A$15:$A$2892,"&gt;="&amp;$A102,Rates_Daily!$A$15:$A$2892,"&lt;="&amp;EOMONTH($A102,0)),"")</f>
        <v>4.53343135665391</v>
      </c>
      <c r="W102" s="10" t="n">
        <f aca="false">IFERROR(AVERAGEIFS(Rates_Daily!L$15:L$2892,Rates_Daily!$A$15:$A$2892,"&gt;="&amp;$A102,Rates_Daily!$A$15:$A$2892,"&lt;="&amp;EOMONTH($A102,0)),"")</f>
        <v>4.57703152661455</v>
      </c>
      <c r="X102" s="14" t="n">
        <v>4.52</v>
      </c>
      <c r="Y102" s="14" t="n">
        <v>3</v>
      </c>
      <c r="Z102" s="14" t="n">
        <v>3</v>
      </c>
      <c r="AA102" s="14" t="n">
        <v>3.14</v>
      </c>
      <c r="AB102" s="14" t="n">
        <v>3.338</v>
      </c>
      <c r="AC102" s="14" t="n">
        <v>3.461</v>
      </c>
      <c r="AD102" s="14" t="n">
        <v>3.74</v>
      </c>
      <c r="AE102" s="14" t="n">
        <v>3.5</v>
      </c>
      <c r="AF102" s="14" t="n">
        <v>3.467</v>
      </c>
      <c r="AG102" s="14" t="n">
        <v>3.5</v>
      </c>
      <c r="AH102" s="14" t="n">
        <v>3.46</v>
      </c>
      <c r="AI102" s="14" t="n">
        <v>3.5</v>
      </c>
      <c r="AJ102" s="14" t="n">
        <v>3.56</v>
      </c>
      <c r="AK102" s="14" t="n">
        <v>3.241</v>
      </c>
      <c r="AL102" s="14" t="n">
        <v>3.259</v>
      </c>
      <c r="AM102" s="14" t="n">
        <v>3.254</v>
      </c>
      <c r="AN102" s="14" t="n">
        <v>3.5</v>
      </c>
      <c r="AO102" s="10" t="n">
        <f aca="false">IFERROR(AVERAGEIFS(Rates_Daily!M$15:M$2892,Rates_Daily!$A$15:$A$2892,"&gt;="&amp;$A102,Rates_Daily!$A$15:$A$2892,"&lt;="&amp;EOMONTH($A102,0)),"")</f>
        <v>2.31595</v>
      </c>
      <c r="AP102" s="10" t="n">
        <f aca="false">IFERROR(AVERAGEIFS(Rates_Daily!N$15:N$2892,Rates_Daily!$A$15:$A$2892,"&gt;="&amp;$A102,Rates_Daily!$A$15:$A$2892,"&lt;="&amp;EOMONTH($A102,0)),"")</f>
        <v>2.42415</v>
      </c>
      <c r="AQ102" s="10" t="n">
        <f aca="false">IFERROR(AVERAGEIFS(Rates_Daily!O$15:O$2892,Rates_Daily!$A$15:$A$2892,"&gt;="&amp;$A102,Rates_Daily!$A$15:$A$2892,"&lt;="&amp;EOMONTH($A102,0)),"")</f>
        <v>2.50915</v>
      </c>
      <c r="AR102" s="10" t="n">
        <f aca="false">IFERROR(AVERAGEIFS(Rates_Daily!P$15:P$2892,Rates_Daily!$A$15:$A$2892,"&gt;="&amp;$A102,Rates_Daily!$A$15:$A$2892,"&lt;="&amp;EOMONTH($A102,0)),"")</f>
        <v>2.64985</v>
      </c>
      <c r="AS102" s="14" t="n">
        <v>3.65</v>
      </c>
      <c r="AT102" s="14" t="n">
        <v>4.3</v>
      </c>
      <c r="AU102" s="14" t="n">
        <v>2.89</v>
      </c>
      <c r="AV102" s="14" t="n">
        <v>13.65</v>
      </c>
      <c r="AW102" s="14" t="n">
        <v>13.75</v>
      </c>
      <c r="AX102" s="14" t="n">
        <v>-0.001</v>
      </c>
      <c r="AY102" s="14" t="n">
        <v>-0.015</v>
      </c>
      <c r="AZ102" s="16" t="str">
        <f aca="false">IF(EOMONTH($A102,0)&gt;MAX(Rates_Daily!$A$15:$A$2892),"partial month","complete")</f>
        <v>complete</v>
      </c>
    </row>
    <row r="103" customFormat="false" ht="15" hidden="false" customHeight="false" outlineLevel="0" collapsed="false">
      <c r="A103" s="17" t="n">
        <v>45047</v>
      </c>
      <c r="B103" s="14" t="n">
        <v>5.06</v>
      </c>
      <c r="C103" s="10" t="n">
        <f aca="false">IFERROR(INDEX(Rates_Daily!C$15:C$2892,MATCH(_xlfn.MAXIFS(Rates_Daily!$A$15:$A$2892,Rates_Daily!$A$15:$A$2892,"&lt;="&amp;EOMONTH($A103,0),Rates_Daily!C$15:C$2892,"&gt;=-1E+99"),Rates_Daily!$A$15:$A$2892,0)),"")</f>
        <v>5.25</v>
      </c>
      <c r="D103" s="10" t="n">
        <f aca="false">IFERROR(INDEX(Rates_Daily!D$15:D$2892,MATCH(_xlfn.MAXIFS(Rates_Daily!$A$15:$A$2892,Rates_Daily!$A$15:$A$2892,"&lt;="&amp;EOMONTH($A103,0),Rates_Daily!D$15:D$2892,"&gt;=-1E+99"),Rates_Daily!$A$15:$A$2892,0)),"")</f>
        <v>5</v>
      </c>
      <c r="E103" s="10" t="n">
        <f aca="false">IFERROR(AVERAGEIFS(Rates_Daily!B$15:B$2892,Rates_Daily!$A$15:$A$2892,"&gt;="&amp;$A103,Rates_Daily!$A$15:$A$2892,"&lt;="&amp;EOMONTH($A103,0)),"")</f>
        <v>5.02272727272727</v>
      </c>
      <c r="F103" s="14" t="n">
        <v>5.49</v>
      </c>
      <c r="G103" s="14" t="n">
        <v>5.31</v>
      </c>
      <c r="H103" s="14" t="n">
        <v>5.27</v>
      </c>
      <c r="I103" s="14" t="n">
        <v>4.91</v>
      </c>
      <c r="J103" s="14" t="n">
        <v>5.15</v>
      </c>
      <c r="K103" s="10" t="n">
        <f aca="false">IFERROR(INDEX(Rates_Daily!F$15:F$2892,MATCH(_xlfn.MAXIFS(Rates_Daily!$A$15:$A$2892,Rates_Daily!$A$15:$A$2892,"&lt;="&amp;EOMONTH($A103,0),Rates_Daily!F$15:F$2892,"&gt;=-1E+99"),Rates_Daily!$A$15:$A$2892,0)),"")</f>
        <v>3.25</v>
      </c>
      <c r="L103" s="10" t="n">
        <f aca="false">IFERROR(AVERAGEIFS(Rates_Daily!E$15:E$2892,Rates_Daily!$A$15:$A$2892,"&gt;="&amp;$A103,Rates_Daily!$A$15:$A$2892,"&lt;="&amp;EOMONTH($A103,0)),"")</f>
        <v>3.07963636363636</v>
      </c>
      <c r="M103" s="14" t="n">
        <v>3.1524091</v>
      </c>
      <c r="N103" s="14" t="n">
        <v>3.3717273</v>
      </c>
      <c r="O103" s="14" t="n">
        <v>3.6817727</v>
      </c>
      <c r="P103" s="14" t="n">
        <v>3.8622273</v>
      </c>
      <c r="Q103" s="14" t="n">
        <v>3.3664347826087</v>
      </c>
      <c r="R103" s="14" t="n">
        <v>4.425</v>
      </c>
      <c r="S103" s="14" t="n">
        <v>4.3528</v>
      </c>
      <c r="T103" s="10" t="n">
        <f aca="false">IFERROR(AVERAGEIFS(Rates_Daily!I$15:I$2892,Rates_Daily!$A$15:$A$2892,"&gt;="&amp;$A103,Rates_Daily!$A$15:$A$2892,"&lt;="&amp;EOMONTH($A103,0)),"")</f>
        <v>4.42268421599392</v>
      </c>
      <c r="U103" s="10" t="n">
        <f aca="false">IFERROR(AVERAGEIFS(Rates_Daily!J$15:J$2892,Rates_Daily!$A$15:$A$2892,"&gt;="&amp;$A103,Rates_Daily!$A$15:$A$2892,"&lt;="&amp;EOMONTH($A103,0)),"")</f>
        <v>4.58049807225261</v>
      </c>
      <c r="V103" s="10" t="n">
        <f aca="false">IFERROR(AVERAGEIFS(Rates_Daily!K$15:K$2892,Rates_Daily!$A$15:$A$2892,"&gt;="&amp;$A103,Rates_Daily!$A$15:$A$2892,"&lt;="&amp;EOMONTH($A103,0)),"")</f>
        <v>4.75038479194397</v>
      </c>
      <c r="W103" s="10" t="n">
        <f aca="false">IFERROR(AVERAGEIFS(Rates_Daily!L$15:L$2892,Rates_Daily!$A$15:$A$2892,"&gt;="&amp;$A103,Rates_Daily!$A$15:$A$2892,"&lt;="&amp;EOMONTH($A103,0)),"")</f>
        <v>4.83032328796841</v>
      </c>
      <c r="X103" s="14" t="n">
        <v>4.73</v>
      </c>
      <c r="Y103" s="14" t="n">
        <v>3.21</v>
      </c>
      <c r="Z103" s="14" t="n">
        <v>3.21</v>
      </c>
      <c r="AA103" s="14" t="n">
        <v>3.431</v>
      </c>
      <c r="AB103" s="14" t="n">
        <v>3.569</v>
      </c>
      <c r="AC103" s="14" t="n">
        <v>3.614</v>
      </c>
      <c r="AD103" s="14" t="n">
        <v>3.94</v>
      </c>
      <c r="AE103" s="14" t="n">
        <v>3.5</v>
      </c>
      <c r="AF103" s="14" t="n">
        <v>3.57</v>
      </c>
      <c r="AG103" s="14" t="n">
        <v>3.64</v>
      </c>
      <c r="AH103" s="14" t="n">
        <v>3.64</v>
      </c>
      <c r="AI103" s="14" t="n">
        <v>3.67</v>
      </c>
      <c r="AJ103" s="14" t="n">
        <v>3.7</v>
      </c>
      <c r="AK103" s="14" t="n">
        <v>3.378</v>
      </c>
      <c r="AL103" s="14" t="n">
        <v>3.404</v>
      </c>
      <c r="AM103" s="14" t="n">
        <v>3.416</v>
      </c>
      <c r="AN103" s="14" t="n">
        <v>3.64</v>
      </c>
      <c r="AO103" s="10" t="n">
        <f aca="false">IFERROR(AVERAGEIFS(Rates_Daily!M$15:M$2892,Rates_Daily!$A$15:$A$2892,"&gt;="&amp;$A103,Rates_Daily!$A$15:$A$2892,"&lt;="&amp;EOMONTH($A103,0)),"")</f>
        <v>2.17219047619048</v>
      </c>
      <c r="AP103" s="10" t="n">
        <f aca="false">IFERROR(AVERAGEIFS(Rates_Daily!N$15:N$2892,Rates_Daily!$A$15:$A$2892,"&gt;="&amp;$A103,Rates_Daily!$A$15:$A$2892,"&lt;="&amp;EOMONTH($A103,0)),"")</f>
        <v>2.30347619047619</v>
      </c>
      <c r="AQ103" s="10" t="n">
        <f aca="false">IFERROR(AVERAGEIFS(Rates_Daily!O$15:O$2892,Rates_Daily!$A$15:$A$2892,"&gt;="&amp;$A103,Rates_Daily!$A$15:$A$2892,"&lt;="&amp;EOMONTH($A103,0)),"")</f>
        <v>2.41047619047619</v>
      </c>
      <c r="AR103" s="10" t="n">
        <f aca="false">IFERROR(AVERAGEIFS(Rates_Daily!P$15:P$2892,Rates_Daily!$A$15:$A$2892,"&gt;="&amp;$A103,Rates_Daily!$A$15:$A$2892,"&lt;="&amp;EOMONTH($A103,0)),"")</f>
        <v>2.52219047619048</v>
      </c>
      <c r="AS103" s="14" t="n">
        <v>3.65</v>
      </c>
      <c r="AT103" s="14" t="n">
        <v>4.3</v>
      </c>
      <c r="AU103" s="14" t="n">
        <v>2.98</v>
      </c>
      <c r="AV103" s="14" t="n">
        <v>13.65</v>
      </c>
      <c r="AW103" s="14" t="n">
        <v>13.75</v>
      </c>
      <c r="AX103" s="14" t="n">
        <v>-0.019</v>
      </c>
      <c r="AY103" s="14" t="n">
        <v>-0.051</v>
      </c>
      <c r="AZ103" s="16" t="str">
        <f aca="false">IF(EOMONTH($A103,0)&gt;MAX(Rates_Daily!$A$15:$A$2892),"partial month","complete")</f>
        <v>complete</v>
      </c>
    </row>
    <row r="104" customFormat="false" ht="15" hidden="false" customHeight="false" outlineLevel="0" collapsed="false">
      <c r="A104" s="17" t="n">
        <v>45078</v>
      </c>
      <c r="B104" s="14" t="n">
        <v>5.08</v>
      </c>
      <c r="C104" s="10" t="n">
        <f aca="false">IFERROR(INDEX(Rates_Daily!C$15:C$2892,MATCH(_xlfn.MAXIFS(Rates_Daily!$A$15:$A$2892,Rates_Daily!$A$15:$A$2892,"&lt;="&amp;EOMONTH($A104,0),Rates_Daily!C$15:C$2892,"&gt;=-1E+99"),Rates_Daily!$A$15:$A$2892,0)),"")</f>
        <v>5.25</v>
      </c>
      <c r="D104" s="10" t="n">
        <f aca="false">IFERROR(INDEX(Rates_Daily!D$15:D$2892,MATCH(_xlfn.MAXIFS(Rates_Daily!$A$15:$A$2892,Rates_Daily!$A$15:$A$2892,"&lt;="&amp;EOMONTH($A104,0),Rates_Daily!D$15:D$2892,"&gt;=-1E+99"),Rates_Daily!$A$15:$A$2892,0)),"")</f>
        <v>5</v>
      </c>
      <c r="E104" s="10" t="n">
        <f aca="false">IFERROR(AVERAGEIFS(Rates_Daily!B$15:B$2892,Rates_Daily!$A$15:$A$2892,"&gt;="&amp;$A104,Rates_Daily!$A$15:$A$2892,"&lt;="&amp;EOMONTH($A104,0)),"")</f>
        <v>5.05619047619048</v>
      </c>
      <c r="F104" s="14" t="n">
        <v>5.2</v>
      </c>
      <c r="G104" s="14" t="n">
        <v>5.42</v>
      </c>
      <c r="H104" s="14" t="n">
        <v>5.42</v>
      </c>
      <c r="I104" s="14" t="n">
        <v>5.24</v>
      </c>
      <c r="J104" s="14" t="n">
        <v>5.22</v>
      </c>
      <c r="K104" s="10" t="n">
        <f aca="false">IFERROR(INDEX(Rates_Daily!F$15:F$2892,MATCH(_xlfn.MAXIFS(Rates_Daily!$A$15:$A$2892,Rates_Daily!$A$15:$A$2892,"&lt;="&amp;EOMONTH($A104,0),Rates_Daily!F$15:F$2892,"&gt;=-1E+99"),Rates_Daily!$A$15:$A$2892,0)),"")</f>
        <v>3.5</v>
      </c>
      <c r="L104" s="10" t="n">
        <f aca="false">IFERROR(AVERAGEIFS(Rates_Daily!E$15:E$2892,Rates_Daily!$A$15:$A$2892,"&gt;="&amp;$A104,Rates_Daily!$A$15:$A$2892,"&lt;="&amp;EOMONTH($A104,0)),"")</f>
        <v>3.23804545454545</v>
      </c>
      <c r="M104" s="14" t="n">
        <v>3.3425455</v>
      </c>
      <c r="N104" s="14" t="n">
        <v>3.5358636</v>
      </c>
      <c r="O104" s="14" t="n">
        <v>3.8252727</v>
      </c>
      <c r="P104" s="14" t="n">
        <v>4.0072727</v>
      </c>
      <c r="Q104" s="14" t="n">
        <v>3.53586363636364</v>
      </c>
      <c r="R104" s="14" t="n">
        <v>4.6591</v>
      </c>
      <c r="S104" s="14" t="n">
        <v>4.5872</v>
      </c>
      <c r="T104" s="10" t="n">
        <f aca="false">IFERROR(AVERAGEIFS(Rates_Daily!I$15:I$2892,Rates_Daily!$A$15:$A$2892,"&gt;="&amp;$A104,Rates_Daily!$A$15:$A$2892,"&lt;="&amp;EOMONTH($A104,0)),"")</f>
        <v>4.71831802313816</v>
      </c>
      <c r="U104" s="10" t="n">
        <f aca="false">IFERROR(AVERAGEIFS(Rates_Daily!J$15:J$2892,Rates_Daily!$A$15:$A$2892,"&gt;="&amp;$A104,Rates_Daily!$A$15:$A$2892,"&lt;="&amp;EOMONTH($A104,0)),"")</f>
        <v>4.94816550544328</v>
      </c>
      <c r="V104" s="10" t="n">
        <f aca="false">IFERROR(AVERAGEIFS(Rates_Daily!K$15:K$2892,Rates_Daily!$A$15:$A$2892,"&gt;="&amp;$A104,Rates_Daily!$A$15:$A$2892,"&lt;="&amp;EOMONTH($A104,0)),"")</f>
        <v>5.23398972022871</v>
      </c>
      <c r="W104" s="10" t="n">
        <f aca="false">IFERROR(AVERAGEIFS(Rates_Daily!L$15:L$2892,Rates_Daily!$A$15:$A$2892,"&gt;="&amp;$A104,Rates_Daily!$A$15:$A$2892,"&lt;="&amp;EOMONTH($A104,0)),"")</f>
        <v>5.49728039995703</v>
      </c>
      <c r="X104" s="14" t="n">
        <v>5.09</v>
      </c>
      <c r="Y104" s="14" t="n">
        <v>3.39</v>
      </c>
      <c r="Z104" s="14" t="n">
        <v>3.4</v>
      </c>
      <c r="AA104" s="14" t="n">
        <v>3.571</v>
      </c>
      <c r="AB104" s="14" t="n">
        <v>3.723</v>
      </c>
      <c r="AC104" s="14" t="n">
        <v>3.806</v>
      </c>
      <c r="AD104" s="14" t="n">
        <v>4.37</v>
      </c>
      <c r="AE104" s="14" t="n">
        <v>3.5</v>
      </c>
      <c r="AF104" s="14" t="n">
        <v>3.566</v>
      </c>
      <c r="AG104" s="14" t="n">
        <v>3.75</v>
      </c>
      <c r="AH104" s="14" t="n">
        <v>3.77</v>
      </c>
      <c r="AI104" s="14" t="n">
        <v>3.81</v>
      </c>
      <c r="AJ104" s="14" t="n">
        <v>3.86</v>
      </c>
      <c r="AK104" s="14" t="n">
        <v>3.518</v>
      </c>
      <c r="AL104" s="14" t="n">
        <v>3.541</v>
      </c>
      <c r="AM104" s="14" t="n">
        <v>3.511</v>
      </c>
      <c r="AN104" s="14" t="n">
        <v>3.75</v>
      </c>
      <c r="AO104" s="10" t="n">
        <f aca="false">IFERROR(AVERAGEIFS(Rates_Daily!M$15:M$2892,Rates_Daily!$A$15:$A$2892,"&gt;="&amp;$A104,Rates_Daily!$A$15:$A$2892,"&lt;="&amp;EOMONTH($A104,0)),"")</f>
        <v>2.05266666666667</v>
      </c>
      <c r="AP104" s="10" t="n">
        <f aca="false">IFERROR(AVERAGEIFS(Rates_Daily!N$15:N$2892,Rates_Daily!$A$15:$A$2892,"&gt;="&amp;$A104,Rates_Daily!$A$15:$A$2892,"&lt;="&amp;EOMONTH($A104,0)),"")</f>
        <v>2.15433333333333</v>
      </c>
      <c r="AQ104" s="10" t="n">
        <f aca="false">IFERROR(AVERAGEIFS(Rates_Daily!O$15:O$2892,Rates_Daily!$A$15:$A$2892,"&gt;="&amp;$A104,Rates_Daily!$A$15:$A$2892,"&lt;="&amp;EOMONTH($A104,0)),"")</f>
        <v>2.24933333333333</v>
      </c>
      <c r="AR104" s="10" t="n">
        <f aca="false">IFERROR(AVERAGEIFS(Rates_Daily!P$15:P$2892,Rates_Daily!$A$15:$A$2892,"&gt;="&amp;$A104,Rates_Daily!$A$15:$A$2892,"&lt;="&amp;EOMONTH($A104,0)),"")</f>
        <v>2.38595238095238</v>
      </c>
      <c r="AS104" s="14" t="n">
        <v>3.55</v>
      </c>
      <c r="AT104" s="14" t="n">
        <v>4.2</v>
      </c>
      <c r="AU104" s="14" t="n">
        <v>2.81</v>
      </c>
      <c r="AV104" s="14" t="n">
        <v>13.65</v>
      </c>
      <c r="AW104" s="14" t="n">
        <v>13.75</v>
      </c>
      <c r="AX104" s="14" t="n">
        <v>-0.003</v>
      </c>
      <c r="AY104" s="14" t="n">
        <v>-0.066</v>
      </c>
      <c r="AZ104" s="16" t="str">
        <f aca="false">IF(EOMONTH($A104,0)&gt;MAX(Rates_Daily!$A$15:$A$2892),"partial month","complete")</f>
        <v>complete</v>
      </c>
    </row>
    <row r="105" customFormat="false" ht="15" hidden="false" customHeight="false" outlineLevel="0" collapsed="false">
      <c r="A105" s="17" t="n">
        <v>45108</v>
      </c>
      <c r="B105" s="14" t="n">
        <v>5.12</v>
      </c>
      <c r="C105" s="10" t="n">
        <f aca="false">IFERROR(INDEX(Rates_Daily!C$15:C$2892,MATCH(_xlfn.MAXIFS(Rates_Daily!$A$15:$A$2892,Rates_Daily!$A$15:$A$2892,"&lt;="&amp;EOMONTH($A105,0),Rates_Daily!C$15:C$2892,"&gt;=-1E+99"),Rates_Daily!$A$15:$A$2892,0)),"")</f>
        <v>5.5</v>
      </c>
      <c r="D105" s="10" t="n">
        <f aca="false">IFERROR(INDEX(Rates_Daily!D$15:D$2892,MATCH(_xlfn.MAXIFS(Rates_Daily!$A$15:$A$2892,Rates_Daily!$A$15:$A$2892,"&lt;="&amp;EOMONTH($A105,0),Rates_Daily!D$15:D$2892,"&gt;=-1E+99"),Rates_Daily!$A$15:$A$2892,0)),"")</f>
        <v>5.25</v>
      </c>
      <c r="E105" s="10" t="n">
        <f aca="false">IFERROR(AVERAGEIFS(Rates_Daily!B$15:B$2892,Rates_Daily!$A$15:$A$2892,"&gt;="&amp;$A105,Rates_Daily!$A$15:$A$2892,"&lt;="&amp;EOMONTH($A105,0)),"")</f>
        <v>5.0945</v>
      </c>
      <c r="F105" s="14" t="n">
        <v>5.39</v>
      </c>
      <c r="G105" s="14" t="n">
        <v>5.49</v>
      </c>
      <c r="H105" s="14" t="n">
        <v>5.53</v>
      </c>
      <c r="I105" s="14" t="n">
        <v>5.37</v>
      </c>
      <c r="J105" s="14" t="n">
        <v>5.35</v>
      </c>
      <c r="K105" s="10" t="n">
        <f aca="false">IFERROR(INDEX(Rates_Daily!F$15:F$2892,MATCH(_xlfn.MAXIFS(Rates_Daily!$A$15:$A$2892,Rates_Daily!$A$15:$A$2892,"&lt;="&amp;EOMONTH($A105,0),Rates_Daily!F$15:F$2892,"&gt;=-1E+99"),Rates_Daily!$A$15:$A$2892,0)),"")</f>
        <v>3.5</v>
      </c>
      <c r="L105" s="10" t="n">
        <f aca="false">IFERROR(AVERAGEIFS(Rates_Daily!E$15:E$2892,Rates_Daily!$A$15:$A$2892,"&gt;="&amp;$A105,Rates_Daily!$A$15:$A$2892,"&lt;="&amp;EOMONTH($A105,0)),"")</f>
        <v>3.40219047619048</v>
      </c>
      <c r="M105" s="14" t="n">
        <v>3.469</v>
      </c>
      <c r="N105" s="14" t="n">
        <v>3.6718095</v>
      </c>
      <c r="O105" s="14" t="n">
        <v>3.9424762</v>
      </c>
      <c r="P105" s="14" t="n">
        <v>4.1490476</v>
      </c>
      <c r="Q105" s="14" t="n">
        <v>3.67180952380952</v>
      </c>
      <c r="R105" s="14" t="n">
        <v>5</v>
      </c>
      <c r="S105" s="14" t="n">
        <v>4.9302</v>
      </c>
      <c r="T105" s="10" t="n">
        <f aca="false">IFERROR(AVERAGEIFS(Rates_Daily!I$15:I$2892,Rates_Daily!$A$15:$A$2892,"&gt;="&amp;$A105,Rates_Daily!$A$15:$A$2892,"&lt;="&amp;EOMONTH($A105,0)),"")</f>
        <v>5.08193410606703</v>
      </c>
      <c r="U105" s="10" t="n">
        <f aca="false">IFERROR(AVERAGEIFS(Rates_Daily!J$15:J$2892,Rates_Daily!$A$15:$A$2892,"&gt;="&amp;$A105,Rates_Daily!$A$15:$A$2892,"&lt;="&amp;EOMONTH($A105,0)),"")</f>
        <v>5.33222484773855</v>
      </c>
      <c r="V105" s="10" t="n">
        <f aca="false">IFERROR(AVERAGEIFS(Rates_Daily!K$15:K$2892,Rates_Daily!$A$15:$A$2892,"&gt;="&amp;$A105,Rates_Daily!$A$15:$A$2892,"&lt;="&amp;EOMONTH($A105,0)),"")</f>
        <v>5.59876366650485</v>
      </c>
      <c r="W105" s="10" t="n">
        <f aca="false">IFERROR(AVERAGEIFS(Rates_Daily!L$15:L$2892,Rates_Daily!$A$15:$A$2892,"&gt;="&amp;$A105,Rates_Daily!$A$15:$A$2892,"&lt;="&amp;EOMONTH($A105,0)),"")</f>
        <v>5.83074730882596</v>
      </c>
      <c r="X105" s="14" t="n">
        <v>5.49</v>
      </c>
      <c r="Y105" s="14" t="n">
        <v>3.75</v>
      </c>
      <c r="Z105" s="14" t="n">
        <v>3.75</v>
      </c>
      <c r="AA105" s="14" t="n">
        <v>3.811</v>
      </c>
      <c r="AB105" s="14" t="n">
        <v>3.988</v>
      </c>
      <c r="AC105" s="14" t="n">
        <v>4.113</v>
      </c>
      <c r="AD105" s="14" t="n">
        <v>4.68</v>
      </c>
      <c r="AE105" s="14" t="n">
        <v>3.5</v>
      </c>
      <c r="AF105" s="14" t="n">
        <v>3.51</v>
      </c>
      <c r="AG105" s="14" t="n">
        <v>3.75</v>
      </c>
      <c r="AH105" s="14" t="n">
        <v>3.76</v>
      </c>
      <c r="AI105" s="14" t="n">
        <v>3.81</v>
      </c>
      <c r="AJ105" s="14" t="n">
        <v>3.87</v>
      </c>
      <c r="AK105" s="14" t="n">
        <v>3.586</v>
      </c>
      <c r="AL105" s="14" t="n">
        <v>3.602</v>
      </c>
      <c r="AM105" s="14" t="n">
        <v>3.57</v>
      </c>
      <c r="AN105" s="14" t="n">
        <v>3.75</v>
      </c>
      <c r="AO105" s="10" t="n">
        <f aca="false">IFERROR(AVERAGEIFS(Rates_Daily!M$15:M$2892,Rates_Daily!$A$15:$A$2892,"&gt;="&amp;$A105,Rates_Daily!$A$15:$A$2892,"&lt;="&amp;EOMONTH($A105,0)),"")</f>
        <v>2.07477619047619</v>
      </c>
      <c r="AP105" s="10" t="n">
        <f aca="false">IFERROR(AVERAGEIFS(Rates_Daily!N$15:N$2892,Rates_Daily!$A$15:$A$2892,"&gt;="&amp;$A105,Rates_Daily!$A$15:$A$2892,"&lt;="&amp;EOMONTH($A105,0)),"")</f>
        <v>2.11557142857143</v>
      </c>
      <c r="AQ105" s="10" t="n">
        <f aca="false">IFERROR(AVERAGEIFS(Rates_Daily!O$15:O$2892,Rates_Daily!$A$15:$A$2892,"&gt;="&amp;$A105,Rates_Daily!$A$15:$A$2892,"&lt;="&amp;EOMONTH($A105,0)),"")</f>
        <v>2.21147619047619</v>
      </c>
      <c r="AR105" s="10" t="n">
        <f aca="false">IFERROR(AVERAGEIFS(Rates_Daily!P$15:P$2892,Rates_Daily!$A$15:$A$2892,"&gt;="&amp;$A105,Rates_Daily!$A$15:$A$2892,"&lt;="&amp;EOMONTH($A105,0)),"")</f>
        <v>2.34819047619048</v>
      </c>
      <c r="AS105" s="14" t="n">
        <v>3.55</v>
      </c>
      <c r="AT105" s="14" t="n">
        <v>4.2</v>
      </c>
      <c r="AU105" s="14" t="n">
        <v>2.57</v>
      </c>
      <c r="AV105" s="14" t="n">
        <v>13.65</v>
      </c>
      <c r="AW105" s="14" t="n">
        <v>13.75</v>
      </c>
      <c r="AX105" s="14" t="n">
        <v>-0.003</v>
      </c>
      <c r="AY105" s="14" t="n">
        <v>-0.046</v>
      </c>
      <c r="AZ105" s="16" t="str">
        <f aca="false">IF(EOMONTH($A105,0)&gt;MAX(Rates_Daily!$A$15:$A$2892),"partial month","complete")</f>
        <v>complete</v>
      </c>
    </row>
    <row r="106" customFormat="false" ht="15" hidden="false" customHeight="false" outlineLevel="0" collapsed="false">
      <c r="A106" s="17" t="n">
        <v>45139</v>
      </c>
      <c r="B106" s="14" t="n">
        <v>5.33</v>
      </c>
      <c r="C106" s="10" t="n">
        <f aca="false">IFERROR(INDEX(Rates_Daily!C$15:C$2892,MATCH(_xlfn.MAXIFS(Rates_Daily!$A$15:$A$2892,Rates_Daily!$A$15:$A$2892,"&lt;="&amp;EOMONTH($A106,0),Rates_Daily!C$15:C$2892,"&gt;=-1E+99"),Rates_Daily!$A$15:$A$2892,0)),"")</f>
        <v>5.5</v>
      </c>
      <c r="D106" s="10" t="n">
        <f aca="false">IFERROR(INDEX(Rates_Daily!D$15:D$2892,MATCH(_xlfn.MAXIFS(Rates_Daily!$A$15:$A$2892,Rates_Daily!$A$15:$A$2892,"&lt;="&amp;EOMONTH($A106,0),Rates_Daily!D$15:D$2892,"&gt;=-1E+99"),Rates_Daily!$A$15:$A$2892,0)),"")</f>
        <v>5.25</v>
      </c>
      <c r="E106" s="10" t="n">
        <f aca="false">IFERROR(AVERAGEIFS(Rates_Daily!B$15:B$2892,Rates_Daily!$A$15:$A$2892,"&gt;="&amp;$A106,Rates_Daily!$A$15:$A$2892,"&lt;="&amp;EOMONTH($A106,0)),"")</f>
        <v>5.30086956521739</v>
      </c>
      <c r="F106" s="14" t="n">
        <v>5.54</v>
      </c>
      <c r="G106" s="14" t="n">
        <v>5.56</v>
      </c>
      <c r="H106" s="14" t="n">
        <v>5.54</v>
      </c>
      <c r="I106" s="14" t="n">
        <v>5.37</v>
      </c>
      <c r="J106" s="14" t="n">
        <v>5.44</v>
      </c>
      <c r="K106" s="10" t="n">
        <f aca="false">IFERROR(INDEX(Rates_Daily!F$15:F$2892,MATCH(_xlfn.MAXIFS(Rates_Daily!$A$15:$A$2892,Rates_Daily!$A$15:$A$2892,"&lt;="&amp;EOMONTH($A106,0),Rates_Daily!F$15:F$2892,"&gt;=-1E+99"),Rates_Daily!$A$15:$A$2892,0)),"")</f>
        <v>3.75</v>
      </c>
      <c r="L106" s="10" t="n">
        <f aca="false">IFERROR(AVERAGEIFS(Rates_Daily!E$15:E$2892,Rates_Daily!$A$15:$A$2892,"&gt;="&amp;$A106,Rates_Daily!$A$15:$A$2892,"&lt;="&amp;EOMONTH($A106,0)),"")</f>
        <v>3.64186956521739</v>
      </c>
      <c r="M106" s="14" t="n">
        <v>3.6270435</v>
      </c>
      <c r="N106" s="14" t="n">
        <v>3.7803043</v>
      </c>
      <c r="O106" s="14" t="n">
        <v>3.9444783</v>
      </c>
      <c r="P106" s="14" t="n">
        <v>4.0729565</v>
      </c>
      <c r="Q106" s="14" t="n">
        <v>3.78030434782609</v>
      </c>
      <c r="R106" s="14" t="n">
        <v>5.2273</v>
      </c>
      <c r="S106" s="14" t="n">
        <v>5.1609</v>
      </c>
      <c r="T106" s="10" t="n">
        <f aca="false">IFERROR(AVERAGEIFS(Rates_Daily!I$15:I$2892,Rates_Daily!$A$15:$A$2892,"&gt;="&amp;$A106,Rates_Daily!$A$15:$A$2892,"&lt;="&amp;EOMONTH($A106,0)),"")</f>
        <v>5.20710690997294</v>
      </c>
      <c r="U106" s="10" t="n">
        <f aca="false">IFERROR(AVERAGEIFS(Rates_Daily!J$15:J$2892,Rates_Daily!$A$15:$A$2892,"&gt;="&amp;$A106,Rates_Daily!$A$15:$A$2892,"&lt;="&amp;EOMONTH($A106,0)),"")</f>
        <v>5.36836065724777</v>
      </c>
      <c r="V106" s="10" t="n">
        <f aca="false">IFERROR(AVERAGEIFS(Rates_Daily!K$15:K$2892,Rates_Daily!$A$15:$A$2892,"&gt;="&amp;$A106,Rates_Daily!$A$15:$A$2892,"&lt;="&amp;EOMONTH($A106,0)),"")</f>
        <v>5.54165404603388</v>
      </c>
      <c r="W106" s="10" t="n">
        <f aca="false">IFERROR(AVERAGEIFS(Rates_Daily!L$15:L$2892,Rates_Daily!$A$15:$A$2892,"&gt;="&amp;$A106,Rates_Daily!$A$15:$A$2892,"&lt;="&amp;EOMONTH($A106,0)),"")</f>
        <v>5.66920646854311</v>
      </c>
      <c r="X106" s="14" t="n">
        <v>5.53</v>
      </c>
      <c r="Y106" s="14" t="n">
        <v>3.86</v>
      </c>
      <c r="Z106" s="14" t="n">
        <v>3.86</v>
      </c>
      <c r="AA106" s="14" t="n">
        <v>4.026</v>
      </c>
      <c r="AB106" s="14" t="n">
        <v>4.122</v>
      </c>
      <c r="AC106" s="14" t="n">
        <v>4.175</v>
      </c>
      <c r="AD106" s="14" t="n">
        <v>4.72</v>
      </c>
      <c r="AE106" s="14" t="n">
        <v>3.5</v>
      </c>
      <c r="AF106" s="14" t="n">
        <v>3.538</v>
      </c>
      <c r="AG106" s="14" t="n">
        <v>3.7</v>
      </c>
      <c r="AH106" s="14" t="n">
        <v>3.68</v>
      </c>
      <c r="AI106" s="14" t="n">
        <v>3.78</v>
      </c>
      <c r="AJ106" s="14" t="n">
        <v>3.86</v>
      </c>
      <c r="AK106" s="14" t="n">
        <v>3.567</v>
      </c>
      <c r="AL106" s="14" t="n">
        <v>3.594</v>
      </c>
      <c r="AM106" s="14" t="n">
        <v>3.496</v>
      </c>
      <c r="AN106" s="14" t="n">
        <v>3.7</v>
      </c>
      <c r="AO106" s="10" t="n">
        <f aca="false">IFERROR(AVERAGEIFS(Rates_Daily!M$15:M$2892,Rates_Daily!$A$15:$A$2892,"&gt;="&amp;$A106,Rates_Daily!$A$15:$A$2892,"&lt;="&amp;EOMONTH($A106,0)),"")</f>
        <v>1.91921739130435</v>
      </c>
      <c r="AP106" s="10" t="n">
        <f aca="false">IFERROR(AVERAGEIFS(Rates_Daily!N$15:N$2892,Rates_Daily!$A$15:$A$2892,"&gt;="&amp;$A106,Rates_Daily!$A$15:$A$2892,"&lt;="&amp;EOMONTH($A106,0)),"")</f>
        <v>2.05017391304348</v>
      </c>
      <c r="AQ106" s="10" t="n">
        <f aca="false">IFERROR(AVERAGEIFS(Rates_Daily!O$15:O$2892,Rates_Daily!$A$15:$A$2892,"&gt;="&amp;$A106,Rates_Daily!$A$15:$A$2892,"&lt;="&amp;EOMONTH($A106,0)),"")</f>
        <v>2.15265217391304</v>
      </c>
      <c r="AR106" s="10" t="n">
        <f aca="false">IFERROR(AVERAGEIFS(Rates_Daily!P$15:P$2892,Rates_Daily!$A$15:$A$2892,"&gt;="&amp;$A106,Rates_Daily!$A$15:$A$2892,"&lt;="&amp;EOMONTH($A106,0)),"")</f>
        <v>2.292</v>
      </c>
      <c r="AS106" s="14" t="n">
        <v>3.45</v>
      </c>
      <c r="AT106" s="14" t="n">
        <v>4.2</v>
      </c>
      <c r="AU106" s="14" t="n">
        <v>2.63</v>
      </c>
      <c r="AV106" s="14" t="n">
        <v>13.19</v>
      </c>
      <c r="AW106" s="14" t="n">
        <v>13.28</v>
      </c>
      <c r="AX106" s="14" t="n">
        <v>-0.003</v>
      </c>
      <c r="AY106" s="14" t="n">
        <v>-0.064</v>
      </c>
      <c r="AZ106" s="16" t="str">
        <f aca="false">IF(EOMONTH($A106,0)&gt;MAX(Rates_Daily!$A$15:$A$2892),"partial month","complete")</f>
        <v>complete</v>
      </c>
    </row>
    <row r="107" customFormat="false" ht="15" hidden="false" customHeight="false" outlineLevel="0" collapsed="false">
      <c r="A107" s="17" t="n">
        <v>45170</v>
      </c>
      <c r="B107" s="14" t="n">
        <v>5.33</v>
      </c>
      <c r="C107" s="10" t="n">
        <f aca="false">IFERROR(INDEX(Rates_Daily!C$15:C$2892,MATCH(_xlfn.MAXIFS(Rates_Daily!$A$15:$A$2892,Rates_Daily!$A$15:$A$2892,"&lt;="&amp;EOMONTH($A107,0),Rates_Daily!C$15:C$2892,"&gt;=-1E+99"),Rates_Daily!$A$15:$A$2892,0)),"")</f>
        <v>5.5</v>
      </c>
      <c r="D107" s="10" t="n">
        <f aca="false">IFERROR(INDEX(Rates_Daily!D$15:D$2892,MATCH(_xlfn.MAXIFS(Rates_Daily!$A$15:$A$2892,Rates_Daily!$A$15:$A$2892,"&lt;="&amp;EOMONTH($A107,0),Rates_Daily!D$15:D$2892,"&gt;=-1E+99"),Rates_Daily!$A$15:$A$2892,0)),"")</f>
        <v>5.25</v>
      </c>
      <c r="E107" s="10" t="n">
        <f aca="false">IFERROR(AVERAGEIFS(Rates_Daily!B$15:B$2892,Rates_Daily!$A$15:$A$2892,"&gt;="&amp;$A107,Rates_Daily!$A$15:$A$2892,"&lt;="&amp;EOMONTH($A107,0)),"")</f>
        <v>5.306</v>
      </c>
      <c r="F107" s="14" t="n">
        <v>5.53</v>
      </c>
      <c r="G107" s="14" t="n">
        <v>5.56</v>
      </c>
      <c r="H107" s="14" t="n">
        <v>5.51</v>
      </c>
      <c r="I107" s="14" t="n">
        <v>5.44</v>
      </c>
      <c r="J107" s="14" t="n">
        <v>5.49</v>
      </c>
      <c r="K107" s="10" t="n">
        <f aca="false">IFERROR(INDEX(Rates_Daily!F$15:F$2892,MATCH(_xlfn.MAXIFS(Rates_Daily!$A$15:$A$2892,Rates_Daily!$A$15:$A$2892,"&lt;="&amp;EOMONTH($A107,0),Rates_Daily!F$15:F$2892,"&gt;=-1E+99"),Rates_Daily!$A$15:$A$2892,0)),"")</f>
        <v>4</v>
      </c>
      <c r="L107" s="10" t="n">
        <f aca="false">IFERROR(AVERAGEIFS(Rates_Daily!E$15:E$2892,Rates_Daily!$A$15:$A$2892,"&gt;="&amp;$A107,Rates_Daily!$A$15:$A$2892,"&lt;="&amp;EOMONTH($A107,0)),"")</f>
        <v>3.74661904761905</v>
      </c>
      <c r="M107" s="14" t="n">
        <v>3.7577143</v>
      </c>
      <c r="N107" s="14" t="n">
        <v>3.8800476</v>
      </c>
      <c r="O107" s="14" t="n">
        <v>4.0303333</v>
      </c>
      <c r="P107" s="14" t="n">
        <v>4.1491905</v>
      </c>
      <c r="Q107" s="14" t="n">
        <v>3.88004761904762</v>
      </c>
      <c r="R107" s="14" t="n">
        <v>5.25</v>
      </c>
      <c r="S107" s="14" t="n">
        <v>5.1854</v>
      </c>
      <c r="T107" s="10" t="n">
        <f aca="false">IFERROR(AVERAGEIFS(Rates_Daily!I$15:I$2892,Rates_Daily!$A$15:$A$2892,"&gt;="&amp;$A107,Rates_Daily!$A$15:$A$2892,"&lt;="&amp;EOMONTH($A107,0)),"")</f>
        <v>5.27154683518335</v>
      </c>
      <c r="U107" s="10" t="n">
        <f aca="false">IFERROR(AVERAGEIFS(Rates_Daily!J$15:J$2892,Rates_Daily!$A$15:$A$2892,"&gt;="&amp;$A107,Rates_Daily!$A$15:$A$2892,"&lt;="&amp;EOMONTH($A107,0)),"")</f>
        <v>5.3551892985467</v>
      </c>
      <c r="V107" s="10" t="n">
        <f aca="false">IFERROR(AVERAGEIFS(Rates_Daily!K$15:K$2892,Rates_Daily!$A$15:$A$2892,"&gt;="&amp;$A107,Rates_Daily!$A$15:$A$2892,"&lt;="&amp;EOMONTH($A107,0)),"")</f>
        <v>5.42563696415665</v>
      </c>
      <c r="W107" s="10" t="n">
        <f aca="false">IFERROR(AVERAGEIFS(Rates_Daily!L$15:L$2892,Rates_Daily!$A$15:$A$2892,"&gt;="&amp;$A107,Rates_Daily!$A$15:$A$2892,"&lt;="&amp;EOMONTH($A107,0)),"")</f>
        <v>5.43818714273872</v>
      </c>
      <c r="X107" s="14" t="n">
        <v>5.52</v>
      </c>
      <c r="Y107" s="14" t="n">
        <v>4.07</v>
      </c>
      <c r="Z107" s="14" t="n">
        <v>4.07</v>
      </c>
      <c r="AA107" s="14" t="n">
        <v>4.085</v>
      </c>
      <c r="AB107" s="14" t="n">
        <v>4.157</v>
      </c>
      <c r="AC107" s="14" t="n">
        <v>4.227</v>
      </c>
      <c r="AD107" s="14" t="n">
        <v>4.72</v>
      </c>
      <c r="AE107" s="14" t="n">
        <v>3.5</v>
      </c>
      <c r="AF107" s="14" t="n">
        <v>3.596</v>
      </c>
      <c r="AG107" s="14" t="n">
        <v>3.76</v>
      </c>
      <c r="AH107" s="14" t="n">
        <v>3.76</v>
      </c>
      <c r="AI107" s="14" t="n">
        <v>3.89</v>
      </c>
      <c r="AJ107" s="14" t="n">
        <v>3.98</v>
      </c>
      <c r="AK107" s="14" t="n">
        <v>3.606</v>
      </c>
      <c r="AL107" s="14" t="n">
        <v>3.651</v>
      </c>
      <c r="AM107" s="14" t="n">
        <v>3.61</v>
      </c>
      <c r="AN107" s="14" t="n">
        <v>3.76</v>
      </c>
      <c r="AO107" s="10" t="n">
        <f aca="false">IFERROR(AVERAGEIFS(Rates_Daily!M$15:M$2892,Rates_Daily!$A$15:$A$2892,"&gt;="&amp;$A107,Rates_Daily!$A$15:$A$2892,"&lt;="&amp;EOMONTH($A107,0)),"")</f>
        <v>2.0751</v>
      </c>
      <c r="AP107" s="10" t="n">
        <f aca="false">IFERROR(AVERAGEIFS(Rates_Daily!N$15:N$2892,Rates_Daily!$A$15:$A$2892,"&gt;="&amp;$A107,Rates_Daily!$A$15:$A$2892,"&lt;="&amp;EOMONTH($A107,0)),"")</f>
        <v>2.1665</v>
      </c>
      <c r="AQ107" s="10" t="n">
        <f aca="false">IFERROR(AVERAGEIFS(Rates_Daily!O$15:O$2892,Rates_Daily!$A$15:$A$2892,"&gt;="&amp;$A107,Rates_Daily!$A$15:$A$2892,"&lt;="&amp;EOMONTH($A107,0)),"")</f>
        <v>2.2411</v>
      </c>
      <c r="AR107" s="10" t="n">
        <f aca="false">IFERROR(AVERAGEIFS(Rates_Daily!P$15:P$2892,Rates_Daily!$A$15:$A$2892,"&gt;="&amp;$A107,Rates_Daily!$A$15:$A$2892,"&lt;="&amp;EOMONTH($A107,0)),"")</f>
        <v>2.35905</v>
      </c>
      <c r="AS107" s="14" t="n">
        <v>3.45</v>
      </c>
      <c r="AT107" s="14" t="n">
        <v>4.2</v>
      </c>
      <c r="AU107" s="14" t="n">
        <v>2.64</v>
      </c>
      <c r="AV107" s="14" t="n">
        <v>12.97</v>
      </c>
      <c r="AW107" s="14" t="n">
        <v>13.08</v>
      </c>
      <c r="AX107" s="14" t="n">
        <v>0.024</v>
      </c>
      <c r="AY107" s="14" t="n">
        <v>-0.054</v>
      </c>
      <c r="AZ107" s="16" t="str">
        <f aca="false">IF(EOMONTH($A107,0)&gt;MAX(Rates_Daily!$A$15:$A$2892),"partial month","complete")</f>
        <v>complete</v>
      </c>
    </row>
    <row r="108" customFormat="false" ht="15" hidden="false" customHeight="false" outlineLevel="0" collapsed="false">
      <c r="A108" s="17" t="n">
        <v>45200</v>
      </c>
      <c r="B108" s="14" t="n">
        <v>5.33</v>
      </c>
      <c r="C108" s="10" t="n">
        <f aca="false">IFERROR(INDEX(Rates_Daily!C$15:C$2892,MATCH(_xlfn.MAXIFS(Rates_Daily!$A$15:$A$2892,Rates_Daily!$A$15:$A$2892,"&lt;="&amp;EOMONTH($A108,0),Rates_Daily!C$15:C$2892,"&gt;=-1E+99"),Rates_Daily!$A$15:$A$2892,0)),"")</f>
        <v>5.5</v>
      </c>
      <c r="D108" s="10" t="n">
        <f aca="false">IFERROR(INDEX(Rates_Daily!D$15:D$2892,MATCH(_xlfn.MAXIFS(Rates_Daily!$A$15:$A$2892,Rates_Daily!$A$15:$A$2892,"&lt;="&amp;EOMONTH($A108,0),Rates_Daily!D$15:D$2892,"&gt;=-1E+99"),Rates_Daily!$A$15:$A$2892,0)),"")</f>
        <v>5.25</v>
      </c>
      <c r="E108" s="10" t="n">
        <f aca="false">IFERROR(AVERAGEIFS(Rates_Daily!B$15:B$2892,Rates_Daily!$A$15:$A$2892,"&gt;="&amp;$A108,Rates_Daily!$A$15:$A$2892,"&lt;="&amp;EOMONTH($A108,0)),"")</f>
        <v>5.31142857142857</v>
      </c>
      <c r="F108" s="14" t="n">
        <v>5.57</v>
      </c>
      <c r="G108" s="14" t="n">
        <v>5.6</v>
      </c>
      <c r="H108" s="14" t="n">
        <v>5.57</v>
      </c>
      <c r="I108" s="14" t="n">
        <v>5.42</v>
      </c>
      <c r="J108" s="14" t="n">
        <v>5.46</v>
      </c>
      <c r="K108" s="10" t="n">
        <f aca="false">IFERROR(INDEX(Rates_Daily!F$15:F$2892,MATCH(_xlfn.MAXIFS(Rates_Daily!$A$15:$A$2892,Rates_Daily!$A$15:$A$2892,"&lt;="&amp;EOMONTH($A108,0),Rates_Daily!F$15:F$2892,"&gt;=-1E+99"),Rates_Daily!$A$15:$A$2892,0)),"")</f>
        <v>4</v>
      </c>
      <c r="L108" s="10" t="n">
        <f aca="false">IFERROR(AVERAGEIFS(Rates_Daily!E$15:E$2892,Rates_Daily!$A$15:$A$2892,"&gt;="&amp;$A108,Rates_Daily!$A$15:$A$2892,"&lt;="&amp;EOMONTH($A108,0)),"")</f>
        <v>3.90072727272727</v>
      </c>
      <c r="M108" s="14" t="n">
        <v>3.8609545</v>
      </c>
      <c r="N108" s="14" t="n">
        <v>3.9676364</v>
      </c>
      <c r="O108" s="14" t="n">
        <v>4.1148182</v>
      </c>
      <c r="P108" s="14" t="n">
        <v>4.16</v>
      </c>
      <c r="Q108" s="14" t="n">
        <v>3.96763636363636</v>
      </c>
      <c r="R108" s="14" t="n">
        <v>5.25</v>
      </c>
      <c r="S108" s="14" t="n">
        <v>5.1871</v>
      </c>
      <c r="T108" s="10" t="n">
        <f aca="false">IFERROR(AVERAGEIFS(Rates_Daily!I$15:I$2892,Rates_Daily!$A$15:$A$2892,"&gt;="&amp;$A108,Rates_Daily!$A$15:$A$2892,"&lt;="&amp;EOMONTH($A108,0)),"")</f>
        <v>5.20279013938143</v>
      </c>
      <c r="U108" s="10" t="n">
        <f aca="false">IFERROR(AVERAGEIFS(Rates_Daily!J$15:J$2892,Rates_Daily!$A$15:$A$2892,"&gt;="&amp;$A108,Rates_Daily!$A$15:$A$2892,"&lt;="&amp;EOMONTH($A108,0)),"")</f>
        <v>5.24438620162694</v>
      </c>
      <c r="V108" s="10" t="n">
        <f aca="false">IFERROR(AVERAGEIFS(Rates_Daily!K$15:K$2892,Rates_Daily!$A$15:$A$2892,"&gt;="&amp;$A108,Rates_Daily!$A$15:$A$2892,"&lt;="&amp;EOMONTH($A108,0)),"")</f>
        <v>5.27792723489793</v>
      </c>
      <c r="W108" s="10" t="n">
        <f aca="false">IFERROR(AVERAGEIFS(Rates_Daily!L$15:L$2892,Rates_Daily!$A$15:$A$2892,"&gt;="&amp;$A108,Rates_Daily!$A$15:$A$2892,"&lt;="&amp;EOMONTH($A108,0)),"")</f>
        <v>5.24780593236191</v>
      </c>
      <c r="X108" s="14" t="n">
        <v>5.4</v>
      </c>
      <c r="Y108" s="14" t="n">
        <v>4.25</v>
      </c>
      <c r="Z108" s="14" t="n">
        <v>4.25</v>
      </c>
      <c r="AA108" s="14" t="n">
        <v>4.086</v>
      </c>
      <c r="AB108" s="14" t="n">
        <v>4.156</v>
      </c>
      <c r="AC108" s="14" t="n">
        <v>4.245</v>
      </c>
      <c r="AD108" s="14" t="n">
        <v>4.72</v>
      </c>
      <c r="AE108" s="14" t="n">
        <v>3.5</v>
      </c>
      <c r="AF108" s="14" t="n">
        <v>3.517</v>
      </c>
      <c r="AG108" s="14" t="n">
        <v>3.82</v>
      </c>
      <c r="AH108" s="14" t="n">
        <v>3.89</v>
      </c>
      <c r="AI108" s="14" t="n">
        <v>4.04</v>
      </c>
      <c r="AJ108" s="14" t="n">
        <v>4.11</v>
      </c>
      <c r="AK108" s="14" t="n">
        <v>3.637</v>
      </c>
      <c r="AL108" s="14" t="n">
        <v>3.745</v>
      </c>
      <c r="AM108" s="14" t="n">
        <v>3.741</v>
      </c>
      <c r="AN108" s="14" t="n">
        <v>3.82</v>
      </c>
      <c r="AO108" s="10" t="n">
        <f aca="false">IFERROR(AVERAGEIFS(Rates_Daily!M$15:M$2892,Rates_Daily!$A$15:$A$2892,"&gt;="&amp;$A108,Rates_Daily!$A$15:$A$2892,"&lt;="&amp;EOMONTH($A108,0)),"")</f>
        <v>2.24589473684211</v>
      </c>
      <c r="AP108" s="10" t="n">
        <f aca="false">IFERROR(AVERAGEIFS(Rates_Daily!N$15:N$2892,Rates_Daily!$A$15:$A$2892,"&gt;="&amp;$A108,Rates_Daily!$A$15:$A$2892,"&lt;="&amp;EOMONTH($A108,0)),"")</f>
        <v>2.33878947368421</v>
      </c>
      <c r="AQ108" s="10" t="n">
        <f aca="false">IFERROR(AVERAGEIFS(Rates_Daily!O$15:O$2892,Rates_Daily!$A$15:$A$2892,"&gt;="&amp;$A108,Rates_Daily!$A$15:$A$2892,"&lt;="&amp;EOMONTH($A108,0)),"")</f>
        <v>2.40652631578947</v>
      </c>
      <c r="AR108" s="10" t="n">
        <f aca="false">IFERROR(AVERAGEIFS(Rates_Daily!P$15:P$2892,Rates_Daily!$A$15:$A$2892,"&gt;="&amp;$A108,Rates_Daily!$A$15:$A$2892,"&lt;="&amp;EOMONTH($A108,0)),"")</f>
        <v>2.48557894736842</v>
      </c>
      <c r="AS108" s="14" t="n">
        <v>3.45</v>
      </c>
      <c r="AT108" s="14" t="n">
        <v>4.2</v>
      </c>
      <c r="AU108" s="14" t="n">
        <v>2.73</v>
      </c>
      <c r="AV108" s="14" t="n">
        <v>12.65</v>
      </c>
      <c r="AW108" s="14" t="n">
        <v>12.75</v>
      </c>
      <c r="AX108" s="14" t="n">
        <v>-0.012</v>
      </c>
      <c r="AY108" s="14" t="n">
        <v>-0.02</v>
      </c>
      <c r="AZ108" s="16" t="str">
        <f aca="false">IF(EOMONTH($A108,0)&gt;MAX(Rates_Daily!$A$15:$A$2892),"partial month","complete")</f>
        <v>complete</v>
      </c>
    </row>
    <row r="109" customFormat="false" ht="15" hidden="false" customHeight="false" outlineLevel="0" collapsed="false">
      <c r="A109" s="17" t="n">
        <v>45231</v>
      </c>
      <c r="B109" s="14" t="n">
        <v>5.33</v>
      </c>
      <c r="C109" s="10" t="n">
        <f aca="false">IFERROR(INDEX(Rates_Daily!C$15:C$2892,MATCH(_xlfn.MAXIFS(Rates_Daily!$A$15:$A$2892,Rates_Daily!$A$15:$A$2892,"&lt;="&amp;EOMONTH($A109,0),Rates_Daily!C$15:C$2892,"&gt;=-1E+99"),Rates_Daily!$A$15:$A$2892,0)),"")</f>
        <v>5.5</v>
      </c>
      <c r="D109" s="10" t="n">
        <f aca="false">IFERROR(INDEX(Rates_Daily!D$15:D$2892,MATCH(_xlfn.MAXIFS(Rates_Daily!$A$15:$A$2892,Rates_Daily!$A$15:$A$2892,"&lt;="&amp;EOMONTH($A109,0),Rates_Daily!D$15:D$2892,"&gt;=-1E+99"),Rates_Daily!$A$15:$A$2892,0)),"")</f>
        <v>5.25</v>
      </c>
      <c r="E109" s="10" t="n">
        <f aca="false">IFERROR(AVERAGEIFS(Rates_Daily!B$15:B$2892,Rates_Daily!$A$15:$A$2892,"&gt;="&amp;$A109,Rates_Daily!$A$15:$A$2892,"&lt;="&amp;EOMONTH($A109,0)),"")</f>
        <v>5.31904761904762</v>
      </c>
      <c r="F109" s="14" t="n">
        <v>5.53</v>
      </c>
      <c r="G109" s="14" t="n">
        <v>5.52</v>
      </c>
      <c r="H109" s="14" t="n">
        <v>5.44</v>
      </c>
      <c r="I109" s="14" t="n">
        <v>5.28</v>
      </c>
      <c r="J109" s="14" t="n">
        <v>5.41</v>
      </c>
      <c r="K109" s="10" t="n">
        <f aca="false">IFERROR(INDEX(Rates_Daily!F$15:F$2892,MATCH(_xlfn.MAXIFS(Rates_Daily!$A$15:$A$2892,Rates_Daily!$A$15:$A$2892,"&lt;="&amp;EOMONTH($A109,0),Rates_Daily!F$15:F$2892,"&gt;=-1E+99"),Rates_Daily!$A$15:$A$2892,0)),"")</f>
        <v>4</v>
      </c>
      <c r="L109" s="10" t="n">
        <f aca="false">IFERROR(AVERAGEIFS(Rates_Daily!E$15:E$2892,Rates_Daily!$A$15:$A$2892,"&gt;="&amp;$A109,Rates_Daily!$A$15:$A$2892,"&lt;="&amp;EOMONTH($A109,0)),"")</f>
        <v>3.90172727272727</v>
      </c>
      <c r="M109" s="14" t="n">
        <v>3.8406818</v>
      </c>
      <c r="N109" s="14" t="n">
        <v>3.9716364</v>
      </c>
      <c r="O109" s="14" t="n">
        <v>4.0646818</v>
      </c>
      <c r="P109" s="14" t="n">
        <v>4.0220909</v>
      </c>
      <c r="Q109" s="14" t="n">
        <v>3.97163636363636</v>
      </c>
      <c r="R109" s="14" t="n">
        <v>5.25</v>
      </c>
      <c r="S109" s="14" t="n">
        <v>5.1875</v>
      </c>
      <c r="T109" s="10" t="n">
        <f aca="false">IFERROR(AVERAGEIFS(Rates_Daily!I$15:I$2892,Rates_Daily!$A$15:$A$2892,"&gt;="&amp;$A109,Rates_Daily!$A$15:$A$2892,"&lt;="&amp;EOMONTH($A109,0)),"")</f>
        <v>5.1889909292722</v>
      </c>
      <c r="U109" s="10" t="n">
        <f aca="false">IFERROR(AVERAGEIFS(Rates_Daily!J$15:J$2892,Rates_Daily!$A$15:$A$2892,"&gt;="&amp;$A109,Rates_Daily!$A$15:$A$2892,"&lt;="&amp;EOMONTH($A109,0)),"")</f>
        <v>5.20538341160017</v>
      </c>
      <c r="V109" s="10" t="n">
        <f aca="false">IFERROR(AVERAGEIFS(Rates_Daily!K$15:K$2892,Rates_Daily!$A$15:$A$2892,"&gt;="&amp;$A109,Rates_Daily!$A$15:$A$2892,"&lt;="&amp;EOMONTH($A109,0)),"")</f>
        <v>5.20158186198861</v>
      </c>
      <c r="W109" s="10" t="n">
        <f aca="false">IFERROR(AVERAGEIFS(Rates_Daily!L$15:L$2892,Rates_Daily!$A$15:$A$2892,"&gt;="&amp;$A109,Rates_Daily!$A$15:$A$2892,"&lt;="&amp;EOMONTH($A109,0)),"")</f>
        <v>5.07434526870899</v>
      </c>
      <c r="X109" s="14" t="n">
        <v>5.36</v>
      </c>
      <c r="Y109" s="14" t="n">
        <v>4.25</v>
      </c>
      <c r="Z109" s="14" t="n">
        <v>4.25</v>
      </c>
      <c r="AA109" s="14" t="n">
        <v>4.271</v>
      </c>
      <c r="AB109" s="14" t="n">
        <v>4.302</v>
      </c>
      <c r="AC109" s="14" t="n">
        <v>4.303</v>
      </c>
      <c r="AD109" s="14" t="n">
        <v>4.69</v>
      </c>
      <c r="AE109" s="14" t="n">
        <v>3.5</v>
      </c>
      <c r="AF109" s="14" t="n">
        <v>3.572</v>
      </c>
      <c r="AG109" s="14" t="n">
        <v>3.83</v>
      </c>
      <c r="AH109" s="14" t="n">
        <v>3.99</v>
      </c>
      <c r="AI109" s="14" t="n">
        <v>4.08</v>
      </c>
      <c r="AJ109" s="14" t="n">
        <v>4.1</v>
      </c>
      <c r="AK109" s="14" t="n">
        <v>3.608</v>
      </c>
      <c r="AL109" s="14" t="n">
        <v>3.687</v>
      </c>
      <c r="AM109" s="14" t="n">
        <v>3.722</v>
      </c>
      <c r="AN109" s="14" t="n">
        <v>3.83</v>
      </c>
      <c r="AO109" s="10" t="n">
        <f aca="false">IFERROR(AVERAGEIFS(Rates_Daily!M$15:M$2892,Rates_Daily!$A$15:$A$2892,"&gt;="&amp;$A109,Rates_Daily!$A$15:$A$2892,"&lt;="&amp;EOMONTH($A109,0)),"")</f>
        <v>2.24381818181818</v>
      </c>
      <c r="AP109" s="10" t="n">
        <f aca="false">IFERROR(AVERAGEIFS(Rates_Daily!N$15:N$2892,Rates_Daily!$A$15:$A$2892,"&gt;="&amp;$A109,Rates_Daily!$A$15:$A$2892,"&lt;="&amp;EOMONTH($A109,0)),"")</f>
        <v>2.45427727272727</v>
      </c>
      <c r="AQ109" s="10" t="n">
        <f aca="false">IFERROR(AVERAGEIFS(Rates_Daily!O$15:O$2892,Rates_Daily!$A$15:$A$2892,"&gt;="&amp;$A109,Rates_Daily!$A$15:$A$2892,"&lt;="&amp;EOMONTH($A109,0)),"")</f>
        <v>2.51163636363636</v>
      </c>
      <c r="AR109" s="10" t="n">
        <f aca="false">IFERROR(AVERAGEIFS(Rates_Daily!P$15:P$2892,Rates_Daily!$A$15:$A$2892,"&gt;="&amp;$A109,Rates_Daily!$A$15:$A$2892,"&lt;="&amp;EOMONTH($A109,0)),"")</f>
        <v>2.5566</v>
      </c>
      <c r="AS109" s="14" t="n">
        <v>3.45</v>
      </c>
      <c r="AT109" s="14" t="n">
        <v>4.2</v>
      </c>
      <c r="AU109" s="14" t="n">
        <v>2.88</v>
      </c>
      <c r="AV109" s="14" t="n">
        <v>12.17</v>
      </c>
      <c r="AW109" s="14" t="n">
        <v>12.27</v>
      </c>
      <c r="AX109" s="14" t="n">
        <v>0.024</v>
      </c>
      <c r="AY109" s="14" t="n">
        <v>-0.015</v>
      </c>
      <c r="AZ109" s="16" t="str">
        <f aca="false">IF(EOMONTH($A109,0)&gt;MAX(Rates_Daily!$A$15:$A$2892),"partial month","complete")</f>
        <v>complete</v>
      </c>
    </row>
    <row r="110" customFormat="false" ht="15" hidden="false" customHeight="false" outlineLevel="0" collapsed="false">
      <c r="A110" s="17" t="n">
        <v>45261</v>
      </c>
      <c r="B110" s="14" t="n">
        <v>5.33</v>
      </c>
      <c r="C110" s="10" t="n">
        <f aca="false">IFERROR(INDEX(Rates_Daily!C$15:C$2892,MATCH(_xlfn.MAXIFS(Rates_Daily!$A$15:$A$2892,Rates_Daily!$A$15:$A$2892,"&lt;="&amp;EOMONTH($A110,0),Rates_Daily!C$15:C$2892,"&gt;=-1E+99"),Rates_Daily!$A$15:$A$2892,0)),"")</f>
        <v>5.5</v>
      </c>
      <c r="D110" s="10" t="n">
        <f aca="false">IFERROR(INDEX(Rates_Daily!D$15:D$2892,MATCH(_xlfn.MAXIFS(Rates_Daily!$A$15:$A$2892,Rates_Daily!$A$15:$A$2892,"&lt;="&amp;EOMONTH($A110,0),Rates_Daily!D$15:D$2892,"&gt;=-1E+99"),Rates_Daily!$A$15:$A$2892,0)),"")</f>
        <v>5.25</v>
      </c>
      <c r="E110" s="10" t="n">
        <f aca="false">IFERROR(AVERAGEIFS(Rates_Daily!B$15:B$2892,Rates_Daily!$A$15:$A$2892,"&gt;="&amp;$A110,Rates_Daily!$A$15:$A$2892,"&lt;="&amp;EOMONTH($A110,0)),"")</f>
        <v>5.3355</v>
      </c>
      <c r="F110" s="14" t="n">
        <v>5.54</v>
      </c>
      <c r="G110" s="14" t="n">
        <v>5.44</v>
      </c>
      <c r="H110" s="14" t="n">
        <v>5.34</v>
      </c>
      <c r="I110" s="14" t="n">
        <v>4.96</v>
      </c>
      <c r="J110" s="14" t="n">
        <v>5.32</v>
      </c>
      <c r="K110" s="10" t="n">
        <f aca="false">IFERROR(INDEX(Rates_Daily!F$15:F$2892,MATCH(_xlfn.MAXIFS(Rates_Daily!$A$15:$A$2892,Rates_Daily!$A$15:$A$2892,"&lt;="&amp;EOMONTH($A110,0),Rates_Daily!F$15:F$2892,"&gt;=-1E+99"),Rates_Daily!$A$15:$A$2892,0)),"")</f>
        <v>4</v>
      </c>
      <c r="L110" s="10" t="n">
        <f aca="false">IFERROR(AVERAGEIFS(Rates_Daily!E$15:E$2892,Rates_Daily!$A$15:$A$2892,"&gt;="&amp;$A110,Rates_Daily!$A$15:$A$2892,"&lt;="&amp;EOMONTH($A110,0)),"")</f>
        <v>3.90152631578947</v>
      </c>
      <c r="M110" s="14" t="n">
        <v>3.8576316</v>
      </c>
      <c r="N110" s="14" t="n">
        <v>3.9348947</v>
      </c>
      <c r="O110" s="14" t="n">
        <v>3.9269474</v>
      </c>
      <c r="P110" s="14" t="n">
        <v>3.6791053</v>
      </c>
      <c r="Q110" s="14" t="n">
        <v>3.93309523809524</v>
      </c>
      <c r="R110" s="14" t="n">
        <v>5.25</v>
      </c>
      <c r="S110" s="14" t="n">
        <v>5.187</v>
      </c>
      <c r="T110" s="10" t="n">
        <f aca="false">IFERROR(AVERAGEIFS(Rates_Daily!I$15:I$2892,Rates_Daily!$A$15:$A$2892,"&gt;="&amp;$A110,Rates_Daily!$A$15:$A$2892,"&lt;="&amp;EOMONTH($A110,0)),"")</f>
        <v>5.18888599660778</v>
      </c>
      <c r="U110" s="10" t="n">
        <f aca="false">IFERROR(AVERAGEIFS(Rates_Daily!J$15:J$2892,Rates_Daily!$A$15:$A$2892,"&gt;="&amp;$A110,Rates_Daily!$A$15:$A$2892,"&lt;="&amp;EOMONTH($A110,0)),"")</f>
        <v>5.1871730789769</v>
      </c>
      <c r="V110" s="10" t="n">
        <f aca="false">IFERROR(AVERAGEIFS(Rates_Daily!K$15:K$2892,Rates_Daily!$A$15:$A$2892,"&gt;="&amp;$A110,Rates_Daily!$A$15:$A$2892,"&lt;="&amp;EOMONTH($A110,0)),"")</f>
        <v>5.12290439832329</v>
      </c>
      <c r="W110" s="10" t="n">
        <f aca="false">IFERROR(AVERAGEIFS(Rates_Daily!L$15:L$2892,Rates_Daily!$A$15:$A$2892,"&gt;="&amp;$A110,Rates_Daily!$A$15:$A$2892,"&lt;="&amp;EOMONTH($A110,0)),"")</f>
        <v>4.83671177992539</v>
      </c>
      <c r="X110" s="14" t="n">
        <v>5.22</v>
      </c>
      <c r="Y110" s="14" t="n">
        <v>4.37</v>
      </c>
      <c r="Z110" s="14" t="n">
        <v>4.37</v>
      </c>
      <c r="AA110" s="14" t="n">
        <v>4.416</v>
      </c>
      <c r="AB110" s="14" t="n">
        <v>4.394</v>
      </c>
      <c r="AC110" s="14" t="n">
        <v>4.264</v>
      </c>
      <c r="AD110" s="14" t="n">
        <v>4.73</v>
      </c>
      <c r="AE110" s="14" t="n">
        <v>3.5</v>
      </c>
      <c r="AF110" s="14" t="n">
        <v>3.639</v>
      </c>
      <c r="AG110" s="14" t="n">
        <v>3.83</v>
      </c>
      <c r="AH110" s="14" t="n">
        <v>3.92</v>
      </c>
      <c r="AI110" s="14" t="n">
        <v>3.92</v>
      </c>
      <c r="AJ110" s="14" t="n">
        <v>3.85</v>
      </c>
      <c r="AK110" s="14" t="n">
        <v>3.523</v>
      </c>
      <c r="AL110" s="14" t="n">
        <v>3.499</v>
      </c>
      <c r="AM110" s="14" t="n">
        <v>3.516</v>
      </c>
      <c r="AN110" s="14" t="n">
        <v>3.83</v>
      </c>
      <c r="AO110" s="10" t="n">
        <f aca="false">IFERROR(AVERAGEIFS(Rates_Daily!M$15:M$2892,Rates_Daily!$A$15:$A$2892,"&gt;="&amp;$A110,Rates_Daily!$A$15:$A$2892,"&lt;="&amp;EOMONTH($A110,0)),"")</f>
        <v>2.43338095238095</v>
      </c>
      <c r="AP110" s="10" t="n">
        <f aca="false">IFERROR(AVERAGEIFS(Rates_Daily!N$15:N$2892,Rates_Daily!$A$15:$A$2892,"&gt;="&amp;$A110,Rates_Daily!$A$15:$A$2892,"&lt;="&amp;EOMONTH($A110,0)),"")</f>
        <v>2.57371428571429</v>
      </c>
      <c r="AQ110" s="10" t="n">
        <f aca="false">IFERROR(AVERAGEIFS(Rates_Daily!O$15:O$2892,Rates_Daily!$A$15:$A$2892,"&gt;="&amp;$A110,Rates_Daily!$A$15:$A$2892,"&lt;="&amp;EOMONTH($A110,0)),"")</f>
        <v>2.60085714285714</v>
      </c>
      <c r="AR110" s="10" t="n">
        <f aca="false">IFERROR(AVERAGEIFS(Rates_Daily!P$15:P$2892,Rates_Daily!$A$15:$A$2892,"&gt;="&amp;$A110,Rates_Daily!$A$15:$A$2892,"&lt;="&amp;EOMONTH($A110,0)),"")</f>
        <v>2.6242380952381</v>
      </c>
      <c r="AS110" s="14" t="n">
        <v>3.45</v>
      </c>
      <c r="AT110" s="14" t="n">
        <v>4.2</v>
      </c>
      <c r="AU110" s="14" t="n">
        <v>3.02</v>
      </c>
      <c r="AV110" s="14" t="n">
        <v>11.87</v>
      </c>
      <c r="AW110" s="14" t="n">
        <v>11.96</v>
      </c>
      <c r="AX110" s="14" t="n">
        <v>0.052</v>
      </c>
      <c r="AY110" s="14" t="n">
        <v>-0.012</v>
      </c>
      <c r="AZ110" s="16" t="str">
        <f aca="false">IF(EOMONTH($A110,0)&gt;MAX(Rates_Daily!$A$15:$A$2892),"partial month","complete")</f>
        <v>complete</v>
      </c>
    </row>
    <row r="111" customFormat="false" ht="15" hidden="false" customHeight="false" outlineLevel="0" collapsed="false">
      <c r="A111" s="17" t="n">
        <v>45292</v>
      </c>
      <c r="B111" s="14" t="n">
        <v>5.33</v>
      </c>
      <c r="C111" s="10" t="n">
        <f aca="false">IFERROR(INDEX(Rates_Daily!C$15:C$2892,MATCH(_xlfn.MAXIFS(Rates_Daily!$A$15:$A$2892,Rates_Daily!$A$15:$A$2892,"&lt;="&amp;EOMONTH($A111,0),Rates_Daily!C$15:C$2892,"&gt;=-1E+99"),Rates_Daily!$A$15:$A$2892,0)),"")</f>
        <v>5.5</v>
      </c>
      <c r="D111" s="10" t="n">
        <f aca="false">IFERROR(INDEX(Rates_Daily!D$15:D$2892,MATCH(_xlfn.MAXIFS(Rates_Daily!$A$15:$A$2892,Rates_Daily!$A$15:$A$2892,"&lt;="&amp;EOMONTH($A111,0),Rates_Daily!D$15:D$2892,"&gt;=-1E+99"),Rates_Daily!$A$15:$A$2892,0)),"")</f>
        <v>5.25</v>
      </c>
      <c r="E111" s="10" t="n">
        <f aca="false">IFERROR(AVERAGEIFS(Rates_Daily!B$15:B$2892,Rates_Daily!$A$15:$A$2892,"&gt;="&amp;$A111,Rates_Daily!$A$15:$A$2892,"&lt;="&amp;EOMONTH($A111,0)),"")</f>
        <v>5.32095238095238</v>
      </c>
      <c r="F111" s="14" t="n">
        <v>5.54</v>
      </c>
      <c r="G111" s="14" t="n">
        <v>5.45</v>
      </c>
      <c r="H111" s="14" t="n">
        <v>5.21</v>
      </c>
      <c r="I111" s="14" t="n">
        <v>4.79</v>
      </c>
      <c r="J111" s="14" t="n">
        <v>5.26</v>
      </c>
      <c r="K111" s="10" t="n">
        <f aca="false">IFERROR(INDEX(Rates_Daily!F$15:F$2892,MATCH(_xlfn.MAXIFS(Rates_Daily!$A$15:$A$2892,Rates_Daily!$A$15:$A$2892,"&lt;="&amp;EOMONTH($A111,0),Rates_Daily!F$15:F$2892,"&gt;=-1E+99"),Rates_Daily!$A$15:$A$2892,0)),"")</f>
        <v>4</v>
      </c>
      <c r="L111" s="10" t="n">
        <f aca="false">IFERROR(AVERAGEIFS(Rates_Daily!E$15:E$2892,Rates_Daily!$A$15:$A$2892,"&gt;="&amp;$A111,Rates_Daily!$A$15:$A$2892,"&lt;="&amp;EOMONTH($A111,0)),"")</f>
        <v>3.904</v>
      </c>
      <c r="M111" s="14" t="n">
        <v>3.869</v>
      </c>
      <c r="N111" s="14" t="n">
        <v>3.9252727</v>
      </c>
      <c r="O111" s="14" t="n">
        <v>3.8916818</v>
      </c>
      <c r="P111" s="14" t="n">
        <v>3.6092273</v>
      </c>
      <c r="Q111" s="14" t="n">
        <v>3.92527272727273</v>
      </c>
      <c r="R111" s="14" t="n">
        <v>5.25</v>
      </c>
      <c r="S111" s="14" t="n">
        <v>5.1875</v>
      </c>
      <c r="T111" s="10" t="n">
        <f aca="false">IFERROR(AVERAGEIFS(Rates_Daily!I$15:I$2892,Rates_Daily!$A$15:$A$2892,"&gt;="&amp;$A111,Rates_Daily!$A$15:$A$2892,"&lt;="&amp;EOMONTH($A111,0)),"")</f>
        <v>5.18723750884397</v>
      </c>
      <c r="U111" s="10" t="n">
        <f aca="false">IFERROR(AVERAGEIFS(Rates_Daily!J$15:J$2892,Rates_Daily!$A$15:$A$2892,"&gt;="&amp;$A111,Rates_Daily!$A$15:$A$2892,"&lt;="&amp;EOMONTH($A111,0)),"")</f>
        <v>5.17281350076223</v>
      </c>
      <c r="V111" s="10" t="n">
        <f aca="false">IFERROR(AVERAGEIFS(Rates_Daily!K$15:K$2892,Rates_Daily!$A$15:$A$2892,"&gt;="&amp;$A111,Rates_Daily!$A$15:$A$2892,"&lt;="&amp;EOMONTH($A111,0)),"")</f>
        <v>5.07672582187024</v>
      </c>
      <c r="W111" s="10" t="n">
        <f aca="false">IFERROR(AVERAGEIFS(Rates_Daily!L$15:L$2892,Rates_Daily!$A$15:$A$2892,"&gt;="&amp;$A111,Rates_Daily!$A$15:$A$2892,"&lt;="&amp;EOMONTH($A111,0)),"")</f>
        <v>4.73320859433096</v>
      </c>
      <c r="X111" s="14" t="n">
        <v>5.2</v>
      </c>
      <c r="Y111" s="14" t="n">
        <v>4.5</v>
      </c>
      <c r="Z111" s="14" t="n">
        <v>4.5</v>
      </c>
      <c r="AA111" s="14" t="n">
        <v>4.546</v>
      </c>
      <c r="AB111" s="14" t="n">
        <v>4.531</v>
      </c>
      <c r="AC111" s="14" t="n">
        <v>4.329</v>
      </c>
      <c r="AD111" s="14" t="n">
        <v>4.71</v>
      </c>
      <c r="AE111" s="14" t="n">
        <v>3.5</v>
      </c>
      <c r="AF111" s="14" t="n">
        <v>3.47</v>
      </c>
      <c r="AG111" s="14" t="n">
        <v>3.74</v>
      </c>
      <c r="AH111" s="14" t="n">
        <v>3.71</v>
      </c>
      <c r="AI111" s="14" t="n">
        <v>3.7</v>
      </c>
      <c r="AJ111" s="14" t="n">
        <v>3.62</v>
      </c>
      <c r="AK111" s="14" t="n">
        <v>3.416</v>
      </c>
      <c r="AL111" s="14" t="n">
        <v>3.327</v>
      </c>
      <c r="AM111" s="14" t="n">
        <v>3.384</v>
      </c>
      <c r="AN111" s="14" t="n">
        <v>3.74</v>
      </c>
      <c r="AO111" s="10" t="n">
        <f aca="false">IFERROR(AVERAGEIFS(Rates_Daily!M$15:M$2892,Rates_Daily!$A$15:$A$2892,"&gt;="&amp;$A111,Rates_Daily!$A$15:$A$2892,"&lt;="&amp;EOMONTH($A111,0)),"")</f>
        <v>2.30863636363636</v>
      </c>
      <c r="AP111" s="10" t="n">
        <f aca="false">IFERROR(AVERAGEIFS(Rates_Daily!N$15:N$2892,Rates_Daily!$A$15:$A$2892,"&gt;="&amp;$A111,Rates_Daily!$A$15:$A$2892,"&lt;="&amp;EOMONTH($A111,0)),"")</f>
        <v>2.40227272727273</v>
      </c>
      <c r="AQ111" s="10" t="n">
        <f aca="false">IFERROR(AVERAGEIFS(Rates_Daily!O$15:O$2892,Rates_Daily!$A$15:$A$2892,"&gt;="&amp;$A111,Rates_Daily!$A$15:$A$2892,"&lt;="&amp;EOMONTH($A111,0)),"")</f>
        <v>2.43736363636364</v>
      </c>
      <c r="AR111" s="10" t="n">
        <f aca="false">IFERROR(AVERAGEIFS(Rates_Daily!P$15:P$2892,Rates_Daily!$A$15:$A$2892,"&gt;="&amp;$A111,Rates_Daily!$A$15:$A$2892,"&lt;="&amp;EOMONTH($A111,0)),"")</f>
        <v>2.47645454545455</v>
      </c>
      <c r="AS111" s="14" t="n">
        <v>3.45</v>
      </c>
      <c r="AT111" s="14" t="n">
        <v>4.2</v>
      </c>
      <c r="AU111" s="14" t="n">
        <v>2.79</v>
      </c>
      <c r="AV111" s="14" t="n">
        <v>11.65</v>
      </c>
      <c r="AW111" s="14" t="n">
        <v>11.75</v>
      </c>
      <c r="AX111" s="14" t="n">
        <v>0.025</v>
      </c>
      <c r="AY111" s="14" t="n">
        <v>-0.014</v>
      </c>
      <c r="AZ111" s="16" t="str">
        <f aca="false">IF(EOMONTH($A111,0)&gt;MAX(Rates_Daily!$A$15:$A$2892),"partial month","complete")</f>
        <v>complete</v>
      </c>
    </row>
    <row r="112" customFormat="false" ht="15" hidden="false" customHeight="false" outlineLevel="0" collapsed="false">
      <c r="A112" s="17" t="n">
        <v>45323</v>
      </c>
      <c r="B112" s="14" t="n">
        <v>5.33</v>
      </c>
      <c r="C112" s="10" t="n">
        <f aca="false">IFERROR(INDEX(Rates_Daily!C$15:C$2892,MATCH(_xlfn.MAXIFS(Rates_Daily!$A$15:$A$2892,Rates_Daily!$A$15:$A$2892,"&lt;="&amp;EOMONTH($A112,0),Rates_Daily!C$15:C$2892,"&gt;=-1E+99"),Rates_Daily!$A$15:$A$2892,0)),"")</f>
        <v>5.5</v>
      </c>
      <c r="D112" s="10" t="n">
        <f aca="false">IFERROR(INDEX(Rates_Daily!D$15:D$2892,MATCH(_xlfn.MAXIFS(Rates_Daily!$A$15:$A$2892,Rates_Daily!$A$15:$A$2892,"&lt;="&amp;EOMONTH($A112,0),Rates_Daily!D$15:D$2892,"&gt;=-1E+99"),Rates_Daily!$A$15:$A$2892,0)),"")</f>
        <v>5.25</v>
      </c>
      <c r="E112" s="10" t="n">
        <f aca="false">IFERROR(AVERAGEIFS(Rates_Daily!B$15:B$2892,Rates_Daily!$A$15:$A$2892,"&gt;="&amp;$A112,Rates_Daily!$A$15:$A$2892,"&lt;="&amp;EOMONTH($A112,0)),"")</f>
        <v>5.309</v>
      </c>
      <c r="F112" s="14" t="n">
        <v>5.49</v>
      </c>
      <c r="G112" s="14" t="n">
        <v>5.44</v>
      </c>
      <c r="H112" s="14" t="n">
        <v>5.28</v>
      </c>
      <c r="I112" s="14" t="n">
        <v>4.92</v>
      </c>
      <c r="J112" s="14" t="n">
        <v>5.22</v>
      </c>
      <c r="K112" s="10" t="n">
        <f aca="false">IFERROR(INDEX(Rates_Daily!F$15:F$2892,MATCH(_xlfn.MAXIFS(Rates_Daily!$A$15:$A$2892,Rates_Daily!$A$15:$A$2892,"&lt;="&amp;EOMONTH($A112,0),Rates_Daily!F$15:F$2892,"&gt;=-1E+99"),Rates_Daily!$A$15:$A$2892,0)),"")</f>
        <v>4</v>
      </c>
      <c r="L112" s="10" t="n">
        <f aca="false">IFERROR(AVERAGEIFS(Rates_Daily!E$15:E$2892,Rates_Daily!$A$15:$A$2892,"&gt;="&amp;$A112,Rates_Daily!$A$15:$A$2892,"&lt;="&amp;EOMONTH($A112,0)),"")</f>
        <v>3.90714285714286</v>
      </c>
      <c r="M112" s="14" t="n">
        <v>3.8684762</v>
      </c>
      <c r="N112" s="14" t="n">
        <v>3.9231905</v>
      </c>
      <c r="O112" s="14" t="n">
        <v>3.9005238</v>
      </c>
      <c r="P112" s="14" t="n">
        <v>3.6705238</v>
      </c>
      <c r="Q112" s="14" t="n">
        <v>3.92319047619048</v>
      </c>
      <c r="R112" s="14" t="n">
        <v>5.25</v>
      </c>
      <c r="S112" s="14" t="n">
        <v>5.1883</v>
      </c>
      <c r="T112" s="10" t="n">
        <f aca="false">IFERROR(AVERAGEIFS(Rates_Daily!I$15:I$2892,Rates_Daily!$A$15:$A$2892,"&gt;="&amp;$A112,Rates_Daily!$A$15:$A$2892,"&lt;="&amp;EOMONTH($A112,0)),"")</f>
        <v>5.18634047149887</v>
      </c>
      <c r="U112" s="10" t="n">
        <f aca="false">IFERROR(AVERAGEIFS(Rates_Daily!J$15:J$2892,Rates_Daily!$A$15:$A$2892,"&gt;="&amp;$A112,Rates_Daily!$A$15:$A$2892,"&lt;="&amp;EOMONTH($A112,0)),"")</f>
        <v>5.17479445442674</v>
      </c>
      <c r="V112" s="10" t="n">
        <f aca="false">IFERROR(AVERAGEIFS(Rates_Daily!K$15:K$2892,Rates_Daily!$A$15:$A$2892,"&gt;="&amp;$A112,Rates_Daily!$A$15:$A$2892,"&lt;="&amp;EOMONTH($A112,0)),"")</f>
        <v>5.10679887916932</v>
      </c>
      <c r="W112" s="10" t="n">
        <f aca="false">IFERROR(AVERAGEIFS(Rates_Daily!L$15:L$2892,Rates_Daily!$A$15:$A$2892,"&gt;="&amp;$A112,Rates_Daily!$A$15:$A$2892,"&lt;="&amp;EOMONTH($A112,0)),"")</f>
        <v>4.87079608332353</v>
      </c>
      <c r="X112" s="14" t="n">
        <v>5.21</v>
      </c>
      <c r="Y112" s="14" t="n">
        <v>4.5</v>
      </c>
      <c r="Z112" s="14" t="n">
        <v>4.5</v>
      </c>
      <c r="AA112" s="14" t="n">
        <v>4.518</v>
      </c>
      <c r="AB112" s="14" t="n">
        <v>4.499</v>
      </c>
      <c r="AC112" s="14" t="n">
        <v>4.401</v>
      </c>
      <c r="AD112" s="14" t="n">
        <v>4.71</v>
      </c>
      <c r="AE112" s="14" t="n">
        <v>3.5</v>
      </c>
      <c r="AF112" s="14" t="n">
        <v>3.582</v>
      </c>
      <c r="AG112" s="14" t="n">
        <v>3.69</v>
      </c>
      <c r="AH112" s="14" t="n">
        <v>3.69</v>
      </c>
      <c r="AI112" s="14" t="n">
        <v>3.68</v>
      </c>
      <c r="AJ112" s="14" t="n">
        <v>3.67</v>
      </c>
      <c r="AK112" s="14" t="n">
        <v>3.431</v>
      </c>
      <c r="AL112" s="14" t="n">
        <v>3.379</v>
      </c>
      <c r="AM112" s="14" t="n">
        <v>3.434</v>
      </c>
      <c r="AN112" s="14" t="n">
        <v>3.69</v>
      </c>
      <c r="AO112" s="10" t="n">
        <f aca="false">IFERROR(AVERAGEIFS(Rates_Daily!M$15:M$2892,Rates_Daily!$A$15:$A$2892,"&gt;="&amp;$A112,Rates_Daily!$A$15:$A$2892,"&lt;="&amp;EOMONTH($A112,0)),"")</f>
        <v>2.17901666666667</v>
      </c>
      <c r="AP112" s="10" t="n">
        <f aca="false">IFERROR(AVERAGEIFS(Rates_Daily!N$15:N$2892,Rates_Daily!$A$15:$A$2892,"&gt;="&amp;$A112,Rates_Daily!$A$15:$A$2892,"&lt;="&amp;EOMONTH($A112,0)),"")</f>
        <v>2.28771666666667</v>
      </c>
      <c r="AQ112" s="10" t="n">
        <f aca="false">IFERROR(AVERAGEIFS(Rates_Daily!O$15:O$2892,Rates_Daily!$A$15:$A$2892,"&gt;="&amp;$A112,Rates_Daily!$A$15:$A$2892,"&lt;="&amp;EOMONTH($A112,0)),"")</f>
        <v>2.33586666666667</v>
      </c>
      <c r="AR112" s="10" t="n">
        <f aca="false">IFERROR(AVERAGEIFS(Rates_Daily!P$15:P$2892,Rates_Daily!$A$15:$A$2892,"&gt;="&amp;$A112,Rates_Daily!$A$15:$A$2892,"&lt;="&amp;EOMONTH($A112,0)),"")</f>
        <v>2.3713</v>
      </c>
      <c r="AS112" s="14" t="n">
        <v>3.45</v>
      </c>
      <c r="AT112" s="14" t="n">
        <v>3.95</v>
      </c>
      <c r="AU112" s="14" t="n">
        <v>2.69</v>
      </c>
      <c r="AV112" s="14" t="n">
        <v>11.15</v>
      </c>
      <c r="AW112" s="14" t="n">
        <v>11.25</v>
      </c>
      <c r="AX112" s="14" t="n">
        <v>0.027</v>
      </c>
      <c r="AY112" s="14" t="n">
        <v>-0.006</v>
      </c>
      <c r="AZ112" s="16" t="str">
        <f aca="false">IF(EOMONTH($A112,0)&gt;MAX(Rates_Daily!$A$15:$A$2892),"partial month","complete")</f>
        <v>complete</v>
      </c>
    </row>
    <row r="113" customFormat="false" ht="15" hidden="false" customHeight="false" outlineLevel="0" collapsed="false">
      <c r="A113" s="17" t="n">
        <v>45352</v>
      </c>
      <c r="B113" s="14" t="n">
        <v>5.33</v>
      </c>
      <c r="C113" s="10" t="n">
        <f aca="false">IFERROR(INDEX(Rates_Daily!C$15:C$2892,MATCH(_xlfn.MAXIFS(Rates_Daily!$A$15:$A$2892,Rates_Daily!$A$15:$A$2892,"&lt;="&amp;EOMONTH($A113,0),Rates_Daily!C$15:C$2892,"&gt;=-1E+99"),Rates_Daily!$A$15:$A$2892,0)),"")</f>
        <v>5.5</v>
      </c>
      <c r="D113" s="10" t="n">
        <f aca="false">IFERROR(INDEX(Rates_Daily!D$15:D$2892,MATCH(_xlfn.MAXIFS(Rates_Daily!$A$15:$A$2892,Rates_Daily!$A$15:$A$2892,"&lt;="&amp;EOMONTH($A113,0),Rates_Daily!D$15:D$2892,"&gt;=-1E+99"),Rates_Daily!$A$15:$A$2892,0)),"")</f>
        <v>5.25</v>
      </c>
      <c r="E113" s="10" t="n">
        <f aca="false">IFERROR(AVERAGEIFS(Rates_Daily!B$15:B$2892,Rates_Daily!$A$15:$A$2892,"&gt;="&amp;$A113,Rates_Daily!$A$15:$A$2892,"&lt;="&amp;EOMONTH($A113,0)),"")</f>
        <v>5.313</v>
      </c>
      <c r="F113" s="14" t="n">
        <v>5.51</v>
      </c>
      <c r="G113" s="14" t="n">
        <v>5.47</v>
      </c>
      <c r="H113" s="14" t="n">
        <v>5.36</v>
      </c>
      <c r="I113" s="14" t="n">
        <v>4.99</v>
      </c>
      <c r="J113" s="14" t="n">
        <v>5.29</v>
      </c>
      <c r="K113" s="10" t="n">
        <f aca="false">IFERROR(INDEX(Rates_Daily!F$15:F$2892,MATCH(_xlfn.MAXIFS(Rates_Daily!$A$15:$A$2892,Rates_Daily!$A$15:$A$2892,"&lt;="&amp;EOMONTH($A113,0),Rates_Daily!F$15:F$2892,"&gt;=-1E+99"),Rates_Daily!$A$15:$A$2892,0)),"")</f>
        <v>4</v>
      </c>
      <c r="L113" s="10" t="n">
        <f aca="false">IFERROR(AVERAGEIFS(Rates_Daily!E$15:E$2892,Rates_Daily!$A$15:$A$2892,"&gt;="&amp;$A113,Rates_Daily!$A$15:$A$2892,"&lt;="&amp;EOMONTH($A113,0)),"")</f>
        <v>3.9066</v>
      </c>
      <c r="M113" s="14" t="n">
        <v>3.85295</v>
      </c>
      <c r="N113" s="14" t="n">
        <v>3.9231</v>
      </c>
      <c r="O113" s="14" t="n">
        <v>3.8948</v>
      </c>
      <c r="P113" s="14" t="n">
        <v>3.71785</v>
      </c>
      <c r="Q113" s="14" t="n">
        <v>3.92238095238095</v>
      </c>
      <c r="R113" s="14" t="n">
        <v>5.25</v>
      </c>
      <c r="S113" s="14" t="n">
        <v>5.1891</v>
      </c>
      <c r="T113" s="10" t="n">
        <f aca="false">IFERROR(AVERAGEIFS(Rates_Daily!I$15:I$2892,Rates_Daily!$A$15:$A$2892,"&gt;="&amp;$A113,Rates_Daily!$A$15:$A$2892,"&lt;="&amp;EOMONTH($A113,0)),"")</f>
        <v>5.18849588467425</v>
      </c>
      <c r="U113" s="10" t="n">
        <f aca="false">IFERROR(AVERAGEIFS(Rates_Daily!J$15:J$2892,Rates_Daily!$A$15:$A$2892,"&gt;="&amp;$A113,Rates_Daily!$A$15:$A$2892,"&lt;="&amp;EOMONTH($A113,0)),"")</f>
        <v>5.16316229129078</v>
      </c>
      <c r="V113" s="10" t="n">
        <f aca="false">IFERROR(AVERAGEIFS(Rates_Daily!K$15:K$2892,Rates_Daily!$A$15:$A$2892,"&gt;="&amp;$A113,Rates_Daily!$A$15:$A$2892,"&lt;="&amp;EOMONTH($A113,0)),"")</f>
        <v>5.0732632743117</v>
      </c>
      <c r="W113" s="10" t="n">
        <f aca="false">IFERROR(AVERAGEIFS(Rates_Daily!L$15:L$2892,Rates_Daily!$A$15:$A$2892,"&gt;="&amp;$A113,Rates_Daily!$A$15:$A$2892,"&lt;="&amp;EOMONTH($A113,0)),"")</f>
        <v>4.8305551580991</v>
      </c>
      <c r="X113" s="14" t="n">
        <v>5.2</v>
      </c>
      <c r="Y113" s="14" t="n">
        <v>4.5</v>
      </c>
      <c r="Z113" s="14" t="n">
        <v>4.5</v>
      </c>
      <c r="AA113" s="14" t="n">
        <v>4.45</v>
      </c>
      <c r="AB113" s="14" t="n">
        <v>4.443</v>
      </c>
      <c r="AC113" s="14" t="n">
        <v>4.365</v>
      </c>
      <c r="AD113" s="14" t="n">
        <v>4.73</v>
      </c>
      <c r="AE113" s="14" t="n">
        <v>3.5</v>
      </c>
      <c r="AF113" s="14" t="n">
        <v>3.467</v>
      </c>
      <c r="AG113" s="14" t="n">
        <v>3.65</v>
      </c>
      <c r="AH113" s="14" t="n">
        <v>3.67</v>
      </c>
      <c r="AI113" s="14" t="n">
        <v>3.67</v>
      </c>
      <c r="AJ113" s="14" t="n">
        <v>3.65</v>
      </c>
      <c r="AK113" s="14" t="n">
        <v>3.463</v>
      </c>
      <c r="AL113" s="14" t="n">
        <v>3.365</v>
      </c>
      <c r="AM113" s="14" t="n">
        <v>3.374</v>
      </c>
      <c r="AN113" s="14" t="n">
        <v>3.65</v>
      </c>
      <c r="AO113" s="10" t="n">
        <f aca="false">IFERROR(AVERAGEIFS(Rates_Daily!M$15:M$2892,Rates_Daily!$A$15:$A$2892,"&gt;="&amp;$A113,Rates_Daily!$A$15:$A$2892,"&lt;="&amp;EOMONTH($A113,0)),"")</f>
        <v>2.1092380952381</v>
      </c>
      <c r="AP113" s="10" t="n">
        <f aca="false">IFERROR(AVERAGEIFS(Rates_Daily!N$15:N$2892,Rates_Daily!$A$15:$A$2892,"&gt;="&amp;$A113,Rates_Daily!$A$15:$A$2892,"&lt;="&amp;EOMONTH($A113,0)),"")</f>
        <v>2.16238095238095</v>
      </c>
      <c r="AQ113" s="10" t="n">
        <f aca="false">IFERROR(AVERAGEIFS(Rates_Daily!O$15:O$2892,Rates_Daily!$A$15:$A$2892,"&gt;="&amp;$A113,Rates_Daily!$A$15:$A$2892,"&lt;="&amp;EOMONTH($A113,0)),"")</f>
        <v>2.21176190476191</v>
      </c>
      <c r="AR113" s="10" t="n">
        <f aca="false">IFERROR(AVERAGEIFS(Rates_Daily!P$15:P$2892,Rates_Daily!$A$15:$A$2892,"&gt;="&amp;$A113,Rates_Daily!$A$15:$A$2892,"&lt;="&amp;EOMONTH($A113,0)),"")</f>
        <v>2.26940476190476</v>
      </c>
      <c r="AS113" s="14" t="n">
        <v>3.45</v>
      </c>
      <c r="AT113" s="14" t="n">
        <v>3.95</v>
      </c>
      <c r="AU113" s="14" t="n">
        <v>2.53</v>
      </c>
      <c r="AV113" s="14" t="n">
        <v>11</v>
      </c>
      <c r="AW113" s="14" t="n">
        <v>11.07</v>
      </c>
      <c r="AX113" s="14" t="n">
        <v>0.109</v>
      </c>
      <c r="AY113" s="14" t="n">
        <v>0.022</v>
      </c>
      <c r="AZ113" s="16" t="str">
        <f aca="false">IF(EOMONTH($A113,0)&gt;MAX(Rates_Daily!$A$15:$A$2892),"partial month","complete")</f>
        <v>complete</v>
      </c>
    </row>
    <row r="114" customFormat="false" ht="15" hidden="false" customHeight="false" outlineLevel="0" collapsed="false">
      <c r="A114" s="17" t="n">
        <v>45383</v>
      </c>
      <c r="B114" s="14" t="n">
        <v>5.33</v>
      </c>
      <c r="C114" s="10" t="n">
        <f aca="false">IFERROR(INDEX(Rates_Daily!C$15:C$2892,MATCH(_xlfn.MAXIFS(Rates_Daily!$A$15:$A$2892,Rates_Daily!$A$15:$A$2892,"&lt;="&amp;EOMONTH($A114,0),Rates_Daily!C$15:C$2892,"&gt;=-1E+99"),Rates_Daily!$A$15:$A$2892,0)),"")</f>
        <v>5.5</v>
      </c>
      <c r="D114" s="10" t="n">
        <f aca="false">IFERROR(INDEX(Rates_Daily!D$15:D$2892,MATCH(_xlfn.MAXIFS(Rates_Daily!$A$15:$A$2892,Rates_Daily!$A$15:$A$2892,"&lt;="&amp;EOMONTH($A114,0),Rates_Daily!D$15:D$2892,"&gt;=-1E+99"),Rates_Daily!$A$15:$A$2892,0)),"")</f>
        <v>5.25</v>
      </c>
      <c r="E114" s="10" t="n">
        <f aca="false">IFERROR(AVERAGEIFS(Rates_Daily!B$15:B$2892,Rates_Daily!$A$15:$A$2892,"&gt;="&amp;$A114,Rates_Daily!$A$15:$A$2892,"&lt;="&amp;EOMONTH($A114,0)),"")</f>
        <v>5.31681818181818</v>
      </c>
      <c r="F114" s="14" t="n">
        <v>5.48</v>
      </c>
      <c r="G114" s="14" t="n">
        <v>5.44</v>
      </c>
      <c r="H114" s="14" t="n">
        <v>5.38</v>
      </c>
      <c r="I114" s="14" t="n">
        <v>5.14</v>
      </c>
      <c r="J114" s="14" t="n">
        <v>5.33</v>
      </c>
      <c r="K114" s="10" t="n">
        <f aca="false">IFERROR(INDEX(Rates_Daily!F$15:F$2892,MATCH(_xlfn.MAXIFS(Rates_Daily!$A$15:$A$2892,Rates_Daily!$A$15:$A$2892,"&lt;="&amp;EOMONTH($A114,0),Rates_Daily!F$15:F$2892,"&gt;=-1E+99"),Rates_Daily!$A$15:$A$2892,0)),"")</f>
        <v>4</v>
      </c>
      <c r="L114" s="10" t="n">
        <f aca="false">IFERROR(AVERAGEIFS(Rates_Daily!E$15:E$2892,Rates_Daily!$A$15:$A$2892,"&gt;="&amp;$A114,Rates_Daily!$A$15:$A$2892,"&lt;="&amp;EOMONTH($A114,0)),"")</f>
        <v>3.90771428571429</v>
      </c>
      <c r="M114" s="14" t="n">
        <v>3.8525238</v>
      </c>
      <c r="N114" s="14" t="n">
        <v>3.8853333</v>
      </c>
      <c r="O114" s="14" t="n">
        <v>3.8382381</v>
      </c>
      <c r="P114" s="14" t="n">
        <v>3.7033333</v>
      </c>
      <c r="Q114" s="14" t="n">
        <v>3.88636363636364</v>
      </c>
      <c r="R114" s="14" t="n">
        <v>5.25</v>
      </c>
      <c r="S114" s="14" t="n">
        <v>5.1979</v>
      </c>
      <c r="T114" s="10" t="n">
        <f aca="false">IFERROR(AVERAGEIFS(Rates_Daily!I$15:I$2892,Rates_Daily!$A$15:$A$2892,"&gt;="&amp;$A114,Rates_Daily!$A$15:$A$2892,"&lt;="&amp;EOMONTH($A114,0)),"")</f>
        <v>5.19258635783184</v>
      </c>
      <c r="U114" s="10" t="n">
        <f aca="false">IFERROR(AVERAGEIFS(Rates_Daily!J$15:J$2892,Rates_Daily!$A$15:$A$2892,"&gt;="&amp;$A114,Rates_Daily!$A$15:$A$2892,"&lt;="&amp;EOMONTH($A114,0)),"")</f>
        <v>5.14380498203225</v>
      </c>
      <c r="V114" s="10" t="n">
        <f aca="false">IFERROR(AVERAGEIFS(Rates_Daily!K$15:K$2892,Rates_Daily!$A$15:$A$2892,"&gt;="&amp;$A114,Rates_Daily!$A$15:$A$2892,"&lt;="&amp;EOMONTH($A114,0)),"")</f>
        <v>5.04282530044508</v>
      </c>
      <c r="W114" s="10" t="n">
        <f aca="false">IFERROR(AVERAGEIFS(Rates_Daily!L$15:L$2892,Rates_Daily!$A$15:$A$2892,"&gt;="&amp;$A114,Rates_Daily!$A$15:$A$2892,"&lt;="&amp;EOMONTH($A114,0)),"")</f>
        <v>4.84476878798848</v>
      </c>
      <c r="X114" s="14" t="n">
        <v>5.18</v>
      </c>
      <c r="Y114" s="14" t="n">
        <v>4.5</v>
      </c>
      <c r="Z114" s="14" t="n">
        <v>4.5</v>
      </c>
      <c r="AA114" s="14" t="n">
        <v>4.418</v>
      </c>
      <c r="AB114" s="14" t="n">
        <v>4.435</v>
      </c>
      <c r="AC114" s="14" t="n">
        <v>4.386</v>
      </c>
      <c r="AD114" s="14" t="n">
        <v>4.72</v>
      </c>
      <c r="AE114" s="14" t="n">
        <v>3.5</v>
      </c>
      <c r="AF114" s="14" t="n">
        <v>3.518</v>
      </c>
      <c r="AG114" s="14" t="n">
        <v>3.57</v>
      </c>
      <c r="AH114" s="14" t="n">
        <v>3.57</v>
      </c>
      <c r="AI114" s="14" t="n">
        <v>3.59</v>
      </c>
      <c r="AJ114" s="14" t="n">
        <v>3.59</v>
      </c>
      <c r="AK114" s="14" t="n">
        <v>3.463</v>
      </c>
      <c r="AL114" s="14" t="n">
        <v>3.389</v>
      </c>
      <c r="AM114" s="14" t="n">
        <v>3.44</v>
      </c>
      <c r="AN114" s="14" t="n">
        <v>3.57</v>
      </c>
      <c r="AO114" s="10" t="n">
        <f aca="false">IFERROR(AVERAGEIFS(Rates_Daily!M$15:M$2892,Rates_Daily!$A$15:$A$2892,"&gt;="&amp;$A114,Rates_Daily!$A$15:$A$2892,"&lt;="&amp;EOMONTH($A114,0)),"")</f>
        <v>2.0145</v>
      </c>
      <c r="AP114" s="10" t="n">
        <f aca="false">IFERROR(AVERAGEIFS(Rates_Daily!N$15:N$2892,Rates_Daily!$A$15:$A$2892,"&gt;="&amp;$A114,Rates_Daily!$A$15:$A$2892,"&lt;="&amp;EOMONTH($A114,0)),"")</f>
        <v>2.0665</v>
      </c>
      <c r="AQ114" s="10" t="n">
        <f aca="false">IFERROR(AVERAGEIFS(Rates_Daily!O$15:O$2892,Rates_Daily!$A$15:$A$2892,"&gt;="&amp;$A114,Rates_Daily!$A$15:$A$2892,"&lt;="&amp;EOMONTH($A114,0)),"")</f>
        <v>2.10081818181818</v>
      </c>
      <c r="AR114" s="10" t="n">
        <f aca="false">IFERROR(AVERAGEIFS(Rates_Daily!P$15:P$2892,Rates_Daily!$A$15:$A$2892,"&gt;="&amp;$A114,Rates_Daily!$A$15:$A$2892,"&lt;="&amp;EOMONTH($A114,0)),"")</f>
        <v>2.16727272727273</v>
      </c>
      <c r="AS114" s="14" t="n">
        <v>3.45</v>
      </c>
      <c r="AT114" s="14" t="n">
        <v>3.95</v>
      </c>
      <c r="AU114" s="14" t="n">
        <v>2.49</v>
      </c>
      <c r="AV114" s="14" t="n">
        <v>10.65</v>
      </c>
      <c r="AW114" s="14" t="n">
        <v>10.75</v>
      </c>
      <c r="AX114" s="14" t="n">
        <v>0.109</v>
      </c>
      <c r="AY114" s="14" t="n">
        <v>0.077</v>
      </c>
      <c r="AZ114" s="16" t="str">
        <f aca="false">IF(EOMONTH($A114,0)&gt;MAX(Rates_Daily!$A$15:$A$2892),"partial month","complete")</f>
        <v>complete</v>
      </c>
    </row>
    <row r="115" customFormat="false" ht="15" hidden="false" customHeight="false" outlineLevel="0" collapsed="false">
      <c r="A115" s="17" t="n">
        <v>45413</v>
      </c>
      <c r="B115" s="14" t="n">
        <v>5.33</v>
      </c>
      <c r="C115" s="10" t="n">
        <f aca="false">IFERROR(INDEX(Rates_Daily!C$15:C$2892,MATCH(_xlfn.MAXIFS(Rates_Daily!$A$15:$A$2892,Rates_Daily!$A$15:$A$2892,"&lt;="&amp;EOMONTH($A115,0),Rates_Daily!C$15:C$2892,"&gt;=-1E+99"),Rates_Daily!$A$15:$A$2892,0)),"")</f>
        <v>5.5</v>
      </c>
      <c r="D115" s="10" t="n">
        <f aca="false">IFERROR(INDEX(Rates_Daily!D$15:D$2892,MATCH(_xlfn.MAXIFS(Rates_Daily!$A$15:$A$2892,Rates_Daily!$A$15:$A$2892,"&lt;="&amp;EOMONTH($A115,0),Rates_Daily!D$15:D$2892,"&gt;=-1E+99"),Rates_Daily!$A$15:$A$2892,0)),"")</f>
        <v>5.25</v>
      </c>
      <c r="E115" s="10" t="n">
        <f aca="false">IFERROR(AVERAGEIFS(Rates_Daily!B$15:B$2892,Rates_Daily!$A$15:$A$2892,"&gt;="&amp;$A115,Rates_Daily!$A$15:$A$2892,"&lt;="&amp;EOMONTH($A115,0)),"")</f>
        <v>5.31454545454545</v>
      </c>
      <c r="F115" s="14" t="n">
        <v>5.5</v>
      </c>
      <c r="G115" s="14" t="n">
        <v>5.46</v>
      </c>
      <c r="H115" s="14" t="n">
        <v>5.42</v>
      </c>
      <c r="I115" s="14" t="n">
        <v>5.16</v>
      </c>
      <c r="J115" s="14" t="n">
        <v>5.33</v>
      </c>
      <c r="K115" s="10" t="n">
        <f aca="false">IFERROR(INDEX(Rates_Daily!F$15:F$2892,MATCH(_xlfn.MAXIFS(Rates_Daily!$A$15:$A$2892,Rates_Daily!$A$15:$A$2892,"&lt;="&amp;EOMONTH($A115,0),Rates_Daily!F$15:F$2892,"&gt;=-1E+99"),Rates_Daily!$A$15:$A$2892,0)),"")</f>
        <v>4</v>
      </c>
      <c r="L115" s="10" t="n">
        <f aca="false">IFERROR(AVERAGEIFS(Rates_Daily!E$15:E$2892,Rates_Daily!$A$15:$A$2892,"&gt;="&amp;$A115,Rates_Daily!$A$15:$A$2892,"&lt;="&amp;EOMONTH($A115,0)),"")</f>
        <v>3.90686363636364</v>
      </c>
      <c r="M115" s="14" t="n">
        <v>3.8159091</v>
      </c>
      <c r="N115" s="14" t="n">
        <v>3.8126818</v>
      </c>
      <c r="O115" s="14" t="n">
        <v>3.7866364</v>
      </c>
      <c r="P115" s="14" t="n">
        <v>3.6801364</v>
      </c>
      <c r="Q115" s="14" t="n">
        <v>3.81365217391304</v>
      </c>
      <c r="R115" s="14" t="n">
        <v>5.25</v>
      </c>
      <c r="S115" s="14" t="n">
        <v>5.2</v>
      </c>
      <c r="T115" s="10" t="n">
        <f aca="false">IFERROR(AVERAGEIFS(Rates_Daily!I$15:I$2892,Rates_Daily!$A$15:$A$2892,"&gt;="&amp;$A115,Rates_Daily!$A$15:$A$2892,"&lt;="&amp;EOMONTH($A115,0)),"")</f>
        <v>5.19218707826512</v>
      </c>
      <c r="U115" s="10" t="n">
        <f aca="false">IFERROR(AVERAGEIFS(Rates_Daily!J$15:J$2892,Rates_Daily!$A$15:$A$2892,"&gt;="&amp;$A115,Rates_Daily!$A$15:$A$2892,"&lt;="&amp;EOMONTH($A115,0)),"")</f>
        <v>5.12946467636349</v>
      </c>
      <c r="V115" s="10" t="n">
        <f aca="false">IFERROR(AVERAGEIFS(Rates_Daily!K$15:K$2892,Rates_Daily!$A$15:$A$2892,"&gt;="&amp;$A115,Rates_Daily!$A$15:$A$2892,"&lt;="&amp;EOMONTH($A115,0)),"")</f>
        <v>5.03106557019967</v>
      </c>
      <c r="W115" s="10" t="n">
        <f aca="false">IFERROR(AVERAGEIFS(Rates_Daily!L$15:L$2892,Rates_Daily!$A$15:$A$2892,"&gt;="&amp;$A115,Rates_Daily!$A$15:$A$2892,"&lt;="&amp;EOMONTH($A115,0)),"")</f>
        <v>4.84645267792165</v>
      </c>
      <c r="X115" s="14" t="n">
        <v>5.16</v>
      </c>
      <c r="Y115" s="14" t="n">
        <v>4.5</v>
      </c>
      <c r="Z115" s="14" t="n">
        <v>4.5</v>
      </c>
      <c r="AA115" s="14" t="n">
        <v>4.443</v>
      </c>
      <c r="AB115" s="14" t="n">
        <v>4.428</v>
      </c>
      <c r="AC115" s="14" t="n">
        <v>4.404</v>
      </c>
      <c r="AD115" s="14" t="n">
        <v>4.71</v>
      </c>
      <c r="AE115" s="14" t="n">
        <v>3.5</v>
      </c>
      <c r="AF115" s="14" t="n">
        <v>3.53</v>
      </c>
      <c r="AG115" s="14" t="n">
        <v>3.6</v>
      </c>
      <c r="AH115" s="14" t="n">
        <v>3.59</v>
      </c>
      <c r="AI115" s="14" t="n">
        <v>3.62</v>
      </c>
      <c r="AJ115" s="14" t="n">
        <v>3.64</v>
      </c>
      <c r="AK115" s="14" t="n">
        <v>3.447</v>
      </c>
      <c r="AL115" s="14" t="n">
        <v>3.387</v>
      </c>
      <c r="AM115" s="14" t="n">
        <v>3.434</v>
      </c>
      <c r="AN115" s="14" t="n">
        <v>3.6</v>
      </c>
      <c r="AO115" s="10" t="n">
        <f aca="false">IFERROR(AVERAGEIFS(Rates_Daily!M$15:M$2892,Rates_Daily!$A$15:$A$2892,"&gt;="&amp;$A115,Rates_Daily!$A$15:$A$2892,"&lt;="&amp;EOMONTH($A115,0)),"")</f>
        <v>1.92061904761905</v>
      </c>
      <c r="AP115" s="10" t="n">
        <f aca="false">IFERROR(AVERAGEIFS(Rates_Daily!N$15:N$2892,Rates_Daily!$A$15:$A$2892,"&gt;="&amp;$A115,Rates_Daily!$A$15:$A$2892,"&lt;="&amp;EOMONTH($A115,0)),"")</f>
        <v>1.97119047619048</v>
      </c>
      <c r="AQ115" s="10" t="n">
        <f aca="false">IFERROR(AVERAGEIFS(Rates_Daily!O$15:O$2892,Rates_Daily!$A$15:$A$2892,"&gt;="&amp;$A115,Rates_Daily!$A$15:$A$2892,"&lt;="&amp;EOMONTH($A115,0)),"")</f>
        <v>2.01752380952381</v>
      </c>
      <c r="AR115" s="10" t="n">
        <f aca="false">IFERROR(AVERAGEIFS(Rates_Daily!P$15:P$2892,Rates_Daily!$A$15:$A$2892,"&gt;="&amp;$A115,Rates_Daily!$A$15:$A$2892,"&lt;="&amp;EOMONTH($A115,0)),"")</f>
        <v>2.10069047619048</v>
      </c>
      <c r="AS115" s="14" t="n">
        <v>3.45</v>
      </c>
      <c r="AT115" s="14" t="n">
        <v>3.95</v>
      </c>
      <c r="AU115" s="14" t="n">
        <v>2.32</v>
      </c>
      <c r="AV115" s="14" t="n">
        <v>10.46</v>
      </c>
      <c r="AW115" s="14" t="n">
        <v>10.56</v>
      </c>
      <c r="AX115" s="14" t="n">
        <v>0.129</v>
      </c>
      <c r="AY115" s="14" t="n">
        <v>0.077</v>
      </c>
      <c r="AZ115" s="16" t="str">
        <f aca="false">IF(EOMONTH($A115,0)&gt;MAX(Rates_Daily!$A$15:$A$2892),"partial month","complete")</f>
        <v>complete</v>
      </c>
    </row>
    <row r="116" customFormat="false" ht="15" hidden="false" customHeight="false" outlineLevel="0" collapsed="false">
      <c r="A116" s="17" t="n">
        <v>45444</v>
      </c>
      <c r="B116" s="14" t="n">
        <v>5.33</v>
      </c>
      <c r="C116" s="10" t="n">
        <f aca="false">IFERROR(INDEX(Rates_Daily!C$15:C$2892,MATCH(_xlfn.MAXIFS(Rates_Daily!$A$15:$A$2892,Rates_Daily!$A$15:$A$2892,"&lt;="&amp;EOMONTH($A116,0),Rates_Daily!C$15:C$2892,"&gt;=-1E+99"),Rates_Daily!$A$15:$A$2892,0)),"")</f>
        <v>5.5</v>
      </c>
      <c r="D116" s="10" t="n">
        <f aca="false">IFERROR(INDEX(Rates_Daily!D$15:D$2892,MATCH(_xlfn.MAXIFS(Rates_Daily!$A$15:$A$2892,Rates_Daily!$A$15:$A$2892,"&lt;="&amp;EOMONTH($A116,0),Rates_Daily!D$15:D$2892,"&gt;=-1E+99"),Rates_Daily!$A$15:$A$2892,0)),"")</f>
        <v>5.25</v>
      </c>
      <c r="E116" s="10" t="n">
        <f aca="false">IFERROR(AVERAGEIFS(Rates_Daily!B$15:B$2892,Rates_Daily!$A$15:$A$2892,"&gt;="&amp;$A116,Rates_Daily!$A$15:$A$2892,"&lt;="&amp;EOMONTH($A116,0)),"")</f>
        <v>5.32526315789474</v>
      </c>
      <c r="F116" s="14" t="n">
        <v>5.46</v>
      </c>
      <c r="G116" s="14" t="n">
        <v>5.51</v>
      </c>
      <c r="H116" s="14" t="n">
        <v>5.37</v>
      </c>
      <c r="I116" s="14" t="n">
        <v>5.11</v>
      </c>
      <c r="J116" s="14" t="n">
        <v>5.28</v>
      </c>
      <c r="K116" s="10" t="n">
        <f aca="false">IFERROR(INDEX(Rates_Daily!F$15:F$2892,MATCH(_xlfn.MAXIFS(Rates_Daily!$A$15:$A$2892,Rates_Daily!$A$15:$A$2892,"&lt;="&amp;EOMONTH($A116,0),Rates_Daily!F$15:F$2892,"&gt;=-1E+99"),Rates_Daily!$A$15:$A$2892,0)),"")</f>
        <v>3.75</v>
      </c>
      <c r="L116" s="10" t="n">
        <f aca="false">IFERROR(AVERAGEIFS(Rates_Daily!E$15:E$2892,Rates_Daily!$A$15:$A$2892,"&gt;="&amp;$A116,Rates_Daily!$A$15:$A$2892,"&lt;="&amp;EOMONTH($A116,0)),"")</f>
        <v>3.74945</v>
      </c>
      <c r="M116" s="14" t="n">
        <v>3.6347</v>
      </c>
      <c r="N116" s="14" t="n">
        <v>3.7245</v>
      </c>
      <c r="O116" s="14" t="n">
        <v>3.7149</v>
      </c>
      <c r="P116" s="14" t="n">
        <v>3.6496</v>
      </c>
      <c r="Q116" s="14" t="n">
        <v>3.7245</v>
      </c>
      <c r="R116" s="14" t="n">
        <v>5.25</v>
      </c>
      <c r="S116" s="14" t="n">
        <v>5.2</v>
      </c>
      <c r="T116" s="10" t="n">
        <f aca="false">IFERROR(AVERAGEIFS(Rates_Daily!I$15:I$2892,Rates_Daily!$A$15:$A$2892,"&gt;="&amp;$A116,Rates_Daily!$A$15:$A$2892,"&lt;="&amp;EOMONTH($A116,0)),"")</f>
        <v>5.18997517683483</v>
      </c>
      <c r="U116" s="10" t="n">
        <f aca="false">IFERROR(AVERAGEIFS(Rates_Daily!J$15:J$2892,Rates_Daily!$A$15:$A$2892,"&gt;="&amp;$A116,Rates_Daily!$A$15:$A$2892,"&lt;="&amp;EOMONTH($A116,0)),"")</f>
        <v>5.13296207440649</v>
      </c>
      <c r="V116" s="10" t="n">
        <f aca="false">IFERROR(AVERAGEIFS(Rates_Daily!K$15:K$2892,Rates_Daily!$A$15:$A$2892,"&gt;="&amp;$A116,Rates_Daily!$A$15:$A$2892,"&lt;="&amp;EOMONTH($A116,0)),"")</f>
        <v>5.03859822923007</v>
      </c>
      <c r="W116" s="10" t="n">
        <f aca="false">IFERROR(AVERAGEIFS(Rates_Daily!L$15:L$2892,Rates_Daily!$A$15:$A$2892,"&gt;="&amp;$A116,Rates_Daily!$A$15:$A$2892,"&lt;="&amp;EOMONTH($A116,0)),"")</f>
        <v>4.83647562045211</v>
      </c>
      <c r="X116" s="14" t="n">
        <v>5.16</v>
      </c>
      <c r="Y116" s="14" t="n">
        <v>4.5</v>
      </c>
      <c r="Z116" s="14" t="n">
        <v>4.5</v>
      </c>
      <c r="AA116" s="14" t="n">
        <v>4.434</v>
      </c>
      <c r="AB116" s="14" t="n">
        <v>4.434</v>
      </c>
      <c r="AC116" s="14" t="n">
        <v>4.409</v>
      </c>
      <c r="AD116" s="14" t="n">
        <v>4.73</v>
      </c>
      <c r="AE116" s="14" t="n">
        <v>3.5</v>
      </c>
      <c r="AF116" s="14" t="n">
        <v>3.547</v>
      </c>
      <c r="AG116" s="14" t="n">
        <v>3.6</v>
      </c>
      <c r="AH116" s="14" t="n">
        <v>3.59</v>
      </c>
      <c r="AI116" s="14" t="n">
        <v>3.59</v>
      </c>
      <c r="AJ116" s="14" t="n">
        <v>3.56</v>
      </c>
      <c r="AK116" s="14" t="n">
        <v>3.443</v>
      </c>
      <c r="AL116" s="14" t="n">
        <v>3.352</v>
      </c>
      <c r="AM116" s="14" t="n">
        <v>3.341</v>
      </c>
      <c r="AN116" s="14" t="n">
        <v>3.6</v>
      </c>
      <c r="AO116" s="10" t="n">
        <f aca="false">IFERROR(AVERAGEIFS(Rates_Daily!M$15:M$2892,Rates_Daily!$A$15:$A$2892,"&gt;="&amp;$A116,Rates_Daily!$A$15:$A$2892,"&lt;="&amp;EOMONTH($A116,0)),"")</f>
        <v>1.89973684210526</v>
      </c>
      <c r="AP116" s="10" t="n">
        <f aca="false">IFERROR(AVERAGEIFS(Rates_Daily!N$15:N$2892,Rates_Daily!$A$15:$A$2892,"&gt;="&amp;$A116,Rates_Daily!$A$15:$A$2892,"&lt;="&amp;EOMONTH($A116,0)),"")</f>
        <v>1.93484210526316</v>
      </c>
      <c r="AQ116" s="10" t="n">
        <f aca="false">IFERROR(AVERAGEIFS(Rates_Daily!O$15:O$2892,Rates_Daily!$A$15:$A$2892,"&gt;="&amp;$A116,Rates_Daily!$A$15:$A$2892,"&lt;="&amp;EOMONTH($A116,0)),"")</f>
        <v>1.98726315789474</v>
      </c>
      <c r="AR116" s="10" t="n">
        <f aca="false">IFERROR(AVERAGEIFS(Rates_Daily!P$15:P$2892,Rates_Daily!$A$15:$A$2892,"&gt;="&amp;$A116,Rates_Daily!$A$15:$A$2892,"&lt;="&amp;EOMONTH($A116,0)),"")</f>
        <v>2.07152631578947</v>
      </c>
      <c r="AS116" s="14" t="n">
        <v>3.45</v>
      </c>
      <c r="AT116" s="14" t="n">
        <v>3.95</v>
      </c>
      <c r="AU116" s="14" t="n">
        <v>2.23</v>
      </c>
      <c r="AV116" s="14" t="n">
        <v>10.4</v>
      </c>
      <c r="AW116" s="14" t="n">
        <v>10.5</v>
      </c>
      <c r="AX116" s="14" t="n">
        <v>0.149</v>
      </c>
      <c r="AY116" s="14" t="n">
        <v>0.077</v>
      </c>
      <c r="AZ116" s="16" t="str">
        <f aca="false">IF(EOMONTH($A116,0)&gt;MAX(Rates_Daily!$A$15:$A$2892),"partial month","complete")</f>
        <v>complete</v>
      </c>
    </row>
    <row r="117" customFormat="false" ht="15" hidden="false" customHeight="false" outlineLevel="0" collapsed="false">
      <c r="A117" s="17" t="n">
        <v>45474</v>
      </c>
      <c r="B117" s="14" t="n">
        <v>5.33</v>
      </c>
      <c r="C117" s="10" t="n">
        <f aca="false">IFERROR(INDEX(Rates_Daily!C$15:C$2892,MATCH(_xlfn.MAXIFS(Rates_Daily!$A$15:$A$2892,Rates_Daily!$A$15:$A$2892,"&lt;="&amp;EOMONTH($A117,0),Rates_Daily!C$15:C$2892,"&gt;=-1E+99"),Rates_Daily!$A$15:$A$2892,0)),"")</f>
        <v>5.5</v>
      </c>
      <c r="D117" s="10" t="n">
        <f aca="false">IFERROR(INDEX(Rates_Daily!D$15:D$2892,MATCH(_xlfn.MAXIFS(Rates_Daily!$A$15:$A$2892,Rates_Daily!$A$15:$A$2892,"&lt;="&amp;EOMONTH($A117,0),Rates_Daily!D$15:D$2892,"&gt;=-1E+99"),Rates_Daily!$A$15:$A$2892,0)),"")</f>
        <v>5.25</v>
      </c>
      <c r="E117" s="10" t="n">
        <f aca="false">IFERROR(AVERAGEIFS(Rates_Daily!B$15:B$2892,Rates_Daily!$A$15:$A$2892,"&gt;="&amp;$A117,Rates_Daily!$A$15:$A$2892,"&lt;="&amp;EOMONTH($A117,0)),"")</f>
        <v>5.34318181818182</v>
      </c>
      <c r="F117" s="14" t="n">
        <v>5.48</v>
      </c>
      <c r="G117" s="14" t="n">
        <v>5.43</v>
      </c>
      <c r="H117" s="14" t="n">
        <v>5.25</v>
      </c>
      <c r="I117" s="14" t="n">
        <v>4.9</v>
      </c>
      <c r="J117" s="14" t="n">
        <v>5.31</v>
      </c>
      <c r="K117" s="10" t="n">
        <f aca="false">IFERROR(INDEX(Rates_Daily!F$15:F$2892,MATCH(_xlfn.MAXIFS(Rates_Daily!$A$15:$A$2892,Rates_Daily!$A$15:$A$2892,"&lt;="&amp;EOMONTH($A117,0),Rates_Daily!F$15:F$2892,"&gt;=-1E+99"),Rates_Daily!$A$15:$A$2892,0)),"")</f>
        <v>3.75</v>
      </c>
      <c r="L117" s="10" t="n">
        <f aca="false">IFERROR(AVERAGEIFS(Rates_Daily!E$15:E$2892,Rates_Daily!$A$15:$A$2892,"&gt;="&amp;$A117,Rates_Daily!$A$15:$A$2892,"&lt;="&amp;EOMONTH($A117,0)),"")</f>
        <v>3.66260869565217</v>
      </c>
      <c r="M117" s="14" t="n">
        <v>3.6175217</v>
      </c>
      <c r="N117" s="14" t="n">
        <v>3.6848261</v>
      </c>
      <c r="O117" s="14" t="n">
        <v>3.6435652</v>
      </c>
      <c r="P117" s="14" t="n">
        <v>3.525913</v>
      </c>
      <c r="Q117" s="14" t="n">
        <v>3.68482608695652</v>
      </c>
      <c r="R117" s="14" t="n">
        <v>5.25</v>
      </c>
      <c r="S117" s="14" t="n">
        <v>5.2</v>
      </c>
      <c r="T117" s="10" t="n">
        <f aca="false">IFERROR(AVERAGEIFS(Rates_Daily!I$15:I$2892,Rates_Daily!$A$15:$A$2892,"&gt;="&amp;$A117,Rates_Daily!$A$15:$A$2892,"&lt;="&amp;EOMONTH($A117,0)),"")</f>
        <v>5.13998410831304</v>
      </c>
      <c r="U117" s="10" t="n">
        <f aca="false">IFERROR(AVERAGEIFS(Rates_Daily!J$15:J$2892,Rates_Daily!$A$15:$A$2892,"&gt;="&amp;$A117,Rates_Daily!$A$15:$A$2892,"&lt;="&amp;EOMONTH($A117,0)),"")</f>
        <v>5.06351621877457</v>
      </c>
      <c r="V117" s="10" t="n">
        <f aca="false">IFERROR(AVERAGEIFS(Rates_Daily!K$15:K$2892,Rates_Daily!$A$15:$A$2892,"&gt;="&amp;$A117,Rates_Daily!$A$15:$A$2892,"&lt;="&amp;EOMONTH($A117,0)),"")</f>
        <v>4.94580710324475</v>
      </c>
      <c r="W117" s="10" t="n">
        <f aca="false">IFERROR(AVERAGEIFS(Rates_Daily!L$15:L$2892,Rates_Daily!$A$15:$A$2892,"&gt;="&amp;$A117,Rates_Daily!$A$15:$A$2892,"&lt;="&amp;EOMONTH($A117,0)),"")</f>
        <v>4.70316722716126</v>
      </c>
      <c r="X117" s="14" t="n">
        <v>5.09</v>
      </c>
      <c r="Y117" s="14" t="n">
        <v>4.5</v>
      </c>
      <c r="Z117" s="14" t="n">
        <v>4.5</v>
      </c>
      <c r="AA117" s="14" t="n">
        <v>4.415</v>
      </c>
      <c r="AB117" s="14" t="n">
        <v>4.428</v>
      </c>
      <c r="AC117" s="14" t="n">
        <v>4.373</v>
      </c>
      <c r="AD117" s="14" t="n">
        <v>4.76</v>
      </c>
      <c r="AE117" s="14" t="n">
        <v>3.5</v>
      </c>
      <c r="AF117" s="14" t="n">
        <v>3.518</v>
      </c>
      <c r="AG117" s="14" t="n">
        <v>3.54</v>
      </c>
      <c r="AH117" s="14" t="n">
        <v>3.48</v>
      </c>
      <c r="AI117" s="14" t="n">
        <v>3.46</v>
      </c>
      <c r="AJ117" s="14" t="n">
        <v>3.36</v>
      </c>
      <c r="AK117" s="14" t="n">
        <v>3.37</v>
      </c>
      <c r="AL117" s="14" t="n">
        <v>3.21</v>
      </c>
      <c r="AM117" s="14" t="n">
        <v>3.209</v>
      </c>
      <c r="AN117" s="14" t="n">
        <v>3.54</v>
      </c>
      <c r="AO117" s="10" t="n">
        <f aca="false">IFERROR(AVERAGEIFS(Rates_Daily!M$15:M$2892,Rates_Daily!$A$15:$A$2892,"&gt;="&amp;$A117,Rates_Daily!$A$15:$A$2892,"&lt;="&amp;EOMONTH($A117,0)),"")</f>
        <v>1.87373913043478</v>
      </c>
      <c r="AP117" s="10" t="n">
        <f aca="false">IFERROR(AVERAGEIFS(Rates_Daily!N$15:N$2892,Rates_Daily!$A$15:$A$2892,"&gt;="&amp;$A117,Rates_Daily!$A$15:$A$2892,"&lt;="&amp;EOMONTH($A117,0)),"")</f>
        <v>1.89534782608696</v>
      </c>
      <c r="AQ117" s="10" t="n">
        <f aca="false">IFERROR(AVERAGEIFS(Rates_Daily!O$15:O$2892,Rates_Daily!$A$15:$A$2892,"&gt;="&amp;$A117,Rates_Daily!$A$15:$A$2892,"&lt;="&amp;EOMONTH($A117,0)),"")</f>
        <v>1.949</v>
      </c>
      <c r="AR117" s="10" t="n">
        <f aca="false">IFERROR(AVERAGEIFS(Rates_Daily!P$15:P$2892,Rates_Daily!$A$15:$A$2892,"&gt;="&amp;$A117,Rates_Daily!$A$15:$A$2892,"&lt;="&amp;EOMONTH($A117,0)),"")</f>
        <v>2.00508260869565</v>
      </c>
      <c r="AS117" s="14" t="n">
        <v>3.35</v>
      </c>
      <c r="AT117" s="14" t="n">
        <v>3.85</v>
      </c>
      <c r="AU117" s="14" t="n">
        <v>2.21</v>
      </c>
      <c r="AV117" s="14" t="n">
        <v>10.4</v>
      </c>
      <c r="AW117" s="14" t="n">
        <v>10.5</v>
      </c>
      <c r="AX117" s="14" t="n">
        <v>0.166</v>
      </c>
      <c r="AY117" s="14" t="n">
        <v>0.078</v>
      </c>
      <c r="AZ117" s="16" t="str">
        <f aca="false">IF(EOMONTH($A117,0)&gt;MAX(Rates_Daily!$A$15:$A$2892),"partial month","complete")</f>
        <v>complete</v>
      </c>
    </row>
    <row r="118" customFormat="false" ht="15" hidden="false" customHeight="false" outlineLevel="0" collapsed="false">
      <c r="A118" s="17" t="n">
        <v>45505</v>
      </c>
      <c r="B118" s="14" t="n">
        <v>5.33</v>
      </c>
      <c r="C118" s="10" t="n">
        <f aca="false">IFERROR(INDEX(Rates_Daily!C$15:C$2892,MATCH(_xlfn.MAXIFS(Rates_Daily!$A$15:$A$2892,Rates_Daily!$A$15:$A$2892,"&lt;="&amp;EOMONTH($A118,0),Rates_Daily!C$15:C$2892,"&gt;=-1E+99"),Rates_Daily!$A$15:$A$2892,0)),"")</f>
        <v>5.5</v>
      </c>
      <c r="D118" s="10" t="n">
        <f aca="false">IFERROR(INDEX(Rates_Daily!D$15:D$2892,MATCH(_xlfn.MAXIFS(Rates_Daily!$A$15:$A$2892,Rates_Daily!$A$15:$A$2892,"&lt;="&amp;EOMONTH($A118,0),Rates_Daily!D$15:D$2892,"&gt;=-1E+99"),Rates_Daily!$A$15:$A$2892,0)),"")</f>
        <v>5.25</v>
      </c>
      <c r="E118" s="10" t="n">
        <f aca="false">IFERROR(AVERAGEIFS(Rates_Daily!B$15:B$2892,Rates_Daily!$A$15:$A$2892,"&gt;="&amp;$A118,Rates_Daily!$A$15:$A$2892,"&lt;="&amp;EOMONTH($A118,0)),"")</f>
        <v>5.33272727272727</v>
      </c>
      <c r="F118" s="14" t="n">
        <v>5.5</v>
      </c>
      <c r="G118" s="14" t="n">
        <v>5.3</v>
      </c>
      <c r="H118" s="14" t="n">
        <v>4.96</v>
      </c>
      <c r="I118" s="14" t="n">
        <v>4.43</v>
      </c>
      <c r="J118" s="14" t="n">
        <v>5.12</v>
      </c>
      <c r="K118" s="10" t="n">
        <f aca="false">IFERROR(INDEX(Rates_Daily!F$15:F$2892,MATCH(_xlfn.MAXIFS(Rates_Daily!$A$15:$A$2892,Rates_Daily!$A$15:$A$2892,"&lt;="&amp;EOMONTH($A118,0),Rates_Daily!F$15:F$2892,"&gt;=-1E+99"),Rates_Daily!$A$15:$A$2892,0)),"")</f>
        <v>3.75</v>
      </c>
      <c r="L118" s="10" t="n">
        <f aca="false">IFERROR(AVERAGEIFS(Rates_Daily!E$15:E$2892,Rates_Daily!$A$15:$A$2892,"&gt;="&amp;$A118,Rates_Daily!$A$15:$A$2892,"&lt;="&amp;EOMONTH($A118,0)),"")</f>
        <v>3.66340909090909</v>
      </c>
      <c r="M118" s="14" t="n">
        <v>3.5967273</v>
      </c>
      <c r="N118" s="14" t="n">
        <v>3.5475909</v>
      </c>
      <c r="O118" s="14" t="n">
        <v>3.4249091</v>
      </c>
      <c r="P118" s="14" t="n">
        <v>3.1661364</v>
      </c>
      <c r="Q118" s="14" t="n">
        <v>3.54759090909091</v>
      </c>
      <c r="R118" s="14" t="n">
        <v>5</v>
      </c>
      <c r="S118" s="14" t="n">
        <v>4.95</v>
      </c>
      <c r="T118" s="10" t="n">
        <f aca="false">IFERROR(AVERAGEIFS(Rates_Daily!I$15:I$2892,Rates_Daily!$A$15:$A$2892,"&gt;="&amp;$A118,Rates_Daily!$A$15:$A$2892,"&lt;="&amp;EOMONTH($A118,0)),"")</f>
        <v>4.94643474345648</v>
      </c>
      <c r="U118" s="10" t="n">
        <f aca="false">IFERROR(AVERAGEIFS(Rates_Daily!J$15:J$2892,Rates_Daily!$A$15:$A$2892,"&gt;="&amp;$A118,Rates_Daily!$A$15:$A$2892,"&lt;="&amp;EOMONTH($A118,0)),"")</f>
        <v>4.87186654758328</v>
      </c>
      <c r="V118" s="10" t="n">
        <f aca="false">IFERROR(AVERAGEIFS(Rates_Daily!K$15:K$2892,Rates_Daily!$A$15:$A$2892,"&gt;="&amp;$A118,Rates_Daily!$A$15:$A$2892,"&lt;="&amp;EOMONTH($A118,0)),"")</f>
        <v>4.71370029660617</v>
      </c>
      <c r="W118" s="10" t="n">
        <f aca="false">IFERROR(AVERAGEIFS(Rates_Daily!L$15:L$2892,Rates_Daily!$A$15:$A$2892,"&gt;="&amp;$A118,Rates_Daily!$A$15:$A$2892,"&lt;="&amp;EOMONTH($A118,0)),"")</f>
        <v>4.40472569180754</v>
      </c>
      <c r="X118" s="14" t="n">
        <v>4.91</v>
      </c>
      <c r="Y118" s="14" t="n">
        <v>4.5</v>
      </c>
      <c r="Z118" s="14" t="n">
        <v>4.5</v>
      </c>
      <c r="AA118" s="14" t="n">
        <v>4.397</v>
      </c>
      <c r="AB118" s="14" t="n">
        <v>4.337</v>
      </c>
      <c r="AC118" s="14" t="n">
        <v>4.216</v>
      </c>
      <c r="AD118" s="14" t="n">
        <v>4.74</v>
      </c>
      <c r="AE118" s="14" t="n">
        <v>3.5</v>
      </c>
      <c r="AF118" s="14" t="n">
        <v>3.531</v>
      </c>
      <c r="AG118" s="14" t="n">
        <v>3.5</v>
      </c>
      <c r="AH118" s="14" t="n">
        <v>3.45</v>
      </c>
      <c r="AI118" s="14" t="n">
        <v>3.42</v>
      </c>
      <c r="AJ118" s="14" t="n">
        <v>3.32</v>
      </c>
      <c r="AK118" s="14" t="n">
        <v>3.285</v>
      </c>
      <c r="AL118" s="14" t="n">
        <v>3.048</v>
      </c>
      <c r="AM118" s="14" t="n">
        <v>3.073</v>
      </c>
      <c r="AN118" s="14" t="n">
        <v>3.5</v>
      </c>
      <c r="AO118" s="10" t="n">
        <f aca="false">IFERROR(AVERAGEIFS(Rates_Daily!M$15:M$2892,Rates_Daily!$A$15:$A$2892,"&gt;="&amp;$A118,Rates_Daily!$A$15:$A$2892,"&lt;="&amp;EOMONTH($A118,0)),"")</f>
        <v>1.81513636363636</v>
      </c>
      <c r="AP118" s="10" t="n">
        <f aca="false">IFERROR(AVERAGEIFS(Rates_Daily!N$15:N$2892,Rates_Daily!$A$15:$A$2892,"&gt;="&amp;$A118,Rates_Daily!$A$15:$A$2892,"&lt;="&amp;EOMONTH($A118,0)),"")</f>
        <v>1.84284090909091</v>
      </c>
      <c r="AQ118" s="10" t="n">
        <f aca="false">IFERROR(AVERAGEIFS(Rates_Daily!O$15:O$2892,Rates_Daily!$A$15:$A$2892,"&gt;="&amp;$A118,Rates_Daily!$A$15:$A$2892,"&lt;="&amp;EOMONTH($A118,0)),"")</f>
        <v>1.89029545454545</v>
      </c>
      <c r="AR118" s="10" t="n">
        <f aca="false">IFERROR(AVERAGEIFS(Rates_Daily!P$15:P$2892,Rates_Daily!$A$15:$A$2892,"&gt;="&amp;$A118,Rates_Daily!$A$15:$A$2892,"&lt;="&amp;EOMONTH($A118,0)),"")</f>
        <v>1.93468181818182</v>
      </c>
      <c r="AS118" s="14" t="n">
        <v>3.35</v>
      </c>
      <c r="AT118" s="14" t="n">
        <v>3.85</v>
      </c>
      <c r="AU118" s="14" t="n">
        <v>2.04</v>
      </c>
      <c r="AV118" s="14" t="n">
        <v>10.4</v>
      </c>
      <c r="AW118" s="14" t="n">
        <v>10.5</v>
      </c>
      <c r="AX118" s="14" t="n">
        <v>0.255</v>
      </c>
      <c r="AY118" s="14" t="n">
        <v>0.227</v>
      </c>
      <c r="AZ118" s="16" t="str">
        <f aca="false">IF(EOMONTH($A118,0)&gt;MAX(Rates_Daily!$A$15:$A$2892),"partial month","complete")</f>
        <v>complete</v>
      </c>
    </row>
    <row r="119" customFormat="false" ht="15" hidden="false" customHeight="false" outlineLevel="0" collapsed="false">
      <c r="A119" s="17" t="n">
        <v>45536</v>
      </c>
      <c r="B119" s="14" t="n">
        <v>5.13</v>
      </c>
      <c r="C119" s="10" t="n">
        <f aca="false">IFERROR(INDEX(Rates_Daily!C$15:C$2892,MATCH(_xlfn.MAXIFS(Rates_Daily!$A$15:$A$2892,Rates_Daily!$A$15:$A$2892,"&lt;="&amp;EOMONTH($A119,0),Rates_Daily!C$15:C$2892,"&gt;=-1E+99"),Rates_Daily!$A$15:$A$2892,0)),"")</f>
        <v>5</v>
      </c>
      <c r="D119" s="10" t="n">
        <f aca="false">IFERROR(INDEX(Rates_Daily!D$15:D$2892,MATCH(_xlfn.MAXIFS(Rates_Daily!$A$15:$A$2892,Rates_Daily!$A$15:$A$2892,"&lt;="&amp;EOMONTH($A119,0),Rates_Daily!D$15:D$2892,"&gt;=-1E+99"),Rates_Daily!$A$15:$A$2892,0)),"")</f>
        <v>4.75</v>
      </c>
      <c r="E119" s="10" t="n">
        <f aca="false">IFERROR(AVERAGEIFS(Rates_Daily!B$15:B$2892,Rates_Daily!$A$15:$A$2892,"&gt;="&amp;$A119,Rates_Daily!$A$15:$A$2892,"&lt;="&amp;EOMONTH($A119,0)),"")</f>
        <v>5.1455</v>
      </c>
      <c r="F119" s="14" t="n">
        <v>5.06</v>
      </c>
      <c r="G119" s="14" t="n">
        <v>4.92</v>
      </c>
      <c r="H119" s="14" t="n">
        <v>4.55</v>
      </c>
      <c r="I119" s="14" t="n">
        <v>4.03</v>
      </c>
      <c r="J119" s="14" t="n">
        <v>4.86</v>
      </c>
      <c r="K119" s="10" t="n">
        <f aca="false">IFERROR(INDEX(Rates_Daily!F$15:F$2892,MATCH(_xlfn.MAXIFS(Rates_Daily!$A$15:$A$2892,Rates_Daily!$A$15:$A$2892,"&lt;="&amp;EOMONTH($A119,0),Rates_Daily!F$15:F$2892,"&gt;=-1E+99"),Rates_Daily!$A$15:$A$2892,0)),"")</f>
        <v>3.5</v>
      </c>
      <c r="L119" s="10" t="n">
        <f aca="false">IFERROR(AVERAGEIFS(Rates_Daily!E$15:E$2892,Rates_Daily!$A$15:$A$2892,"&gt;="&amp;$A119,Rates_Daily!$A$15:$A$2892,"&lt;="&amp;EOMONTH($A119,0)),"")</f>
        <v>3.55652380952381</v>
      </c>
      <c r="M119" s="14" t="n">
        <v>3.4380952</v>
      </c>
      <c r="N119" s="14" t="n">
        <v>3.4337143</v>
      </c>
      <c r="O119" s="14" t="n">
        <v>3.2578095</v>
      </c>
      <c r="P119" s="14" t="n">
        <v>2.9360476</v>
      </c>
      <c r="Q119" s="14" t="n">
        <v>3.43371428571428</v>
      </c>
      <c r="R119" s="14" t="n">
        <v>5</v>
      </c>
      <c r="S119" s="14" t="n">
        <v>4.95</v>
      </c>
      <c r="T119" s="10" t="n">
        <f aca="false">IFERROR(AVERAGEIFS(Rates_Daily!I$15:I$2892,Rates_Daily!$A$15:$A$2892,"&gt;="&amp;$A119,Rates_Daily!$A$15:$A$2892,"&lt;="&amp;EOMONTH($A119,0)),"")</f>
        <v>4.92747552428264</v>
      </c>
      <c r="U119" s="10" t="n">
        <f aca="false">IFERROR(AVERAGEIFS(Rates_Daily!J$15:J$2892,Rates_Daily!$A$15:$A$2892,"&gt;="&amp;$A119,Rates_Daily!$A$15:$A$2892,"&lt;="&amp;EOMONTH($A119,0)),"")</f>
        <v>4.81074701108552</v>
      </c>
      <c r="V119" s="10" t="n">
        <f aca="false">IFERROR(AVERAGEIFS(Rates_Daily!K$15:K$2892,Rates_Daily!$A$15:$A$2892,"&gt;="&amp;$A119,Rates_Daily!$A$15:$A$2892,"&lt;="&amp;EOMONTH($A119,0)),"")</f>
        <v>4.59934178582031</v>
      </c>
      <c r="W119" s="10" t="n">
        <f aca="false">IFERROR(AVERAGEIFS(Rates_Daily!L$15:L$2892,Rates_Daily!$A$15:$A$2892,"&gt;="&amp;$A119,Rates_Daily!$A$15:$A$2892,"&lt;="&amp;EOMONTH($A119,0)),"")</f>
        <v>4.21170596844417</v>
      </c>
      <c r="X119" s="14" t="n">
        <v>4.84</v>
      </c>
      <c r="Y119" s="14" t="n">
        <v>4.5</v>
      </c>
      <c r="Z119" s="14" t="n">
        <v>4.5</v>
      </c>
      <c r="AA119" s="14" t="n">
        <v>4.418</v>
      </c>
      <c r="AB119" s="14" t="n">
        <v>4.347</v>
      </c>
      <c r="AC119" s="14" t="n">
        <v>4.144</v>
      </c>
      <c r="AD119" s="14" t="n">
        <v>4.73</v>
      </c>
      <c r="AE119" s="14" t="n">
        <v>3.5</v>
      </c>
      <c r="AF119" s="14" t="n">
        <v>3.529</v>
      </c>
      <c r="AG119" s="14" t="n">
        <v>3.52</v>
      </c>
      <c r="AH119" s="14" t="n">
        <v>3.49</v>
      </c>
      <c r="AI119" s="14" t="n">
        <v>3.43</v>
      </c>
      <c r="AJ119" s="14" t="n">
        <v>3.3</v>
      </c>
      <c r="AK119" s="14" t="n">
        <v>3.202</v>
      </c>
      <c r="AL119" s="14" t="n">
        <v>2.921</v>
      </c>
      <c r="AM119" s="14" t="n">
        <v>2.939</v>
      </c>
      <c r="AN119" s="14" t="n">
        <v>3.52</v>
      </c>
      <c r="AO119" s="10" t="n">
        <f aca="false">IFERROR(AVERAGEIFS(Rates_Daily!M$15:M$2892,Rates_Daily!$A$15:$A$2892,"&gt;="&amp;$A119,Rates_Daily!$A$15:$A$2892,"&lt;="&amp;EOMONTH($A119,0)),"")</f>
        <v>1.82842857142857</v>
      </c>
      <c r="AP119" s="10" t="n">
        <f aca="false">IFERROR(AVERAGEIFS(Rates_Daily!N$15:N$2892,Rates_Daily!$A$15:$A$2892,"&gt;="&amp;$A119,Rates_Daily!$A$15:$A$2892,"&lt;="&amp;EOMONTH($A119,0)),"")</f>
        <v>1.84766666666667</v>
      </c>
      <c r="AQ119" s="10" t="n">
        <f aca="false">IFERROR(AVERAGEIFS(Rates_Daily!O$15:O$2892,Rates_Daily!$A$15:$A$2892,"&gt;="&amp;$A119,Rates_Daily!$A$15:$A$2892,"&lt;="&amp;EOMONTH($A119,0)),"")</f>
        <v>1.90319047619048</v>
      </c>
      <c r="AR119" s="10" t="n">
        <f aca="false">IFERROR(AVERAGEIFS(Rates_Daily!P$15:P$2892,Rates_Daily!$A$15:$A$2892,"&gt;="&amp;$A119,Rates_Daily!$A$15:$A$2892,"&lt;="&amp;EOMONTH($A119,0)),"")</f>
        <v>1.95059523809524</v>
      </c>
      <c r="AS119" s="14" t="n">
        <v>3.35</v>
      </c>
      <c r="AT119" s="14" t="n">
        <v>3.85</v>
      </c>
      <c r="AU119" s="14" t="n">
        <v>2.06</v>
      </c>
      <c r="AV119" s="14" t="n">
        <v>10.5</v>
      </c>
      <c r="AW119" s="14" t="n">
        <v>10.6</v>
      </c>
      <c r="AX119" s="14" t="n">
        <v>0.256</v>
      </c>
      <c r="AY119" s="14" t="n">
        <v>0.227</v>
      </c>
      <c r="AZ119" s="16" t="str">
        <f aca="false">IF(EOMONTH($A119,0)&gt;MAX(Rates_Daily!$A$15:$A$2892),"partial month","complete")</f>
        <v>complete</v>
      </c>
    </row>
    <row r="120" customFormat="false" ht="15" hidden="false" customHeight="false" outlineLevel="0" collapsed="false">
      <c r="A120" s="17" t="n">
        <v>45566</v>
      </c>
      <c r="B120" s="14" t="n">
        <v>4.83</v>
      </c>
      <c r="C120" s="10" t="n">
        <f aca="false">IFERROR(INDEX(Rates_Daily!C$15:C$2892,MATCH(_xlfn.MAXIFS(Rates_Daily!$A$15:$A$2892,Rates_Daily!$A$15:$A$2892,"&lt;="&amp;EOMONTH($A120,0),Rates_Daily!C$15:C$2892,"&gt;=-1E+99"),Rates_Daily!$A$15:$A$2892,0)),"")</f>
        <v>5</v>
      </c>
      <c r="D120" s="10" t="n">
        <f aca="false">IFERROR(INDEX(Rates_Daily!D$15:D$2892,MATCH(_xlfn.MAXIFS(Rates_Daily!$A$15:$A$2892,Rates_Daily!$A$15:$A$2892,"&lt;="&amp;EOMONTH($A120,0),Rates_Daily!D$15:D$2892,"&gt;=-1E+99"),Rates_Daily!$A$15:$A$2892,0)),"")</f>
        <v>4.75</v>
      </c>
      <c r="E120" s="10" t="n">
        <f aca="false">IFERROR(AVERAGEIFS(Rates_Daily!B$15:B$2892,Rates_Daily!$A$15:$A$2892,"&gt;="&amp;$A120,Rates_Daily!$A$15:$A$2892,"&lt;="&amp;EOMONTH($A120,0)),"")</f>
        <v>4.84909090909091</v>
      </c>
      <c r="F120" s="14" t="n">
        <v>4.92</v>
      </c>
      <c r="G120" s="14" t="n">
        <v>4.72</v>
      </c>
      <c r="H120" s="14" t="n">
        <v>4.44</v>
      </c>
      <c r="I120" s="14" t="n">
        <v>4.2</v>
      </c>
      <c r="J120" s="14" t="n">
        <v>4.62</v>
      </c>
      <c r="K120" s="10" t="n">
        <f aca="false">IFERROR(INDEX(Rates_Daily!F$15:F$2892,MATCH(_xlfn.MAXIFS(Rates_Daily!$A$15:$A$2892,Rates_Daily!$A$15:$A$2892,"&lt;="&amp;EOMONTH($A120,0),Rates_Daily!F$15:F$2892,"&gt;=-1E+99"),Rates_Daily!$A$15:$A$2892,0)),"")</f>
        <v>3.25</v>
      </c>
      <c r="L120" s="10" t="n">
        <f aca="false">IFERROR(AVERAGEIFS(Rates_Daily!E$15:E$2892,Rates_Daily!$A$15:$A$2892,"&gt;="&amp;$A120,Rates_Daily!$A$15:$A$2892,"&lt;="&amp;EOMONTH($A120,0)),"")</f>
        <v>3.33752173913044</v>
      </c>
      <c r="M120" s="14" t="n">
        <v>3.2054783</v>
      </c>
      <c r="N120" s="14" t="n">
        <v>3.1666087</v>
      </c>
      <c r="O120" s="14" t="n">
        <v>3.0016087</v>
      </c>
      <c r="P120" s="14" t="n">
        <v>2.6913043</v>
      </c>
      <c r="Q120" s="14" t="n">
        <v>3.16660869565217</v>
      </c>
      <c r="R120" s="14" t="n">
        <v>5</v>
      </c>
      <c r="S120" s="14" t="n">
        <v>4.95</v>
      </c>
      <c r="T120" s="10" t="n">
        <f aca="false">IFERROR(AVERAGEIFS(Rates_Daily!I$15:I$2892,Rates_Daily!$A$15:$A$2892,"&gt;="&amp;$A120,Rates_Daily!$A$15:$A$2892,"&lt;="&amp;EOMONTH($A120,0)),"")</f>
        <v>4.87419958398188</v>
      </c>
      <c r="U120" s="10" t="n">
        <f aca="false">IFERROR(AVERAGEIFS(Rates_Daily!J$15:J$2892,Rates_Daily!$A$15:$A$2892,"&gt;="&amp;$A120,Rates_Daily!$A$15:$A$2892,"&lt;="&amp;EOMONTH($A120,0)),"")</f>
        <v>4.72659453420463</v>
      </c>
      <c r="V120" s="10" t="n">
        <f aca="false">IFERROR(AVERAGEIFS(Rates_Daily!K$15:K$2892,Rates_Daily!$A$15:$A$2892,"&gt;="&amp;$A120,Rates_Daily!$A$15:$A$2892,"&lt;="&amp;EOMONTH($A120,0)),"")</f>
        <v>4.53323629138855</v>
      </c>
      <c r="W120" s="10" t="n">
        <f aca="false">IFERROR(AVERAGEIFS(Rates_Daily!L$15:L$2892,Rates_Daily!$A$15:$A$2892,"&gt;="&amp;$A120,Rates_Daily!$A$15:$A$2892,"&lt;="&amp;EOMONTH($A120,0)),"")</f>
        <v>4.22254780767086</v>
      </c>
      <c r="X120" s="14" t="n">
        <v>4.75</v>
      </c>
      <c r="Y120" s="14" t="n">
        <v>4.5</v>
      </c>
      <c r="Z120" s="14" t="n">
        <v>4.5</v>
      </c>
      <c r="AA120" s="14" t="n">
        <v>4.446</v>
      </c>
      <c r="AB120" s="14" t="n">
        <v>4.435</v>
      </c>
      <c r="AC120" s="14" t="n">
        <v>4.167</v>
      </c>
      <c r="AD120" s="14" t="n">
        <v>4.7</v>
      </c>
      <c r="AE120" s="14" t="n">
        <v>3.25</v>
      </c>
      <c r="AF120" s="14" t="n">
        <v>3.321</v>
      </c>
      <c r="AG120" s="14" t="n">
        <v>3.43</v>
      </c>
      <c r="AH120" s="14" t="n">
        <v>3.43</v>
      </c>
      <c r="AI120" s="14" t="n">
        <v>3.38</v>
      </c>
      <c r="AJ120" s="14" t="n">
        <v>3.23</v>
      </c>
      <c r="AK120" s="14" t="n">
        <v>3.094</v>
      </c>
      <c r="AL120" s="14" t="n">
        <v>2.86</v>
      </c>
      <c r="AM120" s="14" t="n">
        <v>2.857</v>
      </c>
      <c r="AN120" s="14" t="n">
        <v>3.43</v>
      </c>
      <c r="AO120" s="10" t="n">
        <f aca="false">IFERROR(AVERAGEIFS(Rates_Daily!M$15:M$2892,Rates_Daily!$A$15:$A$2892,"&gt;="&amp;$A120,Rates_Daily!$A$15:$A$2892,"&lt;="&amp;EOMONTH($A120,0)),"")</f>
        <v>1.82005263157895</v>
      </c>
      <c r="AP120" s="10" t="n">
        <f aca="false">IFERROR(AVERAGEIFS(Rates_Daily!N$15:N$2892,Rates_Daily!$A$15:$A$2892,"&gt;="&amp;$A120,Rates_Daily!$A$15:$A$2892,"&lt;="&amp;EOMONTH($A120,0)),"")</f>
        <v>1.86052631578947</v>
      </c>
      <c r="AQ120" s="10" t="n">
        <f aca="false">IFERROR(AVERAGEIFS(Rates_Daily!O$15:O$2892,Rates_Daily!$A$15:$A$2892,"&gt;="&amp;$A120,Rates_Daily!$A$15:$A$2892,"&lt;="&amp;EOMONTH($A120,0)),"")</f>
        <v>1.90568421052632</v>
      </c>
      <c r="AR120" s="10" t="n">
        <f aca="false">IFERROR(AVERAGEIFS(Rates_Daily!P$15:P$2892,Rates_Daily!$A$15:$A$2892,"&gt;="&amp;$A120,Rates_Daily!$A$15:$A$2892,"&lt;="&amp;EOMONTH($A120,0)),"")</f>
        <v>1.93742105263158</v>
      </c>
      <c r="AS120" s="14" t="n">
        <v>3.1</v>
      </c>
      <c r="AT120" s="14" t="n">
        <v>3.6</v>
      </c>
      <c r="AU120" s="14" t="n">
        <v>2.1</v>
      </c>
      <c r="AV120" s="14" t="n">
        <v>10.65</v>
      </c>
      <c r="AW120" s="14" t="n">
        <v>10.75</v>
      </c>
      <c r="AX120" s="14" t="n">
        <v>0.256</v>
      </c>
      <c r="AY120" s="14" t="n">
        <v>0.227</v>
      </c>
      <c r="AZ120" s="16" t="str">
        <f aca="false">IF(EOMONTH($A120,0)&gt;MAX(Rates_Daily!$A$15:$A$2892),"partial month","complete")</f>
        <v>complete</v>
      </c>
    </row>
    <row r="121" customFormat="false" ht="15" hidden="false" customHeight="false" outlineLevel="0" collapsed="false">
      <c r="A121" s="17" t="n">
        <v>45597</v>
      </c>
      <c r="B121" s="14" t="n">
        <v>4.64</v>
      </c>
      <c r="C121" s="10" t="n">
        <f aca="false">IFERROR(INDEX(Rates_Daily!C$15:C$2892,MATCH(_xlfn.MAXIFS(Rates_Daily!$A$15:$A$2892,Rates_Daily!$A$15:$A$2892,"&lt;="&amp;EOMONTH($A121,0),Rates_Daily!C$15:C$2892,"&gt;=-1E+99"),Rates_Daily!$A$15:$A$2892,0)),"")</f>
        <v>4.75</v>
      </c>
      <c r="D121" s="10" t="n">
        <f aca="false">IFERROR(INDEX(Rates_Daily!D$15:D$2892,MATCH(_xlfn.MAXIFS(Rates_Daily!$A$15:$A$2892,Rates_Daily!$A$15:$A$2892,"&lt;="&amp;EOMONTH($A121,0),Rates_Daily!D$15:D$2892,"&gt;=-1E+99"),Rates_Daily!$A$15:$A$2892,0)),"")</f>
        <v>4.5</v>
      </c>
      <c r="E121" s="10" t="n">
        <f aca="false">IFERROR(AVERAGEIFS(Rates_Daily!B$15:B$2892,Rates_Daily!$A$15:$A$2892,"&gt;="&amp;$A121,Rates_Daily!$A$15:$A$2892,"&lt;="&amp;EOMONTH($A121,0)),"")</f>
        <v>4.64368421052632</v>
      </c>
      <c r="F121" s="14" t="n">
        <v>4.71</v>
      </c>
      <c r="G121" s="14" t="n">
        <v>4.62</v>
      </c>
      <c r="H121" s="14" t="n">
        <v>4.43</v>
      </c>
      <c r="I121" s="14" t="n">
        <v>4.33</v>
      </c>
      <c r="J121" s="14" t="n">
        <v>4.53</v>
      </c>
      <c r="K121" s="10" t="n">
        <f aca="false">IFERROR(INDEX(Rates_Daily!F$15:F$2892,MATCH(_xlfn.MAXIFS(Rates_Daily!$A$15:$A$2892,Rates_Daily!$A$15:$A$2892,"&lt;="&amp;EOMONTH($A121,0),Rates_Daily!F$15:F$2892,"&gt;=-1E+99"),Rates_Daily!$A$15:$A$2892,0)),"")</f>
        <v>3.25</v>
      </c>
      <c r="L121" s="10" t="n">
        <f aca="false">IFERROR(AVERAGEIFS(Rates_Daily!E$15:E$2892,Rates_Daily!$A$15:$A$2892,"&gt;="&amp;$A121,Rates_Daily!$A$15:$A$2892,"&lt;="&amp;EOMONTH($A121,0)),"")</f>
        <v>3.16442857142857</v>
      </c>
      <c r="M121" s="14" t="n">
        <v>3.0664286</v>
      </c>
      <c r="N121" s="14" t="n">
        <v>3.0067619</v>
      </c>
      <c r="O121" s="14" t="n">
        <v>2.7875238</v>
      </c>
      <c r="P121" s="14" t="n">
        <v>2.5055714</v>
      </c>
      <c r="Q121" s="14" t="n">
        <v>3.0067619047619</v>
      </c>
      <c r="R121" s="14" t="n">
        <v>4.7976</v>
      </c>
      <c r="S121" s="14" t="n">
        <v>4.7476</v>
      </c>
      <c r="T121" s="10" t="n">
        <f aca="false">IFERROR(AVERAGEIFS(Rates_Daily!I$15:I$2892,Rates_Daily!$A$15:$A$2892,"&gt;="&amp;$A121,Rates_Daily!$A$15:$A$2892,"&lt;="&amp;EOMONTH($A121,0)),"")</f>
        <v>4.70928462979178</v>
      </c>
      <c r="U121" s="10" t="n">
        <f aca="false">IFERROR(AVERAGEIFS(Rates_Daily!J$15:J$2892,Rates_Daily!$A$15:$A$2892,"&gt;="&amp;$A121,Rates_Daily!$A$15:$A$2892,"&lt;="&amp;EOMONTH($A121,0)),"")</f>
        <v>4.65141266436124</v>
      </c>
      <c r="V121" s="10" t="n">
        <f aca="false">IFERROR(AVERAGEIFS(Rates_Daily!K$15:K$2892,Rates_Daily!$A$15:$A$2892,"&gt;="&amp;$A121,Rates_Daily!$A$15:$A$2892,"&lt;="&amp;EOMONTH($A121,0)),"")</f>
        <v>4.52984639143465</v>
      </c>
      <c r="W121" s="10" t="n">
        <f aca="false">IFERROR(AVERAGEIFS(Rates_Daily!L$15:L$2892,Rates_Daily!$A$15:$A$2892,"&gt;="&amp;$A121,Rates_Daily!$A$15:$A$2892,"&lt;="&amp;EOMONTH($A121,0)),"")</f>
        <v>4.33921801928454</v>
      </c>
      <c r="X121" s="14" t="n">
        <v>4.68</v>
      </c>
      <c r="Y121" s="14" t="n">
        <v>4.5</v>
      </c>
      <c r="Z121" s="14" t="n">
        <v>4.5</v>
      </c>
      <c r="AA121" s="14" t="n">
        <v>4.467</v>
      </c>
      <c r="AB121" s="14" t="n">
        <v>4.378</v>
      </c>
      <c r="AC121" s="14" t="n">
        <v>4.261</v>
      </c>
      <c r="AD121" s="14" t="n">
        <v>4.7</v>
      </c>
      <c r="AE121" s="14" t="n">
        <v>3</v>
      </c>
      <c r="AF121" s="14" t="n">
        <v>3.245</v>
      </c>
      <c r="AG121" s="14" t="n">
        <v>3.42</v>
      </c>
      <c r="AH121" s="14" t="n">
        <v>3.4</v>
      </c>
      <c r="AI121" s="14" t="n">
        <v>3.4</v>
      </c>
      <c r="AJ121" s="14" t="n">
        <v>3.24</v>
      </c>
      <c r="AK121" s="14" t="n">
        <v>3.043</v>
      </c>
      <c r="AL121" s="14" t="n">
        <v>2.824</v>
      </c>
      <c r="AM121" s="14" t="n">
        <v>2.861</v>
      </c>
      <c r="AN121" s="14" t="n">
        <v>3.42</v>
      </c>
      <c r="AO121" s="10" t="n">
        <f aca="false">IFERROR(AVERAGEIFS(Rates_Daily!M$15:M$2892,Rates_Daily!$A$15:$A$2892,"&gt;="&amp;$A121,Rates_Daily!$A$15:$A$2892,"&lt;="&amp;EOMONTH($A121,0)),"")</f>
        <v>1.79533333333333</v>
      </c>
      <c r="AP121" s="10" t="n">
        <f aca="false">IFERROR(AVERAGEIFS(Rates_Daily!N$15:N$2892,Rates_Daily!$A$15:$A$2892,"&gt;="&amp;$A121,Rates_Daily!$A$15:$A$2892,"&lt;="&amp;EOMONTH($A121,0)),"")</f>
        <v>1.86266666666667</v>
      </c>
      <c r="AQ121" s="10" t="n">
        <f aca="false">IFERROR(AVERAGEIFS(Rates_Daily!O$15:O$2892,Rates_Daily!$A$15:$A$2892,"&gt;="&amp;$A121,Rates_Daily!$A$15:$A$2892,"&lt;="&amp;EOMONTH($A121,0)),"")</f>
        <v>1.88809523809524</v>
      </c>
      <c r="AR121" s="10" t="n">
        <f aca="false">IFERROR(AVERAGEIFS(Rates_Daily!P$15:P$2892,Rates_Daily!$A$15:$A$2892,"&gt;="&amp;$A121,Rates_Daily!$A$15:$A$2892,"&lt;="&amp;EOMONTH($A121,0)),"")</f>
        <v>1.90990476190476</v>
      </c>
      <c r="AS121" s="14" t="n">
        <v>3.1</v>
      </c>
      <c r="AT121" s="14" t="n">
        <v>3.6</v>
      </c>
      <c r="AU121" s="14" t="n">
        <v>2.04</v>
      </c>
      <c r="AV121" s="14" t="n">
        <v>11.04</v>
      </c>
      <c r="AW121" s="14" t="n">
        <v>11.15</v>
      </c>
      <c r="AX121" s="14" t="n">
        <v>0.362</v>
      </c>
      <c r="AY121" s="14" t="n">
        <v>0.227</v>
      </c>
      <c r="AZ121" s="16" t="str">
        <f aca="false">IF(EOMONTH($A121,0)&gt;MAX(Rates_Daily!$A$15:$A$2892),"partial month","complete")</f>
        <v>complete</v>
      </c>
    </row>
    <row r="122" customFormat="false" ht="15" hidden="false" customHeight="false" outlineLevel="0" collapsed="false">
      <c r="A122" s="17" t="n">
        <v>45627</v>
      </c>
      <c r="B122" s="14" t="n">
        <v>4.48</v>
      </c>
      <c r="C122" s="10" t="n">
        <f aca="false">IFERROR(INDEX(Rates_Daily!C$15:C$2892,MATCH(_xlfn.MAXIFS(Rates_Daily!$A$15:$A$2892,Rates_Daily!$A$15:$A$2892,"&lt;="&amp;EOMONTH($A122,0),Rates_Daily!C$15:C$2892,"&gt;=-1E+99"),Rates_Daily!$A$15:$A$2892,0)),"")</f>
        <v>4.5</v>
      </c>
      <c r="D122" s="10" t="n">
        <f aca="false">IFERROR(INDEX(Rates_Daily!D$15:D$2892,MATCH(_xlfn.MAXIFS(Rates_Daily!$A$15:$A$2892,Rates_Daily!$A$15:$A$2892,"&lt;="&amp;EOMONTH($A122,0),Rates_Daily!D$15:D$2892,"&gt;=-1E+99"),Rates_Daily!$A$15:$A$2892,0)),"")</f>
        <v>4.25</v>
      </c>
      <c r="E122" s="10" t="n">
        <f aca="false">IFERROR(AVERAGEIFS(Rates_Daily!B$15:B$2892,Rates_Daily!$A$15:$A$2892,"&gt;="&amp;$A122,Rates_Daily!$A$15:$A$2892,"&lt;="&amp;EOMONTH($A122,0)),"")</f>
        <v>4.53190476190476</v>
      </c>
      <c r="F122" s="14" t="n">
        <v>4.5</v>
      </c>
      <c r="G122" s="14" t="n">
        <v>4.39</v>
      </c>
      <c r="H122" s="14" t="n">
        <v>4.32</v>
      </c>
      <c r="I122" s="14" t="n">
        <v>4.23</v>
      </c>
      <c r="J122" s="14" t="n">
        <v>4.46</v>
      </c>
      <c r="K122" s="10" t="n">
        <f aca="false">IFERROR(INDEX(Rates_Daily!F$15:F$2892,MATCH(_xlfn.MAXIFS(Rates_Daily!$A$15:$A$2892,Rates_Daily!$A$15:$A$2892,"&lt;="&amp;EOMONTH($A122,0),Rates_Daily!F$15:F$2892,"&gt;=-1E+99"),Rates_Daily!$A$15:$A$2892,0)),"")</f>
        <v>3</v>
      </c>
      <c r="L122" s="10" t="n">
        <f aca="false">IFERROR(AVERAGEIFS(Rates_Daily!E$15:E$2892,Rates_Daily!$A$15:$A$2892,"&gt;="&amp;$A122,Rates_Daily!$A$15:$A$2892,"&lt;="&amp;EOMONTH($A122,0)),"")</f>
        <v>3.06415</v>
      </c>
      <c r="M122" s="14" t="n">
        <v>2.89005</v>
      </c>
      <c r="N122" s="14" t="n">
        <v>2.8246</v>
      </c>
      <c r="O122" s="14" t="n">
        <v>2.63215</v>
      </c>
      <c r="P122" s="14" t="n">
        <v>2.43605</v>
      </c>
      <c r="Q122" s="14" t="n">
        <v>2.81609090909091</v>
      </c>
      <c r="R122" s="14" t="n">
        <v>4.75</v>
      </c>
      <c r="S122" s="14" t="n">
        <v>4.7</v>
      </c>
      <c r="T122" s="10" t="n">
        <f aca="false">IFERROR(AVERAGEIFS(Rates_Daily!I$15:I$2892,Rates_Daily!$A$15:$A$2892,"&gt;="&amp;$A122,Rates_Daily!$A$15:$A$2892,"&lt;="&amp;EOMONTH($A122,0)),"")</f>
        <v>4.69342732732584</v>
      </c>
      <c r="U122" s="10" t="n">
        <f aca="false">IFERROR(AVERAGEIFS(Rates_Daily!J$15:J$2892,Rates_Daily!$A$15:$A$2892,"&gt;="&amp;$A122,Rates_Daily!$A$15:$A$2892,"&lt;="&amp;EOMONTH($A122,0)),"")</f>
        <v>4.61994264927087</v>
      </c>
      <c r="V122" s="10" t="n">
        <f aca="false">IFERROR(AVERAGEIFS(Rates_Daily!K$15:K$2892,Rates_Daily!$A$15:$A$2892,"&gt;="&amp;$A122,Rates_Daily!$A$15:$A$2892,"&lt;="&amp;EOMONTH($A122,0)),"")</f>
        <v>4.50364355112445</v>
      </c>
      <c r="W122" s="10" t="n">
        <f aca="false">IFERROR(AVERAGEIFS(Rates_Daily!L$15:L$2892,Rates_Daily!$A$15:$A$2892,"&gt;="&amp;$A122,Rates_Daily!$A$15:$A$2892,"&lt;="&amp;EOMONTH($A122,0)),"")</f>
        <v>4.32508819192039</v>
      </c>
      <c r="X122" s="14" t="n">
        <v>4.64</v>
      </c>
      <c r="Y122" s="14" t="n">
        <v>4.5</v>
      </c>
      <c r="Z122" s="14" t="n">
        <v>4.5</v>
      </c>
      <c r="AA122" s="14" t="n">
        <v>4.447</v>
      </c>
      <c r="AB122" s="14" t="n">
        <v>4.356</v>
      </c>
      <c r="AC122" s="14" t="n">
        <v>4.227</v>
      </c>
      <c r="AD122" s="14" t="n">
        <v>4.68</v>
      </c>
      <c r="AE122" s="14" t="n">
        <v>3</v>
      </c>
      <c r="AF122" s="14" t="n">
        <v>3.055</v>
      </c>
      <c r="AG122" s="14" t="n">
        <v>3.35</v>
      </c>
      <c r="AH122" s="14" t="n">
        <v>3.31</v>
      </c>
      <c r="AI122" s="14" t="n">
        <v>3.29</v>
      </c>
      <c r="AJ122" s="14" t="n">
        <v>3.03</v>
      </c>
      <c r="AK122" s="14" t="n">
        <v>2.969</v>
      </c>
      <c r="AL122" s="14" t="n">
        <v>2.698</v>
      </c>
      <c r="AM122" s="14" t="n">
        <v>2.709</v>
      </c>
      <c r="AN122" s="14" t="n">
        <v>3.35</v>
      </c>
      <c r="AO122" s="10" t="n">
        <f aca="false">IFERROR(AVERAGEIFS(Rates_Daily!M$15:M$2892,Rates_Daily!$A$15:$A$2892,"&gt;="&amp;$A122,Rates_Daily!$A$15:$A$2892,"&lt;="&amp;EOMONTH($A122,0)),"")</f>
        <v>1.70570909090909</v>
      </c>
      <c r="AP122" s="10" t="n">
        <f aca="false">IFERROR(AVERAGEIFS(Rates_Daily!N$15:N$2892,Rates_Daily!$A$15:$A$2892,"&gt;="&amp;$A122,Rates_Daily!$A$15:$A$2892,"&lt;="&amp;EOMONTH($A122,0)),"")</f>
        <v>1.72982727272727</v>
      </c>
      <c r="AQ122" s="10" t="n">
        <f aca="false">IFERROR(AVERAGEIFS(Rates_Daily!O$15:O$2892,Rates_Daily!$A$15:$A$2892,"&gt;="&amp;$A122,Rates_Daily!$A$15:$A$2892,"&lt;="&amp;EOMONTH($A122,0)),"")</f>
        <v>1.74229545454545</v>
      </c>
      <c r="AR122" s="10" t="n">
        <f aca="false">IFERROR(AVERAGEIFS(Rates_Daily!P$15:P$2892,Rates_Daily!$A$15:$A$2892,"&gt;="&amp;$A122,Rates_Daily!$A$15:$A$2892,"&lt;="&amp;EOMONTH($A122,0)),"")</f>
        <v>1.76494090909091</v>
      </c>
      <c r="AS122" s="14" t="n">
        <v>3.1</v>
      </c>
      <c r="AT122" s="14" t="n">
        <v>3.6</v>
      </c>
      <c r="AU122" s="14" t="n">
        <v>2</v>
      </c>
      <c r="AV122" s="14" t="n">
        <v>11.77</v>
      </c>
      <c r="AW122" s="14" t="n">
        <v>11.9</v>
      </c>
      <c r="AX122" s="14" t="n">
        <v>0.386</v>
      </c>
      <c r="AY122" s="14" t="n">
        <v>0.227</v>
      </c>
      <c r="AZ122" s="16" t="str">
        <f aca="false">IF(EOMONTH($A122,0)&gt;MAX(Rates_Daily!$A$15:$A$2892),"partial month","complete")</f>
        <v>complete</v>
      </c>
    </row>
    <row r="123" customFormat="false" ht="15" hidden="false" customHeight="false" outlineLevel="0" collapsed="false">
      <c r="A123" s="17" t="n">
        <v>45658</v>
      </c>
      <c r="B123" s="14" t="n">
        <v>4.33</v>
      </c>
      <c r="C123" s="10" t="n">
        <f aca="false">IFERROR(INDEX(Rates_Daily!C$15:C$2892,MATCH(_xlfn.MAXIFS(Rates_Daily!$A$15:$A$2892,Rates_Daily!$A$15:$A$2892,"&lt;="&amp;EOMONTH($A123,0),Rates_Daily!C$15:C$2892,"&gt;=-1E+99"),Rates_Daily!$A$15:$A$2892,0)),"")</f>
        <v>4.5</v>
      </c>
      <c r="D123" s="10" t="n">
        <f aca="false">IFERROR(INDEX(Rates_Daily!D$15:D$2892,MATCH(_xlfn.MAXIFS(Rates_Daily!$A$15:$A$2892,Rates_Daily!$A$15:$A$2892,"&lt;="&amp;EOMONTH($A123,0),Rates_Daily!D$15:D$2892,"&gt;=-1E+99"),Rates_Daily!$A$15:$A$2892,0)),"")</f>
        <v>4.25</v>
      </c>
      <c r="E123" s="10" t="n">
        <f aca="false">IFERROR(AVERAGEIFS(Rates_Daily!B$15:B$2892,Rates_Daily!$A$15:$A$2892,"&gt;="&amp;$A123,Rates_Daily!$A$15:$A$2892,"&lt;="&amp;EOMONTH($A123,0)),"")</f>
        <v>4.31571428571429</v>
      </c>
      <c r="F123" s="14" t="n">
        <v>4.42</v>
      </c>
      <c r="G123" s="14" t="n">
        <v>4.34</v>
      </c>
      <c r="H123" s="14" t="n">
        <v>4.26</v>
      </c>
      <c r="I123" s="14" t="n">
        <v>4.18</v>
      </c>
      <c r="J123" s="14" t="n">
        <v>4.33</v>
      </c>
      <c r="K123" s="10" t="n">
        <f aca="false">IFERROR(INDEX(Rates_Daily!F$15:F$2892,MATCH(_xlfn.MAXIFS(Rates_Daily!$A$15:$A$2892,Rates_Daily!$A$15:$A$2892,"&lt;="&amp;EOMONTH($A123,0),Rates_Daily!F$15:F$2892,"&gt;=-1E+99"),Rates_Daily!$A$15:$A$2892,0)),"")</f>
        <v>3</v>
      </c>
      <c r="L123" s="10" t="n">
        <f aca="false">IFERROR(AVERAGEIFS(Rates_Daily!E$15:E$2892,Rates_Daily!$A$15:$A$2892,"&gt;="&amp;$A123,Rates_Daily!$A$15:$A$2892,"&lt;="&amp;EOMONTH($A123,0)),"")</f>
        <v>2.91945454545455</v>
      </c>
      <c r="M123" s="14" t="n">
        <v>2.7918636</v>
      </c>
      <c r="N123" s="14" t="n">
        <v>2.7042727</v>
      </c>
      <c r="O123" s="14" t="n">
        <v>2.6144091</v>
      </c>
      <c r="P123" s="14" t="n">
        <v>2.5252273</v>
      </c>
      <c r="Q123" s="14" t="n">
        <v>2.7031304348</v>
      </c>
      <c r="R123" s="14" t="n">
        <v>4.75</v>
      </c>
      <c r="S123" s="14" t="n">
        <v>4.7002</v>
      </c>
      <c r="T123" s="10" t="n">
        <f aca="false">IFERROR(AVERAGEIFS(Rates_Daily!I$15:I$2892,Rates_Daily!$A$15:$A$2892,"&gt;="&amp;$A123,Rates_Daily!$A$15:$A$2892,"&lt;="&amp;EOMONTH($A123,0)),"")</f>
        <v>4.61466358699728</v>
      </c>
      <c r="U123" s="10" t="n">
        <f aca="false">IFERROR(AVERAGEIFS(Rates_Daily!J$15:J$2892,Rates_Daily!$A$15:$A$2892,"&gt;="&amp;$A123,Rates_Daily!$A$15:$A$2892,"&lt;="&amp;EOMONTH($A123,0)),"")</f>
        <v>4.51960803987716</v>
      </c>
      <c r="V123" s="10" t="n">
        <f aca="false">IFERROR(AVERAGEIFS(Rates_Daily!K$15:K$2892,Rates_Daily!$A$15:$A$2892,"&gt;="&amp;$A123,Rates_Daily!$A$15:$A$2892,"&lt;="&amp;EOMONTH($A123,0)),"")</f>
        <v>4.42676826096375</v>
      </c>
      <c r="W123" s="10" t="n">
        <f aca="false">IFERROR(AVERAGEIFS(Rates_Daily!L$15:L$2892,Rates_Daily!$A$15:$A$2892,"&gt;="&amp;$A123,Rates_Daily!$A$15:$A$2892,"&lt;="&amp;EOMONTH($A123,0)),"")</f>
        <v>4.29872957412982</v>
      </c>
      <c r="X123" s="14" t="n">
        <v>4.55</v>
      </c>
      <c r="Y123" s="14" t="n">
        <v>4.5</v>
      </c>
      <c r="Z123" s="14" t="n">
        <v>4.5</v>
      </c>
      <c r="AA123" s="14" t="n">
        <v>4.439</v>
      </c>
      <c r="AB123" s="14" t="n">
        <v>4.355</v>
      </c>
      <c r="AC123" s="14" t="n">
        <v>4.225</v>
      </c>
      <c r="AD123" s="14" t="n">
        <v>4.61</v>
      </c>
      <c r="AE123" s="14" t="n">
        <v>3</v>
      </c>
      <c r="AF123" s="14" t="n">
        <v>3.053</v>
      </c>
      <c r="AG123" s="14" t="n">
        <v>3.04</v>
      </c>
      <c r="AH123" s="14" t="n">
        <v>3.12</v>
      </c>
      <c r="AI123" s="14" t="n">
        <v>3.1</v>
      </c>
      <c r="AJ123" s="14" t="n">
        <v>2.88</v>
      </c>
      <c r="AK123" s="14" t="n">
        <v>2.881</v>
      </c>
      <c r="AL123" s="14" t="n">
        <v>2.636</v>
      </c>
      <c r="AM123" s="14" t="n">
        <v>2.637</v>
      </c>
      <c r="AN123" s="14" t="n">
        <v>3.04</v>
      </c>
      <c r="AO123" s="10" t="n">
        <f aca="false">IFERROR(AVERAGEIFS(Rates_Daily!M$15:M$2892,Rates_Daily!$A$15:$A$2892,"&gt;="&amp;$A123,Rates_Daily!$A$15:$A$2892,"&lt;="&amp;EOMONTH($A123,0)),"")</f>
        <v>1.67339473684211</v>
      </c>
      <c r="AP123" s="10" t="n">
        <f aca="false">IFERROR(AVERAGEIFS(Rates_Daily!N$15:N$2892,Rates_Daily!$A$15:$A$2892,"&gt;="&amp;$A123,Rates_Daily!$A$15:$A$2892,"&lt;="&amp;EOMONTH($A123,0)),"")</f>
        <v>1.67405263157895</v>
      </c>
      <c r="AQ123" s="10" t="n">
        <f aca="false">IFERROR(AVERAGEIFS(Rates_Daily!O$15:O$2892,Rates_Daily!$A$15:$A$2892,"&gt;="&amp;$A123,Rates_Daily!$A$15:$A$2892,"&lt;="&amp;EOMONTH($A123,0)),"")</f>
        <v>1.68372105263158</v>
      </c>
      <c r="AR123" s="10" t="n">
        <f aca="false">IFERROR(AVERAGEIFS(Rates_Daily!P$15:P$2892,Rates_Daily!$A$15:$A$2892,"&gt;="&amp;$A123,Rates_Daily!$A$15:$A$2892,"&lt;="&amp;EOMONTH($A123,0)),"")</f>
        <v>1.69909473684211</v>
      </c>
      <c r="AS123" s="14" t="n">
        <v>3.1</v>
      </c>
      <c r="AT123" s="14" t="n">
        <v>3.6</v>
      </c>
      <c r="AU123" s="14" t="n">
        <v>1.94</v>
      </c>
      <c r="AV123" s="14" t="n">
        <v>12.24</v>
      </c>
      <c r="AW123" s="14" t="n">
        <v>12.31</v>
      </c>
      <c r="AX123" s="14" t="n">
        <v>0.76727</v>
      </c>
      <c r="AY123" s="14" t="n">
        <v>0.293</v>
      </c>
      <c r="AZ123" s="16" t="str">
        <f aca="false">IF(EOMONTH($A123,0)&gt;MAX(Rates_Daily!$A$15:$A$2892),"partial month","complete")</f>
        <v>complete</v>
      </c>
    </row>
    <row r="124" customFormat="false" ht="15" hidden="false" customHeight="false" outlineLevel="0" collapsed="false">
      <c r="A124" s="17" t="n">
        <v>45689</v>
      </c>
      <c r="B124" s="14" t="n">
        <v>4.33</v>
      </c>
      <c r="C124" s="10" t="n">
        <f aca="false">IFERROR(INDEX(Rates_Daily!C$15:C$2892,MATCH(_xlfn.MAXIFS(Rates_Daily!$A$15:$A$2892,Rates_Daily!$A$15:$A$2892,"&lt;="&amp;EOMONTH($A124,0),Rates_Daily!C$15:C$2892,"&gt;=-1E+99"),Rates_Daily!$A$15:$A$2892,0)),"")</f>
        <v>4.5</v>
      </c>
      <c r="D124" s="10" t="n">
        <f aca="false">IFERROR(INDEX(Rates_Daily!D$15:D$2892,MATCH(_xlfn.MAXIFS(Rates_Daily!$A$15:$A$2892,Rates_Daily!$A$15:$A$2892,"&lt;="&amp;EOMONTH($A124,0),Rates_Daily!D$15:D$2892,"&gt;=-1E+99"),Rates_Daily!$A$15:$A$2892,0)),"")</f>
        <v>4.25</v>
      </c>
      <c r="E124" s="10" t="n">
        <f aca="false">IFERROR(AVERAGEIFS(Rates_Daily!B$15:B$2892,Rates_Daily!$A$15:$A$2892,"&gt;="&amp;$A124,Rates_Daily!$A$15:$A$2892,"&lt;="&amp;EOMONTH($A124,0)),"")</f>
        <v>4.34368421052632</v>
      </c>
      <c r="F124" s="14" t="n">
        <v>4.37</v>
      </c>
      <c r="G124" s="14" t="n">
        <v>4.33</v>
      </c>
      <c r="H124" s="14" t="n">
        <v>4.3</v>
      </c>
      <c r="I124" s="14" t="n">
        <v>4.19</v>
      </c>
      <c r="J124" s="14" t="n">
        <v>4.34</v>
      </c>
      <c r="K124" s="10" t="n">
        <f aca="false">IFERROR(INDEX(Rates_Daily!F$15:F$2892,MATCH(_xlfn.MAXIFS(Rates_Daily!$A$15:$A$2892,Rates_Daily!$A$15:$A$2892,"&lt;="&amp;EOMONTH($A124,0),Rates_Daily!F$15:F$2892,"&gt;=-1E+99"),Rates_Daily!$A$15:$A$2892,0)),"")</f>
        <v>2.75</v>
      </c>
      <c r="L124" s="10" t="n">
        <f aca="false">IFERROR(AVERAGEIFS(Rates_Daily!E$15:E$2892,Rates_Daily!$A$15:$A$2892,"&gt;="&amp;$A124,Rates_Daily!$A$15:$A$2892,"&lt;="&amp;EOMONTH($A124,0)),"")</f>
        <v>2.69065</v>
      </c>
      <c r="M124" s="14" t="n">
        <v>2.60575</v>
      </c>
      <c r="N124" s="14" t="n">
        <v>2.52495</v>
      </c>
      <c r="O124" s="14" t="n">
        <v>2.4596</v>
      </c>
      <c r="P124" s="14" t="n">
        <v>2.40695</v>
      </c>
      <c r="Q124" s="14" t="n">
        <v>2.52495</v>
      </c>
      <c r="R124" s="14" t="n">
        <v>4.5375</v>
      </c>
      <c r="S124" s="14" t="n">
        <v>4.4919</v>
      </c>
      <c r="T124" s="10" t="n">
        <f aca="false">IFERROR(AVERAGEIFS(Rates_Daily!I$15:I$2892,Rates_Daily!$A$15:$A$2892,"&gt;="&amp;$A124,Rates_Daily!$A$15:$A$2892,"&lt;="&amp;EOMONTH($A124,0)),"")</f>
        <v>4.46149737436848</v>
      </c>
      <c r="U124" s="10" t="n">
        <f aca="false">IFERROR(AVERAGEIFS(Rates_Daily!J$15:J$2892,Rates_Daily!$A$15:$A$2892,"&gt;="&amp;$A124,Rates_Daily!$A$15:$A$2892,"&lt;="&amp;EOMONTH($A124,0)),"")</f>
        <v>4.40386980059097</v>
      </c>
      <c r="V124" s="10" t="n">
        <f aca="false">IFERROR(AVERAGEIFS(Rates_Daily!K$15:K$2892,Rates_Daily!$A$15:$A$2892,"&gt;="&amp;$A124,Rates_Daily!$A$15:$A$2892,"&lt;="&amp;EOMONTH($A124,0)),"")</f>
        <v>4.28315448964048</v>
      </c>
      <c r="W124" s="10" t="n">
        <f aca="false">IFERROR(AVERAGEIFS(Rates_Daily!L$15:L$2892,Rates_Daily!$A$15:$A$2892,"&gt;="&amp;$A124,Rates_Daily!$A$15:$A$2892,"&lt;="&amp;EOMONTH($A124,0)),"")</f>
        <v>4.11106836082214</v>
      </c>
      <c r="X124" s="14" t="n">
        <v>4.44</v>
      </c>
      <c r="Y124" s="14" t="n">
        <v>4.5</v>
      </c>
      <c r="Z124" s="14" t="n">
        <v>4.5</v>
      </c>
      <c r="AA124" s="14" t="n">
        <v>4.345</v>
      </c>
      <c r="AB124" s="14" t="n">
        <v>4.271</v>
      </c>
      <c r="AC124" s="14" t="n">
        <v>4.217</v>
      </c>
      <c r="AD124" s="14" t="n">
        <v>4.51</v>
      </c>
      <c r="AE124" s="14" t="n">
        <v>2.75</v>
      </c>
      <c r="AF124" s="14" t="n">
        <v>2.965</v>
      </c>
      <c r="AG124" s="14" t="n">
        <v>2.95</v>
      </c>
      <c r="AH124" s="14" t="n">
        <v>2.98</v>
      </c>
      <c r="AI124" s="14" t="n">
        <v>2.96</v>
      </c>
      <c r="AJ124" s="14" t="n">
        <v>2.86</v>
      </c>
      <c r="AK124" s="14" t="n">
        <v>2.85</v>
      </c>
      <c r="AL124" s="14" t="n">
        <v>2.623</v>
      </c>
      <c r="AM124" s="14" t="n">
        <v>2.654</v>
      </c>
      <c r="AN124" s="14" t="n">
        <v>2.95</v>
      </c>
      <c r="AO124" s="10" t="n">
        <f aca="false">IFERROR(AVERAGEIFS(Rates_Daily!M$15:M$2892,Rates_Daily!$A$15:$A$2892,"&gt;="&amp;$A124,Rates_Daily!$A$15:$A$2892,"&lt;="&amp;EOMONTH($A124,0)),"")</f>
        <v>1.75557894736842</v>
      </c>
      <c r="AP124" s="10" t="n">
        <f aca="false">IFERROR(AVERAGEIFS(Rates_Daily!N$15:N$2892,Rates_Daily!$A$15:$A$2892,"&gt;="&amp;$A124,Rates_Daily!$A$15:$A$2892,"&lt;="&amp;EOMONTH($A124,0)),"")</f>
        <v>1.76874210526316</v>
      </c>
      <c r="AQ124" s="10" t="n">
        <f aca="false">IFERROR(AVERAGEIFS(Rates_Daily!O$15:O$2892,Rates_Daily!$A$15:$A$2892,"&gt;="&amp;$A124,Rates_Daily!$A$15:$A$2892,"&lt;="&amp;EOMONTH($A124,0)),"")</f>
        <v>1.78284210526316</v>
      </c>
      <c r="AR124" s="10" t="n">
        <f aca="false">IFERROR(AVERAGEIFS(Rates_Daily!P$15:P$2892,Rates_Daily!$A$15:$A$2892,"&gt;="&amp;$A124,Rates_Daily!$A$15:$A$2892,"&lt;="&amp;EOMONTH($A124,0)),"")</f>
        <v>1.798</v>
      </c>
      <c r="AS124" s="14" t="n">
        <v>3.1</v>
      </c>
      <c r="AT124" s="14" t="n">
        <v>3.6</v>
      </c>
      <c r="AU124" s="14" t="n">
        <v>1.99</v>
      </c>
      <c r="AV124" s="14" t="n">
        <v>13.15</v>
      </c>
      <c r="AW124" s="14" t="n">
        <v>13.25</v>
      </c>
      <c r="AX124" s="14" t="n">
        <v>0.79182</v>
      </c>
      <c r="AY124" s="14" t="n">
        <v>0.478</v>
      </c>
      <c r="AZ124" s="16" t="str">
        <f aca="false">IF(EOMONTH($A124,0)&gt;MAX(Rates_Daily!$A$15:$A$2892),"partial month","complete")</f>
        <v>complete</v>
      </c>
    </row>
    <row r="125" customFormat="false" ht="15" hidden="false" customHeight="false" outlineLevel="0" collapsed="false">
      <c r="A125" s="17" t="n">
        <v>45717</v>
      </c>
      <c r="B125" s="14" t="n">
        <v>4.33</v>
      </c>
      <c r="C125" s="10" t="n">
        <f aca="false">IFERROR(INDEX(Rates_Daily!C$15:C$2892,MATCH(_xlfn.MAXIFS(Rates_Daily!$A$15:$A$2892,Rates_Daily!$A$15:$A$2892,"&lt;="&amp;EOMONTH($A125,0),Rates_Daily!C$15:C$2892,"&gt;=-1E+99"),Rates_Daily!$A$15:$A$2892,0)),"")</f>
        <v>4.5</v>
      </c>
      <c r="D125" s="10" t="n">
        <f aca="false">IFERROR(INDEX(Rates_Daily!D$15:D$2892,MATCH(_xlfn.MAXIFS(Rates_Daily!$A$15:$A$2892,Rates_Daily!$A$15:$A$2892,"&lt;="&amp;EOMONTH($A125,0),Rates_Daily!D$15:D$2892,"&gt;=-1E+99"),Rates_Daily!$A$15:$A$2892,0)),"")</f>
        <v>4.25</v>
      </c>
      <c r="E125" s="10" t="n">
        <f aca="false">IFERROR(AVERAGEIFS(Rates_Daily!B$15:B$2892,Rates_Daily!$A$15:$A$2892,"&gt;="&amp;$A125,Rates_Daily!$A$15:$A$2892,"&lt;="&amp;EOMONTH($A125,0)),"")</f>
        <v>4.32666666666667</v>
      </c>
      <c r="F125" s="14" t="n">
        <v>4.37</v>
      </c>
      <c r="G125" s="14" t="n">
        <v>4.34</v>
      </c>
      <c r="H125" s="14" t="n">
        <v>4.27</v>
      </c>
      <c r="I125" s="14" t="n">
        <v>4.06</v>
      </c>
      <c r="J125" s="14" t="n">
        <v>4.29</v>
      </c>
      <c r="K125" s="10" t="n">
        <f aca="false">IFERROR(INDEX(Rates_Daily!F$15:F$2892,MATCH(_xlfn.MAXIFS(Rates_Daily!$A$15:$A$2892,Rates_Daily!$A$15:$A$2892,"&lt;="&amp;EOMONTH($A125,0),Rates_Daily!F$15:F$2892,"&gt;=-1E+99"),Rates_Daily!$A$15:$A$2892,0)),"")</f>
        <v>2.5</v>
      </c>
      <c r="L125" s="10" t="n">
        <f aca="false">IFERROR(AVERAGEIFS(Rates_Daily!E$15:E$2892,Rates_Daily!$A$15:$A$2892,"&gt;="&amp;$A125,Rates_Daily!$A$15:$A$2892,"&lt;="&amp;EOMONTH($A125,0)),"")</f>
        <v>2.49885714285714</v>
      </c>
      <c r="M125" s="14" t="n">
        <v>2.401</v>
      </c>
      <c r="N125" s="14" t="n">
        <v>2.4424286</v>
      </c>
      <c r="O125" s="14" t="n">
        <v>2.385381</v>
      </c>
      <c r="P125" s="14" t="n">
        <v>2.398381</v>
      </c>
      <c r="Q125" s="14" t="n">
        <v>2.4424285714</v>
      </c>
      <c r="R125" s="14" t="n">
        <v>4.5</v>
      </c>
      <c r="S125" s="14" t="n">
        <v>4.4555</v>
      </c>
      <c r="T125" s="10" t="n">
        <f aca="false">IFERROR(AVERAGEIFS(Rates_Daily!I$15:I$2892,Rates_Daily!$A$15:$A$2892,"&gt;="&amp;$A125,Rates_Daily!$A$15:$A$2892,"&lt;="&amp;EOMONTH($A125,0)),"")</f>
        <v>4.45151412235712</v>
      </c>
      <c r="U125" s="10" t="n">
        <f aca="false">IFERROR(AVERAGEIFS(Rates_Daily!J$15:J$2892,Rates_Daily!$A$15:$A$2892,"&gt;="&amp;$A125,Rates_Daily!$A$15:$A$2892,"&lt;="&amp;EOMONTH($A125,0)),"")</f>
        <v>4.37806636118752</v>
      </c>
      <c r="V125" s="10" t="n">
        <f aca="false">IFERROR(AVERAGEIFS(Rates_Daily!K$15:K$2892,Rates_Daily!$A$15:$A$2892,"&gt;="&amp;$A125,Rates_Daily!$A$15:$A$2892,"&lt;="&amp;EOMONTH($A125,0)),"")</f>
        <v>4.27003935177757</v>
      </c>
      <c r="W125" s="10" t="n">
        <f aca="false">IFERROR(AVERAGEIFS(Rates_Daily!L$15:L$2892,Rates_Daily!$A$15:$A$2892,"&gt;="&amp;$A125,Rates_Daily!$A$15:$A$2892,"&lt;="&amp;EOMONTH($A125,0)),"")</f>
        <v>4.12240302317984</v>
      </c>
      <c r="X125" s="14" t="n">
        <v>4.39</v>
      </c>
      <c r="Y125" s="14" t="n">
        <v>4.5</v>
      </c>
      <c r="Z125" s="14" t="n">
        <v>4.5</v>
      </c>
      <c r="AA125" s="14" t="n">
        <v>4.369</v>
      </c>
      <c r="AB125" s="14" t="n">
        <v>4.319</v>
      </c>
      <c r="AC125" s="14" t="n">
        <v>4.249</v>
      </c>
      <c r="AD125" s="14" t="n">
        <v>4.57</v>
      </c>
      <c r="AE125" s="14" t="n">
        <v>2.75</v>
      </c>
      <c r="AF125" s="14" t="n">
        <v>2.754</v>
      </c>
      <c r="AG125" s="14" t="n">
        <v>2.84</v>
      </c>
      <c r="AH125" s="14" t="n">
        <v>2.87</v>
      </c>
      <c r="AI125" s="14" t="n">
        <v>2.86</v>
      </c>
      <c r="AJ125" s="14" t="n">
        <v>2.85</v>
      </c>
      <c r="AK125" s="14" t="n">
        <v>2.717</v>
      </c>
      <c r="AL125" s="14" t="n">
        <v>2.628</v>
      </c>
      <c r="AM125" s="14" t="n">
        <v>2.612</v>
      </c>
      <c r="AN125" s="14" t="n">
        <v>2.84</v>
      </c>
      <c r="AO125" s="10" t="n">
        <f aca="false">IFERROR(AVERAGEIFS(Rates_Daily!M$15:M$2892,Rates_Daily!$A$15:$A$2892,"&gt;="&amp;$A125,Rates_Daily!$A$15:$A$2892,"&lt;="&amp;EOMONTH($A125,0)),"")</f>
        <v>1.94304761904762</v>
      </c>
      <c r="AP125" s="10" t="n">
        <f aca="false">IFERROR(AVERAGEIFS(Rates_Daily!N$15:N$2892,Rates_Daily!$A$15:$A$2892,"&gt;="&amp;$A125,Rates_Daily!$A$15:$A$2892,"&lt;="&amp;EOMONTH($A125,0)),"")</f>
        <v>1.9722619047619</v>
      </c>
      <c r="AQ125" s="10" t="n">
        <f aca="false">IFERROR(AVERAGEIFS(Rates_Daily!O$15:O$2892,Rates_Daily!$A$15:$A$2892,"&gt;="&amp;$A125,Rates_Daily!$A$15:$A$2892,"&lt;="&amp;EOMONTH($A125,0)),"")</f>
        <v>1.97566666666667</v>
      </c>
      <c r="AR125" s="10" t="n">
        <f aca="false">IFERROR(AVERAGEIFS(Rates_Daily!P$15:P$2892,Rates_Daily!$A$15:$A$2892,"&gt;="&amp;$A125,Rates_Daily!$A$15:$A$2892,"&lt;="&amp;EOMONTH($A125,0)),"")</f>
        <v>1.97409523809524</v>
      </c>
      <c r="AS125" s="14" t="n">
        <v>3.1</v>
      </c>
      <c r="AT125" s="14" t="n">
        <v>3.6</v>
      </c>
      <c r="AU125" s="14" t="n">
        <v>2.14</v>
      </c>
      <c r="AV125" s="14" t="n">
        <v>13.57</v>
      </c>
      <c r="AW125" s="14" t="n">
        <v>13.64</v>
      </c>
      <c r="AX125" s="14" t="n">
        <v>0.82091</v>
      </c>
      <c r="AY125" s="14" t="n">
        <v>0.477</v>
      </c>
      <c r="AZ125" s="16" t="str">
        <f aca="false">IF(EOMONTH($A125,0)&gt;MAX(Rates_Daily!$A$15:$A$2892),"partial month","complete")</f>
        <v>complete</v>
      </c>
    </row>
    <row r="126" customFormat="false" ht="15" hidden="false" customHeight="false" outlineLevel="0" collapsed="false">
      <c r="A126" s="17" t="n">
        <v>45748</v>
      </c>
      <c r="B126" s="14" t="n">
        <v>4.33</v>
      </c>
      <c r="C126" s="10" t="n">
        <f aca="false">IFERROR(INDEX(Rates_Daily!C$15:C$2892,MATCH(_xlfn.MAXIFS(Rates_Daily!$A$15:$A$2892,Rates_Daily!$A$15:$A$2892,"&lt;="&amp;EOMONTH($A126,0),Rates_Daily!C$15:C$2892,"&gt;=-1E+99"),Rates_Daily!$A$15:$A$2892,0)),"")</f>
        <v>4.5</v>
      </c>
      <c r="D126" s="10" t="n">
        <f aca="false">IFERROR(INDEX(Rates_Daily!D$15:D$2892,MATCH(_xlfn.MAXIFS(Rates_Daily!$A$15:$A$2892,Rates_Daily!$A$15:$A$2892,"&lt;="&amp;EOMONTH($A126,0),Rates_Daily!D$15:D$2892,"&gt;=-1E+99"),Rates_Daily!$A$15:$A$2892,0)),"")</f>
        <v>4.25</v>
      </c>
      <c r="E126" s="10" t="n">
        <f aca="false">IFERROR(AVERAGEIFS(Rates_Daily!B$15:B$2892,Rates_Daily!$A$15:$A$2892,"&gt;="&amp;$A126,Rates_Daily!$A$15:$A$2892,"&lt;="&amp;EOMONTH($A126,0)),"")</f>
        <v>4.34857142857143</v>
      </c>
      <c r="F126" s="14" t="n">
        <v>4.35</v>
      </c>
      <c r="G126" s="14" t="n">
        <v>4.32</v>
      </c>
      <c r="H126" s="14" t="n">
        <v>4.2</v>
      </c>
      <c r="I126" s="14" t="n">
        <v>3.95</v>
      </c>
      <c r="J126" s="14" t="n">
        <v>4.32</v>
      </c>
      <c r="K126" s="10" t="n">
        <f aca="false">IFERROR(INDEX(Rates_Daily!F$15:F$2892,MATCH(_xlfn.MAXIFS(Rates_Daily!$A$15:$A$2892,Rates_Daily!$A$15:$A$2892,"&lt;="&amp;EOMONTH($A126,0),Rates_Daily!F$15:F$2892,"&gt;=-1E+99"),Rates_Daily!$A$15:$A$2892,0)),"")</f>
        <v>2.25</v>
      </c>
      <c r="L126" s="10" t="n">
        <f aca="false">IFERROR(AVERAGEIFS(Rates_Daily!E$15:E$2892,Rates_Daily!$A$15:$A$2892,"&gt;="&amp;$A126,Rates_Daily!$A$15:$A$2892,"&lt;="&amp;EOMONTH($A126,0)),"")</f>
        <v>2.3411</v>
      </c>
      <c r="M126" s="14" t="n">
        <v>2.24265</v>
      </c>
      <c r="N126" s="14" t="n">
        <v>2.2494</v>
      </c>
      <c r="O126" s="14" t="n">
        <v>2.2017</v>
      </c>
      <c r="P126" s="14" t="n">
        <v>2.1434</v>
      </c>
      <c r="Q126" s="14" t="n">
        <v>2.2481818182</v>
      </c>
      <c r="R126" s="14" t="n">
        <v>4.5</v>
      </c>
      <c r="S126" s="14" t="n">
        <v>4.4577</v>
      </c>
      <c r="T126" s="10" t="n">
        <f aca="false">IFERROR(AVERAGEIFS(Rates_Daily!I$15:I$2892,Rates_Daily!$A$15:$A$2892,"&gt;="&amp;$A126,Rates_Daily!$A$15:$A$2892,"&lt;="&amp;EOMONTH($A126,0)),"")</f>
        <v>4.37559282974865</v>
      </c>
      <c r="U126" s="10" t="n">
        <f aca="false">IFERROR(AVERAGEIFS(Rates_Daily!J$15:J$2892,Rates_Daily!$A$15:$A$2892,"&gt;="&amp;$A126,Rates_Daily!$A$15:$A$2892,"&lt;="&amp;EOMONTH($A126,0)),"")</f>
        <v>4.23719529497621</v>
      </c>
      <c r="V126" s="10" t="n">
        <f aca="false">IFERROR(AVERAGEIFS(Rates_Daily!K$15:K$2892,Rates_Daily!$A$15:$A$2892,"&gt;="&amp;$A126,Rates_Daily!$A$15:$A$2892,"&lt;="&amp;EOMONTH($A126,0)),"")</f>
        <v>4.08356339358276</v>
      </c>
      <c r="W126" s="10" t="n">
        <f aca="false">IFERROR(AVERAGEIFS(Rates_Daily!L$15:L$2892,Rates_Daily!$A$15:$A$2892,"&gt;="&amp;$A126,Rates_Daily!$A$15:$A$2892,"&lt;="&amp;EOMONTH($A126,0)),"")</f>
        <v>3.87193949265598</v>
      </c>
      <c r="X126" s="14" t="n">
        <v>4.26</v>
      </c>
      <c r="Y126" s="14" t="n">
        <v>4.5</v>
      </c>
      <c r="Z126" s="14" t="n">
        <v>4.5</v>
      </c>
      <c r="AA126" s="14" t="n">
        <v>4.327</v>
      </c>
      <c r="AB126" s="14" t="n">
        <v>4.329</v>
      </c>
      <c r="AC126" s="14" t="n">
        <v>4.096</v>
      </c>
      <c r="AD126" s="14" t="n">
        <v>4.59</v>
      </c>
      <c r="AE126" s="14" t="n">
        <v>2.75</v>
      </c>
      <c r="AF126" s="14" t="n">
        <v>2.769</v>
      </c>
      <c r="AG126" s="14" t="n">
        <v>2.74</v>
      </c>
      <c r="AH126" s="14" t="n">
        <v>2.76</v>
      </c>
      <c r="AI126" s="14" t="n">
        <v>2.74</v>
      </c>
      <c r="AJ126" s="14" t="n">
        <v>2.66</v>
      </c>
      <c r="AK126" s="14" t="n">
        <v>2.554</v>
      </c>
      <c r="AL126" s="14" t="n">
        <v>2.452</v>
      </c>
      <c r="AM126" s="14" t="n">
        <v>2.482</v>
      </c>
      <c r="AN126" s="14" t="n">
        <v>2.74</v>
      </c>
      <c r="AO126" s="10" t="n">
        <f aca="false">IFERROR(AVERAGEIFS(Rates_Daily!M$15:M$2892,Rates_Daily!$A$15:$A$2892,"&gt;="&amp;$A126,Rates_Daily!$A$15:$A$2892,"&lt;="&amp;EOMONTH($A126,0)),"")</f>
        <v>1.78631818181818</v>
      </c>
      <c r="AP126" s="10" t="n">
        <f aca="false">IFERROR(AVERAGEIFS(Rates_Daily!N$15:N$2892,Rates_Daily!$A$15:$A$2892,"&gt;="&amp;$A126,Rates_Daily!$A$15:$A$2892,"&lt;="&amp;EOMONTH($A126,0)),"")</f>
        <v>1.7875</v>
      </c>
      <c r="AQ126" s="10" t="n">
        <f aca="false">IFERROR(AVERAGEIFS(Rates_Daily!O$15:O$2892,Rates_Daily!$A$15:$A$2892,"&gt;="&amp;$A126,Rates_Daily!$A$15:$A$2892,"&lt;="&amp;EOMONTH($A126,0)),"")</f>
        <v>1.79881818181818</v>
      </c>
      <c r="AR126" s="10" t="n">
        <f aca="false">IFERROR(AVERAGEIFS(Rates_Daily!P$15:P$2892,Rates_Daily!$A$15:$A$2892,"&gt;="&amp;$A126,Rates_Daily!$A$15:$A$2892,"&lt;="&amp;EOMONTH($A126,0)),"")</f>
        <v>1.79936363636364</v>
      </c>
      <c r="AS126" s="14" t="n">
        <v>3.1</v>
      </c>
      <c r="AT126" s="14" t="n">
        <v>3.6</v>
      </c>
      <c r="AU126" s="14" t="n">
        <v>2.02</v>
      </c>
      <c r="AV126" s="14" t="n">
        <v>14.15</v>
      </c>
      <c r="AW126" s="14" t="n">
        <v>14.25</v>
      </c>
      <c r="AX126" s="14" t="n">
        <v>0.78364</v>
      </c>
      <c r="AY126" s="14" t="n">
        <v>0.477</v>
      </c>
      <c r="AZ126" s="16" t="str">
        <f aca="false">IF(EOMONTH($A126,0)&gt;MAX(Rates_Daily!$A$15:$A$2892),"partial month","complete")</f>
        <v>complete</v>
      </c>
    </row>
    <row r="127" customFormat="false" ht="15" hidden="false" customHeight="false" outlineLevel="0" collapsed="false">
      <c r="A127" s="17" t="n">
        <v>45778</v>
      </c>
      <c r="B127" s="14" t="n">
        <v>4.33</v>
      </c>
      <c r="C127" s="10" t="n">
        <f aca="false">IFERROR(INDEX(Rates_Daily!C$15:C$2892,MATCH(_xlfn.MAXIFS(Rates_Daily!$A$15:$A$2892,Rates_Daily!$A$15:$A$2892,"&lt;="&amp;EOMONTH($A127,0),Rates_Daily!C$15:C$2892,"&gt;=-1E+99"),Rates_Daily!$A$15:$A$2892,0)),"")</f>
        <v>4.5</v>
      </c>
      <c r="D127" s="10" t="n">
        <f aca="false">IFERROR(INDEX(Rates_Daily!D$15:D$2892,MATCH(_xlfn.MAXIFS(Rates_Daily!$A$15:$A$2892,Rates_Daily!$A$15:$A$2892,"&lt;="&amp;EOMONTH($A127,0),Rates_Daily!D$15:D$2892,"&gt;=-1E+99"),Rates_Daily!$A$15:$A$2892,0)),"")</f>
        <v>4.25</v>
      </c>
      <c r="E127" s="10" t="n">
        <f aca="false">IFERROR(AVERAGEIFS(Rates_Daily!B$15:B$2892,Rates_Daily!$A$15:$A$2892,"&gt;="&amp;$A127,Rates_Daily!$A$15:$A$2892,"&lt;="&amp;EOMONTH($A127,0)),"")</f>
        <v>4.3052380952381</v>
      </c>
      <c r="F127" s="14" t="n">
        <v>4.37</v>
      </c>
      <c r="G127" s="14" t="n">
        <v>4.36</v>
      </c>
      <c r="H127" s="14" t="n">
        <v>4.3</v>
      </c>
      <c r="I127" s="14" t="n">
        <v>4.09</v>
      </c>
      <c r="J127" s="14" t="n">
        <v>4.29</v>
      </c>
      <c r="K127" s="10" t="n">
        <f aca="false">IFERROR(INDEX(Rates_Daily!F$15:F$2892,MATCH(_xlfn.MAXIFS(Rates_Daily!$A$15:$A$2892,Rates_Daily!$A$15:$A$2892,"&lt;="&amp;EOMONTH($A127,0),Rates_Daily!F$15:F$2892,"&gt;=-1E+99"),Rates_Daily!$A$15:$A$2892,0)),"")</f>
        <v>2.25</v>
      </c>
      <c r="L127" s="10" t="n">
        <f aca="false">IFERROR(AVERAGEIFS(Rates_Daily!E$15:E$2892,Rates_Daily!$A$15:$A$2892,"&gt;="&amp;$A127,Rates_Daily!$A$15:$A$2892,"&lt;="&amp;EOMONTH($A127,0)),"")</f>
        <v>2.16909523809524</v>
      </c>
      <c r="M127" s="14" t="n">
        <v>2.0939048</v>
      </c>
      <c r="N127" s="14" t="n">
        <v>2.0872381</v>
      </c>
      <c r="O127" s="14" t="n">
        <v>2.1161905</v>
      </c>
      <c r="P127" s="14" t="n">
        <v>2.0805714</v>
      </c>
      <c r="Q127" s="14" t="n">
        <v>2.0912727273</v>
      </c>
      <c r="R127" s="14" t="n">
        <v>4.3</v>
      </c>
      <c r="S127" s="14" t="n">
        <v>4.2604</v>
      </c>
      <c r="T127" s="10" t="n">
        <f aca="false">IFERROR(AVERAGEIFS(Rates_Daily!I$15:I$2892,Rates_Daily!$A$15:$A$2892,"&gt;="&amp;$A127,Rates_Daily!$A$15:$A$2892,"&lt;="&amp;EOMONTH($A127,0)),"")</f>
        <v>4.21901764014489</v>
      </c>
      <c r="U127" s="10" t="n">
        <f aca="false">IFERROR(AVERAGEIFS(Rates_Daily!J$15:J$2892,Rates_Daily!$A$15:$A$2892,"&gt;="&amp;$A127,Rates_Daily!$A$15:$A$2892,"&lt;="&amp;EOMONTH($A127,0)),"")</f>
        <v>4.16922351882534</v>
      </c>
      <c r="V127" s="10" t="n">
        <f aca="false">IFERROR(AVERAGEIFS(Rates_Daily!K$15:K$2892,Rates_Daily!$A$15:$A$2892,"&gt;="&amp;$A127,Rates_Daily!$A$15:$A$2892,"&lt;="&amp;EOMONTH($A127,0)),"")</f>
        <v>4.0593355270858</v>
      </c>
      <c r="W127" s="10" t="n">
        <f aca="false">IFERROR(AVERAGEIFS(Rates_Daily!L$15:L$2892,Rates_Daily!$A$15:$A$2892,"&gt;="&amp;$A127,Rates_Daily!$A$15:$A$2892,"&lt;="&amp;EOMONTH($A127,0)),"")</f>
        <v>3.87352075870594</v>
      </c>
      <c r="X127" s="14" t="n">
        <v>4.19</v>
      </c>
      <c r="Y127" s="14" t="n">
        <v>4.5</v>
      </c>
      <c r="Z127" s="14" t="n">
        <v>4.5</v>
      </c>
      <c r="AA127" s="14" t="n">
        <v>4.314</v>
      </c>
      <c r="AB127" s="14" t="n">
        <v>4.209</v>
      </c>
      <c r="AC127" s="14" t="n">
        <v>4.062</v>
      </c>
      <c r="AD127" s="14" t="n">
        <v>4.64</v>
      </c>
      <c r="AE127" s="14" t="n">
        <v>2.5</v>
      </c>
      <c r="AF127" s="14" t="n">
        <v>2.738</v>
      </c>
      <c r="AG127" s="14" t="n">
        <v>2.67</v>
      </c>
      <c r="AH127" s="14" t="n">
        <v>2.66</v>
      </c>
      <c r="AI127" s="14" t="n">
        <v>2.61</v>
      </c>
      <c r="AJ127" s="14" t="n">
        <v>2.55</v>
      </c>
      <c r="AK127" s="14" t="n">
        <v>2.513</v>
      </c>
      <c r="AL127" s="14" t="n">
        <v>2.321</v>
      </c>
      <c r="AM127" s="14" t="n">
        <v>2.306</v>
      </c>
      <c r="AN127" s="14" t="n">
        <v>2.67</v>
      </c>
      <c r="AO127" s="10" t="n">
        <f aca="false">IFERROR(AVERAGEIFS(Rates_Daily!M$15:M$2892,Rates_Daily!$A$15:$A$2892,"&gt;="&amp;$A127,Rates_Daily!$A$15:$A$2892,"&lt;="&amp;EOMONTH($A127,0)),"")</f>
        <v>1.64210526315789</v>
      </c>
      <c r="AP127" s="10" t="n">
        <f aca="false">IFERROR(AVERAGEIFS(Rates_Daily!N$15:N$2892,Rates_Daily!$A$15:$A$2892,"&gt;="&amp;$A127,Rates_Daily!$A$15:$A$2892,"&lt;="&amp;EOMONTH($A127,0)),"")</f>
        <v>1.66457894736842</v>
      </c>
      <c r="AQ127" s="10" t="n">
        <f aca="false">IFERROR(AVERAGEIFS(Rates_Daily!O$15:O$2892,Rates_Daily!$A$15:$A$2892,"&gt;="&amp;$A127,Rates_Daily!$A$15:$A$2892,"&lt;="&amp;EOMONTH($A127,0)),"")</f>
        <v>1.67810526315789</v>
      </c>
      <c r="AR127" s="10" t="n">
        <f aca="false">IFERROR(AVERAGEIFS(Rates_Daily!P$15:P$2892,Rates_Daily!$A$15:$A$2892,"&gt;="&amp;$A127,Rates_Daily!$A$15:$A$2892,"&lt;="&amp;EOMONTH($A127,0)),"")</f>
        <v>1.69489473684211</v>
      </c>
      <c r="AS127" s="14" t="n">
        <v>3</v>
      </c>
      <c r="AT127" s="14" t="n">
        <v>3.5</v>
      </c>
      <c r="AU127" s="14" t="n">
        <v>1.83</v>
      </c>
      <c r="AV127" s="14" t="n">
        <v>14.55</v>
      </c>
      <c r="AW127" s="14" t="n">
        <v>14.63</v>
      </c>
      <c r="AX127" s="14" t="n">
        <v>0.77545</v>
      </c>
      <c r="AY127" s="14" t="n">
        <v>0.477</v>
      </c>
      <c r="AZ127" s="16" t="str">
        <f aca="false">IF(EOMONTH($A127,0)&gt;MAX(Rates_Daily!$A$15:$A$2892),"partial month","complete")</f>
        <v>complete</v>
      </c>
    </row>
    <row r="128" customFormat="false" ht="15" hidden="false" customHeight="false" outlineLevel="0" collapsed="false">
      <c r="A128" s="17" t="n">
        <v>45809</v>
      </c>
      <c r="B128" s="14" t="n">
        <v>4.33</v>
      </c>
      <c r="C128" s="10" t="n">
        <f aca="false">IFERROR(INDEX(Rates_Daily!C$15:C$2892,MATCH(_xlfn.MAXIFS(Rates_Daily!$A$15:$A$2892,Rates_Daily!$A$15:$A$2892,"&lt;="&amp;EOMONTH($A128,0),Rates_Daily!C$15:C$2892,"&gt;=-1E+99"),Rates_Daily!$A$15:$A$2892,0)),"")</f>
        <v>4.5</v>
      </c>
      <c r="D128" s="10" t="n">
        <f aca="false">IFERROR(INDEX(Rates_Daily!D$15:D$2892,MATCH(_xlfn.MAXIFS(Rates_Daily!$A$15:$A$2892,Rates_Daily!$A$15:$A$2892,"&lt;="&amp;EOMONTH($A128,0),Rates_Daily!D$15:D$2892,"&gt;=-1E+99"),Rates_Daily!$A$15:$A$2892,0)),"")</f>
        <v>4.25</v>
      </c>
      <c r="E128" s="10" t="n">
        <f aca="false">IFERROR(AVERAGEIFS(Rates_Daily!B$15:B$2892,Rates_Daily!$A$15:$A$2892,"&gt;="&amp;$A128,Rates_Daily!$A$15:$A$2892,"&lt;="&amp;EOMONTH($A128,0)),"")</f>
        <v>4.3165</v>
      </c>
      <c r="F128" s="14" t="n">
        <v>4.24</v>
      </c>
      <c r="G128" s="14" t="n">
        <v>4.42</v>
      </c>
      <c r="H128" s="14" t="n">
        <v>4.3</v>
      </c>
      <c r="I128" s="14" t="n">
        <v>4.06</v>
      </c>
      <c r="J128" s="14" t="n">
        <v>4.31</v>
      </c>
      <c r="K128" s="10" t="n">
        <f aca="false">IFERROR(INDEX(Rates_Daily!F$15:F$2892,MATCH(_xlfn.MAXIFS(Rates_Daily!$A$15:$A$2892,Rates_Daily!$A$15:$A$2892,"&lt;="&amp;EOMONTH($A128,0),Rates_Daily!F$15:F$2892,"&gt;=-1E+99"),Rates_Daily!$A$15:$A$2892,0)),"")</f>
        <v>2</v>
      </c>
      <c r="L128" s="10" t="n">
        <f aca="false">IFERROR(AVERAGEIFS(Rates_Daily!E$15:E$2892,Rates_Daily!$A$15:$A$2892,"&gt;="&amp;$A128,Rates_Daily!$A$15:$A$2892,"&lt;="&amp;EOMONTH($A128,0)),"")</f>
        <v>2.00685714285714</v>
      </c>
      <c r="M128" s="14" t="n">
        <v>1.9285238</v>
      </c>
      <c r="N128" s="14" t="n">
        <v>1.983619</v>
      </c>
      <c r="O128" s="14" t="n">
        <v>2.0496667</v>
      </c>
      <c r="P128" s="14" t="n">
        <v>2.0809048</v>
      </c>
      <c r="Q128" s="14" t="n">
        <v>1.9836190476</v>
      </c>
      <c r="R128" s="14" t="n">
        <v>4.25</v>
      </c>
      <c r="S128" s="14" t="n">
        <v>4.2144</v>
      </c>
      <c r="T128" s="10" t="n">
        <f aca="false">IFERROR(AVERAGEIFS(Rates_Daily!I$15:I$2892,Rates_Daily!$A$15:$A$2892,"&gt;="&amp;$A128,Rates_Daily!$A$15:$A$2892,"&lt;="&amp;EOMONTH($A128,0)),"")</f>
        <v>4.20882275856713</v>
      </c>
      <c r="U128" s="10" t="n">
        <f aca="false">IFERROR(AVERAGEIFS(Rates_Daily!J$15:J$2892,Rates_Daily!$A$15:$A$2892,"&gt;="&amp;$A128,Rates_Daily!$A$15:$A$2892,"&lt;="&amp;EOMONTH($A128,0)),"")</f>
        <v>4.13294474637887</v>
      </c>
      <c r="V128" s="10" t="n">
        <f aca="false">IFERROR(AVERAGEIFS(Rates_Daily!K$15:K$2892,Rates_Daily!$A$15:$A$2892,"&gt;="&amp;$A128,Rates_Daily!$A$15:$A$2892,"&lt;="&amp;EOMONTH($A128,0)),"")</f>
        <v>4.01260497191299</v>
      </c>
      <c r="W128" s="10" t="n">
        <f aca="false">IFERROR(AVERAGEIFS(Rates_Daily!L$15:L$2892,Rates_Daily!$A$15:$A$2892,"&gt;="&amp;$A128,Rates_Daily!$A$15:$A$2892,"&lt;="&amp;EOMONTH($A128,0)),"")</f>
        <v>3.82334579125339</v>
      </c>
      <c r="X128" s="14" t="n">
        <v>4.15</v>
      </c>
      <c r="Y128" s="14" t="n">
        <v>4.41</v>
      </c>
      <c r="Z128" s="14" t="n">
        <v>4.41</v>
      </c>
      <c r="AA128" s="14" t="n">
        <v>4.21</v>
      </c>
      <c r="AB128" s="14" t="n">
        <v>4.099</v>
      </c>
      <c r="AC128" s="14" t="n">
        <v>3.953</v>
      </c>
      <c r="AD128" s="14" t="n">
        <v>4.34</v>
      </c>
      <c r="AE128" s="14" t="n">
        <v>2.5</v>
      </c>
      <c r="AF128" s="14" t="n">
        <v>2.52</v>
      </c>
      <c r="AG128" s="14" t="n">
        <v>2.57</v>
      </c>
      <c r="AH128" s="14" t="n">
        <v>2.57</v>
      </c>
      <c r="AI128" s="14" t="n">
        <v>2.54</v>
      </c>
      <c r="AJ128" s="14" t="n">
        <v>2.54</v>
      </c>
      <c r="AK128" s="14" t="n">
        <v>2.48</v>
      </c>
      <c r="AL128" s="14" t="n">
        <v>2.296</v>
      </c>
      <c r="AM128" s="14" t="n">
        <v>2.29</v>
      </c>
      <c r="AN128" s="14" t="n">
        <v>2.57</v>
      </c>
      <c r="AO128" s="10" t="n">
        <f aca="false">IFERROR(AVERAGEIFS(Rates_Daily!M$15:M$2892,Rates_Daily!$A$15:$A$2892,"&gt;="&amp;$A128,Rates_Daily!$A$15:$A$2892,"&lt;="&amp;EOMONTH($A128,0)),"")</f>
        <v>1.6204</v>
      </c>
      <c r="AP128" s="10" t="n">
        <f aca="false">IFERROR(AVERAGEIFS(Rates_Daily!N$15:N$2892,Rates_Daily!$A$15:$A$2892,"&gt;="&amp;$A128,Rates_Daily!$A$15:$A$2892,"&lt;="&amp;EOMONTH($A128,0)),"")</f>
        <v>1.63785</v>
      </c>
      <c r="AQ128" s="10" t="n">
        <f aca="false">IFERROR(AVERAGEIFS(Rates_Daily!O$15:O$2892,Rates_Daily!$A$15:$A$2892,"&gt;="&amp;$A128,Rates_Daily!$A$15:$A$2892,"&lt;="&amp;EOMONTH($A128,0)),"")</f>
        <v>1.65315</v>
      </c>
      <c r="AR128" s="10" t="n">
        <f aca="false">IFERROR(AVERAGEIFS(Rates_Daily!P$15:P$2892,Rates_Daily!$A$15:$A$2892,"&gt;="&amp;$A128,Rates_Daily!$A$15:$A$2892,"&lt;="&amp;EOMONTH($A128,0)),"")</f>
        <v>1.67785</v>
      </c>
      <c r="AS128" s="14" t="n">
        <v>3</v>
      </c>
      <c r="AT128" s="14" t="n">
        <v>3.5</v>
      </c>
      <c r="AU128" s="14" t="n">
        <v>1.79</v>
      </c>
      <c r="AV128" s="14" t="n">
        <v>14.74</v>
      </c>
      <c r="AW128" s="14" t="n">
        <v>14.84</v>
      </c>
      <c r="AX128" s="14" t="n">
        <v>0.77273</v>
      </c>
      <c r="AY128" s="14" t="n">
        <v>0.477</v>
      </c>
      <c r="AZ128" s="16" t="str">
        <f aca="false">IF(EOMONTH($A128,0)&gt;MAX(Rates_Daily!$A$15:$A$2892),"partial month","complete")</f>
        <v>complete</v>
      </c>
    </row>
    <row r="129" customFormat="false" ht="15" hidden="false" customHeight="false" outlineLevel="0" collapsed="false">
      <c r="A129" s="17" t="n">
        <v>45839</v>
      </c>
      <c r="B129" s="14" t="n">
        <v>4.33</v>
      </c>
      <c r="C129" s="10" t="n">
        <f aca="false">IFERROR(INDEX(Rates_Daily!C$15:C$2892,MATCH(_xlfn.MAXIFS(Rates_Daily!$A$15:$A$2892,Rates_Daily!$A$15:$A$2892,"&lt;="&amp;EOMONTH($A129,0),Rates_Daily!C$15:C$2892,"&gt;=-1E+99"),Rates_Daily!$A$15:$A$2892,0)),"")</f>
        <v>4.5</v>
      </c>
      <c r="D129" s="10" t="n">
        <f aca="false">IFERROR(INDEX(Rates_Daily!D$15:D$2892,MATCH(_xlfn.MAXIFS(Rates_Daily!$A$15:$A$2892,Rates_Daily!$A$15:$A$2892,"&lt;="&amp;EOMONTH($A129,0),Rates_Daily!D$15:D$2892,"&gt;=-1E+99"),Rates_Daily!$A$15:$A$2892,0)),"")</f>
        <v>4.25</v>
      </c>
      <c r="E129" s="10" t="n">
        <f aca="false">IFERROR(AVERAGEIFS(Rates_Daily!B$15:B$2892,Rates_Daily!$A$15:$A$2892,"&gt;="&amp;$A129,Rates_Daily!$A$15:$A$2892,"&lt;="&amp;EOMONTH($A129,0)),"")</f>
        <v>4.33681818181818</v>
      </c>
      <c r="F129" s="14" t="n">
        <v>4.37</v>
      </c>
      <c r="G129" s="14" t="n">
        <v>4.41</v>
      </c>
      <c r="H129" s="14" t="n">
        <v>4.31</v>
      </c>
      <c r="I129" s="14" t="n">
        <v>4.08</v>
      </c>
      <c r="J129" s="14" t="n">
        <v>4.28</v>
      </c>
      <c r="K129" s="10" t="n">
        <f aca="false">IFERROR(INDEX(Rates_Daily!F$15:F$2892,MATCH(_xlfn.MAXIFS(Rates_Daily!$A$15:$A$2892,Rates_Daily!$A$15:$A$2892,"&lt;="&amp;EOMONTH($A129,0),Rates_Daily!F$15:F$2892,"&gt;=-1E+99"),Rates_Daily!$A$15:$A$2892,0)),"")</f>
        <v>2</v>
      </c>
      <c r="L129" s="10" t="n">
        <f aca="false">IFERROR(AVERAGEIFS(Rates_Daily!E$15:E$2892,Rates_Daily!$A$15:$A$2892,"&gt;="&amp;$A129,Rates_Daily!$A$15:$A$2892,"&lt;="&amp;EOMONTH($A129,0)),"")</f>
        <v>1.92230434782609</v>
      </c>
      <c r="M129" s="14" t="n">
        <v>1.8922609</v>
      </c>
      <c r="N129" s="14" t="n">
        <v>1.9863478</v>
      </c>
      <c r="O129" s="14" t="n">
        <v>2.0553478</v>
      </c>
      <c r="P129" s="14" t="n">
        <v>2.079087</v>
      </c>
      <c r="Q129" s="14" t="n">
        <v>1.9863478261</v>
      </c>
      <c r="R129" s="14" t="n">
        <v>4.25</v>
      </c>
      <c r="S129" s="14" t="n">
        <v>4.2172</v>
      </c>
      <c r="T129" s="10" t="n">
        <f aca="false">IFERROR(AVERAGEIFS(Rates_Daily!I$15:I$2892,Rates_Daily!$A$15:$A$2892,"&gt;="&amp;$A129,Rates_Daily!$A$15:$A$2892,"&lt;="&amp;EOMONTH($A129,0)),"")</f>
        <v>4.1420664592368</v>
      </c>
      <c r="U129" s="10" t="n">
        <f aca="false">IFERROR(AVERAGEIFS(Rates_Daily!J$15:J$2892,Rates_Daily!$A$15:$A$2892,"&gt;="&amp;$A129,Rates_Daily!$A$15:$A$2892,"&lt;="&amp;EOMONTH($A129,0)),"")</f>
        <v>4.03345647273554</v>
      </c>
      <c r="V129" s="10" t="n">
        <f aca="false">IFERROR(AVERAGEIFS(Rates_Daily!K$15:K$2892,Rates_Daily!$A$15:$A$2892,"&gt;="&amp;$A129,Rates_Daily!$A$15:$A$2892,"&lt;="&amp;EOMONTH($A129,0)),"")</f>
        <v>3.91544582586026</v>
      </c>
      <c r="W129" s="10" t="n">
        <f aca="false">IFERROR(AVERAGEIFS(Rates_Daily!L$15:L$2892,Rates_Daily!$A$15:$A$2892,"&gt;="&amp;$A129,Rates_Daily!$A$15:$A$2892,"&lt;="&amp;EOMONTH($A129,0)),"")</f>
        <v>3.73469163823949</v>
      </c>
      <c r="X129" s="14" t="n">
        <v>4.05</v>
      </c>
      <c r="Y129" s="14" t="n">
        <v>4.25</v>
      </c>
      <c r="Z129" s="14" t="n">
        <v>4.25</v>
      </c>
      <c r="AA129" s="14" t="n">
        <v>4.05</v>
      </c>
      <c r="AB129" s="14" t="n">
        <v>3.926</v>
      </c>
      <c r="AC129" s="14" t="n">
        <v>3.756</v>
      </c>
      <c r="AD129" s="14" t="n">
        <v>4.33</v>
      </c>
      <c r="AE129" s="14" t="n">
        <v>2.5</v>
      </c>
      <c r="AF129" s="14" t="n">
        <v>2.5</v>
      </c>
      <c r="AG129" s="14" t="n">
        <v>2.51</v>
      </c>
      <c r="AH129" s="14" t="n">
        <v>2.52</v>
      </c>
      <c r="AI129" s="14" t="n">
        <v>2.52</v>
      </c>
      <c r="AJ129" s="14" t="n">
        <v>2.52</v>
      </c>
      <c r="AK129" s="14" t="n">
        <v>2.418</v>
      </c>
      <c r="AL129" s="14" t="n">
        <v>2.296</v>
      </c>
      <c r="AM129" s="14" t="n">
        <v>2.308</v>
      </c>
      <c r="AN129" s="14" t="n">
        <v>2.51</v>
      </c>
      <c r="AO129" s="10" t="n">
        <f aca="false">IFERROR(AVERAGEIFS(Rates_Daily!M$15:M$2892,Rates_Daily!$A$15:$A$2892,"&gt;="&amp;$A129,Rates_Daily!$A$15:$A$2892,"&lt;="&amp;EOMONTH($A129,0)),"")</f>
        <v>1.55141304347826</v>
      </c>
      <c r="AP129" s="10" t="n">
        <f aca="false">IFERROR(AVERAGEIFS(Rates_Daily!N$15:N$2892,Rates_Daily!$A$15:$A$2892,"&gt;="&amp;$A129,Rates_Daily!$A$15:$A$2892,"&lt;="&amp;EOMONTH($A129,0)),"")</f>
        <v>1.56884782608696</v>
      </c>
      <c r="AQ129" s="10" t="n">
        <f aca="false">IFERROR(AVERAGEIFS(Rates_Daily!O$15:O$2892,Rates_Daily!$A$15:$A$2892,"&gt;="&amp;$A129,Rates_Daily!$A$15:$A$2892,"&lt;="&amp;EOMONTH($A129,0)),"")</f>
        <v>1.60328260869565</v>
      </c>
      <c r="AR129" s="10" t="n">
        <f aca="false">IFERROR(AVERAGEIFS(Rates_Daily!P$15:P$2892,Rates_Daily!$A$15:$A$2892,"&gt;="&amp;$A129,Rates_Daily!$A$15:$A$2892,"&lt;="&amp;EOMONTH($A129,0)),"")</f>
        <v>1.62923913043478</v>
      </c>
      <c r="AS129" s="14" t="n">
        <v>3</v>
      </c>
      <c r="AT129" s="14" t="n">
        <v>3.5</v>
      </c>
      <c r="AU129" s="14" t="n">
        <v>1.78</v>
      </c>
      <c r="AV129" s="14" t="n">
        <v>14.9</v>
      </c>
      <c r="AW129" s="14" t="n">
        <v>15</v>
      </c>
      <c r="AX129" s="14" t="n">
        <v>0.77273</v>
      </c>
      <c r="AY129" s="14" t="n">
        <v>0.478</v>
      </c>
      <c r="AZ129" s="16" t="str">
        <f aca="false">IF(EOMONTH($A129,0)&gt;MAX(Rates_Daily!$A$15:$A$2892),"partial month","complete")</f>
        <v>complete</v>
      </c>
    </row>
    <row r="130" customFormat="false" ht="15" hidden="false" customHeight="false" outlineLevel="0" collapsed="false">
      <c r="A130" s="17" t="n">
        <v>45870</v>
      </c>
      <c r="B130" s="14" t="n">
        <v>4.33</v>
      </c>
      <c r="C130" s="10" t="n">
        <f aca="false">IFERROR(INDEX(Rates_Daily!C$15:C$2892,MATCH(_xlfn.MAXIFS(Rates_Daily!$A$15:$A$2892,Rates_Daily!$A$15:$A$2892,"&lt;="&amp;EOMONTH($A130,0),Rates_Daily!C$15:C$2892,"&gt;=-1E+99"),Rates_Daily!$A$15:$A$2892,0)),"")</f>
        <v>4.5</v>
      </c>
      <c r="D130" s="10" t="n">
        <f aca="false">IFERROR(INDEX(Rates_Daily!D$15:D$2892,MATCH(_xlfn.MAXIFS(Rates_Daily!$A$15:$A$2892,Rates_Daily!$A$15:$A$2892,"&lt;="&amp;EOMONTH($A130,0),Rates_Daily!D$15:D$2892,"&gt;=-1E+99"),Rates_Daily!$A$15:$A$2892,0)),"")</f>
        <v>4.25</v>
      </c>
      <c r="E130" s="10" t="n">
        <f aca="false">IFERROR(AVERAGEIFS(Rates_Daily!B$15:B$2892,Rates_Daily!$A$15:$A$2892,"&gt;="&amp;$A130,Rates_Daily!$A$15:$A$2892,"&lt;="&amp;EOMONTH($A130,0)),"")</f>
        <v>4.34428571428571</v>
      </c>
      <c r="F130" s="14" t="n">
        <v>4.46</v>
      </c>
      <c r="G130" s="14" t="n">
        <v>4.3</v>
      </c>
      <c r="H130" s="14" t="n">
        <v>4.11</v>
      </c>
      <c r="I130" s="14" t="n">
        <v>3.89</v>
      </c>
      <c r="J130" s="14" t="n">
        <v>4.22</v>
      </c>
      <c r="K130" s="10" t="n">
        <f aca="false">IFERROR(INDEX(Rates_Daily!F$15:F$2892,MATCH(_xlfn.MAXIFS(Rates_Daily!$A$15:$A$2892,Rates_Daily!$A$15:$A$2892,"&lt;="&amp;EOMONTH($A130,0),Rates_Daily!F$15:F$2892,"&gt;=-1E+99"),Rates_Daily!$A$15:$A$2892,0)),"")</f>
        <v>2</v>
      </c>
      <c r="L130" s="10" t="n">
        <f aca="false">IFERROR(AVERAGEIFS(Rates_Daily!E$15:E$2892,Rates_Daily!$A$15:$A$2892,"&gt;="&amp;$A130,Rates_Daily!$A$15:$A$2892,"&lt;="&amp;EOMONTH($A130,0)),"")</f>
        <v>1.924</v>
      </c>
      <c r="M130" s="14" t="n">
        <v>1.89</v>
      </c>
      <c r="N130" s="14" t="n">
        <v>2.0210952</v>
      </c>
      <c r="O130" s="14" t="n">
        <v>2.0844286</v>
      </c>
      <c r="P130" s="14" t="n">
        <v>2.1139048</v>
      </c>
      <c r="Q130" s="14" t="n">
        <v>2.0210952381</v>
      </c>
      <c r="R130" s="14" t="n">
        <v>4.05</v>
      </c>
      <c r="S130" s="14" t="n">
        <v>4.0172</v>
      </c>
      <c r="T130" s="10" t="n">
        <f aca="false">IFERROR(AVERAGEIFS(Rates_Daily!I$15:I$2892,Rates_Daily!$A$15:$A$2892,"&gt;="&amp;$A130,Rates_Daily!$A$15:$A$2892,"&lt;="&amp;EOMONTH($A130,0)),"")</f>
        <v>3.97645646049575</v>
      </c>
      <c r="U130" s="10" t="n">
        <f aca="false">IFERROR(AVERAGEIFS(Rates_Daily!J$15:J$2892,Rates_Daily!$A$15:$A$2892,"&gt;="&amp;$A130,Rates_Daily!$A$15:$A$2892,"&lt;="&amp;EOMONTH($A130,0)),"")</f>
        <v>3.95315424780463</v>
      </c>
      <c r="V130" s="10" t="n">
        <f aca="false">IFERROR(AVERAGEIFS(Rates_Daily!K$15:K$2892,Rates_Daily!$A$15:$A$2892,"&gt;="&amp;$A130,Rates_Daily!$A$15:$A$2892,"&lt;="&amp;EOMONTH($A130,0)),"")</f>
        <v>3.88626757045269</v>
      </c>
      <c r="W130" s="10" t="n">
        <f aca="false">IFERROR(AVERAGEIFS(Rates_Daily!L$15:L$2892,Rates_Daily!$A$15:$A$2892,"&gt;="&amp;$A130,Rates_Daily!$A$15:$A$2892,"&lt;="&amp;EOMONTH($A130,0)),"")</f>
        <v>3.75422943973201</v>
      </c>
      <c r="X130" s="14" t="n">
        <v>3.98</v>
      </c>
      <c r="Y130" s="14" t="n">
        <v>4.25</v>
      </c>
      <c r="Z130" s="14" t="n">
        <v>4.25</v>
      </c>
      <c r="AA130" s="14" t="n">
        <v>3.92</v>
      </c>
      <c r="AB130" s="14" t="n">
        <v>3.864</v>
      </c>
      <c r="AC130" s="14" t="n">
        <v>3.757</v>
      </c>
      <c r="AD130" s="14" t="n">
        <v>4.26</v>
      </c>
      <c r="AE130" s="14" t="n">
        <v>2.5</v>
      </c>
      <c r="AF130" s="14" t="n">
        <v>2.506</v>
      </c>
      <c r="AG130" s="14" t="n">
        <v>2.51</v>
      </c>
      <c r="AH130" s="14" t="n">
        <v>2.5</v>
      </c>
      <c r="AI130" s="14" t="n">
        <v>2.52</v>
      </c>
      <c r="AJ130" s="14" t="n">
        <v>2.52</v>
      </c>
      <c r="AK130" s="14" t="n">
        <v>2.361</v>
      </c>
      <c r="AL130" s="14" t="n">
        <v>2.244</v>
      </c>
      <c r="AM130" s="14" t="n">
        <v>2.263</v>
      </c>
      <c r="AN130" s="14" t="n">
        <v>2.51</v>
      </c>
      <c r="AO130" s="10" t="n">
        <f aca="false">IFERROR(AVERAGEIFS(Rates_Daily!M$15:M$2892,Rates_Daily!$A$15:$A$2892,"&gt;="&amp;$A130,Rates_Daily!$A$15:$A$2892,"&lt;="&amp;EOMONTH($A130,0)),"")</f>
        <v>1.53098095238095</v>
      </c>
      <c r="AP130" s="10" t="n">
        <f aca="false">IFERROR(AVERAGEIFS(Rates_Daily!N$15:N$2892,Rates_Daily!$A$15:$A$2892,"&gt;="&amp;$A130,Rates_Daily!$A$15:$A$2892,"&lt;="&amp;EOMONTH($A130,0)),"")</f>
        <v>1.55206666666667</v>
      </c>
      <c r="AQ130" s="10" t="n">
        <f aca="false">IFERROR(AVERAGEIFS(Rates_Daily!O$15:O$2892,Rates_Daily!$A$15:$A$2892,"&gt;="&amp;$A130,Rates_Daily!$A$15:$A$2892,"&lt;="&amp;EOMONTH($A130,0)),"")</f>
        <v>1.60928571428571</v>
      </c>
      <c r="AR130" s="10" t="n">
        <f aca="false">IFERROR(AVERAGEIFS(Rates_Daily!P$15:P$2892,Rates_Daily!$A$15:$A$2892,"&gt;="&amp;$A130,Rates_Daily!$A$15:$A$2892,"&lt;="&amp;EOMONTH($A130,0)),"")</f>
        <v>1.64484761904762</v>
      </c>
      <c r="AS130" s="14" t="n">
        <v>3</v>
      </c>
      <c r="AT130" s="14" t="n">
        <v>3.5</v>
      </c>
      <c r="AU130" s="14" t="n">
        <v>1.66</v>
      </c>
      <c r="AV130" s="14" t="n">
        <v>14.9</v>
      </c>
      <c r="AW130" s="14" t="n">
        <v>15</v>
      </c>
      <c r="AX130" s="14" t="n">
        <v>0.77273</v>
      </c>
      <c r="AY130" s="14" t="n">
        <v>0.477</v>
      </c>
      <c r="AZ130" s="16" t="str">
        <f aca="false">IF(EOMONTH($A130,0)&gt;MAX(Rates_Daily!$A$15:$A$2892),"partial month","complete")</f>
        <v>complete</v>
      </c>
    </row>
    <row r="131" customFormat="false" ht="15" hidden="false" customHeight="false" outlineLevel="0" collapsed="false">
      <c r="A131" s="17" t="n">
        <v>45901</v>
      </c>
      <c r="B131" s="14" t="n">
        <v>4.22</v>
      </c>
      <c r="C131" s="10" t="n">
        <f aca="false">IFERROR(INDEX(Rates_Daily!C$15:C$2892,MATCH(_xlfn.MAXIFS(Rates_Daily!$A$15:$A$2892,Rates_Daily!$A$15:$A$2892,"&lt;="&amp;EOMONTH($A131,0),Rates_Daily!C$15:C$2892,"&gt;=-1E+99"),Rates_Daily!$A$15:$A$2892,0)),"")</f>
        <v>4.25</v>
      </c>
      <c r="D131" s="10" t="n">
        <f aca="false">IFERROR(INDEX(Rates_Daily!D$15:D$2892,MATCH(_xlfn.MAXIFS(Rates_Daily!$A$15:$A$2892,Rates_Daily!$A$15:$A$2892,"&lt;="&amp;EOMONTH($A131,0),Rates_Daily!D$15:D$2892,"&gt;=-1E+99"),Rates_Daily!$A$15:$A$2892,0)),"")</f>
        <v>4</v>
      </c>
      <c r="E131" s="10" t="n">
        <f aca="false">IFERROR(AVERAGEIFS(Rates_Daily!B$15:B$2892,Rates_Daily!$A$15:$A$2892,"&gt;="&amp;$A131,Rates_Daily!$A$15:$A$2892,"&lt;="&amp;EOMONTH($A131,0)),"")</f>
        <v>4.29952380952381</v>
      </c>
      <c r="F131" s="14" t="n">
        <v>4.24</v>
      </c>
      <c r="G131" s="14" t="n">
        <v>4.07</v>
      </c>
      <c r="H131" s="14" t="n">
        <v>3.84</v>
      </c>
      <c r="I131" s="14" t="n">
        <v>3.66</v>
      </c>
      <c r="J131" s="14" t="n">
        <v>4.1</v>
      </c>
      <c r="K131" s="10" t="n">
        <f aca="false">IFERROR(INDEX(Rates_Daily!F$15:F$2892,MATCH(_xlfn.MAXIFS(Rates_Daily!$A$15:$A$2892,Rates_Daily!$A$15:$A$2892,"&lt;="&amp;EOMONTH($A131,0),Rates_Daily!F$15:F$2892,"&gt;=-1E+99"),Rates_Daily!$A$15:$A$2892,0)),"")</f>
        <v>2</v>
      </c>
      <c r="L131" s="10" t="n">
        <f aca="false">IFERROR(AVERAGEIFS(Rates_Daily!E$15:E$2892,Rates_Daily!$A$15:$A$2892,"&gt;="&amp;$A131,Rates_Daily!$A$15:$A$2892,"&lt;="&amp;EOMONTH($A131,0)),"")</f>
        <v>1.92454545454545</v>
      </c>
      <c r="M131" s="14" t="n">
        <v>1.8972273</v>
      </c>
      <c r="N131" s="14" t="n">
        <v>2.0272727</v>
      </c>
      <c r="O131" s="14" t="n">
        <v>2.1023182</v>
      </c>
      <c r="P131" s="14" t="n">
        <v>2.1715</v>
      </c>
      <c r="Q131" s="14" t="n">
        <v>2.0272727273</v>
      </c>
      <c r="R131" s="14" t="n">
        <v>4</v>
      </c>
      <c r="S131" s="14" t="n">
        <v>3.9672</v>
      </c>
      <c r="T131" s="10" t="n">
        <f aca="false">IFERROR(AVERAGEIFS(Rates_Daily!I$15:I$2892,Rates_Daily!$A$15:$A$2892,"&gt;="&amp;$A131,Rates_Daily!$A$15:$A$2892,"&lt;="&amp;EOMONTH($A131,0)),"")</f>
        <v>3.96854361854168</v>
      </c>
      <c r="U131" s="10" t="n">
        <f aca="false">IFERROR(AVERAGEIFS(Rates_Daily!J$15:J$2892,Rates_Daily!$A$15:$A$2892,"&gt;="&amp;$A131,Rates_Daily!$A$15:$A$2892,"&lt;="&amp;EOMONTH($A131,0)),"")</f>
        <v>3.9502107371447</v>
      </c>
      <c r="V131" s="10" t="n">
        <f aca="false">IFERROR(AVERAGEIFS(Rates_Daily!K$15:K$2892,Rates_Daily!$A$15:$A$2892,"&gt;="&amp;$A131,Rates_Daily!$A$15:$A$2892,"&lt;="&amp;EOMONTH($A131,0)),"")</f>
        <v>3.89421054379181</v>
      </c>
      <c r="W131" s="10" t="n">
        <f aca="false">IFERROR(AVERAGEIFS(Rates_Daily!L$15:L$2892,Rates_Daily!$A$15:$A$2892,"&gt;="&amp;$A131,Rates_Daily!$A$15:$A$2892,"&lt;="&amp;EOMONTH($A131,0)),"")</f>
        <v>3.78085879799295</v>
      </c>
      <c r="X131" s="14" t="n">
        <v>3.97</v>
      </c>
      <c r="Y131" s="14" t="n">
        <v>4.16</v>
      </c>
      <c r="Z131" s="14" t="n">
        <v>4.16</v>
      </c>
      <c r="AA131" s="14" t="n">
        <v>3.931</v>
      </c>
      <c r="AB131" s="14" t="n">
        <v>3.899</v>
      </c>
      <c r="AC131" s="14" t="n">
        <v>3.859</v>
      </c>
      <c r="AD131" s="14" t="n">
        <v>4.13</v>
      </c>
      <c r="AE131" s="14" t="n">
        <v>2.5</v>
      </c>
      <c r="AF131" s="14" t="n">
        <v>2.526</v>
      </c>
      <c r="AG131" s="14" t="n">
        <v>2.56</v>
      </c>
      <c r="AH131" s="14" t="n">
        <v>2.51</v>
      </c>
      <c r="AI131" s="14" t="n">
        <v>2.55</v>
      </c>
      <c r="AJ131" s="14" t="n">
        <v>2.55</v>
      </c>
      <c r="AK131" s="14" t="n">
        <v>2.357</v>
      </c>
      <c r="AL131" s="14" t="n">
        <v>2.269</v>
      </c>
      <c r="AM131" s="14" t="n">
        <v>2.28</v>
      </c>
      <c r="AN131" s="14" t="n">
        <v>2.56</v>
      </c>
      <c r="AO131" s="10" t="n">
        <f aca="false">IFERROR(AVERAGEIFS(Rates_Daily!M$15:M$2892,Rates_Daily!$A$15:$A$2892,"&gt;="&amp;$A131,Rates_Daily!$A$15:$A$2892,"&lt;="&amp;EOMONTH($A131,0)),"")</f>
        <v>1.54021739130435</v>
      </c>
      <c r="AP131" s="10" t="n">
        <f aca="false">IFERROR(AVERAGEIFS(Rates_Daily!N$15:N$2892,Rates_Daily!$A$15:$A$2892,"&gt;="&amp;$A131,Rates_Daily!$A$15:$A$2892,"&lt;="&amp;EOMONTH($A131,0)),"")</f>
        <v>1.55939130434783</v>
      </c>
      <c r="AQ131" s="10" t="n">
        <f aca="false">IFERROR(AVERAGEIFS(Rates_Daily!O$15:O$2892,Rates_Daily!$A$15:$A$2892,"&gt;="&amp;$A131,Rates_Daily!$A$15:$A$2892,"&lt;="&amp;EOMONTH($A131,0)),"")</f>
        <v>1.62513043478261</v>
      </c>
      <c r="AR131" s="10" t="n">
        <f aca="false">IFERROR(AVERAGEIFS(Rates_Daily!P$15:P$2892,Rates_Daily!$A$15:$A$2892,"&gt;="&amp;$A131,Rates_Daily!$A$15:$A$2892,"&lt;="&amp;EOMONTH($A131,0)),"")</f>
        <v>1.6685652173913</v>
      </c>
      <c r="AS131" s="14" t="n">
        <v>3</v>
      </c>
      <c r="AT131" s="14" t="n">
        <v>3.5</v>
      </c>
      <c r="AU131" s="14" t="n">
        <v>1.68</v>
      </c>
      <c r="AV131" s="14" t="n">
        <v>14.9</v>
      </c>
      <c r="AW131" s="14" t="n">
        <v>15</v>
      </c>
      <c r="AX131" s="14" t="n">
        <v>0.81818</v>
      </c>
      <c r="AY131" s="14" t="n">
        <v>0.477</v>
      </c>
      <c r="AZ131" s="16" t="str">
        <f aca="false">IF(EOMONTH($A131,0)&gt;MAX(Rates_Daily!$A$15:$A$2892),"partial month","complete")</f>
        <v>complete</v>
      </c>
    </row>
    <row r="132" customFormat="false" ht="15" hidden="false" customHeight="false" outlineLevel="0" collapsed="false">
      <c r="A132" s="17" t="n">
        <v>45931</v>
      </c>
      <c r="B132" s="14" t="n">
        <v>4.09</v>
      </c>
      <c r="C132" s="10" t="n">
        <f aca="false">IFERROR(INDEX(Rates_Daily!C$15:C$2892,MATCH(_xlfn.MAXIFS(Rates_Daily!$A$15:$A$2892,Rates_Daily!$A$15:$A$2892,"&lt;="&amp;EOMONTH($A132,0),Rates_Daily!C$15:C$2892,"&gt;=-1E+99"),Rates_Daily!$A$15:$A$2892,0)),"")</f>
        <v>4</v>
      </c>
      <c r="D132" s="10" t="n">
        <f aca="false">IFERROR(INDEX(Rates_Daily!D$15:D$2892,MATCH(_xlfn.MAXIFS(Rates_Daily!$A$15:$A$2892,Rates_Daily!$A$15:$A$2892,"&lt;="&amp;EOMONTH($A132,0),Rates_Daily!D$15:D$2892,"&gt;=-1E+99"),Rates_Daily!$A$15:$A$2892,0)),"")</f>
        <v>3.75</v>
      </c>
      <c r="E132" s="10" t="n">
        <f aca="false">IFERROR(AVERAGEIFS(Rates_Daily!B$15:B$2892,Rates_Daily!$A$15:$A$2892,"&gt;="&amp;$A132,Rates_Daily!$A$15:$A$2892,"&lt;="&amp;EOMONTH($A132,0)),"")</f>
        <v>4.20090909090909</v>
      </c>
      <c r="F132" s="14" t="n">
        <v>4.15</v>
      </c>
      <c r="G132" s="14" t="n">
        <v>3.98</v>
      </c>
      <c r="H132" s="14" t="n">
        <v>3.79</v>
      </c>
      <c r="I132" s="14" t="n">
        <v>3.61</v>
      </c>
      <c r="J132" s="14" t="n">
        <v>3.98</v>
      </c>
      <c r="K132" s="10" t="n">
        <f aca="false">IFERROR(INDEX(Rates_Daily!F$15:F$2892,MATCH(_xlfn.MAXIFS(Rates_Daily!$A$15:$A$2892,Rates_Daily!$A$15:$A$2892,"&lt;="&amp;EOMONTH($A132,0),Rates_Daily!F$15:F$2892,"&gt;=-1E+99"),Rates_Daily!$A$15:$A$2892,0)),"")</f>
        <v>2</v>
      </c>
      <c r="L132" s="10" t="n">
        <f aca="false">IFERROR(AVERAGEIFS(Rates_Daily!E$15:E$2892,Rates_Daily!$A$15:$A$2892,"&gt;="&amp;$A132,Rates_Daily!$A$15:$A$2892,"&lt;="&amp;EOMONTH($A132,0)),"")</f>
        <v>1.92682608695652</v>
      </c>
      <c r="M132" s="14" t="n">
        <v>1.9062609</v>
      </c>
      <c r="N132" s="14" t="n">
        <v>2.0344348</v>
      </c>
      <c r="O132" s="14" t="n">
        <v>2.1068261</v>
      </c>
      <c r="P132" s="14" t="n">
        <v>2.1873043</v>
      </c>
      <c r="Q132" s="14" t="n">
        <v>2.0344347826</v>
      </c>
      <c r="R132" s="14" t="n">
        <v>4</v>
      </c>
      <c r="S132" s="14" t="n">
        <v>3.9682</v>
      </c>
      <c r="T132" s="10" t="n">
        <f aca="false">IFERROR(AVERAGEIFS(Rates_Daily!I$15:I$2892,Rates_Daily!$A$15:$A$2892,"&gt;="&amp;$A132,Rates_Daily!$A$15:$A$2892,"&lt;="&amp;EOMONTH($A132,0)),"")</f>
        <v>3.95163576568848</v>
      </c>
      <c r="U132" s="10" t="n">
        <f aca="false">IFERROR(AVERAGEIFS(Rates_Daily!J$15:J$2892,Rates_Daily!$A$15:$A$2892,"&gt;="&amp;$A132,Rates_Daily!$A$15:$A$2892,"&lt;="&amp;EOMONTH($A132,0)),"")</f>
        <v>3.90983960291942</v>
      </c>
      <c r="V132" s="10" t="n">
        <f aca="false">IFERROR(AVERAGEIFS(Rates_Daily!K$15:K$2892,Rates_Daily!$A$15:$A$2892,"&gt;="&amp;$A132,Rates_Daily!$A$15:$A$2892,"&lt;="&amp;EOMONTH($A132,0)),"")</f>
        <v>3.82597814222809</v>
      </c>
      <c r="W132" s="10" t="n">
        <f aca="false">IFERROR(AVERAGEIFS(Rates_Daily!L$15:L$2892,Rates_Daily!$A$15:$A$2892,"&gt;="&amp;$A132,Rates_Daily!$A$15:$A$2892,"&lt;="&amp;EOMONTH($A132,0)),"")</f>
        <v>3.69020825138989</v>
      </c>
      <c r="X132" s="14" t="n">
        <v>3.93</v>
      </c>
      <c r="Y132" s="14" t="n">
        <v>4</v>
      </c>
      <c r="Z132" s="14" t="n">
        <v>4</v>
      </c>
      <c r="AA132" s="14" t="n">
        <v>3.927</v>
      </c>
      <c r="AB132" s="14" t="n">
        <v>3.914</v>
      </c>
      <c r="AC132" s="14" t="n">
        <v>3.9</v>
      </c>
      <c r="AD132" s="14" t="n">
        <v>4.25</v>
      </c>
      <c r="AE132" s="14" t="n">
        <v>2.5</v>
      </c>
      <c r="AF132" s="14" t="n">
        <v>2.516</v>
      </c>
      <c r="AG132" s="14" t="n">
        <v>2.55</v>
      </c>
      <c r="AH132" s="14" t="n">
        <v>2.54</v>
      </c>
      <c r="AI132" s="14" t="n">
        <v>2.59</v>
      </c>
      <c r="AJ132" s="14" t="n">
        <v>2.6</v>
      </c>
      <c r="AK132" s="14" t="n">
        <v>2.354</v>
      </c>
      <c r="AL132" s="14" t="n">
        <v>2.324</v>
      </c>
      <c r="AM132" s="14" t="n">
        <v>2.332</v>
      </c>
      <c r="AN132" s="14" t="n">
        <v>2.55</v>
      </c>
      <c r="AO132" s="10" t="n">
        <f aca="false">IFERROR(AVERAGEIFS(Rates_Daily!M$15:M$2892,Rates_Daily!$A$15:$A$2892,"&gt;="&amp;$A132,Rates_Daily!$A$15:$A$2892,"&lt;="&amp;EOMONTH($A132,0)),"")</f>
        <v>1.55711111111111</v>
      </c>
      <c r="AP132" s="10" t="n">
        <f aca="false">IFERROR(AVERAGEIFS(Rates_Daily!N$15:N$2892,Rates_Daily!$A$15:$A$2892,"&gt;="&amp;$A132,Rates_Daily!$A$15:$A$2892,"&lt;="&amp;EOMONTH($A132,0)),"")</f>
        <v>1.5875</v>
      </c>
      <c r="AQ132" s="10" t="n">
        <f aca="false">IFERROR(AVERAGEIFS(Rates_Daily!O$15:O$2892,Rates_Daily!$A$15:$A$2892,"&gt;="&amp;$A132,Rates_Daily!$A$15:$A$2892,"&lt;="&amp;EOMONTH($A132,0)),"")</f>
        <v>1.63944444444444</v>
      </c>
      <c r="AR132" s="10" t="n">
        <f aca="false">IFERROR(AVERAGEIFS(Rates_Daily!P$15:P$2892,Rates_Daily!$A$15:$A$2892,"&gt;="&amp;$A132,Rates_Daily!$A$15:$A$2892,"&lt;="&amp;EOMONTH($A132,0)),"")</f>
        <v>1.67383333333333</v>
      </c>
      <c r="AS132" s="14" t="n">
        <v>3</v>
      </c>
      <c r="AT132" s="14" t="n">
        <v>3.5</v>
      </c>
      <c r="AU132" s="14" t="n">
        <v>1.69</v>
      </c>
      <c r="AV132" s="14" t="n">
        <v>14.9</v>
      </c>
      <c r="AW132" s="14" t="n">
        <v>15</v>
      </c>
      <c r="AX132" s="14" t="n">
        <v>0.80909</v>
      </c>
      <c r="AY132" s="14" t="n">
        <v>0.477</v>
      </c>
      <c r="AZ132" s="16" t="str">
        <f aca="false">IF(EOMONTH($A132,0)&gt;MAX(Rates_Daily!$A$15:$A$2892),"partial month","complete")</f>
        <v>complete</v>
      </c>
    </row>
    <row r="133" customFormat="false" ht="15" hidden="false" customHeight="false" outlineLevel="0" collapsed="false">
      <c r="A133" s="17" t="n">
        <v>45962</v>
      </c>
      <c r="B133" s="14" t="n">
        <v>3.88</v>
      </c>
      <c r="C133" s="10" t="n">
        <f aca="false">IFERROR(INDEX(Rates_Daily!C$15:C$2892,MATCH(_xlfn.MAXIFS(Rates_Daily!$A$15:$A$2892,Rates_Daily!$A$15:$A$2892,"&lt;="&amp;EOMONTH($A133,0),Rates_Daily!C$15:C$2892,"&gt;=-1E+99"),Rates_Daily!$A$15:$A$2892,0)),"")</f>
        <v>4</v>
      </c>
      <c r="D133" s="10" t="n">
        <f aca="false">IFERROR(INDEX(Rates_Daily!D$15:D$2892,MATCH(_xlfn.MAXIFS(Rates_Daily!$A$15:$A$2892,Rates_Daily!$A$15:$A$2892,"&lt;="&amp;EOMONTH($A133,0),Rates_Daily!D$15:D$2892,"&gt;=-1E+99"),Rates_Daily!$A$15:$A$2892,0)),"")</f>
        <v>3.75</v>
      </c>
      <c r="E133" s="10" t="n">
        <f aca="false">IFERROR(AVERAGEIFS(Rates_Daily!B$15:B$2892,Rates_Daily!$A$15:$A$2892,"&gt;="&amp;$A133,Rates_Daily!$A$15:$A$2892,"&lt;="&amp;EOMONTH($A133,0)),"")</f>
        <v>3.97777777777778</v>
      </c>
      <c r="F133" s="14" t="n">
        <v>4.03</v>
      </c>
      <c r="G133" s="14" t="n">
        <v>3.94</v>
      </c>
      <c r="H133" s="14" t="n">
        <v>3.78</v>
      </c>
      <c r="I133" s="14" t="n">
        <v>3.66</v>
      </c>
      <c r="J133" s="14" t="n">
        <v>3.86</v>
      </c>
      <c r="K133" s="10" t="n">
        <f aca="false">IFERROR(INDEX(Rates_Daily!F$15:F$2892,MATCH(_xlfn.MAXIFS(Rates_Daily!$A$15:$A$2892,Rates_Daily!$A$15:$A$2892,"&lt;="&amp;EOMONTH($A133,0),Rates_Daily!F$15:F$2892,"&gt;=-1E+99"),Rates_Daily!$A$15:$A$2892,0)),"")</f>
        <v>2</v>
      </c>
      <c r="L133" s="10" t="n">
        <f aca="false">IFERROR(AVERAGEIFS(Rates_Daily!E$15:E$2892,Rates_Daily!$A$15:$A$2892,"&gt;="&amp;$A133,Rates_Daily!$A$15:$A$2892,"&lt;="&amp;EOMONTH($A133,0)),"")</f>
        <v>1.92895</v>
      </c>
      <c r="M133" s="14" t="n">
        <v>1.9056</v>
      </c>
      <c r="N133" s="14" t="n">
        <v>2.04165</v>
      </c>
      <c r="O133" s="14" t="n">
        <v>2.131</v>
      </c>
      <c r="P133" s="14" t="n">
        <v>2.2169</v>
      </c>
      <c r="Q133" s="14" t="n">
        <v>2.04165</v>
      </c>
      <c r="R133" s="14" t="n">
        <v>4</v>
      </c>
      <c r="S133" s="14" t="n">
        <v>3.9693</v>
      </c>
      <c r="T133" s="10" t="n">
        <f aca="false">IFERROR(AVERAGEIFS(Rates_Daily!I$15:I$2892,Rates_Daily!$A$15:$A$2892,"&gt;="&amp;$A133,Rates_Daily!$A$15:$A$2892,"&lt;="&amp;EOMONTH($A133,0)),"")</f>
        <v>3.93341369209472</v>
      </c>
      <c r="U133" s="10" t="n">
        <f aca="false">IFERROR(AVERAGEIFS(Rates_Daily!J$15:J$2892,Rates_Daily!$A$15:$A$2892,"&gt;="&amp;$A133,Rates_Daily!$A$15:$A$2892,"&lt;="&amp;EOMONTH($A133,0)),"")</f>
        <v>3.82676786251939</v>
      </c>
      <c r="V133" s="10" t="n">
        <f aca="false">IFERROR(AVERAGEIFS(Rates_Daily!K$15:K$2892,Rates_Daily!$A$15:$A$2892,"&gt;="&amp;$A133,Rates_Daily!$A$15:$A$2892,"&lt;="&amp;EOMONTH($A133,0)),"")</f>
        <v>3.71390630718728</v>
      </c>
      <c r="W133" s="10" t="n">
        <f aca="false">IFERROR(AVERAGEIFS(Rates_Daily!L$15:L$2892,Rates_Daily!$A$15:$A$2892,"&gt;="&amp;$A133,Rates_Daily!$A$15:$A$2892,"&lt;="&amp;EOMONTH($A133,0)),"")</f>
        <v>3.57026728340407</v>
      </c>
      <c r="X133" s="14" t="n">
        <v>3.84</v>
      </c>
      <c r="Y133" s="14" t="n">
        <v>4</v>
      </c>
      <c r="Z133" s="14" t="n">
        <v>4</v>
      </c>
      <c r="AA133" s="14" t="n">
        <v>3.987</v>
      </c>
      <c r="AB133" s="14" t="n">
        <v>3.98</v>
      </c>
      <c r="AC133" s="14" t="n">
        <v>3.961</v>
      </c>
      <c r="AD133" s="14" t="n">
        <v>4.22</v>
      </c>
      <c r="AE133" s="14" t="n">
        <v>2.5</v>
      </c>
      <c r="AF133" s="14" t="n">
        <v>2.512</v>
      </c>
      <c r="AG133" s="14" t="n">
        <v>2.69</v>
      </c>
      <c r="AH133" s="14" t="n">
        <v>2.69</v>
      </c>
      <c r="AI133" s="14" t="n">
        <v>2.77</v>
      </c>
      <c r="AJ133" s="14" t="n">
        <v>2.79</v>
      </c>
      <c r="AK133" s="14" t="n">
        <v>2.427</v>
      </c>
      <c r="AL133" s="14" t="n">
        <v>2.51</v>
      </c>
      <c r="AM133" s="14" t="n">
        <v>2.493</v>
      </c>
      <c r="AN133" s="14" t="n">
        <v>2.69</v>
      </c>
      <c r="AO133" s="10" t="n">
        <f aca="false">IFERROR(AVERAGEIFS(Rates_Daily!M$15:M$2892,Rates_Daily!$A$15:$A$2892,"&gt;="&amp;$A133,Rates_Daily!$A$15:$A$2892,"&lt;="&amp;EOMONTH($A133,0)),"")</f>
        <v>1.524925</v>
      </c>
      <c r="AP133" s="10" t="n">
        <f aca="false">IFERROR(AVERAGEIFS(Rates_Daily!N$15:N$2892,Rates_Daily!$A$15:$A$2892,"&gt;="&amp;$A133,Rates_Daily!$A$15:$A$2892,"&lt;="&amp;EOMONTH($A133,0)),"")</f>
        <v>1.582275</v>
      </c>
      <c r="AQ133" s="10" t="n">
        <f aca="false">IFERROR(AVERAGEIFS(Rates_Daily!O$15:O$2892,Rates_Daily!$A$15:$A$2892,"&gt;="&amp;$A133,Rates_Daily!$A$15:$A$2892,"&lt;="&amp;EOMONTH($A133,0)),"")</f>
        <v>1.621225</v>
      </c>
      <c r="AR133" s="10" t="n">
        <f aca="false">IFERROR(AVERAGEIFS(Rates_Daily!P$15:P$2892,Rates_Daily!$A$15:$A$2892,"&gt;="&amp;$A133,Rates_Daily!$A$15:$A$2892,"&lt;="&amp;EOMONTH($A133,0)),"")</f>
        <v>1.651425</v>
      </c>
      <c r="AS133" s="14" t="n">
        <v>3</v>
      </c>
      <c r="AT133" s="14" t="n">
        <v>3.5</v>
      </c>
      <c r="AU133" s="14" t="n">
        <v>1.66</v>
      </c>
      <c r="AV133" s="14" t="n">
        <v>14.9</v>
      </c>
      <c r="AW133" s="14" t="n">
        <v>15</v>
      </c>
      <c r="AX133" s="14" t="n">
        <v>0.80636</v>
      </c>
      <c r="AY133" s="14" t="n">
        <v>0.478</v>
      </c>
      <c r="AZ133" s="16" t="str">
        <f aca="false">IF(EOMONTH($A133,0)&gt;MAX(Rates_Daily!$A$15:$A$2892),"partial month","complete")</f>
        <v>complete</v>
      </c>
    </row>
    <row r="134" customFormat="false" ht="15" hidden="false" customHeight="false" outlineLevel="0" collapsed="false">
      <c r="A134" s="17" t="n">
        <v>45992</v>
      </c>
      <c r="B134" s="14" t="n">
        <v>3.72</v>
      </c>
      <c r="C134" s="10" t="n">
        <f aca="false">IFERROR(INDEX(Rates_Daily!C$15:C$2892,MATCH(_xlfn.MAXIFS(Rates_Daily!$A$15:$A$2892,Rates_Daily!$A$15:$A$2892,"&lt;="&amp;EOMONTH($A134,0),Rates_Daily!C$15:C$2892,"&gt;=-1E+99"),Rates_Daily!$A$15:$A$2892,0)),"")</f>
        <v>3.75</v>
      </c>
      <c r="D134" s="10" t="n">
        <f aca="false">IFERROR(INDEX(Rates_Daily!D$15:D$2892,MATCH(_xlfn.MAXIFS(Rates_Daily!$A$15:$A$2892,Rates_Daily!$A$15:$A$2892,"&lt;="&amp;EOMONTH($A134,0),Rates_Daily!D$15:D$2892,"&gt;=-1E+99"),Rates_Daily!$A$15:$A$2892,0)),"")</f>
        <v>3.5</v>
      </c>
      <c r="E134" s="10" t="n">
        <f aca="false">IFERROR(AVERAGEIFS(Rates_Daily!B$15:B$2892,Rates_Daily!$A$15:$A$2892,"&gt;="&amp;$A134,Rates_Daily!$A$15:$A$2892,"&lt;="&amp;EOMONTH($A134,0)),"")</f>
        <v>3.8</v>
      </c>
      <c r="F134" s="14" t="n">
        <v>3.77</v>
      </c>
      <c r="G134" s="14" t="n">
        <v>3.68</v>
      </c>
      <c r="H134" s="14" t="n">
        <v>3.63</v>
      </c>
      <c r="I134" s="14" t="n">
        <v>3.54</v>
      </c>
      <c r="J134" s="14" t="n">
        <v>3.74</v>
      </c>
      <c r="K134" s="10" t="n">
        <f aca="false">IFERROR(INDEX(Rates_Daily!F$15:F$2892,MATCH(_xlfn.MAXIFS(Rates_Daily!$A$15:$A$2892,Rates_Daily!$A$15:$A$2892,"&lt;="&amp;EOMONTH($A134,0),Rates_Daily!F$15:F$2892,"&gt;=-1E+99"),Rates_Daily!$A$15:$A$2892,0)),"")</f>
        <v>2</v>
      </c>
      <c r="L134" s="10" t="n">
        <f aca="false">IFERROR(AVERAGEIFS(Rates_Daily!E$15:E$2892,Rates_Daily!$A$15:$A$2892,"&gt;="&amp;$A134,Rates_Daily!$A$15:$A$2892,"&lt;="&amp;EOMONTH($A134,0)),"")</f>
        <v>1.92947619047619</v>
      </c>
      <c r="M134" s="14" t="n">
        <v>1.9154762</v>
      </c>
      <c r="N134" s="14" t="n">
        <v>2.0484286</v>
      </c>
      <c r="O134" s="14" t="n">
        <v>2.1394762</v>
      </c>
      <c r="P134" s="14" t="n">
        <v>2.2671429</v>
      </c>
      <c r="Q134" s="14" t="n">
        <v>2.0457826087</v>
      </c>
      <c r="R134" s="14" t="n">
        <v>3.9048</v>
      </c>
      <c r="S134" s="14" t="n">
        <v>3.8789</v>
      </c>
      <c r="T134" s="10" t="n">
        <f aca="false">IFERROR(AVERAGEIFS(Rates_Daily!I$15:I$2892,Rates_Daily!$A$15:$A$2892,"&gt;="&amp;$A134,Rates_Daily!$A$15:$A$2892,"&lt;="&amp;EOMONTH($A134,0)),"")</f>
        <v>3.78489837656452</v>
      </c>
      <c r="U134" s="10" t="n">
        <f aca="false">IFERROR(AVERAGEIFS(Rates_Daily!J$15:J$2892,Rates_Daily!$A$15:$A$2892,"&gt;="&amp;$A134,Rates_Daily!$A$15:$A$2892,"&lt;="&amp;EOMONTH($A134,0)),"")</f>
        <v>3.72905443939261</v>
      </c>
      <c r="V134" s="10" t="n">
        <f aca="false">IFERROR(AVERAGEIFS(Rates_Daily!K$15:K$2892,Rates_Daily!$A$15:$A$2892,"&gt;="&amp;$A134,Rates_Daily!$A$15:$A$2892,"&lt;="&amp;EOMONTH($A134,0)),"")</f>
        <v>3.64380071876851</v>
      </c>
      <c r="W134" s="10" t="n">
        <f aca="false">IFERROR(AVERAGEIFS(Rates_Daily!L$15:L$2892,Rates_Daily!$A$15:$A$2892,"&gt;="&amp;$A134,Rates_Daily!$A$15:$A$2892,"&lt;="&amp;EOMONTH($A134,0)),"")</f>
        <v>3.52001850532486</v>
      </c>
      <c r="X134" s="14" t="n">
        <v>3.75</v>
      </c>
      <c r="Y134" s="14" t="n">
        <v>4</v>
      </c>
      <c r="Z134" s="14" t="n">
        <v>4</v>
      </c>
      <c r="AD134" s="14" t="n">
        <v>4.07</v>
      </c>
      <c r="AE134" s="14" t="n">
        <v>2.5</v>
      </c>
      <c r="AF134" s="14" t="n">
        <v>2.53</v>
      </c>
      <c r="AG134" s="14" t="n">
        <v>2.84</v>
      </c>
      <c r="AH134" s="14" t="n">
        <v>2.82</v>
      </c>
      <c r="AI134" s="14" t="n">
        <v>2.89</v>
      </c>
      <c r="AJ134" s="14" t="n">
        <v>2.86</v>
      </c>
      <c r="AK134" s="14" t="n">
        <v>2.424</v>
      </c>
      <c r="AL134" s="14" t="n">
        <v>2.555</v>
      </c>
      <c r="AM134" s="14" t="n">
        <v>2.549</v>
      </c>
      <c r="AN134" s="14" t="n">
        <v>2.84</v>
      </c>
      <c r="AO134" s="10" t="n">
        <f aca="false">IFERROR(AVERAGEIFS(Rates_Daily!M$15:M$2892,Rates_Daily!$A$15:$A$2892,"&gt;="&amp;$A134,Rates_Daily!$A$15:$A$2892,"&lt;="&amp;EOMONTH($A134,0)),"")</f>
        <v>1.54606086956522</v>
      </c>
      <c r="AP134" s="10" t="n">
        <f aca="false">IFERROR(AVERAGEIFS(Rates_Daily!N$15:N$2892,Rates_Daily!$A$15:$A$2892,"&gt;="&amp;$A134,Rates_Daily!$A$15:$A$2892,"&lt;="&amp;EOMONTH($A134,0)),"")</f>
        <v>1.59153043478261</v>
      </c>
      <c r="AQ134" s="10" t="n">
        <f aca="false">IFERROR(AVERAGEIFS(Rates_Daily!O$15:O$2892,Rates_Daily!$A$15:$A$2892,"&gt;="&amp;$A134,Rates_Daily!$A$15:$A$2892,"&lt;="&amp;EOMONTH($A134,0)),"")</f>
        <v>1.62591739130435</v>
      </c>
      <c r="AR134" s="10" t="n">
        <f aca="false">IFERROR(AVERAGEIFS(Rates_Daily!P$15:P$2892,Rates_Daily!$A$15:$A$2892,"&gt;="&amp;$A134,Rates_Daily!$A$15:$A$2892,"&lt;="&amp;EOMONTH($A134,0)),"")</f>
        <v>1.65061304347826</v>
      </c>
      <c r="AS134" s="14" t="n">
        <v>3</v>
      </c>
      <c r="AT134" s="14" t="n">
        <v>3.5</v>
      </c>
      <c r="AU134" s="14" t="n">
        <v>1.69</v>
      </c>
      <c r="AV134" s="14" t="n">
        <v>14.9</v>
      </c>
      <c r="AW134" s="14" t="n">
        <v>15</v>
      </c>
      <c r="AX134" s="14" t="n">
        <v>1.07273</v>
      </c>
      <c r="AY134" s="14" t="n">
        <v>0.557</v>
      </c>
      <c r="AZ134" s="16" t="str">
        <f aca="false">IF(EOMONTH($A134,0)&gt;MAX(Rates_Daily!$A$15:$A$2892),"partial month","complete")</f>
        <v>complete</v>
      </c>
    </row>
    <row r="135" customFormat="false" ht="15" hidden="false" customHeight="false" outlineLevel="0" collapsed="false">
      <c r="A135" s="17" t="n">
        <v>46023</v>
      </c>
      <c r="B135" s="14" t="n">
        <v>3.64</v>
      </c>
      <c r="C135" s="10" t="n">
        <f aca="false">IFERROR(INDEX(Rates_Daily!C$15:C$2892,MATCH(_xlfn.MAXIFS(Rates_Daily!$A$15:$A$2892,Rates_Daily!$A$15:$A$2892,"&lt;="&amp;EOMONTH($A135,0),Rates_Daily!C$15:C$2892,"&gt;=-1E+99"),Rates_Daily!$A$15:$A$2892,0)),"")</f>
        <v>3.75</v>
      </c>
      <c r="D135" s="10" t="n">
        <f aca="false">IFERROR(INDEX(Rates_Daily!D$15:D$2892,MATCH(_xlfn.MAXIFS(Rates_Daily!$A$15:$A$2892,Rates_Daily!$A$15:$A$2892,"&lt;="&amp;EOMONTH($A135,0),Rates_Daily!D$15:D$2892,"&gt;=-1E+99"),Rates_Daily!$A$15:$A$2892,0)),"")</f>
        <v>3.5</v>
      </c>
      <c r="E135" s="10" t="n">
        <f aca="false">IFERROR(AVERAGEIFS(Rates_Daily!B$15:B$2892,Rates_Daily!$A$15:$A$2892,"&gt;="&amp;$A135,Rates_Daily!$A$15:$A$2892,"&lt;="&amp;EOMONTH($A135,0)),"")</f>
        <v>3.6565</v>
      </c>
      <c r="F135" s="14" t="n">
        <v>3.73</v>
      </c>
      <c r="G135" s="14" t="n">
        <v>3.67</v>
      </c>
      <c r="H135" s="14" t="n">
        <v>3.59</v>
      </c>
      <c r="I135" s="14" t="n">
        <v>3.51</v>
      </c>
      <c r="J135" s="14" t="n">
        <v>3.63</v>
      </c>
      <c r="K135" s="10" t="n">
        <f aca="false">IFERROR(INDEX(Rates_Daily!F$15:F$2892,MATCH(_xlfn.MAXIFS(Rates_Daily!$A$15:$A$2892,Rates_Daily!$A$15:$A$2892,"&lt;="&amp;EOMONTH($A135,0),Rates_Daily!F$15:F$2892,"&gt;=-1E+99"),Rates_Daily!$A$15:$A$2892,0)),"")</f>
        <v>2</v>
      </c>
      <c r="L135" s="10" t="n">
        <f aca="false">IFERROR(AVERAGEIFS(Rates_Daily!E$15:E$2892,Rates_Daily!$A$15:$A$2892,"&gt;="&amp;$A135,Rates_Daily!$A$15:$A$2892,"&lt;="&amp;EOMONTH($A135,0)),"")</f>
        <v>1.93195238095238</v>
      </c>
      <c r="M135" s="14" t="n">
        <v>1.9607619</v>
      </c>
      <c r="N135" s="14" t="n">
        <v>2.0277273</v>
      </c>
      <c r="O135" s="14" t="n">
        <v>2.1371429</v>
      </c>
      <c r="P135" s="14" t="n">
        <v>2.2450952</v>
      </c>
      <c r="Q135" s="14" t="n">
        <v>2.0277272727</v>
      </c>
      <c r="R135" s="14" t="n">
        <v>3.75</v>
      </c>
      <c r="S135" s="14" t="n">
        <v>3.725</v>
      </c>
      <c r="T135" s="10" t="n">
        <f aca="false">IFERROR(AVERAGEIFS(Rates_Daily!I$15:I$2892,Rates_Daily!$A$15:$A$2892,"&gt;="&amp;$A135,Rates_Daily!$A$15:$A$2892,"&lt;="&amp;EOMONTH($A135,0)),"")</f>
        <v>3.72674979518446</v>
      </c>
      <c r="U135" s="10" t="n">
        <f aca="false">IFERROR(AVERAGEIFS(Rates_Daily!J$15:J$2892,Rates_Daily!$A$15:$A$2892,"&gt;="&amp;$A135,Rates_Daily!$A$15:$A$2892,"&lt;="&amp;EOMONTH($A135,0)),"")</f>
        <v>3.69024020239726</v>
      </c>
      <c r="V135" s="10" t="n">
        <f aca="false">IFERROR(AVERAGEIFS(Rates_Daily!K$15:K$2892,Rates_Daily!$A$15:$A$2892,"&gt;="&amp;$A135,Rates_Daily!$A$15:$A$2892,"&lt;="&amp;EOMONTH($A135,0)),"")</f>
        <v>3.60139229930231</v>
      </c>
      <c r="W135" s="10" t="n">
        <f aca="false">IFERROR(AVERAGEIFS(Rates_Daily!L$15:L$2892,Rates_Daily!$A$15:$A$2892,"&gt;="&amp;$A135,Rates_Daily!$A$15:$A$2892,"&lt;="&amp;EOMONTH($A135,0)),"")</f>
        <v>3.47740248003008</v>
      </c>
      <c r="X135" s="14" t="n">
        <v>3.71</v>
      </c>
      <c r="Y135" s="14" t="n">
        <v>4</v>
      </c>
      <c r="Z135" s="14" t="n">
        <v>4</v>
      </c>
      <c r="AA135" s="14" t="n">
        <v>4.002</v>
      </c>
      <c r="AB135" s="14" t="n">
        <v>3.998</v>
      </c>
      <c r="AC135" s="14" t="n">
        <v>3.965</v>
      </c>
      <c r="AD135" s="14" t="n">
        <v>4.11</v>
      </c>
      <c r="AE135" s="14" t="n">
        <v>2.5</v>
      </c>
      <c r="AF135" s="14" t="n">
        <v>2.531</v>
      </c>
      <c r="AG135" s="14" t="n">
        <v>2.7</v>
      </c>
      <c r="AH135" s="14" t="n">
        <v>2.72</v>
      </c>
      <c r="AI135" s="14" t="n">
        <v>2.75</v>
      </c>
      <c r="AJ135" s="14" t="n">
        <v>2.8</v>
      </c>
      <c r="AK135" s="14" t="n">
        <v>2.43</v>
      </c>
      <c r="AL135" s="14" t="n">
        <v>2.558</v>
      </c>
      <c r="AM135" s="14" t="n">
        <v>2.581</v>
      </c>
      <c r="AN135" s="14" t="n">
        <v>2.7</v>
      </c>
      <c r="AO135" s="10" t="n">
        <f aca="false">IFERROR(AVERAGEIFS(Rates_Daily!M$15:M$2892,Rates_Daily!$A$15:$A$2892,"&gt;="&amp;$A135,Rates_Daily!$A$15:$A$2892,"&lt;="&amp;EOMONTH($A135,0)),"")</f>
        <v>1.55972857142857</v>
      </c>
      <c r="AP135" s="10" t="n">
        <f aca="false">IFERROR(AVERAGEIFS(Rates_Daily!N$15:N$2892,Rates_Daily!$A$15:$A$2892,"&gt;="&amp;$A135,Rates_Daily!$A$15:$A$2892,"&lt;="&amp;EOMONTH($A135,0)),"")</f>
        <v>1.59715714285714</v>
      </c>
      <c r="AQ135" s="10" t="n">
        <f aca="false">IFERROR(AVERAGEIFS(Rates_Daily!O$15:O$2892,Rates_Daily!$A$15:$A$2892,"&gt;="&amp;$A135,Rates_Daily!$A$15:$A$2892,"&lt;="&amp;EOMONTH($A135,0)),"")</f>
        <v>1.61694285714286</v>
      </c>
      <c r="AR135" s="10" t="n">
        <f aca="false">IFERROR(AVERAGEIFS(Rates_Daily!P$15:P$2892,Rates_Daily!$A$15:$A$2892,"&gt;="&amp;$A135,Rates_Daily!$A$15:$A$2892,"&lt;="&amp;EOMONTH($A135,0)),"")</f>
        <v>1.6446</v>
      </c>
      <c r="AS135" s="14" t="n">
        <v>3</v>
      </c>
      <c r="AT135" s="14" t="n">
        <v>3.5</v>
      </c>
      <c r="AU135" s="14" t="n">
        <v>1.75</v>
      </c>
      <c r="AV135" s="14" t="n">
        <v>14.9</v>
      </c>
      <c r="AW135" s="14" t="n">
        <v>15</v>
      </c>
      <c r="AX135" s="14" t="n">
        <v>1.11636</v>
      </c>
      <c r="AY135" s="14" t="n">
        <v>0.728</v>
      </c>
      <c r="AZ135" s="16" t="str">
        <f aca="false">IF(EOMONTH($A135,0)&gt;MAX(Rates_Daily!$A$15:$A$2892),"partial month","complete")</f>
        <v>complete</v>
      </c>
    </row>
    <row r="136" customFormat="false" ht="15" hidden="false" customHeight="false" outlineLevel="0" collapsed="false">
      <c r="A136" s="17" t="n">
        <v>46054</v>
      </c>
      <c r="B136" s="14" t="n">
        <v>3.64</v>
      </c>
      <c r="C136" s="10" t="n">
        <f aca="false">IFERROR(INDEX(Rates_Daily!C$15:C$2892,MATCH(_xlfn.MAXIFS(Rates_Daily!$A$15:$A$2892,Rates_Daily!$A$15:$A$2892,"&lt;="&amp;EOMONTH($A136,0),Rates_Daily!C$15:C$2892,"&gt;=-1E+99"),Rates_Daily!$A$15:$A$2892,0)),"")</f>
        <v>3.75</v>
      </c>
      <c r="D136" s="10" t="n">
        <f aca="false">IFERROR(INDEX(Rates_Daily!D$15:D$2892,MATCH(_xlfn.MAXIFS(Rates_Daily!$A$15:$A$2892,Rates_Daily!$A$15:$A$2892,"&lt;="&amp;EOMONTH($A136,0),Rates_Daily!D$15:D$2892,"&gt;=-1E+99"),Rates_Daily!$A$15:$A$2892,0)),"")</f>
        <v>3.5</v>
      </c>
      <c r="E136" s="10" t="n">
        <f aca="false">IFERROR(AVERAGEIFS(Rates_Daily!B$15:B$2892,Rates_Daily!$A$15:$A$2892,"&gt;="&amp;$A136,Rates_Daily!$A$15:$A$2892,"&lt;="&amp;EOMONTH($A136,0)),"")</f>
        <v>3.66736842105263</v>
      </c>
      <c r="F136" s="14" t="n">
        <v>3.72</v>
      </c>
      <c r="G136" s="14" t="n">
        <v>3.69</v>
      </c>
      <c r="H136" s="14" t="n">
        <v>3.6</v>
      </c>
      <c r="I136" s="14" t="n">
        <v>3.48</v>
      </c>
      <c r="J136" s="14" t="n">
        <v>3.66</v>
      </c>
      <c r="K136" s="10" t="n">
        <f aca="false">IFERROR(INDEX(Rates_Daily!F$15:F$2892,MATCH(_xlfn.MAXIFS(Rates_Daily!$A$15:$A$2892,Rates_Daily!$A$15:$A$2892,"&lt;="&amp;EOMONTH($A136,0),Rates_Daily!F$15:F$2892,"&gt;=-1E+99"),Rates_Daily!$A$15:$A$2892,0)),"")</f>
        <v>2</v>
      </c>
      <c r="L136" s="10" t="n">
        <f aca="false">IFERROR(AVERAGEIFS(Rates_Daily!E$15:E$2892,Rates_Daily!$A$15:$A$2892,"&gt;="&amp;$A136,Rates_Daily!$A$15:$A$2892,"&lt;="&amp;EOMONTH($A136,0)),"")</f>
        <v>1.9312</v>
      </c>
      <c r="M136" s="14" t="n">
        <v>1.95225</v>
      </c>
      <c r="N136" s="14" t="n">
        <v>2.0113</v>
      </c>
      <c r="O136" s="14" t="n">
        <v>2.1435</v>
      </c>
      <c r="P136" s="14" t="n">
        <v>2.2207</v>
      </c>
      <c r="R136" s="14" t="n">
        <v>3.75</v>
      </c>
      <c r="S136" s="14" t="n">
        <v>3.7274</v>
      </c>
      <c r="T136" s="10" t="n">
        <f aca="false">IFERROR(AVERAGEIFS(Rates_Daily!I$15:I$2892,Rates_Daily!$A$15:$A$2892,"&gt;="&amp;$A136,Rates_Daily!$A$15:$A$2892,"&lt;="&amp;EOMONTH($A136,0)),"")</f>
        <v>3.70133633708161</v>
      </c>
      <c r="U136" s="10" t="n">
        <f aca="false">IFERROR(AVERAGEIFS(Rates_Daily!J$15:J$2892,Rates_Daily!$A$15:$A$2892,"&gt;="&amp;$A136,Rates_Daily!$A$15:$A$2892,"&lt;="&amp;EOMONTH($A136,0)),"")</f>
        <v>3.60675181079714</v>
      </c>
      <c r="V136" s="10" t="n">
        <f aca="false">IFERROR(AVERAGEIFS(Rates_Daily!K$15:K$2892,Rates_Daily!$A$15:$A$2892,"&gt;="&amp;$A136,Rates_Daily!$A$15:$A$2892,"&lt;="&amp;EOMONTH($A136,0)),"")</f>
        <v>3.51446307621994</v>
      </c>
      <c r="W136" s="10" t="n">
        <f aca="false">IFERROR(AVERAGEIFS(Rates_Daily!L$15:L$2892,Rates_Daily!$A$15:$A$2892,"&gt;="&amp;$A136,Rates_Daily!$A$15:$A$2892,"&lt;="&amp;EOMONTH($A136,0)),"")</f>
        <v>3.40432883197552</v>
      </c>
      <c r="Y136" s="14" t="n">
        <v>4</v>
      </c>
      <c r="Z136" s="14" t="n">
        <v>4</v>
      </c>
      <c r="AA136" s="14" t="n">
        <v>4.02</v>
      </c>
      <c r="AB136" s="14" t="n">
        <v>4.036</v>
      </c>
      <c r="AC136" s="14" t="n">
        <v>4.039</v>
      </c>
      <c r="AD136" s="14" t="n">
        <v>4.17</v>
      </c>
      <c r="AE136" s="14" t="n">
        <v>2.5</v>
      </c>
      <c r="AF136" s="14" t="n">
        <v>2.541</v>
      </c>
      <c r="AG136" s="14" t="n">
        <v>2.78</v>
      </c>
      <c r="AH136" s="14" t="n">
        <v>2.77</v>
      </c>
      <c r="AI136" s="14" t="n">
        <v>2.82</v>
      </c>
      <c r="AJ136" s="14" t="n">
        <v>2.96</v>
      </c>
      <c r="AK136" s="14" t="n">
        <v>2.486</v>
      </c>
      <c r="AL136" s="14" t="n">
        <v>2.659</v>
      </c>
      <c r="AM136" s="14" t="n">
        <v>2.68</v>
      </c>
      <c r="AN136" s="14" t="n">
        <v>2.78</v>
      </c>
      <c r="AO136" s="10" t="n">
        <f aca="false">IFERROR(AVERAGEIFS(Rates_Daily!M$15:M$2892,Rates_Daily!$A$15:$A$2892,"&gt;="&amp;$A136,Rates_Daily!$A$15:$A$2892,"&lt;="&amp;EOMONTH($A136,0)),"")</f>
        <v>1.5501625</v>
      </c>
      <c r="AP136" s="10" t="n">
        <f aca="false">IFERROR(AVERAGEIFS(Rates_Daily!N$15:N$2892,Rates_Daily!$A$15:$A$2892,"&gt;="&amp;$A136,Rates_Daily!$A$15:$A$2892,"&lt;="&amp;EOMONTH($A136,0)),"")</f>
        <v>1.57915</v>
      </c>
      <c r="AQ136" s="10" t="n">
        <f aca="false">IFERROR(AVERAGEIFS(Rates_Daily!O$15:O$2892,Rates_Daily!$A$15:$A$2892,"&gt;="&amp;$A136,Rates_Daily!$A$15:$A$2892,"&lt;="&amp;EOMONTH($A136,0)),"")</f>
        <v>1.5946875</v>
      </c>
      <c r="AR136" s="10" t="n">
        <f aca="false">IFERROR(AVERAGEIFS(Rates_Daily!P$15:P$2892,Rates_Daily!$A$15:$A$2892,"&gt;="&amp;$A136,Rates_Daily!$A$15:$A$2892,"&lt;="&amp;EOMONTH($A136,0)),"")</f>
        <v>1.61245</v>
      </c>
      <c r="AS136" s="14" t="n">
        <v>3</v>
      </c>
      <c r="AT136" s="14" t="n">
        <v>3.5</v>
      </c>
      <c r="AU136" s="14" t="n">
        <v>1.71</v>
      </c>
      <c r="AV136" s="14" t="n">
        <v>14.9</v>
      </c>
      <c r="AW136" s="14" t="n">
        <v>15</v>
      </c>
      <c r="AX136" s="14" t="n">
        <v>1.22909</v>
      </c>
      <c r="AY136" s="14" t="n">
        <v>0.728</v>
      </c>
      <c r="AZ136" s="16" t="str">
        <f aca="false">IF(EOMONTH($A136,0)&gt;MAX(Rates_Daily!$A$15:$A$2892),"partial month","complete")</f>
        <v>complete</v>
      </c>
    </row>
    <row r="137" customFormat="false" ht="15" hidden="false" customHeight="false" outlineLevel="0" collapsed="false">
      <c r="A137" s="17" t="n">
        <v>46082</v>
      </c>
      <c r="B137" s="14" t="n">
        <v>3.64</v>
      </c>
      <c r="C137" s="10" t="n">
        <f aca="false">IFERROR(INDEX(Rates_Daily!C$15:C$2892,MATCH(_xlfn.MAXIFS(Rates_Daily!$A$15:$A$2892,Rates_Daily!$A$15:$A$2892,"&lt;="&amp;EOMONTH($A137,0),Rates_Daily!C$15:C$2892,"&gt;=-1E+99"),Rates_Daily!$A$15:$A$2892,0)),"")</f>
        <v>3.75</v>
      </c>
      <c r="D137" s="10" t="n">
        <f aca="false">IFERROR(INDEX(Rates_Daily!D$15:D$2892,MATCH(_xlfn.MAXIFS(Rates_Daily!$A$15:$A$2892,Rates_Daily!$A$15:$A$2892,"&lt;="&amp;EOMONTH($A137,0),Rates_Daily!D$15:D$2892,"&gt;=-1E+99"),Rates_Daily!$A$15:$A$2892,0)),"")</f>
        <v>3.5</v>
      </c>
      <c r="E137" s="10" t="n">
        <f aca="false">IFERROR(AVERAGEIFS(Rates_Daily!B$15:B$2892,Rates_Daily!$A$15:$A$2892,"&gt;="&amp;$A137,Rates_Daily!$A$15:$A$2892,"&lt;="&amp;EOMONTH($A137,0)),"")</f>
        <v>3.65045454545455</v>
      </c>
      <c r="F137" s="14" t="n">
        <v>3.74</v>
      </c>
      <c r="G137" s="14" t="n">
        <v>3.72</v>
      </c>
      <c r="H137" s="14" t="n">
        <v>3.72</v>
      </c>
      <c r="I137" s="14" t="n">
        <v>3.67</v>
      </c>
      <c r="J137" s="14" t="n">
        <v>3.69</v>
      </c>
      <c r="K137" s="10" t="n">
        <f aca="false">IFERROR(INDEX(Rates_Daily!F$15:F$2892,MATCH(_xlfn.MAXIFS(Rates_Daily!$A$15:$A$2892,Rates_Daily!$A$15:$A$2892,"&lt;="&amp;EOMONTH($A137,0),Rates_Daily!F$15:F$2892,"&gt;=-1E+99"),Rates_Daily!$A$15:$A$2892,0)),"")</f>
        <v>2</v>
      </c>
      <c r="L137" s="10" t="n">
        <f aca="false">IFERROR(AVERAGEIFS(Rates_Daily!E$15:E$2892,Rates_Daily!$A$15:$A$2892,"&gt;="&amp;$A137,Rates_Daily!$A$15:$A$2892,"&lt;="&amp;EOMONTH($A137,0)),"")</f>
        <v>1.93209090909091</v>
      </c>
      <c r="M137" s="14" t="n">
        <v>1.9327727</v>
      </c>
      <c r="N137" s="14" t="n">
        <v>2.1094091</v>
      </c>
      <c r="O137" s="14" t="n">
        <v>2.3219545</v>
      </c>
      <c r="P137" s="14" t="n">
        <v>2.5651364</v>
      </c>
      <c r="R137" s="14" t="n">
        <v>3.75</v>
      </c>
      <c r="S137" s="14" t="n">
        <v>3.7289</v>
      </c>
      <c r="T137" s="10" t="n">
        <f aca="false">IFERROR(AVERAGEIFS(Rates_Daily!I$15:I$2892,Rates_Daily!$A$15:$A$2892,"&gt;="&amp;$A137,Rates_Daily!$A$15:$A$2892,"&lt;="&amp;EOMONTH($A137,0)),"")</f>
        <v>3.72269385476948</v>
      </c>
      <c r="U137" s="10" t="n">
        <f aca="false">IFERROR(AVERAGEIFS(Rates_Daily!J$15:J$2892,Rates_Daily!$A$15:$A$2892,"&gt;="&amp;$A137,Rates_Daily!$A$15:$A$2892,"&lt;="&amp;EOMONTH($A137,0)),"")</f>
        <v>3.75309378931514</v>
      </c>
      <c r="V137" s="10" t="n">
        <f aca="false">IFERROR(AVERAGEIFS(Rates_Daily!K$15:K$2892,Rates_Daily!$A$15:$A$2892,"&gt;="&amp;$A137,Rates_Daily!$A$15:$A$2892,"&lt;="&amp;EOMONTH($A137,0)),"")</f>
        <v>3.81712162274674</v>
      </c>
      <c r="W137" s="10" t="n">
        <f aca="false">IFERROR(AVERAGEIFS(Rates_Daily!L$15:L$2892,Rates_Daily!$A$15:$A$2892,"&gt;="&amp;$A137,Rates_Daily!$A$15:$A$2892,"&lt;="&amp;EOMONTH($A137,0)),"")</f>
        <v>3.90550245310705</v>
      </c>
      <c r="Y137" s="14" t="n">
        <v>4</v>
      </c>
      <c r="Z137" s="14" t="n">
        <v>4</v>
      </c>
      <c r="AA137" s="14" t="n">
        <v>4.054</v>
      </c>
      <c r="AB137" s="14" t="n">
        <v>4.142</v>
      </c>
      <c r="AC137" s="14" t="n">
        <v>4.256</v>
      </c>
      <c r="AD137" s="14" t="n">
        <v>4.34</v>
      </c>
      <c r="AE137" s="14" t="n">
        <v>2.5</v>
      </c>
      <c r="AF137" s="14" t="n">
        <v>2.527</v>
      </c>
      <c r="AG137" s="14" t="n">
        <v>2.82</v>
      </c>
      <c r="AH137" s="14" t="n">
        <v>2.81</v>
      </c>
      <c r="AI137" s="14" t="n">
        <v>2.85</v>
      </c>
      <c r="AJ137" s="14" t="n">
        <v>3</v>
      </c>
      <c r="AK137" s="14" t="n">
        <v>2.537</v>
      </c>
      <c r="AL137" s="14" t="n">
        <v>2.755</v>
      </c>
      <c r="AM137" s="14" t="n">
        <v>2.864</v>
      </c>
      <c r="AN137" s="14" t="n">
        <v>2.82</v>
      </c>
      <c r="AO137" s="10" t="n">
        <f aca="false">IFERROR(AVERAGEIFS(Rates_Daily!M$15:M$2892,Rates_Daily!$A$15:$A$2892,"&gt;="&amp;$A137,Rates_Daily!$A$15:$A$2892,"&lt;="&amp;EOMONTH($A137,0)),"")</f>
        <v>1.52414545454545</v>
      </c>
      <c r="AP137" s="10" t="n">
        <f aca="false">IFERROR(AVERAGEIFS(Rates_Daily!N$15:N$2892,Rates_Daily!$A$15:$A$2892,"&gt;="&amp;$A137,Rates_Daily!$A$15:$A$2892,"&lt;="&amp;EOMONTH($A137,0)),"")</f>
        <v>1.53571818181818</v>
      </c>
      <c r="AQ137" s="10" t="n">
        <f aca="false">IFERROR(AVERAGEIFS(Rates_Daily!O$15:O$2892,Rates_Daily!$A$15:$A$2892,"&gt;="&amp;$A137,Rates_Daily!$A$15:$A$2892,"&lt;="&amp;EOMONTH($A137,0)),"")</f>
        <v>1.54775</v>
      </c>
      <c r="AR137" s="10" t="n">
        <f aca="false">IFERROR(AVERAGEIFS(Rates_Daily!P$15:P$2892,Rates_Daily!$A$15:$A$2892,"&gt;="&amp;$A137,Rates_Daily!$A$15:$A$2892,"&lt;="&amp;EOMONTH($A137,0)),"")</f>
        <v>1.56719090909091</v>
      </c>
      <c r="AS137" s="14" t="n">
        <v>3</v>
      </c>
      <c r="AT137" s="14" t="n">
        <v>3.5</v>
      </c>
      <c r="AU137" s="14" t="n">
        <v>1.7</v>
      </c>
      <c r="AV137" s="14" t="n">
        <v>14.8</v>
      </c>
      <c r="AW137" s="14" t="n">
        <v>14.9</v>
      </c>
      <c r="AX137" s="14" t="n">
        <v>1.26882</v>
      </c>
      <c r="AY137" s="14" t="n">
        <v>0.728</v>
      </c>
      <c r="AZ137" s="16" t="str">
        <f aca="false">IF(EOMONTH($A137,0)&gt;MAX(Rates_Daily!$A$15:$A$2892),"partial month","complete")</f>
        <v>complete</v>
      </c>
    </row>
    <row r="138" customFormat="false" ht="15" hidden="false" customHeight="false" outlineLevel="0" collapsed="false">
      <c r="A138" s="17" t="n">
        <v>46113</v>
      </c>
      <c r="B138" s="14" t="n">
        <v>3.64</v>
      </c>
      <c r="C138" s="10" t="n">
        <f aca="false">IFERROR(INDEX(Rates_Daily!C$15:C$2892,MATCH(_xlfn.MAXIFS(Rates_Daily!$A$15:$A$2892,Rates_Daily!$A$15:$A$2892,"&lt;="&amp;EOMONTH($A138,0),Rates_Daily!C$15:C$2892,"&gt;=-1E+99"),Rates_Daily!$A$15:$A$2892,0)),"")</f>
        <v>3.75</v>
      </c>
      <c r="D138" s="10" t="n">
        <f aca="false">IFERROR(INDEX(Rates_Daily!D$15:D$2892,MATCH(_xlfn.MAXIFS(Rates_Daily!$A$15:$A$2892,Rates_Daily!$A$15:$A$2892,"&lt;="&amp;EOMONTH($A138,0),Rates_Daily!D$15:D$2892,"&gt;=-1E+99"),Rates_Daily!$A$15:$A$2892,0)),"")</f>
        <v>3.5</v>
      </c>
      <c r="E138" s="10" t="n">
        <f aca="false">IFERROR(AVERAGEIFS(Rates_Daily!B$15:B$2892,Rates_Daily!$A$15:$A$2892,"&gt;="&amp;$A138,Rates_Daily!$A$15:$A$2892,"&lt;="&amp;EOMONTH($A138,0)),"")</f>
        <v>3.64190476190476</v>
      </c>
      <c r="F138" s="14" t="n">
        <v>3.69</v>
      </c>
      <c r="G138" s="14" t="n">
        <v>3.7</v>
      </c>
      <c r="H138" s="14" t="n">
        <v>3.72</v>
      </c>
      <c r="I138" s="14" t="n">
        <v>3.69</v>
      </c>
      <c r="J138" s="14" t="n">
        <v>3.77</v>
      </c>
      <c r="K138" s="10" t="n">
        <f aca="false">IFERROR(INDEX(Rates_Daily!F$15:F$2892,MATCH(_xlfn.MAXIFS(Rates_Daily!$A$15:$A$2892,Rates_Daily!$A$15:$A$2892,"&lt;="&amp;EOMONTH($A138,0),Rates_Daily!F$15:F$2892,"&gt;=-1E+99"),Rates_Daily!$A$15:$A$2892,0)),"")</f>
        <v>2</v>
      </c>
      <c r="L138" s="10" t="n">
        <f aca="false">IFERROR(AVERAGEIFS(Rates_Daily!E$15:E$2892,Rates_Daily!$A$15:$A$2892,"&gt;="&amp;$A138,Rates_Daily!$A$15:$A$2892,"&lt;="&amp;EOMONTH($A138,0)),"")</f>
        <v>1.9316</v>
      </c>
      <c r="M138" s="14" t="n">
        <v>1.9712</v>
      </c>
      <c r="N138" s="14" t="n">
        <v>2.1753</v>
      </c>
      <c r="O138" s="14" t="n">
        <v>2.45375</v>
      </c>
      <c r="P138" s="14" t="n">
        <v>2.7468</v>
      </c>
      <c r="R138" s="14" t="n">
        <v>3.75</v>
      </c>
      <c r="S138" s="14" t="n">
        <v>3.73</v>
      </c>
      <c r="T138" s="10" t="n">
        <f aca="false">IFERROR(AVERAGEIFS(Rates_Daily!I$15:I$2892,Rates_Daily!$A$15:$A$2892,"&gt;="&amp;$A138,Rates_Daily!$A$15:$A$2892,"&lt;="&amp;EOMONTH($A138,0)),"")</f>
        <v>3.73966747599077</v>
      </c>
      <c r="U138" s="10" t="n">
        <f aca="false">IFERROR(AVERAGEIFS(Rates_Daily!J$15:J$2892,Rates_Daily!$A$15:$A$2892,"&gt;="&amp;$A138,Rates_Daily!$A$15:$A$2892,"&lt;="&amp;EOMONTH($A138,0)),"")</f>
        <v>3.80235589275562</v>
      </c>
      <c r="V138" s="10" t="n">
        <f aca="false">IFERROR(AVERAGEIFS(Rates_Daily!K$15:K$2892,Rates_Daily!$A$15:$A$2892,"&gt;="&amp;$A138,Rates_Daily!$A$15:$A$2892,"&lt;="&amp;EOMONTH($A138,0)),"")</f>
        <v>3.9231111713722</v>
      </c>
      <c r="W138" s="10" t="n">
        <f aca="false">IFERROR(AVERAGEIFS(Rates_Daily!L$15:L$2892,Rates_Daily!$A$15:$A$2892,"&gt;="&amp;$A138,Rates_Daily!$A$15:$A$2892,"&lt;="&amp;EOMONTH($A138,0)),"")</f>
        <v>4.06631526598407</v>
      </c>
      <c r="Y138" s="14" t="n">
        <v>4</v>
      </c>
      <c r="Z138" s="14" t="n">
        <v>4</v>
      </c>
      <c r="AA138" s="14" t="n">
        <v>4.1</v>
      </c>
      <c r="AB138" s="14" t="n">
        <v>4.24</v>
      </c>
      <c r="AC138" s="14" t="n">
        <v>4.405</v>
      </c>
      <c r="AD138" s="14" t="n">
        <v>4.48</v>
      </c>
      <c r="AE138" s="14" t="n">
        <v>2.5</v>
      </c>
      <c r="AF138" s="14" t="n">
        <v>2.517</v>
      </c>
      <c r="AG138" s="14" t="n">
        <v>2.82</v>
      </c>
      <c r="AH138" s="14" t="n">
        <v>2.79</v>
      </c>
      <c r="AI138" s="14" t="n">
        <v>2.87</v>
      </c>
      <c r="AJ138" s="14" t="n">
        <v>3.12</v>
      </c>
      <c r="AK138" s="14" t="n">
        <v>2.549</v>
      </c>
      <c r="AL138" s="14" t="n">
        <v>2.87</v>
      </c>
      <c r="AM138" s="14" t="n">
        <v>2.959</v>
      </c>
      <c r="AN138" s="14" t="n">
        <v>2.82</v>
      </c>
      <c r="AO138" s="10" t="n">
        <f aca="false">IFERROR(AVERAGEIFS(Rates_Daily!M$15:M$2892,Rates_Daily!$A$15:$A$2892,"&gt;="&amp;$A138,Rates_Daily!$A$15:$A$2892,"&lt;="&amp;EOMONTH($A138,0)),"")</f>
        <v>1.44128571428571</v>
      </c>
      <c r="AP138" s="10" t="n">
        <f aca="false">IFERROR(AVERAGEIFS(Rates_Daily!N$15:N$2892,Rates_Daily!$A$15:$A$2892,"&gt;="&amp;$A138,Rates_Daily!$A$15:$A$2892,"&lt;="&amp;EOMONTH($A138,0)),"")</f>
        <v>1.45642857142857</v>
      </c>
      <c r="AQ138" s="10" t="n">
        <f aca="false">IFERROR(AVERAGEIFS(Rates_Daily!O$15:O$2892,Rates_Daily!$A$15:$A$2892,"&gt;="&amp;$A138,Rates_Daily!$A$15:$A$2892,"&lt;="&amp;EOMONTH($A138,0)),"")</f>
        <v>1.47302380952381</v>
      </c>
      <c r="AR138" s="10" t="n">
        <f aca="false">IFERROR(AVERAGEIFS(Rates_Daily!P$15:P$2892,Rates_Daily!$A$15:$A$2892,"&gt;="&amp;$A138,Rates_Daily!$A$15:$A$2892,"&lt;="&amp;EOMONTH($A138,0)),"")</f>
        <v>1.49852380952381</v>
      </c>
      <c r="AS138" s="14" t="n">
        <v>3</v>
      </c>
      <c r="AT138" s="14" t="n">
        <v>3.5</v>
      </c>
      <c r="AU138" s="14" t="n">
        <v>1.64</v>
      </c>
      <c r="AV138" s="14" t="n">
        <v>14.64</v>
      </c>
      <c r="AW138" s="14" t="n">
        <v>14.75</v>
      </c>
      <c r="AX138" s="14" t="n">
        <v>1.24182</v>
      </c>
      <c r="AY138" s="14" t="n">
        <v>0.727</v>
      </c>
      <c r="AZ138" s="16" t="str">
        <f aca="false">IF(EOMONTH($A138,0)&gt;MAX(Rates_Daily!$A$15:$A$2892),"partial month","complete")</f>
        <v>complete</v>
      </c>
    </row>
    <row r="139" customFormat="false" ht="15" hidden="false" customHeight="false" outlineLevel="0" collapsed="false">
      <c r="A139" s="17" t="n">
        <v>46143</v>
      </c>
      <c r="B139" s="14" t="n">
        <v>3.63</v>
      </c>
      <c r="C139" s="10" t="n">
        <f aca="false">IFERROR(INDEX(Rates_Daily!C$15:C$2892,MATCH(_xlfn.MAXIFS(Rates_Daily!$A$15:$A$2892,Rates_Daily!$A$15:$A$2892,"&lt;="&amp;EOMONTH($A139,0),Rates_Daily!C$15:C$2892,"&gt;=-1E+99"),Rates_Daily!$A$15:$A$2892,0)),"")</f>
        <v>3.75</v>
      </c>
      <c r="D139" s="10" t="n">
        <f aca="false">IFERROR(INDEX(Rates_Daily!D$15:D$2892,MATCH(_xlfn.MAXIFS(Rates_Daily!$A$15:$A$2892,Rates_Daily!$A$15:$A$2892,"&lt;="&amp;EOMONTH($A139,0),Rates_Daily!D$15:D$2892,"&gt;=-1E+99"),Rates_Daily!$A$15:$A$2892,0)),"")</f>
        <v>3.5</v>
      </c>
      <c r="E139" s="10" t="n">
        <f aca="false">IFERROR(AVERAGEIFS(Rates_Daily!B$15:B$2892,Rates_Daily!$A$15:$A$2892,"&gt;="&amp;$A139,Rates_Daily!$A$15:$A$2892,"&lt;="&amp;EOMONTH($A139,0)),"")</f>
        <v>3.5855</v>
      </c>
      <c r="F139" s="14" t="n">
        <v>3.71</v>
      </c>
      <c r="G139" s="14" t="n">
        <v>3.69</v>
      </c>
      <c r="H139" s="14" t="n">
        <v>3.77</v>
      </c>
      <c r="I139" s="14" t="n">
        <v>3.79</v>
      </c>
      <c r="J139" s="14" t="n">
        <v>3.72</v>
      </c>
      <c r="K139" s="10" t="n">
        <f aca="false">IFERROR(INDEX(Rates_Daily!F$15:F$2892,MATCH(_xlfn.MAXIFS(Rates_Daily!$A$15:$A$2892,Rates_Daily!$A$15:$A$2892,"&lt;="&amp;EOMONTH($A139,0),Rates_Daily!F$15:F$2892,"&gt;=-1E+99"),Rates_Daily!$A$15:$A$2892,0)),"")</f>
        <v>2</v>
      </c>
      <c r="L139" s="10" t="n">
        <f aca="false">IFERROR(AVERAGEIFS(Rates_Daily!E$15:E$2892,Rates_Daily!$A$15:$A$2892,"&gt;="&amp;$A139,Rates_Daily!$A$15:$A$2892,"&lt;="&amp;EOMONTH($A139,0)),"")</f>
        <v>1.93065</v>
      </c>
      <c r="M139" s="14" t="n">
        <v>1.95655</v>
      </c>
      <c r="N139" s="14" t="n">
        <v>2.2261</v>
      </c>
      <c r="O139" s="14" t="n">
        <v>2.5364</v>
      </c>
      <c r="P139" s="14" t="n">
        <v>2.8042</v>
      </c>
      <c r="R139" s="14" t="n">
        <v>3.75</v>
      </c>
      <c r="S139" s="14" t="n">
        <v>3.7296</v>
      </c>
      <c r="T139" s="10" t="n">
        <f aca="false">IFERROR(AVERAGEIFS(Rates_Daily!I$15:I$2892,Rates_Daily!$A$15:$A$2892,"&gt;="&amp;$A139,Rates_Daily!$A$15:$A$2892,"&lt;="&amp;EOMONTH($A139,0)),"")</f>
        <v>3.73192130357895</v>
      </c>
      <c r="U139" s="10" t="n">
        <f aca="false">IFERROR(AVERAGEIFS(Rates_Daily!J$15:J$2892,Rates_Daily!$A$15:$A$2892,"&gt;="&amp;$A139,Rates_Daily!$A$15:$A$2892,"&lt;="&amp;EOMONTH($A139,0)),"")</f>
        <v>3.79524915353756</v>
      </c>
      <c r="V139" s="10" t="n">
        <f aca="false">IFERROR(AVERAGEIFS(Rates_Daily!K$15:K$2892,Rates_Daily!$A$15:$A$2892,"&gt;="&amp;$A139,Rates_Daily!$A$15:$A$2892,"&lt;="&amp;EOMONTH($A139,0)),"")</f>
        <v>3.92290254701992</v>
      </c>
      <c r="W139" s="10" t="n">
        <f aca="false">IFERROR(AVERAGEIFS(Rates_Daily!L$15:L$2892,Rates_Daily!$A$15:$A$2892,"&gt;="&amp;$A139,Rates_Daily!$A$15:$A$2892,"&lt;="&amp;EOMONTH($A139,0)),"")</f>
        <v>4.11726117882137</v>
      </c>
      <c r="Y139" s="14" t="n">
        <v>4.19</v>
      </c>
      <c r="Z139" s="14" t="n">
        <v>4.19</v>
      </c>
      <c r="AA139" s="14" t="n">
        <v>4.394</v>
      </c>
      <c r="AB139" s="14" t="n">
        <v>4.511</v>
      </c>
      <c r="AC139" s="14" t="n">
        <v>4.571</v>
      </c>
      <c r="AD139" s="14" t="n">
        <v>4.56</v>
      </c>
      <c r="AE139" s="14" t="n">
        <v>2.5</v>
      </c>
      <c r="AF139" s="14" t="n">
        <v>2.537</v>
      </c>
      <c r="AG139" s="14" t="n">
        <v>2.82</v>
      </c>
      <c r="AH139" s="14" t="n">
        <v>2.79</v>
      </c>
      <c r="AI139" s="14" t="n">
        <v>2.9</v>
      </c>
      <c r="AJ139" s="14" t="n">
        <v>3.24</v>
      </c>
      <c r="AK139" s="14" t="n">
        <v>2.594</v>
      </c>
      <c r="AL139" s="14" t="n">
        <v>2.893</v>
      </c>
      <c r="AM139" s="14" t="n">
        <v>3.103</v>
      </c>
      <c r="AN139" s="14" t="n">
        <v>2.82</v>
      </c>
      <c r="AO139" s="10" t="n">
        <f aca="false">IFERROR(AVERAGEIFS(Rates_Daily!M$15:M$2892,Rates_Daily!$A$15:$A$2892,"&gt;="&amp;$A139,Rates_Daily!$A$15:$A$2892,"&lt;="&amp;EOMONTH($A139,0)),"")</f>
        <v>1.39131578947368</v>
      </c>
      <c r="AP139" s="10" t="n">
        <f aca="false">IFERROR(AVERAGEIFS(Rates_Daily!N$15:N$2892,Rates_Daily!$A$15:$A$2892,"&gt;="&amp;$A139,Rates_Daily!$A$15:$A$2892,"&lt;="&amp;EOMONTH($A139,0)),"")</f>
        <v>1.40907894736842</v>
      </c>
      <c r="AQ139" s="10" t="n">
        <f aca="false">IFERROR(AVERAGEIFS(Rates_Daily!O$15:O$2892,Rates_Daily!$A$15:$A$2892,"&gt;="&amp;$A139,Rates_Daily!$A$15:$A$2892,"&lt;="&amp;EOMONTH($A139,0)),"")</f>
        <v>1.43510526315789</v>
      </c>
      <c r="AR139" s="10" t="n">
        <f aca="false">IFERROR(AVERAGEIFS(Rates_Daily!P$15:P$2892,Rates_Daily!$A$15:$A$2892,"&gt;="&amp;$A139,Rates_Daily!$A$15:$A$2892,"&lt;="&amp;EOMONTH($A139,0)),"")</f>
        <v>1.46757894736842</v>
      </c>
      <c r="AS139" s="14" t="n">
        <v>3</v>
      </c>
      <c r="AT139" s="14" t="n">
        <v>3.5</v>
      </c>
      <c r="AU139" s="14" t="n">
        <v>1.51</v>
      </c>
      <c r="AV139" s="14" t="n">
        <v>14.4</v>
      </c>
      <c r="AW139" s="14" t="n">
        <v>14.5</v>
      </c>
      <c r="AX139" s="14" t="n">
        <v>1.27409</v>
      </c>
      <c r="AY139" s="14" t="n">
        <v>0.727</v>
      </c>
      <c r="AZ139" s="16" t="str">
        <f aca="false">IF(EOMONTH($A139,0)&gt;MAX(Rates_Daily!$A$15:$A$2892),"partial month","complete")</f>
        <v>complete</v>
      </c>
    </row>
    <row r="140" customFormat="false" ht="15" hidden="false" customHeight="false" outlineLevel="0" collapsed="false">
      <c r="A140" s="17" t="n">
        <v>46174</v>
      </c>
      <c r="B140" s="14" t="n">
        <v>3.63</v>
      </c>
      <c r="C140" s="10" t="n">
        <f aca="false">IFERROR(INDEX(Rates_Daily!C$15:C$2892,MATCH(_xlfn.MAXIFS(Rates_Daily!$A$15:$A$2892,Rates_Daily!$A$15:$A$2892,"&lt;="&amp;EOMONTH($A140,0),Rates_Daily!C$15:C$2892,"&gt;=-1E+99"),Rates_Daily!$A$15:$A$2892,0)),"")</f>
        <v>3.75</v>
      </c>
      <c r="D140" s="10" t="n">
        <f aca="false">IFERROR(INDEX(Rates_Daily!D$15:D$2892,MATCH(_xlfn.MAXIFS(Rates_Daily!$A$15:$A$2892,Rates_Daily!$A$15:$A$2892,"&lt;="&amp;EOMONTH($A140,0),Rates_Daily!D$15:D$2892,"&gt;=-1E+99"),Rates_Daily!$A$15:$A$2892,0)),"")</f>
        <v>3.5</v>
      </c>
      <c r="E140" s="10" t="n">
        <f aca="false">IFERROR(AVERAGEIFS(Rates_Daily!B$15:B$2892,Rates_Daily!$A$15:$A$2892,"&gt;="&amp;$A140,Rates_Daily!$A$15:$A$2892,"&lt;="&amp;EOMONTH($A140,0)),"")</f>
        <v>3.62809523809524</v>
      </c>
      <c r="F140" s="14" t="n">
        <v>3.69</v>
      </c>
      <c r="G140" s="14" t="n">
        <v>3.81</v>
      </c>
      <c r="H140" s="14" t="n">
        <v>3.87</v>
      </c>
      <c r="I140" s="14" t="n">
        <v>3.91</v>
      </c>
      <c r="J140" s="14" t="n">
        <v>3.77</v>
      </c>
      <c r="K140" s="10" t="n">
        <f aca="false">IFERROR(INDEX(Rates_Daily!F$15:F$2892,MATCH(_xlfn.MAXIFS(Rates_Daily!$A$15:$A$2892,Rates_Daily!$A$15:$A$2892,"&lt;="&amp;EOMONTH($A140,0),Rates_Daily!F$15:F$2892,"&gt;=-1E+99"),Rates_Daily!$A$15:$A$2892,0)),"")</f>
        <v>2.25</v>
      </c>
      <c r="L140" s="10" t="n">
        <f aca="false">IFERROR(AVERAGEIFS(Rates_Daily!E$15:E$2892,Rates_Daily!$A$15:$A$2892,"&gt;="&amp;$A140,Rates_Daily!$A$15:$A$2892,"&lt;="&amp;EOMONTH($A140,0)),"")</f>
        <v>2.04486363636364</v>
      </c>
      <c r="M140" s="14" t="n">
        <v>2.1463182</v>
      </c>
      <c r="N140" s="14" t="n">
        <v>2.339</v>
      </c>
      <c r="O140" s="14" t="n">
        <v>2.5955</v>
      </c>
      <c r="P140" s="14" t="n">
        <v>2.7975909</v>
      </c>
      <c r="R140" s="14" t="n">
        <v>3.75</v>
      </c>
      <c r="S140" s="14" t="n">
        <v>3.7298</v>
      </c>
      <c r="T140" s="10" t="n">
        <f aca="false">IFERROR(AVERAGEIFS(Rates_Daily!I$15:I$2892,Rates_Daily!$A$15:$A$2892,"&gt;="&amp;$A140,Rates_Daily!$A$15:$A$2892,"&lt;="&amp;EOMONTH($A140,0)),"")</f>
        <v>3.73522854540128</v>
      </c>
      <c r="U140" s="10" t="n">
        <f aca="false">IFERROR(AVERAGEIFS(Rates_Daily!J$15:J$2892,Rates_Daily!$A$15:$A$2892,"&gt;="&amp;$A140,Rates_Daily!$A$15:$A$2892,"&lt;="&amp;EOMONTH($A140,0)),"")</f>
        <v>3.77348252920028</v>
      </c>
      <c r="V140" s="10" t="n">
        <f aca="false">IFERROR(AVERAGEIFS(Rates_Daily!K$15:K$2892,Rates_Daily!$A$15:$A$2892,"&gt;="&amp;$A140,Rates_Daily!$A$15:$A$2892,"&lt;="&amp;EOMONTH($A140,0)),"")</f>
        <v>3.85751721175974</v>
      </c>
      <c r="W140" s="10" t="n">
        <f aca="false">IFERROR(AVERAGEIFS(Rates_Daily!L$15:L$2892,Rates_Daily!$A$15:$A$2892,"&gt;="&amp;$A140,Rates_Daily!$A$15:$A$2892,"&lt;="&amp;EOMONTH($A140,0)),"")</f>
        <v>3.99641782572047</v>
      </c>
      <c r="Y140" s="14" t="n">
        <v>4.25</v>
      </c>
      <c r="Z140" s="14" t="n">
        <v>4.25</v>
      </c>
      <c r="AA140" s="14" t="n">
        <v>4.405</v>
      </c>
      <c r="AB140" s="14" t="n">
        <v>4.533</v>
      </c>
      <c r="AC140" s="14" t="n">
        <v>4.622</v>
      </c>
      <c r="AD140" s="14" t="n">
        <v>4.57</v>
      </c>
      <c r="AE140" s="14" t="n">
        <v>2.5</v>
      </c>
      <c r="AF140" s="14" t="n">
        <v>2.537</v>
      </c>
      <c r="AG140" s="14" t="n">
        <v>2.91</v>
      </c>
      <c r="AH140" s="14" t="n">
        <v>2.93</v>
      </c>
      <c r="AI140" s="14" t="n">
        <v>3.13</v>
      </c>
      <c r="AJ140" s="14" t="n">
        <v>3.56</v>
      </c>
      <c r="AK140" s="14" t="n">
        <v>2.664</v>
      </c>
      <c r="AL140" s="14" t="n">
        <v>3.029</v>
      </c>
      <c r="AM140" s="14" t="n">
        <v>3.266</v>
      </c>
      <c r="AN140" s="14" t="n">
        <v>2.91</v>
      </c>
      <c r="AO140" s="10" t="n">
        <f aca="false">IFERROR(AVERAGEIFS(Rates_Daily!M$15:M$2892,Rates_Daily!$A$15:$A$2892,"&gt;="&amp;$A140,Rates_Daily!$A$15:$A$2892,"&lt;="&amp;EOMONTH($A140,0)),"")</f>
        <v>1.40759523809524</v>
      </c>
      <c r="AP140" s="10" t="n">
        <f aca="false">IFERROR(AVERAGEIFS(Rates_Daily!N$15:N$2892,Rates_Daily!$A$15:$A$2892,"&gt;="&amp;$A140,Rates_Daily!$A$15:$A$2892,"&lt;="&amp;EOMONTH($A140,0)),"")</f>
        <v>1.41933333333333</v>
      </c>
      <c r="AQ140" s="10" t="n">
        <f aca="false">IFERROR(AVERAGEIFS(Rates_Daily!O$15:O$2892,Rates_Daily!$A$15:$A$2892,"&gt;="&amp;$A140,Rates_Daily!$A$15:$A$2892,"&lt;="&amp;EOMONTH($A140,0)),"")</f>
        <v>1.4397619047619</v>
      </c>
      <c r="AR140" s="10" t="n">
        <f aca="false">IFERROR(AVERAGEIFS(Rates_Daily!P$15:P$2892,Rates_Daily!$A$15:$A$2892,"&gt;="&amp;$A140,Rates_Daily!$A$15:$A$2892,"&lt;="&amp;EOMONTH($A140,0)),"")</f>
        <v>1.47090476190476</v>
      </c>
      <c r="AS140" s="14" t="n">
        <v>3</v>
      </c>
      <c r="AT140" s="14" t="n">
        <v>3.5</v>
      </c>
      <c r="AU140" s="14" t="n">
        <v>1.51</v>
      </c>
      <c r="AV140" s="14" t="n">
        <v>14.29</v>
      </c>
      <c r="AW140" s="14" t="n">
        <v>14.39</v>
      </c>
      <c r="AX140" s="14" t="n">
        <v>1.412</v>
      </c>
      <c r="AY140" s="14" t="n">
        <v>0.841</v>
      </c>
      <c r="AZ140" s="16" t="str">
        <f aca="false">IF(EOMONTH($A140,0)&gt;MAX(Rates_Daily!$A$15:$A$2892),"partial month","complete")</f>
        <v>complete</v>
      </c>
    </row>
    <row r="141" customFormat="false" ht="15" hidden="false" customHeight="false" outlineLevel="0" collapsed="false">
      <c r="A141" s="17" t="n">
        <v>46204</v>
      </c>
      <c r="B141" s="14" t="n">
        <v>3.63</v>
      </c>
      <c r="C141" s="10" t="n">
        <f aca="false">IFERROR(INDEX(Rates_Daily!C$15:C$2892,MATCH(_xlfn.MAXIFS(Rates_Daily!$A$15:$A$2892,Rates_Daily!$A$15:$A$2892,"&lt;="&amp;EOMONTH($A141,0),Rates_Daily!C$15:C$2892,"&gt;=-1E+99"),Rates_Daily!$A$15:$A$2892,0)),"")</f>
        <v>3.75</v>
      </c>
      <c r="D141" s="10" t="n">
        <f aca="false">IFERROR(INDEX(Rates_Daily!D$15:D$2892,MATCH(_xlfn.MAXIFS(Rates_Daily!$A$15:$A$2892,Rates_Daily!$A$15:$A$2892,"&lt;="&amp;EOMONTH($A141,0),Rates_Daily!D$15:D$2892,"&gt;=-1E+99"),Rates_Daily!$A$15:$A$2892,0)),"")</f>
        <v>3.5</v>
      </c>
      <c r="E141" s="10" t="n">
        <f aca="false">IFERROR(AVERAGEIFS(Rates_Daily!B$15:B$2892,Rates_Daily!$A$15:$A$2892,"&gt;="&amp;$A141,Rates_Daily!$A$15:$A$2892,"&lt;="&amp;EOMONTH($A141,0)),"")</f>
        <v>3.61909090909091</v>
      </c>
      <c r="F141" s="14" t="n">
        <v>3.74</v>
      </c>
      <c r="G141" s="14" t="n">
        <v>3.87</v>
      </c>
      <c r="H141" s="14" t="n">
        <v>4</v>
      </c>
      <c r="I141" s="14" t="n">
        <v>4.05</v>
      </c>
      <c r="J141" s="14" t="n">
        <v>3.82</v>
      </c>
      <c r="K141" s="10" t="n">
        <f aca="false">IFERROR(INDEX(Rates_Daily!F$15:F$2892,MATCH(_xlfn.MAXIFS(Rates_Daily!$A$15:$A$2892,Rates_Daily!$A$15:$A$2892,"&lt;="&amp;EOMONTH($A141,0),Rates_Daily!F$15:F$2892,"&gt;=-1E+99"),Rates_Daily!$A$15:$A$2892,0)),"")</f>
        <v>2.25</v>
      </c>
      <c r="L141" s="10" t="n">
        <f aca="false">IFERROR(AVERAGEIFS(Rates_Daily!E$15:E$2892,Rates_Daily!$A$15:$A$2892,"&gt;="&amp;$A141,Rates_Daily!$A$15:$A$2892,"&lt;="&amp;EOMONTH($A141,0)),"")</f>
        <v>2.18378260869565</v>
      </c>
      <c r="M141" s="14" t="n">
        <v>2.2140435</v>
      </c>
      <c r="N141" s="14" t="n">
        <v>2.4253913</v>
      </c>
      <c r="O141" s="14" t="n">
        <v>2.6467391</v>
      </c>
      <c r="P141" s="14" t="n">
        <v>2.855087</v>
      </c>
      <c r="R141" s="14" t="n">
        <v>3.75</v>
      </c>
      <c r="S141" s="14" t="n">
        <v>3.7308</v>
      </c>
      <c r="T141" s="10" t="n">
        <f aca="false">IFERROR(AVERAGEIFS(Rates_Daily!I$15:I$2892,Rates_Daily!$A$15:$A$2892,"&gt;="&amp;$A141,Rates_Daily!$A$15:$A$2892,"&lt;="&amp;EOMONTH($A141,0)),"")</f>
        <v>3.7371878740928</v>
      </c>
      <c r="U141" s="10" t="n">
        <f aca="false">IFERROR(AVERAGEIFS(Rates_Daily!J$15:J$2892,Rates_Daily!$A$15:$A$2892,"&gt;="&amp;$A141,Rates_Daily!$A$15:$A$2892,"&lt;="&amp;EOMONTH($A141,0)),"")</f>
        <v>3.78351739285798</v>
      </c>
      <c r="V141" s="10" t="n">
        <f aca="false">IFERROR(AVERAGEIFS(Rates_Daily!K$15:K$2892,Rates_Daily!$A$15:$A$2892,"&gt;="&amp;$A141,Rates_Daily!$A$15:$A$2892,"&lt;="&amp;EOMONTH($A141,0)),"")</f>
        <v>3.88299651414467</v>
      </c>
      <c r="W141" s="10" t="n">
        <f aca="false">IFERROR(AVERAGEIFS(Rates_Daily!L$15:L$2892,Rates_Daily!$A$15:$A$2892,"&gt;="&amp;$A141,Rates_Daily!$A$15:$A$2892,"&lt;="&amp;EOMONTH($A141,0)),"")</f>
        <v>4.03690712938974</v>
      </c>
      <c r="Y141" s="14" t="n">
        <v>4.25</v>
      </c>
      <c r="Z141" s="14" t="n">
        <v>4.25</v>
      </c>
      <c r="AA141" s="14" t="n">
        <v>4.355</v>
      </c>
      <c r="AB141" s="14" t="n">
        <v>4.489</v>
      </c>
      <c r="AC141" s="14" t="n">
        <v>4.596</v>
      </c>
      <c r="AD141" s="14" t="n">
        <v>4.62</v>
      </c>
      <c r="AE141" s="14" t="n">
        <v>2.75</v>
      </c>
      <c r="AF141" s="14" t="n">
        <v>2.62</v>
      </c>
      <c r="AG141" s="14" t="n">
        <v>2.91</v>
      </c>
      <c r="AH141" s="14" t="n">
        <v>3.01</v>
      </c>
      <c r="AI141" s="14" t="n">
        <v>3.26</v>
      </c>
      <c r="AJ141" s="14" t="n">
        <v>3.72</v>
      </c>
      <c r="AK141" s="14" t="n">
        <v>2.728</v>
      </c>
      <c r="AL141" s="14" t="n">
        <v>3.289</v>
      </c>
      <c r="AM141" s="14" t="n">
        <v>3.36</v>
      </c>
      <c r="AN141" s="14" t="n">
        <v>2.91</v>
      </c>
      <c r="AO141" s="10" t="n">
        <f aca="false">IFERROR(AVERAGEIFS(Rates_Daily!M$15:M$2892,Rates_Daily!$A$15:$A$2892,"&gt;="&amp;$A141,Rates_Daily!$A$15:$A$2892,"&lt;="&amp;EOMONTH($A141,0)),"")</f>
        <v>1.41853043478261</v>
      </c>
      <c r="AP141" s="10" t="n">
        <f aca="false">IFERROR(AVERAGEIFS(Rates_Daily!N$15:N$2892,Rates_Daily!$A$15:$A$2892,"&gt;="&amp;$A141,Rates_Daily!$A$15:$A$2892,"&lt;="&amp;EOMONTH($A141,0)),"")</f>
        <v>1.43097391304348</v>
      </c>
      <c r="AQ141" s="10" t="n">
        <f aca="false">IFERROR(AVERAGEIFS(Rates_Daily!O$15:O$2892,Rates_Daily!$A$15:$A$2892,"&gt;="&amp;$A141,Rates_Daily!$A$15:$A$2892,"&lt;="&amp;EOMONTH($A141,0)),"")</f>
        <v>1.44774782608696</v>
      </c>
      <c r="AR141" s="10" t="n">
        <f aca="false">IFERROR(AVERAGEIFS(Rates_Daily!P$15:P$2892,Rates_Daily!$A$15:$A$2892,"&gt;="&amp;$A141,Rates_Daily!$A$15:$A$2892,"&lt;="&amp;EOMONTH($A141,0)),"")</f>
        <v>1.47604782608696</v>
      </c>
      <c r="AS141" s="14" t="n">
        <v>3</v>
      </c>
      <c r="AT141" s="14" t="n">
        <v>3.5</v>
      </c>
      <c r="AU141" s="14" t="n">
        <v>1.54</v>
      </c>
      <c r="AV141" s="14" t="n">
        <v>14.15</v>
      </c>
      <c r="AW141" s="14" t="n">
        <v>14.25</v>
      </c>
      <c r="AX141" s="14" t="n">
        <v>1.45845</v>
      </c>
      <c r="AY141" s="14" t="n">
        <v>0.978</v>
      </c>
      <c r="AZ141" s="16" t="str">
        <f aca="false">IF(EOMONTH($A141,0)&gt;MAX(Rates_Daily!$A$15:$A$2892),"partial month","complete")</f>
        <v>complete</v>
      </c>
    </row>
    <row r="142" customFormat="false" ht="15" hidden="false" customHeight="false" outlineLevel="0" collapsed="false">
      <c r="A142" s="17" t="n">
        <v>46235</v>
      </c>
      <c r="B142" s="14" t="n">
        <v>3.63</v>
      </c>
      <c r="C142" s="10" t="n">
        <f aca="false">IFERROR(INDEX(Rates_Daily!C$15:C$2892,MATCH(_xlfn.MAXIFS(Rates_Daily!$A$15:$A$2892,Rates_Daily!$A$15:$A$2892,"&lt;="&amp;EOMONTH($A142,0),Rates_Daily!C$15:C$2892,"&gt;=-1E+99"),Rates_Daily!$A$15:$A$2892,0)),"")</f>
        <v>3.75</v>
      </c>
      <c r="D142" s="10" t="n">
        <f aca="false">IFERROR(INDEX(Rates_Daily!D$15:D$2892,MATCH(_xlfn.MAXIFS(Rates_Daily!$A$15:$A$2892,Rates_Daily!$A$15:$A$2892,"&lt;="&amp;EOMONTH($A142,0),Rates_Daily!D$15:D$2892,"&gt;=-1E+99"),Rates_Daily!$A$15:$A$2892,0)),"")</f>
        <v>3.5</v>
      </c>
      <c r="E142" s="10" t="n">
        <f aca="false">IFERROR(AVERAGEIFS(Rates_Daily!B$15:B$2892,Rates_Daily!$A$15:$A$2892,"&gt;="&amp;$A142,Rates_Daily!$A$15:$A$2892,"&lt;="&amp;EOMONTH($A142,0)),"")</f>
        <v>3.64190476190476</v>
      </c>
      <c r="F142" s="14" t="n">
        <v>3.79</v>
      </c>
      <c r="G142" s="14" t="n">
        <v>3.88</v>
      </c>
      <c r="H142" s="14" t="n">
        <v>3.97</v>
      </c>
      <c r="I142" s="14" t="n">
        <v>4.03</v>
      </c>
      <c r="J142" s="14" t="n">
        <v>3.82</v>
      </c>
      <c r="K142" s="10" t="n">
        <f aca="false">IFERROR(INDEX(Rates_Daily!F$15:F$2892,MATCH(_xlfn.MAXIFS(Rates_Daily!$A$15:$A$2892,Rates_Daily!$A$15:$A$2892,"&lt;="&amp;EOMONTH($A142,0),Rates_Daily!F$15:F$2892,"&gt;=-1E+99"),Rates_Daily!$A$15:$A$2892,0)),"")</f>
        <v>2.25</v>
      </c>
      <c r="L142" s="10" t="n">
        <f aca="false">IFERROR(AVERAGEIFS(Rates_Daily!E$15:E$2892,Rates_Daily!$A$15:$A$2892,"&gt;="&amp;$A142,Rates_Daily!$A$15:$A$2892,"&lt;="&amp;EOMONTH($A142,0)),"")</f>
        <v>2.18695238095238</v>
      </c>
      <c r="M142" s="14" t="n">
        <v>2.2209524</v>
      </c>
      <c r="N142" s="14" t="n">
        <v>2.5131429</v>
      </c>
      <c r="O142" s="14" t="n">
        <v>2.7133333</v>
      </c>
      <c r="P142" s="14" t="n">
        <v>2.9536667</v>
      </c>
      <c r="R142" s="14" t="n">
        <v>3.75</v>
      </c>
      <c r="S142" s="14" t="n">
        <v>3.7313</v>
      </c>
      <c r="T142" s="10" t="n">
        <f aca="false">IFERROR(AVERAGEIFS(Rates_Daily!I$15:I$2892,Rates_Daily!$A$15:$A$2892,"&gt;="&amp;$A142,Rates_Daily!$A$15:$A$2892,"&lt;="&amp;EOMONTH($A142,0)),"")</f>
        <v>3.73201690310122</v>
      </c>
      <c r="U142" s="10" t="n">
        <f aca="false">IFERROR(AVERAGEIFS(Rates_Daily!J$15:J$2892,Rates_Daily!$A$15:$A$2892,"&gt;="&amp;$A142,Rates_Daily!$A$15:$A$2892,"&lt;="&amp;EOMONTH($A142,0)),"")</f>
        <v>3.77566296820732</v>
      </c>
      <c r="V142" s="10" t="n">
        <f aca="false">IFERROR(AVERAGEIFS(Rates_Daily!K$15:K$2892,Rates_Daily!$A$15:$A$2892,"&gt;="&amp;$A142,Rates_Daily!$A$15:$A$2892,"&lt;="&amp;EOMONTH($A142,0)),"")</f>
        <v>3.87355924915358</v>
      </c>
      <c r="W142" s="10" t="n">
        <f aca="false">IFERROR(AVERAGEIFS(Rates_Daily!L$15:L$2892,Rates_Daily!$A$15:$A$2892,"&gt;="&amp;$A142,Rates_Daily!$A$15:$A$2892,"&lt;="&amp;EOMONTH($A142,0)),"")</f>
        <v>4.04152130122572</v>
      </c>
      <c r="Y142" s="14" t="n">
        <v>4.25</v>
      </c>
      <c r="Z142" s="14" t="n">
        <v>4.25</v>
      </c>
      <c r="AA142" s="14" t="n">
        <v>4.409</v>
      </c>
      <c r="AB142" s="14" t="n">
        <v>4.494</v>
      </c>
      <c r="AC142" s="14" t="n">
        <v>4.536</v>
      </c>
      <c r="AD142" s="14" t="n">
        <v>4.51</v>
      </c>
      <c r="AE142" s="14" t="n">
        <v>3</v>
      </c>
      <c r="AF142" s="14" t="n">
        <v>2.809</v>
      </c>
      <c r="AG142" s="14" t="n">
        <v>2.97</v>
      </c>
      <c r="AH142" s="14" t="n">
        <v>3.05</v>
      </c>
      <c r="AI142" s="14" t="n">
        <v>3.32</v>
      </c>
      <c r="AJ142" s="14" t="n">
        <v>3.68</v>
      </c>
      <c r="AK142" s="14" t="n">
        <v>2.832</v>
      </c>
      <c r="AL142" s="14" t="n">
        <v>3.259</v>
      </c>
      <c r="AM142" s="14" t="n">
        <v>3.395</v>
      </c>
      <c r="AN142" s="14" t="n">
        <v>2.97</v>
      </c>
      <c r="AO142" s="10" t="n">
        <f aca="false">IFERROR(AVERAGEIFS(Rates_Daily!M$15:M$2892,Rates_Daily!$A$15:$A$2892,"&gt;="&amp;$A142,Rates_Daily!$A$15:$A$2892,"&lt;="&amp;EOMONTH($A142,0)),"")</f>
        <v>1.41713333333333</v>
      </c>
      <c r="AP142" s="10" t="n">
        <f aca="false">IFERROR(AVERAGEIFS(Rates_Daily!N$15:N$2892,Rates_Daily!$A$15:$A$2892,"&gt;="&amp;$A142,Rates_Daily!$A$15:$A$2892,"&lt;="&amp;EOMONTH($A142,0)),"")</f>
        <v>1.43</v>
      </c>
      <c r="AQ142" s="10" t="n">
        <f aca="false">IFERROR(AVERAGEIFS(Rates_Daily!O$15:O$2892,Rates_Daily!$A$15:$A$2892,"&gt;="&amp;$A142,Rates_Daily!$A$15:$A$2892,"&lt;="&amp;EOMONTH($A142,0)),"")</f>
        <v>1.45014761904762</v>
      </c>
      <c r="AR142" s="10" t="n">
        <f aca="false">IFERROR(AVERAGEIFS(Rates_Daily!P$15:P$2892,Rates_Daily!$A$15:$A$2892,"&gt;="&amp;$A142,Rates_Daily!$A$15:$A$2892,"&lt;="&amp;EOMONTH($A142,0)),"")</f>
        <v>1.48004761904762</v>
      </c>
      <c r="AS142" s="14" t="n">
        <v>3</v>
      </c>
      <c r="AT142" s="14" t="n">
        <v>3.5</v>
      </c>
      <c r="AV142" s="14" t="n">
        <v>13.94</v>
      </c>
      <c r="AW142" s="14" t="n">
        <v>14.06</v>
      </c>
      <c r="AY142" s="14" t="n">
        <v>0.977</v>
      </c>
      <c r="AZ142" s="16" t="str">
        <f aca="false">IF(EOMONTH($A142,0)&gt;MAX(Rates_Daily!$A$15:$A$2892),"partial month","complete")</f>
        <v>complete</v>
      </c>
    </row>
    <row r="143" customFormat="false" ht="15" hidden="false" customHeight="false" outlineLevel="0" collapsed="false">
      <c r="A143" s="17" t="n">
        <v>46266</v>
      </c>
      <c r="B143" s="14" t="n">
        <v>3.75</v>
      </c>
      <c r="C143" s="10" t="n">
        <f aca="false">IFERROR(INDEX(Rates_Daily!C$15:C$2892,MATCH(_xlfn.MAXIFS(Rates_Daily!$A$15:$A$2892,Rates_Daily!$A$15:$A$2892,"&lt;="&amp;EOMONTH($A143,0),Rates_Daily!C$15:C$2892,"&gt;=-1E+99"),Rates_Daily!$A$15:$A$2892,0)),"")</f>
        <v>4</v>
      </c>
      <c r="D143" s="10" t="n">
        <f aca="false">IFERROR(INDEX(Rates_Daily!D$15:D$2892,MATCH(_xlfn.MAXIFS(Rates_Daily!$A$15:$A$2892,Rates_Daily!$A$15:$A$2892,"&lt;="&amp;EOMONTH($A143,0),Rates_Daily!D$15:D$2892,"&gt;=-1E+99"),Rates_Daily!$A$15:$A$2892,0)),"")</f>
        <v>3.75</v>
      </c>
      <c r="E143" s="10" t="n">
        <f aca="false">IFERROR(AVERAGEIFS(Rates_Daily!B$15:B$2892,Rates_Daily!$A$15:$A$2892,"&gt;="&amp;$A143,Rates_Daily!$A$15:$A$2892,"&lt;="&amp;EOMONTH($A143,0)),"")</f>
        <v>3.75095238095238</v>
      </c>
      <c r="F143" s="14" t="n">
        <v>3.93</v>
      </c>
      <c r="G143" s="14" t="n">
        <v>4.09</v>
      </c>
      <c r="H143" s="14" t="n">
        <v>4.18</v>
      </c>
      <c r="I143" s="14" t="n">
        <v>4.37</v>
      </c>
      <c r="K143" s="10" t="n">
        <f aca="false">IFERROR(INDEX(Rates_Daily!F$15:F$2892,MATCH(_xlfn.MAXIFS(Rates_Daily!$A$15:$A$2892,Rates_Daily!$A$15:$A$2892,"&lt;="&amp;EOMONTH($A143,0),Rates_Daily!F$15:F$2892,"&gt;=-1E+99"),Rates_Daily!$A$15:$A$2892,0)),"")</f>
        <v>2.5</v>
      </c>
      <c r="L143" s="10" t="n">
        <f aca="false">IFERROR(AVERAGEIFS(Rates_Daily!E$15:E$2892,Rates_Daily!$A$15:$A$2892,"&gt;="&amp;$A143,Rates_Daily!$A$15:$A$2892,"&lt;="&amp;EOMONTH($A143,0)),"")</f>
        <v>2.31431818181818</v>
      </c>
      <c r="M143" s="14" t="n">
        <v>2.4143636</v>
      </c>
      <c r="N143" s="14" t="n">
        <v>2.6350455</v>
      </c>
      <c r="O143" s="14" t="n">
        <v>2.9215909</v>
      </c>
      <c r="P143" s="14" t="n">
        <v>3.247</v>
      </c>
      <c r="R143" s="14" t="n">
        <v>3.75</v>
      </c>
      <c r="S143" s="14" t="n">
        <v>3.7305</v>
      </c>
      <c r="T143" s="10" t="n">
        <f aca="false">IFERROR(AVERAGEIFS(Rates_Daily!I$15:I$2892,Rates_Daily!$A$15:$A$2892,"&gt;="&amp;$A143,Rates_Daily!$A$15:$A$2892,"&lt;="&amp;EOMONTH($A143,0)),"")</f>
        <v>3.74615222104676</v>
      </c>
      <c r="U143" s="10" t="n">
        <f aca="false">IFERROR(AVERAGEIFS(Rates_Daily!J$15:J$2892,Rates_Daily!$A$15:$A$2892,"&gt;="&amp;$A143,Rates_Daily!$A$15:$A$2892,"&lt;="&amp;EOMONTH($A143,0)),"")</f>
        <v>3.84211533566653</v>
      </c>
      <c r="V143" s="10" t="n">
        <f aca="false">IFERROR(AVERAGEIFS(Rates_Daily!K$15:K$2892,Rates_Daily!$A$15:$A$2892,"&gt;="&amp;$A143,Rates_Daily!$A$15:$A$2892,"&lt;="&amp;EOMONTH($A143,0)),"")</f>
        <v>4.01580754855437</v>
      </c>
      <c r="W143" s="10" t="n">
        <f aca="false">IFERROR(AVERAGEIFS(Rates_Daily!L$15:L$2892,Rates_Daily!$A$15:$A$2892,"&gt;="&amp;$A143,Rates_Daily!$A$15:$A$2892,"&lt;="&amp;EOMONTH($A143,0)),"")</f>
        <v>4.29643353672161</v>
      </c>
      <c r="Y143" s="14" t="n">
        <v>4.3</v>
      </c>
      <c r="Z143" s="14" t="n">
        <v>4.3</v>
      </c>
      <c r="AA143" s="14" t="n">
        <v>4.422</v>
      </c>
      <c r="AB143" s="14" t="n">
        <v>4.552</v>
      </c>
      <c r="AC143" s="14" t="n">
        <v>4.645</v>
      </c>
      <c r="AE143" s="14" t="n">
        <v>3</v>
      </c>
      <c r="AF143" s="14" t="n">
        <v>3.044</v>
      </c>
      <c r="AG143" s="14" t="n">
        <v>3.17</v>
      </c>
      <c r="AH143" s="14" t="n">
        <v>3.29</v>
      </c>
      <c r="AI143" s="14" t="n">
        <v>3.6</v>
      </c>
      <c r="AJ143" s="14" t="n">
        <v>3.9</v>
      </c>
      <c r="AK143" s="14" t="n">
        <v>3.063</v>
      </c>
      <c r="AL143" s="14" t="n">
        <v>3.378</v>
      </c>
      <c r="AM143" s="14" t="n">
        <v>3.585</v>
      </c>
      <c r="AO143" s="10" t="n">
        <f aca="false">IFERROR(AVERAGEIFS(Rates_Daily!M$15:M$2892,Rates_Daily!$A$15:$A$2892,"&gt;="&amp;$A143,Rates_Daily!$A$15:$A$2892,"&lt;="&amp;EOMONTH($A143,0)),"")</f>
        <v>1.42123181818182</v>
      </c>
      <c r="AP143" s="10" t="n">
        <f aca="false">IFERROR(AVERAGEIFS(Rates_Daily!N$15:N$2892,Rates_Daily!$A$15:$A$2892,"&gt;="&amp;$A143,Rates_Daily!$A$15:$A$2892,"&lt;="&amp;EOMONTH($A143,0)),"")</f>
        <v>1.43004545454545</v>
      </c>
      <c r="AQ143" s="10" t="n">
        <f aca="false">IFERROR(AVERAGEIFS(Rates_Daily!O$15:O$2892,Rates_Daily!$A$15:$A$2892,"&gt;="&amp;$A143,Rates_Daily!$A$15:$A$2892,"&lt;="&amp;EOMONTH($A143,0)),"")</f>
        <v>1.45036818181818</v>
      </c>
      <c r="AR143" s="10" t="n">
        <f aca="false">IFERROR(AVERAGEIFS(Rates_Daily!P$15:P$2892,Rates_Daily!$A$15:$A$2892,"&gt;="&amp;$A143,Rates_Daily!$A$15:$A$2892,"&lt;="&amp;EOMONTH($A143,0)),"")</f>
        <v>1.48005</v>
      </c>
      <c r="AS143" s="14" t="n">
        <v>3</v>
      </c>
      <c r="AT143" s="14" t="n">
        <v>3.5</v>
      </c>
      <c r="AV143" s="14" t="n">
        <v>13.78</v>
      </c>
      <c r="AZ143" s="16" t="str">
        <f aca="false">IF(EOMONTH($A143,0)&gt;MAX(Rates_Daily!$A$15:$A$2892),"partial month","complete")</f>
        <v>complete</v>
      </c>
    </row>
    <row r="144" customFormat="false" ht="15" hidden="false" customHeight="false" outlineLevel="0" collapsed="false">
      <c r="A144" s="17" t="n">
        <v>46296</v>
      </c>
      <c r="C144" s="10" t="n">
        <f aca="false">IFERROR(INDEX(Rates_Daily!C$15:C$2892,MATCH(_xlfn.MAXIFS(Rates_Daily!$A$15:$A$2892,Rates_Daily!$A$15:$A$2892,"&lt;="&amp;EOMONTH($A144,0),Rates_Daily!C$15:C$2892,"&gt;=-1E+99"),Rates_Daily!$A$15:$A$2892,0)),"")</f>
        <v>4</v>
      </c>
      <c r="D144" s="10" t="n">
        <f aca="false">IFERROR(INDEX(Rates_Daily!D$15:D$2892,MATCH(_xlfn.MAXIFS(Rates_Daily!$A$15:$A$2892,Rates_Daily!$A$15:$A$2892,"&lt;="&amp;EOMONTH($A144,0),Rates_Daily!D$15:D$2892,"&gt;=-1E+99"),Rates_Daily!$A$15:$A$2892,0)),"")</f>
        <v>3.75</v>
      </c>
      <c r="E144" s="10" t="n">
        <f aca="false">IFERROR(AVERAGEIFS(Rates_Daily!B$15:B$2892,Rates_Daily!$A$15:$A$2892,"&gt;="&amp;$A144,Rates_Daily!$A$15:$A$2892,"&lt;="&amp;EOMONTH($A144,0)),"")</f>
        <v>3.88</v>
      </c>
      <c r="K144" s="10" t="n">
        <f aca="false">IFERROR(INDEX(Rates_Daily!F$15:F$2892,MATCH(_xlfn.MAXIFS(Rates_Daily!$A$15:$A$2892,Rates_Daily!$A$15:$A$2892,"&lt;="&amp;EOMONTH($A144,0),Rates_Daily!F$15:F$2892,"&gt;=-1E+99"),Rates_Daily!$A$15:$A$2892,0)),"")</f>
        <v>2.5</v>
      </c>
      <c r="L144" s="10" t="n">
        <f aca="false">IFERROR(AVERAGEIFS(Rates_Daily!E$15:E$2892,Rates_Daily!$A$15:$A$2892,"&gt;="&amp;$A144,Rates_Daily!$A$15:$A$2892,"&lt;="&amp;EOMONTH($A144,0)),"")</f>
        <v>2.43975</v>
      </c>
      <c r="T144" s="10" t="n">
        <f aca="false">IFERROR(AVERAGEIFS(Rates_Daily!I$15:I$2892,Rates_Daily!$A$15:$A$2892,"&gt;="&amp;$A144,Rates_Daily!$A$15:$A$2892,"&lt;="&amp;EOMONTH($A144,0)),"")</f>
        <v>3.74714021103885</v>
      </c>
      <c r="U144" s="10" t="n">
        <f aca="false">IFERROR(AVERAGEIFS(Rates_Daily!J$15:J$2892,Rates_Daily!$A$15:$A$2892,"&gt;="&amp;$A144,Rates_Daily!$A$15:$A$2892,"&lt;="&amp;EOMONTH($A144,0)),"")</f>
        <v>3.88358916137586</v>
      </c>
      <c r="V144" s="10" t="n">
        <f aca="false">IFERROR(AVERAGEIFS(Rates_Daily!K$15:K$2892,Rates_Daily!$A$15:$A$2892,"&gt;="&amp;$A144,Rates_Daily!$A$15:$A$2892,"&lt;="&amp;EOMONTH($A144,0)),"")</f>
        <v>4.05607957433309</v>
      </c>
      <c r="W144" s="10" t="n">
        <f aca="false">IFERROR(AVERAGEIFS(Rates_Daily!L$15:L$2892,Rates_Daily!$A$15:$A$2892,"&gt;="&amp;$A144,Rates_Daily!$A$15:$A$2892,"&lt;="&amp;EOMONTH($A144,0)),"")</f>
        <v>4.32396426720839</v>
      </c>
      <c r="AO144" s="10" t="str">
        <f aca="false">IFERROR(AVERAGEIFS(Rates_Daily!M$15:M$2892,Rates_Daily!$A$15:$A$2892,"&gt;="&amp;$A144,Rates_Daily!$A$15:$A$2892,"&lt;="&amp;EOMONTH($A144,0)),"")</f>
        <v/>
      </c>
      <c r="AP144" s="10" t="str">
        <f aca="false">IFERROR(AVERAGEIFS(Rates_Daily!N$15:N$2892,Rates_Daily!$A$15:$A$2892,"&gt;="&amp;$A144,Rates_Daily!$A$15:$A$2892,"&lt;="&amp;EOMONTH($A144,0)),"")</f>
        <v/>
      </c>
      <c r="AQ144" s="10" t="str">
        <f aca="false">IFERROR(AVERAGEIFS(Rates_Daily!O$15:O$2892,Rates_Daily!$A$15:$A$2892,"&gt;="&amp;$A144,Rates_Daily!$A$15:$A$2892,"&lt;="&amp;EOMONTH($A144,0)),"")</f>
        <v/>
      </c>
      <c r="AR144" s="10" t="str">
        <f aca="false">IFERROR(AVERAGEIFS(Rates_Daily!P$15:P$2892,Rates_Daily!$A$15:$A$2892,"&gt;="&amp;$A144,Rates_Daily!$A$15:$A$2892,"&lt;="&amp;EOMONTH($A144,0)),"")</f>
        <v/>
      </c>
      <c r="AZ144" s="16" t="str">
        <f aca="false">IF(EOMONTH($A144,0)&gt;MAX(Rates_Daily!$A$15:$A$2892),"partial month","complete")</f>
        <v>partial month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12"/>
  </cols>
  <sheetData>
    <row r="1" customFormat="false" ht="16.15" hidden="false" customHeight="false" outlineLevel="0" collapsed="false">
      <c r="A1" s="1" t="s">
        <v>723</v>
      </c>
    </row>
    <row r="2" customFormat="false" ht="15" hidden="false" customHeight="false" outlineLevel="0" collapsed="false">
      <c r="A2" s="2" t="s">
        <v>724</v>
      </c>
    </row>
    <row r="4" customFormat="false" ht="64.15" hidden="false" customHeight="false" outlineLevel="0" collapsed="false">
      <c r="A4" s="7" t="s">
        <v>5</v>
      </c>
      <c r="B4" s="8" t="s">
        <v>376</v>
      </c>
      <c r="C4" s="8" t="s">
        <v>725</v>
      </c>
      <c r="D4" s="8" t="s">
        <v>383</v>
      </c>
      <c r="E4" s="8" t="s">
        <v>383</v>
      </c>
      <c r="F4" s="8" t="s">
        <v>383</v>
      </c>
      <c r="G4" s="8" t="s">
        <v>383</v>
      </c>
      <c r="H4" s="8" t="s">
        <v>383</v>
      </c>
      <c r="I4" s="8" t="s">
        <v>383</v>
      </c>
      <c r="J4" s="8" t="s">
        <v>383</v>
      </c>
      <c r="K4" s="8" t="s">
        <v>416</v>
      </c>
      <c r="L4" s="8" t="s">
        <v>726</v>
      </c>
      <c r="M4" s="8" t="s">
        <v>422</v>
      </c>
      <c r="N4" s="8" t="s">
        <v>422</v>
      </c>
      <c r="O4" s="8" t="s">
        <v>422</v>
      </c>
      <c r="P4" s="8" t="s">
        <v>422</v>
      </c>
      <c r="Q4" s="8" t="s">
        <v>439</v>
      </c>
      <c r="R4" s="8" t="s">
        <v>439</v>
      </c>
      <c r="S4" s="8" t="s">
        <v>448</v>
      </c>
      <c r="T4" s="8" t="s">
        <v>727</v>
      </c>
    </row>
    <row r="5" customFormat="false" ht="43.25" hidden="false" customHeight="false" outlineLevel="0" collapsed="false">
      <c r="A5" s="7" t="s">
        <v>6</v>
      </c>
      <c r="B5" s="8" t="s">
        <v>377</v>
      </c>
      <c r="C5" s="8" t="s">
        <v>728</v>
      </c>
      <c r="D5" s="8" t="s">
        <v>384</v>
      </c>
      <c r="E5" s="8" t="s">
        <v>389</v>
      </c>
      <c r="F5" s="8" t="s">
        <v>393</v>
      </c>
      <c r="G5" s="8" t="s">
        <v>398</v>
      </c>
      <c r="H5" s="8" t="s">
        <v>402</v>
      </c>
      <c r="I5" s="8" t="s">
        <v>406</v>
      </c>
      <c r="J5" s="8" t="s">
        <v>411</v>
      </c>
      <c r="K5" s="8" t="s">
        <v>417</v>
      </c>
      <c r="L5" s="8" t="s">
        <v>728</v>
      </c>
      <c r="M5" s="8" t="s">
        <v>423</v>
      </c>
      <c r="N5" s="8" t="s">
        <v>427</v>
      </c>
      <c r="O5" s="8" t="s">
        <v>431</v>
      </c>
      <c r="P5" s="8" t="s">
        <v>435</v>
      </c>
      <c r="Q5" s="8" t="s">
        <v>440</v>
      </c>
      <c r="R5" s="8" t="s">
        <v>444</v>
      </c>
      <c r="S5" s="8" t="s">
        <v>729</v>
      </c>
      <c r="T5" s="8" t="s">
        <v>728</v>
      </c>
    </row>
    <row r="6" customFormat="false" ht="60" hidden="false" customHeight="true" outlineLevel="0" collapsed="false">
      <c r="A6" s="7" t="s">
        <v>576</v>
      </c>
      <c r="B6" s="8" t="s">
        <v>378</v>
      </c>
      <c r="C6" s="8" t="s">
        <v>730</v>
      </c>
      <c r="D6" s="8" t="s">
        <v>385</v>
      </c>
      <c r="E6" s="8" t="s">
        <v>390</v>
      </c>
      <c r="F6" s="8" t="s">
        <v>394</v>
      </c>
      <c r="G6" s="8" t="s">
        <v>399</v>
      </c>
      <c r="H6" s="8" t="s">
        <v>403</v>
      </c>
      <c r="I6" s="8" t="s">
        <v>407</v>
      </c>
      <c r="J6" s="8" t="s">
        <v>412</v>
      </c>
      <c r="K6" s="8" t="s">
        <v>418</v>
      </c>
      <c r="L6" s="8" t="s">
        <v>731</v>
      </c>
      <c r="M6" s="8" t="s">
        <v>424</v>
      </c>
      <c r="N6" s="8" t="s">
        <v>428</v>
      </c>
      <c r="O6" s="8" t="s">
        <v>432</v>
      </c>
      <c r="P6" s="8" t="s">
        <v>436</v>
      </c>
      <c r="Q6" s="8" t="s">
        <v>441</v>
      </c>
      <c r="R6" s="8" t="s">
        <v>445</v>
      </c>
      <c r="S6" s="18" t="s">
        <v>732</v>
      </c>
      <c r="T6" s="8" t="s">
        <v>733</v>
      </c>
    </row>
    <row r="7" customFormat="false" ht="22.35" hidden="false" customHeight="false" outlineLevel="0" collapsed="false">
      <c r="A7" s="7" t="s">
        <v>9</v>
      </c>
      <c r="B7" s="8" t="s">
        <v>380</v>
      </c>
      <c r="C7" s="8" t="s">
        <v>387</v>
      </c>
      <c r="D7" s="8" t="s">
        <v>387</v>
      </c>
      <c r="E7" s="8" t="s">
        <v>387</v>
      </c>
      <c r="F7" s="8" t="s">
        <v>387</v>
      </c>
      <c r="G7" s="8" t="s">
        <v>387</v>
      </c>
      <c r="H7" s="8" t="s">
        <v>387</v>
      </c>
      <c r="I7" s="8" t="s">
        <v>387</v>
      </c>
      <c r="J7" s="8" t="s">
        <v>387</v>
      </c>
      <c r="K7" s="8" t="s">
        <v>420</v>
      </c>
      <c r="L7" s="8" t="s">
        <v>387</v>
      </c>
      <c r="M7" s="8" t="s">
        <v>387</v>
      </c>
      <c r="N7" s="8" t="s">
        <v>387</v>
      </c>
      <c r="O7" s="8" t="s">
        <v>387</v>
      </c>
      <c r="P7" s="8" t="s">
        <v>387</v>
      </c>
      <c r="Q7" s="8" t="s">
        <v>387</v>
      </c>
      <c r="R7" s="8" t="s">
        <v>387</v>
      </c>
      <c r="S7" s="8" t="s">
        <v>452</v>
      </c>
      <c r="T7" s="8" t="s">
        <v>387</v>
      </c>
    </row>
    <row r="8" customFormat="false" ht="15" hidden="false" customHeight="false" outlineLevel="0" collapsed="false">
      <c r="A8" s="7" t="s">
        <v>10</v>
      </c>
      <c r="B8" s="8" t="s">
        <v>104</v>
      </c>
      <c r="C8" s="8" t="s">
        <v>104</v>
      </c>
      <c r="D8" s="8" t="s">
        <v>104</v>
      </c>
      <c r="E8" s="8" t="s">
        <v>104</v>
      </c>
      <c r="F8" s="8" t="s">
        <v>104</v>
      </c>
      <c r="G8" s="8" t="s">
        <v>104</v>
      </c>
      <c r="H8" s="8" t="s">
        <v>104</v>
      </c>
      <c r="I8" s="8" t="s">
        <v>104</v>
      </c>
      <c r="J8" s="8" t="s">
        <v>104</v>
      </c>
      <c r="K8" s="8" t="s">
        <v>104</v>
      </c>
      <c r="L8" s="8" t="s">
        <v>104</v>
      </c>
      <c r="M8" s="8" t="s">
        <v>104</v>
      </c>
      <c r="N8" s="8" t="s">
        <v>104</v>
      </c>
      <c r="O8" s="8" t="s">
        <v>104</v>
      </c>
      <c r="P8" s="8" t="s">
        <v>104</v>
      </c>
      <c r="Q8" s="8" t="s">
        <v>104</v>
      </c>
      <c r="R8" s="8" t="s">
        <v>104</v>
      </c>
      <c r="S8" s="8" t="s">
        <v>104</v>
      </c>
      <c r="T8" s="8" t="s">
        <v>104</v>
      </c>
    </row>
    <row r="9" customFormat="false" ht="45" hidden="false" customHeight="true" outlineLevel="0" collapsed="false">
      <c r="A9" s="7" t="s">
        <v>8</v>
      </c>
      <c r="B9" s="8" t="s">
        <v>379</v>
      </c>
      <c r="C9" s="8"/>
      <c r="D9" s="8" t="s">
        <v>386</v>
      </c>
      <c r="E9" s="8" t="s">
        <v>391</v>
      </c>
      <c r="F9" s="8" t="s">
        <v>395</v>
      </c>
      <c r="G9" s="8" t="s">
        <v>400</v>
      </c>
      <c r="H9" s="8" t="s">
        <v>404</v>
      </c>
      <c r="I9" s="8" t="s">
        <v>408</v>
      </c>
      <c r="J9" s="8" t="s">
        <v>413</v>
      </c>
      <c r="K9" s="8" t="s">
        <v>419</v>
      </c>
      <c r="L9" s="8"/>
      <c r="M9" s="8" t="s">
        <v>425</v>
      </c>
      <c r="N9" s="8" t="s">
        <v>429</v>
      </c>
      <c r="O9" s="8" t="s">
        <v>433</v>
      </c>
      <c r="P9" s="8" t="s">
        <v>437</v>
      </c>
      <c r="Q9" s="8" t="s">
        <v>442</v>
      </c>
      <c r="R9" s="8" t="s">
        <v>446</v>
      </c>
      <c r="S9" s="8" t="s">
        <v>451</v>
      </c>
      <c r="T9" s="8"/>
    </row>
    <row r="10" customFormat="false" ht="15" hidden="false" customHeight="false" outlineLevel="0" collapsed="false">
      <c r="A10" s="7" t="s">
        <v>577</v>
      </c>
      <c r="B10" s="9" t="n">
        <f aca="false">IFERROR(_xlfn.MINIFS($A$15:$A$155,B$15:B$155,"&gt;=-1E+99"),"N/A")</f>
        <v>42005</v>
      </c>
      <c r="C10" s="9" t="n">
        <f aca="false">IFERROR(_xlfn.MINIFS($A$15:$A$155,C$15:C$155,"&gt;=-1E+99"),"N/A")</f>
        <v>42370</v>
      </c>
      <c r="D10" s="9" t="n">
        <f aca="false">IFERROR(_xlfn.MINIFS($A$15:$A$155,D$15:D$155,"&gt;=-1E+99"),"N/A")</f>
        <v>42005</v>
      </c>
      <c r="E10" s="9" t="n">
        <f aca="false">IFERROR(_xlfn.MINIFS($A$15:$A$155,E$15:E$155,"&gt;=-1E+99"),"N/A")</f>
        <v>42005</v>
      </c>
      <c r="F10" s="9" t="n">
        <f aca="false">IFERROR(_xlfn.MINIFS($A$15:$A$155,F$15:F$155,"&gt;=-1E+99"),"N/A")</f>
        <v>42005</v>
      </c>
      <c r="G10" s="9" t="n">
        <f aca="false">IFERROR(_xlfn.MINIFS($A$15:$A$155,G$15:G$155,"&gt;=-1E+99"),"N/A")</f>
        <v>42005</v>
      </c>
      <c r="H10" s="9" t="n">
        <f aca="false">IFERROR(_xlfn.MINIFS($A$15:$A$155,H$15:H$155,"&gt;=-1E+99"),"N/A")</f>
        <v>42005</v>
      </c>
      <c r="I10" s="9" t="n">
        <f aca="false">IFERROR(_xlfn.MINIFS($A$15:$A$155,I$15:I$155,"&gt;=-1E+99"),"N/A")</f>
        <v>42005</v>
      </c>
      <c r="J10" s="9" t="n">
        <f aca="false">IFERROR(_xlfn.MINIFS($A$15:$A$155,J$15:J$155,"&gt;=-1E+99"),"N/A")</f>
        <v>42005</v>
      </c>
      <c r="K10" s="9" t="n">
        <f aca="false">IFERROR(_xlfn.MINIFS($A$15:$A$155,K$15:K$155,"&gt;=-1E+99"),"N/A")</f>
        <v>42005</v>
      </c>
      <c r="L10" s="9" t="n">
        <f aca="false">IFERROR(_xlfn.MINIFS($A$15:$A$155,L$15:L$155,"&gt;=-1E+99"),"N/A")</f>
        <v>42370</v>
      </c>
      <c r="M10" s="9" t="n">
        <f aca="false">IFERROR(_xlfn.MINIFS($A$15:$A$155,M$15:M$155,"&gt;=-1E+99"),"N/A")</f>
        <v>42005</v>
      </c>
      <c r="N10" s="9" t="n">
        <f aca="false">IFERROR(_xlfn.MINIFS($A$15:$A$155,N$15:N$155,"&gt;=-1E+99"),"N/A")</f>
        <v>42005</v>
      </c>
      <c r="O10" s="9" t="n">
        <f aca="false">IFERROR(_xlfn.MINIFS($A$15:$A$155,O$15:O$155,"&gt;=-1E+99"),"N/A")</f>
        <v>42005</v>
      </c>
      <c r="P10" s="9" t="n">
        <f aca="false">IFERROR(_xlfn.MINIFS($A$15:$A$155,P$15:P$155,"&gt;=-1E+99"),"N/A")</f>
        <v>42005</v>
      </c>
      <c r="Q10" s="9" t="n">
        <f aca="false">IFERROR(_xlfn.MINIFS($A$15:$A$155,Q$15:Q$155,"&gt;=-1E+99"),"N/A")</f>
        <v>42005</v>
      </c>
      <c r="R10" s="9" t="n">
        <f aca="false">IFERROR(_xlfn.MINIFS($A$15:$A$155,R$15:R$155,"&gt;=-1E+99"),"N/A")</f>
        <v>42005</v>
      </c>
      <c r="S10" s="9" t="n">
        <f aca="false">IFERROR(_xlfn.MINIFS($A$15:$A$155,S$15:S$155,"&gt;=-1E+99"),"N/A")</f>
        <v>42005</v>
      </c>
      <c r="T10" s="9" t="n">
        <f aca="false">IFERROR(_xlfn.MINIFS($A$15:$A$155,T$15:T$155,"&gt;=-1E+99"),"N/A")</f>
        <v>42370</v>
      </c>
    </row>
    <row r="11" customFormat="false" ht="15" hidden="false" customHeight="false" outlineLevel="0" collapsed="false">
      <c r="A11" s="7" t="s">
        <v>578</v>
      </c>
      <c r="B11" s="9" t="n">
        <f aca="false">IFERROR(_xlfn.MAXIFS($A$15:$A$155,B$15:B$155,"&gt;=-1E+99"),"N/A")</f>
        <v>46235</v>
      </c>
      <c r="C11" s="9" t="n">
        <f aca="false">IFERROR(_xlfn.MAXIFS($A$15:$A$155,C$15:C$155,"&gt;=-1E+99"),"N/A")</f>
        <v>46235</v>
      </c>
      <c r="D11" s="9" t="n">
        <f aca="false">IFERROR(_xlfn.MAXIFS($A$15:$A$155,D$15:D$155,"&gt;=-1E+99"),"N/A")</f>
        <v>46235</v>
      </c>
      <c r="E11" s="9" t="n">
        <f aca="false">IFERROR(_xlfn.MAXIFS($A$15:$A$155,E$15:E$155,"&gt;=-1E+99"),"N/A")</f>
        <v>46266</v>
      </c>
      <c r="F11" s="9" t="n">
        <f aca="false">IFERROR(_xlfn.MAXIFS($A$15:$A$155,F$15:F$155,"&gt;=-1E+99"),"N/A")</f>
        <v>46235</v>
      </c>
      <c r="G11" s="9" t="n">
        <f aca="false">IFERROR(_xlfn.MAXIFS($A$15:$A$155,G$15:G$155,"&gt;=-1E+99"),"N/A")</f>
        <v>46235</v>
      </c>
      <c r="H11" s="9" t="n">
        <f aca="false">IFERROR(_xlfn.MAXIFS($A$15:$A$155,H$15:H$155,"&gt;=-1E+99"),"N/A")</f>
        <v>46235</v>
      </c>
      <c r="I11" s="9" t="n">
        <f aca="false">IFERROR(_xlfn.MAXIFS($A$15:$A$155,I$15:I$155,"&gt;=-1E+99"),"N/A")</f>
        <v>45992</v>
      </c>
      <c r="J11" s="9" t="n">
        <f aca="false">IFERROR(_xlfn.MAXIFS($A$15:$A$155,J$15:J$155,"&gt;=-1E+99"),"N/A")</f>
        <v>45992</v>
      </c>
      <c r="K11" s="9" t="n">
        <f aca="false">IFERROR(_xlfn.MAXIFS($A$15:$A$155,K$15:K$155,"&gt;=-1E+99"),"N/A")</f>
        <v>46235</v>
      </c>
      <c r="L11" s="9" t="n">
        <f aca="false">IFERROR(_xlfn.MAXIFS($A$15:$A$155,L$15:L$155,"&gt;=-1E+99"),"N/A")</f>
        <v>46235</v>
      </c>
      <c r="M11" s="9" t="n">
        <f aca="false">IFERROR(_xlfn.MAXIFS($A$15:$A$155,M$15:M$155,"&gt;=-1E+99"),"N/A")</f>
        <v>46266</v>
      </c>
      <c r="N11" s="9" t="n">
        <f aca="false">IFERROR(_xlfn.MAXIFS($A$15:$A$155,N$15:N$155,"&gt;=-1E+99"),"N/A")</f>
        <v>46266</v>
      </c>
      <c r="O11" s="9" t="n">
        <f aca="false">IFERROR(_xlfn.MAXIFS($A$15:$A$155,O$15:O$155,"&gt;=-1E+99"),"N/A")</f>
        <v>46235</v>
      </c>
      <c r="P11" s="9" t="n">
        <f aca="false">IFERROR(_xlfn.MAXIFS($A$15:$A$155,P$15:P$155,"&gt;=-1E+99"),"N/A")</f>
        <v>46266</v>
      </c>
      <c r="Q11" s="9" t="n">
        <f aca="false">IFERROR(_xlfn.MAXIFS($A$15:$A$155,Q$15:Q$155,"&gt;=-1E+99"),"N/A")</f>
        <v>46235</v>
      </c>
      <c r="R11" s="9" t="n">
        <f aca="false">IFERROR(_xlfn.MAXIFS($A$15:$A$155,R$15:R$155,"&gt;=-1E+99"),"N/A")</f>
        <v>46235</v>
      </c>
      <c r="S11" s="9" t="n">
        <f aca="false">IFERROR(_xlfn.MAXIFS($A$15:$A$155,S$15:S$155,"&gt;=-1E+99"),"N/A")</f>
        <v>46266</v>
      </c>
      <c r="T11" s="9" t="n">
        <f aca="false">IFERROR(_xlfn.MAXIFS($A$15:$A$155,T$15:T$155,"&gt;=-1E+99"),"N/A")</f>
        <v>46266</v>
      </c>
    </row>
    <row r="12" customFormat="false" ht="15" hidden="false" customHeight="false" outlineLevel="0" collapsed="false">
      <c r="A12" s="7" t="s">
        <v>579</v>
      </c>
      <c r="B12" s="19" t="n">
        <f aca="false">IFERROR(INDEX(B$15:B$155,MATCH(B11,$A$15:$A$155,0)),"N/A")</f>
        <v>334.98</v>
      </c>
      <c r="C12" s="20" t="n">
        <f aca="false">IFERROR(INDEX(C$15:C$155,MATCH(C11,$A$15:$A$155,0)),"N/A")</f>
        <v>3.39654789243649</v>
      </c>
      <c r="D12" s="10" t="n">
        <f aca="false">IFERROR(INDEX(D$15:D$155,MATCH(D11,$A$15:$A$155,0)),"N/A")</f>
        <v>3.396548</v>
      </c>
      <c r="E12" s="10" t="n">
        <f aca="false">IFERROR(INDEX(E$15:E$155,MATCH(E11,$A$15:$A$155,0)),"N/A")</f>
        <v>2.878865</v>
      </c>
      <c r="F12" s="10" t="n">
        <f aca="false">IFERROR(INDEX(F$15:F$155,MATCH(F11,$A$15:$A$155,0)),"N/A")</f>
        <v>3.3</v>
      </c>
      <c r="G12" s="10" t="n">
        <f aca="false">IFERROR(INDEX(G$15:G$155,MATCH(G11,$A$15:$A$155,0)),"N/A")</f>
        <v>0.8</v>
      </c>
      <c r="H12" s="10" t="n">
        <f aca="false">IFERROR(INDEX(H$15:H$155,MATCH(H11,$A$15:$A$155,0)),"N/A")</f>
        <v>2.861815</v>
      </c>
      <c r="I12" s="10" t="n">
        <f aca="false">IFERROR(INDEX(I$15:I$155,MATCH(I11,$A$15:$A$155,0)),"N/A")</f>
        <v>0.7919967</v>
      </c>
      <c r="J12" s="10" t="n">
        <f aca="false">IFERROR(INDEX(J$15:J$155,MATCH(J11,$A$15:$A$155,0)),"N/A")</f>
        <v>3.189911</v>
      </c>
      <c r="K12" s="20" t="n">
        <f aca="false">IFERROR(INDEX(K$15:K$155,MATCH(K11,$A$15:$A$155,0)),"N/A")</f>
        <v>103.5</v>
      </c>
      <c r="L12" s="20" t="n">
        <f aca="false">IFERROR(INDEX(L$15:L$155,MATCH(L11,$A$15:$A$155,0)),"N/A")</f>
        <v>3.29341317365268</v>
      </c>
      <c r="M12" s="10" t="n">
        <f aca="false">IFERROR(INDEX(M$15:M$155,MATCH(M11,$A$15:$A$155,0)),"N/A")</f>
        <v>3.4</v>
      </c>
      <c r="N12" s="10" t="n">
        <f aca="false">IFERROR(INDEX(N$15:N$155,MATCH(N11,$A$15:$A$155,0)),"N/A")</f>
        <v>3.3</v>
      </c>
      <c r="O12" s="10" t="n">
        <f aca="false">IFERROR(INDEX(O$15:O$155,MATCH(O11,$A$15:$A$155,0)),"N/A")</f>
        <v>3.2</v>
      </c>
      <c r="P12" s="10" t="n">
        <f aca="false">IFERROR(INDEX(P$15:P$155,MATCH(P11,$A$15:$A$155,0)),"N/A")</f>
        <v>3.8</v>
      </c>
      <c r="Q12" s="20" t="n">
        <f aca="false">IFERROR(INDEX(Q$15:Q$155,MATCH(Q11,$A$15:$A$155,0)),"N/A")</f>
        <v>3.1</v>
      </c>
      <c r="R12" s="20" t="n">
        <f aca="false">IFERROR(INDEX(R$15:R$155,MATCH(R11,$A$15:$A$155,0)),"N/A")</f>
        <v>3.3</v>
      </c>
      <c r="S12" s="21" t="n">
        <f aca="false">IFERROR(INDEX(S$15:S$155,MATCH(S11,$A$15:$A$155,0)),"N/A")</f>
        <v>120.43</v>
      </c>
      <c r="T12" s="20" t="n">
        <f aca="false">IFERROR(INDEX(T$15:T$155,MATCH(T11,$A$15:$A$155,0)),"N/A")</f>
        <v>2.87886553903982</v>
      </c>
    </row>
    <row r="13" customFormat="false" ht="15" hidden="false" customHeight="false" outlineLevel="0" collapsed="false">
      <c r="A13" s="7" t="s">
        <v>580</v>
      </c>
      <c r="B13" s="11" t="n">
        <f aca="false">COUNT(B$15:B$155)</f>
        <v>139</v>
      </c>
      <c r="C13" s="11" t="n">
        <f aca="false">COUNT(C$15:C$155)</f>
        <v>127</v>
      </c>
      <c r="D13" s="11" t="n">
        <f aca="false">COUNT(D$15:D$155)</f>
        <v>139</v>
      </c>
      <c r="E13" s="11" t="n">
        <f aca="false">COUNT(E$15:E$155)</f>
        <v>141</v>
      </c>
      <c r="F13" s="11" t="n">
        <f aca="false">COUNT(F$15:F$155)</f>
        <v>140</v>
      </c>
      <c r="G13" s="11" t="n">
        <f aca="false">COUNT(G$15:G$155)</f>
        <v>140</v>
      </c>
      <c r="H13" s="11" t="n">
        <f aca="false">COUNT(H$15:H$155)</f>
        <v>140</v>
      </c>
      <c r="I13" s="11" t="n">
        <f aca="false">COUNT(I$15:I$155)</f>
        <v>132</v>
      </c>
      <c r="J13" s="11" t="n">
        <f aca="false">COUNT(J$15:J$155)</f>
        <v>132</v>
      </c>
      <c r="K13" s="11" t="n">
        <f aca="false">COUNT(K$15:K$155)</f>
        <v>140</v>
      </c>
      <c r="L13" s="11" t="n">
        <f aca="false">COUNT(L$15:L$155)</f>
        <v>128</v>
      </c>
      <c r="M13" s="11" t="n">
        <f aca="false">COUNT(M$15:M$155)</f>
        <v>141</v>
      </c>
      <c r="N13" s="11" t="n">
        <f aca="false">COUNT(N$15:N$155)</f>
        <v>141</v>
      </c>
      <c r="O13" s="11" t="n">
        <f aca="false">COUNT(O$15:O$155)</f>
        <v>140</v>
      </c>
      <c r="P13" s="11" t="n">
        <f aca="false">COUNT(P$15:P$155)</f>
        <v>141</v>
      </c>
      <c r="Q13" s="11" t="n">
        <f aca="false">COUNT(Q$15:Q$155)</f>
        <v>140</v>
      </c>
      <c r="R13" s="11" t="n">
        <f aca="false">COUNT(R$15:R$155)</f>
        <v>140</v>
      </c>
      <c r="S13" s="11" t="n">
        <f aca="false">COUNT(S$15:S$155)</f>
        <v>141</v>
      </c>
      <c r="T13" s="11" t="n">
        <f aca="false">COUNT(T$15:T$155)</f>
        <v>129</v>
      </c>
    </row>
    <row r="14" customFormat="false" ht="42" hidden="false" customHeight="true" outlineLevel="0" collapsed="false">
      <c r="A14" s="3" t="s">
        <v>621</v>
      </c>
      <c r="B14" s="12" t="s">
        <v>734</v>
      </c>
      <c r="C14" s="12" t="s">
        <v>735</v>
      </c>
      <c r="D14" s="12" t="s">
        <v>736</v>
      </c>
      <c r="E14" s="12" t="s">
        <v>737</v>
      </c>
      <c r="F14" s="12" t="s">
        <v>738</v>
      </c>
      <c r="G14" s="12" t="s">
        <v>739</v>
      </c>
      <c r="H14" s="12" t="s">
        <v>740</v>
      </c>
      <c r="I14" s="12" t="s">
        <v>741</v>
      </c>
      <c r="J14" s="12" t="s">
        <v>742</v>
      </c>
      <c r="K14" s="12" t="s">
        <v>743</v>
      </c>
      <c r="L14" s="12" t="s">
        <v>744</v>
      </c>
      <c r="M14" s="12" t="s">
        <v>745</v>
      </c>
      <c r="N14" s="12" t="s">
        <v>746</v>
      </c>
      <c r="O14" s="12" t="s">
        <v>747</v>
      </c>
      <c r="P14" s="12" t="s">
        <v>748</v>
      </c>
      <c r="Q14" s="12" t="s">
        <v>749</v>
      </c>
      <c r="R14" s="12" t="s">
        <v>750</v>
      </c>
      <c r="S14" s="12" t="s">
        <v>751</v>
      </c>
      <c r="T14" s="12" t="s">
        <v>752</v>
      </c>
    </row>
    <row r="15" customFormat="false" ht="15" hidden="false" customHeight="false" outlineLevel="0" collapsed="false">
      <c r="A15" s="17" t="n">
        <v>42005</v>
      </c>
      <c r="B15" s="22" t="n">
        <v>233.707</v>
      </c>
      <c r="C15" s="20" t="str">
        <f aca="false">""</f>
        <v/>
      </c>
      <c r="D15" s="14" t="n">
        <v>-0.08934832</v>
      </c>
      <c r="E15" s="14" t="n">
        <v>0.9740745</v>
      </c>
      <c r="F15" s="14" t="n">
        <v>0.5</v>
      </c>
      <c r="G15" s="14" t="n">
        <v>0.8</v>
      </c>
      <c r="H15" s="14" t="n">
        <v>-0.2832861</v>
      </c>
      <c r="I15" s="14" t="n">
        <v>-0.3829101</v>
      </c>
      <c r="J15" s="14" t="n">
        <v>2.070393</v>
      </c>
      <c r="K15" s="23" t="n">
        <v>71.6</v>
      </c>
      <c r="L15" s="20" t="str">
        <f aca="false">""</f>
        <v/>
      </c>
      <c r="M15" s="14" t="n">
        <v>-0.4</v>
      </c>
      <c r="N15" s="14" t="n">
        <v>-0.5</v>
      </c>
      <c r="O15" s="14" t="n">
        <v>1.9</v>
      </c>
      <c r="P15" s="14" t="n">
        <v>-0.6</v>
      </c>
      <c r="Q15" s="23" t="n">
        <v>0.3</v>
      </c>
      <c r="R15" s="23" t="n">
        <v>0.5</v>
      </c>
      <c r="S15" s="24" t="n">
        <v>94.643</v>
      </c>
      <c r="T15" s="20" t="str">
        <f aca="false">""</f>
        <v/>
      </c>
    </row>
    <row r="16" customFormat="false" ht="15" hidden="false" customHeight="false" outlineLevel="0" collapsed="false">
      <c r="A16" s="17" t="n">
        <v>42036</v>
      </c>
      <c r="B16" s="22" t="n">
        <v>234.722</v>
      </c>
      <c r="C16" s="20" t="str">
        <f aca="false">""</f>
        <v/>
      </c>
      <c r="D16" s="14" t="n">
        <v>-0.0251298</v>
      </c>
      <c r="E16" s="14" t="n">
        <v>0.6458821</v>
      </c>
      <c r="F16" s="14" t="n">
        <v>0.4</v>
      </c>
      <c r="G16" s="14" t="n">
        <v>1.4</v>
      </c>
      <c r="H16" s="14" t="n">
        <v>-0.04656311</v>
      </c>
      <c r="I16" s="14" t="n">
        <v>-0.2705682</v>
      </c>
      <c r="J16" s="14" t="n">
        <v>1.853759</v>
      </c>
      <c r="K16" s="23" t="n">
        <v>71.8</v>
      </c>
      <c r="L16" s="20" t="str">
        <f aca="false">""</f>
        <v/>
      </c>
      <c r="M16" s="14" t="n">
        <v>-0.3</v>
      </c>
      <c r="N16" s="14" t="n">
        <v>-0.1</v>
      </c>
      <c r="O16" s="14" t="n">
        <v>1.8</v>
      </c>
      <c r="P16" s="14" t="n">
        <v>-0.3</v>
      </c>
      <c r="Q16" s="23" t="n">
        <v>0</v>
      </c>
      <c r="R16" s="23" t="n">
        <v>0.4</v>
      </c>
      <c r="S16" s="24" t="n">
        <v>94.587</v>
      </c>
      <c r="T16" s="20" t="str">
        <f aca="false">""</f>
        <v/>
      </c>
    </row>
    <row r="17" customFormat="false" ht="15" hidden="false" customHeight="false" outlineLevel="0" collapsed="false">
      <c r="A17" s="17" t="n">
        <v>42064</v>
      </c>
      <c r="B17" s="22" t="n">
        <v>236.119</v>
      </c>
      <c r="C17" s="20" t="str">
        <f aca="false">""</f>
        <v/>
      </c>
      <c r="D17" s="14" t="n">
        <v>-0.07363739</v>
      </c>
      <c r="E17" s="14" t="n">
        <v>0.4705108</v>
      </c>
      <c r="F17" s="14" t="n">
        <v>0.3</v>
      </c>
      <c r="G17" s="14" t="n">
        <v>1.4</v>
      </c>
      <c r="H17" s="14" t="n">
        <v>0.1747867</v>
      </c>
      <c r="I17" s="14" t="n">
        <v>-0.0698324</v>
      </c>
      <c r="J17" s="14" t="n">
        <v>1.952724</v>
      </c>
      <c r="K17" s="23" t="n">
        <v>72</v>
      </c>
      <c r="L17" s="20" t="str">
        <f aca="false">""</f>
        <v/>
      </c>
      <c r="M17" s="14" t="n">
        <v>0</v>
      </c>
      <c r="N17" s="14" t="n">
        <v>0.2</v>
      </c>
      <c r="O17" s="14" t="n">
        <v>1.8</v>
      </c>
      <c r="P17" s="14" t="n">
        <v>-0.1</v>
      </c>
      <c r="Q17" s="23" t="n">
        <v>0</v>
      </c>
      <c r="R17" s="23" t="n">
        <v>0.3</v>
      </c>
      <c r="S17" s="24" t="n">
        <v>94.596</v>
      </c>
      <c r="T17" s="20" t="str">
        <f aca="false">""</f>
        <v/>
      </c>
    </row>
    <row r="18" customFormat="false" ht="15" hidden="false" customHeight="false" outlineLevel="0" collapsed="false">
      <c r="A18" s="17" t="n">
        <v>42095</v>
      </c>
      <c r="B18" s="22" t="n">
        <v>236.599</v>
      </c>
      <c r="C18" s="20" t="str">
        <f aca="false">""</f>
        <v/>
      </c>
      <c r="D18" s="14" t="n">
        <v>-0.1995174</v>
      </c>
      <c r="E18" s="14" t="n">
        <v>0.4362409</v>
      </c>
      <c r="F18" s="14" t="n">
        <v>0.3</v>
      </c>
      <c r="G18" s="14" t="n">
        <v>1.5</v>
      </c>
      <c r="H18" s="14" t="n">
        <v>0.8662329</v>
      </c>
      <c r="I18" s="14" t="n">
        <v>0.07984032</v>
      </c>
      <c r="J18" s="14" t="n">
        <v>1.944729</v>
      </c>
      <c r="K18" s="23" t="n">
        <v>72.3</v>
      </c>
      <c r="L18" s="20" t="str">
        <f aca="false">""</f>
        <v/>
      </c>
      <c r="M18" s="14" t="n">
        <v>0.1</v>
      </c>
      <c r="N18" s="14" t="n">
        <v>1.1</v>
      </c>
      <c r="O18" s="14" t="n">
        <v>1.8</v>
      </c>
      <c r="P18" s="14" t="n">
        <v>0.2</v>
      </c>
      <c r="Q18" s="23" t="n">
        <v>-0.1</v>
      </c>
      <c r="R18" s="23" t="n">
        <v>0.3</v>
      </c>
      <c r="S18" s="24" t="n">
        <v>94.625</v>
      </c>
      <c r="T18" s="20" t="str">
        <f aca="false">""</f>
        <v/>
      </c>
    </row>
    <row r="19" customFormat="false" ht="15" hidden="false" customHeight="false" outlineLevel="0" collapsed="false">
      <c r="A19" s="17" t="n">
        <v>42125</v>
      </c>
      <c r="B19" s="22" t="n">
        <v>237.805</v>
      </c>
      <c r="C19" s="20" t="str">
        <f aca="false">""</f>
        <v/>
      </c>
      <c r="D19" s="14" t="n">
        <v>-0.03993275</v>
      </c>
      <c r="E19" s="14" t="n">
        <v>0.5520881</v>
      </c>
      <c r="F19" s="14" t="n">
        <v>0.4</v>
      </c>
      <c r="G19" s="14" t="n">
        <v>1.2</v>
      </c>
      <c r="H19" s="14" t="n">
        <v>1.162551</v>
      </c>
      <c r="I19" s="14" t="n">
        <v>0.2993414</v>
      </c>
      <c r="J19" s="14" t="n">
        <v>2.04499</v>
      </c>
      <c r="K19" s="23" t="n">
        <v>72.5</v>
      </c>
      <c r="L19" s="20" t="str">
        <f aca="false">""</f>
        <v/>
      </c>
      <c r="M19" s="14" t="n">
        <v>0.3</v>
      </c>
      <c r="N19" s="14" t="n">
        <v>1.6</v>
      </c>
      <c r="O19" s="14" t="n">
        <v>2</v>
      </c>
      <c r="P19" s="14" t="n">
        <v>0.6</v>
      </c>
      <c r="Q19" s="23" t="n">
        <v>0.1</v>
      </c>
      <c r="R19" s="23" t="n">
        <v>0.4</v>
      </c>
      <c r="S19" s="24" t="n">
        <v>94.89</v>
      </c>
      <c r="T19" s="20" t="str">
        <f aca="false">""</f>
        <v/>
      </c>
    </row>
    <row r="20" customFormat="false" ht="15" hidden="false" customHeight="false" outlineLevel="0" collapsed="false">
      <c r="A20" s="17" t="n">
        <v>42156</v>
      </c>
      <c r="B20" s="22" t="n">
        <v>238.638</v>
      </c>
      <c r="C20" s="20" t="str">
        <f aca="false">""</f>
        <v/>
      </c>
      <c r="D20" s="14" t="n">
        <v>0.1237712</v>
      </c>
      <c r="E20" s="14" t="n">
        <v>0.7013412</v>
      </c>
      <c r="F20" s="14" t="n">
        <v>0.3</v>
      </c>
      <c r="G20" s="14" t="n">
        <v>1.4</v>
      </c>
      <c r="H20" s="14" t="n">
        <v>0.8781202</v>
      </c>
      <c r="I20" s="14" t="n">
        <v>0.2595328</v>
      </c>
      <c r="J20" s="14" t="n">
        <v>2.666667</v>
      </c>
      <c r="K20" s="23" t="n">
        <v>72.7</v>
      </c>
      <c r="L20" s="20" t="str">
        <f aca="false">""</f>
        <v/>
      </c>
      <c r="M20" s="14" t="n">
        <v>0.3</v>
      </c>
      <c r="N20" s="14" t="n">
        <v>1.2</v>
      </c>
      <c r="O20" s="14" t="n">
        <v>2.6</v>
      </c>
      <c r="P20" s="14" t="n">
        <v>0.5</v>
      </c>
      <c r="Q20" s="23" t="n">
        <v>0</v>
      </c>
      <c r="R20" s="23" t="n">
        <v>0.3</v>
      </c>
      <c r="S20" s="24" t="n">
        <v>94.909</v>
      </c>
      <c r="T20" s="20" t="str">
        <f aca="false">""</f>
        <v/>
      </c>
    </row>
    <row r="21" customFormat="false" ht="15" hidden="false" customHeight="false" outlineLevel="0" collapsed="false">
      <c r="A21" s="17" t="n">
        <v>42186</v>
      </c>
      <c r="B21" s="22" t="n">
        <v>238.654</v>
      </c>
      <c r="C21" s="20" t="str">
        <f aca="false">""</f>
        <v/>
      </c>
      <c r="D21" s="14" t="n">
        <v>0.1695698</v>
      </c>
      <c r="E21" s="14" t="n">
        <v>0.7352785</v>
      </c>
      <c r="F21" s="14" t="n">
        <v>0.5</v>
      </c>
      <c r="G21" s="14" t="n">
        <v>1.6</v>
      </c>
      <c r="H21" s="14" t="n">
        <v>0.7956734</v>
      </c>
      <c r="I21" s="14" t="n">
        <v>0.1702383</v>
      </c>
      <c r="J21" s="14" t="n">
        <v>1.831129</v>
      </c>
      <c r="K21" s="23" t="n">
        <v>72.7</v>
      </c>
      <c r="L21" s="20" t="str">
        <f aca="false">""</f>
        <v/>
      </c>
      <c r="M21" s="14" t="n">
        <v>0.2</v>
      </c>
      <c r="N21" s="14" t="n">
        <v>1.2</v>
      </c>
      <c r="O21" s="14" t="n">
        <v>1.6</v>
      </c>
      <c r="P21" s="14" t="n">
        <v>0.6</v>
      </c>
      <c r="Q21" s="23" t="n">
        <v>0.1</v>
      </c>
      <c r="R21" s="23" t="n">
        <v>0.5</v>
      </c>
      <c r="S21" s="24" t="n">
        <v>95.08</v>
      </c>
      <c r="T21" s="20" t="str">
        <f aca="false">""</f>
        <v/>
      </c>
    </row>
    <row r="22" customFormat="false" ht="15" hidden="false" customHeight="false" outlineLevel="0" collapsed="false">
      <c r="A22" s="17" t="n">
        <v>42217</v>
      </c>
      <c r="B22" s="22" t="n">
        <v>238.316</v>
      </c>
      <c r="C22" s="20" t="str">
        <f aca="false">""</f>
        <v/>
      </c>
      <c r="D22" s="14" t="n">
        <v>0.1950793</v>
      </c>
      <c r="E22" s="14" t="n">
        <v>0.7001513</v>
      </c>
      <c r="F22" s="14" t="n">
        <v>0.4</v>
      </c>
      <c r="G22" s="14" t="n">
        <v>2</v>
      </c>
      <c r="H22" s="14" t="n">
        <v>0.7956734</v>
      </c>
      <c r="I22" s="14" t="n">
        <v>0.04985045</v>
      </c>
      <c r="J22" s="14" t="n">
        <v>2.042901</v>
      </c>
      <c r="K22" s="23" t="n">
        <v>72.5</v>
      </c>
      <c r="L22" s="20" t="str">
        <f aca="false">""</f>
        <v/>
      </c>
      <c r="M22" s="14" t="n">
        <v>0.1</v>
      </c>
      <c r="N22" s="14" t="n">
        <v>1.2</v>
      </c>
      <c r="O22" s="14" t="n">
        <v>1.8</v>
      </c>
      <c r="P22" s="14" t="n">
        <v>0.4</v>
      </c>
      <c r="Q22" s="23" t="n">
        <v>0</v>
      </c>
      <c r="R22" s="23" t="n">
        <v>0.4</v>
      </c>
      <c r="S22" s="24" t="n">
        <v>95.213</v>
      </c>
      <c r="T22" s="20" t="str">
        <f aca="false">""</f>
        <v/>
      </c>
    </row>
    <row r="23" customFormat="false" ht="15" hidden="false" customHeight="false" outlineLevel="0" collapsed="false">
      <c r="A23" s="17" t="n">
        <v>42248</v>
      </c>
      <c r="B23" s="22" t="n">
        <v>237.945</v>
      </c>
      <c r="C23" s="20" t="str">
        <f aca="false">""</f>
        <v/>
      </c>
      <c r="D23" s="14" t="n">
        <v>-0.03612975</v>
      </c>
      <c r="E23" s="14" t="n">
        <v>0.503757</v>
      </c>
      <c r="F23" s="14" t="n">
        <v>0.2</v>
      </c>
      <c r="G23" s="14" t="n">
        <v>1.6</v>
      </c>
      <c r="H23" s="14" t="n">
        <v>0.5952844</v>
      </c>
      <c r="I23" s="14" t="n">
        <v>0.03002402</v>
      </c>
      <c r="J23" s="14" t="n">
        <v>2.13198</v>
      </c>
      <c r="K23" s="23" t="n">
        <v>73</v>
      </c>
      <c r="L23" s="20" t="str">
        <f aca="false">""</f>
        <v/>
      </c>
      <c r="M23" s="14" t="n">
        <v>0.1</v>
      </c>
      <c r="N23" s="14" t="n">
        <v>0.9</v>
      </c>
      <c r="O23" s="14" t="n">
        <v>1.9</v>
      </c>
      <c r="P23" s="14" t="n">
        <v>0.2</v>
      </c>
      <c r="Q23" s="23" t="n">
        <v>-0.1</v>
      </c>
      <c r="R23" s="23" t="n">
        <v>0.2</v>
      </c>
      <c r="S23" s="24" t="n">
        <v>94.966</v>
      </c>
      <c r="T23" s="20" t="str">
        <f aca="false">""</f>
        <v/>
      </c>
    </row>
    <row r="24" customFormat="false" ht="15" hidden="false" customHeight="false" outlineLevel="0" collapsed="false">
      <c r="A24" s="17" t="n">
        <v>42278</v>
      </c>
      <c r="B24" s="22" t="n">
        <v>237.838</v>
      </c>
      <c r="C24" s="20" t="str">
        <f aca="false">""</f>
        <v/>
      </c>
      <c r="D24" s="14" t="n">
        <v>0.1705744</v>
      </c>
      <c r="E24" s="14" t="n">
        <v>0.8078128</v>
      </c>
      <c r="F24" s="14" t="n">
        <v>0.2</v>
      </c>
      <c r="G24" s="14" t="n">
        <v>1.3</v>
      </c>
      <c r="H24" s="14" t="n">
        <v>0.8781202</v>
      </c>
      <c r="I24" s="14" t="n">
        <v>0.06003001</v>
      </c>
      <c r="J24" s="14" t="n">
        <v>2.434077</v>
      </c>
      <c r="K24" s="23" t="n">
        <v>73.3</v>
      </c>
      <c r="L24" s="20" t="str">
        <f aca="false">""</f>
        <v/>
      </c>
      <c r="M24" s="14" t="n">
        <v>0.1</v>
      </c>
      <c r="N24" s="14" t="n">
        <v>1.2</v>
      </c>
      <c r="O24" s="14" t="n">
        <v>2.4</v>
      </c>
      <c r="P24" s="14" t="n">
        <v>0.4</v>
      </c>
      <c r="Q24" s="23" t="n">
        <v>-0.1</v>
      </c>
      <c r="R24" s="23" t="n">
        <v>0.2</v>
      </c>
      <c r="S24" s="24" t="n">
        <v>94.966</v>
      </c>
      <c r="T24" s="20" t="str">
        <f aca="false">""</f>
        <v/>
      </c>
    </row>
    <row r="25" customFormat="false" ht="15" hidden="false" customHeight="false" outlineLevel="0" collapsed="false">
      <c r="A25" s="17" t="n">
        <v>42309</v>
      </c>
      <c r="B25" s="22" t="n">
        <v>237.336</v>
      </c>
      <c r="C25" s="20" t="str">
        <f aca="false">""</f>
        <v/>
      </c>
      <c r="D25" s="14" t="n">
        <v>0.5017976</v>
      </c>
      <c r="E25" s="14" t="n">
        <v>0.8200819</v>
      </c>
      <c r="F25" s="14" t="n">
        <v>0.4</v>
      </c>
      <c r="G25" s="14" t="n">
        <v>1.5</v>
      </c>
      <c r="H25" s="14" t="n">
        <v>0.1747867</v>
      </c>
      <c r="I25" s="14" t="n">
        <v>0.0400882</v>
      </c>
      <c r="J25" s="14" t="n">
        <v>2.738337</v>
      </c>
      <c r="K25" s="23" t="n">
        <v>73.6</v>
      </c>
      <c r="L25" s="20" t="str">
        <f aca="false">""</f>
        <v/>
      </c>
      <c r="M25" s="14" t="n">
        <v>0.1</v>
      </c>
      <c r="N25" s="14" t="n">
        <v>0.2</v>
      </c>
      <c r="O25" s="14" t="n">
        <v>2.7</v>
      </c>
      <c r="P25" s="14" t="n">
        <v>0.1</v>
      </c>
      <c r="Q25" s="23" t="n">
        <v>0.1</v>
      </c>
      <c r="R25" s="23" t="n">
        <v>0.4</v>
      </c>
      <c r="S25" s="24" t="n">
        <v>94.786</v>
      </c>
      <c r="T25" s="20" t="str">
        <f aca="false">""</f>
        <v/>
      </c>
    </row>
    <row r="26" customFormat="false" ht="15" hidden="false" customHeight="false" outlineLevel="0" collapsed="false">
      <c r="A26" s="17" t="n">
        <v>42339</v>
      </c>
      <c r="B26" s="22" t="n">
        <v>236.525</v>
      </c>
      <c r="C26" s="20" t="str">
        <f aca="false">""</f>
        <v/>
      </c>
      <c r="D26" s="14" t="n">
        <v>0.7295198</v>
      </c>
      <c r="E26" s="14" t="n">
        <v>1.131843</v>
      </c>
      <c r="F26" s="14" t="n">
        <v>0.5</v>
      </c>
      <c r="G26" s="14" t="n">
        <v>1.6</v>
      </c>
      <c r="H26" s="14" t="n">
        <v>0.1747867</v>
      </c>
      <c r="I26" s="14" t="n">
        <v>0.1802524</v>
      </c>
      <c r="J26" s="14" t="n">
        <v>2.332657</v>
      </c>
      <c r="K26" s="23" t="n">
        <v>73.3</v>
      </c>
      <c r="L26" s="20" t="str">
        <f aca="false">""</f>
        <v/>
      </c>
      <c r="M26" s="14" t="n">
        <v>0.3</v>
      </c>
      <c r="N26" s="14" t="n">
        <v>0.2</v>
      </c>
      <c r="O26" s="14" t="n">
        <v>2.4</v>
      </c>
      <c r="P26" s="14" t="n">
        <v>0.2</v>
      </c>
      <c r="Q26" s="23" t="n">
        <v>0.2</v>
      </c>
      <c r="R26" s="23" t="n">
        <v>0.5</v>
      </c>
      <c r="S26" s="24" t="n">
        <v>95.07</v>
      </c>
      <c r="T26" s="20" t="str">
        <f aca="false">""</f>
        <v/>
      </c>
    </row>
    <row r="27" customFormat="false" ht="15" hidden="false" customHeight="false" outlineLevel="0" collapsed="false">
      <c r="A27" s="17" t="n">
        <v>42370</v>
      </c>
      <c r="B27" s="22" t="n">
        <v>236.916</v>
      </c>
      <c r="C27" s="20" t="n">
        <f aca="false">IF(AND(ISNUMBER(B27),ISNUMBER(B15)),(B27/B15-1)*100,"")</f>
        <v>1.37308681383099</v>
      </c>
      <c r="D27" s="14" t="n">
        <v>1.373087</v>
      </c>
      <c r="E27" s="14" t="n">
        <v>0.6223387</v>
      </c>
      <c r="F27" s="14" t="n">
        <v>0.6</v>
      </c>
      <c r="G27" s="14" t="n">
        <v>1.8</v>
      </c>
      <c r="H27" s="14" t="n">
        <v>0.5076142</v>
      </c>
      <c r="I27" s="14" t="n">
        <v>0.2225369</v>
      </c>
      <c r="J27" s="14" t="n">
        <v>2.941176</v>
      </c>
      <c r="K27" s="23" t="n">
        <v>73.7</v>
      </c>
      <c r="L27" s="20" t="n">
        <f aca="false">IF(AND(ISNUMBER(K27),ISNUMBER(K15)),(K27/K15-1)*100,"")</f>
        <v>2.93296089385475</v>
      </c>
      <c r="M27" s="14" t="n">
        <v>0.3</v>
      </c>
      <c r="N27" s="14" t="n">
        <v>0.4</v>
      </c>
      <c r="O27" s="14" t="n">
        <v>3.2</v>
      </c>
      <c r="P27" s="14" t="n">
        <v>0.3</v>
      </c>
      <c r="Q27" s="23" t="n">
        <v>0.3</v>
      </c>
      <c r="R27" s="23" t="n">
        <v>0.6</v>
      </c>
      <c r="S27" s="24" t="n">
        <v>95.232</v>
      </c>
      <c r="T27" s="20" t="n">
        <f aca="false">IF(AND(ISNUMBER(S27),ISNUMBER(S15)),(S27/S15-1)*100,"")</f>
        <v>0.622338683262358</v>
      </c>
    </row>
    <row r="28" customFormat="false" ht="15" hidden="false" customHeight="false" outlineLevel="0" collapsed="false">
      <c r="A28" s="17" t="n">
        <v>42401</v>
      </c>
      <c r="B28" s="22" t="n">
        <v>237.111</v>
      </c>
      <c r="C28" s="20" t="n">
        <f aca="false">IF(AND(ISNUMBER(B28),ISNUMBER(B16)),(B28/B16-1)*100,"")</f>
        <v>1.01779978016547</v>
      </c>
      <c r="D28" s="14" t="n">
        <v>1.0178</v>
      </c>
      <c r="E28" s="14" t="n">
        <v>1.113261</v>
      </c>
      <c r="F28" s="14" t="n">
        <v>0.6</v>
      </c>
      <c r="G28" s="14" t="n">
        <v>2.3</v>
      </c>
      <c r="H28" s="14" t="n">
        <v>0.1008065</v>
      </c>
      <c r="I28" s="14" t="n">
        <v>-0.1909164</v>
      </c>
      <c r="J28" s="14" t="n">
        <v>3.235591</v>
      </c>
      <c r="K28" s="23" t="n">
        <v>74.1</v>
      </c>
      <c r="L28" s="20" t="n">
        <f aca="false">IF(AND(ISNUMBER(K28),ISNUMBER(K16)),(K28/K16-1)*100,"")</f>
        <v>3.2033426183844</v>
      </c>
      <c r="M28" s="14" t="n">
        <v>-0.1</v>
      </c>
      <c r="N28" s="14" t="n">
        <v>-0.1</v>
      </c>
      <c r="O28" s="14" t="n">
        <v>3.4</v>
      </c>
      <c r="P28" s="14" t="n">
        <v>-0.1</v>
      </c>
      <c r="Q28" s="23" t="n">
        <v>0.3</v>
      </c>
      <c r="R28" s="23" t="n">
        <v>0.6</v>
      </c>
      <c r="S28" s="24" t="n">
        <v>95.64</v>
      </c>
      <c r="T28" s="20" t="n">
        <f aca="false">IF(AND(ISNUMBER(S28),ISNUMBER(S16)),(S28/S16-1)*100,"")</f>
        <v>1.11326080751055</v>
      </c>
    </row>
    <row r="29" customFormat="false" ht="15" hidden="false" customHeight="false" outlineLevel="0" collapsed="false">
      <c r="A29" s="17" t="n">
        <v>42430</v>
      </c>
      <c r="B29" s="22" t="n">
        <v>238.132</v>
      </c>
      <c r="C29" s="20" t="n">
        <f aca="false">IF(AND(ISNUMBER(B29),ISNUMBER(B17)),(B29/B17-1)*100,"")</f>
        <v>0.852536221142741</v>
      </c>
      <c r="D29" s="14" t="n">
        <v>0.8525362</v>
      </c>
      <c r="E29" s="14" t="n">
        <v>0.8425303</v>
      </c>
      <c r="F29" s="14" t="n">
        <v>0.8</v>
      </c>
      <c r="G29" s="14" t="n">
        <v>2.3</v>
      </c>
      <c r="H29" s="14" t="n">
        <v>0.3009027</v>
      </c>
      <c r="I29" s="14" t="n">
        <v>-0.1497454</v>
      </c>
      <c r="J29" s="14" t="n">
        <v>3.326613</v>
      </c>
      <c r="K29" s="23" t="n">
        <v>74.4</v>
      </c>
      <c r="L29" s="20" t="n">
        <f aca="false">IF(AND(ISNUMBER(K29),ISNUMBER(K17)),(K29/K17-1)*100,"")</f>
        <v>3.33333333333334</v>
      </c>
      <c r="M29" s="14" t="n">
        <v>-0.1</v>
      </c>
      <c r="N29" s="14" t="n">
        <v>0.1</v>
      </c>
      <c r="O29" s="14" t="n">
        <v>3.6</v>
      </c>
      <c r="P29" s="14" t="n">
        <v>0</v>
      </c>
      <c r="Q29" s="23" t="n">
        <v>0.5</v>
      </c>
      <c r="R29" s="23" t="n">
        <v>0.8</v>
      </c>
      <c r="S29" s="24" t="n">
        <v>95.393</v>
      </c>
      <c r="T29" s="20" t="n">
        <f aca="false">IF(AND(ISNUMBER(S29),ISNUMBER(S17)),(S29/S17-1)*100,"")</f>
        <v>0.842530339549241</v>
      </c>
    </row>
    <row r="30" customFormat="false" ht="15" hidden="false" customHeight="false" outlineLevel="0" collapsed="false">
      <c r="A30" s="17" t="n">
        <v>42461</v>
      </c>
      <c r="B30" s="22" t="n">
        <v>239.261</v>
      </c>
      <c r="C30" s="20" t="n">
        <f aca="false">IF(AND(ISNUMBER(B30),ISNUMBER(B18)),(B30/B18-1)*100,"")</f>
        <v>1.12511041889443</v>
      </c>
      <c r="D30" s="14" t="n">
        <v>1.12511</v>
      </c>
      <c r="E30" s="14" t="n">
        <v>1.001849</v>
      </c>
      <c r="F30" s="14" t="n">
        <v>0.7</v>
      </c>
      <c r="G30" s="14" t="n">
        <v>2.3</v>
      </c>
      <c r="H30" s="14" t="n">
        <v>-0.0998004</v>
      </c>
      <c r="I30" s="14" t="n">
        <v>-0.1894695</v>
      </c>
      <c r="J30" s="14" t="n">
        <v>3.313253</v>
      </c>
      <c r="K30" s="23" t="n">
        <v>74.7</v>
      </c>
      <c r="L30" s="20" t="n">
        <f aca="false">IF(AND(ISNUMBER(K30),ISNUMBER(K18)),(K30/K18-1)*100,"")</f>
        <v>3.31950207468881</v>
      </c>
      <c r="M30" s="14" t="n">
        <v>-0.1</v>
      </c>
      <c r="N30" s="14" t="n">
        <v>-0.3</v>
      </c>
      <c r="O30" s="14" t="n">
        <v>3.5</v>
      </c>
      <c r="P30" s="14" t="n">
        <v>-0.3</v>
      </c>
      <c r="Q30" s="23" t="n">
        <v>0.3</v>
      </c>
      <c r="R30" s="23" t="n">
        <v>0.7</v>
      </c>
      <c r="S30" s="24" t="n">
        <v>95.573</v>
      </c>
      <c r="T30" s="20" t="n">
        <f aca="false">IF(AND(ISNUMBER(S30),ISNUMBER(S18)),(S30/S18-1)*100,"")</f>
        <v>1.00184940554822</v>
      </c>
    </row>
    <row r="31" customFormat="false" ht="15" hidden="false" customHeight="false" outlineLevel="0" collapsed="false">
      <c r="A31" s="17" t="n">
        <v>42491</v>
      </c>
      <c r="B31" s="22" t="n">
        <v>240.229</v>
      </c>
      <c r="C31" s="20" t="n">
        <f aca="false">IF(AND(ISNUMBER(B31),ISNUMBER(B19)),(B31/B19-1)*100,"")</f>
        <v>1.01932255419357</v>
      </c>
      <c r="D31" s="14" t="n">
        <v>1.019323</v>
      </c>
      <c r="E31" s="14" t="n">
        <v>0.7798504</v>
      </c>
      <c r="F31" s="14" t="n">
        <v>0.7</v>
      </c>
      <c r="G31" s="14" t="n">
        <v>2</v>
      </c>
      <c r="H31" s="14" t="n">
        <v>0.1992032</v>
      </c>
      <c r="I31" s="14" t="n">
        <v>-0.01989654</v>
      </c>
      <c r="J31" s="14" t="n">
        <v>3.406814</v>
      </c>
      <c r="K31" s="23" t="n">
        <v>74.9</v>
      </c>
      <c r="L31" s="20" t="n">
        <f aca="false">IF(AND(ISNUMBER(K31),ISNUMBER(K19)),(K31/K19-1)*100,"")</f>
        <v>3.31034482758621</v>
      </c>
      <c r="M31" s="14" t="n">
        <v>0.1</v>
      </c>
      <c r="N31" s="14" t="n">
        <v>-0.1</v>
      </c>
      <c r="O31" s="14" t="n">
        <v>3.7</v>
      </c>
      <c r="P31" s="14" t="n">
        <v>-0.1</v>
      </c>
      <c r="Q31" s="23" t="n">
        <v>0.3</v>
      </c>
      <c r="R31" s="23" t="n">
        <v>0.7</v>
      </c>
      <c r="S31" s="24" t="n">
        <v>95.63</v>
      </c>
      <c r="T31" s="20" t="n">
        <f aca="false">IF(AND(ISNUMBER(S31),ISNUMBER(S19)),(S31/S19-1)*100,"")</f>
        <v>0.779850353040357</v>
      </c>
    </row>
    <row r="32" customFormat="false" ht="15" hidden="false" customHeight="false" outlineLevel="0" collapsed="false">
      <c r="A32" s="17" t="n">
        <v>42522</v>
      </c>
      <c r="B32" s="22" t="n">
        <v>241.018</v>
      </c>
      <c r="C32" s="20" t="n">
        <f aca="false">IF(AND(ISNUMBER(B32),ISNUMBER(B20)),(B32/B20-1)*100,"")</f>
        <v>0.997326494523088</v>
      </c>
      <c r="D32" s="14" t="n">
        <v>0.9973265</v>
      </c>
      <c r="E32" s="14" t="n">
        <v>0.7396559</v>
      </c>
      <c r="F32" s="14" t="n">
        <v>0.8</v>
      </c>
      <c r="G32" s="14" t="n">
        <v>1.9</v>
      </c>
      <c r="H32" s="14" t="n">
        <v>0.2988048</v>
      </c>
      <c r="I32" s="14" t="n">
        <v>0.1891677</v>
      </c>
      <c r="J32" s="14" t="n">
        <v>3.696304</v>
      </c>
      <c r="K32" s="23" t="n">
        <v>75.4</v>
      </c>
      <c r="L32" s="20" t="n">
        <f aca="false">IF(AND(ISNUMBER(K32),ISNUMBER(K20)),(K32/K20-1)*100,"")</f>
        <v>3.71389270976616</v>
      </c>
      <c r="M32" s="14" t="n">
        <v>0.3</v>
      </c>
      <c r="N32" s="14" t="n">
        <v>0.1</v>
      </c>
      <c r="O32" s="14" t="n">
        <v>4.1</v>
      </c>
      <c r="P32" s="14" t="n">
        <v>0.1</v>
      </c>
      <c r="Q32" s="23" t="n">
        <v>0.5</v>
      </c>
      <c r="R32" s="23" t="n">
        <v>0.8</v>
      </c>
      <c r="S32" s="24" t="n">
        <v>95.611</v>
      </c>
      <c r="T32" s="20" t="n">
        <f aca="false">IF(AND(ISNUMBER(S32),ISNUMBER(S20)),(S32/S20-1)*100,"")</f>
        <v>0.739655880896439</v>
      </c>
    </row>
    <row r="33" customFormat="false" ht="15" hidden="false" customHeight="false" outlineLevel="0" collapsed="false">
      <c r="A33" s="17" t="n">
        <v>42552</v>
      </c>
      <c r="B33" s="22" t="n">
        <v>240.628</v>
      </c>
      <c r="C33" s="20" t="n">
        <f aca="false">IF(AND(ISNUMBER(B33),ISNUMBER(B21)),(B33/B21-1)*100,"")</f>
        <v>0.8271388704987</v>
      </c>
      <c r="D33" s="14" t="n">
        <v>0.8271388</v>
      </c>
      <c r="E33" s="14" t="n">
        <v>0.3691628</v>
      </c>
      <c r="F33" s="14" t="n">
        <v>0.9</v>
      </c>
      <c r="G33" s="14" t="n">
        <v>1.8</v>
      </c>
      <c r="H33" s="14" t="n">
        <v>0.4970179</v>
      </c>
      <c r="I33" s="14" t="n">
        <v>0.219934</v>
      </c>
      <c r="J33" s="14" t="n">
        <v>4.395605</v>
      </c>
      <c r="K33" s="23" t="n">
        <v>75.9</v>
      </c>
      <c r="L33" s="20" t="n">
        <f aca="false">IF(AND(ISNUMBER(K33),ISNUMBER(K21)),(K33/K21-1)*100,"")</f>
        <v>4.40165061898212</v>
      </c>
      <c r="M33" s="14" t="n">
        <v>0.4</v>
      </c>
      <c r="N33" s="14" t="n">
        <v>0.4</v>
      </c>
      <c r="O33" s="14" t="n">
        <v>5</v>
      </c>
      <c r="P33" s="14" t="n">
        <v>0.2</v>
      </c>
      <c r="Q33" s="23" t="n">
        <v>0.6</v>
      </c>
      <c r="R33" s="23" t="n">
        <v>0.9</v>
      </c>
      <c r="S33" s="24" t="n">
        <v>95.431</v>
      </c>
      <c r="T33" s="20" t="n">
        <f aca="false">IF(AND(ISNUMBER(S33),ISNUMBER(S21)),(S33/S21-1)*100,"")</f>
        <v>0.369162810265045</v>
      </c>
    </row>
    <row r="34" customFormat="false" ht="15" hidden="false" customHeight="false" outlineLevel="0" collapsed="false">
      <c r="A34" s="17" t="n">
        <v>42583</v>
      </c>
      <c r="B34" s="22" t="n">
        <v>240.849</v>
      </c>
      <c r="C34" s="20" t="n">
        <f aca="false">IF(AND(ISNUMBER(B34),ISNUMBER(B22)),(B34/B22-1)*100,"")</f>
        <v>1.06287450276104</v>
      </c>
      <c r="D34" s="14" t="n">
        <v>1.062875</v>
      </c>
      <c r="E34" s="14" t="n">
        <v>0.4873284</v>
      </c>
      <c r="F34" s="14" t="n">
        <v>1</v>
      </c>
      <c r="G34" s="14" t="n">
        <v>1.3</v>
      </c>
      <c r="H34" s="14" t="n">
        <v>0.3976143</v>
      </c>
      <c r="I34" s="14" t="n">
        <v>0.2291978</v>
      </c>
      <c r="J34" s="14" t="n">
        <v>4.004004</v>
      </c>
      <c r="K34" s="23" t="n">
        <v>75.4</v>
      </c>
      <c r="L34" s="20" t="n">
        <f aca="false">IF(AND(ISNUMBER(K34),ISNUMBER(K22)),(K34/K22-1)*100,"")</f>
        <v>4</v>
      </c>
      <c r="M34" s="14" t="n">
        <v>0.4</v>
      </c>
      <c r="N34" s="14" t="n">
        <v>0.3</v>
      </c>
      <c r="O34" s="14" t="n">
        <v>4.5</v>
      </c>
      <c r="P34" s="14" t="n">
        <v>0.2</v>
      </c>
      <c r="Q34" s="23" t="n">
        <v>0.6</v>
      </c>
      <c r="R34" s="23" t="n">
        <v>1</v>
      </c>
      <c r="S34" s="24" t="n">
        <v>95.677</v>
      </c>
      <c r="T34" s="20" t="n">
        <f aca="false">IF(AND(ISNUMBER(S34),ISNUMBER(S22)),(S34/S22-1)*100,"")</f>
        <v>0.487328411036314</v>
      </c>
    </row>
    <row r="35" customFormat="false" ht="15" hidden="false" customHeight="false" outlineLevel="0" collapsed="false">
      <c r="A35" s="17" t="n">
        <v>42614</v>
      </c>
      <c r="B35" s="22" t="n">
        <v>241.428</v>
      </c>
      <c r="C35" s="20" t="n">
        <f aca="false">IF(AND(ISNUMBER(B35),ISNUMBER(B23)),(B35/B23-1)*100,"")</f>
        <v>1.46378364748156</v>
      </c>
      <c r="D35" s="14" t="n">
        <v>1.463784</v>
      </c>
      <c r="E35" s="14" t="n">
        <v>1.348904</v>
      </c>
      <c r="F35" s="14" t="n">
        <v>1.3</v>
      </c>
      <c r="G35" s="14" t="n">
        <v>1.9</v>
      </c>
      <c r="H35" s="14" t="n">
        <v>0.5976096</v>
      </c>
      <c r="I35" s="14" t="n">
        <v>0.3901951</v>
      </c>
      <c r="J35" s="14" t="n">
        <v>3.578529</v>
      </c>
      <c r="K35" s="23" t="n">
        <v>75.7</v>
      </c>
      <c r="L35" s="20" t="n">
        <f aca="false">IF(AND(ISNUMBER(K35),ISNUMBER(K23)),(K35/K23-1)*100,"")</f>
        <v>3.6986301369863</v>
      </c>
      <c r="M35" s="14" t="n">
        <v>0.5</v>
      </c>
      <c r="N35" s="14" t="n">
        <v>0.5</v>
      </c>
      <c r="O35" s="14" t="n">
        <v>4</v>
      </c>
      <c r="P35" s="14" t="n">
        <v>0.4</v>
      </c>
      <c r="Q35" s="23" t="n">
        <v>1</v>
      </c>
      <c r="R35" s="23" t="n">
        <v>1.3</v>
      </c>
      <c r="S35" s="24" t="n">
        <v>96.247</v>
      </c>
      <c r="T35" s="20" t="n">
        <f aca="false">IF(AND(ISNUMBER(S35),ISNUMBER(S23)),(S35/S23-1)*100,"")</f>
        <v>1.34890381820862</v>
      </c>
    </row>
    <row r="36" customFormat="false" ht="15" hidden="false" customHeight="false" outlineLevel="0" collapsed="false">
      <c r="A36" s="17" t="n">
        <v>42644</v>
      </c>
      <c r="B36" s="22" t="n">
        <v>241.729</v>
      </c>
      <c r="C36" s="20" t="n">
        <f aca="false">IF(AND(ISNUMBER(B36),ISNUMBER(B24)),(B36/B24-1)*100,"")</f>
        <v>1.6359875209176</v>
      </c>
      <c r="D36" s="14" t="n">
        <v>1.635988</v>
      </c>
      <c r="E36" s="14" t="n">
        <v>1.487901</v>
      </c>
      <c r="F36" s="14" t="n">
        <v>1.3</v>
      </c>
      <c r="G36" s="14" t="n">
        <v>2.1</v>
      </c>
      <c r="H36" s="14" t="n">
        <v>0.7968128</v>
      </c>
      <c r="I36" s="14" t="n">
        <v>0.359964</v>
      </c>
      <c r="J36" s="14" t="n">
        <v>3.663366</v>
      </c>
      <c r="K36" s="23" t="n">
        <v>76</v>
      </c>
      <c r="L36" s="20" t="n">
        <f aca="false">IF(AND(ISNUMBER(K36),ISNUMBER(K24)),(K36/K24-1)*100,"")</f>
        <v>3.68349249658937</v>
      </c>
      <c r="M36" s="14" t="n">
        <v>0.5</v>
      </c>
      <c r="N36" s="14" t="n">
        <v>0.7</v>
      </c>
      <c r="O36" s="14" t="n">
        <v>4.1</v>
      </c>
      <c r="P36" s="14" t="n">
        <v>0.5</v>
      </c>
      <c r="Q36" s="23" t="n">
        <v>0.9</v>
      </c>
      <c r="R36" s="23" t="n">
        <v>1.3</v>
      </c>
      <c r="S36" s="24" t="n">
        <v>96.379</v>
      </c>
      <c r="T36" s="20" t="n">
        <f aca="false">IF(AND(ISNUMBER(S36),ISNUMBER(S24)),(S36/S24-1)*100,"")</f>
        <v>1.48790093296549</v>
      </c>
    </row>
    <row r="37" customFormat="false" ht="15" hidden="false" customHeight="false" outlineLevel="0" collapsed="false">
      <c r="A37" s="17" t="n">
        <v>42675</v>
      </c>
      <c r="B37" s="22" t="n">
        <v>241.353</v>
      </c>
      <c r="C37" s="20" t="n">
        <f aca="false">IF(AND(ISNUMBER(B37),ISNUMBER(B25)),(B37/B25-1)*100,"")</f>
        <v>1.69253716250379</v>
      </c>
      <c r="D37" s="14" t="n">
        <v>1.692537</v>
      </c>
      <c r="E37" s="14" t="n">
        <v>1.530817</v>
      </c>
      <c r="F37" s="14" t="n">
        <v>1.5</v>
      </c>
      <c r="G37" s="14" t="n">
        <v>2.3</v>
      </c>
      <c r="H37" s="14" t="n">
        <v>0.8024072</v>
      </c>
      <c r="I37" s="14" t="n">
        <v>0.5309557</v>
      </c>
      <c r="J37" s="14" t="n">
        <v>3.553801</v>
      </c>
      <c r="K37" s="23" t="n">
        <v>76.2</v>
      </c>
      <c r="L37" s="20" t="n">
        <f aca="false">IF(AND(ISNUMBER(K37),ISNUMBER(K25)),(K37/K25-1)*100,"")</f>
        <v>3.5326086956522</v>
      </c>
      <c r="M37" s="14" t="n">
        <v>0.7</v>
      </c>
      <c r="N37" s="14" t="n">
        <v>0.7</v>
      </c>
      <c r="O37" s="14" t="n">
        <v>3.9</v>
      </c>
      <c r="P37" s="14" t="n">
        <v>0.6</v>
      </c>
      <c r="Q37" s="23" t="n">
        <v>1.2</v>
      </c>
      <c r="R37" s="23" t="n">
        <v>1.5</v>
      </c>
      <c r="S37" s="24" t="n">
        <v>96.237</v>
      </c>
      <c r="T37" s="20" t="n">
        <f aca="false">IF(AND(ISNUMBER(S37),ISNUMBER(S25)),(S37/S25-1)*100,"")</f>
        <v>1.53081678728926</v>
      </c>
    </row>
    <row r="38" customFormat="false" ht="15" hidden="false" customHeight="false" outlineLevel="0" collapsed="false">
      <c r="A38" s="17" t="n">
        <v>42705</v>
      </c>
      <c r="B38" s="22" t="n">
        <v>241.432</v>
      </c>
      <c r="C38" s="20" t="n">
        <f aca="false">IF(AND(ISNUMBER(B38),ISNUMBER(B26)),(B38/B26-1)*100,"")</f>
        <v>2.07462213296692</v>
      </c>
      <c r="D38" s="14" t="n">
        <v>2.074622</v>
      </c>
      <c r="E38" s="14" t="n">
        <v>1.337962</v>
      </c>
      <c r="F38" s="14" t="n">
        <v>1.8</v>
      </c>
      <c r="G38" s="14" t="n">
        <v>2.1</v>
      </c>
      <c r="H38" s="14" t="n">
        <v>1.504514</v>
      </c>
      <c r="I38" s="14" t="n">
        <v>0.6097561</v>
      </c>
      <c r="J38" s="14" t="n">
        <v>3.468781</v>
      </c>
      <c r="K38" s="23" t="n">
        <v>75.8</v>
      </c>
      <c r="L38" s="20" t="n">
        <f aca="false">IF(AND(ISNUMBER(K38),ISNUMBER(K26)),(K38/K26-1)*100,"")</f>
        <v>3.41064120054571</v>
      </c>
      <c r="M38" s="14" t="n">
        <v>0.8</v>
      </c>
      <c r="N38" s="14" t="n">
        <v>1.6</v>
      </c>
      <c r="O38" s="14" t="n">
        <v>3.8</v>
      </c>
      <c r="P38" s="14" t="n">
        <v>1.1</v>
      </c>
      <c r="Q38" s="23" t="n">
        <v>1.6</v>
      </c>
      <c r="R38" s="23" t="n">
        <v>1.8</v>
      </c>
      <c r="S38" s="24" t="n">
        <v>96.342</v>
      </c>
      <c r="T38" s="20" t="n">
        <f aca="false">IF(AND(ISNUMBER(S38),ISNUMBER(S26)),(S38/S26-1)*100,"")</f>
        <v>1.33796150205112</v>
      </c>
    </row>
    <row r="39" customFormat="false" ht="15" hidden="false" customHeight="false" outlineLevel="0" collapsed="false">
      <c r="A39" s="17" t="n">
        <v>42736</v>
      </c>
      <c r="B39" s="22" t="n">
        <v>242.839</v>
      </c>
      <c r="C39" s="20" t="n">
        <f aca="false">IF(AND(ISNUMBER(B39),ISNUMBER(B27)),(B39/B27-1)*100,"")</f>
        <v>2.500042209053</v>
      </c>
      <c r="D39" s="14" t="n">
        <v>2.500042</v>
      </c>
      <c r="E39" s="14" t="n">
        <v>2.240843</v>
      </c>
      <c r="F39" s="14" t="n">
        <v>1.9</v>
      </c>
      <c r="G39" s="14" t="n">
        <v>2.5</v>
      </c>
      <c r="H39" s="14" t="n">
        <v>1.616162</v>
      </c>
      <c r="I39" s="14" t="n">
        <v>1.34235</v>
      </c>
      <c r="J39" s="14" t="n">
        <v>2.758621</v>
      </c>
      <c r="K39" s="23" t="n">
        <v>75.7</v>
      </c>
      <c r="L39" s="20" t="n">
        <f aca="false">IF(AND(ISNUMBER(K39),ISNUMBER(K27)),(K39/K27-1)*100,"")</f>
        <v>2.71370420624153</v>
      </c>
      <c r="M39" s="14" t="n">
        <v>1.6</v>
      </c>
      <c r="N39" s="14" t="n">
        <v>1.8</v>
      </c>
      <c r="O39" s="14" t="n">
        <v>2.9</v>
      </c>
      <c r="P39" s="14" t="n">
        <v>1.7</v>
      </c>
      <c r="Q39" s="23" t="n">
        <v>1.8</v>
      </c>
      <c r="R39" s="23" t="n">
        <v>1.9</v>
      </c>
      <c r="S39" s="24" t="n">
        <v>97.366</v>
      </c>
      <c r="T39" s="20" t="n">
        <f aca="false">IF(AND(ISNUMBER(S39),ISNUMBER(S27)),(S39/S27-1)*100,"")</f>
        <v>2.2408434139785</v>
      </c>
    </row>
    <row r="40" customFormat="false" ht="15" hidden="false" customHeight="false" outlineLevel="0" collapsed="false">
      <c r="A40" s="17" t="n">
        <v>42767</v>
      </c>
      <c r="B40" s="22" t="n">
        <v>243.603</v>
      </c>
      <c r="C40" s="20" t="n">
        <f aca="false">IF(AND(ISNUMBER(B40),ISNUMBER(B28)),(B40/B28-1)*100,"")</f>
        <v>2.73795817148932</v>
      </c>
      <c r="D40" s="14" t="n">
        <v>2.737958</v>
      </c>
      <c r="E40" s="14" t="n">
        <v>2.082811</v>
      </c>
      <c r="F40" s="14" t="n">
        <v>2.3</v>
      </c>
      <c r="G40" s="14" t="n">
        <v>0.8</v>
      </c>
      <c r="H40" s="14" t="n">
        <v>1.913394</v>
      </c>
      <c r="I40" s="14" t="n">
        <v>1.208094</v>
      </c>
      <c r="J40" s="14" t="n">
        <v>2.546523</v>
      </c>
      <c r="K40" s="23" t="n">
        <v>76</v>
      </c>
      <c r="L40" s="20" t="n">
        <f aca="false">IF(AND(ISNUMBER(K40),ISNUMBER(K28)),(K40/K28-1)*100,"")</f>
        <v>2.56410256410258</v>
      </c>
      <c r="M40" s="14" t="n">
        <v>1.4</v>
      </c>
      <c r="N40" s="14" t="n">
        <v>2.1</v>
      </c>
      <c r="O40" s="14" t="n">
        <v>2.7</v>
      </c>
      <c r="P40" s="14" t="n">
        <v>2</v>
      </c>
      <c r="Q40" s="23" t="n">
        <v>2.3</v>
      </c>
      <c r="R40" s="23" t="n">
        <v>2.3</v>
      </c>
      <c r="S40" s="24" t="n">
        <v>97.632</v>
      </c>
      <c r="T40" s="20" t="n">
        <f aca="false">IF(AND(ISNUMBER(S40),ISNUMBER(S28)),(S40/S28-1)*100,"")</f>
        <v>2.08281053952322</v>
      </c>
    </row>
    <row r="41" customFormat="false" ht="15" hidden="false" customHeight="false" outlineLevel="0" collapsed="false">
      <c r="A41" s="17" t="n">
        <v>42795</v>
      </c>
      <c r="B41" s="22" t="n">
        <v>243.801</v>
      </c>
      <c r="C41" s="20" t="n">
        <f aca="false">IF(AND(ISNUMBER(B41),ISNUMBER(B29)),(B41/B29-1)*100,"")</f>
        <v>2.38061243344028</v>
      </c>
      <c r="D41" s="14" t="n">
        <v>2.380612</v>
      </c>
      <c r="E41" s="14" t="n">
        <v>2.276897</v>
      </c>
      <c r="F41" s="14" t="n">
        <v>2.3</v>
      </c>
      <c r="G41" s="14" t="n">
        <v>0.9</v>
      </c>
      <c r="H41" s="14" t="n">
        <v>1.4</v>
      </c>
      <c r="I41" s="14" t="n">
        <v>1.14977</v>
      </c>
      <c r="J41" s="14" t="n">
        <v>2.439024</v>
      </c>
      <c r="K41" s="23" t="n">
        <v>76.3</v>
      </c>
      <c r="L41" s="20" t="n">
        <f aca="false">IF(AND(ISNUMBER(K41),ISNUMBER(K29)),(K41/K29-1)*100,"")</f>
        <v>2.5537634408602</v>
      </c>
      <c r="M41" s="14" t="n">
        <v>1.4</v>
      </c>
      <c r="N41" s="14" t="n">
        <v>1.5</v>
      </c>
      <c r="O41" s="14" t="n">
        <v>2.5</v>
      </c>
      <c r="P41" s="14" t="n">
        <v>1.5</v>
      </c>
      <c r="Q41" s="23" t="n">
        <v>2.3</v>
      </c>
      <c r="R41" s="23" t="n">
        <v>2.3</v>
      </c>
      <c r="S41" s="24" t="n">
        <v>97.565</v>
      </c>
      <c r="T41" s="20" t="n">
        <f aca="false">IF(AND(ISNUMBER(S41),ISNUMBER(S29)),(S41/S29-1)*100,"")</f>
        <v>2.27689662763515</v>
      </c>
    </row>
    <row r="42" customFormat="false" ht="15" hidden="false" customHeight="false" outlineLevel="0" collapsed="false">
      <c r="A42" s="17" t="n">
        <v>42826</v>
      </c>
      <c r="B42" s="22" t="n">
        <v>244.524</v>
      </c>
      <c r="C42" s="20" t="n">
        <f aca="false">IF(AND(ISNUMBER(B42),ISNUMBER(B30)),(B42/B30-1)*100,"")</f>
        <v>2.1996898784173</v>
      </c>
      <c r="D42" s="14" t="n">
        <v>2.19969</v>
      </c>
      <c r="E42" s="14" t="n">
        <v>1.955573</v>
      </c>
      <c r="F42" s="14" t="n">
        <v>2.6</v>
      </c>
      <c r="G42" s="14" t="n">
        <v>1.2</v>
      </c>
      <c r="H42" s="14" t="n">
        <v>1.698302</v>
      </c>
      <c r="I42" s="14" t="n">
        <v>1.168948</v>
      </c>
      <c r="J42" s="14" t="n">
        <v>2.23518</v>
      </c>
      <c r="K42" s="23" t="n">
        <v>76.4</v>
      </c>
      <c r="L42" s="20" t="n">
        <f aca="false">IF(AND(ISNUMBER(K42),ISNUMBER(K30)),(K42/K30-1)*100,"")</f>
        <v>2.27576974564927</v>
      </c>
      <c r="M42" s="14" t="n">
        <v>1.4</v>
      </c>
      <c r="N42" s="14" t="n">
        <v>2</v>
      </c>
      <c r="O42" s="14" t="n">
        <v>2.3</v>
      </c>
      <c r="P42" s="14" t="n">
        <v>1.9</v>
      </c>
      <c r="Q42" s="23" t="n">
        <v>2.7</v>
      </c>
      <c r="R42" s="23" t="n">
        <v>2.6</v>
      </c>
      <c r="S42" s="24" t="n">
        <v>97.442</v>
      </c>
      <c r="T42" s="20" t="n">
        <f aca="false">IF(AND(ISNUMBER(S42),ISNUMBER(S30)),(S42/S30-1)*100,"")</f>
        <v>1.95557322674813</v>
      </c>
    </row>
    <row r="43" customFormat="false" ht="15" hidden="false" customHeight="false" outlineLevel="0" collapsed="false">
      <c r="A43" s="17" t="n">
        <v>42856</v>
      </c>
      <c r="B43" s="22" t="n">
        <v>244.733</v>
      </c>
      <c r="C43" s="20" t="n">
        <f aca="false">IF(AND(ISNUMBER(B43),ISNUMBER(B31)),(B43/B31-1)*100,"")</f>
        <v>1.87487772084136</v>
      </c>
      <c r="D43" s="14" t="n">
        <v>1.874878</v>
      </c>
      <c r="E43" s="14" t="n">
        <v>2.003555</v>
      </c>
      <c r="F43" s="14" t="n">
        <v>2.7</v>
      </c>
      <c r="G43" s="14" t="n">
        <v>1.5</v>
      </c>
      <c r="H43" s="14" t="n">
        <v>1.192843</v>
      </c>
      <c r="I43" s="14" t="n">
        <v>0.8059701</v>
      </c>
      <c r="J43" s="14" t="n">
        <v>2.131783</v>
      </c>
      <c r="K43" s="23" t="n">
        <v>76.6</v>
      </c>
      <c r="L43" s="20" t="n">
        <f aca="false">IF(AND(ISNUMBER(K43),ISNUMBER(K31)),(K43/K31-1)*100,"")</f>
        <v>2.26969292389851</v>
      </c>
      <c r="M43" s="14" t="n">
        <v>0.9</v>
      </c>
      <c r="N43" s="14" t="n">
        <v>1.4</v>
      </c>
      <c r="O43" s="14" t="n">
        <v>2.1</v>
      </c>
      <c r="P43" s="14" t="n">
        <v>1.4</v>
      </c>
      <c r="Q43" s="23" t="n">
        <v>2.9</v>
      </c>
      <c r="R43" s="23" t="n">
        <v>2.7</v>
      </c>
      <c r="S43" s="24" t="n">
        <v>97.546</v>
      </c>
      <c r="T43" s="20" t="n">
        <f aca="false">IF(AND(ISNUMBER(S43),ISNUMBER(S31)),(S43/S31-1)*100,"")</f>
        <v>2.00355536965389</v>
      </c>
    </row>
    <row r="44" customFormat="false" ht="15" hidden="false" customHeight="false" outlineLevel="0" collapsed="false">
      <c r="A44" s="17" t="n">
        <v>42887</v>
      </c>
      <c r="B44" s="22" t="n">
        <v>244.955</v>
      </c>
      <c r="C44" s="20" t="n">
        <f aca="false">IF(AND(ISNUMBER(B44),ISNUMBER(B32)),(B44/B32-1)*100,"")</f>
        <v>1.63348795525646</v>
      </c>
      <c r="D44" s="14" t="n">
        <v>1.633488</v>
      </c>
      <c r="E44" s="14" t="n">
        <v>1.806278</v>
      </c>
      <c r="F44" s="14" t="n">
        <v>2.6</v>
      </c>
      <c r="G44" s="14" t="n">
        <v>1.5</v>
      </c>
      <c r="H44" s="14" t="n">
        <v>1.390268</v>
      </c>
      <c r="I44" s="14" t="n">
        <v>0.6856802</v>
      </c>
      <c r="J44" s="14" t="n">
        <v>1.926782</v>
      </c>
      <c r="K44" s="23" t="n">
        <v>76.9</v>
      </c>
      <c r="L44" s="20" t="n">
        <f aca="false">IF(AND(ISNUMBER(K44),ISNUMBER(K32)),(K44/K32-1)*100,"")</f>
        <v>1.98938992042441</v>
      </c>
      <c r="M44" s="14" t="n">
        <v>0.8</v>
      </c>
      <c r="N44" s="14" t="n">
        <v>1.7</v>
      </c>
      <c r="O44" s="14" t="n">
        <v>1.9</v>
      </c>
      <c r="P44" s="14" t="n">
        <v>1.3</v>
      </c>
      <c r="Q44" s="23" t="n">
        <v>2.6</v>
      </c>
      <c r="R44" s="23" t="n">
        <v>2.6</v>
      </c>
      <c r="S44" s="24" t="n">
        <v>97.338</v>
      </c>
      <c r="T44" s="20" t="n">
        <f aca="false">IF(AND(ISNUMBER(S44),ISNUMBER(S32)),(S44/S32-1)*100,"")</f>
        <v>1.80627752036899</v>
      </c>
    </row>
    <row r="45" customFormat="false" ht="15" hidden="false" customHeight="false" outlineLevel="0" collapsed="false">
      <c r="A45" s="17" t="n">
        <v>42917</v>
      </c>
      <c r="B45" s="22" t="n">
        <v>244.786</v>
      </c>
      <c r="C45" s="20" t="n">
        <f aca="false">IF(AND(ISNUMBER(B45),ISNUMBER(B33)),(B45/B33-1)*100,"")</f>
        <v>1.72797845637249</v>
      </c>
      <c r="D45" s="14" t="n">
        <v>1.727978</v>
      </c>
      <c r="E45" s="14" t="n">
        <v>2.167011</v>
      </c>
      <c r="F45" s="14" t="n">
        <v>2.6</v>
      </c>
      <c r="G45" s="14" t="n">
        <v>1.4</v>
      </c>
      <c r="H45" s="14" t="n">
        <v>1.384768</v>
      </c>
      <c r="I45" s="14" t="n">
        <v>0.7182045</v>
      </c>
      <c r="J45" s="14" t="n">
        <v>1.531101</v>
      </c>
      <c r="K45" s="23" t="n">
        <v>77.1</v>
      </c>
      <c r="L45" s="20" t="n">
        <f aca="false">IF(AND(ISNUMBER(K45),ISNUMBER(K33)),(K45/K33-1)*100,"")</f>
        <v>1.58102766798418</v>
      </c>
      <c r="M45" s="14" t="n">
        <v>0.8</v>
      </c>
      <c r="N45" s="14" t="n">
        <v>1.7</v>
      </c>
      <c r="O45" s="14" t="n">
        <v>1.4</v>
      </c>
      <c r="P45" s="14" t="n">
        <v>1.3</v>
      </c>
      <c r="Q45" s="23" t="n">
        <v>2.6</v>
      </c>
      <c r="R45" s="23" t="n">
        <v>2.6</v>
      </c>
      <c r="S45" s="24" t="n">
        <v>97.499</v>
      </c>
      <c r="T45" s="20" t="n">
        <f aca="false">IF(AND(ISNUMBER(S45),ISNUMBER(S33)),(S45/S33-1)*100,"")</f>
        <v>2.16701071978707</v>
      </c>
    </row>
    <row r="46" customFormat="false" ht="15" hidden="false" customHeight="false" outlineLevel="0" collapsed="false">
      <c r="A46" s="17" t="n">
        <v>42948</v>
      </c>
      <c r="B46" s="22" t="n">
        <v>245.519</v>
      </c>
      <c r="C46" s="20" t="n">
        <f aca="false">IF(AND(ISNUMBER(B46),ISNUMBER(B34)),(B46/B34-1)*100,"")</f>
        <v>1.93897421205818</v>
      </c>
      <c r="D46" s="14" t="n">
        <v>1.938974</v>
      </c>
      <c r="E46" s="14" t="n">
        <v>2.488581</v>
      </c>
      <c r="F46" s="14" t="n">
        <v>2.7</v>
      </c>
      <c r="G46" s="14" t="n">
        <v>1.8</v>
      </c>
      <c r="H46" s="14" t="n">
        <v>1.584158</v>
      </c>
      <c r="I46" s="14" t="n">
        <v>0.9047524</v>
      </c>
      <c r="J46" s="14" t="n">
        <v>1.347449</v>
      </c>
      <c r="K46" s="23" t="n">
        <v>76.5</v>
      </c>
      <c r="L46" s="20" t="n">
        <f aca="false">IF(AND(ISNUMBER(K46),ISNUMBER(K34)),(K46/K34-1)*100,"")</f>
        <v>1.45888594164456</v>
      </c>
      <c r="M46" s="14" t="n">
        <v>1</v>
      </c>
      <c r="N46" s="14" t="n">
        <v>1.9</v>
      </c>
      <c r="O46" s="14" t="n">
        <v>1.3</v>
      </c>
      <c r="P46" s="14" t="n">
        <v>1.5</v>
      </c>
      <c r="Q46" s="23" t="n">
        <v>2.9</v>
      </c>
      <c r="R46" s="23" t="n">
        <v>2.7</v>
      </c>
      <c r="S46" s="24" t="n">
        <v>98.058</v>
      </c>
      <c r="T46" s="20" t="n">
        <f aca="false">IF(AND(ISNUMBER(S46),ISNUMBER(S34)),(S46/S34-1)*100,"")</f>
        <v>2.4885813727437</v>
      </c>
    </row>
    <row r="47" customFormat="false" ht="15" hidden="false" customHeight="false" outlineLevel="0" collapsed="false">
      <c r="A47" s="17" t="n">
        <v>42979</v>
      </c>
      <c r="B47" s="22" t="n">
        <v>246.819</v>
      </c>
      <c r="C47" s="20" t="n">
        <f aca="false">IF(AND(ISNUMBER(B47),ISNUMBER(B35)),(B47/B35-1)*100,"")</f>
        <v>2.23296386500322</v>
      </c>
      <c r="D47" s="14" t="n">
        <v>2.232964</v>
      </c>
      <c r="E47" s="14" t="n">
        <v>2.000062</v>
      </c>
      <c r="F47" s="14" t="n">
        <v>2.8</v>
      </c>
      <c r="G47" s="14" t="n">
        <v>1.6</v>
      </c>
      <c r="H47" s="14" t="n">
        <v>1.683168</v>
      </c>
      <c r="I47" s="14" t="n">
        <v>0.9866454</v>
      </c>
      <c r="J47" s="14" t="n">
        <v>1.631478</v>
      </c>
      <c r="K47" s="23" t="n">
        <v>76.9</v>
      </c>
      <c r="L47" s="20" t="n">
        <f aca="false">IF(AND(ISNUMBER(K47),ISNUMBER(K35)),(K47/K35-1)*100,"")</f>
        <v>1.58520475561428</v>
      </c>
      <c r="M47" s="14" t="n">
        <v>1.1</v>
      </c>
      <c r="N47" s="14" t="n">
        <v>1.9</v>
      </c>
      <c r="O47" s="14" t="n">
        <v>1.6</v>
      </c>
      <c r="P47" s="14" t="n">
        <v>1.6</v>
      </c>
      <c r="Q47" s="23" t="n">
        <v>3</v>
      </c>
      <c r="R47" s="23" t="n">
        <v>2.8</v>
      </c>
      <c r="S47" s="24" t="n">
        <v>98.172</v>
      </c>
      <c r="T47" s="20" t="n">
        <f aca="false">IF(AND(ISNUMBER(S47),ISNUMBER(S35)),(S47/S35-1)*100,"")</f>
        <v>2.00006233960539</v>
      </c>
    </row>
    <row r="48" customFormat="false" ht="15" hidden="false" customHeight="false" outlineLevel="0" collapsed="false">
      <c r="A48" s="17" t="n">
        <v>43009</v>
      </c>
      <c r="B48" s="22" t="n">
        <v>246.663</v>
      </c>
      <c r="C48" s="20" t="n">
        <f aca="false">IF(AND(ISNUMBER(B48),ISNUMBER(B36)),(B48/B36-1)*100,"")</f>
        <v>2.04112870197617</v>
      </c>
      <c r="D48" s="14" t="n">
        <v>2.041129</v>
      </c>
      <c r="E48" s="14" t="n">
        <v>1.761795</v>
      </c>
      <c r="F48" s="14" t="n">
        <v>2.8</v>
      </c>
      <c r="G48" s="14" t="n">
        <v>1.9</v>
      </c>
      <c r="H48" s="14" t="n">
        <v>1.284585</v>
      </c>
      <c r="I48" s="14" t="n">
        <v>1.056093</v>
      </c>
      <c r="J48" s="14" t="n">
        <v>1.241643</v>
      </c>
      <c r="K48" s="23" t="n">
        <v>76.9</v>
      </c>
      <c r="L48" s="20" t="n">
        <f aca="false">IF(AND(ISNUMBER(K48),ISNUMBER(K36)),(K48/K36-1)*100,"")</f>
        <v>1.18421052631579</v>
      </c>
      <c r="M48" s="14" t="n">
        <v>1.2</v>
      </c>
      <c r="N48" s="14" t="n">
        <v>1.5</v>
      </c>
      <c r="O48" s="14" t="n">
        <v>1.1</v>
      </c>
      <c r="P48" s="14" t="n">
        <v>1.4</v>
      </c>
      <c r="Q48" s="23" t="n">
        <v>3</v>
      </c>
      <c r="R48" s="23" t="n">
        <v>2.8</v>
      </c>
      <c r="S48" s="24" t="n">
        <v>98.077</v>
      </c>
      <c r="T48" s="20" t="n">
        <f aca="false">IF(AND(ISNUMBER(S48),ISNUMBER(S36)),(S48/S36-1)*100,"")</f>
        <v>1.76179458180723</v>
      </c>
    </row>
    <row r="49" customFormat="false" ht="15" hidden="false" customHeight="false" outlineLevel="0" collapsed="false">
      <c r="A49" s="17" t="n">
        <v>43040</v>
      </c>
      <c r="B49" s="22" t="n">
        <v>246.669</v>
      </c>
      <c r="C49" s="20" t="n">
        <f aca="false">IF(AND(ISNUMBER(B49),ISNUMBER(B37)),(B49/B37-1)*100,"")</f>
        <v>2.20258293868318</v>
      </c>
      <c r="D49" s="14" t="n">
        <v>2.202583</v>
      </c>
      <c r="E49" s="14" t="n">
        <v>1.153403</v>
      </c>
      <c r="F49" s="14" t="n">
        <v>2.8</v>
      </c>
      <c r="G49" s="14" t="n">
        <v>1.7</v>
      </c>
      <c r="H49" s="14" t="n">
        <v>1.59204</v>
      </c>
      <c r="I49" s="14" t="n">
        <v>1.175884</v>
      </c>
      <c r="J49" s="14" t="n">
        <v>1.143947</v>
      </c>
      <c r="K49" s="23" t="n">
        <v>77</v>
      </c>
      <c r="L49" s="20" t="n">
        <f aca="false">IF(AND(ISNUMBER(K49),ISNUMBER(K37)),(K49/K37-1)*100,"")</f>
        <v>1.04986876640421</v>
      </c>
      <c r="M49" s="14" t="n">
        <v>1.2</v>
      </c>
      <c r="N49" s="14" t="n">
        <v>1.8</v>
      </c>
      <c r="O49" s="14" t="n">
        <v>1</v>
      </c>
      <c r="P49" s="14" t="n">
        <v>1.5</v>
      </c>
      <c r="Q49" s="23" t="n">
        <v>3.1</v>
      </c>
      <c r="R49" s="23" t="n">
        <v>2.8</v>
      </c>
      <c r="S49" s="24" t="n">
        <v>97.347</v>
      </c>
      <c r="T49" s="20" t="n">
        <f aca="false">IF(AND(ISNUMBER(S49),ISNUMBER(S37)),(S49/S37-1)*100,"")</f>
        <v>1.15340253748559</v>
      </c>
    </row>
    <row r="50" customFormat="false" ht="15" hidden="false" customHeight="false" outlineLevel="0" collapsed="false">
      <c r="A50" s="17" t="n">
        <v>43070</v>
      </c>
      <c r="B50" s="22" t="n">
        <v>246.524</v>
      </c>
      <c r="C50" s="20" t="n">
        <f aca="false">IF(AND(ISNUMBER(B50),ISNUMBER(B38)),(B50/B38-1)*100,"")</f>
        <v>2.10908247456842</v>
      </c>
      <c r="D50" s="14" t="n">
        <v>2.109082</v>
      </c>
      <c r="E50" s="14" t="n">
        <v>1.407486</v>
      </c>
      <c r="F50" s="14" t="n">
        <v>2.7</v>
      </c>
      <c r="G50" s="14" t="n">
        <v>1.8</v>
      </c>
      <c r="H50" s="14" t="n">
        <v>1.383399</v>
      </c>
      <c r="I50" s="14" t="n">
        <v>1.19225</v>
      </c>
      <c r="J50" s="14" t="n">
        <v>1.628353</v>
      </c>
      <c r="K50" s="23" t="n">
        <v>77.1</v>
      </c>
      <c r="L50" s="20" t="n">
        <f aca="false">IF(AND(ISNUMBER(K50),ISNUMBER(K38)),(K50/K38-1)*100,"")</f>
        <v>1.71503957783641</v>
      </c>
      <c r="M50" s="14" t="n">
        <v>1.2</v>
      </c>
      <c r="N50" s="14" t="n">
        <v>1.5</v>
      </c>
      <c r="O50" s="14" t="n">
        <v>1.6</v>
      </c>
      <c r="P50" s="14" t="n">
        <v>1.3</v>
      </c>
      <c r="Q50" s="23" t="n">
        <v>3</v>
      </c>
      <c r="R50" s="23" t="n">
        <v>2.7</v>
      </c>
      <c r="S50" s="24" t="n">
        <v>97.698</v>
      </c>
      <c r="T50" s="20" t="n">
        <f aca="false">IF(AND(ISNUMBER(S50),ISNUMBER(S38)),(S50/S38-1)*100,"")</f>
        <v>1.40748583172448</v>
      </c>
    </row>
    <row r="51" customFormat="false" ht="15" hidden="false" customHeight="false" outlineLevel="0" collapsed="false">
      <c r="A51" s="17" t="n">
        <v>43101</v>
      </c>
      <c r="B51" s="22" t="n">
        <v>247.867</v>
      </c>
      <c r="C51" s="20" t="n">
        <f aca="false">IF(AND(ISNUMBER(B51),ISNUMBER(B39)),(B51/B39-1)*100,"")</f>
        <v>2.07050762027516</v>
      </c>
      <c r="D51" s="14" t="n">
        <v>2.070508</v>
      </c>
      <c r="E51" s="14" t="n">
        <v>0.7600189</v>
      </c>
      <c r="F51" s="14" t="n">
        <v>2.7</v>
      </c>
      <c r="G51" s="14" t="n">
        <v>1.5</v>
      </c>
      <c r="H51" s="14" t="n">
        <v>1.39165</v>
      </c>
      <c r="I51" s="14" t="n">
        <v>1.334528</v>
      </c>
      <c r="J51" s="14" t="n">
        <v>1.629914</v>
      </c>
      <c r="K51" s="23" t="n">
        <v>77</v>
      </c>
      <c r="L51" s="20" t="n">
        <f aca="false">IF(AND(ISNUMBER(K51),ISNUMBER(K39)),(K51/K39-1)*100,"")</f>
        <v>1.71730515191546</v>
      </c>
      <c r="M51" s="14" t="n">
        <v>1.5</v>
      </c>
      <c r="N51" s="14" t="n">
        <v>1.4</v>
      </c>
      <c r="O51" s="14" t="n">
        <v>1.6</v>
      </c>
      <c r="P51" s="14" t="n">
        <v>1.3</v>
      </c>
      <c r="Q51" s="23" t="n">
        <v>3</v>
      </c>
      <c r="R51" s="23" t="n">
        <v>2.7</v>
      </c>
      <c r="S51" s="24" t="n">
        <v>98.106</v>
      </c>
      <c r="T51" s="20" t="n">
        <f aca="false">IF(AND(ISNUMBER(S51),ISNUMBER(S39)),(S51/S39-1)*100,"")</f>
        <v>0.760018897767179</v>
      </c>
    </row>
    <row r="52" customFormat="false" ht="15" hidden="false" customHeight="false" outlineLevel="0" collapsed="false">
      <c r="A52" s="17" t="n">
        <v>43132</v>
      </c>
      <c r="B52" s="22" t="n">
        <v>248.991</v>
      </c>
      <c r="C52" s="20" t="n">
        <f aca="false">IF(AND(ISNUMBER(B52),ISNUMBER(B40)),(B52/B40-1)*100,"")</f>
        <v>2.21179542123866</v>
      </c>
      <c r="D52" s="14" t="n">
        <v>2.211795</v>
      </c>
      <c r="E52" s="14" t="n">
        <v>1.252663</v>
      </c>
      <c r="F52" s="14" t="n">
        <v>2.5</v>
      </c>
      <c r="G52" s="14" t="n">
        <v>2.9</v>
      </c>
      <c r="H52" s="14" t="n">
        <v>1.086957</v>
      </c>
      <c r="I52" s="14" t="n">
        <v>1.183726</v>
      </c>
      <c r="J52" s="14" t="n">
        <v>2.196753</v>
      </c>
      <c r="K52" s="23" t="n">
        <v>77.7</v>
      </c>
      <c r="L52" s="20" t="n">
        <f aca="false">IF(AND(ISNUMBER(K52),ISNUMBER(K40)),(K52/K40-1)*100,"")</f>
        <v>2.23684210526316</v>
      </c>
      <c r="M52" s="14" t="n">
        <v>1.3</v>
      </c>
      <c r="N52" s="14" t="n">
        <v>1.2</v>
      </c>
      <c r="O52" s="14" t="n">
        <v>2.2</v>
      </c>
      <c r="P52" s="14" t="n">
        <v>1.1</v>
      </c>
      <c r="Q52" s="23" t="n">
        <v>2.7</v>
      </c>
      <c r="R52" s="23" t="n">
        <v>2.5</v>
      </c>
      <c r="S52" s="24" t="n">
        <v>98.855</v>
      </c>
      <c r="T52" s="20" t="n">
        <f aca="false">IF(AND(ISNUMBER(S52),ISNUMBER(S40)),(S52/S40-1)*100,"")</f>
        <v>1.25266306129137</v>
      </c>
    </row>
    <row r="53" customFormat="false" ht="15" hidden="false" customHeight="false" outlineLevel="0" collapsed="false">
      <c r="A53" s="17" t="n">
        <v>43160</v>
      </c>
      <c r="B53" s="22" t="n">
        <v>249.554</v>
      </c>
      <c r="C53" s="20" t="n">
        <f aca="false">IF(AND(ISNUMBER(B53),ISNUMBER(B41)),(B53/B41-1)*100,"")</f>
        <v>2.35971140397291</v>
      </c>
      <c r="D53" s="14" t="n">
        <v>2.359711</v>
      </c>
      <c r="E53" s="14" t="n">
        <v>1.2156</v>
      </c>
      <c r="F53" s="14" t="n">
        <v>2.3</v>
      </c>
      <c r="G53" s="14" t="n">
        <v>2.1</v>
      </c>
      <c r="H53" s="14" t="n">
        <v>1.47929</v>
      </c>
      <c r="I53" s="14" t="n">
        <v>1.561728</v>
      </c>
      <c r="J53" s="14" t="n">
        <v>2.190476</v>
      </c>
      <c r="K53" s="23" t="n">
        <v>77.9</v>
      </c>
      <c r="L53" s="20" t="n">
        <f aca="false">IF(AND(ISNUMBER(K53),ISNUMBER(K41)),(K53/K41-1)*100,"")</f>
        <v>2.09698558322413</v>
      </c>
      <c r="M53" s="14" t="n">
        <v>1.7</v>
      </c>
      <c r="N53" s="14" t="n">
        <v>1.7</v>
      </c>
      <c r="O53" s="14" t="n">
        <v>2.2</v>
      </c>
      <c r="P53" s="14" t="n">
        <v>1.4</v>
      </c>
      <c r="Q53" s="23" t="n">
        <v>2.5</v>
      </c>
      <c r="R53" s="23" t="n">
        <v>2.3</v>
      </c>
      <c r="S53" s="24" t="n">
        <v>98.751</v>
      </c>
      <c r="T53" s="20" t="n">
        <f aca="false">IF(AND(ISNUMBER(S53),ISNUMBER(S41)),(S53/S41-1)*100,"")</f>
        <v>1.21559985650592</v>
      </c>
    </row>
    <row r="54" customFormat="false" ht="15" hidden="false" customHeight="false" outlineLevel="0" collapsed="false">
      <c r="A54" s="17" t="n">
        <v>43191</v>
      </c>
      <c r="B54" s="22" t="n">
        <v>250.546</v>
      </c>
      <c r="C54" s="20" t="n">
        <f aca="false">IF(AND(ISNUMBER(B54),ISNUMBER(B42)),(B54/B42-1)*100,"")</f>
        <v>2.46274394333481</v>
      </c>
      <c r="D54" s="14" t="n">
        <v>2.462744</v>
      </c>
      <c r="E54" s="14" t="n">
        <v>1.528088</v>
      </c>
      <c r="F54" s="14" t="n">
        <v>2.2</v>
      </c>
      <c r="G54" s="14" t="n">
        <v>1.8</v>
      </c>
      <c r="H54" s="14" t="n">
        <v>1.277014</v>
      </c>
      <c r="I54" s="14" t="n">
        <v>1.639344</v>
      </c>
      <c r="J54" s="14" t="n">
        <v>2.376426</v>
      </c>
      <c r="K54" s="23" t="n">
        <v>78.2</v>
      </c>
      <c r="L54" s="20" t="n">
        <f aca="false">IF(AND(ISNUMBER(K54),ISNUMBER(K42)),(K54/K42-1)*100,"")</f>
        <v>2.35602094240837</v>
      </c>
      <c r="M54" s="14" t="n">
        <v>1.8</v>
      </c>
      <c r="N54" s="14" t="n">
        <v>1.3</v>
      </c>
      <c r="O54" s="14" t="n">
        <v>2.6</v>
      </c>
      <c r="P54" s="14" t="n">
        <v>1.2</v>
      </c>
      <c r="Q54" s="23" t="n">
        <v>2.4</v>
      </c>
      <c r="R54" s="23" t="n">
        <v>2.2</v>
      </c>
      <c r="S54" s="24" t="n">
        <v>98.931</v>
      </c>
      <c r="T54" s="20" t="n">
        <f aca="false">IF(AND(ISNUMBER(S54),ISNUMBER(S42)),(S54/S42-1)*100,"")</f>
        <v>1.52808850393056</v>
      </c>
    </row>
    <row r="55" customFormat="false" ht="15" hidden="false" customHeight="false" outlineLevel="0" collapsed="false">
      <c r="A55" s="17" t="n">
        <v>43221</v>
      </c>
      <c r="B55" s="22" t="n">
        <v>251.588</v>
      </c>
      <c r="C55" s="20" t="n">
        <f aca="false">IF(AND(ISNUMBER(B55),ISNUMBER(B43)),(B55/B43-1)*100,"")</f>
        <v>2.80101171480756</v>
      </c>
      <c r="D55" s="14" t="n">
        <v>2.801012</v>
      </c>
      <c r="E55" s="14" t="n">
        <v>1.469051</v>
      </c>
      <c r="F55" s="14" t="n">
        <v>2.3</v>
      </c>
      <c r="G55" s="14" t="n">
        <v>1.8</v>
      </c>
      <c r="H55" s="14" t="n">
        <v>2.062868</v>
      </c>
      <c r="I55" s="14" t="n">
        <v>2.023492</v>
      </c>
      <c r="J55" s="14" t="n">
        <v>2.27704</v>
      </c>
      <c r="K55" s="23" t="n">
        <v>78.2</v>
      </c>
      <c r="L55" s="20" t="n">
        <f aca="false">IF(AND(ISNUMBER(K55),ISNUMBER(K43)),(K55/K43-1)*100,"")</f>
        <v>2.08877284595301</v>
      </c>
      <c r="M55" s="14" t="n">
        <v>2.3</v>
      </c>
      <c r="N55" s="14" t="n">
        <v>2.4</v>
      </c>
      <c r="O55" s="14" t="n">
        <v>2.3</v>
      </c>
      <c r="P55" s="14" t="n">
        <v>2</v>
      </c>
      <c r="Q55" s="23" t="n">
        <v>2.4</v>
      </c>
      <c r="R55" s="23" t="n">
        <v>2.3</v>
      </c>
      <c r="S55" s="24" t="n">
        <v>98.979</v>
      </c>
      <c r="T55" s="20" t="n">
        <f aca="false">IF(AND(ISNUMBER(S55),ISNUMBER(S43)),(S55/S43-1)*100,"")</f>
        <v>1.46905049925163</v>
      </c>
    </row>
    <row r="56" customFormat="false" ht="15" hidden="false" customHeight="false" outlineLevel="0" collapsed="false">
      <c r="A56" s="17" t="n">
        <v>43252</v>
      </c>
      <c r="B56" s="22" t="n">
        <v>251.989</v>
      </c>
      <c r="C56" s="20" t="n">
        <f aca="false">IF(AND(ISNUMBER(B56),ISNUMBER(B44)),(B56/B44-1)*100,"")</f>
        <v>2.87154783531669</v>
      </c>
      <c r="D56" s="14" t="n">
        <v>2.871548</v>
      </c>
      <c r="E56" s="14" t="n">
        <v>1.480408</v>
      </c>
      <c r="F56" s="14" t="n">
        <v>2.3</v>
      </c>
      <c r="G56" s="14" t="n">
        <v>1.9</v>
      </c>
      <c r="H56" s="14" t="n">
        <v>1.860921</v>
      </c>
      <c r="I56" s="14" t="n">
        <v>2.023293</v>
      </c>
      <c r="J56" s="14" t="n">
        <v>2.551985</v>
      </c>
      <c r="K56" s="23" t="n">
        <v>78.8</v>
      </c>
      <c r="L56" s="20" t="n">
        <f aca="false">IF(AND(ISNUMBER(K56),ISNUMBER(K44)),(K56/K44-1)*100,"")</f>
        <v>2.4707412223667</v>
      </c>
      <c r="M56" s="14" t="n">
        <v>2.3</v>
      </c>
      <c r="N56" s="14" t="n">
        <v>2</v>
      </c>
      <c r="O56" s="14" t="n">
        <v>2.8</v>
      </c>
      <c r="P56" s="14" t="n">
        <v>2</v>
      </c>
      <c r="Q56" s="23" t="n">
        <v>2.4</v>
      </c>
      <c r="R56" s="23" t="n">
        <v>2.3</v>
      </c>
      <c r="S56" s="24" t="n">
        <v>98.779</v>
      </c>
      <c r="T56" s="20" t="n">
        <f aca="false">IF(AND(ISNUMBER(S56),ISNUMBER(S44)),(S56/S44-1)*100,"")</f>
        <v>1.48040847356634</v>
      </c>
    </row>
    <row r="57" customFormat="false" ht="15" hidden="false" customHeight="false" outlineLevel="0" collapsed="false">
      <c r="A57" s="17" t="n">
        <v>43282</v>
      </c>
      <c r="B57" s="22" t="n">
        <v>252.006</v>
      </c>
      <c r="C57" s="20" t="n">
        <f aca="false">IF(AND(ISNUMBER(B57),ISNUMBER(B45)),(B57/B45-1)*100,"")</f>
        <v>2.94951508664711</v>
      </c>
      <c r="D57" s="14" t="n">
        <v>2.949515</v>
      </c>
      <c r="E57" s="14" t="n">
        <v>1.118986</v>
      </c>
      <c r="F57" s="14" t="n">
        <v>2.3</v>
      </c>
      <c r="G57" s="14" t="n">
        <v>2.1</v>
      </c>
      <c r="H57" s="14" t="n">
        <v>1.853659</v>
      </c>
      <c r="I57" s="14" t="n">
        <v>2.287808</v>
      </c>
      <c r="J57" s="14" t="n">
        <v>3.016023</v>
      </c>
      <c r="K57" s="23" t="n">
        <v>79.4</v>
      </c>
      <c r="L57" s="20" t="n">
        <f aca="false">IF(AND(ISNUMBER(K57),ISNUMBER(K45)),(K57/K45-1)*100,"")</f>
        <v>2.98313878080416</v>
      </c>
      <c r="M57" s="14" t="n">
        <v>2.6</v>
      </c>
      <c r="N57" s="14" t="n">
        <v>2.2</v>
      </c>
      <c r="O57" s="14" t="n">
        <v>3.5</v>
      </c>
      <c r="P57" s="14" t="n">
        <v>2.2</v>
      </c>
      <c r="Q57" s="23" t="n">
        <v>2.5</v>
      </c>
      <c r="R57" s="23" t="n">
        <v>2.3</v>
      </c>
      <c r="S57" s="24" t="n">
        <v>98.59</v>
      </c>
      <c r="T57" s="20" t="n">
        <f aca="false">IF(AND(ISNUMBER(S57),ISNUMBER(S45)),(S57/S45-1)*100,"")</f>
        <v>1.11898583575216</v>
      </c>
    </row>
    <row r="58" customFormat="false" ht="15" hidden="false" customHeight="false" outlineLevel="0" collapsed="false">
      <c r="A58" s="17" t="n">
        <v>43313</v>
      </c>
      <c r="B58" s="22" t="n">
        <v>252.146</v>
      </c>
      <c r="C58" s="20" t="n">
        <f aca="false">IF(AND(ISNUMBER(B58),ISNUMBER(B46)),(B58/B46-1)*100,"")</f>
        <v>2.69918010418744</v>
      </c>
      <c r="D58" s="14" t="n">
        <v>2.69918</v>
      </c>
      <c r="E58" s="14" t="n">
        <v>1.431806</v>
      </c>
      <c r="F58" s="14" t="n">
        <v>2.4</v>
      </c>
      <c r="G58" s="14" t="n">
        <v>2.3</v>
      </c>
      <c r="H58" s="14" t="n">
        <v>1.851852</v>
      </c>
      <c r="I58" s="14" t="n">
        <v>2.25638</v>
      </c>
      <c r="J58" s="14" t="n">
        <v>3.418803</v>
      </c>
      <c r="K58" s="23" t="n">
        <v>79.1</v>
      </c>
      <c r="L58" s="20" t="n">
        <f aca="false">IF(AND(ISNUMBER(K58),ISNUMBER(K46)),(K58/K46-1)*100,"")</f>
        <v>3.3986928104575</v>
      </c>
      <c r="M58" s="14" t="n">
        <v>2.6</v>
      </c>
      <c r="N58" s="14" t="n">
        <v>2.1</v>
      </c>
      <c r="O58" s="14" t="n">
        <v>3.9</v>
      </c>
      <c r="P58" s="14" t="n">
        <v>2.1</v>
      </c>
      <c r="Q58" s="23" t="n">
        <v>2.7</v>
      </c>
      <c r="R58" s="23" t="n">
        <v>2.4</v>
      </c>
      <c r="S58" s="24" t="n">
        <v>99.462</v>
      </c>
      <c r="T58" s="20" t="n">
        <f aca="false">IF(AND(ISNUMBER(S58),ISNUMBER(S46)),(S58/S46-1)*100,"")</f>
        <v>1.43180566603438</v>
      </c>
    </row>
    <row r="59" customFormat="false" ht="15" hidden="false" customHeight="false" outlineLevel="0" collapsed="false">
      <c r="A59" s="17" t="n">
        <v>43344</v>
      </c>
      <c r="B59" s="22" t="n">
        <v>252.439</v>
      </c>
      <c r="C59" s="20" t="n">
        <f aca="false">IF(AND(ISNUMBER(B59),ISNUMBER(B47)),(B59/B47-1)*100,"")</f>
        <v>2.276972194199</v>
      </c>
      <c r="D59" s="14" t="n">
        <v>2.276972</v>
      </c>
      <c r="E59" s="14" t="n">
        <v>2.087153</v>
      </c>
      <c r="F59" s="14" t="n">
        <v>2.2</v>
      </c>
      <c r="G59" s="14" t="n">
        <v>2.5</v>
      </c>
      <c r="H59" s="14" t="n">
        <v>1.94742</v>
      </c>
      <c r="I59" s="14" t="n">
        <v>2.20073</v>
      </c>
      <c r="J59" s="14" t="n">
        <v>3.399433</v>
      </c>
      <c r="K59" s="23" t="n">
        <v>79.5</v>
      </c>
      <c r="L59" s="20" t="n">
        <f aca="false">IF(AND(ISNUMBER(K59),ISNUMBER(K47)),(K59/K47-1)*100,"")</f>
        <v>3.38101430429127</v>
      </c>
      <c r="M59" s="14" t="n">
        <v>2.5</v>
      </c>
      <c r="N59" s="14" t="n">
        <v>2.2</v>
      </c>
      <c r="O59" s="14" t="n">
        <v>3.8</v>
      </c>
      <c r="P59" s="14" t="n">
        <v>2.1</v>
      </c>
      <c r="Q59" s="23" t="n">
        <v>2.4</v>
      </c>
      <c r="R59" s="23" t="n">
        <v>2.2</v>
      </c>
      <c r="S59" s="24" t="n">
        <v>100.221</v>
      </c>
      <c r="T59" s="20" t="n">
        <f aca="false">IF(AND(ISNUMBER(S59),ISNUMBER(S47)),(S59/S47-1)*100,"")</f>
        <v>2.08715315976042</v>
      </c>
    </row>
    <row r="60" customFormat="false" ht="15" hidden="false" customHeight="false" outlineLevel="0" collapsed="false">
      <c r="A60" s="17" t="n">
        <v>43374</v>
      </c>
      <c r="B60" s="22" t="n">
        <v>252.885</v>
      </c>
      <c r="C60" s="20" t="n">
        <f aca="false">IF(AND(ISNUMBER(B60),ISNUMBER(B48)),(B60/B48-1)*100,"")</f>
        <v>2.52246992860703</v>
      </c>
      <c r="D60" s="14" t="n">
        <v>2.52247</v>
      </c>
      <c r="E60" s="14" t="n">
        <v>2.002508</v>
      </c>
      <c r="F60" s="14" t="n">
        <v>2.2</v>
      </c>
      <c r="G60" s="14" t="n">
        <v>2.5</v>
      </c>
      <c r="H60" s="14" t="n">
        <v>2.341463</v>
      </c>
      <c r="I60" s="14" t="n">
        <v>2.20842</v>
      </c>
      <c r="J60" s="14" t="n">
        <v>3.113208</v>
      </c>
      <c r="K60" s="23" t="n">
        <v>79.4</v>
      </c>
      <c r="L60" s="20" t="n">
        <f aca="false">IF(AND(ISNUMBER(K60),ISNUMBER(K48)),(K60/K48-1)*100,"")</f>
        <v>3.25097529258778</v>
      </c>
      <c r="M60" s="14" t="n">
        <v>2.5</v>
      </c>
      <c r="N60" s="14" t="n">
        <v>2.6</v>
      </c>
      <c r="O60" s="14" t="n">
        <v>3.6</v>
      </c>
      <c r="P60" s="14" t="n">
        <v>2.3</v>
      </c>
      <c r="Q60" s="23" t="n">
        <v>2.4</v>
      </c>
      <c r="R60" s="23" t="n">
        <v>2.2</v>
      </c>
      <c r="S60" s="24" t="n">
        <v>100.041</v>
      </c>
      <c r="T60" s="20" t="n">
        <f aca="false">IF(AND(ISNUMBER(S60),ISNUMBER(S48)),(S60/S48-1)*100,"")</f>
        <v>2.00250823332688</v>
      </c>
    </row>
    <row r="61" customFormat="false" ht="15" hidden="false" customHeight="false" outlineLevel="0" collapsed="false">
      <c r="A61" s="17" t="n">
        <v>43405</v>
      </c>
      <c r="B61" s="22" t="n">
        <v>252.038</v>
      </c>
      <c r="C61" s="20" t="n">
        <f aca="false">IF(AND(ISNUMBER(B61),ISNUMBER(B49)),(B61/B49-1)*100,"")</f>
        <v>2.1766010321524</v>
      </c>
      <c r="D61" s="14" t="n">
        <v>2.176601</v>
      </c>
      <c r="E61" s="14" t="n">
        <v>2.037043</v>
      </c>
      <c r="F61" s="14" t="n">
        <v>2.2</v>
      </c>
      <c r="G61" s="14" t="n">
        <v>2.2</v>
      </c>
      <c r="H61" s="14" t="n">
        <v>2.056807</v>
      </c>
      <c r="I61" s="14" t="n">
        <v>1.891067</v>
      </c>
      <c r="J61" s="14" t="n">
        <v>3.487276</v>
      </c>
      <c r="K61" s="23" t="n">
        <v>79.7</v>
      </c>
      <c r="L61" s="20" t="n">
        <f aca="false">IF(AND(ISNUMBER(K61),ISNUMBER(K49)),(K61/K49-1)*100,"")</f>
        <v>3.5064935064935</v>
      </c>
      <c r="M61" s="14" t="n">
        <v>2.2</v>
      </c>
      <c r="N61" s="14" t="n">
        <v>2.1</v>
      </c>
      <c r="O61" s="14" t="n">
        <v>3.9</v>
      </c>
      <c r="P61" s="14" t="n">
        <v>1.9</v>
      </c>
      <c r="Q61" s="23" t="n">
        <v>2.3</v>
      </c>
      <c r="R61" s="23" t="n">
        <v>2.2</v>
      </c>
      <c r="S61" s="24" t="n">
        <v>99.33</v>
      </c>
      <c r="T61" s="20" t="n">
        <f aca="false">IF(AND(ISNUMBER(S61),ISNUMBER(S49)),(S61/S49-1)*100,"")</f>
        <v>2.03704274399827</v>
      </c>
    </row>
    <row r="62" customFormat="false" ht="15" hidden="false" customHeight="false" outlineLevel="0" collapsed="false">
      <c r="A62" s="17" t="n">
        <v>43435</v>
      </c>
      <c r="B62" s="22" t="n">
        <v>251.233</v>
      </c>
      <c r="C62" s="20" t="n">
        <f aca="false">IF(AND(ISNUMBER(B62),ISNUMBER(B50)),(B62/B50-1)*100,"")</f>
        <v>1.91015884863137</v>
      </c>
      <c r="D62" s="14" t="n">
        <v>1.910159</v>
      </c>
      <c r="E62" s="14" t="n">
        <v>1.320395</v>
      </c>
      <c r="F62" s="14" t="n">
        <v>2</v>
      </c>
      <c r="G62" s="14" t="n">
        <v>1.9</v>
      </c>
      <c r="H62" s="14" t="n">
        <v>1.559454</v>
      </c>
      <c r="I62" s="14" t="n">
        <v>1.590574</v>
      </c>
      <c r="J62" s="14" t="n">
        <v>3.487276</v>
      </c>
      <c r="K62" s="23" t="n">
        <v>79.7</v>
      </c>
      <c r="L62" s="20" t="n">
        <f aca="false">IF(AND(ISNUMBER(K62),ISNUMBER(K50)),(K62/K50-1)*100,"")</f>
        <v>3.37224383916992</v>
      </c>
      <c r="M62" s="14" t="n">
        <v>1.9</v>
      </c>
      <c r="N62" s="14" t="n">
        <v>1.6</v>
      </c>
      <c r="O62" s="14" t="n">
        <v>3.9</v>
      </c>
      <c r="P62" s="14" t="n">
        <v>1.5</v>
      </c>
      <c r="Q62" s="23" t="n">
        <v>2.1</v>
      </c>
      <c r="R62" s="23" t="n">
        <v>2</v>
      </c>
      <c r="S62" s="24" t="n">
        <v>98.988</v>
      </c>
      <c r="T62" s="20" t="n">
        <f aca="false">IF(AND(ISNUMBER(S62),ISNUMBER(S50)),(S62/S50-1)*100,"")</f>
        <v>1.32039550451393</v>
      </c>
    </row>
    <row r="63" customFormat="false" ht="15" hidden="false" customHeight="false" outlineLevel="0" collapsed="false">
      <c r="A63" s="17" t="n">
        <v>43466</v>
      </c>
      <c r="B63" s="22" t="n">
        <v>251.712</v>
      </c>
      <c r="C63" s="20" t="n">
        <f aca="false">IF(AND(ISNUMBER(B63),ISNUMBER(B51)),(B63/B51-1)*100,"")</f>
        <v>1.55123513819913</v>
      </c>
      <c r="D63" s="14" t="n">
        <v>1.551235</v>
      </c>
      <c r="E63" s="14" t="n">
        <v>0.7930198</v>
      </c>
      <c r="F63" s="14" t="n">
        <v>1.8</v>
      </c>
      <c r="G63" s="14" t="n">
        <v>1.7</v>
      </c>
      <c r="H63" s="14" t="n">
        <v>1.372549</v>
      </c>
      <c r="I63" s="14" t="n">
        <v>1.238329</v>
      </c>
      <c r="J63" s="14" t="n">
        <v>3.113208</v>
      </c>
      <c r="K63" s="23" t="n">
        <v>79.4</v>
      </c>
      <c r="L63" s="20" t="n">
        <f aca="false">IF(AND(ISNUMBER(K63),ISNUMBER(K51)),(K63/K51-1)*100,"")</f>
        <v>3.11688311688312</v>
      </c>
      <c r="M63" s="14" t="n">
        <v>1.4</v>
      </c>
      <c r="N63" s="14" t="n">
        <v>1.7</v>
      </c>
      <c r="O63" s="14" t="n">
        <v>3.6</v>
      </c>
      <c r="P63" s="14" t="n">
        <v>1.4</v>
      </c>
      <c r="Q63" s="23" t="n">
        <v>1.8</v>
      </c>
      <c r="R63" s="23" t="n">
        <v>1.8</v>
      </c>
      <c r="S63" s="24" t="n">
        <v>98.884</v>
      </c>
      <c r="T63" s="20" t="n">
        <f aca="false">IF(AND(ISNUMBER(S63),ISNUMBER(S51)),(S63/S51-1)*100,"")</f>
        <v>0.793019794915706</v>
      </c>
    </row>
    <row r="64" customFormat="false" ht="15" hidden="false" customHeight="false" outlineLevel="0" collapsed="false">
      <c r="A64" s="17" t="n">
        <v>43497</v>
      </c>
      <c r="B64" s="22" t="n">
        <v>252.776</v>
      </c>
      <c r="C64" s="20" t="n">
        <f aca="false">IF(AND(ISNUMBER(B64),ISNUMBER(B52)),(B64/B52-1)*100,"")</f>
        <v>1.52013526593331</v>
      </c>
      <c r="D64" s="14" t="n">
        <v>1.520135</v>
      </c>
      <c r="E64" s="14" t="n">
        <v>0.4612817</v>
      </c>
      <c r="F64" s="14" t="n">
        <v>1.8</v>
      </c>
      <c r="G64" s="14" t="n">
        <v>1.5</v>
      </c>
      <c r="H64" s="14" t="n">
        <v>1.466276</v>
      </c>
      <c r="I64" s="14" t="n">
        <v>1.317342</v>
      </c>
      <c r="J64" s="14" t="n">
        <v>2.990654</v>
      </c>
      <c r="K64" s="23" t="n">
        <v>80</v>
      </c>
      <c r="L64" s="20" t="n">
        <f aca="false">IF(AND(ISNUMBER(K64),ISNUMBER(K52)),(K64/K52-1)*100,"")</f>
        <v>2.96010296010296</v>
      </c>
      <c r="M64" s="14" t="n">
        <v>1.5</v>
      </c>
      <c r="N64" s="14" t="n">
        <v>1.7</v>
      </c>
      <c r="O64" s="14" t="n">
        <v>3.4</v>
      </c>
      <c r="P64" s="14" t="n">
        <v>1.5</v>
      </c>
      <c r="Q64" s="23" t="n">
        <v>1.9</v>
      </c>
      <c r="R64" s="23" t="n">
        <v>1.8</v>
      </c>
      <c r="S64" s="24" t="n">
        <v>99.311</v>
      </c>
      <c r="T64" s="20" t="n">
        <f aca="false">IF(AND(ISNUMBER(S64),ISNUMBER(S52)),(S64/S52-1)*100,"")</f>
        <v>0.461281675180825</v>
      </c>
    </row>
    <row r="65" customFormat="false" ht="15" hidden="false" customHeight="false" outlineLevel="0" collapsed="false">
      <c r="A65" s="17" t="n">
        <v>43525</v>
      </c>
      <c r="B65" s="22" t="n">
        <v>254.202</v>
      </c>
      <c r="C65" s="20" t="n">
        <f aca="false">IF(AND(ISNUMBER(B65),ISNUMBER(B53)),(B65/B53-1)*100,"")</f>
        <v>1.86252274056917</v>
      </c>
      <c r="D65" s="14" t="n">
        <v>1.862523</v>
      </c>
      <c r="E65" s="14" t="n">
        <v>0.3746797</v>
      </c>
      <c r="F65" s="14" t="n">
        <v>1.8</v>
      </c>
      <c r="G65" s="14" t="n">
        <v>2.3</v>
      </c>
      <c r="H65" s="14" t="n">
        <v>1.263363</v>
      </c>
      <c r="I65" s="14" t="n">
        <v>1.109489</v>
      </c>
      <c r="J65" s="14" t="n">
        <v>2.889096</v>
      </c>
      <c r="K65" s="23" t="n">
        <v>80.1</v>
      </c>
      <c r="L65" s="20" t="n">
        <f aca="false">IF(AND(ISNUMBER(K65),ISNUMBER(K53)),(K65/K53-1)*100,"")</f>
        <v>2.82413350449293</v>
      </c>
      <c r="M65" s="14" t="n">
        <v>1.3</v>
      </c>
      <c r="N65" s="14" t="n">
        <v>1.4</v>
      </c>
      <c r="O65" s="14" t="n">
        <v>3.2</v>
      </c>
      <c r="P65" s="14" t="n">
        <v>1.4</v>
      </c>
      <c r="Q65" s="23" t="n">
        <v>1.9</v>
      </c>
      <c r="R65" s="23" t="n">
        <v>1.8</v>
      </c>
      <c r="S65" s="24" t="n">
        <v>99.121</v>
      </c>
      <c r="T65" s="20" t="n">
        <f aca="false">IF(AND(ISNUMBER(S65),ISNUMBER(S53)),(S65/S53-1)*100,"")</f>
        <v>0.374679750078477</v>
      </c>
    </row>
    <row r="66" customFormat="false" ht="15" hidden="false" customHeight="false" outlineLevel="0" collapsed="false">
      <c r="A66" s="17" t="n">
        <v>43556</v>
      </c>
      <c r="B66" s="22" t="n">
        <v>255.548</v>
      </c>
      <c r="C66" s="20" t="n">
        <f aca="false">IF(AND(ISNUMBER(B66),ISNUMBER(B54)),(B66/B54-1)*100,"")</f>
        <v>1.99643977553026</v>
      </c>
      <c r="D66" s="14" t="n">
        <v>1.99644</v>
      </c>
      <c r="E66" s="14" t="n">
        <v>0.555943</v>
      </c>
      <c r="F66" s="14" t="n">
        <v>2</v>
      </c>
      <c r="G66" s="14" t="n">
        <v>2.5</v>
      </c>
      <c r="H66" s="14" t="n">
        <v>2.036857</v>
      </c>
      <c r="I66" s="14" t="n">
        <v>1.263117</v>
      </c>
      <c r="J66" s="14" t="n">
        <v>2.878366</v>
      </c>
      <c r="K66" s="23" t="n">
        <v>80.5</v>
      </c>
      <c r="L66" s="20" t="n">
        <f aca="false">IF(AND(ISNUMBER(K66),ISNUMBER(K54)),(K66/K54-1)*100,"")</f>
        <v>2.94117647058823</v>
      </c>
      <c r="M66" s="14" t="n">
        <v>1.4</v>
      </c>
      <c r="N66" s="14" t="n">
        <v>2.1</v>
      </c>
      <c r="O66" s="14" t="n">
        <v>3.1</v>
      </c>
      <c r="P66" s="14" t="n">
        <v>1.7</v>
      </c>
      <c r="Q66" s="23" t="n">
        <v>2.1</v>
      </c>
      <c r="R66" s="23" t="n">
        <v>2</v>
      </c>
      <c r="S66" s="24" t="n">
        <v>99.481</v>
      </c>
      <c r="T66" s="20" t="n">
        <f aca="false">IF(AND(ISNUMBER(S66),ISNUMBER(S54)),(S66/S54-1)*100,"")</f>
        <v>0.555943031001394</v>
      </c>
    </row>
    <row r="67" customFormat="false" ht="15" hidden="false" customHeight="false" outlineLevel="0" collapsed="false">
      <c r="A67" s="17" t="n">
        <v>43586</v>
      </c>
      <c r="B67" s="22" t="n">
        <v>256.092</v>
      </c>
      <c r="C67" s="20" t="n">
        <f aca="false">IF(AND(ISNUMBER(B67),ISNUMBER(B55)),(B67/B55-1)*100,"")</f>
        <v>1.7902284687664</v>
      </c>
      <c r="D67" s="14" t="n">
        <v>1.790228</v>
      </c>
      <c r="E67" s="14" t="n">
        <v>0.6799422</v>
      </c>
      <c r="F67" s="14" t="n">
        <v>1.9</v>
      </c>
      <c r="G67" s="14" t="n">
        <v>2.7</v>
      </c>
      <c r="H67" s="14" t="n">
        <v>1.443696</v>
      </c>
      <c r="I67" s="14" t="n">
        <v>0.9384675</v>
      </c>
      <c r="J67" s="14" t="n">
        <v>2.504638</v>
      </c>
      <c r="K67" s="23" t="n">
        <v>80.3</v>
      </c>
      <c r="L67" s="20" t="n">
        <f aca="false">IF(AND(ISNUMBER(K67),ISNUMBER(K55)),(K67/K55-1)*100,"")</f>
        <v>2.68542199488491</v>
      </c>
      <c r="M67" s="14" t="n">
        <v>1.1</v>
      </c>
      <c r="N67" s="14" t="n">
        <v>1.3</v>
      </c>
      <c r="O67" s="14" t="n">
        <v>2.8</v>
      </c>
      <c r="P67" s="14" t="n">
        <v>1.2</v>
      </c>
      <c r="Q67" s="23" t="n">
        <v>2</v>
      </c>
      <c r="R67" s="23" t="n">
        <v>1.9</v>
      </c>
      <c r="S67" s="24" t="n">
        <v>99.652</v>
      </c>
      <c r="T67" s="20" t="n">
        <f aca="false">IF(AND(ISNUMBER(S67),ISNUMBER(S55)),(S67/S55-1)*100,"")</f>
        <v>0.679942209963724</v>
      </c>
    </row>
    <row r="68" customFormat="false" ht="15" hidden="false" customHeight="false" outlineLevel="0" collapsed="false">
      <c r="A68" s="17" t="n">
        <v>43617</v>
      </c>
      <c r="B68" s="22" t="n">
        <v>256.143</v>
      </c>
      <c r="C68" s="20" t="n">
        <f aca="false">IF(AND(ISNUMBER(B68),ISNUMBER(B56)),(B68/B56-1)*100,"")</f>
        <v>1.64848465607625</v>
      </c>
      <c r="D68" s="14" t="n">
        <v>1.648485</v>
      </c>
      <c r="E68" s="14" t="n">
        <v>0.720801</v>
      </c>
      <c r="F68" s="14" t="n">
        <v>1.9</v>
      </c>
      <c r="G68" s="14" t="n">
        <v>2.7</v>
      </c>
      <c r="H68" s="14" t="n">
        <v>1.634615</v>
      </c>
      <c r="I68" s="14" t="n">
        <v>1.170552</v>
      </c>
      <c r="J68" s="14" t="n">
        <v>1.935484</v>
      </c>
      <c r="K68" s="23" t="n">
        <v>80.3</v>
      </c>
      <c r="L68" s="20" t="n">
        <f aca="false">IF(AND(ISNUMBER(K68),ISNUMBER(K56)),(K68/K56-1)*100,"")</f>
        <v>1.90355329949239</v>
      </c>
      <c r="M68" s="14" t="n">
        <v>1.4</v>
      </c>
      <c r="N68" s="14" t="n">
        <v>1.6</v>
      </c>
      <c r="O68" s="14" t="n">
        <v>2.1</v>
      </c>
      <c r="P68" s="14" t="n">
        <v>1.3</v>
      </c>
      <c r="Q68" s="23" t="n">
        <v>2</v>
      </c>
      <c r="R68" s="23" t="n">
        <v>1.9</v>
      </c>
      <c r="S68" s="24" t="n">
        <v>99.491</v>
      </c>
      <c r="T68" s="20" t="n">
        <f aca="false">IF(AND(ISNUMBER(S68),ISNUMBER(S56)),(S68/S56-1)*100,"")</f>
        <v>0.720800979965386</v>
      </c>
    </row>
    <row r="69" customFormat="false" ht="15" hidden="false" customHeight="false" outlineLevel="0" collapsed="false">
      <c r="A69" s="17" t="n">
        <v>43647</v>
      </c>
      <c r="B69" s="22" t="n">
        <v>256.571</v>
      </c>
      <c r="C69" s="20" t="n">
        <f aca="false">IF(AND(ISNUMBER(B69),ISNUMBER(B57)),(B69/B57-1)*100,"")</f>
        <v>1.81146480639351</v>
      </c>
      <c r="D69" s="14" t="n">
        <v>1.811465</v>
      </c>
      <c r="E69" s="14" t="n">
        <v>0.6055381</v>
      </c>
      <c r="F69" s="14" t="n">
        <v>2</v>
      </c>
      <c r="G69" s="14" t="n">
        <v>2.8</v>
      </c>
      <c r="H69" s="14" t="n">
        <v>1.724138</v>
      </c>
      <c r="I69" s="14" t="n">
        <v>1.065066</v>
      </c>
      <c r="J69" s="14" t="n">
        <v>1.921317</v>
      </c>
      <c r="K69" s="23" t="n">
        <v>80.9</v>
      </c>
      <c r="L69" s="20" t="n">
        <f aca="false">IF(AND(ISNUMBER(K69),ISNUMBER(K57)),(K69/K57-1)*100,"")</f>
        <v>1.88916876574308</v>
      </c>
      <c r="M69" s="14" t="n">
        <v>1.3</v>
      </c>
      <c r="N69" s="14" t="n">
        <v>1.2</v>
      </c>
      <c r="O69" s="14" t="n">
        <v>1.8</v>
      </c>
      <c r="P69" s="14" t="n">
        <v>1</v>
      </c>
      <c r="Q69" s="23" t="n">
        <v>2.1</v>
      </c>
      <c r="R69" s="23" t="n">
        <v>2</v>
      </c>
      <c r="S69" s="24" t="n">
        <v>99.187</v>
      </c>
      <c r="T69" s="20" t="n">
        <f aca="false">IF(AND(ISNUMBER(S69),ISNUMBER(S57)),(S69/S57-1)*100,"")</f>
        <v>0.60553808702708</v>
      </c>
    </row>
    <row r="70" customFormat="false" ht="15" hidden="false" customHeight="false" outlineLevel="0" collapsed="false">
      <c r="A70" s="17" t="n">
        <v>43678</v>
      </c>
      <c r="B70" s="22" t="n">
        <v>256.558</v>
      </c>
      <c r="C70" s="20" t="n">
        <f aca="false">IF(AND(ISNUMBER(B70),ISNUMBER(B58)),(B70/B58-1)*100,"")</f>
        <v>1.74977988942915</v>
      </c>
      <c r="D70" s="14" t="n">
        <v>1.74978</v>
      </c>
      <c r="E70" s="14" t="n">
        <v>-0.03720014</v>
      </c>
      <c r="F70" s="14" t="n">
        <v>1.7</v>
      </c>
      <c r="G70" s="14" t="n">
        <v>2.8</v>
      </c>
      <c r="H70" s="14" t="n">
        <v>1.435407</v>
      </c>
      <c r="I70" s="14" t="n">
        <v>1.040663</v>
      </c>
      <c r="J70" s="14" t="n">
        <v>1.561065</v>
      </c>
      <c r="K70" s="23" t="n">
        <v>80.3</v>
      </c>
      <c r="L70" s="20" t="n">
        <f aca="false">IF(AND(ISNUMBER(K70),ISNUMBER(K58)),(K70/K58-1)*100,"")</f>
        <v>1.51706700379266</v>
      </c>
      <c r="M70" s="14" t="n">
        <v>1.3</v>
      </c>
      <c r="N70" s="14" t="n">
        <v>1</v>
      </c>
      <c r="O70" s="14" t="n">
        <v>1.4</v>
      </c>
      <c r="P70" s="14" t="n">
        <v>1</v>
      </c>
      <c r="Q70" s="23" t="n">
        <v>1.7</v>
      </c>
      <c r="R70" s="23" t="n">
        <v>1.7</v>
      </c>
      <c r="S70" s="24" t="n">
        <v>99.425</v>
      </c>
      <c r="T70" s="20" t="n">
        <f aca="false">IF(AND(ISNUMBER(S70),ISNUMBER(S58)),(S70/S58-1)*100,"")</f>
        <v>-0.0372001367356489</v>
      </c>
    </row>
    <row r="71" customFormat="false" ht="15" hidden="false" customHeight="false" outlineLevel="0" collapsed="false">
      <c r="A71" s="17" t="n">
        <v>43709</v>
      </c>
      <c r="B71" s="22" t="n">
        <v>256.759</v>
      </c>
      <c r="C71" s="20" t="n">
        <f aca="false">IF(AND(ISNUMBER(B71),ISNUMBER(B59)),(B71/B59-1)*100,"")</f>
        <v>1.71130451316952</v>
      </c>
      <c r="D71" s="14" t="n">
        <v>1.711305</v>
      </c>
      <c r="E71" s="14" t="n">
        <v>-0.4260584</v>
      </c>
      <c r="F71" s="14" t="n">
        <v>1.7</v>
      </c>
      <c r="G71" s="14" t="n">
        <v>3</v>
      </c>
      <c r="H71" s="14" t="n">
        <v>1.241643</v>
      </c>
      <c r="I71" s="14" t="n">
        <v>0.9076864</v>
      </c>
      <c r="J71" s="14" t="n">
        <v>1.461187</v>
      </c>
      <c r="K71" s="23" t="n">
        <v>80.7</v>
      </c>
      <c r="L71" s="20" t="n">
        <f aca="false">IF(AND(ISNUMBER(K71),ISNUMBER(K59)),(K71/K59-1)*100,"")</f>
        <v>1.50943396226415</v>
      </c>
      <c r="M71" s="14" t="n">
        <v>1.1</v>
      </c>
      <c r="N71" s="14" t="n">
        <v>0.9</v>
      </c>
      <c r="O71" s="14" t="n">
        <v>1.4</v>
      </c>
      <c r="P71" s="14" t="n">
        <v>0.8</v>
      </c>
      <c r="Q71" s="23" t="n">
        <v>1.7</v>
      </c>
      <c r="R71" s="23" t="n">
        <v>1.7</v>
      </c>
      <c r="S71" s="24" t="n">
        <v>99.794</v>
      </c>
      <c r="T71" s="20" t="n">
        <f aca="false">IF(AND(ISNUMBER(S71),ISNUMBER(S59)),(S71/S59-1)*100,"")</f>
        <v>-0.426058410911889</v>
      </c>
    </row>
    <row r="72" customFormat="false" ht="15" hidden="false" customHeight="false" outlineLevel="0" collapsed="false">
      <c r="A72" s="17" t="n">
        <v>43739</v>
      </c>
      <c r="B72" s="22" t="n">
        <v>257.346</v>
      </c>
      <c r="C72" s="20" t="n">
        <f aca="false">IF(AND(ISNUMBER(B72),ISNUMBER(B60)),(B72/B60-1)*100,"")</f>
        <v>1.76404294442138</v>
      </c>
      <c r="D72" s="14" t="n">
        <v>1.764043</v>
      </c>
      <c r="E72" s="14" t="n">
        <v>0</v>
      </c>
      <c r="F72" s="14" t="n">
        <v>1.5</v>
      </c>
      <c r="G72" s="14" t="n">
        <v>3.8</v>
      </c>
      <c r="H72" s="14" t="n">
        <v>1.143947</v>
      </c>
      <c r="I72" s="14" t="n">
        <v>0.7620334</v>
      </c>
      <c r="J72" s="14" t="n">
        <v>1.829826</v>
      </c>
      <c r="K72" s="23" t="n">
        <v>80.8</v>
      </c>
      <c r="L72" s="20" t="n">
        <f aca="false">IF(AND(ISNUMBER(K72),ISNUMBER(K60)),(K72/K60-1)*100,"")</f>
        <v>1.76322418136019</v>
      </c>
      <c r="M72" s="14" t="n">
        <v>0.9</v>
      </c>
      <c r="N72" s="14" t="n">
        <v>0.8</v>
      </c>
      <c r="O72" s="14" t="n">
        <v>1.8</v>
      </c>
      <c r="P72" s="14" t="n">
        <v>0.7</v>
      </c>
      <c r="Q72" s="23" t="n">
        <v>1.5</v>
      </c>
      <c r="R72" s="23" t="n">
        <v>1.5</v>
      </c>
      <c r="S72" s="24" t="n">
        <v>100.041</v>
      </c>
      <c r="T72" s="20" t="n">
        <f aca="false">IF(AND(ISNUMBER(S72),ISNUMBER(S60)),(S72/S60-1)*100,"")</f>
        <v>0</v>
      </c>
    </row>
    <row r="73" customFormat="false" ht="15" hidden="false" customHeight="false" outlineLevel="0" collapsed="false">
      <c r="A73" s="17" t="n">
        <v>43770</v>
      </c>
      <c r="B73" s="22" t="n">
        <v>257.208</v>
      </c>
      <c r="C73" s="20" t="n">
        <f aca="false">IF(AND(ISNUMBER(B73),ISNUMBER(B61)),(B73/B61-1)*100,"")</f>
        <v>2.05127798189162</v>
      </c>
      <c r="D73" s="14" t="n">
        <v>2.051278</v>
      </c>
      <c r="E73" s="14" t="n">
        <v>0.1520185</v>
      </c>
      <c r="F73" s="14" t="n">
        <v>1.5</v>
      </c>
      <c r="G73" s="14" t="n">
        <v>4.5</v>
      </c>
      <c r="H73" s="14" t="n">
        <v>1.055662</v>
      </c>
      <c r="I73" s="14" t="n">
        <v>1.034316</v>
      </c>
      <c r="J73" s="14" t="n">
        <v>1.639344</v>
      </c>
      <c r="K73" s="23" t="n">
        <v>81</v>
      </c>
      <c r="L73" s="20" t="n">
        <f aca="false">IF(AND(ISNUMBER(K73),ISNUMBER(K61)),(K73/K61-1)*100,"")</f>
        <v>1.6311166875784</v>
      </c>
      <c r="M73" s="14" t="n">
        <v>1.2</v>
      </c>
      <c r="N73" s="14" t="n">
        <v>1.2</v>
      </c>
      <c r="O73" s="14" t="n">
        <v>1.5</v>
      </c>
      <c r="P73" s="14" t="n">
        <v>1</v>
      </c>
      <c r="Q73" s="23" t="n">
        <v>1.5</v>
      </c>
      <c r="R73" s="23" t="n">
        <v>1.5</v>
      </c>
      <c r="S73" s="24" t="n">
        <v>99.481</v>
      </c>
      <c r="T73" s="20" t="n">
        <f aca="false">IF(AND(ISNUMBER(S73),ISNUMBER(S61)),(S73/S61-1)*100,"")</f>
        <v>0.152018524111552</v>
      </c>
    </row>
    <row r="74" customFormat="false" ht="15" hidden="false" customHeight="false" outlineLevel="0" collapsed="false">
      <c r="A74" s="17" t="n">
        <v>43800</v>
      </c>
      <c r="B74" s="22" t="n">
        <v>256.974</v>
      </c>
      <c r="C74" s="20" t="n">
        <f aca="false">IF(AND(ISNUMBER(B74),ISNUMBER(B62)),(B74/B62-1)*100,"")</f>
        <v>2.28512974012172</v>
      </c>
      <c r="D74" s="14" t="n">
        <v>2.28513</v>
      </c>
      <c r="E74" s="14" t="n">
        <v>0.7384734</v>
      </c>
      <c r="F74" s="14" t="n">
        <v>1.4</v>
      </c>
      <c r="G74" s="14" t="n">
        <v>4.5</v>
      </c>
      <c r="H74" s="14" t="n">
        <v>1.535509</v>
      </c>
      <c r="I74" s="14" t="n">
        <v>1.45936</v>
      </c>
      <c r="J74" s="14" t="n">
        <v>1.36612</v>
      </c>
      <c r="K74" s="23" t="n">
        <v>80.8</v>
      </c>
      <c r="L74" s="20" t="n">
        <f aca="false">IF(AND(ISNUMBER(K74),ISNUMBER(K62)),(K74/K62-1)*100,"")</f>
        <v>1.3801756587202</v>
      </c>
      <c r="M74" s="14" t="n">
        <v>1.6</v>
      </c>
      <c r="N74" s="14" t="n">
        <v>1.6</v>
      </c>
      <c r="O74" s="14" t="n">
        <v>1.1</v>
      </c>
      <c r="P74" s="14" t="n">
        <v>1.3</v>
      </c>
      <c r="Q74" s="23" t="n">
        <v>1.3</v>
      </c>
      <c r="R74" s="23" t="n">
        <v>1.4</v>
      </c>
      <c r="S74" s="24" t="n">
        <v>99.719</v>
      </c>
      <c r="T74" s="20" t="n">
        <f aca="false">IF(AND(ISNUMBER(S74),ISNUMBER(S62)),(S74/S62-1)*100,"")</f>
        <v>0.73847335030508</v>
      </c>
    </row>
    <row r="75" customFormat="false" ht="15" hidden="false" customHeight="false" outlineLevel="0" collapsed="false">
      <c r="A75" s="17" t="n">
        <v>43831</v>
      </c>
      <c r="B75" s="22" t="n">
        <v>257.971</v>
      </c>
      <c r="C75" s="20" t="n">
        <f aca="false">IF(AND(ISNUMBER(B75),ISNUMBER(B63)),(B75/B63-1)*100,"")</f>
        <v>2.48657195525046</v>
      </c>
      <c r="D75" s="14" t="n">
        <v>2.486572</v>
      </c>
      <c r="E75" s="14" t="n">
        <v>1.219611</v>
      </c>
      <c r="F75" s="14" t="n">
        <v>1.8</v>
      </c>
      <c r="G75" s="14" t="n">
        <v>5.4</v>
      </c>
      <c r="H75" s="14" t="n">
        <v>1.740812</v>
      </c>
      <c r="I75" s="14" t="n">
        <v>1.485293</v>
      </c>
      <c r="J75" s="14" t="n">
        <v>1.829826</v>
      </c>
      <c r="K75" s="23" t="n">
        <v>80.8</v>
      </c>
      <c r="L75" s="20" t="n">
        <f aca="false">IF(AND(ISNUMBER(K75),ISNUMBER(K63)),(K75/K63-1)*100,"")</f>
        <v>1.76322418136019</v>
      </c>
      <c r="M75" s="14" t="n">
        <v>1.7</v>
      </c>
      <c r="N75" s="14" t="n">
        <v>1.7</v>
      </c>
      <c r="O75" s="14" t="n">
        <v>1.7</v>
      </c>
      <c r="P75" s="14" t="n">
        <v>1.4</v>
      </c>
      <c r="Q75" s="23" t="n">
        <v>1.8</v>
      </c>
      <c r="R75" s="23" t="n">
        <v>1.8</v>
      </c>
      <c r="S75" s="24" t="n">
        <v>100.09</v>
      </c>
      <c r="T75" s="20" t="n">
        <f aca="false">IF(AND(ISNUMBER(S75),ISNUMBER(S63)),(S75/S63-1)*100,"")</f>
        <v>1.21961085716598</v>
      </c>
    </row>
    <row r="76" customFormat="false" ht="15" hidden="false" customHeight="false" outlineLevel="0" collapsed="false">
      <c r="A76" s="17" t="n">
        <v>43862</v>
      </c>
      <c r="B76" s="22" t="n">
        <v>258.678</v>
      </c>
      <c r="C76" s="20" t="n">
        <f aca="false">IF(AND(ISNUMBER(B76),ISNUMBER(B64)),(B76/B64-1)*100,"")</f>
        <v>2.33487356394595</v>
      </c>
      <c r="D76" s="14" t="n">
        <v>2.334874</v>
      </c>
      <c r="E76" s="14" t="n">
        <v>0.8548902</v>
      </c>
      <c r="F76" s="14" t="n">
        <v>1.7</v>
      </c>
      <c r="G76" s="14" t="n">
        <v>5.2</v>
      </c>
      <c r="H76" s="14" t="n">
        <v>1.653403</v>
      </c>
      <c r="I76" s="14" t="n">
        <v>1.426354</v>
      </c>
      <c r="J76" s="14" t="n">
        <v>0.907441</v>
      </c>
      <c r="K76" s="23" t="n">
        <v>80.8</v>
      </c>
      <c r="L76" s="20" t="n">
        <f aca="false">IF(AND(ISNUMBER(K76),ISNUMBER(K64)),(K76/K64-1)*100,"")</f>
        <v>1</v>
      </c>
      <c r="M76" s="14" t="n">
        <v>1.6</v>
      </c>
      <c r="N76" s="14" t="n">
        <v>1.7</v>
      </c>
      <c r="O76" s="14" t="n">
        <v>0.7</v>
      </c>
      <c r="P76" s="14" t="n">
        <v>1.2</v>
      </c>
      <c r="Q76" s="23" t="n">
        <v>1.7</v>
      </c>
      <c r="R76" s="23" t="n">
        <v>1.7</v>
      </c>
      <c r="S76" s="24" t="n">
        <v>100.16</v>
      </c>
      <c r="T76" s="20" t="n">
        <f aca="false">IF(AND(ISNUMBER(S76),ISNUMBER(S64)),(S76/S64-1)*100,"")</f>
        <v>0.854890193432745</v>
      </c>
    </row>
    <row r="77" customFormat="false" ht="15" hidden="false" customHeight="false" outlineLevel="0" collapsed="false">
      <c r="A77" s="17" t="n">
        <v>43891</v>
      </c>
      <c r="B77" s="22" t="n">
        <v>258.115</v>
      </c>
      <c r="C77" s="20" t="n">
        <f aca="false">IF(AND(ISNUMBER(B77),ISNUMBER(B65)),(B77/B65-1)*100,"")</f>
        <v>1.53932699191981</v>
      </c>
      <c r="D77" s="14" t="n">
        <v>1.539327</v>
      </c>
      <c r="E77" s="14" t="n">
        <v>0.8262628</v>
      </c>
      <c r="F77" s="14" t="n">
        <v>1.5</v>
      </c>
      <c r="G77" s="14" t="n">
        <v>4.3</v>
      </c>
      <c r="H77" s="14" t="n">
        <v>1.465503</v>
      </c>
      <c r="I77" s="14" t="n">
        <v>0.6737896</v>
      </c>
      <c r="J77" s="14" t="n">
        <v>0.7246377</v>
      </c>
      <c r="K77" s="23" t="n">
        <v>80.8</v>
      </c>
      <c r="L77" s="20" t="n">
        <f aca="false">IF(AND(ISNUMBER(K77),ISNUMBER(K65)),(K77/K65-1)*100,"")</f>
        <v>0.873907615480651</v>
      </c>
      <c r="M77" s="14" t="n">
        <v>0.8</v>
      </c>
      <c r="N77" s="14" t="n">
        <v>1.3</v>
      </c>
      <c r="O77" s="14" t="n">
        <v>0.6</v>
      </c>
      <c r="P77" s="14" t="n">
        <v>0.7</v>
      </c>
      <c r="Q77" s="23" t="n">
        <v>1.5</v>
      </c>
      <c r="R77" s="23" t="n">
        <v>1.5</v>
      </c>
      <c r="S77" s="24" t="n">
        <v>99.94</v>
      </c>
      <c r="T77" s="20" t="n">
        <f aca="false">IF(AND(ISNUMBER(S77),ISNUMBER(S65)),(S77/S65-1)*100,"")</f>
        <v>0.826262850455506</v>
      </c>
    </row>
    <row r="78" customFormat="false" ht="15" hidden="false" customHeight="false" outlineLevel="0" collapsed="false">
      <c r="A78" s="17" t="n">
        <v>43922</v>
      </c>
      <c r="B78" s="22" t="n">
        <v>256.389</v>
      </c>
      <c r="C78" s="20" t="n">
        <f aca="false">IF(AND(ISNUMBER(B78),ISNUMBER(B66)),(B78/B66-1)*100,"")</f>
        <v>0.329096686336827</v>
      </c>
      <c r="D78" s="14" t="n">
        <v>0.3290967</v>
      </c>
      <c r="E78" s="14" t="n">
        <v>0.01909912</v>
      </c>
      <c r="F78" s="14" t="n">
        <v>0.9</v>
      </c>
      <c r="G78" s="14" t="n">
        <v>3.3</v>
      </c>
      <c r="H78" s="14" t="n">
        <v>0.6012024</v>
      </c>
      <c r="I78" s="14" t="n">
        <v>0.326233</v>
      </c>
      <c r="J78" s="14" t="n">
        <v>0.8122744</v>
      </c>
      <c r="K78" s="23" t="n">
        <v>81.1</v>
      </c>
      <c r="L78" s="20" t="n">
        <f aca="false">IF(AND(ISNUMBER(K78),ISNUMBER(K66)),(K78/K66-1)*100,"")</f>
        <v>0.745341614906825</v>
      </c>
      <c r="M78" s="14" t="n">
        <v>0.4</v>
      </c>
      <c r="N78" s="14" t="n">
        <v>0.8</v>
      </c>
      <c r="O78" s="14" t="n">
        <v>0.6</v>
      </c>
      <c r="P78" s="14" t="n">
        <v>0.3</v>
      </c>
      <c r="Q78" s="23" t="n">
        <v>0.8</v>
      </c>
      <c r="R78" s="23" t="n">
        <v>0.9</v>
      </c>
      <c r="S78" s="24" t="n">
        <v>99.5</v>
      </c>
      <c r="T78" s="20" t="n">
        <f aca="false">IF(AND(ISNUMBER(S78),ISNUMBER(S66)),(S78/S66-1)*100,"")</f>
        <v>0.0190991244559235</v>
      </c>
    </row>
    <row r="79" customFormat="false" ht="15" hidden="false" customHeight="false" outlineLevel="0" collapsed="false">
      <c r="A79" s="17" t="n">
        <v>43952</v>
      </c>
      <c r="B79" s="22" t="n">
        <v>256.394</v>
      </c>
      <c r="C79" s="20" t="n">
        <f aca="false">IF(AND(ISNUMBER(B79),ISNUMBER(B67)),(B79/B67-1)*100,"")</f>
        <v>0.117926370210708</v>
      </c>
      <c r="D79" s="14" t="n">
        <v>0.1179264</v>
      </c>
      <c r="E79" s="14" t="n">
        <v>-0.2127403</v>
      </c>
      <c r="F79" s="14" t="n">
        <v>0.7</v>
      </c>
      <c r="G79" s="14" t="n">
        <v>2.4</v>
      </c>
      <c r="H79" s="14" t="n">
        <v>0.4103083</v>
      </c>
      <c r="I79" s="14" t="n">
        <v>0.3642289</v>
      </c>
      <c r="J79" s="14" t="n">
        <v>1.266968</v>
      </c>
      <c r="K79" s="23" t="n">
        <v>81.2</v>
      </c>
      <c r="L79" s="20" t="n">
        <f aca="false">IF(AND(ISNUMBER(K79),ISNUMBER(K67)),(K79/K67-1)*100,"")</f>
        <v>1.12079701120797</v>
      </c>
      <c r="M79" s="14" t="n">
        <v>0.4</v>
      </c>
      <c r="N79" s="14" t="n">
        <v>0.5</v>
      </c>
      <c r="O79" s="14" t="n">
        <v>1.1</v>
      </c>
      <c r="P79" s="14" t="n">
        <v>0.1</v>
      </c>
      <c r="Q79" s="23" t="n">
        <v>0.5</v>
      </c>
      <c r="R79" s="23" t="n">
        <v>0.7</v>
      </c>
      <c r="S79" s="24" t="n">
        <v>99.44</v>
      </c>
      <c r="T79" s="20" t="n">
        <f aca="false">IF(AND(ISNUMBER(S79),ISNUMBER(S67)),(S79/S67-1)*100,"")</f>
        <v>-0.212740336370576</v>
      </c>
    </row>
    <row r="80" customFormat="false" ht="15" hidden="false" customHeight="false" outlineLevel="0" collapsed="false">
      <c r="A80" s="17" t="n">
        <v>43983</v>
      </c>
      <c r="B80" s="22" t="n">
        <v>257.797</v>
      </c>
      <c r="C80" s="20" t="n">
        <f aca="false">IF(AND(ISNUMBER(B80),ISNUMBER(B68)),(B80/B68-1)*100,"")</f>
        <v>0.645733047555486</v>
      </c>
      <c r="D80" s="14" t="n">
        <v>0.6457331</v>
      </c>
      <c r="E80" s="14" t="n">
        <v>0.2201204</v>
      </c>
      <c r="F80" s="14" t="n">
        <v>0.8</v>
      </c>
      <c r="G80" s="14" t="n">
        <v>2.5</v>
      </c>
      <c r="H80" s="14" t="n">
        <v>0.225048</v>
      </c>
      <c r="I80" s="14" t="n">
        <v>0.2008032</v>
      </c>
      <c r="J80" s="14" t="n">
        <v>1.356239</v>
      </c>
      <c r="K80" s="23" t="n">
        <v>81.4</v>
      </c>
      <c r="L80" s="20" t="n">
        <f aca="false">IF(AND(ISNUMBER(K80),ISNUMBER(K68)),(K80/K68-1)*100,"")</f>
        <v>1.36986301369864</v>
      </c>
      <c r="M80" s="14" t="n">
        <v>0.2</v>
      </c>
      <c r="N80" s="14" t="n">
        <v>0.8</v>
      </c>
      <c r="O80" s="14" t="n">
        <v>1.2</v>
      </c>
      <c r="P80" s="14" t="n">
        <v>0.3</v>
      </c>
      <c r="Q80" s="23" t="n">
        <v>0.6</v>
      </c>
      <c r="R80" s="23" t="n">
        <v>0.8</v>
      </c>
      <c r="S80" s="24" t="n">
        <v>99.71</v>
      </c>
      <c r="T80" s="20" t="n">
        <f aca="false">IF(AND(ISNUMBER(S80),ISNUMBER(S68)),(S80/S68-1)*100,"")</f>
        <v>0.22012041290167</v>
      </c>
    </row>
    <row r="81" customFormat="false" ht="15" hidden="false" customHeight="false" outlineLevel="0" collapsed="false">
      <c r="A81" s="17" t="n">
        <v>44013</v>
      </c>
      <c r="B81" s="22" t="n">
        <v>259.101</v>
      </c>
      <c r="C81" s="20" t="n">
        <f aca="false">IF(AND(ISNUMBER(B81),ISNUMBER(B69)),(B81/B69-1)*100,"")</f>
        <v>0.986081825303709</v>
      </c>
      <c r="D81" s="14" t="n">
        <v>0.9860818</v>
      </c>
      <c r="E81" s="14" t="n">
        <v>0.4466311</v>
      </c>
      <c r="F81" s="14" t="n">
        <v>1.1</v>
      </c>
      <c r="G81" s="14" t="n">
        <v>2.7</v>
      </c>
      <c r="H81" s="14" t="n">
        <v>-1.040877</v>
      </c>
      <c r="I81" s="14" t="n">
        <v>0.7760108</v>
      </c>
      <c r="J81" s="14" t="n">
        <v>1.346499</v>
      </c>
      <c r="K81" s="23" t="n">
        <v>82</v>
      </c>
      <c r="L81" s="20" t="n">
        <f aca="false">IF(AND(ISNUMBER(K81),ISNUMBER(K69)),(K81/K69-1)*100,"")</f>
        <v>1.35970333745363</v>
      </c>
      <c r="M81" s="14" t="n">
        <v>0.8</v>
      </c>
      <c r="N81" s="14" t="n">
        <v>0</v>
      </c>
      <c r="O81" s="14" t="n">
        <v>1.4</v>
      </c>
      <c r="P81" s="14" t="n">
        <v>0.4</v>
      </c>
      <c r="Q81" s="23" t="n">
        <v>1</v>
      </c>
      <c r="R81" s="23" t="n">
        <v>1.1</v>
      </c>
      <c r="S81" s="24" t="n">
        <v>99.63</v>
      </c>
      <c r="T81" s="20" t="n">
        <f aca="false">IF(AND(ISNUMBER(S81),ISNUMBER(S69)),(S81/S69-1)*100,"")</f>
        <v>0.446631110931883</v>
      </c>
    </row>
    <row r="82" customFormat="false" ht="15" hidden="false" customHeight="false" outlineLevel="0" collapsed="false">
      <c r="A82" s="17" t="n">
        <v>44044</v>
      </c>
      <c r="B82" s="22" t="n">
        <v>259.918</v>
      </c>
      <c r="C82" s="20" t="n">
        <f aca="false">IF(AND(ISNUMBER(B82),ISNUMBER(B70)),(B82/B70-1)*100,"")</f>
        <v>1.30964538233072</v>
      </c>
      <c r="D82" s="14" t="n">
        <v>1.309645</v>
      </c>
      <c r="E82" s="14" t="n">
        <v>0.7694242</v>
      </c>
      <c r="F82" s="14" t="n">
        <v>0.5</v>
      </c>
      <c r="G82" s="14" t="n">
        <v>2.4</v>
      </c>
      <c r="H82" s="14" t="n">
        <v>-0.8541611</v>
      </c>
      <c r="I82" s="14" t="n">
        <v>0.2193401</v>
      </c>
      <c r="J82" s="14" t="n">
        <v>1.717902</v>
      </c>
      <c r="K82" s="23" t="n">
        <v>81.7</v>
      </c>
      <c r="L82" s="20" t="n">
        <f aca="false">IF(AND(ISNUMBER(K82),ISNUMBER(K70)),(K82/K70-1)*100,"")</f>
        <v>1.74346201743463</v>
      </c>
      <c r="M82" s="14" t="n">
        <v>0.2</v>
      </c>
      <c r="N82" s="14" t="n">
        <v>-0.1</v>
      </c>
      <c r="O82" s="14" t="n">
        <v>1.6</v>
      </c>
      <c r="P82" s="14" t="n">
        <v>-0.2</v>
      </c>
      <c r="Q82" s="23" t="n">
        <v>0.2</v>
      </c>
      <c r="R82" s="23" t="n">
        <v>0.5</v>
      </c>
      <c r="S82" s="24" t="n">
        <v>100.19</v>
      </c>
      <c r="T82" s="20" t="n">
        <f aca="false">IF(AND(ISNUMBER(S82),ISNUMBER(S70)),(S82/S70-1)*100,"")</f>
        <v>0.769424189087253</v>
      </c>
    </row>
    <row r="83" customFormat="false" ht="15" hidden="false" customHeight="false" outlineLevel="0" collapsed="false">
      <c r="A83" s="17" t="n">
        <v>44075</v>
      </c>
      <c r="B83" s="22" t="n">
        <v>260.28</v>
      </c>
      <c r="C83" s="20" t="n">
        <f aca="false">IF(AND(ISNUMBER(B83),ISNUMBER(B71)),(B83/B71-1)*100,"")</f>
        <v>1.37132486105647</v>
      </c>
      <c r="D83" s="14" t="n">
        <v>1.371325</v>
      </c>
      <c r="E83" s="14" t="n">
        <v>0.9479528</v>
      </c>
      <c r="F83" s="14" t="n">
        <v>0.7</v>
      </c>
      <c r="G83" s="14" t="n">
        <v>1.7</v>
      </c>
      <c r="H83" s="14" t="n">
        <v>-0.8541611</v>
      </c>
      <c r="I83" s="14" t="n">
        <v>0.04784689</v>
      </c>
      <c r="J83" s="14" t="n">
        <v>1.620162</v>
      </c>
      <c r="K83" s="23" t="n">
        <v>82</v>
      </c>
      <c r="L83" s="20" t="n">
        <f aca="false">IF(AND(ISNUMBER(K83),ISNUMBER(K71)),(K83/K71-1)*100,"")</f>
        <v>1.61090458488227</v>
      </c>
      <c r="M83" s="14" t="n">
        <v>0</v>
      </c>
      <c r="N83" s="14" t="n">
        <v>-0.4</v>
      </c>
      <c r="O83" s="14" t="n">
        <v>1.5</v>
      </c>
      <c r="P83" s="14" t="n">
        <v>-0.3</v>
      </c>
      <c r="Q83" s="23" t="n">
        <v>0.5</v>
      </c>
      <c r="R83" s="23" t="n">
        <v>0.7</v>
      </c>
      <c r="S83" s="24" t="n">
        <v>100.74</v>
      </c>
      <c r="T83" s="20" t="n">
        <f aca="false">IF(AND(ISNUMBER(S83),ISNUMBER(S71)),(S83/S71-1)*100,"")</f>
        <v>0.947952782732431</v>
      </c>
    </row>
    <row r="84" customFormat="false" ht="15" hidden="false" customHeight="false" outlineLevel="0" collapsed="false">
      <c r="A84" s="17" t="n">
        <v>44105</v>
      </c>
      <c r="B84" s="22" t="n">
        <v>260.388</v>
      </c>
      <c r="C84" s="20" t="n">
        <f aca="false">IF(AND(ISNUMBER(B84),ISNUMBER(B72)),(B84/B72-1)*100,"")</f>
        <v>1.18206616772749</v>
      </c>
      <c r="D84" s="14" t="n">
        <v>1.182066</v>
      </c>
      <c r="E84" s="14" t="n">
        <v>0.138943</v>
      </c>
      <c r="F84" s="14" t="n">
        <v>0.9</v>
      </c>
      <c r="G84" s="14" t="n">
        <v>0.5</v>
      </c>
      <c r="H84" s="14" t="n">
        <v>-0.7489059</v>
      </c>
      <c r="I84" s="14" t="n">
        <v>0.04786521</v>
      </c>
      <c r="J84" s="14" t="n">
        <v>1.707098</v>
      </c>
      <c r="K84" s="23" t="n">
        <v>82.2</v>
      </c>
      <c r="L84" s="20" t="n">
        <f aca="false">IF(AND(ISNUMBER(K84),ISNUMBER(K72)),(K84/K72-1)*100,"")</f>
        <v>1.73267326732673</v>
      </c>
      <c r="M84" s="14" t="n">
        <v>0.1</v>
      </c>
      <c r="N84" s="14" t="n">
        <v>-0.4</v>
      </c>
      <c r="O84" s="14" t="n">
        <v>1.6</v>
      </c>
      <c r="P84" s="14" t="n">
        <v>-0.3</v>
      </c>
      <c r="Q84" s="23" t="n">
        <v>0.7</v>
      </c>
      <c r="R84" s="23" t="n">
        <v>0.9</v>
      </c>
      <c r="S84" s="24" t="n">
        <v>100.18</v>
      </c>
      <c r="T84" s="20" t="n">
        <f aca="false">IF(AND(ISNUMBER(S84),ISNUMBER(S72)),(S84/S72-1)*100,"")</f>
        <v>0.138943033356331</v>
      </c>
    </row>
    <row r="85" customFormat="false" ht="15" hidden="false" customHeight="false" outlineLevel="0" collapsed="false">
      <c r="A85" s="17" t="n">
        <v>44136</v>
      </c>
      <c r="B85" s="22" t="n">
        <v>260.229</v>
      </c>
      <c r="C85" s="20" t="n">
        <f aca="false">IF(AND(ISNUMBER(B85),ISNUMBER(B73)),(B85/B73-1)*100,"")</f>
        <v>1.17453578426796</v>
      </c>
      <c r="D85" s="14" t="n">
        <v>1.174536</v>
      </c>
      <c r="E85" s="14" t="n">
        <v>0.6121772</v>
      </c>
      <c r="F85" s="14" t="n">
        <v>0.6</v>
      </c>
      <c r="G85" s="14" t="n">
        <v>-0.5</v>
      </c>
      <c r="H85" s="14" t="n">
        <v>-0.195072</v>
      </c>
      <c r="I85" s="14" t="n">
        <v>0.2009185</v>
      </c>
      <c r="J85" s="14" t="n">
        <v>0.7168459</v>
      </c>
      <c r="K85" s="23" t="n">
        <v>81.6</v>
      </c>
      <c r="L85" s="20" t="n">
        <f aca="false">IF(AND(ISNUMBER(K85),ISNUMBER(K73)),(K85/K73-1)*100,"")</f>
        <v>0.740740740740731</v>
      </c>
      <c r="M85" s="14" t="n">
        <v>0.2</v>
      </c>
      <c r="N85" s="14" t="n">
        <v>-0.7</v>
      </c>
      <c r="O85" s="14" t="n">
        <v>0.4</v>
      </c>
      <c r="P85" s="14" t="n">
        <v>-0.3</v>
      </c>
      <c r="Q85" s="23" t="n">
        <v>0.3</v>
      </c>
      <c r="R85" s="23" t="n">
        <v>0.6</v>
      </c>
      <c r="S85" s="24" t="n">
        <v>100.09</v>
      </c>
      <c r="T85" s="20" t="n">
        <f aca="false">IF(AND(ISNUMBER(S85),ISNUMBER(S73)),(S85/S73-1)*100,"")</f>
        <v>0.612177199666286</v>
      </c>
    </row>
    <row r="86" customFormat="false" ht="15" hidden="false" customHeight="false" outlineLevel="0" collapsed="false">
      <c r="A86" s="17" t="n">
        <v>44166</v>
      </c>
      <c r="B86" s="22" t="n">
        <v>260.474</v>
      </c>
      <c r="C86" s="20" t="n">
        <f aca="false">IF(AND(ISNUMBER(B86),ISNUMBER(B74)),(B86/B74-1)*100,"")</f>
        <v>1.36200549471932</v>
      </c>
      <c r="D86" s="14" t="n">
        <v>1.362005</v>
      </c>
      <c r="E86" s="14" t="n">
        <v>0.6127217</v>
      </c>
      <c r="F86" s="14" t="n">
        <v>0.8</v>
      </c>
      <c r="G86" s="14" t="n">
        <v>0.2</v>
      </c>
      <c r="H86" s="14" t="n">
        <v>-0.5671077</v>
      </c>
      <c r="I86" s="14" t="n">
        <v>-0.01905125</v>
      </c>
      <c r="J86" s="14" t="n">
        <v>1.437556</v>
      </c>
      <c r="K86" s="23" t="n">
        <v>82</v>
      </c>
      <c r="L86" s="20" t="n">
        <f aca="false">IF(AND(ISNUMBER(K86),ISNUMBER(K74)),(K86/K74-1)*100,"")</f>
        <v>1.48514851485149</v>
      </c>
      <c r="M86" s="14" t="n">
        <v>0</v>
      </c>
      <c r="N86" s="14" t="n">
        <v>-0.6</v>
      </c>
      <c r="O86" s="14" t="n">
        <v>1.4</v>
      </c>
      <c r="P86" s="14" t="n">
        <v>-0.3</v>
      </c>
      <c r="Q86" s="23" t="n">
        <v>0.6</v>
      </c>
      <c r="R86" s="23" t="n">
        <v>0.8</v>
      </c>
      <c r="S86" s="24" t="n">
        <v>100.33</v>
      </c>
      <c r="T86" s="20" t="n">
        <f aca="false">IF(AND(ISNUMBER(S86),ISNUMBER(S74)),(S86/S74-1)*100,"")</f>
        <v>0.612721748112199</v>
      </c>
    </row>
    <row r="87" customFormat="false" ht="15" hidden="false" customHeight="false" outlineLevel="0" collapsed="false">
      <c r="A87" s="17" t="n">
        <v>44197</v>
      </c>
      <c r="B87" s="22" t="n">
        <v>261.582</v>
      </c>
      <c r="C87" s="20" t="n">
        <f aca="false">IF(AND(ISNUMBER(B87),ISNUMBER(B75)),(B87/B75-1)*100,"")</f>
        <v>1.39976974156009</v>
      </c>
      <c r="D87" s="14" t="n">
        <v>1.39977</v>
      </c>
      <c r="E87" s="14" t="n">
        <v>0.9491458</v>
      </c>
      <c r="F87" s="14" t="n">
        <v>0.9</v>
      </c>
      <c r="G87" s="14" t="n">
        <v>-0.3</v>
      </c>
      <c r="H87" s="14" t="n">
        <v>1.202405</v>
      </c>
      <c r="I87" s="14" t="n">
        <v>0.5548115</v>
      </c>
      <c r="J87" s="14" t="n">
        <v>2.515723</v>
      </c>
      <c r="K87" s="23" t="n">
        <v>82.8</v>
      </c>
      <c r="L87" s="20" t="n">
        <f aca="false">IF(AND(ISNUMBER(K87),ISNUMBER(K75)),(K87/K75-1)*100,"")</f>
        <v>2.47524752475248</v>
      </c>
      <c r="M87" s="14" t="n">
        <v>0.8</v>
      </c>
      <c r="N87" s="14" t="n">
        <v>1.6</v>
      </c>
      <c r="O87" s="14" t="n">
        <v>2.7</v>
      </c>
      <c r="P87" s="14" t="n">
        <v>0.9</v>
      </c>
      <c r="Q87" s="23" t="n">
        <v>0.7</v>
      </c>
      <c r="R87" s="23" t="n">
        <v>0.9</v>
      </c>
      <c r="S87" s="24" t="n">
        <v>101.04</v>
      </c>
      <c r="T87" s="20" t="n">
        <f aca="false">IF(AND(ISNUMBER(S87),ISNUMBER(S75)),(S87/S75-1)*100,"")</f>
        <v>0.949145768808068</v>
      </c>
    </row>
    <row r="88" customFormat="false" ht="15" hidden="false" customHeight="false" outlineLevel="0" collapsed="false">
      <c r="A88" s="17" t="n">
        <v>44228</v>
      </c>
      <c r="B88" s="22" t="n">
        <v>263.014</v>
      </c>
      <c r="C88" s="20" t="n">
        <f aca="false">IF(AND(ISNUMBER(B88),ISNUMBER(B76)),(B88/B76-1)*100,"")</f>
        <v>1.67621521737451</v>
      </c>
      <c r="D88" s="14" t="n">
        <v>1.676215</v>
      </c>
      <c r="E88" s="14" t="n">
        <v>1.417732</v>
      </c>
      <c r="F88" s="14" t="n">
        <v>0.7</v>
      </c>
      <c r="G88" s="14" t="n">
        <v>-0.2</v>
      </c>
      <c r="H88" s="14" t="n">
        <v>1.498502</v>
      </c>
      <c r="I88" s="14" t="n">
        <v>0.5644313</v>
      </c>
      <c r="J88" s="14" t="n">
        <v>3.327338</v>
      </c>
      <c r="K88" s="23" t="n">
        <v>83.4</v>
      </c>
      <c r="L88" s="20" t="n">
        <f aca="false">IF(AND(ISNUMBER(K88),ISNUMBER(K76)),(K88/K76-1)*100,"")</f>
        <v>3.21782178217822</v>
      </c>
      <c r="M88" s="14" t="n">
        <v>0.8</v>
      </c>
      <c r="N88" s="14" t="n">
        <v>1.6</v>
      </c>
      <c r="O88" s="14" t="n">
        <v>3.6</v>
      </c>
      <c r="P88" s="14" t="n">
        <v>0.9</v>
      </c>
      <c r="Q88" s="23" t="n">
        <v>0.4</v>
      </c>
      <c r="R88" s="23" t="n">
        <v>0.7</v>
      </c>
      <c r="S88" s="24" t="n">
        <v>101.58</v>
      </c>
      <c r="T88" s="20" t="n">
        <f aca="false">IF(AND(ISNUMBER(S88),ISNUMBER(S76)),(S88/S76-1)*100,"")</f>
        <v>1.41773162939298</v>
      </c>
    </row>
    <row r="89" customFormat="false" ht="15" hidden="false" customHeight="false" outlineLevel="0" collapsed="false">
      <c r="A89" s="17" t="n">
        <v>44256</v>
      </c>
      <c r="B89" s="22" t="n">
        <v>264.877</v>
      </c>
      <c r="C89" s="20" t="n">
        <f aca="false">IF(AND(ISNUMBER(B89),ISNUMBER(B77)),(B89/B77-1)*100,"")</f>
        <v>2.61976250895919</v>
      </c>
      <c r="D89" s="14" t="n">
        <v>2.619762</v>
      </c>
      <c r="E89" s="14" t="n">
        <v>1.901141</v>
      </c>
      <c r="F89" s="14" t="n">
        <v>1</v>
      </c>
      <c r="G89" s="14" t="n">
        <v>0.4</v>
      </c>
      <c r="H89" s="14" t="n">
        <v>1.794616</v>
      </c>
      <c r="I89" s="14" t="n">
        <v>1.109093</v>
      </c>
      <c r="J89" s="14" t="n">
        <v>3.057554</v>
      </c>
      <c r="K89" s="23" t="n">
        <v>83.2</v>
      </c>
      <c r="L89" s="20" t="n">
        <f aca="false">IF(AND(ISNUMBER(K89),ISNUMBER(K77)),(K89/K77-1)*100,"")</f>
        <v>2.97029702970297</v>
      </c>
      <c r="M89" s="14" t="n">
        <v>1.4</v>
      </c>
      <c r="N89" s="14" t="n">
        <v>2</v>
      </c>
      <c r="O89" s="14" t="n">
        <v>3.3</v>
      </c>
      <c r="P89" s="14" t="n">
        <v>1.3</v>
      </c>
      <c r="Q89" s="23" t="n">
        <v>0.7</v>
      </c>
      <c r="R89" s="23" t="n">
        <v>1</v>
      </c>
      <c r="S89" s="24" t="n">
        <v>101.84</v>
      </c>
      <c r="T89" s="20" t="n">
        <f aca="false">IF(AND(ISNUMBER(S89),ISNUMBER(S77)),(S89/S77-1)*100,"")</f>
        <v>1.90114068441065</v>
      </c>
    </row>
    <row r="90" customFormat="false" ht="15" hidden="false" customHeight="false" outlineLevel="0" collapsed="false">
      <c r="A90" s="17" t="n">
        <v>44287</v>
      </c>
      <c r="B90" s="22" t="n">
        <v>267.054</v>
      </c>
      <c r="C90" s="20" t="n">
        <f aca="false">IF(AND(ISNUMBER(B90),ISNUMBER(B78)),(B90/B78-1)*100,"")</f>
        <v>4.15969483870211</v>
      </c>
      <c r="D90" s="14" t="n">
        <v>4.159695</v>
      </c>
      <c r="E90" s="14" t="n">
        <v>2.492462</v>
      </c>
      <c r="F90" s="14" t="n">
        <v>1.6</v>
      </c>
      <c r="G90" s="14" t="n">
        <v>0.9</v>
      </c>
      <c r="H90" s="14" t="n">
        <v>1.992032</v>
      </c>
      <c r="I90" s="14" t="n">
        <v>1.243305</v>
      </c>
      <c r="J90" s="14" t="n">
        <v>2.954342</v>
      </c>
      <c r="K90" s="23" t="n">
        <v>83.5</v>
      </c>
      <c r="L90" s="20" t="n">
        <f aca="false">IF(AND(ISNUMBER(K90),ISNUMBER(K78)),(K90/K78-1)*100,"")</f>
        <v>2.95930949445131</v>
      </c>
      <c r="M90" s="14" t="n">
        <v>1.6</v>
      </c>
      <c r="N90" s="14" t="n">
        <v>2</v>
      </c>
      <c r="O90" s="14" t="n">
        <v>3.2</v>
      </c>
      <c r="P90" s="14" t="n">
        <v>1.6</v>
      </c>
      <c r="Q90" s="23" t="n">
        <v>1.5</v>
      </c>
      <c r="R90" s="23" t="n">
        <v>1.6</v>
      </c>
      <c r="S90" s="24" t="n">
        <v>101.98</v>
      </c>
      <c r="T90" s="20" t="n">
        <f aca="false">IF(AND(ISNUMBER(S90),ISNUMBER(S78)),(S90/S78-1)*100,"")</f>
        <v>2.4924623115578</v>
      </c>
    </row>
    <row r="91" customFormat="false" ht="15" hidden="false" customHeight="false" outlineLevel="0" collapsed="false">
      <c r="A91" s="17" t="n">
        <v>44317</v>
      </c>
      <c r="B91" s="22" t="n">
        <v>269.195</v>
      </c>
      <c r="C91" s="20" t="n">
        <f aca="false">IF(AND(ISNUMBER(B91),ISNUMBER(B79)),(B91/B79-1)*100,"")</f>
        <v>4.99270653759447</v>
      </c>
      <c r="D91" s="14" t="n">
        <v>4.992707</v>
      </c>
      <c r="E91" s="14" t="n">
        <v>2.624698</v>
      </c>
      <c r="F91" s="14" t="n">
        <v>2.1</v>
      </c>
      <c r="G91" s="14" t="n">
        <v>1.3</v>
      </c>
      <c r="H91" s="14" t="n">
        <v>2.191235</v>
      </c>
      <c r="I91" s="14" t="n">
        <v>1.422978</v>
      </c>
      <c r="J91" s="14" t="n">
        <v>2.680965</v>
      </c>
      <c r="K91" s="23" t="n">
        <v>83.4</v>
      </c>
      <c r="L91" s="20" t="n">
        <f aca="false">IF(AND(ISNUMBER(K91),ISNUMBER(K79)),(K91/K79-1)*100,"")</f>
        <v>2.70935960591134</v>
      </c>
      <c r="M91" s="14" t="n">
        <v>1.8</v>
      </c>
      <c r="N91" s="14" t="n">
        <v>2.4</v>
      </c>
      <c r="O91" s="14" t="n">
        <v>2.9</v>
      </c>
      <c r="P91" s="14" t="n">
        <v>2</v>
      </c>
      <c r="Q91" s="23" t="n">
        <v>2.1</v>
      </c>
      <c r="R91" s="23" t="n">
        <v>2.1</v>
      </c>
      <c r="S91" s="24" t="n">
        <v>102.05</v>
      </c>
      <c r="T91" s="20" t="n">
        <f aca="false">IF(AND(ISNUMBER(S91),ISNUMBER(S79)),(S91/S79-1)*100,"")</f>
        <v>2.62469831053902</v>
      </c>
    </row>
    <row r="92" customFormat="false" ht="15" hidden="false" customHeight="false" outlineLevel="0" collapsed="false">
      <c r="A92" s="17" t="n">
        <v>44348</v>
      </c>
      <c r="B92" s="22" t="n">
        <v>271.696</v>
      </c>
      <c r="C92" s="20" t="n">
        <f aca="false">IF(AND(ISNUMBER(B92),ISNUMBER(B80)),(B92/B80-1)*100,"")</f>
        <v>5.39145141332134</v>
      </c>
      <c r="D92" s="14" t="n">
        <v>5.391451</v>
      </c>
      <c r="E92" s="14" t="n">
        <v>2.346806</v>
      </c>
      <c r="F92" s="14" t="n">
        <v>2.4</v>
      </c>
      <c r="G92" s="14" t="n">
        <v>1.1</v>
      </c>
      <c r="H92" s="14" t="n">
        <v>2.38806</v>
      </c>
      <c r="I92" s="14" t="n">
        <v>1.479149</v>
      </c>
      <c r="J92" s="14" t="n">
        <v>2.854594</v>
      </c>
      <c r="K92" s="23" t="n">
        <v>83.7</v>
      </c>
      <c r="L92" s="20" t="n">
        <f aca="false">IF(AND(ISNUMBER(K92),ISNUMBER(K80)),(K92/K80-1)*100,"")</f>
        <v>2.82555282555281</v>
      </c>
      <c r="M92" s="14" t="n">
        <v>1.9</v>
      </c>
      <c r="N92" s="14" t="n">
        <v>2</v>
      </c>
      <c r="O92" s="14" t="n">
        <v>3</v>
      </c>
      <c r="P92" s="14" t="n">
        <v>1.9</v>
      </c>
      <c r="Q92" s="23" t="n">
        <v>2.5</v>
      </c>
      <c r="R92" s="23" t="n">
        <v>2.4</v>
      </c>
      <c r="S92" s="24" t="n">
        <v>102.05</v>
      </c>
      <c r="T92" s="20" t="n">
        <f aca="false">IF(AND(ISNUMBER(S92),ISNUMBER(S80)),(S92/S80-1)*100,"")</f>
        <v>2.34680573663626</v>
      </c>
    </row>
    <row r="93" customFormat="false" ht="15" hidden="false" customHeight="false" outlineLevel="0" collapsed="false">
      <c r="A93" s="17" t="n">
        <v>44378</v>
      </c>
      <c r="B93" s="22" t="n">
        <v>273.003</v>
      </c>
      <c r="C93" s="20" t="n">
        <f aca="false">IF(AND(ISNUMBER(B93),ISNUMBER(B81)),(B93/B81-1)*100,"")</f>
        <v>5.3654752393854</v>
      </c>
      <c r="D93" s="14" t="n">
        <v>5.365475</v>
      </c>
      <c r="E93" s="14" t="n">
        <v>2.639767</v>
      </c>
      <c r="F93" s="14" t="n">
        <v>2.1</v>
      </c>
      <c r="G93" s="14" t="n">
        <v>1</v>
      </c>
      <c r="H93" s="14" t="n">
        <v>3.711133</v>
      </c>
      <c r="I93" s="14" t="n">
        <v>1.150299</v>
      </c>
      <c r="J93" s="14" t="n">
        <v>3.011515</v>
      </c>
      <c r="K93" s="23" t="n">
        <v>84.5</v>
      </c>
      <c r="L93" s="20" t="n">
        <f aca="false">IF(AND(ISNUMBER(K93),ISNUMBER(K81)),(K93/K81-1)*100,"")</f>
        <v>3.04878048780488</v>
      </c>
      <c r="M93" s="14" t="n">
        <v>1.5</v>
      </c>
      <c r="N93" s="14" t="n">
        <v>3.1</v>
      </c>
      <c r="O93" s="14" t="n">
        <v>3.3</v>
      </c>
      <c r="P93" s="14" t="n">
        <v>2.2</v>
      </c>
      <c r="Q93" s="23" t="n">
        <v>2</v>
      </c>
      <c r="R93" s="23" t="n">
        <v>2.1</v>
      </c>
      <c r="S93" s="24" t="n">
        <v>102.26</v>
      </c>
      <c r="T93" s="20" t="n">
        <f aca="false">IF(AND(ISNUMBER(S93),ISNUMBER(S81)),(S93/S81-1)*100,"")</f>
        <v>2.63976713841214</v>
      </c>
    </row>
    <row r="94" customFormat="false" ht="15" hidden="false" customHeight="false" outlineLevel="0" collapsed="false">
      <c r="A94" s="17" t="n">
        <v>44409</v>
      </c>
      <c r="B94" s="22" t="n">
        <v>273.567</v>
      </c>
      <c r="C94" s="20" t="n">
        <f aca="false">IF(AND(ISNUMBER(B94),ISNUMBER(B82)),(B94/B82-1)*100,"")</f>
        <v>5.25127155487499</v>
      </c>
      <c r="D94" s="14" t="n">
        <v>5.251272</v>
      </c>
      <c r="E94" s="14" t="n">
        <v>2.555145</v>
      </c>
      <c r="F94" s="14" t="n">
        <v>3</v>
      </c>
      <c r="G94" s="14" t="n">
        <v>0.8</v>
      </c>
      <c r="H94" s="14" t="n">
        <v>3.811434</v>
      </c>
      <c r="I94" s="14" t="n">
        <v>1.865068</v>
      </c>
      <c r="J94" s="14" t="n">
        <v>3.377778</v>
      </c>
      <c r="K94" s="23" t="n">
        <v>84.4</v>
      </c>
      <c r="L94" s="20" t="n">
        <f aca="false">IF(AND(ISNUMBER(K94),ISNUMBER(K82)),(K94/K82-1)*100,"")</f>
        <v>3.30477356181151</v>
      </c>
      <c r="M94" s="14" t="n">
        <v>2.4</v>
      </c>
      <c r="N94" s="14" t="n">
        <v>3.4</v>
      </c>
      <c r="O94" s="14" t="n">
        <v>3.8</v>
      </c>
      <c r="P94" s="14" t="n">
        <v>3</v>
      </c>
      <c r="Q94" s="23" t="n">
        <v>3.2</v>
      </c>
      <c r="R94" s="23" t="n">
        <v>3</v>
      </c>
      <c r="S94" s="24" t="n">
        <v>102.75</v>
      </c>
      <c r="T94" s="20" t="n">
        <f aca="false">IF(AND(ISNUMBER(S94),ISNUMBER(S82)),(S94/S82-1)*100,"")</f>
        <v>2.55514522407425</v>
      </c>
    </row>
    <row r="95" customFormat="false" ht="15" hidden="false" customHeight="false" outlineLevel="0" collapsed="false">
      <c r="A95" s="17" t="n">
        <v>44440</v>
      </c>
      <c r="B95" s="22" t="n">
        <v>274.31</v>
      </c>
      <c r="C95" s="20" t="n">
        <f aca="false">IF(AND(ISNUMBER(B95),ISNUMBER(B83)),(B95/B83-1)*100,"")</f>
        <v>5.39034885507916</v>
      </c>
      <c r="D95" s="14" t="n">
        <v>5.390349</v>
      </c>
      <c r="E95" s="14" t="n">
        <v>2.41215</v>
      </c>
      <c r="F95" s="14" t="n">
        <v>2.9</v>
      </c>
      <c r="G95" s="14" t="n">
        <v>0.7</v>
      </c>
      <c r="H95" s="14" t="n">
        <v>4.112337</v>
      </c>
      <c r="I95" s="14" t="n">
        <v>2.161645</v>
      </c>
      <c r="J95" s="14" t="n">
        <v>4.074402</v>
      </c>
      <c r="K95" s="23" t="n">
        <v>85.4</v>
      </c>
      <c r="L95" s="20" t="n">
        <f aca="false">IF(AND(ISNUMBER(K95),ISNUMBER(K83)),(K95/K83-1)*100,"")</f>
        <v>4.14634146341464</v>
      </c>
      <c r="M95" s="14" t="n">
        <v>2.7</v>
      </c>
      <c r="N95" s="14" t="n">
        <v>4</v>
      </c>
      <c r="O95" s="14" t="n">
        <v>4.7</v>
      </c>
      <c r="P95" s="14" t="n">
        <v>3.4</v>
      </c>
      <c r="Q95" s="23" t="n">
        <v>3.1</v>
      </c>
      <c r="R95" s="23" t="n">
        <v>2.9</v>
      </c>
      <c r="S95" s="24" t="n">
        <v>103.17</v>
      </c>
      <c r="T95" s="20" t="n">
        <f aca="false">IF(AND(ISNUMBER(S95),ISNUMBER(S83)),(S95/S83-1)*100,"")</f>
        <v>2.4121500893389</v>
      </c>
    </row>
    <row r="96" customFormat="false" ht="15" hidden="false" customHeight="false" outlineLevel="0" collapsed="false">
      <c r="A96" s="17" t="n">
        <v>44470</v>
      </c>
      <c r="B96" s="22" t="n">
        <v>276.589</v>
      </c>
      <c r="C96" s="20" t="n">
        <f aca="false">IF(AND(ISNUMBER(B96),ISNUMBER(B84)),(B96/B84-1)*100,"")</f>
        <v>6.2218689033289</v>
      </c>
      <c r="D96" s="14" t="n">
        <v>6.221869</v>
      </c>
      <c r="E96" s="14" t="n">
        <v>3.164304</v>
      </c>
      <c r="F96" s="14" t="n">
        <v>3.8</v>
      </c>
      <c r="G96" s="14" t="n">
        <v>1.5</v>
      </c>
      <c r="H96" s="14" t="n">
        <v>4.404405</v>
      </c>
      <c r="I96" s="14" t="n">
        <v>2.621759</v>
      </c>
      <c r="J96" s="14" t="n">
        <v>3.533569</v>
      </c>
      <c r="K96" s="23" t="n">
        <v>85.1</v>
      </c>
      <c r="L96" s="20" t="n">
        <f aca="false">IF(AND(ISNUMBER(K96),ISNUMBER(K84)),(K96/K84-1)*100,"")</f>
        <v>3.52798053527978</v>
      </c>
      <c r="M96" s="14" t="n">
        <v>3.2</v>
      </c>
      <c r="N96" s="14" t="n">
        <v>4.6</v>
      </c>
      <c r="O96" s="14" t="n">
        <v>4</v>
      </c>
      <c r="P96" s="14" t="n">
        <v>4.1</v>
      </c>
      <c r="Q96" s="23" t="n">
        <v>4.2</v>
      </c>
      <c r="R96" s="23" t="n">
        <v>3.8</v>
      </c>
      <c r="S96" s="24" t="n">
        <v>103.35</v>
      </c>
      <c r="T96" s="20" t="n">
        <f aca="false">IF(AND(ISNUMBER(S96),ISNUMBER(S84)),(S96/S84-1)*100,"")</f>
        <v>3.16430425234577</v>
      </c>
    </row>
    <row r="97" customFormat="false" ht="15" hidden="false" customHeight="false" outlineLevel="0" collapsed="false">
      <c r="A97" s="17" t="n">
        <v>44501</v>
      </c>
      <c r="B97" s="22" t="n">
        <v>277.948</v>
      </c>
      <c r="C97" s="20" t="n">
        <f aca="false">IF(AND(ISNUMBER(B97),ISNUMBER(B85)),(B97/B85-1)*100,"")</f>
        <v>6.80900283980648</v>
      </c>
      <c r="D97" s="14" t="n">
        <v>6.809003</v>
      </c>
      <c r="E97" s="14" t="n">
        <v>3.776601</v>
      </c>
      <c r="F97" s="14" t="n">
        <v>4.6</v>
      </c>
      <c r="G97" s="14" t="n">
        <v>2.3</v>
      </c>
      <c r="H97" s="14" t="n">
        <v>4.814443</v>
      </c>
      <c r="I97" s="14" t="n">
        <v>2.778574</v>
      </c>
      <c r="J97" s="14" t="n">
        <v>5.071174</v>
      </c>
      <c r="K97" s="23" t="n">
        <v>85.8</v>
      </c>
      <c r="L97" s="20" t="n">
        <f aca="false">IF(AND(ISNUMBER(K97),ISNUMBER(K85)),(K97/K85-1)*100,"")</f>
        <v>5.14705882352942</v>
      </c>
      <c r="M97" s="14" t="n">
        <v>3.4</v>
      </c>
      <c r="N97" s="14" t="n">
        <v>6</v>
      </c>
      <c r="O97" s="14" t="n">
        <v>5.9</v>
      </c>
      <c r="P97" s="14" t="n">
        <v>4.9</v>
      </c>
      <c r="Q97" s="23" t="n">
        <v>5.1</v>
      </c>
      <c r="R97" s="23" t="n">
        <v>4.6</v>
      </c>
      <c r="S97" s="24" t="n">
        <v>103.87</v>
      </c>
      <c r="T97" s="20" t="n">
        <f aca="false">IF(AND(ISNUMBER(S97),ISNUMBER(S85)),(S97/S85-1)*100,"")</f>
        <v>3.77660105904687</v>
      </c>
    </row>
    <row r="98" customFormat="false" ht="15" hidden="false" customHeight="false" outlineLevel="0" collapsed="false">
      <c r="A98" s="17" t="n">
        <v>44531</v>
      </c>
      <c r="B98" s="22" t="n">
        <v>278.802</v>
      </c>
      <c r="C98" s="20" t="n">
        <f aca="false">IF(AND(ISNUMBER(B98),ISNUMBER(B86)),(B98/B86-1)*100,"")</f>
        <v>7.03640286554514</v>
      </c>
      <c r="D98" s="14" t="n">
        <v>7.036403</v>
      </c>
      <c r="E98" s="14" t="n">
        <v>3.697797</v>
      </c>
      <c r="F98" s="14" t="n">
        <v>4.8</v>
      </c>
      <c r="G98" s="14" t="n">
        <v>1.5</v>
      </c>
      <c r="H98" s="14" t="n">
        <v>4.90982</v>
      </c>
      <c r="I98" s="14" t="n">
        <v>2.75343</v>
      </c>
      <c r="J98" s="14" t="n">
        <v>5.314437</v>
      </c>
      <c r="K98" s="23" t="n">
        <v>86.3</v>
      </c>
      <c r="L98" s="20" t="n">
        <f aca="false">IF(AND(ISNUMBER(K98),ISNUMBER(K86)),(K98/K86-1)*100,"")</f>
        <v>5.2439024390244</v>
      </c>
      <c r="M98" s="14" t="n">
        <v>3.4</v>
      </c>
      <c r="N98" s="14" t="n">
        <v>5.7</v>
      </c>
      <c r="O98" s="14" t="n">
        <v>6.1</v>
      </c>
      <c r="P98" s="14" t="n">
        <v>5</v>
      </c>
      <c r="Q98" s="23" t="n">
        <v>5.4</v>
      </c>
      <c r="R98" s="23" t="n">
        <v>4.8</v>
      </c>
      <c r="S98" s="24" t="n">
        <v>104.04</v>
      </c>
      <c r="T98" s="20" t="n">
        <f aca="false">IF(AND(ISNUMBER(S98),ISNUMBER(S86)),(S98/S86-1)*100,"")</f>
        <v>3.69779726901227</v>
      </c>
    </row>
    <row r="99" customFormat="false" ht="15" hidden="false" customHeight="false" outlineLevel="0" collapsed="false">
      <c r="A99" s="17" t="n">
        <v>44562</v>
      </c>
      <c r="B99" s="22" t="n">
        <v>281.148</v>
      </c>
      <c r="C99" s="20" t="n">
        <f aca="false">IF(AND(ISNUMBER(B99),ISNUMBER(B87)),(B99/B87-1)*100,"")</f>
        <v>7.47987246828912</v>
      </c>
      <c r="D99" s="14" t="n">
        <v>7.479873</v>
      </c>
      <c r="E99" s="14" t="n">
        <v>3.770784</v>
      </c>
      <c r="F99" s="14" t="n">
        <v>4.9</v>
      </c>
      <c r="G99" s="14" t="n">
        <v>0.9</v>
      </c>
      <c r="H99" s="14" t="n">
        <v>4.158416</v>
      </c>
      <c r="I99" s="14" t="n">
        <v>2.853881</v>
      </c>
      <c r="J99" s="14" t="n">
        <v>3.242769</v>
      </c>
      <c r="K99" s="23" t="n">
        <v>85.5</v>
      </c>
      <c r="L99" s="20" t="n">
        <f aca="false">IF(AND(ISNUMBER(K99),ISNUMBER(K87)),(K99/K87-1)*100,"")</f>
        <v>3.26086956521741</v>
      </c>
      <c r="M99" s="14" t="n">
        <v>3.3</v>
      </c>
      <c r="N99" s="14" t="n">
        <v>5.1</v>
      </c>
      <c r="O99" s="14" t="n">
        <v>3.2</v>
      </c>
      <c r="P99" s="14" t="n">
        <v>5.1</v>
      </c>
      <c r="Q99" s="23" t="n">
        <v>5.5</v>
      </c>
      <c r="R99" s="23" t="n">
        <v>4.9</v>
      </c>
      <c r="S99" s="24" t="n">
        <v>104.85</v>
      </c>
      <c r="T99" s="20" t="n">
        <f aca="false">IF(AND(ISNUMBER(S99),ISNUMBER(S87)),(S99/S87-1)*100,"")</f>
        <v>3.770783847981</v>
      </c>
    </row>
    <row r="100" customFormat="false" ht="15" hidden="false" customHeight="false" outlineLevel="0" collapsed="false">
      <c r="A100" s="17" t="n">
        <v>44593</v>
      </c>
      <c r="B100" s="22" t="n">
        <v>283.716</v>
      </c>
      <c r="C100" s="20" t="n">
        <f aca="false">IF(AND(ISNUMBER(B100),ISNUMBER(B88)),(B100/B88-1)*100,"")</f>
        <v>7.87106389773928</v>
      </c>
      <c r="D100" s="14" t="n">
        <v>7.871064</v>
      </c>
      <c r="E100" s="14" t="n">
        <v>3.780272</v>
      </c>
      <c r="F100" s="14" t="n">
        <v>5.5</v>
      </c>
      <c r="G100" s="14" t="n">
        <v>0.9</v>
      </c>
      <c r="H100" s="14" t="n">
        <v>4.330709</v>
      </c>
      <c r="I100" s="14" t="n">
        <v>3.633942</v>
      </c>
      <c r="J100" s="14" t="n">
        <v>3.655353</v>
      </c>
      <c r="K100" s="23" t="n">
        <v>86.5</v>
      </c>
      <c r="L100" s="20" t="n">
        <f aca="false">IF(AND(ISNUMBER(K100),ISNUMBER(K88)),(K100/K88-1)*100,"")</f>
        <v>3.71702637889688</v>
      </c>
      <c r="M100" s="14" t="n">
        <v>4.2</v>
      </c>
      <c r="N100" s="14" t="n">
        <v>5.4</v>
      </c>
      <c r="O100" s="14" t="n">
        <v>3.6</v>
      </c>
      <c r="P100" s="14" t="n">
        <v>5.9</v>
      </c>
      <c r="Q100" s="23" t="n">
        <v>6.2</v>
      </c>
      <c r="R100" s="23" t="n">
        <v>5.5</v>
      </c>
      <c r="S100" s="24" t="n">
        <v>105.42</v>
      </c>
      <c r="T100" s="20" t="n">
        <f aca="false">IF(AND(ISNUMBER(S100),ISNUMBER(S88)),(S100/S88-1)*100,"")</f>
        <v>3.78027170702895</v>
      </c>
    </row>
    <row r="101" customFormat="false" ht="15" hidden="false" customHeight="false" outlineLevel="0" collapsed="false">
      <c r="A101" s="17" t="n">
        <v>44621</v>
      </c>
      <c r="B101" s="22" t="n">
        <v>287.504</v>
      </c>
      <c r="C101" s="20" t="n">
        <f aca="false">IF(AND(ISNUMBER(B101),ISNUMBER(B89)),(B101/B89-1)*100,"")</f>
        <v>8.54245555484243</v>
      </c>
      <c r="D101" s="14" t="n">
        <v>8.542456</v>
      </c>
      <c r="E101" s="14" t="n">
        <v>4.183032</v>
      </c>
      <c r="F101" s="14" t="n">
        <v>6.2</v>
      </c>
      <c r="G101" s="14" t="n">
        <v>1.5</v>
      </c>
      <c r="H101" s="14" t="n">
        <v>5.876592</v>
      </c>
      <c r="I101" s="14" t="n">
        <v>4.482269</v>
      </c>
      <c r="J101" s="14" t="n">
        <v>4.537522</v>
      </c>
      <c r="K101" s="23" t="n">
        <v>87</v>
      </c>
      <c r="L101" s="20" t="n">
        <f aca="false">IF(AND(ISNUMBER(K101),ISNUMBER(K89)),(K101/K89-1)*100,"")</f>
        <v>4.56730769230769</v>
      </c>
      <c r="M101" s="14" t="n">
        <v>5.1</v>
      </c>
      <c r="N101" s="14" t="n">
        <v>7.6</v>
      </c>
      <c r="O101" s="14" t="n">
        <v>4.7</v>
      </c>
      <c r="P101" s="14" t="n">
        <v>7.4</v>
      </c>
      <c r="Q101" s="23" t="n">
        <v>7</v>
      </c>
      <c r="R101" s="23" t="n">
        <v>6.2</v>
      </c>
      <c r="S101" s="24" t="n">
        <v>106.1</v>
      </c>
      <c r="T101" s="20" t="n">
        <f aca="false">IF(AND(ISNUMBER(S101),ISNUMBER(S89)),(S101/S89-1)*100,"")</f>
        <v>4.18303220738412</v>
      </c>
    </row>
    <row r="102" customFormat="false" ht="15" hidden="false" customHeight="false" outlineLevel="0" collapsed="false">
      <c r="A102" s="17" t="n">
        <v>44652</v>
      </c>
      <c r="B102" s="22" t="n">
        <v>289.109</v>
      </c>
      <c r="C102" s="20" t="n">
        <f aca="false">IF(AND(ISNUMBER(B102),ISNUMBER(B90)),(B102/B90-1)*100,"")</f>
        <v>8.25862934088237</v>
      </c>
      <c r="D102" s="14" t="n">
        <v>8.25863</v>
      </c>
      <c r="E102" s="14" t="n">
        <v>4.755835</v>
      </c>
      <c r="F102" s="14" t="n">
        <v>7.8</v>
      </c>
      <c r="G102" s="14" t="n">
        <v>2.1</v>
      </c>
      <c r="H102" s="14" t="n">
        <v>6.25</v>
      </c>
      <c r="I102" s="14" t="n">
        <v>4.82713</v>
      </c>
      <c r="J102" s="14" t="n">
        <v>5.391304</v>
      </c>
      <c r="K102" s="23" t="n">
        <v>88</v>
      </c>
      <c r="L102" s="20" t="n">
        <f aca="false">IF(AND(ISNUMBER(K102),ISNUMBER(K90)),(K102/K90-1)*100,"")</f>
        <v>5.38922155688624</v>
      </c>
      <c r="M102" s="14" t="n">
        <v>5.4</v>
      </c>
      <c r="N102" s="14" t="n">
        <v>7.9</v>
      </c>
      <c r="O102" s="14" t="n">
        <v>5.9</v>
      </c>
      <c r="P102" s="14" t="n">
        <v>7.5</v>
      </c>
      <c r="Q102" s="23" t="n">
        <v>9</v>
      </c>
      <c r="R102" s="23" t="n">
        <v>7.8</v>
      </c>
      <c r="S102" s="24" t="n">
        <v>106.83</v>
      </c>
      <c r="T102" s="20" t="n">
        <f aca="false">IF(AND(ISNUMBER(S102),ISNUMBER(S90)),(S102/S90-1)*100,"")</f>
        <v>4.75583447734849</v>
      </c>
    </row>
    <row r="103" customFormat="false" ht="15" hidden="false" customHeight="false" outlineLevel="0" collapsed="false">
      <c r="A103" s="17" t="n">
        <v>44682</v>
      </c>
      <c r="B103" s="22" t="n">
        <v>292.296</v>
      </c>
      <c r="C103" s="20" t="n">
        <f aca="false">IF(AND(ISNUMBER(B103),ISNUMBER(B91)),(B103/B91-1)*100,"")</f>
        <v>8.58151154367652</v>
      </c>
      <c r="D103" s="14" t="n">
        <v>8.581511</v>
      </c>
      <c r="E103" s="14" t="n">
        <v>5.340519</v>
      </c>
      <c r="F103" s="14" t="n">
        <v>7.9</v>
      </c>
      <c r="G103" s="14" t="n">
        <v>2.1</v>
      </c>
      <c r="H103" s="14" t="n">
        <v>7.017544</v>
      </c>
      <c r="I103" s="14" t="n">
        <v>5.19774</v>
      </c>
      <c r="J103" s="14" t="n">
        <v>5.744125</v>
      </c>
      <c r="K103" s="23" t="n">
        <v>88.3</v>
      </c>
      <c r="L103" s="20" t="n">
        <f aca="false">IF(AND(ISNUMBER(K103),ISNUMBER(K91)),(K103/K91-1)*100,"")</f>
        <v>5.87529976019183</v>
      </c>
      <c r="M103" s="14" t="n">
        <v>5.8</v>
      </c>
      <c r="N103" s="14" t="n">
        <v>8.6</v>
      </c>
      <c r="O103" s="14" t="n">
        <v>6.3</v>
      </c>
      <c r="P103" s="14" t="n">
        <v>8.1</v>
      </c>
      <c r="Q103" s="23" t="n">
        <v>9.1</v>
      </c>
      <c r="R103" s="23" t="n">
        <v>7.9</v>
      </c>
      <c r="S103" s="24" t="n">
        <v>107.5</v>
      </c>
      <c r="T103" s="20" t="n">
        <f aca="false">IF(AND(ISNUMBER(S103),ISNUMBER(S91)),(S103/S91-1)*100,"")</f>
        <v>5.34051935325821</v>
      </c>
    </row>
    <row r="104" customFormat="false" ht="15" hidden="false" customHeight="false" outlineLevel="0" collapsed="false">
      <c r="A104" s="17" t="n">
        <v>44713</v>
      </c>
      <c r="B104" s="22" t="n">
        <v>296.311</v>
      </c>
      <c r="C104" s="20" t="n">
        <f aca="false">IF(AND(ISNUMBER(B104),ISNUMBER(B92)),(B104/B92-1)*100,"")</f>
        <v>9.05975796478415</v>
      </c>
      <c r="D104" s="14" t="n">
        <v>9.059758</v>
      </c>
      <c r="E104" s="14" t="n">
        <v>6.036257</v>
      </c>
      <c r="F104" s="14" t="n">
        <v>8.2</v>
      </c>
      <c r="G104" s="14" t="n">
        <v>2.5</v>
      </c>
      <c r="H104" s="14" t="n">
        <v>6.705539</v>
      </c>
      <c r="I104" s="14" t="n">
        <v>5.839759</v>
      </c>
      <c r="J104" s="14" t="n">
        <v>6.33131</v>
      </c>
      <c r="K104" s="23" t="n">
        <v>89</v>
      </c>
      <c r="L104" s="20" t="n">
        <f aca="false">IF(AND(ISNUMBER(K104),ISNUMBER(K92)),(K104/K92-1)*100,"")</f>
        <v>6.3321385902031</v>
      </c>
      <c r="M104" s="14" t="n">
        <v>6.5</v>
      </c>
      <c r="N104" s="14" t="n">
        <v>8.3</v>
      </c>
      <c r="O104" s="14" t="n">
        <v>7</v>
      </c>
      <c r="P104" s="14" t="n">
        <v>8.6</v>
      </c>
      <c r="Q104" s="23" t="n">
        <v>9.4</v>
      </c>
      <c r="R104" s="23" t="n">
        <v>8.2</v>
      </c>
      <c r="S104" s="24" t="n">
        <v>108.21</v>
      </c>
      <c r="T104" s="20" t="n">
        <f aca="false">IF(AND(ISNUMBER(S104),ISNUMBER(S92)),(S104/S92-1)*100,"")</f>
        <v>6.03625673689368</v>
      </c>
    </row>
    <row r="105" customFormat="false" ht="15" hidden="false" customHeight="false" outlineLevel="0" collapsed="false">
      <c r="A105" s="17" t="n">
        <v>44743</v>
      </c>
      <c r="B105" s="22" t="n">
        <v>296.276</v>
      </c>
      <c r="C105" s="20" t="n">
        <f aca="false">IF(AND(ISNUMBER(B105),ISNUMBER(B93)),(B105/B93-1)*100,"")</f>
        <v>8.52481474562552</v>
      </c>
      <c r="D105" s="14" t="n">
        <v>8.524815</v>
      </c>
      <c r="E105" s="14" t="n">
        <v>6.32701</v>
      </c>
      <c r="F105" s="14" t="n">
        <v>8.8</v>
      </c>
      <c r="G105" s="14" t="n">
        <v>2.7</v>
      </c>
      <c r="H105" s="14" t="n">
        <v>6.673114</v>
      </c>
      <c r="I105" s="14" t="n">
        <v>6.080827</v>
      </c>
      <c r="J105" s="14" t="n">
        <v>6.792778</v>
      </c>
      <c r="K105" s="23" t="n">
        <v>90.2</v>
      </c>
      <c r="L105" s="20" t="n">
        <f aca="false">IF(AND(ISNUMBER(K105),ISNUMBER(K93)),(K105/K93-1)*100,"")</f>
        <v>6.74556213017752</v>
      </c>
      <c r="M105" s="14" t="n">
        <v>6.8</v>
      </c>
      <c r="N105" s="14" t="n">
        <v>8.4</v>
      </c>
      <c r="O105" s="14" t="n">
        <v>7.4</v>
      </c>
      <c r="P105" s="14" t="n">
        <v>8.9</v>
      </c>
      <c r="Q105" s="23" t="n">
        <v>10.1</v>
      </c>
      <c r="R105" s="23" t="n">
        <v>8.8</v>
      </c>
      <c r="S105" s="24" t="n">
        <v>108.73</v>
      </c>
      <c r="T105" s="20" t="n">
        <f aca="false">IF(AND(ISNUMBER(S105),ISNUMBER(S93)),(S105/S93-1)*100,"")</f>
        <v>6.32700958341483</v>
      </c>
    </row>
    <row r="106" customFormat="false" ht="15" hidden="false" customHeight="false" outlineLevel="0" collapsed="false">
      <c r="A106" s="17" t="n">
        <v>44774</v>
      </c>
      <c r="B106" s="22" t="n">
        <v>296.171</v>
      </c>
      <c r="C106" s="20" t="n">
        <f aca="false">IF(AND(ISNUMBER(B106),ISNUMBER(B94)),(B106/B94-1)*100,"")</f>
        <v>8.26269250311624</v>
      </c>
      <c r="D106" s="14" t="n">
        <v>8.262692</v>
      </c>
      <c r="E106" s="14" t="n">
        <v>5.722628</v>
      </c>
      <c r="F106" s="14" t="n">
        <v>8.6</v>
      </c>
      <c r="G106" s="14" t="n">
        <v>2.5</v>
      </c>
      <c r="H106" s="14" t="n">
        <v>6.956522</v>
      </c>
      <c r="I106" s="14" t="n">
        <v>5.913125</v>
      </c>
      <c r="J106" s="14" t="n">
        <v>6.534824</v>
      </c>
      <c r="K106" s="23" t="n">
        <v>89.9</v>
      </c>
      <c r="L106" s="20" t="n">
        <f aca="false">IF(AND(ISNUMBER(K106),ISNUMBER(K94)),(K106/K94-1)*100,"")</f>
        <v>6.51658767772512</v>
      </c>
      <c r="M106" s="14" t="n">
        <v>6.6</v>
      </c>
      <c r="N106" s="14" t="n">
        <v>8.8</v>
      </c>
      <c r="O106" s="14" t="n">
        <v>7.1</v>
      </c>
      <c r="P106" s="14" t="n">
        <v>9.1</v>
      </c>
      <c r="Q106" s="23" t="n">
        <v>9.9</v>
      </c>
      <c r="R106" s="23" t="n">
        <v>8.6</v>
      </c>
      <c r="S106" s="24" t="n">
        <v>108.63</v>
      </c>
      <c r="T106" s="20" t="n">
        <f aca="false">IF(AND(ISNUMBER(S106),ISNUMBER(S94)),(S106/S94-1)*100,"")</f>
        <v>5.72262773722627</v>
      </c>
    </row>
    <row r="107" customFormat="false" ht="15" hidden="false" customHeight="false" outlineLevel="0" collapsed="false">
      <c r="A107" s="17" t="n">
        <v>44805</v>
      </c>
      <c r="B107" s="22" t="n">
        <v>296.808</v>
      </c>
      <c r="C107" s="20" t="n">
        <f aca="false">IF(AND(ISNUMBER(B107),ISNUMBER(B95)),(B107/B95-1)*100,"")</f>
        <v>8.20166964383362</v>
      </c>
      <c r="D107" s="14" t="n">
        <v>8.20167</v>
      </c>
      <c r="E107" s="14" t="n">
        <v>5.476398</v>
      </c>
      <c r="F107" s="14" t="n">
        <v>8.8</v>
      </c>
      <c r="G107" s="14" t="n">
        <v>2.8</v>
      </c>
      <c r="H107" s="14" t="n">
        <v>8.574182</v>
      </c>
      <c r="I107" s="14" t="n">
        <v>5.551915</v>
      </c>
      <c r="J107" s="14" t="n">
        <v>6.893617</v>
      </c>
      <c r="K107" s="23" t="n">
        <v>91.2</v>
      </c>
      <c r="L107" s="20" t="n">
        <f aca="false">IF(AND(ISNUMBER(K107),ISNUMBER(K95)),(K107/K95-1)*100,"")</f>
        <v>6.79156908665104</v>
      </c>
      <c r="M107" s="14" t="n">
        <v>6.2</v>
      </c>
      <c r="N107" s="14" t="n">
        <v>11</v>
      </c>
      <c r="O107" s="14" t="n">
        <v>7.7</v>
      </c>
      <c r="P107" s="14" t="n">
        <v>9.9</v>
      </c>
      <c r="Q107" s="23" t="n">
        <v>10.1</v>
      </c>
      <c r="R107" s="23" t="n">
        <v>8.8</v>
      </c>
      <c r="S107" s="24" t="n">
        <v>108.82</v>
      </c>
      <c r="T107" s="20" t="n">
        <f aca="false">IF(AND(ISNUMBER(S107),ISNUMBER(S95)),(S107/S95-1)*100,"")</f>
        <v>5.47639817776484</v>
      </c>
    </row>
    <row r="108" customFormat="false" ht="15" hidden="false" customHeight="false" outlineLevel="0" collapsed="false">
      <c r="A108" s="17" t="n">
        <v>44835</v>
      </c>
      <c r="B108" s="22" t="n">
        <v>298.012</v>
      </c>
      <c r="C108" s="20" t="n">
        <f aca="false">IF(AND(ISNUMBER(B108),ISNUMBER(B96)),(B108/B96-1)*100,"")</f>
        <v>7.74542733080492</v>
      </c>
      <c r="D108" s="14" t="n">
        <v>7.745427</v>
      </c>
      <c r="E108" s="14" t="n">
        <v>5.621674</v>
      </c>
      <c r="F108" s="14" t="n">
        <v>9.6</v>
      </c>
      <c r="G108" s="14" t="n">
        <v>2.1</v>
      </c>
      <c r="H108" s="14" t="n">
        <v>8.820709</v>
      </c>
      <c r="I108" s="14" t="n">
        <v>6.200466</v>
      </c>
      <c r="J108" s="14" t="n">
        <v>7.508533</v>
      </c>
      <c r="K108" s="23" t="n">
        <v>91.5</v>
      </c>
      <c r="L108" s="20" t="n">
        <f aca="false">IF(AND(ISNUMBER(K108),ISNUMBER(K96)),(K108/K96-1)*100,"")</f>
        <v>7.52056404230319</v>
      </c>
      <c r="M108" s="14" t="n">
        <v>7.1</v>
      </c>
      <c r="N108" s="14" t="n">
        <v>11.6</v>
      </c>
      <c r="O108" s="14" t="n">
        <v>8.4</v>
      </c>
      <c r="P108" s="14" t="n">
        <v>10.6</v>
      </c>
      <c r="Q108" s="23" t="n">
        <v>11.1</v>
      </c>
      <c r="R108" s="23" t="n">
        <v>9.6</v>
      </c>
      <c r="S108" s="24" t="n">
        <v>109.16</v>
      </c>
      <c r="T108" s="20" t="n">
        <f aca="false">IF(AND(ISNUMBER(S108),ISNUMBER(S96)),(S108/S96-1)*100,"")</f>
        <v>5.62167392356072</v>
      </c>
    </row>
    <row r="109" customFormat="false" ht="15" hidden="false" customHeight="false" outlineLevel="0" collapsed="false">
      <c r="A109" s="17" t="n">
        <v>44866</v>
      </c>
      <c r="B109" s="22" t="n">
        <v>297.711</v>
      </c>
      <c r="C109" s="20" t="n">
        <f aca="false">IF(AND(ISNUMBER(B109),ISNUMBER(B97)),(B109/B97-1)*100,"")</f>
        <v>7.11032279419173</v>
      </c>
      <c r="D109" s="14" t="n">
        <v>7.110323</v>
      </c>
      <c r="E109" s="14" t="n">
        <v>5.006258</v>
      </c>
      <c r="F109" s="14" t="n">
        <v>9.3</v>
      </c>
      <c r="G109" s="14" t="n">
        <v>1.6</v>
      </c>
      <c r="H109" s="14" t="n">
        <v>8.803827</v>
      </c>
      <c r="I109" s="14" t="n">
        <v>6.15013</v>
      </c>
      <c r="J109" s="14" t="n">
        <v>6.519898</v>
      </c>
      <c r="K109" s="23" t="n">
        <v>91.4</v>
      </c>
      <c r="L109" s="20" t="n">
        <f aca="false">IF(AND(ISNUMBER(K109),ISNUMBER(K97)),(K109/K97-1)*100,"")</f>
        <v>6.52680652680653</v>
      </c>
      <c r="M109" s="14" t="n">
        <v>7.1</v>
      </c>
      <c r="N109" s="14" t="n">
        <v>11.3</v>
      </c>
      <c r="O109" s="14" t="n">
        <v>7.3</v>
      </c>
      <c r="P109" s="14" t="n">
        <v>10.1</v>
      </c>
      <c r="Q109" s="23" t="n">
        <v>10.7</v>
      </c>
      <c r="R109" s="23" t="n">
        <v>9.3</v>
      </c>
      <c r="S109" s="24" t="n">
        <v>109.07</v>
      </c>
      <c r="T109" s="20" t="n">
        <f aca="false">IF(AND(ISNUMBER(S109),ISNUMBER(S97)),(S109/S97-1)*100,"")</f>
        <v>5.00625782227784</v>
      </c>
    </row>
    <row r="110" customFormat="false" ht="15" hidden="false" customHeight="false" outlineLevel="0" collapsed="false">
      <c r="A110" s="17" t="n">
        <v>44896</v>
      </c>
      <c r="B110" s="22" t="n">
        <v>296.797</v>
      </c>
      <c r="C110" s="20" t="n">
        <f aca="false">IF(AND(ISNUMBER(B110),ISNUMBER(B98)),(B110/B98-1)*100,"")</f>
        <v>6.45440133141082</v>
      </c>
      <c r="D110" s="14" t="n">
        <v>6.454401</v>
      </c>
      <c r="E110" s="14" t="n">
        <v>5.017301</v>
      </c>
      <c r="F110" s="14" t="n">
        <v>9.2</v>
      </c>
      <c r="G110" s="14" t="n">
        <v>1.8</v>
      </c>
      <c r="H110" s="14" t="n">
        <v>8.118434</v>
      </c>
      <c r="I110" s="14" t="n">
        <v>5.850718</v>
      </c>
      <c r="J110" s="14" t="n">
        <v>5.8873</v>
      </c>
      <c r="K110" s="23" t="n">
        <v>91.4</v>
      </c>
      <c r="L110" s="20" t="n">
        <f aca="false">IF(AND(ISNUMBER(K110),ISNUMBER(K98)),(K110/K98-1)*100,"")</f>
        <v>5.90961761297799</v>
      </c>
      <c r="M110" s="14" t="n">
        <v>6.7</v>
      </c>
      <c r="N110" s="14" t="n">
        <v>9.6</v>
      </c>
      <c r="O110" s="14" t="n">
        <v>6.3</v>
      </c>
      <c r="P110" s="14" t="n">
        <v>9.2</v>
      </c>
      <c r="Q110" s="23" t="n">
        <v>10.5</v>
      </c>
      <c r="R110" s="23" t="n">
        <v>9.2</v>
      </c>
      <c r="S110" s="24" t="n">
        <v>109.26</v>
      </c>
      <c r="T110" s="20" t="n">
        <f aca="false">IF(AND(ISNUMBER(S110),ISNUMBER(S98)),(S110/S98-1)*100,"")</f>
        <v>5.01730103806228</v>
      </c>
    </row>
    <row r="111" customFormat="false" ht="15" hidden="false" customHeight="false" outlineLevel="0" collapsed="false">
      <c r="A111" s="17" t="n">
        <v>44927</v>
      </c>
      <c r="B111" s="22" t="n">
        <v>299.17</v>
      </c>
      <c r="C111" s="20" t="n">
        <f aca="false">IF(AND(ISNUMBER(B111),ISNUMBER(B99)),(B111/B99-1)*100,"")</f>
        <v>6.41014696885627</v>
      </c>
      <c r="D111" s="14" t="n">
        <v>6.410147</v>
      </c>
      <c r="E111" s="14" t="n">
        <v>4.978541</v>
      </c>
      <c r="F111" s="14" t="n">
        <v>8.8</v>
      </c>
      <c r="G111" s="14" t="n">
        <v>2.1</v>
      </c>
      <c r="H111" s="14" t="n">
        <v>8.65019</v>
      </c>
      <c r="I111" s="14" t="n">
        <v>5.993341</v>
      </c>
      <c r="J111" s="14" t="n">
        <v>7.04584</v>
      </c>
      <c r="K111" s="23" t="n">
        <v>91.5</v>
      </c>
      <c r="L111" s="20" t="n">
        <f aca="false">IF(AND(ISNUMBER(K111),ISNUMBER(K99)),(K111/K99-1)*100,"")</f>
        <v>7.01754385964912</v>
      </c>
      <c r="M111" s="14" t="n">
        <v>7</v>
      </c>
      <c r="N111" s="14" t="n">
        <v>9.2</v>
      </c>
      <c r="O111" s="14" t="n">
        <v>8</v>
      </c>
      <c r="P111" s="14" t="n">
        <v>8.6</v>
      </c>
      <c r="Q111" s="23" t="n">
        <v>10.1</v>
      </c>
      <c r="R111" s="23" t="n">
        <v>8.8</v>
      </c>
      <c r="S111" s="24" t="n">
        <v>110.07</v>
      </c>
      <c r="T111" s="20" t="n">
        <f aca="false">IF(AND(ISNUMBER(S111),ISNUMBER(S99)),(S111/S99-1)*100,"")</f>
        <v>4.97854077253219</v>
      </c>
    </row>
    <row r="112" customFormat="false" ht="15" hidden="false" customHeight="false" outlineLevel="0" collapsed="false">
      <c r="A112" s="17" t="n">
        <v>44958</v>
      </c>
      <c r="B112" s="22" t="n">
        <v>300.84</v>
      </c>
      <c r="C112" s="20" t="n">
        <f aca="false">IF(AND(ISNUMBER(B112),ISNUMBER(B100)),(B112/B100-1)*100,"")</f>
        <v>6.0356130778666</v>
      </c>
      <c r="D112" s="14" t="n">
        <v>6.035613</v>
      </c>
      <c r="E112" s="14" t="n">
        <v>4.65756</v>
      </c>
      <c r="F112" s="14" t="n">
        <v>9.2</v>
      </c>
      <c r="G112" s="14" t="n">
        <v>1</v>
      </c>
      <c r="H112" s="14" t="n">
        <v>8.679245</v>
      </c>
      <c r="I112" s="14" t="n">
        <v>6.278686</v>
      </c>
      <c r="J112" s="14" t="n">
        <v>6.297229</v>
      </c>
      <c r="K112" s="23" t="n">
        <v>91.9</v>
      </c>
      <c r="L112" s="20" t="n">
        <f aca="false">IF(AND(ISNUMBER(K112),ISNUMBER(K100)),(K112/K100-1)*100,"")</f>
        <v>6.242774566474</v>
      </c>
      <c r="M112" s="14" t="n">
        <v>7.3</v>
      </c>
      <c r="N112" s="14" t="n">
        <v>9.3</v>
      </c>
      <c r="O112" s="14" t="n">
        <v>7.2</v>
      </c>
      <c r="P112" s="14" t="n">
        <v>8.5</v>
      </c>
      <c r="Q112" s="23" t="n">
        <v>10.4</v>
      </c>
      <c r="R112" s="23" t="n">
        <v>9.2</v>
      </c>
      <c r="S112" s="24" t="n">
        <v>110.33</v>
      </c>
      <c r="T112" s="20" t="n">
        <f aca="false">IF(AND(ISNUMBER(S112),ISNUMBER(S100)),(S112/S100-1)*100,"")</f>
        <v>4.65756023524948</v>
      </c>
    </row>
    <row r="113" customFormat="false" ht="15" hidden="false" customHeight="false" outlineLevel="0" collapsed="false">
      <c r="A113" s="17" t="n">
        <v>44986</v>
      </c>
      <c r="B113" s="22" t="n">
        <v>301.836</v>
      </c>
      <c r="C113" s="20" t="n">
        <f aca="false">IF(AND(ISNUMBER(B113),ISNUMBER(B101)),(B113/B101-1)*100,"")</f>
        <v>4.98497412209917</v>
      </c>
      <c r="D113" s="14" t="n">
        <v>4.984974</v>
      </c>
      <c r="E113" s="14" t="n">
        <v>4.165881</v>
      </c>
      <c r="F113" s="14" t="n">
        <v>8.9</v>
      </c>
      <c r="G113" s="14" t="n">
        <v>0.7</v>
      </c>
      <c r="H113" s="14" t="n">
        <v>7.400555</v>
      </c>
      <c r="I113" s="14" t="n">
        <v>5.701873</v>
      </c>
      <c r="J113" s="14" t="n">
        <v>6.510851</v>
      </c>
      <c r="K113" s="23" t="n">
        <v>92.7</v>
      </c>
      <c r="L113" s="20" t="n">
        <f aca="false">IF(AND(ISNUMBER(K113),ISNUMBER(K101)),(K113/K101-1)*100,"")</f>
        <v>6.55172413793104</v>
      </c>
      <c r="M113" s="14" t="n">
        <v>6.7</v>
      </c>
      <c r="N113" s="14" t="n">
        <v>7.7</v>
      </c>
      <c r="O113" s="14" t="n">
        <v>7.3</v>
      </c>
      <c r="P113" s="14" t="n">
        <v>6.9</v>
      </c>
      <c r="Q113" s="23" t="n">
        <v>10.1</v>
      </c>
      <c r="R113" s="23" t="n">
        <v>8.9</v>
      </c>
      <c r="S113" s="24" t="n">
        <v>110.52</v>
      </c>
      <c r="T113" s="20" t="n">
        <f aca="false">IF(AND(ISNUMBER(S113),ISNUMBER(S101)),(S113/S101-1)*100,"")</f>
        <v>4.16588124410933</v>
      </c>
    </row>
    <row r="114" customFormat="false" ht="15" hidden="false" customHeight="false" outlineLevel="0" collapsed="false">
      <c r="A114" s="17" t="n">
        <v>45017</v>
      </c>
      <c r="B114" s="22" t="n">
        <v>303.363</v>
      </c>
      <c r="C114" s="20" t="n">
        <f aca="false">IF(AND(ISNUMBER(B114),ISNUMBER(B102)),(B114/B102-1)*100,"")</f>
        <v>4.93032039818893</v>
      </c>
      <c r="D114" s="14" t="n">
        <v>4.93032</v>
      </c>
      <c r="E114" s="14" t="n">
        <v>3.688102</v>
      </c>
      <c r="F114" s="14" t="n">
        <v>7.8</v>
      </c>
      <c r="G114" s="14" t="n">
        <v>0.1</v>
      </c>
      <c r="H114" s="14" t="n">
        <v>7.169117</v>
      </c>
      <c r="I114" s="14" t="n">
        <v>5.884473</v>
      </c>
      <c r="J114" s="14" t="n">
        <v>6.435644</v>
      </c>
      <c r="K114" s="23" t="n">
        <v>93.6</v>
      </c>
      <c r="L114" s="20" t="n">
        <f aca="false">IF(AND(ISNUMBER(K114),ISNUMBER(K102)),(K114/K102-1)*100,"")</f>
        <v>6.36363636363635</v>
      </c>
      <c r="M114" s="14" t="n">
        <v>6.9</v>
      </c>
      <c r="N114" s="14" t="n">
        <v>7.5</v>
      </c>
      <c r="O114" s="14" t="n">
        <v>7</v>
      </c>
      <c r="P114" s="14" t="n">
        <v>6.9</v>
      </c>
      <c r="Q114" s="23" t="n">
        <v>8.7</v>
      </c>
      <c r="R114" s="23" t="n">
        <v>7.8</v>
      </c>
      <c r="S114" s="24" t="n">
        <v>110.77</v>
      </c>
      <c r="T114" s="20" t="n">
        <f aca="false">IF(AND(ISNUMBER(S114),ISNUMBER(S102)),(S114/S102-1)*100,"")</f>
        <v>3.68810259290462</v>
      </c>
    </row>
    <row r="115" customFormat="false" ht="15" hidden="false" customHeight="false" outlineLevel="0" collapsed="false">
      <c r="A115" s="17" t="n">
        <v>45047</v>
      </c>
      <c r="B115" s="22" t="n">
        <v>304.127</v>
      </c>
      <c r="C115" s="20" t="n">
        <f aca="false">IF(AND(ISNUMBER(B115),ISNUMBER(B103)),(B115/B103-1)*100,"")</f>
        <v>4.04760927279197</v>
      </c>
      <c r="D115" s="14" t="n">
        <v>4.047609</v>
      </c>
      <c r="E115" s="14" t="n">
        <v>3.376744</v>
      </c>
      <c r="F115" s="14" t="n">
        <v>7.9</v>
      </c>
      <c r="G115" s="14" t="n">
        <v>0.2</v>
      </c>
      <c r="H115" s="14" t="n">
        <v>6.102004</v>
      </c>
      <c r="I115" s="14" t="n">
        <v>5.119943</v>
      </c>
      <c r="J115" s="14" t="n">
        <v>6.666667</v>
      </c>
      <c r="K115" s="23" t="n">
        <v>94.1</v>
      </c>
      <c r="L115" s="20" t="n">
        <f aca="false">IF(AND(ISNUMBER(K115),ISNUMBER(K103)),(K115/K103-1)*100,"")</f>
        <v>6.56851642129106</v>
      </c>
      <c r="M115" s="14" t="n">
        <v>6</v>
      </c>
      <c r="N115" s="14" t="n">
        <v>6.3</v>
      </c>
      <c r="O115" s="14" t="n">
        <v>7.2</v>
      </c>
      <c r="P115" s="14" t="n">
        <v>6.1</v>
      </c>
      <c r="Q115" s="23" t="n">
        <v>8.7</v>
      </c>
      <c r="R115" s="23" t="n">
        <v>7.9</v>
      </c>
      <c r="S115" s="24" t="n">
        <v>111.13</v>
      </c>
      <c r="T115" s="20" t="n">
        <f aca="false">IF(AND(ISNUMBER(S115),ISNUMBER(S103)),(S115/S103-1)*100,"")</f>
        <v>3.3767441860465</v>
      </c>
    </row>
    <row r="116" customFormat="false" ht="15" hidden="false" customHeight="false" outlineLevel="0" collapsed="false">
      <c r="A116" s="17" t="n">
        <v>45078</v>
      </c>
      <c r="B116" s="22" t="n">
        <v>305.109</v>
      </c>
      <c r="C116" s="20" t="n">
        <f aca="false">IF(AND(ISNUMBER(B116),ISNUMBER(B104)),(B116/B104-1)*100,"")</f>
        <v>2.96917765455889</v>
      </c>
      <c r="D116" s="14" t="n">
        <v>2.969178</v>
      </c>
      <c r="E116" s="14" t="n">
        <v>2.726181</v>
      </c>
      <c r="F116" s="14" t="n">
        <v>7.3</v>
      </c>
      <c r="G116" s="14" t="n">
        <v>0</v>
      </c>
      <c r="H116" s="14" t="n">
        <v>6.375227</v>
      </c>
      <c r="I116" s="14" t="n">
        <v>4.53132</v>
      </c>
      <c r="J116" s="14" t="n">
        <v>6.362154</v>
      </c>
      <c r="K116" s="23" t="n">
        <v>94.7</v>
      </c>
      <c r="L116" s="20" t="n">
        <f aca="false">IF(AND(ISNUMBER(K116),ISNUMBER(K104)),(K116/K104-1)*100,"")</f>
        <v>6.40449438202249</v>
      </c>
      <c r="M116" s="14" t="n">
        <v>5.3</v>
      </c>
      <c r="N116" s="14" t="n">
        <v>6.7</v>
      </c>
      <c r="O116" s="14" t="n">
        <v>6.8</v>
      </c>
      <c r="P116" s="14" t="n">
        <v>5.5</v>
      </c>
      <c r="Q116" s="23" t="n">
        <v>7.9</v>
      </c>
      <c r="R116" s="23" t="n">
        <v>7.3</v>
      </c>
      <c r="S116" s="24" t="n">
        <v>111.16</v>
      </c>
      <c r="T116" s="20" t="n">
        <f aca="false">IF(AND(ISNUMBER(S116),ISNUMBER(S104)),(S116/S104-1)*100,"")</f>
        <v>2.72618057480825</v>
      </c>
    </row>
    <row r="117" customFormat="false" ht="15" hidden="false" customHeight="false" outlineLevel="0" collapsed="false">
      <c r="A117" s="17" t="n">
        <v>45108</v>
      </c>
      <c r="B117" s="22" t="n">
        <v>305.691</v>
      </c>
      <c r="C117" s="20" t="n">
        <f aca="false">IF(AND(ISNUMBER(B117),ISNUMBER(B105)),(B117/B105-1)*100,"")</f>
        <v>3.17778017794217</v>
      </c>
      <c r="D117" s="14" t="n">
        <v>3.17778</v>
      </c>
      <c r="E117" s="14" t="n">
        <v>2.354456</v>
      </c>
      <c r="F117" s="14" t="n">
        <v>6.4</v>
      </c>
      <c r="G117" s="14" t="n">
        <v>-0.3</v>
      </c>
      <c r="H117" s="14" t="n">
        <v>6.165005</v>
      </c>
      <c r="I117" s="14" t="n">
        <v>4.288119</v>
      </c>
      <c r="J117" s="14" t="n">
        <v>5.394525</v>
      </c>
      <c r="K117" s="23" t="n">
        <v>95</v>
      </c>
      <c r="L117" s="20" t="n">
        <f aca="false">IF(AND(ISNUMBER(K117),ISNUMBER(K105)),(K117/K105-1)*100,"")</f>
        <v>5.32150776053215</v>
      </c>
      <c r="M117" s="14" t="n">
        <v>5.1</v>
      </c>
      <c r="N117" s="14" t="n">
        <v>6.5</v>
      </c>
      <c r="O117" s="14" t="n">
        <v>5.6</v>
      </c>
      <c r="P117" s="14" t="n">
        <v>5.3</v>
      </c>
      <c r="Q117" s="23" t="n">
        <v>6.8</v>
      </c>
      <c r="R117" s="23" t="n">
        <v>6.4</v>
      </c>
      <c r="S117" s="24" t="n">
        <v>111.29</v>
      </c>
      <c r="T117" s="20" t="n">
        <f aca="false">IF(AND(ISNUMBER(S117),ISNUMBER(S105)),(S117/S105-1)*100,"")</f>
        <v>2.35445599190656</v>
      </c>
    </row>
    <row r="118" customFormat="false" ht="15" hidden="false" customHeight="false" outlineLevel="0" collapsed="false">
      <c r="A118" s="17" t="n">
        <v>45139</v>
      </c>
      <c r="B118" s="22" t="n">
        <v>307.026</v>
      </c>
      <c r="C118" s="20" t="n">
        <f aca="false">IF(AND(ISNUMBER(B118),ISNUMBER(B106)),(B118/B106-1)*100,"")</f>
        <v>3.66511238439955</v>
      </c>
      <c r="D118" s="14" t="n">
        <v>3.665112</v>
      </c>
      <c r="E118" s="14" t="n">
        <v>3.360029</v>
      </c>
      <c r="F118" s="14" t="n">
        <v>6.3</v>
      </c>
      <c r="G118" s="14" t="n">
        <v>0.1</v>
      </c>
      <c r="H118" s="14" t="n">
        <v>6.142728</v>
      </c>
      <c r="I118" s="14" t="n">
        <v>4.859764</v>
      </c>
      <c r="J118" s="14" t="n">
        <v>4.842615</v>
      </c>
      <c r="K118" s="23" t="n">
        <v>94.3</v>
      </c>
      <c r="L118" s="20" t="n">
        <f aca="false">IF(AND(ISNUMBER(K118),ISNUMBER(K106)),(K118/K106-1)*100,"")</f>
        <v>4.89432703003336</v>
      </c>
      <c r="M118" s="14" t="n">
        <v>5.7</v>
      </c>
      <c r="N118" s="14" t="n">
        <v>6.4</v>
      </c>
      <c r="O118" s="14" t="n">
        <v>4.8</v>
      </c>
      <c r="P118" s="14" t="n">
        <v>5.2</v>
      </c>
      <c r="Q118" s="23" t="n">
        <v>6.7</v>
      </c>
      <c r="R118" s="23" t="n">
        <v>6.3</v>
      </c>
      <c r="S118" s="24" t="n">
        <v>112.28</v>
      </c>
      <c r="T118" s="20" t="n">
        <f aca="false">IF(AND(ISNUMBER(S118),ISNUMBER(S106)),(S118/S106-1)*100,"")</f>
        <v>3.3600294577925</v>
      </c>
    </row>
    <row r="119" customFormat="false" ht="15" hidden="false" customHeight="false" outlineLevel="0" collapsed="false">
      <c r="A119" s="17" t="n">
        <v>45170</v>
      </c>
      <c r="B119" s="22" t="n">
        <v>307.789</v>
      </c>
      <c r="C119" s="20" t="n">
        <f aca="false">IF(AND(ISNUMBER(B119),ISNUMBER(B107)),(B119/B107-1)*100,"")</f>
        <v>3.69969812134443</v>
      </c>
      <c r="D119" s="14" t="n">
        <v>3.699698</v>
      </c>
      <c r="E119" s="14" t="n">
        <v>3.703363</v>
      </c>
      <c r="F119" s="14" t="n">
        <v>6.3</v>
      </c>
      <c r="G119" s="14" t="n">
        <v>0</v>
      </c>
      <c r="H119" s="14" t="n">
        <v>4.525289</v>
      </c>
      <c r="I119" s="14" t="n">
        <v>4.896221</v>
      </c>
      <c r="J119" s="14" t="n">
        <v>3.343949</v>
      </c>
      <c r="K119" s="23" t="n">
        <v>94.3</v>
      </c>
      <c r="L119" s="20" t="n">
        <f aca="false">IF(AND(ISNUMBER(K119),ISNUMBER(K107)),(K119/K107-1)*100,"")</f>
        <v>3.39912280701753</v>
      </c>
      <c r="M119" s="14" t="n">
        <v>5.7</v>
      </c>
      <c r="N119" s="14" t="n">
        <v>4.3</v>
      </c>
      <c r="O119" s="14" t="n">
        <v>2.8</v>
      </c>
      <c r="P119" s="14" t="n">
        <v>4.3</v>
      </c>
      <c r="Q119" s="23" t="n">
        <v>6.7</v>
      </c>
      <c r="R119" s="23" t="n">
        <v>6.3</v>
      </c>
      <c r="S119" s="24" t="n">
        <v>112.85</v>
      </c>
      <c r="T119" s="20" t="n">
        <f aca="false">IF(AND(ISNUMBER(S119),ISNUMBER(S107)),(S119/S107-1)*100,"")</f>
        <v>3.70336335232495</v>
      </c>
    </row>
    <row r="120" customFormat="false" ht="15" hidden="false" customHeight="false" outlineLevel="0" collapsed="false">
      <c r="A120" s="17" t="n">
        <v>45200</v>
      </c>
      <c r="B120" s="22" t="n">
        <v>307.671</v>
      </c>
      <c r="C120" s="20" t="n">
        <f aca="false">IF(AND(ISNUMBER(B120),ISNUMBER(B108)),(B120/B108-1)*100,"")</f>
        <v>3.2411446518932</v>
      </c>
      <c r="D120" s="14" t="n">
        <v>3.241145</v>
      </c>
      <c r="E120" s="14" t="n">
        <v>3.765115</v>
      </c>
      <c r="F120" s="14" t="n">
        <v>4.7</v>
      </c>
      <c r="G120" s="14" t="n">
        <v>-0.2</v>
      </c>
      <c r="H120" s="14" t="n">
        <v>3.788546</v>
      </c>
      <c r="I120" s="14" t="n">
        <v>3.977173</v>
      </c>
      <c r="J120" s="14" t="n">
        <v>4.047619</v>
      </c>
      <c r="K120" s="23" t="n">
        <v>95.2</v>
      </c>
      <c r="L120" s="20" t="n">
        <f aca="false">IF(AND(ISNUMBER(K120),ISNUMBER(K108)),(K120/K108-1)*100,"")</f>
        <v>4.04371584699454</v>
      </c>
      <c r="M120" s="14" t="n">
        <v>4.5</v>
      </c>
      <c r="N120" s="14" t="n">
        <v>2.9</v>
      </c>
      <c r="O120" s="14" t="n">
        <v>3.7</v>
      </c>
      <c r="P120" s="14" t="n">
        <v>2.9</v>
      </c>
      <c r="Q120" s="23" t="n">
        <v>4.6</v>
      </c>
      <c r="R120" s="23" t="n">
        <v>4.7</v>
      </c>
      <c r="S120" s="24" t="n">
        <v>113.27</v>
      </c>
      <c r="T120" s="20" t="n">
        <f aca="false">IF(AND(ISNUMBER(S120),ISNUMBER(S108)),(S120/S108-1)*100,"")</f>
        <v>3.7651154268963</v>
      </c>
    </row>
    <row r="121" customFormat="false" ht="15" hidden="false" customHeight="false" outlineLevel="0" collapsed="false">
      <c r="A121" s="17" t="n">
        <v>45231</v>
      </c>
      <c r="B121" s="22" t="n">
        <v>307.051</v>
      </c>
      <c r="C121" s="20" t="n">
        <f aca="false">IF(AND(ISNUMBER(B121),ISNUMBER(B109)),(B121/B109-1)*100,"")</f>
        <v>3.13727070884178</v>
      </c>
      <c r="D121" s="14" t="n">
        <v>3.137271</v>
      </c>
      <c r="E121" s="14" t="n">
        <v>3.309801</v>
      </c>
      <c r="F121" s="14" t="n">
        <v>4.2</v>
      </c>
      <c r="G121" s="14" t="n">
        <v>-0.5</v>
      </c>
      <c r="H121" s="14" t="n">
        <v>3.166227</v>
      </c>
      <c r="I121" s="14" t="n">
        <v>3.474532</v>
      </c>
      <c r="J121" s="14" t="n">
        <v>4.769475</v>
      </c>
      <c r="K121" s="23" t="n">
        <v>95.7</v>
      </c>
      <c r="L121" s="20" t="n">
        <f aca="false">IF(AND(ISNUMBER(K121),ISNUMBER(K109)),(K121/K109-1)*100,"")</f>
        <v>4.70459518599562</v>
      </c>
      <c r="M121" s="14" t="n">
        <v>3.9</v>
      </c>
      <c r="N121" s="14" t="n">
        <v>2.3</v>
      </c>
      <c r="O121" s="14" t="n">
        <v>4.5</v>
      </c>
      <c r="P121" s="14" t="n">
        <v>2.4</v>
      </c>
      <c r="Q121" s="23" t="n">
        <v>3.9</v>
      </c>
      <c r="R121" s="23" t="n">
        <v>4.2</v>
      </c>
      <c r="S121" s="24" t="n">
        <v>112.68</v>
      </c>
      <c r="T121" s="20" t="n">
        <f aca="false">IF(AND(ISNUMBER(S121),ISNUMBER(S109)),(S121/S109-1)*100,"")</f>
        <v>3.30980104520033</v>
      </c>
    </row>
    <row r="122" customFormat="false" ht="15" hidden="false" customHeight="false" outlineLevel="0" collapsed="false">
      <c r="A122" s="17" t="n">
        <v>45261</v>
      </c>
      <c r="B122" s="22" t="n">
        <v>306.746</v>
      </c>
      <c r="C122" s="20" t="n">
        <f aca="false">IF(AND(ISNUMBER(B122),ISNUMBER(B110)),(B122/B110-1)*100,"")</f>
        <v>3.35212283143023</v>
      </c>
      <c r="D122" s="14" t="n">
        <v>3.352123</v>
      </c>
      <c r="E122" s="14" t="n">
        <v>3.175911</v>
      </c>
      <c r="F122" s="14" t="n">
        <v>4.2</v>
      </c>
      <c r="G122" s="14" t="n">
        <v>-0.3</v>
      </c>
      <c r="H122" s="14" t="n">
        <v>3.710247</v>
      </c>
      <c r="I122" s="14" t="n">
        <v>3.705326</v>
      </c>
      <c r="J122" s="14" t="n">
        <v>4.765687</v>
      </c>
      <c r="K122" s="23" t="n">
        <v>95.7</v>
      </c>
      <c r="L122" s="20" t="n">
        <f aca="false">IF(AND(ISNUMBER(K122),ISNUMBER(K110)),(K122/K110-1)*100,"")</f>
        <v>4.70459518599562</v>
      </c>
      <c r="M122" s="14" t="n">
        <v>4.1</v>
      </c>
      <c r="N122" s="14" t="n">
        <v>3.7</v>
      </c>
      <c r="O122" s="14" t="n">
        <v>4.6</v>
      </c>
      <c r="P122" s="14" t="n">
        <v>2.9</v>
      </c>
      <c r="Q122" s="23" t="n">
        <v>4</v>
      </c>
      <c r="R122" s="23" t="n">
        <v>4.2</v>
      </c>
      <c r="S122" s="24" t="n">
        <v>112.73</v>
      </c>
      <c r="T122" s="20" t="n">
        <f aca="false">IF(AND(ISNUMBER(S122),ISNUMBER(S110)),(S122/S110-1)*100,"")</f>
        <v>3.17591067179206</v>
      </c>
    </row>
    <row r="123" customFormat="false" ht="15" hidden="false" customHeight="false" outlineLevel="0" collapsed="false">
      <c r="A123" s="17" t="n">
        <v>45292</v>
      </c>
      <c r="B123" s="22" t="n">
        <v>308.417</v>
      </c>
      <c r="C123" s="20" t="n">
        <f aca="false">IF(AND(ISNUMBER(B123),ISNUMBER(B111)),(B123/B111-1)*100,"")</f>
        <v>3.09088478122805</v>
      </c>
      <c r="D123" s="14" t="n">
        <v>3.090885</v>
      </c>
      <c r="E123" s="14" t="n">
        <v>2.81639</v>
      </c>
      <c r="F123" s="14" t="n">
        <v>4.2</v>
      </c>
      <c r="G123" s="14" t="n">
        <v>-0.8</v>
      </c>
      <c r="H123" s="14" t="n">
        <v>2.887139</v>
      </c>
      <c r="I123" s="14" t="n">
        <v>3.132635</v>
      </c>
      <c r="J123" s="14" t="n">
        <v>4.678826</v>
      </c>
      <c r="K123" s="23" t="n">
        <v>95.9</v>
      </c>
      <c r="L123" s="20" t="n">
        <f aca="false">IF(AND(ISNUMBER(K123),ISNUMBER(K111)),(K123/K111-1)*100,"")</f>
        <v>4.80874316939892</v>
      </c>
      <c r="M123" s="14" t="n">
        <v>3.4</v>
      </c>
      <c r="N123" s="14" t="n">
        <v>3</v>
      </c>
      <c r="O123" s="14" t="n">
        <v>4.6</v>
      </c>
      <c r="P123" s="14" t="n">
        <v>2.8</v>
      </c>
      <c r="Q123" s="23" t="n">
        <v>4</v>
      </c>
      <c r="R123" s="23" t="n">
        <v>4.2</v>
      </c>
      <c r="S123" s="24" t="n">
        <v>113.17</v>
      </c>
      <c r="T123" s="20" t="n">
        <f aca="false">IF(AND(ISNUMBER(S123),ISNUMBER(S111)),(S123/S111-1)*100,"")</f>
        <v>2.81638957027348</v>
      </c>
    </row>
    <row r="124" customFormat="false" ht="15" hidden="false" customHeight="false" outlineLevel="0" collapsed="false">
      <c r="A124" s="17" t="n">
        <v>45323</v>
      </c>
      <c r="B124" s="22" t="n">
        <v>310.326</v>
      </c>
      <c r="C124" s="20" t="n">
        <f aca="false">IF(AND(ISNUMBER(B124),ISNUMBER(B112)),(B124/B112-1)*100,"")</f>
        <v>3.1531711208616</v>
      </c>
      <c r="D124" s="14" t="n">
        <v>3.153171</v>
      </c>
      <c r="E124" s="14" t="n">
        <v>3.126983</v>
      </c>
      <c r="F124" s="14" t="n">
        <v>3.8</v>
      </c>
      <c r="G124" s="14" t="n">
        <v>0.7</v>
      </c>
      <c r="H124" s="14" t="n">
        <v>2.517361</v>
      </c>
      <c r="I124" s="14" t="n">
        <v>2.962515</v>
      </c>
      <c r="J124" s="14" t="n">
        <v>4.50237</v>
      </c>
      <c r="K124" s="23" t="n">
        <v>96.1</v>
      </c>
      <c r="L124" s="20" t="n">
        <f aca="false">IF(AND(ISNUMBER(K124),ISNUMBER(K112)),(K124/K112-1)*100,"")</f>
        <v>4.57018498367789</v>
      </c>
      <c r="M124" s="14" t="n">
        <v>3.2</v>
      </c>
      <c r="N124" s="14" t="n">
        <v>2.7</v>
      </c>
      <c r="O124" s="14" t="n">
        <v>4.4</v>
      </c>
      <c r="P124" s="14" t="n">
        <v>2.6</v>
      </c>
      <c r="Q124" s="23" t="n">
        <v>3.4</v>
      </c>
      <c r="R124" s="23" t="n">
        <v>3.8</v>
      </c>
      <c r="S124" s="24" t="n">
        <v>113.78</v>
      </c>
      <c r="T124" s="20" t="n">
        <f aca="false">IF(AND(ISNUMBER(S124),ISNUMBER(S112)),(S124/S112-1)*100,"")</f>
        <v>3.12698268829874</v>
      </c>
    </row>
    <row r="125" customFormat="false" ht="15" hidden="false" customHeight="false" outlineLevel="0" collapsed="false">
      <c r="A125" s="17" t="n">
        <v>45352</v>
      </c>
      <c r="B125" s="22" t="n">
        <v>312.332</v>
      </c>
      <c r="C125" s="20" t="n">
        <f aca="false">IF(AND(ISNUMBER(B125),ISNUMBER(B113)),(B125/B113-1)*100,"")</f>
        <v>3.47738507003803</v>
      </c>
      <c r="D125" s="14" t="n">
        <v>3.477385</v>
      </c>
      <c r="E125" s="14" t="n">
        <v>3.103511</v>
      </c>
      <c r="F125" s="14" t="n">
        <v>3.8</v>
      </c>
      <c r="G125" s="14" t="n">
        <v>0.1</v>
      </c>
      <c r="H125" s="14" t="n">
        <v>2.153316</v>
      </c>
      <c r="I125" s="14" t="n">
        <v>2.294717</v>
      </c>
      <c r="J125" s="14" t="n">
        <v>3.918495</v>
      </c>
      <c r="K125" s="23" t="n">
        <v>96.3</v>
      </c>
      <c r="L125" s="20" t="n">
        <f aca="false">IF(AND(ISNUMBER(K125),ISNUMBER(K113)),(K125/K113-1)*100,"")</f>
        <v>3.88349514563107</v>
      </c>
      <c r="M125" s="14" t="n">
        <v>2.4</v>
      </c>
      <c r="N125" s="14" t="n">
        <v>2.4</v>
      </c>
      <c r="O125" s="14" t="n">
        <v>3.6</v>
      </c>
      <c r="P125" s="14" t="n">
        <v>2.4</v>
      </c>
      <c r="Q125" s="23" t="n">
        <v>3.2</v>
      </c>
      <c r="R125" s="23" t="n">
        <v>3.8</v>
      </c>
      <c r="S125" s="24" t="n">
        <v>113.95</v>
      </c>
      <c r="T125" s="20" t="n">
        <f aca="false">IF(AND(ISNUMBER(S125),ISNUMBER(S113)),(S125/S113-1)*100,"")</f>
        <v>3.10351067680059</v>
      </c>
    </row>
    <row r="126" customFormat="false" ht="15" hidden="false" customHeight="false" outlineLevel="0" collapsed="false">
      <c r="A126" s="17" t="n">
        <v>45383</v>
      </c>
      <c r="B126" s="22" t="n">
        <v>313.548</v>
      </c>
      <c r="C126" s="20" t="n">
        <f aca="false">IF(AND(ISNUMBER(B126),ISNUMBER(B114)),(B126/B114-1)*100,"")</f>
        <v>3.35736395011916</v>
      </c>
      <c r="D126" s="14" t="n">
        <v>3.357364</v>
      </c>
      <c r="E126" s="14" t="n">
        <v>2.92498</v>
      </c>
      <c r="F126" s="14" t="n">
        <v>3</v>
      </c>
      <c r="G126" s="14" t="n">
        <v>0.3</v>
      </c>
      <c r="H126" s="14" t="n">
        <v>2.229846</v>
      </c>
      <c r="I126" s="14" t="n">
        <v>2.187234</v>
      </c>
      <c r="J126" s="14" t="n">
        <v>3.643411</v>
      </c>
      <c r="K126" s="23" t="n">
        <v>97</v>
      </c>
      <c r="L126" s="20" t="n">
        <f aca="false">IF(AND(ISNUMBER(K126),ISNUMBER(K114)),(K126/K114-1)*100,"")</f>
        <v>3.63247863247864</v>
      </c>
      <c r="M126" s="14" t="n">
        <v>2.4</v>
      </c>
      <c r="N126" s="14" t="n">
        <v>2.4</v>
      </c>
      <c r="O126" s="14" t="n">
        <v>3.3</v>
      </c>
      <c r="P126" s="14" t="n">
        <v>2.4</v>
      </c>
      <c r="Q126" s="23" t="n">
        <v>2.3</v>
      </c>
      <c r="R126" s="23" t="n">
        <v>3</v>
      </c>
      <c r="S126" s="24" t="n">
        <v>114.01</v>
      </c>
      <c r="T126" s="20" t="n">
        <f aca="false">IF(AND(ISNUMBER(S126),ISNUMBER(S114)),(S126/S114-1)*100,"")</f>
        <v>2.92497968764107</v>
      </c>
    </row>
    <row r="127" customFormat="false" ht="15" hidden="false" customHeight="false" outlineLevel="0" collapsed="false">
      <c r="A127" s="17" t="n">
        <v>45413</v>
      </c>
      <c r="B127" s="22" t="n">
        <v>314.069</v>
      </c>
      <c r="C127" s="20" t="n">
        <f aca="false">IF(AND(ISNUMBER(B127),ISNUMBER(B115)),(B127/B115-1)*100,"")</f>
        <v>3.26902905694002</v>
      </c>
      <c r="D127" s="14" t="n">
        <v>3.269029</v>
      </c>
      <c r="E127" s="14" t="n">
        <v>2.672546</v>
      </c>
      <c r="F127" s="14" t="n">
        <v>2.8</v>
      </c>
      <c r="G127" s="14" t="n">
        <v>0.3</v>
      </c>
      <c r="H127" s="14" t="n">
        <v>2.403434</v>
      </c>
      <c r="I127" s="14" t="n">
        <v>2.273501</v>
      </c>
      <c r="J127" s="14" t="n">
        <v>3.009259</v>
      </c>
      <c r="K127" s="23" t="n">
        <v>96.9</v>
      </c>
      <c r="L127" s="20" t="n">
        <f aca="false">IF(AND(ISNUMBER(K127),ISNUMBER(K115)),(K127/K115-1)*100,"")</f>
        <v>2.97555791710946</v>
      </c>
      <c r="M127" s="14" t="n">
        <v>2.6</v>
      </c>
      <c r="N127" s="14" t="n">
        <v>2.8</v>
      </c>
      <c r="O127" s="14" t="n">
        <v>2.6</v>
      </c>
      <c r="P127" s="14" t="n">
        <v>2.6</v>
      </c>
      <c r="Q127" s="23" t="n">
        <v>2</v>
      </c>
      <c r="R127" s="23" t="n">
        <v>2.8</v>
      </c>
      <c r="S127" s="24" t="n">
        <v>114.1</v>
      </c>
      <c r="T127" s="20" t="n">
        <f aca="false">IF(AND(ISNUMBER(S127),ISNUMBER(S115)),(S127/S115-1)*100,"")</f>
        <v>2.67254566723656</v>
      </c>
    </row>
    <row r="128" customFormat="false" ht="15" hidden="false" customHeight="false" outlineLevel="0" collapsed="false">
      <c r="A128" s="17" t="n">
        <v>45444</v>
      </c>
      <c r="B128" s="22" t="n">
        <v>314.175</v>
      </c>
      <c r="C128" s="20" t="n">
        <f aca="false">IF(AND(ISNUMBER(B128),ISNUMBER(B116)),(B128/B116-1)*100,"")</f>
        <v>2.97139710726331</v>
      </c>
      <c r="D128" s="14" t="n">
        <v>2.971397</v>
      </c>
      <c r="E128" s="14" t="n">
        <v>2.410939</v>
      </c>
      <c r="F128" s="14" t="n">
        <v>2.8</v>
      </c>
      <c r="G128" s="14" t="n">
        <v>0.2</v>
      </c>
      <c r="H128" s="14" t="n">
        <v>2.226027</v>
      </c>
      <c r="I128" s="14" t="n">
        <v>2.167446</v>
      </c>
      <c r="J128" s="14" t="n">
        <v>2.607362</v>
      </c>
      <c r="K128" s="23" t="n">
        <v>97.2</v>
      </c>
      <c r="L128" s="20" t="n">
        <f aca="false">IF(AND(ISNUMBER(K128),ISNUMBER(K116)),(K128/K116-1)*100,"")</f>
        <v>2.63991552270328</v>
      </c>
      <c r="M128" s="14" t="n">
        <v>2.5</v>
      </c>
      <c r="N128" s="14" t="n">
        <v>2.6</v>
      </c>
      <c r="O128" s="14" t="n">
        <v>2.2</v>
      </c>
      <c r="P128" s="14" t="n">
        <v>2.5</v>
      </c>
      <c r="Q128" s="23" t="n">
        <v>2</v>
      </c>
      <c r="R128" s="23" t="n">
        <v>2.8</v>
      </c>
      <c r="S128" s="24" t="n">
        <v>113.84</v>
      </c>
      <c r="T128" s="20" t="n">
        <f aca="false">IF(AND(ISNUMBER(S128),ISNUMBER(S116)),(S128/S116-1)*100,"")</f>
        <v>2.41093918675783</v>
      </c>
    </row>
    <row r="129" customFormat="false" ht="15" hidden="false" customHeight="false" outlineLevel="0" collapsed="false">
      <c r="A129" s="17" t="n">
        <v>45474</v>
      </c>
      <c r="B129" s="22" t="n">
        <v>314.54</v>
      </c>
      <c r="C129" s="20" t="n">
        <f aca="false">IF(AND(ISNUMBER(B129),ISNUMBER(B117)),(B129/B117-1)*100,"")</f>
        <v>2.89475319849131</v>
      </c>
      <c r="D129" s="14" t="n">
        <v>2.894753</v>
      </c>
      <c r="E129" s="14" t="n">
        <v>2.551892</v>
      </c>
      <c r="F129" s="14" t="n">
        <v>3.1</v>
      </c>
      <c r="G129" s="14" t="n">
        <v>0.5</v>
      </c>
      <c r="H129" s="14" t="n">
        <v>2.305722</v>
      </c>
      <c r="I129" s="14" t="n">
        <v>2.302268</v>
      </c>
      <c r="J129" s="14" t="n">
        <v>2.750191</v>
      </c>
      <c r="K129" s="23" t="n">
        <v>97.7</v>
      </c>
      <c r="L129" s="20" t="n">
        <f aca="false">IF(AND(ISNUMBER(K129),ISNUMBER(K117)),(K129/K117-1)*100,"")</f>
        <v>2.84210526315789</v>
      </c>
      <c r="M129" s="14" t="n">
        <v>2.7</v>
      </c>
      <c r="N129" s="14" t="n">
        <v>2.6</v>
      </c>
      <c r="O129" s="14" t="n">
        <v>2.4</v>
      </c>
      <c r="P129" s="14" t="n">
        <v>2.6</v>
      </c>
      <c r="Q129" s="23" t="n">
        <v>2.2</v>
      </c>
      <c r="R129" s="23" t="n">
        <v>3.1</v>
      </c>
      <c r="S129" s="24" t="n">
        <v>114.13</v>
      </c>
      <c r="T129" s="20" t="n">
        <f aca="false">IF(AND(ISNUMBER(S129),ISNUMBER(S117)),(S129/S117-1)*100,"")</f>
        <v>2.55189145475783</v>
      </c>
    </row>
    <row r="130" customFormat="false" ht="15" hidden="false" customHeight="false" outlineLevel="0" collapsed="false">
      <c r="A130" s="17" t="n">
        <v>45505</v>
      </c>
      <c r="B130" s="22" t="n">
        <v>314.796</v>
      </c>
      <c r="C130" s="20" t="n">
        <f aca="false">IF(AND(ISNUMBER(B130),ISNUMBER(B118)),(B130/B118-1)*100,"")</f>
        <v>2.53073029645696</v>
      </c>
      <c r="D130" s="14" t="n">
        <v>2.53073</v>
      </c>
      <c r="E130" s="14" t="n">
        <v>2.012825</v>
      </c>
      <c r="F130" s="14" t="n">
        <v>3.1</v>
      </c>
      <c r="G130" s="14" t="n">
        <v>0.6</v>
      </c>
      <c r="H130" s="14" t="n">
        <v>1.87234</v>
      </c>
      <c r="I130" s="14" t="n">
        <v>1.825217</v>
      </c>
      <c r="J130" s="14" t="n">
        <v>2.617398</v>
      </c>
      <c r="K130" s="23" t="n">
        <v>96.8</v>
      </c>
      <c r="L130" s="20" t="n">
        <f aca="false">IF(AND(ISNUMBER(K130),ISNUMBER(K118)),(K130/K118-1)*100,"")</f>
        <v>2.65111346765641</v>
      </c>
      <c r="M130" s="14" t="n">
        <v>2.2</v>
      </c>
      <c r="N130" s="14" t="n">
        <v>2.1</v>
      </c>
      <c r="O130" s="14" t="n">
        <v>2.2</v>
      </c>
      <c r="P130" s="14" t="n">
        <v>2.2</v>
      </c>
      <c r="Q130" s="23" t="n">
        <v>2.2</v>
      </c>
      <c r="R130" s="23" t="n">
        <v>3.1</v>
      </c>
      <c r="S130" s="24" t="n">
        <v>114.54</v>
      </c>
      <c r="T130" s="20" t="n">
        <f aca="false">IF(AND(ISNUMBER(S130),ISNUMBER(S118)),(S130/S118-1)*100,"")</f>
        <v>2.01282508015677</v>
      </c>
    </row>
    <row r="131" customFormat="false" ht="15" hidden="false" customHeight="false" outlineLevel="0" collapsed="false">
      <c r="A131" s="17" t="n">
        <v>45536</v>
      </c>
      <c r="B131" s="22" t="n">
        <v>315.301</v>
      </c>
      <c r="C131" s="20" t="n">
        <f aca="false">IF(AND(ISNUMBER(B131),ISNUMBER(B119)),(B131/B119-1)*100,"")</f>
        <v>2.44063303106998</v>
      </c>
      <c r="D131" s="14" t="n">
        <v>2.440633</v>
      </c>
      <c r="E131" s="14" t="n">
        <v>1.595038</v>
      </c>
      <c r="F131" s="14" t="n">
        <v>2.6</v>
      </c>
      <c r="G131" s="14" t="n">
        <v>0.4</v>
      </c>
      <c r="H131" s="14" t="n">
        <v>1.612903</v>
      </c>
      <c r="I131" s="14" t="n">
        <v>1.099273</v>
      </c>
      <c r="J131" s="14" t="n">
        <v>3.004622</v>
      </c>
      <c r="K131" s="23" t="n">
        <v>97.1</v>
      </c>
      <c r="L131" s="20" t="n">
        <f aca="false">IF(AND(ISNUMBER(K131),ISNUMBER(K119)),(K131/K119-1)*100,"")</f>
        <v>2.96924708377517</v>
      </c>
      <c r="M131" s="14" t="n">
        <v>1.4</v>
      </c>
      <c r="N131" s="14" t="n">
        <v>1.9</v>
      </c>
      <c r="O131" s="14" t="n">
        <v>2.7</v>
      </c>
      <c r="P131" s="14" t="n">
        <v>1.7</v>
      </c>
      <c r="Q131" s="23" t="n">
        <v>1.7</v>
      </c>
      <c r="R131" s="23" t="n">
        <v>2.6</v>
      </c>
      <c r="S131" s="24" t="n">
        <v>114.65</v>
      </c>
      <c r="T131" s="20" t="n">
        <f aca="false">IF(AND(ISNUMBER(S131),ISNUMBER(S119)),(S131/S119-1)*100,"")</f>
        <v>1.59503766061144</v>
      </c>
    </row>
    <row r="132" customFormat="false" ht="15" hidden="false" customHeight="false" outlineLevel="0" collapsed="false">
      <c r="A132" s="17" t="n">
        <v>45566</v>
      </c>
      <c r="B132" s="22" t="n">
        <v>315.664</v>
      </c>
      <c r="C132" s="20" t="n">
        <f aca="false">IF(AND(ISNUMBER(B132),ISNUMBER(B120)),(B132/B120-1)*100,"")</f>
        <v>2.59790490491467</v>
      </c>
      <c r="D132" s="14" t="n">
        <v>2.597905</v>
      </c>
      <c r="E132" s="14" t="n">
        <v>1.253642</v>
      </c>
      <c r="F132" s="14" t="n">
        <v>3.2</v>
      </c>
      <c r="G132" s="14" t="n">
        <v>0.3</v>
      </c>
      <c r="H132" s="14" t="n">
        <v>2.037351</v>
      </c>
      <c r="I132" s="14" t="n">
        <v>1.232796</v>
      </c>
      <c r="J132" s="14" t="n">
        <v>2.59344</v>
      </c>
      <c r="K132" s="23" t="n">
        <v>97.7</v>
      </c>
      <c r="L132" s="20" t="n">
        <f aca="false">IF(AND(ISNUMBER(K132),ISNUMBER(K120)),(K132/K120-1)*100,"")</f>
        <v>2.62605042016806</v>
      </c>
      <c r="M132" s="14" t="n">
        <v>1.6</v>
      </c>
      <c r="N132" s="14" t="n">
        <v>2.4</v>
      </c>
      <c r="O132" s="14" t="n">
        <v>2.2</v>
      </c>
      <c r="P132" s="14" t="n">
        <v>2</v>
      </c>
      <c r="Q132" s="23" t="n">
        <v>2.3</v>
      </c>
      <c r="R132" s="23" t="n">
        <v>3.2</v>
      </c>
      <c r="S132" s="24" t="n">
        <v>114.69</v>
      </c>
      <c r="T132" s="20" t="n">
        <f aca="false">IF(AND(ISNUMBER(S132),ISNUMBER(S120)),(S132/S120-1)*100,"")</f>
        <v>1.25364174097289</v>
      </c>
    </row>
    <row r="133" customFormat="false" ht="15" hidden="false" customHeight="false" outlineLevel="0" collapsed="false">
      <c r="A133" s="17" t="n">
        <v>45597</v>
      </c>
      <c r="B133" s="22" t="n">
        <v>315.493</v>
      </c>
      <c r="C133" s="20" t="n">
        <f aca="false">IF(AND(ISNUMBER(B133),ISNUMBER(B121)),(B133/B121-1)*100,"")</f>
        <v>2.74938039609056</v>
      </c>
      <c r="D133" s="14" t="n">
        <v>2.74938</v>
      </c>
      <c r="E133" s="14" t="n">
        <v>1.526447</v>
      </c>
      <c r="F133" s="14" t="n">
        <v>3.5</v>
      </c>
      <c r="G133" s="14" t="n">
        <v>0.2</v>
      </c>
      <c r="H133" s="14" t="n">
        <v>2.216539</v>
      </c>
      <c r="I133" s="14" t="n">
        <v>1.260255</v>
      </c>
      <c r="J133" s="14" t="n">
        <v>2.352049</v>
      </c>
      <c r="K133" s="23" t="n">
        <v>98</v>
      </c>
      <c r="L133" s="20" t="n">
        <f aca="false">IF(AND(ISNUMBER(K133),ISNUMBER(K121)),(K133/K121-1)*100,"")</f>
        <v>2.40334378265412</v>
      </c>
      <c r="M133" s="14" t="n">
        <v>1.7</v>
      </c>
      <c r="N133" s="14" t="n">
        <v>2.4</v>
      </c>
      <c r="O133" s="14" t="n">
        <v>1.9</v>
      </c>
      <c r="P133" s="14" t="n">
        <v>2.2</v>
      </c>
      <c r="Q133" s="23" t="n">
        <v>2.6</v>
      </c>
      <c r="R133" s="23" t="n">
        <v>3.5</v>
      </c>
      <c r="S133" s="24" t="n">
        <v>114.4</v>
      </c>
      <c r="T133" s="20" t="n">
        <f aca="false">IF(AND(ISNUMBER(S133),ISNUMBER(S121)),(S133/S121-1)*100,"")</f>
        <v>1.52644657436989</v>
      </c>
    </row>
    <row r="134" customFormat="false" ht="15" hidden="false" customHeight="false" outlineLevel="0" collapsed="false">
      <c r="A134" s="17" t="n">
        <v>45627</v>
      </c>
      <c r="B134" s="22" t="n">
        <v>315.605</v>
      </c>
      <c r="C134" s="20" t="n">
        <f aca="false">IF(AND(ISNUMBER(B134),ISNUMBER(B122)),(B134/B122-1)*100,"")</f>
        <v>2.88805721998007</v>
      </c>
      <c r="D134" s="14" t="n">
        <v>2.888057</v>
      </c>
      <c r="E134" s="14" t="n">
        <v>1.933824</v>
      </c>
      <c r="F134" s="14" t="n">
        <v>3.5</v>
      </c>
      <c r="G134" s="14" t="n">
        <v>0.1</v>
      </c>
      <c r="H134" s="14" t="n">
        <v>2.640545</v>
      </c>
      <c r="I134" s="14" t="n">
        <v>1.317679</v>
      </c>
      <c r="J134" s="14" t="n">
        <v>2.198635</v>
      </c>
      <c r="K134" s="23" t="n">
        <v>97.9</v>
      </c>
      <c r="L134" s="20" t="n">
        <f aca="false">IF(AND(ISNUMBER(K134),ISNUMBER(K122)),(K134/K122-1)*100,"")</f>
        <v>2.29885057471264</v>
      </c>
      <c r="M134" s="14" t="n">
        <v>1.8</v>
      </c>
      <c r="N134" s="14" t="n">
        <v>2.8</v>
      </c>
      <c r="O134" s="14" t="n">
        <v>1.7</v>
      </c>
      <c r="P134" s="14" t="n">
        <v>2.4</v>
      </c>
      <c r="Q134" s="23" t="n">
        <v>2.5</v>
      </c>
      <c r="R134" s="23" t="n">
        <v>3.5</v>
      </c>
      <c r="S134" s="24" t="n">
        <v>114.91</v>
      </c>
      <c r="T134" s="20" t="n">
        <f aca="false">IF(AND(ISNUMBER(S134),ISNUMBER(S122)),(S134/S122-1)*100,"")</f>
        <v>1.93382418167303</v>
      </c>
    </row>
    <row r="135" customFormat="false" ht="15" hidden="false" customHeight="false" outlineLevel="0" collapsed="false">
      <c r="A135" s="17" t="n">
        <v>45658</v>
      </c>
      <c r="B135" s="22" t="n">
        <v>317.671</v>
      </c>
      <c r="C135" s="20" t="n">
        <f aca="false">IF(AND(ISNUMBER(B135),ISNUMBER(B123)),(B135/B123-1)*100,"")</f>
        <v>3.00048311215011</v>
      </c>
      <c r="D135" s="14" t="n">
        <v>3.000483</v>
      </c>
      <c r="E135" s="14" t="n">
        <v>2.244411</v>
      </c>
      <c r="F135" s="14" t="n">
        <v>3.9</v>
      </c>
      <c r="G135" s="14" t="n">
        <v>0.5</v>
      </c>
      <c r="H135" s="14" t="n">
        <v>2.295918</v>
      </c>
      <c r="I135" s="14" t="n">
        <v>1.649886</v>
      </c>
      <c r="J135" s="14" t="n">
        <v>2.348485</v>
      </c>
      <c r="K135" s="23" t="n">
        <v>98.1</v>
      </c>
      <c r="L135" s="20" t="n">
        <f aca="false">IF(AND(ISNUMBER(K135),ISNUMBER(K123)),(K135/K123-1)*100,"")</f>
        <v>2.29405630865485</v>
      </c>
      <c r="M135" s="14" t="n">
        <v>1.8</v>
      </c>
      <c r="N135" s="14" t="n">
        <v>2.8</v>
      </c>
      <c r="O135" s="14" t="n">
        <v>1.9</v>
      </c>
      <c r="P135" s="14" t="n">
        <v>2.5</v>
      </c>
      <c r="Q135" s="23" t="n">
        <v>3</v>
      </c>
      <c r="R135" s="23" t="n">
        <v>3.9</v>
      </c>
      <c r="S135" s="24" t="n">
        <v>115.71</v>
      </c>
      <c r="T135" s="20" t="n">
        <f aca="false">IF(AND(ISNUMBER(S135),ISNUMBER(S123)),(S135/S123-1)*100,"")</f>
        <v>2.24441106300255</v>
      </c>
    </row>
    <row r="136" customFormat="false" ht="15" hidden="false" customHeight="false" outlineLevel="0" collapsed="false">
      <c r="A136" s="17" t="n">
        <v>45689</v>
      </c>
      <c r="B136" s="22" t="n">
        <v>319.082</v>
      </c>
      <c r="C136" s="20" t="n">
        <f aca="false">IF(AND(ISNUMBER(B136),ISNUMBER(B124)),(B136/B124-1)*100,"")</f>
        <v>2.82154895174751</v>
      </c>
      <c r="D136" s="14" t="n">
        <v>2.821549</v>
      </c>
      <c r="E136" s="14" t="n">
        <v>2.021445</v>
      </c>
      <c r="F136" s="14" t="n">
        <v>3.7</v>
      </c>
      <c r="G136" s="14" t="n">
        <v>-0.7</v>
      </c>
      <c r="H136" s="14" t="n">
        <v>2.286198</v>
      </c>
      <c r="I136" s="14" t="n">
        <v>0.796913</v>
      </c>
      <c r="J136" s="14" t="n">
        <v>3.552532</v>
      </c>
      <c r="K136" s="23" t="n">
        <v>99.5</v>
      </c>
      <c r="L136" s="20" t="n">
        <f aca="false">IF(AND(ISNUMBER(K136),ISNUMBER(K124)),(K136/K124-1)*100,"")</f>
        <v>3.53798126951093</v>
      </c>
      <c r="M136" s="14" t="n">
        <v>0.9</v>
      </c>
      <c r="N136" s="14" t="n">
        <v>2.6</v>
      </c>
      <c r="O136" s="14" t="n">
        <v>3.2</v>
      </c>
      <c r="P136" s="14" t="n">
        <v>2.3</v>
      </c>
      <c r="Q136" s="23" t="n">
        <v>2.8</v>
      </c>
      <c r="R136" s="23" t="n">
        <v>3.7</v>
      </c>
      <c r="S136" s="24" t="n">
        <v>116.08</v>
      </c>
      <c r="T136" s="20" t="n">
        <f aca="false">IF(AND(ISNUMBER(S136),ISNUMBER(S124)),(S136/S124-1)*100,"")</f>
        <v>2.02144489365441</v>
      </c>
    </row>
    <row r="137" customFormat="false" ht="15" hidden="false" customHeight="false" outlineLevel="0" collapsed="false">
      <c r="A137" s="17" t="n">
        <v>45717</v>
      </c>
      <c r="B137" s="22" t="n">
        <v>319.799</v>
      </c>
      <c r="C137" s="20" t="n">
        <f aca="false">IF(AND(ISNUMBER(B137),ISNUMBER(B125)),(B137/B125-1)*100,"")</f>
        <v>2.3907252538965</v>
      </c>
      <c r="D137" s="14" t="n">
        <v>2.390725</v>
      </c>
      <c r="E137" s="14" t="n">
        <v>2.053532</v>
      </c>
      <c r="F137" s="14" t="n">
        <v>3.4</v>
      </c>
      <c r="G137" s="14" t="n">
        <v>-0.1</v>
      </c>
      <c r="H137" s="14" t="n">
        <v>2.192243</v>
      </c>
      <c r="I137" s="14" t="n">
        <v>0.7616975</v>
      </c>
      <c r="J137" s="14" t="n">
        <v>2.639517</v>
      </c>
      <c r="K137" s="23" t="n">
        <v>98.8</v>
      </c>
      <c r="L137" s="20" t="n">
        <f aca="false">IF(AND(ISNUMBER(K137),ISNUMBER(K125)),(K137/K125-1)*100,"")</f>
        <v>2.59605399792315</v>
      </c>
      <c r="M137" s="14" t="n">
        <v>0.9</v>
      </c>
      <c r="N137" s="14" t="n">
        <v>2.3</v>
      </c>
      <c r="O137" s="14" t="n">
        <v>2.3</v>
      </c>
      <c r="P137" s="14" t="n">
        <v>2.2</v>
      </c>
      <c r="Q137" s="23" t="n">
        <v>2.6</v>
      </c>
      <c r="R137" s="23" t="n">
        <v>3.4</v>
      </c>
      <c r="S137" s="24" t="n">
        <v>116.29</v>
      </c>
      <c r="T137" s="20" t="n">
        <f aca="false">IF(AND(ISNUMBER(S137),ISNUMBER(S125)),(S137/S125-1)*100,"")</f>
        <v>2.05353225098728</v>
      </c>
    </row>
    <row r="138" customFormat="false" ht="15" hidden="false" customHeight="false" outlineLevel="0" collapsed="false">
      <c r="A138" s="17" t="n">
        <v>45748</v>
      </c>
      <c r="B138" s="22" t="n">
        <v>320.795</v>
      </c>
      <c r="C138" s="20" t="n">
        <f aca="false">IF(AND(ISNUMBER(B138),ISNUMBER(B126)),(B138/B126-1)*100,"")</f>
        <v>2.31128886167349</v>
      </c>
      <c r="D138" s="14" t="n">
        <v>2.311289</v>
      </c>
      <c r="E138" s="14" t="n">
        <v>2.078765</v>
      </c>
      <c r="F138" s="14" t="n">
        <v>4.1</v>
      </c>
      <c r="G138" s="14" t="n">
        <v>-0.1</v>
      </c>
      <c r="H138" s="14" t="n">
        <v>2.097316</v>
      </c>
      <c r="I138" s="14" t="n">
        <v>0.824519</v>
      </c>
      <c r="J138" s="14" t="n">
        <v>2.468212</v>
      </c>
      <c r="K138" s="23" t="n">
        <v>99.4</v>
      </c>
      <c r="L138" s="20" t="n">
        <f aca="false">IF(AND(ISNUMBER(K138),ISNUMBER(K126)),(K138/K126-1)*100,"")</f>
        <v>2.47422680412372</v>
      </c>
      <c r="M138" s="14" t="n">
        <v>0.9</v>
      </c>
      <c r="N138" s="14" t="n">
        <v>2.2</v>
      </c>
      <c r="O138" s="14" t="n">
        <v>2.1</v>
      </c>
      <c r="P138" s="14" t="n">
        <v>2.2</v>
      </c>
      <c r="Q138" s="23" t="n">
        <v>3.5</v>
      </c>
      <c r="R138" s="23" t="n">
        <v>4.1</v>
      </c>
      <c r="S138" s="24" t="n">
        <v>116.38</v>
      </c>
      <c r="T138" s="20" t="n">
        <f aca="false">IF(AND(ISNUMBER(S138),ISNUMBER(S126)),(S138/S126-1)*100,"")</f>
        <v>2.07876502061222</v>
      </c>
    </row>
    <row r="139" customFormat="false" ht="15" hidden="false" customHeight="false" outlineLevel="0" collapsed="false">
      <c r="A139" s="17" t="n">
        <v>45778</v>
      </c>
      <c r="B139" s="22" t="n">
        <v>321.465</v>
      </c>
      <c r="C139" s="20" t="n">
        <f aca="false">IF(AND(ISNUMBER(B139),ISNUMBER(B127)),(B139/B127-1)*100,"")</f>
        <v>2.35489653547467</v>
      </c>
      <c r="D139" s="14" t="n">
        <v>2.354897</v>
      </c>
      <c r="E139" s="14" t="n">
        <v>1.90184</v>
      </c>
      <c r="F139" s="14" t="n">
        <v>4</v>
      </c>
      <c r="G139" s="14" t="n">
        <v>-0.1</v>
      </c>
      <c r="H139" s="14" t="n">
        <v>2.095557</v>
      </c>
      <c r="I139" s="14" t="n">
        <v>0.6577304</v>
      </c>
      <c r="J139" s="14" t="n">
        <v>2.996255</v>
      </c>
      <c r="K139" s="23" t="n">
        <v>99.9</v>
      </c>
      <c r="L139" s="20" t="n">
        <f aca="false">IF(AND(ISNUMBER(K139),ISNUMBER(K127)),(K139/K127-1)*100,"")</f>
        <v>3.09597523219813</v>
      </c>
      <c r="M139" s="14" t="n">
        <v>0.6</v>
      </c>
      <c r="N139" s="14" t="n">
        <v>2.1</v>
      </c>
      <c r="O139" s="14" t="n">
        <v>2.8</v>
      </c>
      <c r="P139" s="14" t="n">
        <v>1.9</v>
      </c>
      <c r="Q139" s="23" t="n">
        <v>3.4</v>
      </c>
      <c r="R139" s="23" t="n">
        <v>4</v>
      </c>
      <c r="S139" s="24" t="n">
        <v>116.27</v>
      </c>
      <c r="T139" s="20" t="n">
        <f aca="false">IF(AND(ISNUMBER(S139),ISNUMBER(S127)),(S139/S127-1)*100,"")</f>
        <v>1.90184049079756</v>
      </c>
    </row>
    <row r="140" customFormat="false" ht="15" hidden="false" customHeight="false" outlineLevel="0" collapsed="false">
      <c r="A140" s="17" t="n">
        <v>45809</v>
      </c>
      <c r="B140" s="22" t="n">
        <v>322.561</v>
      </c>
      <c r="C140" s="20" t="n">
        <f aca="false">IF(AND(ISNUMBER(B140),ISNUMBER(B128)),(B140/B128-1)*100,"")</f>
        <v>2.66921301822232</v>
      </c>
      <c r="D140" s="14" t="n">
        <v>2.669213</v>
      </c>
      <c r="E140" s="14" t="n">
        <v>2.169712</v>
      </c>
      <c r="F140" s="14" t="n">
        <v>4.1</v>
      </c>
      <c r="G140" s="14" t="n">
        <v>0.1</v>
      </c>
      <c r="H140" s="14" t="n">
        <v>2.01005</v>
      </c>
      <c r="I140" s="14" t="n">
        <v>0.9650582</v>
      </c>
      <c r="J140" s="14" t="n">
        <v>2.989537</v>
      </c>
      <c r="K140" s="23" t="n">
        <v>100.1</v>
      </c>
      <c r="L140" s="20" t="n">
        <f aca="false">IF(AND(ISNUMBER(K140),ISNUMBER(K128)),(K140/K128-1)*100,"")</f>
        <v>2.98353909465019</v>
      </c>
      <c r="M140" s="14" t="n">
        <v>0.9</v>
      </c>
      <c r="N140" s="14" t="n">
        <v>2</v>
      </c>
      <c r="O140" s="14" t="n">
        <v>2.7</v>
      </c>
      <c r="P140" s="14" t="n">
        <v>2</v>
      </c>
      <c r="Q140" s="23" t="n">
        <v>3.6</v>
      </c>
      <c r="R140" s="23" t="n">
        <v>4.1</v>
      </c>
      <c r="S140" s="24" t="n">
        <v>116.31</v>
      </c>
      <c r="T140" s="20" t="n">
        <f aca="false">IF(AND(ISNUMBER(S140),ISNUMBER(S128)),(S140/S128-1)*100,"")</f>
        <v>2.16971187631765</v>
      </c>
    </row>
    <row r="141" customFormat="false" ht="15" hidden="false" customHeight="false" outlineLevel="0" collapsed="false">
      <c r="A141" s="17" t="n">
        <v>45839</v>
      </c>
      <c r="B141" s="22" t="n">
        <v>323.048</v>
      </c>
      <c r="C141" s="20" t="n">
        <f aca="false">IF(AND(ISNUMBER(B141),ISNUMBER(B129)),(B141/B129-1)*100,"")</f>
        <v>2.7049023971514</v>
      </c>
      <c r="D141" s="14" t="n">
        <v>2.704902</v>
      </c>
      <c r="E141" s="14" t="n">
        <v>2.094103</v>
      </c>
      <c r="F141" s="14" t="n">
        <v>4.2</v>
      </c>
      <c r="G141" s="14" t="n">
        <v>0</v>
      </c>
      <c r="H141" s="14" t="n">
        <v>2.003339</v>
      </c>
      <c r="I141" s="14" t="n">
        <v>0.9965122</v>
      </c>
      <c r="J141" s="14" t="n">
        <v>3.271375</v>
      </c>
      <c r="K141" s="23" t="n">
        <v>100.8</v>
      </c>
      <c r="L141" s="20" t="n">
        <f aca="false">IF(AND(ISNUMBER(K141),ISNUMBER(K129)),(K141/K129-1)*100,"")</f>
        <v>3.17297850562948</v>
      </c>
      <c r="M141" s="14" t="n">
        <v>0.9</v>
      </c>
      <c r="N141" s="14" t="n">
        <v>1.9</v>
      </c>
      <c r="O141" s="14" t="n">
        <v>3.1</v>
      </c>
      <c r="P141" s="14" t="n">
        <v>2</v>
      </c>
      <c r="Q141" s="23" t="n">
        <v>3.8</v>
      </c>
      <c r="R141" s="23" t="n">
        <v>4.2</v>
      </c>
      <c r="S141" s="24" t="n">
        <v>116.52</v>
      </c>
      <c r="T141" s="20" t="n">
        <f aca="false">IF(AND(ISNUMBER(S141),ISNUMBER(S129)),(S141/S129-1)*100,"")</f>
        <v>2.0941032156313</v>
      </c>
    </row>
    <row r="142" customFormat="false" ht="15" hidden="false" customHeight="false" outlineLevel="0" collapsed="false">
      <c r="A142" s="17" t="n">
        <v>45870</v>
      </c>
      <c r="B142" s="22" t="n">
        <v>323.976</v>
      </c>
      <c r="C142" s="20" t="n">
        <f aca="false">IF(AND(ISNUMBER(B142),ISNUMBER(B130)),(B142/B130-1)*100,"")</f>
        <v>2.9161742842984</v>
      </c>
      <c r="D142" s="14" t="n">
        <v>2.916174</v>
      </c>
      <c r="E142" s="14" t="n">
        <v>1.66754</v>
      </c>
      <c r="F142" s="14" t="n">
        <v>4.1</v>
      </c>
      <c r="G142" s="14" t="n">
        <v>-0.4</v>
      </c>
      <c r="H142" s="14" t="n">
        <v>2.172097</v>
      </c>
      <c r="I142" s="14" t="n">
        <v>0.8838592</v>
      </c>
      <c r="J142" s="14" t="n">
        <v>3.525882</v>
      </c>
      <c r="K142" s="23" t="n">
        <v>100.2</v>
      </c>
      <c r="L142" s="20" t="n">
        <f aca="false">IF(AND(ISNUMBER(K142),ISNUMBER(K130)),(K142/K130-1)*100,"")</f>
        <v>3.51239669421488</v>
      </c>
      <c r="M142" s="14" t="n">
        <v>0.8</v>
      </c>
      <c r="N142" s="14" t="n">
        <v>2</v>
      </c>
      <c r="O142" s="14" t="n">
        <v>3.5</v>
      </c>
      <c r="P142" s="14" t="n">
        <v>2</v>
      </c>
      <c r="Q142" s="23" t="n">
        <v>3.8</v>
      </c>
      <c r="R142" s="23" t="n">
        <v>4.1</v>
      </c>
      <c r="S142" s="24" t="n">
        <v>116.45</v>
      </c>
      <c r="T142" s="20" t="n">
        <f aca="false">IF(AND(ISNUMBER(S142),ISNUMBER(S130)),(S142/S130-1)*100,"")</f>
        <v>1.66753972411384</v>
      </c>
    </row>
    <row r="143" customFormat="false" ht="15" hidden="false" customHeight="false" outlineLevel="0" collapsed="false">
      <c r="A143" s="17" t="n">
        <v>45901</v>
      </c>
      <c r="B143" s="22" t="n">
        <v>324.8</v>
      </c>
      <c r="C143" s="20" t="n">
        <f aca="false">IF(AND(ISNUMBER(B143),ISNUMBER(B131)),(B143/B131-1)*100,"")</f>
        <v>3.01267677552561</v>
      </c>
      <c r="D143" s="14" t="n">
        <v>3.012677</v>
      </c>
      <c r="E143" s="14" t="n">
        <v>2.10205</v>
      </c>
      <c r="F143" s="14" t="n">
        <v>4.1</v>
      </c>
      <c r="G143" s="14" t="n">
        <v>-0.3</v>
      </c>
      <c r="H143" s="14" t="n">
        <v>2.422724</v>
      </c>
      <c r="I143" s="14" t="n">
        <v>1.162596</v>
      </c>
      <c r="J143" s="14" t="n">
        <v>3.590127</v>
      </c>
      <c r="K143" s="23" t="n">
        <v>100.6</v>
      </c>
      <c r="L143" s="20" t="n">
        <f aca="false">IF(AND(ISNUMBER(K143),ISNUMBER(K131)),(K143/K131-1)*100,"")</f>
        <v>3.60453141091659</v>
      </c>
      <c r="M143" s="14" t="n">
        <v>1.1</v>
      </c>
      <c r="N143" s="14" t="n">
        <v>2.3</v>
      </c>
      <c r="O143" s="14" t="n">
        <v>3.6</v>
      </c>
      <c r="P143" s="14" t="n">
        <v>2.2</v>
      </c>
      <c r="Q143" s="23" t="n">
        <v>3.8</v>
      </c>
      <c r="R143" s="23" t="n">
        <v>4.1</v>
      </c>
      <c r="S143" s="24" t="n">
        <v>117.06</v>
      </c>
      <c r="T143" s="20" t="n">
        <f aca="false">IF(AND(ISNUMBER(S143),ISNUMBER(S131)),(S143/S131-1)*100,"")</f>
        <v>2.10204971652856</v>
      </c>
    </row>
    <row r="144" customFormat="false" ht="15" hidden="false" customHeight="false" outlineLevel="0" collapsed="false">
      <c r="A144" s="17" t="n">
        <v>45931</v>
      </c>
      <c r="C144" s="20" t="str">
        <f aca="false">IF(AND(ISNUMBER(B144),ISNUMBER(B132)),(B144/B132-1)*100,"")</f>
        <v/>
      </c>
      <c r="E144" s="14" t="n">
        <v>2.38033</v>
      </c>
      <c r="F144" s="14" t="n">
        <v>3.8</v>
      </c>
      <c r="G144" s="14" t="n">
        <v>0.2</v>
      </c>
      <c r="H144" s="14" t="n">
        <v>2.329451</v>
      </c>
      <c r="I144" s="14" t="n">
        <v>0.9425306</v>
      </c>
      <c r="J144" s="14" t="n">
        <v>3.122677</v>
      </c>
      <c r="K144" s="23" t="n">
        <v>100.7</v>
      </c>
      <c r="L144" s="20" t="n">
        <f aca="false">IF(AND(ISNUMBER(K144),ISNUMBER(K132)),(K144/K132-1)*100,"")</f>
        <v>3.0706243602866</v>
      </c>
      <c r="M144" s="14" t="n">
        <v>0.8</v>
      </c>
      <c r="N144" s="14" t="n">
        <v>2.3</v>
      </c>
      <c r="O144" s="14" t="n">
        <v>2.9</v>
      </c>
      <c r="P144" s="14" t="n">
        <v>2.1</v>
      </c>
      <c r="Q144" s="23" t="n">
        <v>3.6</v>
      </c>
      <c r="R144" s="23" t="n">
        <v>3.8</v>
      </c>
      <c r="S144" s="24" t="n">
        <v>117.42</v>
      </c>
      <c r="T144" s="20" t="n">
        <f aca="false">IF(AND(ISNUMBER(S144),ISNUMBER(S132)),(S144/S132-1)*100,"")</f>
        <v>2.38032958409626</v>
      </c>
    </row>
    <row r="145" customFormat="false" ht="15" hidden="false" customHeight="false" outlineLevel="0" collapsed="false">
      <c r="A145" s="17" t="n">
        <v>45962</v>
      </c>
      <c r="B145" s="22" t="n">
        <v>324.122</v>
      </c>
      <c r="C145" s="20" t="n">
        <f aca="false">IF(AND(ISNUMBER(B145),ISNUMBER(B133)),(B145/B133-1)*100,"")</f>
        <v>2.73508445512263</v>
      </c>
      <c r="D145" s="14" t="n">
        <v>2.735085</v>
      </c>
      <c r="E145" s="14" t="n">
        <v>2.447552</v>
      </c>
      <c r="F145" s="14" t="n">
        <v>3.5</v>
      </c>
      <c r="G145" s="14" t="n">
        <v>0.7</v>
      </c>
      <c r="H145" s="14" t="n">
        <v>2.335279</v>
      </c>
      <c r="I145" s="14" t="n">
        <v>0.9021049</v>
      </c>
      <c r="J145" s="14" t="n">
        <v>2.965159</v>
      </c>
      <c r="K145" s="23" t="n">
        <v>100.9</v>
      </c>
      <c r="L145" s="20" t="n">
        <f aca="false">IF(AND(ISNUMBER(K145),ISNUMBER(K133)),(K145/K133-1)*100,"")</f>
        <v>2.95918367346939</v>
      </c>
      <c r="M145" s="14" t="n">
        <v>0.8</v>
      </c>
      <c r="N145" s="14" t="n">
        <v>2.5</v>
      </c>
      <c r="O145" s="14" t="n">
        <v>2.7</v>
      </c>
      <c r="P145" s="14" t="n">
        <v>2.1</v>
      </c>
      <c r="Q145" s="23" t="n">
        <v>3.2</v>
      </c>
      <c r="R145" s="23" t="n">
        <v>3.5</v>
      </c>
      <c r="S145" s="24" t="n">
        <v>117.2</v>
      </c>
      <c r="T145" s="20" t="n">
        <f aca="false">IF(AND(ISNUMBER(S145),ISNUMBER(S133)),(S145/S133-1)*100,"")</f>
        <v>2.44755244755244</v>
      </c>
    </row>
    <row r="146" customFormat="false" ht="15" hidden="false" customHeight="false" outlineLevel="0" collapsed="false">
      <c r="A146" s="17" t="n">
        <v>45992</v>
      </c>
      <c r="B146" s="22" t="n">
        <v>324.054</v>
      </c>
      <c r="C146" s="20" t="n">
        <f aca="false">IF(AND(ISNUMBER(B146),ISNUMBER(B134)),(B146/B134-1)*100,"")</f>
        <v>2.67708052787501</v>
      </c>
      <c r="D146" s="14" t="n">
        <v>2.677081</v>
      </c>
      <c r="E146" s="14" t="n">
        <v>2.314855</v>
      </c>
      <c r="F146" s="14" t="n">
        <v>3.6</v>
      </c>
      <c r="G146" s="14" t="n">
        <v>0.8</v>
      </c>
      <c r="H146" s="14" t="n">
        <v>1.825726</v>
      </c>
      <c r="I146" s="14" t="n">
        <v>0.7919967</v>
      </c>
      <c r="J146" s="14" t="n">
        <v>3.189911</v>
      </c>
      <c r="K146" s="23" t="n">
        <v>101</v>
      </c>
      <c r="L146" s="20" t="n">
        <f aca="false">IF(AND(ISNUMBER(K146),ISNUMBER(K134)),(K146/K134-1)*100,"")</f>
        <v>3.16649642492339</v>
      </c>
      <c r="M146" s="14" t="n">
        <v>0.7</v>
      </c>
      <c r="N146" s="14" t="n">
        <v>2</v>
      </c>
      <c r="O146" s="14" t="n">
        <v>3</v>
      </c>
      <c r="P146" s="14" t="n">
        <v>2</v>
      </c>
      <c r="Q146" s="23" t="n">
        <v>3.4</v>
      </c>
      <c r="R146" s="23" t="n">
        <v>3.6</v>
      </c>
      <c r="S146" s="24" t="n">
        <v>117.57</v>
      </c>
      <c r="T146" s="20" t="n">
        <f aca="false">IF(AND(ISNUMBER(S146),ISNUMBER(S134)),(S146/S134-1)*100,"")</f>
        <v>2.31485510399443</v>
      </c>
    </row>
    <row r="147" customFormat="false" ht="15" hidden="false" customHeight="false" outlineLevel="0" collapsed="false">
      <c r="A147" s="17" t="n">
        <v>46023</v>
      </c>
      <c r="B147" s="22" t="n">
        <v>325.252</v>
      </c>
      <c r="C147" s="20" t="n">
        <f aca="false">IF(AND(ISNUMBER(B147),ISNUMBER(B135)),(B147/B135-1)*100,"")</f>
        <v>2.38643124490432</v>
      </c>
      <c r="D147" s="14" t="n">
        <v>2.386431</v>
      </c>
      <c r="E147" s="14" t="n">
        <v>2.005013</v>
      </c>
      <c r="F147" s="14" t="n">
        <v>3.2</v>
      </c>
      <c r="G147" s="14" t="n">
        <v>0.2</v>
      </c>
      <c r="H147" s="14" t="n">
        <v>2.078138</v>
      </c>
      <c r="K147" s="23" t="n">
        <v>101.6</v>
      </c>
      <c r="L147" s="20" t="n">
        <f aca="false">IF(AND(ISNUMBER(K147),ISNUMBER(K135)),(K147/K135-1)*100,"")</f>
        <v>3.56778797145769</v>
      </c>
      <c r="M147" s="14" t="n">
        <v>0.4</v>
      </c>
      <c r="N147" s="14" t="n">
        <v>2.1</v>
      </c>
      <c r="O147" s="14" t="n">
        <v>3.5</v>
      </c>
      <c r="P147" s="14" t="n">
        <v>1.7</v>
      </c>
      <c r="Q147" s="23" t="n">
        <v>3</v>
      </c>
      <c r="R147" s="23" t="n">
        <v>3.2</v>
      </c>
      <c r="S147" s="24" t="n">
        <v>118.03</v>
      </c>
      <c r="T147" s="20" t="n">
        <f aca="false">IF(AND(ISNUMBER(S147),ISNUMBER(S135)),(S147/S135-1)*100,"")</f>
        <v>2.00501253132832</v>
      </c>
    </row>
    <row r="148" customFormat="false" ht="15" hidden="false" customHeight="false" outlineLevel="0" collapsed="false">
      <c r="A148" s="17" t="n">
        <v>46054</v>
      </c>
      <c r="B148" s="22" t="n">
        <v>326.785</v>
      </c>
      <c r="C148" s="20" t="n">
        <f aca="false">IF(AND(ISNUMBER(B148),ISNUMBER(B136)),(B148/B136-1)*100,"")</f>
        <v>2.41411298663041</v>
      </c>
      <c r="D148" s="14" t="n">
        <v>2.414113</v>
      </c>
      <c r="E148" s="14" t="n">
        <v>1.998622</v>
      </c>
      <c r="F148" s="14" t="n">
        <v>3.2</v>
      </c>
      <c r="G148" s="14" t="n">
        <v>1.3</v>
      </c>
      <c r="H148" s="14" t="n">
        <v>1.903973</v>
      </c>
      <c r="K148" s="23" t="n">
        <v>102.2</v>
      </c>
      <c r="L148" s="20" t="n">
        <f aca="false">IF(AND(ISNUMBER(K148),ISNUMBER(K136)),(K148/K136-1)*100,"")</f>
        <v>2.71356783919599</v>
      </c>
      <c r="M148" s="14" t="n">
        <v>1.1</v>
      </c>
      <c r="N148" s="14" t="n">
        <v>2</v>
      </c>
      <c r="O148" s="14" t="n">
        <v>2.6</v>
      </c>
      <c r="P148" s="14" t="n">
        <v>1.9</v>
      </c>
      <c r="Q148" s="23" t="n">
        <v>3</v>
      </c>
      <c r="R148" s="23" t="n">
        <v>3.2</v>
      </c>
      <c r="S148" s="24" t="n">
        <v>118.4</v>
      </c>
      <c r="T148" s="20" t="n">
        <f aca="false">IF(AND(ISNUMBER(S148),ISNUMBER(S136)),(S148/S136-1)*100,"")</f>
        <v>1.99862164024811</v>
      </c>
    </row>
    <row r="149" customFormat="false" ht="15" hidden="false" customHeight="false" outlineLevel="0" collapsed="false">
      <c r="A149" s="17" t="n">
        <v>46082</v>
      </c>
      <c r="B149" s="22" t="n">
        <v>330.213</v>
      </c>
      <c r="C149" s="20" t="n">
        <f aca="false">IF(AND(ISNUMBER(B149),ISNUMBER(B137)),(B149/B137-1)*100,"")</f>
        <v>3.25642043908831</v>
      </c>
      <c r="D149" s="14" t="n">
        <v>3.25642</v>
      </c>
      <c r="E149" s="14" t="n">
        <v>2.158397</v>
      </c>
      <c r="F149" s="14" t="n">
        <v>3.4</v>
      </c>
      <c r="G149" s="14" t="n">
        <v>1</v>
      </c>
      <c r="H149" s="14" t="n">
        <v>2.722772</v>
      </c>
      <c r="K149" s="23" t="n">
        <v>102.4</v>
      </c>
      <c r="L149" s="20" t="n">
        <f aca="false">IF(AND(ISNUMBER(K149),ISNUMBER(K137)),(K149/K137-1)*100,"")</f>
        <v>3.64372469635628</v>
      </c>
      <c r="M149" s="14" t="n">
        <v>2</v>
      </c>
      <c r="N149" s="14" t="n">
        <v>2.8</v>
      </c>
      <c r="O149" s="14" t="n">
        <v>3.6</v>
      </c>
      <c r="P149" s="14" t="n">
        <v>2.6</v>
      </c>
      <c r="Q149" s="23" t="n">
        <v>3.3</v>
      </c>
      <c r="R149" s="23" t="n">
        <v>3.4</v>
      </c>
      <c r="S149" s="24" t="n">
        <v>118.8</v>
      </c>
      <c r="T149" s="20" t="n">
        <f aca="false">IF(AND(ISNUMBER(S149),ISNUMBER(S137)),(S149/S137-1)*100,"")</f>
        <v>2.15839711067158</v>
      </c>
    </row>
    <row r="150" customFormat="false" ht="15" hidden="false" customHeight="false" outlineLevel="0" collapsed="false">
      <c r="A150" s="17" t="n">
        <v>46113</v>
      </c>
      <c r="B150" s="22" t="n">
        <v>333.02</v>
      </c>
      <c r="C150" s="20" t="n">
        <f aca="false">IF(AND(ISNUMBER(B150),ISNUMBER(B138)),(B150/B138-1)*100,"")</f>
        <v>3.81084493212176</v>
      </c>
      <c r="D150" s="14" t="n">
        <v>3.810845</v>
      </c>
      <c r="E150" s="14" t="n">
        <v>2.56917</v>
      </c>
      <c r="F150" s="14" t="n">
        <v>3</v>
      </c>
      <c r="G150" s="14" t="n">
        <v>1.2</v>
      </c>
      <c r="H150" s="14" t="n">
        <v>2.875924</v>
      </c>
      <c r="K150" s="23" t="n">
        <v>102.8</v>
      </c>
      <c r="L150" s="20" t="n">
        <f aca="false">IF(AND(ISNUMBER(K150),ISNUMBER(K138)),(K150/K138-1)*100,"")</f>
        <v>3.42052313883299</v>
      </c>
      <c r="M150" s="14" t="n">
        <v>2.5</v>
      </c>
      <c r="N150" s="14" t="n">
        <v>2.9</v>
      </c>
      <c r="O150" s="14" t="n">
        <v>3.4</v>
      </c>
      <c r="P150" s="14" t="n">
        <v>3</v>
      </c>
      <c r="Q150" s="23" t="n">
        <v>2.8</v>
      </c>
      <c r="R150" s="23" t="n">
        <v>3</v>
      </c>
      <c r="S150" s="24" t="n">
        <v>119.37</v>
      </c>
      <c r="T150" s="20" t="n">
        <f aca="false">IF(AND(ISNUMBER(S150),ISNUMBER(S138)),(S150/S138-1)*100,"")</f>
        <v>2.56916996047432</v>
      </c>
    </row>
    <row r="151" customFormat="false" ht="15" hidden="false" customHeight="false" outlineLevel="0" collapsed="false">
      <c r="A151" s="17" t="n">
        <v>46143</v>
      </c>
      <c r="B151" s="22" t="n">
        <v>335.123</v>
      </c>
      <c r="C151" s="20" t="n">
        <f aca="false">IF(AND(ISNUMBER(B151),ISNUMBER(B139)),(B151/B139-1)*100,"")</f>
        <v>4.24867403916445</v>
      </c>
      <c r="D151" s="14" t="n">
        <v>4.248674</v>
      </c>
      <c r="E151" s="14" t="n">
        <v>3.139245</v>
      </c>
      <c r="F151" s="14" t="n">
        <v>3</v>
      </c>
      <c r="G151" s="14" t="n">
        <v>1.2</v>
      </c>
      <c r="H151" s="14" t="n">
        <v>2.627258</v>
      </c>
      <c r="K151" s="23" t="n">
        <v>103</v>
      </c>
      <c r="L151" s="20" t="n">
        <f aca="false">IF(AND(ISNUMBER(K151),ISNUMBER(K139)),(K151/K139-1)*100,"")</f>
        <v>3.10310310310309</v>
      </c>
      <c r="M151" s="14" t="n">
        <v>2.8</v>
      </c>
      <c r="N151" s="14" t="n">
        <v>2.7</v>
      </c>
      <c r="O151" s="14" t="n">
        <v>3.1</v>
      </c>
      <c r="P151" s="14" t="n">
        <v>3.2</v>
      </c>
      <c r="Q151" s="23" t="n">
        <v>2.8</v>
      </c>
      <c r="R151" s="23" t="n">
        <v>3</v>
      </c>
      <c r="S151" s="24" t="n">
        <v>119.92</v>
      </c>
      <c r="T151" s="20" t="n">
        <f aca="false">IF(AND(ISNUMBER(S151),ISNUMBER(S139)),(S151/S139-1)*100,"")</f>
        <v>3.13924486109918</v>
      </c>
    </row>
    <row r="152" customFormat="false" ht="15" hidden="false" customHeight="false" outlineLevel="0" collapsed="false">
      <c r="A152" s="17" t="n">
        <v>46174</v>
      </c>
      <c r="B152" s="22" t="n">
        <v>333.952</v>
      </c>
      <c r="C152" s="20" t="n">
        <f aca="false">IF(AND(ISNUMBER(B152),ISNUMBER(B140)),(B152/B140-1)*100,"")</f>
        <v>3.53142506378639</v>
      </c>
      <c r="D152" s="14" t="n">
        <v>3.531425</v>
      </c>
      <c r="E152" s="14" t="n">
        <v>3.163958</v>
      </c>
      <c r="F152" s="14" t="n">
        <v>2.8</v>
      </c>
      <c r="G152" s="14" t="n">
        <v>1</v>
      </c>
      <c r="H152" s="14" t="n">
        <v>2.298851</v>
      </c>
      <c r="K152" s="23" t="n">
        <v>102.8</v>
      </c>
      <c r="L152" s="20" t="n">
        <f aca="false">IF(AND(ISNUMBER(K152),ISNUMBER(K140)),(K152/K140-1)*100,"")</f>
        <v>2.69730269730271</v>
      </c>
      <c r="M152" s="14" t="n">
        <v>2</v>
      </c>
      <c r="N152" s="14" t="n">
        <v>2.4</v>
      </c>
      <c r="O152" s="14" t="n">
        <v>2.6</v>
      </c>
      <c r="P152" s="14" t="n">
        <v>2.8</v>
      </c>
      <c r="Q152" s="23" t="n">
        <v>2.6</v>
      </c>
      <c r="R152" s="23" t="n">
        <v>2.8</v>
      </c>
      <c r="S152" s="24" t="n">
        <v>119.99</v>
      </c>
      <c r="T152" s="20" t="n">
        <f aca="false">IF(AND(ISNUMBER(S152),ISNUMBER(S140)),(S152/S140-1)*100,"")</f>
        <v>3.16395838706904</v>
      </c>
    </row>
    <row r="153" customFormat="false" ht="15" hidden="false" customHeight="false" outlineLevel="0" collapsed="false">
      <c r="A153" s="17" t="n">
        <v>46204</v>
      </c>
      <c r="B153" s="22" t="n">
        <v>333.918</v>
      </c>
      <c r="C153" s="20" t="n">
        <f aca="false">IF(AND(ISNUMBER(B153),ISNUMBER(B141)),(B153/B141-1)*100,"")</f>
        <v>3.3648250414799</v>
      </c>
      <c r="D153" s="14" t="n">
        <v>3.364825</v>
      </c>
      <c r="E153" s="14" t="n">
        <v>2.789221</v>
      </c>
      <c r="F153" s="14" t="n">
        <v>3.1</v>
      </c>
      <c r="G153" s="14" t="n">
        <v>0.5</v>
      </c>
      <c r="H153" s="14" t="n">
        <v>2.782324</v>
      </c>
      <c r="K153" s="23" t="n">
        <v>103.8</v>
      </c>
      <c r="L153" s="20" t="n">
        <f aca="false">IF(AND(ISNUMBER(K153),ISNUMBER(K141)),(K153/K141-1)*100,"")</f>
        <v>2.97619047619047</v>
      </c>
      <c r="M153" s="14" t="n">
        <v>2.4</v>
      </c>
      <c r="N153" s="14" t="n">
        <v>2.8</v>
      </c>
      <c r="O153" s="14" t="n">
        <v>2.9</v>
      </c>
      <c r="P153" s="14" t="n">
        <v>2.9</v>
      </c>
      <c r="Q153" s="23" t="n">
        <v>2.9</v>
      </c>
      <c r="R153" s="23" t="n">
        <v>3.1</v>
      </c>
      <c r="S153" s="24" t="n">
        <v>119.77</v>
      </c>
      <c r="T153" s="20" t="n">
        <f aca="false">IF(AND(ISNUMBER(S153),ISNUMBER(S141)),(S153/S141-1)*100,"")</f>
        <v>2.78922073463783</v>
      </c>
    </row>
    <row r="154" customFormat="false" ht="15" hidden="false" customHeight="false" outlineLevel="0" collapsed="false">
      <c r="A154" s="17" t="n">
        <v>46235</v>
      </c>
      <c r="B154" s="22" t="n">
        <v>334.98</v>
      </c>
      <c r="C154" s="20" t="n">
        <f aca="false">IF(AND(ISNUMBER(B154),ISNUMBER(B142)),(B154/B142-1)*100,"")</f>
        <v>3.39654789243649</v>
      </c>
      <c r="D154" s="14" t="n">
        <v>3.396548</v>
      </c>
      <c r="E154" s="14" t="n">
        <v>3.091455</v>
      </c>
      <c r="F154" s="14" t="n">
        <v>3.3</v>
      </c>
      <c r="G154" s="14" t="n">
        <v>0.8</v>
      </c>
      <c r="H154" s="14" t="n">
        <v>2.861815</v>
      </c>
      <c r="K154" s="23" t="n">
        <v>103.5</v>
      </c>
      <c r="L154" s="20" t="n">
        <f aca="false">IF(AND(ISNUMBER(K154),ISNUMBER(K142)),(K154/K142-1)*100,"")</f>
        <v>3.29341317365268</v>
      </c>
      <c r="M154" s="14" t="n">
        <v>2.6</v>
      </c>
      <c r="N154" s="14" t="n">
        <v>2.9</v>
      </c>
      <c r="O154" s="14" t="n">
        <v>3.2</v>
      </c>
      <c r="P154" s="14" t="n">
        <v>3.2</v>
      </c>
      <c r="Q154" s="23" t="n">
        <v>3.1</v>
      </c>
      <c r="R154" s="23" t="n">
        <v>3.3</v>
      </c>
      <c r="S154" s="24" t="n">
        <v>120.05</v>
      </c>
      <c r="T154" s="20" t="n">
        <f aca="false">IF(AND(ISNUMBER(S154),ISNUMBER(S142)),(S154/S142-1)*100,"")</f>
        <v>3.09145556032631</v>
      </c>
    </row>
    <row r="155" customFormat="false" ht="15" hidden="false" customHeight="false" outlineLevel="0" collapsed="false">
      <c r="A155" s="17" t="n">
        <v>46266</v>
      </c>
      <c r="C155" s="20" t="str">
        <f aca="false">IF(AND(ISNUMBER(B155),ISNUMBER(B143)),(B155/B143-1)*100,"")</f>
        <v/>
      </c>
      <c r="E155" s="14" t="n">
        <v>2.878865</v>
      </c>
      <c r="L155" s="20" t="str">
        <f aca="false">IF(AND(ISNUMBER(K155),ISNUMBER(K143)),(K155/K143-1)*100,"")</f>
        <v/>
      </c>
      <c r="M155" s="14" t="n">
        <v>3.4</v>
      </c>
      <c r="N155" s="14" t="n">
        <v>3.3</v>
      </c>
      <c r="P155" s="14" t="n">
        <v>3.8</v>
      </c>
      <c r="S155" s="24" t="n">
        <v>120.43</v>
      </c>
      <c r="T155" s="20" t="n">
        <f aca="false">IF(AND(ISNUMBER(S155),ISNUMBER(S143)),(S155/S143-1)*100,"")</f>
        <v>2.87886553903982</v>
      </c>
    </row>
    <row r="159" customFormat="false" ht="15" hidden="false" customHeight="false" outlineLevel="0" collapsed="false">
      <c r="A159" s="25" t="s">
        <v>753</v>
      </c>
      <c r="X159" s="26" t="s">
        <v>754</v>
      </c>
    </row>
    <row r="160" customFormat="false" ht="46.25" hidden="false" customHeight="false" outlineLevel="0" collapsed="false">
      <c r="A160" s="12" t="s">
        <v>755</v>
      </c>
      <c r="B160" s="12" t="s">
        <v>756</v>
      </c>
      <c r="C160" s="12" t="s">
        <v>5</v>
      </c>
      <c r="D160" s="12" t="s">
        <v>6</v>
      </c>
      <c r="E160" s="12" t="s">
        <v>9</v>
      </c>
      <c r="F160" s="12" t="s">
        <v>8</v>
      </c>
      <c r="G160" s="12" t="s">
        <v>461</v>
      </c>
      <c r="H160" s="12" t="s">
        <v>757</v>
      </c>
      <c r="I160" s="12" t="s">
        <v>758</v>
      </c>
      <c r="J160" s="12" t="s">
        <v>759</v>
      </c>
      <c r="K160" s="12" t="s">
        <v>760</v>
      </c>
      <c r="L160" s="12" t="s">
        <v>761</v>
      </c>
      <c r="M160" s="12" t="s">
        <v>762</v>
      </c>
      <c r="N160" s="12" t="s">
        <v>763</v>
      </c>
      <c r="O160" s="12" t="s">
        <v>764</v>
      </c>
      <c r="P160" s="12" t="s">
        <v>765</v>
      </c>
      <c r="Q160" s="12" t="s">
        <v>766</v>
      </c>
      <c r="R160" s="12" t="s">
        <v>767</v>
      </c>
      <c r="S160" s="12" t="s">
        <v>768</v>
      </c>
      <c r="T160" s="12" t="s">
        <v>769</v>
      </c>
      <c r="U160" s="12" t="s">
        <v>770</v>
      </c>
      <c r="V160" s="12" t="s">
        <v>526</v>
      </c>
      <c r="W160" s="12" t="s">
        <v>771</v>
      </c>
      <c r="X160" s="27" t="s">
        <v>772</v>
      </c>
      <c r="Y160" s="27" t="s">
        <v>773</v>
      </c>
      <c r="Z160" s="27" t="s">
        <v>774</v>
      </c>
      <c r="AA160" s="27" t="s">
        <v>775</v>
      </c>
      <c r="AB160" s="12" t="s">
        <v>776</v>
      </c>
    </row>
    <row r="161" customFormat="false" ht="15" hidden="false" customHeight="false" outlineLevel="0" collapsed="false">
      <c r="A161" s="2" t="s">
        <v>777</v>
      </c>
      <c r="B161" s="2" t="s">
        <v>778</v>
      </c>
      <c r="C161" s="2" t="s">
        <v>455</v>
      </c>
      <c r="D161" s="2" t="s">
        <v>493</v>
      </c>
      <c r="E161" s="2" t="s">
        <v>459</v>
      </c>
      <c r="F161" s="2" t="s">
        <v>779</v>
      </c>
      <c r="G161" s="23" t="n">
        <v>1.6</v>
      </c>
      <c r="H161" s="23" t="n">
        <v>3.1</v>
      </c>
      <c r="I161" s="23" t="n">
        <v>2.1</v>
      </c>
      <c r="J161" s="23" t="n">
        <v>1.5</v>
      </c>
      <c r="K161" s="23" t="n">
        <v>1.6</v>
      </c>
      <c r="L161" s="23" t="n">
        <v>0.1</v>
      </c>
      <c r="M161" s="23" t="n">
        <v>1.3</v>
      </c>
      <c r="N161" s="23" t="n">
        <v>2.1</v>
      </c>
      <c r="O161" s="23" t="n">
        <v>2.4</v>
      </c>
      <c r="P161" s="23" t="n">
        <v>1.8</v>
      </c>
      <c r="Q161" s="23" t="n">
        <v>1.3</v>
      </c>
      <c r="R161" s="23" t="n">
        <v>4.7</v>
      </c>
      <c r="S161" s="23" t="n">
        <v>8</v>
      </c>
      <c r="T161" s="23" t="n">
        <v>4.1</v>
      </c>
      <c r="U161" s="23" t="n">
        <v>3</v>
      </c>
      <c r="V161" s="23" t="n">
        <v>2.7</v>
      </c>
      <c r="X161" s="28" t="s">
        <v>780</v>
      </c>
      <c r="Y161" s="29" t="n">
        <v>3.2</v>
      </c>
      <c r="Z161" s="29" t="n">
        <v>2.1</v>
      </c>
      <c r="AA161" s="30" t="str">
        <f aca="false">IFERROR(INDEX($G$160:$V$160,MATCH(9.99E+307,$G161:$V161)),"N/A")</f>
        <v>2025</v>
      </c>
      <c r="AB161" s="20" t="n">
        <f aca="false">IFERROR(INDEX($G161:$V161,MATCH(9.99E+307,$G161:$V161)),"N/A")</f>
        <v>2.7</v>
      </c>
    </row>
    <row r="162" customFormat="false" ht="15" hidden="false" customHeight="false" outlineLevel="0" collapsed="false">
      <c r="A162" s="2" t="s">
        <v>777</v>
      </c>
      <c r="B162" s="2" t="s">
        <v>781</v>
      </c>
      <c r="C162" s="2" t="s">
        <v>455</v>
      </c>
      <c r="D162" s="2" t="s">
        <v>493</v>
      </c>
      <c r="E162" s="2" t="s">
        <v>459</v>
      </c>
      <c r="F162" s="2" t="s">
        <v>782</v>
      </c>
      <c r="G162" s="23" t="n">
        <v>2.9</v>
      </c>
      <c r="H162" s="23" t="n">
        <v>4</v>
      </c>
      <c r="I162" s="23" t="n">
        <v>2.2</v>
      </c>
      <c r="J162" s="23" t="n">
        <v>1.3</v>
      </c>
      <c r="K162" s="23" t="n">
        <v>1.3</v>
      </c>
      <c r="L162" s="23" t="n">
        <v>0.7</v>
      </c>
      <c r="M162" s="23" t="n">
        <v>1</v>
      </c>
      <c r="N162" s="23" t="n">
        <v>1.9</v>
      </c>
      <c r="O162" s="23" t="n">
        <v>1.5</v>
      </c>
      <c r="P162" s="23" t="n">
        <v>0.4</v>
      </c>
      <c r="Q162" s="23" t="n">
        <v>0.5</v>
      </c>
      <c r="R162" s="23" t="n">
        <v>2.5</v>
      </c>
      <c r="S162" s="23" t="n">
        <v>5.1</v>
      </c>
      <c r="T162" s="23" t="n">
        <v>3.6</v>
      </c>
      <c r="U162" s="23" t="n">
        <v>2.3</v>
      </c>
      <c r="V162" s="23" t="n">
        <v>2.1</v>
      </c>
      <c r="X162" s="28" t="s">
        <v>780</v>
      </c>
      <c r="Y162" s="29" t="n">
        <v>2.5</v>
      </c>
      <c r="Z162" s="29" t="n">
        <v>1.9</v>
      </c>
      <c r="AA162" s="30" t="str">
        <f aca="false">IFERROR(INDEX($G$160:$V$160,MATCH(9.99E+307,$G162:$V162)),"N/A")</f>
        <v>2025</v>
      </c>
      <c r="AB162" s="20" t="n">
        <f aca="false">IFERROR(INDEX($G162:$V162,MATCH(9.99E+307,$G162:$V162)),"N/A")</f>
        <v>2.1</v>
      </c>
    </row>
    <row r="163" customFormat="false" ht="15" hidden="false" customHeight="false" outlineLevel="0" collapsed="false">
      <c r="A163" s="2" t="s">
        <v>777</v>
      </c>
      <c r="B163" s="2" t="s">
        <v>783</v>
      </c>
      <c r="C163" s="2" t="s">
        <v>455</v>
      </c>
      <c r="D163" s="2" t="s">
        <v>493</v>
      </c>
      <c r="E163" s="2" t="s">
        <v>459</v>
      </c>
      <c r="F163" s="2" t="s">
        <v>784</v>
      </c>
      <c r="G163" s="23" t="n">
        <v>2.4</v>
      </c>
      <c r="H163" s="23" t="n">
        <v>1.3</v>
      </c>
      <c r="I163" s="23" t="n">
        <v>0.7</v>
      </c>
      <c r="J163" s="23" t="n">
        <v>2.1</v>
      </c>
      <c r="K163" s="23" t="n">
        <v>2.1</v>
      </c>
      <c r="L163" s="23" t="n">
        <v>2.2</v>
      </c>
      <c r="M163" s="23" t="n">
        <v>3.5</v>
      </c>
      <c r="N163" s="23" t="n">
        <v>1.9</v>
      </c>
      <c r="O163" s="23" t="n">
        <v>2.7</v>
      </c>
      <c r="P163" s="23" t="n">
        <v>2.2</v>
      </c>
      <c r="Q163" s="23" t="n">
        <v>1.3</v>
      </c>
      <c r="R163" s="23" t="n">
        <v>3.5</v>
      </c>
      <c r="S163" s="23" t="n">
        <v>5.8</v>
      </c>
      <c r="T163" s="23" t="n">
        <v>5.5</v>
      </c>
      <c r="U163" s="23" t="n">
        <v>3.2</v>
      </c>
      <c r="V163" s="23" t="n">
        <v>3</v>
      </c>
      <c r="X163" s="28" t="s">
        <v>780</v>
      </c>
      <c r="Y163" s="29" t="n">
        <v>3.3</v>
      </c>
      <c r="Z163" s="29" t="n">
        <v>2.6</v>
      </c>
      <c r="AA163" s="30" t="str">
        <f aca="false">IFERROR(INDEX($G$160:$V$160,MATCH(9.99E+307,$G163:$V163)),"N/A")</f>
        <v>2025</v>
      </c>
      <c r="AB163" s="20" t="n">
        <f aca="false">IFERROR(INDEX($G163:$V163,MATCH(9.99E+307,$G163:$V163)),"N/A")</f>
        <v>3</v>
      </c>
    </row>
    <row r="164" customFormat="false" ht="15" hidden="false" customHeight="false" outlineLevel="0" collapsed="false">
      <c r="A164" s="2" t="s">
        <v>777</v>
      </c>
      <c r="B164" s="2" t="s">
        <v>785</v>
      </c>
      <c r="C164" s="2" t="s">
        <v>455</v>
      </c>
      <c r="D164" s="2" t="s">
        <v>493</v>
      </c>
      <c r="E164" s="2" t="s">
        <v>459</v>
      </c>
      <c r="F164" s="2" t="s">
        <v>786</v>
      </c>
      <c r="G164" s="23" t="n">
        <v>3.3</v>
      </c>
      <c r="H164" s="23" t="n">
        <v>4.5</v>
      </c>
      <c r="I164" s="23" t="n">
        <v>2.8</v>
      </c>
      <c r="J164" s="23" t="n">
        <v>2.6</v>
      </c>
      <c r="K164" s="23" t="n">
        <v>1.5</v>
      </c>
      <c r="L164" s="23" t="n">
        <v>0</v>
      </c>
      <c r="M164" s="23" t="n">
        <v>0.7</v>
      </c>
      <c r="N164" s="23" t="n">
        <v>2.7</v>
      </c>
      <c r="O164" s="23" t="n">
        <v>2.5</v>
      </c>
      <c r="P164" s="23" t="n">
        <v>1.8</v>
      </c>
      <c r="Q164" s="23" t="n">
        <v>0.9</v>
      </c>
      <c r="R164" s="23" t="n">
        <v>2.6</v>
      </c>
      <c r="S164" s="23" t="n">
        <v>9.1</v>
      </c>
      <c r="T164" s="23" t="n">
        <v>7.3</v>
      </c>
      <c r="U164" s="23" t="n">
        <v>2.5</v>
      </c>
      <c r="V164" s="23" t="n">
        <v>3.4</v>
      </c>
      <c r="X164" s="28" t="s">
        <v>780</v>
      </c>
      <c r="Y164" s="29" t="n">
        <v>3.2</v>
      </c>
      <c r="Z164" s="29" t="n">
        <v>2.4</v>
      </c>
      <c r="AA164" s="30" t="str">
        <f aca="false">IFERROR(INDEX($G$160:$V$160,MATCH(9.99E+307,$G164:$V164)),"N/A")</f>
        <v>2025</v>
      </c>
      <c r="AB164" s="20" t="n">
        <f aca="false">IFERROR(INDEX($G164:$V164,MATCH(9.99E+307,$G164:$V164)),"N/A")</f>
        <v>3.4</v>
      </c>
    </row>
    <row r="165" customFormat="false" ht="15" hidden="false" customHeight="false" outlineLevel="0" collapsed="false">
      <c r="A165" s="2" t="s">
        <v>777</v>
      </c>
      <c r="B165" s="2" t="s">
        <v>787</v>
      </c>
      <c r="C165" s="2" t="s">
        <v>455</v>
      </c>
      <c r="D165" s="2" t="s">
        <v>493</v>
      </c>
      <c r="E165" s="2" t="s">
        <v>459</v>
      </c>
      <c r="F165" s="2" t="s">
        <v>788</v>
      </c>
      <c r="G165" s="23" t="n">
        <v>1.7</v>
      </c>
      <c r="H165" s="23" t="n">
        <v>2.3</v>
      </c>
      <c r="I165" s="23" t="n">
        <v>2.2</v>
      </c>
      <c r="J165" s="23" t="n">
        <v>1</v>
      </c>
      <c r="K165" s="23" t="n">
        <v>0.6</v>
      </c>
      <c r="L165" s="23" t="n">
        <v>0.1</v>
      </c>
      <c r="M165" s="23" t="n">
        <v>0.3</v>
      </c>
      <c r="N165" s="23" t="n">
        <v>1.2</v>
      </c>
      <c r="O165" s="23" t="n">
        <v>2.1</v>
      </c>
      <c r="P165" s="23" t="n">
        <v>1.3</v>
      </c>
      <c r="Q165" s="23" t="n">
        <v>0.5</v>
      </c>
      <c r="R165" s="23" t="n">
        <v>2.1</v>
      </c>
      <c r="S165" s="23" t="n">
        <v>5.9</v>
      </c>
      <c r="T165" s="23" t="n">
        <v>5.7</v>
      </c>
      <c r="U165" s="23" t="n">
        <v>2.3</v>
      </c>
      <c r="V165" s="23" t="n">
        <v>0.9</v>
      </c>
      <c r="X165" s="28" t="s">
        <v>780</v>
      </c>
      <c r="Y165" s="29" t="n">
        <v>1.8</v>
      </c>
      <c r="Z165" s="29" t="n">
        <v>1.7</v>
      </c>
      <c r="AA165" s="30" t="str">
        <f aca="false">IFERROR(INDEX($G$160:$V$160,MATCH(9.99E+307,$G165:$V165)),"N/A")</f>
        <v>2025</v>
      </c>
      <c r="AB165" s="20" t="n">
        <f aca="false">IFERROR(INDEX($G165:$V165,MATCH(9.99E+307,$G165:$V165)),"N/A")</f>
        <v>0.9</v>
      </c>
    </row>
    <row r="166" customFormat="false" ht="15" hidden="false" customHeight="false" outlineLevel="0" collapsed="false">
      <c r="A166" s="2" t="s">
        <v>777</v>
      </c>
      <c r="B166" s="2" t="s">
        <v>789</v>
      </c>
      <c r="C166" s="2" t="s">
        <v>455</v>
      </c>
      <c r="D166" s="2" t="s">
        <v>493</v>
      </c>
      <c r="E166" s="2" t="s">
        <v>459</v>
      </c>
      <c r="F166" s="2" t="s">
        <v>790</v>
      </c>
      <c r="G166" s="23" t="n">
        <v>1.2</v>
      </c>
      <c r="H166" s="23" t="n">
        <v>2.5</v>
      </c>
      <c r="I166" s="23" t="n">
        <v>2.1</v>
      </c>
      <c r="J166" s="23" t="n">
        <v>1.6</v>
      </c>
      <c r="K166" s="23" t="n">
        <v>0.8</v>
      </c>
      <c r="L166" s="23" t="n">
        <v>0.7</v>
      </c>
      <c r="M166" s="23" t="n">
        <v>0.3</v>
      </c>
      <c r="N166" s="23" t="n">
        <v>1.7</v>
      </c>
      <c r="O166" s="23" t="n">
        <v>1.9</v>
      </c>
      <c r="P166" s="23" t="n">
        <v>1.4</v>
      </c>
      <c r="Q166" s="23" t="n">
        <v>0.4</v>
      </c>
      <c r="R166" s="23" t="n">
        <v>3.2</v>
      </c>
      <c r="S166" s="23" t="n">
        <v>8.7</v>
      </c>
      <c r="T166" s="23" t="n">
        <v>6</v>
      </c>
      <c r="U166" s="23" t="n">
        <v>2.5</v>
      </c>
      <c r="V166" s="23" t="n">
        <v>2.3</v>
      </c>
      <c r="X166" s="28" t="s">
        <v>780</v>
      </c>
      <c r="Y166" s="29" t="n">
        <v>2.7</v>
      </c>
      <c r="Z166" s="29" t="n">
        <v>2.3</v>
      </c>
      <c r="AA166" s="30" t="str">
        <f aca="false">IFERROR(INDEX($G$160:$V$160,MATCH(9.99E+307,$G166:$V166)),"N/A")</f>
        <v>2025</v>
      </c>
      <c r="AB166" s="20" t="n">
        <f aca="false">IFERROR(INDEX($G166:$V166,MATCH(9.99E+307,$G166:$V166)),"N/A")</f>
        <v>2.3</v>
      </c>
    </row>
    <row r="167" customFormat="false" ht="15" hidden="false" customHeight="false" outlineLevel="0" collapsed="false">
      <c r="A167" s="2" t="s">
        <v>777</v>
      </c>
      <c r="B167" s="2" t="s">
        <v>791</v>
      </c>
      <c r="C167" s="2" t="s">
        <v>455</v>
      </c>
      <c r="D167" s="2" t="s">
        <v>493</v>
      </c>
      <c r="E167" s="2" t="s">
        <v>459</v>
      </c>
      <c r="F167" s="2" t="s">
        <v>792</v>
      </c>
      <c r="G167" s="23" t="n">
        <v>3.3</v>
      </c>
      <c r="H167" s="23" t="n">
        <v>5.4</v>
      </c>
      <c r="I167" s="23" t="n">
        <v>2.6</v>
      </c>
      <c r="J167" s="23" t="n">
        <v>2.6</v>
      </c>
      <c r="K167" s="23" t="n">
        <v>2</v>
      </c>
      <c r="L167" s="23" t="n">
        <v>1.4</v>
      </c>
      <c r="M167" s="23" t="n">
        <v>2</v>
      </c>
      <c r="N167" s="23" t="n">
        <v>1.6</v>
      </c>
      <c r="O167" s="23" t="n">
        <v>2.1</v>
      </c>
      <c r="P167" s="23" t="n">
        <v>2.9</v>
      </c>
      <c r="Q167" s="23" t="n">
        <v>2.5</v>
      </c>
      <c r="R167" s="23" t="n">
        <v>0.9</v>
      </c>
      <c r="S167" s="23" t="n">
        <v>2</v>
      </c>
      <c r="T167" s="23" t="n">
        <v>0.2</v>
      </c>
      <c r="U167" s="23" t="n">
        <v>0.2</v>
      </c>
      <c r="V167" s="23" t="n">
        <v>0</v>
      </c>
      <c r="X167" s="28" t="s">
        <v>780</v>
      </c>
      <c r="Y167" s="29" t="n">
        <v>1.2</v>
      </c>
      <c r="Z167" s="29" t="n">
        <v>1.5</v>
      </c>
      <c r="AA167" s="30" t="str">
        <f aca="false">IFERROR(INDEX($G$160:$V$160,MATCH(9.99E+307,$G167:$V167)),"N/A")</f>
        <v>2025</v>
      </c>
      <c r="AB167" s="20" t="n">
        <f aca="false">IFERROR(INDEX($G167:$V167,MATCH(9.99E+307,$G167:$V167)),"N/A")</f>
        <v>0</v>
      </c>
    </row>
    <row r="169" customFormat="false" ht="15" hidden="false" customHeight="false" outlineLevel="0" collapsed="false">
      <c r="A169" s="25" t="s">
        <v>793</v>
      </c>
    </row>
    <row r="170" customFormat="false" ht="46.25" hidden="false" customHeight="false" outlineLevel="0" collapsed="false">
      <c r="A170" s="12" t="s">
        <v>755</v>
      </c>
      <c r="B170" s="12" t="s">
        <v>756</v>
      </c>
      <c r="C170" s="12" t="s">
        <v>5</v>
      </c>
      <c r="D170" s="12" t="s">
        <v>6</v>
      </c>
      <c r="E170" s="12" t="s">
        <v>9</v>
      </c>
      <c r="F170" s="12" t="s">
        <v>8</v>
      </c>
      <c r="G170" s="12" t="s">
        <v>461</v>
      </c>
      <c r="H170" s="12" t="s">
        <v>757</v>
      </c>
      <c r="I170" s="12" t="s">
        <v>758</v>
      </c>
      <c r="J170" s="12" t="s">
        <v>759</v>
      </c>
      <c r="K170" s="12" t="s">
        <v>760</v>
      </c>
      <c r="L170" s="12" t="s">
        <v>761</v>
      </c>
      <c r="M170" s="12" t="s">
        <v>762</v>
      </c>
      <c r="N170" s="12" t="s">
        <v>763</v>
      </c>
      <c r="O170" s="12" t="s">
        <v>764</v>
      </c>
      <c r="P170" s="12" t="s">
        <v>765</v>
      </c>
      <c r="Q170" s="12" t="s">
        <v>766</v>
      </c>
      <c r="R170" s="12" t="s">
        <v>767</v>
      </c>
      <c r="S170" s="12" t="s">
        <v>768</v>
      </c>
      <c r="T170" s="12" t="s">
        <v>769</v>
      </c>
      <c r="U170" s="12" t="s">
        <v>770</v>
      </c>
      <c r="V170" s="12" t="s">
        <v>526</v>
      </c>
      <c r="W170" s="12" t="s">
        <v>775</v>
      </c>
      <c r="X170" s="12" t="s">
        <v>776</v>
      </c>
    </row>
    <row r="171" customFormat="false" ht="15" hidden="false" customHeight="false" outlineLevel="0" collapsed="false">
      <c r="A171" s="2" t="s">
        <v>794</v>
      </c>
      <c r="B171" s="2" t="s">
        <v>778</v>
      </c>
      <c r="C171" s="2" t="s">
        <v>469</v>
      </c>
      <c r="D171" s="2" t="s">
        <v>498</v>
      </c>
      <c r="E171" s="2" t="s">
        <v>473</v>
      </c>
      <c r="F171" s="2" t="s">
        <v>795</v>
      </c>
      <c r="G171" s="23" t="n">
        <v>1.6400434423899</v>
      </c>
      <c r="H171" s="23" t="n">
        <v>3.156841568622</v>
      </c>
      <c r="I171" s="23" t="n">
        <v>2.06933726526067</v>
      </c>
      <c r="J171" s="23" t="n">
        <v>1.46483265562717</v>
      </c>
      <c r="K171" s="23" t="n">
        <v>1.62222297740817</v>
      </c>
      <c r="L171" s="23" t="n">
        <v>0.118627135552451</v>
      </c>
      <c r="M171" s="23" t="n">
        <v>1.26158320570536</v>
      </c>
      <c r="N171" s="23" t="n">
        <v>2.13011000365961</v>
      </c>
      <c r="O171" s="23" t="n">
        <v>2.44258329692817</v>
      </c>
      <c r="P171" s="23" t="n">
        <v>1.81221007526021</v>
      </c>
      <c r="Q171" s="23" t="n">
        <v>1.23358439630629</v>
      </c>
      <c r="R171" s="23" t="n">
        <v>4.69785886363742</v>
      </c>
      <c r="S171" s="23" t="n">
        <v>8.00279982052121</v>
      </c>
      <c r="T171" s="23" t="n">
        <v>4.11633838374488</v>
      </c>
      <c r="U171" s="23" t="n">
        <v>2.94952520485207</v>
      </c>
      <c r="W171" s="11" t="str">
        <f aca="false">IFERROR(INDEX($G$170:$V$170,MATCH(9.99E+307,$G171:$V171)),"N/A")</f>
        <v>2024</v>
      </c>
      <c r="X171" s="20" t="n">
        <f aca="false">IFERROR(INDEX($G171:$V171,MATCH(9.99E+307,$G171:$V171)),"N/A")</f>
        <v>2.94952520485207</v>
      </c>
    </row>
    <row r="172" customFormat="false" ht="15" hidden="false" customHeight="false" outlineLevel="0" collapsed="false">
      <c r="A172" s="2" t="s">
        <v>794</v>
      </c>
      <c r="B172" s="2" t="s">
        <v>781</v>
      </c>
      <c r="C172" s="2" t="s">
        <v>469</v>
      </c>
      <c r="D172" s="2" t="s">
        <v>498</v>
      </c>
      <c r="E172" s="2" t="s">
        <v>473</v>
      </c>
      <c r="F172" s="2" t="s">
        <v>796</v>
      </c>
      <c r="G172" s="23" t="n">
        <v>2.93928652655686</v>
      </c>
      <c r="H172" s="23" t="n">
        <v>4.0259650043609</v>
      </c>
      <c r="I172" s="23" t="n">
        <v>2.18707104433314</v>
      </c>
      <c r="J172" s="23" t="n">
        <v>1.30134754547413</v>
      </c>
      <c r="K172" s="23" t="n">
        <v>1.27477446401322</v>
      </c>
      <c r="L172" s="23" t="n">
        <v>0.70633177245575</v>
      </c>
      <c r="M172" s="23" t="n">
        <v>0.971685739912168</v>
      </c>
      <c r="N172" s="23" t="n">
        <v>1.94433230786366</v>
      </c>
      <c r="O172" s="23" t="n">
        <v>1.47583935002645</v>
      </c>
      <c r="P172" s="23" t="n">
        <v>0.383000303608136</v>
      </c>
      <c r="Q172" s="23" t="n">
        <v>0.537288023411737</v>
      </c>
      <c r="R172" s="23" t="n">
        <v>2.49833333333339</v>
      </c>
      <c r="S172" s="23" t="n">
        <v>5.08951365062842</v>
      </c>
      <c r="T172" s="23" t="n">
        <v>3.5974562502901</v>
      </c>
      <c r="U172" s="23" t="n">
        <v>2.32174328643542</v>
      </c>
      <c r="V172" s="23" t="n">
        <v>2.12309421458659</v>
      </c>
      <c r="W172" s="11" t="str">
        <f aca="false">IFERROR(INDEX($G$170:$V$170,MATCH(9.99E+307,$G172:$V172)),"N/A")</f>
        <v>2025</v>
      </c>
      <c r="X172" s="20" t="n">
        <f aca="false">IFERROR(INDEX($G172:$V172,MATCH(9.99E+307,$G172:$V172)),"N/A")</f>
        <v>2.12309421458659</v>
      </c>
    </row>
    <row r="173" customFormat="false" ht="15" hidden="false" customHeight="false" outlineLevel="0" collapsed="false">
      <c r="A173" s="2" t="s">
        <v>794</v>
      </c>
      <c r="B173" s="2" t="s">
        <v>783</v>
      </c>
      <c r="C173" s="2" t="s">
        <v>469</v>
      </c>
      <c r="D173" s="2" t="s">
        <v>498</v>
      </c>
      <c r="E173" s="2" t="s">
        <v>473</v>
      </c>
      <c r="F173" s="2" t="s">
        <v>797</v>
      </c>
      <c r="G173" s="23" t="n">
        <v>2.41890639481003</v>
      </c>
      <c r="H173" s="23" t="n">
        <v>1.2849515880916</v>
      </c>
      <c r="I173" s="23" t="n">
        <v>0.696864111498263</v>
      </c>
      <c r="J173" s="23" t="n">
        <v>2.12048620353112</v>
      </c>
      <c r="K173" s="23" t="n">
        <v>2.04170286707211</v>
      </c>
      <c r="L173" s="23" t="n">
        <v>2.17113665389527</v>
      </c>
      <c r="M173" s="23" t="n">
        <v>3.55000000000007</v>
      </c>
      <c r="N173" s="23" t="n">
        <v>1.87510059552545</v>
      </c>
      <c r="O173" s="23" t="n">
        <v>2.76483134528797</v>
      </c>
      <c r="P173" s="23" t="n">
        <v>2.16773003305411</v>
      </c>
      <c r="Q173" s="23" t="n">
        <v>1.28658490707996</v>
      </c>
      <c r="R173" s="23" t="n">
        <v>3.48388055266669</v>
      </c>
      <c r="S173" s="23" t="n">
        <v>5.76412317852272</v>
      </c>
      <c r="T173" s="23" t="n">
        <v>5.51784987104659</v>
      </c>
      <c r="U173" s="23" t="n">
        <v>3.14530134431081</v>
      </c>
      <c r="V173" s="23" t="n">
        <v>3.05562484410077</v>
      </c>
      <c r="W173" s="11" t="str">
        <f aca="false">IFERROR(INDEX($G$170:$V$170,MATCH(9.99E+307,$G173:$V173)),"N/A")</f>
        <v>2025</v>
      </c>
      <c r="X173" s="20" t="n">
        <f aca="false">IFERROR(INDEX($G173:$V173,MATCH(9.99E+307,$G173:$V173)),"N/A")</f>
        <v>3.05562484410077</v>
      </c>
    </row>
    <row r="174" customFormat="false" ht="15" hidden="false" customHeight="false" outlineLevel="0" collapsed="false">
      <c r="A174" s="2" t="s">
        <v>794</v>
      </c>
      <c r="B174" s="2" t="s">
        <v>785</v>
      </c>
      <c r="C174" s="2" t="s">
        <v>469</v>
      </c>
      <c r="D174" s="2" t="s">
        <v>498</v>
      </c>
      <c r="E174" s="2" t="s">
        <v>473</v>
      </c>
      <c r="F174" s="2" t="s">
        <v>798</v>
      </c>
      <c r="G174" s="23" t="n">
        <v>2.49265472467065</v>
      </c>
      <c r="H174" s="23" t="n">
        <v>3.8561124468282</v>
      </c>
      <c r="I174" s="23" t="n">
        <v>2.5732347965453</v>
      </c>
      <c r="J174" s="23" t="n">
        <v>2.29166666666659</v>
      </c>
      <c r="K174" s="23" t="n">
        <v>1.45112016293279</v>
      </c>
      <c r="L174" s="23" t="n">
        <v>0.36804684232536</v>
      </c>
      <c r="M174" s="23" t="n">
        <v>1.0084173681141</v>
      </c>
      <c r="N174" s="23" t="n">
        <v>2.55775577557747</v>
      </c>
      <c r="O174" s="23" t="n">
        <v>2.29283990345938</v>
      </c>
      <c r="P174" s="23" t="n">
        <v>1.73810460086513</v>
      </c>
      <c r="Q174" s="23" t="n">
        <v>0.989486703772491</v>
      </c>
      <c r="R174" s="23" t="n">
        <v>2.51837109614213</v>
      </c>
      <c r="S174" s="23" t="n">
        <v>7.92204883147902</v>
      </c>
      <c r="T174" s="23" t="n">
        <v>6.79396706793963</v>
      </c>
      <c r="U174" s="23" t="n">
        <v>3.2715729463592</v>
      </c>
      <c r="V174" s="23" t="n">
        <v>3.88306881626</v>
      </c>
      <c r="W174" s="11" t="str">
        <f aca="false">IFERROR(INDEX($G$170:$V$170,MATCH(9.99E+307,$G174:$V174)),"N/A")</f>
        <v>2025</v>
      </c>
      <c r="X174" s="20" t="n">
        <f aca="false">IFERROR(INDEX($G174:$V174,MATCH(9.99E+307,$G174:$V174)),"N/A")</f>
        <v>3.88306881626</v>
      </c>
    </row>
    <row r="175" customFormat="false" ht="15" hidden="false" customHeight="false" outlineLevel="0" collapsed="false">
      <c r="A175" s="2" t="s">
        <v>794</v>
      </c>
      <c r="B175" s="2" t="s">
        <v>787</v>
      </c>
      <c r="C175" s="2" t="s">
        <v>469</v>
      </c>
      <c r="D175" s="2" t="s">
        <v>498</v>
      </c>
      <c r="E175" s="2" t="s">
        <v>473</v>
      </c>
      <c r="F175" s="2" t="s">
        <v>799</v>
      </c>
      <c r="G175" s="23" t="n">
        <v>1.53112270420919</v>
      </c>
      <c r="H175" s="23" t="n">
        <v>2.11159795175</v>
      </c>
      <c r="I175" s="23" t="n">
        <v>1.9541953161351</v>
      </c>
      <c r="J175" s="23" t="n">
        <v>0.863715497861804</v>
      </c>
      <c r="K175" s="23" t="n">
        <v>0.50775882293799</v>
      </c>
      <c r="L175" s="23" t="n">
        <v>0.0375143805125182</v>
      </c>
      <c r="M175" s="23" t="n">
        <v>0.183334861123765</v>
      </c>
      <c r="N175" s="23" t="n">
        <v>1.03228275064681</v>
      </c>
      <c r="O175" s="23" t="n">
        <v>1.85081508315493</v>
      </c>
      <c r="P175" s="23" t="n">
        <v>1.10825492288294</v>
      </c>
      <c r="Q175" s="23" t="n">
        <v>0.476498852725065</v>
      </c>
      <c r="R175" s="23" t="n">
        <v>1.64233141038394</v>
      </c>
      <c r="S175" s="23" t="n">
        <v>5.22236748369725</v>
      </c>
      <c r="T175" s="23" t="n">
        <v>4.8783572650844</v>
      </c>
      <c r="U175" s="23" t="n">
        <v>1.99904942291463</v>
      </c>
      <c r="V175" s="23" t="n">
        <v>0.943770212469976</v>
      </c>
      <c r="W175" s="11" t="str">
        <f aca="false">IFERROR(INDEX($G$170:$V$170,MATCH(9.99E+307,$G175:$V175)),"N/A")</f>
        <v>2025</v>
      </c>
      <c r="X175" s="20" t="n">
        <f aca="false">IFERROR(INDEX($G175:$V175,MATCH(9.99E+307,$G175:$V175)),"N/A")</f>
        <v>0.943770212469976</v>
      </c>
    </row>
    <row r="176" customFormat="false" ht="15" hidden="false" customHeight="false" outlineLevel="0" collapsed="false">
      <c r="A176" s="2" t="s">
        <v>794</v>
      </c>
      <c r="B176" s="2" t="s">
        <v>789</v>
      </c>
      <c r="C176" s="2" t="s">
        <v>469</v>
      </c>
      <c r="D176" s="2" t="s">
        <v>498</v>
      </c>
      <c r="E176" s="2" t="s">
        <v>473</v>
      </c>
      <c r="F176" s="2" t="s">
        <v>800</v>
      </c>
      <c r="G176" s="23" t="n">
        <v>1.1038103778926</v>
      </c>
      <c r="H176" s="23" t="n">
        <v>2.07517283735874</v>
      </c>
      <c r="I176" s="23" t="n">
        <v>2.00848884782956</v>
      </c>
      <c r="J176" s="23" t="n">
        <v>1.50472330251876</v>
      </c>
      <c r="K176" s="23" t="n">
        <v>0.906794000434246</v>
      </c>
      <c r="L176" s="23" t="n">
        <v>0.514426137125456</v>
      </c>
      <c r="M176" s="23" t="n">
        <v>0.491747008445174</v>
      </c>
      <c r="N176" s="23" t="n">
        <v>1.50949485109628</v>
      </c>
      <c r="O176" s="23" t="n">
        <v>1.73216879766942</v>
      </c>
      <c r="P176" s="23" t="n">
        <v>1.44565976888253</v>
      </c>
      <c r="Q176" s="23" t="n">
        <v>0.144877925813982</v>
      </c>
      <c r="R176" s="23" t="n">
        <v>3.06666666666673</v>
      </c>
      <c r="S176" s="23" t="n">
        <v>6.87257438551097</v>
      </c>
      <c r="T176" s="23" t="n">
        <v>5.94643667725823</v>
      </c>
      <c r="U176" s="23" t="n">
        <v>2.2564981433876</v>
      </c>
      <c r="V176" s="23" t="n">
        <v>2.17178770949721</v>
      </c>
      <c r="W176" s="11" t="str">
        <f aca="false">IFERROR(INDEX($G$170:$V$170,MATCH(9.99E+307,$G176:$V176)),"N/A")</f>
        <v>2025</v>
      </c>
      <c r="X176" s="20" t="n">
        <f aca="false">IFERROR(INDEX($G176:$V176,MATCH(9.99E+307,$G176:$V176)),"N/A")</f>
        <v>2.17178770949721</v>
      </c>
    </row>
    <row r="177" customFormat="false" ht="15" hidden="false" customHeight="false" outlineLevel="0" collapsed="false">
      <c r="A177" s="2" t="s">
        <v>794</v>
      </c>
      <c r="B177" s="2" t="s">
        <v>791</v>
      </c>
      <c r="C177" s="2" t="s">
        <v>469</v>
      </c>
      <c r="D177" s="2" t="s">
        <v>498</v>
      </c>
      <c r="E177" s="2" t="s">
        <v>473</v>
      </c>
      <c r="F177" s="2" t="s">
        <v>801</v>
      </c>
      <c r="G177" s="23" t="n">
        <v>3.17532475269199</v>
      </c>
      <c r="H177" s="23" t="n">
        <v>5.55389892257493</v>
      </c>
      <c r="I177" s="23" t="n">
        <v>2.61952432645541</v>
      </c>
      <c r="J177" s="23" t="n">
        <v>2.62105001748115</v>
      </c>
      <c r="K177" s="23" t="n">
        <v>1.92164162788521</v>
      </c>
      <c r="L177" s="23" t="n">
        <v>1.43702380935655</v>
      </c>
      <c r="M177" s="23" t="n">
        <v>2.00000182191943</v>
      </c>
      <c r="N177" s="23" t="n">
        <v>1.59313600071436</v>
      </c>
      <c r="O177" s="23" t="n">
        <v>2.07479039965576</v>
      </c>
      <c r="P177" s="23" t="n">
        <v>2.89923416358227</v>
      </c>
      <c r="Q177" s="23" t="n">
        <v>2.41942189457782</v>
      </c>
      <c r="R177" s="23" t="n">
        <v>0.981015135544882</v>
      </c>
      <c r="S177" s="23" t="n">
        <v>1.97357555739051</v>
      </c>
      <c r="T177" s="23" t="n">
        <v>0.234836828893051</v>
      </c>
      <c r="U177" s="23" t="n">
        <v>0.218128938439177</v>
      </c>
      <c r="V177" s="23" t="n">
        <v>0.0595646916565403</v>
      </c>
      <c r="W177" s="11" t="str">
        <f aca="false">IFERROR(INDEX($G$170:$V$170,MATCH(9.99E+307,$G177:$V177)),"N/A")</f>
        <v>2025</v>
      </c>
      <c r="X177" s="20" t="n">
        <f aca="false">IFERROR(INDEX($G177:$V177,MATCH(9.99E+307,$G177:$V177)),"N/A")</f>
        <v>0.0595646916565403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39" min="5" style="0" width="10"/>
  </cols>
  <sheetData>
    <row r="1" customFormat="false" ht="16.15" hidden="false" customHeight="false" outlineLevel="0" collapsed="false">
      <c r="A1" s="1" t="s">
        <v>802</v>
      </c>
    </row>
    <row r="2" customFormat="false" ht="15" hidden="false" customHeight="false" outlineLevel="0" collapsed="false">
      <c r="A2" s="2" t="s">
        <v>803</v>
      </c>
    </row>
    <row r="4" customFormat="false" ht="15" hidden="false" customHeight="false" outlineLevel="0" collapsed="false">
      <c r="A4" s="25" t="s">
        <v>804</v>
      </c>
      <c r="X4" s="26" t="s">
        <v>754</v>
      </c>
    </row>
    <row r="5" customFormat="false" ht="46.25" hidden="false" customHeight="false" outlineLevel="0" collapsed="false">
      <c r="A5" s="12" t="s">
        <v>755</v>
      </c>
      <c r="B5" s="12" t="s">
        <v>756</v>
      </c>
      <c r="C5" s="12" t="s">
        <v>5</v>
      </c>
      <c r="D5" s="12" t="s">
        <v>6</v>
      </c>
      <c r="E5" s="12" t="s">
        <v>9</v>
      </c>
      <c r="F5" s="12" t="s">
        <v>8</v>
      </c>
      <c r="G5" s="12" t="s">
        <v>461</v>
      </c>
      <c r="H5" s="12" t="s">
        <v>757</v>
      </c>
      <c r="I5" s="12" t="s">
        <v>758</v>
      </c>
      <c r="J5" s="12" t="s">
        <v>759</v>
      </c>
      <c r="K5" s="12" t="s">
        <v>760</v>
      </c>
      <c r="L5" s="12" t="s">
        <v>761</v>
      </c>
      <c r="M5" s="12" t="s">
        <v>762</v>
      </c>
      <c r="N5" s="12" t="s">
        <v>763</v>
      </c>
      <c r="O5" s="12" t="s">
        <v>764</v>
      </c>
      <c r="P5" s="12" t="s">
        <v>765</v>
      </c>
      <c r="Q5" s="12" t="s">
        <v>766</v>
      </c>
      <c r="R5" s="12" t="s">
        <v>767</v>
      </c>
      <c r="S5" s="12" t="s">
        <v>768</v>
      </c>
      <c r="T5" s="12" t="s">
        <v>769</v>
      </c>
      <c r="U5" s="12" t="s">
        <v>770</v>
      </c>
      <c r="V5" s="12" t="s">
        <v>526</v>
      </c>
      <c r="W5" s="12" t="s">
        <v>771</v>
      </c>
      <c r="X5" s="27" t="s">
        <v>772</v>
      </c>
      <c r="Y5" s="27" t="s">
        <v>773</v>
      </c>
      <c r="Z5" s="27" t="s">
        <v>774</v>
      </c>
      <c r="AA5" s="27" t="s">
        <v>775</v>
      </c>
      <c r="AB5" s="12" t="s">
        <v>776</v>
      </c>
    </row>
    <row r="6" customFormat="false" ht="15" hidden="false" customHeight="false" outlineLevel="0" collapsed="false">
      <c r="A6" s="2" t="s">
        <v>805</v>
      </c>
      <c r="B6" s="2" t="s">
        <v>778</v>
      </c>
      <c r="C6" s="2" t="s">
        <v>455</v>
      </c>
      <c r="D6" s="2" t="s">
        <v>456</v>
      </c>
      <c r="E6" s="2" t="s">
        <v>459</v>
      </c>
      <c r="F6" s="2" t="s">
        <v>806</v>
      </c>
      <c r="G6" s="23" t="n">
        <v>2.7</v>
      </c>
      <c r="H6" s="23" t="n">
        <v>1.6</v>
      </c>
      <c r="I6" s="23" t="n">
        <v>2.3</v>
      </c>
      <c r="J6" s="23" t="n">
        <v>2.1</v>
      </c>
      <c r="K6" s="23" t="n">
        <v>2.5</v>
      </c>
      <c r="L6" s="23" t="n">
        <v>2.9</v>
      </c>
      <c r="M6" s="23" t="n">
        <v>1.8</v>
      </c>
      <c r="N6" s="23" t="n">
        <v>2.5</v>
      </c>
      <c r="O6" s="23" t="n">
        <v>3</v>
      </c>
      <c r="P6" s="23" t="n">
        <v>2.6</v>
      </c>
      <c r="Q6" s="23" t="n">
        <v>-2.1</v>
      </c>
      <c r="R6" s="23" t="n">
        <v>6.2</v>
      </c>
      <c r="S6" s="23" t="n">
        <v>2.5</v>
      </c>
      <c r="T6" s="23" t="n">
        <v>2.9</v>
      </c>
      <c r="U6" s="23" t="n">
        <v>2.8</v>
      </c>
      <c r="V6" s="23" t="n">
        <v>2.1</v>
      </c>
      <c r="X6" s="28" t="s">
        <v>780</v>
      </c>
      <c r="Y6" s="29" t="n">
        <v>2.3</v>
      </c>
      <c r="Z6" s="29" t="n">
        <v>2.1</v>
      </c>
      <c r="AA6" s="30" t="str">
        <f aca="false">IFERROR(INDEX($G$5:$V$5,MATCH(9.99E+307,$G6:$V6)),"N/A")</f>
        <v>2025</v>
      </c>
      <c r="AB6" s="20" t="n">
        <f aca="false">IFERROR(INDEX($G6:$V6,MATCH(9.99E+307,$G6:$V6)),"N/A")</f>
        <v>2.1</v>
      </c>
    </row>
    <row r="7" customFormat="false" ht="15" hidden="false" customHeight="false" outlineLevel="0" collapsed="false">
      <c r="A7" s="2" t="s">
        <v>805</v>
      </c>
      <c r="B7" s="2" t="s">
        <v>781</v>
      </c>
      <c r="C7" s="2" t="s">
        <v>455</v>
      </c>
      <c r="D7" s="2" t="s">
        <v>456</v>
      </c>
      <c r="E7" s="2" t="s">
        <v>459</v>
      </c>
      <c r="F7" s="2" t="s">
        <v>807</v>
      </c>
      <c r="G7" s="23" t="n">
        <v>7</v>
      </c>
      <c r="H7" s="23" t="n">
        <v>3.7</v>
      </c>
      <c r="I7" s="23" t="n">
        <v>2.5</v>
      </c>
      <c r="J7" s="23" t="n">
        <v>3.3</v>
      </c>
      <c r="K7" s="23" t="n">
        <v>3.2</v>
      </c>
      <c r="L7" s="23" t="n">
        <v>2.9</v>
      </c>
      <c r="M7" s="23" t="n">
        <v>3.2</v>
      </c>
      <c r="N7" s="23" t="n">
        <v>3.4</v>
      </c>
      <c r="O7" s="23" t="n">
        <v>3.2</v>
      </c>
      <c r="P7" s="23" t="n">
        <v>2.3</v>
      </c>
      <c r="Q7" s="23" t="n">
        <v>-0.7</v>
      </c>
      <c r="R7" s="23" t="n">
        <v>4.6</v>
      </c>
      <c r="S7" s="23" t="n">
        <v>2.7</v>
      </c>
      <c r="T7" s="23" t="n">
        <v>1.6</v>
      </c>
      <c r="U7" s="23" t="n">
        <v>2</v>
      </c>
      <c r="V7" s="23" t="n">
        <v>1</v>
      </c>
      <c r="X7" s="28" t="s">
        <v>780</v>
      </c>
      <c r="Y7" s="29" t="n">
        <v>1.9</v>
      </c>
      <c r="Z7" s="29" t="n">
        <v>2.1</v>
      </c>
      <c r="AA7" s="30" t="str">
        <f aca="false">IFERROR(INDEX($G$5:$V$5,MATCH(9.99E+307,$G7:$V7)),"N/A")</f>
        <v>2025</v>
      </c>
      <c r="AB7" s="20" t="n">
        <f aca="false">IFERROR(INDEX($G7:$V7,MATCH(9.99E+307,$G7:$V7)),"N/A")</f>
        <v>1</v>
      </c>
    </row>
    <row r="8" customFormat="false" ht="15" hidden="false" customHeight="false" outlineLevel="0" collapsed="false">
      <c r="A8" s="2" t="s">
        <v>805</v>
      </c>
      <c r="B8" s="2" t="s">
        <v>783</v>
      </c>
      <c r="C8" s="2" t="s">
        <v>455</v>
      </c>
      <c r="D8" s="2" t="s">
        <v>456</v>
      </c>
      <c r="E8" s="2" t="s">
        <v>459</v>
      </c>
      <c r="F8" s="2" t="s">
        <v>808</v>
      </c>
      <c r="G8" s="23" t="n">
        <v>1</v>
      </c>
      <c r="H8" s="23" t="n">
        <v>1.4</v>
      </c>
      <c r="I8" s="23" t="n">
        <v>2.8</v>
      </c>
      <c r="J8" s="23" t="n">
        <v>1.3</v>
      </c>
      <c r="K8" s="23" t="n">
        <v>2.1</v>
      </c>
      <c r="L8" s="23" t="n">
        <v>2</v>
      </c>
      <c r="M8" s="23" t="n">
        <v>1.3</v>
      </c>
      <c r="N8" s="23" t="n">
        <v>2.7</v>
      </c>
      <c r="O8" s="23" t="n">
        <v>1.1</v>
      </c>
      <c r="P8" s="23" t="n">
        <v>1.5</v>
      </c>
      <c r="Q8" s="23" t="n">
        <v>-1.4</v>
      </c>
      <c r="R8" s="23" t="n">
        <v>4.1</v>
      </c>
      <c r="S8" s="23" t="n">
        <v>4.1</v>
      </c>
      <c r="T8" s="23" t="n">
        <v>0.4</v>
      </c>
      <c r="U8" s="23" t="n">
        <v>1.4</v>
      </c>
      <c r="V8" s="23" t="n">
        <v>1.1</v>
      </c>
      <c r="X8" s="28" t="s">
        <v>780</v>
      </c>
      <c r="Y8" s="29" t="n">
        <v>1.5</v>
      </c>
      <c r="Z8" s="29" t="n">
        <v>1.3</v>
      </c>
      <c r="AA8" s="30" t="str">
        <f aca="false">IFERROR(INDEX($G$5:$V$5,MATCH(9.99E+307,$G8:$V8)),"N/A")</f>
        <v>2025</v>
      </c>
      <c r="AB8" s="20" t="n">
        <f aca="false">IFERROR(INDEX($G8:$V8,MATCH(9.99E+307,$G8:$V8)),"N/A")</f>
        <v>1.1</v>
      </c>
    </row>
    <row r="9" customFormat="false" ht="15" hidden="false" customHeight="false" outlineLevel="0" collapsed="false">
      <c r="A9" s="2" t="s">
        <v>805</v>
      </c>
      <c r="B9" s="2" t="s">
        <v>785</v>
      </c>
      <c r="C9" s="2" t="s">
        <v>455</v>
      </c>
      <c r="D9" s="2" t="s">
        <v>456</v>
      </c>
      <c r="E9" s="2" t="s">
        <v>459</v>
      </c>
      <c r="F9" s="2" t="s">
        <v>809</v>
      </c>
      <c r="G9" s="23" t="n">
        <v>2.3</v>
      </c>
      <c r="H9" s="23" t="n">
        <v>0.9</v>
      </c>
      <c r="I9" s="23" t="n">
        <v>1.5</v>
      </c>
      <c r="J9" s="23" t="n">
        <v>1.7</v>
      </c>
      <c r="K9" s="23" t="n">
        <v>3.2</v>
      </c>
      <c r="L9" s="23" t="n">
        <v>2.1</v>
      </c>
      <c r="M9" s="23" t="n">
        <v>2.2</v>
      </c>
      <c r="N9" s="23" t="n">
        <v>3</v>
      </c>
      <c r="O9" s="23" t="n">
        <v>1.6</v>
      </c>
      <c r="P9" s="23" t="n">
        <v>1.3</v>
      </c>
      <c r="Q9" s="23" t="n">
        <v>-10</v>
      </c>
      <c r="R9" s="23" t="n">
        <v>8.5</v>
      </c>
      <c r="S9" s="23" t="n">
        <v>5.1</v>
      </c>
      <c r="T9" s="23" t="n">
        <v>0.3</v>
      </c>
      <c r="U9" s="23" t="n">
        <v>1.1</v>
      </c>
      <c r="V9" s="23" t="n">
        <v>1.3</v>
      </c>
      <c r="X9" s="28" t="s">
        <v>780</v>
      </c>
      <c r="Y9" s="29" t="n">
        <v>0.8</v>
      </c>
      <c r="Z9" s="29" t="n">
        <v>1.3</v>
      </c>
      <c r="AA9" s="30" t="str">
        <f aca="false">IFERROR(INDEX($G$5:$V$5,MATCH(9.99E+307,$G9:$V9)),"N/A")</f>
        <v>2025</v>
      </c>
      <c r="AB9" s="20" t="n">
        <f aca="false">IFERROR(INDEX($G9:$V9,MATCH(9.99E+307,$G9:$V9)),"N/A")</f>
        <v>1.3</v>
      </c>
    </row>
    <row r="10" customFormat="false" ht="15" hidden="false" customHeight="false" outlineLevel="0" collapsed="false">
      <c r="A10" s="2" t="s">
        <v>805</v>
      </c>
      <c r="B10" s="2" t="s">
        <v>787</v>
      </c>
      <c r="C10" s="2" t="s">
        <v>455</v>
      </c>
      <c r="D10" s="2" t="s">
        <v>456</v>
      </c>
      <c r="E10" s="2" t="s">
        <v>459</v>
      </c>
      <c r="F10" s="2" t="s">
        <v>810</v>
      </c>
      <c r="G10" s="23" t="n">
        <v>1.8</v>
      </c>
      <c r="H10" s="23" t="n">
        <v>2.5</v>
      </c>
      <c r="I10" s="23" t="n">
        <v>0.2</v>
      </c>
      <c r="J10" s="23" t="n">
        <v>0.9</v>
      </c>
      <c r="K10" s="23" t="n">
        <v>1</v>
      </c>
      <c r="L10" s="23" t="n">
        <v>1</v>
      </c>
      <c r="M10" s="23" t="n">
        <v>0.7</v>
      </c>
      <c r="N10" s="23" t="n">
        <v>2.3</v>
      </c>
      <c r="O10" s="23" t="n">
        <v>1.6</v>
      </c>
      <c r="P10" s="23" t="n">
        <v>2.1</v>
      </c>
      <c r="Q10" s="23" t="n">
        <v>-7.6</v>
      </c>
      <c r="R10" s="23" t="n">
        <v>6.8</v>
      </c>
      <c r="S10" s="23" t="n">
        <v>2.8</v>
      </c>
      <c r="T10" s="23" t="n">
        <v>1.6</v>
      </c>
      <c r="U10" s="23" t="n">
        <v>1.1</v>
      </c>
      <c r="V10" s="23" t="n">
        <v>0.9</v>
      </c>
      <c r="X10" s="28" t="s">
        <v>780</v>
      </c>
      <c r="Y10" s="29" t="n">
        <v>0.9</v>
      </c>
      <c r="Z10" s="29" t="n">
        <v>0.9</v>
      </c>
      <c r="AA10" s="30" t="str">
        <f aca="false">IFERROR(INDEX($G$5:$V$5,MATCH(9.99E+307,$G10:$V10)),"N/A")</f>
        <v>2025</v>
      </c>
      <c r="AB10" s="20" t="n">
        <f aca="false">IFERROR(INDEX($G10:$V10,MATCH(9.99E+307,$G10:$V10)),"N/A")</f>
        <v>0.9</v>
      </c>
    </row>
    <row r="11" customFormat="false" ht="15" hidden="false" customHeight="false" outlineLevel="0" collapsed="false">
      <c r="A11" s="2" t="s">
        <v>805</v>
      </c>
      <c r="B11" s="2" t="s">
        <v>789</v>
      </c>
      <c r="C11" s="2" t="s">
        <v>455</v>
      </c>
      <c r="D11" s="2" t="s">
        <v>456</v>
      </c>
      <c r="E11" s="2" t="s">
        <v>459</v>
      </c>
      <c r="F11" s="2" t="s">
        <v>811</v>
      </c>
      <c r="G11" s="23" t="n">
        <v>4.1</v>
      </c>
      <c r="H11" s="23" t="n">
        <v>3.8</v>
      </c>
      <c r="I11" s="23" t="n">
        <v>0.5</v>
      </c>
      <c r="J11" s="23" t="n">
        <v>0.4</v>
      </c>
      <c r="K11" s="23" t="n">
        <v>2.2</v>
      </c>
      <c r="L11" s="23" t="n">
        <v>1.7</v>
      </c>
      <c r="M11" s="23" t="n">
        <v>2.2</v>
      </c>
      <c r="N11" s="23" t="n">
        <v>2.8</v>
      </c>
      <c r="O11" s="23" t="n">
        <v>1.1</v>
      </c>
      <c r="P11" s="23" t="n">
        <v>1</v>
      </c>
      <c r="Q11" s="23" t="n">
        <v>-4.1</v>
      </c>
      <c r="R11" s="23" t="n">
        <v>3.9</v>
      </c>
      <c r="S11" s="23" t="n">
        <v>1.8</v>
      </c>
      <c r="T11" s="23" t="n">
        <v>-0.9</v>
      </c>
      <c r="U11" s="23" t="n">
        <v>-0.5</v>
      </c>
      <c r="V11" s="23" t="n">
        <v>0.2</v>
      </c>
      <c r="X11" s="28" t="s">
        <v>780</v>
      </c>
      <c r="Y11" s="29" t="n">
        <v>0.8</v>
      </c>
      <c r="Z11" s="29" t="n">
        <v>1.2</v>
      </c>
      <c r="AA11" s="30" t="str">
        <f aca="false">IFERROR(INDEX($G$5:$V$5,MATCH(9.99E+307,$G11:$V11)),"N/A")</f>
        <v>2025</v>
      </c>
      <c r="AB11" s="20" t="n">
        <f aca="false">IFERROR(INDEX($G11:$V11,MATCH(9.99E+307,$G11:$V11)),"N/A")</f>
        <v>0.2</v>
      </c>
    </row>
    <row r="12" customFormat="false" ht="15" hidden="false" customHeight="false" outlineLevel="0" collapsed="false">
      <c r="A12" s="2" t="s">
        <v>805</v>
      </c>
      <c r="B12" s="2" t="s">
        <v>791</v>
      </c>
      <c r="C12" s="2" t="s">
        <v>455</v>
      </c>
      <c r="D12" s="2" t="s">
        <v>456</v>
      </c>
      <c r="E12" s="2" t="s">
        <v>459</v>
      </c>
      <c r="F12" s="2" t="s">
        <v>812</v>
      </c>
      <c r="G12" s="23" t="n">
        <v>10.6</v>
      </c>
      <c r="H12" s="23" t="n">
        <v>9.5</v>
      </c>
      <c r="I12" s="23" t="n">
        <v>7.8</v>
      </c>
      <c r="J12" s="23" t="n">
        <v>7.8</v>
      </c>
      <c r="K12" s="23" t="n">
        <v>7.5</v>
      </c>
      <c r="L12" s="23" t="n">
        <v>7</v>
      </c>
      <c r="M12" s="23" t="n">
        <v>6.8</v>
      </c>
      <c r="N12" s="23" t="n">
        <v>6.9</v>
      </c>
      <c r="O12" s="23" t="n">
        <v>6.8</v>
      </c>
      <c r="P12" s="23" t="n">
        <v>6.1</v>
      </c>
      <c r="Q12" s="23" t="n">
        <v>2.3</v>
      </c>
      <c r="R12" s="23" t="n">
        <v>8.6</v>
      </c>
      <c r="S12" s="23" t="n">
        <v>3.1</v>
      </c>
      <c r="T12" s="23" t="n">
        <v>5.4</v>
      </c>
      <c r="U12" s="23" t="n">
        <v>5</v>
      </c>
      <c r="V12" s="23" t="n">
        <v>5</v>
      </c>
      <c r="X12" s="28" t="s">
        <v>780</v>
      </c>
      <c r="Y12" s="29" t="n">
        <v>4.4</v>
      </c>
      <c r="Z12" s="29" t="n">
        <v>4</v>
      </c>
      <c r="AA12" s="30" t="str">
        <f aca="false">IFERROR(INDEX($G$5:$V$5,MATCH(9.99E+307,$G12:$V12)),"N/A")</f>
        <v>2025</v>
      </c>
      <c r="AB12" s="20" t="n">
        <f aca="false">IFERROR(INDEX($G12:$V12,MATCH(9.99E+307,$G12:$V12)),"N/A")</f>
        <v>5</v>
      </c>
    </row>
    <row r="14" customFormat="false" ht="15" hidden="false" customHeight="false" outlineLevel="0" collapsed="false">
      <c r="A14" s="25" t="s">
        <v>813</v>
      </c>
      <c r="X14" s="26" t="s">
        <v>754</v>
      </c>
    </row>
    <row r="15" customFormat="false" ht="46.25" hidden="false" customHeight="false" outlineLevel="0" collapsed="false">
      <c r="A15" s="12" t="s">
        <v>755</v>
      </c>
      <c r="B15" s="12" t="s">
        <v>756</v>
      </c>
      <c r="C15" s="12" t="s">
        <v>5</v>
      </c>
      <c r="D15" s="12" t="s">
        <v>6</v>
      </c>
      <c r="E15" s="12" t="s">
        <v>9</v>
      </c>
      <c r="F15" s="12" t="s">
        <v>8</v>
      </c>
      <c r="G15" s="12" t="s">
        <v>461</v>
      </c>
      <c r="H15" s="12" t="s">
        <v>757</v>
      </c>
      <c r="I15" s="12" t="s">
        <v>758</v>
      </c>
      <c r="J15" s="12" t="s">
        <v>759</v>
      </c>
      <c r="K15" s="12" t="s">
        <v>760</v>
      </c>
      <c r="L15" s="12" t="s">
        <v>761</v>
      </c>
      <c r="M15" s="12" t="s">
        <v>762</v>
      </c>
      <c r="N15" s="12" t="s">
        <v>763</v>
      </c>
      <c r="O15" s="12" t="s">
        <v>764</v>
      </c>
      <c r="P15" s="12" t="s">
        <v>765</v>
      </c>
      <c r="Q15" s="12" t="s">
        <v>766</v>
      </c>
      <c r="R15" s="12" t="s">
        <v>767</v>
      </c>
      <c r="S15" s="12" t="s">
        <v>768</v>
      </c>
      <c r="T15" s="12" t="s">
        <v>769</v>
      </c>
      <c r="U15" s="12" t="s">
        <v>770</v>
      </c>
      <c r="V15" s="12" t="s">
        <v>526</v>
      </c>
      <c r="W15" s="12" t="s">
        <v>771</v>
      </c>
      <c r="X15" s="27" t="s">
        <v>772</v>
      </c>
      <c r="Y15" s="27" t="s">
        <v>773</v>
      </c>
      <c r="Z15" s="27" t="s">
        <v>774</v>
      </c>
      <c r="AA15" s="27" t="s">
        <v>775</v>
      </c>
      <c r="AB15" s="12" t="s">
        <v>776</v>
      </c>
    </row>
    <row r="16" customFormat="false" ht="15" hidden="false" customHeight="false" outlineLevel="0" collapsed="false">
      <c r="A16" s="2" t="s">
        <v>814</v>
      </c>
      <c r="B16" s="2" t="s">
        <v>778</v>
      </c>
      <c r="C16" s="2" t="s">
        <v>455</v>
      </c>
      <c r="D16" s="2" t="s">
        <v>464</v>
      </c>
      <c r="E16" s="2" t="s">
        <v>467</v>
      </c>
      <c r="F16" s="2" t="s">
        <v>815</v>
      </c>
      <c r="G16" s="31" t="n">
        <v>15048.975</v>
      </c>
      <c r="H16" s="31" t="n">
        <v>15599.725</v>
      </c>
      <c r="I16" s="31" t="n">
        <v>16253.95</v>
      </c>
      <c r="J16" s="31" t="n">
        <v>16880.675</v>
      </c>
      <c r="K16" s="31" t="n">
        <v>17608.125</v>
      </c>
      <c r="L16" s="31" t="n">
        <v>18295</v>
      </c>
      <c r="M16" s="31" t="n">
        <v>18804.9</v>
      </c>
      <c r="N16" s="31" t="n">
        <v>19612.1</v>
      </c>
      <c r="O16" s="31" t="n">
        <v>20656.525</v>
      </c>
      <c r="P16" s="31" t="n">
        <v>21539.975</v>
      </c>
      <c r="Q16" s="31" t="n">
        <v>21375.275</v>
      </c>
      <c r="R16" s="31" t="n">
        <v>23725.65</v>
      </c>
      <c r="S16" s="31" t="n">
        <v>26054.6</v>
      </c>
      <c r="T16" s="31" t="n">
        <v>27811.5</v>
      </c>
      <c r="U16" s="31" t="n">
        <v>29298.025</v>
      </c>
      <c r="V16" s="31" t="n">
        <v>30767.075</v>
      </c>
      <c r="X16" s="28" t="s">
        <v>780</v>
      </c>
      <c r="Y16" s="32" t="n">
        <v>32383.92</v>
      </c>
      <c r="Z16" s="32" t="n">
        <v>33790.035</v>
      </c>
      <c r="AA16" s="33" t="str">
        <f aca="false">IFERROR(INDEX($G$15:$V$15,MATCH(9.99E+307,$G16:$V16)),"N/A")</f>
        <v>2025</v>
      </c>
      <c r="AB16" s="34" t="n">
        <f aca="false">IFERROR(INDEX($G16:$V16,MATCH(9.99E+307,$G16:$V16)),"N/A")</f>
        <v>30767.075</v>
      </c>
    </row>
    <row r="17" customFormat="false" ht="15" hidden="false" customHeight="false" outlineLevel="0" collapsed="false">
      <c r="A17" s="2" t="s">
        <v>814</v>
      </c>
      <c r="B17" s="2" t="s">
        <v>781</v>
      </c>
      <c r="C17" s="2" t="s">
        <v>455</v>
      </c>
      <c r="D17" s="2" t="s">
        <v>464</v>
      </c>
      <c r="E17" s="2" t="s">
        <v>467</v>
      </c>
      <c r="F17" s="2" t="s">
        <v>816</v>
      </c>
      <c r="G17" s="31" t="n">
        <v>1192.722</v>
      </c>
      <c r="H17" s="31" t="n">
        <v>1307.239</v>
      </c>
      <c r="I17" s="31" t="n">
        <v>1335.344</v>
      </c>
      <c r="J17" s="31" t="n">
        <v>1434.67</v>
      </c>
      <c r="K17" s="31" t="n">
        <v>1556.252</v>
      </c>
      <c r="L17" s="31" t="n">
        <v>1539.212</v>
      </c>
      <c r="M17" s="31" t="n">
        <v>1578.816</v>
      </c>
      <c r="N17" s="31" t="n">
        <v>1710.197</v>
      </c>
      <c r="O17" s="31" t="n">
        <v>1824.251</v>
      </c>
      <c r="P17" s="31" t="n">
        <v>1751.046</v>
      </c>
      <c r="Q17" s="31" t="n">
        <v>1744.455</v>
      </c>
      <c r="R17" s="31" t="n">
        <v>1942.314</v>
      </c>
      <c r="S17" s="31" t="n">
        <v>1799.363</v>
      </c>
      <c r="T17" s="31" t="n">
        <v>1844.801</v>
      </c>
      <c r="U17" s="31" t="n">
        <v>1875.388</v>
      </c>
      <c r="V17" s="31" t="n">
        <v>1872.375</v>
      </c>
      <c r="X17" s="28" t="s">
        <v>780</v>
      </c>
      <c r="Y17" s="32" t="n">
        <v>1931.008</v>
      </c>
      <c r="Z17" s="32" t="n">
        <v>2010.456</v>
      </c>
      <c r="AA17" s="33" t="str">
        <f aca="false">IFERROR(INDEX($G$15:$V$15,MATCH(9.99E+307,$G17:$V17)),"N/A")</f>
        <v>2025</v>
      </c>
      <c r="AB17" s="34" t="n">
        <f aca="false">IFERROR(INDEX($G17:$V17,MATCH(9.99E+307,$G17:$V17)),"N/A")</f>
        <v>1872.375</v>
      </c>
    </row>
    <row r="18" customFormat="false" ht="15" hidden="false" customHeight="false" outlineLevel="0" collapsed="false">
      <c r="A18" s="2" t="s">
        <v>814</v>
      </c>
      <c r="B18" s="2" t="s">
        <v>783</v>
      </c>
      <c r="C18" s="2" t="s">
        <v>455</v>
      </c>
      <c r="D18" s="2" t="s">
        <v>464</v>
      </c>
      <c r="E18" s="2" t="s">
        <v>467</v>
      </c>
      <c r="F18" s="2" t="s">
        <v>817</v>
      </c>
      <c r="G18" s="31" t="n">
        <v>440.133</v>
      </c>
      <c r="H18" s="31" t="n">
        <v>512.869</v>
      </c>
      <c r="I18" s="31" t="n">
        <v>525.084</v>
      </c>
      <c r="J18" s="31" t="n">
        <v>540.133</v>
      </c>
      <c r="K18" s="31" t="n">
        <v>515.83</v>
      </c>
      <c r="L18" s="31" t="n">
        <v>400.669</v>
      </c>
      <c r="M18" s="31" t="n">
        <v>383.284</v>
      </c>
      <c r="N18" s="31" t="n">
        <v>415.673</v>
      </c>
      <c r="O18" s="31" t="n">
        <v>454.589</v>
      </c>
      <c r="P18" s="31" t="n">
        <v>424.245</v>
      </c>
      <c r="Q18" s="31" t="n">
        <v>382.253</v>
      </c>
      <c r="R18" s="31" t="n">
        <v>521.592</v>
      </c>
      <c r="S18" s="31" t="n">
        <v>617.322</v>
      </c>
      <c r="T18" s="31" t="n">
        <v>502.198</v>
      </c>
      <c r="U18" s="31" t="n">
        <v>500.886</v>
      </c>
      <c r="V18" s="31" t="n">
        <v>530.756</v>
      </c>
      <c r="X18" s="28" t="s">
        <v>780</v>
      </c>
      <c r="Y18" s="32" t="n">
        <v>599.406</v>
      </c>
      <c r="Z18" s="32" t="n">
        <v>604.144</v>
      </c>
      <c r="AA18" s="33" t="str">
        <f aca="false">IFERROR(INDEX($G$15:$V$15,MATCH(9.99E+307,$G18:$V18)),"N/A")</f>
        <v>2025</v>
      </c>
      <c r="AB18" s="34" t="n">
        <f aca="false">IFERROR(INDEX($G18:$V18,MATCH(9.99E+307,$G18:$V18)),"N/A")</f>
        <v>530.756</v>
      </c>
    </row>
    <row r="19" customFormat="false" ht="15" hidden="false" customHeight="false" outlineLevel="0" collapsed="false">
      <c r="A19" s="2" t="s">
        <v>814</v>
      </c>
      <c r="B19" s="2" t="s">
        <v>785</v>
      </c>
      <c r="C19" s="2" t="s">
        <v>455</v>
      </c>
      <c r="D19" s="2" t="s">
        <v>464</v>
      </c>
      <c r="E19" s="2" t="s">
        <v>467</v>
      </c>
      <c r="F19" s="2" t="s">
        <v>818</v>
      </c>
      <c r="G19" s="31" t="n">
        <v>2499.193</v>
      </c>
      <c r="H19" s="31" t="n">
        <v>2676.507</v>
      </c>
      <c r="I19" s="31" t="n">
        <v>2720.2</v>
      </c>
      <c r="J19" s="31" t="n">
        <v>2798.728</v>
      </c>
      <c r="K19" s="31" t="n">
        <v>3086.969</v>
      </c>
      <c r="L19" s="31" t="n">
        <v>2946.231</v>
      </c>
      <c r="M19" s="31" t="n">
        <v>2716.852</v>
      </c>
      <c r="N19" s="31" t="n">
        <v>2701.37</v>
      </c>
      <c r="O19" s="31" t="n">
        <v>2900.745</v>
      </c>
      <c r="P19" s="31" t="n">
        <v>2877.392</v>
      </c>
      <c r="Q19" s="31" t="n">
        <v>2725.948</v>
      </c>
      <c r="R19" s="31" t="n">
        <v>3195.327</v>
      </c>
      <c r="S19" s="31" t="n">
        <v>3192.851</v>
      </c>
      <c r="T19" s="31" t="n">
        <v>3422.072</v>
      </c>
      <c r="U19" s="31" t="n">
        <v>3695.355</v>
      </c>
      <c r="V19" s="31" t="n">
        <v>4003.022</v>
      </c>
      <c r="X19" s="28" t="s">
        <v>780</v>
      </c>
      <c r="Y19" s="32" t="n">
        <v>4264.794</v>
      </c>
      <c r="Z19" s="32" t="n">
        <v>4466.076</v>
      </c>
      <c r="AA19" s="33" t="str">
        <f aca="false">IFERROR(INDEX($G$15:$V$15,MATCH(9.99E+307,$G19:$V19)),"N/A")</f>
        <v>2025</v>
      </c>
      <c r="AB19" s="34" t="n">
        <f aca="false">IFERROR(INDEX($G19:$V19,MATCH(9.99E+307,$G19:$V19)),"N/A")</f>
        <v>4003.022</v>
      </c>
    </row>
    <row r="20" customFormat="false" ht="15" hidden="false" customHeight="false" outlineLevel="0" collapsed="false">
      <c r="A20" s="2" t="s">
        <v>814</v>
      </c>
      <c r="B20" s="2" t="s">
        <v>787</v>
      </c>
      <c r="C20" s="2" t="s">
        <v>455</v>
      </c>
      <c r="D20" s="2" t="s">
        <v>464</v>
      </c>
      <c r="E20" s="2" t="s">
        <v>467</v>
      </c>
      <c r="F20" s="2" t="s">
        <v>819</v>
      </c>
      <c r="G20" s="31" t="n">
        <v>2648.391</v>
      </c>
      <c r="H20" s="31" t="n">
        <v>2869.903</v>
      </c>
      <c r="I20" s="31" t="n">
        <v>2684.706</v>
      </c>
      <c r="J20" s="31" t="n">
        <v>2816.119</v>
      </c>
      <c r="K20" s="31" t="n">
        <v>2861.973</v>
      </c>
      <c r="L20" s="31" t="n">
        <v>2442.731</v>
      </c>
      <c r="M20" s="31" t="n">
        <v>2469.726</v>
      </c>
      <c r="N20" s="31" t="n">
        <v>2587.955</v>
      </c>
      <c r="O20" s="31" t="n">
        <v>2782.838</v>
      </c>
      <c r="P20" s="31" t="n">
        <v>2723.094</v>
      </c>
      <c r="Q20" s="31" t="n">
        <v>2645.806</v>
      </c>
      <c r="R20" s="31" t="n">
        <v>2968.405</v>
      </c>
      <c r="S20" s="31" t="n">
        <v>2796.987</v>
      </c>
      <c r="T20" s="31" t="n">
        <v>3061.095</v>
      </c>
      <c r="U20" s="31" t="n">
        <v>3161.042</v>
      </c>
      <c r="V20" s="31" t="n">
        <v>3368.925</v>
      </c>
      <c r="X20" s="28" t="s">
        <v>780</v>
      </c>
      <c r="Y20" s="32" t="n">
        <v>3596.094</v>
      </c>
      <c r="Z20" s="32" t="n">
        <v>3672.073</v>
      </c>
      <c r="AA20" s="33" t="str">
        <f aca="false">IFERROR(INDEX($G$15:$V$15,MATCH(9.99E+307,$G20:$V20)),"N/A")</f>
        <v>2025</v>
      </c>
      <c r="AB20" s="34" t="n">
        <f aca="false">IFERROR(INDEX($G20:$V20,MATCH(9.99E+307,$G20:$V20)),"N/A")</f>
        <v>3368.925</v>
      </c>
    </row>
    <row r="21" customFormat="false" ht="15" hidden="false" customHeight="false" outlineLevel="0" collapsed="false">
      <c r="A21" s="2" t="s">
        <v>814</v>
      </c>
      <c r="B21" s="2" t="s">
        <v>789</v>
      </c>
      <c r="C21" s="2" t="s">
        <v>455</v>
      </c>
      <c r="D21" s="2" t="s">
        <v>464</v>
      </c>
      <c r="E21" s="2" t="s">
        <v>467</v>
      </c>
      <c r="F21" s="2" t="s">
        <v>820</v>
      </c>
      <c r="G21" s="31" t="n">
        <v>3469.925</v>
      </c>
      <c r="H21" s="31" t="n">
        <v>3822.903</v>
      </c>
      <c r="I21" s="31" t="n">
        <v>3598.761</v>
      </c>
      <c r="J21" s="31" t="n">
        <v>3807.079</v>
      </c>
      <c r="K21" s="31" t="n">
        <v>3965.893</v>
      </c>
      <c r="L21" s="31" t="n">
        <v>3425.446</v>
      </c>
      <c r="M21" s="31" t="n">
        <v>3535.812</v>
      </c>
      <c r="N21" s="31" t="n">
        <v>3764.023</v>
      </c>
      <c r="O21" s="31" t="n">
        <v>4057.272</v>
      </c>
      <c r="P21" s="31" t="n">
        <v>3960.332</v>
      </c>
      <c r="Q21" s="31" t="n">
        <v>3938.244</v>
      </c>
      <c r="R21" s="31" t="n">
        <v>4358.147</v>
      </c>
      <c r="S21" s="31" t="n">
        <v>4204.327</v>
      </c>
      <c r="T21" s="31" t="n">
        <v>4563.523</v>
      </c>
      <c r="U21" s="31" t="n">
        <v>4684.182</v>
      </c>
      <c r="V21" s="31" t="n">
        <v>5048.059</v>
      </c>
      <c r="X21" s="28" t="s">
        <v>780</v>
      </c>
      <c r="Y21" s="32" t="n">
        <v>5452.858</v>
      </c>
      <c r="Z21" s="32" t="n">
        <v>5642.156</v>
      </c>
      <c r="AA21" s="33" t="str">
        <f aca="false">IFERROR(INDEX($G$15:$V$15,MATCH(9.99E+307,$G21:$V21)),"N/A")</f>
        <v>2025</v>
      </c>
      <c r="AB21" s="34" t="n">
        <f aca="false">IFERROR(INDEX($G21:$V21,MATCH(9.99E+307,$G21:$V21)),"N/A")</f>
        <v>5048.059</v>
      </c>
    </row>
    <row r="22" customFormat="false" ht="15" hidden="false" customHeight="false" outlineLevel="0" collapsed="false">
      <c r="A22" s="2" t="s">
        <v>814</v>
      </c>
      <c r="B22" s="2" t="s">
        <v>791</v>
      </c>
      <c r="C22" s="2" t="s">
        <v>455</v>
      </c>
      <c r="D22" s="2" t="s">
        <v>464</v>
      </c>
      <c r="E22" s="2" t="s">
        <v>467</v>
      </c>
      <c r="F22" s="2" t="s">
        <v>821</v>
      </c>
      <c r="G22" s="31" t="n">
        <v>6138.878</v>
      </c>
      <c r="H22" s="31" t="n">
        <v>7628.383</v>
      </c>
      <c r="I22" s="31" t="n">
        <v>8682.534</v>
      </c>
      <c r="J22" s="31" t="n">
        <v>9787.51</v>
      </c>
      <c r="K22" s="31" t="n">
        <v>10702.458</v>
      </c>
      <c r="L22" s="31" t="n">
        <v>11305.64</v>
      </c>
      <c r="M22" s="31" t="n">
        <v>11452</v>
      </c>
      <c r="N22" s="31" t="n">
        <v>12516.152</v>
      </c>
      <c r="O22" s="31" t="n">
        <v>14107.927</v>
      </c>
      <c r="P22" s="31" t="n">
        <v>14593.45</v>
      </c>
      <c r="Q22" s="31" t="n">
        <v>15110.191</v>
      </c>
      <c r="R22" s="31" t="n">
        <v>18183.505</v>
      </c>
      <c r="S22" s="31" t="n">
        <v>18337.777</v>
      </c>
      <c r="T22" s="31" t="n">
        <v>18366.936</v>
      </c>
      <c r="U22" s="31" t="n">
        <v>18945.112</v>
      </c>
      <c r="V22" s="31" t="n">
        <v>19626.247</v>
      </c>
      <c r="X22" s="28" t="s">
        <v>780</v>
      </c>
      <c r="Y22" s="32" t="n">
        <v>20851.593</v>
      </c>
      <c r="Z22" s="32" t="n">
        <v>21928.979</v>
      </c>
      <c r="AA22" s="33" t="str">
        <f aca="false">IFERROR(INDEX($G$15:$V$15,MATCH(9.99E+307,$G22:$V22)),"N/A")</f>
        <v>2025</v>
      </c>
      <c r="AB22" s="34" t="n">
        <f aca="false">IFERROR(INDEX($G22:$V22,MATCH(9.99E+307,$G22:$V22)),"N/A")</f>
        <v>19626.247</v>
      </c>
    </row>
    <row r="24" customFormat="false" ht="15" hidden="false" customHeight="false" outlineLevel="0" collapsed="false">
      <c r="A24" s="25" t="s">
        <v>822</v>
      </c>
    </row>
    <row r="25" customFormat="false" ht="46.25" hidden="false" customHeight="false" outlineLevel="0" collapsed="false">
      <c r="A25" s="12" t="s">
        <v>755</v>
      </c>
      <c r="B25" s="12" t="s">
        <v>756</v>
      </c>
      <c r="C25" s="12" t="s">
        <v>5</v>
      </c>
      <c r="D25" s="12" t="s">
        <v>6</v>
      </c>
      <c r="E25" s="12" t="s">
        <v>9</v>
      </c>
      <c r="F25" s="12" t="s">
        <v>8</v>
      </c>
      <c r="G25" s="12" t="s">
        <v>461</v>
      </c>
      <c r="H25" s="12" t="s">
        <v>757</v>
      </c>
      <c r="I25" s="12" t="s">
        <v>758</v>
      </c>
      <c r="J25" s="12" t="s">
        <v>759</v>
      </c>
      <c r="K25" s="12" t="s">
        <v>760</v>
      </c>
      <c r="L25" s="12" t="s">
        <v>761</v>
      </c>
      <c r="M25" s="12" t="s">
        <v>762</v>
      </c>
      <c r="N25" s="12" t="s">
        <v>763</v>
      </c>
      <c r="O25" s="12" t="s">
        <v>764</v>
      </c>
      <c r="P25" s="12" t="s">
        <v>765</v>
      </c>
      <c r="Q25" s="12" t="s">
        <v>766</v>
      </c>
      <c r="R25" s="12" t="s">
        <v>767</v>
      </c>
      <c r="S25" s="12" t="s">
        <v>768</v>
      </c>
      <c r="T25" s="12" t="s">
        <v>769</v>
      </c>
      <c r="U25" s="12" t="s">
        <v>770</v>
      </c>
      <c r="V25" s="12" t="s">
        <v>526</v>
      </c>
      <c r="W25" s="12" t="s">
        <v>775</v>
      </c>
      <c r="X25" s="12" t="s">
        <v>776</v>
      </c>
    </row>
    <row r="26" customFormat="false" ht="15" hidden="false" customHeight="false" outlineLevel="0" collapsed="false">
      <c r="A26" s="2" t="s">
        <v>823</v>
      </c>
      <c r="B26" s="2" t="s">
        <v>778</v>
      </c>
      <c r="C26" s="2" t="s">
        <v>469</v>
      </c>
      <c r="D26" s="2" t="s">
        <v>470</v>
      </c>
      <c r="E26" s="2" t="s">
        <v>473</v>
      </c>
      <c r="F26" s="2" t="s">
        <v>824</v>
      </c>
      <c r="G26" s="23" t="n">
        <v>2.69519258673525</v>
      </c>
      <c r="H26" s="23" t="n">
        <v>1.56440685205419</v>
      </c>
      <c r="I26" s="23" t="n">
        <v>2.28911339009767</v>
      </c>
      <c r="J26" s="23" t="n">
        <v>2.11783009443471</v>
      </c>
      <c r="K26" s="23" t="n">
        <v>2.52381981757846</v>
      </c>
      <c r="L26" s="23" t="n">
        <v>2.94555045227337</v>
      </c>
      <c r="M26" s="23" t="n">
        <v>1.81945147909089</v>
      </c>
      <c r="N26" s="23" t="n">
        <v>2.45762230126449</v>
      </c>
      <c r="O26" s="23" t="n">
        <v>2.96650506701943</v>
      </c>
      <c r="P26" s="23" t="n">
        <v>2.58382533052225</v>
      </c>
      <c r="Q26" s="23" t="n">
        <v>-2.081375977796</v>
      </c>
      <c r="R26" s="23" t="n">
        <v>6.15202247867526</v>
      </c>
      <c r="S26" s="23" t="n">
        <v>2.52421385073222</v>
      </c>
      <c r="T26" s="23" t="n">
        <v>2.93436322440155</v>
      </c>
      <c r="U26" s="23" t="n">
        <v>2.79318715363841</v>
      </c>
      <c r="V26" s="23" t="n">
        <v>2.16138195623856</v>
      </c>
      <c r="W26" s="11" t="str">
        <f aca="false">IFERROR(INDEX($G$25:$V$25,MATCH(9.99E+307,$G26:$V26)),"N/A")</f>
        <v>2025</v>
      </c>
      <c r="X26" s="20" t="n">
        <f aca="false">IFERROR(INDEX($G26:$V26,MATCH(9.99E+307,$G26:$V26)),"N/A")</f>
        <v>2.16138195623856</v>
      </c>
    </row>
    <row r="27" customFormat="false" ht="15" hidden="false" customHeight="false" outlineLevel="0" collapsed="false">
      <c r="A27" s="2" t="s">
        <v>823</v>
      </c>
      <c r="B27" s="2" t="s">
        <v>781</v>
      </c>
      <c r="C27" s="2" t="s">
        <v>469</v>
      </c>
      <c r="D27" s="2" t="s">
        <v>470</v>
      </c>
      <c r="E27" s="2" t="s">
        <v>473</v>
      </c>
      <c r="F27" s="2" t="s">
        <v>825</v>
      </c>
      <c r="G27" s="23" t="n">
        <v>6.98166138853071</v>
      </c>
      <c r="H27" s="23" t="n">
        <v>3.6880320602952</v>
      </c>
      <c r="I27" s="23" t="n">
        <v>2.54766550568242</v>
      </c>
      <c r="J27" s="23" t="n">
        <v>3.2913959543442</v>
      </c>
      <c r="K27" s="23" t="n">
        <v>3.21468019683108</v>
      </c>
      <c r="L27" s="23" t="n">
        <v>2.92029267301234</v>
      </c>
      <c r="M27" s="23" t="n">
        <v>3.17152748983935</v>
      </c>
      <c r="N27" s="23" t="n">
        <v>3.433191763972</v>
      </c>
      <c r="O27" s="23" t="n">
        <v>3.17611568177327</v>
      </c>
      <c r="P27" s="23" t="n">
        <v>2.31380210595475</v>
      </c>
      <c r="Q27" s="23" t="n">
        <v>-0.700242317542106</v>
      </c>
      <c r="R27" s="23" t="n">
        <v>4.61296795454287</v>
      </c>
      <c r="S27" s="23" t="n">
        <v>2.72756456708991</v>
      </c>
      <c r="T27" s="23" t="n">
        <v>1.58301467403629</v>
      </c>
      <c r="U27" s="23" t="n">
        <v>2.00361101838986</v>
      </c>
      <c r="V27" s="23" t="n">
        <v>1.00701840291242</v>
      </c>
      <c r="W27" s="11" t="str">
        <f aca="false">IFERROR(INDEX($G$25:$V$25,MATCH(9.99E+307,$G27:$V27)),"N/A")</f>
        <v>2025</v>
      </c>
      <c r="X27" s="20" t="n">
        <f aca="false">IFERROR(INDEX($G27:$V27,MATCH(9.99E+307,$G27:$V27)),"N/A")</f>
        <v>1.00701840291242</v>
      </c>
    </row>
    <row r="28" customFormat="false" ht="15" hidden="false" customHeight="false" outlineLevel="0" collapsed="false">
      <c r="A28" s="2" t="s">
        <v>823</v>
      </c>
      <c r="B28" s="2" t="s">
        <v>783</v>
      </c>
      <c r="C28" s="2" t="s">
        <v>469</v>
      </c>
      <c r="D28" s="2" t="s">
        <v>470</v>
      </c>
      <c r="E28" s="2" t="s">
        <v>473</v>
      </c>
      <c r="F28" s="2" t="s">
        <v>826</v>
      </c>
      <c r="G28" s="23" t="n">
        <v>1.00493269017117</v>
      </c>
      <c r="H28" s="23" t="n">
        <v>1.38505117083945</v>
      </c>
      <c r="I28" s="23" t="n">
        <v>2.82395673492459</v>
      </c>
      <c r="J28" s="23" t="n">
        <v>1.27290177696287</v>
      </c>
      <c r="K28" s="23" t="n">
        <v>2.09521388080101</v>
      </c>
      <c r="L28" s="23" t="n">
        <v>2.04428845501438</v>
      </c>
      <c r="M28" s="23" t="n">
        <v>1.29158732771135</v>
      </c>
      <c r="N28" s="23" t="n">
        <v>2.66964474273466</v>
      </c>
      <c r="O28" s="23" t="n">
        <v>1.1103912365576</v>
      </c>
      <c r="P28" s="23" t="n">
        <v>1.46970781954143</v>
      </c>
      <c r="Q28" s="23" t="n">
        <v>-1.36055723261586</v>
      </c>
      <c r="R28" s="23" t="n">
        <v>4.14314688769197</v>
      </c>
      <c r="S28" s="23" t="n">
        <v>4.08039770659241</v>
      </c>
      <c r="T28" s="23" t="n">
        <v>0.352695581319765</v>
      </c>
      <c r="U28" s="23" t="n">
        <v>1.42372134524737</v>
      </c>
      <c r="V28" s="23" t="n">
        <v>1.08528185031417</v>
      </c>
      <c r="W28" s="11" t="str">
        <f aca="false">IFERROR(INDEX($G$25:$V$25,MATCH(9.99E+307,$G28:$V28)),"N/A")</f>
        <v>2025</v>
      </c>
      <c r="X28" s="20" t="n">
        <f aca="false">IFERROR(INDEX($G28:$V28,MATCH(9.99E+307,$G28:$V28)),"N/A")</f>
        <v>1.08528185031417</v>
      </c>
    </row>
    <row r="29" customFormat="false" ht="15" hidden="false" customHeight="false" outlineLevel="0" collapsed="false">
      <c r="A29" s="2" t="s">
        <v>823</v>
      </c>
      <c r="B29" s="2" t="s">
        <v>785</v>
      </c>
      <c r="C29" s="2" t="s">
        <v>469</v>
      </c>
      <c r="D29" s="2" t="s">
        <v>470</v>
      </c>
      <c r="E29" s="2" t="s">
        <v>473</v>
      </c>
      <c r="F29" s="2" t="s">
        <v>827</v>
      </c>
      <c r="G29" s="23" t="n">
        <v>2.26054460931586</v>
      </c>
      <c r="H29" s="23" t="n">
        <v>0.851437739020326</v>
      </c>
      <c r="I29" s="23" t="n">
        <v>1.52826034721852</v>
      </c>
      <c r="J29" s="23" t="n">
        <v>1.71846961308464</v>
      </c>
      <c r="K29" s="23" t="n">
        <v>3.16017351468152</v>
      </c>
      <c r="L29" s="23" t="n">
        <v>2.14040560033371</v>
      </c>
      <c r="M29" s="23" t="n">
        <v>2.20652020635357</v>
      </c>
      <c r="N29" s="23" t="n">
        <v>3.02322219840339</v>
      </c>
      <c r="O29" s="23" t="n">
        <v>1.55133095078786</v>
      </c>
      <c r="P29" s="23" t="n">
        <v>1.25629899760824</v>
      </c>
      <c r="Q29" s="23" t="n">
        <v>-10.047896637362</v>
      </c>
      <c r="R29" s="23" t="n">
        <v>8.5431118453255</v>
      </c>
      <c r="S29" s="23" t="n">
        <v>5.14970388522993</v>
      </c>
      <c r="T29" s="23" t="n">
        <v>0.271650048355255</v>
      </c>
      <c r="U29" s="23" t="n">
        <v>1.08027716858781</v>
      </c>
      <c r="V29" s="23" t="n">
        <v>1.38844207858726</v>
      </c>
      <c r="W29" s="11" t="str">
        <f aca="false">IFERROR(INDEX($G$25:$V$25,MATCH(9.99E+307,$G29:$V29)),"N/A")</f>
        <v>2025</v>
      </c>
      <c r="X29" s="20" t="n">
        <f aca="false">IFERROR(INDEX($G29:$V29,MATCH(9.99E+307,$G29:$V29)),"N/A")</f>
        <v>1.38844207858726</v>
      </c>
    </row>
    <row r="30" customFormat="false" ht="15" hidden="false" customHeight="false" outlineLevel="0" collapsed="false">
      <c r="A30" s="2" t="s">
        <v>823</v>
      </c>
      <c r="B30" s="2" t="s">
        <v>787</v>
      </c>
      <c r="C30" s="2" t="s">
        <v>469</v>
      </c>
      <c r="D30" s="2" t="s">
        <v>470</v>
      </c>
      <c r="E30" s="2" t="s">
        <v>473</v>
      </c>
      <c r="F30" s="2" t="s">
        <v>828</v>
      </c>
      <c r="G30" s="23" t="n">
        <v>2.00032476039051</v>
      </c>
      <c r="H30" s="23" t="n">
        <v>2.43757653729007</v>
      </c>
      <c r="I30" s="23" t="n">
        <v>0.183835264973013</v>
      </c>
      <c r="J30" s="23" t="n">
        <v>0.781756446231</v>
      </c>
      <c r="K30" s="23" t="n">
        <v>0.997832947295251</v>
      </c>
      <c r="L30" s="23" t="n">
        <v>1.06675474783462</v>
      </c>
      <c r="M30" s="23" t="n">
        <v>0.860031075424033</v>
      </c>
      <c r="N30" s="23" t="n">
        <v>2.08361485997399</v>
      </c>
      <c r="O30" s="23" t="n">
        <v>1.64590872395887</v>
      </c>
      <c r="P30" s="23" t="n">
        <v>2.02744646419237</v>
      </c>
      <c r="Q30" s="23" t="n">
        <v>-7.44064589948231</v>
      </c>
      <c r="R30" s="23" t="n">
        <v>6.88233783360239</v>
      </c>
      <c r="S30" s="23" t="n">
        <v>2.71676264185913</v>
      </c>
      <c r="T30" s="23" t="n">
        <v>1.43921494437743</v>
      </c>
      <c r="U30" s="23" t="n">
        <v>1.19046798275883</v>
      </c>
      <c r="V30" s="23" t="n">
        <v>0.840949955479587</v>
      </c>
      <c r="W30" s="11" t="str">
        <f aca="false">IFERROR(INDEX($G$25:$V$25,MATCH(9.99E+307,$G30:$V30)),"N/A")</f>
        <v>2025</v>
      </c>
      <c r="X30" s="20" t="n">
        <f aca="false">IFERROR(INDEX($G30:$V30,MATCH(9.99E+307,$G30:$V30)),"N/A")</f>
        <v>0.840949955479587</v>
      </c>
    </row>
    <row r="31" customFormat="false" ht="15" hidden="false" customHeight="false" outlineLevel="0" collapsed="false">
      <c r="A31" s="2" t="s">
        <v>823</v>
      </c>
      <c r="B31" s="2" t="s">
        <v>789</v>
      </c>
      <c r="C31" s="2" t="s">
        <v>469</v>
      </c>
      <c r="D31" s="2" t="s">
        <v>470</v>
      </c>
      <c r="E31" s="2" t="s">
        <v>473</v>
      </c>
      <c r="F31" s="2" t="s">
        <v>829</v>
      </c>
      <c r="G31" s="23" t="n">
        <v>4.13463778522758</v>
      </c>
      <c r="H31" s="23" t="n">
        <v>3.75796884489337</v>
      </c>
      <c r="I31" s="23" t="n">
        <v>0.463512036709204</v>
      </c>
      <c r="J31" s="23" t="n">
        <v>0.396995583779145</v>
      </c>
      <c r="K31" s="23" t="n">
        <v>2.18018602168017</v>
      </c>
      <c r="L31" s="23" t="n">
        <v>1.66300602334775</v>
      </c>
      <c r="M31" s="23" t="n">
        <v>2.22222216259371</v>
      </c>
      <c r="N31" s="23" t="n">
        <v>2.797906720551</v>
      </c>
      <c r="O31" s="23" t="n">
        <v>1.13569604599849</v>
      </c>
      <c r="P31" s="23" t="n">
        <v>0.977734697038784</v>
      </c>
      <c r="Q31" s="23" t="n">
        <v>-4.13191443239947</v>
      </c>
      <c r="R31" s="23" t="n">
        <v>3.90999994204108</v>
      </c>
      <c r="S31" s="23" t="n">
        <v>1.8092581243061</v>
      </c>
      <c r="T31" s="23" t="n">
        <v>-0.869647578573321</v>
      </c>
      <c r="U31" s="23" t="n">
        <v>-0.495851897260366</v>
      </c>
      <c r="V31" s="23" t="n">
        <v>0.239578342117881</v>
      </c>
      <c r="W31" s="11" t="str">
        <f aca="false">IFERROR(INDEX($G$25:$V$25,MATCH(9.99E+307,$G31:$V31)),"N/A")</f>
        <v>2025</v>
      </c>
      <c r="X31" s="20" t="n">
        <f aca="false">IFERROR(INDEX($G31:$V31,MATCH(9.99E+307,$G31:$V31)),"N/A")</f>
        <v>0.239578342117881</v>
      </c>
    </row>
    <row r="32" customFormat="false" ht="15" hidden="false" customHeight="false" outlineLevel="0" collapsed="false">
      <c r="A32" s="2" t="s">
        <v>823</v>
      </c>
      <c r="B32" s="2" t="s">
        <v>791</v>
      </c>
      <c r="C32" s="2" t="s">
        <v>469</v>
      </c>
      <c r="D32" s="2" t="s">
        <v>470</v>
      </c>
      <c r="E32" s="2" t="s">
        <v>473</v>
      </c>
      <c r="F32" s="2" t="s">
        <v>830</v>
      </c>
      <c r="G32" s="23" t="n">
        <v>10.5916903885704</v>
      </c>
      <c r="H32" s="23" t="n">
        <v>9.46205248298186</v>
      </c>
      <c r="I32" s="23" t="n">
        <v>7.8578201481217</v>
      </c>
      <c r="J32" s="23" t="n">
        <v>7.77842954757257</v>
      </c>
      <c r="K32" s="23" t="n">
        <v>7.46100735778161</v>
      </c>
      <c r="L32" s="23" t="n">
        <v>6.98162255562367</v>
      </c>
      <c r="M32" s="23" t="n">
        <v>6.7736886867727</v>
      </c>
      <c r="N32" s="23" t="n">
        <v>6.89123916636191</v>
      </c>
      <c r="O32" s="23" t="n">
        <v>6.757806142324</v>
      </c>
      <c r="P32" s="23" t="n">
        <v>6.06737806333672</v>
      </c>
      <c r="Q32" s="23" t="n">
        <v>2.33950385203023</v>
      </c>
      <c r="R32" s="23" t="n">
        <v>8.57038414981781</v>
      </c>
      <c r="S32" s="23" t="n">
        <v>3.13385438394069</v>
      </c>
      <c r="T32" s="23" t="n">
        <v>5.41600334492955</v>
      </c>
      <c r="U32" s="23" t="n">
        <v>4.95830378788091</v>
      </c>
      <c r="V32" s="23" t="n">
        <v>4.95994886240992</v>
      </c>
      <c r="W32" s="11" t="str">
        <f aca="false">IFERROR(INDEX($G$25:$V$25,MATCH(9.99E+307,$G32:$V32)),"N/A")</f>
        <v>2025</v>
      </c>
      <c r="X32" s="20" t="n">
        <f aca="false">IFERROR(INDEX($G32:$V32,MATCH(9.99E+307,$G32:$V32)),"N/A")</f>
        <v>4.95994886240992</v>
      </c>
    </row>
    <row r="34" customFormat="false" ht="15" hidden="false" customHeight="false" outlineLevel="0" collapsed="false">
      <c r="A34" s="25" t="s">
        <v>831</v>
      </c>
    </row>
    <row r="35" customFormat="false" ht="46.25" hidden="false" customHeight="false" outlineLevel="0" collapsed="false">
      <c r="A35" s="12" t="s">
        <v>755</v>
      </c>
      <c r="B35" s="12" t="s">
        <v>756</v>
      </c>
      <c r="C35" s="12" t="s">
        <v>5</v>
      </c>
      <c r="D35" s="12" t="s">
        <v>6</v>
      </c>
      <c r="E35" s="12" t="s">
        <v>9</v>
      </c>
      <c r="F35" s="12" t="s">
        <v>8</v>
      </c>
      <c r="G35" s="12" t="s">
        <v>461</v>
      </c>
      <c r="H35" s="12" t="s">
        <v>757</v>
      </c>
      <c r="I35" s="12" t="s">
        <v>758</v>
      </c>
      <c r="J35" s="12" t="s">
        <v>759</v>
      </c>
      <c r="K35" s="12" t="s">
        <v>760</v>
      </c>
      <c r="L35" s="12" t="s">
        <v>761</v>
      </c>
      <c r="M35" s="12" t="s">
        <v>762</v>
      </c>
      <c r="N35" s="12" t="s">
        <v>763</v>
      </c>
      <c r="O35" s="12" t="s">
        <v>764</v>
      </c>
      <c r="P35" s="12" t="s">
        <v>765</v>
      </c>
      <c r="Q35" s="12" t="s">
        <v>766</v>
      </c>
      <c r="R35" s="12" t="s">
        <v>767</v>
      </c>
      <c r="S35" s="12" t="s">
        <v>768</v>
      </c>
      <c r="T35" s="12" t="s">
        <v>769</v>
      </c>
      <c r="U35" s="12" t="s">
        <v>770</v>
      </c>
      <c r="V35" s="12" t="s">
        <v>526</v>
      </c>
      <c r="W35" s="12" t="s">
        <v>775</v>
      </c>
      <c r="X35" s="12" t="s">
        <v>776</v>
      </c>
    </row>
    <row r="36" customFormat="false" ht="15" hidden="false" customHeight="false" outlineLevel="0" collapsed="false">
      <c r="A36" s="2" t="s">
        <v>832</v>
      </c>
      <c r="B36" s="2" t="s">
        <v>778</v>
      </c>
      <c r="C36" s="2" t="s">
        <v>469</v>
      </c>
      <c r="D36" s="2" t="s">
        <v>475</v>
      </c>
      <c r="E36" s="2" t="s">
        <v>478</v>
      </c>
      <c r="F36" s="2" t="s">
        <v>833</v>
      </c>
      <c r="G36" s="35" t="n">
        <v>15048971000000</v>
      </c>
      <c r="H36" s="35" t="n">
        <v>15599732000000</v>
      </c>
      <c r="I36" s="35" t="n">
        <v>16253970000000</v>
      </c>
      <c r="J36" s="35" t="n">
        <v>16880683000000</v>
      </c>
      <c r="K36" s="35" t="n">
        <v>17608138000000</v>
      </c>
      <c r="L36" s="35" t="n">
        <v>18295019000000</v>
      </c>
      <c r="M36" s="35" t="n">
        <v>18804913000000</v>
      </c>
      <c r="N36" s="35" t="n">
        <v>19612102000000</v>
      </c>
      <c r="O36" s="35" t="n">
        <v>20656516000000</v>
      </c>
      <c r="P36" s="35" t="n">
        <v>21539982000000</v>
      </c>
      <c r="Q36" s="35" t="n">
        <v>21375281000000</v>
      </c>
      <c r="R36" s="35" t="n">
        <v>23725645000000</v>
      </c>
      <c r="S36" s="35" t="n">
        <v>26054614000000</v>
      </c>
      <c r="T36" s="35" t="n">
        <v>27811517000000</v>
      </c>
      <c r="U36" s="35" t="n">
        <v>29298013000000</v>
      </c>
      <c r="V36" s="35" t="n">
        <v>30769700000000</v>
      </c>
      <c r="W36" s="11" t="str">
        <f aca="false">IFERROR(INDEX($G$35:$V$35,MATCH(9.99E+307,$G36:$V36)),"N/A")</f>
        <v>2025</v>
      </c>
      <c r="X36" s="36" t="n">
        <f aca="false">IFERROR(INDEX($G36:$V36,MATCH(9.99E+307,$G36:$V36)),"N/A")</f>
        <v>30769700000000</v>
      </c>
    </row>
    <row r="37" customFormat="false" ht="15" hidden="false" customHeight="false" outlineLevel="0" collapsed="false">
      <c r="A37" s="2" t="s">
        <v>832</v>
      </c>
      <c r="B37" s="2" t="s">
        <v>781</v>
      </c>
      <c r="C37" s="2" t="s">
        <v>469</v>
      </c>
      <c r="D37" s="2" t="s">
        <v>475</v>
      </c>
      <c r="E37" s="2" t="s">
        <v>478</v>
      </c>
      <c r="F37" s="2" t="s">
        <v>834</v>
      </c>
      <c r="G37" s="35" t="n">
        <v>1192830015737.68</v>
      </c>
      <c r="H37" s="35" t="n">
        <v>1307103477219.1</v>
      </c>
      <c r="I37" s="35" t="n">
        <v>1335343586437.67</v>
      </c>
      <c r="J37" s="35" t="n">
        <v>1434669686501.84</v>
      </c>
      <c r="K37" s="35" t="n">
        <v>1556252422020.44</v>
      </c>
      <c r="L37" s="35" t="n">
        <v>1539212301135.55</v>
      </c>
      <c r="M37" s="35" t="n">
        <v>1579150518945.44</v>
      </c>
      <c r="N37" s="35" t="n">
        <v>1710196756713.17</v>
      </c>
      <c r="O37" s="35" t="n">
        <v>1824251454306.83</v>
      </c>
      <c r="P37" s="35" t="n">
        <v>1751045752054.63</v>
      </c>
      <c r="Q37" s="35" t="n">
        <v>1744070276373.34</v>
      </c>
      <c r="R37" s="35" t="n">
        <v>1942313560965.9</v>
      </c>
      <c r="S37" s="35" t="n">
        <v>1799363116866.52</v>
      </c>
      <c r="T37" s="35" t="n">
        <v>1844800934391.54</v>
      </c>
      <c r="U37" s="35" t="n">
        <v>1875388209406.8</v>
      </c>
      <c r="V37" s="35" t="n">
        <v>1872374961553.15</v>
      </c>
      <c r="W37" s="11" t="str">
        <f aca="false">IFERROR(INDEX($G$35:$V$35,MATCH(9.99E+307,$G37:$V37)),"N/A")</f>
        <v>2025</v>
      </c>
      <c r="X37" s="36" t="n">
        <f aca="false">IFERROR(INDEX($G37:$V37,MATCH(9.99E+307,$G37:$V37)),"N/A")</f>
        <v>1872374961553.15</v>
      </c>
    </row>
    <row r="38" customFormat="false" ht="15" hidden="false" customHeight="false" outlineLevel="0" collapsed="false">
      <c r="A38" s="2" t="s">
        <v>832</v>
      </c>
      <c r="B38" s="2" t="s">
        <v>783</v>
      </c>
      <c r="C38" s="2" t="s">
        <v>469</v>
      </c>
      <c r="D38" s="2" t="s">
        <v>475</v>
      </c>
      <c r="E38" s="2" t="s">
        <v>478</v>
      </c>
      <c r="F38" s="2" t="s">
        <v>835</v>
      </c>
      <c r="G38" s="35" t="n">
        <v>440132138425.479</v>
      </c>
      <c r="H38" s="35" t="n">
        <v>512868581627.712</v>
      </c>
      <c r="I38" s="35" t="n">
        <v>525082939406.962</v>
      </c>
      <c r="J38" s="35" t="n">
        <v>540132255319.149</v>
      </c>
      <c r="K38" s="35" t="n">
        <v>515829568897.117</v>
      </c>
      <c r="L38" s="35" t="n">
        <v>400669174330.888</v>
      </c>
      <c r="M38" s="35" t="n">
        <v>383284047619.048</v>
      </c>
      <c r="N38" s="35" t="n">
        <v>415673181543.421</v>
      </c>
      <c r="O38" s="35" t="n">
        <v>454588871810.636</v>
      </c>
      <c r="P38" s="35" t="n">
        <v>424244886363.636</v>
      </c>
      <c r="Q38" s="35" t="n">
        <v>382252517921.94</v>
      </c>
      <c r="R38" s="35" t="n">
        <v>521592200232.829</v>
      </c>
      <c r="S38" s="35" t="n">
        <v>617321834098.986</v>
      </c>
      <c r="T38" s="35" t="n">
        <v>502197633322.816</v>
      </c>
      <c r="U38" s="35" t="n">
        <v>500886328034.123</v>
      </c>
      <c r="V38" s="35" t="n">
        <v>530755719438.879</v>
      </c>
      <c r="W38" s="11" t="str">
        <f aca="false">IFERROR(INDEX($G$35:$V$35,MATCH(9.99E+307,$G38:$V38)),"N/A")</f>
        <v>2025</v>
      </c>
      <c r="X38" s="36" t="n">
        <f aca="false">IFERROR(INDEX($G38:$V38,MATCH(9.99E+307,$G38:$V38)),"N/A")</f>
        <v>530755719438.879</v>
      </c>
    </row>
    <row r="39" customFormat="false" ht="15" hidden="false" customHeight="false" outlineLevel="0" collapsed="false">
      <c r="A39" s="2" t="s">
        <v>832</v>
      </c>
      <c r="B39" s="2" t="s">
        <v>785</v>
      </c>
      <c r="C39" s="2" t="s">
        <v>469</v>
      </c>
      <c r="D39" s="2" t="s">
        <v>475</v>
      </c>
      <c r="E39" s="2" t="s">
        <v>478</v>
      </c>
      <c r="F39" s="2" t="s">
        <v>836</v>
      </c>
      <c r="G39" s="35" t="n">
        <v>2496740681057.14</v>
      </c>
      <c r="H39" s="35" t="n">
        <v>2675590034128.66</v>
      </c>
      <c r="I39" s="35" t="n">
        <v>2719715961539.83</v>
      </c>
      <c r="J39" s="35" t="n">
        <v>2796908333283.39</v>
      </c>
      <c r="K39" s="35" t="n">
        <v>3085362169410.29</v>
      </c>
      <c r="L39" s="35" t="n">
        <v>2945579890258.46</v>
      </c>
      <c r="M39" s="35" t="n">
        <v>2706807606538.73</v>
      </c>
      <c r="N39" s="35" t="n">
        <v>2699118387873.1</v>
      </c>
      <c r="O39" s="35" t="n">
        <v>2897028009916.05</v>
      </c>
      <c r="P39" s="35" t="n">
        <v>2875710080015.3</v>
      </c>
      <c r="Q39" s="35" t="n">
        <v>2724001478304.59</v>
      </c>
      <c r="R39" s="35" t="n">
        <v>3194559188925.93</v>
      </c>
      <c r="S39" s="35" t="n">
        <v>3181244350465.41</v>
      </c>
      <c r="T39" s="35" t="n">
        <v>3420796653789.08</v>
      </c>
      <c r="U39" s="35" t="n">
        <v>3695539513534.15</v>
      </c>
      <c r="V39" s="35" t="n">
        <v>4002587541846.01</v>
      </c>
      <c r="W39" s="11" t="str">
        <f aca="false">IFERROR(INDEX($G$35:$V$35,MATCH(9.99E+307,$G39:$V39)),"N/A")</f>
        <v>2025</v>
      </c>
      <c r="X39" s="36" t="n">
        <f aca="false">IFERROR(INDEX($G39:$V39,MATCH(9.99E+307,$G39:$V39)),"N/A")</f>
        <v>4002587541846.01</v>
      </c>
    </row>
    <row r="40" customFormat="false" ht="15" hidden="false" customHeight="false" outlineLevel="0" collapsed="false">
      <c r="A40" s="2" t="s">
        <v>832</v>
      </c>
      <c r="B40" s="2" t="s">
        <v>787</v>
      </c>
      <c r="C40" s="2" t="s">
        <v>469</v>
      </c>
      <c r="D40" s="2" t="s">
        <v>475</v>
      </c>
      <c r="E40" s="2" t="s">
        <v>478</v>
      </c>
      <c r="F40" s="2" t="s">
        <v>837</v>
      </c>
      <c r="G40" s="35" t="n">
        <v>2646230027988.34</v>
      </c>
      <c r="H40" s="35" t="n">
        <v>2870408553990.28</v>
      </c>
      <c r="I40" s="35" t="n">
        <v>2683007095787.23</v>
      </c>
      <c r="J40" s="35" t="n">
        <v>2816077607875.26</v>
      </c>
      <c r="K40" s="35" t="n">
        <v>2861236112552.42</v>
      </c>
      <c r="L40" s="35" t="n">
        <v>2442483452642.5</v>
      </c>
      <c r="M40" s="35" t="n">
        <v>2470407619777.13</v>
      </c>
      <c r="N40" s="35" t="n">
        <v>2588868323334.71</v>
      </c>
      <c r="O40" s="35" t="n">
        <v>2781576320884.39</v>
      </c>
      <c r="P40" s="35" t="n">
        <v>2722793515171.76</v>
      </c>
      <c r="Q40" s="35" t="n">
        <v>2647926055110.05</v>
      </c>
      <c r="R40" s="35" t="n">
        <v>2966433692008.09</v>
      </c>
      <c r="S40" s="35" t="n">
        <v>2794788137066.94</v>
      </c>
      <c r="T40" s="35" t="n">
        <v>3056250648138.29</v>
      </c>
      <c r="U40" s="35" t="n">
        <v>3160442622465.08</v>
      </c>
      <c r="V40" s="35" t="n">
        <v>3366315927447.33</v>
      </c>
      <c r="W40" s="11" t="str">
        <f aca="false">IFERROR(INDEX($G$35:$V$35,MATCH(9.99E+307,$G40:$V40)),"N/A")</f>
        <v>2025</v>
      </c>
      <c r="X40" s="36" t="n">
        <f aca="false">IFERROR(INDEX($G40:$V40,MATCH(9.99E+307,$G40:$V40)),"N/A")</f>
        <v>3366315927447.33</v>
      </c>
    </row>
    <row r="41" customFormat="false" ht="15" hidden="false" customHeight="false" outlineLevel="0" collapsed="false">
      <c r="A41" s="2" t="s">
        <v>832</v>
      </c>
      <c r="B41" s="2" t="s">
        <v>789</v>
      </c>
      <c r="C41" s="2" t="s">
        <v>469</v>
      </c>
      <c r="D41" s="2" t="s">
        <v>475</v>
      </c>
      <c r="E41" s="2" t="s">
        <v>478</v>
      </c>
      <c r="F41" s="2" t="s">
        <v>838</v>
      </c>
      <c r="G41" s="35" t="n">
        <v>3467093769666.67</v>
      </c>
      <c r="H41" s="35" t="n">
        <v>3823575803793.78</v>
      </c>
      <c r="I41" s="35" t="n">
        <v>3596483233406.25</v>
      </c>
      <c r="J41" s="35" t="n">
        <v>3807023797050.99</v>
      </c>
      <c r="K41" s="35" t="n">
        <v>3964870735760.77</v>
      </c>
      <c r="L41" s="35" t="n">
        <v>3425099578746.09</v>
      </c>
      <c r="M41" s="35" t="n">
        <v>3536787895179</v>
      </c>
      <c r="N41" s="35" t="n">
        <v>3765351626105.89</v>
      </c>
      <c r="O41" s="35" t="n">
        <v>4055433215301.96</v>
      </c>
      <c r="P41" s="35" t="n">
        <v>3959894794039.21</v>
      </c>
      <c r="Q41" s="35" t="n">
        <v>3941398957073.94</v>
      </c>
      <c r="R41" s="35" t="n">
        <v>4355251953410.78</v>
      </c>
      <c r="S41" s="35" t="n">
        <v>4201021706478.62</v>
      </c>
      <c r="T41" s="35" t="n">
        <v>4562207532490.28</v>
      </c>
      <c r="U41" s="35" t="n">
        <v>4685592577804.69</v>
      </c>
      <c r="V41" s="35" t="n">
        <v>5050922925047.05</v>
      </c>
      <c r="W41" s="11" t="str">
        <f aca="false">IFERROR(INDEX($G$35:$V$35,MATCH(9.99E+307,$G41:$V41)),"N/A")</f>
        <v>2025</v>
      </c>
      <c r="X41" s="36" t="n">
        <f aca="false">IFERROR(INDEX($G41:$V41,MATCH(9.99E+307,$G41:$V41)),"N/A")</f>
        <v>5050922925047.05</v>
      </c>
    </row>
    <row r="42" customFormat="false" ht="15" hidden="false" customHeight="false" outlineLevel="0" collapsed="false">
      <c r="A42" s="2" t="s">
        <v>832</v>
      </c>
      <c r="B42" s="2" t="s">
        <v>791</v>
      </c>
      <c r="C42" s="2" t="s">
        <v>469</v>
      </c>
      <c r="D42" s="2" t="s">
        <v>475</v>
      </c>
      <c r="E42" s="2" t="s">
        <v>478</v>
      </c>
      <c r="F42" s="2" t="s">
        <v>839</v>
      </c>
      <c r="G42" s="35" t="n">
        <v>6192564874453.29</v>
      </c>
      <c r="H42" s="35" t="n">
        <v>7671757207851.29</v>
      </c>
      <c r="I42" s="35" t="n">
        <v>8673664713189.24</v>
      </c>
      <c r="J42" s="35" t="n">
        <v>9743124247267.24</v>
      </c>
      <c r="K42" s="35" t="n">
        <v>10674533168257.4</v>
      </c>
      <c r="L42" s="35" t="n">
        <v>11280814787468.9</v>
      </c>
      <c r="M42" s="35" t="n">
        <v>11456024084962</v>
      </c>
      <c r="N42" s="35" t="n">
        <v>12537559062282.9</v>
      </c>
      <c r="O42" s="35" t="n">
        <v>14147765772963.8</v>
      </c>
      <c r="P42" s="35" t="n">
        <v>14560167101283.4</v>
      </c>
      <c r="Q42" s="35" t="n">
        <v>14996414166715.1</v>
      </c>
      <c r="R42" s="35" t="n">
        <v>18201698719564</v>
      </c>
      <c r="S42" s="35" t="n">
        <v>18316765021690.2</v>
      </c>
      <c r="T42" s="35" t="n">
        <v>18270356654533.2</v>
      </c>
      <c r="U42" s="35" t="n">
        <v>18729668435848</v>
      </c>
      <c r="V42" s="35" t="n">
        <v>19498039388042.6</v>
      </c>
      <c r="W42" s="11" t="str">
        <f aca="false">IFERROR(INDEX($G$35:$V$35,MATCH(9.99E+307,$G42:$V42)),"N/A")</f>
        <v>2025</v>
      </c>
      <c r="X42" s="36" t="n">
        <f aca="false">IFERROR(INDEX($G42:$V42,MATCH(9.99E+307,$G42:$V42)),"N/A")</f>
        <v>19498039388042.6</v>
      </c>
    </row>
    <row r="44" customFormat="false" ht="15" hidden="false" customHeight="false" outlineLevel="0" collapsed="false">
      <c r="A44" s="25" t="s">
        <v>840</v>
      </c>
    </row>
    <row r="45" customFormat="false" ht="46.25" hidden="false" customHeight="false" outlineLevel="0" collapsed="false">
      <c r="A45" s="12" t="s">
        <v>755</v>
      </c>
      <c r="B45" s="12" t="s">
        <v>756</v>
      </c>
      <c r="C45" s="12" t="s">
        <v>5</v>
      </c>
      <c r="D45" s="12" t="s">
        <v>6</v>
      </c>
      <c r="E45" s="12" t="s">
        <v>9</v>
      </c>
      <c r="F45" s="12" t="s">
        <v>8</v>
      </c>
      <c r="G45" s="12" t="s">
        <v>461</v>
      </c>
      <c r="H45" s="12" t="s">
        <v>757</v>
      </c>
      <c r="I45" s="12" t="s">
        <v>758</v>
      </c>
      <c r="J45" s="12" t="s">
        <v>759</v>
      </c>
      <c r="K45" s="12" t="s">
        <v>760</v>
      </c>
      <c r="L45" s="12" t="s">
        <v>761</v>
      </c>
      <c r="M45" s="12" t="s">
        <v>762</v>
      </c>
      <c r="N45" s="12" t="s">
        <v>763</v>
      </c>
      <c r="O45" s="12" t="s">
        <v>764</v>
      </c>
      <c r="P45" s="12" t="s">
        <v>765</v>
      </c>
      <c r="Q45" s="12" t="s">
        <v>766</v>
      </c>
      <c r="R45" s="12" t="s">
        <v>767</v>
      </c>
      <c r="S45" s="12" t="s">
        <v>768</v>
      </c>
      <c r="T45" s="12" t="s">
        <v>769</v>
      </c>
      <c r="U45" s="12" t="s">
        <v>770</v>
      </c>
      <c r="V45" s="12" t="s">
        <v>526</v>
      </c>
      <c r="W45" s="12" t="s">
        <v>775</v>
      </c>
      <c r="X45" s="12" t="s">
        <v>776</v>
      </c>
    </row>
    <row r="46" customFormat="false" ht="15" hidden="false" customHeight="false" outlineLevel="0" collapsed="false">
      <c r="A46" s="2" t="s">
        <v>841</v>
      </c>
      <c r="B46" s="2" t="s">
        <v>778</v>
      </c>
      <c r="C46" s="2" t="s">
        <v>469</v>
      </c>
      <c r="D46" s="2" t="s">
        <v>480</v>
      </c>
      <c r="E46" s="2" t="s">
        <v>478</v>
      </c>
      <c r="F46" s="2" t="s">
        <v>842</v>
      </c>
      <c r="G46" s="35" t="n">
        <v>48642.6312088213</v>
      </c>
      <c r="H46" s="35" t="n">
        <v>50024.8812320773</v>
      </c>
      <c r="I46" s="35" t="n">
        <v>51708.3940614082</v>
      </c>
      <c r="J46" s="35" t="n">
        <v>53297.3862901595</v>
      </c>
      <c r="K46" s="35" t="n">
        <v>55153.3940182967</v>
      </c>
      <c r="L46" s="35" t="n">
        <v>56849.4697923159</v>
      </c>
      <c r="M46" s="35" t="n">
        <v>57976.628204291</v>
      </c>
      <c r="N46" s="35" t="n">
        <v>60047.7190728307</v>
      </c>
      <c r="O46" s="35" t="n">
        <v>62875.6661382728</v>
      </c>
      <c r="P46" s="35" t="n">
        <v>65227.9565911038</v>
      </c>
      <c r="Q46" s="35" t="n">
        <v>64465.2971415748</v>
      </c>
      <c r="R46" s="35" t="n">
        <v>71441.2319805947</v>
      </c>
      <c r="S46" s="35" t="n">
        <v>78008.6895811877</v>
      </c>
      <c r="T46" s="35" t="n">
        <v>82586.7847707894</v>
      </c>
      <c r="U46" s="35" t="n">
        <v>86169.6641581917</v>
      </c>
      <c r="V46" s="35" t="n">
        <v>90026.5163005744</v>
      </c>
      <c r="W46" s="11" t="str">
        <f aca="false">IFERROR(INDEX($G$45:$V$45,MATCH(9.99E+307,$G46:$V46)),"N/A")</f>
        <v>2025</v>
      </c>
      <c r="X46" s="36" t="n">
        <f aca="false">IFERROR(INDEX($G46:$V46,MATCH(9.99E+307,$G46:$V46)),"N/A")</f>
        <v>90026.5163005744</v>
      </c>
    </row>
    <row r="47" customFormat="false" ht="15" hidden="false" customHeight="false" outlineLevel="0" collapsed="false">
      <c r="A47" s="2" t="s">
        <v>841</v>
      </c>
      <c r="B47" s="2" t="s">
        <v>781</v>
      </c>
      <c r="C47" s="2" t="s">
        <v>469</v>
      </c>
      <c r="D47" s="2" t="s">
        <v>480</v>
      </c>
      <c r="E47" s="2" t="s">
        <v>478</v>
      </c>
      <c r="F47" s="2" t="s">
        <v>843</v>
      </c>
      <c r="G47" s="35" t="n">
        <v>24071.2620526362</v>
      </c>
      <c r="H47" s="35" t="n">
        <v>26175.2398553363</v>
      </c>
      <c r="I47" s="35" t="n">
        <v>26600.5477433903</v>
      </c>
      <c r="J47" s="35" t="n">
        <v>28449.3591104972</v>
      </c>
      <c r="K47" s="35" t="n">
        <v>30667.0912467447</v>
      </c>
      <c r="L47" s="35" t="n">
        <v>30171.7906545222</v>
      </c>
      <c r="M47" s="35" t="n">
        <v>30832.0628072516</v>
      </c>
      <c r="N47" s="35" t="n">
        <v>33296.9845439195</v>
      </c>
      <c r="O47" s="35" t="n">
        <v>35363.9508228687</v>
      </c>
      <c r="P47" s="35" t="n">
        <v>33826.9443301597</v>
      </c>
      <c r="Q47" s="35" t="n">
        <v>33645.7719545073</v>
      </c>
      <c r="R47" s="35" t="n">
        <v>37518.4635305697</v>
      </c>
      <c r="S47" s="35" t="n">
        <v>34822.4048404971</v>
      </c>
      <c r="T47" s="35" t="n">
        <v>35674.095995632</v>
      </c>
      <c r="U47" s="35" t="n">
        <v>36238.639908315</v>
      </c>
      <c r="V47" s="35" t="n">
        <v>36226.9663637512</v>
      </c>
      <c r="W47" s="11" t="str">
        <f aca="false">IFERROR(INDEX($G$45:$V$45,MATCH(9.99E+307,$G47:$V47)),"N/A")</f>
        <v>2025</v>
      </c>
      <c r="X47" s="36" t="n">
        <f aca="false">IFERROR(INDEX($G47:$V47,MATCH(9.99E+307,$G47:$V47)),"N/A")</f>
        <v>36226.9663637512</v>
      </c>
    </row>
    <row r="48" customFormat="false" ht="15" hidden="false" customHeight="false" outlineLevel="0" collapsed="false">
      <c r="A48" s="2" t="s">
        <v>841</v>
      </c>
      <c r="B48" s="2" t="s">
        <v>783</v>
      </c>
      <c r="C48" s="2" t="s">
        <v>469</v>
      </c>
      <c r="D48" s="2" t="s">
        <v>480</v>
      </c>
      <c r="E48" s="2" t="s">
        <v>478</v>
      </c>
      <c r="F48" s="2" t="s">
        <v>844</v>
      </c>
      <c r="G48" s="35" t="n">
        <v>90020.342257973</v>
      </c>
      <c r="H48" s="35" t="n">
        <v>103545.218988177</v>
      </c>
      <c r="I48" s="35" t="n">
        <v>104627.93694681</v>
      </c>
      <c r="J48" s="35" t="n">
        <v>106333.138368566</v>
      </c>
      <c r="K48" s="35" t="n">
        <v>100410.020200979</v>
      </c>
      <c r="L48" s="35" t="n">
        <v>77220.9524311414</v>
      </c>
      <c r="M48" s="35" t="n">
        <v>73222.4006864905</v>
      </c>
      <c r="N48" s="35" t="n">
        <v>78771.2151264554</v>
      </c>
      <c r="O48" s="35" t="n">
        <v>85579.0776455494</v>
      </c>
      <c r="P48" s="35" t="n">
        <v>79329.3075190012</v>
      </c>
      <c r="Q48" s="35" t="n">
        <v>71057.5879471399</v>
      </c>
      <c r="R48" s="35" t="n">
        <v>96442.5552173002</v>
      </c>
      <c r="S48" s="35" t="n">
        <v>113122.130765691</v>
      </c>
      <c r="T48" s="35" t="n">
        <v>90984.4087141111</v>
      </c>
      <c r="U48" s="35" t="n">
        <v>89888.9535204758</v>
      </c>
      <c r="V48" s="35" t="n">
        <v>94594.1929573987</v>
      </c>
      <c r="W48" s="11" t="str">
        <f aca="false">IFERROR(INDEX($G$45:$V$45,MATCH(9.99E+307,$G48:$V48)),"N/A")</f>
        <v>2025</v>
      </c>
      <c r="X48" s="36" t="n">
        <f aca="false">IFERROR(INDEX($G48:$V48,MATCH(9.99E+307,$G48:$V48)),"N/A")</f>
        <v>94594.1929573987</v>
      </c>
    </row>
    <row r="49" customFormat="false" ht="15" hidden="false" customHeight="false" outlineLevel="0" collapsed="false">
      <c r="A49" s="2" t="s">
        <v>841</v>
      </c>
      <c r="B49" s="2" t="s">
        <v>785</v>
      </c>
      <c r="C49" s="2" t="s">
        <v>469</v>
      </c>
      <c r="D49" s="2" t="s">
        <v>480</v>
      </c>
      <c r="E49" s="2" t="s">
        <v>478</v>
      </c>
      <c r="F49" s="2" t="s">
        <v>845</v>
      </c>
      <c r="G49" s="35" t="n">
        <v>39778.3220528565</v>
      </c>
      <c r="H49" s="35" t="n">
        <v>42295.9273835322</v>
      </c>
      <c r="I49" s="35" t="n">
        <v>42688.3263728372</v>
      </c>
      <c r="J49" s="35" t="n">
        <v>43607.6636827371</v>
      </c>
      <c r="K49" s="35" t="n">
        <v>47746.9810645521</v>
      </c>
      <c r="L49" s="35" t="n">
        <v>45256.040227057</v>
      </c>
      <c r="M49" s="35" t="n">
        <v>41258.5374285695</v>
      </c>
      <c r="N49" s="35" t="n">
        <v>40918.0520870944</v>
      </c>
      <c r="O49" s="35" t="n">
        <v>43704.3162296687</v>
      </c>
      <c r="P49" s="35" t="n">
        <v>43160.6843971799</v>
      </c>
      <c r="Q49" s="35" t="n">
        <v>40815.1255364787</v>
      </c>
      <c r="R49" s="35" t="n">
        <v>47695.6491523474</v>
      </c>
      <c r="S49" s="35" t="n">
        <v>47034.7795621476</v>
      </c>
      <c r="T49" s="35" t="n">
        <v>49919.6896621586</v>
      </c>
      <c r="U49" s="35" t="n">
        <v>53341.3131094262</v>
      </c>
      <c r="V49" s="35" t="n">
        <v>57601.9621201954</v>
      </c>
      <c r="W49" s="11" t="str">
        <f aca="false">IFERROR(INDEX($G$45:$V$45,MATCH(9.99E+307,$G49:$V49)),"N/A")</f>
        <v>2025</v>
      </c>
      <c r="X49" s="36" t="n">
        <f aca="false">IFERROR(INDEX($G49:$V49,MATCH(9.99E+307,$G49:$V49)),"N/A")</f>
        <v>57601.9621201954</v>
      </c>
    </row>
    <row r="50" customFormat="false" ht="15" hidden="false" customHeight="false" outlineLevel="0" collapsed="false">
      <c r="A50" s="2" t="s">
        <v>841</v>
      </c>
      <c r="B50" s="2" t="s">
        <v>787</v>
      </c>
      <c r="C50" s="2" t="s">
        <v>469</v>
      </c>
      <c r="D50" s="2" t="s">
        <v>480</v>
      </c>
      <c r="E50" s="2" t="s">
        <v>478</v>
      </c>
      <c r="F50" s="2" t="s">
        <v>846</v>
      </c>
      <c r="G50" s="35" t="n">
        <v>40694.8211697025</v>
      </c>
      <c r="H50" s="35" t="n">
        <v>43929.7840873812</v>
      </c>
      <c r="I50" s="35" t="n">
        <v>40863.5814412333</v>
      </c>
      <c r="J50" s="35" t="n">
        <v>42669.1795111893</v>
      </c>
      <c r="K50" s="35" t="n">
        <v>43148.0459288416</v>
      </c>
      <c r="L50" s="35" t="n">
        <v>36702.4323733379</v>
      </c>
      <c r="M50" s="35" t="n">
        <v>37024.2157133669</v>
      </c>
      <c r="N50" s="35" t="n">
        <v>38687.1626407164</v>
      </c>
      <c r="O50" s="35" t="n">
        <v>41418.1766484844</v>
      </c>
      <c r="P50" s="35" t="n">
        <v>40408.2848574751</v>
      </c>
      <c r="Q50" s="35" t="n">
        <v>39169.8606000707</v>
      </c>
      <c r="R50" s="35" t="n">
        <v>43725.0999521245</v>
      </c>
      <c r="S50" s="35" t="n">
        <v>40988.6396406579</v>
      </c>
      <c r="T50" s="35" t="n">
        <v>44700.1384177544</v>
      </c>
      <c r="U50" s="35" t="n">
        <v>46103.0840855884</v>
      </c>
      <c r="V50" s="35" t="n">
        <v>48985.7307807924</v>
      </c>
      <c r="W50" s="11" t="str">
        <f aca="false">IFERROR(INDEX($G$45:$V$45,MATCH(9.99E+307,$G50:$V50)),"N/A")</f>
        <v>2025</v>
      </c>
      <c r="X50" s="36" t="n">
        <f aca="false">IFERROR(INDEX($G50:$V50,MATCH(9.99E+307,$G50:$V50)),"N/A")</f>
        <v>48985.7307807924</v>
      </c>
    </row>
    <row r="51" customFormat="false" ht="15" hidden="false" customHeight="false" outlineLevel="0" collapsed="false">
      <c r="A51" s="2" t="s">
        <v>841</v>
      </c>
      <c r="B51" s="2" t="s">
        <v>789</v>
      </c>
      <c r="C51" s="2" t="s">
        <v>469</v>
      </c>
      <c r="D51" s="2" t="s">
        <v>480</v>
      </c>
      <c r="E51" s="2" t="s">
        <v>478</v>
      </c>
      <c r="F51" s="2" t="s">
        <v>847</v>
      </c>
      <c r="G51" s="35" t="n">
        <v>42396.9665976293</v>
      </c>
      <c r="H51" s="35" t="n">
        <v>47630.9761883572</v>
      </c>
      <c r="I51" s="35" t="n">
        <v>44718.0159214069</v>
      </c>
      <c r="J51" s="35" t="n">
        <v>47206.8353514242</v>
      </c>
      <c r="K51" s="35" t="n">
        <v>48959.5991203133</v>
      </c>
      <c r="L51" s="35" t="n">
        <v>41929.7549110722</v>
      </c>
      <c r="M51" s="35" t="n">
        <v>42948.9381932694</v>
      </c>
      <c r="N51" s="35" t="n">
        <v>45553.9341495339</v>
      </c>
      <c r="O51" s="35" t="n">
        <v>48916.1686612154</v>
      </c>
      <c r="P51" s="35" t="n">
        <v>47656.199739747</v>
      </c>
      <c r="Q51" s="35" t="n">
        <v>47394.8734504469</v>
      </c>
      <c r="R51" s="35" t="n">
        <v>52349.2459994422</v>
      </c>
      <c r="S51" s="35" t="n">
        <v>50506.5179638543</v>
      </c>
      <c r="T51" s="35" t="n">
        <v>54776.7668235491</v>
      </c>
      <c r="U51" s="35" t="n">
        <v>56103.7323182554</v>
      </c>
      <c r="V51" s="35" t="n">
        <v>60496.4350820414</v>
      </c>
      <c r="W51" s="11" t="str">
        <f aca="false">IFERROR(INDEX($G$45:$V$45,MATCH(9.99E+307,$G51:$V51)),"N/A")</f>
        <v>2025</v>
      </c>
      <c r="X51" s="36" t="n">
        <f aca="false">IFERROR(INDEX($G51:$V51,MATCH(9.99E+307,$G51:$V51)),"N/A")</f>
        <v>60496.4350820414</v>
      </c>
    </row>
    <row r="52" customFormat="false" ht="15" hidden="false" customHeight="false" outlineLevel="0" collapsed="false">
      <c r="A52" s="2" t="s">
        <v>841</v>
      </c>
      <c r="B52" s="2" t="s">
        <v>791</v>
      </c>
      <c r="C52" s="2" t="s">
        <v>469</v>
      </c>
      <c r="D52" s="2" t="s">
        <v>480</v>
      </c>
      <c r="E52" s="2" t="s">
        <v>478</v>
      </c>
      <c r="F52" s="2" t="s">
        <v>848</v>
      </c>
      <c r="G52" s="35" t="n">
        <v>4629.24551710077</v>
      </c>
      <c r="H52" s="35" t="n">
        <v>5703.76027973346</v>
      </c>
      <c r="I52" s="35" t="n">
        <v>6405.0574241349</v>
      </c>
      <c r="J52" s="35" t="n">
        <v>7147.03518622344</v>
      </c>
      <c r="K52" s="35" t="n">
        <v>7781.06597484974</v>
      </c>
      <c r="L52" s="35" t="n">
        <v>8175.33285077393</v>
      </c>
      <c r="M52" s="35" t="n">
        <v>8254.86859320357</v>
      </c>
      <c r="N52" s="35" t="n">
        <v>8979.67652709856</v>
      </c>
      <c r="O52" s="35" t="n">
        <v>10085.6638148819</v>
      </c>
      <c r="P52" s="35" t="n">
        <v>10342.9009524335</v>
      </c>
      <c r="Q52" s="35" t="n">
        <v>10627.4637989619</v>
      </c>
      <c r="R52" s="35" t="n">
        <v>12887.4357242941</v>
      </c>
      <c r="S52" s="35" t="n">
        <v>12970.6056414327</v>
      </c>
      <c r="T52" s="35" t="n">
        <v>12951.1782397043</v>
      </c>
      <c r="U52" s="35" t="n">
        <v>13293.1162269366</v>
      </c>
      <c r="V52" s="35" t="n">
        <v>13861.970224368</v>
      </c>
      <c r="W52" s="11" t="str">
        <f aca="false">IFERROR(INDEX($G$45:$V$45,MATCH(9.99E+307,$G52:$V52)),"N/A")</f>
        <v>2025</v>
      </c>
      <c r="X52" s="36" t="n">
        <f aca="false">IFERROR(INDEX($G52:$V52,MATCH(9.99E+307,$G52:$V52)),"N/A")</f>
        <v>13861.970224368</v>
      </c>
    </row>
    <row r="54" customFormat="false" ht="15" hidden="false" customHeight="false" outlineLevel="0" collapsed="false">
      <c r="A54" s="25" t="s">
        <v>849</v>
      </c>
    </row>
    <row r="55" customFormat="false" ht="15" hidden="false" customHeight="false" outlineLevel="0" collapsed="false">
      <c r="A55" s="7" t="s">
        <v>5</v>
      </c>
      <c r="B55" s="2" t="s">
        <v>850</v>
      </c>
      <c r="C55" s="2" t="s">
        <v>850</v>
      </c>
      <c r="D55" s="2" t="s">
        <v>850</v>
      </c>
      <c r="E55" s="2" t="s">
        <v>850</v>
      </c>
      <c r="F55" s="2" t="s">
        <v>850</v>
      </c>
      <c r="G55" s="2" t="s">
        <v>850</v>
      </c>
      <c r="H55" s="2" t="s">
        <v>850</v>
      </c>
      <c r="I55" s="2" t="s">
        <v>850</v>
      </c>
      <c r="J55" s="2" t="s">
        <v>850</v>
      </c>
      <c r="K55" s="2" t="s">
        <v>850</v>
      </c>
      <c r="L55" s="2" t="s">
        <v>850</v>
      </c>
      <c r="M55" s="2" t="s">
        <v>850</v>
      </c>
      <c r="N55" s="2" t="s">
        <v>850</v>
      </c>
      <c r="O55" s="2" t="s">
        <v>850</v>
      </c>
    </row>
    <row r="56" customFormat="false" ht="15" hidden="false" customHeight="false" outlineLevel="0" collapsed="false">
      <c r="A56" s="7" t="s">
        <v>6</v>
      </c>
      <c r="B56" s="2" t="s">
        <v>851</v>
      </c>
      <c r="C56" s="2" t="s">
        <v>852</v>
      </c>
      <c r="D56" s="2" t="s">
        <v>853</v>
      </c>
      <c r="E56" s="2" t="s">
        <v>854</v>
      </c>
      <c r="F56" s="2" t="s">
        <v>855</v>
      </c>
      <c r="G56" s="2" t="s">
        <v>856</v>
      </c>
      <c r="H56" s="2" t="s">
        <v>857</v>
      </c>
      <c r="I56" s="2" t="s">
        <v>858</v>
      </c>
      <c r="J56" s="2" t="s">
        <v>859</v>
      </c>
      <c r="K56" s="2" t="s">
        <v>860</v>
      </c>
      <c r="L56" s="2" t="s">
        <v>861</v>
      </c>
      <c r="M56" s="2" t="s">
        <v>862</v>
      </c>
      <c r="N56" s="2" t="s">
        <v>863</v>
      </c>
      <c r="O56" s="2" t="s">
        <v>864</v>
      </c>
    </row>
    <row r="57" customFormat="false" ht="15" hidden="false" customHeight="false" outlineLevel="0" collapsed="false">
      <c r="A57" s="7" t="s">
        <v>9</v>
      </c>
      <c r="B57" s="2" t="s">
        <v>865</v>
      </c>
      <c r="C57" s="2" t="s">
        <v>866</v>
      </c>
      <c r="D57" s="2" t="s">
        <v>865</v>
      </c>
      <c r="E57" s="2" t="s">
        <v>866</v>
      </c>
      <c r="F57" s="2" t="s">
        <v>865</v>
      </c>
      <c r="G57" s="2" t="s">
        <v>866</v>
      </c>
      <c r="H57" s="2" t="s">
        <v>865</v>
      </c>
      <c r="I57" s="2" t="s">
        <v>866</v>
      </c>
      <c r="J57" s="2" t="s">
        <v>865</v>
      </c>
      <c r="K57" s="2" t="s">
        <v>866</v>
      </c>
      <c r="L57" s="2" t="s">
        <v>865</v>
      </c>
      <c r="M57" s="2" t="s">
        <v>866</v>
      </c>
      <c r="N57" s="2" t="s">
        <v>865</v>
      </c>
      <c r="O57" s="2" t="s">
        <v>866</v>
      </c>
    </row>
    <row r="58" customFormat="false" ht="23.85" hidden="false" customHeight="false" outlineLevel="0" collapsed="false">
      <c r="A58" s="7" t="s">
        <v>867</v>
      </c>
      <c r="B58" s="12" t="s">
        <v>868</v>
      </c>
      <c r="C58" s="12" t="s">
        <v>869</v>
      </c>
      <c r="D58" s="12" t="s">
        <v>870</v>
      </c>
      <c r="E58" s="12" t="s">
        <v>871</v>
      </c>
      <c r="F58" s="12" t="s">
        <v>872</v>
      </c>
      <c r="G58" s="12" t="s">
        <v>873</v>
      </c>
      <c r="H58" s="12" t="s">
        <v>874</v>
      </c>
      <c r="I58" s="12" t="s">
        <v>875</v>
      </c>
      <c r="J58" s="12" t="s">
        <v>876</v>
      </c>
      <c r="K58" s="12" t="s">
        <v>877</v>
      </c>
      <c r="L58" s="12" t="s">
        <v>878</v>
      </c>
      <c r="M58" s="12" t="s">
        <v>879</v>
      </c>
      <c r="N58" s="12" t="s">
        <v>880</v>
      </c>
      <c r="O58" s="12" t="s">
        <v>881</v>
      </c>
    </row>
    <row r="59" customFormat="false" ht="15" hidden="false" customHeight="false" outlineLevel="0" collapsed="false">
      <c r="A59" s="37" t="s">
        <v>490</v>
      </c>
      <c r="B59" s="24" t="n">
        <v>0.579519406</v>
      </c>
      <c r="C59" s="24" t="n">
        <v>1.795016891</v>
      </c>
      <c r="D59" s="24" t="n">
        <v>0.384973125</v>
      </c>
      <c r="E59" s="24" t="n">
        <v>3.103106562</v>
      </c>
      <c r="F59" s="24" t="n">
        <v>0.427904296</v>
      </c>
      <c r="G59" s="24" t="n">
        <v>1.010396443</v>
      </c>
      <c r="H59" s="24" t="n">
        <v>0.536958474</v>
      </c>
      <c r="I59" s="24" t="n">
        <v>2.086769226</v>
      </c>
      <c r="J59" s="24" t="n">
        <v>0.310451435</v>
      </c>
      <c r="K59" s="24" t="n">
        <v>0.932775801</v>
      </c>
      <c r="L59" s="24" t="n">
        <v>0.862305235</v>
      </c>
      <c r="M59" s="24" t="n">
        <v>2.535800624</v>
      </c>
      <c r="N59" s="24" t="n">
        <v>1.6</v>
      </c>
      <c r="O59" s="24" t="n">
        <v>6.8</v>
      </c>
    </row>
    <row r="60" customFormat="false" ht="15" hidden="false" customHeight="false" outlineLevel="0" collapsed="false">
      <c r="A60" s="37" t="s">
        <v>882</v>
      </c>
      <c r="B60" s="24" t="n">
        <v>0.321124068</v>
      </c>
      <c r="C60" s="24" t="n">
        <v>1.493250833</v>
      </c>
      <c r="D60" s="24" t="n">
        <v>1.25345778</v>
      </c>
      <c r="E60" s="24" t="n">
        <v>3.948414116</v>
      </c>
      <c r="F60" s="24" t="n">
        <v>0.374958221</v>
      </c>
      <c r="G60" s="24" t="n">
        <v>1.0080687</v>
      </c>
      <c r="H60" s="24" t="n">
        <v>0.739071779</v>
      </c>
      <c r="I60" s="24" t="n">
        <v>2.290294786</v>
      </c>
      <c r="J60" s="24" t="n">
        <v>-0.257068147</v>
      </c>
      <c r="K60" s="24" t="n">
        <v>0.631136404</v>
      </c>
      <c r="L60" s="24" t="n">
        <v>0.284951558</v>
      </c>
      <c r="M60" s="24" t="n">
        <v>2.188164044</v>
      </c>
      <c r="N60" s="24" t="n">
        <v>1.8</v>
      </c>
      <c r="O60" s="24" t="n">
        <v>6.7</v>
      </c>
    </row>
    <row r="61" customFormat="false" ht="15" hidden="false" customHeight="false" outlineLevel="0" collapsed="false">
      <c r="A61" s="37" t="s">
        <v>883</v>
      </c>
      <c r="B61" s="24" t="n">
        <v>0.709390255</v>
      </c>
      <c r="C61" s="24" t="n">
        <v>1.805761531</v>
      </c>
      <c r="D61" s="24" t="n">
        <v>0.386719421</v>
      </c>
      <c r="E61" s="24" t="n">
        <v>2.82492001</v>
      </c>
      <c r="F61" s="24" t="n">
        <v>-0.728197516</v>
      </c>
      <c r="G61" s="24" t="n">
        <v>-0.558123662</v>
      </c>
      <c r="H61" s="24" t="n">
        <v>0.365066723</v>
      </c>
      <c r="I61" s="24" t="n">
        <v>2.209162029</v>
      </c>
      <c r="J61" s="24" t="n">
        <v>0.178207018</v>
      </c>
      <c r="K61" s="24" t="n">
        <v>0.508665532</v>
      </c>
      <c r="L61" s="24" t="n">
        <v>0.405927492</v>
      </c>
      <c r="M61" s="24" t="n">
        <v>2.094777056</v>
      </c>
      <c r="N61" s="24" t="n">
        <v>1.7</v>
      </c>
      <c r="O61" s="24" t="n">
        <v>6.7</v>
      </c>
    </row>
    <row r="62" customFormat="false" ht="15" hidden="false" customHeight="false" outlineLevel="0" collapsed="false">
      <c r="A62" s="37" t="s">
        <v>884</v>
      </c>
      <c r="B62" s="24" t="n">
        <v>0.554299113</v>
      </c>
      <c r="C62" s="24" t="n">
        <v>2.181566303</v>
      </c>
      <c r="D62" s="24" t="n">
        <v>0.770438323</v>
      </c>
      <c r="E62" s="24" t="n">
        <v>2.822457587</v>
      </c>
      <c r="F62" s="24" t="n">
        <v>2.431190287</v>
      </c>
      <c r="G62" s="24" t="n">
        <v>2.503313475</v>
      </c>
      <c r="H62" s="24" t="n">
        <v>0.616589111</v>
      </c>
      <c r="I62" s="24" t="n">
        <v>2.276499551</v>
      </c>
      <c r="J62" s="24" t="n">
        <v>0.642646914</v>
      </c>
      <c r="K62" s="24" t="n">
        <v>0.87501664</v>
      </c>
      <c r="L62" s="24" t="n">
        <v>0.454826976</v>
      </c>
      <c r="M62" s="24" t="n">
        <v>2.022232122</v>
      </c>
      <c r="N62" s="24" t="n">
        <v>1.6</v>
      </c>
      <c r="O62" s="24" t="n">
        <v>6.8</v>
      </c>
    </row>
    <row r="63" customFormat="false" ht="15" hidden="false" customHeight="false" outlineLevel="0" collapsed="false">
      <c r="A63" s="37" t="s">
        <v>885</v>
      </c>
      <c r="B63" s="24" t="n">
        <v>0.48689021</v>
      </c>
      <c r="C63" s="24" t="n">
        <v>2.087461694</v>
      </c>
      <c r="D63" s="24" t="n">
        <v>1.132992492</v>
      </c>
      <c r="E63" s="24" t="n">
        <v>3.588639888</v>
      </c>
      <c r="F63" s="24" t="n">
        <v>0.381340416</v>
      </c>
      <c r="G63" s="24" t="n">
        <v>2.455787322</v>
      </c>
      <c r="H63" s="24" t="n">
        <v>1.138725602</v>
      </c>
      <c r="I63" s="24" t="n">
        <v>2.888678757</v>
      </c>
      <c r="J63" s="24" t="n">
        <v>0.662327121</v>
      </c>
      <c r="K63" s="24" t="n">
        <v>1.228872746</v>
      </c>
      <c r="L63" s="24" t="n">
        <v>1.282843458</v>
      </c>
      <c r="M63" s="24" t="n">
        <v>2.447606577</v>
      </c>
      <c r="N63" s="24" t="n">
        <v>1.8</v>
      </c>
      <c r="O63" s="24" t="n">
        <v>7</v>
      </c>
    </row>
    <row r="64" customFormat="false" ht="15" hidden="false" customHeight="false" outlineLevel="0" collapsed="false">
      <c r="A64" s="37" t="s">
        <v>886</v>
      </c>
      <c r="B64" s="24" t="n">
        <v>0.559872562</v>
      </c>
      <c r="C64" s="24" t="n">
        <v>2.330413794</v>
      </c>
      <c r="D64" s="24" t="n">
        <v>0.725686533</v>
      </c>
      <c r="E64" s="24" t="n">
        <v>3.048696791</v>
      </c>
      <c r="F64" s="24" t="n">
        <v>1.468914709</v>
      </c>
      <c r="G64" s="24" t="n">
        <v>3.572422141</v>
      </c>
      <c r="H64" s="24" t="n">
        <v>0.969038371</v>
      </c>
      <c r="I64" s="24" t="n">
        <v>3.12355246</v>
      </c>
      <c r="J64" s="24" t="n">
        <v>0.73686064</v>
      </c>
      <c r="K64" s="24" t="n">
        <v>2.237608791</v>
      </c>
      <c r="L64" s="24" t="n">
        <v>0.755014016</v>
      </c>
      <c r="M64" s="24" t="n">
        <v>2.92780598</v>
      </c>
      <c r="N64" s="24" t="n">
        <v>1.8</v>
      </c>
      <c r="O64" s="24" t="n">
        <v>7</v>
      </c>
    </row>
    <row r="65" customFormat="false" ht="15" hidden="false" customHeight="false" outlineLevel="0" collapsed="false">
      <c r="A65" s="37" t="s">
        <v>887</v>
      </c>
      <c r="B65" s="24" t="n">
        <v>0.788524131</v>
      </c>
      <c r="C65" s="24" t="n">
        <v>2.410821412</v>
      </c>
      <c r="D65" s="24" t="n">
        <v>1.371819158</v>
      </c>
      <c r="E65" s="24" t="n">
        <v>4.05991864</v>
      </c>
      <c r="F65" s="24" t="n">
        <v>0.729692941</v>
      </c>
      <c r="G65" s="24" t="n">
        <v>5.093470838</v>
      </c>
      <c r="H65" s="24" t="n">
        <v>0.737667128</v>
      </c>
      <c r="I65" s="24" t="n">
        <v>3.506393609</v>
      </c>
      <c r="J65" s="24" t="n">
        <v>0.755240572</v>
      </c>
      <c r="K65" s="24" t="n">
        <v>2.826504645</v>
      </c>
      <c r="L65" s="24" t="n">
        <v>0.847961959</v>
      </c>
      <c r="M65" s="24" t="n">
        <v>3.38094295</v>
      </c>
      <c r="N65" s="24" t="n">
        <v>1.6</v>
      </c>
      <c r="O65" s="24" t="n">
        <v>6.9</v>
      </c>
    </row>
    <row r="66" customFormat="false" ht="15" hidden="false" customHeight="false" outlineLevel="0" collapsed="false">
      <c r="A66" s="37" t="s">
        <v>888</v>
      </c>
      <c r="B66" s="24" t="n">
        <v>1.127046627</v>
      </c>
      <c r="C66" s="24" t="n">
        <v>2.994143497</v>
      </c>
      <c r="D66" s="24" t="n">
        <v>-0.21762689</v>
      </c>
      <c r="E66" s="24" t="n">
        <v>3.039599711</v>
      </c>
      <c r="F66" s="24" t="n">
        <v>-1.170341076</v>
      </c>
      <c r="G66" s="24" t="n">
        <v>1.398332372</v>
      </c>
      <c r="H66" s="24" t="n">
        <v>0.8366015</v>
      </c>
      <c r="I66" s="24" t="n">
        <v>3.732724963</v>
      </c>
      <c r="J66" s="24" t="n">
        <v>0.599610836</v>
      </c>
      <c r="K66" s="24" t="n">
        <v>2.782534722</v>
      </c>
      <c r="L66" s="24" t="n">
        <v>1.046148332</v>
      </c>
      <c r="M66" s="24" t="n">
        <v>3.989488714</v>
      </c>
      <c r="N66" s="24" t="n">
        <v>1.5</v>
      </c>
      <c r="O66" s="24" t="n">
        <v>6.8</v>
      </c>
    </row>
    <row r="67" customFormat="false" ht="15" hidden="false" customHeight="false" outlineLevel="0" collapsed="false">
      <c r="A67" s="37" t="s">
        <v>889</v>
      </c>
      <c r="B67" s="24" t="n">
        <v>0.813409802</v>
      </c>
      <c r="C67" s="24" t="n">
        <v>3.328810095</v>
      </c>
      <c r="D67" s="24" t="n">
        <v>1.442904913</v>
      </c>
      <c r="E67" s="24" t="n">
        <v>3.355354749</v>
      </c>
      <c r="F67" s="24" t="n">
        <v>0.875116021</v>
      </c>
      <c r="G67" s="24" t="n">
        <v>1.897110559</v>
      </c>
      <c r="H67" s="24" t="n">
        <v>0.055164765</v>
      </c>
      <c r="I67" s="24" t="n">
        <v>2.621373029</v>
      </c>
      <c r="J67" s="24" t="n">
        <v>-0.057857965</v>
      </c>
      <c r="K67" s="24" t="n">
        <v>2.047180685</v>
      </c>
      <c r="L67" s="24" t="n">
        <v>-0.505583881</v>
      </c>
      <c r="M67" s="24" t="n">
        <v>2.153268105</v>
      </c>
      <c r="N67" s="24" t="n">
        <v>1.9</v>
      </c>
      <c r="O67" s="24" t="n">
        <v>6.9</v>
      </c>
    </row>
    <row r="68" customFormat="false" ht="15" hidden="false" customHeight="false" outlineLevel="0" collapsed="false">
      <c r="A68" s="37" t="s">
        <v>890</v>
      </c>
      <c r="B68" s="24" t="n">
        <v>0.530825141</v>
      </c>
      <c r="C68" s="24" t="n">
        <v>3.298962847</v>
      </c>
      <c r="D68" s="24" t="n">
        <v>0.789427506</v>
      </c>
      <c r="E68" s="24" t="n">
        <v>3.420759821</v>
      </c>
      <c r="F68" s="24" t="n">
        <v>0.28237126</v>
      </c>
      <c r="G68" s="24" t="n">
        <v>0.705559931</v>
      </c>
      <c r="H68" s="24" t="n">
        <v>0.179551282</v>
      </c>
      <c r="I68" s="24" t="n">
        <v>1.818966169</v>
      </c>
      <c r="J68" s="24" t="n">
        <v>0.226043783</v>
      </c>
      <c r="K68" s="24" t="n">
        <v>1.529719453</v>
      </c>
      <c r="L68" s="24" t="n">
        <v>0.680736014</v>
      </c>
      <c r="M68" s="24" t="n">
        <v>2.07795929</v>
      </c>
      <c r="N68" s="24" t="n">
        <v>1.8</v>
      </c>
      <c r="O68" s="24" t="n">
        <v>6.9</v>
      </c>
    </row>
    <row r="69" customFormat="false" ht="15" hidden="false" customHeight="false" outlineLevel="0" collapsed="false">
      <c r="A69" s="37" t="s">
        <v>891</v>
      </c>
      <c r="B69" s="24" t="n">
        <v>0.623697425</v>
      </c>
      <c r="C69" s="24" t="n">
        <v>3.130030641</v>
      </c>
      <c r="D69" s="24" t="n">
        <v>0.547216544</v>
      </c>
      <c r="E69" s="24" t="n">
        <v>2.57949023</v>
      </c>
      <c r="F69" s="24" t="n">
        <v>0.958393038</v>
      </c>
      <c r="G69" s="24" t="n">
        <v>0.934205236</v>
      </c>
      <c r="H69" s="24" t="n">
        <v>0.341715332</v>
      </c>
      <c r="I69" s="24" t="n">
        <v>1.418764302</v>
      </c>
      <c r="J69" s="24" t="n">
        <v>0.550338873</v>
      </c>
      <c r="K69" s="24" t="n">
        <v>1.323242729</v>
      </c>
      <c r="L69" s="24" t="n">
        <v>-0.434664521</v>
      </c>
      <c r="M69" s="24" t="n">
        <v>0.77968919</v>
      </c>
      <c r="N69" s="24" t="n">
        <v>1.4</v>
      </c>
      <c r="O69" s="24" t="n">
        <v>6.7</v>
      </c>
    </row>
    <row r="70" customFormat="false" ht="15" hidden="false" customHeight="false" outlineLevel="0" collapsed="false">
      <c r="A70" s="37" t="s">
        <v>892</v>
      </c>
      <c r="B70" s="24" t="n">
        <v>0.141644219</v>
      </c>
      <c r="C70" s="24" t="n">
        <v>2.125110751</v>
      </c>
      <c r="D70" s="24" t="n">
        <v>0.537922154</v>
      </c>
      <c r="E70" s="24" t="n">
        <v>3.356218958</v>
      </c>
      <c r="F70" s="24" t="n">
        <v>-0.633080145</v>
      </c>
      <c r="G70" s="24" t="n">
        <v>1.482906969</v>
      </c>
      <c r="H70" s="24" t="n">
        <v>0.144375312</v>
      </c>
      <c r="I70" s="24" t="n">
        <v>0.722541665</v>
      </c>
      <c r="J70" s="24" t="n">
        <v>0.720327622</v>
      </c>
      <c r="K70" s="24" t="n">
        <v>1.444827853</v>
      </c>
      <c r="L70" s="24" t="n">
        <v>0.388053714</v>
      </c>
      <c r="M70" s="24" t="n">
        <v>0.123329971</v>
      </c>
      <c r="N70" s="24" t="n">
        <v>1.2</v>
      </c>
      <c r="O70" s="24" t="n">
        <v>6.5</v>
      </c>
    </row>
    <row r="71" customFormat="false" ht="15" hidden="false" customHeight="false" outlineLevel="0" collapsed="false">
      <c r="A71" s="37" t="s">
        <v>893</v>
      </c>
      <c r="B71" s="24" t="n">
        <v>0.624318082</v>
      </c>
      <c r="C71" s="24" t="n">
        <v>1.933558727</v>
      </c>
      <c r="D71" s="24" t="n">
        <v>0.033056163</v>
      </c>
      <c r="E71" s="24" t="n">
        <v>1.919779058</v>
      </c>
      <c r="F71" s="24" t="n">
        <v>0.383429811</v>
      </c>
      <c r="G71" s="24" t="n">
        <v>0.988258261</v>
      </c>
      <c r="H71" s="24" t="n">
        <v>0.542619148</v>
      </c>
      <c r="I71" s="24" t="n">
        <v>1.213247413</v>
      </c>
      <c r="J71" s="24" t="n">
        <v>0.949672124</v>
      </c>
      <c r="K71" s="24" t="n">
        <v>2.467506718</v>
      </c>
      <c r="L71" s="24" t="n">
        <v>0.715110744</v>
      </c>
      <c r="M71" s="24" t="n">
        <v>1.351740724</v>
      </c>
      <c r="N71" s="24" t="n">
        <v>1.9</v>
      </c>
      <c r="O71" s="24" t="n">
        <v>6.4</v>
      </c>
    </row>
    <row r="72" customFormat="false" ht="15" hidden="false" customHeight="false" outlineLevel="0" collapsed="false">
      <c r="A72" s="37" t="s">
        <v>894</v>
      </c>
      <c r="B72" s="24" t="n">
        <v>0.835145841</v>
      </c>
      <c r="C72" s="24" t="n">
        <v>2.242125695</v>
      </c>
      <c r="D72" s="24" t="n">
        <v>1.353250476</v>
      </c>
      <c r="E72" s="24" t="n">
        <v>2.489925292</v>
      </c>
      <c r="F72" s="24" t="n">
        <v>0.217672106</v>
      </c>
      <c r="G72" s="24" t="n">
        <v>0.92310369</v>
      </c>
      <c r="H72" s="24" t="n">
        <v>0.220920111</v>
      </c>
      <c r="I72" s="24" t="n">
        <v>1.255043104</v>
      </c>
      <c r="J72" s="24" t="n">
        <v>0.496371007</v>
      </c>
      <c r="K72" s="24" t="n">
        <v>2.74387956</v>
      </c>
      <c r="L72" s="24" t="n">
        <v>1.104E-006</v>
      </c>
      <c r="M72" s="24" t="n">
        <v>0.666468935</v>
      </c>
      <c r="N72" s="24" t="n">
        <v>1.6</v>
      </c>
      <c r="O72" s="24" t="n">
        <v>6.1</v>
      </c>
    </row>
    <row r="73" customFormat="false" ht="15" hidden="false" customHeight="false" outlineLevel="0" collapsed="false">
      <c r="A73" s="37" t="s">
        <v>895</v>
      </c>
      <c r="B73" s="24" t="n">
        <v>1.170001857</v>
      </c>
      <c r="C73" s="24" t="n">
        <v>2.797216869</v>
      </c>
      <c r="D73" s="24" t="n">
        <v>0.270541984</v>
      </c>
      <c r="E73" s="24" t="n">
        <v>2.207905004</v>
      </c>
      <c r="F73" s="24" t="n">
        <v>0.307217913</v>
      </c>
      <c r="G73" s="24" t="n">
        <v>0.272156179</v>
      </c>
      <c r="H73" s="24" t="n">
        <v>0.621900384</v>
      </c>
      <c r="I73" s="24" t="n">
        <v>1.537778448</v>
      </c>
      <c r="J73" s="24" t="n">
        <v>0.042613272</v>
      </c>
      <c r="K73" s="24" t="n">
        <v>2.225077749</v>
      </c>
      <c r="L73" s="24" t="n">
        <v>0.546913388</v>
      </c>
      <c r="M73" s="24" t="n">
        <v>1.658902513</v>
      </c>
      <c r="N73" s="24" t="n">
        <v>1.3</v>
      </c>
      <c r="O73" s="24" t="n">
        <v>6</v>
      </c>
    </row>
    <row r="74" customFormat="false" ht="15" hidden="false" customHeight="false" outlineLevel="0" collapsed="false">
      <c r="A74" s="37" t="s">
        <v>896</v>
      </c>
      <c r="B74" s="24" t="n">
        <v>0.68187787</v>
      </c>
      <c r="C74" s="24" t="n">
        <v>3.351776524</v>
      </c>
      <c r="D74" s="24" t="n">
        <v>0.954747623</v>
      </c>
      <c r="E74" s="24" t="n">
        <v>2.631654143</v>
      </c>
      <c r="F74" s="24" t="n">
        <v>2.60294895</v>
      </c>
      <c r="G74" s="24" t="n">
        <v>3.537665618</v>
      </c>
      <c r="H74" s="24" t="n">
        <v>0.160623287</v>
      </c>
      <c r="I74" s="24" t="n">
        <v>1.554252497</v>
      </c>
      <c r="J74" s="24" t="n">
        <v>-0.502965992</v>
      </c>
      <c r="K74" s="24" t="n">
        <v>0.983508269</v>
      </c>
      <c r="L74" s="24" t="n">
        <v>-0.467597981</v>
      </c>
      <c r="M74" s="24" t="n">
        <v>0.792418812</v>
      </c>
      <c r="N74" s="24" t="n">
        <v>0.9</v>
      </c>
      <c r="O74" s="24" t="n">
        <v>5.9</v>
      </c>
    </row>
    <row r="75" customFormat="false" ht="15" hidden="false" customHeight="false" outlineLevel="0" collapsed="false">
      <c r="A75" s="37" t="s">
        <v>897</v>
      </c>
      <c r="B75" s="24" t="n">
        <v>-1.316321672</v>
      </c>
      <c r="C75" s="24" t="n">
        <v>1.358535029</v>
      </c>
      <c r="D75" s="24" t="n">
        <v>-1.366927602</v>
      </c>
      <c r="E75" s="24" t="n">
        <v>1.19530245</v>
      </c>
      <c r="F75" s="24" t="n">
        <v>-2.965791004</v>
      </c>
      <c r="G75" s="24" t="n">
        <v>0.083205998</v>
      </c>
      <c r="H75" s="24" t="n">
        <v>-2.827658233</v>
      </c>
      <c r="I75" s="24" t="n">
        <v>-1.849935727</v>
      </c>
      <c r="J75" s="24" t="n">
        <v>-5.00282712</v>
      </c>
      <c r="K75" s="24" t="n">
        <v>-4.970986123</v>
      </c>
      <c r="L75" s="24" t="n">
        <v>-1.876732971</v>
      </c>
      <c r="M75" s="24" t="n">
        <v>-1.801414381</v>
      </c>
      <c r="N75" s="24" t="n">
        <v>-10.3</v>
      </c>
      <c r="O75" s="24" t="n">
        <v>-6.8</v>
      </c>
    </row>
    <row r="76" customFormat="false" ht="15" hidden="false" customHeight="false" outlineLevel="0" collapsed="false">
      <c r="A76" s="37" t="s">
        <v>898</v>
      </c>
      <c r="B76" s="24" t="n">
        <v>-7.876784496</v>
      </c>
      <c r="C76" s="24" t="n">
        <v>-7.398614959</v>
      </c>
      <c r="D76" s="24" t="n">
        <v>-2.641896622</v>
      </c>
      <c r="E76" s="24" t="n">
        <v>-2.793618645</v>
      </c>
      <c r="F76" s="24" t="n">
        <v>-3.210172495</v>
      </c>
      <c r="G76" s="24" t="n">
        <v>-3.340039325</v>
      </c>
      <c r="H76" s="24" t="n">
        <v>-19.927497398</v>
      </c>
      <c r="I76" s="24" t="n">
        <v>-21.582028301</v>
      </c>
      <c r="J76" s="24" t="n">
        <v>-12.21221863</v>
      </c>
      <c r="K76" s="24" t="n">
        <v>-16.988183648</v>
      </c>
      <c r="L76" s="24" t="n">
        <v>-8.940788517</v>
      </c>
      <c r="M76" s="24" t="n">
        <v>-10.581143234</v>
      </c>
      <c r="N76" s="24" t="n">
        <v>12.7</v>
      </c>
      <c r="O76" s="24" t="n">
        <v>3.2</v>
      </c>
    </row>
    <row r="77" customFormat="false" ht="15" hidden="false" customHeight="false" outlineLevel="0" collapsed="false">
      <c r="A77" s="37" t="s">
        <v>899</v>
      </c>
      <c r="B77" s="24" t="n">
        <v>7.762279175</v>
      </c>
      <c r="C77" s="24" t="n">
        <v>-1.3646721</v>
      </c>
      <c r="D77" s="24" t="n">
        <v>2.259879264</v>
      </c>
      <c r="E77" s="24" t="n">
        <v>-0.865073386</v>
      </c>
      <c r="F77" s="24" t="n">
        <v>3.434000296</v>
      </c>
      <c r="G77" s="24" t="n">
        <v>-0.326949455</v>
      </c>
      <c r="H77" s="24" t="n">
        <v>16.863815812</v>
      </c>
      <c r="I77" s="24" t="n">
        <v>-8.924166945</v>
      </c>
      <c r="J77" s="24" t="n">
        <v>15.145020421</v>
      </c>
      <c r="K77" s="24" t="n">
        <v>-4.456741219</v>
      </c>
      <c r="L77" s="24" t="n">
        <v>8.788503429</v>
      </c>
      <c r="M77" s="24" t="n">
        <v>-3.251693383</v>
      </c>
      <c r="N77" s="24" t="n">
        <v>2.9</v>
      </c>
      <c r="O77" s="24" t="n">
        <v>4.9</v>
      </c>
    </row>
    <row r="78" customFormat="false" ht="15" hidden="false" customHeight="false" outlineLevel="0" collapsed="false">
      <c r="A78" s="37" t="s">
        <v>900</v>
      </c>
      <c r="B78" s="24" t="n">
        <v>1.13351511</v>
      </c>
      <c r="C78" s="24" t="n">
        <v>-0.922215242</v>
      </c>
      <c r="D78" s="24" t="n">
        <v>1.513354314</v>
      </c>
      <c r="E78" s="24" t="n">
        <v>-0.316536199</v>
      </c>
      <c r="F78" s="24" t="n">
        <v>-0.78552832</v>
      </c>
      <c r="G78" s="24" t="n">
        <v>-3.618666405</v>
      </c>
      <c r="H78" s="24" t="n">
        <v>1.358490566</v>
      </c>
      <c r="I78" s="24" t="n">
        <v>-7.83494888</v>
      </c>
      <c r="J78" s="24" t="n">
        <v>-0.010837528</v>
      </c>
      <c r="K78" s="24" t="n">
        <v>-3.984168768</v>
      </c>
      <c r="L78" s="24" t="n">
        <v>0.838426935</v>
      </c>
      <c r="M78" s="24" t="n">
        <v>-1.982200268</v>
      </c>
      <c r="N78" s="24" t="n">
        <v>2.4</v>
      </c>
      <c r="O78" s="24" t="n">
        <v>6.5</v>
      </c>
    </row>
    <row r="79" customFormat="false" ht="15" hidden="false" customHeight="false" outlineLevel="0" collapsed="false">
      <c r="A79" s="37" t="s">
        <v>901</v>
      </c>
      <c r="B79" s="24" t="n">
        <v>1.51357857</v>
      </c>
      <c r="C79" s="24" t="n">
        <v>1.918986584</v>
      </c>
      <c r="D79" s="24" t="n">
        <v>1.594421343</v>
      </c>
      <c r="E79" s="24" t="n">
        <v>2.676349587</v>
      </c>
      <c r="F79" s="24" t="n">
        <v>1.563082815</v>
      </c>
      <c r="G79" s="24" t="n">
        <v>0.879735786</v>
      </c>
      <c r="H79" s="24" t="n">
        <v>-1.05699376</v>
      </c>
      <c r="I79" s="24" t="n">
        <v>-6.155526745</v>
      </c>
      <c r="J79" s="24" t="n">
        <v>0.449231751</v>
      </c>
      <c r="K79" s="24" t="n">
        <v>1.52635274</v>
      </c>
      <c r="L79" s="24" t="n">
        <v>-0.474420365</v>
      </c>
      <c r="M79" s="24" t="n">
        <v>-0.581394931</v>
      </c>
      <c r="N79" s="24" t="n">
        <v>0</v>
      </c>
      <c r="O79" s="24" t="n">
        <v>18.9</v>
      </c>
    </row>
    <row r="80" customFormat="false" ht="15" hidden="false" customHeight="false" outlineLevel="0" collapsed="false">
      <c r="A80" s="37" t="s">
        <v>902</v>
      </c>
      <c r="B80" s="24" t="n">
        <v>1.740960975</v>
      </c>
      <c r="C80" s="24" t="n">
        <v>12.559419251</v>
      </c>
      <c r="D80" s="24" t="n">
        <v>1.355961374</v>
      </c>
      <c r="E80" s="24" t="n">
        <v>6.892593032</v>
      </c>
      <c r="F80" s="24" t="n">
        <v>0.494470902</v>
      </c>
      <c r="G80" s="24" t="n">
        <v>4.740920961</v>
      </c>
      <c r="H80" s="24" t="n">
        <v>6.985629464</v>
      </c>
      <c r="I80" s="24" t="n">
        <v>25.386489951</v>
      </c>
      <c r="J80" s="24" t="n">
        <v>1.211654906</v>
      </c>
      <c r="K80" s="24" t="n">
        <v>17.051029392</v>
      </c>
      <c r="L80" s="24" t="n">
        <v>2.26044216</v>
      </c>
      <c r="M80" s="24" t="n">
        <v>11.648128155</v>
      </c>
      <c r="N80" s="24" t="n">
        <v>2.7</v>
      </c>
      <c r="O80" s="24" t="n">
        <v>8.1</v>
      </c>
    </row>
    <row r="81" customFormat="false" ht="15" hidden="false" customHeight="false" outlineLevel="0" collapsed="false">
      <c r="A81" s="37" t="s">
        <v>903</v>
      </c>
      <c r="B81" s="24" t="n">
        <v>0.780452636</v>
      </c>
      <c r="C81" s="24" t="n">
        <v>5.266790081</v>
      </c>
      <c r="D81" s="24" t="n">
        <v>-0.016069978</v>
      </c>
      <c r="E81" s="24" t="n">
        <v>4.513535694</v>
      </c>
      <c r="F81" s="24" t="n">
        <v>3.912046817</v>
      </c>
      <c r="G81" s="24" t="n">
        <v>5.225007747</v>
      </c>
      <c r="H81" s="24" t="n">
        <v>1.702827126</v>
      </c>
      <c r="I81" s="24" t="n">
        <v>9.119836818</v>
      </c>
      <c r="J81" s="24" t="n">
        <v>2.961463974</v>
      </c>
      <c r="K81" s="24" t="n">
        <v>4.665797112</v>
      </c>
      <c r="L81" s="24" t="n">
        <v>0.172997754</v>
      </c>
      <c r="M81" s="24" t="n">
        <v>2.806154496</v>
      </c>
      <c r="N81" s="24" t="n">
        <v>0.5</v>
      </c>
      <c r="O81" s="24" t="n">
        <v>5.5</v>
      </c>
    </row>
    <row r="82" customFormat="false" ht="15" hidden="false" customHeight="false" outlineLevel="0" collapsed="false">
      <c r="A82" s="37" t="s">
        <v>904</v>
      </c>
      <c r="B82" s="24" t="n">
        <v>1.663309563</v>
      </c>
      <c r="C82" s="24" t="n">
        <v>5.818236962</v>
      </c>
      <c r="D82" s="24" t="n">
        <v>1.752893944</v>
      </c>
      <c r="E82" s="24" t="n">
        <v>4.760154809</v>
      </c>
      <c r="F82" s="24" t="n">
        <v>0.035633346</v>
      </c>
      <c r="G82" s="24" t="n">
        <v>6.095916408</v>
      </c>
      <c r="H82" s="24" t="n">
        <v>1.388745097</v>
      </c>
      <c r="I82" s="24" t="n">
        <v>9.152408036</v>
      </c>
      <c r="J82" s="24" t="n">
        <v>0.512010561</v>
      </c>
      <c r="K82" s="24" t="n">
        <v>5.213099546</v>
      </c>
      <c r="L82" s="24" t="n">
        <v>0.470108287</v>
      </c>
      <c r="M82" s="24" t="n">
        <v>2.430648601</v>
      </c>
      <c r="N82" s="24" t="n">
        <v>1.2</v>
      </c>
      <c r="O82" s="24" t="n">
        <v>4.5</v>
      </c>
    </row>
    <row r="83" customFormat="false" ht="15" hidden="false" customHeight="false" outlineLevel="0" collapsed="false">
      <c r="A83" s="37" t="s">
        <v>905</v>
      </c>
      <c r="B83" s="24" t="n">
        <v>-0.254335586</v>
      </c>
      <c r="C83" s="24" t="n">
        <v>3.97535484</v>
      </c>
      <c r="D83" s="24" t="n">
        <v>0.467259939</v>
      </c>
      <c r="E83" s="24" t="n">
        <v>3.597870487</v>
      </c>
      <c r="F83" s="24" t="n">
        <v>0.118761267</v>
      </c>
      <c r="G83" s="24" t="n">
        <v>4.587133748</v>
      </c>
      <c r="H83" s="24" t="n">
        <v>0.863558103</v>
      </c>
      <c r="I83" s="24" t="n">
        <v>11.271131416</v>
      </c>
      <c r="J83" s="24" t="n">
        <v>-0.013957096</v>
      </c>
      <c r="K83" s="24" t="n">
        <v>4.727943677</v>
      </c>
      <c r="L83" s="24" t="n">
        <v>0.773540422</v>
      </c>
      <c r="M83" s="24" t="n">
        <v>3.715036327</v>
      </c>
      <c r="N83" s="24" t="n">
        <v>0.1</v>
      </c>
      <c r="O83" s="24" t="n">
        <v>4.8</v>
      </c>
    </row>
    <row r="84" customFormat="false" ht="15" hidden="false" customHeight="false" outlineLevel="0" collapsed="false">
      <c r="A84" s="37" t="s">
        <v>906</v>
      </c>
      <c r="B84" s="24" t="n">
        <v>0.139480742</v>
      </c>
      <c r="C84" s="24" t="n">
        <v>2.338703545</v>
      </c>
      <c r="D84" s="24" t="n">
        <v>0.998497029</v>
      </c>
      <c r="E84" s="24" t="n">
        <v>3.232499329</v>
      </c>
      <c r="F84" s="24" t="n">
        <v>1.506023631</v>
      </c>
      <c r="G84" s="24" t="n">
        <v>5.639882219</v>
      </c>
      <c r="H84" s="24" t="n">
        <v>0.560746349</v>
      </c>
      <c r="I84" s="24" t="n">
        <v>4.588888044</v>
      </c>
      <c r="J84" s="24" t="n">
        <v>0.395949408</v>
      </c>
      <c r="K84" s="24" t="n">
        <v>3.883898992</v>
      </c>
      <c r="L84" s="24" t="n">
        <v>0.123179429</v>
      </c>
      <c r="M84" s="24" t="n">
        <v>1.5473723</v>
      </c>
      <c r="N84" s="24" t="n">
        <v>-0.7</v>
      </c>
      <c r="O84" s="24" t="n">
        <v>0.8</v>
      </c>
    </row>
    <row r="85" customFormat="false" ht="15" hidden="false" customHeight="false" outlineLevel="0" collapsed="false">
      <c r="A85" s="37" t="s">
        <v>907</v>
      </c>
      <c r="B85" s="24" t="n">
        <v>0.673871643</v>
      </c>
      <c r="C85" s="24" t="n">
        <v>2.230474614</v>
      </c>
      <c r="D85" s="24" t="n">
        <v>0.257904686</v>
      </c>
      <c r="E85" s="24" t="n">
        <v>3.515375681</v>
      </c>
      <c r="F85" s="24" t="n">
        <v>1.702269693</v>
      </c>
      <c r="G85" s="24" t="n">
        <v>3.393361222</v>
      </c>
      <c r="H85" s="24" t="n">
        <v>0.101372656</v>
      </c>
      <c r="I85" s="24" t="n">
        <v>2.941988474</v>
      </c>
      <c r="J85" s="24" t="n">
        <v>0.50695972</v>
      </c>
      <c r="K85" s="24" t="n">
        <v>1.407404757</v>
      </c>
      <c r="L85" s="24" t="n">
        <v>0.321792367</v>
      </c>
      <c r="M85" s="24" t="n">
        <v>1.698208377</v>
      </c>
      <c r="N85" s="24" t="n">
        <v>3.3</v>
      </c>
      <c r="O85" s="24" t="n">
        <v>4</v>
      </c>
    </row>
    <row r="86" customFormat="false" ht="15" hidden="false" customHeight="false" outlineLevel="0" collapsed="false">
      <c r="A86" s="37" t="s">
        <v>908</v>
      </c>
      <c r="B86" s="24" t="n">
        <v>0.669677402</v>
      </c>
      <c r="C86" s="24" t="n">
        <v>1.231299121</v>
      </c>
      <c r="D86" s="24" t="n">
        <v>-0.399602587</v>
      </c>
      <c r="E86" s="24" t="n">
        <v>1.325595337</v>
      </c>
      <c r="F86" s="24" t="n">
        <v>-0.744075542</v>
      </c>
      <c r="G86" s="24" t="n">
        <v>2.587481156</v>
      </c>
      <c r="H86" s="24" t="n">
        <v>0.288444884</v>
      </c>
      <c r="I86" s="24" t="n">
        <v>1.824832011</v>
      </c>
      <c r="J86" s="24" t="n">
        <v>0.403675791</v>
      </c>
      <c r="K86" s="24" t="n">
        <v>1.298104905</v>
      </c>
      <c r="L86" s="24" t="n">
        <v>-0.330188755</v>
      </c>
      <c r="M86" s="24" t="n">
        <v>0.888128874</v>
      </c>
      <c r="N86" s="24" t="n">
        <v>0.5</v>
      </c>
      <c r="O86" s="24" t="n">
        <v>3</v>
      </c>
    </row>
    <row r="87" customFormat="false" ht="15" hidden="false" customHeight="false" outlineLevel="0" collapsed="false">
      <c r="A87" s="37" t="s">
        <v>909</v>
      </c>
      <c r="B87" s="24" t="n">
        <v>0.827889187</v>
      </c>
      <c r="C87" s="24" t="n">
        <v>2.329642797</v>
      </c>
      <c r="D87" s="24" t="n">
        <v>0.221850849</v>
      </c>
      <c r="E87" s="24" t="n">
        <v>1.078089611</v>
      </c>
      <c r="F87" s="24" t="n">
        <v>0.362813329</v>
      </c>
      <c r="G87" s="24" t="n">
        <v>2.837551033</v>
      </c>
      <c r="H87" s="24" t="n">
        <v>0.147777145</v>
      </c>
      <c r="I87" s="24" t="n">
        <v>1.102229346</v>
      </c>
      <c r="J87" s="24" t="n">
        <v>0.143812336</v>
      </c>
      <c r="K87" s="24" t="n">
        <v>1.457944659</v>
      </c>
      <c r="L87" s="24" t="n">
        <v>-0.679141931</v>
      </c>
      <c r="M87" s="24" t="n">
        <v>-0.566205308</v>
      </c>
      <c r="N87" s="24" t="n">
        <v>1.6</v>
      </c>
      <c r="O87" s="24" t="n">
        <v>4.7</v>
      </c>
    </row>
    <row r="88" customFormat="false" ht="15" hidden="false" customHeight="false" outlineLevel="0" collapsed="false">
      <c r="A88" s="37" t="s">
        <v>910</v>
      </c>
      <c r="B88" s="24" t="n">
        <v>0.537107953</v>
      </c>
      <c r="C88" s="24" t="n">
        <v>2.735966559</v>
      </c>
      <c r="D88" s="24" t="n">
        <v>0.685675794</v>
      </c>
      <c r="E88" s="24" t="n">
        <v>0.765021855</v>
      </c>
      <c r="F88" s="24" t="n">
        <v>-0.658913303</v>
      </c>
      <c r="G88" s="24" t="n">
        <v>0.644215066</v>
      </c>
      <c r="H88" s="24" t="n">
        <v>0.042278946</v>
      </c>
      <c r="I88" s="24" t="n">
        <v>0.580970185</v>
      </c>
      <c r="J88" s="24" t="n">
        <v>0.930754731</v>
      </c>
      <c r="K88" s="24" t="n">
        <v>1.998407189</v>
      </c>
      <c r="L88" s="24" t="n">
        <v>-0.104839542</v>
      </c>
      <c r="M88" s="24" t="n">
        <v>-0.792654286</v>
      </c>
      <c r="N88" s="24" t="n">
        <v>1.3</v>
      </c>
      <c r="O88" s="24" t="n">
        <v>6.5</v>
      </c>
    </row>
    <row r="89" customFormat="false" ht="15" hidden="false" customHeight="false" outlineLevel="0" collapsed="false">
      <c r="A89" s="37" t="s">
        <v>911</v>
      </c>
      <c r="B89" s="24" t="n">
        <v>1.112786521</v>
      </c>
      <c r="C89" s="24" t="n">
        <v>3.183871696</v>
      </c>
      <c r="D89" s="24" t="n">
        <v>0.955830586</v>
      </c>
      <c r="E89" s="24" t="n">
        <v>1.466477952</v>
      </c>
      <c r="F89" s="24" t="n">
        <v>-0.890069403</v>
      </c>
      <c r="G89" s="24" t="n">
        <v>-1.921154756</v>
      </c>
      <c r="H89" s="24" t="n">
        <v>-0.155837729</v>
      </c>
      <c r="I89" s="24" t="n">
        <v>0.322527476</v>
      </c>
      <c r="J89" s="24" t="n">
        <v>0.367187093</v>
      </c>
      <c r="K89" s="24" t="n">
        <v>1.856560441</v>
      </c>
      <c r="L89" s="24" t="n">
        <v>0.152646141</v>
      </c>
      <c r="M89" s="24" t="n">
        <v>-0.959921514</v>
      </c>
      <c r="N89" s="24" t="n">
        <v>1.6</v>
      </c>
      <c r="O89" s="24" t="n">
        <v>5</v>
      </c>
    </row>
    <row r="90" customFormat="false" ht="15" hidden="false" customHeight="false" outlineLevel="0" collapsed="false">
      <c r="A90" s="37" t="s">
        <v>912</v>
      </c>
      <c r="B90" s="24" t="n">
        <v>0.895596947</v>
      </c>
      <c r="C90" s="24" t="n">
        <v>3.415433512</v>
      </c>
      <c r="D90" s="24" t="n">
        <v>0.730814634</v>
      </c>
      <c r="E90" s="24" t="n">
        <v>2.618074302</v>
      </c>
      <c r="F90" s="24" t="n">
        <v>2.06244974</v>
      </c>
      <c r="G90" s="24" t="n">
        <v>0.852087852</v>
      </c>
      <c r="H90" s="24" t="n">
        <v>-0.258696188</v>
      </c>
      <c r="I90" s="24" t="n">
        <v>-0.22479954</v>
      </c>
      <c r="J90" s="24" t="n">
        <v>0.504201629</v>
      </c>
      <c r="K90" s="24" t="n">
        <v>1.958540931</v>
      </c>
      <c r="L90" s="24" t="n">
        <v>-0.304824784</v>
      </c>
      <c r="M90" s="24" t="n">
        <v>-0.934717797</v>
      </c>
      <c r="N90" s="24" t="n">
        <v>0.8</v>
      </c>
      <c r="O90" s="24" t="n">
        <v>5.3</v>
      </c>
    </row>
    <row r="91" customFormat="false" ht="15" hidden="false" customHeight="false" outlineLevel="0" collapsed="false">
      <c r="A91" s="37" t="s">
        <v>913</v>
      </c>
      <c r="B91" s="24" t="n">
        <v>0.3591547</v>
      </c>
      <c r="C91" s="24" t="n">
        <v>2.9346699</v>
      </c>
      <c r="D91" s="24" t="n">
        <v>1.012795124</v>
      </c>
      <c r="E91" s="24" t="n">
        <v>3.427929416</v>
      </c>
      <c r="F91" s="24" t="n">
        <v>0.202241535</v>
      </c>
      <c r="G91" s="24" t="n">
        <v>0.690733262</v>
      </c>
      <c r="H91" s="24" t="n">
        <v>0.732174789</v>
      </c>
      <c r="I91" s="24" t="n">
        <v>0.357423988</v>
      </c>
      <c r="J91" s="24" t="n">
        <v>0.24469983</v>
      </c>
      <c r="K91" s="24" t="n">
        <v>2.06125663</v>
      </c>
      <c r="L91" s="24" t="n">
        <v>0.212596031</v>
      </c>
      <c r="M91" s="24" t="n">
        <v>-0.045274486</v>
      </c>
      <c r="N91" s="24" t="n">
        <v>1.3</v>
      </c>
      <c r="O91" s="24" t="n">
        <v>5.3</v>
      </c>
    </row>
    <row r="92" customFormat="false" ht="15" hidden="false" customHeight="false" outlineLevel="0" collapsed="false">
      <c r="A92" s="37" t="s">
        <v>914</v>
      </c>
      <c r="B92" s="24" t="n">
        <v>0.882934853</v>
      </c>
      <c r="C92" s="24" t="n">
        <v>3.288743919</v>
      </c>
      <c r="D92" s="24" t="n">
        <v>-0.151189741</v>
      </c>
      <c r="E92" s="24" t="n">
        <v>2.568271189</v>
      </c>
      <c r="F92" s="24" t="n">
        <v>1.117611152</v>
      </c>
      <c r="G92" s="24" t="n">
        <v>2.491393553</v>
      </c>
      <c r="H92" s="24" t="n">
        <v>0.62042339</v>
      </c>
      <c r="I92" s="24" t="n">
        <v>0.937389655</v>
      </c>
      <c r="J92" s="24" t="n">
        <v>0.221237484</v>
      </c>
      <c r="K92" s="24" t="n">
        <v>1.343792246</v>
      </c>
      <c r="L92" s="24" t="n">
        <v>-0.133488795</v>
      </c>
      <c r="M92" s="24" t="n">
        <v>-0.073940821</v>
      </c>
      <c r="N92" s="24" t="n">
        <v>1</v>
      </c>
      <c r="O92" s="24" t="n">
        <v>4.7</v>
      </c>
    </row>
    <row r="93" customFormat="false" ht="15" hidden="false" customHeight="false" outlineLevel="0" collapsed="false">
      <c r="A93" s="37" t="s">
        <v>915</v>
      </c>
      <c r="B93" s="24" t="n">
        <v>0.779097013</v>
      </c>
      <c r="C93" s="24" t="n">
        <v>2.947873379</v>
      </c>
      <c r="D93" s="24" t="n">
        <v>0.055197469</v>
      </c>
      <c r="E93" s="24" t="n">
        <v>1.653253391</v>
      </c>
      <c r="F93" s="24" t="n">
        <v>-0.885828513</v>
      </c>
      <c r="G93" s="24" t="n">
        <v>2.495779135</v>
      </c>
      <c r="H93" s="24" t="n">
        <v>0.171330747</v>
      </c>
      <c r="I93" s="24" t="n">
        <v>1.268140409</v>
      </c>
      <c r="J93" s="24" t="n">
        <v>0.434986301</v>
      </c>
      <c r="K93" s="24" t="n">
        <v>1.412251162</v>
      </c>
      <c r="L93" s="24" t="n">
        <v>0.105029425</v>
      </c>
      <c r="M93" s="24" t="n">
        <v>-0.121449807</v>
      </c>
      <c r="N93" s="24" t="n">
        <v>1.4</v>
      </c>
      <c r="O93" s="24" t="n">
        <v>4.6</v>
      </c>
    </row>
    <row r="94" customFormat="false" ht="15" hidden="false" customHeight="false" outlineLevel="0" collapsed="false">
      <c r="A94" s="37" t="s">
        <v>916</v>
      </c>
      <c r="B94" s="24" t="n">
        <v>0.595695812</v>
      </c>
      <c r="C94" s="24" t="n">
        <v>2.641872076</v>
      </c>
      <c r="D94" s="24" t="n">
        <v>0.23638284</v>
      </c>
      <c r="E94" s="24" t="n">
        <v>1.154293855</v>
      </c>
      <c r="F94" s="24" t="n">
        <v>-0.30111298</v>
      </c>
      <c r="G94" s="24" t="n">
        <v>0.122181371</v>
      </c>
      <c r="H94" s="24" t="n">
        <v>0.359536658</v>
      </c>
      <c r="I94" s="24" t="n">
        <v>1.895837143</v>
      </c>
      <c r="J94" s="24" t="n">
        <v>-0.011980429</v>
      </c>
      <c r="K94" s="24" t="n">
        <v>0.89140543</v>
      </c>
      <c r="L94" s="24" t="n">
        <v>0.219359019</v>
      </c>
      <c r="M94" s="24" t="n">
        <v>0.403698156</v>
      </c>
      <c r="N94" s="24" t="n">
        <v>1.6</v>
      </c>
      <c r="O94" s="24" t="n">
        <v>5.4</v>
      </c>
    </row>
    <row r="95" customFormat="false" ht="15" hidden="false" customHeight="false" outlineLevel="0" collapsed="false">
      <c r="A95" s="37" t="s">
        <v>917</v>
      </c>
      <c r="B95" s="24" t="n">
        <v>0.035758761</v>
      </c>
      <c r="C95" s="24" t="n">
        <v>2.31112034</v>
      </c>
      <c r="D95" s="24" t="n">
        <v>-0.172350632</v>
      </c>
      <c r="E95" s="24" t="n">
        <v>-0.032512053</v>
      </c>
      <c r="F95" s="24" t="n">
        <v>0.406674777</v>
      </c>
      <c r="G95" s="24" t="n">
        <v>0.326451273</v>
      </c>
      <c r="H95" s="24" t="n">
        <v>0.600186317</v>
      </c>
      <c r="I95" s="24" t="n">
        <v>1.762323934</v>
      </c>
      <c r="J95" s="24" t="n">
        <v>0.168429474</v>
      </c>
      <c r="K95" s="24" t="n">
        <v>0.814643033</v>
      </c>
      <c r="L95" s="24" t="n">
        <v>0.118949564</v>
      </c>
      <c r="M95" s="24" t="n">
        <v>0.309873109</v>
      </c>
      <c r="N95" s="24" t="n">
        <v>1.1</v>
      </c>
      <c r="O95" s="24" t="n">
        <v>5.4</v>
      </c>
    </row>
    <row r="96" customFormat="false" ht="15" hidden="false" customHeight="false" outlineLevel="0" collapsed="false">
      <c r="A96" s="37" t="s">
        <v>918</v>
      </c>
      <c r="B96" s="24" t="n">
        <v>0.990900167</v>
      </c>
      <c r="C96" s="24" t="n">
        <v>2.420614103</v>
      </c>
      <c r="D96" s="24" t="n">
        <v>0.649565562</v>
      </c>
      <c r="E96" s="24" t="n">
        <v>0.769195007</v>
      </c>
      <c r="F96" s="24" t="n">
        <v>0.97899012</v>
      </c>
      <c r="G96" s="24" t="n">
        <v>0.188914834</v>
      </c>
      <c r="H96" s="24" t="n">
        <v>0.007081372</v>
      </c>
      <c r="I96" s="24" t="n">
        <v>1.142021345</v>
      </c>
      <c r="J96" s="24" t="n">
        <v>0.235914169</v>
      </c>
      <c r="K96" s="24" t="n">
        <v>0.829406617</v>
      </c>
      <c r="L96" s="24" t="n">
        <v>-0.019007482</v>
      </c>
      <c r="M96" s="24" t="n">
        <v>0.424862666</v>
      </c>
      <c r="N96" s="24" t="n">
        <v>1.2</v>
      </c>
      <c r="O96" s="24" t="n">
        <v>5.2</v>
      </c>
    </row>
    <row r="97" customFormat="false" ht="15" hidden="false" customHeight="false" outlineLevel="0" collapsed="false">
      <c r="A97" s="37" t="s">
        <v>919</v>
      </c>
      <c r="B97" s="24" t="n">
        <v>0.956278748</v>
      </c>
      <c r="C97" s="24" t="n">
        <v>2.600681821</v>
      </c>
      <c r="D97" s="24" t="n">
        <v>1.361748496</v>
      </c>
      <c r="E97" s="24" t="n">
        <v>2.08506963</v>
      </c>
      <c r="F97" s="24" t="n">
        <v>1.157836733</v>
      </c>
      <c r="G97" s="24" t="n">
        <v>2.25474054</v>
      </c>
      <c r="H97" s="24" t="n">
        <v>0.18206007</v>
      </c>
      <c r="I97" s="24" t="n">
        <v>1.152854639</v>
      </c>
      <c r="J97" s="24" t="n">
        <v>0.423739837</v>
      </c>
      <c r="K97" s="24" t="n">
        <v>0.818115987</v>
      </c>
      <c r="L97" s="24" t="n">
        <v>-0.028519924</v>
      </c>
      <c r="M97" s="24" t="n">
        <v>0.29088663</v>
      </c>
      <c r="N97" s="24" t="n">
        <v>1.1</v>
      </c>
      <c r="O97" s="24" t="n">
        <v>4.8</v>
      </c>
    </row>
    <row r="98" customFormat="false" ht="15" hidden="false" customHeight="false" outlineLevel="0" collapsed="false">
      <c r="A98" s="37" t="s">
        <v>920</v>
      </c>
      <c r="B98" s="24" t="n">
        <v>0.051893243</v>
      </c>
      <c r="C98" s="24" t="n">
        <v>2.046040652</v>
      </c>
      <c r="D98" s="24" t="n">
        <v>-0.108404383</v>
      </c>
      <c r="E98" s="24" t="n">
        <v>1.733923403</v>
      </c>
      <c r="F98" s="24" t="n">
        <v>-0.579855811</v>
      </c>
      <c r="G98" s="24" t="n">
        <v>1.968851934</v>
      </c>
      <c r="H98" s="24" t="n">
        <v>0.011009773</v>
      </c>
      <c r="I98" s="24" t="n">
        <v>0.801572732</v>
      </c>
      <c r="J98" s="24" t="n">
        <v>0.262936734</v>
      </c>
      <c r="K98" s="24" t="n">
        <v>1.095315501</v>
      </c>
      <c r="L98" s="24" t="n">
        <v>0.266259706</v>
      </c>
      <c r="M98" s="24" t="n">
        <v>0.337820791</v>
      </c>
      <c r="N98" s="24" t="n">
        <v>1.1</v>
      </c>
      <c r="O98" s="24" t="n">
        <v>4.5</v>
      </c>
    </row>
    <row r="99" customFormat="false" ht="15" hidden="false" customHeight="false" outlineLevel="0" collapsed="false">
      <c r="A99" s="37" t="s">
        <v>921</v>
      </c>
      <c r="B99" s="24" t="n">
        <v>0.617206398</v>
      </c>
      <c r="C99" s="24" t="n">
        <v>2.639172848</v>
      </c>
      <c r="D99" s="24" t="n">
        <v>1.830965725</v>
      </c>
      <c r="E99" s="24" t="n">
        <v>3.775494392</v>
      </c>
      <c r="F99" s="24" t="n">
        <v>0.351932373</v>
      </c>
      <c r="G99" s="24" t="n">
        <v>1.91325782</v>
      </c>
      <c r="H99" s="24" t="n">
        <v>0.641214693</v>
      </c>
      <c r="I99" s="24" t="n">
        <v>0.842683241</v>
      </c>
      <c r="J99" s="24" t="n">
        <v>-0.179883727</v>
      </c>
      <c r="K99" s="24" t="n">
        <v>0.743779263</v>
      </c>
      <c r="L99" s="24" t="n">
        <v>0.445746202</v>
      </c>
      <c r="M99" s="24" t="n">
        <v>0.665331843</v>
      </c>
      <c r="N99" s="24" t="n">
        <v>1.3</v>
      </c>
      <c r="O99" s="24" t="n">
        <v>5</v>
      </c>
    </row>
    <row r="100" customFormat="false" ht="15" hidden="false" customHeight="false" outlineLevel="0" collapsed="false">
      <c r="A100" s="37" t="s">
        <v>922</v>
      </c>
      <c r="B100" s="24" t="n">
        <v>0.55048979</v>
      </c>
      <c r="C100" s="24" t="n">
        <v>2.191574533</v>
      </c>
      <c r="D100" s="24" t="n">
        <v>0.633843747</v>
      </c>
      <c r="E100" s="24" t="n">
        <v>3.759284295</v>
      </c>
      <c r="F100" s="24" t="n">
        <v>0.670853273</v>
      </c>
      <c r="G100" s="24" t="n">
        <v>1.60227006</v>
      </c>
      <c r="H100" s="24" t="n">
        <v>0.532606626</v>
      </c>
      <c r="I100" s="24" t="n">
        <v>1.372599483</v>
      </c>
      <c r="J100" s="24" t="n">
        <v>0.035424583</v>
      </c>
      <c r="K100" s="24" t="n">
        <v>0.542273857</v>
      </c>
      <c r="L100" s="24" t="n">
        <v>0.330473734</v>
      </c>
      <c r="M100" s="24" t="n">
        <v>1.017205151</v>
      </c>
      <c r="N100" s="24" t="n">
        <v>0.9</v>
      </c>
      <c r="O100" s="24" t="n">
        <v>4.3</v>
      </c>
    </row>
    <row r="101" customFormat="false" ht="15" hidden="false" customHeight="false" outlineLevel="0" collapsed="false">
      <c r="A101" s="7" t="s">
        <v>923</v>
      </c>
      <c r="B101" s="11" t="str">
        <f aca="false">INDEX($A$59:$A$100,MATCH(9.99E+307,B59:B100))</f>
        <v>2026-Q2</v>
      </c>
      <c r="C101" s="11" t="str">
        <f aca="false">INDEX($A$59:$A$100,MATCH(9.99E+307,C59:C100))</f>
        <v>2026-Q2</v>
      </c>
      <c r="D101" s="11" t="str">
        <f aca="false">INDEX($A$59:$A$100,MATCH(9.99E+307,D59:D100))</f>
        <v>2026-Q2</v>
      </c>
      <c r="E101" s="11" t="str">
        <f aca="false">INDEX($A$59:$A$100,MATCH(9.99E+307,E59:E100))</f>
        <v>2026-Q2</v>
      </c>
      <c r="F101" s="11" t="str">
        <f aca="false">INDEX($A$59:$A$100,MATCH(9.99E+307,F59:F100))</f>
        <v>2026-Q2</v>
      </c>
      <c r="G101" s="11" t="str">
        <f aca="false">INDEX($A$59:$A$100,MATCH(9.99E+307,G59:G100))</f>
        <v>2026-Q2</v>
      </c>
      <c r="H101" s="11" t="str">
        <f aca="false">INDEX($A$59:$A$100,MATCH(9.99E+307,H59:H100))</f>
        <v>2026-Q2</v>
      </c>
      <c r="I101" s="11" t="str">
        <f aca="false">INDEX($A$59:$A$100,MATCH(9.99E+307,I59:I100))</f>
        <v>2026-Q2</v>
      </c>
      <c r="J101" s="11" t="str">
        <f aca="false">INDEX($A$59:$A$100,MATCH(9.99E+307,J59:J100))</f>
        <v>2026-Q2</v>
      </c>
      <c r="K101" s="11" t="str">
        <f aca="false">INDEX($A$59:$A$100,MATCH(9.99E+307,K59:K100))</f>
        <v>2026-Q2</v>
      </c>
      <c r="L101" s="11" t="str">
        <f aca="false">INDEX($A$59:$A$100,MATCH(9.99E+307,L59:L100))</f>
        <v>2026-Q2</v>
      </c>
      <c r="M101" s="11" t="str">
        <f aca="false">INDEX($A$59:$A$100,MATCH(9.99E+307,M59:M100))</f>
        <v>2026-Q2</v>
      </c>
      <c r="N101" s="11" t="str">
        <f aca="false">INDEX($A$59:$A$100,MATCH(9.99E+307,N59:N100))</f>
        <v>2026-Q2</v>
      </c>
      <c r="O101" s="11" t="str">
        <f aca="false">INDEX($A$59:$A$100,MATCH(9.99E+307,O59:O100))</f>
        <v>2026-Q2</v>
      </c>
    </row>
    <row r="102" customFormat="false" ht="15" hidden="false" customHeight="false" outlineLevel="0" collapsed="false">
      <c r="A102" s="7" t="s">
        <v>924</v>
      </c>
      <c r="B102" s="21" t="n">
        <f aca="false">INDEX(B59:B100,MATCH(9.99E+307,B59:B100))</f>
        <v>0.55048979</v>
      </c>
      <c r="C102" s="21" t="n">
        <f aca="false">INDEX(C59:C100,MATCH(9.99E+307,C59:C100))</f>
        <v>2.191574533</v>
      </c>
      <c r="D102" s="21" t="n">
        <f aca="false">INDEX(D59:D100,MATCH(9.99E+307,D59:D100))</f>
        <v>0.633843747</v>
      </c>
      <c r="E102" s="21" t="n">
        <f aca="false">INDEX(E59:E100,MATCH(9.99E+307,E59:E100))</f>
        <v>3.759284295</v>
      </c>
      <c r="F102" s="21" t="n">
        <f aca="false">INDEX(F59:F100,MATCH(9.99E+307,F59:F100))</f>
        <v>0.670853273</v>
      </c>
      <c r="G102" s="21" t="n">
        <f aca="false">INDEX(G59:G100,MATCH(9.99E+307,G59:G100))</f>
        <v>1.60227006</v>
      </c>
      <c r="H102" s="21" t="n">
        <f aca="false">INDEX(H59:H100,MATCH(9.99E+307,H59:H100))</f>
        <v>0.532606626</v>
      </c>
      <c r="I102" s="21" t="n">
        <f aca="false">INDEX(I59:I100,MATCH(9.99E+307,I59:I100))</f>
        <v>1.372599483</v>
      </c>
      <c r="J102" s="21" t="n">
        <f aca="false">INDEX(J59:J100,MATCH(9.99E+307,J59:J100))</f>
        <v>0.035424583</v>
      </c>
      <c r="K102" s="21" t="n">
        <f aca="false">INDEX(K59:K100,MATCH(9.99E+307,K59:K100))</f>
        <v>0.542273857</v>
      </c>
      <c r="L102" s="21" t="n">
        <f aca="false">INDEX(L59:L100,MATCH(9.99E+307,L59:L100))</f>
        <v>0.330473734</v>
      </c>
      <c r="M102" s="21" t="n">
        <f aca="false">INDEX(M59:M100,MATCH(9.99E+307,M59:M100))</f>
        <v>1.017205151</v>
      </c>
      <c r="N102" s="21" t="n">
        <f aca="false">INDEX(N59:N100,MATCH(9.99E+307,N59:N100))</f>
        <v>0.9</v>
      </c>
      <c r="O102" s="21" t="n">
        <f aca="false">INDEX(O59:O100,MATCH(9.99E+307,O59:O100))</f>
        <v>4.3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7" min="7" style="0" width="13"/>
    <col collapsed="false" customWidth="true" hidden="false" outlineLevel="0" max="8" min="8" style="0" width="30"/>
    <col collapsed="false" customWidth="true" hidden="false" outlineLevel="0" max="39" min="9" style="0" width="13"/>
  </cols>
  <sheetData>
    <row r="1" customFormat="false" ht="16.15" hidden="false" customHeight="false" outlineLevel="0" collapsed="false">
      <c r="A1" s="1" t="s">
        <v>925</v>
      </c>
    </row>
    <row r="2" customFormat="false" ht="15" hidden="false" customHeight="false" outlineLevel="0" collapsed="false">
      <c r="A2" s="2" t="s">
        <v>926</v>
      </c>
    </row>
    <row r="4" customFormat="false" ht="15" hidden="false" customHeight="false" outlineLevel="0" collapsed="false">
      <c r="A4" s="25" t="s">
        <v>927</v>
      </c>
    </row>
    <row r="5" customFormat="false" ht="35.05" hidden="false" customHeight="false" outlineLevel="0" collapsed="false">
      <c r="A5" s="12" t="s">
        <v>755</v>
      </c>
      <c r="B5" s="12" t="s">
        <v>756</v>
      </c>
      <c r="C5" s="12" t="s">
        <v>5</v>
      </c>
      <c r="D5" s="12" t="s">
        <v>6</v>
      </c>
      <c r="E5" s="12" t="s">
        <v>9</v>
      </c>
      <c r="F5" s="12" t="s">
        <v>8</v>
      </c>
      <c r="G5" s="12" t="s">
        <v>461</v>
      </c>
      <c r="H5" s="12" t="s">
        <v>757</v>
      </c>
      <c r="I5" s="12" t="s">
        <v>758</v>
      </c>
      <c r="J5" s="12" t="s">
        <v>759</v>
      </c>
      <c r="K5" s="12" t="s">
        <v>760</v>
      </c>
      <c r="L5" s="12" t="s">
        <v>761</v>
      </c>
      <c r="M5" s="12" t="s">
        <v>762</v>
      </c>
      <c r="N5" s="12" t="s">
        <v>763</v>
      </c>
      <c r="O5" s="12" t="s">
        <v>764</v>
      </c>
      <c r="P5" s="12" t="s">
        <v>765</v>
      </c>
      <c r="Q5" s="12" t="s">
        <v>766</v>
      </c>
      <c r="R5" s="12" t="s">
        <v>767</v>
      </c>
      <c r="S5" s="12" t="s">
        <v>768</v>
      </c>
      <c r="T5" s="12" t="s">
        <v>769</v>
      </c>
      <c r="U5" s="12" t="s">
        <v>770</v>
      </c>
      <c r="V5" s="12" t="s">
        <v>526</v>
      </c>
      <c r="W5" s="12" t="s">
        <v>775</v>
      </c>
      <c r="X5" s="12" t="s">
        <v>776</v>
      </c>
    </row>
    <row r="6" customFormat="false" ht="15" hidden="false" customHeight="false" outlineLevel="0" collapsed="false">
      <c r="A6" s="2" t="s">
        <v>928</v>
      </c>
      <c r="B6" s="2" t="s">
        <v>778</v>
      </c>
      <c r="C6" s="2" t="s">
        <v>469</v>
      </c>
      <c r="D6" s="2" t="s">
        <v>503</v>
      </c>
      <c r="E6" s="2" t="s">
        <v>506</v>
      </c>
      <c r="F6" s="2" t="s">
        <v>929</v>
      </c>
      <c r="G6" s="23" t="n">
        <v>12.3413554322086</v>
      </c>
      <c r="H6" s="23" t="n">
        <v>13.5634637825829</v>
      </c>
      <c r="I6" s="23" t="n">
        <v>13.6440512687054</v>
      </c>
      <c r="J6" s="23" t="n">
        <v>13.5534918818154</v>
      </c>
      <c r="K6" s="23" t="n">
        <v>13.5082142132235</v>
      </c>
      <c r="L6" s="23" t="n">
        <v>12.4111486301271</v>
      </c>
      <c r="M6" s="23" t="n">
        <v>11.8881592273253</v>
      </c>
      <c r="N6" s="23" t="n">
        <v>12.177481026766</v>
      </c>
      <c r="O6" s="23" t="n">
        <v>12.2871107596266</v>
      </c>
      <c r="P6" s="23" t="n">
        <v>11.7891974097286</v>
      </c>
      <c r="Q6" s="23" t="n">
        <v>10.1230809550527</v>
      </c>
      <c r="R6" s="23" t="n">
        <v>10.8266687797107</v>
      </c>
      <c r="S6" s="23" t="n">
        <v>11.6540970440015</v>
      </c>
      <c r="T6" s="23" t="n">
        <v>11.0506737190927</v>
      </c>
      <c r="U6" s="23" t="n">
        <v>10.97469647515</v>
      </c>
      <c r="W6" s="11" t="str">
        <f aca="false">IFERROR(INDEX($G$5:$V$5,MATCH(9.99E+307,$G6:$V6)),"N/A")</f>
        <v>2024</v>
      </c>
      <c r="X6" s="20" t="n">
        <f aca="false">IFERROR(INDEX($G6:$V6,MATCH(9.99E+307,$G6:$V6)),"N/A")</f>
        <v>10.97469647515</v>
      </c>
    </row>
    <row r="7" customFormat="false" ht="15" hidden="false" customHeight="false" outlineLevel="0" collapsed="false">
      <c r="A7" s="2" t="s">
        <v>928</v>
      </c>
      <c r="B7" s="2" t="s">
        <v>781</v>
      </c>
      <c r="C7" s="2" t="s">
        <v>469</v>
      </c>
      <c r="D7" s="2" t="s">
        <v>503</v>
      </c>
      <c r="E7" s="2" t="s">
        <v>506</v>
      </c>
      <c r="F7" s="2" t="s">
        <v>930</v>
      </c>
      <c r="G7" s="23" t="n">
        <v>45.2718606886955</v>
      </c>
      <c r="H7" s="23" t="n">
        <v>51.2813207677942</v>
      </c>
      <c r="I7" s="23" t="n">
        <v>52.0235312085188</v>
      </c>
      <c r="J7" s="23" t="n">
        <v>49.2338591040691</v>
      </c>
      <c r="K7" s="23" t="n">
        <v>45.7876203673052</v>
      </c>
      <c r="L7" s="23" t="n">
        <v>40.9681314540182</v>
      </c>
      <c r="M7" s="23" t="n">
        <v>38.1129875583911</v>
      </c>
      <c r="N7" s="23" t="n">
        <v>38.8488899920532</v>
      </c>
      <c r="O7" s="23" t="n">
        <v>39.4523497931837</v>
      </c>
      <c r="P7" s="23" t="n">
        <v>37.0413266370488</v>
      </c>
      <c r="Q7" s="23" t="n">
        <v>34.6152001987888</v>
      </c>
      <c r="R7" s="23" t="n">
        <v>39.3388192669479</v>
      </c>
      <c r="S7" s="23" t="n">
        <v>45.294860984133</v>
      </c>
      <c r="T7" s="23" t="n">
        <v>41.3214807367697</v>
      </c>
      <c r="U7" s="23" t="n">
        <v>44.3582383593234</v>
      </c>
      <c r="V7" s="23" t="n">
        <v>45.7630385215931</v>
      </c>
      <c r="W7" s="11" t="str">
        <f aca="false">IFERROR(INDEX($G$5:$V$5,MATCH(9.99E+307,$G7:$V7)),"N/A")</f>
        <v>2025</v>
      </c>
      <c r="X7" s="20" t="n">
        <f aca="false">IFERROR(INDEX($G7:$V7,MATCH(9.99E+307,$G7:$V7)),"N/A")</f>
        <v>45.7630385215931</v>
      </c>
    </row>
    <row r="8" customFormat="false" ht="15" hidden="false" customHeight="false" outlineLevel="0" collapsed="false">
      <c r="A8" s="2" t="s">
        <v>928</v>
      </c>
      <c r="B8" s="2" t="s">
        <v>783</v>
      </c>
      <c r="C8" s="2" t="s">
        <v>469</v>
      </c>
      <c r="D8" s="2" t="s">
        <v>503</v>
      </c>
      <c r="E8" s="2" t="s">
        <v>506</v>
      </c>
      <c r="F8" s="2" t="s">
        <v>931</v>
      </c>
      <c r="G8" s="23" t="n">
        <v>39.5703457442809</v>
      </c>
      <c r="H8" s="23" t="n">
        <v>41.0021893059034</v>
      </c>
      <c r="I8" s="23" t="n">
        <v>40.6221948688402</v>
      </c>
      <c r="J8" s="23" t="n">
        <v>39.1524912574603</v>
      </c>
      <c r="K8" s="23" t="n">
        <v>39.0079819454092</v>
      </c>
      <c r="L8" s="23" t="n">
        <v>37.7795790425628</v>
      </c>
      <c r="M8" s="23" t="n">
        <v>35.0792306836966</v>
      </c>
      <c r="N8" s="23" t="n">
        <v>35.7799907512702</v>
      </c>
      <c r="O8" s="23" t="n">
        <v>37.3017822287814</v>
      </c>
      <c r="P8" s="23" t="n">
        <v>35.6950517697888</v>
      </c>
      <c r="Q8" s="23" t="n">
        <v>31.3463505764851</v>
      </c>
      <c r="R8" s="23" t="n">
        <v>41.7846805150434</v>
      </c>
      <c r="S8" s="23" t="n">
        <v>53.5795492360197</v>
      </c>
      <c r="T8" s="23" t="n">
        <v>46.4049617701132</v>
      </c>
      <c r="U8" s="23" t="n">
        <v>46.3794958458439</v>
      </c>
      <c r="V8" s="23" t="n">
        <v>45.3729560131418</v>
      </c>
      <c r="W8" s="11" t="str">
        <f aca="false">IFERROR(INDEX($G$5:$V$5,MATCH(9.99E+307,$G8:$V8)),"N/A")</f>
        <v>2025</v>
      </c>
      <c r="X8" s="20" t="n">
        <f aca="false">IFERROR(INDEX($G8:$V8,MATCH(9.99E+307,$G8:$V8)),"N/A")</f>
        <v>45.3729560131418</v>
      </c>
    </row>
    <row r="9" customFormat="false" ht="15" hidden="false" customHeight="false" outlineLevel="0" collapsed="false">
      <c r="A9" s="2" t="s">
        <v>928</v>
      </c>
      <c r="B9" s="2" t="s">
        <v>785</v>
      </c>
      <c r="C9" s="2" t="s">
        <v>469</v>
      </c>
      <c r="D9" s="2" t="s">
        <v>503</v>
      </c>
      <c r="E9" s="2" t="s">
        <v>506</v>
      </c>
      <c r="F9" s="2" t="s">
        <v>932</v>
      </c>
      <c r="G9" s="23" t="n">
        <v>28.7463664387355</v>
      </c>
      <c r="H9" s="23" t="n">
        <v>31.2649218986254</v>
      </c>
      <c r="I9" s="23" t="n">
        <v>30.4995388300455</v>
      </c>
      <c r="J9" s="23" t="n">
        <v>30.2076160154538</v>
      </c>
      <c r="K9" s="23" t="n">
        <v>28.5320090066163</v>
      </c>
      <c r="L9" s="23" t="n">
        <v>27.8790736176463</v>
      </c>
      <c r="M9" s="23" t="n">
        <v>29.0615561502528</v>
      </c>
      <c r="N9" s="23" t="n">
        <v>30.9738310965649</v>
      </c>
      <c r="O9" s="23" t="n">
        <v>31.854534000688</v>
      </c>
      <c r="P9" s="23" t="n">
        <v>31.9028602803155</v>
      </c>
      <c r="Q9" s="23" t="n">
        <v>29.9486520576829</v>
      </c>
      <c r="R9" s="23" t="n">
        <v>29.2894071087705</v>
      </c>
      <c r="S9" s="23" t="n">
        <v>34.0619283837069</v>
      </c>
      <c r="T9" s="23" t="n">
        <v>31.9122697629938</v>
      </c>
      <c r="U9" s="23" t="n">
        <v>31.0561435739375</v>
      </c>
      <c r="V9" s="23" t="n">
        <v>30.5969582161816</v>
      </c>
      <c r="W9" s="11" t="str">
        <f aca="false">IFERROR(INDEX($G$5:$V$5,MATCH(9.99E+307,$G9:$V9)),"N/A")</f>
        <v>2025</v>
      </c>
      <c r="X9" s="20" t="n">
        <f aca="false">IFERROR(INDEX($G9:$V9,MATCH(9.99E+307,$G9:$V9)),"N/A")</f>
        <v>30.5969582161816</v>
      </c>
    </row>
    <row r="10" customFormat="false" ht="15" hidden="false" customHeight="false" outlineLevel="0" collapsed="false">
      <c r="A10" s="2" t="s">
        <v>928</v>
      </c>
      <c r="B10" s="2" t="s">
        <v>787</v>
      </c>
      <c r="C10" s="2" t="s">
        <v>469</v>
      </c>
      <c r="D10" s="2" t="s">
        <v>503</v>
      </c>
      <c r="E10" s="2" t="s">
        <v>506</v>
      </c>
      <c r="F10" s="2" t="s">
        <v>933</v>
      </c>
      <c r="G10" s="23" t="n">
        <v>27.8264880915553</v>
      </c>
      <c r="H10" s="23" t="n">
        <v>29.538847336075</v>
      </c>
      <c r="I10" s="23" t="n">
        <v>30.3556786527444</v>
      </c>
      <c r="J10" s="23" t="n">
        <v>30.5912853427773</v>
      </c>
      <c r="K10" s="23" t="n">
        <v>30.741812901515</v>
      </c>
      <c r="L10" s="23" t="n">
        <v>31.6934947262689</v>
      </c>
      <c r="M10" s="23" t="n">
        <v>31.498210070063</v>
      </c>
      <c r="N10" s="23" t="n">
        <v>32.311834044929</v>
      </c>
      <c r="O10" s="23" t="n">
        <v>32.9179818922164</v>
      </c>
      <c r="P10" s="23" t="n">
        <v>32.8895429451147</v>
      </c>
      <c r="Q10" s="23" t="n">
        <v>28.5572228192655</v>
      </c>
      <c r="R10" s="23" t="n">
        <v>31.2880499332105</v>
      </c>
      <c r="S10" s="23" t="n">
        <v>36.6160484268785</v>
      </c>
      <c r="T10" s="23" t="n">
        <v>34.4562568778842</v>
      </c>
      <c r="U10" s="23" t="n">
        <v>33.8897542343832</v>
      </c>
      <c r="V10" s="23" t="n">
        <v>33.3928225145364</v>
      </c>
      <c r="W10" s="11" t="str">
        <f aca="false">IFERROR(INDEX($G$5:$V$5,MATCH(9.99E+307,$G10:$V10)),"N/A")</f>
        <v>2025</v>
      </c>
      <c r="X10" s="20" t="n">
        <f aca="false">IFERROR(INDEX($G10:$V10,MATCH(9.99E+307,$G10:$V10)),"N/A")</f>
        <v>33.3928225145364</v>
      </c>
    </row>
    <row r="11" customFormat="false" ht="15" hidden="false" customHeight="false" outlineLevel="0" collapsed="false">
      <c r="A11" s="2" t="s">
        <v>928</v>
      </c>
      <c r="B11" s="2" t="s">
        <v>789</v>
      </c>
      <c r="C11" s="2" t="s">
        <v>469</v>
      </c>
      <c r="D11" s="2" t="s">
        <v>503</v>
      </c>
      <c r="E11" s="2" t="s">
        <v>506</v>
      </c>
      <c r="F11" s="2" t="s">
        <v>934</v>
      </c>
      <c r="G11" s="23" t="n">
        <v>39.4953465429823</v>
      </c>
      <c r="H11" s="23" t="n">
        <v>41.6436286591115</v>
      </c>
      <c r="I11" s="23" t="n">
        <v>42.6855834357406</v>
      </c>
      <c r="J11" s="23" t="n">
        <v>41.6802838324356</v>
      </c>
      <c r="K11" s="23" t="n">
        <v>41.6936675523627</v>
      </c>
      <c r="L11" s="23" t="n">
        <v>42.5853976151835</v>
      </c>
      <c r="M11" s="23" t="n">
        <v>41.6355419518592</v>
      </c>
      <c r="N11" s="23" t="n">
        <v>42.2029575981591</v>
      </c>
      <c r="O11" s="23" t="n">
        <v>42.4968914074717</v>
      </c>
      <c r="P11" s="23" t="n">
        <v>42.3402444816356</v>
      </c>
      <c r="Q11" s="23" t="n">
        <v>39.1198068808828</v>
      </c>
      <c r="R11" s="23" t="n">
        <v>42.5198379291429</v>
      </c>
      <c r="S11" s="23" t="n">
        <v>45.6284043425185</v>
      </c>
      <c r="T11" s="23" t="n">
        <v>42.9672624196847</v>
      </c>
      <c r="U11" s="23" t="n">
        <v>41.4340593720908</v>
      </c>
      <c r="V11" s="23" t="n">
        <v>40.4347738545071</v>
      </c>
      <c r="W11" s="11" t="str">
        <f aca="false">IFERROR(INDEX($G$5:$V$5,MATCH(9.99E+307,$G11:$V11)),"N/A")</f>
        <v>2025</v>
      </c>
      <c r="X11" s="20" t="n">
        <f aca="false">IFERROR(INDEX($G11:$V11,MATCH(9.99E+307,$G11:$V11)),"N/A")</f>
        <v>40.4347738545071</v>
      </c>
    </row>
    <row r="12" customFormat="false" ht="15" hidden="false" customHeight="false" outlineLevel="0" collapsed="false">
      <c r="A12" s="2" t="s">
        <v>928</v>
      </c>
      <c r="B12" s="2" t="s">
        <v>791</v>
      </c>
      <c r="C12" s="2" t="s">
        <v>469</v>
      </c>
      <c r="D12" s="2" t="s">
        <v>503</v>
      </c>
      <c r="E12" s="2" t="s">
        <v>506</v>
      </c>
      <c r="F12" s="2" t="s">
        <v>935</v>
      </c>
      <c r="G12" s="23" t="n">
        <v>26.7227451502469</v>
      </c>
      <c r="H12" s="23" t="n">
        <v>26.1518828948759</v>
      </c>
      <c r="I12" s="23" t="n">
        <v>25.07670432956</v>
      </c>
      <c r="J12" s="23" t="n">
        <v>24.1633430905854</v>
      </c>
      <c r="K12" s="23" t="n">
        <v>23.0719766947263</v>
      </c>
      <c r="L12" s="23" t="n">
        <v>20.9390642234326</v>
      </c>
      <c r="M12" s="23" t="n">
        <v>19.2036507365412</v>
      </c>
      <c r="N12" s="23" t="n">
        <v>19.3356301657728</v>
      </c>
      <c r="O12" s="23" t="n">
        <v>18.770519802938</v>
      </c>
      <c r="P12" s="23" t="n">
        <v>18.1398222864053</v>
      </c>
      <c r="Q12" s="23" t="n">
        <v>18.2696013805051</v>
      </c>
      <c r="R12" s="23" t="n">
        <v>19.4350556514909</v>
      </c>
      <c r="S12" s="23" t="n">
        <v>20.227756033041</v>
      </c>
      <c r="T12" s="23" t="n">
        <v>19.4023091648376</v>
      </c>
      <c r="U12" s="23" t="n">
        <v>20.4428283665891</v>
      </c>
      <c r="V12" s="23" t="n">
        <v>21.0711983566772</v>
      </c>
      <c r="W12" s="11" t="str">
        <f aca="false">IFERROR(INDEX($G$5:$V$5,MATCH(9.99E+307,$G12:$V12)),"N/A")</f>
        <v>2025</v>
      </c>
      <c r="X12" s="20" t="n">
        <f aca="false">IFERROR(INDEX($G12:$V12,MATCH(9.99E+307,$G12:$V12)),"N/A")</f>
        <v>21.0711983566772</v>
      </c>
    </row>
    <row r="14" customFormat="false" ht="15" hidden="false" customHeight="false" outlineLevel="0" collapsed="false">
      <c r="A14" s="25" t="s">
        <v>936</v>
      </c>
    </row>
    <row r="15" customFormat="false" ht="35.05" hidden="false" customHeight="false" outlineLevel="0" collapsed="false">
      <c r="A15" s="12" t="s">
        <v>755</v>
      </c>
      <c r="B15" s="12" t="s">
        <v>756</v>
      </c>
      <c r="C15" s="12" t="s">
        <v>5</v>
      </c>
      <c r="D15" s="12" t="s">
        <v>6</v>
      </c>
      <c r="E15" s="12" t="s">
        <v>9</v>
      </c>
      <c r="F15" s="12" t="s">
        <v>8</v>
      </c>
      <c r="G15" s="12" t="s">
        <v>461</v>
      </c>
      <c r="H15" s="12" t="s">
        <v>757</v>
      </c>
      <c r="I15" s="12" t="s">
        <v>758</v>
      </c>
      <c r="J15" s="12" t="s">
        <v>759</v>
      </c>
      <c r="K15" s="12" t="s">
        <v>760</v>
      </c>
      <c r="L15" s="12" t="s">
        <v>761</v>
      </c>
      <c r="M15" s="12" t="s">
        <v>762</v>
      </c>
      <c r="N15" s="12" t="s">
        <v>763</v>
      </c>
      <c r="O15" s="12" t="s">
        <v>764</v>
      </c>
      <c r="P15" s="12" t="s">
        <v>765</v>
      </c>
      <c r="Q15" s="12" t="s">
        <v>766</v>
      </c>
      <c r="R15" s="12" t="s">
        <v>767</v>
      </c>
      <c r="S15" s="12" t="s">
        <v>768</v>
      </c>
      <c r="T15" s="12" t="s">
        <v>769</v>
      </c>
      <c r="U15" s="12" t="s">
        <v>770</v>
      </c>
      <c r="V15" s="12" t="s">
        <v>526</v>
      </c>
      <c r="W15" s="12" t="s">
        <v>775</v>
      </c>
      <c r="X15" s="12" t="s">
        <v>776</v>
      </c>
    </row>
    <row r="16" customFormat="false" ht="15" hidden="false" customHeight="false" outlineLevel="0" collapsed="false">
      <c r="A16" s="2" t="s">
        <v>937</v>
      </c>
      <c r="B16" s="2" t="s">
        <v>778</v>
      </c>
      <c r="C16" s="2" t="s">
        <v>469</v>
      </c>
      <c r="D16" s="2" t="s">
        <v>508</v>
      </c>
      <c r="E16" s="2" t="s">
        <v>506</v>
      </c>
      <c r="F16" s="2" t="s">
        <v>938</v>
      </c>
      <c r="G16" s="23" t="n">
        <v>15.878527508625</v>
      </c>
      <c r="H16" s="23" t="n">
        <v>17.2790147933311</v>
      </c>
      <c r="I16" s="23" t="n">
        <v>17.0377883064876</v>
      </c>
      <c r="J16" s="23" t="n">
        <v>16.3878144030073</v>
      </c>
      <c r="K16" s="23" t="n">
        <v>16.3983551242045</v>
      </c>
      <c r="L16" s="23" t="n">
        <v>15.2770653039497</v>
      </c>
      <c r="M16" s="23" t="n">
        <v>14.5644385592212</v>
      </c>
      <c r="N16" s="23" t="n">
        <v>14.9478571955214</v>
      </c>
      <c r="O16" s="23" t="n">
        <v>15.1582483706352</v>
      </c>
      <c r="P16" s="23" t="n">
        <v>14.4692832148142</v>
      </c>
      <c r="Q16" s="23" t="n">
        <v>13.0168627958622</v>
      </c>
      <c r="R16" s="23" t="n">
        <v>14.4060572431224</v>
      </c>
      <c r="S16" s="23" t="n">
        <v>15.2538011117724</v>
      </c>
      <c r="T16" s="23" t="n">
        <v>13.878624456192</v>
      </c>
      <c r="U16" s="23" t="n">
        <v>14.0413208226783</v>
      </c>
      <c r="W16" s="11" t="str">
        <f aca="false">IFERROR(INDEX($G$15:$V$15,MATCH(9.99E+307,$G16:$V16)),"N/A")</f>
        <v>2024</v>
      </c>
      <c r="X16" s="20" t="n">
        <f aca="false">IFERROR(INDEX($G16:$V16,MATCH(9.99E+307,$G16:$V16)),"N/A")</f>
        <v>14.0413208226783</v>
      </c>
    </row>
    <row r="17" customFormat="false" ht="15" hidden="false" customHeight="false" outlineLevel="0" collapsed="false">
      <c r="A17" s="2" t="s">
        <v>937</v>
      </c>
      <c r="B17" s="2" t="s">
        <v>781</v>
      </c>
      <c r="C17" s="2" t="s">
        <v>469</v>
      </c>
      <c r="D17" s="2" t="s">
        <v>508</v>
      </c>
      <c r="E17" s="2" t="s">
        <v>506</v>
      </c>
      <c r="F17" s="2" t="s">
        <v>939</v>
      </c>
      <c r="G17" s="23" t="n">
        <v>42.7560070236169</v>
      </c>
      <c r="H17" s="23" t="n">
        <v>50.3992956943359</v>
      </c>
      <c r="I17" s="23" t="n">
        <v>49.4937408705314</v>
      </c>
      <c r="J17" s="23" t="n">
        <v>44.9336644815181</v>
      </c>
      <c r="K17" s="23" t="n">
        <v>41.1466374298986</v>
      </c>
      <c r="L17" s="23" t="n">
        <v>34.4200460024725</v>
      </c>
      <c r="M17" s="23" t="n">
        <v>31.7867345733008</v>
      </c>
      <c r="N17" s="23" t="n">
        <v>34.3432508343484</v>
      </c>
      <c r="O17" s="23" t="n">
        <v>35.2551664208987</v>
      </c>
      <c r="P17" s="23" t="n">
        <v>34.4057366033023</v>
      </c>
      <c r="Q17" s="23" t="n">
        <v>30.9297576618322</v>
      </c>
      <c r="R17" s="23" t="n">
        <v>35.9674854941434</v>
      </c>
      <c r="S17" s="23" t="n">
        <v>45.2902865437219</v>
      </c>
      <c r="T17" s="23" t="n">
        <v>40.9365283348931</v>
      </c>
      <c r="U17" s="23" t="n">
        <v>40.2842567598803</v>
      </c>
      <c r="V17" s="23" t="n">
        <v>40.5985621226499</v>
      </c>
      <c r="W17" s="11" t="str">
        <f aca="false">IFERROR(INDEX($G$15:$V$15,MATCH(9.99E+307,$G17:$V17)),"N/A")</f>
        <v>2025</v>
      </c>
      <c r="X17" s="20" t="n">
        <f aca="false">IFERROR(INDEX($G17:$V17,MATCH(9.99E+307,$G17:$V17)),"N/A")</f>
        <v>40.5985621226499</v>
      </c>
    </row>
    <row r="18" customFormat="false" ht="15" hidden="false" customHeight="false" outlineLevel="0" collapsed="false">
      <c r="A18" s="2" t="s">
        <v>937</v>
      </c>
      <c r="B18" s="2" t="s">
        <v>783</v>
      </c>
      <c r="C18" s="2" t="s">
        <v>469</v>
      </c>
      <c r="D18" s="2" t="s">
        <v>508</v>
      </c>
      <c r="E18" s="2" t="s">
        <v>506</v>
      </c>
      <c r="F18" s="2" t="s">
        <v>940</v>
      </c>
      <c r="G18" s="23" t="n">
        <v>27.5341022888229</v>
      </c>
      <c r="H18" s="23" t="n">
        <v>27.3060335155494</v>
      </c>
      <c r="I18" s="23" t="n">
        <v>26.6685108375045</v>
      </c>
      <c r="J18" s="23" t="n">
        <v>27.5050365915109</v>
      </c>
      <c r="K18" s="23" t="n">
        <v>28.7661978486341</v>
      </c>
      <c r="L18" s="23" t="n">
        <v>31.0555999681838</v>
      </c>
      <c r="M18" s="23" t="n">
        <v>32.2548923992091</v>
      </c>
      <c r="N18" s="23" t="n">
        <v>31.4157245856249</v>
      </c>
      <c r="O18" s="23" t="n">
        <v>30.8743383724503</v>
      </c>
      <c r="P18" s="23" t="n">
        <v>33.1851913359431</v>
      </c>
      <c r="Q18" s="23" t="n">
        <v>32.0209678414192</v>
      </c>
      <c r="R18" s="23" t="n">
        <v>27.3213767194877</v>
      </c>
      <c r="S18" s="23" t="n">
        <v>26.3420519002837</v>
      </c>
      <c r="T18" s="23" t="n">
        <v>30.9962278135928</v>
      </c>
      <c r="U18" s="23" t="n">
        <v>33.2001409769285</v>
      </c>
      <c r="V18" s="23" t="n">
        <v>33.6798759181448</v>
      </c>
      <c r="W18" s="11" t="str">
        <f aca="false">IFERROR(INDEX($G$15:$V$15,MATCH(9.99E+307,$G18:$V18)),"N/A")</f>
        <v>2025</v>
      </c>
      <c r="X18" s="20" t="n">
        <f aca="false">IFERROR(INDEX($G18:$V18,MATCH(9.99E+307,$G18:$V18)),"N/A")</f>
        <v>33.6798759181448</v>
      </c>
    </row>
    <row r="19" customFormat="false" ht="15" hidden="false" customHeight="false" outlineLevel="0" collapsed="false">
      <c r="A19" s="2" t="s">
        <v>937</v>
      </c>
      <c r="B19" s="2" t="s">
        <v>785</v>
      </c>
      <c r="C19" s="2" t="s">
        <v>469</v>
      </c>
      <c r="D19" s="2" t="s">
        <v>508</v>
      </c>
      <c r="E19" s="2" t="s">
        <v>506</v>
      </c>
      <c r="F19" s="2" t="s">
        <v>941</v>
      </c>
      <c r="G19" s="23" t="n">
        <v>30.3048137840466</v>
      </c>
      <c r="H19" s="23" t="n">
        <v>32.0591396722646</v>
      </c>
      <c r="I19" s="23" t="n">
        <v>31.469331617208</v>
      </c>
      <c r="J19" s="23" t="n">
        <v>31.5119235000045</v>
      </c>
      <c r="K19" s="23" t="n">
        <v>30.2890138267133</v>
      </c>
      <c r="L19" s="23" t="n">
        <v>29.2459709877926</v>
      </c>
      <c r="M19" s="23" t="n">
        <v>30.7779753635731</v>
      </c>
      <c r="N19" s="23" t="n">
        <v>32.216093479851</v>
      </c>
      <c r="O19" s="23" t="n">
        <v>33.0552381952321</v>
      </c>
      <c r="P19" s="23" t="n">
        <v>33.1007061373899</v>
      </c>
      <c r="Q19" s="23" t="n">
        <v>29.2112372453782</v>
      </c>
      <c r="R19" s="23" t="n">
        <v>29.2489791841395</v>
      </c>
      <c r="S19" s="23" t="n">
        <v>35.1369980576912</v>
      </c>
      <c r="T19" s="23" t="n">
        <v>33.0801144117865</v>
      </c>
      <c r="U19" s="23" t="n">
        <v>31.7829084706465</v>
      </c>
      <c r="V19" s="23" t="n">
        <v>31.8603712472379</v>
      </c>
      <c r="W19" s="11" t="str">
        <f aca="false">IFERROR(INDEX($G$15:$V$15,MATCH(9.99E+307,$G19:$V19)),"N/A")</f>
        <v>2025</v>
      </c>
      <c r="X19" s="20" t="n">
        <f aca="false">IFERROR(INDEX($G19:$V19,MATCH(9.99E+307,$G19:$V19)),"N/A")</f>
        <v>31.8603712472379</v>
      </c>
    </row>
    <row r="20" customFormat="false" ht="15" hidden="false" customHeight="false" outlineLevel="0" collapsed="false">
      <c r="A20" s="2" t="s">
        <v>937</v>
      </c>
      <c r="B20" s="2" t="s">
        <v>787</v>
      </c>
      <c r="C20" s="2" t="s">
        <v>469</v>
      </c>
      <c r="D20" s="2" t="s">
        <v>508</v>
      </c>
      <c r="E20" s="2" t="s">
        <v>506</v>
      </c>
      <c r="F20" s="2" t="s">
        <v>942</v>
      </c>
      <c r="G20" s="23" t="n">
        <v>28.7610671562408</v>
      </c>
      <c r="H20" s="23" t="n">
        <v>31.0667881455656</v>
      </c>
      <c r="I20" s="23" t="n">
        <v>31.3032784243658</v>
      </c>
      <c r="J20" s="23" t="n">
        <v>31.2279485306189</v>
      </c>
      <c r="K20" s="23" t="n">
        <v>31.4574540364356</v>
      </c>
      <c r="L20" s="23" t="n">
        <v>31.8111924693795</v>
      </c>
      <c r="M20" s="23" t="n">
        <v>31.8445463682721</v>
      </c>
      <c r="N20" s="23" t="n">
        <v>33.0840141110421</v>
      </c>
      <c r="O20" s="23" t="n">
        <v>33.8842788890102</v>
      </c>
      <c r="P20" s="23" t="n">
        <v>33.5394177830602</v>
      </c>
      <c r="Q20" s="23" t="n">
        <v>30.2816679047993</v>
      </c>
      <c r="R20" s="23" t="n">
        <v>32.5004326976615</v>
      </c>
      <c r="S20" s="23" t="n">
        <v>39.3469593713211</v>
      </c>
      <c r="T20" s="23" t="n">
        <v>36.1698881831383</v>
      </c>
      <c r="U20" s="23" t="n">
        <v>34.2184333099912</v>
      </c>
      <c r="V20" s="23" t="n">
        <v>33.7995547693485</v>
      </c>
      <c r="W20" s="11" t="str">
        <f aca="false">IFERROR(INDEX($G$15:$V$15,MATCH(9.99E+307,$G20:$V20)),"N/A")</f>
        <v>2025</v>
      </c>
      <c r="X20" s="20" t="n">
        <f aca="false">IFERROR(INDEX($G20:$V20,MATCH(9.99E+307,$G20:$V20)),"N/A")</f>
        <v>33.7995547693485</v>
      </c>
    </row>
    <row r="21" customFormat="false" ht="15" hidden="false" customHeight="false" outlineLevel="0" collapsed="false">
      <c r="A21" s="2" t="s">
        <v>937</v>
      </c>
      <c r="B21" s="2" t="s">
        <v>789</v>
      </c>
      <c r="C21" s="2" t="s">
        <v>469</v>
      </c>
      <c r="D21" s="2" t="s">
        <v>508</v>
      </c>
      <c r="E21" s="2" t="s">
        <v>506</v>
      </c>
      <c r="F21" s="2" t="s">
        <v>943</v>
      </c>
      <c r="G21" s="23" t="n">
        <v>34.389888577044</v>
      </c>
      <c r="H21" s="23" t="n">
        <v>36.7893742423305</v>
      </c>
      <c r="I21" s="23" t="n">
        <v>36.6460661312909</v>
      </c>
      <c r="J21" s="23" t="n">
        <v>35.9057450252575</v>
      </c>
      <c r="K21" s="23" t="n">
        <v>35.1546840812607</v>
      </c>
      <c r="L21" s="23" t="n">
        <v>35.1711839535087</v>
      </c>
      <c r="M21" s="23" t="n">
        <v>34.3704482647463</v>
      </c>
      <c r="N21" s="23" t="n">
        <v>35.2518818760857</v>
      </c>
      <c r="O21" s="23" t="n">
        <v>36.6283346388937</v>
      </c>
      <c r="P21" s="23" t="n">
        <v>36.7329982359327</v>
      </c>
      <c r="Q21" s="23" t="n">
        <v>33.8137258311309</v>
      </c>
      <c r="R21" s="23" t="n">
        <v>37.3996969318423</v>
      </c>
      <c r="S21" s="23" t="n">
        <v>43.1573498705316</v>
      </c>
      <c r="T21" s="23" t="n">
        <v>38.9952859590786</v>
      </c>
      <c r="U21" s="23" t="n">
        <v>37.6566712174028</v>
      </c>
      <c r="V21" s="23" t="n">
        <v>38.0780373654056</v>
      </c>
      <c r="W21" s="11" t="str">
        <f aca="false">IFERROR(INDEX($G$15:$V$15,MATCH(9.99E+307,$G21:$V21)),"N/A")</f>
        <v>2025</v>
      </c>
      <c r="X21" s="20" t="n">
        <f aca="false">IFERROR(INDEX($G21:$V21,MATCH(9.99E+307,$G21:$V21)),"N/A")</f>
        <v>38.0780373654056</v>
      </c>
    </row>
    <row r="22" customFormat="false" ht="15" hidden="false" customHeight="false" outlineLevel="0" collapsed="false">
      <c r="A22" s="2" t="s">
        <v>937</v>
      </c>
      <c r="B22" s="2" t="s">
        <v>791</v>
      </c>
      <c r="C22" s="2" t="s">
        <v>469</v>
      </c>
      <c r="D22" s="2" t="s">
        <v>508</v>
      </c>
      <c r="E22" s="2" t="s">
        <v>506</v>
      </c>
      <c r="F22" s="2" t="s">
        <v>944</v>
      </c>
      <c r="G22" s="23" t="n">
        <v>23.1313270836509</v>
      </c>
      <c r="H22" s="23" t="n">
        <v>23.7939443304884</v>
      </c>
      <c r="I22" s="23" t="n">
        <v>22.4035087488717</v>
      </c>
      <c r="J22" s="23" t="n">
        <v>21.7526982889717</v>
      </c>
      <c r="K22" s="23" t="n">
        <v>20.9964797865269</v>
      </c>
      <c r="L22" s="23" t="n">
        <v>17.7581206128298</v>
      </c>
      <c r="M22" s="23" t="n">
        <v>16.9735199564368</v>
      </c>
      <c r="N22" s="23" t="n">
        <v>17.6152224500872</v>
      </c>
      <c r="O22" s="23" t="n">
        <v>18.1238645885338</v>
      </c>
      <c r="P22" s="23" t="n">
        <v>17.3146127417354</v>
      </c>
      <c r="Q22" s="23" t="n">
        <v>16.0681770933789</v>
      </c>
      <c r="R22" s="23" t="n">
        <v>17.2078233128845</v>
      </c>
      <c r="S22" s="23" t="n">
        <v>17.28479964513</v>
      </c>
      <c r="T22" s="23" t="n">
        <v>17.3368405290018</v>
      </c>
      <c r="U22" s="23" t="n">
        <v>17.5132317706653</v>
      </c>
      <c r="V22" s="23" t="n">
        <v>16.8851895085539</v>
      </c>
      <c r="W22" s="11" t="str">
        <f aca="false">IFERROR(INDEX($G$15:$V$15,MATCH(9.99E+307,$G22:$V22)),"N/A")</f>
        <v>2025</v>
      </c>
      <c r="X22" s="20" t="n">
        <f aca="false">IFERROR(INDEX($G22:$V22,MATCH(9.99E+307,$G22:$V22)),"N/A")</f>
        <v>16.8851895085539</v>
      </c>
    </row>
    <row r="24" customFormat="false" ht="15" hidden="false" customHeight="false" outlineLevel="0" collapsed="false">
      <c r="A24" s="25" t="s">
        <v>945</v>
      </c>
    </row>
    <row r="25" customFormat="false" ht="35.05" hidden="false" customHeight="false" outlineLevel="0" collapsed="false">
      <c r="A25" s="12" t="s">
        <v>755</v>
      </c>
      <c r="B25" s="12" t="s">
        <v>756</v>
      </c>
      <c r="C25" s="12" t="s">
        <v>5</v>
      </c>
      <c r="D25" s="12" t="s">
        <v>6</v>
      </c>
      <c r="E25" s="12" t="s">
        <v>9</v>
      </c>
      <c r="F25" s="12" t="s">
        <v>8</v>
      </c>
      <c r="G25" s="12" t="s">
        <v>461</v>
      </c>
      <c r="H25" s="12" t="s">
        <v>757</v>
      </c>
      <c r="I25" s="12" t="s">
        <v>758</v>
      </c>
      <c r="J25" s="12" t="s">
        <v>759</v>
      </c>
      <c r="K25" s="12" t="s">
        <v>760</v>
      </c>
      <c r="L25" s="12" t="s">
        <v>761</v>
      </c>
      <c r="M25" s="12" t="s">
        <v>762</v>
      </c>
      <c r="N25" s="12" t="s">
        <v>763</v>
      </c>
      <c r="O25" s="12" t="s">
        <v>764</v>
      </c>
      <c r="P25" s="12" t="s">
        <v>765</v>
      </c>
      <c r="Q25" s="12" t="s">
        <v>766</v>
      </c>
      <c r="R25" s="12" t="s">
        <v>767</v>
      </c>
      <c r="S25" s="12" t="s">
        <v>768</v>
      </c>
      <c r="T25" s="12" t="s">
        <v>769</v>
      </c>
      <c r="U25" s="12" t="s">
        <v>770</v>
      </c>
      <c r="V25" s="12" t="s">
        <v>526</v>
      </c>
      <c r="W25" s="12" t="s">
        <v>775</v>
      </c>
      <c r="X25" s="12" t="s">
        <v>776</v>
      </c>
    </row>
    <row r="26" customFormat="false" ht="15" hidden="false" customHeight="false" outlineLevel="0" collapsed="false">
      <c r="A26" s="2" t="s">
        <v>946</v>
      </c>
      <c r="B26" s="2" t="s">
        <v>778</v>
      </c>
      <c r="C26" s="2" t="s">
        <v>469</v>
      </c>
      <c r="D26" s="2" t="s">
        <v>512</v>
      </c>
      <c r="E26" s="2" t="s">
        <v>506</v>
      </c>
      <c r="F26" s="2" t="s">
        <v>947</v>
      </c>
      <c r="G26" s="23" t="n">
        <v>-2.87064145448882</v>
      </c>
      <c r="H26" s="23" t="n">
        <v>-2.91862065322661</v>
      </c>
      <c r="I26" s="23" t="n">
        <v>-2.57236847367136</v>
      </c>
      <c r="J26" s="23" t="n">
        <v>-2.01090797096302</v>
      </c>
      <c r="K26" s="23" t="n">
        <v>-2.10117617206317</v>
      </c>
      <c r="L26" s="23" t="n">
        <v>-2.2325584903738</v>
      </c>
      <c r="M26" s="23" t="n">
        <v>-2.10699725119707</v>
      </c>
      <c r="N26" s="23" t="n">
        <v>-1.87442427129943</v>
      </c>
      <c r="O26" s="23" t="n">
        <v>-2.12518413076048</v>
      </c>
      <c r="P26" s="23" t="n">
        <v>-2.05182158462342</v>
      </c>
      <c r="Q26" s="23" t="n">
        <v>-2.77659039897534</v>
      </c>
      <c r="R26" s="23" t="n">
        <v>-3.61901225446136</v>
      </c>
      <c r="S26" s="23" t="n">
        <v>-3.81177015326345</v>
      </c>
      <c r="T26" s="23" t="n">
        <v>-3.33680827263036</v>
      </c>
      <c r="U26" s="23" t="n">
        <v>-4.04564637199117</v>
      </c>
      <c r="V26" s="23" t="n">
        <v>-3.62698693844919</v>
      </c>
      <c r="W26" s="11" t="str">
        <f aca="false">IFERROR(INDEX($G$25:$V$25,MATCH(9.99E+307,$G26:$V26)),"N/A")</f>
        <v>2025</v>
      </c>
      <c r="X26" s="20" t="n">
        <f aca="false">IFERROR(INDEX($G26:$V26,MATCH(9.99E+307,$G26:$V26)),"N/A")</f>
        <v>-3.62698693844919</v>
      </c>
    </row>
    <row r="27" customFormat="false" ht="15" hidden="false" customHeight="false" outlineLevel="0" collapsed="false">
      <c r="A27" s="2" t="s">
        <v>946</v>
      </c>
      <c r="B27" s="2" t="s">
        <v>781</v>
      </c>
      <c r="C27" s="2" t="s">
        <v>469</v>
      </c>
      <c r="D27" s="2" t="s">
        <v>512</v>
      </c>
      <c r="E27" s="2" t="s">
        <v>506</v>
      </c>
      <c r="F27" s="2" t="s">
        <v>948</v>
      </c>
      <c r="G27" s="23" t="n">
        <v>2.34320897623578</v>
      </c>
      <c r="H27" s="23" t="n">
        <v>1.27290610804572</v>
      </c>
      <c r="I27" s="23" t="n">
        <v>3.65378622367594</v>
      </c>
      <c r="J27" s="23" t="n">
        <v>5.38513504027402</v>
      </c>
      <c r="K27" s="23" t="n">
        <v>5.33522703805369</v>
      </c>
      <c r="L27" s="23" t="n">
        <v>6.82937629347486</v>
      </c>
      <c r="M27" s="23" t="n">
        <v>6.20103649558332</v>
      </c>
      <c r="N27" s="23" t="n">
        <v>4.39896168114518</v>
      </c>
      <c r="O27" s="23" t="n">
        <v>4.24648147146115</v>
      </c>
      <c r="P27" s="23" t="n">
        <v>3.40802631398853</v>
      </c>
      <c r="Q27" s="23" t="n">
        <v>4.38648608581777</v>
      </c>
      <c r="R27" s="23" t="n">
        <v>4.31851487245382</v>
      </c>
      <c r="S27" s="23" t="n">
        <v>1.29147917850335</v>
      </c>
      <c r="T27" s="23" t="n">
        <v>1.76334472698699</v>
      </c>
      <c r="U27" s="23" t="n">
        <v>5.33081628105267</v>
      </c>
      <c r="V27" s="23" t="n">
        <v>6.57207036660681</v>
      </c>
      <c r="W27" s="11" t="str">
        <f aca="false">IFERROR(INDEX($G$25:$V$25,MATCH(9.99E+307,$G27:$V27)),"N/A")</f>
        <v>2025</v>
      </c>
      <c r="X27" s="20" t="n">
        <f aca="false">IFERROR(INDEX($G27:$V27,MATCH(9.99E+307,$G27:$V27)),"N/A")</f>
        <v>6.57207036660681</v>
      </c>
    </row>
    <row r="28" customFormat="false" ht="15" hidden="false" customHeight="false" outlineLevel="0" collapsed="false">
      <c r="A28" s="2" t="s">
        <v>946</v>
      </c>
      <c r="B28" s="2" t="s">
        <v>783</v>
      </c>
      <c r="C28" s="2" t="s">
        <v>469</v>
      </c>
      <c r="D28" s="2" t="s">
        <v>512</v>
      </c>
      <c r="E28" s="2" t="s">
        <v>506</v>
      </c>
      <c r="F28" s="2" t="s">
        <v>949</v>
      </c>
      <c r="G28" s="23" t="n">
        <v>11.4188723949275</v>
      </c>
      <c r="H28" s="23" t="n">
        <v>12.9572292725078</v>
      </c>
      <c r="I28" s="23" t="n">
        <v>12.0935398520706</v>
      </c>
      <c r="J28" s="23" t="n">
        <v>9.89568626406436</v>
      </c>
      <c r="K28" s="23" t="n">
        <v>10.6555857645762</v>
      </c>
      <c r="L28" s="23" t="n">
        <v>7.76340686563235</v>
      </c>
      <c r="M28" s="23" t="n">
        <v>3.85247124141966</v>
      </c>
      <c r="N28" s="23" t="n">
        <v>5.20839830097389</v>
      </c>
      <c r="O28" s="23" t="n">
        <v>7.69077594619518</v>
      </c>
      <c r="P28" s="23" t="n">
        <v>2.80945670092243</v>
      </c>
      <c r="Q28" s="23" t="n">
        <v>1.10176093732255</v>
      </c>
      <c r="R28" s="23" t="n">
        <v>14.2830281134545</v>
      </c>
      <c r="S28" s="23" t="n">
        <v>27.8649748049066</v>
      </c>
      <c r="T28" s="23" t="n">
        <v>17.1705757999469</v>
      </c>
      <c r="U28" s="23" t="n">
        <v>15.0417961615846</v>
      </c>
      <c r="V28" s="23" t="n">
        <v>13.9673665378253</v>
      </c>
      <c r="W28" s="11" t="str">
        <f aca="false">IFERROR(INDEX($G$25:$V$25,MATCH(9.99E+307,$G28:$V28)),"N/A")</f>
        <v>2025</v>
      </c>
      <c r="X28" s="20" t="n">
        <f aca="false">IFERROR(INDEX($G28:$V28,MATCH(9.99E+307,$G28:$V28)),"N/A")</f>
        <v>13.9673665378253</v>
      </c>
    </row>
    <row r="29" customFormat="false" ht="15" hidden="false" customHeight="false" outlineLevel="0" collapsed="false">
      <c r="A29" s="2" t="s">
        <v>946</v>
      </c>
      <c r="B29" s="2" t="s">
        <v>785</v>
      </c>
      <c r="C29" s="2" t="s">
        <v>469</v>
      </c>
      <c r="D29" s="2" t="s">
        <v>512</v>
      </c>
      <c r="E29" s="2" t="s">
        <v>506</v>
      </c>
      <c r="F29" s="2" t="s">
        <v>950</v>
      </c>
      <c r="G29" s="23" t="n">
        <v>-2.75934253189814</v>
      </c>
      <c r="H29" s="23" t="n">
        <v>-1.6237867474026</v>
      </c>
      <c r="I29" s="23" t="n">
        <v>-3.13257837481106</v>
      </c>
      <c r="J29" s="23" t="n">
        <v>-4.63114682704939</v>
      </c>
      <c r="K29" s="23" t="n">
        <v>-4.97786981840052</v>
      </c>
      <c r="L29" s="23" t="n">
        <v>-4.91700489264857</v>
      </c>
      <c r="M29" s="23" t="n">
        <v>-5.46283821927875</v>
      </c>
      <c r="N29" s="23" t="n">
        <v>-3.47326460218152</v>
      </c>
      <c r="O29" s="23" t="n">
        <v>-3.88728858372976</v>
      </c>
      <c r="P29" s="23" t="n">
        <v>-2.66245642145608</v>
      </c>
      <c r="Q29" s="23" t="n">
        <v>-2.92883387550299</v>
      </c>
      <c r="R29" s="23" t="n">
        <v>-0.752836357784013</v>
      </c>
      <c r="S29" s="23" t="n">
        <v>-2.06737101121871</v>
      </c>
      <c r="T29" s="23" t="n">
        <v>-3.57676183842871</v>
      </c>
      <c r="U29" s="23" t="n">
        <v>-2.95960422411904</v>
      </c>
      <c r="V29" s="23" t="n">
        <v>-2.42693271936225</v>
      </c>
      <c r="W29" s="11" t="str">
        <f aca="false">IFERROR(INDEX($G$25:$V$25,MATCH(9.99E+307,$G29:$V29)),"N/A")</f>
        <v>2025</v>
      </c>
      <c r="X29" s="20" t="n">
        <f aca="false">IFERROR(INDEX($G29:$V29,MATCH(9.99E+307,$G29:$V29)),"N/A")</f>
        <v>-2.42693271936225</v>
      </c>
    </row>
    <row r="30" customFormat="false" ht="15" hidden="false" customHeight="false" outlineLevel="0" collapsed="false">
      <c r="A30" s="2" t="s">
        <v>946</v>
      </c>
      <c r="B30" s="2" t="s">
        <v>787</v>
      </c>
      <c r="C30" s="2" t="s">
        <v>469</v>
      </c>
      <c r="D30" s="2" t="s">
        <v>512</v>
      </c>
      <c r="E30" s="2" t="s">
        <v>506</v>
      </c>
      <c r="F30" s="2" t="s">
        <v>951</v>
      </c>
      <c r="G30" s="23" t="n">
        <v>-0.832545468638349</v>
      </c>
      <c r="H30" s="23" t="n">
        <v>-1.02802797917579</v>
      </c>
      <c r="I30" s="23" t="n">
        <v>-1.22530807843013</v>
      </c>
      <c r="J30" s="23" t="n">
        <v>-0.59799045690811</v>
      </c>
      <c r="K30" s="23" t="n">
        <v>-0.96273369938115</v>
      </c>
      <c r="L30" s="23" t="n">
        <v>-0.334528437032909</v>
      </c>
      <c r="M30" s="23" t="n">
        <v>-0.538632351885894</v>
      </c>
      <c r="N30" s="23" t="n">
        <v>-0.47461518521567</v>
      </c>
      <c r="O30" s="23" t="n">
        <v>-0.735670615255372</v>
      </c>
      <c r="P30" s="23" t="n">
        <v>0.587362764575748</v>
      </c>
      <c r="Q30" s="23" t="n">
        <v>-2.00313613657686</v>
      </c>
      <c r="R30" s="23" t="n">
        <v>0.244238511780543</v>
      </c>
      <c r="S30" s="23" t="n">
        <v>-1.43234855251881</v>
      </c>
      <c r="T30" s="23" t="n">
        <v>-1.04301703799496</v>
      </c>
      <c r="U30" s="23" t="n">
        <v>0.0851279883251641</v>
      </c>
      <c r="V30" s="23" t="n">
        <v>-0.274343403515968</v>
      </c>
      <c r="W30" s="11" t="str">
        <f aca="false">IFERROR(INDEX($G$25:$V$25,MATCH(9.99E+307,$G30:$V30)),"N/A")</f>
        <v>2025</v>
      </c>
      <c r="X30" s="20" t="n">
        <f aca="false">IFERROR(INDEX($G30:$V30,MATCH(9.99E+307,$G30:$V30)),"N/A")</f>
        <v>-0.274343403515968</v>
      </c>
    </row>
    <row r="31" customFormat="false" ht="15" hidden="false" customHeight="false" outlineLevel="0" collapsed="false">
      <c r="A31" s="2" t="s">
        <v>946</v>
      </c>
      <c r="B31" s="2" t="s">
        <v>789</v>
      </c>
      <c r="C31" s="2" t="s">
        <v>469</v>
      </c>
      <c r="D31" s="2" t="s">
        <v>512</v>
      </c>
      <c r="E31" s="2" t="s">
        <v>506</v>
      </c>
      <c r="F31" s="2" t="s">
        <v>952</v>
      </c>
      <c r="G31" s="23" t="n">
        <v>5.58814592773644</v>
      </c>
      <c r="H31" s="23" t="n">
        <v>6.09171549435117</v>
      </c>
      <c r="I31" s="23" t="n">
        <v>7.01984446991475</v>
      </c>
      <c r="J31" s="23" t="n">
        <v>6.55719316810853</v>
      </c>
      <c r="K31" s="23" t="n">
        <v>7.19411093057004</v>
      </c>
      <c r="L31" s="23" t="n">
        <v>8.09671429040112</v>
      </c>
      <c r="M31" s="23" t="n">
        <v>8.90236036837271</v>
      </c>
      <c r="N31" s="23" t="n">
        <v>8.07873526112888</v>
      </c>
      <c r="O31" s="23" t="n">
        <v>8.43761219902204</v>
      </c>
      <c r="P31" s="23" t="n">
        <v>7.87471222403173</v>
      </c>
      <c r="Q31" s="23" t="n">
        <v>6.34782686016016</v>
      </c>
      <c r="R31" s="23" t="n">
        <v>6.92006966375342</v>
      </c>
      <c r="S31" s="23" t="n">
        <v>4.11376375249819</v>
      </c>
      <c r="T31" s="23" t="n">
        <v>5.50327392607703</v>
      </c>
      <c r="U31" s="23" t="n">
        <v>5.89380863529108</v>
      </c>
      <c r="V31" s="23" t="n">
        <v>4.50585617378113</v>
      </c>
      <c r="W31" s="11" t="str">
        <f aca="false">IFERROR(INDEX($G$25:$V$25,MATCH(9.99E+307,$G31:$V31)),"N/A")</f>
        <v>2025</v>
      </c>
      <c r="X31" s="20" t="n">
        <f aca="false">IFERROR(INDEX($G31:$V31,MATCH(9.99E+307,$G31:$V31)),"N/A")</f>
        <v>4.50585617378113</v>
      </c>
    </row>
    <row r="32" customFormat="false" ht="15" hidden="false" customHeight="false" outlineLevel="0" collapsed="false">
      <c r="A32" s="2" t="s">
        <v>946</v>
      </c>
      <c r="B32" s="2" t="s">
        <v>791</v>
      </c>
      <c r="C32" s="2" t="s">
        <v>469</v>
      </c>
      <c r="D32" s="2" t="s">
        <v>512</v>
      </c>
      <c r="E32" s="2" t="s">
        <v>506</v>
      </c>
      <c r="F32" s="2" t="s">
        <v>953</v>
      </c>
      <c r="G32" s="23" t="n">
        <v>3.8402567341525</v>
      </c>
      <c r="H32" s="23" t="n">
        <v>1.77399724587567</v>
      </c>
      <c r="I32" s="23" t="n">
        <v>2.48328422404794</v>
      </c>
      <c r="J32" s="23" t="n">
        <v>1.52111320885029</v>
      </c>
      <c r="K32" s="23" t="n">
        <v>2.21130586371267</v>
      </c>
      <c r="L32" s="23" t="n">
        <v>2.59752794949746</v>
      </c>
      <c r="M32" s="23" t="n">
        <v>1.67018709565352</v>
      </c>
      <c r="N32" s="23" t="n">
        <v>1.50488723669316</v>
      </c>
      <c r="O32" s="23" t="n">
        <v>0.170563391928727</v>
      </c>
      <c r="P32" s="23" t="n">
        <v>0.619961080716059</v>
      </c>
      <c r="Q32" s="23" t="n">
        <v>1.49179592498582</v>
      </c>
      <c r="R32" s="23" t="n">
        <v>1.6339546037037</v>
      </c>
      <c r="S32" s="23" t="n">
        <v>2.20640460953834</v>
      </c>
      <c r="T32" s="23" t="n">
        <v>1.40681103517507</v>
      </c>
      <c r="U32" s="23" t="n">
        <v>2.46818591485776</v>
      </c>
      <c r="V32" s="23" t="n">
        <v>3.76972243689338</v>
      </c>
      <c r="W32" s="11" t="str">
        <f aca="false">IFERROR(INDEX($G$25:$V$25,MATCH(9.99E+307,$G32:$V32)),"N/A")</f>
        <v>2025</v>
      </c>
      <c r="X32" s="20" t="n">
        <f aca="false">IFERROR(INDEX($G32:$V32,MATCH(9.99E+307,$G32:$V32)),"N/A")</f>
        <v>3.76972243689338</v>
      </c>
    </row>
    <row r="34" customFormat="false" ht="15" hidden="false" customHeight="false" outlineLevel="0" collapsed="false">
      <c r="A34" s="25" t="s">
        <v>954</v>
      </c>
      <c r="X34" s="26" t="s">
        <v>754</v>
      </c>
    </row>
    <row r="35" customFormat="false" ht="35.05" hidden="false" customHeight="false" outlineLevel="0" collapsed="false">
      <c r="A35" s="12" t="s">
        <v>755</v>
      </c>
      <c r="B35" s="12" t="s">
        <v>756</v>
      </c>
      <c r="C35" s="12" t="s">
        <v>5</v>
      </c>
      <c r="D35" s="12" t="s">
        <v>6</v>
      </c>
      <c r="E35" s="12" t="s">
        <v>9</v>
      </c>
      <c r="F35" s="12" t="s">
        <v>8</v>
      </c>
      <c r="G35" s="12" t="s">
        <v>461</v>
      </c>
      <c r="H35" s="12" t="s">
        <v>757</v>
      </c>
      <c r="I35" s="12" t="s">
        <v>758</v>
      </c>
      <c r="J35" s="12" t="s">
        <v>759</v>
      </c>
      <c r="K35" s="12" t="s">
        <v>760</v>
      </c>
      <c r="L35" s="12" t="s">
        <v>761</v>
      </c>
      <c r="M35" s="12" t="s">
        <v>762</v>
      </c>
      <c r="N35" s="12" t="s">
        <v>763</v>
      </c>
      <c r="O35" s="12" t="s">
        <v>764</v>
      </c>
      <c r="P35" s="12" t="s">
        <v>765</v>
      </c>
      <c r="Q35" s="12" t="s">
        <v>766</v>
      </c>
      <c r="R35" s="12" t="s">
        <v>767</v>
      </c>
      <c r="S35" s="12" t="s">
        <v>768</v>
      </c>
      <c r="T35" s="12" t="s">
        <v>769</v>
      </c>
      <c r="U35" s="12" t="s">
        <v>770</v>
      </c>
      <c r="V35" s="12" t="s">
        <v>526</v>
      </c>
      <c r="W35" s="12" t="s">
        <v>771</v>
      </c>
      <c r="X35" s="27" t="s">
        <v>772</v>
      </c>
      <c r="Y35" s="27" t="s">
        <v>773</v>
      </c>
      <c r="Z35" s="27" t="s">
        <v>774</v>
      </c>
      <c r="AA35" s="27" t="s">
        <v>775</v>
      </c>
      <c r="AB35" s="12" t="s">
        <v>776</v>
      </c>
    </row>
    <row r="36" customFormat="false" ht="15" hidden="false" customHeight="false" outlineLevel="0" collapsed="false">
      <c r="A36" s="2" t="s">
        <v>955</v>
      </c>
      <c r="B36" s="2" t="s">
        <v>778</v>
      </c>
      <c r="C36" s="2" t="s">
        <v>455</v>
      </c>
      <c r="D36" s="2" t="s">
        <v>516</v>
      </c>
      <c r="E36" s="2" t="s">
        <v>506</v>
      </c>
      <c r="F36" s="2" t="s">
        <v>956</v>
      </c>
      <c r="G36" s="23" t="n">
        <v>-2.9</v>
      </c>
      <c r="H36" s="23" t="n">
        <v>-2.9</v>
      </c>
      <c r="I36" s="23" t="n">
        <v>-2.6</v>
      </c>
      <c r="J36" s="23" t="n">
        <v>-2</v>
      </c>
      <c r="K36" s="23" t="n">
        <v>-2.1</v>
      </c>
      <c r="L36" s="23" t="n">
        <v>-2.2</v>
      </c>
      <c r="M36" s="23" t="n">
        <v>-2.1</v>
      </c>
      <c r="N36" s="23" t="n">
        <v>-1.9</v>
      </c>
      <c r="O36" s="23" t="n">
        <v>-2.1</v>
      </c>
      <c r="P36" s="23" t="n">
        <v>-2.1</v>
      </c>
      <c r="Q36" s="23" t="n">
        <v>-2.8</v>
      </c>
      <c r="R36" s="23" t="n">
        <v>-3.6</v>
      </c>
      <c r="S36" s="23" t="n">
        <v>-3.8</v>
      </c>
      <c r="T36" s="23" t="n">
        <v>-3.3</v>
      </c>
      <c r="U36" s="23" t="n">
        <v>-4</v>
      </c>
      <c r="V36" s="23" t="n">
        <v>-3.6</v>
      </c>
      <c r="X36" s="28" t="s">
        <v>780</v>
      </c>
      <c r="Y36" s="29" t="n">
        <v>-3.7</v>
      </c>
      <c r="Z36" s="29" t="n">
        <v>-3.6</v>
      </c>
      <c r="AA36" s="30" t="str">
        <f aca="false">IFERROR(INDEX($G$35:$V$35,MATCH(9.99E+307,$G36:$V36)),"N/A")</f>
        <v>2025</v>
      </c>
      <c r="AB36" s="20" t="n">
        <f aca="false">IFERROR(INDEX($G36:$V36,MATCH(9.99E+307,$G36:$V36)),"N/A")</f>
        <v>-3.6</v>
      </c>
    </row>
    <row r="37" customFormat="false" ht="15" hidden="false" customHeight="false" outlineLevel="0" collapsed="false">
      <c r="A37" s="2" t="s">
        <v>955</v>
      </c>
      <c r="B37" s="2" t="s">
        <v>781</v>
      </c>
      <c r="C37" s="2" t="s">
        <v>455</v>
      </c>
      <c r="D37" s="2" t="s">
        <v>516</v>
      </c>
      <c r="E37" s="2" t="s">
        <v>506</v>
      </c>
      <c r="F37" s="2" t="s">
        <v>957</v>
      </c>
      <c r="G37" s="23" t="n">
        <v>2.3</v>
      </c>
      <c r="H37" s="23" t="n">
        <v>1.3</v>
      </c>
      <c r="I37" s="23" t="n">
        <v>3.7</v>
      </c>
      <c r="J37" s="23" t="n">
        <v>5.4</v>
      </c>
      <c r="K37" s="23" t="n">
        <v>5.3</v>
      </c>
      <c r="L37" s="23" t="n">
        <v>6.8</v>
      </c>
      <c r="M37" s="23" t="n">
        <v>6.2</v>
      </c>
      <c r="N37" s="23" t="n">
        <v>4.4</v>
      </c>
      <c r="O37" s="23" t="n">
        <v>4.2</v>
      </c>
      <c r="P37" s="23" t="n">
        <v>3.4</v>
      </c>
      <c r="Q37" s="23" t="n">
        <v>4.4</v>
      </c>
      <c r="R37" s="23" t="n">
        <v>4.3</v>
      </c>
      <c r="S37" s="23" t="n">
        <v>1.3</v>
      </c>
      <c r="T37" s="23" t="n">
        <v>1.8</v>
      </c>
      <c r="U37" s="23" t="n">
        <v>5.3</v>
      </c>
      <c r="V37" s="23" t="n">
        <v>6.6</v>
      </c>
      <c r="X37" s="28" t="s">
        <v>780</v>
      </c>
      <c r="Y37" s="29" t="n">
        <v>5.6</v>
      </c>
      <c r="Z37" s="29" t="n">
        <v>5.4</v>
      </c>
      <c r="AA37" s="30" t="str">
        <f aca="false">IFERROR(INDEX($G$35:$V$35,MATCH(9.99E+307,$G37:$V37)),"N/A")</f>
        <v>2025</v>
      </c>
      <c r="AB37" s="20" t="n">
        <f aca="false">IFERROR(INDEX($G37:$V37,MATCH(9.99E+307,$G37:$V37)),"N/A")</f>
        <v>6.6</v>
      </c>
    </row>
    <row r="38" customFormat="false" ht="15" hidden="false" customHeight="false" outlineLevel="0" collapsed="false">
      <c r="A38" s="2" t="s">
        <v>955</v>
      </c>
      <c r="B38" s="2" t="s">
        <v>783</v>
      </c>
      <c r="C38" s="2" t="s">
        <v>455</v>
      </c>
      <c r="D38" s="2" t="s">
        <v>516</v>
      </c>
      <c r="E38" s="2" t="s">
        <v>506</v>
      </c>
      <c r="F38" s="2" t="s">
        <v>958</v>
      </c>
      <c r="G38" s="23" t="n">
        <v>11.4</v>
      </c>
      <c r="H38" s="23" t="n">
        <v>13</v>
      </c>
      <c r="I38" s="23" t="n">
        <v>13.7</v>
      </c>
      <c r="J38" s="23" t="n">
        <v>11.3</v>
      </c>
      <c r="K38" s="23" t="n">
        <v>11.7</v>
      </c>
      <c r="L38" s="23" t="n">
        <v>9.2</v>
      </c>
      <c r="M38" s="23" t="n">
        <v>5.3</v>
      </c>
      <c r="N38" s="23" t="n">
        <v>5.4</v>
      </c>
      <c r="O38" s="23" t="n">
        <v>8.6</v>
      </c>
      <c r="P38" s="23" t="n">
        <v>3.6</v>
      </c>
      <c r="Q38" s="23" t="n">
        <v>1.8</v>
      </c>
      <c r="R38" s="23" t="n">
        <v>14.4</v>
      </c>
      <c r="S38" s="23" t="n">
        <v>27.8</v>
      </c>
      <c r="T38" s="23" t="n">
        <v>17.1</v>
      </c>
      <c r="U38" s="23" t="n">
        <v>15</v>
      </c>
      <c r="V38" s="23" t="n">
        <v>14.1</v>
      </c>
      <c r="X38" s="28" t="s">
        <v>780</v>
      </c>
      <c r="Y38" s="29" t="n">
        <v>14.3</v>
      </c>
      <c r="Z38" s="29" t="n">
        <v>13.6</v>
      </c>
      <c r="AA38" s="30" t="str">
        <f aca="false">IFERROR(INDEX($G$35:$V$35,MATCH(9.99E+307,$G38:$V38)),"N/A")</f>
        <v>2025</v>
      </c>
      <c r="AB38" s="20" t="n">
        <f aca="false">IFERROR(INDEX($G38:$V38,MATCH(9.99E+307,$G38:$V38)),"N/A")</f>
        <v>14.1</v>
      </c>
    </row>
    <row r="39" customFormat="false" ht="15" hidden="false" customHeight="false" outlineLevel="0" collapsed="false">
      <c r="A39" s="2" t="s">
        <v>955</v>
      </c>
      <c r="B39" s="2" t="s">
        <v>785</v>
      </c>
      <c r="C39" s="2" t="s">
        <v>455</v>
      </c>
      <c r="D39" s="2" t="s">
        <v>516</v>
      </c>
      <c r="E39" s="2" t="s">
        <v>506</v>
      </c>
      <c r="F39" s="2" t="s">
        <v>959</v>
      </c>
      <c r="G39" s="23" t="n">
        <v>-2.8</v>
      </c>
      <c r="H39" s="23" t="n">
        <v>-1.6</v>
      </c>
      <c r="I39" s="23" t="n">
        <v>-3.1</v>
      </c>
      <c r="J39" s="23" t="n">
        <v>-4.5</v>
      </c>
      <c r="K39" s="23" t="n">
        <v>-4.8</v>
      </c>
      <c r="L39" s="23" t="n">
        <v>-4.8</v>
      </c>
      <c r="M39" s="23" t="n">
        <v>-5.2</v>
      </c>
      <c r="N39" s="23" t="n">
        <v>-3.4</v>
      </c>
      <c r="O39" s="23" t="n">
        <v>-3.7</v>
      </c>
      <c r="P39" s="23" t="n">
        <v>-2.5</v>
      </c>
      <c r="Q39" s="23" t="n">
        <v>-2.7</v>
      </c>
      <c r="R39" s="23" t="n">
        <v>-0.8</v>
      </c>
      <c r="S39" s="23" t="n">
        <v>-1.9</v>
      </c>
      <c r="T39" s="23" t="n">
        <v>-3.6</v>
      </c>
      <c r="U39" s="23" t="n">
        <v>-3</v>
      </c>
      <c r="V39" s="23" t="n">
        <v>-3.1</v>
      </c>
      <c r="X39" s="28" t="s">
        <v>780</v>
      </c>
      <c r="Y39" s="29" t="n">
        <v>-3.4</v>
      </c>
      <c r="Z39" s="29" t="n">
        <v>-3.1</v>
      </c>
      <c r="AA39" s="30" t="str">
        <f aca="false">IFERROR(INDEX($G$35:$V$35,MATCH(9.99E+307,$G39:$V39)),"N/A")</f>
        <v>2025</v>
      </c>
      <c r="AB39" s="20" t="n">
        <f aca="false">IFERROR(INDEX($G39:$V39,MATCH(9.99E+307,$G39:$V39)),"N/A")</f>
        <v>-3.1</v>
      </c>
    </row>
    <row r="40" customFormat="false" ht="15" hidden="false" customHeight="false" outlineLevel="0" collapsed="false">
      <c r="A40" s="2" t="s">
        <v>955</v>
      </c>
      <c r="B40" s="2" t="s">
        <v>787</v>
      </c>
      <c r="C40" s="2" t="s">
        <v>455</v>
      </c>
      <c r="D40" s="2" t="s">
        <v>516</v>
      </c>
      <c r="E40" s="2" t="s">
        <v>506</v>
      </c>
      <c r="F40" s="2" t="s">
        <v>960</v>
      </c>
      <c r="G40" s="23" t="n">
        <v>-0.6</v>
      </c>
      <c r="H40" s="23" t="n">
        <v>-0.9</v>
      </c>
      <c r="I40" s="23" t="n">
        <v>-2.1</v>
      </c>
      <c r="J40" s="23" t="n">
        <v>-0.6</v>
      </c>
      <c r="K40" s="23" t="n">
        <v>-0.9</v>
      </c>
      <c r="L40" s="23" t="n">
        <v>-0.3</v>
      </c>
      <c r="M40" s="23" t="n">
        <v>-0.5</v>
      </c>
      <c r="N40" s="23" t="n">
        <v>-0.5</v>
      </c>
      <c r="O40" s="23" t="n">
        <v>-0.7</v>
      </c>
      <c r="P40" s="23" t="n">
        <v>0.6</v>
      </c>
      <c r="Q40" s="23" t="n">
        <v>-2.1</v>
      </c>
      <c r="R40" s="23" t="n">
        <v>0.3</v>
      </c>
      <c r="S40" s="23" t="n">
        <v>-1.4</v>
      </c>
      <c r="T40" s="23" t="n">
        <v>-1</v>
      </c>
      <c r="U40" s="23" t="n">
        <v>0.1</v>
      </c>
      <c r="V40" s="23" t="n">
        <v>-0.4</v>
      </c>
      <c r="X40" s="28" t="s">
        <v>780</v>
      </c>
      <c r="Y40" s="29" t="n">
        <v>-0.3</v>
      </c>
      <c r="Z40" s="29" t="n">
        <v>-0.2</v>
      </c>
      <c r="AA40" s="30" t="str">
        <f aca="false">IFERROR(INDEX($G$35:$V$35,MATCH(9.99E+307,$G40:$V40)),"N/A")</f>
        <v>2025</v>
      </c>
      <c r="AB40" s="20" t="n">
        <f aca="false">IFERROR(INDEX($G40:$V40,MATCH(9.99E+307,$G40:$V40)),"N/A")</f>
        <v>-0.4</v>
      </c>
    </row>
    <row r="41" customFormat="false" ht="15" hidden="false" customHeight="false" outlineLevel="0" collapsed="false">
      <c r="A41" s="2" t="s">
        <v>955</v>
      </c>
      <c r="B41" s="2" t="s">
        <v>789</v>
      </c>
      <c r="C41" s="2" t="s">
        <v>455</v>
      </c>
      <c r="D41" s="2" t="s">
        <v>516</v>
      </c>
      <c r="E41" s="2" t="s">
        <v>506</v>
      </c>
      <c r="F41" s="2" t="s">
        <v>961</v>
      </c>
      <c r="G41" s="23" t="n">
        <v>5.7</v>
      </c>
      <c r="H41" s="23" t="n">
        <v>6.3</v>
      </c>
      <c r="I41" s="23" t="n">
        <v>7.2</v>
      </c>
      <c r="J41" s="23" t="n">
        <v>6.7</v>
      </c>
      <c r="K41" s="23" t="n">
        <v>7.2</v>
      </c>
      <c r="L41" s="23" t="n">
        <v>8.1</v>
      </c>
      <c r="M41" s="23" t="n">
        <v>8.9</v>
      </c>
      <c r="N41" s="23" t="n">
        <v>8.1</v>
      </c>
      <c r="O41" s="23" t="n">
        <v>8.4</v>
      </c>
      <c r="P41" s="23" t="n">
        <v>7.9</v>
      </c>
      <c r="Q41" s="23" t="n">
        <v>6.3</v>
      </c>
      <c r="R41" s="23" t="n">
        <v>6.9</v>
      </c>
      <c r="S41" s="23" t="n">
        <v>3.8</v>
      </c>
      <c r="T41" s="23" t="n">
        <v>5.5</v>
      </c>
      <c r="U41" s="23" t="n">
        <v>5.8</v>
      </c>
      <c r="V41" s="23" t="n">
        <v>4.4</v>
      </c>
      <c r="X41" s="28" t="s">
        <v>780</v>
      </c>
      <c r="Y41" s="29" t="n">
        <v>3.9</v>
      </c>
      <c r="Z41" s="29" t="n">
        <v>3.8</v>
      </c>
      <c r="AA41" s="30" t="str">
        <f aca="false">IFERROR(INDEX($G$35:$V$35,MATCH(9.99E+307,$G41:$V41)),"N/A")</f>
        <v>2025</v>
      </c>
      <c r="AB41" s="20" t="n">
        <f aca="false">IFERROR(INDEX($G41:$V41,MATCH(9.99E+307,$G41:$V41)),"N/A")</f>
        <v>4.4</v>
      </c>
    </row>
    <row r="42" customFormat="false" ht="15" hidden="false" customHeight="false" outlineLevel="0" collapsed="false">
      <c r="A42" s="2" t="s">
        <v>955</v>
      </c>
      <c r="B42" s="2" t="s">
        <v>791</v>
      </c>
      <c r="C42" s="2" t="s">
        <v>455</v>
      </c>
      <c r="D42" s="2" t="s">
        <v>516</v>
      </c>
      <c r="E42" s="2" t="s">
        <v>506</v>
      </c>
      <c r="F42" s="2" t="s">
        <v>962</v>
      </c>
      <c r="G42" s="23" t="n">
        <v>3.9</v>
      </c>
      <c r="H42" s="23" t="n">
        <v>1.8</v>
      </c>
      <c r="I42" s="23" t="n">
        <v>2.5</v>
      </c>
      <c r="J42" s="23" t="n">
        <v>1.5</v>
      </c>
      <c r="K42" s="23" t="n">
        <v>2.2</v>
      </c>
      <c r="L42" s="23" t="n">
        <v>2.6</v>
      </c>
      <c r="M42" s="23" t="n">
        <v>1.7</v>
      </c>
      <c r="N42" s="23" t="n">
        <v>1.5</v>
      </c>
      <c r="O42" s="23" t="n">
        <v>0.2</v>
      </c>
      <c r="P42" s="23" t="n">
        <v>0.7</v>
      </c>
      <c r="Q42" s="23" t="n">
        <v>1.6</v>
      </c>
      <c r="R42" s="23" t="n">
        <v>1.9</v>
      </c>
      <c r="S42" s="23" t="n">
        <v>2.4</v>
      </c>
      <c r="T42" s="23" t="n">
        <v>1.4</v>
      </c>
      <c r="U42" s="23" t="n">
        <v>2.2</v>
      </c>
      <c r="V42" s="23" t="n">
        <v>3.7</v>
      </c>
      <c r="X42" s="28" t="s">
        <v>780</v>
      </c>
      <c r="Y42" s="29" t="n">
        <v>3.5</v>
      </c>
      <c r="Z42" s="29" t="n">
        <v>3.3</v>
      </c>
      <c r="AA42" s="30" t="str">
        <f aca="false">IFERROR(INDEX($G$35:$V$35,MATCH(9.99E+307,$G42:$V42)),"N/A")</f>
        <v>2025</v>
      </c>
      <c r="AB42" s="20" t="n">
        <f aca="false">IFERROR(INDEX($G42:$V42,MATCH(9.99E+307,$G42:$V42)),"N/A")</f>
        <v>3.7</v>
      </c>
    </row>
    <row r="44" customFormat="false" ht="15" hidden="false" customHeight="false" outlineLevel="0" collapsed="false">
      <c r="A44" s="25" t="s">
        <v>963</v>
      </c>
    </row>
    <row r="45" customFormat="false" ht="15" hidden="false" customHeight="false" outlineLevel="0" collapsed="false">
      <c r="A45" s="3" t="s">
        <v>964</v>
      </c>
      <c r="B45" s="3" t="s">
        <v>965</v>
      </c>
      <c r="C45" s="3" t="s">
        <v>966</v>
      </c>
      <c r="D45" s="3" t="s">
        <v>967</v>
      </c>
      <c r="E45" s="3" t="s">
        <v>968</v>
      </c>
      <c r="F45" s="3" t="s">
        <v>969</v>
      </c>
      <c r="G45" s="3" t="s">
        <v>5</v>
      </c>
      <c r="H45" s="3" t="s">
        <v>970</v>
      </c>
      <c r="I45" s="3" t="s">
        <v>971</v>
      </c>
    </row>
    <row r="46" customFormat="false" ht="15" hidden="false" customHeight="false" outlineLevel="0" collapsed="false">
      <c r="A46" s="37" t="s">
        <v>972</v>
      </c>
      <c r="B46" s="37" t="s">
        <v>973</v>
      </c>
      <c r="C46" s="7" t="s">
        <v>974</v>
      </c>
      <c r="D46" s="37" t="s">
        <v>975</v>
      </c>
      <c r="E46" s="35" t="n">
        <v>2177127769561</v>
      </c>
      <c r="G46" s="2" t="s">
        <v>976</v>
      </c>
      <c r="H46" s="2" t="s">
        <v>977</v>
      </c>
      <c r="I46" s="37" t="n">
        <v>2025</v>
      </c>
    </row>
    <row r="47" customFormat="false" ht="15" hidden="false" customHeight="false" outlineLevel="0" collapsed="false">
      <c r="A47" s="37" t="s">
        <v>972</v>
      </c>
      <c r="B47" s="37" t="s">
        <v>973</v>
      </c>
      <c r="C47" s="37" t="n">
        <v>1</v>
      </c>
      <c r="D47" s="37" t="s">
        <v>978</v>
      </c>
      <c r="E47" s="35" t="n">
        <v>337959037089</v>
      </c>
      <c r="F47" s="38" t="n">
        <f aca="false">E47/$E$46</f>
        <v>0.15523160460038</v>
      </c>
      <c r="G47" s="2" t="s">
        <v>976</v>
      </c>
      <c r="H47" s="2" t="s">
        <v>977</v>
      </c>
      <c r="I47" s="37" t="n">
        <v>2025</v>
      </c>
    </row>
    <row r="48" customFormat="false" ht="15" hidden="false" customHeight="false" outlineLevel="0" collapsed="false">
      <c r="A48" s="37" t="s">
        <v>972</v>
      </c>
      <c r="B48" s="37" t="s">
        <v>973</v>
      </c>
      <c r="C48" s="37" t="n">
        <v>2</v>
      </c>
      <c r="D48" s="37" t="s">
        <v>979</v>
      </c>
      <c r="E48" s="35" t="n">
        <v>329654326225</v>
      </c>
      <c r="F48" s="38" t="n">
        <f aca="false">E48/$E$46</f>
        <v>0.151417078425063</v>
      </c>
      <c r="G48" s="2" t="s">
        <v>976</v>
      </c>
      <c r="H48" s="2" t="s">
        <v>977</v>
      </c>
      <c r="I48" s="37" t="n">
        <v>2025</v>
      </c>
    </row>
    <row r="49" customFormat="false" ht="15" hidden="false" customHeight="false" outlineLevel="0" collapsed="false">
      <c r="A49" s="37" t="s">
        <v>972</v>
      </c>
      <c r="B49" s="37" t="s">
        <v>973</v>
      </c>
      <c r="C49" s="37" t="n">
        <v>3</v>
      </c>
      <c r="D49" s="37" t="s">
        <v>791</v>
      </c>
      <c r="E49" s="35" t="n">
        <v>106308380310</v>
      </c>
      <c r="F49" s="38" t="n">
        <f aca="false">E49/$E$46</f>
        <v>0.0488296469303849</v>
      </c>
      <c r="G49" s="2" t="s">
        <v>976</v>
      </c>
      <c r="H49" s="2" t="s">
        <v>977</v>
      </c>
      <c r="I49" s="37" t="n">
        <v>2025</v>
      </c>
    </row>
    <row r="50" customFormat="false" ht="15" hidden="false" customHeight="false" outlineLevel="0" collapsed="false">
      <c r="A50" s="37" t="s">
        <v>972</v>
      </c>
      <c r="B50" s="37" t="s">
        <v>973</v>
      </c>
      <c r="C50" s="37" t="n">
        <v>4</v>
      </c>
      <c r="D50" s="37" t="s">
        <v>785</v>
      </c>
      <c r="E50" s="35" t="n">
        <v>96802050470</v>
      </c>
      <c r="F50" s="38" t="n">
        <f aca="false">E50/$E$46</f>
        <v>0.0444631922036984</v>
      </c>
      <c r="G50" s="2" t="s">
        <v>976</v>
      </c>
      <c r="H50" s="2" t="s">
        <v>977</v>
      </c>
      <c r="I50" s="37" t="n">
        <v>2025</v>
      </c>
    </row>
    <row r="51" customFormat="false" ht="15" hidden="false" customHeight="false" outlineLevel="0" collapsed="false">
      <c r="A51" s="37" t="s">
        <v>972</v>
      </c>
      <c r="B51" s="37" t="s">
        <v>973</v>
      </c>
      <c r="C51" s="37" t="n">
        <v>5</v>
      </c>
      <c r="D51" s="37" t="s">
        <v>980</v>
      </c>
      <c r="E51" s="35" t="n">
        <v>95637739080</v>
      </c>
      <c r="F51" s="38" t="n">
        <f aca="false">E51/$E$46</f>
        <v>0.0439283998013973</v>
      </c>
      <c r="G51" s="2" t="s">
        <v>976</v>
      </c>
      <c r="H51" s="2" t="s">
        <v>977</v>
      </c>
      <c r="I51" s="37" t="n">
        <v>2025</v>
      </c>
    </row>
    <row r="52" customFormat="false" ht="15" hidden="false" customHeight="false" outlineLevel="0" collapsed="false">
      <c r="A52" s="37" t="s">
        <v>972</v>
      </c>
      <c r="B52" s="37" t="s">
        <v>973</v>
      </c>
      <c r="C52" s="37" t="n">
        <v>6</v>
      </c>
      <c r="D52" s="37" t="s">
        <v>789</v>
      </c>
      <c r="E52" s="35" t="n">
        <v>82687836590</v>
      </c>
      <c r="F52" s="38" t="n">
        <f aca="false">E52/$E$46</f>
        <v>0.0379802406391028</v>
      </c>
      <c r="G52" s="2" t="s">
        <v>976</v>
      </c>
      <c r="H52" s="2" t="s">
        <v>977</v>
      </c>
      <c r="I52" s="37" t="n">
        <v>2025</v>
      </c>
    </row>
    <row r="53" customFormat="false" ht="15" hidden="false" customHeight="false" outlineLevel="0" collapsed="false">
      <c r="A53" s="37" t="s">
        <v>972</v>
      </c>
      <c r="B53" s="37" t="s">
        <v>973</v>
      </c>
      <c r="C53" s="37" t="n">
        <v>7</v>
      </c>
      <c r="D53" s="37" t="s">
        <v>981</v>
      </c>
      <c r="E53" s="35" t="n">
        <v>82028269860</v>
      </c>
      <c r="F53" s="38" t="n">
        <f aca="false">E53/$E$46</f>
        <v>0.0376772879418741</v>
      </c>
      <c r="G53" s="2" t="s">
        <v>976</v>
      </c>
      <c r="H53" s="2" t="s">
        <v>977</v>
      </c>
      <c r="I53" s="37" t="n">
        <v>2025</v>
      </c>
    </row>
    <row r="54" customFormat="false" ht="15" hidden="false" customHeight="false" outlineLevel="0" collapsed="false">
      <c r="A54" s="37" t="s">
        <v>972</v>
      </c>
      <c r="B54" s="37" t="s">
        <v>973</v>
      </c>
      <c r="C54" s="37" t="n">
        <v>8</v>
      </c>
      <c r="D54" s="37" t="s">
        <v>982</v>
      </c>
      <c r="E54" s="35" t="n">
        <v>71645861795</v>
      </c>
      <c r="F54" s="38" t="n">
        <f aca="false">E54/$E$46</f>
        <v>0.0329084322917101</v>
      </c>
      <c r="G54" s="2" t="s">
        <v>976</v>
      </c>
      <c r="H54" s="2" t="s">
        <v>977</v>
      </c>
      <c r="I54" s="37" t="n">
        <v>2025</v>
      </c>
    </row>
    <row r="55" customFormat="false" ht="15" hidden="false" customHeight="false" outlineLevel="0" collapsed="false">
      <c r="A55" s="37" t="s">
        <v>972</v>
      </c>
      <c r="B55" s="37" t="s">
        <v>973</v>
      </c>
      <c r="C55" s="37" t="n">
        <v>9</v>
      </c>
      <c r="D55" s="37" t="s">
        <v>983</v>
      </c>
      <c r="E55" s="35" t="n">
        <v>68793962527</v>
      </c>
      <c r="F55" s="38" t="n">
        <f aca="false">E55/$E$46</f>
        <v>0.0315984957285588</v>
      </c>
      <c r="G55" s="2" t="s">
        <v>976</v>
      </c>
      <c r="H55" s="2" t="s">
        <v>977</v>
      </c>
      <c r="I55" s="37" t="n">
        <v>2025</v>
      </c>
    </row>
    <row r="56" customFormat="false" ht="15" hidden="false" customHeight="false" outlineLevel="0" collapsed="false">
      <c r="A56" s="37" t="s">
        <v>972</v>
      </c>
      <c r="B56" s="37" t="s">
        <v>973</v>
      </c>
      <c r="C56" s="37" t="n">
        <v>10</v>
      </c>
      <c r="D56" s="37" t="s">
        <v>984</v>
      </c>
      <c r="E56" s="35" t="n">
        <v>54654855344</v>
      </c>
      <c r="F56" s="38" t="n">
        <f aca="false">E56/$E$46</f>
        <v>0.0251041101529015</v>
      </c>
      <c r="G56" s="2" t="s">
        <v>976</v>
      </c>
      <c r="H56" s="2" t="s">
        <v>977</v>
      </c>
      <c r="I56" s="37" t="n">
        <v>2025</v>
      </c>
    </row>
    <row r="57" customFormat="false" ht="15" hidden="false" customHeight="false" outlineLevel="0" collapsed="false">
      <c r="A57" s="37" t="s">
        <v>972</v>
      </c>
      <c r="B57" s="37" t="s">
        <v>985</v>
      </c>
      <c r="C57" s="7" t="s">
        <v>974</v>
      </c>
      <c r="D57" s="37" t="s">
        <v>975</v>
      </c>
      <c r="E57" s="35" t="n">
        <v>3504272131456</v>
      </c>
      <c r="G57" s="2" t="s">
        <v>976</v>
      </c>
      <c r="H57" s="2" t="s">
        <v>986</v>
      </c>
      <c r="I57" s="37" t="n">
        <v>2025</v>
      </c>
    </row>
    <row r="58" customFormat="false" ht="15" hidden="false" customHeight="false" outlineLevel="0" collapsed="false">
      <c r="A58" s="37" t="s">
        <v>972</v>
      </c>
      <c r="B58" s="37" t="s">
        <v>985</v>
      </c>
      <c r="C58" s="37" t="n">
        <v>1</v>
      </c>
      <c r="D58" s="37" t="s">
        <v>978</v>
      </c>
      <c r="E58" s="35" t="n">
        <v>538964388905</v>
      </c>
      <c r="F58" s="38" t="n">
        <f aca="false">E58/$E$57</f>
        <v>0.153802093184203</v>
      </c>
      <c r="G58" s="2" t="s">
        <v>976</v>
      </c>
      <c r="H58" s="2" t="s">
        <v>986</v>
      </c>
      <c r="I58" s="37" t="n">
        <v>2025</v>
      </c>
    </row>
    <row r="59" customFormat="false" ht="15" hidden="false" customHeight="false" outlineLevel="0" collapsed="false">
      <c r="A59" s="37" t="s">
        <v>972</v>
      </c>
      <c r="B59" s="37" t="s">
        <v>985</v>
      </c>
      <c r="C59" s="37" t="n">
        <v>2</v>
      </c>
      <c r="D59" s="37" t="s">
        <v>979</v>
      </c>
      <c r="E59" s="35" t="n">
        <v>392443738273</v>
      </c>
      <c r="F59" s="38" t="n">
        <f aca="false">E59/$E$57</f>
        <v>0.111990086257925</v>
      </c>
      <c r="G59" s="2" t="s">
        <v>976</v>
      </c>
      <c r="H59" s="2" t="s">
        <v>986</v>
      </c>
      <c r="I59" s="37" t="n">
        <v>2025</v>
      </c>
    </row>
    <row r="60" customFormat="false" ht="15" hidden="false" customHeight="false" outlineLevel="0" collapsed="false">
      <c r="A60" s="37" t="s">
        <v>972</v>
      </c>
      <c r="B60" s="37" t="s">
        <v>985</v>
      </c>
      <c r="C60" s="37" t="n">
        <v>3</v>
      </c>
      <c r="D60" s="37" t="s">
        <v>791</v>
      </c>
      <c r="E60" s="35" t="n">
        <v>327476103023</v>
      </c>
      <c r="F60" s="38" t="n">
        <f aca="false">E60/$E$57</f>
        <v>0.0934505343016657</v>
      </c>
      <c r="G60" s="2" t="s">
        <v>976</v>
      </c>
      <c r="H60" s="2" t="s">
        <v>986</v>
      </c>
      <c r="I60" s="37" t="n">
        <v>2025</v>
      </c>
    </row>
    <row r="61" customFormat="false" ht="15" hidden="false" customHeight="false" outlineLevel="0" collapsed="false">
      <c r="A61" s="37" t="s">
        <v>972</v>
      </c>
      <c r="B61" s="37" t="s">
        <v>985</v>
      </c>
      <c r="C61" s="37" t="n">
        <v>4</v>
      </c>
      <c r="D61" s="37" t="s">
        <v>984</v>
      </c>
      <c r="E61" s="35" t="n">
        <v>205033133779</v>
      </c>
      <c r="F61" s="38" t="n">
        <f aca="false">E61/$E$57</f>
        <v>0.0585094781705239</v>
      </c>
      <c r="G61" s="2" t="s">
        <v>976</v>
      </c>
      <c r="H61" s="2" t="s">
        <v>986</v>
      </c>
      <c r="I61" s="37" t="n">
        <v>2025</v>
      </c>
    </row>
    <row r="62" customFormat="false" ht="15" hidden="false" customHeight="false" outlineLevel="0" collapsed="false">
      <c r="A62" s="37" t="s">
        <v>972</v>
      </c>
      <c r="B62" s="37" t="s">
        <v>985</v>
      </c>
      <c r="C62" s="37" t="n">
        <v>5</v>
      </c>
      <c r="D62" s="37" t="s">
        <v>987</v>
      </c>
      <c r="E62" s="35" t="n">
        <v>201257258433</v>
      </c>
      <c r="F62" s="38" t="n">
        <f aca="false">E62/$E$57</f>
        <v>0.0574319718569856</v>
      </c>
      <c r="G62" s="2" t="s">
        <v>976</v>
      </c>
      <c r="H62" s="2" t="s">
        <v>986</v>
      </c>
      <c r="I62" s="37" t="n">
        <v>2025</v>
      </c>
    </row>
    <row r="63" customFormat="false" ht="15" hidden="false" customHeight="false" outlineLevel="0" collapsed="false">
      <c r="A63" s="37" t="s">
        <v>972</v>
      </c>
      <c r="B63" s="37" t="s">
        <v>985</v>
      </c>
      <c r="C63" s="37" t="n">
        <v>6</v>
      </c>
      <c r="D63" s="37" t="s">
        <v>789</v>
      </c>
      <c r="E63" s="35" t="n">
        <v>159021785251</v>
      </c>
      <c r="F63" s="38" t="n">
        <f aca="false">E63/$E$57</f>
        <v>0.0453794052760759</v>
      </c>
      <c r="G63" s="2" t="s">
        <v>976</v>
      </c>
      <c r="H63" s="2" t="s">
        <v>986</v>
      </c>
      <c r="I63" s="37" t="n">
        <v>2025</v>
      </c>
    </row>
    <row r="64" customFormat="false" ht="15" hidden="false" customHeight="false" outlineLevel="0" collapsed="false">
      <c r="A64" s="37" t="s">
        <v>972</v>
      </c>
      <c r="B64" s="37" t="s">
        <v>985</v>
      </c>
      <c r="C64" s="37" t="n">
        <v>7</v>
      </c>
      <c r="D64" s="37" t="s">
        <v>981</v>
      </c>
      <c r="E64" s="35" t="n">
        <v>149810349187</v>
      </c>
      <c r="F64" s="38" t="n">
        <f aca="false">E64/$E$57</f>
        <v>0.0427507749304718</v>
      </c>
      <c r="G64" s="2" t="s">
        <v>976</v>
      </c>
      <c r="H64" s="2" t="s">
        <v>986</v>
      </c>
      <c r="I64" s="37" t="n">
        <v>2025</v>
      </c>
    </row>
    <row r="65" customFormat="false" ht="15" hidden="false" customHeight="false" outlineLevel="0" collapsed="false">
      <c r="A65" s="37" t="s">
        <v>972</v>
      </c>
      <c r="B65" s="37" t="s">
        <v>985</v>
      </c>
      <c r="C65" s="37" t="n">
        <v>8</v>
      </c>
      <c r="D65" s="37" t="s">
        <v>988</v>
      </c>
      <c r="E65" s="35" t="n">
        <v>133893893108</v>
      </c>
      <c r="F65" s="38" t="n">
        <f aca="false">E65/$E$57</f>
        <v>0.0382087600749112</v>
      </c>
      <c r="G65" s="2" t="s">
        <v>976</v>
      </c>
      <c r="H65" s="2" t="s">
        <v>986</v>
      </c>
      <c r="I65" s="37" t="n">
        <v>2025</v>
      </c>
    </row>
    <row r="66" customFormat="false" ht="15" hidden="false" customHeight="false" outlineLevel="0" collapsed="false">
      <c r="A66" s="37" t="s">
        <v>972</v>
      </c>
      <c r="B66" s="37" t="s">
        <v>985</v>
      </c>
      <c r="C66" s="37" t="n">
        <v>9</v>
      </c>
      <c r="D66" s="37" t="s">
        <v>983</v>
      </c>
      <c r="E66" s="35" t="n">
        <v>129047793001</v>
      </c>
      <c r="F66" s="38" t="n">
        <f aca="false">E66/$E$57</f>
        <v>0.0368258480391994</v>
      </c>
      <c r="G66" s="2" t="s">
        <v>976</v>
      </c>
      <c r="H66" s="2" t="s">
        <v>986</v>
      </c>
      <c r="I66" s="37" t="n">
        <v>2025</v>
      </c>
    </row>
    <row r="67" customFormat="false" ht="15" hidden="false" customHeight="false" outlineLevel="0" collapsed="false">
      <c r="A67" s="37" t="s">
        <v>972</v>
      </c>
      <c r="B67" s="37" t="s">
        <v>985</v>
      </c>
      <c r="C67" s="37" t="n">
        <v>10</v>
      </c>
      <c r="D67" s="37" t="s">
        <v>989</v>
      </c>
      <c r="E67" s="35" t="n">
        <v>107594489030</v>
      </c>
      <c r="F67" s="38" t="n">
        <f aca="false">E67/$E$57</f>
        <v>0.0307038052393766</v>
      </c>
      <c r="G67" s="2" t="s">
        <v>976</v>
      </c>
      <c r="H67" s="2" t="s">
        <v>986</v>
      </c>
      <c r="I67" s="37" t="n">
        <v>2025</v>
      </c>
    </row>
    <row r="68" customFormat="false" ht="15" hidden="false" customHeight="false" outlineLevel="0" collapsed="false">
      <c r="A68" s="37" t="s">
        <v>990</v>
      </c>
      <c r="B68" s="37" t="s">
        <v>973</v>
      </c>
      <c r="C68" s="7" t="s">
        <v>974</v>
      </c>
      <c r="D68" s="37" t="s">
        <v>975</v>
      </c>
      <c r="E68" s="35" t="n">
        <v>709010455149</v>
      </c>
      <c r="G68" s="2" t="s">
        <v>976</v>
      </c>
      <c r="H68" s="2" t="s">
        <v>991</v>
      </c>
      <c r="I68" s="37" t="n">
        <v>2025</v>
      </c>
    </row>
    <row r="69" customFormat="false" ht="15" hidden="false" customHeight="false" outlineLevel="0" collapsed="false">
      <c r="A69" s="37" t="s">
        <v>990</v>
      </c>
      <c r="B69" s="37" t="s">
        <v>973</v>
      </c>
      <c r="C69" s="37" t="n">
        <v>1</v>
      </c>
      <c r="D69" s="37" t="s">
        <v>791</v>
      </c>
      <c r="E69" s="35" t="n">
        <v>130646977538</v>
      </c>
      <c r="F69" s="38" t="n">
        <f aca="false">E69/$E$68</f>
        <v>0.184266644573731</v>
      </c>
      <c r="G69" s="2" t="s">
        <v>976</v>
      </c>
      <c r="H69" s="2" t="s">
        <v>991</v>
      </c>
      <c r="I69" s="37" t="n">
        <v>2025</v>
      </c>
    </row>
    <row r="70" customFormat="false" ht="15" hidden="false" customHeight="false" outlineLevel="0" collapsed="false">
      <c r="A70" s="37" t="s">
        <v>990</v>
      </c>
      <c r="B70" s="37" t="s">
        <v>973</v>
      </c>
      <c r="C70" s="37" t="n">
        <v>2</v>
      </c>
      <c r="D70" s="37" t="s">
        <v>972</v>
      </c>
      <c r="E70" s="35" t="n">
        <v>123237977820</v>
      </c>
      <c r="F70" s="38" t="n">
        <f aca="false">E70/$E$68</f>
        <v>0.173816869589182</v>
      </c>
      <c r="G70" s="2" t="s">
        <v>976</v>
      </c>
      <c r="H70" s="2" t="s">
        <v>991</v>
      </c>
      <c r="I70" s="37" t="n">
        <v>2025</v>
      </c>
    </row>
    <row r="71" customFormat="false" ht="15" hidden="false" customHeight="false" outlineLevel="0" collapsed="false">
      <c r="A71" s="37" t="s">
        <v>990</v>
      </c>
      <c r="B71" s="37" t="s">
        <v>973</v>
      </c>
      <c r="C71" s="37" t="n">
        <v>3</v>
      </c>
      <c r="D71" s="37" t="s">
        <v>987</v>
      </c>
      <c r="E71" s="35" t="n">
        <v>62773670778</v>
      </c>
      <c r="F71" s="38" t="n">
        <f aca="false">E71/$E$68</f>
        <v>0.0885370170808102</v>
      </c>
      <c r="G71" s="2" t="s">
        <v>976</v>
      </c>
      <c r="H71" s="2" t="s">
        <v>991</v>
      </c>
      <c r="I71" s="37" t="n">
        <v>2025</v>
      </c>
    </row>
    <row r="72" customFormat="false" ht="15" hidden="false" customHeight="false" outlineLevel="0" collapsed="false">
      <c r="A72" s="37" t="s">
        <v>990</v>
      </c>
      <c r="B72" s="37" t="s">
        <v>973</v>
      </c>
      <c r="C72" s="37" t="n">
        <v>4</v>
      </c>
      <c r="D72" s="37" t="s">
        <v>984</v>
      </c>
      <c r="E72" s="35" t="n">
        <v>49068855376</v>
      </c>
      <c r="F72" s="38" t="n">
        <f aca="false">E72/$E$68</f>
        <v>0.0692075201707542</v>
      </c>
      <c r="G72" s="2" t="s">
        <v>976</v>
      </c>
      <c r="H72" s="2" t="s">
        <v>991</v>
      </c>
      <c r="I72" s="37" t="n">
        <v>2025</v>
      </c>
    </row>
    <row r="73" customFormat="false" ht="15" hidden="false" customHeight="false" outlineLevel="0" collapsed="false">
      <c r="A73" s="37" t="s">
        <v>990</v>
      </c>
      <c r="B73" s="37" t="s">
        <v>973</v>
      </c>
      <c r="C73" s="37" t="n">
        <v>5</v>
      </c>
      <c r="D73" s="37" t="s">
        <v>992</v>
      </c>
      <c r="E73" s="35" t="n">
        <v>34812619625</v>
      </c>
      <c r="F73" s="38" t="n">
        <f aca="false">E73/$E$68</f>
        <v>0.049100290936731</v>
      </c>
      <c r="G73" s="2" t="s">
        <v>976</v>
      </c>
      <c r="H73" s="2" t="s">
        <v>991</v>
      </c>
      <c r="I73" s="37" t="n">
        <v>2025</v>
      </c>
    </row>
    <row r="74" customFormat="false" ht="15" hidden="false" customHeight="false" outlineLevel="0" collapsed="false">
      <c r="A74" s="37" t="s">
        <v>990</v>
      </c>
      <c r="B74" s="37" t="s">
        <v>973</v>
      </c>
      <c r="C74" s="37" t="n">
        <v>6</v>
      </c>
      <c r="D74" s="37" t="s">
        <v>981</v>
      </c>
      <c r="E74" s="35" t="n">
        <v>28292821900</v>
      </c>
      <c r="F74" s="38" t="n">
        <f aca="false">E74/$E$68</f>
        <v>0.0399046610589885</v>
      </c>
      <c r="G74" s="2" t="s">
        <v>976</v>
      </c>
      <c r="H74" s="2" t="s">
        <v>991</v>
      </c>
      <c r="I74" s="37" t="n">
        <v>2025</v>
      </c>
    </row>
    <row r="75" customFormat="false" ht="15" hidden="false" customHeight="false" outlineLevel="0" collapsed="false">
      <c r="A75" s="37" t="s">
        <v>990</v>
      </c>
      <c r="B75" s="37" t="s">
        <v>973</v>
      </c>
      <c r="C75" s="37" t="n">
        <v>7</v>
      </c>
      <c r="D75" s="37" t="s">
        <v>993</v>
      </c>
      <c r="E75" s="35" t="n">
        <v>19552198723</v>
      </c>
      <c r="F75" s="38" t="n">
        <f aca="false">E75/$E$68</f>
        <v>0.0275767424598712</v>
      </c>
      <c r="G75" s="2" t="s">
        <v>976</v>
      </c>
      <c r="H75" s="2" t="s">
        <v>991</v>
      </c>
      <c r="I75" s="37" t="n">
        <v>2025</v>
      </c>
    </row>
    <row r="76" customFormat="false" ht="15" hidden="false" customHeight="false" outlineLevel="0" collapsed="false">
      <c r="A76" s="37" t="s">
        <v>990</v>
      </c>
      <c r="B76" s="37" t="s">
        <v>973</v>
      </c>
      <c r="C76" s="37" t="n">
        <v>8</v>
      </c>
      <c r="D76" s="37" t="s">
        <v>989</v>
      </c>
      <c r="E76" s="35" t="n">
        <v>19213200316</v>
      </c>
      <c r="F76" s="38" t="n">
        <f aca="false">E76/$E$68</f>
        <v>0.0270986135344962</v>
      </c>
      <c r="G76" s="2" t="s">
        <v>976</v>
      </c>
      <c r="H76" s="2" t="s">
        <v>991</v>
      </c>
      <c r="I76" s="37" t="n">
        <v>2025</v>
      </c>
    </row>
    <row r="77" customFormat="false" ht="15" hidden="false" customHeight="false" outlineLevel="0" collapsed="false">
      <c r="A77" s="37" t="s">
        <v>990</v>
      </c>
      <c r="B77" s="37" t="s">
        <v>973</v>
      </c>
      <c r="C77" s="37" t="n">
        <v>9</v>
      </c>
      <c r="D77" s="37" t="s">
        <v>994</v>
      </c>
      <c r="E77" s="35" t="n">
        <v>14172394705</v>
      </c>
      <c r="F77" s="38" t="n">
        <f aca="false">E77/$E$68</f>
        <v>0.0199889784446432</v>
      </c>
      <c r="G77" s="2" t="s">
        <v>976</v>
      </c>
      <c r="H77" s="2" t="s">
        <v>991</v>
      </c>
      <c r="I77" s="37" t="n">
        <v>2025</v>
      </c>
    </row>
    <row r="78" customFormat="false" ht="15" hidden="false" customHeight="false" outlineLevel="0" collapsed="false">
      <c r="A78" s="37" t="s">
        <v>990</v>
      </c>
      <c r="B78" s="37" t="s">
        <v>973</v>
      </c>
      <c r="C78" s="37" t="n">
        <v>10</v>
      </c>
      <c r="D78" s="37" t="s">
        <v>995</v>
      </c>
      <c r="E78" s="35" t="n">
        <v>12362646751</v>
      </c>
      <c r="F78" s="38" t="n">
        <f aca="false">E78/$E$68</f>
        <v>0.0174364801833592</v>
      </c>
      <c r="G78" s="2" t="s">
        <v>976</v>
      </c>
      <c r="H78" s="2" t="s">
        <v>991</v>
      </c>
      <c r="I78" s="37" t="n">
        <v>2025</v>
      </c>
    </row>
    <row r="79" customFormat="false" ht="15" hidden="false" customHeight="false" outlineLevel="0" collapsed="false">
      <c r="A79" s="37" t="s">
        <v>990</v>
      </c>
      <c r="B79" s="37" t="s">
        <v>985</v>
      </c>
      <c r="C79" s="7" t="s">
        <v>974</v>
      </c>
      <c r="D79" s="37" t="s">
        <v>975</v>
      </c>
      <c r="E79" s="35" t="n">
        <v>631585806009</v>
      </c>
      <c r="G79" s="2" t="s">
        <v>976</v>
      </c>
      <c r="H79" s="2" t="s">
        <v>996</v>
      </c>
      <c r="I79" s="37" t="n">
        <v>2025</v>
      </c>
    </row>
    <row r="80" customFormat="false" ht="15" hidden="false" customHeight="false" outlineLevel="0" collapsed="false">
      <c r="A80" s="37" t="s">
        <v>990</v>
      </c>
      <c r="B80" s="37" t="s">
        <v>985</v>
      </c>
      <c r="C80" s="37" t="n">
        <v>1</v>
      </c>
      <c r="D80" s="37" t="s">
        <v>791</v>
      </c>
      <c r="E80" s="35" t="n">
        <v>141887335178</v>
      </c>
      <c r="F80" s="38" t="n">
        <f aca="false">E80/$E$79</f>
        <v>0.224652507748057</v>
      </c>
      <c r="G80" s="2" t="s">
        <v>976</v>
      </c>
      <c r="H80" s="2" t="s">
        <v>996</v>
      </c>
      <c r="I80" s="37" t="n">
        <v>2025</v>
      </c>
    </row>
    <row r="81" customFormat="false" ht="15" hidden="false" customHeight="false" outlineLevel="0" collapsed="false">
      <c r="A81" s="37" t="s">
        <v>990</v>
      </c>
      <c r="B81" s="37" t="s">
        <v>985</v>
      </c>
      <c r="C81" s="37" t="n">
        <v>2</v>
      </c>
      <c r="D81" s="37" t="s">
        <v>972</v>
      </c>
      <c r="E81" s="35" t="n">
        <v>73715410548</v>
      </c>
      <c r="F81" s="38" t="n">
        <f aca="false">E81/$E$79</f>
        <v>0.116714799234975</v>
      </c>
      <c r="G81" s="2" t="s">
        <v>976</v>
      </c>
      <c r="H81" s="2" t="s">
        <v>996</v>
      </c>
      <c r="I81" s="37" t="n">
        <v>2025</v>
      </c>
    </row>
    <row r="82" customFormat="false" ht="15" hidden="false" customHeight="false" outlineLevel="0" collapsed="false">
      <c r="A82" s="37" t="s">
        <v>990</v>
      </c>
      <c r="B82" s="37" t="s">
        <v>985</v>
      </c>
      <c r="C82" s="37" t="n">
        <v>3</v>
      </c>
      <c r="D82" s="37" t="s">
        <v>981</v>
      </c>
      <c r="E82" s="35" t="n">
        <v>48820176533</v>
      </c>
      <c r="F82" s="38" t="n">
        <f aca="false">E82/$E$79</f>
        <v>0.0772977734276446</v>
      </c>
      <c r="G82" s="2" t="s">
        <v>976</v>
      </c>
      <c r="H82" s="2" t="s">
        <v>996</v>
      </c>
      <c r="I82" s="37" t="n">
        <v>2025</v>
      </c>
    </row>
    <row r="83" customFormat="false" ht="15" hidden="false" customHeight="false" outlineLevel="0" collapsed="false">
      <c r="A83" s="37" t="s">
        <v>990</v>
      </c>
      <c r="B83" s="37" t="s">
        <v>985</v>
      </c>
      <c r="C83" s="37" t="n">
        <v>4</v>
      </c>
      <c r="D83" s="37" t="s">
        <v>984</v>
      </c>
      <c r="E83" s="35" t="n">
        <v>32324435698</v>
      </c>
      <c r="F83" s="38" t="n">
        <f aca="false">E83/$E$79</f>
        <v>0.051179800734058</v>
      </c>
      <c r="G83" s="2" t="s">
        <v>976</v>
      </c>
      <c r="H83" s="2" t="s">
        <v>996</v>
      </c>
      <c r="I83" s="37" t="n">
        <v>2025</v>
      </c>
    </row>
    <row r="84" customFormat="false" ht="15" hidden="false" customHeight="false" outlineLevel="0" collapsed="false">
      <c r="A84" s="37" t="s">
        <v>990</v>
      </c>
      <c r="B84" s="37" t="s">
        <v>985</v>
      </c>
      <c r="C84" s="37" t="n">
        <v>5</v>
      </c>
      <c r="D84" s="37" t="s">
        <v>994</v>
      </c>
      <c r="E84" s="35" t="n">
        <v>32079635691</v>
      </c>
      <c r="F84" s="38" t="n">
        <f aca="false">E84/$E$79</f>
        <v>0.0507922049320768</v>
      </c>
      <c r="G84" s="2" t="s">
        <v>976</v>
      </c>
      <c r="H84" s="2" t="s">
        <v>996</v>
      </c>
      <c r="I84" s="37" t="n">
        <v>2025</v>
      </c>
    </row>
    <row r="85" customFormat="false" ht="15" hidden="false" customHeight="false" outlineLevel="0" collapsed="false">
      <c r="A85" s="37" t="s">
        <v>990</v>
      </c>
      <c r="B85" s="37" t="s">
        <v>985</v>
      </c>
      <c r="C85" s="37" t="n">
        <v>6</v>
      </c>
      <c r="D85" s="37" t="s">
        <v>987</v>
      </c>
      <c r="E85" s="35" t="n">
        <v>31774234906</v>
      </c>
      <c r="F85" s="38" t="n">
        <f aca="false">E85/$E$79</f>
        <v>0.0503086589402347</v>
      </c>
      <c r="G85" s="2" t="s">
        <v>976</v>
      </c>
      <c r="H85" s="2" t="s">
        <v>996</v>
      </c>
      <c r="I85" s="37" t="n">
        <v>2025</v>
      </c>
    </row>
    <row r="86" customFormat="false" ht="15" hidden="false" customHeight="false" outlineLevel="0" collapsed="false">
      <c r="A86" s="37" t="s">
        <v>990</v>
      </c>
      <c r="B86" s="37" t="s">
        <v>985</v>
      </c>
      <c r="C86" s="37" t="n">
        <v>7</v>
      </c>
      <c r="D86" s="37" t="s">
        <v>997</v>
      </c>
      <c r="E86" s="35" t="n">
        <v>27431751145</v>
      </c>
      <c r="F86" s="38" t="n">
        <f aca="false">E86/$E$79</f>
        <v>0.0434331343168423</v>
      </c>
      <c r="G86" s="2" t="s">
        <v>976</v>
      </c>
      <c r="H86" s="2" t="s">
        <v>996</v>
      </c>
      <c r="I86" s="37" t="n">
        <v>2025</v>
      </c>
    </row>
    <row r="87" customFormat="false" ht="15" hidden="false" customHeight="false" outlineLevel="0" collapsed="false">
      <c r="A87" s="37" t="s">
        <v>990</v>
      </c>
      <c r="B87" s="37" t="s">
        <v>985</v>
      </c>
      <c r="C87" s="37" t="n">
        <v>8</v>
      </c>
      <c r="D87" s="37" t="s">
        <v>789</v>
      </c>
      <c r="E87" s="35" t="n">
        <v>21628662375</v>
      </c>
      <c r="F87" s="38" t="n">
        <f aca="false">E87/$E$79</f>
        <v>0.0342450102095736</v>
      </c>
      <c r="G87" s="2" t="s">
        <v>976</v>
      </c>
      <c r="H87" s="2" t="s">
        <v>996</v>
      </c>
      <c r="I87" s="37" t="n">
        <v>2025</v>
      </c>
    </row>
    <row r="88" customFormat="false" ht="15" hidden="false" customHeight="false" outlineLevel="0" collapsed="false">
      <c r="A88" s="37" t="s">
        <v>990</v>
      </c>
      <c r="B88" s="37" t="s">
        <v>985</v>
      </c>
      <c r="C88" s="37" t="n">
        <v>9</v>
      </c>
      <c r="D88" s="37" t="s">
        <v>995</v>
      </c>
      <c r="E88" s="35" t="n">
        <v>15512722381</v>
      </c>
      <c r="F88" s="38" t="n">
        <f aca="false">E88/$E$79</f>
        <v>0.0245615437101494</v>
      </c>
      <c r="G88" s="2" t="s">
        <v>976</v>
      </c>
      <c r="H88" s="2" t="s">
        <v>996</v>
      </c>
      <c r="I88" s="37" t="n">
        <v>2025</v>
      </c>
    </row>
    <row r="89" customFormat="false" ht="15" hidden="false" customHeight="false" outlineLevel="0" collapsed="false">
      <c r="A89" s="37" t="s">
        <v>990</v>
      </c>
      <c r="B89" s="37" t="s">
        <v>985</v>
      </c>
      <c r="C89" s="37" t="n">
        <v>10</v>
      </c>
      <c r="D89" s="37" t="s">
        <v>998</v>
      </c>
      <c r="E89" s="35" t="n">
        <v>14116578365</v>
      </c>
      <c r="F89" s="38" t="n">
        <f aca="false">E89/$E$79</f>
        <v>0.0223510063568446</v>
      </c>
      <c r="G89" s="2" t="s">
        <v>976</v>
      </c>
      <c r="H89" s="2" t="s">
        <v>996</v>
      </c>
      <c r="I89" s="37" t="n">
        <v>2025</v>
      </c>
    </row>
    <row r="90" customFormat="false" ht="15" hidden="false" customHeight="false" outlineLevel="0" collapsed="false">
      <c r="A90" s="37" t="s">
        <v>999</v>
      </c>
      <c r="B90" s="37" t="s">
        <v>973</v>
      </c>
      <c r="C90" s="7" t="s">
        <v>974</v>
      </c>
      <c r="D90" s="37" t="s">
        <v>975</v>
      </c>
      <c r="E90" s="35" t="n">
        <v>170875975865.71</v>
      </c>
      <c r="G90" s="2" t="s">
        <v>976</v>
      </c>
      <c r="H90" s="2" t="s">
        <v>1000</v>
      </c>
      <c r="I90" s="37" t="n">
        <v>2025</v>
      </c>
    </row>
    <row r="91" customFormat="false" ht="15" hidden="false" customHeight="false" outlineLevel="0" collapsed="false">
      <c r="A91" s="37" t="s">
        <v>999</v>
      </c>
      <c r="B91" s="37" t="s">
        <v>973</v>
      </c>
      <c r="C91" s="37" t="n">
        <v>1</v>
      </c>
      <c r="D91" s="37" t="s">
        <v>785</v>
      </c>
      <c r="E91" s="35" t="n">
        <v>30328348194.288</v>
      </c>
      <c r="F91" s="38" t="n">
        <f aca="false">E91/$E$90</f>
        <v>0.177487490799308</v>
      </c>
      <c r="G91" s="2" t="s">
        <v>976</v>
      </c>
      <c r="H91" s="2" t="s">
        <v>1000</v>
      </c>
      <c r="I91" s="37" t="n">
        <v>2025</v>
      </c>
    </row>
    <row r="92" customFormat="false" ht="15" hidden="false" customHeight="false" outlineLevel="0" collapsed="false">
      <c r="A92" s="37" t="s">
        <v>999</v>
      </c>
      <c r="B92" s="37" t="s">
        <v>973</v>
      </c>
      <c r="C92" s="37" t="n">
        <v>2</v>
      </c>
      <c r="D92" s="37" t="s">
        <v>789</v>
      </c>
      <c r="E92" s="35" t="n">
        <v>29720781388.432</v>
      </c>
      <c r="F92" s="38" t="n">
        <f aca="false">E92/$E$90</f>
        <v>0.173931889710402</v>
      </c>
      <c r="G92" s="2" t="s">
        <v>976</v>
      </c>
      <c r="H92" s="2" t="s">
        <v>1000</v>
      </c>
      <c r="I92" s="37" t="n">
        <v>2025</v>
      </c>
    </row>
    <row r="93" customFormat="false" ht="15" hidden="false" customHeight="false" outlineLevel="0" collapsed="false">
      <c r="A93" s="37" t="s">
        <v>999</v>
      </c>
      <c r="B93" s="37" t="s">
        <v>973</v>
      </c>
      <c r="C93" s="37" t="n">
        <v>3</v>
      </c>
      <c r="D93" s="37" t="s">
        <v>980</v>
      </c>
      <c r="E93" s="35" t="n">
        <v>16657462884.382</v>
      </c>
      <c r="F93" s="38" t="n">
        <f aca="false">E93/$E$90</f>
        <v>0.0974827666674042</v>
      </c>
      <c r="G93" s="2" t="s">
        <v>976</v>
      </c>
      <c r="H93" s="2" t="s">
        <v>1000</v>
      </c>
      <c r="I93" s="37" t="n">
        <v>2025</v>
      </c>
    </row>
    <row r="94" customFormat="false" ht="15" hidden="false" customHeight="false" outlineLevel="0" collapsed="false">
      <c r="A94" s="37" t="s">
        <v>999</v>
      </c>
      <c r="B94" s="37" t="s">
        <v>973</v>
      </c>
      <c r="C94" s="37" t="n">
        <v>4</v>
      </c>
      <c r="D94" s="37" t="s">
        <v>1001</v>
      </c>
      <c r="E94" s="35" t="n">
        <v>11070804689.157</v>
      </c>
      <c r="F94" s="38" t="n">
        <f aca="false">E94/$E$90</f>
        <v>0.0647885381960156</v>
      </c>
      <c r="G94" s="2" t="s">
        <v>976</v>
      </c>
      <c r="H94" s="2" t="s">
        <v>1000</v>
      </c>
      <c r="I94" s="37" t="n">
        <v>2025</v>
      </c>
    </row>
    <row r="95" customFormat="false" ht="15" hidden="false" customHeight="false" outlineLevel="0" collapsed="false">
      <c r="A95" s="37" t="s">
        <v>999</v>
      </c>
      <c r="B95" s="37" t="s">
        <v>973</v>
      </c>
      <c r="C95" s="37" t="n">
        <v>5</v>
      </c>
      <c r="D95" s="37" t="s">
        <v>1002</v>
      </c>
      <c r="E95" s="35" t="n">
        <v>10106050108.474</v>
      </c>
      <c r="F95" s="38" t="n">
        <f aca="false">E95/$E$90</f>
        <v>0.0591426036180549</v>
      </c>
      <c r="G95" s="2" t="s">
        <v>976</v>
      </c>
      <c r="H95" s="2" t="s">
        <v>1000</v>
      </c>
      <c r="I95" s="37" t="n">
        <v>2025</v>
      </c>
    </row>
    <row r="96" customFormat="false" ht="15" hidden="false" customHeight="false" outlineLevel="0" collapsed="false">
      <c r="A96" s="37" t="s">
        <v>999</v>
      </c>
      <c r="B96" s="37" t="s">
        <v>973</v>
      </c>
      <c r="C96" s="37" t="n">
        <v>6</v>
      </c>
      <c r="D96" s="37" t="s">
        <v>787</v>
      </c>
      <c r="E96" s="35" t="n">
        <v>9901521615.001</v>
      </c>
      <c r="F96" s="38" t="n">
        <f aca="false">E96/$E$90</f>
        <v>0.0579456624305252</v>
      </c>
      <c r="G96" s="2" t="s">
        <v>976</v>
      </c>
      <c r="H96" s="2" t="s">
        <v>1000</v>
      </c>
      <c r="I96" s="37" t="n">
        <v>2025</v>
      </c>
    </row>
    <row r="97" customFormat="false" ht="15" hidden="false" customHeight="false" outlineLevel="0" collapsed="false">
      <c r="A97" s="37" t="s">
        <v>999</v>
      </c>
      <c r="B97" s="37" t="s">
        <v>973</v>
      </c>
      <c r="C97" s="37" t="n">
        <v>7</v>
      </c>
      <c r="D97" s="37" t="s">
        <v>1003</v>
      </c>
      <c r="E97" s="35" t="n">
        <v>9677496736.799</v>
      </c>
      <c r="F97" s="38" t="n">
        <f aca="false">E97/$E$90</f>
        <v>0.0566346245443213</v>
      </c>
      <c r="G97" s="2" t="s">
        <v>976</v>
      </c>
      <c r="H97" s="2" t="s">
        <v>1000</v>
      </c>
      <c r="I97" s="37" t="n">
        <v>2025</v>
      </c>
    </row>
    <row r="98" customFormat="false" ht="15" hidden="false" customHeight="false" outlineLevel="0" collapsed="false">
      <c r="A98" s="37" t="s">
        <v>999</v>
      </c>
      <c r="B98" s="37" t="s">
        <v>973</v>
      </c>
      <c r="C98" s="37" t="n">
        <v>8</v>
      </c>
      <c r="D98" s="37" t="s">
        <v>1004</v>
      </c>
      <c r="E98" s="35" t="n">
        <v>8610313675.262</v>
      </c>
      <c r="F98" s="38" t="n">
        <f aca="false">E98/$E$90</f>
        <v>0.0503892582420643</v>
      </c>
      <c r="G98" s="2" t="s">
        <v>976</v>
      </c>
      <c r="H98" s="2" t="s">
        <v>1000</v>
      </c>
      <c r="I98" s="37" t="n">
        <v>2025</v>
      </c>
    </row>
    <row r="99" customFormat="false" ht="15" hidden="false" customHeight="false" outlineLevel="0" collapsed="false">
      <c r="A99" s="37" t="s">
        <v>999</v>
      </c>
      <c r="B99" s="37" t="s">
        <v>973</v>
      </c>
      <c r="C99" s="37" t="n">
        <v>9</v>
      </c>
      <c r="D99" s="37" t="s">
        <v>972</v>
      </c>
      <c r="E99" s="35" t="n">
        <v>6587582105.948</v>
      </c>
      <c r="F99" s="38" t="n">
        <f aca="false">E99/$E$90</f>
        <v>0.038551833120913</v>
      </c>
      <c r="G99" s="2" t="s">
        <v>976</v>
      </c>
      <c r="H99" s="2" t="s">
        <v>1000</v>
      </c>
      <c r="I99" s="37" t="n">
        <v>2025</v>
      </c>
    </row>
    <row r="100" customFormat="false" ht="15" hidden="false" customHeight="false" outlineLevel="0" collapsed="false">
      <c r="A100" s="37" t="s">
        <v>999</v>
      </c>
      <c r="B100" s="37" t="s">
        <v>973</v>
      </c>
      <c r="C100" s="37" t="n">
        <v>10</v>
      </c>
      <c r="D100" s="37" t="s">
        <v>1005</v>
      </c>
      <c r="E100" s="35" t="n">
        <v>5585856039.82</v>
      </c>
      <c r="F100" s="38" t="n">
        <f aca="false">E100/$E$90</f>
        <v>0.0326895340993393</v>
      </c>
      <c r="G100" s="2" t="s">
        <v>976</v>
      </c>
      <c r="H100" s="2" t="s">
        <v>1000</v>
      </c>
      <c r="I100" s="37" t="n">
        <v>2025</v>
      </c>
    </row>
    <row r="101" customFormat="false" ht="15" hidden="false" customHeight="false" outlineLevel="0" collapsed="false">
      <c r="A101" s="37" t="s">
        <v>999</v>
      </c>
      <c r="B101" s="37" t="s">
        <v>985</v>
      </c>
      <c r="C101" s="7" t="s">
        <v>974</v>
      </c>
      <c r="D101" s="37" t="s">
        <v>975</v>
      </c>
      <c r="E101" s="35" t="n">
        <v>107864550290.839</v>
      </c>
      <c r="G101" s="2" t="s">
        <v>976</v>
      </c>
      <c r="H101" s="2" t="s">
        <v>1006</v>
      </c>
      <c r="I101" s="37" t="n">
        <v>2025</v>
      </c>
    </row>
    <row r="102" customFormat="false" ht="15" hidden="false" customHeight="false" outlineLevel="0" collapsed="false">
      <c r="A102" s="37" t="s">
        <v>999</v>
      </c>
      <c r="B102" s="37" t="s">
        <v>985</v>
      </c>
      <c r="C102" s="37" t="n">
        <v>1</v>
      </c>
      <c r="D102" s="37" t="s">
        <v>791</v>
      </c>
      <c r="E102" s="35" t="n">
        <v>12886782212.726</v>
      </c>
      <c r="F102" s="38" t="n">
        <f aca="false">E102/$E$101</f>
        <v>0.11947189487166</v>
      </c>
      <c r="G102" s="2" t="s">
        <v>976</v>
      </c>
      <c r="H102" s="2" t="s">
        <v>1006</v>
      </c>
      <c r="I102" s="37" t="n">
        <v>2025</v>
      </c>
    </row>
    <row r="103" customFormat="false" ht="15" hidden="false" customHeight="false" outlineLevel="0" collapsed="false">
      <c r="A103" s="37" t="s">
        <v>999</v>
      </c>
      <c r="B103" s="37" t="s">
        <v>985</v>
      </c>
      <c r="C103" s="37" t="n">
        <v>2</v>
      </c>
      <c r="D103" s="37" t="s">
        <v>789</v>
      </c>
      <c r="E103" s="35" t="n">
        <v>12626760812.874</v>
      </c>
      <c r="F103" s="38" t="n">
        <f aca="false">E103/$E$101</f>
        <v>0.117061265993582</v>
      </c>
      <c r="G103" s="2" t="s">
        <v>976</v>
      </c>
      <c r="H103" s="2" t="s">
        <v>1006</v>
      </c>
      <c r="I103" s="37" t="n">
        <v>2025</v>
      </c>
    </row>
    <row r="104" customFormat="false" ht="15" hidden="false" customHeight="false" outlineLevel="0" collapsed="false">
      <c r="A104" s="37" t="s">
        <v>999</v>
      </c>
      <c r="B104" s="37" t="s">
        <v>985</v>
      </c>
      <c r="C104" s="37" t="n">
        <v>3</v>
      </c>
      <c r="D104" s="37" t="s">
        <v>1001</v>
      </c>
      <c r="E104" s="35" t="n">
        <v>10708028904.934</v>
      </c>
      <c r="F104" s="38" t="n">
        <f aca="false">E104/$E$101</f>
        <v>0.0992729203066398</v>
      </c>
      <c r="G104" s="2" t="s">
        <v>976</v>
      </c>
      <c r="H104" s="2" t="s">
        <v>1006</v>
      </c>
      <c r="I104" s="37" t="n">
        <v>2025</v>
      </c>
    </row>
    <row r="105" customFormat="false" ht="15" hidden="false" customHeight="false" outlineLevel="0" collapsed="false">
      <c r="A105" s="37" t="s">
        <v>999</v>
      </c>
      <c r="B105" s="37" t="s">
        <v>985</v>
      </c>
      <c r="C105" s="37" t="n">
        <v>4</v>
      </c>
      <c r="D105" s="37" t="s">
        <v>972</v>
      </c>
      <c r="E105" s="35" t="n">
        <v>7629895402.384</v>
      </c>
      <c r="F105" s="38" t="n">
        <f aca="false">E105/$E$101</f>
        <v>0.0707358940616842</v>
      </c>
      <c r="G105" s="2" t="s">
        <v>976</v>
      </c>
      <c r="H105" s="2" t="s">
        <v>1006</v>
      </c>
      <c r="I105" s="37" t="n">
        <v>2025</v>
      </c>
    </row>
    <row r="106" customFormat="false" ht="15" hidden="false" customHeight="false" outlineLevel="0" collapsed="false">
      <c r="A106" s="37" t="s">
        <v>999</v>
      </c>
      <c r="B106" s="37" t="s">
        <v>985</v>
      </c>
      <c r="C106" s="37" t="n">
        <v>5</v>
      </c>
      <c r="D106" s="37" t="s">
        <v>1003</v>
      </c>
      <c r="E106" s="35" t="n">
        <v>4502274647.54</v>
      </c>
      <c r="F106" s="38" t="n">
        <f aca="false">E106/$E$101</f>
        <v>0.0417400771189455</v>
      </c>
      <c r="G106" s="2" t="s">
        <v>976</v>
      </c>
      <c r="H106" s="2" t="s">
        <v>1006</v>
      </c>
      <c r="I106" s="37" t="n">
        <v>2025</v>
      </c>
    </row>
    <row r="107" customFormat="false" ht="15" hidden="false" customHeight="false" outlineLevel="0" collapsed="false">
      <c r="A107" s="37" t="s">
        <v>999</v>
      </c>
      <c r="B107" s="37" t="s">
        <v>985</v>
      </c>
      <c r="C107" s="37" t="n">
        <v>6</v>
      </c>
      <c r="D107" s="37" t="s">
        <v>785</v>
      </c>
      <c r="E107" s="35" t="n">
        <v>4424220103.029</v>
      </c>
      <c r="F107" s="38" t="n">
        <f aca="false">E107/$E$101</f>
        <v>0.0410164422982325</v>
      </c>
      <c r="G107" s="2" t="s">
        <v>976</v>
      </c>
      <c r="H107" s="2" t="s">
        <v>1006</v>
      </c>
      <c r="I107" s="37" t="n">
        <v>2025</v>
      </c>
    </row>
    <row r="108" customFormat="false" ht="15" hidden="false" customHeight="false" outlineLevel="0" collapsed="false">
      <c r="A108" s="37" t="s">
        <v>999</v>
      </c>
      <c r="B108" s="37" t="s">
        <v>985</v>
      </c>
      <c r="C108" s="37" t="n">
        <v>7</v>
      </c>
      <c r="D108" s="37" t="s">
        <v>980</v>
      </c>
      <c r="E108" s="35" t="n">
        <v>4415798014.889</v>
      </c>
      <c r="F108" s="38" t="n">
        <f aca="false">E108/$E$101</f>
        <v>0.0409383620752372</v>
      </c>
      <c r="G108" s="2" t="s">
        <v>976</v>
      </c>
      <c r="H108" s="2" t="s">
        <v>1006</v>
      </c>
      <c r="I108" s="37" t="n">
        <v>2025</v>
      </c>
    </row>
    <row r="109" customFormat="false" ht="15" hidden="false" customHeight="false" outlineLevel="0" collapsed="false">
      <c r="A109" s="37" t="s">
        <v>999</v>
      </c>
      <c r="B109" s="37" t="s">
        <v>985</v>
      </c>
      <c r="C109" s="37" t="n">
        <v>8</v>
      </c>
      <c r="D109" s="37" t="s">
        <v>1002</v>
      </c>
      <c r="E109" s="35" t="n">
        <v>4240035756.084</v>
      </c>
      <c r="F109" s="38" t="n">
        <f aca="false">E109/$E$101</f>
        <v>0.0393088901279562</v>
      </c>
      <c r="G109" s="2" t="s">
        <v>976</v>
      </c>
      <c r="H109" s="2" t="s">
        <v>1006</v>
      </c>
      <c r="I109" s="37" t="n">
        <v>2025</v>
      </c>
    </row>
    <row r="110" customFormat="false" ht="15" hidden="false" customHeight="false" outlineLevel="0" collapsed="false">
      <c r="A110" s="37" t="s">
        <v>999</v>
      </c>
      <c r="B110" s="37" t="s">
        <v>985</v>
      </c>
      <c r="C110" s="37" t="n">
        <v>9</v>
      </c>
      <c r="D110" s="37" t="s">
        <v>1007</v>
      </c>
      <c r="E110" s="35" t="n">
        <v>3678500467.89</v>
      </c>
      <c r="F110" s="38" t="n">
        <f aca="false">E110/$E$101</f>
        <v>0.0341029602216069</v>
      </c>
      <c r="G110" s="2" t="s">
        <v>976</v>
      </c>
      <c r="H110" s="2" t="s">
        <v>1006</v>
      </c>
      <c r="I110" s="37" t="n">
        <v>2025</v>
      </c>
    </row>
    <row r="111" customFormat="false" ht="15" hidden="false" customHeight="false" outlineLevel="0" collapsed="false">
      <c r="A111" s="37" t="s">
        <v>999</v>
      </c>
      <c r="B111" s="37" t="s">
        <v>985</v>
      </c>
      <c r="C111" s="37" t="n">
        <v>10</v>
      </c>
      <c r="D111" s="37" t="s">
        <v>787</v>
      </c>
      <c r="E111" s="35" t="n">
        <v>3126349060.66</v>
      </c>
      <c r="F111" s="38" t="n">
        <f aca="false">E111/$E$101</f>
        <v>0.0289840272103329</v>
      </c>
      <c r="G111" s="2" t="s">
        <v>976</v>
      </c>
      <c r="H111" s="2" t="s">
        <v>1006</v>
      </c>
      <c r="I111" s="37" t="n">
        <v>2025</v>
      </c>
    </row>
    <row r="112" customFormat="false" ht="15" hidden="false" customHeight="false" outlineLevel="0" collapsed="false">
      <c r="A112" s="37" t="s">
        <v>1008</v>
      </c>
      <c r="B112" s="37" t="s">
        <v>973</v>
      </c>
      <c r="C112" s="7" t="s">
        <v>974</v>
      </c>
      <c r="D112" s="37" t="s">
        <v>975</v>
      </c>
      <c r="E112" s="35" t="n">
        <v>554866729907.157</v>
      </c>
      <c r="G112" s="2" t="s">
        <v>976</v>
      </c>
      <c r="H112" s="2" t="s">
        <v>1009</v>
      </c>
      <c r="I112" s="37" t="n">
        <v>2025</v>
      </c>
    </row>
    <row r="113" customFormat="false" ht="15" hidden="false" customHeight="false" outlineLevel="0" collapsed="false">
      <c r="A113" s="37" t="s">
        <v>1008</v>
      </c>
      <c r="B113" s="37" t="s">
        <v>973</v>
      </c>
      <c r="C113" s="37" t="n">
        <v>1</v>
      </c>
      <c r="D113" s="37" t="s">
        <v>972</v>
      </c>
      <c r="E113" s="35" t="n">
        <v>88044789602.101</v>
      </c>
      <c r="F113" s="38" t="n">
        <f aca="false">E113/$E$112</f>
        <v>0.158677363151388</v>
      </c>
      <c r="G113" s="2" t="s">
        <v>976</v>
      </c>
      <c r="H113" s="2" t="s">
        <v>1009</v>
      </c>
      <c r="I113" s="37" t="n">
        <v>2025</v>
      </c>
    </row>
    <row r="114" customFormat="false" ht="15" hidden="false" customHeight="false" outlineLevel="0" collapsed="false">
      <c r="A114" s="37" t="s">
        <v>1008</v>
      </c>
      <c r="B114" s="37" t="s">
        <v>973</v>
      </c>
      <c r="C114" s="37" t="n">
        <v>2</v>
      </c>
      <c r="D114" s="37" t="s">
        <v>789</v>
      </c>
      <c r="E114" s="35" t="n">
        <v>42612819925.205</v>
      </c>
      <c r="F114" s="38" t="n">
        <f aca="false">E114/$E$112</f>
        <v>0.0767982970114917</v>
      </c>
      <c r="G114" s="2" t="s">
        <v>976</v>
      </c>
      <c r="H114" s="2" t="s">
        <v>1009</v>
      </c>
      <c r="I114" s="37" t="n">
        <v>2025</v>
      </c>
    </row>
    <row r="115" customFormat="false" ht="15" hidden="false" customHeight="false" outlineLevel="0" collapsed="false">
      <c r="A115" s="37" t="s">
        <v>1008</v>
      </c>
      <c r="B115" s="37" t="s">
        <v>973</v>
      </c>
      <c r="C115" s="37" t="n">
        <v>3</v>
      </c>
      <c r="D115" s="37" t="s">
        <v>791</v>
      </c>
      <c r="E115" s="35" t="n">
        <v>36849074967.941</v>
      </c>
      <c r="F115" s="38" t="n">
        <f aca="false">E115/$E$112</f>
        <v>0.0664106766215858</v>
      </c>
      <c r="G115" s="2" t="s">
        <v>976</v>
      </c>
      <c r="H115" s="2" t="s">
        <v>1009</v>
      </c>
      <c r="I115" s="37" t="n">
        <v>2025</v>
      </c>
    </row>
    <row r="116" customFormat="false" ht="15" hidden="false" customHeight="false" outlineLevel="0" collapsed="false">
      <c r="A116" s="37" t="s">
        <v>1008</v>
      </c>
      <c r="B116" s="37" t="s">
        <v>973</v>
      </c>
      <c r="C116" s="37" t="n">
        <v>4</v>
      </c>
      <c r="D116" s="37" t="s">
        <v>980</v>
      </c>
      <c r="E116" s="35" t="n">
        <v>32902477885.364</v>
      </c>
      <c r="F116" s="38" t="n">
        <f aca="false">E116/$E$112</f>
        <v>0.0592979829424435</v>
      </c>
      <c r="G116" s="2" t="s">
        <v>976</v>
      </c>
      <c r="H116" s="2" t="s">
        <v>1009</v>
      </c>
      <c r="I116" s="37" t="n">
        <v>2025</v>
      </c>
    </row>
    <row r="117" customFormat="false" ht="15" hidden="false" customHeight="false" outlineLevel="0" collapsed="false">
      <c r="A117" s="37" t="s">
        <v>1008</v>
      </c>
      <c r="B117" s="37" t="s">
        <v>973</v>
      </c>
      <c r="C117" s="37" t="n">
        <v>5</v>
      </c>
      <c r="D117" s="37" t="s">
        <v>982</v>
      </c>
      <c r="E117" s="35" t="n">
        <v>30743716532.842</v>
      </c>
      <c r="F117" s="38" t="n">
        <f aca="false">E117/$E$112</f>
        <v>0.055407388613814</v>
      </c>
      <c r="G117" s="2" t="s">
        <v>976</v>
      </c>
      <c r="H117" s="2" t="s">
        <v>1009</v>
      </c>
      <c r="I117" s="37" t="n">
        <v>2025</v>
      </c>
    </row>
    <row r="118" customFormat="false" ht="15" hidden="false" customHeight="false" outlineLevel="0" collapsed="false">
      <c r="A118" s="37" t="s">
        <v>1008</v>
      </c>
      <c r="B118" s="37" t="s">
        <v>973</v>
      </c>
      <c r="C118" s="37" t="n">
        <v>6</v>
      </c>
      <c r="D118" s="37" t="s">
        <v>787</v>
      </c>
      <c r="E118" s="35" t="n">
        <v>29757187303.199</v>
      </c>
      <c r="F118" s="38" t="n">
        <f aca="false">E118/$E$112</f>
        <v>0.0536294315360701</v>
      </c>
      <c r="G118" s="2" t="s">
        <v>976</v>
      </c>
      <c r="H118" s="2" t="s">
        <v>1009</v>
      </c>
      <c r="I118" s="37" t="n">
        <v>2025</v>
      </c>
    </row>
    <row r="119" customFormat="false" ht="15" hidden="false" customHeight="false" outlineLevel="0" collapsed="false">
      <c r="A119" s="37" t="s">
        <v>1008</v>
      </c>
      <c r="B119" s="37" t="s">
        <v>973</v>
      </c>
      <c r="C119" s="37" t="n">
        <v>7</v>
      </c>
      <c r="D119" s="37" t="s">
        <v>988</v>
      </c>
      <c r="E119" s="35" t="n">
        <v>23608660829.125</v>
      </c>
      <c r="F119" s="38" t="n">
        <f aca="false">E119/$E$112</f>
        <v>0.0425483445963237</v>
      </c>
      <c r="G119" s="2" t="s">
        <v>976</v>
      </c>
      <c r="H119" s="2" t="s">
        <v>1009</v>
      </c>
      <c r="I119" s="37" t="n">
        <v>2025</v>
      </c>
    </row>
    <row r="120" customFormat="false" ht="15" hidden="false" customHeight="false" outlineLevel="0" collapsed="false">
      <c r="A120" s="37" t="s">
        <v>1008</v>
      </c>
      <c r="B120" s="37" t="s">
        <v>973</v>
      </c>
      <c r="C120" s="37" t="n">
        <v>8</v>
      </c>
      <c r="D120" s="37" t="s">
        <v>1004</v>
      </c>
      <c r="E120" s="35" t="n">
        <v>19604585468.845</v>
      </c>
      <c r="F120" s="38" t="n">
        <f aca="false">E120/$E$112</f>
        <v>0.0353320615783277</v>
      </c>
      <c r="G120" s="2" t="s">
        <v>976</v>
      </c>
      <c r="H120" s="2" t="s">
        <v>1009</v>
      </c>
      <c r="I120" s="37" t="n">
        <v>2025</v>
      </c>
    </row>
    <row r="121" customFormat="false" ht="15" hidden="false" customHeight="false" outlineLevel="0" collapsed="false">
      <c r="A121" s="37" t="s">
        <v>1008</v>
      </c>
      <c r="B121" s="37" t="s">
        <v>973</v>
      </c>
      <c r="C121" s="37" t="n">
        <v>9</v>
      </c>
      <c r="D121" s="37" t="s">
        <v>992</v>
      </c>
      <c r="E121" s="35" t="n">
        <v>17277842289.213</v>
      </c>
      <c r="F121" s="38" t="n">
        <f aca="false">E121/$E$112</f>
        <v>0.0311387245944698</v>
      </c>
      <c r="G121" s="2" t="s">
        <v>976</v>
      </c>
      <c r="H121" s="2" t="s">
        <v>1009</v>
      </c>
      <c r="I121" s="37" t="n">
        <v>2025</v>
      </c>
    </row>
    <row r="122" customFormat="false" ht="15" hidden="false" customHeight="false" outlineLevel="0" collapsed="false">
      <c r="A122" s="37" t="s">
        <v>1008</v>
      </c>
      <c r="B122" s="37" t="s">
        <v>973</v>
      </c>
      <c r="C122" s="37" t="n">
        <v>10</v>
      </c>
      <c r="D122" s="37" t="s">
        <v>1010</v>
      </c>
      <c r="E122" s="35" t="n">
        <v>13945679405.395</v>
      </c>
      <c r="F122" s="38" t="n">
        <f aca="false">E122/$E$112</f>
        <v>0.025133385466684</v>
      </c>
      <c r="G122" s="2" t="s">
        <v>976</v>
      </c>
      <c r="H122" s="2" t="s">
        <v>1009</v>
      </c>
      <c r="I122" s="37" t="n">
        <v>2025</v>
      </c>
    </row>
    <row r="123" customFormat="false" ht="15" hidden="false" customHeight="false" outlineLevel="0" collapsed="false">
      <c r="A123" s="37" t="s">
        <v>1008</v>
      </c>
      <c r="B123" s="37" t="s">
        <v>985</v>
      </c>
      <c r="C123" s="7" t="s">
        <v>974</v>
      </c>
      <c r="D123" s="37" t="s">
        <v>975</v>
      </c>
      <c r="E123" s="35" t="n">
        <v>948864981847.274</v>
      </c>
      <c r="G123" s="2" t="s">
        <v>976</v>
      </c>
      <c r="H123" s="2" t="s">
        <v>1011</v>
      </c>
      <c r="I123" s="37" t="n">
        <v>2025</v>
      </c>
    </row>
    <row r="124" customFormat="false" ht="15" hidden="false" customHeight="false" outlineLevel="0" collapsed="false">
      <c r="A124" s="37" t="s">
        <v>1008</v>
      </c>
      <c r="B124" s="37" t="s">
        <v>985</v>
      </c>
      <c r="C124" s="37" t="n">
        <v>1</v>
      </c>
      <c r="D124" s="37" t="s">
        <v>972</v>
      </c>
      <c r="E124" s="35" t="n">
        <v>112464587530.058</v>
      </c>
      <c r="F124" s="38" t="n">
        <f aca="false">E124/$E$123</f>
        <v>0.118525385256719</v>
      </c>
      <c r="G124" s="2" t="s">
        <v>976</v>
      </c>
      <c r="H124" s="2" t="s">
        <v>1011</v>
      </c>
      <c r="I124" s="37" t="n">
        <v>2025</v>
      </c>
    </row>
    <row r="125" customFormat="false" ht="15" hidden="false" customHeight="false" outlineLevel="0" collapsed="false">
      <c r="A125" s="37" t="s">
        <v>1008</v>
      </c>
      <c r="B125" s="37" t="s">
        <v>985</v>
      </c>
      <c r="C125" s="37" t="n">
        <v>2</v>
      </c>
      <c r="D125" s="37" t="s">
        <v>791</v>
      </c>
      <c r="E125" s="35" t="n">
        <v>108381921424.065</v>
      </c>
      <c r="F125" s="38" t="n">
        <f aca="false">E125/$E$123</f>
        <v>0.114222701330029</v>
      </c>
      <c r="G125" s="2" t="s">
        <v>976</v>
      </c>
      <c r="H125" s="2" t="s">
        <v>1011</v>
      </c>
      <c r="I125" s="37" t="n">
        <v>2025</v>
      </c>
    </row>
    <row r="126" customFormat="false" ht="15" hidden="false" customHeight="false" outlineLevel="0" collapsed="false">
      <c r="A126" s="37" t="s">
        <v>1008</v>
      </c>
      <c r="B126" s="37" t="s">
        <v>985</v>
      </c>
      <c r="C126" s="37" t="n">
        <v>3</v>
      </c>
      <c r="D126" s="37" t="s">
        <v>789</v>
      </c>
      <c r="E126" s="35" t="n">
        <v>79585713753.184</v>
      </c>
      <c r="F126" s="38" t="n">
        <f aca="false">E126/$E$123</f>
        <v>0.0838746452611672</v>
      </c>
      <c r="G126" s="2" t="s">
        <v>976</v>
      </c>
      <c r="H126" s="2" t="s">
        <v>1011</v>
      </c>
      <c r="I126" s="37" t="n">
        <v>2025</v>
      </c>
    </row>
    <row r="127" customFormat="false" ht="15" hidden="false" customHeight="false" outlineLevel="0" collapsed="false">
      <c r="A127" s="37" t="s">
        <v>1008</v>
      </c>
      <c r="B127" s="37" t="s">
        <v>985</v>
      </c>
      <c r="C127" s="37" t="n">
        <v>4</v>
      </c>
      <c r="D127" s="37" t="s">
        <v>982</v>
      </c>
      <c r="E127" s="35" t="n">
        <v>52159255035.475</v>
      </c>
      <c r="F127" s="38" t="n">
        <f aca="false">E127/$E$123</f>
        <v>0.054970154904368</v>
      </c>
      <c r="G127" s="2" t="s">
        <v>976</v>
      </c>
      <c r="H127" s="2" t="s">
        <v>1011</v>
      </c>
      <c r="I127" s="37" t="n">
        <v>2025</v>
      </c>
    </row>
    <row r="128" customFormat="false" ht="15" hidden="false" customHeight="false" outlineLevel="0" collapsed="false">
      <c r="A128" s="37" t="s">
        <v>1008</v>
      </c>
      <c r="B128" s="37" t="s">
        <v>985</v>
      </c>
      <c r="C128" s="37" t="n">
        <v>5</v>
      </c>
      <c r="D128" s="37" t="s">
        <v>787</v>
      </c>
      <c r="E128" s="35" t="n">
        <v>42670248177.07</v>
      </c>
      <c r="F128" s="38" t="n">
        <f aca="false">E128/$E$123</f>
        <v>0.0449697786232963</v>
      </c>
      <c r="G128" s="2" t="s">
        <v>976</v>
      </c>
      <c r="H128" s="2" t="s">
        <v>1011</v>
      </c>
      <c r="I128" s="37" t="n">
        <v>2025</v>
      </c>
    </row>
    <row r="129" customFormat="false" ht="15" hidden="false" customHeight="false" outlineLevel="0" collapsed="false">
      <c r="A129" s="37" t="s">
        <v>1008</v>
      </c>
      <c r="B129" s="37" t="s">
        <v>985</v>
      </c>
      <c r="C129" s="37" t="n">
        <v>6</v>
      </c>
      <c r="D129" s="37" t="s">
        <v>979</v>
      </c>
      <c r="E129" s="35" t="n">
        <v>37026537335.475</v>
      </c>
      <c r="F129" s="38" t="n">
        <f aca="false">E129/$E$123</f>
        <v>0.0390219241344441</v>
      </c>
      <c r="G129" s="2" t="s">
        <v>976</v>
      </c>
      <c r="H129" s="2" t="s">
        <v>1011</v>
      </c>
      <c r="I129" s="37" t="n">
        <v>2025</v>
      </c>
    </row>
    <row r="130" customFormat="false" ht="15" hidden="false" customHeight="false" outlineLevel="0" collapsed="false">
      <c r="A130" s="37" t="s">
        <v>1008</v>
      </c>
      <c r="B130" s="37" t="s">
        <v>985</v>
      </c>
      <c r="C130" s="37" t="n">
        <v>7</v>
      </c>
      <c r="D130" s="37" t="s">
        <v>1007</v>
      </c>
      <c r="E130" s="35" t="n">
        <v>35913658753.862</v>
      </c>
      <c r="F130" s="38" t="n">
        <f aca="false">E130/$E$123</f>
        <v>0.0378490717235074</v>
      </c>
      <c r="G130" s="2" t="s">
        <v>976</v>
      </c>
      <c r="H130" s="2" t="s">
        <v>1011</v>
      </c>
      <c r="I130" s="37" t="n">
        <v>2025</v>
      </c>
    </row>
    <row r="131" customFormat="false" ht="15" hidden="false" customHeight="false" outlineLevel="0" collapsed="false">
      <c r="A131" s="37" t="s">
        <v>1008</v>
      </c>
      <c r="B131" s="37" t="s">
        <v>985</v>
      </c>
      <c r="C131" s="37" t="n">
        <v>8</v>
      </c>
      <c r="D131" s="37" t="s">
        <v>783</v>
      </c>
      <c r="E131" s="35" t="n">
        <v>28393827937.95</v>
      </c>
      <c r="F131" s="38" t="n">
        <f aca="false">E131/$E$123</f>
        <v>0.0299239918019445</v>
      </c>
      <c r="G131" s="2" t="s">
        <v>976</v>
      </c>
      <c r="H131" s="2" t="s">
        <v>1011</v>
      </c>
      <c r="I131" s="37" t="n">
        <v>2025</v>
      </c>
    </row>
    <row r="132" customFormat="false" ht="15" hidden="false" customHeight="false" outlineLevel="0" collapsed="false">
      <c r="A132" s="37" t="s">
        <v>1008</v>
      </c>
      <c r="B132" s="37" t="s">
        <v>985</v>
      </c>
      <c r="C132" s="37" t="n">
        <v>9</v>
      </c>
      <c r="D132" s="37" t="s">
        <v>980</v>
      </c>
      <c r="E132" s="35" t="n">
        <v>27877425446.254</v>
      </c>
      <c r="F132" s="38" t="n">
        <f aca="false">E132/$E$123</f>
        <v>0.0293797600075635</v>
      </c>
      <c r="G132" s="2" t="s">
        <v>976</v>
      </c>
      <c r="H132" s="2" t="s">
        <v>1011</v>
      </c>
      <c r="I132" s="37" t="n">
        <v>2025</v>
      </c>
    </row>
    <row r="133" customFormat="false" ht="15" hidden="false" customHeight="false" outlineLevel="0" collapsed="false">
      <c r="A133" s="37" t="s">
        <v>1008</v>
      </c>
      <c r="B133" s="37" t="s">
        <v>985</v>
      </c>
      <c r="C133" s="37" t="n">
        <v>10</v>
      </c>
      <c r="D133" s="37" t="s">
        <v>1010</v>
      </c>
      <c r="E133" s="35" t="n">
        <v>27003837430.763</v>
      </c>
      <c r="F133" s="38" t="n">
        <f aca="false">E133/$E$123</f>
        <v>0.0284590937039232</v>
      </c>
      <c r="G133" s="2" t="s">
        <v>976</v>
      </c>
      <c r="H133" s="2" t="s">
        <v>1011</v>
      </c>
      <c r="I133" s="37" t="n">
        <v>2025</v>
      </c>
    </row>
    <row r="134" customFormat="false" ht="15" hidden="false" customHeight="false" outlineLevel="0" collapsed="false">
      <c r="A134" s="37" t="s">
        <v>1012</v>
      </c>
      <c r="B134" s="37" t="s">
        <v>973</v>
      </c>
      <c r="C134" s="7" t="s">
        <v>974</v>
      </c>
      <c r="D134" s="37" t="s">
        <v>975</v>
      </c>
      <c r="E134" s="35" t="n">
        <v>689169581790.518</v>
      </c>
      <c r="G134" s="2" t="s">
        <v>976</v>
      </c>
      <c r="H134" s="2" t="s">
        <v>1013</v>
      </c>
      <c r="I134" s="37" t="n">
        <v>2025</v>
      </c>
    </row>
    <row r="135" customFormat="false" ht="15" hidden="false" customHeight="false" outlineLevel="0" collapsed="false">
      <c r="A135" s="37" t="s">
        <v>1012</v>
      </c>
      <c r="B135" s="37" t="s">
        <v>973</v>
      </c>
      <c r="C135" s="37" t="n">
        <v>1</v>
      </c>
      <c r="D135" s="37" t="s">
        <v>789</v>
      </c>
      <c r="E135" s="35" t="n">
        <v>92145684867.305</v>
      </c>
      <c r="F135" s="38" t="n">
        <f aca="false">E135/$E$134</f>
        <v>0.133705385876003</v>
      </c>
      <c r="G135" s="2" t="s">
        <v>976</v>
      </c>
      <c r="H135" s="2" t="s">
        <v>1013</v>
      </c>
      <c r="I135" s="37" t="n">
        <v>2025</v>
      </c>
    </row>
    <row r="136" customFormat="false" ht="15" hidden="false" customHeight="false" outlineLevel="0" collapsed="false">
      <c r="A136" s="37" t="s">
        <v>1012</v>
      </c>
      <c r="B136" s="37" t="s">
        <v>973</v>
      </c>
      <c r="C136" s="37" t="n">
        <v>2</v>
      </c>
      <c r="D136" s="37" t="s">
        <v>972</v>
      </c>
      <c r="E136" s="35" t="n">
        <v>56037538693.282</v>
      </c>
      <c r="F136" s="38" t="n">
        <f aca="false">E136/$E$134</f>
        <v>0.081311683182087</v>
      </c>
      <c r="G136" s="2" t="s">
        <v>976</v>
      </c>
      <c r="H136" s="2" t="s">
        <v>1013</v>
      </c>
      <c r="I136" s="37" t="n">
        <v>2025</v>
      </c>
    </row>
    <row r="137" customFormat="false" ht="15" hidden="false" customHeight="false" outlineLevel="0" collapsed="false">
      <c r="A137" s="37" t="s">
        <v>1012</v>
      </c>
      <c r="B137" s="37" t="s">
        <v>973</v>
      </c>
      <c r="C137" s="37" t="n">
        <v>3</v>
      </c>
      <c r="D137" s="37" t="s">
        <v>1007</v>
      </c>
      <c r="E137" s="35" t="n">
        <v>54727073141.174</v>
      </c>
      <c r="F137" s="38" t="n">
        <f aca="false">E137/$E$134</f>
        <v>0.0794101692634035</v>
      </c>
      <c r="G137" s="2" t="s">
        <v>976</v>
      </c>
      <c r="H137" s="2" t="s">
        <v>1013</v>
      </c>
      <c r="I137" s="37" t="n">
        <v>2025</v>
      </c>
    </row>
    <row r="138" customFormat="false" ht="15" hidden="false" customHeight="false" outlineLevel="0" collapsed="false">
      <c r="A138" s="37" t="s">
        <v>1012</v>
      </c>
      <c r="B138" s="37" t="s">
        <v>973</v>
      </c>
      <c r="C138" s="37" t="n">
        <v>4</v>
      </c>
      <c r="D138" s="37" t="s">
        <v>1010</v>
      </c>
      <c r="E138" s="35" t="n">
        <v>51592160524.75</v>
      </c>
      <c r="F138" s="38" t="n">
        <f aca="false">E138/$E$134</f>
        <v>0.0748613431119659</v>
      </c>
      <c r="G138" s="2" t="s">
        <v>976</v>
      </c>
      <c r="H138" s="2" t="s">
        <v>1013</v>
      </c>
      <c r="I138" s="37" t="n">
        <v>2025</v>
      </c>
    </row>
    <row r="139" customFormat="false" ht="15" hidden="false" customHeight="false" outlineLevel="0" collapsed="false">
      <c r="A139" s="37" t="s">
        <v>1012</v>
      </c>
      <c r="B139" s="37" t="s">
        <v>973</v>
      </c>
      <c r="C139" s="37" t="n">
        <v>5</v>
      </c>
      <c r="D139" s="37" t="s">
        <v>1004</v>
      </c>
      <c r="E139" s="35" t="n">
        <v>51360724847.908</v>
      </c>
      <c r="F139" s="38" t="n">
        <f aca="false">E139/$E$134</f>
        <v>0.0745255249288117</v>
      </c>
      <c r="G139" s="2" t="s">
        <v>976</v>
      </c>
      <c r="H139" s="2" t="s">
        <v>1013</v>
      </c>
      <c r="I139" s="37" t="n">
        <v>2025</v>
      </c>
    </row>
    <row r="140" customFormat="false" ht="15" hidden="false" customHeight="false" outlineLevel="0" collapsed="false">
      <c r="A140" s="37" t="s">
        <v>1012</v>
      </c>
      <c r="B140" s="37" t="s">
        <v>973</v>
      </c>
      <c r="C140" s="37" t="n">
        <v>6</v>
      </c>
      <c r="D140" s="37" t="s">
        <v>785</v>
      </c>
      <c r="E140" s="35" t="n">
        <v>43894266639.373</v>
      </c>
      <c r="F140" s="38" t="n">
        <f aca="false">E140/$E$134</f>
        <v>0.0636915322428076</v>
      </c>
      <c r="G140" s="2" t="s">
        <v>976</v>
      </c>
      <c r="H140" s="2" t="s">
        <v>1013</v>
      </c>
      <c r="I140" s="37" t="n">
        <v>2025</v>
      </c>
    </row>
    <row r="141" customFormat="false" ht="15" hidden="false" customHeight="false" outlineLevel="0" collapsed="false">
      <c r="A141" s="37" t="s">
        <v>1012</v>
      </c>
      <c r="B141" s="37" t="s">
        <v>973</v>
      </c>
      <c r="C141" s="37" t="n">
        <v>7</v>
      </c>
      <c r="D141" s="37" t="s">
        <v>982</v>
      </c>
      <c r="E141" s="35" t="n">
        <v>31202123002.596</v>
      </c>
      <c r="F141" s="38" t="n">
        <f aca="false">E141/$E$134</f>
        <v>0.0452749567407348</v>
      </c>
      <c r="G141" s="2" t="s">
        <v>976</v>
      </c>
      <c r="H141" s="2" t="s">
        <v>1013</v>
      </c>
      <c r="I141" s="37" t="n">
        <v>2025</v>
      </c>
    </row>
    <row r="142" customFormat="false" ht="15" hidden="false" customHeight="false" outlineLevel="0" collapsed="false">
      <c r="A142" s="37" t="s">
        <v>1012</v>
      </c>
      <c r="B142" s="37" t="s">
        <v>973</v>
      </c>
      <c r="C142" s="37" t="n">
        <v>8</v>
      </c>
      <c r="D142" s="37" t="s">
        <v>980</v>
      </c>
      <c r="E142" s="35" t="n">
        <v>27215066841.884</v>
      </c>
      <c r="F142" s="38" t="n">
        <f aca="false">E142/$E$134</f>
        <v>0.0394896518374724</v>
      </c>
      <c r="G142" s="2" t="s">
        <v>976</v>
      </c>
      <c r="H142" s="2" t="s">
        <v>1013</v>
      </c>
      <c r="I142" s="37" t="n">
        <v>2025</v>
      </c>
    </row>
    <row r="143" customFormat="false" ht="15" hidden="false" customHeight="false" outlineLevel="0" collapsed="false">
      <c r="A143" s="37" t="s">
        <v>1012</v>
      </c>
      <c r="B143" s="37" t="s">
        <v>973</v>
      </c>
      <c r="C143" s="37" t="n">
        <v>9</v>
      </c>
      <c r="D143" s="37" t="s">
        <v>791</v>
      </c>
      <c r="E143" s="35" t="n">
        <v>26978126406.548</v>
      </c>
      <c r="F143" s="38" t="n">
        <f aca="false">E143/$E$134</f>
        <v>0.0391458461304352</v>
      </c>
      <c r="G143" s="2" t="s">
        <v>976</v>
      </c>
      <c r="H143" s="2" t="s">
        <v>1013</v>
      </c>
      <c r="I143" s="37" t="n">
        <v>2025</v>
      </c>
    </row>
    <row r="144" customFormat="false" ht="15" hidden="false" customHeight="false" outlineLevel="0" collapsed="false">
      <c r="A144" s="37" t="s">
        <v>1012</v>
      </c>
      <c r="B144" s="37" t="s">
        <v>973</v>
      </c>
      <c r="C144" s="37" t="n">
        <v>10</v>
      </c>
      <c r="D144" s="37" t="s">
        <v>1002</v>
      </c>
      <c r="E144" s="35" t="n">
        <v>18249085523.455</v>
      </c>
      <c r="F144" s="38" t="n">
        <f aca="false">E144/$E$134</f>
        <v>0.0264798186188694</v>
      </c>
      <c r="G144" s="2" t="s">
        <v>976</v>
      </c>
      <c r="H144" s="2" t="s">
        <v>1013</v>
      </c>
      <c r="I144" s="37" t="n">
        <v>2025</v>
      </c>
    </row>
    <row r="145" customFormat="false" ht="15" hidden="false" customHeight="false" outlineLevel="0" collapsed="false">
      <c r="A145" s="37" t="s">
        <v>1012</v>
      </c>
      <c r="B145" s="37" t="s">
        <v>985</v>
      </c>
      <c r="C145" s="7" t="s">
        <v>974</v>
      </c>
      <c r="D145" s="37" t="s">
        <v>975</v>
      </c>
      <c r="E145" s="35" t="n">
        <v>799156647799.82</v>
      </c>
      <c r="G145" s="2" t="s">
        <v>976</v>
      </c>
      <c r="H145" s="2" t="s">
        <v>1014</v>
      </c>
      <c r="I145" s="37" t="n">
        <v>2025</v>
      </c>
    </row>
    <row r="146" customFormat="false" ht="15" hidden="false" customHeight="false" outlineLevel="0" collapsed="false">
      <c r="A146" s="37" t="s">
        <v>1012</v>
      </c>
      <c r="B146" s="37" t="s">
        <v>985</v>
      </c>
      <c r="C146" s="37" t="n">
        <v>1</v>
      </c>
      <c r="D146" s="37" t="s">
        <v>789</v>
      </c>
      <c r="E146" s="35" t="n">
        <v>98719674930.38</v>
      </c>
      <c r="F146" s="38" t="n">
        <f aca="false">E146/$E$145</f>
        <v>0.123529817592293</v>
      </c>
      <c r="G146" s="2" t="s">
        <v>976</v>
      </c>
      <c r="H146" s="2" t="s">
        <v>1014</v>
      </c>
      <c r="I146" s="37" t="n">
        <v>2025</v>
      </c>
    </row>
    <row r="147" customFormat="false" ht="15" hidden="false" customHeight="false" outlineLevel="0" collapsed="false">
      <c r="A147" s="37" t="s">
        <v>1012</v>
      </c>
      <c r="B147" s="37" t="s">
        <v>985</v>
      </c>
      <c r="C147" s="37" t="n">
        <v>2</v>
      </c>
      <c r="D147" s="37" t="s">
        <v>791</v>
      </c>
      <c r="E147" s="35" t="n">
        <v>84279667977.167</v>
      </c>
      <c r="F147" s="38" t="n">
        <f aca="false">E147/$E$145</f>
        <v>0.105460760677146</v>
      </c>
      <c r="G147" s="2" t="s">
        <v>976</v>
      </c>
      <c r="H147" s="2" t="s">
        <v>1014</v>
      </c>
      <c r="I147" s="37" t="n">
        <v>2025</v>
      </c>
    </row>
    <row r="148" customFormat="false" ht="15" hidden="false" customHeight="false" outlineLevel="0" collapsed="false">
      <c r="A148" s="37" t="s">
        <v>1012</v>
      </c>
      <c r="B148" s="37" t="s">
        <v>985</v>
      </c>
      <c r="C148" s="37" t="n">
        <v>3</v>
      </c>
      <c r="D148" s="37" t="s">
        <v>972</v>
      </c>
      <c r="E148" s="35" t="n">
        <v>63198432543.711</v>
      </c>
      <c r="F148" s="38" t="n">
        <f aca="false">E148/$E$145</f>
        <v>0.0790814075284293</v>
      </c>
      <c r="G148" s="2" t="s">
        <v>976</v>
      </c>
      <c r="H148" s="2" t="s">
        <v>1014</v>
      </c>
      <c r="I148" s="37" t="n">
        <v>2025</v>
      </c>
    </row>
    <row r="149" customFormat="false" ht="15" hidden="false" customHeight="false" outlineLevel="0" collapsed="false">
      <c r="A149" s="37" t="s">
        <v>1012</v>
      </c>
      <c r="B149" s="37" t="s">
        <v>985</v>
      </c>
      <c r="C149" s="37" t="n">
        <v>4</v>
      </c>
      <c r="D149" s="37" t="s">
        <v>1007</v>
      </c>
      <c r="E149" s="35" t="n">
        <v>61990667394.675</v>
      </c>
      <c r="F149" s="38" t="n">
        <f aca="false">E149/$E$145</f>
        <v>0.0775701078947954</v>
      </c>
      <c r="G149" s="2" t="s">
        <v>976</v>
      </c>
      <c r="H149" s="2" t="s">
        <v>1014</v>
      </c>
      <c r="I149" s="37" t="n">
        <v>2025</v>
      </c>
    </row>
    <row r="150" customFormat="false" ht="15" hidden="false" customHeight="false" outlineLevel="0" collapsed="false">
      <c r="A150" s="37" t="s">
        <v>1012</v>
      </c>
      <c r="B150" s="37" t="s">
        <v>985</v>
      </c>
      <c r="C150" s="37" t="n">
        <v>5</v>
      </c>
      <c r="D150" s="37" t="s">
        <v>1010</v>
      </c>
      <c r="E150" s="35" t="n">
        <v>51753560774.985</v>
      </c>
      <c r="F150" s="38" t="n">
        <f aca="false">E150/$E$145</f>
        <v>0.06476022056185</v>
      </c>
      <c r="G150" s="2" t="s">
        <v>976</v>
      </c>
      <c r="H150" s="2" t="s">
        <v>1014</v>
      </c>
      <c r="I150" s="37" t="n">
        <v>2025</v>
      </c>
    </row>
    <row r="151" customFormat="false" ht="15" hidden="false" customHeight="false" outlineLevel="0" collapsed="false">
      <c r="A151" s="37" t="s">
        <v>1012</v>
      </c>
      <c r="B151" s="37" t="s">
        <v>985</v>
      </c>
      <c r="C151" s="37" t="n">
        <v>6</v>
      </c>
      <c r="D151" s="37" t="s">
        <v>1004</v>
      </c>
      <c r="E151" s="35" t="n">
        <v>51333190626.06</v>
      </c>
      <c r="F151" s="38" t="n">
        <f aca="false">E151/$E$145</f>
        <v>0.0642342033534812</v>
      </c>
      <c r="G151" s="2" t="s">
        <v>976</v>
      </c>
      <c r="H151" s="2" t="s">
        <v>1014</v>
      </c>
      <c r="I151" s="37" t="n">
        <v>2025</v>
      </c>
    </row>
    <row r="152" customFormat="false" ht="15" hidden="false" customHeight="false" outlineLevel="0" collapsed="false">
      <c r="A152" s="37" t="s">
        <v>1012</v>
      </c>
      <c r="B152" s="37" t="s">
        <v>985</v>
      </c>
      <c r="C152" s="37" t="n">
        <v>7</v>
      </c>
      <c r="D152" s="37" t="s">
        <v>980</v>
      </c>
      <c r="E152" s="35" t="n">
        <v>34354214745.965</v>
      </c>
      <c r="F152" s="38" t="n">
        <f aca="false">E152/$E$145</f>
        <v>0.0429880860536498</v>
      </c>
      <c r="G152" s="2" t="s">
        <v>976</v>
      </c>
      <c r="H152" s="2" t="s">
        <v>1014</v>
      </c>
      <c r="I152" s="37" t="n">
        <v>2025</v>
      </c>
    </row>
    <row r="153" customFormat="false" ht="15" hidden="false" customHeight="false" outlineLevel="0" collapsed="false">
      <c r="A153" s="37" t="s">
        <v>1012</v>
      </c>
      <c r="B153" s="37" t="s">
        <v>985</v>
      </c>
      <c r="C153" s="37" t="n">
        <v>8</v>
      </c>
      <c r="D153" s="37" t="s">
        <v>785</v>
      </c>
      <c r="E153" s="35" t="n">
        <v>29181068773.814</v>
      </c>
      <c r="F153" s="38" t="n">
        <f aca="false">E153/$E$145</f>
        <v>0.036514829544562</v>
      </c>
      <c r="G153" s="2" t="s">
        <v>976</v>
      </c>
      <c r="H153" s="2" t="s">
        <v>1014</v>
      </c>
      <c r="I153" s="37" t="n">
        <v>2025</v>
      </c>
    </row>
    <row r="154" customFormat="false" ht="15" hidden="false" customHeight="false" outlineLevel="0" collapsed="false">
      <c r="A154" s="37" t="s">
        <v>1012</v>
      </c>
      <c r="B154" s="37" t="s">
        <v>985</v>
      </c>
      <c r="C154" s="37" t="n">
        <v>9</v>
      </c>
      <c r="D154" s="37" t="s">
        <v>982</v>
      </c>
      <c r="E154" s="35" t="n">
        <v>21307451583.8</v>
      </c>
      <c r="F154" s="38" t="n">
        <f aca="false">E154/$E$145</f>
        <v>0.0266624217448008</v>
      </c>
      <c r="G154" s="2" t="s">
        <v>976</v>
      </c>
      <c r="H154" s="2" t="s">
        <v>1014</v>
      </c>
      <c r="I154" s="37" t="n">
        <v>2025</v>
      </c>
    </row>
    <row r="155" customFormat="false" ht="15" hidden="false" customHeight="false" outlineLevel="0" collapsed="false">
      <c r="A155" s="37" t="s">
        <v>1012</v>
      </c>
      <c r="B155" s="37" t="s">
        <v>985</v>
      </c>
      <c r="C155" s="37" t="n">
        <v>10</v>
      </c>
      <c r="D155" s="37" t="s">
        <v>1002</v>
      </c>
      <c r="E155" s="35" t="n">
        <v>18895836852.897</v>
      </c>
      <c r="F155" s="38" t="n">
        <f aca="false">E155/$E$145</f>
        <v>0.0236447221016301</v>
      </c>
      <c r="G155" s="2" t="s">
        <v>976</v>
      </c>
      <c r="H155" s="2" t="s">
        <v>1014</v>
      </c>
      <c r="I155" s="37" t="n">
        <v>2025</v>
      </c>
    </row>
    <row r="156" customFormat="false" ht="15" hidden="false" customHeight="false" outlineLevel="0" collapsed="false">
      <c r="A156" s="37" t="s">
        <v>1015</v>
      </c>
      <c r="B156" s="37" t="s">
        <v>973</v>
      </c>
      <c r="C156" s="7" t="s">
        <v>974</v>
      </c>
      <c r="D156" s="37" t="s">
        <v>975</v>
      </c>
      <c r="E156" s="35" t="n">
        <v>1773844706381.99</v>
      </c>
      <c r="G156" s="2" t="s">
        <v>976</v>
      </c>
      <c r="H156" s="2" t="s">
        <v>1016</v>
      </c>
      <c r="I156" s="37" t="n">
        <v>2025</v>
      </c>
    </row>
    <row r="157" customFormat="false" ht="15" hidden="false" customHeight="false" outlineLevel="0" collapsed="false">
      <c r="A157" s="37" t="s">
        <v>1015</v>
      </c>
      <c r="B157" s="37" t="s">
        <v>973</v>
      </c>
      <c r="C157" s="37" t="n">
        <v>1</v>
      </c>
      <c r="D157" s="37" t="s">
        <v>972</v>
      </c>
      <c r="E157" s="35" t="n">
        <v>166261126389.504</v>
      </c>
      <c r="F157" s="38" t="n">
        <f aca="false">E157/$E$156</f>
        <v>0.0937292457402416</v>
      </c>
      <c r="G157" s="2" t="s">
        <v>976</v>
      </c>
      <c r="H157" s="2" t="s">
        <v>1016</v>
      </c>
      <c r="I157" s="37" t="n">
        <v>2025</v>
      </c>
    </row>
    <row r="158" customFormat="false" ht="15" hidden="false" customHeight="false" outlineLevel="0" collapsed="false">
      <c r="A158" s="37" t="s">
        <v>1015</v>
      </c>
      <c r="B158" s="37" t="s">
        <v>973</v>
      </c>
      <c r="C158" s="37" t="n">
        <v>2</v>
      </c>
      <c r="D158" s="37" t="s">
        <v>787</v>
      </c>
      <c r="E158" s="35" t="n">
        <v>132714166323.118</v>
      </c>
      <c r="F158" s="38" t="n">
        <f aca="false">E158/$E$156</f>
        <v>0.074817240678192</v>
      </c>
      <c r="G158" s="2" t="s">
        <v>976</v>
      </c>
      <c r="H158" s="2" t="s">
        <v>1016</v>
      </c>
      <c r="I158" s="37" t="n">
        <v>2025</v>
      </c>
    </row>
    <row r="159" customFormat="false" ht="15" hidden="false" customHeight="false" outlineLevel="0" collapsed="false">
      <c r="A159" s="37" t="s">
        <v>1015</v>
      </c>
      <c r="B159" s="37" t="s">
        <v>973</v>
      </c>
      <c r="C159" s="37" t="n">
        <v>3</v>
      </c>
      <c r="D159" s="37" t="s">
        <v>980</v>
      </c>
      <c r="E159" s="35" t="n">
        <v>126240016417.723</v>
      </c>
      <c r="F159" s="38" t="n">
        <f aca="false">E159/$E$156</f>
        <v>0.0711674567472188</v>
      </c>
      <c r="G159" s="2" t="s">
        <v>976</v>
      </c>
      <c r="H159" s="2" t="s">
        <v>1016</v>
      </c>
      <c r="I159" s="37" t="n">
        <v>2025</v>
      </c>
    </row>
    <row r="160" customFormat="false" ht="15" hidden="false" customHeight="false" outlineLevel="0" collapsed="false">
      <c r="A160" s="37" t="s">
        <v>1015</v>
      </c>
      <c r="B160" s="37" t="s">
        <v>973</v>
      </c>
      <c r="C160" s="37" t="n">
        <v>4</v>
      </c>
      <c r="D160" s="37" t="s">
        <v>1002</v>
      </c>
      <c r="E160" s="35" t="n">
        <v>112705896193.531</v>
      </c>
      <c r="F160" s="38" t="n">
        <f aca="false">E160/$E$156</f>
        <v>0.0635376342630415</v>
      </c>
      <c r="G160" s="2" t="s">
        <v>976</v>
      </c>
      <c r="H160" s="2" t="s">
        <v>1016</v>
      </c>
      <c r="I160" s="37" t="n">
        <v>2025</v>
      </c>
    </row>
    <row r="161" customFormat="false" ht="15" hidden="false" customHeight="false" outlineLevel="0" collapsed="false">
      <c r="A161" s="37" t="s">
        <v>1015</v>
      </c>
      <c r="B161" s="37" t="s">
        <v>973</v>
      </c>
      <c r="C161" s="37" t="n">
        <v>5</v>
      </c>
      <c r="D161" s="37" t="s">
        <v>1007</v>
      </c>
      <c r="E161" s="35" t="n">
        <v>93998987553.75</v>
      </c>
      <c r="F161" s="38" t="n">
        <f aca="false">E161/$E$156</f>
        <v>0.0529916667538922</v>
      </c>
      <c r="G161" s="2" t="s">
        <v>976</v>
      </c>
      <c r="H161" s="2" t="s">
        <v>1016</v>
      </c>
      <c r="I161" s="37" t="n">
        <v>2025</v>
      </c>
    </row>
    <row r="162" customFormat="false" ht="15" hidden="false" customHeight="false" outlineLevel="0" collapsed="false">
      <c r="A162" s="37" t="s">
        <v>1015</v>
      </c>
      <c r="B162" s="37" t="s">
        <v>973</v>
      </c>
      <c r="C162" s="37" t="n">
        <v>6</v>
      </c>
      <c r="D162" s="37" t="s">
        <v>791</v>
      </c>
      <c r="E162" s="35" t="n">
        <v>92214517201.076</v>
      </c>
      <c r="F162" s="38" t="n">
        <f aca="false">E162/$E$156</f>
        <v>0.0519856765754658</v>
      </c>
      <c r="G162" s="2" t="s">
        <v>976</v>
      </c>
      <c r="H162" s="2" t="s">
        <v>1016</v>
      </c>
      <c r="I162" s="37" t="n">
        <v>2025</v>
      </c>
    </row>
    <row r="163" customFormat="false" ht="15" hidden="false" customHeight="false" outlineLevel="0" collapsed="false">
      <c r="A163" s="37" t="s">
        <v>1015</v>
      </c>
      <c r="B163" s="37" t="s">
        <v>973</v>
      </c>
      <c r="C163" s="37" t="n">
        <v>7</v>
      </c>
      <c r="D163" s="37" t="s">
        <v>785</v>
      </c>
      <c r="E163" s="35" t="n">
        <v>90769813231.958</v>
      </c>
      <c r="F163" s="38" t="n">
        <f aca="false">E163/$E$156</f>
        <v>0.0511712287470171</v>
      </c>
      <c r="G163" s="2" t="s">
        <v>976</v>
      </c>
      <c r="H163" s="2" t="s">
        <v>1016</v>
      </c>
      <c r="I163" s="37" t="n">
        <v>2025</v>
      </c>
    </row>
    <row r="164" customFormat="false" ht="15" hidden="false" customHeight="false" outlineLevel="0" collapsed="false">
      <c r="A164" s="37" t="s">
        <v>1015</v>
      </c>
      <c r="B164" s="37" t="s">
        <v>973</v>
      </c>
      <c r="C164" s="37" t="n">
        <v>8</v>
      </c>
      <c r="D164" s="37" t="s">
        <v>1017</v>
      </c>
      <c r="E164" s="35" t="n">
        <v>86807936099.22</v>
      </c>
      <c r="F164" s="38" t="n">
        <f aca="false">E164/$E$156</f>
        <v>0.0489377315764452</v>
      </c>
      <c r="G164" s="2" t="s">
        <v>976</v>
      </c>
      <c r="H164" s="2" t="s">
        <v>1016</v>
      </c>
      <c r="I164" s="37" t="n">
        <v>2025</v>
      </c>
    </row>
    <row r="165" customFormat="false" ht="15" hidden="false" customHeight="false" outlineLevel="0" collapsed="false">
      <c r="A165" s="37" t="s">
        <v>1015</v>
      </c>
      <c r="B165" s="37" t="s">
        <v>973</v>
      </c>
      <c r="C165" s="37" t="n">
        <v>9</v>
      </c>
      <c r="D165" s="37" t="s">
        <v>982</v>
      </c>
      <c r="E165" s="35" t="n">
        <v>86425398491.841</v>
      </c>
      <c r="F165" s="38" t="n">
        <f aca="false">E165/$E$156</f>
        <v>0.0487220770684702</v>
      </c>
      <c r="G165" s="2" t="s">
        <v>976</v>
      </c>
      <c r="H165" s="2" t="s">
        <v>1016</v>
      </c>
      <c r="I165" s="37" t="n">
        <v>2025</v>
      </c>
    </row>
    <row r="166" customFormat="false" ht="15" hidden="false" customHeight="false" outlineLevel="0" collapsed="false">
      <c r="A166" s="37" t="s">
        <v>1015</v>
      </c>
      <c r="B166" s="37" t="s">
        <v>973</v>
      </c>
      <c r="C166" s="37" t="n">
        <v>10</v>
      </c>
      <c r="D166" s="37" t="s">
        <v>1010</v>
      </c>
      <c r="E166" s="35" t="n">
        <v>66798955098.335</v>
      </c>
      <c r="F166" s="38" t="n">
        <f aca="false">E166/$E$156</f>
        <v>0.0376577244095855</v>
      </c>
      <c r="G166" s="2" t="s">
        <v>976</v>
      </c>
      <c r="H166" s="2" t="s">
        <v>1016</v>
      </c>
      <c r="I166" s="37" t="n">
        <v>2025</v>
      </c>
    </row>
    <row r="167" customFormat="false" ht="15" hidden="false" customHeight="false" outlineLevel="0" collapsed="false">
      <c r="A167" s="37" t="s">
        <v>1015</v>
      </c>
      <c r="B167" s="37" t="s">
        <v>985</v>
      </c>
      <c r="C167" s="7" t="s">
        <v>974</v>
      </c>
      <c r="D167" s="37" t="s">
        <v>975</v>
      </c>
      <c r="E167" s="35" t="n">
        <v>1549668892335.32</v>
      </c>
      <c r="G167" s="2" t="s">
        <v>976</v>
      </c>
      <c r="H167" s="2" t="s">
        <v>1018</v>
      </c>
      <c r="I167" s="37" t="n">
        <v>2025</v>
      </c>
    </row>
    <row r="168" customFormat="false" ht="15" hidden="false" customHeight="false" outlineLevel="0" collapsed="false">
      <c r="A168" s="37" t="s">
        <v>1015</v>
      </c>
      <c r="B168" s="37" t="s">
        <v>985</v>
      </c>
      <c r="C168" s="37" t="n">
        <v>1</v>
      </c>
      <c r="D168" s="37" t="s">
        <v>791</v>
      </c>
      <c r="E168" s="35" t="n">
        <v>200443710305.861</v>
      </c>
      <c r="F168" s="38" t="n">
        <f aca="false">E168/$E$167</f>
        <v>0.12934615342494</v>
      </c>
      <c r="G168" s="2" t="s">
        <v>976</v>
      </c>
      <c r="H168" s="2" t="s">
        <v>1018</v>
      </c>
      <c r="I168" s="37" t="n">
        <v>2025</v>
      </c>
    </row>
    <row r="169" customFormat="false" ht="15" hidden="false" customHeight="false" outlineLevel="0" collapsed="false">
      <c r="A169" s="37" t="s">
        <v>1015</v>
      </c>
      <c r="B169" s="37" t="s">
        <v>985</v>
      </c>
      <c r="C169" s="37" t="n">
        <v>2</v>
      </c>
      <c r="D169" s="37" t="s">
        <v>972</v>
      </c>
      <c r="E169" s="35" t="n">
        <v>105289568698.865</v>
      </c>
      <c r="F169" s="38" t="n">
        <f aca="false">E169/$E$167</f>
        <v>0.0679432678939537</v>
      </c>
      <c r="G169" s="2" t="s">
        <v>976</v>
      </c>
      <c r="H169" s="2" t="s">
        <v>1018</v>
      </c>
      <c r="I169" s="37" t="n">
        <v>2025</v>
      </c>
    </row>
    <row r="170" customFormat="false" ht="15" hidden="false" customHeight="false" outlineLevel="0" collapsed="false">
      <c r="A170" s="37" t="s">
        <v>1015</v>
      </c>
      <c r="B170" s="37" t="s">
        <v>985</v>
      </c>
      <c r="C170" s="37" t="n">
        <v>3</v>
      </c>
      <c r="D170" s="37" t="s">
        <v>980</v>
      </c>
      <c r="E170" s="35" t="n">
        <v>99422871364.95</v>
      </c>
      <c r="F170" s="38" t="n">
        <f aca="false">E170/$E$167</f>
        <v>0.0641574931630213</v>
      </c>
      <c r="G170" s="2" t="s">
        <v>976</v>
      </c>
      <c r="H170" s="2" t="s">
        <v>1018</v>
      </c>
      <c r="I170" s="37" t="n">
        <v>2025</v>
      </c>
    </row>
    <row r="171" customFormat="false" ht="15" hidden="false" customHeight="false" outlineLevel="0" collapsed="false">
      <c r="A171" s="37" t="s">
        <v>1015</v>
      </c>
      <c r="B171" s="37" t="s">
        <v>985</v>
      </c>
      <c r="C171" s="37" t="n">
        <v>4</v>
      </c>
      <c r="D171" s="37" t="s">
        <v>1002</v>
      </c>
      <c r="E171" s="35" t="n">
        <v>91025538240.793</v>
      </c>
      <c r="F171" s="38" t="n">
        <f aca="false">E171/$E$167</f>
        <v>0.0587387013387224</v>
      </c>
      <c r="G171" s="2" t="s">
        <v>976</v>
      </c>
      <c r="H171" s="2" t="s">
        <v>1018</v>
      </c>
      <c r="I171" s="37" t="n">
        <v>2025</v>
      </c>
    </row>
    <row r="172" customFormat="false" ht="15" hidden="false" customHeight="false" outlineLevel="0" collapsed="false">
      <c r="A172" s="37" t="s">
        <v>1015</v>
      </c>
      <c r="B172" s="37" t="s">
        <v>985</v>
      </c>
      <c r="C172" s="37" t="n">
        <v>5</v>
      </c>
      <c r="D172" s="37" t="s">
        <v>1007</v>
      </c>
      <c r="E172" s="35" t="n">
        <v>82097646506.857</v>
      </c>
      <c r="F172" s="38" t="n">
        <f aca="false">E172/$E$167</f>
        <v>0.0529775405010148</v>
      </c>
      <c r="G172" s="2" t="s">
        <v>976</v>
      </c>
      <c r="H172" s="2" t="s">
        <v>1018</v>
      </c>
      <c r="I172" s="37" t="n">
        <v>2025</v>
      </c>
    </row>
    <row r="173" customFormat="false" ht="15" hidden="false" customHeight="false" outlineLevel="0" collapsed="false">
      <c r="A173" s="37" t="s">
        <v>1015</v>
      </c>
      <c r="B173" s="37" t="s">
        <v>985</v>
      </c>
      <c r="C173" s="37" t="n">
        <v>6</v>
      </c>
      <c r="D173" s="37" t="s">
        <v>787</v>
      </c>
      <c r="E173" s="35" t="n">
        <v>78192750059.298</v>
      </c>
      <c r="F173" s="38" t="n">
        <f aca="false">E173/$E$167</f>
        <v>0.0504577141904573</v>
      </c>
      <c r="G173" s="2" t="s">
        <v>976</v>
      </c>
      <c r="H173" s="2" t="s">
        <v>1018</v>
      </c>
      <c r="I173" s="37" t="n">
        <v>2025</v>
      </c>
    </row>
    <row r="174" customFormat="false" ht="15" hidden="false" customHeight="false" outlineLevel="0" collapsed="false">
      <c r="A174" s="37" t="s">
        <v>1015</v>
      </c>
      <c r="B174" s="37" t="s">
        <v>985</v>
      </c>
      <c r="C174" s="37" t="n">
        <v>7</v>
      </c>
      <c r="D174" s="37" t="s">
        <v>1019</v>
      </c>
      <c r="E174" s="35" t="n">
        <v>70136305922.021</v>
      </c>
      <c r="F174" s="38" t="n">
        <f aca="false">E174/$E$167</f>
        <v>0.0452588977354557</v>
      </c>
      <c r="G174" s="2" t="s">
        <v>976</v>
      </c>
      <c r="H174" s="2" t="s">
        <v>1018</v>
      </c>
      <c r="I174" s="37" t="n">
        <v>2025</v>
      </c>
    </row>
    <row r="175" customFormat="false" ht="15" hidden="false" customHeight="false" outlineLevel="0" collapsed="false">
      <c r="A175" s="37" t="s">
        <v>1015</v>
      </c>
      <c r="B175" s="37" t="s">
        <v>985</v>
      </c>
      <c r="C175" s="37" t="n">
        <v>8</v>
      </c>
      <c r="D175" s="37" t="s">
        <v>982</v>
      </c>
      <c r="E175" s="35" t="n">
        <v>65259442894.844</v>
      </c>
      <c r="F175" s="38" t="n">
        <f aca="false">E175/$E$167</f>
        <v>0.0421118622291627</v>
      </c>
      <c r="G175" s="2" t="s">
        <v>976</v>
      </c>
      <c r="H175" s="2" t="s">
        <v>1018</v>
      </c>
      <c r="I175" s="37" t="n">
        <v>2025</v>
      </c>
    </row>
    <row r="176" customFormat="false" ht="15" hidden="false" customHeight="false" outlineLevel="0" collapsed="false">
      <c r="A176" s="37" t="s">
        <v>1015</v>
      </c>
      <c r="B176" s="37" t="s">
        <v>985</v>
      </c>
      <c r="C176" s="37" t="n">
        <v>9</v>
      </c>
      <c r="D176" s="37" t="s">
        <v>1017</v>
      </c>
      <c r="E176" s="35" t="n">
        <v>58974185823.806</v>
      </c>
      <c r="F176" s="38" t="n">
        <f aca="false">E176/$E$167</f>
        <v>0.0380559912607739</v>
      </c>
      <c r="G176" s="2" t="s">
        <v>976</v>
      </c>
      <c r="H176" s="2" t="s">
        <v>1018</v>
      </c>
      <c r="I176" s="37" t="n">
        <v>2025</v>
      </c>
    </row>
    <row r="177" customFormat="false" ht="15" hidden="false" customHeight="false" outlineLevel="0" collapsed="false">
      <c r="A177" s="37" t="s">
        <v>1015</v>
      </c>
      <c r="B177" s="37" t="s">
        <v>985</v>
      </c>
      <c r="C177" s="37" t="n">
        <v>10</v>
      </c>
      <c r="D177" s="37" t="s">
        <v>1004</v>
      </c>
      <c r="E177" s="35" t="n">
        <v>49742313445.563</v>
      </c>
      <c r="F177" s="38" t="n">
        <f aca="false">E177/$E$167</f>
        <v>0.0320986719754066</v>
      </c>
      <c r="G177" s="2" t="s">
        <v>976</v>
      </c>
      <c r="H177" s="2" t="s">
        <v>1018</v>
      </c>
      <c r="I177" s="37" t="n">
        <v>2025</v>
      </c>
    </row>
    <row r="178" customFormat="false" ht="15" hidden="false" customHeight="false" outlineLevel="0" collapsed="false">
      <c r="A178" s="37" t="s">
        <v>1020</v>
      </c>
      <c r="B178" s="37" t="s">
        <v>973</v>
      </c>
      <c r="C178" s="7" t="s">
        <v>974</v>
      </c>
      <c r="D178" s="37" t="s">
        <v>975</v>
      </c>
      <c r="E178" s="35" t="n">
        <v>3776380766122</v>
      </c>
      <c r="G178" s="2" t="s">
        <v>976</v>
      </c>
      <c r="H178" s="2" t="s">
        <v>1021</v>
      </c>
      <c r="I178" s="37" t="n">
        <v>2025</v>
      </c>
    </row>
    <row r="179" customFormat="false" ht="15" hidden="false" customHeight="false" outlineLevel="0" collapsed="false">
      <c r="A179" s="37" t="s">
        <v>1020</v>
      </c>
      <c r="B179" s="37" t="s">
        <v>973</v>
      </c>
      <c r="C179" s="37" t="n">
        <v>1</v>
      </c>
      <c r="D179" s="37" t="s">
        <v>972</v>
      </c>
      <c r="E179" s="35" t="n">
        <v>420998963675</v>
      </c>
      <c r="F179" s="38" t="n">
        <f aca="false">E179/$E$178</f>
        <v>0.111482127928357</v>
      </c>
      <c r="G179" s="2" t="s">
        <v>976</v>
      </c>
      <c r="H179" s="2" t="s">
        <v>1021</v>
      </c>
      <c r="I179" s="37" t="n">
        <v>2025</v>
      </c>
    </row>
    <row r="180" customFormat="false" ht="15" hidden="false" customHeight="false" outlineLevel="0" collapsed="false">
      <c r="A180" s="37" t="s">
        <v>1020</v>
      </c>
      <c r="B180" s="37" t="s">
        <v>973</v>
      </c>
      <c r="C180" s="37" t="n">
        <v>2</v>
      </c>
      <c r="D180" s="37" t="s">
        <v>992</v>
      </c>
      <c r="E180" s="35" t="n">
        <v>337056713367</v>
      </c>
      <c r="F180" s="38" t="n">
        <f aca="false">E180/$E$178</f>
        <v>0.0892539005575772</v>
      </c>
      <c r="G180" s="2" t="s">
        <v>976</v>
      </c>
      <c r="H180" s="2" t="s">
        <v>1021</v>
      </c>
      <c r="I180" s="37" t="n">
        <v>2025</v>
      </c>
    </row>
    <row r="181" customFormat="false" ht="15" hidden="false" customHeight="false" outlineLevel="0" collapsed="false">
      <c r="A181" s="37" t="s">
        <v>1020</v>
      </c>
      <c r="B181" s="37" t="s">
        <v>973</v>
      </c>
      <c r="C181" s="37" t="n">
        <v>3</v>
      </c>
      <c r="D181" s="37" t="s">
        <v>987</v>
      </c>
      <c r="E181" s="35" t="n">
        <v>198629477120</v>
      </c>
      <c r="F181" s="38" t="n">
        <f aca="false">E181/$E$178</f>
        <v>0.0525978415370372</v>
      </c>
      <c r="G181" s="2" t="s">
        <v>976</v>
      </c>
      <c r="H181" s="2" t="s">
        <v>1021</v>
      </c>
      <c r="I181" s="37" t="n">
        <v>2025</v>
      </c>
    </row>
    <row r="182" customFormat="false" ht="15" hidden="false" customHeight="false" outlineLevel="0" collapsed="false">
      <c r="A182" s="37" t="s">
        <v>1020</v>
      </c>
      <c r="B182" s="37" t="s">
        <v>973</v>
      </c>
      <c r="C182" s="37" t="n">
        <v>4</v>
      </c>
      <c r="D182" s="37" t="s">
        <v>981</v>
      </c>
      <c r="E182" s="35" t="n">
        <v>157475022257</v>
      </c>
      <c r="F182" s="38" t="n">
        <f aca="false">E182/$E$178</f>
        <v>0.0416999852529999</v>
      </c>
      <c r="G182" s="2" t="s">
        <v>976</v>
      </c>
      <c r="H182" s="2" t="s">
        <v>1021</v>
      </c>
      <c r="I182" s="37" t="n">
        <v>2025</v>
      </c>
    </row>
    <row r="183" customFormat="false" ht="15" hidden="false" customHeight="false" outlineLevel="0" collapsed="false">
      <c r="A183" s="37" t="s">
        <v>1020</v>
      </c>
      <c r="B183" s="37" t="s">
        <v>973</v>
      </c>
      <c r="C183" s="37" t="n">
        <v>5</v>
      </c>
      <c r="D183" s="37" t="s">
        <v>983</v>
      </c>
      <c r="E183" s="35" t="n">
        <v>144518988063</v>
      </c>
      <c r="F183" s="38" t="n">
        <f aca="false">E183/$E$178</f>
        <v>0.0382691780869883</v>
      </c>
      <c r="G183" s="2" t="s">
        <v>976</v>
      </c>
      <c r="H183" s="2" t="s">
        <v>1021</v>
      </c>
      <c r="I183" s="37" t="n">
        <v>2025</v>
      </c>
    </row>
    <row r="184" customFormat="false" ht="15" hidden="false" customHeight="false" outlineLevel="0" collapsed="false">
      <c r="A184" s="37" t="s">
        <v>1020</v>
      </c>
      <c r="B184" s="37" t="s">
        <v>973</v>
      </c>
      <c r="C184" s="37" t="n">
        <v>6</v>
      </c>
      <c r="D184" s="37" t="s">
        <v>989</v>
      </c>
      <c r="E184" s="35" t="n">
        <v>135963516157</v>
      </c>
      <c r="F184" s="38" t="n">
        <f aca="false">E184/$E$178</f>
        <v>0.0360036565636421</v>
      </c>
      <c r="G184" s="2" t="s">
        <v>976</v>
      </c>
      <c r="H184" s="2" t="s">
        <v>1021</v>
      </c>
      <c r="I184" s="37" t="n">
        <v>2025</v>
      </c>
    </row>
    <row r="185" customFormat="false" ht="15" hidden="false" customHeight="false" outlineLevel="0" collapsed="false">
      <c r="A185" s="37" t="s">
        <v>1020</v>
      </c>
      <c r="B185" s="37" t="s">
        <v>973</v>
      </c>
      <c r="C185" s="37" t="n">
        <v>7</v>
      </c>
      <c r="D185" s="37" t="s">
        <v>789</v>
      </c>
      <c r="E185" s="35" t="n">
        <v>118302858287</v>
      </c>
      <c r="F185" s="38" t="n">
        <f aca="false">E185/$E$178</f>
        <v>0.0313270471421467</v>
      </c>
      <c r="G185" s="2" t="s">
        <v>976</v>
      </c>
      <c r="H185" s="2" t="s">
        <v>1021</v>
      </c>
      <c r="I185" s="37" t="n">
        <v>2025</v>
      </c>
    </row>
    <row r="186" customFormat="false" ht="15" hidden="false" customHeight="false" outlineLevel="0" collapsed="false">
      <c r="A186" s="37" t="s">
        <v>1020</v>
      </c>
      <c r="B186" s="37" t="s">
        <v>973</v>
      </c>
      <c r="C186" s="37" t="n">
        <v>8</v>
      </c>
      <c r="D186" s="37" t="s">
        <v>995</v>
      </c>
      <c r="E186" s="35" t="n">
        <v>103789984263</v>
      </c>
      <c r="F186" s="38" t="n">
        <f aca="false">E186/$E$178</f>
        <v>0.0274839828637256</v>
      </c>
      <c r="G186" s="2" t="s">
        <v>976</v>
      </c>
      <c r="H186" s="2" t="s">
        <v>1021</v>
      </c>
      <c r="I186" s="37" t="n">
        <v>2025</v>
      </c>
    </row>
    <row r="187" customFormat="false" ht="15" hidden="false" customHeight="false" outlineLevel="0" collapsed="false">
      <c r="A187" s="37" t="s">
        <v>1020</v>
      </c>
      <c r="B187" s="37" t="s">
        <v>973</v>
      </c>
      <c r="C187" s="37" t="n">
        <v>9</v>
      </c>
      <c r="D187" s="37" t="s">
        <v>1022</v>
      </c>
      <c r="E187" s="35" t="n">
        <v>103652226197</v>
      </c>
      <c r="F187" s="38" t="n">
        <f aca="false">E187/$E$178</f>
        <v>0.0274475040035334</v>
      </c>
      <c r="G187" s="2" t="s">
        <v>976</v>
      </c>
      <c r="H187" s="2" t="s">
        <v>1021</v>
      </c>
      <c r="I187" s="37" t="n">
        <v>2025</v>
      </c>
    </row>
    <row r="188" customFormat="false" ht="15" hidden="false" customHeight="false" outlineLevel="0" collapsed="false">
      <c r="A188" s="37" t="s">
        <v>1020</v>
      </c>
      <c r="B188" s="37" t="s">
        <v>973</v>
      </c>
      <c r="C188" s="37" t="n">
        <v>10</v>
      </c>
      <c r="D188" s="37" t="s">
        <v>1023</v>
      </c>
      <c r="E188" s="35" t="n">
        <v>103457523832</v>
      </c>
      <c r="F188" s="38" t="n">
        <f aca="false">E188/$E$178</f>
        <v>0.0273959460762325</v>
      </c>
      <c r="G188" s="2" t="s">
        <v>976</v>
      </c>
      <c r="H188" s="2" t="s">
        <v>1021</v>
      </c>
      <c r="I188" s="37" t="n">
        <v>2025</v>
      </c>
    </row>
    <row r="189" customFormat="false" ht="15" hidden="false" customHeight="false" outlineLevel="0" collapsed="false">
      <c r="A189" s="37" t="s">
        <v>1020</v>
      </c>
      <c r="B189" s="37" t="s">
        <v>985</v>
      </c>
      <c r="C189" s="7" t="s">
        <v>974</v>
      </c>
      <c r="D189" s="37" t="s">
        <v>975</v>
      </c>
      <c r="E189" s="35" t="n">
        <v>2579254335894</v>
      </c>
      <c r="G189" s="2" t="s">
        <v>976</v>
      </c>
      <c r="H189" s="2" t="s">
        <v>1024</v>
      </c>
      <c r="I189" s="37" t="n">
        <v>2025</v>
      </c>
    </row>
    <row r="190" customFormat="false" ht="15" hidden="false" customHeight="false" outlineLevel="0" collapsed="false">
      <c r="A190" s="37" t="s">
        <v>1020</v>
      </c>
      <c r="B190" s="37" t="s">
        <v>985</v>
      </c>
      <c r="C190" s="37" t="n">
        <v>1</v>
      </c>
      <c r="D190" s="37" t="s">
        <v>984</v>
      </c>
      <c r="E190" s="35" t="n">
        <v>230798497385</v>
      </c>
      <c r="F190" s="38" t="n">
        <f aca="false">E190/$E$189</f>
        <v>0.089482643946008</v>
      </c>
      <c r="G190" s="2" t="s">
        <v>976</v>
      </c>
      <c r="H190" s="2" t="s">
        <v>1024</v>
      </c>
      <c r="I190" s="37" t="n">
        <v>2025</v>
      </c>
    </row>
    <row r="191" customFormat="false" ht="15" hidden="false" customHeight="false" outlineLevel="0" collapsed="false">
      <c r="A191" s="37" t="s">
        <v>1020</v>
      </c>
      <c r="B191" s="37" t="s">
        <v>985</v>
      </c>
      <c r="C191" s="37" t="n">
        <v>2</v>
      </c>
      <c r="D191" s="37" t="s">
        <v>983</v>
      </c>
      <c r="E191" s="35" t="n">
        <v>187182282397</v>
      </c>
      <c r="F191" s="38" t="n">
        <f aca="false">E191/$E$189</f>
        <v>0.0725722468668916</v>
      </c>
      <c r="G191" s="2" t="s">
        <v>976</v>
      </c>
      <c r="H191" s="2" t="s">
        <v>1024</v>
      </c>
      <c r="I191" s="37" t="n">
        <v>2025</v>
      </c>
    </row>
    <row r="192" customFormat="false" ht="15" hidden="false" customHeight="false" outlineLevel="0" collapsed="false">
      <c r="A192" s="37" t="s">
        <v>1020</v>
      </c>
      <c r="B192" s="37" t="s">
        <v>985</v>
      </c>
      <c r="C192" s="37" t="n">
        <v>3</v>
      </c>
      <c r="D192" s="37" t="s">
        <v>981</v>
      </c>
      <c r="E192" s="35" t="n">
        <v>164992016447</v>
      </c>
      <c r="F192" s="38" t="n">
        <f aca="false">E192/$E$189</f>
        <v>0.0639688820721946</v>
      </c>
      <c r="G192" s="2" t="s">
        <v>976</v>
      </c>
      <c r="H192" s="2" t="s">
        <v>1024</v>
      </c>
      <c r="I192" s="37" t="n">
        <v>2025</v>
      </c>
    </row>
    <row r="193" customFormat="false" ht="15" hidden="false" customHeight="false" outlineLevel="0" collapsed="false">
      <c r="A193" s="37" t="s">
        <v>1020</v>
      </c>
      <c r="B193" s="37" t="s">
        <v>985</v>
      </c>
      <c r="C193" s="37" t="n">
        <v>4</v>
      </c>
      <c r="D193" s="37" t="s">
        <v>972</v>
      </c>
      <c r="E193" s="35" t="n">
        <v>141224117506</v>
      </c>
      <c r="F193" s="38" t="n">
        <f aca="false">E193/$E$189</f>
        <v>0.0547538548411706</v>
      </c>
      <c r="G193" s="2" t="s">
        <v>976</v>
      </c>
      <c r="H193" s="2" t="s">
        <v>1024</v>
      </c>
      <c r="I193" s="37" t="n">
        <v>2025</v>
      </c>
    </row>
    <row r="194" customFormat="false" ht="15" hidden="false" customHeight="false" outlineLevel="0" collapsed="false">
      <c r="A194" s="37" t="s">
        <v>1020</v>
      </c>
      <c r="B194" s="37" t="s">
        <v>985</v>
      </c>
      <c r="C194" s="37" t="n">
        <v>5</v>
      </c>
      <c r="D194" s="37" t="s">
        <v>994</v>
      </c>
      <c r="E194" s="35" t="n">
        <v>128121208206</v>
      </c>
      <c r="F194" s="38" t="n">
        <f aca="false">E194/$E$189</f>
        <v>0.0496737395855115</v>
      </c>
      <c r="G194" s="2" t="s">
        <v>976</v>
      </c>
      <c r="H194" s="2" t="s">
        <v>1024</v>
      </c>
      <c r="I194" s="37" t="n">
        <v>2025</v>
      </c>
    </row>
    <row r="195" customFormat="false" ht="15" hidden="false" customHeight="false" outlineLevel="0" collapsed="false">
      <c r="A195" s="37" t="s">
        <v>1020</v>
      </c>
      <c r="B195" s="37" t="s">
        <v>985</v>
      </c>
      <c r="C195" s="37" t="n">
        <v>6</v>
      </c>
      <c r="D195" s="37" t="s">
        <v>791</v>
      </c>
      <c r="E195" s="35" t="n">
        <v>126348316352</v>
      </c>
      <c r="F195" s="38" t="n">
        <f aca="false">E195/$E$189</f>
        <v>0.0489863735397022</v>
      </c>
      <c r="G195" s="2" t="s">
        <v>976</v>
      </c>
      <c r="H195" s="2" t="s">
        <v>1024</v>
      </c>
      <c r="I195" s="37" t="n">
        <v>2025</v>
      </c>
    </row>
    <row r="196" customFormat="false" ht="15" hidden="false" customHeight="false" outlineLevel="0" collapsed="false">
      <c r="A196" s="37" t="s">
        <v>1020</v>
      </c>
      <c r="B196" s="37" t="s">
        <v>985</v>
      </c>
      <c r="C196" s="37" t="n">
        <v>7</v>
      </c>
      <c r="D196" s="37" t="s">
        <v>1023</v>
      </c>
      <c r="E196" s="35" t="n">
        <v>124005929237</v>
      </c>
      <c r="F196" s="38" t="n">
        <f aca="false">E196/$E$189</f>
        <v>0.0480782090820904</v>
      </c>
      <c r="G196" s="2" t="s">
        <v>976</v>
      </c>
      <c r="H196" s="2" t="s">
        <v>1024</v>
      </c>
      <c r="I196" s="37" t="n">
        <v>2025</v>
      </c>
    </row>
    <row r="197" customFormat="false" ht="15" hidden="false" customHeight="false" outlineLevel="0" collapsed="false">
      <c r="A197" s="37" t="s">
        <v>1020</v>
      </c>
      <c r="B197" s="37" t="s">
        <v>985</v>
      </c>
      <c r="C197" s="37" t="n">
        <v>8</v>
      </c>
      <c r="D197" s="37" t="s">
        <v>1025</v>
      </c>
      <c r="E197" s="35" t="n">
        <v>116221233981</v>
      </c>
      <c r="F197" s="38" t="n">
        <f aca="false">E197/$E$189</f>
        <v>0.0450600130291984</v>
      </c>
      <c r="G197" s="2" t="s">
        <v>976</v>
      </c>
      <c r="H197" s="2" t="s">
        <v>1024</v>
      </c>
      <c r="I197" s="37" t="n">
        <v>2025</v>
      </c>
    </row>
    <row r="198" customFormat="false" ht="15" hidden="false" customHeight="false" outlineLevel="0" collapsed="false">
      <c r="A198" s="37" t="s">
        <v>1020</v>
      </c>
      <c r="B198" s="37" t="s">
        <v>985</v>
      </c>
      <c r="C198" s="37" t="n">
        <v>9</v>
      </c>
      <c r="D198" s="37" t="s">
        <v>987</v>
      </c>
      <c r="E198" s="35" t="n">
        <v>98010617464</v>
      </c>
      <c r="F198" s="38" t="n">
        <f aca="false">E198/$E$189</f>
        <v>0.0379995939524236</v>
      </c>
      <c r="G198" s="2" t="s">
        <v>976</v>
      </c>
      <c r="H198" s="2" t="s">
        <v>1024</v>
      </c>
      <c r="I198" s="37" t="n">
        <v>2025</v>
      </c>
    </row>
    <row r="199" customFormat="false" ht="15" hidden="false" customHeight="false" outlineLevel="0" collapsed="false">
      <c r="A199" s="37" t="s">
        <v>1020</v>
      </c>
      <c r="B199" s="37" t="s">
        <v>985</v>
      </c>
      <c r="C199" s="37" t="n">
        <v>10</v>
      </c>
      <c r="D199" s="37" t="s">
        <v>789</v>
      </c>
      <c r="E199" s="35" t="n">
        <v>92860328028</v>
      </c>
      <c r="F199" s="38" t="n">
        <f aca="false">E199/$E$189</f>
        <v>0.0360027806237315</v>
      </c>
      <c r="G199" s="2" t="s">
        <v>976</v>
      </c>
      <c r="H199" s="2" t="s">
        <v>1024</v>
      </c>
      <c r="I199" s="37" t="n">
        <v>2025</v>
      </c>
    </row>
    <row r="201" customFormat="false" ht="15" hidden="false" customHeight="false" outlineLevel="0" collapsed="false">
      <c r="A201" s="25" t="s">
        <v>1026</v>
      </c>
    </row>
    <row r="202" customFormat="false" ht="15" hidden="false" customHeight="false" outlineLevel="0" collapsed="false">
      <c r="A202" s="3" t="s">
        <v>964</v>
      </c>
      <c r="B202" s="3" t="s">
        <v>965</v>
      </c>
      <c r="C202" s="3" t="s">
        <v>966</v>
      </c>
      <c r="D202" s="3" t="s">
        <v>1027</v>
      </c>
      <c r="E202" s="3" t="s">
        <v>968</v>
      </c>
      <c r="F202" s="3" t="s">
        <v>1028</v>
      </c>
      <c r="G202" s="3" t="s">
        <v>5</v>
      </c>
      <c r="H202" s="3" t="s">
        <v>970</v>
      </c>
      <c r="I202" s="3" t="s">
        <v>971</v>
      </c>
    </row>
    <row r="203" customFormat="false" ht="15" hidden="false" customHeight="false" outlineLevel="0" collapsed="false">
      <c r="A203" s="37" t="s">
        <v>972</v>
      </c>
      <c r="B203" s="37" t="s">
        <v>973</v>
      </c>
      <c r="C203" s="37" t="n">
        <v>1</v>
      </c>
      <c r="D203" s="37" t="s">
        <v>1029</v>
      </c>
      <c r="E203" s="35" t="n">
        <v>308911122009</v>
      </c>
      <c r="F203" s="38" t="n">
        <f aca="false">E203/$E$46</f>
        <v>0.14188929392568</v>
      </c>
      <c r="G203" s="2" t="s">
        <v>976</v>
      </c>
      <c r="H203" s="2" t="s">
        <v>1030</v>
      </c>
      <c r="I203" s="37" t="n">
        <v>2025</v>
      </c>
    </row>
    <row r="204" customFormat="false" ht="15" hidden="false" customHeight="false" outlineLevel="0" collapsed="false">
      <c r="A204" s="37" t="s">
        <v>972</v>
      </c>
      <c r="B204" s="37" t="s">
        <v>973</v>
      </c>
      <c r="C204" s="37" t="n">
        <v>2</v>
      </c>
      <c r="D204" s="37" t="s">
        <v>1031</v>
      </c>
      <c r="E204" s="35" t="n">
        <v>283610471656</v>
      </c>
      <c r="F204" s="38" t="n">
        <f aca="false">E204/$E$46</f>
        <v>0.130268179764749</v>
      </c>
      <c r="G204" s="2" t="s">
        <v>976</v>
      </c>
      <c r="H204" s="2" t="s">
        <v>1030</v>
      </c>
      <c r="I204" s="37" t="n">
        <v>2025</v>
      </c>
    </row>
    <row r="205" customFormat="false" ht="15" hidden="false" customHeight="false" outlineLevel="0" collapsed="false">
      <c r="A205" s="37" t="s">
        <v>972</v>
      </c>
      <c r="B205" s="37" t="s">
        <v>973</v>
      </c>
      <c r="C205" s="37" t="n">
        <v>3</v>
      </c>
      <c r="D205" s="37" t="s">
        <v>1032</v>
      </c>
      <c r="E205" s="35" t="n">
        <v>226048612478</v>
      </c>
      <c r="F205" s="38" t="n">
        <f aca="false">E205/$E$46</f>
        <v>0.1038288223771</v>
      </c>
      <c r="G205" s="2" t="s">
        <v>976</v>
      </c>
      <c r="H205" s="2" t="s">
        <v>1030</v>
      </c>
      <c r="I205" s="37" t="n">
        <v>2025</v>
      </c>
    </row>
    <row r="206" customFormat="false" ht="15" hidden="false" customHeight="false" outlineLevel="0" collapsed="false">
      <c r="A206" s="37" t="s">
        <v>972</v>
      </c>
      <c r="B206" s="37" t="s">
        <v>973</v>
      </c>
      <c r="C206" s="37" t="n">
        <v>4</v>
      </c>
      <c r="D206" s="37" t="s">
        <v>1033</v>
      </c>
      <c r="E206" s="35" t="n">
        <v>164326493268</v>
      </c>
      <c r="F206" s="38" t="n">
        <f aca="false">E206/$E$46</f>
        <v>0.0754785711548455</v>
      </c>
      <c r="G206" s="2" t="s">
        <v>976</v>
      </c>
      <c r="H206" s="2" t="s">
        <v>1030</v>
      </c>
      <c r="I206" s="37" t="n">
        <v>2025</v>
      </c>
    </row>
    <row r="207" customFormat="false" ht="15" hidden="false" customHeight="false" outlineLevel="0" collapsed="false">
      <c r="A207" s="37" t="s">
        <v>972</v>
      </c>
      <c r="B207" s="37" t="s">
        <v>973</v>
      </c>
      <c r="C207" s="37" t="n">
        <v>5</v>
      </c>
      <c r="D207" s="37" t="s">
        <v>1034</v>
      </c>
      <c r="E207" s="35" t="n">
        <v>147973032271</v>
      </c>
      <c r="F207" s="38" t="n">
        <f aca="false">E207/$E$46</f>
        <v>0.0679670868838523</v>
      </c>
      <c r="G207" s="2" t="s">
        <v>976</v>
      </c>
      <c r="H207" s="2" t="s">
        <v>1030</v>
      </c>
      <c r="I207" s="37" t="n">
        <v>2025</v>
      </c>
    </row>
    <row r="208" customFormat="false" ht="15" hidden="false" customHeight="false" outlineLevel="0" collapsed="false">
      <c r="A208" s="37" t="s">
        <v>972</v>
      </c>
      <c r="B208" s="37" t="s">
        <v>985</v>
      </c>
      <c r="C208" s="37" t="n">
        <v>1</v>
      </c>
      <c r="D208" s="37" t="s">
        <v>1031</v>
      </c>
      <c r="E208" s="35" t="n">
        <v>665116569606</v>
      </c>
      <c r="F208" s="38" t="n">
        <f aca="false">E208/$E$57</f>
        <v>0.189801632023837</v>
      </c>
      <c r="G208" s="2" t="s">
        <v>976</v>
      </c>
      <c r="H208" s="2" t="s">
        <v>1035</v>
      </c>
      <c r="I208" s="37" t="n">
        <v>2025</v>
      </c>
    </row>
    <row r="209" customFormat="false" ht="15" hidden="false" customHeight="false" outlineLevel="0" collapsed="false">
      <c r="A209" s="37" t="s">
        <v>972</v>
      </c>
      <c r="B209" s="37" t="s">
        <v>985</v>
      </c>
      <c r="C209" s="37" t="n">
        <v>2</v>
      </c>
      <c r="D209" s="37" t="s">
        <v>1032</v>
      </c>
      <c r="E209" s="35" t="n">
        <v>513569834741</v>
      </c>
      <c r="F209" s="38" t="n">
        <f aca="false">E209/$E$57</f>
        <v>0.146555351717966</v>
      </c>
      <c r="G209" s="2" t="s">
        <v>976</v>
      </c>
      <c r="H209" s="2" t="s">
        <v>1035</v>
      </c>
      <c r="I209" s="37" t="n">
        <v>2025</v>
      </c>
    </row>
    <row r="210" customFormat="false" ht="15" hidden="false" customHeight="false" outlineLevel="0" collapsed="false">
      <c r="A210" s="37" t="s">
        <v>972</v>
      </c>
      <c r="B210" s="37" t="s">
        <v>985</v>
      </c>
      <c r="C210" s="37" t="n">
        <v>3</v>
      </c>
      <c r="D210" s="37" t="s">
        <v>1036</v>
      </c>
      <c r="E210" s="35" t="n">
        <v>337946752422</v>
      </c>
      <c r="F210" s="38" t="n">
        <f aca="false">E210/$E$57</f>
        <v>0.0964385012763223</v>
      </c>
      <c r="G210" s="2" t="s">
        <v>976</v>
      </c>
      <c r="H210" s="2" t="s">
        <v>1035</v>
      </c>
      <c r="I210" s="37" t="n">
        <v>2025</v>
      </c>
    </row>
    <row r="211" customFormat="false" ht="15" hidden="false" customHeight="false" outlineLevel="0" collapsed="false">
      <c r="A211" s="37" t="s">
        <v>972</v>
      </c>
      <c r="B211" s="37" t="s">
        <v>985</v>
      </c>
      <c r="C211" s="37" t="n">
        <v>4</v>
      </c>
      <c r="D211" s="37" t="s">
        <v>1029</v>
      </c>
      <c r="E211" s="35" t="n">
        <v>216428787530</v>
      </c>
      <c r="F211" s="38" t="n">
        <f aca="false">E211/$E$57</f>
        <v>0.0617614099051364</v>
      </c>
      <c r="G211" s="2" t="s">
        <v>976</v>
      </c>
      <c r="H211" s="2" t="s">
        <v>1035</v>
      </c>
      <c r="I211" s="37" t="n">
        <v>2025</v>
      </c>
    </row>
    <row r="212" customFormat="false" ht="15" hidden="false" customHeight="false" outlineLevel="0" collapsed="false">
      <c r="A212" s="37" t="s">
        <v>972</v>
      </c>
      <c r="B212" s="37" t="s">
        <v>985</v>
      </c>
      <c r="C212" s="37" t="n">
        <v>5</v>
      </c>
      <c r="D212" s="37" t="s">
        <v>1037</v>
      </c>
      <c r="E212" s="35" t="n">
        <v>213822857601</v>
      </c>
      <c r="F212" s="38" t="n">
        <f aca="false">E212/$E$57</f>
        <v>0.0610177661950467</v>
      </c>
      <c r="G212" s="2" t="s">
        <v>976</v>
      </c>
      <c r="H212" s="2" t="s">
        <v>1035</v>
      </c>
      <c r="I212" s="37" t="n">
        <v>2025</v>
      </c>
    </row>
    <row r="213" customFormat="false" ht="15" hidden="false" customHeight="false" outlineLevel="0" collapsed="false">
      <c r="A213" s="37" t="s">
        <v>990</v>
      </c>
      <c r="B213" s="37" t="s">
        <v>973</v>
      </c>
      <c r="C213" s="37" t="n">
        <v>1</v>
      </c>
      <c r="D213" s="37" t="s">
        <v>1032</v>
      </c>
      <c r="E213" s="35" t="n">
        <v>234966010098</v>
      </c>
      <c r="F213" s="38" t="n">
        <f aca="false">E213/$E$68</f>
        <v>0.331399922796091</v>
      </c>
      <c r="G213" s="2" t="s">
        <v>976</v>
      </c>
      <c r="H213" s="2" t="s">
        <v>1038</v>
      </c>
      <c r="I213" s="37" t="n">
        <v>2025</v>
      </c>
    </row>
    <row r="214" customFormat="false" ht="15" hidden="false" customHeight="false" outlineLevel="0" collapsed="false">
      <c r="A214" s="37" t="s">
        <v>990</v>
      </c>
      <c r="B214" s="37" t="s">
        <v>973</v>
      </c>
      <c r="C214" s="37" t="n">
        <v>2</v>
      </c>
      <c r="D214" s="37" t="s">
        <v>1036</v>
      </c>
      <c r="E214" s="35" t="n">
        <v>92336324025</v>
      </c>
      <c r="F214" s="38" t="n">
        <f aca="false">E214/$E$68</f>
        <v>0.13023266914392</v>
      </c>
      <c r="G214" s="2" t="s">
        <v>976</v>
      </c>
      <c r="H214" s="2" t="s">
        <v>1038</v>
      </c>
      <c r="I214" s="37" t="n">
        <v>2025</v>
      </c>
    </row>
    <row r="215" customFormat="false" ht="15" hidden="false" customHeight="false" outlineLevel="0" collapsed="false">
      <c r="A215" s="37" t="s">
        <v>990</v>
      </c>
      <c r="B215" s="37" t="s">
        <v>973</v>
      </c>
      <c r="C215" s="37" t="n">
        <v>3</v>
      </c>
      <c r="D215" s="37" t="s">
        <v>1031</v>
      </c>
      <c r="E215" s="35" t="n">
        <v>85130810511</v>
      </c>
      <c r="F215" s="38" t="n">
        <f aca="false">E215/$E$68</f>
        <v>0.12006989444621</v>
      </c>
      <c r="G215" s="2" t="s">
        <v>976</v>
      </c>
      <c r="H215" s="2" t="s">
        <v>1038</v>
      </c>
      <c r="I215" s="37" t="n">
        <v>2025</v>
      </c>
    </row>
    <row r="216" customFormat="false" ht="15" hidden="false" customHeight="false" outlineLevel="0" collapsed="false">
      <c r="A216" s="37" t="s">
        <v>990</v>
      </c>
      <c r="B216" s="37" t="s">
        <v>973</v>
      </c>
      <c r="C216" s="37" t="n">
        <v>4</v>
      </c>
      <c r="D216" s="37" t="s">
        <v>1029</v>
      </c>
      <c r="E216" s="35" t="n">
        <v>47235215550</v>
      </c>
      <c r="F216" s="38" t="n">
        <f aca="false">E216/$E$68</f>
        <v>0.0666213244204889</v>
      </c>
      <c r="G216" s="2" t="s">
        <v>976</v>
      </c>
      <c r="H216" s="2" t="s">
        <v>1038</v>
      </c>
      <c r="I216" s="37" t="n">
        <v>2025</v>
      </c>
    </row>
    <row r="217" customFormat="false" ht="15" hidden="false" customHeight="false" outlineLevel="0" collapsed="false">
      <c r="A217" s="37" t="s">
        <v>990</v>
      </c>
      <c r="B217" s="37" t="s">
        <v>973</v>
      </c>
      <c r="C217" s="37" t="n">
        <v>5</v>
      </c>
      <c r="D217" s="37" t="s">
        <v>1039</v>
      </c>
      <c r="E217" s="35" t="n">
        <v>33840726149</v>
      </c>
      <c r="F217" s="38" t="n">
        <f aca="false">E217/$E$68</f>
        <v>0.0477295164030949</v>
      </c>
      <c r="G217" s="2" t="s">
        <v>976</v>
      </c>
      <c r="H217" s="2" t="s">
        <v>1038</v>
      </c>
      <c r="I217" s="37" t="n">
        <v>2025</v>
      </c>
    </row>
    <row r="218" customFormat="false" ht="15" hidden="false" customHeight="false" outlineLevel="0" collapsed="false">
      <c r="A218" s="37" t="s">
        <v>990</v>
      </c>
      <c r="B218" s="37" t="s">
        <v>985</v>
      </c>
      <c r="C218" s="37" t="n">
        <v>1</v>
      </c>
      <c r="D218" s="37" t="s">
        <v>1029</v>
      </c>
      <c r="E218" s="35" t="n">
        <v>140092305192</v>
      </c>
      <c r="F218" s="38" t="n">
        <f aca="false">E218/$E$79</f>
        <v>0.221810407800716</v>
      </c>
      <c r="G218" s="2" t="s">
        <v>976</v>
      </c>
      <c r="H218" s="2" t="s">
        <v>1040</v>
      </c>
      <c r="I218" s="37" t="n">
        <v>2025</v>
      </c>
    </row>
    <row r="219" customFormat="false" ht="15" hidden="false" customHeight="false" outlineLevel="0" collapsed="false">
      <c r="A219" s="37" t="s">
        <v>990</v>
      </c>
      <c r="B219" s="37" t="s">
        <v>985</v>
      </c>
      <c r="C219" s="37" t="n">
        <v>2</v>
      </c>
      <c r="D219" s="37" t="s">
        <v>1032</v>
      </c>
      <c r="E219" s="35" t="n">
        <v>127534844885</v>
      </c>
      <c r="F219" s="38" t="n">
        <f aca="false">E219/$E$79</f>
        <v>0.20192797822816</v>
      </c>
      <c r="G219" s="2" t="s">
        <v>976</v>
      </c>
      <c r="H219" s="2" t="s">
        <v>1040</v>
      </c>
      <c r="I219" s="37" t="n">
        <v>2025</v>
      </c>
    </row>
    <row r="220" customFormat="false" ht="15" hidden="false" customHeight="false" outlineLevel="0" collapsed="false">
      <c r="A220" s="37" t="s">
        <v>990</v>
      </c>
      <c r="B220" s="37" t="s">
        <v>985</v>
      </c>
      <c r="C220" s="37" t="n">
        <v>3</v>
      </c>
      <c r="D220" s="37" t="s">
        <v>1031</v>
      </c>
      <c r="E220" s="35" t="n">
        <v>74711633690</v>
      </c>
      <c r="F220" s="38" t="n">
        <f aca="false">E220/$E$79</f>
        <v>0.118292135414036</v>
      </c>
      <c r="G220" s="2" t="s">
        <v>976</v>
      </c>
      <c r="H220" s="2" t="s">
        <v>1040</v>
      </c>
      <c r="I220" s="37" t="n">
        <v>2025</v>
      </c>
    </row>
    <row r="221" customFormat="false" ht="15" hidden="false" customHeight="false" outlineLevel="0" collapsed="false">
      <c r="A221" s="37" t="s">
        <v>990</v>
      </c>
      <c r="B221" s="37" t="s">
        <v>985</v>
      </c>
      <c r="C221" s="37" t="n">
        <v>4</v>
      </c>
      <c r="D221" s="37" t="s">
        <v>1041</v>
      </c>
      <c r="E221" s="35" t="n">
        <v>24756699229</v>
      </c>
      <c r="F221" s="38" t="n">
        <f aca="false">E221/$E$79</f>
        <v>0.0391976814448031</v>
      </c>
      <c r="G221" s="2" t="s">
        <v>976</v>
      </c>
      <c r="H221" s="2" t="s">
        <v>1040</v>
      </c>
      <c r="I221" s="37" t="n">
        <v>2025</v>
      </c>
    </row>
    <row r="222" customFormat="false" ht="15" hidden="false" customHeight="false" outlineLevel="0" collapsed="false">
      <c r="A222" s="37" t="s">
        <v>990</v>
      </c>
      <c r="B222" s="37" t="s">
        <v>985</v>
      </c>
      <c r="C222" s="37" t="n">
        <v>5</v>
      </c>
      <c r="D222" s="37" t="s">
        <v>1042</v>
      </c>
      <c r="E222" s="35" t="n">
        <v>20841393306</v>
      </c>
      <c r="F222" s="38" t="n">
        <f aca="false">E222/$E$79</f>
        <v>0.0329985143866628</v>
      </c>
      <c r="G222" s="2" t="s">
        <v>976</v>
      </c>
      <c r="H222" s="2" t="s">
        <v>1040</v>
      </c>
      <c r="I222" s="37" t="n">
        <v>2025</v>
      </c>
    </row>
    <row r="223" customFormat="false" ht="15" hidden="false" customHeight="false" outlineLevel="0" collapsed="false">
      <c r="A223" s="37" t="s">
        <v>999</v>
      </c>
      <c r="B223" s="37" t="s">
        <v>973</v>
      </c>
      <c r="C223" s="37" t="n">
        <v>1</v>
      </c>
      <c r="D223" s="37" t="s">
        <v>1029</v>
      </c>
      <c r="E223" s="35" t="n">
        <v>106103378416.284</v>
      </c>
      <c r="F223" s="38" t="n">
        <f aca="false">E223/$E$90</f>
        <v>0.620937951509753</v>
      </c>
      <c r="G223" s="2" t="s">
        <v>976</v>
      </c>
      <c r="H223" s="2" t="s">
        <v>1043</v>
      </c>
      <c r="I223" s="37" t="n">
        <v>2025</v>
      </c>
    </row>
    <row r="224" customFormat="false" ht="15" hidden="false" customHeight="false" outlineLevel="0" collapsed="false">
      <c r="A224" s="37" t="s">
        <v>999</v>
      </c>
      <c r="B224" s="37" t="s">
        <v>973</v>
      </c>
      <c r="C224" s="37" t="n">
        <v>2</v>
      </c>
      <c r="D224" s="37" t="s">
        <v>1044</v>
      </c>
      <c r="E224" s="35" t="n">
        <v>16570476869.398</v>
      </c>
      <c r="F224" s="38" t="n">
        <f aca="false">E224/$E$90</f>
        <v>0.0969737073069921</v>
      </c>
      <c r="G224" s="2" t="s">
        <v>976</v>
      </c>
      <c r="H224" s="2" t="s">
        <v>1043</v>
      </c>
      <c r="I224" s="37" t="n">
        <v>2025</v>
      </c>
    </row>
    <row r="225" customFormat="false" ht="15" hidden="false" customHeight="false" outlineLevel="0" collapsed="false">
      <c r="A225" s="37" t="s">
        <v>999</v>
      </c>
      <c r="B225" s="37" t="s">
        <v>973</v>
      </c>
      <c r="C225" s="37" t="n">
        <v>3</v>
      </c>
      <c r="D225" s="37" t="s">
        <v>1032</v>
      </c>
      <c r="E225" s="35" t="n">
        <v>7045800058.972</v>
      </c>
      <c r="F225" s="38" t="n">
        <f aca="false">E225/$E$90</f>
        <v>0.0412334151906131</v>
      </c>
      <c r="G225" s="2" t="s">
        <v>976</v>
      </c>
      <c r="H225" s="2" t="s">
        <v>1043</v>
      </c>
      <c r="I225" s="37" t="n">
        <v>2025</v>
      </c>
    </row>
    <row r="226" customFormat="false" ht="15" hidden="false" customHeight="false" outlineLevel="0" collapsed="false">
      <c r="A226" s="37" t="s">
        <v>999</v>
      </c>
      <c r="B226" s="37" t="s">
        <v>973</v>
      </c>
      <c r="C226" s="37" t="n">
        <v>4</v>
      </c>
      <c r="D226" s="37" t="s">
        <v>1031</v>
      </c>
      <c r="E226" s="35" t="n">
        <v>6293866086.427</v>
      </c>
      <c r="F226" s="38" t="n">
        <f aca="false">E226/$E$90</f>
        <v>0.036832948894895</v>
      </c>
      <c r="G226" s="2" t="s">
        <v>976</v>
      </c>
      <c r="H226" s="2" t="s">
        <v>1043</v>
      </c>
      <c r="I226" s="37" t="n">
        <v>2025</v>
      </c>
    </row>
    <row r="227" customFormat="false" ht="15" hidden="false" customHeight="false" outlineLevel="0" collapsed="false">
      <c r="A227" s="37" t="s">
        <v>999</v>
      </c>
      <c r="B227" s="37" t="s">
        <v>973</v>
      </c>
      <c r="C227" s="37" t="n">
        <v>5</v>
      </c>
      <c r="D227" s="37" t="s">
        <v>1045</v>
      </c>
      <c r="E227" s="35" t="n">
        <v>5463802188.707</v>
      </c>
      <c r="F227" s="38" t="n">
        <f aca="false">E227/$E$90</f>
        <v>0.0319752508275415</v>
      </c>
      <c r="G227" s="2" t="s">
        <v>976</v>
      </c>
      <c r="H227" s="2" t="s">
        <v>1043</v>
      </c>
      <c r="I227" s="37" t="n">
        <v>2025</v>
      </c>
    </row>
    <row r="228" customFormat="false" ht="15" hidden="false" customHeight="false" outlineLevel="0" collapsed="false">
      <c r="A228" s="37" t="s">
        <v>999</v>
      </c>
      <c r="B228" s="37" t="s">
        <v>985</v>
      </c>
      <c r="C228" s="37" t="n">
        <v>1</v>
      </c>
      <c r="D228" s="37" t="s">
        <v>1031</v>
      </c>
      <c r="E228" s="35" t="n">
        <v>16209778439.545</v>
      </c>
      <c r="F228" s="38" t="n">
        <f aca="false">E228/$E$101</f>
        <v>0.150279015634312</v>
      </c>
      <c r="G228" s="2" t="s">
        <v>976</v>
      </c>
      <c r="H228" s="2" t="s">
        <v>1046</v>
      </c>
      <c r="I228" s="37" t="n">
        <v>2025</v>
      </c>
    </row>
    <row r="229" customFormat="false" ht="15" hidden="false" customHeight="false" outlineLevel="0" collapsed="false">
      <c r="A229" s="37" t="s">
        <v>999</v>
      </c>
      <c r="B229" s="37" t="s">
        <v>985</v>
      </c>
      <c r="C229" s="37" t="n">
        <v>2</v>
      </c>
      <c r="D229" s="37" t="s">
        <v>1036</v>
      </c>
      <c r="E229" s="35" t="n">
        <v>12284921228.277</v>
      </c>
      <c r="F229" s="38" t="n">
        <f aca="false">E229/$E$101</f>
        <v>0.113892110013463</v>
      </c>
      <c r="G229" s="2" t="s">
        <v>976</v>
      </c>
      <c r="H229" s="2" t="s">
        <v>1046</v>
      </c>
      <c r="I229" s="37" t="n">
        <v>2025</v>
      </c>
    </row>
    <row r="230" customFormat="false" ht="15" hidden="false" customHeight="false" outlineLevel="0" collapsed="false">
      <c r="A230" s="37" t="s">
        <v>999</v>
      </c>
      <c r="B230" s="37" t="s">
        <v>985</v>
      </c>
      <c r="C230" s="37" t="n">
        <v>3</v>
      </c>
      <c r="D230" s="37" t="s">
        <v>1032</v>
      </c>
      <c r="E230" s="35" t="n">
        <v>10643305152.309</v>
      </c>
      <c r="F230" s="38" t="n">
        <f aca="false">E230/$E$101</f>
        <v>0.0986728737440714</v>
      </c>
      <c r="G230" s="2" t="s">
        <v>976</v>
      </c>
      <c r="H230" s="2" t="s">
        <v>1046</v>
      </c>
      <c r="I230" s="37" t="n">
        <v>2025</v>
      </c>
    </row>
    <row r="231" customFormat="false" ht="15" hidden="false" customHeight="false" outlineLevel="0" collapsed="false">
      <c r="A231" s="37" t="s">
        <v>999</v>
      </c>
      <c r="B231" s="37" t="s">
        <v>985</v>
      </c>
      <c r="C231" s="37" t="n">
        <v>4</v>
      </c>
      <c r="D231" s="37" t="s">
        <v>1029</v>
      </c>
      <c r="E231" s="35" t="n">
        <v>5664742334.606</v>
      </c>
      <c r="F231" s="38" t="n">
        <f aca="false">E231/$E$101</f>
        <v>0.0525171830720283</v>
      </c>
      <c r="G231" s="2" t="s">
        <v>976</v>
      </c>
      <c r="H231" s="2" t="s">
        <v>1046</v>
      </c>
      <c r="I231" s="37" t="n">
        <v>2025</v>
      </c>
    </row>
    <row r="232" customFormat="false" ht="15" hidden="false" customHeight="false" outlineLevel="0" collapsed="false">
      <c r="A232" s="37" t="s">
        <v>999</v>
      </c>
      <c r="B232" s="37" t="s">
        <v>985</v>
      </c>
      <c r="C232" s="37" t="n">
        <v>5</v>
      </c>
      <c r="D232" s="37" t="s">
        <v>1047</v>
      </c>
      <c r="E232" s="35" t="n">
        <v>5297346466.153</v>
      </c>
      <c r="F232" s="38" t="n">
        <f aca="false">E232/$E$101</f>
        <v>0.0491110976856583</v>
      </c>
      <c r="G232" s="2" t="s">
        <v>976</v>
      </c>
      <c r="H232" s="2" t="s">
        <v>1046</v>
      </c>
      <c r="I232" s="37" t="n">
        <v>2025</v>
      </c>
    </row>
    <row r="233" customFormat="false" ht="15" hidden="false" customHeight="false" outlineLevel="0" collapsed="false">
      <c r="A233" s="37" t="s">
        <v>1008</v>
      </c>
      <c r="B233" s="37" t="s">
        <v>973</v>
      </c>
      <c r="C233" s="37" t="n">
        <v>1</v>
      </c>
      <c r="D233" s="37" t="s">
        <v>1031</v>
      </c>
      <c r="E233" s="35" t="n">
        <v>107031936175.431</v>
      </c>
      <c r="F233" s="38" t="n">
        <f aca="false">E233/$E$112</f>
        <v>0.192896655010006</v>
      </c>
      <c r="G233" s="2" t="s">
        <v>976</v>
      </c>
      <c r="H233" s="2" t="s">
        <v>1048</v>
      </c>
      <c r="I233" s="37" t="n">
        <v>2025</v>
      </c>
    </row>
    <row r="234" customFormat="false" ht="15" hidden="false" customHeight="false" outlineLevel="0" collapsed="false">
      <c r="A234" s="37" t="s">
        <v>1008</v>
      </c>
      <c r="B234" s="37" t="s">
        <v>973</v>
      </c>
      <c r="C234" s="37" t="n">
        <v>2</v>
      </c>
      <c r="D234" s="37" t="s">
        <v>1034</v>
      </c>
      <c r="E234" s="35" t="n">
        <v>105282755056.872</v>
      </c>
      <c r="F234" s="38" t="n">
        <f aca="false">E234/$E$112</f>
        <v>0.189744220336455</v>
      </c>
      <c r="G234" s="2" t="s">
        <v>976</v>
      </c>
      <c r="H234" s="2" t="s">
        <v>1048</v>
      </c>
      <c r="I234" s="37" t="n">
        <v>2025</v>
      </c>
    </row>
    <row r="235" customFormat="false" ht="15" hidden="false" customHeight="false" outlineLevel="0" collapsed="false">
      <c r="A235" s="37" t="s">
        <v>1008</v>
      </c>
      <c r="B235" s="37" t="s">
        <v>973</v>
      </c>
      <c r="C235" s="37" t="n">
        <v>3</v>
      </c>
      <c r="D235" s="37" t="s">
        <v>1036</v>
      </c>
      <c r="E235" s="35" t="n">
        <v>41292203459.923</v>
      </c>
      <c r="F235" s="38" t="n">
        <f aca="false">E235/$E$112</f>
        <v>0.0744182363697175</v>
      </c>
      <c r="G235" s="2" t="s">
        <v>976</v>
      </c>
      <c r="H235" s="2" t="s">
        <v>1048</v>
      </c>
      <c r="I235" s="37" t="n">
        <v>2025</v>
      </c>
    </row>
    <row r="236" customFormat="false" ht="15" hidden="false" customHeight="false" outlineLevel="0" collapsed="false">
      <c r="A236" s="37" t="s">
        <v>1008</v>
      </c>
      <c r="B236" s="37" t="s">
        <v>973</v>
      </c>
      <c r="C236" s="37" t="n">
        <v>4</v>
      </c>
      <c r="D236" s="37" t="s">
        <v>1029</v>
      </c>
      <c r="E236" s="35" t="n">
        <v>37445542310.236</v>
      </c>
      <c r="F236" s="38" t="n">
        <f aca="false">E236/$E$112</f>
        <v>0.0674856506831858</v>
      </c>
      <c r="G236" s="2" t="s">
        <v>976</v>
      </c>
      <c r="H236" s="2" t="s">
        <v>1048</v>
      </c>
      <c r="I236" s="37" t="n">
        <v>2025</v>
      </c>
    </row>
    <row r="237" customFormat="false" ht="15" hidden="false" customHeight="false" outlineLevel="0" collapsed="false">
      <c r="A237" s="37" t="s">
        <v>1008</v>
      </c>
      <c r="B237" s="37" t="s">
        <v>973</v>
      </c>
      <c r="C237" s="37" t="n">
        <v>5</v>
      </c>
      <c r="D237" s="37" t="s">
        <v>1032</v>
      </c>
      <c r="E237" s="35" t="n">
        <v>32768366419.264</v>
      </c>
      <c r="F237" s="38" t="n">
        <f aca="false">E237/$E$112</f>
        <v>0.0590562826225803</v>
      </c>
      <c r="G237" s="2" t="s">
        <v>976</v>
      </c>
      <c r="H237" s="2" t="s">
        <v>1048</v>
      </c>
      <c r="I237" s="37" t="n">
        <v>2025</v>
      </c>
    </row>
    <row r="238" customFormat="false" ht="15" hidden="false" customHeight="false" outlineLevel="0" collapsed="false">
      <c r="A238" s="37" t="s">
        <v>1008</v>
      </c>
      <c r="B238" s="37" t="s">
        <v>985</v>
      </c>
      <c r="C238" s="37" t="n">
        <v>1</v>
      </c>
      <c r="D238" s="37" t="s">
        <v>1034</v>
      </c>
      <c r="E238" s="35" t="n">
        <v>180661915503.29</v>
      </c>
      <c r="F238" s="38" t="n">
        <f aca="false">E238/$E$123</f>
        <v>0.190397916415434</v>
      </c>
      <c r="G238" s="2" t="s">
        <v>976</v>
      </c>
      <c r="H238" s="2" t="s">
        <v>1049</v>
      </c>
      <c r="I238" s="37" t="n">
        <v>2025</v>
      </c>
    </row>
    <row r="239" customFormat="false" ht="15" hidden="false" customHeight="false" outlineLevel="0" collapsed="false">
      <c r="A239" s="37" t="s">
        <v>1008</v>
      </c>
      <c r="B239" s="37" t="s">
        <v>985</v>
      </c>
      <c r="C239" s="37" t="n">
        <v>2</v>
      </c>
      <c r="D239" s="37" t="s">
        <v>1031</v>
      </c>
      <c r="E239" s="35" t="n">
        <v>115744915205.719</v>
      </c>
      <c r="F239" s="38" t="n">
        <f aca="false">E239/$E$123</f>
        <v>0.121982492156454</v>
      </c>
      <c r="G239" s="2" t="s">
        <v>976</v>
      </c>
      <c r="H239" s="2" t="s">
        <v>1049</v>
      </c>
      <c r="I239" s="37" t="n">
        <v>2025</v>
      </c>
    </row>
    <row r="240" customFormat="false" ht="15" hidden="false" customHeight="false" outlineLevel="0" collapsed="false">
      <c r="A240" s="37" t="s">
        <v>1008</v>
      </c>
      <c r="B240" s="37" t="s">
        <v>985</v>
      </c>
      <c r="C240" s="37" t="n">
        <v>3</v>
      </c>
      <c r="D240" s="37" t="s">
        <v>1036</v>
      </c>
      <c r="E240" s="35" t="n">
        <v>93751702394.949</v>
      </c>
      <c r="F240" s="38" t="n">
        <f aca="false">E240/$E$123</f>
        <v>0.0988040492467441</v>
      </c>
      <c r="G240" s="2" t="s">
        <v>976</v>
      </c>
      <c r="H240" s="2" t="s">
        <v>1049</v>
      </c>
      <c r="I240" s="37" t="n">
        <v>2025</v>
      </c>
    </row>
    <row r="241" customFormat="false" ht="15" hidden="false" customHeight="false" outlineLevel="0" collapsed="false">
      <c r="A241" s="37" t="s">
        <v>1008</v>
      </c>
      <c r="B241" s="37" t="s">
        <v>985</v>
      </c>
      <c r="C241" s="37" t="n">
        <v>4</v>
      </c>
      <c r="D241" s="37" t="s">
        <v>1032</v>
      </c>
      <c r="E241" s="35" t="n">
        <v>76222219830.665</v>
      </c>
      <c r="F241" s="38" t="n">
        <f aca="false">E241/$E$123</f>
        <v>0.0803298902255552</v>
      </c>
      <c r="G241" s="2" t="s">
        <v>976</v>
      </c>
      <c r="H241" s="2" t="s">
        <v>1049</v>
      </c>
      <c r="I241" s="37" t="n">
        <v>2025</v>
      </c>
    </row>
    <row r="242" customFormat="false" ht="15" hidden="false" customHeight="false" outlineLevel="0" collapsed="false">
      <c r="A242" s="37" t="s">
        <v>1008</v>
      </c>
      <c r="B242" s="37" t="s">
        <v>985</v>
      </c>
      <c r="C242" s="37" t="n">
        <v>5</v>
      </c>
      <c r="D242" s="37" t="s">
        <v>1029</v>
      </c>
      <c r="E242" s="35" t="n">
        <v>75440208729.602</v>
      </c>
      <c r="F242" s="38" t="n">
        <f aca="false">E242/$E$123</f>
        <v>0.0795057359823029</v>
      </c>
      <c r="G242" s="2" t="s">
        <v>976</v>
      </c>
      <c r="H242" s="2" t="s">
        <v>1049</v>
      </c>
      <c r="I242" s="37" t="n">
        <v>2025</v>
      </c>
    </row>
    <row r="243" customFormat="false" ht="15" hidden="false" customHeight="false" outlineLevel="0" collapsed="false">
      <c r="A243" s="37" t="s">
        <v>1012</v>
      </c>
      <c r="B243" s="37" t="s">
        <v>973</v>
      </c>
      <c r="C243" s="37" t="n">
        <v>1</v>
      </c>
      <c r="D243" s="37" t="s">
        <v>1031</v>
      </c>
      <c r="E243" s="35" t="n">
        <v>83595408519.338</v>
      </c>
      <c r="F243" s="38" t="n">
        <f aca="false">E243/$E$134</f>
        <v>0.121298749579386</v>
      </c>
      <c r="G243" s="2" t="s">
        <v>976</v>
      </c>
      <c r="H243" s="2" t="s">
        <v>1050</v>
      </c>
      <c r="I243" s="37" t="n">
        <v>2025</v>
      </c>
    </row>
    <row r="244" customFormat="false" ht="15" hidden="false" customHeight="false" outlineLevel="0" collapsed="false">
      <c r="A244" s="37" t="s">
        <v>1012</v>
      </c>
      <c r="B244" s="37" t="s">
        <v>973</v>
      </c>
      <c r="C244" s="37" t="n">
        <v>2</v>
      </c>
      <c r="D244" s="37" t="s">
        <v>1036</v>
      </c>
      <c r="E244" s="35" t="n">
        <v>57563950853.935</v>
      </c>
      <c r="F244" s="38" t="n">
        <f aca="false">E244/$E$134</f>
        <v>0.0835265403101211</v>
      </c>
      <c r="G244" s="2" t="s">
        <v>976</v>
      </c>
      <c r="H244" s="2" t="s">
        <v>1050</v>
      </c>
      <c r="I244" s="37" t="n">
        <v>2025</v>
      </c>
    </row>
    <row r="245" customFormat="false" ht="15" hidden="false" customHeight="false" outlineLevel="0" collapsed="false">
      <c r="A245" s="37" t="s">
        <v>1012</v>
      </c>
      <c r="B245" s="37" t="s">
        <v>973</v>
      </c>
      <c r="C245" s="37" t="n">
        <v>3</v>
      </c>
      <c r="D245" s="37" t="s">
        <v>1032</v>
      </c>
      <c r="E245" s="35" t="n">
        <v>51437493214.451</v>
      </c>
      <c r="F245" s="38" t="n">
        <f aca="false">E245/$E$134</f>
        <v>0.0746369174925165</v>
      </c>
      <c r="G245" s="2" t="s">
        <v>976</v>
      </c>
      <c r="H245" s="2" t="s">
        <v>1050</v>
      </c>
      <c r="I245" s="37" t="n">
        <v>2025</v>
      </c>
    </row>
    <row r="246" customFormat="false" ht="15" hidden="false" customHeight="false" outlineLevel="0" collapsed="false">
      <c r="A246" s="37" t="s">
        <v>1012</v>
      </c>
      <c r="B246" s="37" t="s">
        <v>973</v>
      </c>
      <c r="C246" s="37" t="n">
        <v>4</v>
      </c>
      <c r="D246" s="37" t="s">
        <v>1033</v>
      </c>
      <c r="E246" s="35" t="n">
        <v>47082376868.544</v>
      </c>
      <c r="F246" s="38" t="n">
        <f aca="false">E246/$E$134</f>
        <v>0.0683175492833276</v>
      </c>
      <c r="G246" s="2" t="s">
        <v>976</v>
      </c>
      <c r="H246" s="2" t="s">
        <v>1050</v>
      </c>
      <c r="I246" s="37" t="n">
        <v>2025</v>
      </c>
    </row>
    <row r="247" customFormat="false" ht="15" hidden="false" customHeight="false" outlineLevel="0" collapsed="false">
      <c r="A247" s="37" t="s">
        <v>1012</v>
      </c>
      <c r="B247" s="37" t="s">
        <v>973</v>
      </c>
      <c r="C247" s="37" t="n">
        <v>5</v>
      </c>
      <c r="D247" s="37" t="s">
        <v>1037</v>
      </c>
      <c r="E247" s="35" t="n">
        <v>44192765054.702</v>
      </c>
      <c r="F247" s="38" t="n">
        <f aca="false">E247/$E$134</f>
        <v>0.0641246599130009</v>
      </c>
      <c r="G247" s="2" t="s">
        <v>976</v>
      </c>
      <c r="H247" s="2" t="s">
        <v>1050</v>
      </c>
      <c r="I247" s="37" t="n">
        <v>2025</v>
      </c>
    </row>
    <row r="248" customFormat="false" ht="15" hidden="false" customHeight="false" outlineLevel="0" collapsed="false">
      <c r="A248" s="37" t="s">
        <v>1012</v>
      </c>
      <c r="B248" s="37" t="s">
        <v>973</v>
      </c>
      <c r="C248" s="37" t="n">
        <v>7</v>
      </c>
      <c r="D248" s="37" t="s">
        <v>1029</v>
      </c>
      <c r="E248" s="35" t="n">
        <v>25923017702.866</v>
      </c>
      <c r="F248" s="38" t="n">
        <f aca="false">E248/$E$134</f>
        <v>0.0376148605333334</v>
      </c>
      <c r="G248" s="2" t="s">
        <v>976</v>
      </c>
      <c r="H248" s="2" t="s">
        <v>1050</v>
      </c>
      <c r="I248" s="37" t="n">
        <v>2025</v>
      </c>
    </row>
    <row r="249" customFormat="false" ht="15" hidden="false" customHeight="false" outlineLevel="0" collapsed="false">
      <c r="A249" s="37" t="s">
        <v>1012</v>
      </c>
      <c r="B249" s="37" t="s">
        <v>985</v>
      </c>
      <c r="C249" s="37" t="n">
        <v>1</v>
      </c>
      <c r="D249" s="37" t="s">
        <v>1031</v>
      </c>
      <c r="E249" s="35" t="n">
        <v>99604162937.849</v>
      </c>
      <c r="F249" s="38" t="n">
        <f aca="false">E249/$E$145</f>
        <v>0.124636594354901</v>
      </c>
      <c r="G249" s="2" t="s">
        <v>976</v>
      </c>
      <c r="H249" s="2" t="s">
        <v>1051</v>
      </c>
      <c r="I249" s="37" t="n">
        <v>2025</v>
      </c>
    </row>
    <row r="250" customFormat="false" ht="15" hidden="false" customHeight="false" outlineLevel="0" collapsed="false">
      <c r="A250" s="37" t="s">
        <v>1012</v>
      </c>
      <c r="B250" s="37" t="s">
        <v>985</v>
      </c>
      <c r="C250" s="37" t="n">
        <v>2</v>
      </c>
      <c r="D250" s="37" t="s">
        <v>1029</v>
      </c>
      <c r="E250" s="35" t="n">
        <v>83525651215.362</v>
      </c>
      <c r="F250" s="38" t="n">
        <f aca="false">E250/$E$145</f>
        <v>0.104517245079946</v>
      </c>
      <c r="G250" s="2" t="s">
        <v>976</v>
      </c>
      <c r="H250" s="2" t="s">
        <v>1051</v>
      </c>
      <c r="I250" s="37" t="n">
        <v>2025</v>
      </c>
    </row>
    <row r="251" customFormat="false" ht="15" hidden="false" customHeight="false" outlineLevel="0" collapsed="false">
      <c r="A251" s="37" t="s">
        <v>1012</v>
      </c>
      <c r="B251" s="37" t="s">
        <v>985</v>
      </c>
      <c r="C251" s="37" t="n">
        <v>3</v>
      </c>
      <c r="D251" s="37" t="s">
        <v>1036</v>
      </c>
      <c r="E251" s="35" t="n">
        <v>79542280379.079</v>
      </c>
      <c r="F251" s="38" t="n">
        <f aca="false">E251/$E$145</f>
        <v>0.0995327769568945</v>
      </c>
      <c r="G251" s="2" t="s">
        <v>976</v>
      </c>
      <c r="H251" s="2" t="s">
        <v>1051</v>
      </c>
      <c r="I251" s="37" t="n">
        <v>2025</v>
      </c>
    </row>
    <row r="252" customFormat="false" ht="15" hidden="false" customHeight="false" outlineLevel="0" collapsed="false">
      <c r="A252" s="37" t="s">
        <v>1012</v>
      </c>
      <c r="B252" s="37" t="s">
        <v>985</v>
      </c>
      <c r="C252" s="37" t="n">
        <v>4</v>
      </c>
      <c r="D252" s="37" t="s">
        <v>1032</v>
      </c>
      <c r="E252" s="35" t="n">
        <v>69492515342.778</v>
      </c>
      <c r="F252" s="38" t="n">
        <f aca="false">E252/$E$145</f>
        <v>0.0869573137307933</v>
      </c>
      <c r="G252" s="2" t="s">
        <v>976</v>
      </c>
      <c r="H252" s="2" t="s">
        <v>1051</v>
      </c>
      <c r="I252" s="37" t="n">
        <v>2025</v>
      </c>
    </row>
    <row r="253" customFormat="false" ht="15" hidden="false" customHeight="false" outlineLevel="0" collapsed="false">
      <c r="A253" s="37" t="s">
        <v>1012</v>
      </c>
      <c r="B253" s="37" t="s">
        <v>985</v>
      </c>
      <c r="C253" s="37" t="n">
        <v>5</v>
      </c>
      <c r="D253" s="37" t="s">
        <v>1037</v>
      </c>
      <c r="E253" s="35" t="n">
        <v>40166692831.286</v>
      </c>
      <c r="F253" s="38" t="n">
        <f aca="false">E253/$E$145</f>
        <v>0.0502613510653638</v>
      </c>
      <c r="G253" s="2" t="s">
        <v>976</v>
      </c>
      <c r="H253" s="2" t="s">
        <v>1051</v>
      </c>
      <c r="I253" s="37" t="n">
        <v>2025</v>
      </c>
    </row>
    <row r="254" customFormat="false" ht="15" hidden="false" customHeight="false" outlineLevel="0" collapsed="false">
      <c r="A254" s="37" t="s">
        <v>1015</v>
      </c>
      <c r="B254" s="37" t="s">
        <v>973</v>
      </c>
      <c r="C254" s="37" t="n">
        <v>1</v>
      </c>
      <c r="D254" s="37" t="s">
        <v>1036</v>
      </c>
      <c r="E254" s="35" t="n">
        <v>287592518637.984</v>
      </c>
      <c r="F254" s="38" t="n">
        <f aca="false">E254/$E$156</f>
        <v>0.162129479318723</v>
      </c>
      <c r="G254" s="2" t="s">
        <v>976</v>
      </c>
      <c r="H254" s="2" t="s">
        <v>1052</v>
      </c>
      <c r="I254" s="37" t="n">
        <v>2025</v>
      </c>
    </row>
    <row r="255" customFormat="false" ht="15" hidden="false" customHeight="false" outlineLevel="0" collapsed="false">
      <c r="A255" s="37" t="s">
        <v>1015</v>
      </c>
      <c r="B255" s="37" t="s">
        <v>973</v>
      </c>
      <c r="C255" s="37" t="n">
        <v>2</v>
      </c>
      <c r="D255" s="37" t="s">
        <v>1031</v>
      </c>
      <c r="E255" s="35" t="n">
        <v>285703851795.26</v>
      </c>
      <c r="F255" s="38" t="n">
        <f aca="false">E255/$E$156</f>
        <v>0.161064748659985</v>
      </c>
      <c r="G255" s="2" t="s">
        <v>976</v>
      </c>
      <c r="H255" s="2" t="s">
        <v>1052</v>
      </c>
      <c r="I255" s="37" t="n">
        <v>2025</v>
      </c>
    </row>
    <row r="256" customFormat="false" ht="15" hidden="false" customHeight="false" outlineLevel="0" collapsed="false">
      <c r="A256" s="37" t="s">
        <v>1015</v>
      </c>
      <c r="B256" s="37" t="s">
        <v>973</v>
      </c>
      <c r="C256" s="37" t="n">
        <v>3</v>
      </c>
      <c r="D256" s="37" t="s">
        <v>1032</v>
      </c>
      <c r="E256" s="35" t="n">
        <v>196390120802.317</v>
      </c>
      <c r="F256" s="38" t="n">
        <f aca="false">E256/$E$156</f>
        <v>0.110714382209299</v>
      </c>
      <c r="G256" s="2" t="s">
        <v>976</v>
      </c>
      <c r="H256" s="2" t="s">
        <v>1052</v>
      </c>
      <c r="I256" s="37" t="n">
        <v>2025</v>
      </c>
    </row>
    <row r="257" customFormat="false" ht="15" hidden="false" customHeight="false" outlineLevel="0" collapsed="false">
      <c r="A257" s="37" t="s">
        <v>1015</v>
      </c>
      <c r="B257" s="37" t="s">
        <v>973</v>
      </c>
      <c r="C257" s="37" t="n">
        <v>4</v>
      </c>
      <c r="D257" s="37" t="s">
        <v>1037</v>
      </c>
      <c r="E257" s="35" t="n">
        <v>134088114912.434</v>
      </c>
      <c r="F257" s="38" t="n">
        <f aca="false">E257/$E$156</f>
        <v>0.0755918003588522</v>
      </c>
      <c r="G257" s="2" t="s">
        <v>976</v>
      </c>
      <c r="H257" s="2" t="s">
        <v>1052</v>
      </c>
      <c r="I257" s="37" t="n">
        <v>2025</v>
      </c>
    </row>
    <row r="258" customFormat="false" ht="15" hidden="false" customHeight="false" outlineLevel="0" collapsed="false">
      <c r="A258" s="37" t="s">
        <v>1015</v>
      </c>
      <c r="B258" s="37" t="s">
        <v>973</v>
      </c>
      <c r="C258" s="37" t="n">
        <v>5</v>
      </c>
      <c r="D258" s="37" t="s">
        <v>1041</v>
      </c>
      <c r="E258" s="35" t="n">
        <v>93722418899.599</v>
      </c>
      <c r="F258" s="38" t="n">
        <f aca="false">E258/$E$156</f>
        <v>0.0528357519473953</v>
      </c>
      <c r="G258" s="2" t="s">
        <v>976</v>
      </c>
      <c r="H258" s="2" t="s">
        <v>1052</v>
      </c>
      <c r="I258" s="37" t="n">
        <v>2025</v>
      </c>
    </row>
    <row r="259" customFormat="false" ht="15" hidden="false" customHeight="false" outlineLevel="0" collapsed="false">
      <c r="A259" s="37" t="s">
        <v>1015</v>
      </c>
      <c r="B259" s="37" t="s">
        <v>973</v>
      </c>
      <c r="C259" s="37" t="n">
        <v>11</v>
      </c>
      <c r="D259" s="37" t="s">
        <v>1029</v>
      </c>
      <c r="E259" s="35" t="n">
        <v>33759373005.513</v>
      </c>
      <c r="F259" s="38" t="n">
        <f aca="false">E259/$E$156</f>
        <v>0.0190317522633479</v>
      </c>
      <c r="G259" s="2" t="s">
        <v>976</v>
      </c>
      <c r="H259" s="2" t="s">
        <v>1052</v>
      </c>
      <c r="I259" s="37" t="n">
        <v>2025</v>
      </c>
    </row>
    <row r="260" customFormat="false" ht="15" hidden="false" customHeight="false" outlineLevel="0" collapsed="false">
      <c r="A260" s="37" t="s">
        <v>1015</v>
      </c>
      <c r="B260" s="37" t="s">
        <v>985</v>
      </c>
      <c r="C260" s="37" t="n">
        <v>1</v>
      </c>
      <c r="D260" s="37" t="s">
        <v>1032</v>
      </c>
      <c r="E260" s="35" t="n">
        <v>226360935915.247</v>
      </c>
      <c r="F260" s="38" t="n">
        <f aca="false">E260/$E$167</f>
        <v>0.146070516763182</v>
      </c>
      <c r="G260" s="2" t="s">
        <v>976</v>
      </c>
      <c r="H260" s="2" t="s">
        <v>1053</v>
      </c>
      <c r="I260" s="37" t="n">
        <v>2025</v>
      </c>
    </row>
    <row r="261" customFormat="false" ht="15" hidden="false" customHeight="false" outlineLevel="0" collapsed="false">
      <c r="A261" s="37" t="s">
        <v>1015</v>
      </c>
      <c r="B261" s="37" t="s">
        <v>985</v>
      </c>
      <c r="C261" s="37" t="n">
        <v>2</v>
      </c>
      <c r="D261" s="37" t="s">
        <v>1031</v>
      </c>
      <c r="E261" s="35" t="n">
        <v>190139583943.089</v>
      </c>
      <c r="F261" s="38" t="n">
        <f aca="false">E261/$E$167</f>
        <v>0.122696909567922</v>
      </c>
      <c r="G261" s="2" t="s">
        <v>976</v>
      </c>
      <c r="H261" s="2" t="s">
        <v>1053</v>
      </c>
      <c r="I261" s="37" t="n">
        <v>2025</v>
      </c>
    </row>
    <row r="262" customFormat="false" ht="15" hidden="false" customHeight="false" outlineLevel="0" collapsed="false">
      <c r="A262" s="37" t="s">
        <v>1015</v>
      </c>
      <c r="B262" s="37" t="s">
        <v>985</v>
      </c>
      <c r="C262" s="37" t="n">
        <v>3</v>
      </c>
      <c r="D262" s="37" t="s">
        <v>1036</v>
      </c>
      <c r="E262" s="35" t="n">
        <v>157931462417.809</v>
      </c>
      <c r="F262" s="38" t="n">
        <f aca="false">E262/$E$167</f>
        <v>0.101913036519569</v>
      </c>
      <c r="G262" s="2" t="s">
        <v>976</v>
      </c>
      <c r="H262" s="2" t="s">
        <v>1053</v>
      </c>
      <c r="I262" s="37" t="n">
        <v>2025</v>
      </c>
    </row>
    <row r="263" customFormat="false" ht="15" hidden="false" customHeight="false" outlineLevel="0" collapsed="false">
      <c r="A263" s="37" t="s">
        <v>1015</v>
      </c>
      <c r="B263" s="37" t="s">
        <v>985</v>
      </c>
      <c r="C263" s="37" t="n">
        <v>4</v>
      </c>
      <c r="D263" s="37" t="s">
        <v>1029</v>
      </c>
      <c r="E263" s="35" t="n">
        <v>115528009818.092</v>
      </c>
      <c r="F263" s="38" t="n">
        <f aca="false">E263/$E$167</f>
        <v>0.0745501251199498</v>
      </c>
      <c r="G263" s="2" t="s">
        <v>976</v>
      </c>
      <c r="H263" s="2" t="s">
        <v>1053</v>
      </c>
      <c r="I263" s="37" t="n">
        <v>2025</v>
      </c>
    </row>
    <row r="264" customFormat="false" ht="15" hidden="false" customHeight="false" outlineLevel="0" collapsed="false">
      <c r="A264" s="37" t="s">
        <v>1015</v>
      </c>
      <c r="B264" s="37" t="s">
        <v>985</v>
      </c>
      <c r="C264" s="37" t="n">
        <v>5</v>
      </c>
      <c r="D264" s="37" t="s">
        <v>1037</v>
      </c>
      <c r="E264" s="35" t="n">
        <v>85438507718.598</v>
      </c>
      <c r="F264" s="38" t="n">
        <f aca="false">E264/$E$167</f>
        <v>0.0551333953602463</v>
      </c>
      <c r="G264" s="2" t="s">
        <v>976</v>
      </c>
      <c r="H264" s="2" t="s">
        <v>1053</v>
      </c>
      <c r="I264" s="37" t="n">
        <v>2025</v>
      </c>
    </row>
    <row r="265" customFormat="false" ht="15" hidden="false" customHeight="false" outlineLevel="0" collapsed="false">
      <c r="A265" s="37" t="s">
        <v>1020</v>
      </c>
      <c r="B265" s="37" t="s">
        <v>973</v>
      </c>
      <c r="C265" s="37" t="n">
        <v>1</v>
      </c>
      <c r="D265" s="37" t="s">
        <v>1032</v>
      </c>
      <c r="E265" s="35" t="n">
        <v>1016578369962</v>
      </c>
      <c r="F265" s="38" t="n">
        <f aca="false">E265/$E$178</f>
        <v>0.26919382152397</v>
      </c>
      <c r="G265" s="2" t="s">
        <v>976</v>
      </c>
      <c r="H265" s="2" t="s">
        <v>1054</v>
      </c>
      <c r="I265" s="37" t="n">
        <v>2025</v>
      </c>
    </row>
    <row r="266" customFormat="false" ht="15" hidden="false" customHeight="false" outlineLevel="0" collapsed="false">
      <c r="A266" s="37" t="s">
        <v>1020</v>
      </c>
      <c r="B266" s="37" t="s">
        <v>973</v>
      </c>
      <c r="C266" s="37" t="n">
        <v>2</v>
      </c>
      <c r="D266" s="37" t="s">
        <v>1031</v>
      </c>
      <c r="E266" s="35" t="n">
        <v>603818631519</v>
      </c>
      <c r="F266" s="38" t="n">
        <f aca="false">E266/$E$178</f>
        <v>0.15989347179603</v>
      </c>
      <c r="G266" s="2" t="s">
        <v>976</v>
      </c>
      <c r="H266" s="2" t="s">
        <v>1054</v>
      </c>
      <c r="I266" s="37" t="n">
        <v>2025</v>
      </c>
    </row>
    <row r="267" customFormat="false" ht="15" hidden="false" customHeight="false" outlineLevel="0" collapsed="false">
      <c r="A267" s="37" t="s">
        <v>1020</v>
      </c>
      <c r="B267" s="37" t="s">
        <v>973</v>
      </c>
      <c r="C267" s="37" t="n">
        <v>3</v>
      </c>
      <c r="D267" s="37" t="s">
        <v>1036</v>
      </c>
      <c r="E267" s="35" t="n">
        <v>248309239931</v>
      </c>
      <c r="F267" s="38" t="n">
        <f aca="false">E267/$E$178</f>
        <v>0.0657532318135364</v>
      </c>
      <c r="G267" s="2" t="s">
        <v>976</v>
      </c>
      <c r="H267" s="2" t="s">
        <v>1054</v>
      </c>
      <c r="I267" s="37" t="n">
        <v>2025</v>
      </c>
    </row>
    <row r="268" customFormat="false" ht="15" hidden="false" customHeight="false" outlineLevel="0" collapsed="false">
      <c r="A268" s="37" t="s">
        <v>1020</v>
      </c>
      <c r="B268" s="37" t="s">
        <v>973</v>
      </c>
      <c r="C268" s="37" t="n">
        <v>4</v>
      </c>
      <c r="D268" s="37" t="s">
        <v>1039</v>
      </c>
      <c r="E268" s="35" t="n">
        <v>142011089130</v>
      </c>
      <c r="F268" s="38" t="n">
        <f aca="false">E268/$E$178</f>
        <v>0.0376050769043166</v>
      </c>
      <c r="G268" s="2" t="s">
        <v>976</v>
      </c>
      <c r="H268" s="2" t="s">
        <v>1054</v>
      </c>
      <c r="I268" s="37" t="n">
        <v>2025</v>
      </c>
    </row>
    <row r="269" customFormat="false" ht="15" hidden="false" customHeight="false" outlineLevel="0" collapsed="false">
      <c r="A269" s="37" t="s">
        <v>1020</v>
      </c>
      <c r="B269" s="37" t="s">
        <v>973</v>
      </c>
      <c r="C269" s="37" t="n">
        <v>5</v>
      </c>
      <c r="D269" s="37" t="s">
        <v>1055</v>
      </c>
      <c r="E269" s="35" t="n">
        <v>117762214783</v>
      </c>
      <c r="F269" s="38" t="n">
        <f aca="false">E269/$E$178</f>
        <v>0.031183882684566</v>
      </c>
      <c r="G269" s="2" t="s">
        <v>976</v>
      </c>
      <c r="H269" s="2" t="s">
        <v>1054</v>
      </c>
      <c r="I269" s="37" t="n">
        <v>2025</v>
      </c>
    </row>
    <row r="270" customFormat="false" ht="15" hidden="false" customHeight="false" outlineLevel="0" collapsed="false">
      <c r="A270" s="37" t="s">
        <v>1020</v>
      </c>
      <c r="B270" s="37" t="s">
        <v>973</v>
      </c>
      <c r="C270" s="37" t="n">
        <v>15</v>
      </c>
      <c r="D270" s="37" t="s">
        <v>1029</v>
      </c>
      <c r="E270" s="35" t="n">
        <v>51467076693</v>
      </c>
      <c r="F270" s="38" t="n">
        <f aca="false">E270/$E$178</f>
        <v>0.0136286777950763</v>
      </c>
      <c r="G270" s="2" t="s">
        <v>976</v>
      </c>
      <c r="H270" s="2" t="s">
        <v>1054</v>
      </c>
      <c r="I270" s="37" t="n">
        <v>2025</v>
      </c>
    </row>
    <row r="271" customFormat="false" ht="15" hidden="false" customHeight="false" outlineLevel="0" collapsed="false">
      <c r="A271" s="37" t="s">
        <v>1020</v>
      </c>
      <c r="B271" s="37" t="s">
        <v>985</v>
      </c>
      <c r="C271" s="37" t="n">
        <v>1</v>
      </c>
      <c r="D271" s="37" t="s">
        <v>1032</v>
      </c>
      <c r="E271" s="35" t="n">
        <v>626969658533</v>
      </c>
      <c r="F271" s="38" t="n">
        <f aca="false">E271/$E$189</f>
        <v>0.243081750336841</v>
      </c>
      <c r="G271" s="2" t="s">
        <v>976</v>
      </c>
      <c r="H271" s="2" t="s">
        <v>1056</v>
      </c>
      <c r="I271" s="37" t="n">
        <v>2025</v>
      </c>
    </row>
    <row r="272" customFormat="false" ht="15" hidden="false" customHeight="false" outlineLevel="0" collapsed="false">
      <c r="A272" s="37" t="s">
        <v>1020</v>
      </c>
      <c r="B272" s="37" t="s">
        <v>985</v>
      </c>
      <c r="C272" s="37" t="n">
        <v>2</v>
      </c>
      <c r="D272" s="37" t="s">
        <v>1029</v>
      </c>
      <c r="E272" s="35" t="n">
        <v>442947126525</v>
      </c>
      <c r="F272" s="38" t="n">
        <f aca="false">E272/$E$189</f>
        <v>0.17173456698735</v>
      </c>
      <c r="G272" s="2" t="s">
        <v>976</v>
      </c>
      <c r="H272" s="2" t="s">
        <v>1056</v>
      </c>
      <c r="I272" s="37" t="n">
        <v>2025</v>
      </c>
    </row>
    <row r="273" customFormat="false" ht="15" hidden="false" customHeight="false" outlineLevel="0" collapsed="false">
      <c r="A273" s="37" t="s">
        <v>1020</v>
      </c>
      <c r="B273" s="37" t="s">
        <v>985</v>
      </c>
      <c r="C273" s="37" t="n">
        <v>3</v>
      </c>
      <c r="D273" s="37" t="s">
        <v>1042</v>
      </c>
      <c r="E273" s="35" t="n">
        <v>269347421949</v>
      </c>
      <c r="F273" s="38" t="n">
        <f aca="false">E273/$E$189</f>
        <v>0.104428407156536</v>
      </c>
      <c r="G273" s="2" t="s">
        <v>976</v>
      </c>
      <c r="H273" s="2" t="s">
        <v>1056</v>
      </c>
      <c r="I273" s="37" t="n">
        <v>2025</v>
      </c>
    </row>
    <row r="274" customFormat="false" ht="15" hidden="false" customHeight="false" outlineLevel="0" collapsed="false">
      <c r="A274" s="37" t="s">
        <v>1020</v>
      </c>
      <c r="B274" s="37" t="s">
        <v>985</v>
      </c>
      <c r="C274" s="37" t="n">
        <v>4</v>
      </c>
      <c r="D274" s="37" t="s">
        <v>1031</v>
      </c>
      <c r="E274" s="35" t="n">
        <v>251242635067</v>
      </c>
      <c r="F274" s="38" t="n">
        <f aca="false">E274/$E$189</f>
        <v>0.097409019176822</v>
      </c>
      <c r="G274" s="2" t="s">
        <v>976</v>
      </c>
      <c r="H274" s="2" t="s">
        <v>1056</v>
      </c>
      <c r="I274" s="37" t="n">
        <v>2025</v>
      </c>
    </row>
    <row r="275" customFormat="false" ht="15" hidden="false" customHeight="false" outlineLevel="0" collapsed="false">
      <c r="A275" s="37" t="s">
        <v>1020</v>
      </c>
      <c r="B275" s="37" t="s">
        <v>985</v>
      </c>
      <c r="C275" s="37" t="n">
        <v>5</v>
      </c>
      <c r="D275" s="37" t="s">
        <v>1034</v>
      </c>
      <c r="E275" s="35" t="n">
        <v>118016853094</v>
      </c>
      <c r="F275" s="38" t="n">
        <f aca="false">E275/$E$189</f>
        <v>0.045756190636816</v>
      </c>
      <c r="G275" s="2" t="s">
        <v>976</v>
      </c>
      <c r="H275" s="2" t="s">
        <v>1056</v>
      </c>
      <c r="I275" s="37" t="n">
        <v>2025</v>
      </c>
    </row>
    <row r="277" customFormat="false" ht="15" hidden="false" customHeight="false" outlineLevel="0" collapsed="false">
      <c r="A277" s="25" t="s">
        <v>1057</v>
      </c>
    </row>
    <row r="278" customFormat="false" ht="15" hidden="false" customHeight="false" outlineLevel="0" collapsed="false">
      <c r="A278" s="3" t="s">
        <v>964</v>
      </c>
      <c r="B278" s="3" t="s">
        <v>965</v>
      </c>
      <c r="C278" s="3" t="s">
        <v>1058</v>
      </c>
      <c r="D278" s="3" t="s">
        <v>1059</v>
      </c>
      <c r="E278" s="3" t="s">
        <v>971</v>
      </c>
      <c r="F278" s="3" t="s">
        <v>5</v>
      </c>
      <c r="G278" s="3" t="s">
        <v>6</v>
      </c>
      <c r="H278" s="3" t="s">
        <v>8</v>
      </c>
      <c r="I278" s="3" t="s">
        <v>1060</v>
      </c>
    </row>
    <row r="279" customFormat="false" ht="15" hidden="false" customHeight="false" outlineLevel="0" collapsed="false">
      <c r="A279" s="2" t="s">
        <v>990</v>
      </c>
      <c r="B279" s="2" t="s">
        <v>973</v>
      </c>
      <c r="C279" s="2" t="s">
        <v>525</v>
      </c>
      <c r="D279" s="37" t="n">
        <v>84.2</v>
      </c>
      <c r="E279" s="37" t="n">
        <v>2025</v>
      </c>
      <c r="F279" s="2" t="s">
        <v>293</v>
      </c>
      <c r="G279" s="2" t="s">
        <v>1061</v>
      </c>
      <c r="H279" s="2" t="s">
        <v>1062</v>
      </c>
      <c r="I279" s="2"/>
    </row>
    <row r="280" customFormat="false" ht="15" hidden="false" customHeight="false" outlineLevel="0" collapsed="false">
      <c r="A280" s="2" t="s">
        <v>990</v>
      </c>
      <c r="B280" s="2" t="s">
        <v>973</v>
      </c>
      <c r="C280" s="2" t="s">
        <v>1063</v>
      </c>
      <c r="D280" s="37" t="n">
        <v>5.9</v>
      </c>
      <c r="E280" s="37" t="n">
        <v>2025</v>
      </c>
      <c r="F280" s="2" t="s">
        <v>293</v>
      </c>
      <c r="G280" s="2" t="s">
        <v>1061</v>
      </c>
      <c r="H280" s="2" t="s">
        <v>1062</v>
      </c>
      <c r="I280" s="2"/>
    </row>
    <row r="281" customFormat="false" ht="15" hidden="false" customHeight="false" outlineLevel="0" collapsed="false">
      <c r="A281" s="2" t="s">
        <v>990</v>
      </c>
      <c r="B281" s="2" t="s">
        <v>973</v>
      </c>
      <c r="C281" s="2" t="s">
        <v>1064</v>
      </c>
      <c r="D281" s="37" t="n">
        <v>1.9</v>
      </c>
      <c r="E281" s="37" t="n">
        <v>2025</v>
      </c>
      <c r="F281" s="2" t="s">
        <v>293</v>
      </c>
      <c r="G281" s="2" t="s">
        <v>1061</v>
      </c>
      <c r="H281" s="2" t="s">
        <v>1062</v>
      </c>
      <c r="I281" s="2"/>
    </row>
    <row r="282" customFormat="false" ht="15" hidden="false" customHeight="false" outlineLevel="0" collapsed="false">
      <c r="A282" s="2" t="s">
        <v>990</v>
      </c>
      <c r="B282" s="2" t="s">
        <v>973</v>
      </c>
      <c r="C282" s="2" t="s">
        <v>1065</v>
      </c>
      <c r="D282" s="37" t="n">
        <v>3.4</v>
      </c>
      <c r="E282" s="37" t="n">
        <v>2025</v>
      </c>
      <c r="F282" s="2" t="s">
        <v>293</v>
      </c>
      <c r="G282" s="2" t="s">
        <v>1061</v>
      </c>
      <c r="H282" s="2" t="s">
        <v>1062</v>
      </c>
      <c r="I282" s="2"/>
    </row>
    <row r="283" customFormat="false" ht="15" hidden="false" customHeight="false" outlineLevel="0" collapsed="false">
      <c r="A283" s="2" t="s">
        <v>990</v>
      </c>
      <c r="B283" s="2" t="s">
        <v>973</v>
      </c>
      <c r="C283" s="2" t="s">
        <v>1066</v>
      </c>
      <c r="D283" s="37" t="n">
        <v>1.3</v>
      </c>
      <c r="E283" s="37" t="n">
        <v>2025</v>
      </c>
      <c r="F283" s="2" t="s">
        <v>293</v>
      </c>
      <c r="G283" s="2" t="s">
        <v>1061</v>
      </c>
      <c r="H283" s="2" t="s">
        <v>1062</v>
      </c>
      <c r="I283" s="2" t="s">
        <v>1067</v>
      </c>
    </row>
    <row r="284" customFormat="false" ht="15" hidden="false" customHeight="false" outlineLevel="0" collapsed="false">
      <c r="A284" s="2" t="s">
        <v>990</v>
      </c>
      <c r="B284" s="2" t="s">
        <v>973</v>
      </c>
      <c r="C284" s="2" t="s">
        <v>1068</v>
      </c>
      <c r="D284" s="37" t="n">
        <v>4.5</v>
      </c>
      <c r="E284" s="37" t="n">
        <v>2025</v>
      </c>
      <c r="F284" s="2" t="s">
        <v>293</v>
      </c>
      <c r="G284" s="2" t="s">
        <v>1061</v>
      </c>
      <c r="H284" s="2" t="s">
        <v>1062</v>
      </c>
      <c r="I284" s="2"/>
    </row>
    <row r="285" customFormat="false" ht="15" hidden="false" customHeight="false" outlineLevel="0" collapsed="false">
      <c r="A285" s="2" t="s">
        <v>990</v>
      </c>
      <c r="B285" s="2" t="s">
        <v>985</v>
      </c>
      <c r="C285" s="2" t="s">
        <v>525</v>
      </c>
      <c r="D285" s="37" t="n">
        <v>79.3</v>
      </c>
      <c r="E285" s="37" t="n">
        <v>2025</v>
      </c>
      <c r="F285" s="2" t="s">
        <v>293</v>
      </c>
      <c r="G285" s="2" t="s">
        <v>1069</v>
      </c>
      <c r="H285" s="2" t="s">
        <v>1070</v>
      </c>
      <c r="I285" s="2"/>
    </row>
    <row r="286" customFormat="false" ht="15" hidden="false" customHeight="false" outlineLevel="0" collapsed="false">
      <c r="A286" s="2" t="s">
        <v>990</v>
      </c>
      <c r="B286" s="2" t="s">
        <v>985</v>
      </c>
      <c r="C286" s="2" t="s">
        <v>1063</v>
      </c>
      <c r="D286" s="37" t="n">
        <v>6</v>
      </c>
      <c r="E286" s="37" t="n">
        <v>2025</v>
      </c>
      <c r="F286" s="2" t="s">
        <v>293</v>
      </c>
      <c r="G286" s="2" t="s">
        <v>1069</v>
      </c>
      <c r="H286" s="2" t="s">
        <v>1070</v>
      </c>
      <c r="I286" s="2"/>
    </row>
    <row r="287" customFormat="false" ht="15" hidden="false" customHeight="false" outlineLevel="0" collapsed="false">
      <c r="A287" s="2" t="s">
        <v>990</v>
      </c>
      <c r="B287" s="2" t="s">
        <v>985</v>
      </c>
      <c r="C287" s="2" t="s">
        <v>1064</v>
      </c>
      <c r="D287" s="37" t="n">
        <v>4</v>
      </c>
      <c r="E287" s="37" t="n">
        <v>2025</v>
      </c>
      <c r="F287" s="2" t="s">
        <v>293</v>
      </c>
      <c r="G287" s="2" t="s">
        <v>1069</v>
      </c>
      <c r="H287" s="2" t="s">
        <v>1070</v>
      </c>
      <c r="I287" s="2"/>
    </row>
    <row r="288" customFormat="false" ht="15" hidden="false" customHeight="false" outlineLevel="0" collapsed="false">
      <c r="A288" s="2" t="s">
        <v>990</v>
      </c>
      <c r="B288" s="2" t="s">
        <v>985</v>
      </c>
      <c r="C288" s="2" t="s">
        <v>1065</v>
      </c>
      <c r="D288" s="37" t="n">
        <v>6.6</v>
      </c>
      <c r="E288" s="37" t="n">
        <v>2025</v>
      </c>
      <c r="F288" s="2" t="s">
        <v>293</v>
      </c>
      <c r="G288" s="2" t="s">
        <v>1069</v>
      </c>
      <c r="H288" s="2" t="s">
        <v>1070</v>
      </c>
      <c r="I288" s="2"/>
    </row>
    <row r="289" customFormat="false" ht="15" hidden="false" customHeight="false" outlineLevel="0" collapsed="false">
      <c r="A289" s="2" t="s">
        <v>990</v>
      </c>
      <c r="B289" s="2" t="s">
        <v>985</v>
      </c>
      <c r="C289" s="2" t="s">
        <v>1066</v>
      </c>
      <c r="D289" s="37" t="n">
        <v>3.2</v>
      </c>
      <c r="E289" s="37" t="n">
        <v>2025</v>
      </c>
      <c r="F289" s="2" t="s">
        <v>293</v>
      </c>
      <c r="G289" s="2" t="s">
        <v>1069</v>
      </c>
      <c r="H289" s="2" t="s">
        <v>1070</v>
      </c>
      <c r="I289" s="2" t="s">
        <v>1067</v>
      </c>
    </row>
    <row r="290" customFormat="false" ht="15" hidden="false" customHeight="false" outlineLevel="0" collapsed="false">
      <c r="A290" s="2" t="s">
        <v>990</v>
      </c>
      <c r="B290" s="2" t="s">
        <v>985</v>
      </c>
      <c r="C290" s="2" t="s">
        <v>1068</v>
      </c>
      <c r="D290" s="37" t="n">
        <v>4.1</v>
      </c>
      <c r="E290" s="37" t="n">
        <v>2025</v>
      </c>
      <c r="F290" s="2" t="s">
        <v>293</v>
      </c>
      <c r="G290" s="2" t="s">
        <v>1069</v>
      </c>
      <c r="H290" s="2" t="s">
        <v>1070</v>
      </c>
      <c r="I290" s="2"/>
    </row>
    <row r="291" customFormat="false" ht="15" hidden="false" customHeight="false" outlineLevel="0" collapsed="false">
      <c r="A291" s="2" t="s">
        <v>1015</v>
      </c>
      <c r="B291" s="2" t="s">
        <v>1071</v>
      </c>
      <c r="C291" s="2" t="s">
        <v>1063</v>
      </c>
      <c r="D291" s="37" t="n">
        <v>56.1</v>
      </c>
      <c r="E291" s="37" t="n">
        <v>2024</v>
      </c>
      <c r="F291" s="2" t="s">
        <v>422</v>
      </c>
      <c r="G291" s="2" t="s">
        <v>1072</v>
      </c>
      <c r="H291" s="2" t="s">
        <v>1073</v>
      </c>
      <c r="I291" s="2" t="s">
        <v>1074</v>
      </c>
    </row>
    <row r="292" customFormat="false" ht="15" hidden="false" customHeight="false" outlineLevel="0" collapsed="false">
      <c r="A292" s="2" t="s">
        <v>1015</v>
      </c>
      <c r="B292" s="2" t="s">
        <v>1071</v>
      </c>
      <c r="C292" s="2" t="s">
        <v>1075</v>
      </c>
      <c r="D292" s="37" t="n">
        <v>17.4</v>
      </c>
      <c r="E292" s="37" t="n">
        <v>2024</v>
      </c>
      <c r="F292" s="2" t="s">
        <v>422</v>
      </c>
      <c r="G292" s="2" t="s">
        <v>1072</v>
      </c>
      <c r="H292" s="2" t="s">
        <v>1073</v>
      </c>
      <c r="I292" s="2" t="s">
        <v>1074</v>
      </c>
    </row>
    <row r="293" customFormat="false" ht="15" hidden="false" customHeight="false" outlineLevel="0" collapsed="false">
      <c r="A293" s="2" t="s">
        <v>1015</v>
      </c>
      <c r="B293" s="2" t="s">
        <v>1071</v>
      </c>
      <c r="C293" s="2" t="s">
        <v>525</v>
      </c>
      <c r="D293" s="37" t="n">
        <v>26.5</v>
      </c>
      <c r="E293" s="37" t="n">
        <v>2024</v>
      </c>
      <c r="F293" s="2" t="s">
        <v>422</v>
      </c>
      <c r="G293" s="2" t="s">
        <v>1072</v>
      </c>
      <c r="H293" s="2" t="s">
        <v>1073</v>
      </c>
      <c r="I293" s="2" t="s">
        <v>1074</v>
      </c>
    </row>
    <row r="294" customFormat="false" ht="15" hidden="false" customHeight="false" outlineLevel="0" collapsed="false">
      <c r="A294" s="2" t="s">
        <v>1015</v>
      </c>
      <c r="B294" s="2" t="s">
        <v>1076</v>
      </c>
      <c r="C294" s="2" t="s">
        <v>1063</v>
      </c>
      <c r="D294" s="37" t="n">
        <v>44.3</v>
      </c>
      <c r="E294" s="37" t="n">
        <v>2024</v>
      </c>
      <c r="F294" s="2" t="s">
        <v>422</v>
      </c>
      <c r="G294" s="2" t="s">
        <v>1072</v>
      </c>
      <c r="H294" s="2" t="s">
        <v>1073</v>
      </c>
      <c r="I294" s="2" t="s">
        <v>1074</v>
      </c>
    </row>
    <row r="295" customFormat="false" ht="15" hidden="false" customHeight="false" outlineLevel="0" collapsed="false">
      <c r="A295" s="2" t="s">
        <v>1015</v>
      </c>
      <c r="B295" s="2" t="s">
        <v>1076</v>
      </c>
      <c r="C295" s="2" t="s">
        <v>1075</v>
      </c>
      <c r="D295" s="37" t="n">
        <v>9.8</v>
      </c>
      <c r="E295" s="37" t="n">
        <v>2024</v>
      </c>
      <c r="F295" s="2" t="s">
        <v>422</v>
      </c>
      <c r="G295" s="2" t="s">
        <v>1072</v>
      </c>
      <c r="H295" s="2" t="s">
        <v>1073</v>
      </c>
      <c r="I295" s="2" t="s">
        <v>1074</v>
      </c>
    </row>
    <row r="296" customFormat="false" ht="15" hidden="false" customHeight="false" outlineLevel="0" collapsed="false">
      <c r="A296" s="2" t="s">
        <v>1015</v>
      </c>
      <c r="B296" s="2" t="s">
        <v>1076</v>
      </c>
      <c r="C296" s="2" t="s">
        <v>525</v>
      </c>
      <c r="D296" s="37" t="n">
        <v>45.8</v>
      </c>
      <c r="E296" s="37" t="n">
        <v>2024</v>
      </c>
      <c r="F296" s="2" t="s">
        <v>422</v>
      </c>
      <c r="G296" s="2" t="s">
        <v>1072</v>
      </c>
      <c r="H296" s="2" t="s">
        <v>1073</v>
      </c>
      <c r="I296" s="2" t="s">
        <v>1074</v>
      </c>
    </row>
    <row r="297" customFormat="false" ht="15" hidden="false" customHeight="false" outlineLevel="0" collapsed="false">
      <c r="A297" s="2" t="s">
        <v>1012</v>
      </c>
      <c r="B297" s="2" t="s">
        <v>1071</v>
      </c>
      <c r="C297" s="2" t="s">
        <v>1063</v>
      </c>
      <c r="D297" s="37" t="n">
        <v>50.3</v>
      </c>
      <c r="E297" s="37" t="n">
        <v>2024</v>
      </c>
      <c r="F297" s="2" t="s">
        <v>422</v>
      </c>
      <c r="G297" s="2" t="s">
        <v>1072</v>
      </c>
      <c r="H297" s="2" t="s">
        <v>1073</v>
      </c>
      <c r="I297" s="2" t="s">
        <v>1074</v>
      </c>
    </row>
    <row r="298" customFormat="false" ht="15" hidden="false" customHeight="false" outlineLevel="0" collapsed="false">
      <c r="A298" s="2" t="s">
        <v>1012</v>
      </c>
      <c r="B298" s="2" t="s">
        <v>1071</v>
      </c>
      <c r="C298" s="2" t="s">
        <v>1075</v>
      </c>
      <c r="D298" s="37" t="n">
        <v>15</v>
      </c>
      <c r="E298" s="37" t="n">
        <v>2024</v>
      </c>
      <c r="F298" s="2" t="s">
        <v>422</v>
      </c>
      <c r="G298" s="2" t="s">
        <v>1072</v>
      </c>
      <c r="H298" s="2" t="s">
        <v>1073</v>
      </c>
      <c r="I298" s="2" t="s">
        <v>1074</v>
      </c>
    </row>
    <row r="299" customFormat="false" ht="15" hidden="false" customHeight="false" outlineLevel="0" collapsed="false">
      <c r="A299" s="2" t="s">
        <v>1012</v>
      </c>
      <c r="B299" s="2" t="s">
        <v>1071</v>
      </c>
      <c r="C299" s="2" t="s">
        <v>525</v>
      </c>
      <c r="D299" s="37" t="n">
        <v>34.7</v>
      </c>
      <c r="E299" s="37" t="n">
        <v>2024</v>
      </c>
      <c r="F299" s="2" t="s">
        <v>422</v>
      </c>
      <c r="G299" s="2" t="s">
        <v>1072</v>
      </c>
      <c r="H299" s="2" t="s">
        <v>1073</v>
      </c>
      <c r="I299" s="2" t="s">
        <v>1074</v>
      </c>
    </row>
    <row r="300" customFormat="false" ht="15" hidden="false" customHeight="false" outlineLevel="0" collapsed="false">
      <c r="A300" s="2" t="s">
        <v>1012</v>
      </c>
      <c r="B300" s="2" t="s">
        <v>1076</v>
      </c>
      <c r="C300" s="2" t="s">
        <v>1063</v>
      </c>
      <c r="D300" s="37" t="n">
        <v>41.7</v>
      </c>
      <c r="E300" s="37" t="n">
        <v>2024</v>
      </c>
      <c r="F300" s="2" t="s">
        <v>422</v>
      </c>
      <c r="G300" s="2" t="s">
        <v>1072</v>
      </c>
      <c r="H300" s="2" t="s">
        <v>1073</v>
      </c>
      <c r="I300" s="2" t="s">
        <v>1074</v>
      </c>
    </row>
    <row r="301" customFormat="false" ht="15" hidden="false" customHeight="false" outlineLevel="0" collapsed="false">
      <c r="A301" s="2" t="s">
        <v>1012</v>
      </c>
      <c r="B301" s="2" t="s">
        <v>1076</v>
      </c>
      <c r="C301" s="2" t="s">
        <v>1075</v>
      </c>
      <c r="D301" s="37" t="n">
        <v>8.7</v>
      </c>
      <c r="E301" s="37" t="n">
        <v>2024</v>
      </c>
      <c r="F301" s="2" t="s">
        <v>422</v>
      </c>
      <c r="G301" s="2" t="s">
        <v>1072</v>
      </c>
      <c r="H301" s="2" t="s">
        <v>1073</v>
      </c>
      <c r="I301" s="2" t="s">
        <v>1074</v>
      </c>
    </row>
    <row r="302" customFormat="false" ht="15" hidden="false" customHeight="false" outlineLevel="0" collapsed="false">
      <c r="A302" s="2" t="s">
        <v>1012</v>
      </c>
      <c r="B302" s="2" t="s">
        <v>1076</v>
      </c>
      <c r="C302" s="2" t="s">
        <v>525</v>
      </c>
      <c r="D302" s="37" t="n">
        <v>49.5</v>
      </c>
      <c r="E302" s="37" t="n">
        <v>2024</v>
      </c>
      <c r="F302" s="2" t="s">
        <v>422</v>
      </c>
      <c r="G302" s="2" t="s">
        <v>1072</v>
      </c>
      <c r="H302" s="2" t="s">
        <v>1073</v>
      </c>
      <c r="I302" s="2" t="s">
        <v>1074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9" min="2" style="0" width="11"/>
  </cols>
  <sheetData>
    <row r="1" customFormat="false" ht="16.15" hidden="false" customHeight="false" outlineLevel="0" collapsed="false">
      <c r="A1" s="1" t="s">
        <v>1077</v>
      </c>
    </row>
    <row r="2" customFormat="false" ht="15" hidden="false" customHeight="false" outlineLevel="0" collapsed="false">
      <c r="A2" s="2" t="s">
        <v>1078</v>
      </c>
    </row>
    <row r="4" customFormat="false" ht="15" hidden="false" customHeight="false" outlineLevel="0" collapsed="false">
      <c r="A4" s="2" t="s">
        <v>1079</v>
      </c>
    </row>
    <row r="5" customFormat="false" ht="15" hidden="false" customHeight="false" outlineLevel="0" collapsed="false">
      <c r="A5" s="2" t="s">
        <v>1080</v>
      </c>
    </row>
    <row r="7" customFormat="false" ht="46.25" hidden="false" customHeight="false" outlineLevel="0" collapsed="false">
      <c r="A7" s="12" t="s">
        <v>867</v>
      </c>
      <c r="B7" s="12" t="s">
        <v>1081</v>
      </c>
      <c r="C7" s="12" t="s">
        <v>1082</v>
      </c>
      <c r="D7" s="12" t="s">
        <v>1083</v>
      </c>
      <c r="E7" s="12" t="s">
        <v>1084</v>
      </c>
      <c r="F7" s="12" t="s">
        <v>1085</v>
      </c>
      <c r="G7" s="12" t="s">
        <v>1086</v>
      </c>
      <c r="H7" s="12" t="s">
        <v>1087</v>
      </c>
      <c r="I7" s="12" t="s">
        <v>1088</v>
      </c>
      <c r="J7" s="12" t="s">
        <v>1089</v>
      </c>
      <c r="K7" s="12" t="s">
        <v>1090</v>
      </c>
      <c r="L7" s="12" t="s">
        <v>1091</v>
      </c>
      <c r="M7" s="12" t="s">
        <v>1092</v>
      </c>
      <c r="N7" s="12" t="s">
        <v>1093</v>
      </c>
      <c r="O7" s="12" t="s">
        <v>1094</v>
      </c>
    </row>
    <row r="8" customFormat="false" ht="15" hidden="false" customHeight="false" outlineLevel="0" collapsed="false">
      <c r="A8" s="37" t="s">
        <v>490</v>
      </c>
      <c r="B8" s="24" t="n">
        <v>63.9291976</v>
      </c>
      <c r="C8" s="24" t="n">
        <v>19.7778506</v>
      </c>
      <c r="D8" s="24" t="n">
        <v>3.828163</v>
      </c>
      <c r="E8" s="24" t="n">
        <v>5.0138895</v>
      </c>
      <c r="G8" s="24" t="n">
        <v>1.8827546</v>
      </c>
      <c r="H8" s="24" t="n">
        <v>2.0680573</v>
      </c>
      <c r="I8" s="24" t="n">
        <v>0.2192488</v>
      </c>
      <c r="J8" s="24" t="n">
        <v>3.2808386</v>
      </c>
      <c r="K8" s="39" t="n">
        <f aca="false">SUM(B8:J8)</f>
        <v>100</v>
      </c>
      <c r="L8" s="35" t="n">
        <v>10924505.12275</v>
      </c>
      <c r="M8" s="35" t="n">
        <v>0</v>
      </c>
      <c r="N8" s="35" t="n">
        <v>10924505.12275</v>
      </c>
      <c r="O8" s="40" t="n">
        <f aca="false">IFERROR(L8/N8,"")</f>
        <v>1</v>
      </c>
    </row>
    <row r="9" customFormat="false" ht="15" hidden="false" customHeight="false" outlineLevel="0" collapsed="false">
      <c r="A9" s="37" t="s">
        <v>882</v>
      </c>
      <c r="B9" s="24" t="n">
        <v>64.0052962</v>
      </c>
      <c r="C9" s="24" t="n">
        <v>19.4721547</v>
      </c>
      <c r="D9" s="24" t="n">
        <v>4.2379071</v>
      </c>
      <c r="E9" s="24" t="n">
        <v>4.8741854</v>
      </c>
      <c r="G9" s="24" t="n">
        <v>1.8552647</v>
      </c>
      <c r="H9" s="24" t="n">
        <v>2.0639476</v>
      </c>
      <c r="I9" s="24" t="n">
        <v>0.2027737</v>
      </c>
      <c r="J9" s="24" t="n">
        <v>3.2884707</v>
      </c>
      <c r="K9" s="39" t="n">
        <f aca="false">SUM(B9:J9)</f>
        <v>100.0000001</v>
      </c>
      <c r="L9" s="35" t="n">
        <v>10963893.63644</v>
      </c>
      <c r="M9" s="35" t="n">
        <v>0</v>
      </c>
      <c r="N9" s="35" t="n">
        <v>10963893.63644</v>
      </c>
      <c r="O9" s="40" t="n">
        <f aca="false">IFERROR(L9/N9,"")</f>
        <v>1</v>
      </c>
    </row>
    <row r="10" customFormat="false" ht="15" hidden="false" customHeight="false" outlineLevel="0" collapsed="false">
      <c r="A10" s="37" t="s">
        <v>883</v>
      </c>
      <c r="B10" s="24" t="n">
        <v>63.7928791</v>
      </c>
      <c r="C10" s="24" t="n">
        <v>19.5422885</v>
      </c>
      <c r="D10" s="24" t="n">
        <v>4.3148768</v>
      </c>
      <c r="E10" s="24" t="n">
        <v>4.6889365</v>
      </c>
      <c r="G10" s="24" t="n">
        <v>1.9438542</v>
      </c>
      <c r="H10" s="24" t="n">
        <v>2.0978865</v>
      </c>
      <c r="I10" s="24" t="n">
        <v>0.1969855</v>
      </c>
      <c r="J10" s="24" t="n">
        <v>3.422293</v>
      </c>
      <c r="K10" s="39" t="n">
        <f aca="false">SUM(B10:J10)</f>
        <v>100.0000001</v>
      </c>
      <c r="L10" s="35" t="n">
        <v>10990998.83493</v>
      </c>
      <c r="M10" s="35" t="n">
        <v>0</v>
      </c>
      <c r="N10" s="35" t="n">
        <v>10990998.83493</v>
      </c>
      <c r="O10" s="40" t="n">
        <f aca="false">IFERROR(L10/N10,"")</f>
        <v>1</v>
      </c>
    </row>
    <row r="11" customFormat="false" ht="15" hidden="false" customHeight="false" outlineLevel="0" collapsed="false">
      <c r="A11" s="37" t="s">
        <v>884</v>
      </c>
      <c r="B11" s="24" t="n">
        <v>64.6799707</v>
      </c>
      <c r="C11" s="24" t="n">
        <v>18.9277091</v>
      </c>
      <c r="D11" s="24" t="n">
        <v>3.9813141</v>
      </c>
      <c r="E11" s="24" t="n">
        <v>4.6653463</v>
      </c>
      <c r="F11" s="24" t="n">
        <v>0.9972309</v>
      </c>
      <c r="G11" s="24" t="n">
        <v>1.8701022</v>
      </c>
      <c r="H11" s="24" t="n">
        <v>2.1311781</v>
      </c>
      <c r="I11" s="24" t="n">
        <v>0.1752301</v>
      </c>
      <c r="J11" s="24" t="n">
        <v>2.5719185</v>
      </c>
      <c r="K11" s="39" t="n">
        <f aca="false">SUM(B11:J11)</f>
        <v>100</v>
      </c>
      <c r="L11" s="35" t="n">
        <v>10717348.11024</v>
      </c>
      <c r="M11" s="35" t="n">
        <v>0</v>
      </c>
      <c r="N11" s="35" t="n">
        <v>10717348.11024</v>
      </c>
      <c r="O11" s="40" t="n">
        <f aca="false">IFERROR(L11/N11,"")</f>
        <v>1</v>
      </c>
    </row>
    <row r="12" customFormat="false" ht="15" hidden="false" customHeight="false" outlineLevel="0" collapsed="false">
      <c r="A12" s="37" t="s">
        <v>885</v>
      </c>
      <c r="B12" s="24" t="n">
        <v>64.2195096</v>
      </c>
      <c r="C12" s="24" t="n">
        <v>19.0098815</v>
      </c>
      <c r="D12" s="24" t="n">
        <v>4.4569668</v>
      </c>
      <c r="E12" s="24" t="n">
        <v>4.5689983</v>
      </c>
      <c r="F12" s="24" t="n">
        <v>1.031083</v>
      </c>
      <c r="G12" s="24" t="n">
        <v>1.9563485</v>
      </c>
      <c r="H12" s="24" t="n">
        <v>2.0760686</v>
      </c>
      <c r="I12" s="24" t="n">
        <v>0.1762265</v>
      </c>
      <c r="J12" s="24" t="n">
        <v>2.5049171</v>
      </c>
      <c r="K12" s="39" t="n">
        <f aca="false">SUM(B12:J12)</f>
        <v>99.9999999</v>
      </c>
      <c r="L12" s="35" t="n">
        <v>10899687.98018</v>
      </c>
      <c r="M12" s="35" t="n">
        <v>0</v>
      </c>
      <c r="N12" s="35" t="n">
        <v>10899687.98018</v>
      </c>
      <c r="O12" s="40" t="n">
        <f aca="false">IFERROR(L12/N12,"")</f>
        <v>1</v>
      </c>
    </row>
    <row r="13" customFormat="false" ht="15" hidden="false" customHeight="false" outlineLevel="0" collapsed="false">
      <c r="A13" s="37" t="s">
        <v>886</v>
      </c>
      <c r="B13" s="24" t="n">
        <v>63.514328</v>
      </c>
      <c r="C13" s="24" t="n">
        <v>19.6875589</v>
      </c>
      <c r="D13" s="24" t="n">
        <v>4.5377405</v>
      </c>
      <c r="E13" s="24" t="n">
        <v>4.6864698</v>
      </c>
      <c r="F13" s="24" t="n">
        <v>1.0400895</v>
      </c>
      <c r="G13" s="24" t="n">
        <v>1.932564</v>
      </c>
      <c r="H13" s="24" t="n">
        <v>2.090706</v>
      </c>
      <c r="I13" s="24" t="n">
        <v>0.1767148</v>
      </c>
      <c r="J13" s="24" t="n">
        <v>2.3338286</v>
      </c>
      <c r="K13" s="39" t="n">
        <f aca="false">SUM(B13:J13)</f>
        <v>100.0000001</v>
      </c>
      <c r="L13" s="35" t="n">
        <v>11117111.16076</v>
      </c>
      <c r="M13" s="35" t="n">
        <v>0</v>
      </c>
      <c r="N13" s="35" t="n">
        <v>11117111.16076</v>
      </c>
      <c r="O13" s="40" t="n">
        <f aca="false">IFERROR(L13/N13,"")</f>
        <v>1</v>
      </c>
    </row>
    <row r="14" customFormat="false" ht="15" hidden="false" customHeight="false" outlineLevel="0" collapsed="false">
      <c r="A14" s="37" t="s">
        <v>887</v>
      </c>
      <c r="B14" s="24" t="n">
        <v>63.3104705</v>
      </c>
      <c r="C14" s="24" t="n">
        <v>19.771857</v>
      </c>
      <c r="D14" s="24" t="n">
        <v>4.4376137</v>
      </c>
      <c r="E14" s="24" t="n">
        <v>4.7344992</v>
      </c>
      <c r="F14" s="24" t="n">
        <v>1.0974784</v>
      </c>
      <c r="G14" s="24" t="n">
        <v>1.9469712</v>
      </c>
      <c r="H14" s="24" t="n">
        <v>2.1287479</v>
      </c>
      <c r="I14" s="24" t="n">
        <v>0.1722118</v>
      </c>
      <c r="J14" s="24" t="n">
        <v>2.4001504</v>
      </c>
      <c r="K14" s="39" t="n">
        <f aca="false">SUM(B14:J14)</f>
        <v>100.0000001</v>
      </c>
      <c r="L14" s="35" t="n">
        <v>11292130.09611</v>
      </c>
      <c r="M14" s="35" t="n">
        <v>0</v>
      </c>
      <c r="N14" s="35" t="n">
        <v>11292130.09611</v>
      </c>
      <c r="O14" s="40" t="n">
        <f aca="false">IFERROR(L14/N14,"")</f>
        <v>1</v>
      </c>
    </row>
    <row r="15" customFormat="false" ht="15" hidden="false" customHeight="false" outlineLevel="0" collapsed="false">
      <c r="A15" s="37" t="s">
        <v>888</v>
      </c>
      <c r="B15" s="24" t="n">
        <v>62.7072968</v>
      </c>
      <c r="C15" s="24" t="n">
        <v>19.7977191</v>
      </c>
      <c r="D15" s="24" t="n">
        <v>4.777054</v>
      </c>
      <c r="E15" s="24" t="n">
        <v>4.7383995</v>
      </c>
      <c r="F15" s="24" t="n">
        <v>1.229718</v>
      </c>
      <c r="G15" s="24" t="n">
        <v>1.9692428</v>
      </c>
      <c r="H15" s="24" t="n">
        <v>2.1207818</v>
      </c>
      <c r="I15" s="24" t="n">
        <v>0.1783507</v>
      </c>
      <c r="J15" s="24" t="n">
        <v>2.4814372</v>
      </c>
      <c r="K15" s="39" t="n">
        <f aca="false">SUM(B15:J15)</f>
        <v>99.9999999</v>
      </c>
      <c r="L15" s="35" t="n">
        <v>11442683.6138</v>
      </c>
      <c r="M15" s="35" t="n">
        <v>0</v>
      </c>
      <c r="N15" s="35" t="n">
        <v>11442683.6138</v>
      </c>
      <c r="O15" s="40" t="n">
        <f aca="false">IFERROR(L15/N15,"")</f>
        <v>1</v>
      </c>
    </row>
    <row r="16" customFormat="false" ht="15" hidden="false" customHeight="false" outlineLevel="0" collapsed="false">
      <c r="A16" s="37" t="s">
        <v>889</v>
      </c>
      <c r="B16" s="24" t="n">
        <v>62.8976097</v>
      </c>
      <c r="C16" s="24" t="n">
        <v>19.9123199</v>
      </c>
      <c r="D16" s="24" t="n">
        <v>4.5509796</v>
      </c>
      <c r="E16" s="24" t="n">
        <v>4.7625773</v>
      </c>
      <c r="F16" s="24" t="n">
        <v>1.460129</v>
      </c>
      <c r="G16" s="24" t="n">
        <v>1.8563273</v>
      </c>
      <c r="H16" s="24" t="n">
        <v>1.9247261</v>
      </c>
      <c r="I16" s="24" t="n">
        <v>0.1676441</v>
      </c>
      <c r="J16" s="24" t="n">
        <v>2.4676869</v>
      </c>
      <c r="K16" s="39" t="n">
        <f aca="false">SUM(B16:J16)</f>
        <v>99.9999999</v>
      </c>
      <c r="L16" s="35" t="n">
        <v>11603763.27565</v>
      </c>
      <c r="M16" s="35" t="n">
        <v>0</v>
      </c>
      <c r="N16" s="35" t="n">
        <v>11603763.27565</v>
      </c>
      <c r="O16" s="40" t="n">
        <f aca="false">IFERROR(L16/N16,"")</f>
        <v>1</v>
      </c>
    </row>
    <row r="17" customFormat="false" ht="15" hidden="false" customHeight="false" outlineLevel="0" collapsed="false">
      <c r="A17" s="37" t="s">
        <v>890</v>
      </c>
      <c r="B17" s="24" t="n">
        <v>62.6152141</v>
      </c>
      <c r="C17" s="24" t="n">
        <v>19.5985523</v>
      </c>
      <c r="D17" s="24" t="n">
        <v>4.9488834</v>
      </c>
      <c r="E17" s="24" t="n">
        <v>4.5744251</v>
      </c>
      <c r="F17" s="24" t="n">
        <v>1.9115272</v>
      </c>
      <c r="G17" s="24" t="n">
        <v>1.8480988</v>
      </c>
      <c r="H17" s="24" t="n">
        <v>1.9483521</v>
      </c>
      <c r="I17" s="24" t="n">
        <v>0.1534022</v>
      </c>
      <c r="J17" s="24" t="n">
        <v>2.4015448</v>
      </c>
      <c r="K17" s="39" t="n">
        <f aca="false">SUM(B17:J17)</f>
        <v>100</v>
      </c>
      <c r="L17" s="35" t="n">
        <v>11461771.46887</v>
      </c>
      <c r="M17" s="35" t="n">
        <v>0</v>
      </c>
      <c r="N17" s="35" t="n">
        <v>11461771.46887</v>
      </c>
      <c r="O17" s="40" t="n">
        <f aca="false">IFERROR(L17/N17,"")</f>
        <v>1</v>
      </c>
    </row>
    <row r="18" customFormat="false" ht="15" hidden="false" customHeight="false" outlineLevel="0" collapsed="false">
      <c r="A18" s="37" t="s">
        <v>891</v>
      </c>
      <c r="B18" s="24" t="n">
        <v>62.3490399685773</v>
      </c>
      <c r="C18" s="24" t="n">
        <v>19.7211876381046</v>
      </c>
      <c r="D18" s="24" t="n">
        <v>5.05445021173859</v>
      </c>
      <c r="E18" s="24" t="n">
        <v>4.53231660029944</v>
      </c>
      <c r="F18" s="24" t="n">
        <v>1.87205809668787</v>
      </c>
      <c r="G18" s="24" t="n">
        <v>1.83626607950513</v>
      </c>
      <c r="H18" s="24" t="n">
        <v>1.99122171481791</v>
      </c>
      <c r="I18" s="24" t="n">
        <v>0.148957953729214</v>
      </c>
      <c r="J18" s="24" t="n">
        <v>2.49450173654001</v>
      </c>
      <c r="K18" s="39" t="n">
        <f aca="false">SUM(B18:J18)</f>
        <v>100</v>
      </c>
      <c r="L18" s="35" t="n">
        <v>11398120.3860062</v>
      </c>
      <c r="M18" s="35" t="n">
        <v>0</v>
      </c>
      <c r="N18" s="35" t="n">
        <v>11398120.3860062</v>
      </c>
      <c r="O18" s="40" t="n">
        <f aca="false">IFERROR(L18/N18,"")</f>
        <v>1</v>
      </c>
    </row>
    <row r="19" customFormat="false" ht="15" hidden="false" customHeight="false" outlineLevel="0" collapsed="false">
      <c r="A19" s="37" t="s">
        <v>892</v>
      </c>
      <c r="B19" s="24" t="n">
        <v>62.0650228830416</v>
      </c>
      <c r="C19" s="24" t="n">
        <v>20.0305283316089</v>
      </c>
      <c r="D19" s="24" t="n">
        <v>5.09043824827092</v>
      </c>
      <c r="E19" s="24" t="n">
        <v>4.51065926608886</v>
      </c>
      <c r="F19" s="24" t="n">
        <v>1.95951157951522</v>
      </c>
      <c r="G19" s="24" t="n">
        <v>1.73973294161817</v>
      </c>
      <c r="H19" s="24" t="n">
        <v>1.84470153549411</v>
      </c>
      <c r="I19" s="24" t="n">
        <v>0.133591650998063</v>
      </c>
      <c r="J19" s="24" t="n">
        <v>2.62581356336408</v>
      </c>
      <c r="K19" s="39" t="n">
        <f aca="false">SUM(B19:J19)</f>
        <v>99.9999999999999</v>
      </c>
      <c r="L19" s="35" t="n">
        <v>11422259.3021567</v>
      </c>
      <c r="M19" s="35" t="n">
        <v>0</v>
      </c>
      <c r="N19" s="35" t="n">
        <v>11422259.3021567</v>
      </c>
      <c r="O19" s="40" t="n">
        <f aca="false">IFERROR(L19/N19,"")</f>
        <v>1</v>
      </c>
    </row>
    <row r="20" customFormat="false" ht="15" hidden="false" customHeight="false" outlineLevel="0" collapsed="false">
      <c r="A20" s="37" t="s">
        <v>893</v>
      </c>
      <c r="B20" s="24" t="n">
        <v>62.2066180312068</v>
      </c>
      <c r="C20" s="24" t="n">
        <v>19.5438203804079</v>
      </c>
      <c r="D20" s="24" t="n">
        <v>5.41825723581121</v>
      </c>
      <c r="E20" s="24" t="n">
        <v>4.58787273763345</v>
      </c>
      <c r="F20" s="24" t="n">
        <v>1.98283390379703</v>
      </c>
      <c r="G20" s="24" t="n">
        <v>1.79182481777985</v>
      </c>
      <c r="H20" s="24" t="n">
        <v>1.96684580595833</v>
      </c>
      <c r="I20" s="24" t="n">
        <v>0.128031652299165</v>
      </c>
      <c r="J20" s="24" t="n">
        <v>2.37389543510631</v>
      </c>
      <c r="K20" s="39" t="n">
        <f aca="false">SUM(B20:J20)</f>
        <v>100</v>
      </c>
      <c r="L20" s="35" t="n">
        <v>11602087.8981869</v>
      </c>
      <c r="M20" s="35" t="n">
        <v>0</v>
      </c>
      <c r="N20" s="35" t="n">
        <v>11602087.8981869</v>
      </c>
      <c r="O20" s="40" t="n">
        <f aca="false">IFERROR(L20/N20,"")</f>
        <v>1</v>
      </c>
    </row>
    <row r="21" customFormat="false" ht="15" hidden="false" customHeight="false" outlineLevel="0" collapsed="false">
      <c r="A21" s="37" t="s">
        <v>894</v>
      </c>
      <c r="B21" s="24" t="n">
        <v>61.7316705128468</v>
      </c>
      <c r="C21" s="24" t="n">
        <v>19.8298730822905</v>
      </c>
      <c r="D21" s="24" t="n">
        <v>5.63824261545876</v>
      </c>
      <c r="E21" s="24" t="n">
        <v>4.53073704908933</v>
      </c>
      <c r="F21" s="24" t="n">
        <v>1.97848021324259</v>
      </c>
      <c r="G21" s="24" t="n">
        <v>1.81073854363856</v>
      </c>
      <c r="H21" s="24" t="n">
        <v>1.9491788554011</v>
      </c>
      <c r="I21" s="24" t="n">
        <v>0.128922838086986</v>
      </c>
      <c r="J21" s="24" t="n">
        <v>2.40215628994542</v>
      </c>
      <c r="K21" s="39" t="n">
        <f aca="false">SUM(B21:J21)</f>
        <v>100</v>
      </c>
      <c r="L21" s="35" t="n">
        <v>11729931.1715571</v>
      </c>
      <c r="M21" s="35" t="n">
        <v>0</v>
      </c>
      <c r="N21" s="35" t="n">
        <v>11729931.1715571</v>
      </c>
      <c r="O21" s="40" t="n">
        <f aca="false">IFERROR(L21/N21,"")</f>
        <v>1</v>
      </c>
    </row>
    <row r="22" customFormat="false" ht="15" hidden="false" customHeight="false" outlineLevel="0" collapsed="false">
      <c r="A22" s="37" t="s">
        <v>895</v>
      </c>
      <c r="B22" s="24" t="n">
        <v>62.0500700119326</v>
      </c>
      <c r="C22" s="24" t="n">
        <v>19.5359605666266</v>
      </c>
      <c r="D22" s="24" t="n">
        <v>5.71844687497869</v>
      </c>
      <c r="E22" s="24" t="n">
        <v>4.51966307823698</v>
      </c>
      <c r="F22" s="24" t="n">
        <v>2.00322568415245</v>
      </c>
      <c r="G22" s="24" t="n">
        <v>1.78411712543133</v>
      </c>
      <c r="H22" s="24" t="n">
        <v>1.91681929747976</v>
      </c>
      <c r="I22" s="24" t="n">
        <v>0.135687085821192</v>
      </c>
      <c r="J22" s="24" t="n">
        <v>2.33601027534042</v>
      </c>
      <c r="K22" s="39" t="n">
        <f aca="false">SUM(B22:J22)</f>
        <v>100</v>
      </c>
      <c r="L22" s="35" t="n">
        <v>11644413.5858769</v>
      </c>
      <c r="M22" s="35" t="n">
        <v>0</v>
      </c>
      <c r="N22" s="35" t="n">
        <v>11644413.5858769</v>
      </c>
      <c r="O22" s="40" t="n">
        <f aca="false">IFERROR(L22/N22,"")</f>
        <v>1</v>
      </c>
    </row>
    <row r="23" customFormat="false" ht="15" hidden="false" customHeight="false" outlineLevel="0" collapsed="false">
      <c r="A23" s="37" t="s">
        <v>896</v>
      </c>
      <c r="B23" s="24" t="n">
        <v>61.3202550682034</v>
      </c>
      <c r="C23" s="24" t="n">
        <v>19.8245887786098</v>
      </c>
      <c r="D23" s="24" t="n">
        <v>5.82234717632673</v>
      </c>
      <c r="E23" s="24" t="n">
        <v>4.67430408283664</v>
      </c>
      <c r="F23" s="24" t="n">
        <v>2.0257803934342</v>
      </c>
      <c r="G23" s="24" t="n">
        <v>1.83794324888231</v>
      </c>
      <c r="H23" s="24" t="n">
        <v>1.89498739464266</v>
      </c>
      <c r="I23" s="24" t="n">
        <v>0.141867128564908</v>
      </c>
      <c r="J23" s="24" t="n">
        <v>2.45792672849937</v>
      </c>
      <c r="K23" s="39" t="n">
        <f aca="false">SUM(B23:J23)</f>
        <v>100</v>
      </c>
      <c r="L23" s="35" t="n">
        <v>11815394.9741856</v>
      </c>
      <c r="M23" s="35" t="n">
        <v>0</v>
      </c>
      <c r="N23" s="35" t="n">
        <v>11815394.9741856</v>
      </c>
      <c r="O23" s="40" t="n">
        <f aca="false">IFERROR(L23/N23,"")</f>
        <v>1</v>
      </c>
    </row>
    <row r="24" customFormat="false" ht="15" hidden="false" customHeight="false" outlineLevel="0" collapsed="false">
      <c r="A24" s="37" t="s">
        <v>897</v>
      </c>
      <c r="B24" s="24" t="n">
        <v>62.3212021900011</v>
      </c>
      <c r="C24" s="24" t="n">
        <v>19.3291387242754</v>
      </c>
      <c r="D24" s="24" t="n">
        <v>6.07161660256627</v>
      </c>
      <c r="E24" s="24" t="n">
        <v>4.44366067256886</v>
      </c>
      <c r="F24" s="24" t="n">
        <v>2.04107031907819</v>
      </c>
      <c r="G24" s="24" t="n">
        <v>1.65050857965116</v>
      </c>
      <c r="H24" s="24" t="n">
        <v>1.82805976420521</v>
      </c>
      <c r="I24" s="24" t="n">
        <v>0.135848979808814</v>
      </c>
      <c r="J24" s="24" t="n">
        <v>2.17889416784505</v>
      </c>
      <c r="K24" s="39" t="n">
        <f aca="false">SUM(B24:J24)</f>
        <v>100</v>
      </c>
      <c r="L24" s="35" t="n">
        <v>11687656.8484056</v>
      </c>
      <c r="M24" s="35" t="n">
        <v>0</v>
      </c>
      <c r="N24" s="35" t="n">
        <v>11687656.8484056</v>
      </c>
      <c r="O24" s="40" t="n">
        <f aca="false">IFERROR(L24/N24,"")</f>
        <v>1</v>
      </c>
    </row>
    <row r="25" customFormat="false" ht="15" hidden="false" customHeight="false" outlineLevel="0" collapsed="false">
      <c r="A25" s="37" t="s">
        <v>898</v>
      </c>
      <c r="B25" s="24" t="n">
        <v>61.875305997393</v>
      </c>
      <c r="C25" s="24" t="n">
        <v>19.4792482131464</v>
      </c>
      <c r="D25" s="24" t="n">
        <v>5.73290738908688</v>
      </c>
      <c r="E25" s="24" t="n">
        <v>4.52416400387715</v>
      </c>
      <c r="F25" s="24" t="n">
        <v>2.09935522363852</v>
      </c>
      <c r="G25" s="24" t="n">
        <v>1.81942097769368</v>
      </c>
      <c r="H25" s="24" t="n">
        <v>1.95923533252454</v>
      </c>
      <c r="I25" s="24" t="n">
        <v>0.144391801480502</v>
      </c>
      <c r="J25" s="24" t="n">
        <v>2.36597106115926</v>
      </c>
      <c r="K25" s="39" t="n">
        <f aca="false">SUM(B25:J25)</f>
        <v>99.9999999999999</v>
      </c>
      <c r="L25" s="35" t="n">
        <v>12017505.850514</v>
      </c>
      <c r="M25" s="35" t="n">
        <v>0</v>
      </c>
      <c r="N25" s="35" t="n">
        <v>12017505.850514</v>
      </c>
      <c r="O25" s="40" t="n">
        <f aca="false">IFERROR(L25/N25,"")</f>
        <v>1</v>
      </c>
    </row>
    <row r="26" customFormat="false" ht="15" hidden="false" customHeight="false" outlineLevel="0" collapsed="false">
      <c r="A26" s="37" t="s">
        <v>899</v>
      </c>
      <c r="B26" s="24" t="n">
        <v>61.0066337569416</v>
      </c>
      <c r="C26" s="24" t="n">
        <v>19.8693542865485</v>
      </c>
      <c r="D26" s="24" t="n">
        <v>5.82374655184524</v>
      </c>
      <c r="E26" s="24" t="n">
        <v>4.5978481693677</v>
      </c>
      <c r="F26" s="24" t="n">
        <v>2.1946008104725</v>
      </c>
      <c r="G26" s="24" t="n">
        <v>1.87607662223341</v>
      </c>
      <c r="H26" s="24" t="n">
        <v>2.06819092688726</v>
      </c>
      <c r="I26" s="24" t="n">
        <v>0.158801646940901</v>
      </c>
      <c r="J26" s="24" t="n">
        <v>2.40474722876286</v>
      </c>
      <c r="K26" s="39" t="n">
        <f aca="false">SUM(B26:J26)</f>
        <v>100</v>
      </c>
      <c r="L26" s="35" t="n">
        <v>12243932.6190752</v>
      </c>
      <c r="M26" s="35" t="n">
        <v>0</v>
      </c>
      <c r="N26" s="35" t="n">
        <v>12243932.6190752</v>
      </c>
      <c r="O26" s="40" t="n">
        <f aca="false">IFERROR(L26/N26,"")</f>
        <v>1</v>
      </c>
    </row>
    <row r="27" customFormat="false" ht="15" hidden="false" customHeight="false" outlineLevel="0" collapsed="false">
      <c r="A27" s="37" t="s">
        <v>900</v>
      </c>
      <c r="B27" s="24" t="n">
        <v>59.5282761516248</v>
      </c>
      <c r="C27" s="24" t="n">
        <v>20.5583939113306</v>
      </c>
      <c r="D27" s="24" t="n">
        <v>6.0374556303283</v>
      </c>
      <c r="E27" s="24" t="n">
        <v>4.75989428484355</v>
      </c>
      <c r="F27" s="24" t="n">
        <v>2.32256473532254</v>
      </c>
      <c r="G27" s="24" t="n">
        <v>1.98084877918702</v>
      </c>
      <c r="H27" s="24" t="n">
        <v>2.12437518552411</v>
      </c>
      <c r="I27" s="24" t="n">
        <v>0.164469186754926</v>
      </c>
      <c r="J27" s="24" t="n">
        <v>2.52372213508422</v>
      </c>
      <c r="K27" s="39" t="n">
        <f aca="false">SUM(B27:J27)</f>
        <v>100</v>
      </c>
      <c r="L27" s="35" t="n">
        <v>12693932.9574441</v>
      </c>
      <c r="M27" s="35" t="n">
        <v>0</v>
      </c>
      <c r="N27" s="35" t="n">
        <v>12693932.9574441</v>
      </c>
      <c r="O27" s="40" t="n">
        <f aca="false">IFERROR(L27/N27,"")</f>
        <v>1</v>
      </c>
    </row>
    <row r="28" customFormat="false" ht="15" hidden="false" customHeight="false" outlineLevel="0" collapsed="false">
      <c r="A28" s="37" t="s">
        <v>901</v>
      </c>
      <c r="B28" s="24" t="n">
        <v>60.0628702628749</v>
      </c>
      <c r="C28" s="24" t="n">
        <v>19.7606440508144</v>
      </c>
      <c r="D28" s="24" t="n">
        <v>5.83477229811387</v>
      </c>
      <c r="E28" s="24" t="n">
        <v>4.74656405051008</v>
      </c>
      <c r="F28" s="24" t="n">
        <v>2.52408322261994</v>
      </c>
      <c r="G28" s="24" t="n">
        <v>1.9988725305169</v>
      </c>
      <c r="H28" s="24" t="n">
        <v>2.19830771302443</v>
      </c>
      <c r="I28" s="24" t="n">
        <v>0.15570594065816</v>
      </c>
      <c r="J28" s="24" t="n">
        <v>2.71817993086734</v>
      </c>
      <c r="K28" s="39" t="n">
        <f aca="false">SUM(B28:J28)</f>
        <v>100</v>
      </c>
      <c r="L28" s="35" t="n">
        <v>12569683.3532134</v>
      </c>
      <c r="M28" s="35" t="n">
        <v>0</v>
      </c>
      <c r="N28" s="35" t="n">
        <v>12569683.3532134</v>
      </c>
      <c r="O28" s="40" t="n">
        <f aca="false">IFERROR(L28/N28,"")</f>
        <v>1</v>
      </c>
    </row>
    <row r="29" customFormat="false" ht="15" hidden="false" customHeight="false" outlineLevel="0" collapsed="false">
      <c r="A29" s="37" t="s">
        <v>902</v>
      </c>
      <c r="B29" s="24" t="n">
        <v>59.8460288957343</v>
      </c>
      <c r="C29" s="24" t="n">
        <v>19.8386658306809</v>
      </c>
      <c r="D29" s="24" t="n">
        <v>5.5549527305409</v>
      </c>
      <c r="E29" s="24" t="n">
        <v>4.7583225478778</v>
      </c>
      <c r="F29" s="24" t="n">
        <v>2.64980314646918</v>
      </c>
      <c r="G29" s="24" t="n">
        <v>1.99142410185545</v>
      </c>
      <c r="H29" s="24" t="n">
        <v>2.3326402341795</v>
      </c>
      <c r="I29" s="24" t="n">
        <v>0.187241874874571</v>
      </c>
      <c r="J29" s="24" t="n">
        <v>2.84092063778746</v>
      </c>
      <c r="K29" s="39" t="n">
        <f aca="false">SUM(B29:J29)</f>
        <v>100</v>
      </c>
      <c r="L29" s="35" t="n">
        <v>12796902.1367514</v>
      </c>
      <c r="M29" s="35" t="n">
        <v>0</v>
      </c>
      <c r="N29" s="35" t="n">
        <v>12796902.1367514</v>
      </c>
      <c r="O29" s="40" t="n">
        <f aca="false">IFERROR(L29/N29,"")</f>
        <v>1</v>
      </c>
    </row>
    <row r="30" customFormat="false" ht="15" hidden="false" customHeight="false" outlineLevel="0" collapsed="false">
      <c r="A30" s="37" t="s">
        <v>903</v>
      </c>
      <c r="B30" s="24" t="n">
        <v>59.8714605550738</v>
      </c>
      <c r="C30" s="24" t="n">
        <v>19.7752459126348</v>
      </c>
      <c r="D30" s="24" t="n">
        <v>5.64127639525457</v>
      </c>
      <c r="E30" s="24" t="n">
        <v>4.74118517167343</v>
      </c>
      <c r="F30" s="24" t="n">
        <v>2.71344940265246</v>
      </c>
      <c r="G30" s="24" t="n">
        <v>1.95653185907574</v>
      </c>
      <c r="H30" s="24" t="n">
        <v>2.26535609779405</v>
      </c>
      <c r="I30" s="24" t="n">
        <v>0.187110280699676</v>
      </c>
      <c r="J30" s="24" t="n">
        <v>2.84838432514145</v>
      </c>
      <c r="K30" s="39" t="n">
        <f aca="false">SUM(B30:J30)</f>
        <v>100</v>
      </c>
      <c r="L30" s="35" t="n">
        <v>12822869.5559142</v>
      </c>
      <c r="M30" s="35" t="n">
        <v>0</v>
      </c>
      <c r="N30" s="35" t="n">
        <v>12822869.5559142</v>
      </c>
      <c r="O30" s="40" t="n">
        <f aca="false">IFERROR(L30/N30,"")</f>
        <v>1</v>
      </c>
    </row>
    <row r="31" customFormat="false" ht="15" hidden="false" customHeight="false" outlineLevel="0" collapsed="false">
      <c r="A31" s="37" t="s">
        <v>904</v>
      </c>
      <c r="B31" s="24" t="n">
        <v>59.4016532897949</v>
      </c>
      <c r="C31" s="24" t="n">
        <v>19.8158092498779</v>
      </c>
      <c r="D31" s="24" t="n">
        <v>5.50423860549927</v>
      </c>
      <c r="E31" s="24" t="n">
        <v>4.88059329986572</v>
      </c>
      <c r="F31" s="24" t="n">
        <v>2.85170125961304</v>
      </c>
      <c r="G31" s="24" t="n">
        <v>2.00510263442993</v>
      </c>
      <c r="H31" s="24" t="n">
        <v>2.43307542800903</v>
      </c>
      <c r="I31" s="24" t="n">
        <v>0.162212297320366</v>
      </c>
      <c r="J31" s="24" t="n">
        <v>2.94561457633972</v>
      </c>
      <c r="K31" s="39" t="n">
        <f aca="false">SUM(B31:J31)</f>
        <v>100.00000064075</v>
      </c>
      <c r="L31" s="35" t="n">
        <v>12913850.6580278</v>
      </c>
      <c r="M31" s="35" t="n">
        <v>0</v>
      </c>
      <c r="N31" s="35" t="n">
        <v>12913850.6580278</v>
      </c>
      <c r="O31" s="40" t="n">
        <f aca="false">IFERROR(L31/N31,"")</f>
        <v>1</v>
      </c>
    </row>
    <row r="32" customFormat="false" ht="15" hidden="false" customHeight="false" outlineLevel="0" collapsed="false">
      <c r="A32" s="37" t="s">
        <v>905</v>
      </c>
      <c r="B32" s="24" t="n">
        <v>59.4165802001953</v>
      </c>
      <c r="C32" s="24" t="n">
        <v>19.1775150299072</v>
      </c>
      <c r="D32" s="24" t="n">
        <v>5.60538721084595</v>
      </c>
      <c r="E32" s="24" t="n">
        <v>4.90567970275879</v>
      </c>
      <c r="F32" s="24" t="n">
        <v>2.84943890571594</v>
      </c>
      <c r="G32" s="24" t="n">
        <v>2.06535792350769</v>
      </c>
      <c r="H32" s="24" t="n">
        <v>2.55767488479614</v>
      </c>
      <c r="I32" s="24" t="n">
        <v>0.24008309841156</v>
      </c>
      <c r="J32" s="24" t="n">
        <v>3.18228244781494</v>
      </c>
      <c r="K32" s="39" t="n">
        <f aca="false">SUM(B32:J32)</f>
        <v>99.9999994039535</v>
      </c>
      <c r="L32" s="35" t="n">
        <v>12510327.3308635</v>
      </c>
      <c r="M32" s="35" t="n">
        <v>0</v>
      </c>
      <c r="N32" s="35" t="n">
        <v>12510327.3308635</v>
      </c>
      <c r="O32" s="40" t="n">
        <f aca="false">IFERROR(L32/N32,"")</f>
        <v>1</v>
      </c>
    </row>
    <row r="33" customFormat="false" ht="15" hidden="false" customHeight="false" outlineLevel="0" collapsed="false">
      <c r="A33" s="37" t="s">
        <v>906</v>
      </c>
      <c r="B33" s="24" t="n">
        <v>59.9942932128906</v>
      </c>
      <c r="C33" s="24" t="n">
        <v>19.0014362335205</v>
      </c>
      <c r="D33" s="24" t="n">
        <v>5.37306022644043</v>
      </c>
      <c r="E33" s="24" t="n">
        <v>4.88703346252441</v>
      </c>
      <c r="F33" s="24" t="n">
        <v>2.78062248229981</v>
      </c>
      <c r="G33" s="24" t="n">
        <v>2.06409192085266</v>
      </c>
      <c r="H33" s="24" t="n">
        <v>2.59753060340881</v>
      </c>
      <c r="I33" s="24" t="n">
        <v>0.233064204454422</v>
      </c>
      <c r="J33" s="24" t="n">
        <v>3.0688681602478</v>
      </c>
      <c r="K33" s="39" t="n">
        <f aca="false">SUM(B33:J33)</f>
        <v>100.000000506639</v>
      </c>
      <c r="L33" s="35" t="n">
        <v>11974851.5697153</v>
      </c>
      <c r="M33" s="35" t="n">
        <v>0</v>
      </c>
      <c r="N33" s="35" t="n">
        <v>11974851.5697153</v>
      </c>
      <c r="O33" s="40" t="n">
        <f aca="false">IFERROR(L33/N33,"")</f>
        <v>1</v>
      </c>
    </row>
    <row r="34" customFormat="false" ht="15" hidden="false" customHeight="false" outlineLevel="0" collapsed="false">
      <c r="A34" s="37" t="s">
        <v>907</v>
      </c>
      <c r="B34" s="24" t="n">
        <v>60.4325828552246</v>
      </c>
      <c r="C34" s="24" t="n">
        <v>18.8505859375</v>
      </c>
      <c r="D34" s="24" t="n">
        <v>5.12240743637085</v>
      </c>
      <c r="E34" s="24" t="n">
        <v>4.75067329406738</v>
      </c>
      <c r="F34" s="24" t="n">
        <v>2.61343908309937</v>
      </c>
      <c r="G34" s="24" t="n">
        <v>2.18981385231018</v>
      </c>
      <c r="H34" s="24" t="n">
        <v>2.57918214797974</v>
      </c>
      <c r="I34" s="24" t="n">
        <v>0.219351381063461</v>
      </c>
      <c r="J34" s="24" t="n">
        <v>3.24196290969849</v>
      </c>
      <c r="K34" s="39" t="n">
        <f aca="false">SUM(B34:J34)</f>
        <v>99.9999988973141</v>
      </c>
      <c r="L34" s="35" t="n">
        <v>11513774.2437882</v>
      </c>
      <c r="M34" s="35" t="n">
        <v>0</v>
      </c>
      <c r="N34" s="35" t="n">
        <v>11513774.2437882</v>
      </c>
      <c r="O34" s="40" t="n">
        <f aca="false">IFERROR(L34/N34,"")</f>
        <v>1</v>
      </c>
    </row>
    <row r="35" customFormat="false" ht="15" hidden="false" customHeight="false" outlineLevel="0" collapsed="false">
      <c r="A35" s="37" t="s">
        <v>908</v>
      </c>
      <c r="B35" s="24" t="n">
        <v>58.9506607055664</v>
      </c>
      <c r="C35" s="24" t="n">
        <v>19.7302589416504</v>
      </c>
      <c r="D35" s="24" t="n">
        <v>5.44078826904297</v>
      </c>
      <c r="E35" s="24" t="n">
        <v>5.04351329803467</v>
      </c>
      <c r="F35" s="24" t="n">
        <v>2.55056500434876</v>
      </c>
      <c r="G35" s="24" t="n">
        <v>2.23956537246704</v>
      </c>
      <c r="H35" s="24" t="n">
        <v>2.48738050460815</v>
      </c>
      <c r="I35" s="24" t="n">
        <v>0.219924122095108</v>
      </c>
      <c r="J35" s="24" t="n">
        <v>3.33734130859375</v>
      </c>
      <c r="K35" s="39" t="n">
        <f aca="false">SUM(B35:J35)</f>
        <v>99.9999975264072</v>
      </c>
      <c r="L35" s="35" t="n">
        <v>11884142.7170999</v>
      </c>
      <c r="M35" s="35" t="n">
        <v>0</v>
      </c>
      <c r="N35" s="35" t="n">
        <v>11884142.7170999</v>
      </c>
      <c r="O35" s="40" t="n">
        <f aca="false">IFERROR(L35/N35,"")</f>
        <v>1</v>
      </c>
    </row>
    <row r="36" customFormat="false" ht="15" hidden="false" customHeight="false" outlineLevel="0" collapsed="false">
      <c r="A36" s="37" t="s">
        <v>909</v>
      </c>
      <c r="B36" s="24" t="n">
        <v>60.1231002807617</v>
      </c>
      <c r="C36" s="24" t="n">
        <v>18.7499256134033</v>
      </c>
      <c r="D36" s="24" t="n">
        <v>5.37544870376587</v>
      </c>
      <c r="E36" s="24" t="n">
        <v>4.6345739364624</v>
      </c>
      <c r="F36" s="24" t="n">
        <v>2.60709095001221</v>
      </c>
      <c r="G36" s="24" t="n">
        <v>1.92138850688934</v>
      </c>
      <c r="H36" s="24" t="n">
        <v>2.34924077987671</v>
      </c>
      <c r="I36" s="24" t="n">
        <v>0.257557660341263</v>
      </c>
      <c r="J36" s="24" t="n">
        <v>3.98167490959168</v>
      </c>
      <c r="K36" s="39" t="n">
        <f aca="false">SUM(B36:J36)</f>
        <v>100.000001341104</v>
      </c>
      <c r="L36" s="35" t="n">
        <v>12000941.7735455</v>
      </c>
      <c r="M36" s="35" t="n">
        <v>0</v>
      </c>
      <c r="N36" s="35" t="n">
        <v>12000941.7735455</v>
      </c>
      <c r="O36" s="40" t="n">
        <f aca="false">IFERROR(L36/N36,"")</f>
        <v>1</v>
      </c>
    </row>
    <row r="37" customFormat="false" ht="15" hidden="false" customHeight="false" outlineLevel="0" collapsed="false">
      <c r="A37" s="37" t="s">
        <v>910</v>
      </c>
      <c r="B37" s="24" t="n">
        <v>59.8180694580078</v>
      </c>
      <c r="C37" s="24" t="n">
        <v>18.9197483062744</v>
      </c>
      <c r="D37" s="24" t="n">
        <v>5.47859287261963</v>
      </c>
      <c r="E37" s="24" t="n">
        <v>4.69672155380249</v>
      </c>
      <c r="F37" s="24" t="n">
        <v>2.47479248046875</v>
      </c>
      <c r="G37" s="24" t="n">
        <v>1.8989382982254</v>
      </c>
      <c r="H37" s="24" t="n">
        <v>2.46653175354004</v>
      </c>
      <c r="I37" s="24" t="n">
        <v>0.194501668214798</v>
      </c>
      <c r="J37" s="24" t="n">
        <v>4.05210590362549</v>
      </c>
      <c r="K37" s="39" t="n">
        <f aca="false">SUM(B37:J37)</f>
        <v>100.000002294779</v>
      </c>
      <c r="L37" s="35" t="n">
        <v>12028372.3832896</v>
      </c>
      <c r="M37" s="35" t="n">
        <v>0</v>
      </c>
      <c r="N37" s="35" t="n">
        <v>12028372.3832896</v>
      </c>
      <c r="O37" s="40" t="n">
        <f aca="false">IFERROR(L37/N37,"")</f>
        <v>1</v>
      </c>
    </row>
    <row r="38" customFormat="false" ht="15" hidden="false" customHeight="false" outlineLevel="0" collapsed="false">
      <c r="A38" s="37" t="s">
        <v>911</v>
      </c>
      <c r="B38" s="24" t="n">
        <v>59.6898078918457</v>
      </c>
      <c r="C38" s="24" t="n">
        <v>18.9005165100098</v>
      </c>
      <c r="D38" s="24" t="n">
        <v>5.21624755859375</v>
      </c>
      <c r="E38" s="24" t="n">
        <v>4.83104801177979</v>
      </c>
      <c r="F38" s="24" t="n">
        <v>2.43515157699585</v>
      </c>
      <c r="G38" s="24" t="n">
        <v>1.96841478347778</v>
      </c>
      <c r="H38" s="24" t="n">
        <v>2.41992259025574</v>
      </c>
      <c r="I38" s="24" t="n">
        <v>0.18927127122879</v>
      </c>
      <c r="J38" s="24" t="n">
        <v>4.34961891174316</v>
      </c>
      <c r="K38" s="39" t="n">
        <f aca="false">SUM(B38:J38)</f>
        <v>99.9999991059304</v>
      </c>
      <c r="L38" s="35" t="n">
        <v>11819888.4310486</v>
      </c>
      <c r="M38" s="35" t="n">
        <v>0</v>
      </c>
      <c r="N38" s="35" t="n">
        <v>11819888.4310486</v>
      </c>
      <c r="O38" s="40" t="n">
        <f aca="false">IFERROR(L38/N38,"")</f>
        <v>1</v>
      </c>
    </row>
    <row r="39" customFormat="false" ht="15" hidden="false" customHeight="false" outlineLevel="0" collapsed="false">
      <c r="A39" s="37" t="s">
        <v>912</v>
      </c>
      <c r="B39" s="24" t="n">
        <v>58.9796180725098</v>
      </c>
      <c r="C39" s="24" t="n">
        <v>19.2091884613037</v>
      </c>
      <c r="D39" s="24" t="n">
        <v>5.4413800239563</v>
      </c>
      <c r="E39" s="24" t="n">
        <v>4.78724718093872</v>
      </c>
      <c r="F39" s="24" t="n">
        <v>2.33853340148926</v>
      </c>
      <c r="G39" s="24" t="n">
        <v>2.08758854866028</v>
      </c>
      <c r="H39" s="24" t="n">
        <v>2.51280570030212</v>
      </c>
      <c r="I39" s="24" t="n">
        <v>0.199402883648872</v>
      </c>
      <c r="J39" s="24" t="n">
        <v>4.44423580169678</v>
      </c>
      <c r="K39" s="39" t="n">
        <f aca="false">SUM(B39:J39)</f>
        <v>100.000000074506</v>
      </c>
      <c r="L39" s="35" t="n">
        <v>12315031.0105471</v>
      </c>
      <c r="M39" s="35" t="n">
        <v>0</v>
      </c>
      <c r="N39" s="35" t="n">
        <v>12315031.0105471</v>
      </c>
      <c r="O39" s="40" t="n">
        <f aca="false">IFERROR(L39/N39,"")</f>
        <v>1</v>
      </c>
    </row>
    <row r="40" customFormat="false" ht="15" hidden="false" customHeight="false" outlineLevel="0" collapsed="false">
      <c r="A40" s="37" t="s">
        <v>913</v>
      </c>
      <c r="B40" s="24" t="n">
        <v>59.5113754272461</v>
      </c>
      <c r="C40" s="24" t="n">
        <v>18.8723106384277</v>
      </c>
      <c r="D40" s="24" t="n">
        <v>5.46329689025879</v>
      </c>
      <c r="E40" s="24" t="n">
        <v>4.82227849960327</v>
      </c>
      <c r="F40" s="24" t="n">
        <v>2.1372013092041</v>
      </c>
      <c r="G40" s="24" t="n">
        <v>2.10727906227112</v>
      </c>
      <c r="H40" s="24" t="n">
        <v>2.50166630744934</v>
      </c>
      <c r="I40" s="24" t="n">
        <v>0.196636602282524</v>
      </c>
      <c r="J40" s="24" t="n">
        <v>4.38795518875122</v>
      </c>
      <c r="K40" s="39" t="n">
        <f aca="false">SUM(B40:J40)</f>
        <v>99.9999999254942</v>
      </c>
      <c r="L40" s="35" t="n">
        <v>12349669.8707989</v>
      </c>
      <c r="M40" s="35" t="n">
        <v>0</v>
      </c>
      <c r="N40" s="35" t="n">
        <v>12349669.8707989</v>
      </c>
      <c r="O40" s="40" t="n">
        <f aca="false">IFERROR(L40/N40,"")</f>
        <v>1</v>
      </c>
    </row>
    <row r="41" customFormat="false" ht="15" hidden="false" customHeight="false" outlineLevel="0" collapsed="false">
      <c r="A41" s="37" t="s">
        <v>914</v>
      </c>
      <c r="B41" s="24" t="n">
        <v>58.8639640808106</v>
      </c>
      <c r="C41" s="24" t="n">
        <v>18.8239688873291</v>
      </c>
      <c r="D41" s="24" t="n">
        <v>5.5187029838562</v>
      </c>
      <c r="E41" s="24" t="n">
        <v>4.77633476257324</v>
      </c>
      <c r="F41" s="24" t="n">
        <v>2.07641768455505</v>
      </c>
      <c r="G41" s="24" t="n">
        <v>2.18794274330139</v>
      </c>
      <c r="H41" s="24" t="n">
        <v>2.65953969955444</v>
      </c>
      <c r="I41" s="24" t="n">
        <v>0.197607830166817</v>
      </c>
      <c r="J41" s="24" t="n">
        <v>4.89552021026611</v>
      </c>
      <c r="K41" s="39" t="n">
        <f aca="false">SUM(B41:J41)</f>
        <v>99.999998882413</v>
      </c>
      <c r="L41" s="35" t="n">
        <v>12314931.0432503</v>
      </c>
      <c r="M41" s="35" t="n">
        <v>0</v>
      </c>
      <c r="N41" s="35" t="n">
        <v>12314931.0432503</v>
      </c>
      <c r="O41" s="40" t="n">
        <f aca="false">IFERROR(L41/N41,"")</f>
        <v>1</v>
      </c>
    </row>
    <row r="42" customFormat="false" ht="15" hidden="false" customHeight="false" outlineLevel="0" collapsed="false">
      <c r="A42" s="37" t="s">
        <v>915</v>
      </c>
      <c r="B42" s="24" t="n">
        <v>57.8441162109375</v>
      </c>
      <c r="C42" s="24" t="n">
        <v>19.1516056060791</v>
      </c>
      <c r="D42" s="24" t="n">
        <v>5.65268802642822</v>
      </c>
      <c r="E42" s="24" t="n">
        <v>4.85488939285278</v>
      </c>
      <c r="F42" s="24" t="n">
        <v>2.11684918403626</v>
      </c>
      <c r="G42" s="24" t="n">
        <v>2.23912811279297</v>
      </c>
      <c r="H42" s="24" t="n">
        <v>2.75981974601746</v>
      </c>
      <c r="I42" s="24" t="n">
        <v>0.197536125779152</v>
      </c>
      <c r="J42" s="24" t="n">
        <v>5.18336582183838</v>
      </c>
      <c r="K42" s="39" t="n">
        <f aca="false">SUM(B42:J42)</f>
        <v>99.9999982267618</v>
      </c>
      <c r="L42" s="35" t="n">
        <v>12726933.9292469</v>
      </c>
      <c r="M42" s="35" t="n">
        <v>0</v>
      </c>
      <c r="N42" s="35" t="n">
        <v>12726933.9292469</v>
      </c>
      <c r="O42" s="40" t="n">
        <f aca="false">IFERROR(L42/N42,"")</f>
        <v>1</v>
      </c>
    </row>
    <row r="43" customFormat="false" ht="15" hidden="false" customHeight="false" outlineLevel="0" collapsed="false">
      <c r="A43" s="37" t="s">
        <v>916</v>
      </c>
      <c r="B43" s="24" t="n">
        <v>58.4082260131836</v>
      </c>
      <c r="C43" s="24" t="n">
        <v>18.9102840423584</v>
      </c>
      <c r="D43" s="24" t="n">
        <v>5.64029550552368</v>
      </c>
      <c r="E43" s="24" t="n">
        <v>4.59764289855957</v>
      </c>
      <c r="F43" s="24" t="n">
        <v>2.06520533561707</v>
      </c>
      <c r="G43" s="24" t="n">
        <v>2.03618621826172</v>
      </c>
      <c r="H43" s="24" t="n">
        <v>2.8432776927948</v>
      </c>
      <c r="I43" s="24" t="n">
        <v>0.219250097870827</v>
      </c>
      <c r="J43" s="24" t="n">
        <v>5.27962970733643</v>
      </c>
      <c r="K43" s="39" t="n">
        <f aca="false">SUM(B43:J43)</f>
        <v>99.9999975115061</v>
      </c>
      <c r="L43" s="35" t="n">
        <v>12330173.7270133</v>
      </c>
      <c r="M43" s="35" t="n">
        <v>0</v>
      </c>
      <c r="N43" s="35" t="n">
        <v>12330173.7270133</v>
      </c>
      <c r="O43" s="40" t="n">
        <f aca="false">IFERROR(L43/N43,"")</f>
        <v>1</v>
      </c>
    </row>
    <row r="44" customFormat="false" ht="15" hidden="false" customHeight="false" outlineLevel="0" collapsed="false">
      <c r="A44" s="37" t="s">
        <v>917</v>
      </c>
      <c r="B44" s="24" t="n">
        <v>58.3877868652344</v>
      </c>
      <c r="C44" s="24" t="n">
        <v>19.1068687438965</v>
      </c>
      <c r="D44" s="24" t="n">
        <v>5.76043224334717</v>
      </c>
      <c r="E44" s="24" t="n">
        <v>4.61033391952515</v>
      </c>
      <c r="F44" s="24" t="n">
        <v>1.9644318819046</v>
      </c>
      <c r="G44" s="24" t="n">
        <v>1.9931263923645</v>
      </c>
      <c r="H44" s="24" t="n">
        <v>2.63690543174744</v>
      </c>
      <c r="I44" s="24" t="n">
        <v>0.227729976177216</v>
      </c>
      <c r="J44" s="24" t="n">
        <v>5.31238603591919</v>
      </c>
      <c r="K44" s="39" t="n">
        <f aca="false">SUM(B44:J44)</f>
        <v>100.000001490116</v>
      </c>
      <c r="L44" s="35" t="n">
        <v>12502338.1509512</v>
      </c>
      <c r="M44" s="35" t="n">
        <v>0</v>
      </c>
      <c r="N44" s="35" t="n">
        <v>12502338.1509512</v>
      </c>
      <c r="O44" s="40" t="n">
        <f aca="false">IFERROR(L44/N44,"")</f>
        <v>1</v>
      </c>
    </row>
    <row r="45" customFormat="false" ht="15" hidden="false" customHeight="false" outlineLevel="0" collapsed="false">
      <c r="A45" s="37" t="s">
        <v>918</v>
      </c>
      <c r="B45" s="24" t="n">
        <v>56.9453430175781</v>
      </c>
      <c r="C45" s="24" t="n">
        <v>20.2631721496582</v>
      </c>
      <c r="D45" s="24" t="n">
        <v>5.66881465911865</v>
      </c>
      <c r="E45" s="24" t="n">
        <v>4.7153582572937</v>
      </c>
      <c r="F45" s="24" t="n">
        <v>1.97757542133331</v>
      </c>
      <c r="G45" s="24" t="n">
        <v>2.05996346473694</v>
      </c>
      <c r="H45" s="24" t="n">
        <v>2.6315450668335</v>
      </c>
      <c r="I45" s="24" t="n">
        <v>0.217518210411072</v>
      </c>
      <c r="J45" s="24" t="n">
        <v>5.52070951461792</v>
      </c>
      <c r="K45" s="39" t="n">
        <f aca="false">SUM(B45:J45)</f>
        <v>99.9999997615814</v>
      </c>
      <c r="L45" s="35" t="n">
        <v>12942402.0706304</v>
      </c>
      <c r="M45" s="35" t="n">
        <v>0</v>
      </c>
      <c r="N45" s="35" t="n">
        <v>12942402.0706304</v>
      </c>
      <c r="O45" s="40" t="n">
        <f aca="false">IFERROR(L45/N45,"")</f>
        <v>1</v>
      </c>
    </row>
    <row r="46" customFormat="false" ht="15" hidden="false" customHeight="false" outlineLevel="0" collapsed="false">
      <c r="A46" s="37" t="s">
        <v>919</v>
      </c>
      <c r="B46" s="24" t="n">
        <v>56.6067810058594</v>
      </c>
      <c r="C46" s="24" t="n">
        <v>20.4843273162842</v>
      </c>
      <c r="D46" s="24" t="n">
        <v>5.81111145019531</v>
      </c>
      <c r="E46" s="24" t="n">
        <v>4.50924253463745</v>
      </c>
      <c r="F46" s="24" t="n">
        <v>1.94697761535645</v>
      </c>
      <c r="G46" s="24" t="n">
        <v>2.060227394104</v>
      </c>
      <c r="H46" s="24" t="n">
        <v>2.66735529899597</v>
      </c>
      <c r="I46" s="24" t="n">
        <v>0.221888184547424</v>
      </c>
      <c r="J46" s="24" t="n">
        <v>5.69208955764771</v>
      </c>
      <c r="K46" s="39" t="n">
        <f aca="false">SUM(B46:J46)</f>
        <v>100.000000357628</v>
      </c>
      <c r="L46" s="35" t="n">
        <v>13036233.4523442</v>
      </c>
      <c r="M46" s="35" t="n">
        <v>0</v>
      </c>
      <c r="N46" s="35" t="n">
        <v>13036233.4523442</v>
      </c>
      <c r="O46" s="40" t="n">
        <f aca="false">IFERROR(L46/N46,"")</f>
        <v>1</v>
      </c>
    </row>
    <row r="47" customFormat="false" ht="15" hidden="false" customHeight="false" outlineLevel="0" collapsed="false">
      <c r="A47" s="37" t="s">
        <v>920</v>
      </c>
      <c r="B47" s="24" t="n">
        <v>56.5215682983398</v>
      </c>
      <c r="C47" s="24" t="n">
        <v>20.349552154541</v>
      </c>
      <c r="D47" s="24" t="n">
        <v>5.80728530883789</v>
      </c>
      <c r="E47" s="24" t="n">
        <v>4.42061471939087</v>
      </c>
      <c r="F47" s="24" t="n">
        <v>1.96401572227478</v>
      </c>
      <c r="G47" s="24" t="n">
        <v>2.03236746788025</v>
      </c>
      <c r="H47" s="24" t="n">
        <v>2.50586247444153</v>
      </c>
      <c r="I47" s="24" t="n">
        <v>0.222140416502953</v>
      </c>
      <c r="J47" s="24" t="n">
        <v>6.1765923500061</v>
      </c>
      <c r="K47" s="39" t="n">
        <f aca="false">SUM(B47:J47)</f>
        <v>99.9999989122152</v>
      </c>
      <c r="L47" s="35" t="n">
        <v>13147903.6917837</v>
      </c>
      <c r="M47" s="35" t="n">
        <v>0</v>
      </c>
      <c r="N47" s="35" t="n">
        <v>13147903.6917837</v>
      </c>
      <c r="O47" s="40" t="n">
        <f aca="false">IFERROR(L47/N47,"")</f>
        <v>1</v>
      </c>
    </row>
    <row r="48" customFormat="false" ht="15" hidden="false" customHeight="false" outlineLevel="0" collapsed="false">
      <c r="A48" s="37" t="s">
        <v>921</v>
      </c>
      <c r="B48" s="24" t="n">
        <v>57.1790390014648</v>
      </c>
      <c r="C48" s="24" t="n">
        <v>20.0446681976318</v>
      </c>
      <c r="D48" s="24" t="n">
        <v>5.43447685241699</v>
      </c>
      <c r="E48" s="24" t="n">
        <v>4.41063404083252</v>
      </c>
      <c r="F48" s="24" t="n">
        <v>1.98394763469696</v>
      </c>
      <c r="G48" s="24" t="n">
        <v>2.11252307891846</v>
      </c>
      <c r="H48" s="24" t="n">
        <v>2.4769139289856</v>
      </c>
      <c r="I48" s="24" t="n">
        <v>0.238891169428825</v>
      </c>
      <c r="J48" s="24" t="n">
        <v>6.11890554428101</v>
      </c>
      <c r="K48" s="39" t="n">
        <f aca="false">SUM(B48:J48)</f>
        <v>99.999999448657</v>
      </c>
      <c r="L48" s="35" t="n">
        <v>13097412.1901705</v>
      </c>
      <c r="M48" s="35" t="n">
        <v>0</v>
      </c>
      <c r="N48" s="35" t="n">
        <v>13097412.1901705</v>
      </c>
      <c r="O48" s="40" t="n">
        <f aca="false">IFERROR(L48/N48,"")</f>
        <v>1</v>
      </c>
    </row>
    <row r="49" customFormat="false" ht="15" hidden="false" customHeight="false" outlineLevel="0" collapsed="false">
      <c r="A49" s="37" t="s">
        <v>922</v>
      </c>
      <c r="B49" s="24" t="n">
        <v>56.704761505127</v>
      </c>
      <c r="C49" s="24" t="n">
        <v>20.6017665863037</v>
      </c>
      <c r="D49" s="24" t="n">
        <v>4.9647741317749</v>
      </c>
      <c r="E49" s="24" t="n">
        <v>4.57258176803589</v>
      </c>
      <c r="F49" s="24" t="n">
        <v>2.113844871521</v>
      </c>
      <c r="G49" s="24" t="n">
        <v>2.2452392578125</v>
      </c>
      <c r="H49" s="24" t="n">
        <v>2.47165417671204</v>
      </c>
      <c r="I49" s="24" t="n">
        <v>0.267808198928833</v>
      </c>
      <c r="J49" s="24" t="n">
        <v>6.05756902694702</v>
      </c>
      <c r="K49" s="39" t="n">
        <f aca="false">SUM(B49:J49)</f>
        <v>99.9999995231629</v>
      </c>
      <c r="L49" s="35" t="n">
        <v>13216790.4003072</v>
      </c>
      <c r="M49" s="35" t="n">
        <v>0</v>
      </c>
      <c r="N49" s="35" t="n">
        <v>13216790.4003072</v>
      </c>
      <c r="O49" s="40" t="n">
        <f aca="false">IFERROR(L49/N49,"")</f>
        <v>1</v>
      </c>
    </row>
    <row r="51" customFormat="false" ht="15" hidden="false" customHeight="false" outlineLevel="0" collapsed="false">
      <c r="A51" s="2" t="s">
        <v>1095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12"/>
  </cols>
  <sheetData>
    <row r="1" customFormat="false" ht="16.15" hidden="false" customHeight="false" outlineLevel="0" collapsed="false">
      <c r="A1" s="1" t="s">
        <v>1096</v>
      </c>
    </row>
    <row r="2" customFormat="false" ht="15" hidden="false" customHeight="false" outlineLevel="0" collapsed="false">
      <c r="A2" s="2" t="s">
        <v>1097</v>
      </c>
    </row>
    <row r="4" customFormat="false" ht="15" hidden="false" customHeight="false" outlineLevel="0" collapsed="false">
      <c r="A4" s="2" t="s">
        <v>1098</v>
      </c>
    </row>
    <row r="5" customFormat="false" ht="15" hidden="false" customHeight="false" outlineLevel="0" collapsed="false">
      <c r="A5" s="2" t="s">
        <v>1099</v>
      </c>
    </row>
    <row r="7" customFormat="false" ht="46.25" hidden="false" customHeight="false" outlineLevel="0" collapsed="false">
      <c r="A7" s="12" t="s">
        <v>1100</v>
      </c>
      <c r="B7" s="12" t="s">
        <v>1101</v>
      </c>
      <c r="C7" s="12" t="s">
        <v>1102</v>
      </c>
      <c r="D7" s="12" t="s">
        <v>1103</v>
      </c>
      <c r="E7" s="12" t="s">
        <v>1104</v>
      </c>
      <c r="F7" s="12" t="s">
        <v>1105</v>
      </c>
      <c r="G7" s="12" t="s">
        <v>1106</v>
      </c>
      <c r="H7" s="12" t="s">
        <v>1107</v>
      </c>
      <c r="I7" s="12" t="s">
        <v>1108</v>
      </c>
      <c r="J7" s="12" t="s">
        <v>1109</v>
      </c>
      <c r="K7" s="12" t="s">
        <v>1110</v>
      </c>
      <c r="L7" s="12" t="s">
        <v>1111</v>
      </c>
      <c r="M7" s="12" t="s">
        <v>1112</v>
      </c>
      <c r="N7" s="12" t="s">
        <v>1113</v>
      </c>
      <c r="O7" s="12" t="s">
        <v>1114</v>
      </c>
      <c r="P7" s="12" t="s">
        <v>1115</v>
      </c>
      <c r="Q7" s="12" t="s">
        <v>1116</v>
      </c>
      <c r="R7" s="12" t="s">
        <v>1117</v>
      </c>
    </row>
    <row r="8" customFormat="false" ht="15" hidden="false" customHeight="false" outlineLevel="0" collapsed="false">
      <c r="A8" s="37" t="s">
        <v>461</v>
      </c>
      <c r="B8" s="35" t="n">
        <v>3972810.506312</v>
      </c>
      <c r="C8" s="35" t="n">
        <v>3371353.939929</v>
      </c>
      <c r="D8" s="35" t="n">
        <v>1551089.460979</v>
      </c>
      <c r="E8" s="35" t="n">
        <v>754285.815921</v>
      </c>
      <c r="F8" s="35" t="n">
        <v>511652.64765</v>
      </c>
      <c r="G8" s="35" t="n">
        <v>34255.513579</v>
      </c>
      <c r="H8" s="35" t="n">
        <v>60256.405935</v>
      </c>
      <c r="I8" s="35" t="n">
        <v>52473.639123</v>
      </c>
      <c r="J8" s="35" t="n">
        <v>27213.220181</v>
      </c>
      <c r="K8" s="40" t="n">
        <f aca="false">IFERROR(C8/$B8,"")</f>
        <v>0.848606782169095</v>
      </c>
      <c r="L8" s="40" t="n">
        <f aca="false">IFERROR(D8/$B8,"")</f>
        <v>0.390426238179402</v>
      </c>
      <c r="M8" s="40" t="n">
        <f aca="false">IFERROR(E8/$B8,"")</f>
        <v>0.189862017008511</v>
      </c>
      <c r="N8" s="40" t="n">
        <f aca="false">IFERROR(F8/$B8,"")</f>
        <v>0.128788586024198</v>
      </c>
      <c r="O8" s="40" t="n">
        <f aca="false">IFERROR(G8/$B8,"")</f>
        <v>0.00862248867006741</v>
      </c>
      <c r="P8" s="40" t="n">
        <f aca="false">IFERROR(H8/$B8,"")</f>
        <v>0.0151671985963752</v>
      </c>
      <c r="Q8" s="40" t="n">
        <f aca="false">IFERROR(I8/$B8,"")</f>
        <v>0.0132081907857498</v>
      </c>
      <c r="R8" s="40" t="n">
        <f aca="false">IFERROR(J8/$B8,"")</f>
        <v>0.00684986614331684</v>
      </c>
    </row>
    <row r="9" customFormat="false" ht="15" hidden="false" customHeight="false" outlineLevel="0" collapsed="false">
      <c r="A9" s="37" t="s">
        <v>757</v>
      </c>
      <c r="B9" s="35"/>
      <c r="C9" s="35"/>
      <c r="D9" s="35"/>
      <c r="E9" s="35"/>
      <c r="F9" s="35"/>
      <c r="G9" s="35"/>
      <c r="H9" s="35"/>
      <c r="I9" s="35"/>
      <c r="J9" s="35"/>
      <c r="K9" s="40" t="str">
        <f aca="false">IFERROR(C9/$B9,"")</f>
        <v/>
      </c>
      <c r="L9" s="40" t="str">
        <f aca="false">IFERROR(D9/$B9,"")</f>
        <v/>
      </c>
      <c r="M9" s="40" t="str">
        <f aca="false">IFERROR(E9/$B9,"")</f>
        <v/>
      </c>
      <c r="N9" s="40" t="str">
        <f aca="false">IFERROR(F9/$B9,"")</f>
        <v/>
      </c>
      <c r="O9" s="40" t="str">
        <f aca="false">IFERROR(G9/$B9,"")</f>
        <v/>
      </c>
      <c r="P9" s="40" t="str">
        <f aca="false">IFERROR(H9/$B9,"")</f>
        <v/>
      </c>
      <c r="Q9" s="40" t="str">
        <f aca="false">IFERROR(I9/$B9,"")</f>
        <v/>
      </c>
      <c r="R9" s="40" t="str">
        <f aca="false">IFERROR(J9/$B9,"")</f>
        <v/>
      </c>
    </row>
    <row r="10" customFormat="false" ht="15" hidden="false" customHeight="false" outlineLevel="0" collapsed="false">
      <c r="A10" s="37" t="s">
        <v>758</v>
      </c>
      <c r="B10" s="35"/>
      <c r="C10" s="35"/>
      <c r="D10" s="35"/>
      <c r="E10" s="35"/>
      <c r="F10" s="35"/>
      <c r="G10" s="35"/>
      <c r="H10" s="35"/>
      <c r="I10" s="35"/>
      <c r="J10" s="35"/>
      <c r="K10" s="40" t="str">
        <f aca="false">IFERROR(C10/$B10,"")</f>
        <v/>
      </c>
      <c r="L10" s="40" t="str">
        <f aca="false">IFERROR(D10/$B10,"")</f>
        <v/>
      </c>
      <c r="M10" s="40" t="str">
        <f aca="false">IFERROR(E10/$B10,"")</f>
        <v/>
      </c>
      <c r="N10" s="40" t="str">
        <f aca="false">IFERROR(F10/$B10,"")</f>
        <v/>
      </c>
      <c r="O10" s="40" t="str">
        <f aca="false">IFERROR(G10/$B10,"")</f>
        <v/>
      </c>
      <c r="P10" s="40" t="str">
        <f aca="false">IFERROR(H10/$B10,"")</f>
        <v/>
      </c>
      <c r="Q10" s="40" t="str">
        <f aca="false">IFERROR(I10/$B10,"")</f>
        <v/>
      </c>
      <c r="R10" s="40" t="str">
        <f aca="false">IFERROR(J10/$B10,"")</f>
        <v/>
      </c>
    </row>
    <row r="11" customFormat="false" ht="15" hidden="false" customHeight="false" outlineLevel="0" collapsed="false">
      <c r="A11" s="37" t="s">
        <v>759</v>
      </c>
      <c r="B11" s="35" t="n">
        <v>5356569.805</v>
      </c>
      <c r="C11" s="35" t="n">
        <v>4662342.011763</v>
      </c>
      <c r="D11" s="35" t="n">
        <v>1789624.027806</v>
      </c>
      <c r="E11" s="35" t="n">
        <v>1234554.094274</v>
      </c>
      <c r="F11" s="35" t="n">
        <v>632907.874494</v>
      </c>
      <c r="G11" s="35" t="n">
        <v>119563.45486</v>
      </c>
      <c r="H11" s="35" t="n">
        <v>64195.40932</v>
      </c>
      <c r="I11" s="35" t="n">
        <v>77176.442556</v>
      </c>
      <c r="J11" s="35" t="n">
        <v>59166.897439</v>
      </c>
      <c r="K11" s="40" t="n">
        <f aca="false">IFERROR(C11/$B11,"")</f>
        <v>0.870396948325217</v>
      </c>
      <c r="L11" s="40" t="n">
        <f aca="false">IFERROR(D11/$B11,"")</f>
        <v>0.334098890326325</v>
      </c>
      <c r="M11" s="40" t="n">
        <f aca="false">IFERROR(E11/$B11,"")</f>
        <v>0.230474751420513</v>
      </c>
      <c r="N11" s="40" t="n">
        <f aca="false">IFERROR(F11/$B11,"")</f>
        <v>0.118155442295034</v>
      </c>
      <c r="O11" s="40" t="n">
        <f aca="false">IFERROR(G11/$B11,"")</f>
        <v>0.0223208992345055</v>
      </c>
      <c r="P11" s="40" t="n">
        <f aca="false">IFERROR(H11/$B11,"")</f>
        <v>0.0119844250438178</v>
      </c>
      <c r="Q11" s="40" t="n">
        <f aca="false">IFERROR(I11/$B11,"")</f>
        <v>0.0144078104767646</v>
      </c>
      <c r="R11" s="40" t="n">
        <f aca="false">IFERROR(J11/$B11,"")</f>
        <v>0.011045669074222</v>
      </c>
    </row>
    <row r="12" customFormat="false" ht="15" hidden="false" customHeight="false" outlineLevel="0" collapsed="false">
      <c r="A12" s="37" t="s">
        <v>760</v>
      </c>
      <c r="B12" s="35"/>
      <c r="C12" s="35"/>
      <c r="D12" s="35"/>
      <c r="E12" s="35"/>
      <c r="F12" s="35"/>
      <c r="G12" s="35"/>
      <c r="H12" s="35"/>
      <c r="I12" s="35"/>
      <c r="J12" s="35"/>
      <c r="K12" s="40" t="str">
        <f aca="false">IFERROR(C12/$B12,"")</f>
        <v/>
      </c>
      <c r="L12" s="40" t="str">
        <f aca="false">IFERROR(D12/$B12,"")</f>
        <v/>
      </c>
      <c r="M12" s="40" t="str">
        <f aca="false">IFERROR(E12/$B12,"")</f>
        <v/>
      </c>
      <c r="N12" s="40" t="str">
        <f aca="false">IFERROR(F12/$B12,"")</f>
        <v/>
      </c>
      <c r="O12" s="40" t="str">
        <f aca="false">IFERROR(G12/$B12,"")</f>
        <v/>
      </c>
      <c r="P12" s="40" t="str">
        <f aca="false">IFERROR(H12/$B12,"")</f>
        <v/>
      </c>
      <c r="Q12" s="40" t="str">
        <f aca="false">IFERROR(I12/$B12,"")</f>
        <v/>
      </c>
      <c r="R12" s="40" t="str">
        <f aca="false">IFERROR(J12/$B12,"")</f>
        <v/>
      </c>
    </row>
    <row r="13" customFormat="false" ht="15" hidden="false" customHeight="false" outlineLevel="0" collapsed="false">
      <c r="A13" s="37" t="s">
        <v>761</v>
      </c>
      <c r="B13" s="35"/>
      <c r="C13" s="35"/>
      <c r="D13" s="35"/>
      <c r="E13" s="35"/>
      <c r="F13" s="35"/>
      <c r="G13" s="35"/>
      <c r="H13" s="35"/>
      <c r="I13" s="35"/>
      <c r="J13" s="35"/>
      <c r="K13" s="40" t="str">
        <f aca="false">IFERROR(C13/$B13,"")</f>
        <v/>
      </c>
      <c r="L13" s="40" t="str">
        <f aca="false">IFERROR(D13/$B13,"")</f>
        <v/>
      </c>
      <c r="M13" s="40" t="str">
        <f aca="false">IFERROR(E13/$B13,"")</f>
        <v/>
      </c>
      <c r="N13" s="40" t="str">
        <f aca="false">IFERROR(F13/$B13,"")</f>
        <v/>
      </c>
      <c r="O13" s="40" t="str">
        <f aca="false">IFERROR(G13/$B13,"")</f>
        <v/>
      </c>
      <c r="P13" s="40" t="str">
        <f aca="false">IFERROR(H13/$B13,"")</f>
        <v/>
      </c>
      <c r="Q13" s="40" t="str">
        <f aca="false">IFERROR(I13/$B13,"")</f>
        <v/>
      </c>
      <c r="R13" s="40" t="str">
        <f aca="false">IFERROR(J13/$B13,"")</f>
        <v/>
      </c>
    </row>
    <row r="14" customFormat="false" ht="15" hidden="false" customHeight="false" outlineLevel="0" collapsed="false">
      <c r="A14" s="37" t="s">
        <v>762</v>
      </c>
      <c r="B14" s="35" t="n">
        <v>5066414.030435</v>
      </c>
      <c r="C14" s="35" t="n">
        <v>4437077.365683</v>
      </c>
      <c r="D14" s="35" t="n">
        <v>1590432.387627</v>
      </c>
      <c r="E14" s="35" t="n">
        <v>1095560.456027</v>
      </c>
      <c r="F14" s="35" t="n">
        <v>648631.355515</v>
      </c>
      <c r="G14" s="35" t="n">
        <v>202067.418629</v>
      </c>
      <c r="H14" s="35" t="n">
        <v>83842.173681</v>
      </c>
      <c r="I14" s="35" t="n">
        <v>84680.29112</v>
      </c>
      <c r="J14" s="35" t="n">
        <v>50684.797401</v>
      </c>
      <c r="K14" s="40" t="n">
        <f aca="false">IFERROR(C14/$B14,"")</f>
        <v>0.875782622389042</v>
      </c>
      <c r="L14" s="40" t="n">
        <f aca="false">IFERROR(D14/$B14,"")</f>
        <v>0.313916781785488</v>
      </c>
      <c r="M14" s="40" t="n">
        <f aca="false">IFERROR(E14/$B14,"")</f>
        <v>0.21623981961319</v>
      </c>
      <c r="N14" s="40" t="n">
        <f aca="false">IFERROR(F14/$B14,"")</f>
        <v>0.128025730155202</v>
      </c>
      <c r="O14" s="40" t="n">
        <f aca="false">IFERROR(G14/$B14,"")</f>
        <v>0.0398837160593546</v>
      </c>
      <c r="P14" s="40" t="n">
        <f aca="false">IFERROR(H14/$B14,"")</f>
        <v>0.0165486225913126</v>
      </c>
      <c r="Q14" s="40" t="n">
        <f aca="false">IFERROR(I14/$B14,"")</f>
        <v>0.0167140487554527</v>
      </c>
      <c r="R14" s="40" t="n">
        <f aca="false">IFERROR(J14/$B14,"")</f>
        <v>0.0100040772618515</v>
      </c>
    </row>
    <row r="15" customFormat="false" ht="15" hidden="false" customHeight="false" outlineLevel="0" collapsed="false">
      <c r="A15" s="37" t="s">
        <v>763</v>
      </c>
      <c r="B15" s="35"/>
      <c r="C15" s="35"/>
      <c r="D15" s="35"/>
      <c r="E15" s="35"/>
      <c r="F15" s="35"/>
      <c r="G15" s="35"/>
      <c r="H15" s="35"/>
      <c r="I15" s="35"/>
      <c r="J15" s="35"/>
      <c r="K15" s="40" t="str">
        <f aca="false">IFERROR(C15/$B15,"")</f>
        <v/>
      </c>
      <c r="L15" s="40" t="str">
        <f aca="false">IFERROR(D15/$B15,"")</f>
        <v/>
      </c>
      <c r="M15" s="40" t="str">
        <f aca="false">IFERROR(E15/$B15,"")</f>
        <v/>
      </c>
      <c r="N15" s="40" t="str">
        <f aca="false">IFERROR(F15/$B15,"")</f>
        <v/>
      </c>
      <c r="O15" s="40" t="str">
        <f aca="false">IFERROR(G15/$B15,"")</f>
        <v/>
      </c>
      <c r="P15" s="40" t="str">
        <f aca="false">IFERROR(H15/$B15,"")</f>
        <v/>
      </c>
      <c r="Q15" s="40" t="str">
        <f aca="false">IFERROR(I15/$B15,"")</f>
        <v/>
      </c>
      <c r="R15" s="40" t="str">
        <f aca="false">IFERROR(J15/$B15,"")</f>
        <v/>
      </c>
    </row>
    <row r="16" customFormat="false" ht="15" hidden="false" customHeight="false" outlineLevel="0" collapsed="false">
      <c r="A16" s="37" t="s">
        <v>764</v>
      </c>
      <c r="B16" s="35"/>
      <c r="C16" s="35"/>
      <c r="D16" s="35"/>
      <c r="E16" s="35"/>
      <c r="F16" s="35"/>
      <c r="G16" s="35"/>
      <c r="H16" s="35"/>
      <c r="I16" s="35"/>
      <c r="J16" s="35"/>
      <c r="K16" s="40" t="str">
        <f aca="false">IFERROR(C16/$B16,"")</f>
        <v/>
      </c>
      <c r="L16" s="40" t="str">
        <f aca="false">IFERROR(D16/$B16,"")</f>
        <v/>
      </c>
      <c r="M16" s="40" t="str">
        <f aca="false">IFERROR(E16/$B16,"")</f>
        <v/>
      </c>
      <c r="N16" s="40" t="str">
        <f aca="false">IFERROR(F16/$B16,"")</f>
        <v/>
      </c>
      <c r="O16" s="40" t="str">
        <f aca="false">IFERROR(G16/$B16,"")</f>
        <v/>
      </c>
      <c r="P16" s="40" t="str">
        <f aca="false">IFERROR(H16/$B16,"")</f>
        <v/>
      </c>
      <c r="Q16" s="40" t="str">
        <f aca="false">IFERROR(I16/$B16,"")</f>
        <v/>
      </c>
      <c r="R16" s="40" t="str">
        <f aca="false">IFERROR(J16/$B16,"")</f>
        <v/>
      </c>
    </row>
    <row r="17" customFormat="false" ht="15" hidden="false" customHeight="false" outlineLevel="0" collapsed="false">
      <c r="A17" s="37" t="s">
        <v>765</v>
      </c>
      <c r="B17" s="35" t="n">
        <v>6580942.851857</v>
      </c>
      <c r="C17" s="35" t="n">
        <v>5810754.997009</v>
      </c>
      <c r="D17" s="35" t="n">
        <v>2126307.762954</v>
      </c>
      <c r="E17" s="35" t="n">
        <v>1107537.574271</v>
      </c>
      <c r="F17" s="35" t="n">
        <v>842804.475343</v>
      </c>
      <c r="G17" s="35" t="n">
        <v>285032.786474</v>
      </c>
      <c r="H17" s="35" t="n">
        <v>131767.539897</v>
      </c>
      <c r="I17" s="35" t="n">
        <v>118644.954349</v>
      </c>
      <c r="J17" s="35" t="n">
        <v>70731.441089</v>
      </c>
      <c r="K17" s="40" t="n">
        <f aca="false">IFERROR(C17/$B17,"")</f>
        <v>0.88296694376693</v>
      </c>
      <c r="L17" s="40" t="n">
        <f aca="false">IFERROR(D17/$B17,"")</f>
        <v>0.323100779146563</v>
      </c>
      <c r="M17" s="40" t="n">
        <f aca="false">IFERROR(E17/$B17,"")</f>
        <v>0.168294665248229</v>
      </c>
      <c r="N17" s="40" t="n">
        <f aca="false">IFERROR(F17/$B17,"")</f>
        <v>0.128067435672258</v>
      </c>
      <c r="O17" s="40" t="n">
        <f aca="false">IFERROR(G17/$B17,"")</f>
        <v>0.0433118464770698</v>
      </c>
      <c r="P17" s="40" t="n">
        <f aca="false">IFERROR(H17/$B17,"")</f>
        <v>0.0200225929419548</v>
      </c>
      <c r="Q17" s="40" t="n">
        <f aca="false">IFERROR(I17/$B17,"")</f>
        <v>0.0180285647542922</v>
      </c>
      <c r="R17" s="40" t="n">
        <f aca="false">IFERROR(J17/$B17,"")</f>
        <v>0.0107479190567718</v>
      </c>
    </row>
    <row r="18" customFormat="false" ht="15" hidden="false" customHeight="false" outlineLevel="0" collapsed="false">
      <c r="A18" s="37" t="s">
        <v>766</v>
      </c>
      <c r="B18" s="35"/>
      <c r="C18" s="35"/>
      <c r="D18" s="35"/>
      <c r="E18" s="35"/>
      <c r="F18" s="35"/>
      <c r="G18" s="35"/>
      <c r="H18" s="35"/>
      <c r="I18" s="35"/>
      <c r="J18" s="35"/>
      <c r="K18" s="40" t="str">
        <f aca="false">IFERROR(C18/$B18,"")</f>
        <v/>
      </c>
      <c r="L18" s="40" t="str">
        <f aca="false">IFERROR(D18/$B18,"")</f>
        <v/>
      </c>
      <c r="M18" s="40" t="str">
        <f aca="false">IFERROR(E18/$B18,"")</f>
        <v/>
      </c>
      <c r="N18" s="40" t="str">
        <f aca="false">IFERROR(F18/$B18,"")</f>
        <v/>
      </c>
      <c r="O18" s="40" t="str">
        <f aca="false">IFERROR(G18/$B18,"")</f>
        <v/>
      </c>
      <c r="P18" s="40" t="str">
        <f aca="false">IFERROR(H18/$B18,"")</f>
        <v/>
      </c>
      <c r="Q18" s="40" t="str">
        <f aca="false">IFERROR(I18/$B18,"")</f>
        <v/>
      </c>
      <c r="R18" s="40" t="str">
        <f aca="false">IFERROR(J18/$B18,"")</f>
        <v/>
      </c>
    </row>
    <row r="19" customFormat="false" ht="15" hidden="false" customHeight="false" outlineLevel="0" collapsed="false">
      <c r="A19" s="37" t="s">
        <v>767</v>
      </c>
      <c r="B19" s="35"/>
      <c r="C19" s="35"/>
      <c r="D19" s="35"/>
      <c r="E19" s="35"/>
      <c r="F19" s="35"/>
      <c r="G19" s="35"/>
      <c r="H19" s="35"/>
      <c r="I19" s="35"/>
      <c r="J19" s="35"/>
      <c r="K19" s="40" t="str">
        <f aca="false">IFERROR(C19/$B19,"")</f>
        <v/>
      </c>
      <c r="L19" s="40" t="str">
        <f aca="false">IFERROR(D19/$B19,"")</f>
        <v/>
      </c>
      <c r="M19" s="40" t="str">
        <f aca="false">IFERROR(E19/$B19,"")</f>
        <v/>
      </c>
      <c r="N19" s="40" t="str">
        <f aca="false">IFERROR(F19/$B19,"")</f>
        <v/>
      </c>
      <c r="O19" s="40" t="str">
        <f aca="false">IFERROR(G19/$B19,"")</f>
        <v/>
      </c>
      <c r="P19" s="40" t="str">
        <f aca="false">IFERROR(H19/$B19,"")</f>
        <v/>
      </c>
      <c r="Q19" s="40" t="str">
        <f aca="false">IFERROR(I19/$B19,"")</f>
        <v/>
      </c>
      <c r="R19" s="40" t="str">
        <f aca="false">IFERROR(J19/$B19,"")</f>
        <v/>
      </c>
    </row>
    <row r="20" customFormat="false" ht="15" hidden="false" customHeight="false" outlineLevel="0" collapsed="false">
      <c r="A20" s="37" t="s">
        <v>768</v>
      </c>
      <c r="B20" s="35" t="n">
        <v>7467541.057787</v>
      </c>
      <c r="C20" s="35" t="n">
        <v>6599312.172331</v>
      </c>
      <c r="D20" s="35" t="n">
        <v>2285627.296726</v>
      </c>
      <c r="E20" s="35" t="n">
        <v>1248512.82227</v>
      </c>
      <c r="F20" s="35" t="n">
        <v>965598.404176</v>
      </c>
      <c r="G20" s="35" t="n">
        <v>523829.212679</v>
      </c>
      <c r="H20" s="35" t="n">
        <v>138130.938385</v>
      </c>
      <c r="I20" s="35" t="n">
        <v>125069.90577</v>
      </c>
      <c r="J20" s="35" t="n">
        <v>64707.818804</v>
      </c>
      <c r="K20" s="40" t="n">
        <f aca="false">IFERROR(C20/$B20,"")</f>
        <v>0.883732961260303</v>
      </c>
      <c r="L20" s="40" t="n">
        <f aca="false">IFERROR(D20/$B20,"")</f>
        <v>0.306074955469123</v>
      </c>
      <c r="M20" s="40" t="n">
        <f aca="false">IFERROR(E20/$B20,"")</f>
        <v>0.167191959523018</v>
      </c>
      <c r="N20" s="40" t="n">
        <f aca="false">IFERROR(F20/$B20,"")</f>
        <v>0.129306072334091</v>
      </c>
      <c r="O20" s="40" t="n">
        <f aca="false">IFERROR(G20/$B20,"")</f>
        <v>0.0701474834387099</v>
      </c>
      <c r="P20" s="40" t="n">
        <f aca="false">IFERROR(H20/$B20,"")</f>
        <v>0.0184975130790824</v>
      </c>
      <c r="Q20" s="40" t="n">
        <f aca="false">IFERROR(I20/$B20,"")</f>
        <v>0.0167484724626428</v>
      </c>
      <c r="R20" s="40" t="n">
        <f aca="false">IFERROR(J20/$B20,"")</f>
        <v>0.0086652109848829</v>
      </c>
    </row>
    <row r="21" customFormat="false" ht="15" hidden="false" customHeight="false" outlineLevel="0" collapsed="false">
      <c r="A21" s="37" t="s">
        <v>769</v>
      </c>
      <c r="B21" s="35"/>
      <c r="C21" s="35"/>
      <c r="D21" s="35"/>
      <c r="E21" s="35"/>
      <c r="F21" s="35"/>
      <c r="G21" s="35"/>
      <c r="H21" s="35"/>
      <c r="I21" s="35"/>
      <c r="J21" s="35"/>
      <c r="K21" s="40" t="str">
        <f aca="false">IFERROR(C21/$B21,"")</f>
        <v/>
      </c>
      <c r="L21" s="40" t="str">
        <f aca="false">IFERROR(D21/$B21,"")</f>
        <v/>
      </c>
      <c r="M21" s="40" t="str">
        <f aca="false">IFERROR(E21/$B21,"")</f>
        <v/>
      </c>
      <c r="N21" s="40" t="str">
        <f aca="false">IFERROR(F21/$B21,"")</f>
        <v/>
      </c>
      <c r="O21" s="40" t="str">
        <f aca="false">IFERROR(G21/$B21,"")</f>
        <v/>
      </c>
      <c r="P21" s="40" t="str">
        <f aca="false">IFERROR(H21/$B21,"")</f>
        <v/>
      </c>
      <c r="Q21" s="40" t="str">
        <f aca="false">IFERROR(I21/$B21,"")</f>
        <v/>
      </c>
      <c r="R21" s="40" t="str">
        <f aca="false">IFERROR(J21/$B21,"")</f>
        <v/>
      </c>
    </row>
    <row r="22" customFormat="false" ht="15" hidden="false" customHeight="false" outlineLevel="0" collapsed="false">
      <c r="A22" s="37" t="s">
        <v>770</v>
      </c>
      <c r="B22" s="35"/>
      <c r="C22" s="35"/>
      <c r="D22" s="35"/>
      <c r="E22" s="35"/>
      <c r="F22" s="35"/>
      <c r="G22" s="35"/>
      <c r="H22" s="35"/>
      <c r="I22" s="35"/>
      <c r="J22" s="35"/>
      <c r="K22" s="40" t="str">
        <f aca="false">IFERROR(C22/$B22,"")</f>
        <v/>
      </c>
      <c r="L22" s="40" t="str">
        <f aca="false">IFERROR(D22/$B22,"")</f>
        <v/>
      </c>
      <c r="M22" s="40" t="str">
        <f aca="false">IFERROR(E22/$B22,"")</f>
        <v/>
      </c>
      <c r="N22" s="40" t="str">
        <f aca="false">IFERROR(F22/$B22,"")</f>
        <v/>
      </c>
      <c r="O22" s="40" t="str">
        <f aca="false">IFERROR(G22/$B22,"")</f>
        <v/>
      </c>
      <c r="P22" s="40" t="str">
        <f aca="false">IFERROR(H22/$B22,"")</f>
        <v/>
      </c>
      <c r="Q22" s="40" t="str">
        <f aca="false">IFERROR(I22/$B22,"")</f>
        <v/>
      </c>
      <c r="R22" s="40" t="str">
        <f aca="false">IFERROR(J22/$B22,"")</f>
        <v/>
      </c>
    </row>
    <row r="23" customFormat="false" ht="15" hidden="false" customHeight="false" outlineLevel="0" collapsed="false">
      <c r="A23" s="37" t="s">
        <v>526</v>
      </c>
      <c r="B23" s="35" t="n">
        <v>9510240.332703</v>
      </c>
      <c r="C23" s="35" t="n">
        <v>8471519.373276</v>
      </c>
      <c r="D23" s="35" t="n">
        <v>2714073.630146</v>
      </c>
      <c r="E23" s="35" t="n">
        <v>1608340.715582</v>
      </c>
      <c r="F23" s="35" t="n">
        <v>966558.099908</v>
      </c>
      <c r="G23" s="35" t="n">
        <v>817467.204256</v>
      </c>
      <c r="H23" s="35" t="n">
        <v>170854.458107</v>
      </c>
      <c r="I23" s="35" t="n">
        <v>126722.297547</v>
      </c>
      <c r="J23" s="35" t="n">
        <v>89850.684367</v>
      </c>
      <c r="K23" s="40" t="n">
        <f aca="false">IFERROR(C23/$B23,"")</f>
        <v>0.890778684545423</v>
      </c>
      <c r="L23" s="40" t="n">
        <f aca="false">IFERROR(D23/$B23,"")</f>
        <v>0.285384336798837</v>
      </c>
      <c r="M23" s="40" t="n">
        <f aca="false">IFERROR(E23/$B23,"")</f>
        <v>0.169116726740477</v>
      </c>
      <c r="N23" s="40" t="n">
        <f aca="false">IFERROR(F23/$B23,"")</f>
        <v>0.101633404214222</v>
      </c>
      <c r="O23" s="40" t="n">
        <f aca="false">IFERROR(G23/$B23,"")</f>
        <v>0.0859565242999132</v>
      </c>
      <c r="P23" s="40" t="n">
        <f aca="false">IFERROR(H23/$B23,"")</f>
        <v>0.0179653144536716</v>
      </c>
      <c r="Q23" s="40" t="n">
        <f aca="false">IFERROR(I23/$B23,"")</f>
        <v>0.0133248259890171</v>
      </c>
      <c r="R23" s="40" t="n">
        <f aca="false">IFERROR(J23/$B23,"")</f>
        <v>0.00944778272932064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3"/>
  </cols>
  <sheetData>
    <row r="1" customFormat="false" ht="16.15" hidden="false" customHeight="false" outlineLevel="0" collapsed="false">
      <c r="A1" s="1" t="s">
        <v>1118</v>
      </c>
    </row>
    <row r="2" customFormat="false" ht="15" hidden="false" customHeight="false" outlineLevel="0" collapsed="false">
      <c r="A2" s="2" t="s">
        <v>1119</v>
      </c>
    </row>
    <row r="4" customFormat="false" ht="15" hidden="false" customHeight="false" outlineLevel="0" collapsed="false">
      <c r="A4" s="2" t="s">
        <v>1120</v>
      </c>
    </row>
    <row r="5" customFormat="false" ht="15" hidden="false" customHeight="false" outlineLevel="0" collapsed="false">
      <c r="A5" s="2" t="s">
        <v>1121</v>
      </c>
    </row>
    <row r="7" customFormat="false" ht="15" hidden="false" customHeight="false" outlineLevel="0" collapsed="false">
      <c r="A7" s="3" t="s">
        <v>1122</v>
      </c>
      <c r="B7" s="3" t="s">
        <v>1123</v>
      </c>
      <c r="C7" s="3" t="s">
        <v>1124</v>
      </c>
      <c r="D7" s="3" t="s">
        <v>1125</v>
      </c>
      <c r="E7" s="3" t="s">
        <v>1126</v>
      </c>
      <c r="F7" s="3" t="s">
        <v>1127</v>
      </c>
      <c r="G7" s="3" t="s">
        <v>1128</v>
      </c>
      <c r="H7" s="3" t="s">
        <v>1129</v>
      </c>
      <c r="I7" s="3" t="s">
        <v>1130</v>
      </c>
      <c r="J7" s="3" t="s">
        <v>1131</v>
      </c>
    </row>
    <row r="8" customFormat="false" ht="15" hidden="false" customHeight="false" outlineLevel="0" collapsed="false">
      <c r="A8" s="13" t="n">
        <v>42370</v>
      </c>
      <c r="B8" s="41" t="s">
        <v>1020</v>
      </c>
      <c r="C8" s="41" t="s">
        <v>1066</v>
      </c>
      <c r="D8" s="41" t="s">
        <v>791</v>
      </c>
      <c r="E8" s="41" t="n">
        <v>17.6</v>
      </c>
      <c r="F8" s="41" t="n">
        <v>6.5582</v>
      </c>
      <c r="G8" s="41" t="n">
        <v>2.68366320026837</v>
      </c>
      <c r="H8" s="42" t="n">
        <v>-0.37444</v>
      </c>
      <c r="I8" s="42" t="n">
        <v>-0.06799</v>
      </c>
      <c r="J8" s="41" t="n">
        <v>11642.1235125</v>
      </c>
    </row>
    <row r="9" customFormat="false" ht="15" hidden="false" customHeight="false" outlineLevel="0" collapsed="false">
      <c r="A9" s="13" t="n">
        <v>42552</v>
      </c>
      <c r="B9" s="41" t="s">
        <v>1020</v>
      </c>
      <c r="C9" s="41" t="s">
        <v>1066</v>
      </c>
      <c r="D9" s="41" t="s">
        <v>791</v>
      </c>
      <c r="E9" s="41" t="n">
        <v>18.6</v>
      </c>
      <c r="F9" s="41" t="n">
        <v>6.678</v>
      </c>
      <c r="G9" s="41" t="n">
        <v>2.78526504941599</v>
      </c>
      <c r="H9" s="42" t="n">
        <v>-0.38105</v>
      </c>
      <c r="I9" s="42" t="n">
        <v>-0.1492</v>
      </c>
      <c r="J9" s="41" t="n">
        <v>12315.8830645161</v>
      </c>
    </row>
    <row r="10" customFormat="false" ht="15" hidden="false" customHeight="false" outlineLevel="0" collapsed="false">
      <c r="A10" s="13" t="n">
        <v>42736</v>
      </c>
      <c r="B10" s="41" t="s">
        <v>1020</v>
      </c>
      <c r="C10" s="41" t="s">
        <v>1066</v>
      </c>
      <c r="D10" s="41" t="s">
        <v>791</v>
      </c>
      <c r="E10" s="41" t="n">
        <v>19.6</v>
      </c>
      <c r="F10" s="41" t="n">
        <v>6.9266</v>
      </c>
      <c r="G10" s="41" t="n">
        <v>2.82967112291745</v>
      </c>
      <c r="H10" s="42" t="n">
        <v>-0.37118</v>
      </c>
      <c r="I10" s="42" t="n">
        <v>-0.13142</v>
      </c>
      <c r="J10" s="41" t="n">
        <v>11687.5216836735</v>
      </c>
    </row>
    <row r="11" customFormat="false" ht="15" hidden="false" customHeight="false" outlineLevel="0" collapsed="false">
      <c r="A11" s="13" t="n">
        <v>42917</v>
      </c>
      <c r="B11" s="41" t="s">
        <v>1020</v>
      </c>
      <c r="C11" s="41" t="s">
        <v>1066</v>
      </c>
      <c r="D11" s="41" t="s">
        <v>791</v>
      </c>
      <c r="E11" s="41" t="n">
        <v>19.8</v>
      </c>
      <c r="F11" s="41" t="n">
        <v>6.7875</v>
      </c>
      <c r="G11" s="41" t="n">
        <v>2.9171270718232</v>
      </c>
      <c r="H11" s="42" t="n">
        <v>-0.35175</v>
      </c>
      <c r="I11" s="42" t="n">
        <v>-0.10983</v>
      </c>
      <c r="J11" s="41" t="n">
        <v>12416.6875</v>
      </c>
    </row>
    <row r="12" customFormat="false" ht="15" hidden="false" customHeight="false" outlineLevel="0" collapsed="false">
      <c r="A12" s="13" t="n">
        <v>43101</v>
      </c>
      <c r="B12" s="41" t="s">
        <v>1020</v>
      </c>
      <c r="C12" s="41" t="s">
        <v>1066</v>
      </c>
      <c r="D12" s="41" t="s">
        <v>791</v>
      </c>
      <c r="E12" s="41" t="n">
        <v>20.4</v>
      </c>
      <c r="F12" s="41" t="n">
        <v>6.432</v>
      </c>
      <c r="G12" s="41" t="n">
        <v>3.17164179104478</v>
      </c>
      <c r="H12" s="42" t="n">
        <v>-0.31201</v>
      </c>
      <c r="I12" s="42" t="n">
        <v>-0.03841</v>
      </c>
      <c r="J12" s="41" t="n">
        <v>12346.0828063726</v>
      </c>
    </row>
    <row r="13" customFormat="false" ht="15" hidden="false" customHeight="false" outlineLevel="0" collapsed="false">
      <c r="A13" s="13" t="n">
        <v>43282</v>
      </c>
      <c r="B13" s="41" t="s">
        <v>1020</v>
      </c>
      <c r="C13" s="41" t="s">
        <v>1066</v>
      </c>
      <c r="D13" s="41" t="s">
        <v>791</v>
      </c>
      <c r="E13" s="41" t="n">
        <v>20.5</v>
      </c>
      <c r="F13" s="41" t="n">
        <v>6.622</v>
      </c>
      <c r="G13" s="41" t="n">
        <v>3.09574146783449</v>
      </c>
      <c r="H13" s="42" t="n">
        <v>-0.32993</v>
      </c>
      <c r="I13" s="42" t="n">
        <v>-0.05573</v>
      </c>
      <c r="J13" s="41" t="n">
        <v>13602.4440146341</v>
      </c>
    </row>
    <row r="14" customFormat="false" ht="15" hidden="false" customHeight="false" outlineLevel="0" collapsed="false">
      <c r="A14" s="13" t="n">
        <v>43466</v>
      </c>
      <c r="B14" s="41" t="s">
        <v>1020</v>
      </c>
      <c r="C14" s="41" t="s">
        <v>1066</v>
      </c>
      <c r="D14" s="41" t="s">
        <v>791</v>
      </c>
      <c r="E14" s="41" t="n">
        <v>20.9</v>
      </c>
      <c r="F14" s="41" t="n">
        <v>6.8497</v>
      </c>
      <c r="G14" s="41" t="n">
        <v>3.05122852095712</v>
      </c>
      <c r="H14" s="42" t="n">
        <v>-0.35218</v>
      </c>
      <c r="I14" s="42" t="n">
        <v>-0.07675</v>
      </c>
      <c r="J14" s="41" t="n">
        <v>13602.0213947368</v>
      </c>
    </row>
    <row r="15" customFormat="false" ht="15" hidden="false" customHeight="false" outlineLevel="0" collapsed="false">
      <c r="A15" s="13" t="n">
        <v>43655</v>
      </c>
      <c r="B15" s="41" t="s">
        <v>1020</v>
      </c>
      <c r="C15" s="41" t="s">
        <v>1066</v>
      </c>
      <c r="D15" s="41" t="s">
        <v>791</v>
      </c>
      <c r="E15" s="41" t="n">
        <v>21</v>
      </c>
      <c r="F15" s="41" t="n">
        <v>6.8846</v>
      </c>
      <c r="G15" s="41" t="n">
        <v>3.05028614589083</v>
      </c>
      <c r="H15" s="42" t="n">
        <v>-0.35238</v>
      </c>
      <c r="I15" s="42" t="n">
        <v>-0.11305</v>
      </c>
      <c r="J15" s="41" t="n">
        <v>14898.78033</v>
      </c>
    </row>
    <row r="16" customFormat="false" ht="15" hidden="false" customHeight="false" outlineLevel="0" collapsed="false">
      <c r="A16" s="13" t="n">
        <v>43844</v>
      </c>
      <c r="B16" s="41" t="s">
        <v>1020</v>
      </c>
      <c r="C16" s="41" t="s">
        <v>1066</v>
      </c>
      <c r="D16" s="41" t="s">
        <v>791</v>
      </c>
      <c r="E16" s="41" t="n">
        <v>21.5</v>
      </c>
      <c r="F16" s="41" t="n">
        <v>6.885</v>
      </c>
      <c r="G16" s="41" t="n">
        <v>3.12273057371097</v>
      </c>
      <c r="H16" s="42" t="n">
        <v>-0.35213</v>
      </c>
      <c r="I16" s="42" t="n">
        <v>-0.10649</v>
      </c>
      <c r="J16" s="41" t="n">
        <v>14892.1596306977</v>
      </c>
    </row>
    <row r="17" customFormat="false" ht="15" hidden="false" customHeight="false" outlineLevel="0" collapsed="false">
      <c r="A17" s="13" t="n">
        <v>44013</v>
      </c>
      <c r="B17" s="41" t="s">
        <v>1020</v>
      </c>
      <c r="C17" s="41" t="s">
        <v>1066</v>
      </c>
      <c r="D17" s="41" t="s">
        <v>791</v>
      </c>
      <c r="E17" s="41" t="n">
        <v>21.7</v>
      </c>
      <c r="F17" s="41" t="n">
        <v>7.0035</v>
      </c>
      <c r="G17" s="41" t="n">
        <v>3.09845077461269</v>
      </c>
      <c r="H17" s="42" t="n">
        <v>-0.35717</v>
      </c>
      <c r="I17" s="42" t="n">
        <v>-0.08422</v>
      </c>
      <c r="J17" s="41" t="n">
        <v>15858.1840451613</v>
      </c>
    </row>
    <row r="18" customFormat="false" ht="15" hidden="false" customHeight="false" outlineLevel="0" collapsed="false">
      <c r="A18" s="13" t="n">
        <v>44197</v>
      </c>
      <c r="B18" s="41" t="s">
        <v>1020</v>
      </c>
      <c r="C18" s="41" t="s">
        <v>1066</v>
      </c>
      <c r="D18" s="41" t="s">
        <v>791</v>
      </c>
      <c r="E18" s="41" t="n">
        <v>22.4</v>
      </c>
      <c r="F18" s="41" t="n">
        <v>6.4751</v>
      </c>
      <c r="G18" s="41" t="n">
        <v>3.45940603233927</v>
      </c>
      <c r="H18" s="42" t="n">
        <v>-0.29256</v>
      </c>
      <c r="I18" s="42" t="n">
        <v>-0.03825</v>
      </c>
      <c r="J18" s="41" t="n">
        <v>15585.724321875</v>
      </c>
    </row>
    <row r="19" customFormat="false" ht="15" hidden="false" customHeight="false" outlineLevel="0" collapsed="false">
      <c r="A19" s="13" t="n">
        <v>44378</v>
      </c>
      <c r="B19" s="41" t="s">
        <v>1020</v>
      </c>
      <c r="C19" s="41" t="s">
        <v>1066</v>
      </c>
      <c r="D19" s="41" t="s">
        <v>791</v>
      </c>
      <c r="E19" s="41" t="n">
        <v>22.4</v>
      </c>
      <c r="F19" s="41" t="n">
        <v>6.4797</v>
      </c>
      <c r="G19" s="41" t="n">
        <v>3.45695016744602</v>
      </c>
      <c r="H19" s="42" t="n">
        <v>-0.29879</v>
      </c>
      <c r="I19" s="42" t="n">
        <v>-0.05297</v>
      </c>
      <c r="J19" s="41" t="n">
        <v>16244.1532401786</v>
      </c>
    </row>
    <row r="20" customFormat="false" ht="15" hidden="false" customHeight="false" outlineLevel="0" collapsed="false">
      <c r="A20" s="13" t="n">
        <v>44562</v>
      </c>
      <c r="B20" s="41" t="s">
        <v>1020</v>
      </c>
      <c r="C20" s="41" t="s">
        <v>1066</v>
      </c>
      <c r="D20" s="41" t="s">
        <v>791</v>
      </c>
      <c r="E20" s="41" t="n">
        <v>24.4</v>
      </c>
      <c r="F20" s="41" t="n">
        <v>6.36535</v>
      </c>
      <c r="G20" s="41" t="n">
        <v>3.83325347388596</v>
      </c>
      <c r="H20" s="42" t="n">
        <v>-0.23943</v>
      </c>
      <c r="I20" s="42" t="n">
        <v>0.01777</v>
      </c>
      <c r="J20" s="41" t="n">
        <v>15245.4022229508</v>
      </c>
    </row>
    <row r="21" customFormat="false" ht="15" hidden="false" customHeight="false" outlineLevel="0" collapsed="false">
      <c r="A21" s="13" t="n">
        <v>44743</v>
      </c>
      <c r="B21" s="41" t="s">
        <v>1020</v>
      </c>
      <c r="C21" s="41" t="s">
        <v>1066</v>
      </c>
      <c r="D21" s="41" t="s">
        <v>791</v>
      </c>
      <c r="E21" s="41" t="n">
        <v>24</v>
      </c>
      <c r="F21" s="41" t="n">
        <v>6.74735</v>
      </c>
      <c r="G21" s="41" t="n">
        <v>3.55695198855847</v>
      </c>
      <c r="H21" s="42" t="n">
        <v>-0.30933</v>
      </c>
      <c r="I21" s="42" t="n">
        <v>-0.13647</v>
      </c>
      <c r="J21" s="41" t="n">
        <v>17820.31646875</v>
      </c>
    </row>
    <row r="22" customFormat="false" ht="15" hidden="false" customHeight="false" outlineLevel="0" collapsed="false">
      <c r="A22" s="13" t="n">
        <v>44927</v>
      </c>
      <c r="B22" s="41" t="s">
        <v>1020</v>
      </c>
      <c r="C22" s="41" t="s">
        <v>1066</v>
      </c>
      <c r="D22" s="41" t="s">
        <v>791</v>
      </c>
      <c r="E22" s="41" t="n">
        <v>24</v>
      </c>
      <c r="F22" s="41" t="n">
        <v>6.78405</v>
      </c>
      <c r="G22" s="41" t="n">
        <v>3.53770977513432</v>
      </c>
      <c r="H22" s="42" t="n">
        <v>-0.33998</v>
      </c>
      <c r="I22" s="42" t="n">
        <v>-0.20675</v>
      </c>
      <c r="J22" s="41" t="n">
        <v>18546.97015</v>
      </c>
    </row>
    <row r="23" customFormat="false" ht="15" hidden="false" customHeight="false" outlineLevel="0" collapsed="false">
      <c r="A23" s="13" t="n">
        <v>45108</v>
      </c>
      <c r="B23" s="41" t="s">
        <v>1020</v>
      </c>
      <c r="C23" s="41" t="s">
        <v>1066</v>
      </c>
      <c r="D23" s="41" t="s">
        <v>791</v>
      </c>
      <c r="E23" s="41" t="n">
        <v>25</v>
      </c>
      <c r="F23" s="41" t="n">
        <v>7.14355</v>
      </c>
      <c r="G23" s="41" t="n">
        <v>3.49966053292831</v>
      </c>
      <c r="H23" s="42" t="n">
        <v>-0.37282</v>
      </c>
      <c r="I23" s="42" t="n">
        <v>-0.24883</v>
      </c>
      <c r="J23" s="41" t="n">
        <v>19500.45948</v>
      </c>
    </row>
    <row r="24" customFormat="false" ht="15" hidden="false" customHeight="false" outlineLevel="0" collapsed="false">
      <c r="A24" s="13" t="n">
        <v>45292</v>
      </c>
      <c r="B24" s="41" t="s">
        <v>1020</v>
      </c>
      <c r="C24" s="41" t="s">
        <v>1066</v>
      </c>
      <c r="D24" s="41" t="s">
        <v>791</v>
      </c>
      <c r="E24" s="41" t="n">
        <v>25</v>
      </c>
      <c r="F24" s="41" t="n">
        <v>7.2013</v>
      </c>
      <c r="G24" s="41" t="n">
        <v>3.47159540638496</v>
      </c>
      <c r="H24" s="42" t="n">
        <v>-0.38988</v>
      </c>
      <c r="I24" s="42" t="n">
        <v>-0.25826</v>
      </c>
      <c r="J24" s="41" t="n">
        <v>19884.87714</v>
      </c>
    </row>
    <row r="25" customFormat="false" ht="15" hidden="false" customHeight="false" outlineLevel="0" collapsed="false">
      <c r="A25" s="13" t="n">
        <v>45474</v>
      </c>
      <c r="B25" s="41" t="s">
        <v>1020</v>
      </c>
      <c r="C25" s="41" t="s">
        <v>1066</v>
      </c>
      <c r="D25" s="41" t="s">
        <v>791</v>
      </c>
      <c r="E25" s="41" t="n">
        <v>25.5</v>
      </c>
      <c r="F25" s="41" t="n">
        <v>7.2276</v>
      </c>
      <c r="G25" s="41" t="n">
        <v>3.52814212186618</v>
      </c>
      <c r="H25" s="42" t="n">
        <v>-0.37994</v>
      </c>
      <c r="I25" s="42" t="n">
        <v>-0.24118</v>
      </c>
      <c r="J25" s="41" t="n">
        <v>20487.0808560784</v>
      </c>
    </row>
    <row r="26" customFormat="false" ht="15" hidden="false" customHeight="false" outlineLevel="0" collapsed="false">
      <c r="A26" s="13" t="n">
        <v>45658</v>
      </c>
      <c r="B26" s="41" t="s">
        <v>1020</v>
      </c>
      <c r="C26" s="41" t="s">
        <v>1066</v>
      </c>
      <c r="D26" s="41" t="s">
        <v>791</v>
      </c>
      <c r="E26" s="41" t="n">
        <v>25.5</v>
      </c>
      <c r="F26" s="41" t="n">
        <v>7.24785</v>
      </c>
      <c r="G26" s="41" t="n">
        <v>3.51828473271384</v>
      </c>
      <c r="H26" s="42" t="n">
        <v>-0.39235</v>
      </c>
      <c r="I26" s="42" t="n">
        <v>-0.25775</v>
      </c>
      <c r="J26" s="41" t="n">
        <v>20847.1350011765</v>
      </c>
    </row>
    <row r="27" customFormat="false" ht="15" hidden="false" customHeight="false" outlineLevel="0" collapsed="false">
      <c r="A27" s="13" t="n">
        <v>45839</v>
      </c>
      <c r="B27" s="41" t="s">
        <v>1020</v>
      </c>
      <c r="C27" s="41" t="s">
        <v>1066</v>
      </c>
      <c r="D27" s="41" t="s">
        <v>791</v>
      </c>
      <c r="E27" s="41" t="n">
        <v>25.5</v>
      </c>
      <c r="F27" s="41" t="n">
        <v>7.18515</v>
      </c>
      <c r="G27" s="41" t="n">
        <v>3.54898645122231</v>
      </c>
      <c r="H27" s="42" t="n">
        <v>-0.40949</v>
      </c>
      <c r="I27" s="42" t="n">
        <v>-0.23611</v>
      </c>
      <c r="J27" s="41" t="n">
        <v>22580.048207451</v>
      </c>
    </row>
    <row r="28" customFormat="false" ht="15" hidden="false" customHeight="false" outlineLevel="0" collapsed="false">
      <c r="A28" s="13" t="n">
        <v>46023</v>
      </c>
      <c r="B28" s="41" t="s">
        <v>1020</v>
      </c>
      <c r="C28" s="41" t="s">
        <v>1066</v>
      </c>
      <c r="D28" s="41" t="s">
        <v>791</v>
      </c>
      <c r="E28" s="41" t="n">
        <v>25.5</v>
      </c>
      <c r="F28" s="41" t="n">
        <v>6.9627</v>
      </c>
      <c r="G28" s="41" t="n">
        <v>3.66237235555173</v>
      </c>
      <c r="H28" s="42" t="n">
        <v>-0.40157</v>
      </c>
      <c r="I28" s="42" t="n">
        <v>-0.25097</v>
      </c>
      <c r="J28" s="41" t="n">
        <v>22993.32696</v>
      </c>
    </row>
    <row r="29" customFormat="false" ht="15" hidden="false" customHeight="false" outlineLevel="0" collapsed="false">
      <c r="A29" s="13" t="n">
        <v>46204</v>
      </c>
      <c r="B29" s="41" t="s">
        <v>1020</v>
      </c>
      <c r="C29" s="41" t="s">
        <v>1066</v>
      </c>
      <c r="D29" s="41" t="s">
        <v>791</v>
      </c>
      <c r="E29" s="41" t="n">
        <v>26.5</v>
      </c>
      <c r="F29" s="41" t="n">
        <v>6.7708</v>
      </c>
      <c r="G29" s="41" t="n">
        <v>3.91386542210669</v>
      </c>
      <c r="H29" s="42" t="n">
        <v>-0.37076</v>
      </c>
      <c r="I29" s="42" t="n">
        <v>-0.23784</v>
      </c>
      <c r="J29" s="41" t="n">
        <v>23418.2272377359</v>
      </c>
    </row>
    <row r="30" customFormat="false" ht="15" hidden="false" customHeight="false" outlineLevel="0" collapsed="false">
      <c r="A30" s="13" t="n">
        <v>42370</v>
      </c>
      <c r="B30" s="41" t="s">
        <v>1132</v>
      </c>
      <c r="C30" s="41" t="s">
        <v>1063</v>
      </c>
      <c r="D30" s="41" t="s">
        <v>1133</v>
      </c>
      <c r="E30" s="41" t="n">
        <v>3.72</v>
      </c>
      <c r="F30" s="41" t="n">
        <v>0.930232558</v>
      </c>
      <c r="G30" s="41" t="n">
        <v>3.99900000059985</v>
      </c>
      <c r="H30" s="42" t="n">
        <v>-0.06783</v>
      </c>
      <c r="I30" s="42" t="n">
        <v>0.09781</v>
      </c>
      <c r="J30" s="41" t="n">
        <v>35246.2691794955</v>
      </c>
    </row>
    <row r="31" customFormat="false" ht="15" hidden="false" customHeight="false" outlineLevel="0" collapsed="false">
      <c r="A31" s="13" t="n">
        <v>42552</v>
      </c>
      <c r="B31" s="41" t="s">
        <v>1132</v>
      </c>
      <c r="C31" s="41" t="s">
        <v>1063</v>
      </c>
      <c r="D31" s="41" t="s">
        <v>1133</v>
      </c>
      <c r="E31" s="41" t="n">
        <v>3.82</v>
      </c>
      <c r="F31" s="41" t="n">
        <v>0.908306463</v>
      </c>
      <c r="G31" s="41" t="n">
        <v>4.20562899815015</v>
      </c>
      <c r="H31" s="42" t="n">
        <v>-0.06542</v>
      </c>
      <c r="I31" s="42" t="n">
        <v>0.06463</v>
      </c>
      <c r="J31" s="41" t="n">
        <v>36974.258779876</v>
      </c>
    </row>
    <row r="32" customFormat="false" ht="15" hidden="false" customHeight="false" outlineLevel="0" collapsed="false">
      <c r="A32" s="13" t="n">
        <v>42736</v>
      </c>
      <c r="B32" s="41" t="s">
        <v>1132</v>
      </c>
      <c r="C32" s="41" t="s">
        <v>1063</v>
      </c>
      <c r="D32" s="41" t="s">
        <v>1133</v>
      </c>
      <c r="E32" s="41" t="n">
        <v>3.88</v>
      </c>
      <c r="F32" s="41" t="n">
        <v>0.955246692</v>
      </c>
      <c r="G32" s="41" t="n">
        <v>4.06177800194884</v>
      </c>
      <c r="H32" s="42" t="n">
        <v>-0.09738</v>
      </c>
      <c r="I32" s="42" t="n">
        <v>0.03216</v>
      </c>
      <c r="J32" s="41" t="n">
        <v>36402.4918915274</v>
      </c>
    </row>
    <row r="33" customFormat="false" ht="15" hidden="false" customHeight="false" outlineLevel="0" collapsed="false">
      <c r="A33" s="13" t="n">
        <v>42917</v>
      </c>
      <c r="B33" s="41" t="s">
        <v>1132</v>
      </c>
      <c r="C33" s="41" t="s">
        <v>1063</v>
      </c>
      <c r="D33" s="41" t="s">
        <v>1133</v>
      </c>
      <c r="E33" s="41" t="n">
        <v>3.91</v>
      </c>
      <c r="F33" s="41" t="n">
        <v>0.875695083</v>
      </c>
      <c r="G33" s="41" t="n">
        <v>4.46502449985779</v>
      </c>
      <c r="H33" s="42" t="n">
        <v>-0.00777</v>
      </c>
      <c r="I33" s="42" t="n">
        <v>0.13491</v>
      </c>
      <c r="J33" s="41" t="n">
        <v>37009.4620226415</v>
      </c>
    </row>
    <row r="34" customFormat="false" ht="15" hidden="false" customHeight="false" outlineLevel="0" collapsed="false">
      <c r="A34" s="13" t="n">
        <v>43101</v>
      </c>
      <c r="B34" s="41" t="s">
        <v>1132</v>
      </c>
      <c r="C34" s="41" t="s">
        <v>1063</v>
      </c>
      <c r="D34" s="41" t="s">
        <v>1133</v>
      </c>
      <c r="E34" s="41" t="n">
        <v>3.95</v>
      </c>
      <c r="F34" s="41" t="n">
        <v>0.816826629</v>
      </c>
      <c r="G34" s="41" t="n">
        <v>4.8357874973246</v>
      </c>
      <c r="H34" s="42" t="n">
        <v>0.04898</v>
      </c>
      <c r="I34" s="42" t="n">
        <v>0.20322</v>
      </c>
      <c r="J34" s="41" t="n">
        <v>37530.1971254186</v>
      </c>
    </row>
    <row r="35" customFormat="false" ht="15" hidden="false" customHeight="false" outlineLevel="0" collapsed="false">
      <c r="A35" s="13" t="n">
        <v>43282</v>
      </c>
      <c r="B35" s="41" t="s">
        <v>1132</v>
      </c>
      <c r="C35" s="41" t="s">
        <v>1063</v>
      </c>
      <c r="D35" s="41" t="s">
        <v>1133</v>
      </c>
      <c r="E35" s="41" t="n">
        <v>4.04</v>
      </c>
      <c r="F35" s="41" t="n">
        <v>0.853205921</v>
      </c>
      <c r="G35" s="41" t="n">
        <v>4.73508200138241</v>
      </c>
      <c r="H35" s="42" t="n">
        <v>0.02491</v>
      </c>
      <c r="I35" s="42" t="n">
        <v>0.18907</v>
      </c>
      <c r="J35" s="41" t="n">
        <v>38093.951176742</v>
      </c>
    </row>
    <row r="36" customFormat="false" ht="15" hidden="false" customHeight="false" outlineLevel="0" collapsed="false">
      <c r="A36" s="13" t="n">
        <v>43466</v>
      </c>
      <c r="B36" s="41" t="s">
        <v>1132</v>
      </c>
      <c r="C36" s="41" t="s">
        <v>1063</v>
      </c>
      <c r="D36" s="41" t="s">
        <v>1133</v>
      </c>
      <c r="E36" s="41" t="n">
        <v>4.05</v>
      </c>
      <c r="F36" s="41" t="n">
        <v>0.872486149</v>
      </c>
      <c r="G36" s="41" t="n">
        <v>4.64190750150235</v>
      </c>
      <c r="H36" s="42" t="n">
        <v>-0.01446</v>
      </c>
      <c r="I36" s="42" t="n">
        <v>0.14294</v>
      </c>
      <c r="J36" s="41" t="n">
        <v>38740.1496751385</v>
      </c>
    </row>
    <row r="37" customFormat="false" ht="15" hidden="false" customHeight="false" outlineLevel="0" collapsed="false">
      <c r="A37" s="13" t="n">
        <v>43655</v>
      </c>
      <c r="B37" s="41" t="s">
        <v>1132</v>
      </c>
      <c r="C37" s="41" t="s">
        <v>1063</v>
      </c>
      <c r="D37" s="41" t="s">
        <v>1133</v>
      </c>
      <c r="E37" s="41" t="n">
        <v>4.08</v>
      </c>
      <c r="F37" s="41" t="n">
        <v>0.892339267</v>
      </c>
      <c r="G37" s="41" t="n">
        <v>4.57225200199556</v>
      </c>
      <c r="H37" s="42" t="n">
        <v>-0.02925</v>
      </c>
      <c r="I37" s="42" t="n">
        <v>0.11773</v>
      </c>
      <c r="J37" s="41" t="n">
        <v>39644.3301976538</v>
      </c>
    </row>
    <row r="38" customFormat="false" ht="15" hidden="false" customHeight="false" outlineLevel="0" collapsed="false">
      <c r="A38" s="13" t="n">
        <v>43844</v>
      </c>
      <c r="B38" s="41" t="s">
        <v>1132</v>
      </c>
      <c r="C38" s="41" t="s">
        <v>1063</v>
      </c>
      <c r="D38" s="41" t="s">
        <v>1133</v>
      </c>
      <c r="E38" s="41" t="n">
        <v>4.12</v>
      </c>
      <c r="F38" s="41" t="n">
        <v>0.899159286</v>
      </c>
      <c r="G38" s="41" t="n">
        <v>4.58205800034411</v>
      </c>
      <c r="H38" s="42" t="n">
        <v>-0.04937</v>
      </c>
      <c r="I38" s="42" t="n">
        <v>0.09384</v>
      </c>
      <c r="J38" s="41" t="n">
        <v>40176.3207766465</v>
      </c>
    </row>
    <row r="39" customFormat="false" ht="15" hidden="false" customHeight="false" outlineLevel="0" collapsed="false">
      <c r="A39" s="13" t="n">
        <v>44013</v>
      </c>
      <c r="B39" s="41" t="s">
        <v>1132</v>
      </c>
      <c r="C39" s="41" t="s">
        <v>1063</v>
      </c>
      <c r="D39" s="41" t="s">
        <v>1133</v>
      </c>
      <c r="E39" s="41" t="n">
        <v>4.21</v>
      </c>
      <c r="F39" s="41" t="n">
        <v>0.879623521</v>
      </c>
      <c r="G39" s="41" t="n">
        <v>4.78613850072343</v>
      </c>
      <c r="H39" s="42" t="n">
        <v>-0.00703</v>
      </c>
      <c r="I39" s="42" t="n">
        <v>0.16835</v>
      </c>
      <c r="J39" s="41" t="n">
        <v>40529.1678571703</v>
      </c>
    </row>
    <row r="40" customFormat="false" ht="15" hidden="false" customHeight="false" outlineLevel="0" collapsed="false">
      <c r="A40" s="13" t="n">
        <v>44197</v>
      </c>
      <c r="B40" s="41" t="s">
        <v>1132</v>
      </c>
      <c r="C40" s="41" t="s">
        <v>1063</v>
      </c>
      <c r="D40" s="41" t="s">
        <v>1133</v>
      </c>
      <c r="E40" s="41" t="n">
        <v>4.25</v>
      </c>
      <c r="F40" s="41" t="n">
        <v>0.823011399</v>
      </c>
      <c r="G40" s="41" t="n">
        <v>5.16396249816705</v>
      </c>
      <c r="H40" s="42" t="n">
        <v>0.05603</v>
      </c>
      <c r="I40" s="42" t="n">
        <v>0.21575</v>
      </c>
      <c r="J40" s="41" t="n">
        <v>40730.7749943266</v>
      </c>
    </row>
    <row r="41" customFormat="false" ht="15" hidden="false" customHeight="false" outlineLevel="0" collapsed="false">
      <c r="A41" s="13" t="n">
        <v>44378</v>
      </c>
      <c r="B41" s="41" t="s">
        <v>1132</v>
      </c>
      <c r="C41" s="41" t="s">
        <v>1063</v>
      </c>
      <c r="D41" s="41" t="s">
        <v>1133</v>
      </c>
      <c r="E41" s="41" t="n">
        <v>4.29</v>
      </c>
      <c r="F41" s="41" t="n">
        <v>0.850159405</v>
      </c>
      <c r="G41" s="41" t="n">
        <v>5.0461124993377</v>
      </c>
      <c r="H41" s="42" t="n">
        <v>0.02355</v>
      </c>
      <c r="I41" s="42" t="n">
        <v>0.18716</v>
      </c>
      <c r="J41" s="41" t="n">
        <v>38887.1975285624</v>
      </c>
    </row>
    <row r="42" customFormat="false" ht="15" hidden="false" customHeight="false" outlineLevel="0" collapsed="false">
      <c r="A42" s="13" t="n">
        <v>44562</v>
      </c>
      <c r="B42" s="41" t="s">
        <v>1132</v>
      </c>
      <c r="C42" s="41" t="s">
        <v>1063</v>
      </c>
      <c r="D42" s="41" t="s">
        <v>1133</v>
      </c>
      <c r="E42" s="41" t="n">
        <v>4.42</v>
      </c>
      <c r="F42" s="41" t="n">
        <v>0.89206066</v>
      </c>
      <c r="G42" s="41" t="n">
        <v>4.95482000069368</v>
      </c>
      <c r="H42" s="42" t="n">
        <v>-0.0169</v>
      </c>
      <c r="I42" s="42" t="n">
        <v>0.13392</v>
      </c>
      <c r="J42" s="41" t="n">
        <v>38585.6025113381</v>
      </c>
    </row>
    <row r="43" customFormat="false" ht="15" hidden="false" customHeight="false" outlineLevel="0" collapsed="false">
      <c r="A43" s="13" t="n">
        <v>44743</v>
      </c>
      <c r="B43" s="41" t="s">
        <v>1132</v>
      </c>
      <c r="C43" s="41" t="s">
        <v>1063</v>
      </c>
      <c r="D43" s="41" t="s">
        <v>1133</v>
      </c>
      <c r="E43" s="41" t="n">
        <v>4.65</v>
      </c>
      <c r="F43" s="41" t="n">
        <v>0.975849999999997</v>
      </c>
      <c r="G43" s="41" t="n">
        <v>4.76507659988729</v>
      </c>
      <c r="H43" s="42" t="n">
        <v>-0.07474</v>
      </c>
      <c r="I43" s="42" t="n">
        <v>0.04507</v>
      </c>
      <c r="J43" s="41" t="n">
        <v>40700.4998222808</v>
      </c>
    </row>
    <row r="44" customFormat="false" ht="15" hidden="false" customHeight="false" outlineLevel="0" collapsed="false">
      <c r="A44" s="13" t="n">
        <v>44927</v>
      </c>
      <c r="B44" s="41" t="s">
        <v>1132</v>
      </c>
      <c r="C44" s="41" t="s">
        <v>1063</v>
      </c>
      <c r="D44" s="41" t="s">
        <v>1133</v>
      </c>
      <c r="E44" s="41" t="n">
        <v>4.81</v>
      </c>
      <c r="F44" s="41" t="n">
        <v>0.9195</v>
      </c>
      <c r="G44" s="41" t="n">
        <v>5.23110386079391</v>
      </c>
      <c r="H44" s="42" t="n">
        <v>-0.02405</v>
      </c>
      <c r="I44" s="42" t="n">
        <v>0.08044</v>
      </c>
      <c r="J44" s="41" t="n">
        <v>40951.0630188131</v>
      </c>
    </row>
    <row r="45" customFormat="false" ht="15" hidden="false" customHeight="false" outlineLevel="0" collapsed="false">
      <c r="A45" s="13" t="n">
        <v>45108</v>
      </c>
      <c r="B45" s="41" t="s">
        <v>1132</v>
      </c>
      <c r="C45" s="41" t="s">
        <v>1063</v>
      </c>
      <c r="D45" s="41" t="s">
        <v>1133</v>
      </c>
      <c r="E45" s="41" t="n">
        <v>5.28</v>
      </c>
      <c r="F45" s="41" t="n">
        <v>0.90699</v>
      </c>
      <c r="G45" s="41" t="n">
        <v>5.82145337875831</v>
      </c>
      <c r="H45" s="42" t="n">
        <v>0.04327</v>
      </c>
      <c r="I45" s="42" t="n">
        <v>0.16063</v>
      </c>
      <c r="J45" s="41" t="n">
        <v>42143.9311739079</v>
      </c>
    </row>
    <row r="46" customFormat="false" ht="15" hidden="false" customHeight="false" outlineLevel="0" collapsed="false">
      <c r="A46" s="13" t="n">
        <v>45292</v>
      </c>
      <c r="B46" s="41" t="s">
        <v>1132</v>
      </c>
      <c r="C46" s="41" t="s">
        <v>1063</v>
      </c>
      <c r="D46" s="41" t="s">
        <v>1133</v>
      </c>
      <c r="E46" s="41" t="n">
        <v>5.39</v>
      </c>
      <c r="F46" s="41" t="n">
        <v>0.91865</v>
      </c>
      <c r="G46" s="41" t="n">
        <v>5.86730528492897</v>
      </c>
      <c r="H46" s="42" t="n">
        <v>0.03116</v>
      </c>
      <c r="I46" s="42" t="n">
        <v>0.15804</v>
      </c>
      <c r="J46" s="41" t="n">
        <v>42097.6903014327</v>
      </c>
    </row>
    <row r="47" customFormat="false" ht="15" hidden="false" customHeight="false" outlineLevel="0" collapsed="false">
      <c r="A47" s="13" t="n">
        <v>45474</v>
      </c>
      <c r="B47" s="41" t="s">
        <v>1132</v>
      </c>
      <c r="C47" s="41" t="s">
        <v>1063</v>
      </c>
      <c r="D47" s="41" t="s">
        <v>1133</v>
      </c>
      <c r="E47" s="41" t="n">
        <v>5.6</v>
      </c>
      <c r="F47" s="41" t="n">
        <v>0.92413</v>
      </c>
      <c r="G47" s="41" t="n">
        <v>6.0597534978845</v>
      </c>
      <c r="H47" s="42" t="n">
        <v>0.06498</v>
      </c>
      <c r="I47" s="42" t="n">
        <v>0.2069</v>
      </c>
      <c r="J47" s="41" t="n">
        <v>42636.603439052</v>
      </c>
    </row>
    <row r="48" customFormat="false" ht="15" hidden="false" customHeight="false" outlineLevel="0" collapsed="false">
      <c r="A48" s="13" t="n">
        <v>45658</v>
      </c>
      <c r="B48" s="41" t="s">
        <v>1132</v>
      </c>
      <c r="C48" s="41" t="s">
        <v>1063</v>
      </c>
      <c r="D48" s="41" t="s">
        <v>1133</v>
      </c>
      <c r="E48" s="41" t="n">
        <v>5.67</v>
      </c>
      <c r="F48" s="41" t="n">
        <v>0.95247</v>
      </c>
      <c r="G48" s="41" t="n">
        <v>5.95294339979212</v>
      </c>
      <c r="H48" s="42" t="n">
        <v>0.02814</v>
      </c>
      <c r="I48" s="42" t="n">
        <v>0.16393</v>
      </c>
      <c r="J48" s="41" t="n">
        <v>42850.2998827679</v>
      </c>
    </row>
    <row r="49" customFormat="false" ht="15" hidden="false" customHeight="false" outlineLevel="0" collapsed="false">
      <c r="A49" s="13" t="n">
        <v>45839</v>
      </c>
      <c r="B49" s="41" t="s">
        <v>1132</v>
      </c>
      <c r="C49" s="41" t="s">
        <v>1063</v>
      </c>
      <c r="D49" s="41" t="s">
        <v>1133</v>
      </c>
      <c r="E49" s="41" t="n">
        <v>5.96</v>
      </c>
      <c r="F49" s="41" t="n">
        <v>0.86073</v>
      </c>
      <c r="G49" s="41" t="n">
        <v>6.92435490804317</v>
      </c>
      <c r="H49" s="42" t="n">
        <v>0.15214</v>
      </c>
      <c r="I49" s="42" t="n">
        <v>0.35756</v>
      </c>
      <c r="J49" s="41" t="n">
        <v>43776.7897643109</v>
      </c>
    </row>
    <row r="50" customFormat="false" ht="15" hidden="false" customHeight="false" outlineLevel="0" collapsed="false">
      <c r="A50" s="13" t="n">
        <v>46023</v>
      </c>
      <c r="B50" s="41" t="s">
        <v>1132</v>
      </c>
      <c r="C50" s="41" t="s">
        <v>1063</v>
      </c>
      <c r="D50" s="41" t="s">
        <v>1133</v>
      </c>
      <c r="E50" s="41" t="n">
        <v>6</v>
      </c>
      <c r="F50" s="41" t="n">
        <v>0.86192</v>
      </c>
      <c r="G50" s="41" t="n">
        <v>6.96120289586041</v>
      </c>
      <c r="H50" s="42" t="n">
        <v>0.13745</v>
      </c>
      <c r="I50" s="42" t="n">
        <v>0.31243</v>
      </c>
      <c r="J50" s="41" t="n">
        <v>44280.84198589</v>
      </c>
    </row>
    <row r="51" customFormat="false" ht="15" hidden="false" customHeight="false" outlineLevel="0" collapsed="false">
      <c r="A51" s="13" t="n">
        <v>46204</v>
      </c>
      <c r="B51" s="41" t="s">
        <v>1132</v>
      </c>
      <c r="C51" s="41" t="s">
        <v>1063</v>
      </c>
      <c r="D51" s="41" t="s">
        <v>1133</v>
      </c>
      <c r="E51" s="41" t="n">
        <v>6.19</v>
      </c>
      <c r="F51" s="41" t="n">
        <v>0.87439</v>
      </c>
      <c r="G51" s="41" t="n">
        <v>7.07922094259998</v>
      </c>
      <c r="H51" s="42" t="n">
        <v>0.13814</v>
      </c>
      <c r="I51" s="42" t="n">
        <v>0.29141</v>
      </c>
      <c r="J51" s="41" t="n">
        <v>44686.8856021419</v>
      </c>
    </row>
    <row r="52" customFormat="false" ht="15" hidden="false" customHeight="false" outlineLevel="0" collapsed="false">
      <c r="A52" s="13" t="n">
        <v>42370</v>
      </c>
      <c r="B52" s="41" t="s">
        <v>1008</v>
      </c>
      <c r="C52" s="41" t="s">
        <v>1134</v>
      </c>
      <c r="D52" s="41" t="s">
        <v>1135</v>
      </c>
      <c r="E52" s="41" t="n">
        <v>2.89</v>
      </c>
      <c r="F52" s="41" t="n">
        <v>0.684532977</v>
      </c>
      <c r="G52" s="41" t="n">
        <v>4.22185650232012</v>
      </c>
      <c r="H52" s="42" t="n">
        <v>-0.01588</v>
      </c>
      <c r="I52" s="42" t="n">
        <v>0.08369</v>
      </c>
      <c r="J52" s="41" t="n">
        <v>43074.0567301038</v>
      </c>
    </row>
    <row r="53" customFormat="false" ht="15" hidden="false" customHeight="false" outlineLevel="0" collapsed="false">
      <c r="A53" s="13" t="n">
        <v>42552</v>
      </c>
      <c r="B53" s="41" t="s">
        <v>1008</v>
      </c>
      <c r="C53" s="41" t="s">
        <v>1134</v>
      </c>
      <c r="D53" s="41" t="s">
        <v>1135</v>
      </c>
      <c r="E53" s="41" t="n">
        <v>2.99</v>
      </c>
      <c r="F53" s="41" t="n">
        <v>0.758840492</v>
      </c>
      <c r="G53" s="41" t="n">
        <v>3.94022199859098</v>
      </c>
      <c r="H53" s="42" t="n">
        <v>-0.1244</v>
      </c>
      <c r="I53" s="42" t="n">
        <v>-0.05262</v>
      </c>
      <c r="J53" s="41" t="n">
        <v>44581.8115384615</v>
      </c>
    </row>
    <row r="54" customFormat="false" ht="15" hidden="false" customHeight="false" outlineLevel="0" collapsed="false">
      <c r="A54" s="13" t="n">
        <v>42736</v>
      </c>
      <c r="B54" s="41" t="s">
        <v>1008</v>
      </c>
      <c r="C54" s="41" t="s">
        <v>1134</v>
      </c>
      <c r="D54" s="41" t="s">
        <v>1135</v>
      </c>
      <c r="E54" s="41" t="n">
        <v>3.09</v>
      </c>
      <c r="F54" s="41" t="n">
        <v>0.82877507</v>
      </c>
      <c r="G54" s="41" t="n">
        <v>3.72839400200588</v>
      </c>
      <c r="H54" s="42" t="n">
        <v>-0.17147</v>
      </c>
      <c r="I54" s="42" t="n">
        <v>-0.09502</v>
      </c>
      <c r="J54" s="41" t="n">
        <v>43139.0344660194</v>
      </c>
    </row>
    <row r="55" customFormat="false" ht="15" hidden="false" customHeight="false" outlineLevel="0" collapsed="false">
      <c r="A55" s="13" t="n">
        <v>42917</v>
      </c>
      <c r="B55" s="41" t="s">
        <v>1008</v>
      </c>
      <c r="C55" s="41" t="s">
        <v>1134</v>
      </c>
      <c r="D55" s="41" t="s">
        <v>1135</v>
      </c>
      <c r="E55" s="41" t="n">
        <v>3.19</v>
      </c>
      <c r="F55" s="41" t="n">
        <v>0.775885479</v>
      </c>
      <c r="G55" s="41" t="n">
        <v>4.11143150160695</v>
      </c>
      <c r="H55" s="42" t="n">
        <v>-0.08635</v>
      </c>
      <c r="I55" s="42" t="n">
        <v>0.00348</v>
      </c>
      <c r="J55" s="41" t="n">
        <v>43106.184169279</v>
      </c>
    </row>
    <row r="56" customFormat="false" ht="15" hidden="false" customHeight="false" outlineLevel="0" collapsed="false">
      <c r="A56" s="13" t="n">
        <v>43101</v>
      </c>
      <c r="B56" s="41" t="s">
        <v>1008</v>
      </c>
      <c r="C56" s="41" t="s">
        <v>1134</v>
      </c>
      <c r="D56" s="41" t="s">
        <v>1135</v>
      </c>
      <c r="E56" s="41" t="n">
        <v>3.19</v>
      </c>
      <c r="F56" s="41" t="n">
        <v>0.72285673</v>
      </c>
      <c r="G56" s="41" t="n">
        <v>4.41304599875552</v>
      </c>
      <c r="H56" s="42" t="n">
        <v>-0.04272</v>
      </c>
      <c r="I56" s="42" t="n">
        <v>0.04853</v>
      </c>
      <c r="J56" s="41" t="n">
        <v>44159.8908934169</v>
      </c>
    </row>
    <row r="57" customFormat="false" ht="15" hidden="false" customHeight="false" outlineLevel="0" collapsed="false">
      <c r="A57" s="13" t="n">
        <v>43282</v>
      </c>
      <c r="B57" s="41" t="s">
        <v>1008</v>
      </c>
      <c r="C57" s="41" t="s">
        <v>1134</v>
      </c>
      <c r="D57" s="41" t="s">
        <v>1135</v>
      </c>
      <c r="E57" s="41" t="n">
        <v>3.19</v>
      </c>
      <c r="F57" s="41" t="n">
        <v>0.753863551</v>
      </c>
      <c r="G57" s="41" t="n">
        <v>4.23153499830104</v>
      </c>
      <c r="H57" s="42" t="n">
        <v>-0.08408</v>
      </c>
      <c r="I57" s="42" t="n">
        <v>0.00496</v>
      </c>
      <c r="J57" s="41" t="n">
        <v>46045.6615862069</v>
      </c>
    </row>
    <row r="58" customFormat="false" ht="15" hidden="false" customHeight="false" outlineLevel="0" collapsed="false">
      <c r="A58" s="13" t="n">
        <v>43466</v>
      </c>
      <c r="B58" s="41" t="s">
        <v>1008</v>
      </c>
      <c r="C58" s="41" t="s">
        <v>1134</v>
      </c>
      <c r="D58" s="41" t="s">
        <v>1135</v>
      </c>
      <c r="E58" s="41" t="n">
        <v>3.19</v>
      </c>
      <c r="F58" s="41" t="n">
        <v>0.78320802</v>
      </c>
      <c r="G58" s="41" t="n">
        <v>4.07299200026067</v>
      </c>
      <c r="H58" s="42" t="n">
        <v>-0.13525</v>
      </c>
      <c r="I58" s="42" t="n">
        <v>-0.0546</v>
      </c>
      <c r="J58" s="41" t="n">
        <v>46942.6549937304</v>
      </c>
    </row>
    <row r="59" customFormat="false" ht="15" hidden="false" customHeight="false" outlineLevel="0" collapsed="false">
      <c r="A59" s="13" t="n">
        <v>43655</v>
      </c>
      <c r="B59" s="41" t="s">
        <v>1008</v>
      </c>
      <c r="C59" s="41" t="s">
        <v>1134</v>
      </c>
      <c r="D59" s="41" t="s">
        <v>1135</v>
      </c>
      <c r="E59" s="41" t="n">
        <v>3.29</v>
      </c>
      <c r="F59" s="41" t="n">
        <v>0.802181935</v>
      </c>
      <c r="G59" s="41" t="n">
        <v>4.10131399929868</v>
      </c>
      <c r="H59" s="42" t="n">
        <v>-0.12923</v>
      </c>
      <c r="I59" s="42" t="n">
        <v>-0.04213</v>
      </c>
      <c r="J59" s="41" t="n">
        <v>46899.5071823708</v>
      </c>
    </row>
    <row r="60" customFormat="false" ht="15" hidden="false" customHeight="false" outlineLevel="0" collapsed="false">
      <c r="A60" s="13" t="n">
        <v>43844</v>
      </c>
      <c r="B60" s="41" t="s">
        <v>1008</v>
      </c>
      <c r="C60" s="41" t="s">
        <v>1134</v>
      </c>
      <c r="D60" s="41" t="s">
        <v>1135</v>
      </c>
      <c r="E60" s="41" t="n">
        <v>3.39</v>
      </c>
      <c r="F60" s="41" t="n">
        <v>0.76866905</v>
      </c>
      <c r="G60" s="41" t="n">
        <v>4.41022049736489</v>
      </c>
      <c r="H60" s="42" t="n">
        <v>-0.08502</v>
      </c>
      <c r="I60" s="42" t="n">
        <v>0.01043</v>
      </c>
      <c r="J60" s="41" t="n">
        <v>46579.0482182891</v>
      </c>
    </row>
    <row r="61" customFormat="false" ht="15" hidden="false" customHeight="false" outlineLevel="0" collapsed="false">
      <c r="A61" s="13" t="n">
        <v>44013</v>
      </c>
      <c r="B61" s="41" t="s">
        <v>1008</v>
      </c>
      <c r="C61" s="41" t="s">
        <v>1134</v>
      </c>
      <c r="D61" s="41" t="s">
        <v>1135</v>
      </c>
      <c r="E61" s="41" t="n">
        <v>3.39</v>
      </c>
      <c r="F61" s="41" t="n">
        <v>0.79255003</v>
      </c>
      <c r="G61" s="41" t="n">
        <v>4.27733249849224</v>
      </c>
      <c r="H61" s="42" t="n">
        <v>-0.11259</v>
      </c>
      <c r="I61" s="42" t="n">
        <v>-0.00865</v>
      </c>
      <c r="J61" s="41" t="n">
        <v>48077.7611032449</v>
      </c>
    </row>
    <row r="62" customFormat="false" ht="15" hidden="false" customHeight="false" outlineLevel="0" collapsed="false">
      <c r="A62" s="13" t="n">
        <v>44197</v>
      </c>
      <c r="B62" s="41" t="s">
        <v>1008</v>
      </c>
      <c r="C62" s="41" t="s">
        <v>1134</v>
      </c>
      <c r="D62" s="41" t="s">
        <v>1135</v>
      </c>
      <c r="E62" s="41" t="n">
        <v>3.29</v>
      </c>
      <c r="F62" s="41" t="n">
        <v>0.74137228</v>
      </c>
      <c r="G62" s="41" t="n">
        <v>4.4377165005414</v>
      </c>
      <c r="H62" s="42" t="n">
        <v>-0.09249</v>
      </c>
      <c r="I62" s="42" t="n">
        <v>-0.01254</v>
      </c>
      <c r="J62" s="41" t="n">
        <v>50258.5386109423</v>
      </c>
    </row>
    <row r="63" customFormat="false" ht="15" hidden="false" customHeight="false" outlineLevel="0" collapsed="false">
      <c r="A63" s="13" t="n">
        <v>44378</v>
      </c>
      <c r="B63" s="41" t="s">
        <v>1008</v>
      </c>
      <c r="C63" s="41" t="s">
        <v>1134</v>
      </c>
      <c r="D63" s="41" t="s">
        <v>1135</v>
      </c>
      <c r="E63" s="41" t="n">
        <v>3.49</v>
      </c>
      <c r="F63" s="41" t="n">
        <v>0.734672887</v>
      </c>
      <c r="G63" s="41" t="n">
        <v>4.75041349933471</v>
      </c>
      <c r="H63" s="42" t="n">
        <v>-0.03643</v>
      </c>
      <c r="I63" s="42" t="n">
        <v>0.07674</v>
      </c>
      <c r="J63" s="41" t="n">
        <v>44971.4614126074</v>
      </c>
    </row>
    <row r="64" customFormat="false" ht="15" hidden="false" customHeight="false" outlineLevel="0" collapsed="false">
      <c r="A64" s="13" t="n">
        <v>44562</v>
      </c>
      <c r="B64" s="41" t="s">
        <v>1008</v>
      </c>
      <c r="C64" s="41" t="s">
        <v>1134</v>
      </c>
      <c r="D64" s="41" t="s">
        <v>1135</v>
      </c>
      <c r="E64" s="41" t="n">
        <v>3.59</v>
      </c>
      <c r="F64" s="41" t="n">
        <v>0.745350874</v>
      </c>
      <c r="G64" s="41" t="n">
        <v>4.81652349950823</v>
      </c>
      <c r="H64" s="42" t="n">
        <v>-0.04434</v>
      </c>
      <c r="I64" s="42" t="n">
        <v>0.06382</v>
      </c>
      <c r="J64" s="41" t="n">
        <v>44694.2440779944</v>
      </c>
    </row>
    <row r="65" customFormat="false" ht="15" hidden="false" customHeight="false" outlineLevel="0" collapsed="false">
      <c r="A65" s="13" t="n">
        <v>44743</v>
      </c>
      <c r="B65" s="41" t="s">
        <v>1008</v>
      </c>
      <c r="C65" s="41" t="s">
        <v>1134</v>
      </c>
      <c r="D65" s="41" t="s">
        <v>1135</v>
      </c>
      <c r="E65" s="41" t="n">
        <v>3.69</v>
      </c>
      <c r="F65" s="41" t="n">
        <v>0.831079999999998</v>
      </c>
      <c r="G65" s="41" t="n">
        <v>4.44000577561728</v>
      </c>
      <c r="H65" s="42" t="n">
        <v>-0.13786</v>
      </c>
      <c r="I65" s="42" t="n">
        <v>-0.05688</v>
      </c>
      <c r="J65" s="41" t="n">
        <v>48398.6044037941</v>
      </c>
    </row>
    <row r="66" customFormat="false" ht="15" hidden="false" customHeight="false" outlineLevel="0" collapsed="false">
      <c r="A66" s="13" t="n">
        <v>44927</v>
      </c>
      <c r="B66" s="41" t="s">
        <v>1008</v>
      </c>
      <c r="C66" s="41" t="s">
        <v>1134</v>
      </c>
      <c r="D66" s="41" t="s">
        <v>1135</v>
      </c>
      <c r="E66" s="41" t="n">
        <v>3.79</v>
      </c>
      <c r="F66" s="41" t="n">
        <v>0.81205</v>
      </c>
      <c r="G66" s="41" t="n">
        <v>4.6672002955483</v>
      </c>
      <c r="H66" s="42" t="n">
        <v>-0.12925</v>
      </c>
      <c r="I66" s="42" t="n">
        <v>-0.06273</v>
      </c>
      <c r="J66" s="41" t="n">
        <v>49043.059525066</v>
      </c>
    </row>
    <row r="67" customFormat="false" ht="15" hidden="false" customHeight="false" outlineLevel="0" collapsed="false">
      <c r="A67" s="13" t="n">
        <v>45108</v>
      </c>
      <c r="B67" s="41" t="s">
        <v>1008</v>
      </c>
      <c r="C67" s="41" t="s">
        <v>1134</v>
      </c>
      <c r="D67" s="41" t="s">
        <v>1135</v>
      </c>
      <c r="E67" s="41" t="n">
        <v>4.19</v>
      </c>
      <c r="F67" s="41" t="n">
        <v>0.77721</v>
      </c>
      <c r="G67" s="41" t="n">
        <v>5.39107834433422</v>
      </c>
      <c r="H67" s="42" t="n">
        <v>-0.03386</v>
      </c>
      <c r="I67" s="42" t="n">
        <v>0.04631</v>
      </c>
      <c r="J67" s="41" t="n">
        <v>50818.4809689737</v>
      </c>
    </row>
    <row r="68" customFormat="false" ht="15" hidden="false" customHeight="false" outlineLevel="0" collapsed="false">
      <c r="A68" s="13" t="n">
        <v>45292</v>
      </c>
      <c r="B68" s="41" t="s">
        <v>1008</v>
      </c>
      <c r="C68" s="41" t="s">
        <v>1134</v>
      </c>
      <c r="D68" s="41" t="s">
        <v>1135</v>
      </c>
      <c r="E68" s="41" t="n">
        <v>4.49</v>
      </c>
      <c r="F68" s="41" t="n">
        <v>0.78629</v>
      </c>
      <c r="G68" s="41" t="n">
        <v>5.71036131707131</v>
      </c>
      <c r="H68" s="42" t="n">
        <v>0.00358</v>
      </c>
      <c r="I68" s="42" t="n">
        <v>0.10336</v>
      </c>
      <c r="J68" s="41" t="n">
        <v>48357.8995389755</v>
      </c>
    </row>
    <row r="69" customFormat="false" ht="15" hidden="false" customHeight="false" outlineLevel="0" collapsed="false">
      <c r="A69" s="13" t="n">
        <v>45474</v>
      </c>
      <c r="B69" s="41" t="s">
        <v>1008</v>
      </c>
      <c r="C69" s="41" t="s">
        <v>1134</v>
      </c>
      <c r="D69" s="41" t="s">
        <v>1135</v>
      </c>
      <c r="E69" s="41" t="n">
        <v>4.59</v>
      </c>
      <c r="F69" s="41" t="n">
        <v>0.77854</v>
      </c>
      <c r="G69" s="41" t="n">
        <v>5.89565083361163</v>
      </c>
      <c r="H69" s="42" t="n">
        <v>0.03614</v>
      </c>
      <c r="I69" s="42" t="n">
        <v>0.14683</v>
      </c>
      <c r="J69" s="41" t="n">
        <v>49787.2929782135</v>
      </c>
    </row>
    <row r="70" customFormat="false" ht="15" hidden="false" customHeight="false" outlineLevel="0" collapsed="false">
      <c r="A70" s="13" t="n">
        <v>45658</v>
      </c>
      <c r="B70" s="41" t="s">
        <v>1008</v>
      </c>
      <c r="C70" s="41" t="s">
        <v>1134</v>
      </c>
      <c r="D70" s="41" t="s">
        <v>1135</v>
      </c>
      <c r="E70" s="41" t="n">
        <v>4.59</v>
      </c>
      <c r="F70" s="41" t="n">
        <v>0.80164</v>
      </c>
      <c r="G70" s="41" t="n">
        <v>5.72576218751559</v>
      </c>
      <c r="H70" s="42" t="n">
        <v>-0.01109</v>
      </c>
      <c r="I70" s="42" t="n">
        <v>0.09115</v>
      </c>
      <c r="J70" s="41" t="n">
        <v>50662.2893398693</v>
      </c>
    </row>
    <row r="71" customFormat="false" ht="15" hidden="false" customHeight="false" outlineLevel="0" collapsed="false">
      <c r="A71" s="13" t="n">
        <v>45839</v>
      </c>
      <c r="B71" s="41" t="s">
        <v>1008</v>
      </c>
      <c r="C71" s="41" t="s">
        <v>1134</v>
      </c>
      <c r="D71" s="41" t="s">
        <v>1135</v>
      </c>
      <c r="E71" s="41" t="n">
        <v>5.09</v>
      </c>
      <c r="F71" s="41" t="n">
        <v>0.74649</v>
      </c>
      <c r="G71" s="41" t="n">
        <v>6.81857760988091</v>
      </c>
      <c r="H71" s="42" t="n">
        <v>0.13454</v>
      </c>
      <c r="I71" s="42" t="n">
        <v>0.30666</v>
      </c>
      <c r="J71" s="41" t="n">
        <v>49265.1897111984</v>
      </c>
    </row>
    <row r="72" customFormat="false" ht="15" hidden="false" customHeight="false" outlineLevel="0" collapsed="false">
      <c r="A72" s="13" t="n">
        <v>46023</v>
      </c>
      <c r="B72" s="41" t="s">
        <v>1008</v>
      </c>
      <c r="C72" s="41" t="s">
        <v>1134</v>
      </c>
      <c r="D72" s="41" t="s">
        <v>1135</v>
      </c>
      <c r="E72" s="41" t="n">
        <v>5.29</v>
      </c>
      <c r="F72" s="41" t="n">
        <v>0.74708</v>
      </c>
      <c r="G72" s="41" t="n">
        <v>7.08090164373293</v>
      </c>
      <c r="H72" s="42" t="n">
        <v>0.15701</v>
      </c>
      <c r="I72" s="42" t="n">
        <v>0.31572</v>
      </c>
      <c r="J72" s="41" t="n">
        <v>48270.2135274102</v>
      </c>
    </row>
    <row r="73" customFormat="false" ht="15" hidden="false" customHeight="false" outlineLevel="0" collapsed="false">
      <c r="A73" s="13" t="n">
        <v>46204</v>
      </c>
      <c r="B73" s="41" t="s">
        <v>1008</v>
      </c>
      <c r="C73" s="41" t="s">
        <v>1134</v>
      </c>
      <c r="D73" s="41" t="s">
        <v>1135</v>
      </c>
      <c r="E73" s="41" t="n">
        <v>5.49</v>
      </c>
      <c r="F73" s="41" t="n">
        <v>0.74187</v>
      </c>
      <c r="G73" s="41" t="n">
        <v>7.40021836709936</v>
      </c>
      <c r="H73" s="42" t="n">
        <v>0.18975</v>
      </c>
      <c r="I73" s="42" t="n">
        <v>0.33082</v>
      </c>
      <c r="J73" s="41" t="n">
        <v>49527.5260837887</v>
      </c>
    </row>
    <row r="74" customFormat="false" ht="15" hidden="false" customHeight="false" outlineLevel="0" collapsed="false">
      <c r="A74" s="13" t="n">
        <v>42370</v>
      </c>
      <c r="B74" s="41" t="s">
        <v>990</v>
      </c>
      <c r="C74" s="41" t="s">
        <v>1065</v>
      </c>
      <c r="D74" s="41" t="s">
        <v>781</v>
      </c>
      <c r="E74" s="41" t="n">
        <v>4300</v>
      </c>
      <c r="F74" s="41" t="n">
        <v>1197.75</v>
      </c>
      <c r="G74" s="41" t="n">
        <v>3.59006470465456</v>
      </c>
      <c r="H74" s="42" t="n">
        <v>-0.16316</v>
      </c>
      <c r="I74" s="42" t="n">
        <v>0.01282</v>
      </c>
      <c r="J74" s="41" t="n">
        <v>32212.4530468605</v>
      </c>
    </row>
    <row r="75" customFormat="false" ht="15" hidden="false" customHeight="false" outlineLevel="0" collapsed="false">
      <c r="A75" s="13" t="n">
        <v>42552</v>
      </c>
      <c r="B75" s="41" t="s">
        <v>990</v>
      </c>
      <c r="C75" s="41" t="s">
        <v>1065</v>
      </c>
      <c r="D75" s="41" t="s">
        <v>781</v>
      </c>
      <c r="E75" s="41" t="n">
        <v>4400</v>
      </c>
      <c r="F75" s="41" t="n">
        <v>1140.95</v>
      </c>
      <c r="G75" s="41" t="n">
        <v>3.85643542661817</v>
      </c>
      <c r="H75" s="42" t="n">
        <v>-0.14301</v>
      </c>
      <c r="I75" s="42" t="n">
        <v>-0.00948</v>
      </c>
      <c r="J75" s="41" t="n">
        <v>34898.3816625</v>
      </c>
    </row>
    <row r="76" customFormat="false" ht="15" hidden="false" customHeight="false" outlineLevel="0" collapsed="false">
      <c r="A76" s="13" t="n">
        <v>42736</v>
      </c>
      <c r="B76" s="41" t="s">
        <v>990</v>
      </c>
      <c r="C76" s="41" t="s">
        <v>1065</v>
      </c>
      <c r="D76" s="41" t="s">
        <v>781</v>
      </c>
      <c r="E76" s="41" t="n">
        <v>4400</v>
      </c>
      <c r="F76" s="41" t="n">
        <v>1196.45</v>
      </c>
      <c r="G76" s="41" t="n">
        <v>3.67754607380166</v>
      </c>
      <c r="H76" s="42" t="n">
        <v>-0.18277</v>
      </c>
      <c r="I76" s="42" t="n">
        <v>-0.05559</v>
      </c>
      <c r="J76" s="41" t="n">
        <v>34898.3816625</v>
      </c>
    </row>
    <row r="77" customFormat="false" ht="15" hidden="false" customHeight="false" outlineLevel="0" collapsed="false">
      <c r="A77" s="13" t="n">
        <v>42917</v>
      </c>
      <c r="B77" s="41" t="s">
        <v>990</v>
      </c>
      <c r="C77" s="41" t="s">
        <v>1065</v>
      </c>
      <c r="D77" s="41" t="s">
        <v>781</v>
      </c>
      <c r="E77" s="41" t="n">
        <v>4400</v>
      </c>
      <c r="F77" s="41" t="n">
        <v>1144.65</v>
      </c>
      <c r="G77" s="41" t="n">
        <v>3.84396977241952</v>
      </c>
      <c r="H77" s="42" t="n">
        <v>-0.14578</v>
      </c>
      <c r="I77" s="42" t="n">
        <v>-0.02024</v>
      </c>
      <c r="J77" s="41" t="n">
        <v>36602.2375670455</v>
      </c>
    </row>
    <row r="78" customFormat="false" ht="15" hidden="false" customHeight="false" outlineLevel="0" collapsed="false">
      <c r="A78" s="13" t="n">
        <v>43101</v>
      </c>
      <c r="B78" s="41" t="s">
        <v>990</v>
      </c>
      <c r="C78" s="41" t="s">
        <v>1065</v>
      </c>
      <c r="D78" s="41" t="s">
        <v>781</v>
      </c>
      <c r="E78" s="41" t="n">
        <v>4400</v>
      </c>
      <c r="F78" s="41" t="n">
        <v>1069.25</v>
      </c>
      <c r="G78" s="41" t="n">
        <v>4.11503390226795</v>
      </c>
      <c r="H78" s="42" t="n">
        <v>-0.10737</v>
      </c>
      <c r="I78" s="42" t="n">
        <v>0.02412</v>
      </c>
      <c r="J78" s="41" t="n">
        <v>37496.9589297955</v>
      </c>
    </row>
    <row r="79" customFormat="false" ht="15" hidden="false" customHeight="false" outlineLevel="0" collapsed="false">
      <c r="A79" s="13" t="n">
        <v>43282</v>
      </c>
      <c r="B79" s="41" t="s">
        <v>990</v>
      </c>
      <c r="C79" s="41" t="s">
        <v>1065</v>
      </c>
      <c r="D79" s="41" t="s">
        <v>781</v>
      </c>
      <c r="E79" s="41" t="n">
        <v>4500</v>
      </c>
      <c r="F79" s="41" t="n">
        <v>1116</v>
      </c>
      <c r="G79" s="41" t="n">
        <v>4.03225806451613</v>
      </c>
      <c r="H79" s="42" t="n">
        <v>-0.12722</v>
      </c>
      <c r="I79" s="42" t="n">
        <v>0.00844</v>
      </c>
      <c r="J79" s="41" t="n">
        <v>38663.1539242667</v>
      </c>
    </row>
    <row r="80" customFormat="false" ht="15" hidden="false" customHeight="false" outlineLevel="0" collapsed="false">
      <c r="A80" s="13" t="n">
        <v>43466</v>
      </c>
      <c r="B80" s="41" t="s">
        <v>990</v>
      </c>
      <c r="C80" s="41" t="s">
        <v>1065</v>
      </c>
      <c r="D80" s="41" t="s">
        <v>781</v>
      </c>
      <c r="E80" s="41" t="n">
        <v>4500</v>
      </c>
      <c r="F80" s="41" t="n">
        <v>1118.6</v>
      </c>
      <c r="G80" s="41" t="n">
        <v>4.0228857500447</v>
      </c>
      <c r="H80" s="42" t="n">
        <v>-0.14588</v>
      </c>
      <c r="I80" s="42" t="n">
        <v>-0.01442</v>
      </c>
      <c r="J80" s="41" t="n">
        <v>39416.3322474667</v>
      </c>
    </row>
    <row r="81" customFormat="false" ht="15" hidden="false" customHeight="false" outlineLevel="0" collapsed="false">
      <c r="A81" s="13" t="n">
        <v>43655</v>
      </c>
      <c r="B81" s="41" t="s">
        <v>990</v>
      </c>
      <c r="C81" s="41" t="s">
        <v>1065</v>
      </c>
      <c r="D81" s="41" t="s">
        <v>781</v>
      </c>
      <c r="E81" s="41" t="n">
        <v>4500</v>
      </c>
      <c r="F81" s="41" t="n">
        <v>1180.55</v>
      </c>
      <c r="G81" s="41" t="n">
        <v>3.81178264368303</v>
      </c>
      <c r="H81" s="42" t="n">
        <v>-0.1907</v>
      </c>
      <c r="I81" s="42" t="n">
        <v>-0.07459</v>
      </c>
      <c r="J81" s="41" t="n">
        <v>40721.7418430667</v>
      </c>
    </row>
    <row r="82" customFormat="false" ht="15" hidden="false" customHeight="false" outlineLevel="0" collapsed="false">
      <c r="A82" s="13" t="n">
        <v>43844</v>
      </c>
      <c r="B82" s="41" t="s">
        <v>990</v>
      </c>
      <c r="C82" s="41" t="s">
        <v>1065</v>
      </c>
      <c r="D82" s="41" t="s">
        <v>781</v>
      </c>
      <c r="E82" s="41" t="n">
        <v>4500</v>
      </c>
      <c r="F82" s="41" t="n">
        <v>1156.1</v>
      </c>
      <c r="G82" s="41" t="n">
        <v>3.89239685148344</v>
      </c>
      <c r="H82" s="42" t="n">
        <v>-0.19245</v>
      </c>
      <c r="I82" s="42" t="n">
        <v>-0.07982</v>
      </c>
      <c r="J82" s="41" t="n">
        <v>41672.7803999111</v>
      </c>
    </row>
    <row r="83" customFormat="false" ht="15" hidden="false" customHeight="false" outlineLevel="0" collapsed="false">
      <c r="A83" s="13" t="n">
        <v>44013</v>
      </c>
      <c r="B83" s="41" t="s">
        <v>990</v>
      </c>
      <c r="C83" s="41" t="s">
        <v>1065</v>
      </c>
      <c r="D83" s="41" t="s">
        <v>781</v>
      </c>
      <c r="E83" s="41" t="n">
        <v>4500</v>
      </c>
      <c r="F83" s="41" t="n">
        <v>1200.95</v>
      </c>
      <c r="G83" s="41" t="n">
        <v>3.74703359840127</v>
      </c>
      <c r="H83" s="42" t="n">
        <v>-0.22261</v>
      </c>
      <c r="I83" s="42" t="n">
        <v>-0.09611</v>
      </c>
      <c r="J83" s="41" t="n">
        <v>42223.7176465778</v>
      </c>
    </row>
    <row r="84" customFormat="false" ht="15" hidden="false" customHeight="false" outlineLevel="0" collapsed="false">
      <c r="A84" s="13" t="n">
        <v>44197</v>
      </c>
      <c r="B84" s="41" t="s">
        <v>990</v>
      </c>
      <c r="C84" s="41" t="s">
        <v>1065</v>
      </c>
      <c r="D84" s="41" t="s">
        <v>781</v>
      </c>
      <c r="E84" s="41" t="n">
        <v>4500</v>
      </c>
      <c r="F84" s="41" t="n">
        <v>1097.35</v>
      </c>
      <c r="G84" s="41" t="n">
        <v>4.10078826263271</v>
      </c>
      <c r="H84" s="42" t="n">
        <v>-0.16139</v>
      </c>
      <c r="I84" s="42" t="n">
        <v>-0.04678</v>
      </c>
      <c r="J84" s="41" t="n">
        <v>42836.9251642667</v>
      </c>
    </row>
    <row r="85" customFormat="false" ht="15" hidden="false" customHeight="false" outlineLevel="0" collapsed="false">
      <c r="A85" s="13" t="n">
        <v>44378</v>
      </c>
      <c r="B85" s="41" t="s">
        <v>990</v>
      </c>
      <c r="C85" s="41" t="s">
        <v>1065</v>
      </c>
      <c r="D85" s="41" t="s">
        <v>781</v>
      </c>
      <c r="E85" s="41" t="n">
        <v>4600</v>
      </c>
      <c r="F85" s="41" t="n">
        <v>1150.35</v>
      </c>
      <c r="G85" s="41" t="n">
        <v>3.99878297909332</v>
      </c>
      <c r="H85" s="42" t="n">
        <v>-0.18889</v>
      </c>
      <c r="I85" s="42" t="n">
        <v>-0.0803</v>
      </c>
      <c r="J85" s="41" t="n">
        <v>42559.7832551087</v>
      </c>
    </row>
    <row r="86" customFormat="false" ht="15" hidden="false" customHeight="false" outlineLevel="0" collapsed="false">
      <c r="A86" s="13" t="n">
        <v>44562</v>
      </c>
      <c r="B86" s="41" t="s">
        <v>990</v>
      </c>
      <c r="C86" s="41" t="s">
        <v>1065</v>
      </c>
      <c r="D86" s="41" t="s">
        <v>781</v>
      </c>
      <c r="E86" s="41" t="n">
        <v>4600</v>
      </c>
      <c r="F86" s="41" t="n">
        <v>1205.5</v>
      </c>
      <c r="G86" s="41" t="n">
        <v>3.81584404811282</v>
      </c>
      <c r="H86" s="42" t="n">
        <v>-0.24289</v>
      </c>
      <c r="I86" s="42" t="n">
        <v>-0.15146</v>
      </c>
      <c r="J86" s="41" t="n">
        <v>43509.3930234783</v>
      </c>
    </row>
    <row r="87" customFormat="false" ht="15" hidden="false" customHeight="false" outlineLevel="0" collapsed="false">
      <c r="A87" s="13" t="n">
        <v>44743</v>
      </c>
      <c r="B87" s="41" t="s">
        <v>990</v>
      </c>
      <c r="C87" s="41" t="s">
        <v>1065</v>
      </c>
      <c r="D87" s="41" t="s">
        <v>781</v>
      </c>
      <c r="E87" s="41" t="n">
        <v>4600</v>
      </c>
      <c r="F87" s="41" t="n">
        <v>1313.45</v>
      </c>
      <c r="G87" s="41" t="n">
        <v>3.50222695953405</v>
      </c>
      <c r="H87" s="42" t="n">
        <v>-0.31996</v>
      </c>
      <c r="I87" s="42" t="n">
        <v>-0.25502</v>
      </c>
      <c r="J87" s="41" t="n">
        <v>48050.9667871739</v>
      </c>
    </row>
    <row r="88" customFormat="false" ht="15" hidden="false" customHeight="false" outlineLevel="0" collapsed="false">
      <c r="A88" s="13" t="n">
        <v>44927</v>
      </c>
      <c r="B88" s="41" t="s">
        <v>990</v>
      </c>
      <c r="C88" s="41" t="s">
        <v>1065</v>
      </c>
      <c r="D88" s="41" t="s">
        <v>781</v>
      </c>
      <c r="E88" s="41" t="n">
        <v>4900</v>
      </c>
      <c r="F88" s="41" t="n">
        <v>1235.45</v>
      </c>
      <c r="G88" s="41" t="n">
        <v>3.96616617426849</v>
      </c>
      <c r="H88" s="42" t="n">
        <v>-0.26004</v>
      </c>
      <c r="I88" s="42" t="n">
        <v>-0.19776</v>
      </c>
      <c r="J88" s="41" t="n">
        <v>46948.4698674286</v>
      </c>
    </row>
    <row r="89" customFormat="false" ht="15" hidden="false" customHeight="false" outlineLevel="0" collapsed="false">
      <c r="A89" s="13" t="n">
        <v>45108</v>
      </c>
      <c r="B89" s="41" t="s">
        <v>990</v>
      </c>
      <c r="C89" s="41" t="s">
        <v>1065</v>
      </c>
      <c r="D89" s="41" t="s">
        <v>781</v>
      </c>
      <c r="E89" s="41" t="n">
        <v>5200</v>
      </c>
      <c r="F89" s="41" t="n">
        <v>1274.65</v>
      </c>
      <c r="G89" s="41" t="n">
        <v>4.07955124936257</v>
      </c>
      <c r="H89" s="42" t="n">
        <v>-0.2689</v>
      </c>
      <c r="I89" s="42" t="n">
        <v>-0.20198</v>
      </c>
      <c r="J89" s="41" t="n">
        <v>48257.6434130769</v>
      </c>
    </row>
    <row r="90" customFormat="false" ht="15" hidden="false" customHeight="false" outlineLevel="0" collapsed="false">
      <c r="A90" s="13" t="n">
        <v>45292</v>
      </c>
      <c r="B90" s="41" t="s">
        <v>990</v>
      </c>
      <c r="C90" s="41" t="s">
        <v>1065</v>
      </c>
      <c r="D90" s="41" t="s">
        <v>781</v>
      </c>
      <c r="E90" s="41" t="n">
        <v>5500</v>
      </c>
      <c r="F90" s="41" t="n">
        <v>1338.9</v>
      </c>
      <c r="G90" s="41" t="n">
        <v>4.10784972738815</v>
      </c>
      <c r="H90" s="42" t="n">
        <v>-0.27806</v>
      </c>
      <c r="I90" s="42" t="n">
        <v>-0.20136</v>
      </c>
      <c r="J90" s="41" t="n">
        <v>46524.8339298182</v>
      </c>
    </row>
    <row r="91" customFormat="false" ht="15" hidden="false" customHeight="false" outlineLevel="0" collapsed="false">
      <c r="A91" s="13" t="n">
        <v>45474</v>
      </c>
      <c r="B91" s="41" t="s">
        <v>990</v>
      </c>
      <c r="C91" s="41" t="s">
        <v>1065</v>
      </c>
      <c r="D91" s="41" t="s">
        <v>781</v>
      </c>
      <c r="E91" s="41" t="n">
        <v>5500</v>
      </c>
      <c r="F91" s="41" t="n">
        <v>1376.75</v>
      </c>
      <c r="G91" s="41" t="n">
        <v>3.99491556201198</v>
      </c>
      <c r="H91" s="42" t="n">
        <v>-0.29791</v>
      </c>
      <c r="I91" s="42" t="n">
        <v>-0.21883</v>
      </c>
      <c r="J91" s="41" t="n">
        <v>48187.3969230364</v>
      </c>
    </row>
    <row r="92" customFormat="false" ht="15" hidden="false" customHeight="false" outlineLevel="0" collapsed="false">
      <c r="A92" s="13" t="n">
        <v>45658</v>
      </c>
      <c r="B92" s="41" t="s">
        <v>990</v>
      </c>
      <c r="C92" s="41" t="s">
        <v>1065</v>
      </c>
      <c r="D92" s="41" t="s">
        <v>781</v>
      </c>
      <c r="E92" s="41" t="n">
        <v>5500</v>
      </c>
      <c r="F92" s="41" t="n">
        <v>1431.2</v>
      </c>
      <c r="G92" s="41" t="n">
        <v>3.84292901062046</v>
      </c>
      <c r="H92" s="42" t="n">
        <v>-0.33628</v>
      </c>
      <c r="I92" s="42" t="n">
        <v>-0.26377</v>
      </c>
      <c r="J92" s="41" t="n">
        <v>49034.2756035818</v>
      </c>
    </row>
    <row r="93" customFormat="false" ht="15" hidden="false" customHeight="false" outlineLevel="0" collapsed="false">
      <c r="A93" s="13" t="n">
        <v>45839</v>
      </c>
      <c r="B93" s="41" t="s">
        <v>990</v>
      </c>
      <c r="C93" s="41" t="s">
        <v>1065</v>
      </c>
      <c r="D93" s="41" t="s">
        <v>781</v>
      </c>
      <c r="E93" s="41" t="n">
        <v>5500</v>
      </c>
      <c r="F93" s="41" t="n">
        <v>1380.2</v>
      </c>
      <c r="G93" s="41" t="n">
        <v>3.98492972033039</v>
      </c>
      <c r="H93" s="42" t="n">
        <v>-0.33695</v>
      </c>
      <c r="I93" s="42" t="n">
        <v>-0.2509</v>
      </c>
      <c r="J93" s="41" t="n">
        <v>53988.2186721636</v>
      </c>
    </row>
    <row r="94" customFormat="false" ht="15" hidden="false" customHeight="false" outlineLevel="0" collapsed="false">
      <c r="A94" s="13" t="n">
        <v>46023</v>
      </c>
      <c r="B94" s="41" t="s">
        <v>990</v>
      </c>
      <c r="C94" s="41" t="s">
        <v>1065</v>
      </c>
      <c r="D94" s="41" t="s">
        <v>781</v>
      </c>
      <c r="E94" s="41" t="n">
        <v>5500</v>
      </c>
      <c r="F94" s="41" t="n">
        <v>1469.85</v>
      </c>
      <c r="G94" s="41" t="n">
        <v>3.74187842296833</v>
      </c>
      <c r="H94" s="42" t="n">
        <v>-0.38858</v>
      </c>
      <c r="I94" s="42" t="n">
        <v>-0.32119</v>
      </c>
      <c r="J94" s="41" t="n">
        <v>54976.3557859636</v>
      </c>
    </row>
    <row r="95" customFormat="false" ht="15" hidden="false" customHeight="false" outlineLevel="0" collapsed="false">
      <c r="A95" s="13" t="n">
        <v>46204</v>
      </c>
      <c r="B95" s="41" t="s">
        <v>990</v>
      </c>
      <c r="C95" s="41" t="s">
        <v>1065</v>
      </c>
      <c r="D95" s="41" t="s">
        <v>781</v>
      </c>
      <c r="E95" s="41" t="n">
        <v>5700</v>
      </c>
      <c r="F95" s="41" t="n">
        <v>1485.9</v>
      </c>
      <c r="G95" s="41" t="n">
        <v>3.83605895416919</v>
      </c>
      <c r="H95" s="42" t="n">
        <v>-0.38327</v>
      </c>
      <c r="I95" s="42" t="n">
        <v>-0.32343</v>
      </c>
      <c r="J95" s="41" t="n">
        <v>56231.7618985263</v>
      </c>
    </row>
    <row r="96" customFormat="false" ht="15" hidden="false" customHeight="false" outlineLevel="0" collapsed="false">
      <c r="A96" s="13" t="n">
        <v>42370</v>
      </c>
      <c r="B96" s="41" t="s">
        <v>999</v>
      </c>
      <c r="C96" s="41" t="s">
        <v>1136</v>
      </c>
      <c r="D96" s="41" t="s">
        <v>783</v>
      </c>
      <c r="E96" s="41" t="n">
        <v>46.8</v>
      </c>
      <c r="F96" s="41" t="n">
        <v>8.97465</v>
      </c>
      <c r="G96" s="41" t="n">
        <v>5.21468803797363</v>
      </c>
      <c r="H96" s="42" t="n">
        <v>0.21554</v>
      </c>
      <c r="I96" s="42" t="n">
        <v>0.19287</v>
      </c>
      <c r="J96" s="41" t="n">
        <v>57785.978525</v>
      </c>
    </row>
    <row r="97" customFormat="false" ht="15" hidden="false" customHeight="false" outlineLevel="0" collapsed="false">
      <c r="A97" s="13" t="n">
        <v>42552</v>
      </c>
      <c r="B97" s="41" t="s">
        <v>999</v>
      </c>
      <c r="C97" s="41" t="s">
        <v>1136</v>
      </c>
      <c r="D97" s="41" t="s">
        <v>783</v>
      </c>
      <c r="E97" s="41" t="n">
        <v>46.8</v>
      </c>
      <c r="F97" s="41" t="n">
        <v>8.49355</v>
      </c>
      <c r="G97" s="41" t="n">
        <v>5.51006351878779</v>
      </c>
      <c r="H97" s="42" t="n">
        <v>0.22446</v>
      </c>
      <c r="I97" s="42" t="n">
        <v>0.2048</v>
      </c>
      <c r="J97" s="41" t="n">
        <v>59683.5256730769</v>
      </c>
    </row>
    <row r="98" customFormat="false" ht="15" hidden="false" customHeight="false" outlineLevel="0" collapsed="false">
      <c r="A98" s="13" t="n">
        <v>42736</v>
      </c>
      <c r="B98" s="41" t="s">
        <v>999</v>
      </c>
      <c r="C98" s="41" t="s">
        <v>1136</v>
      </c>
      <c r="D98" s="41" t="s">
        <v>783</v>
      </c>
      <c r="E98" s="41" t="n">
        <v>49</v>
      </c>
      <c r="F98" s="41" t="n">
        <v>8.64835</v>
      </c>
      <c r="G98" s="41" t="n">
        <v>5.66582064786925</v>
      </c>
      <c r="H98" s="42" t="n">
        <v>0.25907</v>
      </c>
      <c r="I98" s="42" t="n">
        <v>0.25909</v>
      </c>
      <c r="J98" s="41" t="n">
        <v>57003.8571734694</v>
      </c>
    </row>
    <row r="99" customFormat="false" ht="15" hidden="false" customHeight="false" outlineLevel="0" collapsed="false">
      <c r="A99" s="13" t="n">
        <v>42917</v>
      </c>
      <c r="B99" s="41" t="s">
        <v>999</v>
      </c>
      <c r="C99" s="41" t="s">
        <v>1136</v>
      </c>
      <c r="D99" s="41" t="s">
        <v>783</v>
      </c>
      <c r="E99" s="41" t="n">
        <v>49</v>
      </c>
      <c r="F99" s="41" t="n">
        <v>8.2852</v>
      </c>
      <c r="G99" s="41" t="n">
        <v>5.91416018925313</v>
      </c>
      <c r="H99" s="42" t="n">
        <v>0.31426</v>
      </c>
      <c r="I99" s="42" t="n">
        <v>0.32913</v>
      </c>
      <c r="J99" s="41" t="n">
        <v>56296.0450102041</v>
      </c>
    </row>
    <row r="100" customFormat="false" ht="15" hidden="false" customHeight="false" outlineLevel="0" collapsed="false">
      <c r="A100" s="13" t="n">
        <v>43101</v>
      </c>
      <c r="B100" s="41" t="s">
        <v>999</v>
      </c>
      <c r="C100" s="41" t="s">
        <v>1136</v>
      </c>
      <c r="D100" s="41" t="s">
        <v>783</v>
      </c>
      <c r="E100" s="41" t="n">
        <v>49</v>
      </c>
      <c r="F100" s="41" t="n">
        <v>7.8501</v>
      </c>
      <c r="G100" s="41" t="n">
        <v>6.24195870116304</v>
      </c>
      <c r="H100" s="42" t="n">
        <v>0.354</v>
      </c>
      <c r="I100" s="42" t="n">
        <v>0.35828</v>
      </c>
      <c r="J100" s="41" t="n">
        <v>57672.170554898</v>
      </c>
    </row>
    <row r="101" customFormat="false" ht="15" hidden="false" customHeight="false" outlineLevel="0" collapsed="false">
      <c r="A101" s="13" t="n">
        <v>43282</v>
      </c>
      <c r="B101" s="41" t="s">
        <v>999</v>
      </c>
      <c r="C101" s="41" t="s">
        <v>1136</v>
      </c>
      <c r="D101" s="41" t="s">
        <v>783</v>
      </c>
      <c r="E101" s="41" t="n">
        <v>42</v>
      </c>
      <c r="F101" s="41" t="n">
        <v>8.0415</v>
      </c>
      <c r="G101" s="41" t="n">
        <v>5.22290617422123</v>
      </c>
      <c r="H101" s="42" t="n">
        <v>0.1305</v>
      </c>
      <c r="I101" s="42" t="n">
        <v>0.05689</v>
      </c>
      <c r="J101" s="41" t="n">
        <v>71492.11531</v>
      </c>
    </row>
    <row r="102" customFormat="false" ht="15" hidden="false" customHeight="false" outlineLevel="0" collapsed="false">
      <c r="A102" s="13" t="n">
        <v>43466</v>
      </c>
      <c r="B102" s="41" t="s">
        <v>999</v>
      </c>
      <c r="C102" s="41" t="s">
        <v>1136</v>
      </c>
      <c r="D102" s="41" t="s">
        <v>783</v>
      </c>
      <c r="E102" s="41" t="n">
        <v>50</v>
      </c>
      <c r="F102" s="41" t="n">
        <v>8.5329</v>
      </c>
      <c r="G102" s="41" t="n">
        <v>5.85967256149726</v>
      </c>
      <c r="H102" s="42" t="n">
        <v>0.24409</v>
      </c>
      <c r="I102" s="42" t="n">
        <v>0.23674</v>
      </c>
      <c r="J102" s="41" t="n">
        <v>61223.2478382</v>
      </c>
    </row>
    <row r="103" customFormat="false" ht="15" hidden="false" customHeight="false" outlineLevel="0" collapsed="false">
      <c r="A103" s="13" t="n">
        <v>43655</v>
      </c>
      <c r="B103" s="41" t="s">
        <v>999</v>
      </c>
      <c r="C103" s="41" t="s">
        <v>1136</v>
      </c>
      <c r="D103" s="41" t="s">
        <v>783</v>
      </c>
      <c r="E103" s="41" t="n">
        <v>42</v>
      </c>
      <c r="F103" s="41" t="n">
        <v>8.65275</v>
      </c>
      <c r="G103" s="41" t="n">
        <v>4.85394816676779</v>
      </c>
      <c r="H103" s="42" t="n">
        <v>0.03056</v>
      </c>
      <c r="I103" s="42" t="n">
        <v>-0.04773</v>
      </c>
      <c r="J103" s="41" t="n">
        <v>77872.1669807143</v>
      </c>
    </row>
    <row r="104" customFormat="false" ht="15" hidden="false" customHeight="false" outlineLevel="0" collapsed="false">
      <c r="A104" s="13" t="n">
        <v>43844</v>
      </c>
      <c r="B104" s="41" t="s">
        <v>999</v>
      </c>
      <c r="C104" s="41" t="s">
        <v>1136</v>
      </c>
      <c r="D104" s="41" t="s">
        <v>783</v>
      </c>
      <c r="E104" s="41" t="n">
        <v>53</v>
      </c>
      <c r="F104" s="41" t="n">
        <v>8.87515</v>
      </c>
      <c r="G104" s="41" t="n">
        <v>5.97173005526667</v>
      </c>
      <c r="H104" s="42" t="n">
        <v>0.23895</v>
      </c>
      <c r="I104" s="42" t="n">
        <v>0.23905</v>
      </c>
      <c r="J104" s="41" t="n">
        <v>63151.2297543396</v>
      </c>
    </row>
    <row r="105" customFormat="false" ht="15" hidden="false" customHeight="false" outlineLevel="0" collapsed="false">
      <c r="A105" s="13" t="n">
        <v>44013</v>
      </c>
      <c r="B105" s="41" t="s">
        <v>999</v>
      </c>
      <c r="C105" s="41" t="s">
        <v>1136</v>
      </c>
      <c r="D105" s="41" t="s">
        <v>783</v>
      </c>
      <c r="E105" s="41" t="n">
        <v>52</v>
      </c>
      <c r="F105" s="41" t="n">
        <v>9.37105</v>
      </c>
      <c r="G105" s="41" t="n">
        <v>5.54900464729139</v>
      </c>
      <c r="H105" s="42" t="n">
        <v>0.15125</v>
      </c>
      <c r="I105" s="42" t="n">
        <v>0.15791</v>
      </c>
      <c r="J105" s="41" t="n">
        <v>64600.9159315385</v>
      </c>
    </row>
    <row r="106" customFormat="false" ht="15" hidden="false" customHeight="false" outlineLevel="0" collapsed="false">
      <c r="A106" s="13" t="n">
        <v>44197</v>
      </c>
      <c r="B106" s="41" t="s">
        <v>999</v>
      </c>
      <c r="C106" s="41" t="s">
        <v>1136</v>
      </c>
      <c r="D106" s="41" t="s">
        <v>783</v>
      </c>
      <c r="E106" s="41" t="n">
        <v>52</v>
      </c>
      <c r="F106" s="41" t="n">
        <v>8.5439</v>
      </c>
      <c r="G106" s="41" t="n">
        <v>6.08621355587027</v>
      </c>
      <c r="H106" s="42" t="n">
        <v>0.24462</v>
      </c>
      <c r="I106" s="42" t="n">
        <v>0.24477</v>
      </c>
      <c r="J106" s="41" t="n">
        <v>65539.1035073077</v>
      </c>
    </row>
    <row r="107" customFormat="false" ht="15" hidden="false" customHeight="false" outlineLevel="0" collapsed="false">
      <c r="A107" s="13" t="n">
        <v>44378</v>
      </c>
      <c r="B107" s="41" t="s">
        <v>999</v>
      </c>
      <c r="C107" s="41" t="s">
        <v>1136</v>
      </c>
      <c r="D107" s="41" t="s">
        <v>783</v>
      </c>
      <c r="E107" s="41" t="n">
        <v>57</v>
      </c>
      <c r="F107" s="41" t="n">
        <v>9.0444</v>
      </c>
      <c r="G107" s="41" t="n">
        <v>6.30224227146079</v>
      </c>
      <c r="H107" s="42" t="n">
        <v>0.27835</v>
      </c>
      <c r="I107" s="42" t="n">
        <v>0.32615</v>
      </c>
      <c r="J107" s="41" t="n">
        <v>57813.5542938597</v>
      </c>
    </row>
    <row r="108" customFormat="false" ht="15" hidden="false" customHeight="false" outlineLevel="0" collapsed="false">
      <c r="A108" s="13" t="n">
        <v>44562</v>
      </c>
      <c r="B108" s="41" t="s">
        <v>999</v>
      </c>
      <c r="C108" s="41" t="s">
        <v>1136</v>
      </c>
      <c r="D108" s="41" t="s">
        <v>783</v>
      </c>
      <c r="E108" s="41" t="n">
        <v>57</v>
      </c>
      <c r="F108" s="41" t="n">
        <v>8.91605</v>
      </c>
      <c r="G108" s="41" t="n">
        <v>6.39296549480992</v>
      </c>
      <c r="H108" s="42" t="n">
        <v>0.26845</v>
      </c>
      <c r="I108" s="42" t="n">
        <v>0.30468</v>
      </c>
      <c r="J108" s="41" t="n">
        <v>59103.5118947368</v>
      </c>
    </row>
    <row r="109" customFormat="false" ht="15" hidden="false" customHeight="false" outlineLevel="0" collapsed="false">
      <c r="A109" s="13" t="n">
        <v>44743</v>
      </c>
      <c r="B109" s="41" t="s">
        <v>999</v>
      </c>
      <c r="C109" s="41" t="s">
        <v>1136</v>
      </c>
      <c r="D109" s="41" t="s">
        <v>783</v>
      </c>
      <c r="E109" s="41" t="n">
        <v>62</v>
      </c>
      <c r="F109" s="41" t="n">
        <v>9.89765</v>
      </c>
      <c r="G109" s="41" t="n">
        <v>6.26411319858754</v>
      </c>
      <c r="H109" s="42" t="n">
        <v>0.21633</v>
      </c>
      <c r="I109" s="42" t="n">
        <v>0.22845</v>
      </c>
      <c r="J109" s="41" t="n">
        <v>68727.0997846774</v>
      </c>
    </row>
    <row r="110" customFormat="false" ht="15" hidden="false" customHeight="false" outlineLevel="0" collapsed="false">
      <c r="A110" s="13" t="n">
        <v>44927</v>
      </c>
      <c r="B110" s="41" t="s">
        <v>999</v>
      </c>
      <c r="C110" s="41" t="s">
        <v>1136</v>
      </c>
      <c r="D110" s="41" t="s">
        <v>783</v>
      </c>
      <c r="E110" s="41" t="n">
        <v>65</v>
      </c>
      <c r="F110" s="41" t="n">
        <v>9.86415</v>
      </c>
      <c r="G110" s="41" t="n">
        <v>6.58951861032121</v>
      </c>
      <c r="H110" s="42" t="n">
        <v>0.22939</v>
      </c>
      <c r="I110" s="42" t="n">
        <v>0.24178</v>
      </c>
      <c r="J110" s="41" t="n">
        <v>68228.1995532308</v>
      </c>
    </row>
    <row r="111" customFormat="false" ht="15" hidden="false" customHeight="false" outlineLevel="0" collapsed="false">
      <c r="A111" s="13" t="n">
        <v>45108</v>
      </c>
      <c r="B111" s="41" t="s">
        <v>999</v>
      </c>
      <c r="C111" s="41" t="s">
        <v>1136</v>
      </c>
      <c r="D111" s="41" t="s">
        <v>783</v>
      </c>
      <c r="E111" s="41" t="n">
        <v>70</v>
      </c>
      <c r="F111" s="41" t="n">
        <v>10.1165</v>
      </c>
      <c r="G111" s="41" t="n">
        <v>6.9193891167894</v>
      </c>
      <c r="H111" s="42" t="n">
        <v>0.24003</v>
      </c>
      <c r="I111" s="42" t="n">
        <v>0.2111</v>
      </c>
      <c r="J111" s="41" t="n">
        <v>86408.4780334286</v>
      </c>
    </row>
    <row r="112" customFormat="false" ht="15" hidden="false" customHeight="false" outlineLevel="0" collapsed="false">
      <c r="A112" s="13" t="n">
        <v>45292</v>
      </c>
      <c r="B112" s="41" t="s">
        <v>999</v>
      </c>
      <c r="C112" s="41" t="s">
        <v>1136</v>
      </c>
      <c r="D112" s="41" t="s">
        <v>783</v>
      </c>
      <c r="E112" s="41" t="n">
        <v>75</v>
      </c>
      <c r="F112" s="41" t="n">
        <v>10.5057</v>
      </c>
      <c r="G112" s="41" t="n">
        <v>7.13898169565093</v>
      </c>
      <c r="H112" s="42" t="n">
        <v>0.25465</v>
      </c>
      <c r="I112" s="42" t="n">
        <v>0.23842</v>
      </c>
      <c r="J112" s="41" t="n">
        <v>82237.7462382667</v>
      </c>
    </row>
    <row r="113" customFormat="false" ht="15" hidden="false" customHeight="false" outlineLevel="0" collapsed="false">
      <c r="A113" s="13" t="n">
        <v>45474</v>
      </c>
      <c r="B113" s="41" t="s">
        <v>999</v>
      </c>
      <c r="C113" s="41" t="s">
        <v>1136</v>
      </c>
      <c r="D113" s="41" t="s">
        <v>783</v>
      </c>
      <c r="E113" s="41" t="n">
        <v>74</v>
      </c>
      <c r="F113" s="41" t="n">
        <v>10.9345</v>
      </c>
      <c r="G113" s="41" t="n">
        <v>6.76757053363208</v>
      </c>
      <c r="H113" s="42" t="n">
        <v>0.18938</v>
      </c>
      <c r="I113" s="42" t="n">
        <v>0.22113</v>
      </c>
      <c r="J113" s="41" t="n">
        <v>73713.9631485135</v>
      </c>
    </row>
    <row r="114" customFormat="false" ht="15" hidden="false" customHeight="false" outlineLevel="0" collapsed="false">
      <c r="A114" s="13" t="n">
        <v>45658</v>
      </c>
      <c r="B114" s="41" t="s">
        <v>999</v>
      </c>
      <c r="C114" s="41" t="s">
        <v>1136</v>
      </c>
      <c r="D114" s="41" t="s">
        <v>783</v>
      </c>
      <c r="E114" s="41" t="n">
        <v>75</v>
      </c>
      <c r="F114" s="41" t="n">
        <v>11.2368</v>
      </c>
      <c r="G114" s="41" t="n">
        <v>6.67449807774455</v>
      </c>
      <c r="H114" s="42" t="n">
        <v>0.15276</v>
      </c>
      <c r="I114" s="42" t="n">
        <v>0.1824</v>
      </c>
      <c r="J114" s="41" t="n">
        <v>74009.3372012</v>
      </c>
    </row>
    <row r="115" customFormat="false" ht="15" hidden="false" customHeight="false" outlineLevel="0" collapsed="false">
      <c r="A115" s="13" t="n">
        <v>45839</v>
      </c>
      <c r="B115" s="41" t="s">
        <v>999</v>
      </c>
      <c r="C115" s="41" t="s">
        <v>1136</v>
      </c>
      <c r="D115" s="41" t="s">
        <v>783</v>
      </c>
      <c r="E115" s="41" t="n">
        <v>75</v>
      </c>
      <c r="F115" s="41" t="n">
        <v>10.21645</v>
      </c>
      <c r="G115" s="41" t="n">
        <v>7.34110185044707</v>
      </c>
      <c r="H115" s="42" t="n">
        <v>0.22148</v>
      </c>
      <c r="I115" s="42" t="n">
        <v>0.26177</v>
      </c>
      <c r="J115" s="41" t="n">
        <v>77226.4173346667</v>
      </c>
    </row>
    <row r="116" customFormat="false" ht="15" hidden="false" customHeight="false" outlineLevel="0" collapsed="false">
      <c r="A116" s="13" t="n">
        <v>46023</v>
      </c>
      <c r="B116" s="41" t="s">
        <v>999</v>
      </c>
      <c r="C116" s="41" t="s">
        <v>1136</v>
      </c>
      <c r="D116" s="41" t="s">
        <v>783</v>
      </c>
      <c r="E116" s="41" t="n">
        <v>76</v>
      </c>
      <c r="F116" s="41" t="n">
        <v>10.11245</v>
      </c>
      <c r="G116" s="41" t="n">
        <v>7.51548833368768</v>
      </c>
      <c r="H116" s="42" t="n">
        <v>0.22802</v>
      </c>
      <c r="I116" s="42" t="n">
        <v>0.26245</v>
      </c>
      <c r="J116" s="41" t="n">
        <v>77605.1439631579</v>
      </c>
    </row>
    <row r="117" customFormat="false" ht="15" hidden="false" customHeight="false" outlineLevel="0" collapsed="false">
      <c r="A117" s="13" t="n">
        <v>46204</v>
      </c>
      <c r="B117" s="41" t="s">
        <v>999</v>
      </c>
      <c r="C117" s="41" t="s">
        <v>1136</v>
      </c>
      <c r="D117" s="41" t="s">
        <v>783</v>
      </c>
      <c r="E117" s="41" t="n">
        <v>78</v>
      </c>
      <c r="F117" s="41" t="n">
        <v>9.68565</v>
      </c>
      <c r="G117" s="41" t="n">
        <v>8.05315079524864</v>
      </c>
      <c r="H117" s="42" t="n">
        <v>0.29472</v>
      </c>
      <c r="I117" s="42" t="n">
        <v>0.33557</v>
      </c>
      <c r="J117" s="41" t="n">
        <v>78314.2284007692</v>
      </c>
    </row>
    <row r="118" customFormat="false" ht="15" hidden="false" customHeight="false" outlineLevel="0" collapsed="false">
      <c r="A118" s="13" t="n">
        <v>42370</v>
      </c>
      <c r="B118" s="41" t="s">
        <v>972</v>
      </c>
      <c r="C118" s="41" t="s">
        <v>525</v>
      </c>
      <c r="D118" s="41" t="s">
        <v>778</v>
      </c>
      <c r="E118" s="41" t="n">
        <v>4.29</v>
      </c>
      <c r="F118" s="41" t="n">
        <v>1</v>
      </c>
      <c r="G118" s="41" t="n">
        <v>4.29</v>
      </c>
      <c r="H118" s="42" t="n">
        <v>0</v>
      </c>
      <c r="I118" s="42" t="n">
        <v>0</v>
      </c>
      <c r="J118" s="41" t="n">
        <v>55263.817</v>
      </c>
    </row>
    <row r="119" customFormat="false" ht="15" hidden="false" customHeight="false" outlineLevel="0" collapsed="false">
      <c r="A119" s="13" t="n">
        <v>42552</v>
      </c>
      <c r="B119" s="41" t="s">
        <v>972</v>
      </c>
      <c r="C119" s="41" t="s">
        <v>525</v>
      </c>
      <c r="D119" s="41" t="s">
        <v>778</v>
      </c>
      <c r="E119" s="41" t="n">
        <v>4.5</v>
      </c>
      <c r="F119" s="41" t="n">
        <v>1</v>
      </c>
      <c r="G119" s="41" t="n">
        <v>4.5</v>
      </c>
      <c r="H119" s="42" t="n">
        <v>0</v>
      </c>
      <c r="I119" s="42" t="n">
        <v>0</v>
      </c>
      <c r="J119" s="41" t="n">
        <v>57006.926</v>
      </c>
    </row>
    <row r="120" customFormat="false" ht="15" hidden="false" customHeight="false" outlineLevel="0" collapsed="false">
      <c r="A120" s="13" t="n">
        <v>42736</v>
      </c>
      <c r="B120" s="41" t="s">
        <v>972</v>
      </c>
      <c r="C120" s="41" t="s">
        <v>525</v>
      </c>
      <c r="D120" s="41" t="s">
        <v>778</v>
      </c>
      <c r="E120" s="41" t="n">
        <v>4.5</v>
      </c>
      <c r="F120" s="41" t="n">
        <v>1</v>
      </c>
      <c r="G120" s="41" t="n">
        <v>4.5</v>
      </c>
      <c r="H120" s="42" t="n">
        <v>0</v>
      </c>
      <c r="I120" s="42" t="n">
        <v>0</v>
      </c>
      <c r="J120" s="41" t="n">
        <v>57006.926</v>
      </c>
    </row>
    <row r="121" customFormat="false" ht="15" hidden="false" customHeight="false" outlineLevel="0" collapsed="false">
      <c r="A121" s="13" t="n">
        <v>42917</v>
      </c>
      <c r="B121" s="41" t="s">
        <v>972</v>
      </c>
      <c r="C121" s="41" t="s">
        <v>525</v>
      </c>
      <c r="D121" s="41" t="s">
        <v>778</v>
      </c>
      <c r="E121" s="41" t="n">
        <v>4.5</v>
      </c>
      <c r="F121" s="41" t="n">
        <v>1</v>
      </c>
      <c r="G121" s="41" t="n">
        <v>4.5</v>
      </c>
      <c r="H121" s="42" t="n">
        <v>0</v>
      </c>
      <c r="I121" s="42" t="n">
        <v>0</v>
      </c>
      <c r="J121" s="41" t="n">
        <v>58179.697</v>
      </c>
    </row>
    <row r="122" customFormat="false" ht="15" hidden="false" customHeight="false" outlineLevel="0" collapsed="false">
      <c r="A122" s="13" t="n">
        <v>43101</v>
      </c>
      <c r="B122" s="41" t="s">
        <v>972</v>
      </c>
      <c r="C122" s="41" t="s">
        <v>525</v>
      </c>
      <c r="D122" s="41" t="s">
        <v>778</v>
      </c>
      <c r="E122" s="41" t="n">
        <v>4.61</v>
      </c>
      <c r="F122" s="41" t="n">
        <v>1</v>
      </c>
      <c r="G122" s="41" t="n">
        <v>4.61</v>
      </c>
      <c r="H122" s="42" t="n">
        <v>0</v>
      </c>
      <c r="I122" s="42" t="n">
        <v>0</v>
      </c>
      <c r="J122" s="41" t="n">
        <v>58179.697</v>
      </c>
    </row>
    <row r="123" customFormat="false" ht="15" hidden="false" customHeight="false" outlineLevel="0" collapsed="false">
      <c r="A123" s="13" t="n">
        <v>43282</v>
      </c>
      <c r="B123" s="41" t="s">
        <v>972</v>
      </c>
      <c r="C123" s="41" t="s">
        <v>525</v>
      </c>
      <c r="D123" s="41" t="s">
        <v>778</v>
      </c>
      <c r="E123" s="41" t="n">
        <v>4.62</v>
      </c>
      <c r="F123" s="41" t="n">
        <v>1</v>
      </c>
      <c r="G123" s="41" t="n">
        <v>4.62</v>
      </c>
      <c r="H123" s="42" t="n">
        <v>0</v>
      </c>
      <c r="I123" s="42" t="n">
        <v>0</v>
      </c>
      <c r="J123" s="41" t="n">
        <v>60292.978</v>
      </c>
    </row>
    <row r="124" customFormat="false" ht="15" hidden="false" customHeight="false" outlineLevel="0" collapsed="false">
      <c r="A124" s="13" t="n">
        <v>43466</v>
      </c>
      <c r="B124" s="41" t="s">
        <v>972</v>
      </c>
      <c r="C124" s="41" t="s">
        <v>525</v>
      </c>
      <c r="D124" s="41" t="s">
        <v>778</v>
      </c>
      <c r="E124" s="41" t="n">
        <v>4.71</v>
      </c>
      <c r="F124" s="41" t="n">
        <v>1</v>
      </c>
      <c r="G124" s="41" t="n">
        <v>4.71</v>
      </c>
      <c r="H124" s="42" t="n">
        <v>0</v>
      </c>
      <c r="I124" s="42" t="n">
        <v>0</v>
      </c>
      <c r="J124" s="41" t="n">
        <v>60292.978</v>
      </c>
    </row>
    <row r="125" customFormat="false" ht="15" hidden="false" customHeight="false" outlineLevel="0" collapsed="false">
      <c r="A125" s="13" t="n">
        <v>43655</v>
      </c>
      <c r="B125" s="41" t="s">
        <v>972</v>
      </c>
      <c r="C125" s="41" t="s">
        <v>525</v>
      </c>
      <c r="D125" s="41" t="s">
        <v>778</v>
      </c>
      <c r="E125" s="41" t="n">
        <v>4.71</v>
      </c>
      <c r="F125" s="41" t="n">
        <v>1</v>
      </c>
      <c r="G125" s="41" t="n">
        <v>4.71</v>
      </c>
      <c r="H125" s="42" t="n">
        <v>0</v>
      </c>
      <c r="I125" s="42" t="n">
        <v>0</v>
      </c>
      <c r="J125" s="41" t="n">
        <v>63165.278</v>
      </c>
    </row>
    <row r="126" customFormat="false" ht="15" hidden="false" customHeight="false" outlineLevel="0" collapsed="false">
      <c r="A126" s="13" t="n">
        <v>43844</v>
      </c>
      <c r="B126" s="41" t="s">
        <v>972</v>
      </c>
      <c r="C126" s="41" t="s">
        <v>525</v>
      </c>
      <c r="D126" s="41" t="s">
        <v>778</v>
      </c>
      <c r="E126" s="41" t="n">
        <v>4.82</v>
      </c>
      <c r="F126" s="41" t="n">
        <v>1</v>
      </c>
      <c r="G126" s="41" t="n">
        <v>4.82</v>
      </c>
      <c r="H126" s="42" t="n">
        <v>0</v>
      </c>
      <c r="I126" s="42" t="n">
        <v>0</v>
      </c>
      <c r="J126" s="41" t="n">
        <v>63165.278</v>
      </c>
    </row>
    <row r="127" customFormat="false" ht="15" hidden="false" customHeight="false" outlineLevel="0" collapsed="false">
      <c r="A127" s="13" t="n">
        <v>44013</v>
      </c>
      <c r="B127" s="41" t="s">
        <v>972</v>
      </c>
      <c r="C127" s="41" t="s">
        <v>525</v>
      </c>
      <c r="D127" s="41" t="s">
        <v>778</v>
      </c>
      <c r="E127" s="41" t="n">
        <v>4.82</v>
      </c>
      <c r="F127" s="41" t="n">
        <v>1</v>
      </c>
      <c r="G127" s="41" t="n">
        <v>4.82</v>
      </c>
      <c r="H127" s="42" t="n">
        <v>0</v>
      </c>
      <c r="I127" s="42" t="n">
        <v>0</v>
      </c>
      <c r="J127" s="41" t="n">
        <v>65561.32</v>
      </c>
    </row>
    <row r="128" customFormat="false" ht="15" hidden="false" customHeight="false" outlineLevel="0" collapsed="false">
      <c r="A128" s="13" t="n">
        <v>44197</v>
      </c>
      <c r="B128" s="41" t="s">
        <v>972</v>
      </c>
      <c r="C128" s="41" t="s">
        <v>525</v>
      </c>
      <c r="D128" s="41" t="s">
        <v>778</v>
      </c>
      <c r="E128" s="41" t="n">
        <v>4.89</v>
      </c>
      <c r="F128" s="41" t="n">
        <v>1</v>
      </c>
      <c r="G128" s="41" t="n">
        <v>4.89</v>
      </c>
      <c r="H128" s="42" t="n">
        <v>0</v>
      </c>
      <c r="I128" s="42" t="n">
        <v>0</v>
      </c>
      <c r="J128" s="41" t="n">
        <v>65561.32</v>
      </c>
    </row>
    <row r="129" customFormat="false" ht="15" hidden="false" customHeight="false" outlineLevel="0" collapsed="false">
      <c r="A129" s="13" t="n">
        <v>44378</v>
      </c>
      <c r="B129" s="41" t="s">
        <v>972</v>
      </c>
      <c r="C129" s="41" t="s">
        <v>525</v>
      </c>
      <c r="D129" s="41" t="s">
        <v>778</v>
      </c>
      <c r="E129" s="41" t="n">
        <v>4.93</v>
      </c>
      <c r="F129" s="41" t="n">
        <v>1</v>
      </c>
      <c r="G129" s="41" t="n">
        <v>4.93</v>
      </c>
      <c r="H129" s="42" t="n">
        <v>0</v>
      </c>
      <c r="I129" s="42" t="n">
        <v>0</v>
      </c>
      <c r="J129" s="41" t="n">
        <v>64517.998</v>
      </c>
    </row>
    <row r="130" customFormat="false" ht="15" hidden="false" customHeight="false" outlineLevel="0" collapsed="false">
      <c r="A130" s="13" t="n">
        <v>44562</v>
      </c>
      <c r="B130" s="41" t="s">
        <v>972</v>
      </c>
      <c r="C130" s="41" t="s">
        <v>525</v>
      </c>
      <c r="D130" s="41" t="s">
        <v>778</v>
      </c>
      <c r="E130" s="41" t="n">
        <v>5.04</v>
      </c>
      <c r="F130" s="41" t="n">
        <v>1</v>
      </c>
      <c r="G130" s="41" t="n">
        <v>5.04</v>
      </c>
      <c r="H130" s="42" t="n">
        <v>0</v>
      </c>
      <c r="I130" s="42" t="n">
        <v>0</v>
      </c>
      <c r="J130" s="41" t="n">
        <v>64517.998</v>
      </c>
    </row>
    <row r="131" customFormat="false" ht="15" hidden="false" customHeight="false" outlineLevel="0" collapsed="false">
      <c r="A131" s="13" t="n">
        <v>44743</v>
      </c>
      <c r="B131" s="41" t="s">
        <v>972</v>
      </c>
      <c r="C131" s="41" t="s">
        <v>525</v>
      </c>
      <c r="D131" s="41" t="s">
        <v>778</v>
      </c>
      <c r="E131" s="41" t="n">
        <v>5.15</v>
      </c>
      <c r="F131" s="41" t="n">
        <v>1</v>
      </c>
      <c r="G131" s="41" t="n">
        <v>5.15</v>
      </c>
      <c r="H131" s="42" t="n">
        <v>0</v>
      </c>
      <c r="I131" s="42" t="n">
        <v>0</v>
      </c>
      <c r="J131" s="41" t="n">
        <v>71365.73</v>
      </c>
    </row>
    <row r="132" customFormat="false" ht="15" hidden="false" customHeight="false" outlineLevel="0" collapsed="false">
      <c r="A132" s="13" t="n">
        <v>44927</v>
      </c>
      <c r="B132" s="41" t="s">
        <v>972</v>
      </c>
      <c r="C132" s="41" t="s">
        <v>525</v>
      </c>
      <c r="D132" s="41" t="s">
        <v>778</v>
      </c>
      <c r="E132" s="41" t="n">
        <v>5.36</v>
      </c>
      <c r="F132" s="41" t="n">
        <v>1</v>
      </c>
      <c r="G132" s="41" t="n">
        <v>5.36</v>
      </c>
      <c r="H132" s="42" t="n">
        <v>0</v>
      </c>
      <c r="I132" s="42" t="n">
        <v>0</v>
      </c>
      <c r="J132" s="41" t="n">
        <v>71365.73</v>
      </c>
    </row>
    <row r="133" customFormat="false" ht="15" hidden="false" customHeight="false" outlineLevel="0" collapsed="false">
      <c r="A133" s="13" t="n">
        <v>45108</v>
      </c>
      <c r="B133" s="41" t="s">
        <v>972</v>
      </c>
      <c r="C133" s="41" t="s">
        <v>525</v>
      </c>
      <c r="D133" s="41" t="s">
        <v>778</v>
      </c>
      <c r="E133" s="41" t="n">
        <v>5.58</v>
      </c>
      <c r="F133" s="41" t="n">
        <v>1</v>
      </c>
      <c r="G133" s="41" t="n">
        <v>5.58</v>
      </c>
      <c r="H133" s="42" t="n">
        <v>0</v>
      </c>
      <c r="I133" s="42" t="n">
        <v>0</v>
      </c>
      <c r="J133" s="41" t="n">
        <v>77948.992</v>
      </c>
    </row>
    <row r="134" customFormat="false" ht="15" hidden="false" customHeight="false" outlineLevel="0" collapsed="false">
      <c r="A134" s="13" t="n">
        <v>45292</v>
      </c>
      <c r="B134" s="41" t="s">
        <v>972</v>
      </c>
      <c r="C134" s="41" t="s">
        <v>525</v>
      </c>
      <c r="D134" s="41" t="s">
        <v>778</v>
      </c>
      <c r="E134" s="41" t="n">
        <v>5.69</v>
      </c>
      <c r="F134" s="41" t="n">
        <v>1</v>
      </c>
      <c r="G134" s="41" t="n">
        <v>5.69</v>
      </c>
      <c r="H134" s="42" t="n">
        <v>0</v>
      </c>
      <c r="I134" s="42" t="n">
        <v>0</v>
      </c>
      <c r="J134" s="41" t="n">
        <v>77948.992</v>
      </c>
    </row>
    <row r="135" customFormat="false" ht="15" hidden="false" customHeight="false" outlineLevel="0" collapsed="false">
      <c r="A135" s="13" t="n">
        <v>45474</v>
      </c>
      <c r="B135" s="41" t="s">
        <v>972</v>
      </c>
      <c r="C135" s="41" t="s">
        <v>525</v>
      </c>
      <c r="D135" s="41" t="s">
        <v>778</v>
      </c>
      <c r="E135" s="41" t="n">
        <v>5.69</v>
      </c>
      <c r="F135" s="41" t="n">
        <v>1</v>
      </c>
      <c r="G135" s="41" t="n">
        <v>5.69</v>
      </c>
      <c r="H135" s="42" t="n">
        <v>0</v>
      </c>
      <c r="I135" s="42" t="n">
        <v>0</v>
      </c>
      <c r="J135" s="41" t="n">
        <v>82536.095</v>
      </c>
    </row>
    <row r="136" customFormat="false" ht="15" hidden="false" customHeight="false" outlineLevel="0" collapsed="false">
      <c r="A136" s="13" t="n">
        <v>45658</v>
      </c>
      <c r="B136" s="41" t="s">
        <v>972</v>
      </c>
      <c r="C136" s="41" t="s">
        <v>525</v>
      </c>
      <c r="D136" s="41" t="s">
        <v>778</v>
      </c>
      <c r="E136" s="41" t="n">
        <v>5.79</v>
      </c>
      <c r="F136" s="41" t="n">
        <v>1</v>
      </c>
      <c r="G136" s="41" t="n">
        <v>5.79</v>
      </c>
      <c r="H136" s="42" t="n">
        <v>0</v>
      </c>
      <c r="I136" s="42" t="n">
        <v>0</v>
      </c>
      <c r="J136" s="41" t="n">
        <v>82536.095</v>
      </c>
    </row>
    <row r="137" customFormat="false" ht="15" hidden="false" customHeight="false" outlineLevel="0" collapsed="false">
      <c r="A137" s="13" t="n">
        <v>45839</v>
      </c>
      <c r="B137" s="41" t="s">
        <v>972</v>
      </c>
      <c r="C137" s="41" t="s">
        <v>525</v>
      </c>
      <c r="D137" s="41" t="s">
        <v>778</v>
      </c>
      <c r="E137" s="41" t="n">
        <v>6.01</v>
      </c>
      <c r="F137" s="41" t="n">
        <v>1</v>
      </c>
      <c r="G137" s="41" t="n">
        <v>6.01</v>
      </c>
      <c r="H137" s="42" t="n">
        <v>0</v>
      </c>
      <c r="I137" s="42" t="n">
        <v>0</v>
      </c>
      <c r="J137" s="41" t="n">
        <v>86173.365</v>
      </c>
    </row>
    <row r="138" customFormat="false" ht="15" hidden="false" customHeight="false" outlineLevel="0" collapsed="false">
      <c r="A138" s="13" t="n">
        <v>46023</v>
      </c>
      <c r="B138" s="41" t="s">
        <v>972</v>
      </c>
      <c r="C138" s="41" t="s">
        <v>525</v>
      </c>
      <c r="D138" s="41" t="s">
        <v>778</v>
      </c>
      <c r="E138" s="41" t="n">
        <v>6.12</v>
      </c>
      <c r="F138" s="41" t="n">
        <v>1</v>
      </c>
      <c r="G138" s="41" t="n">
        <v>6.12</v>
      </c>
      <c r="H138" s="42" t="n">
        <v>0</v>
      </c>
      <c r="I138" s="42" t="n">
        <v>0</v>
      </c>
      <c r="J138" s="41" t="n">
        <v>86173.365</v>
      </c>
    </row>
    <row r="139" customFormat="false" ht="15" hidden="false" customHeight="false" outlineLevel="0" collapsed="false">
      <c r="A139" s="13" t="n">
        <v>46204</v>
      </c>
      <c r="B139" s="41" t="s">
        <v>972</v>
      </c>
      <c r="C139" s="41" t="s">
        <v>525</v>
      </c>
      <c r="D139" s="41" t="s">
        <v>778</v>
      </c>
      <c r="E139" s="41" t="n">
        <v>6.22</v>
      </c>
      <c r="F139" s="41" t="n">
        <v>1</v>
      </c>
      <c r="G139" s="41" t="n">
        <v>6.22</v>
      </c>
      <c r="H139" s="42" t="n">
        <v>0</v>
      </c>
      <c r="I139" s="42" t="n">
        <v>0</v>
      </c>
      <c r="J139" s="41" t="n">
        <v>89991.152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7" min="6" style="0" width="34"/>
    <col collapsed="false" customWidth="true" hidden="false" outlineLevel="0" max="8" min="8" style="0" width="22"/>
    <col collapsed="false" customWidth="true" hidden="false" outlineLevel="0" max="9" min="9" style="0" width="70"/>
  </cols>
  <sheetData>
    <row r="1" customFormat="false" ht="16.15" hidden="false" customHeight="false" outlineLevel="0" collapsed="false">
      <c r="A1" s="1" t="s">
        <v>1137</v>
      </c>
    </row>
    <row r="2" customFormat="false" ht="15" hidden="false" customHeight="false" outlineLevel="0" collapsed="false">
      <c r="A2" s="2" t="s">
        <v>1138</v>
      </c>
    </row>
    <row r="4" customFormat="false" ht="15" hidden="false" customHeight="false" outlineLevel="0" collapsed="false">
      <c r="A4" s="3" t="s">
        <v>1139</v>
      </c>
      <c r="B4" s="3" t="s">
        <v>755</v>
      </c>
      <c r="C4" s="3" t="s">
        <v>1140</v>
      </c>
      <c r="D4" s="3" t="s">
        <v>9</v>
      </c>
      <c r="E4" s="3" t="s">
        <v>1141</v>
      </c>
      <c r="F4" s="3" t="s">
        <v>5</v>
      </c>
      <c r="G4" s="3" t="s">
        <v>6</v>
      </c>
      <c r="H4" s="3" t="s">
        <v>1142</v>
      </c>
      <c r="I4" s="3" t="s">
        <v>1060</v>
      </c>
    </row>
    <row r="5" customFormat="false" ht="15" hidden="false" customHeight="false" outlineLevel="0" collapsed="false">
      <c r="A5" s="7" t="s">
        <v>1143</v>
      </c>
      <c r="B5" s="43" t="s">
        <v>585</v>
      </c>
      <c r="C5" s="10" t="n">
        <f aca="false">FX_Daily!E12</f>
        <v>1.1259</v>
      </c>
      <c r="D5" s="43" t="s">
        <v>38</v>
      </c>
      <c r="E5" s="9" t="n">
        <f aca="false">FX_Daily!E11</f>
        <v>46297</v>
      </c>
      <c r="F5" s="44" t="s">
        <v>17</v>
      </c>
      <c r="G5" s="44" t="s">
        <v>35</v>
      </c>
      <c r="H5" s="44" t="s">
        <v>15</v>
      </c>
      <c r="I5" s="44"/>
    </row>
    <row r="6" customFormat="false" ht="15" hidden="false" customHeight="false" outlineLevel="0" collapsed="false">
      <c r="A6" s="7" t="s">
        <v>1143</v>
      </c>
      <c r="B6" s="43" t="s">
        <v>584</v>
      </c>
      <c r="C6" s="10" t="n">
        <f aca="false">FX_Daily!D12</f>
        <v>1.3234</v>
      </c>
      <c r="D6" s="43" t="s">
        <v>33</v>
      </c>
      <c r="E6" s="9" t="n">
        <f aca="false">FX_Daily!D11</f>
        <v>46297</v>
      </c>
      <c r="F6" s="44" t="s">
        <v>17</v>
      </c>
      <c r="G6" s="44" t="s">
        <v>30</v>
      </c>
      <c r="H6" s="44" t="s">
        <v>15</v>
      </c>
      <c r="I6" s="44"/>
    </row>
    <row r="7" customFormat="false" ht="15" hidden="false" customHeight="false" outlineLevel="0" collapsed="false">
      <c r="A7" s="7" t="s">
        <v>1143</v>
      </c>
      <c r="B7" s="43" t="s">
        <v>582</v>
      </c>
      <c r="C7" s="10" t="n">
        <f aca="false">FX_Daily!B12</f>
        <v>1345.75</v>
      </c>
      <c r="D7" s="43" t="s">
        <v>21</v>
      </c>
      <c r="E7" s="9" t="n">
        <f aca="false">FX_Daily!B11</f>
        <v>46297</v>
      </c>
      <c r="F7" s="44" t="s">
        <v>17</v>
      </c>
      <c r="G7" s="44" t="s">
        <v>18</v>
      </c>
      <c r="H7" s="44" t="s">
        <v>15</v>
      </c>
      <c r="I7" s="44"/>
    </row>
    <row r="8" customFormat="false" ht="15" hidden="false" customHeight="false" outlineLevel="0" collapsed="false">
      <c r="A8" s="7" t="s">
        <v>1143</v>
      </c>
      <c r="B8" s="43" t="s">
        <v>583</v>
      </c>
      <c r="C8" s="10" t="n">
        <f aca="false">FX_Daily!C12</f>
        <v>9.6386</v>
      </c>
      <c r="D8" s="43" t="s">
        <v>28</v>
      </c>
      <c r="E8" s="9" t="n">
        <f aca="false">FX_Daily!C11</f>
        <v>46297</v>
      </c>
      <c r="F8" s="44" t="s">
        <v>17</v>
      </c>
      <c r="G8" s="44" t="s">
        <v>25</v>
      </c>
      <c r="H8" s="44" t="s">
        <v>15</v>
      </c>
      <c r="I8" s="44"/>
    </row>
    <row r="9" customFormat="false" ht="15" hidden="false" customHeight="false" outlineLevel="0" collapsed="false">
      <c r="A9" s="7" t="s">
        <v>1143</v>
      </c>
      <c r="B9" s="43" t="s">
        <v>586</v>
      </c>
      <c r="C9" s="10" t="n">
        <f aca="false">FX_Daily!F12</f>
        <v>6.7038</v>
      </c>
      <c r="D9" s="43" t="s">
        <v>43</v>
      </c>
      <c r="E9" s="9" t="n">
        <f aca="false">FX_Daily!F11</f>
        <v>46297</v>
      </c>
      <c r="F9" s="44" t="s">
        <v>17</v>
      </c>
      <c r="G9" s="44" t="s">
        <v>40</v>
      </c>
      <c r="H9" s="44" t="s">
        <v>15</v>
      </c>
      <c r="I9" s="44"/>
    </row>
    <row r="10" customFormat="false" ht="15" hidden="false" customHeight="false" outlineLevel="0" collapsed="false">
      <c r="A10" s="7" t="s">
        <v>1144</v>
      </c>
      <c r="B10" s="43" t="s">
        <v>1145</v>
      </c>
      <c r="C10" s="19" t="n">
        <f aca="false">Rates_Daily!C12</f>
        <v>4</v>
      </c>
      <c r="D10" s="43" t="s">
        <v>112</v>
      </c>
      <c r="E10" s="9" t="n">
        <f aca="false">Rates_Daily!C11</f>
        <v>46301</v>
      </c>
      <c r="F10" s="44" t="s">
        <v>108</v>
      </c>
      <c r="G10" s="44" t="s">
        <v>114</v>
      </c>
      <c r="H10" s="44" t="s">
        <v>106</v>
      </c>
      <c r="I10" s="44"/>
    </row>
    <row r="11" customFormat="false" ht="15" hidden="false" customHeight="false" outlineLevel="0" collapsed="false">
      <c r="A11" s="7" t="s">
        <v>1144</v>
      </c>
      <c r="B11" s="43" t="s">
        <v>1146</v>
      </c>
      <c r="C11" s="19" t="n">
        <f aca="false">Rates_Daily!D12</f>
        <v>3.75</v>
      </c>
      <c r="D11" s="43" t="s">
        <v>112</v>
      </c>
      <c r="E11" s="9" t="n">
        <f aca="false">Rates_Daily!D11</f>
        <v>46301</v>
      </c>
      <c r="F11" s="44" t="s">
        <v>108</v>
      </c>
      <c r="G11" s="44" t="s">
        <v>118</v>
      </c>
      <c r="H11" s="44" t="s">
        <v>106</v>
      </c>
      <c r="I11" s="44"/>
    </row>
    <row r="12" customFormat="false" ht="15" hidden="false" customHeight="false" outlineLevel="0" collapsed="false">
      <c r="A12" s="7" t="s">
        <v>1144</v>
      </c>
      <c r="B12" s="43" t="s">
        <v>1147</v>
      </c>
      <c r="C12" s="19" t="n">
        <f aca="false">Rates_Daily!B12</f>
        <v>3.89</v>
      </c>
      <c r="D12" s="43" t="s">
        <v>112</v>
      </c>
      <c r="E12" s="9" t="n">
        <f aca="false">Rates_Daily!B11</f>
        <v>46300</v>
      </c>
      <c r="F12" s="44" t="s">
        <v>108</v>
      </c>
      <c r="G12" s="44" t="s">
        <v>109</v>
      </c>
      <c r="H12" s="44" t="s">
        <v>106</v>
      </c>
      <c r="I12" s="44"/>
    </row>
    <row r="13" customFormat="false" ht="15" hidden="false" customHeight="false" outlineLevel="0" collapsed="false">
      <c r="A13" s="7" t="s">
        <v>1144</v>
      </c>
      <c r="B13" s="43" t="s">
        <v>1148</v>
      </c>
      <c r="C13" s="19" t="n">
        <f aca="false">Rates_Monthly!F12</f>
        <v>3.93</v>
      </c>
      <c r="D13" s="43" t="s">
        <v>112</v>
      </c>
      <c r="E13" s="9" t="n">
        <f aca="false">Rates_Monthly!F11</f>
        <v>46266</v>
      </c>
      <c r="F13" s="44" t="s">
        <v>108</v>
      </c>
      <c r="G13" s="44" t="s">
        <v>198</v>
      </c>
      <c r="H13" s="44" t="s">
        <v>184</v>
      </c>
      <c r="I13" s="44"/>
    </row>
    <row r="14" customFormat="false" ht="15" hidden="false" customHeight="false" outlineLevel="0" collapsed="false">
      <c r="A14" s="7" t="s">
        <v>1144</v>
      </c>
      <c r="B14" s="43" t="s">
        <v>1149</v>
      </c>
      <c r="C14" s="19" t="n">
        <f aca="false">Rates_Monthly!G12</f>
        <v>4.09</v>
      </c>
      <c r="D14" s="43" t="s">
        <v>112</v>
      </c>
      <c r="E14" s="9" t="n">
        <f aca="false">Rates_Monthly!G11</f>
        <v>46266</v>
      </c>
      <c r="F14" s="44" t="s">
        <v>108</v>
      </c>
      <c r="G14" s="44" t="s">
        <v>202</v>
      </c>
      <c r="H14" s="44" t="s">
        <v>184</v>
      </c>
      <c r="I14" s="44"/>
    </row>
    <row r="15" customFormat="false" ht="15" hidden="false" customHeight="false" outlineLevel="0" collapsed="false">
      <c r="A15" s="7" t="s">
        <v>1144</v>
      </c>
      <c r="B15" s="43" t="s">
        <v>1150</v>
      </c>
      <c r="C15" s="19" t="n">
        <f aca="false">Rates_Monthly!H12</f>
        <v>4.18</v>
      </c>
      <c r="D15" s="43" t="s">
        <v>112</v>
      </c>
      <c r="E15" s="9" t="n">
        <f aca="false">Rates_Monthly!H11</f>
        <v>46266</v>
      </c>
      <c r="F15" s="44" t="s">
        <v>108</v>
      </c>
      <c r="G15" s="44" t="s">
        <v>206</v>
      </c>
      <c r="H15" s="44" t="s">
        <v>184</v>
      </c>
      <c r="I15" s="44"/>
    </row>
    <row r="16" customFormat="false" ht="15" hidden="false" customHeight="false" outlineLevel="0" collapsed="false">
      <c r="A16" s="7" t="s">
        <v>1144</v>
      </c>
      <c r="B16" s="43" t="s">
        <v>1151</v>
      </c>
      <c r="C16" s="19" t="n">
        <f aca="false">Rates_Monthly!I12</f>
        <v>4.37</v>
      </c>
      <c r="D16" s="43" t="s">
        <v>112</v>
      </c>
      <c r="E16" s="9" t="n">
        <f aca="false">Rates_Monthly!I11</f>
        <v>46266</v>
      </c>
      <c r="F16" s="44" t="s">
        <v>108</v>
      </c>
      <c r="G16" s="44" t="s">
        <v>210</v>
      </c>
      <c r="H16" s="44" t="s">
        <v>184</v>
      </c>
      <c r="I16" s="44"/>
    </row>
    <row r="17" customFormat="false" ht="15" hidden="false" customHeight="false" outlineLevel="0" collapsed="false">
      <c r="A17" s="7" t="s">
        <v>374</v>
      </c>
      <c r="B17" s="43" t="s">
        <v>1152</v>
      </c>
      <c r="C17" s="20" t="n">
        <f aca="false">Inflation!C12</f>
        <v>3.39654789243649</v>
      </c>
      <c r="D17" s="43" t="s">
        <v>387</v>
      </c>
      <c r="E17" s="45" t="n">
        <f aca="false">Inflation!C11</f>
        <v>46235</v>
      </c>
      <c r="F17" s="44" t="s">
        <v>725</v>
      </c>
      <c r="G17" s="44" t="s">
        <v>728</v>
      </c>
      <c r="H17" s="44" t="s">
        <v>374</v>
      </c>
      <c r="I17" s="44"/>
    </row>
    <row r="18" customFormat="false" ht="15" hidden="false" customHeight="false" outlineLevel="0" collapsed="false">
      <c r="A18" s="7" t="s">
        <v>374</v>
      </c>
      <c r="B18" s="43" t="s">
        <v>1153</v>
      </c>
      <c r="C18" s="20" t="n">
        <f aca="false">Inflation!D12</f>
        <v>3.396548</v>
      </c>
      <c r="D18" s="43" t="s">
        <v>387</v>
      </c>
      <c r="E18" s="45" t="n">
        <f aca="false">Inflation!D11</f>
        <v>46235</v>
      </c>
      <c r="F18" s="44" t="s">
        <v>383</v>
      </c>
      <c r="G18" s="44" t="s">
        <v>384</v>
      </c>
      <c r="H18" s="44" t="s">
        <v>374</v>
      </c>
      <c r="I18" s="44"/>
    </row>
    <row r="19" customFormat="false" ht="15" hidden="false" customHeight="false" outlineLevel="0" collapsed="false">
      <c r="A19" s="7" t="s">
        <v>1154</v>
      </c>
      <c r="B19" s="43" t="s">
        <v>1155</v>
      </c>
      <c r="C19" s="36" t="n">
        <f aca="false">GDP_Growth!X36</f>
        <v>30769700000000</v>
      </c>
      <c r="D19" s="43" t="s">
        <v>478</v>
      </c>
      <c r="E19" s="16" t="str">
        <f aca="false">GDP_Growth!W36</f>
        <v>2025</v>
      </c>
      <c r="F19" s="44" t="s">
        <v>469</v>
      </c>
      <c r="G19" s="44" t="s">
        <v>475</v>
      </c>
      <c r="H19" s="44" t="s">
        <v>453</v>
      </c>
      <c r="I19" s="44"/>
    </row>
    <row r="20" customFormat="false" ht="15" hidden="false" customHeight="false" outlineLevel="0" collapsed="false">
      <c r="A20" s="7" t="s">
        <v>1154</v>
      </c>
      <c r="B20" s="43" t="s">
        <v>1156</v>
      </c>
      <c r="C20" s="34" t="n">
        <f aca="false">GDP_Growth!AB16</f>
        <v>30767.075</v>
      </c>
      <c r="D20" s="43" t="s">
        <v>467</v>
      </c>
      <c r="E20" s="16" t="str">
        <f aca="false">GDP_Growth!AA16</f>
        <v>2025</v>
      </c>
      <c r="F20" s="44" t="s">
        <v>455</v>
      </c>
      <c r="G20" s="44" t="s">
        <v>464</v>
      </c>
      <c r="H20" s="44" t="s">
        <v>453</v>
      </c>
      <c r="I20" s="44"/>
    </row>
    <row r="21" customFormat="false" ht="15" hidden="false" customHeight="false" outlineLevel="0" collapsed="false">
      <c r="A21" s="7" t="s">
        <v>1154</v>
      </c>
      <c r="B21" s="43" t="s">
        <v>1157</v>
      </c>
      <c r="C21" s="36" t="n">
        <f aca="false">GDP_Growth!X46</f>
        <v>90026.5163005744</v>
      </c>
      <c r="D21" s="43" t="s">
        <v>478</v>
      </c>
      <c r="E21" s="16" t="str">
        <f aca="false">GDP_Growth!W46</f>
        <v>2025</v>
      </c>
      <c r="F21" s="44" t="s">
        <v>469</v>
      </c>
      <c r="G21" s="44" t="s">
        <v>480</v>
      </c>
      <c r="H21" s="44" t="s">
        <v>453</v>
      </c>
      <c r="I21" s="44"/>
    </row>
    <row r="22" customFormat="false" ht="15" hidden="false" customHeight="false" outlineLevel="0" collapsed="false">
      <c r="A22" s="7" t="s">
        <v>1154</v>
      </c>
      <c r="B22" s="43" t="s">
        <v>1158</v>
      </c>
      <c r="C22" s="20" t="n">
        <f aca="false">GDP_Growth!X26</f>
        <v>2.16138195623856</v>
      </c>
      <c r="D22" s="43" t="s">
        <v>473</v>
      </c>
      <c r="E22" s="16" t="str">
        <f aca="false">GDP_Growth!W26</f>
        <v>2025</v>
      </c>
      <c r="F22" s="44" t="s">
        <v>469</v>
      </c>
      <c r="G22" s="44" t="s">
        <v>470</v>
      </c>
      <c r="H22" s="44" t="s">
        <v>453</v>
      </c>
      <c r="I22" s="44"/>
    </row>
    <row r="23" customFormat="false" ht="15" hidden="false" customHeight="false" outlineLevel="0" collapsed="false">
      <c r="A23" s="7" t="s">
        <v>1154</v>
      </c>
      <c r="B23" s="43" t="s">
        <v>1159</v>
      </c>
      <c r="C23" s="20" t="n">
        <f aca="false">GDP_Growth!AB6</f>
        <v>2.1</v>
      </c>
      <c r="D23" s="43" t="s">
        <v>459</v>
      </c>
      <c r="E23" s="16" t="str">
        <f aca="false">GDP_Growth!AA6</f>
        <v>2025</v>
      </c>
      <c r="F23" s="44" t="s">
        <v>455</v>
      </c>
      <c r="G23" s="44" t="s">
        <v>456</v>
      </c>
      <c r="H23" s="44" t="s">
        <v>453</v>
      </c>
      <c r="I23" s="44" t="s">
        <v>1160</v>
      </c>
    </row>
    <row r="24" customFormat="false" ht="15" hidden="false" customHeight="false" outlineLevel="0" collapsed="false">
      <c r="A24" s="7" t="s">
        <v>1161</v>
      </c>
      <c r="B24" s="43" t="s">
        <v>1162</v>
      </c>
      <c r="C24" s="20" t="n">
        <f aca="false">GDP_Growth!Y6</f>
        <v>2.3</v>
      </c>
      <c r="D24" s="43" t="s">
        <v>459</v>
      </c>
      <c r="E24" s="11" t="s">
        <v>1163</v>
      </c>
      <c r="F24" s="44" t="s">
        <v>455</v>
      </c>
      <c r="G24" s="44" t="s">
        <v>456</v>
      </c>
      <c r="H24" s="44" t="s">
        <v>453</v>
      </c>
      <c r="I24" s="44" t="s">
        <v>1164</v>
      </c>
    </row>
    <row r="25" customFormat="false" ht="15" hidden="false" customHeight="false" outlineLevel="0" collapsed="false">
      <c r="A25" s="7" t="s">
        <v>1161</v>
      </c>
      <c r="B25" s="43" t="s">
        <v>1165</v>
      </c>
      <c r="C25" s="20" t="n">
        <f aca="false">GDP_Growth!Z6</f>
        <v>2.1</v>
      </c>
      <c r="D25" s="43" t="s">
        <v>459</v>
      </c>
      <c r="E25" s="11" t="s">
        <v>1166</v>
      </c>
      <c r="F25" s="44" t="s">
        <v>455</v>
      </c>
      <c r="G25" s="44" t="s">
        <v>456</v>
      </c>
      <c r="H25" s="44" t="s">
        <v>453</v>
      </c>
      <c r="I25" s="44" t="s">
        <v>1164</v>
      </c>
    </row>
    <row r="26" customFormat="false" ht="15" hidden="false" customHeight="false" outlineLevel="0" collapsed="false">
      <c r="A26" s="7" t="s">
        <v>1167</v>
      </c>
      <c r="B26" s="43" t="s">
        <v>1168</v>
      </c>
      <c r="C26" s="21" t="n">
        <f aca="false">GDP_Growth!B102</f>
        <v>0.55048979</v>
      </c>
      <c r="D26" s="43" t="s">
        <v>538</v>
      </c>
      <c r="E26" s="16" t="str">
        <f aca="false">GDP_Growth!B101</f>
        <v>2026-Q2</v>
      </c>
      <c r="F26" s="44" t="s">
        <v>1169</v>
      </c>
      <c r="G26" s="44" t="s">
        <v>1170</v>
      </c>
      <c r="H26" s="44" t="s">
        <v>453</v>
      </c>
      <c r="I26" s="44"/>
    </row>
    <row r="27" customFormat="false" ht="15" hidden="false" customHeight="false" outlineLevel="0" collapsed="false">
      <c r="A27" s="7" t="s">
        <v>1167</v>
      </c>
      <c r="B27" s="43" t="s">
        <v>1171</v>
      </c>
      <c r="C27" s="21" t="n">
        <f aca="false">GDP_Growth!C102</f>
        <v>2.191574533</v>
      </c>
      <c r="D27" s="43" t="s">
        <v>538</v>
      </c>
      <c r="E27" s="16" t="str">
        <f aca="false">GDP_Growth!C101</f>
        <v>2026-Q2</v>
      </c>
      <c r="F27" s="44" t="s">
        <v>1169</v>
      </c>
      <c r="G27" s="44" t="s">
        <v>1172</v>
      </c>
      <c r="H27" s="44" t="s">
        <v>453</v>
      </c>
      <c r="I27" s="44"/>
    </row>
    <row r="28" customFormat="false" ht="15" hidden="false" customHeight="false" outlineLevel="0" collapsed="false">
      <c r="A28" s="7" t="s">
        <v>1154</v>
      </c>
      <c r="B28" s="43" t="s">
        <v>1173</v>
      </c>
      <c r="C28" s="20" t="n">
        <f aca="false">Trade_CurrentAccount!X6</f>
        <v>10.97469647515</v>
      </c>
      <c r="D28" s="43" t="s">
        <v>506</v>
      </c>
      <c r="E28" s="16" t="str">
        <f aca="false">Trade_CurrentAccount!W6</f>
        <v>2024</v>
      </c>
      <c r="F28" s="44" t="s">
        <v>469</v>
      </c>
      <c r="G28" s="44" t="s">
        <v>503</v>
      </c>
      <c r="H28" s="44" t="s">
        <v>501</v>
      </c>
      <c r="I28" s="44"/>
    </row>
    <row r="29" customFormat="false" ht="15" hidden="false" customHeight="false" outlineLevel="0" collapsed="false">
      <c r="A29" s="7" t="s">
        <v>1154</v>
      </c>
      <c r="B29" s="43" t="s">
        <v>1174</v>
      </c>
      <c r="C29" s="20" t="n">
        <f aca="false">Trade_CurrentAccount!X16</f>
        <v>14.0413208226783</v>
      </c>
      <c r="D29" s="43" t="s">
        <v>506</v>
      </c>
      <c r="E29" s="16" t="str">
        <f aca="false">Trade_CurrentAccount!W16</f>
        <v>2024</v>
      </c>
      <c r="F29" s="44" t="s">
        <v>469</v>
      </c>
      <c r="G29" s="44" t="s">
        <v>508</v>
      </c>
      <c r="H29" s="44" t="s">
        <v>501</v>
      </c>
      <c r="I29" s="44"/>
    </row>
    <row r="30" customFormat="false" ht="15" hidden="false" customHeight="false" outlineLevel="0" collapsed="false">
      <c r="A30" s="7" t="s">
        <v>1154</v>
      </c>
      <c r="B30" s="43" t="s">
        <v>1175</v>
      </c>
      <c r="C30" s="20" t="n">
        <f aca="false">Trade_CurrentAccount!X26</f>
        <v>-3.62698693844919</v>
      </c>
      <c r="D30" s="43" t="s">
        <v>506</v>
      </c>
      <c r="E30" s="16" t="str">
        <f aca="false">Trade_CurrentAccount!W26</f>
        <v>2025</v>
      </c>
      <c r="F30" s="44" t="s">
        <v>469</v>
      </c>
      <c r="G30" s="44" t="s">
        <v>512</v>
      </c>
      <c r="H30" s="44" t="s">
        <v>501</v>
      </c>
      <c r="I30" s="44"/>
    </row>
    <row r="31" customFormat="false" ht="15" hidden="false" customHeight="false" outlineLevel="0" collapsed="false">
      <c r="A31" s="7" t="s">
        <v>1154</v>
      </c>
      <c r="B31" s="43" t="s">
        <v>1176</v>
      </c>
      <c r="C31" s="20" t="n">
        <f aca="false">Trade_CurrentAccount!AB36</f>
        <v>-3.6</v>
      </c>
      <c r="D31" s="43" t="s">
        <v>506</v>
      </c>
      <c r="E31" s="16" t="str">
        <f aca="false">Trade_CurrentAccount!AA36</f>
        <v>2025</v>
      </c>
      <c r="F31" s="44" t="s">
        <v>455</v>
      </c>
      <c r="G31" s="44" t="s">
        <v>516</v>
      </c>
      <c r="H31" s="44" t="s">
        <v>501</v>
      </c>
      <c r="I31" s="44"/>
    </row>
    <row r="32" customFormat="false" ht="15" hidden="false" customHeight="false" outlineLevel="0" collapsed="false">
      <c r="A32" s="7" t="s">
        <v>1161</v>
      </c>
      <c r="B32" s="43" t="s">
        <v>1177</v>
      </c>
      <c r="C32" s="20" t="n">
        <f aca="false">Trade_CurrentAccount!Y36</f>
        <v>-3.7</v>
      </c>
      <c r="D32" s="43" t="s">
        <v>506</v>
      </c>
      <c r="E32" s="11" t="s">
        <v>1163</v>
      </c>
      <c r="F32" s="44" t="s">
        <v>455</v>
      </c>
      <c r="G32" s="44" t="s">
        <v>516</v>
      </c>
      <c r="H32" s="44" t="s">
        <v>501</v>
      </c>
      <c r="I32" s="44" t="s">
        <v>1164</v>
      </c>
    </row>
    <row r="33" customFormat="false" ht="15" hidden="false" customHeight="false" outlineLevel="0" collapsed="false">
      <c r="A33" s="7" t="s">
        <v>1178</v>
      </c>
      <c r="B33" s="43" t="s">
        <v>1179</v>
      </c>
      <c r="C33" s="10" t="str">
        <f aca="false">Trade_CurrentAccount!D47</f>
        <v>Mexico</v>
      </c>
      <c r="D33" s="43" t="s">
        <v>1180</v>
      </c>
      <c r="E33" s="11" t="s">
        <v>526</v>
      </c>
      <c r="F33" s="44" t="s">
        <v>1181</v>
      </c>
      <c r="G33" s="44" t="s">
        <v>1182</v>
      </c>
      <c r="H33" s="44" t="s">
        <v>501</v>
      </c>
      <c r="I33" s="44"/>
    </row>
    <row r="34" customFormat="false" ht="15" hidden="false" customHeight="false" outlineLevel="0" collapsed="false">
      <c r="A34" s="7" t="s">
        <v>1178</v>
      </c>
      <c r="B34" s="43" t="s">
        <v>1183</v>
      </c>
      <c r="C34" s="38" t="n">
        <f aca="false">Trade_CurrentAccount!F47</f>
        <v>0.15523160460038</v>
      </c>
      <c r="D34" s="43" t="s">
        <v>1184</v>
      </c>
      <c r="E34" s="11" t="s">
        <v>526</v>
      </c>
      <c r="F34" s="44" t="s">
        <v>1181</v>
      </c>
      <c r="G34" s="44" t="s">
        <v>1185</v>
      </c>
      <c r="H34" s="44" t="s">
        <v>501</v>
      </c>
      <c r="I34" s="44"/>
    </row>
    <row r="35" customFormat="false" ht="15" hidden="false" customHeight="false" outlineLevel="0" collapsed="false">
      <c r="A35" s="7" t="s">
        <v>1178</v>
      </c>
      <c r="B35" s="43" t="s">
        <v>1186</v>
      </c>
      <c r="C35" s="10" t="str">
        <f aca="false">Trade_CurrentAccount!D48</f>
        <v>Canada</v>
      </c>
      <c r="D35" s="43" t="s">
        <v>1180</v>
      </c>
      <c r="E35" s="11" t="s">
        <v>526</v>
      </c>
      <c r="F35" s="44" t="s">
        <v>1181</v>
      </c>
      <c r="G35" s="44" t="s">
        <v>1182</v>
      </c>
      <c r="H35" s="44" t="s">
        <v>501</v>
      </c>
      <c r="I35" s="44"/>
    </row>
    <row r="36" customFormat="false" ht="15" hidden="false" customHeight="false" outlineLevel="0" collapsed="false">
      <c r="A36" s="7" t="s">
        <v>1178</v>
      </c>
      <c r="B36" s="43" t="s">
        <v>1183</v>
      </c>
      <c r="C36" s="38" t="n">
        <f aca="false">Trade_CurrentAccount!F48</f>
        <v>0.151417078425063</v>
      </c>
      <c r="D36" s="43" t="s">
        <v>1184</v>
      </c>
      <c r="E36" s="11" t="s">
        <v>526</v>
      </c>
      <c r="F36" s="44" t="s">
        <v>1181</v>
      </c>
      <c r="G36" s="44" t="s">
        <v>1185</v>
      </c>
      <c r="H36" s="44" t="s">
        <v>501</v>
      </c>
      <c r="I36" s="44"/>
    </row>
    <row r="37" customFormat="false" ht="15" hidden="false" customHeight="false" outlineLevel="0" collapsed="false">
      <c r="A37" s="7" t="s">
        <v>1178</v>
      </c>
      <c r="B37" s="43" t="s">
        <v>1187</v>
      </c>
      <c r="C37" s="10" t="str">
        <f aca="false">Trade_CurrentAccount!D49</f>
        <v>China</v>
      </c>
      <c r="D37" s="43" t="s">
        <v>1180</v>
      </c>
      <c r="E37" s="11" t="s">
        <v>526</v>
      </c>
      <c r="F37" s="44" t="s">
        <v>1181</v>
      </c>
      <c r="G37" s="44" t="s">
        <v>1182</v>
      </c>
      <c r="H37" s="44" t="s">
        <v>501</v>
      </c>
      <c r="I37" s="44"/>
    </row>
    <row r="38" customFormat="false" ht="15" hidden="false" customHeight="false" outlineLevel="0" collapsed="false">
      <c r="A38" s="7" t="s">
        <v>1178</v>
      </c>
      <c r="B38" s="43" t="s">
        <v>1183</v>
      </c>
      <c r="C38" s="38" t="n">
        <f aca="false">Trade_CurrentAccount!F49</f>
        <v>0.0488296469303849</v>
      </c>
      <c r="D38" s="43" t="s">
        <v>1184</v>
      </c>
      <c r="E38" s="11" t="s">
        <v>526</v>
      </c>
      <c r="F38" s="44" t="s">
        <v>1181</v>
      </c>
      <c r="G38" s="44" t="s">
        <v>1185</v>
      </c>
      <c r="H38" s="44" t="s">
        <v>501</v>
      </c>
      <c r="I38" s="44"/>
    </row>
    <row r="39" customFormat="false" ht="15" hidden="false" customHeight="false" outlineLevel="0" collapsed="false">
      <c r="A39" s="7" t="s">
        <v>1178</v>
      </c>
      <c r="B39" s="43" t="s">
        <v>1188</v>
      </c>
      <c r="C39" s="10" t="str">
        <f aca="false">Trade_CurrentAccount!D50</f>
        <v>United Kingdom</v>
      </c>
      <c r="D39" s="43" t="s">
        <v>1180</v>
      </c>
      <c r="E39" s="11" t="s">
        <v>526</v>
      </c>
      <c r="F39" s="44" t="s">
        <v>1181</v>
      </c>
      <c r="G39" s="44" t="s">
        <v>1182</v>
      </c>
      <c r="H39" s="44" t="s">
        <v>501</v>
      </c>
      <c r="I39" s="44"/>
    </row>
    <row r="40" customFormat="false" ht="15" hidden="false" customHeight="false" outlineLevel="0" collapsed="false">
      <c r="A40" s="7" t="s">
        <v>1178</v>
      </c>
      <c r="B40" s="43" t="s">
        <v>1183</v>
      </c>
      <c r="C40" s="38" t="n">
        <f aca="false">Trade_CurrentAccount!F50</f>
        <v>0.0444631922036984</v>
      </c>
      <c r="D40" s="43" t="s">
        <v>1184</v>
      </c>
      <c r="E40" s="11" t="s">
        <v>526</v>
      </c>
      <c r="F40" s="44" t="s">
        <v>1181</v>
      </c>
      <c r="G40" s="44" t="s">
        <v>1185</v>
      </c>
      <c r="H40" s="44" t="s">
        <v>501</v>
      </c>
      <c r="I40" s="44"/>
    </row>
    <row r="41" customFormat="false" ht="15" hidden="false" customHeight="false" outlineLevel="0" collapsed="false">
      <c r="A41" s="7" t="s">
        <v>1178</v>
      </c>
      <c r="B41" s="43" t="s">
        <v>1189</v>
      </c>
      <c r="C41" s="10" t="str">
        <f aca="false">Trade_CurrentAccount!D51</f>
        <v>Netherlands</v>
      </c>
      <c r="D41" s="43" t="s">
        <v>1180</v>
      </c>
      <c r="E41" s="11" t="s">
        <v>526</v>
      </c>
      <c r="F41" s="44" t="s">
        <v>1181</v>
      </c>
      <c r="G41" s="44" t="s">
        <v>1182</v>
      </c>
      <c r="H41" s="44" t="s">
        <v>501</v>
      </c>
      <c r="I41" s="44"/>
    </row>
    <row r="42" customFormat="false" ht="15" hidden="false" customHeight="false" outlineLevel="0" collapsed="false">
      <c r="A42" s="7" t="s">
        <v>1178</v>
      </c>
      <c r="B42" s="43" t="s">
        <v>1183</v>
      </c>
      <c r="C42" s="38" t="n">
        <f aca="false">Trade_CurrentAccount!F51</f>
        <v>0.0439283998013973</v>
      </c>
      <c r="D42" s="43" t="s">
        <v>1184</v>
      </c>
      <c r="E42" s="11" t="s">
        <v>526</v>
      </c>
      <c r="F42" s="44" t="s">
        <v>1181</v>
      </c>
      <c r="G42" s="44" t="s">
        <v>1185</v>
      </c>
      <c r="H42" s="44" t="s">
        <v>501</v>
      </c>
      <c r="I42" s="44"/>
    </row>
    <row r="43" customFormat="false" ht="15" hidden="false" customHeight="false" outlineLevel="0" collapsed="false">
      <c r="A43" s="7" t="s">
        <v>1178</v>
      </c>
      <c r="B43" s="43" t="s">
        <v>1190</v>
      </c>
      <c r="C43" s="10" t="str">
        <f aca="false">Trade_CurrentAccount!D58</f>
        <v>Mexico</v>
      </c>
      <c r="D43" s="43" t="s">
        <v>1180</v>
      </c>
      <c r="E43" s="11" t="s">
        <v>526</v>
      </c>
      <c r="F43" s="44" t="s">
        <v>1181</v>
      </c>
      <c r="G43" s="44" t="s">
        <v>1182</v>
      </c>
      <c r="H43" s="44" t="s">
        <v>501</v>
      </c>
      <c r="I43" s="44"/>
    </row>
    <row r="44" customFormat="false" ht="15" hidden="false" customHeight="false" outlineLevel="0" collapsed="false">
      <c r="A44" s="7" t="s">
        <v>1178</v>
      </c>
      <c r="B44" s="43" t="s">
        <v>1191</v>
      </c>
      <c r="C44" s="38" t="n">
        <f aca="false">Trade_CurrentAccount!F58</f>
        <v>0.153802093184203</v>
      </c>
      <c r="D44" s="43" t="s">
        <v>1184</v>
      </c>
      <c r="E44" s="11" t="s">
        <v>526</v>
      </c>
      <c r="F44" s="44" t="s">
        <v>1181</v>
      </c>
      <c r="G44" s="44" t="s">
        <v>1185</v>
      </c>
      <c r="H44" s="44" t="s">
        <v>501</v>
      </c>
      <c r="I44" s="44"/>
    </row>
    <row r="45" customFormat="false" ht="15" hidden="false" customHeight="false" outlineLevel="0" collapsed="false">
      <c r="A45" s="7" t="s">
        <v>1178</v>
      </c>
      <c r="B45" s="43" t="s">
        <v>1192</v>
      </c>
      <c r="C45" s="10" t="str">
        <f aca="false">Trade_CurrentAccount!D59</f>
        <v>Canada</v>
      </c>
      <c r="D45" s="43" t="s">
        <v>1180</v>
      </c>
      <c r="E45" s="11" t="s">
        <v>526</v>
      </c>
      <c r="F45" s="44" t="s">
        <v>1181</v>
      </c>
      <c r="G45" s="44" t="s">
        <v>1182</v>
      </c>
      <c r="H45" s="44" t="s">
        <v>501</v>
      </c>
      <c r="I45" s="44"/>
    </row>
    <row r="46" customFormat="false" ht="15" hidden="false" customHeight="false" outlineLevel="0" collapsed="false">
      <c r="A46" s="7" t="s">
        <v>1178</v>
      </c>
      <c r="B46" s="43" t="s">
        <v>1191</v>
      </c>
      <c r="C46" s="38" t="n">
        <f aca="false">Trade_CurrentAccount!F59</f>
        <v>0.111990086257925</v>
      </c>
      <c r="D46" s="43" t="s">
        <v>1184</v>
      </c>
      <c r="E46" s="11" t="s">
        <v>526</v>
      </c>
      <c r="F46" s="44" t="s">
        <v>1181</v>
      </c>
      <c r="G46" s="44" t="s">
        <v>1185</v>
      </c>
      <c r="H46" s="44" t="s">
        <v>501</v>
      </c>
      <c r="I46" s="44"/>
    </row>
    <row r="47" customFormat="false" ht="15" hidden="false" customHeight="false" outlineLevel="0" collapsed="false">
      <c r="A47" s="7" t="s">
        <v>1178</v>
      </c>
      <c r="B47" s="43" t="s">
        <v>1193</v>
      </c>
      <c r="C47" s="10" t="str">
        <f aca="false">Trade_CurrentAccount!D60</f>
        <v>China</v>
      </c>
      <c r="D47" s="43" t="s">
        <v>1180</v>
      </c>
      <c r="E47" s="11" t="s">
        <v>526</v>
      </c>
      <c r="F47" s="44" t="s">
        <v>1181</v>
      </c>
      <c r="G47" s="44" t="s">
        <v>1182</v>
      </c>
      <c r="H47" s="44" t="s">
        <v>501</v>
      </c>
      <c r="I47" s="44"/>
    </row>
    <row r="48" customFormat="false" ht="15" hidden="false" customHeight="false" outlineLevel="0" collapsed="false">
      <c r="A48" s="7" t="s">
        <v>1178</v>
      </c>
      <c r="B48" s="43" t="s">
        <v>1191</v>
      </c>
      <c r="C48" s="38" t="n">
        <f aca="false">Trade_CurrentAccount!F60</f>
        <v>0.0934505343016657</v>
      </c>
      <c r="D48" s="43" t="s">
        <v>1184</v>
      </c>
      <c r="E48" s="11" t="s">
        <v>526</v>
      </c>
      <c r="F48" s="44" t="s">
        <v>1181</v>
      </c>
      <c r="G48" s="44" t="s">
        <v>1185</v>
      </c>
      <c r="H48" s="44" t="s">
        <v>501</v>
      </c>
      <c r="I48" s="44"/>
    </row>
    <row r="49" customFormat="false" ht="15" hidden="false" customHeight="false" outlineLevel="0" collapsed="false">
      <c r="A49" s="7" t="s">
        <v>1178</v>
      </c>
      <c r="B49" s="43" t="s">
        <v>1194</v>
      </c>
      <c r="C49" s="10" t="str">
        <f aca="false">Trade_CurrentAccount!D61</f>
        <v>Other Asia, nes</v>
      </c>
      <c r="D49" s="43" t="s">
        <v>1180</v>
      </c>
      <c r="E49" s="11" t="s">
        <v>526</v>
      </c>
      <c r="F49" s="44" t="s">
        <v>1181</v>
      </c>
      <c r="G49" s="44" t="s">
        <v>1182</v>
      </c>
      <c r="H49" s="44" t="s">
        <v>501</v>
      </c>
      <c r="I49" s="44"/>
    </row>
    <row r="50" customFormat="false" ht="15" hidden="false" customHeight="false" outlineLevel="0" collapsed="false">
      <c r="A50" s="7" t="s">
        <v>1178</v>
      </c>
      <c r="B50" s="43" t="s">
        <v>1191</v>
      </c>
      <c r="C50" s="38" t="n">
        <f aca="false">Trade_CurrentAccount!F61</f>
        <v>0.0585094781705239</v>
      </c>
      <c r="D50" s="43" t="s">
        <v>1184</v>
      </c>
      <c r="E50" s="11" t="s">
        <v>526</v>
      </c>
      <c r="F50" s="44" t="s">
        <v>1181</v>
      </c>
      <c r="G50" s="44" t="s">
        <v>1185</v>
      </c>
      <c r="H50" s="44" t="s">
        <v>501</v>
      </c>
      <c r="I50" s="44"/>
    </row>
    <row r="51" customFormat="false" ht="15" hidden="false" customHeight="false" outlineLevel="0" collapsed="false">
      <c r="A51" s="7" t="s">
        <v>1178</v>
      </c>
      <c r="B51" s="43" t="s">
        <v>1195</v>
      </c>
      <c r="C51" s="10" t="str">
        <f aca="false">Trade_CurrentAccount!D62</f>
        <v>Viet Nam</v>
      </c>
      <c r="D51" s="43" t="s">
        <v>1180</v>
      </c>
      <c r="E51" s="11" t="s">
        <v>526</v>
      </c>
      <c r="F51" s="44" t="s">
        <v>1181</v>
      </c>
      <c r="G51" s="44" t="s">
        <v>1182</v>
      </c>
      <c r="H51" s="44" t="s">
        <v>501</v>
      </c>
      <c r="I51" s="44"/>
    </row>
    <row r="52" customFormat="false" ht="15" hidden="false" customHeight="false" outlineLevel="0" collapsed="false">
      <c r="A52" s="7" t="s">
        <v>1178</v>
      </c>
      <c r="B52" s="43" t="s">
        <v>1191</v>
      </c>
      <c r="C52" s="38" t="n">
        <f aca="false">Trade_CurrentAccount!F62</f>
        <v>0.0574319718569856</v>
      </c>
      <c r="D52" s="43" t="s">
        <v>1184</v>
      </c>
      <c r="E52" s="11" t="s">
        <v>526</v>
      </c>
      <c r="F52" s="44" t="s">
        <v>1181</v>
      </c>
      <c r="G52" s="44" t="s">
        <v>1185</v>
      </c>
      <c r="H52" s="44" t="s">
        <v>501</v>
      </c>
      <c r="I52" s="44"/>
    </row>
    <row r="53" customFormat="false" ht="15" hidden="false" customHeight="false" outlineLevel="0" collapsed="false">
      <c r="A53" s="7" t="s">
        <v>1196</v>
      </c>
      <c r="B53" s="43" t="s">
        <v>1197</v>
      </c>
      <c r="C53" s="10" t="str">
        <f aca="false">Trade_CurrentAccount!D203</f>
        <v>27 - Mineral fuels, mineral oils and products of their distillation; bituminous substances; mineral waxes</v>
      </c>
      <c r="D53" s="43" t="s">
        <v>1027</v>
      </c>
      <c r="E53" s="11" t="s">
        <v>526</v>
      </c>
      <c r="F53" s="44" t="s">
        <v>1181</v>
      </c>
      <c r="G53" s="44" t="s">
        <v>1198</v>
      </c>
      <c r="H53" s="44" t="s">
        <v>501</v>
      </c>
      <c r="I53" s="44"/>
    </row>
    <row r="54" customFormat="false" ht="15" hidden="false" customHeight="false" outlineLevel="0" collapsed="false">
      <c r="A54" s="7" t="s">
        <v>1196</v>
      </c>
      <c r="B54" s="43" t="s">
        <v>1199</v>
      </c>
      <c r="C54" s="38" t="n">
        <f aca="false">Trade_CurrentAccount!F203</f>
        <v>0.14188929392568</v>
      </c>
      <c r="D54" s="43" t="s">
        <v>1184</v>
      </c>
      <c r="E54" s="11" t="s">
        <v>526</v>
      </c>
      <c r="F54" s="44" t="s">
        <v>1181</v>
      </c>
      <c r="G54" s="44" t="s">
        <v>1185</v>
      </c>
      <c r="H54" s="44" t="s">
        <v>501</v>
      </c>
      <c r="I54" s="44"/>
    </row>
    <row r="55" customFormat="false" ht="15" hidden="false" customHeight="false" outlineLevel="0" collapsed="false">
      <c r="A55" s="7" t="s">
        <v>1196</v>
      </c>
      <c r="B55" s="43" t="s">
        <v>1200</v>
      </c>
      <c r="C55" s="10" t="str">
        <f aca="false">Trade_CurrentAccount!D204</f>
        <v>84 - Machinery and mechanical appliances, boilers, nuclear reactors; parts thereof</v>
      </c>
      <c r="D55" s="43" t="s">
        <v>1027</v>
      </c>
      <c r="E55" s="11" t="s">
        <v>526</v>
      </c>
      <c r="F55" s="44" t="s">
        <v>1181</v>
      </c>
      <c r="G55" s="44" t="s">
        <v>1198</v>
      </c>
      <c r="H55" s="44" t="s">
        <v>501</v>
      </c>
      <c r="I55" s="44"/>
    </row>
    <row r="56" customFormat="false" ht="15" hidden="false" customHeight="false" outlineLevel="0" collapsed="false">
      <c r="A56" s="7" t="s">
        <v>1196</v>
      </c>
      <c r="B56" s="43" t="s">
        <v>1199</v>
      </c>
      <c r="C56" s="38" t="n">
        <f aca="false">Trade_CurrentAccount!F204</f>
        <v>0.130268179764749</v>
      </c>
      <c r="D56" s="43" t="s">
        <v>1184</v>
      </c>
      <c r="E56" s="11" t="s">
        <v>526</v>
      </c>
      <c r="F56" s="44" t="s">
        <v>1181</v>
      </c>
      <c r="G56" s="44" t="s">
        <v>1185</v>
      </c>
      <c r="H56" s="44" t="s">
        <v>501</v>
      </c>
      <c r="I56" s="44"/>
    </row>
    <row r="57" customFormat="false" ht="15" hidden="false" customHeight="false" outlineLevel="0" collapsed="false">
      <c r="A57" s="7" t="s">
        <v>1196</v>
      </c>
      <c r="B57" s="43" t="s">
        <v>1201</v>
      </c>
      <c r="C57" s="10" t="str">
        <f aca="false">Trade_CurrentAccount!D205</f>
        <v>85 - Electrical machinery and equipment and parts thereof; sound recorders and reproducers; television image and sound recorders and reproducers, parts and accessories of such articles</v>
      </c>
      <c r="D57" s="43" t="s">
        <v>1027</v>
      </c>
      <c r="E57" s="11" t="s">
        <v>526</v>
      </c>
      <c r="F57" s="44" t="s">
        <v>1181</v>
      </c>
      <c r="G57" s="44" t="s">
        <v>1198</v>
      </c>
      <c r="H57" s="44" t="s">
        <v>501</v>
      </c>
      <c r="I57" s="44"/>
    </row>
    <row r="58" customFormat="false" ht="15" hidden="false" customHeight="false" outlineLevel="0" collapsed="false">
      <c r="A58" s="7" t="s">
        <v>1196</v>
      </c>
      <c r="B58" s="43" t="s">
        <v>1199</v>
      </c>
      <c r="C58" s="38" t="n">
        <f aca="false">Trade_CurrentAccount!F205</f>
        <v>0.1038288223771</v>
      </c>
      <c r="D58" s="43" t="s">
        <v>1184</v>
      </c>
      <c r="E58" s="11" t="s">
        <v>526</v>
      </c>
      <c r="F58" s="44" t="s">
        <v>1181</v>
      </c>
      <c r="G58" s="44" t="s">
        <v>1185</v>
      </c>
      <c r="H58" s="44" t="s">
        <v>501</v>
      </c>
      <c r="I58" s="44"/>
    </row>
    <row r="59" customFormat="false" ht="15" hidden="false" customHeight="false" outlineLevel="0" collapsed="false">
      <c r="A59" s="7" t="s">
        <v>1196</v>
      </c>
      <c r="B59" s="43" t="s">
        <v>1202</v>
      </c>
      <c r="C59" s="10" t="str">
        <f aca="false">Trade_CurrentAccount!D208</f>
        <v>84 - Machinery and mechanical appliances, boilers, nuclear reactors; parts thereof</v>
      </c>
      <c r="D59" s="43" t="s">
        <v>1027</v>
      </c>
      <c r="E59" s="11" t="s">
        <v>526</v>
      </c>
      <c r="F59" s="44" t="s">
        <v>1181</v>
      </c>
      <c r="G59" s="44" t="s">
        <v>1198</v>
      </c>
      <c r="H59" s="44" t="s">
        <v>501</v>
      </c>
      <c r="I59" s="44"/>
    </row>
    <row r="60" customFormat="false" ht="15" hidden="false" customHeight="false" outlineLevel="0" collapsed="false">
      <c r="A60" s="7" t="s">
        <v>1196</v>
      </c>
      <c r="B60" s="43" t="s">
        <v>1199</v>
      </c>
      <c r="C60" s="38" t="n">
        <f aca="false">Trade_CurrentAccount!F208</f>
        <v>0.189801632023837</v>
      </c>
      <c r="D60" s="43" t="s">
        <v>1184</v>
      </c>
      <c r="E60" s="11" t="s">
        <v>526</v>
      </c>
      <c r="F60" s="44" t="s">
        <v>1181</v>
      </c>
      <c r="G60" s="44" t="s">
        <v>1185</v>
      </c>
      <c r="H60" s="44" t="s">
        <v>501</v>
      </c>
      <c r="I60" s="44"/>
    </row>
    <row r="61" customFormat="false" ht="15" hidden="false" customHeight="false" outlineLevel="0" collapsed="false">
      <c r="A61" s="7" t="s">
        <v>1196</v>
      </c>
      <c r="B61" s="43" t="s">
        <v>1203</v>
      </c>
      <c r="C61" s="10" t="str">
        <f aca="false">Trade_CurrentAccount!D209</f>
        <v>85 - Electrical machinery and equipment and parts thereof; sound recorders and reproducers; television image and sound recorders and reproducers, parts and accessories of such articles</v>
      </c>
      <c r="D61" s="43" t="s">
        <v>1027</v>
      </c>
      <c r="E61" s="11" t="s">
        <v>526</v>
      </c>
      <c r="F61" s="44" t="s">
        <v>1181</v>
      </c>
      <c r="G61" s="44" t="s">
        <v>1198</v>
      </c>
      <c r="H61" s="44" t="s">
        <v>501</v>
      </c>
      <c r="I61" s="44"/>
    </row>
    <row r="62" customFormat="false" ht="15" hidden="false" customHeight="false" outlineLevel="0" collapsed="false">
      <c r="A62" s="7" t="s">
        <v>1196</v>
      </c>
      <c r="B62" s="43" t="s">
        <v>1199</v>
      </c>
      <c r="C62" s="38" t="n">
        <f aca="false">Trade_CurrentAccount!F209</f>
        <v>0.146555351717966</v>
      </c>
      <c r="D62" s="43" t="s">
        <v>1184</v>
      </c>
      <c r="E62" s="11" t="s">
        <v>526</v>
      </c>
      <c r="F62" s="44" t="s">
        <v>1181</v>
      </c>
      <c r="G62" s="44" t="s">
        <v>1185</v>
      </c>
      <c r="H62" s="44" t="s">
        <v>501</v>
      </c>
      <c r="I62" s="44"/>
    </row>
    <row r="63" customFormat="false" ht="15" hidden="false" customHeight="false" outlineLevel="0" collapsed="false">
      <c r="A63" s="7" t="s">
        <v>1196</v>
      </c>
      <c r="B63" s="43" t="s">
        <v>1204</v>
      </c>
      <c r="C63" s="10" t="str">
        <f aca="false">Trade_CurrentAccount!D210</f>
        <v>87 - Vehicles; other than railway or tramway rolling stock, and parts and accessories thereof</v>
      </c>
      <c r="D63" s="43" t="s">
        <v>1027</v>
      </c>
      <c r="E63" s="11" t="s">
        <v>526</v>
      </c>
      <c r="F63" s="44" t="s">
        <v>1181</v>
      </c>
      <c r="G63" s="44" t="s">
        <v>1198</v>
      </c>
      <c r="H63" s="44" t="s">
        <v>501</v>
      </c>
      <c r="I63" s="44"/>
    </row>
    <row r="64" customFormat="false" ht="15" hidden="false" customHeight="false" outlineLevel="0" collapsed="false">
      <c r="A64" s="7" t="s">
        <v>1196</v>
      </c>
      <c r="B64" s="43" t="s">
        <v>1199</v>
      </c>
      <c r="C64" s="38" t="n">
        <f aca="false">Trade_CurrentAccount!F210</f>
        <v>0.0964385012763223</v>
      </c>
      <c r="D64" s="43" t="s">
        <v>1184</v>
      </c>
      <c r="E64" s="11" t="s">
        <v>526</v>
      </c>
      <c r="F64" s="44" t="s">
        <v>1181</v>
      </c>
      <c r="G64" s="44" t="s">
        <v>1185</v>
      </c>
      <c r="H64" s="44" t="s">
        <v>501</v>
      </c>
      <c r="I64" s="44"/>
    </row>
    <row r="65" customFormat="false" ht="15" hidden="false" customHeight="false" outlineLevel="0" collapsed="false">
      <c r="A65" s="7" t="s">
        <v>1205</v>
      </c>
      <c r="B65" s="43" t="s">
        <v>1206</v>
      </c>
      <c r="C65" s="38" t="n">
        <f aca="false">Trade_CurrentAccount!F203</f>
        <v>0.14188929392568</v>
      </c>
      <c r="D65" s="43" t="s">
        <v>1184</v>
      </c>
      <c r="E65" s="11" t="s">
        <v>526</v>
      </c>
      <c r="F65" s="44" t="s">
        <v>1181</v>
      </c>
      <c r="G65" s="44" t="s">
        <v>1207</v>
      </c>
      <c r="H65" s="44" t="s">
        <v>501</v>
      </c>
      <c r="I65" s="44" t="s">
        <v>1208</v>
      </c>
    </row>
    <row r="66" customFormat="false" ht="15" hidden="false" customHeight="false" outlineLevel="0" collapsed="false">
      <c r="A66" s="7" t="s">
        <v>1205</v>
      </c>
      <c r="B66" s="43" t="s">
        <v>1209</v>
      </c>
      <c r="C66" s="38" t="n">
        <f aca="false">Trade_CurrentAccount!F211</f>
        <v>0.0617614099051364</v>
      </c>
      <c r="D66" s="43" t="s">
        <v>1184</v>
      </c>
      <c r="E66" s="11" t="s">
        <v>526</v>
      </c>
      <c r="F66" s="44" t="s">
        <v>1181</v>
      </c>
      <c r="G66" s="44" t="s">
        <v>1207</v>
      </c>
      <c r="H66" s="44" t="s">
        <v>501</v>
      </c>
      <c r="I66" s="44" t="s">
        <v>1210</v>
      </c>
    </row>
    <row r="67" customFormat="false" ht="15" hidden="false" customHeight="false" outlineLevel="0" collapsed="false">
      <c r="A67" s="7" t="s">
        <v>1211</v>
      </c>
      <c r="B67" s="43" t="s">
        <v>536</v>
      </c>
      <c r="C67" s="46" t="s">
        <v>1212</v>
      </c>
      <c r="D67" s="43" t="s">
        <v>538</v>
      </c>
      <c r="E67" s="11"/>
      <c r="F67" s="44"/>
      <c r="G67" s="44"/>
      <c r="H67" s="44"/>
      <c r="I67" s="44" t="s">
        <v>1213</v>
      </c>
    </row>
    <row r="68" customFormat="false" ht="15" hidden="false" customHeight="false" outlineLevel="0" collapsed="false">
      <c r="A68" s="7" t="s">
        <v>1214</v>
      </c>
      <c r="B68" s="43" t="s">
        <v>1215</v>
      </c>
      <c r="C68" s="38" t="n">
        <f aca="false">FX_Market_BIS!K23</f>
        <v>0.890778684545423</v>
      </c>
      <c r="D68" s="43" t="s">
        <v>1216</v>
      </c>
      <c r="E68" s="9" t="str">
        <f aca="false">FX_Market_BIS!A23</f>
        <v>2025</v>
      </c>
      <c r="F68" s="44" t="s">
        <v>1217</v>
      </c>
      <c r="G68" s="44" t="s">
        <v>1218</v>
      </c>
      <c r="H68" s="44" t="s">
        <v>550</v>
      </c>
      <c r="I68" s="44"/>
    </row>
    <row r="69" customFormat="false" ht="15" hidden="false" customHeight="false" outlineLevel="0" collapsed="false">
      <c r="A69" s="7" t="s">
        <v>1214</v>
      </c>
      <c r="B69" s="43" t="s">
        <v>1219</v>
      </c>
      <c r="C69" s="21" t="n">
        <f aca="false">Reserves_COFER!B49</f>
        <v>56.704761505127</v>
      </c>
      <c r="D69" s="43" t="s">
        <v>1220</v>
      </c>
      <c r="E69" s="9" t="str">
        <f aca="false">Reserves_COFER!A49</f>
        <v>2026-Q2</v>
      </c>
      <c r="F69" s="44" t="s">
        <v>1221</v>
      </c>
      <c r="G69" s="44" t="s">
        <v>1222</v>
      </c>
      <c r="H69" s="44" t="s">
        <v>542</v>
      </c>
      <c r="I69" s="44"/>
    </row>
    <row r="70" customFormat="false" ht="15" hidden="false" customHeight="false" outlineLevel="0" collapsed="false">
      <c r="A70" s="7" t="s">
        <v>1223</v>
      </c>
      <c r="B70" s="43" t="s">
        <v>1224</v>
      </c>
      <c r="C70" s="38" t="n">
        <f aca="false">BigMac!H139</f>
        <v>0</v>
      </c>
      <c r="D70" s="43" t="s">
        <v>1225</v>
      </c>
      <c r="E70" s="9" t="n">
        <f aca="false">BigMac!A139</f>
        <v>46204</v>
      </c>
      <c r="F70" s="44" t="s">
        <v>1226</v>
      </c>
      <c r="G70" s="44" t="s">
        <v>1227</v>
      </c>
      <c r="H70" s="44" t="s">
        <v>559</v>
      </c>
      <c r="I70" s="44" t="s">
        <v>1228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7" min="6" style="0" width="34"/>
    <col collapsed="false" customWidth="true" hidden="false" outlineLevel="0" max="8" min="8" style="0" width="22"/>
    <col collapsed="false" customWidth="true" hidden="false" outlineLevel="0" max="9" min="9" style="0" width="70"/>
  </cols>
  <sheetData>
    <row r="1" customFormat="false" ht="16.15" hidden="false" customHeight="false" outlineLevel="0" collapsed="false">
      <c r="A1" s="1" t="s">
        <v>1229</v>
      </c>
    </row>
    <row r="2" customFormat="false" ht="15" hidden="false" customHeight="false" outlineLevel="0" collapsed="false">
      <c r="A2" s="2" t="s">
        <v>1138</v>
      </c>
    </row>
    <row r="4" customFormat="false" ht="15" hidden="false" customHeight="false" outlineLevel="0" collapsed="false">
      <c r="A4" s="3" t="s">
        <v>1139</v>
      </c>
      <c r="B4" s="3" t="s">
        <v>755</v>
      </c>
      <c r="C4" s="3" t="s">
        <v>1140</v>
      </c>
      <c r="D4" s="3" t="s">
        <v>9</v>
      </c>
      <c r="E4" s="3" t="s">
        <v>1141</v>
      </c>
      <c r="F4" s="3" t="s">
        <v>5</v>
      </c>
      <c r="G4" s="3" t="s">
        <v>6</v>
      </c>
      <c r="H4" s="3" t="s">
        <v>1142</v>
      </c>
      <c r="I4" s="3" t="s">
        <v>1060</v>
      </c>
    </row>
    <row r="5" customFormat="false" ht="15" hidden="false" customHeight="false" outlineLevel="0" collapsed="false">
      <c r="A5" s="7" t="s">
        <v>1143</v>
      </c>
      <c r="B5" s="43" t="s">
        <v>582</v>
      </c>
      <c r="C5" s="10" t="n">
        <f aca="false">FX_Daily!B12</f>
        <v>1345.75</v>
      </c>
      <c r="D5" s="43" t="s">
        <v>21</v>
      </c>
      <c r="E5" s="9" t="n">
        <f aca="false">FX_Daily!B11</f>
        <v>46297</v>
      </c>
      <c r="F5" s="44" t="s">
        <v>17</v>
      </c>
      <c r="G5" s="44" t="s">
        <v>18</v>
      </c>
      <c r="H5" s="44" t="s">
        <v>15</v>
      </c>
      <c r="I5" s="44"/>
    </row>
    <row r="6" customFormat="false" ht="15" hidden="false" customHeight="false" outlineLevel="0" collapsed="false">
      <c r="A6" s="7" t="s">
        <v>1143</v>
      </c>
      <c r="B6" s="43" t="s">
        <v>591</v>
      </c>
      <c r="C6" s="10" t="n">
        <f aca="false">FX_Daily!K12</f>
        <v>1508.67</v>
      </c>
      <c r="D6" s="43" t="s">
        <v>70</v>
      </c>
      <c r="E6" s="9" t="n">
        <f aca="false">FX_Daily!K11</f>
        <v>46301</v>
      </c>
      <c r="F6" s="44" t="s">
        <v>55</v>
      </c>
      <c r="G6" s="44" t="s">
        <v>67</v>
      </c>
      <c r="H6" s="44" t="s">
        <v>15</v>
      </c>
      <c r="I6" s="44"/>
    </row>
    <row r="7" customFormat="false" ht="15" hidden="false" customHeight="false" outlineLevel="0" collapsed="false">
      <c r="A7" s="7" t="s">
        <v>1144</v>
      </c>
      <c r="B7" s="43" t="s">
        <v>1230</v>
      </c>
      <c r="C7" s="19" t="n">
        <f aca="false">Rates_Monthly!AE12</f>
        <v>3</v>
      </c>
      <c r="D7" s="43" t="s">
        <v>1231</v>
      </c>
      <c r="E7" s="9" t="n">
        <f aca="false">Rates_Monthly!AE11</f>
        <v>46266</v>
      </c>
      <c r="F7" s="44" t="s">
        <v>293</v>
      </c>
      <c r="G7" s="44" t="s">
        <v>294</v>
      </c>
      <c r="H7" s="44" t="s">
        <v>184</v>
      </c>
      <c r="I7" s="44"/>
    </row>
    <row r="8" customFormat="false" ht="15" hidden="false" customHeight="false" outlineLevel="0" collapsed="false">
      <c r="A8" s="7" t="s">
        <v>1144</v>
      </c>
      <c r="B8" s="43" t="s">
        <v>1232</v>
      </c>
      <c r="C8" s="19" t="n">
        <f aca="false">Rates_Monthly!AF12</f>
        <v>3.044</v>
      </c>
      <c r="D8" s="43" t="s">
        <v>1231</v>
      </c>
      <c r="E8" s="9" t="n">
        <f aca="false">Rates_Monthly!AF11</f>
        <v>46266</v>
      </c>
      <c r="F8" s="44" t="s">
        <v>293</v>
      </c>
      <c r="G8" s="44" t="s">
        <v>299</v>
      </c>
      <c r="H8" s="44" t="s">
        <v>184</v>
      </c>
      <c r="I8" s="44"/>
    </row>
    <row r="9" customFormat="false" ht="15" hidden="false" customHeight="false" outlineLevel="0" collapsed="false">
      <c r="A9" s="7" t="s">
        <v>1144</v>
      </c>
      <c r="B9" s="43" t="s">
        <v>1233</v>
      </c>
      <c r="C9" s="46" t="s">
        <v>1212</v>
      </c>
      <c r="D9" s="43" t="s">
        <v>125</v>
      </c>
      <c r="E9" s="11"/>
      <c r="F9" s="44" t="s">
        <v>293</v>
      </c>
      <c r="G9" s="44" t="s">
        <v>1234</v>
      </c>
      <c r="H9" s="44"/>
      <c r="I9" s="44" t="s">
        <v>1235</v>
      </c>
    </row>
    <row r="10" customFormat="false" ht="15" hidden="false" customHeight="false" outlineLevel="0" collapsed="false">
      <c r="A10" s="7" t="s">
        <v>1144</v>
      </c>
      <c r="B10" s="43" t="s">
        <v>1236</v>
      </c>
      <c r="C10" s="19" t="n">
        <f aca="false">Rates_Monthly!AG12</f>
        <v>3.17</v>
      </c>
      <c r="D10" s="43" t="s">
        <v>1231</v>
      </c>
      <c r="E10" s="9" t="n">
        <f aca="false">Rates_Monthly!AG11</f>
        <v>46266</v>
      </c>
      <c r="F10" s="44" t="s">
        <v>293</v>
      </c>
      <c r="G10" s="44" t="s">
        <v>303</v>
      </c>
      <c r="H10" s="44" t="s">
        <v>184</v>
      </c>
      <c r="I10" s="44"/>
    </row>
    <row r="11" customFormat="false" ht="15" hidden="false" customHeight="false" outlineLevel="0" collapsed="false">
      <c r="A11" s="7" t="s">
        <v>1144</v>
      </c>
      <c r="B11" s="43" t="s">
        <v>1237</v>
      </c>
      <c r="C11" s="19" t="n">
        <f aca="false">Rates_Monthly!AH12</f>
        <v>3.29</v>
      </c>
      <c r="D11" s="43" t="s">
        <v>1231</v>
      </c>
      <c r="E11" s="9" t="n">
        <f aca="false">Rates_Monthly!AH11</f>
        <v>46266</v>
      </c>
      <c r="F11" s="44" t="s">
        <v>293</v>
      </c>
      <c r="G11" s="44" t="s">
        <v>307</v>
      </c>
      <c r="H11" s="44" t="s">
        <v>184</v>
      </c>
      <c r="I11" s="44"/>
    </row>
    <row r="12" customFormat="false" ht="15" hidden="false" customHeight="false" outlineLevel="0" collapsed="false">
      <c r="A12" s="7" t="s">
        <v>1144</v>
      </c>
      <c r="B12" s="43" t="s">
        <v>1238</v>
      </c>
      <c r="C12" s="19" t="n">
        <f aca="false">Rates_Monthly!AI12</f>
        <v>3.6</v>
      </c>
      <c r="D12" s="43" t="s">
        <v>1231</v>
      </c>
      <c r="E12" s="9" t="n">
        <f aca="false">Rates_Monthly!AI11</f>
        <v>46266</v>
      </c>
      <c r="F12" s="44" t="s">
        <v>293</v>
      </c>
      <c r="G12" s="44" t="s">
        <v>311</v>
      </c>
      <c r="H12" s="44" t="s">
        <v>184</v>
      </c>
      <c r="I12" s="44"/>
    </row>
    <row r="13" customFormat="false" ht="15" hidden="false" customHeight="false" outlineLevel="0" collapsed="false">
      <c r="A13" s="7" t="s">
        <v>1144</v>
      </c>
      <c r="B13" s="43" t="s">
        <v>1239</v>
      </c>
      <c r="C13" s="19" t="n">
        <f aca="false">Rates_Monthly!AJ12</f>
        <v>3.9</v>
      </c>
      <c r="D13" s="43" t="s">
        <v>1231</v>
      </c>
      <c r="E13" s="9" t="n">
        <f aca="false">Rates_Monthly!AJ11</f>
        <v>46266</v>
      </c>
      <c r="F13" s="44" t="s">
        <v>293</v>
      </c>
      <c r="G13" s="44" t="s">
        <v>315</v>
      </c>
      <c r="H13" s="44" t="s">
        <v>184</v>
      </c>
      <c r="I13" s="44"/>
    </row>
    <row r="14" customFormat="false" ht="15" hidden="false" customHeight="false" outlineLevel="0" collapsed="false">
      <c r="A14" s="7" t="s">
        <v>1144</v>
      </c>
      <c r="B14" s="43" t="s">
        <v>1240</v>
      </c>
      <c r="C14" s="19" t="n">
        <f aca="false">Rates_Monthly!AL12</f>
        <v>3.378</v>
      </c>
      <c r="D14" s="43" t="s">
        <v>1231</v>
      </c>
      <c r="E14" s="9" t="n">
        <f aca="false">Rates_Monthly!AL11</f>
        <v>46266</v>
      </c>
      <c r="F14" s="44" t="s">
        <v>293</v>
      </c>
      <c r="G14" s="44" t="s">
        <v>323</v>
      </c>
      <c r="H14" s="44" t="s">
        <v>184</v>
      </c>
      <c r="I14" s="44"/>
    </row>
    <row r="15" customFormat="false" ht="15" hidden="false" customHeight="false" outlineLevel="0" collapsed="false">
      <c r="A15" s="7" t="s">
        <v>374</v>
      </c>
      <c r="B15" s="43" t="s">
        <v>1241</v>
      </c>
      <c r="C15" s="20" t="n">
        <f aca="false">Inflation!T12</f>
        <v>2.87886553903982</v>
      </c>
      <c r="D15" s="43" t="s">
        <v>387</v>
      </c>
      <c r="E15" s="45" t="n">
        <f aca="false">Inflation!T11</f>
        <v>46266</v>
      </c>
      <c r="F15" s="44" t="s">
        <v>727</v>
      </c>
      <c r="G15" s="44" t="s">
        <v>728</v>
      </c>
      <c r="H15" s="44" t="s">
        <v>374</v>
      </c>
      <c r="I15" s="44"/>
    </row>
    <row r="16" customFormat="false" ht="15" hidden="false" customHeight="false" outlineLevel="0" collapsed="false">
      <c r="A16" s="7" t="s">
        <v>374</v>
      </c>
      <c r="B16" s="43" t="s">
        <v>1242</v>
      </c>
      <c r="C16" s="20" t="n">
        <f aca="false">Inflation!E12</f>
        <v>2.878865</v>
      </c>
      <c r="D16" s="43" t="s">
        <v>387</v>
      </c>
      <c r="E16" s="45" t="n">
        <f aca="false">Inflation!E11</f>
        <v>46266</v>
      </c>
      <c r="F16" s="44" t="s">
        <v>383</v>
      </c>
      <c r="G16" s="44" t="s">
        <v>389</v>
      </c>
      <c r="H16" s="44" t="s">
        <v>374</v>
      </c>
      <c r="I16" s="44"/>
    </row>
    <row r="17" customFormat="false" ht="15" hidden="false" customHeight="false" outlineLevel="0" collapsed="false">
      <c r="A17" s="7" t="s">
        <v>1154</v>
      </c>
      <c r="B17" s="43" t="s">
        <v>1155</v>
      </c>
      <c r="C17" s="36" t="n">
        <f aca="false">GDP_Growth!X37</f>
        <v>1872374961553.15</v>
      </c>
      <c r="D17" s="43" t="s">
        <v>478</v>
      </c>
      <c r="E17" s="16" t="str">
        <f aca="false">GDP_Growth!W37</f>
        <v>2025</v>
      </c>
      <c r="F17" s="44" t="s">
        <v>469</v>
      </c>
      <c r="G17" s="44" t="s">
        <v>475</v>
      </c>
      <c r="H17" s="44" t="s">
        <v>453</v>
      </c>
      <c r="I17" s="44"/>
    </row>
    <row r="18" customFormat="false" ht="15" hidden="false" customHeight="false" outlineLevel="0" collapsed="false">
      <c r="A18" s="7" t="s">
        <v>1154</v>
      </c>
      <c r="B18" s="43" t="s">
        <v>1156</v>
      </c>
      <c r="C18" s="34" t="n">
        <f aca="false">GDP_Growth!AB17</f>
        <v>1872.375</v>
      </c>
      <c r="D18" s="43" t="s">
        <v>467</v>
      </c>
      <c r="E18" s="16" t="str">
        <f aca="false">GDP_Growth!AA17</f>
        <v>2025</v>
      </c>
      <c r="F18" s="44" t="s">
        <v>455</v>
      </c>
      <c r="G18" s="44" t="s">
        <v>464</v>
      </c>
      <c r="H18" s="44" t="s">
        <v>453</v>
      </c>
      <c r="I18" s="44"/>
    </row>
    <row r="19" customFormat="false" ht="15" hidden="false" customHeight="false" outlineLevel="0" collapsed="false">
      <c r="A19" s="7" t="s">
        <v>1154</v>
      </c>
      <c r="B19" s="43" t="s">
        <v>1157</v>
      </c>
      <c r="C19" s="36" t="n">
        <f aca="false">GDP_Growth!X47</f>
        <v>36226.9663637512</v>
      </c>
      <c r="D19" s="43" t="s">
        <v>478</v>
      </c>
      <c r="E19" s="16" t="str">
        <f aca="false">GDP_Growth!W47</f>
        <v>2025</v>
      </c>
      <c r="F19" s="44" t="s">
        <v>469</v>
      </c>
      <c r="G19" s="44" t="s">
        <v>480</v>
      </c>
      <c r="H19" s="44" t="s">
        <v>453</v>
      </c>
      <c r="I19" s="44"/>
    </row>
    <row r="20" customFormat="false" ht="15" hidden="false" customHeight="false" outlineLevel="0" collapsed="false">
      <c r="A20" s="7" t="s">
        <v>1154</v>
      </c>
      <c r="B20" s="43" t="s">
        <v>1158</v>
      </c>
      <c r="C20" s="20" t="n">
        <f aca="false">GDP_Growth!X27</f>
        <v>1.00701840291242</v>
      </c>
      <c r="D20" s="43" t="s">
        <v>473</v>
      </c>
      <c r="E20" s="16" t="str">
        <f aca="false">GDP_Growth!W27</f>
        <v>2025</v>
      </c>
      <c r="F20" s="44" t="s">
        <v>469</v>
      </c>
      <c r="G20" s="44" t="s">
        <v>470</v>
      </c>
      <c r="H20" s="44" t="s">
        <v>453</v>
      </c>
      <c r="I20" s="44"/>
    </row>
    <row r="21" customFormat="false" ht="15" hidden="false" customHeight="false" outlineLevel="0" collapsed="false">
      <c r="A21" s="7" t="s">
        <v>1154</v>
      </c>
      <c r="B21" s="43" t="s">
        <v>1159</v>
      </c>
      <c r="C21" s="20" t="n">
        <f aca="false">GDP_Growth!AB7</f>
        <v>1</v>
      </c>
      <c r="D21" s="43" t="s">
        <v>459</v>
      </c>
      <c r="E21" s="16" t="str">
        <f aca="false">GDP_Growth!AA7</f>
        <v>2025</v>
      </c>
      <c r="F21" s="44" t="s">
        <v>455</v>
      </c>
      <c r="G21" s="44" t="s">
        <v>456</v>
      </c>
      <c r="H21" s="44" t="s">
        <v>453</v>
      </c>
      <c r="I21" s="44" t="s">
        <v>1160</v>
      </c>
    </row>
    <row r="22" customFormat="false" ht="15" hidden="false" customHeight="false" outlineLevel="0" collapsed="false">
      <c r="A22" s="7" t="s">
        <v>1161</v>
      </c>
      <c r="B22" s="43" t="s">
        <v>1162</v>
      </c>
      <c r="C22" s="20" t="n">
        <f aca="false">GDP_Growth!Y7</f>
        <v>1.9</v>
      </c>
      <c r="D22" s="43" t="s">
        <v>459</v>
      </c>
      <c r="E22" s="11" t="s">
        <v>1163</v>
      </c>
      <c r="F22" s="44" t="s">
        <v>455</v>
      </c>
      <c r="G22" s="44" t="s">
        <v>456</v>
      </c>
      <c r="H22" s="44" t="s">
        <v>453</v>
      </c>
      <c r="I22" s="44" t="s">
        <v>1164</v>
      </c>
    </row>
    <row r="23" customFormat="false" ht="15" hidden="false" customHeight="false" outlineLevel="0" collapsed="false">
      <c r="A23" s="7" t="s">
        <v>1161</v>
      </c>
      <c r="B23" s="43" t="s">
        <v>1165</v>
      </c>
      <c r="C23" s="20" t="n">
        <f aca="false">GDP_Growth!Z7</f>
        <v>2.1</v>
      </c>
      <c r="D23" s="43" t="s">
        <v>459</v>
      </c>
      <c r="E23" s="11" t="s">
        <v>1166</v>
      </c>
      <c r="F23" s="44" t="s">
        <v>455</v>
      </c>
      <c r="G23" s="44" t="s">
        <v>456</v>
      </c>
      <c r="H23" s="44" t="s">
        <v>453</v>
      </c>
      <c r="I23" s="44" t="s">
        <v>1164</v>
      </c>
    </row>
    <row r="24" customFormat="false" ht="15" hidden="false" customHeight="false" outlineLevel="0" collapsed="false">
      <c r="A24" s="7" t="s">
        <v>1167</v>
      </c>
      <c r="B24" s="43" t="s">
        <v>1168</v>
      </c>
      <c r="C24" s="21" t="n">
        <f aca="false">GDP_Growth!D102</f>
        <v>0.633843747</v>
      </c>
      <c r="D24" s="43" t="s">
        <v>538</v>
      </c>
      <c r="E24" s="16" t="str">
        <f aca="false">GDP_Growth!D101</f>
        <v>2026-Q2</v>
      </c>
      <c r="F24" s="44" t="s">
        <v>1169</v>
      </c>
      <c r="G24" s="44" t="s">
        <v>1170</v>
      </c>
      <c r="H24" s="44" t="s">
        <v>453</v>
      </c>
      <c r="I24" s="44"/>
    </row>
    <row r="25" customFormat="false" ht="15" hidden="false" customHeight="false" outlineLevel="0" collapsed="false">
      <c r="A25" s="7" t="s">
        <v>1167</v>
      </c>
      <c r="B25" s="43" t="s">
        <v>1171</v>
      </c>
      <c r="C25" s="21" t="n">
        <f aca="false">GDP_Growth!E102</f>
        <v>3.759284295</v>
      </c>
      <c r="D25" s="43" t="s">
        <v>538</v>
      </c>
      <c r="E25" s="16" t="str">
        <f aca="false">GDP_Growth!E101</f>
        <v>2026-Q2</v>
      </c>
      <c r="F25" s="44" t="s">
        <v>1169</v>
      </c>
      <c r="G25" s="44" t="s">
        <v>1172</v>
      </c>
      <c r="H25" s="44" t="s">
        <v>453</v>
      </c>
      <c r="I25" s="44"/>
    </row>
    <row r="26" customFormat="false" ht="15" hidden="false" customHeight="false" outlineLevel="0" collapsed="false">
      <c r="A26" s="7" t="s">
        <v>1154</v>
      </c>
      <c r="B26" s="43" t="s">
        <v>1173</v>
      </c>
      <c r="C26" s="20" t="n">
        <f aca="false">Trade_CurrentAccount!X7</f>
        <v>45.7630385215931</v>
      </c>
      <c r="D26" s="43" t="s">
        <v>506</v>
      </c>
      <c r="E26" s="16" t="str">
        <f aca="false">Trade_CurrentAccount!W7</f>
        <v>2025</v>
      </c>
      <c r="F26" s="44" t="s">
        <v>469</v>
      </c>
      <c r="G26" s="44" t="s">
        <v>503</v>
      </c>
      <c r="H26" s="44" t="s">
        <v>501</v>
      </c>
      <c r="I26" s="44"/>
    </row>
    <row r="27" customFormat="false" ht="15" hidden="false" customHeight="false" outlineLevel="0" collapsed="false">
      <c r="A27" s="7" t="s">
        <v>1154</v>
      </c>
      <c r="B27" s="43" t="s">
        <v>1174</v>
      </c>
      <c r="C27" s="20" t="n">
        <f aca="false">Trade_CurrentAccount!X17</f>
        <v>40.5985621226499</v>
      </c>
      <c r="D27" s="43" t="s">
        <v>506</v>
      </c>
      <c r="E27" s="16" t="str">
        <f aca="false">Trade_CurrentAccount!W17</f>
        <v>2025</v>
      </c>
      <c r="F27" s="44" t="s">
        <v>469</v>
      </c>
      <c r="G27" s="44" t="s">
        <v>508</v>
      </c>
      <c r="H27" s="44" t="s">
        <v>501</v>
      </c>
      <c r="I27" s="44"/>
    </row>
    <row r="28" customFormat="false" ht="15" hidden="false" customHeight="false" outlineLevel="0" collapsed="false">
      <c r="A28" s="7" t="s">
        <v>1154</v>
      </c>
      <c r="B28" s="43" t="s">
        <v>1175</v>
      </c>
      <c r="C28" s="20" t="n">
        <f aca="false">Trade_CurrentAccount!X27</f>
        <v>6.57207036660681</v>
      </c>
      <c r="D28" s="43" t="s">
        <v>506</v>
      </c>
      <c r="E28" s="16" t="str">
        <f aca="false">Trade_CurrentAccount!W27</f>
        <v>2025</v>
      </c>
      <c r="F28" s="44" t="s">
        <v>469</v>
      </c>
      <c r="G28" s="44" t="s">
        <v>512</v>
      </c>
      <c r="H28" s="44" t="s">
        <v>501</v>
      </c>
      <c r="I28" s="44"/>
    </row>
    <row r="29" customFormat="false" ht="15" hidden="false" customHeight="false" outlineLevel="0" collapsed="false">
      <c r="A29" s="7" t="s">
        <v>1154</v>
      </c>
      <c r="B29" s="43" t="s">
        <v>1176</v>
      </c>
      <c r="C29" s="20" t="n">
        <f aca="false">Trade_CurrentAccount!AB37</f>
        <v>6.6</v>
      </c>
      <c r="D29" s="43" t="s">
        <v>506</v>
      </c>
      <c r="E29" s="16" t="str">
        <f aca="false">Trade_CurrentAccount!AA37</f>
        <v>2025</v>
      </c>
      <c r="F29" s="44" t="s">
        <v>455</v>
      </c>
      <c r="G29" s="44" t="s">
        <v>516</v>
      </c>
      <c r="H29" s="44" t="s">
        <v>501</v>
      </c>
      <c r="I29" s="44"/>
    </row>
    <row r="30" customFormat="false" ht="15" hidden="false" customHeight="false" outlineLevel="0" collapsed="false">
      <c r="A30" s="7" t="s">
        <v>1161</v>
      </c>
      <c r="B30" s="43" t="s">
        <v>1177</v>
      </c>
      <c r="C30" s="20" t="n">
        <f aca="false">Trade_CurrentAccount!Y37</f>
        <v>5.6</v>
      </c>
      <c r="D30" s="43" t="s">
        <v>506</v>
      </c>
      <c r="E30" s="11" t="s">
        <v>1163</v>
      </c>
      <c r="F30" s="44" t="s">
        <v>455</v>
      </c>
      <c r="G30" s="44" t="s">
        <v>516</v>
      </c>
      <c r="H30" s="44" t="s">
        <v>501</v>
      </c>
      <c r="I30" s="44" t="s">
        <v>1164</v>
      </c>
    </row>
    <row r="31" customFormat="false" ht="15" hidden="false" customHeight="false" outlineLevel="0" collapsed="false">
      <c r="A31" s="7" t="s">
        <v>1178</v>
      </c>
      <c r="B31" s="43" t="s">
        <v>1179</v>
      </c>
      <c r="C31" s="10" t="str">
        <f aca="false">Trade_CurrentAccount!D69</f>
        <v>China</v>
      </c>
      <c r="D31" s="43" t="s">
        <v>1180</v>
      </c>
      <c r="E31" s="11" t="s">
        <v>526</v>
      </c>
      <c r="F31" s="44" t="s">
        <v>1181</v>
      </c>
      <c r="G31" s="44" t="s">
        <v>1182</v>
      </c>
      <c r="H31" s="44" t="s">
        <v>501</v>
      </c>
      <c r="I31" s="44"/>
    </row>
    <row r="32" customFormat="false" ht="15" hidden="false" customHeight="false" outlineLevel="0" collapsed="false">
      <c r="A32" s="7" t="s">
        <v>1178</v>
      </c>
      <c r="B32" s="43" t="s">
        <v>1183</v>
      </c>
      <c r="C32" s="38" t="n">
        <f aca="false">Trade_CurrentAccount!F69</f>
        <v>0.184266644573731</v>
      </c>
      <c r="D32" s="43" t="s">
        <v>1184</v>
      </c>
      <c r="E32" s="11" t="s">
        <v>526</v>
      </c>
      <c r="F32" s="44" t="s">
        <v>1181</v>
      </c>
      <c r="G32" s="44" t="s">
        <v>1185</v>
      </c>
      <c r="H32" s="44" t="s">
        <v>501</v>
      </c>
      <c r="I32" s="44"/>
    </row>
    <row r="33" customFormat="false" ht="15" hidden="false" customHeight="false" outlineLevel="0" collapsed="false">
      <c r="A33" s="7" t="s">
        <v>1178</v>
      </c>
      <c r="B33" s="43" t="s">
        <v>1186</v>
      </c>
      <c r="C33" s="10" t="str">
        <f aca="false">Trade_CurrentAccount!D70</f>
        <v>USA</v>
      </c>
      <c r="D33" s="43" t="s">
        <v>1180</v>
      </c>
      <c r="E33" s="11" t="s">
        <v>526</v>
      </c>
      <c r="F33" s="44" t="s">
        <v>1181</v>
      </c>
      <c r="G33" s="44" t="s">
        <v>1182</v>
      </c>
      <c r="H33" s="44" t="s">
        <v>501</v>
      </c>
      <c r="I33" s="44"/>
    </row>
    <row r="34" customFormat="false" ht="15" hidden="false" customHeight="false" outlineLevel="0" collapsed="false">
      <c r="A34" s="7" t="s">
        <v>1178</v>
      </c>
      <c r="B34" s="43" t="s">
        <v>1183</v>
      </c>
      <c r="C34" s="38" t="n">
        <f aca="false">Trade_CurrentAccount!F70</f>
        <v>0.173816869589182</v>
      </c>
      <c r="D34" s="43" t="s">
        <v>1184</v>
      </c>
      <c r="E34" s="11" t="s">
        <v>526</v>
      </c>
      <c r="F34" s="44" t="s">
        <v>1181</v>
      </c>
      <c r="G34" s="44" t="s">
        <v>1185</v>
      </c>
      <c r="H34" s="44" t="s">
        <v>501</v>
      </c>
      <c r="I34" s="44"/>
    </row>
    <row r="35" customFormat="false" ht="15" hidden="false" customHeight="false" outlineLevel="0" collapsed="false">
      <c r="A35" s="7" t="s">
        <v>1178</v>
      </c>
      <c r="B35" s="43" t="s">
        <v>1187</v>
      </c>
      <c r="C35" s="10" t="str">
        <f aca="false">Trade_CurrentAccount!D71</f>
        <v>Viet Nam</v>
      </c>
      <c r="D35" s="43" t="s">
        <v>1180</v>
      </c>
      <c r="E35" s="11" t="s">
        <v>526</v>
      </c>
      <c r="F35" s="44" t="s">
        <v>1181</v>
      </c>
      <c r="G35" s="44" t="s">
        <v>1182</v>
      </c>
      <c r="H35" s="44" t="s">
        <v>501</v>
      </c>
      <c r="I35" s="44"/>
    </row>
    <row r="36" customFormat="false" ht="15" hidden="false" customHeight="false" outlineLevel="0" collapsed="false">
      <c r="A36" s="7" t="s">
        <v>1178</v>
      </c>
      <c r="B36" s="43" t="s">
        <v>1183</v>
      </c>
      <c r="C36" s="38" t="n">
        <f aca="false">Trade_CurrentAccount!F71</f>
        <v>0.0885370170808102</v>
      </c>
      <c r="D36" s="43" t="s">
        <v>1184</v>
      </c>
      <c r="E36" s="11" t="s">
        <v>526</v>
      </c>
      <c r="F36" s="44" t="s">
        <v>1181</v>
      </c>
      <c r="G36" s="44" t="s">
        <v>1185</v>
      </c>
      <c r="H36" s="44" t="s">
        <v>501</v>
      </c>
      <c r="I36" s="44"/>
    </row>
    <row r="37" customFormat="false" ht="15" hidden="false" customHeight="false" outlineLevel="0" collapsed="false">
      <c r="A37" s="7" t="s">
        <v>1178</v>
      </c>
      <c r="B37" s="43" t="s">
        <v>1188</v>
      </c>
      <c r="C37" s="10" t="str">
        <f aca="false">Trade_CurrentAccount!D72</f>
        <v>Other Asia, nes</v>
      </c>
      <c r="D37" s="43" t="s">
        <v>1180</v>
      </c>
      <c r="E37" s="11" t="s">
        <v>526</v>
      </c>
      <c r="F37" s="44" t="s">
        <v>1181</v>
      </c>
      <c r="G37" s="44" t="s">
        <v>1182</v>
      </c>
      <c r="H37" s="44" t="s">
        <v>501</v>
      </c>
      <c r="I37" s="44"/>
    </row>
    <row r="38" customFormat="false" ht="15" hidden="false" customHeight="false" outlineLevel="0" collapsed="false">
      <c r="A38" s="7" t="s">
        <v>1178</v>
      </c>
      <c r="B38" s="43" t="s">
        <v>1183</v>
      </c>
      <c r="C38" s="38" t="n">
        <f aca="false">Trade_CurrentAccount!F72</f>
        <v>0.0692075201707542</v>
      </c>
      <c r="D38" s="43" t="s">
        <v>1184</v>
      </c>
      <c r="E38" s="11" t="s">
        <v>526</v>
      </c>
      <c r="F38" s="44" t="s">
        <v>1181</v>
      </c>
      <c r="G38" s="44" t="s">
        <v>1185</v>
      </c>
      <c r="H38" s="44" t="s">
        <v>501</v>
      </c>
      <c r="I38" s="44"/>
    </row>
    <row r="39" customFormat="false" ht="15" hidden="false" customHeight="false" outlineLevel="0" collapsed="false">
      <c r="A39" s="7" t="s">
        <v>1178</v>
      </c>
      <c r="B39" s="43" t="s">
        <v>1189</v>
      </c>
      <c r="C39" s="10" t="str">
        <f aca="false">Trade_CurrentAccount!D73</f>
        <v>China, Hong Kong SAR</v>
      </c>
      <c r="D39" s="43" t="s">
        <v>1180</v>
      </c>
      <c r="E39" s="11" t="s">
        <v>526</v>
      </c>
      <c r="F39" s="44" t="s">
        <v>1181</v>
      </c>
      <c r="G39" s="44" t="s">
        <v>1182</v>
      </c>
      <c r="H39" s="44" t="s">
        <v>501</v>
      </c>
      <c r="I39" s="44"/>
    </row>
    <row r="40" customFormat="false" ht="15" hidden="false" customHeight="false" outlineLevel="0" collapsed="false">
      <c r="A40" s="7" t="s">
        <v>1178</v>
      </c>
      <c r="B40" s="43" t="s">
        <v>1183</v>
      </c>
      <c r="C40" s="38" t="n">
        <f aca="false">Trade_CurrentAccount!F73</f>
        <v>0.049100290936731</v>
      </c>
      <c r="D40" s="43" t="s">
        <v>1184</v>
      </c>
      <c r="E40" s="11" t="s">
        <v>526</v>
      </c>
      <c r="F40" s="44" t="s">
        <v>1181</v>
      </c>
      <c r="G40" s="44" t="s">
        <v>1185</v>
      </c>
      <c r="H40" s="44" t="s">
        <v>501</v>
      </c>
      <c r="I40" s="44"/>
    </row>
    <row r="41" customFormat="false" ht="15" hidden="false" customHeight="false" outlineLevel="0" collapsed="false">
      <c r="A41" s="7" t="s">
        <v>1178</v>
      </c>
      <c r="B41" s="43" t="s">
        <v>1190</v>
      </c>
      <c r="C41" s="10" t="str">
        <f aca="false">Trade_CurrentAccount!D80</f>
        <v>China</v>
      </c>
      <c r="D41" s="43" t="s">
        <v>1180</v>
      </c>
      <c r="E41" s="11" t="s">
        <v>526</v>
      </c>
      <c r="F41" s="44" t="s">
        <v>1181</v>
      </c>
      <c r="G41" s="44" t="s">
        <v>1182</v>
      </c>
      <c r="H41" s="44" t="s">
        <v>501</v>
      </c>
      <c r="I41" s="44"/>
    </row>
    <row r="42" customFormat="false" ht="15" hidden="false" customHeight="false" outlineLevel="0" collapsed="false">
      <c r="A42" s="7" t="s">
        <v>1178</v>
      </c>
      <c r="B42" s="43" t="s">
        <v>1191</v>
      </c>
      <c r="C42" s="38" t="n">
        <f aca="false">Trade_CurrentAccount!F80</f>
        <v>0.224652507748057</v>
      </c>
      <c r="D42" s="43" t="s">
        <v>1184</v>
      </c>
      <c r="E42" s="11" t="s">
        <v>526</v>
      </c>
      <c r="F42" s="44" t="s">
        <v>1181</v>
      </c>
      <c r="G42" s="44" t="s">
        <v>1185</v>
      </c>
      <c r="H42" s="44" t="s">
        <v>501</v>
      </c>
      <c r="I42" s="44"/>
    </row>
    <row r="43" customFormat="false" ht="15" hidden="false" customHeight="false" outlineLevel="0" collapsed="false">
      <c r="A43" s="7" t="s">
        <v>1178</v>
      </c>
      <c r="B43" s="43" t="s">
        <v>1192</v>
      </c>
      <c r="C43" s="10" t="str">
        <f aca="false">Trade_CurrentAccount!D81</f>
        <v>USA</v>
      </c>
      <c r="D43" s="43" t="s">
        <v>1180</v>
      </c>
      <c r="E43" s="11" t="s">
        <v>526</v>
      </c>
      <c r="F43" s="44" t="s">
        <v>1181</v>
      </c>
      <c r="G43" s="44" t="s">
        <v>1182</v>
      </c>
      <c r="H43" s="44" t="s">
        <v>501</v>
      </c>
      <c r="I43" s="44"/>
    </row>
    <row r="44" customFormat="false" ht="15" hidden="false" customHeight="false" outlineLevel="0" collapsed="false">
      <c r="A44" s="7" t="s">
        <v>1178</v>
      </c>
      <c r="B44" s="43" t="s">
        <v>1191</v>
      </c>
      <c r="C44" s="38" t="n">
        <f aca="false">Trade_CurrentAccount!F81</f>
        <v>0.116714799234975</v>
      </c>
      <c r="D44" s="43" t="s">
        <v>1184</v>
      </c>
      <c r="E44" s="11" t="s">
        <v>526</v>
      </c>
      <c r="F44" s="44" t="s">
        <v>1181</v>
      </c>
      <c r="G44" s="44" t="s">
        <v>1185</v>
      </c>
      <c r="H44" s="44" t="s">
        <v>501</v>
      </c>
      <c r="I44" s="44"/>
    </row>
    <row r="45" customFormat="false" ht="15" hidden="false" customHeight="false" outlineLevel="0" collapsed="false">
      <c r="A45" s="7" t="s">
        <v>1178</v>
      </c>
      <c r="B45" s="43" t="s">
        <v>1193</v>
      </c>
      <c r="C45" s="10" t="str">
        <f aca="false">Trade_CurrentAccount!D82</f>
        <v>Japan</v>
      </c>
      <c r="D45" s="43" t="s">
        <v>1180</v>
      </c>
      <c r="E45" s="11" t="s">
        <v>526</v>
      </c>
      <c r="F45" s="44" t="s">
        <v>1181</v>
      </c>
      <c r="G45" s="44" t="s">
        <v>1182</v>
      </c>
      <c r="H45" s="44" t="s">
        <v>501</v>
      </c>
      <c r="I45" s="44"/>
    </row>
    <row r="46" customFormat="false" ht="15" hidden="false" customHeight="false" outlineLevel="0" collapsed="false">
      <c r="A46" s="7" t="s">
        <v>1178</v>
      </c>
      <c r="B46" s="43" t="s">
        <v>1191</v>
      </c>
      <c r="C46" s="38" t="n">
        <f aca="false">Trade_CurrentAccount!F82</f>
        <v>0.0772977734276446</v>
      </c>
      <c r="D46" s="43" t="s">
        <v>1184</v>
      </c>
      <c r="E46" s="11" t="s">
        <v>526</v>
      </c>
      <c r="F46" s="44" t="s">
        <v>1181</v>
      </c>
      <c r="G46" s="44" t="s">
        <v>1185</v>
      </c>
      <c r="H46" s="44" t="s">
        <v>501</v>
      </c>
      <c r="I46" s="44"/>
    </row>
    <row r="47" customFormat="false" ht="15" hidden="false" customHeight="false" outlineLevel="0" collapsed="false">
      <c r="A47" s="7" t="s">
        <v>1178</v>
      </c>
      <c r="B47" s="43" t="s">
        <v>1194</v>
      </c>
      <c r="C47" s="10" t="str">
        <f aca="false">Trade_CurrentAccount!D83</f>
        <v>Other Asia, nes</v>
      </c>
      <c r="D47" s="43" t="s">
        <v>1180</v>
      </c>
      <c r="E47" s="11" t="s">
        <v>526</v>
      </c>
      <c r="F47" s="44" t="s">
        <v>1181</v>
      </c>
      <c r="G47" s="44" t="s">
        <v>1182</v>
      </c>
      <c r="H47" s="44" t="s">
        <v>501</v>
      </c>
      <c r="I47" s="44"/>
    </row>
    <row r="48" customFormat="false" ht="15" hidden="false" customHeight="false" outlineLevel="0" collapsed="false">
      <c r="A48" s="7" t="s">
        <v>1178</v>
      </c>
      <c r="B48" s="43" t="s">
        <v>1191</v>
      </c>
      <c r="C48" s="38" t="n">
        <f aca="false">Trade_CurrentAccount!F83</f>
        <v>0.051179800734058</v>
      </c>
      <c r="D48" s="43" t="s">
        <v>1184</v>
      </c>
      <c r="E48" s="11" t="s">
        <v>526</v>
      </c>
      <c r="F48" s="44" t="s">
        <v>1181</v>
      </c>
      <c r="G48" s="44" t="s">
        <v>1185</v>
      </c>
      <c r="H48" s="44" t="s">
        <v>501</v>
      </c>
      <c r="I48" s="44"/>
    </row>
    <row r="49" customFormat="false" ht="15" hidden="false" customHeight="false" outlineLevel="0" collapsed="false">
      <c r="A49" s="7" t="s">
        <v>1178</v>
      </c>
      <c r="B49" s="43" t="s">
        <v>1195</v>
      </c>
      <c r="C49" s="10" t="str">
        <f aca="false">Trade_CurrentAccount!D84</f>
        <v>Australia</v>
      </c>
      <c r="D49" s="43" t="s">
        <v>1180</v>
      </c>
      <c r="E49" s="11" t="s">
        <v>526</v>
      </c>
      <c r="F49" s="44" t="s">
        <v>1181</v>
      </c>
      <c r="G49" s="44" t="s">
        <v>1182</v>
      </c>
      <c r="H49" s="44" t="s">
        <v>501</v>
      </c>
      <c r="I49" s="44"/>
    </row>
    <row r="50" customFormat="false" ht="15" hidden="false" customHeight="false" outlineLevel="0" collapsed="false">
      <c r="A50" s="7" t="s">
        <v>1178</v>
      </c>
      <c r="B50" s="43" t="s">
        <v>1191</v>
      </c>
      <c r="C50" s="38" t="n">
        <f aca="false">Trade_CurrentAccount!F84</f>
        <v>0.0507922049320768</v>
      </c>
      <c r="D50" s="43" t="s">
        <v>1184</v>
      </c>
      <c r="E50" s="11" t="s">
        <v>526</v>
      </c>
      <c r="F50" s="44" t="s">
        <v>1181</v>
      </c>
      <c r="G50" s="44" t="s">
        <v>1185</v>
      </c>
      <c r="H50" s="44" t="s">
        <v>501</v>
      </c>
      <c r="I50" s="44"/>
    </row>
    <row r="51" customFormat="false" ht="15" hidden="false" customHeight="false" outlineLevel="0" collapsed="false">
      <c r="A51" s="7" t="s">
        <v>1196</v>
      </c>
      <c r="B51" s="43" t="s">
        <v>1197</v>
      </c>
      <c r="C51" s="10" t="str">
        <f aca="false">Trade_CurrentAccount!D213</f>
        <v>85 - Electrical machinery and equipment and parts thereof; sound recorders and reproducers; television image and sound recorders and reproducers, parts and accessories of such articles</v>
      </c>
      <c r="D51" s="43" t="s">
        <v>1027</v>
      </c>
      <c r="E51" s="11" t="s">
        <v>526</v>
      </c>
      <c r="F51" s="44" t="s">
        <v>1181</v>
      </c>
      <c r="G51" s="44" t="s">
        <v>1198</v>
      </c>
      <c r="H51" s="44" t="s">
        <v>501</v>
      </c>
      <c r="I51" s="44"/>
    </row>
    <row r="52" customFormat="false" ht="15" hidden="false" customHeight="false" outlineLevel="0" collapsed="false">
      <c r="A52" s="7" t="s">
        <v>1196</v>
      </c>
      <c r="B52" s="43" t="s">
        <v>1199</v>
      </c>
      <c r="C52" s="38" t="n">
        <f aca="false">Trade_CurrentAccount!F213</f>
        <v>0.331399922796091</v>
      </c>
      <c r="D52" s="43" t="s">
        <v>1184</v>
      </c>
      <c r="E52" s="11" t="s">
        <v>526</v>
      </c>
      <c r="F52" s="44" t="s">
        <v>1181</v>
      </c>
      <c r="G52" s="44" t="s">
        <v>1185</v>
      </c>
      <c r="H52" s="44" t="s">
        <v>501</v>
      </c>
      <c r="I52" s="44"/>
    </row>
    <row r="53" customFormat="false" ht="15" hidden="false" customHeight="false" outlineLevel="0" collapsed="false">
      <c r="A53" s="7" t="s">
        <v>1196</v>
      </c>
      <c r="B53" s="43" t="s">
        <v>1200</v>
      </c>
      <c r="C53" s="10" t="str">
        <f aca="false">Trade_CurrentAccount!D214</f>
        <v>87 - Vehicles; other than railway or tramway rolling stock, and parts and accessories thereof</v>
      </c>
      <c r="D53" s="43" t="s">
        <v>1027</v>
      </c>
      <c r="E53" s="11" t="s">
        <v>526</v>
      </c>
      <c r="F53" s="44" t="s">
        <v>1181</v>
      </c>
      <c r="G53" s="44" t="s">
        <v>1198</v>
      </c>
      <c r="H53" s="44" t="s">
        <v>501</v>
      </c>
      <c r="I53" s="44"/>
    </row>
    <row r="54" customFormat="false" ht="15" hidden="false" customHeight="false" outlineLevel="0" collapsed="false">
      <c r="A54" s="7" t="s">
        <v>1196</v>
      </c>
      <c r="B54" s="43" t="s">
        <v>1199</v>
      </c>
      <c r="C54" s="38" t="n">
        <f aca="false">Trade_CurrentAccount!F214</f>
        <v>0.13023266914392</v>
      </c>
      <c r="D54" s="43" t="s">
        <v>1184</v>
      </c>
      <c r="E54" s="11" t="s">
        <v>526</v>
      </c>
      <c r="F54" s="44" t="s">
        <v>1181</v>
      </c>
      <c r="G54" s="44" t="s">
        <v>1185</v>
      </c>
      <c r="H54" s="44" t="s">
        <v>501</v>
      </c>
      <c r="I54" s="44"/>
    </row>
    <row r="55" customFormat="false" ht="15" hidden="false" customHeight="false" outlineLevel="0" collapsed="false">
      <c r="A55" s="7" t="s">
        <v>1196</v>
      </c>
      <c r="B55" s="43" t="s">
        <v>1201</v>
      </c>
      <c r="C55" s="10" t="str">
        <f aca="false">Trade_CurrentAccount!D215</f>
        <v>84 - Machinery and mechanical appliances, boilers, nuclear reactors; parts thereof</v>
      </c>
      <c r="D55" s="43" t="s">
        <v>1027</v>
      </c>
      <c r="E55" s="11" t="s">
        <v>526</v>
      </c>
      <c r="F55" s="44" t="s">
        <v>1181</v>
      </c>
      <c r="G55" s="44" t="s">
        <v>1198</v>
      </c>
      <c r="H55" s="44" t="s">
        <v>501</v>
      </c>
      <c r="I55" s="44"/>
    </row>
    <row r="56" customFormat="false" ht="15" hidden="false" customHeight="false" outlineLevel="0" collapsed="false">
      <c r="A56" s="7" t="s">
        <v>1196</v>
      </c>
      <c r="B56" s="43" t="s">
        <v>1199</v>
      </c>
      <c r="C56" s="38" t="n">
        <f aca="false">Trade_CurrentAccount!F215</f>
        <v>0.12006989444621</v>
      </c>
      <c r="D56" s="43" t="s">
        <v>1184</v>
      </c>
      <c r="E56" s="11" t="s">
        <v>526</v>
      </c>
      <c r="F56" s="44" t="s">
        <v>1181</v>
      </c>
      <c r="G56" s="44" t="s">
        <v>1185</v>
      </c>
      <c r="H56" s="44" t="s">
        <v>501</v>
      </c>
      <c r="I56" s="44"/>
    </row>
    <row r="57" customFormat="false" ht="15" hidden="false" customHeight="false" outlineLevel="0" collapsed="false">
      <c r="A57" s="7" t="s">
        <v>1196</v>
      </c>
      <c r="B57" s="43" t="s">
        <v>1202</v>
      </c>
      <c r="C57" s="10" t="str">
        <f aca="false">Trade_CurrentAccount!D218</f>
        <v>27 - Mineral fuels, mineral oils and products of their distillation; bituminous substances; mineral waxes</v>
      </c>
      <c r="D57" s="43" t="s">
        <v>1027</v>
      </c>
      <c r="E57" s="11" t="s">
        <v>526</v>
      </c>
      <c r="F57" s="44" t="s">
        <v>1181</v>
      </c>
      <c r="G57" s="44" t="s">
        <v>1198</v>
      </c>
      <c r="H57" s="44" t="s">
        <v>501</v>
      </c>
      <c r="I57" s="44"/>
    </row>
    <row r="58" customFormat="false" ht="15" hidden="false" customHeight="false" outlineLevel="0" collapsed="false">
      <c r="A58" s="7" t="s">
        <v>1196</v>
      </c>
      <c r="B58" s="43" t="s">
        <v>1199</v>
      </c>
      <c r="C58" s="38" t="n">
        <f aca="false">Trade_CurrentAccount!F218</f>
        <v>0.221810407800716</v>
      </c>
      <c r="D58" s="43" t="s">
        <v>1184</v>
      </c>
      <c r="E58" s="11" t="s">
        <v>526</v>
      </c>
      <c r="F58" s="44" t="s">
        <v>1181</v>
      </c>
      <c r="G58" s="44" t="s">
        <v>1185</v>
      </c>
      <c r="H58" s="44" t="s">
        <v>501</v>
      </c>
      <c r="I58" s="44"/>
    </row>
    <row r="59" customFormat="false" ht="15" hidden="false" customHeight="false" outlineLevel="0" collapsed="false">
      <c r="A59" s="7" t="s">
        <v>1196</v>
      </c>
      <c r="B59" s="43" t="s">
        <v>1203</v>
      </c>
      <c r="C59" s="10" t="str">
        <f aca="false">Trade_CurrentAccount!D219</f>
        <v>85 - Electrical machinery and equipment and parts thereof; sound recorders and reproducers; television image and sound recorders and reproducers, parts and accessories of such articles</v>
      </c>
      <c r="D59" s="43" t="s">
        <v>1027</v>
      </c>
      <c r="E59" s="11" t="s">
        <v>526</v>
      </c>
      <c r="F59" s="44" t="s">
        <v>1181</v>
      </c>
      <c r="G59" s="44" t="s">
        <v>1198</v>
      </c>
      <c r="H59" s="44" t="s">
        <v>501</v>
      </c>
      <c r="I59" s="44"/>
    </row>
    <row r="60" customFormat="false" ht="15" hidden="false" customHeight="false" outlineLevel="0" collapsed="false">
      <c r="A60" s="7" t="s">
        <v>1196</v>
      </c>
      <c r="B60" s="43" t="s">
        <v>1199</v>
      </c>
      <c r="C60" s="38" t="n">
        <f aca="false">Trade_CurrentAccount!F219</f>
        <v>0.20192797822816</v>
      </c>
      <c r="D60" s="43" t="s">
        <v>1184</v>
      </c>
      <c r="E60" s="11" t="s">
        <v>526</v>
      </c>
      <c r="F60" s="44" t="s">
        <v>1181</v>
      </c>
      <c r="G60" s="44" t="s">
        <v>1185</v>
      </c>
      <c r="H60" s="44" t="s">
        <v>501</v>
      </c>
      <c r="I60" s="44"/>
    </row>
    <row r="61" customFormat="false" ht="15" hidden="false" customHeight="false" outlineLevel="0" collapsed="false">
      <c r="A61" s="7" t="s">
        <v>1196</v>
      </c>
      <c r="B61" s="43" t="s">
        <v>1204</v>
      </c>
      <c r="C61" s="10" t="str">
        <f aca="false">Trade_CurrentAccount!D220</f>
        <v>84 - Machinery and mechanical appliances, boilers, nuclear reactors; parts thereof</v>
      </c>
      <c r="D61" s="43" t="s">
        <v>1027</v>
      </c>
      <c r="E61" s="11" t="s">
        <v>526</v>
      </c>
      <c r="F61" s="44" t="s">
        <v>1181</v>
      </c>
      <c r="G61" s="44" t="s">
        <v>1198</v>
      </c>
      <c r="H61" s="44" t="s">
        <v>501</v>
      </c>
      <c r="I61" s="44"/>
    </row>
    <row r="62" customFormat="false" ht="15" hidden="false" customHeight="false" outlineLevel="0" collapsed="false">
      <c r="A62" s="7" t="s">
        <v>1196</v>
      </c>
      <c r="B62" s="43" t="s">
        <v>1199</v>
      </c>
      <c r="C62" s="38" t="n">
        <f aca="false">Trade_CurrentAccount!F220</f>
        <v>0.118292135414036</v>
      </c>
      <c r="D62" s="43" t="s">
        <v>1184</v>
      </c>
      <c r="E62" s="11" t="s">
        <v>526</v>
      </c>
      <c r="F62" s="44" t="s">
        <v>1181</v>
      </c>
      <c r="G62" s="44" t="s">
        <v>1185</v>
      </c>
      <c r="H62" s="44" t="s">
        <v>501</v>
      </c>
      <c r="I62" s="44"/>
    </row>
    <row r="63" customFormat="false" ht="15" hidden="false" customHeight="false" outlineLevel="0" collapsed="false">
      <c r="A63" s="7" t="s">
        <v>1205</v>
      </c>
      <c r="B63" s="43" t="s">
        <v>1206</v>
      </c>
      <c r="C63" s="38" t="n">
        <f aca="false">Trade_CurrentAccount!F216</f>
        <v>0.0666213244204889</v>
      </c>
      <c r="D63" s="43" t="s">
        <v>1184</v>
      </c>
      <c r="E63" s="11" t="s">
        <v>526</v>
      </c>
      <c r="F63" s="44" t="s">
        <v>1181</v>
      </c>
      <c r="G63" s="44" t="s">
        <v>1207</v>
      </c>
      <c r="H63" s="44" t="s">
        <v>501</v>
      </c>
      <c r="I63" s="44" t="s">
        <v>1210</v>
      </c>
    </row>
    <row r="64" customFormat="false" ht="15" hidden="false" customHeight="false" outlineLevel="0" collapsed="false">
      <c r="A64" s="7" t="s">
        <v>1205</v>
      </c>
      <c r="B64" s="43" t="s">
        <v>1209</v>
      </c>
      <c r="C64" s="38" t="n">
        <f aca="false">Trade_CurrentAccount!F218</f>
        <v>0.221810407800716</v>
      </c>
      <c r="D64" s="43" t="s">
        <v>1184</v>
      </c>
      <c r="E64" s="11" t="s">
        <v>526</v>
      </c>
      <c r="F64" s="44" t="s">
        <v>1181</v>
      </c>
      <c r="G64" s="44" t="s">
        <v>1207</v>
      </c>
      <c r="H64" s="44" t="s">
        <v>501</v>
      </c>
      <c r="I64" s="44" t="s">
        <v>1208</v>
      </c>
    </row>
    <row r="65" customFormat="false" ht="15" hidden="false" customHeight="false" outlineLevel="0" collapsed="false">
      <c r="A65" s="7" t="s">
        <v>1211</v>
      </c>
      <c r="B65" s="43" t="s">
        <v>1243</v>
      </c>
      <c r="C65" s="20" t="n">
        <f aca="false">Trade_CurrentAccount!D279</f>
        <v>84.2</v>
      </c>
      <c r="D65" s="43" t="s">
        <v>1244</v>
      </c>
      <c r="E65" s="11" t="s">
        <v>526</v>
      </c>
      <c r="F65" s="44" t="s">
        <v>293</v>
      </c>
      <c r="G65" s="44" t="s">
        <v>1245</v>
      </c>
      <c r="H65" s="44" t="s">
        <v>501</v>
      </c>
      <c r="I65" s="44"/>
    </row>
    <row r="66" customFormat="false" ht="15" hidden="false" customHeight="false" outlineLevel="0" collapsed="false">
      <c r="A66" s="7" t="s">
        <v>1211</v>
      </c>
      <c r="B66" s="43" t="s">
        <v>1246</v>
      </c>
      <c r="C66" s="20" t="n">
        <f aca="false">Trade_CurrentAccount!D282</f>
        <v>3.4</v>
      </c>
      <c r="D66" s="43" t="s">
        <v>1244</v>
      </c>
      <c r="E66" s="11" t="s">
        <v>526</v>
      </c>
      <c r="F66" s="44" t="s">
        <v>293</v>
      </c>
      <c r="G66" s="44" t="s">
        <v>1245</v>
      </c>
      <c r="H66" s="44" t="s">
        <v>501</v>
      </c>
      <c r="I66" s="44"/>
    </row>
    <row r="67" customFormat="false" ht="15" hidden="false" customHeight="false" outlineLevel="0" collapsed="false">
      <c r="A67" s="7" t="s">
        <v>1211</v>
      </c>
      <c r="B67" s="43" t="s">
        <v>1247</v>
      </c>
      <c r="C67" s="20" t="n">
        <f aca="false">Trade_CurrentAccount!D280</f>
        <v>5.9</v>
      </c>
      <c r="D67" s="43" t="s">
        <v>1244</v>
      </c>
      <c r="E67" s="11" t="s">
        <v>526</v>
      </c>
      <c r="F67" s="44" t="s">
        <v>293</v>
      </c>
      <c r="G67" s="44" t="s">
        <v>1245</v>
      </c>
      <c r="H67" s="44" t="s">
        <v>501</v>
      </c>
      <c r="I67" s="44"/>
    </row>
    <row r="68" customFormat="false" ht="15" hidden="false" customHeight="false" outlineLevel="0" collapsed="false">
      <c r="A68" s="7" t="s">
        <v>1211</v>
      </c>
      <c r="B68" s="43" t="s">
        <v>1248</v>
      </c>
      <c r="C68" s="20" t="n">
        <f aca="false">Trade_CurrentAccount!D281</f>
        <v>1.9</v>
      </c>
      <c r="D68" s="43" t="s">
        <v>1244</v>
      </c>
      <c r="E68" s="11" t="s">
        <v>526</v>
      </c>
      <c r="F68" s="44" t="s">
        <v>293</v>
      </c>
      <c r="G68" s="44" t="s">
        <v>1245</v>
      </c>
      <c r="H68" s="44" t="s">
        <v>501</v>
      </c>
      <c r="I68" s="44"/>
    </row>
    <row r="69" customFormat="false" ht="15" hidden="false" customHeight="false" outlineLevel="0" collapsed="false">
      <c r="A69" s="7" t="s">
        <v>1211</v>
      </c>
      <c r="B69" s="43" t="s">
        <v>1249</v>
      </c>
      <c r="C69" s="20" t="n">
        <f aca="false">Trade_CurrentAccount!D283</f>
        <v>1.3</v>
      </c>
      <c r="D69" s="43" t="s">
        <v>1244</v>
      </c>
      <c r="E69" s="11" t="s">
        <v>526</v>
      </c>
      <c r="F69" s="44" t="s">
        <v>293</v>
      </c>
      <c r="G69" s="44" t="s">
        <v>1245</v>
      </c>
      <c r="H69" s="44" t="s">
        <v>501</v>
      </c>
      <c r="I69" s="44"/>
    </row>
    <row r="70" customFormat="false" ht="15" hidden="false" customHeight="false" outlineLevel="0" collapsed="false">
      <c r="A70" s="7" t="s">
        <v>1211</v>
      </c>
      <c r="B70" s="43" t="s">
        <v>1250</v>
      </c>
      <c r="C70" s="20" t="n">
        <f aca="false">Trade_CurrentAccount!D285</f>
        <v>79.3</v>
      </c>
      <c r="D70" s="43" t="s">
        <v>1244</v>
      </c>
      <c r="E70" s="11" t="s">
        <v>526</v>
      </c>
      <c r="F70" s="44" t="s">
        <v>293</v>
      </c>
      <c r="G70" s="44" t="s">
        <v>1245</v>
      </c>
      <c r="H70" s="44" t="s">
        <v>501</v>
      </c>
      <c r="I70" s="44"/>
    </row>
    <row r="71" customFormat="false" ht="15" hidden="false" customHeight="false" outlineLevel="0" collapsed="false">
      <c r="A71" s="7" t="s">
        <v>1211</v>
      </c>
      <c r="B71" s="43" t="s">
        <v>1251</v>
      </c>
      <c r="C71" s="20" t="n">
        <f aca="false">Trade_CurrentAccount!D288</f>
        <v>6.6</v>
      </c>
      <c r="D71" s="43" t="s">
        <v>1244</v>
      </c>
      <c r="E71" s="11" t="s">
        <v>526</v>
      </c>
      <c r="F71" s="44" t="s">
        <v>293</v>
      </c>
      <c r="G71" s="44" t="s">
        <v>1245</v>
      </c>
      <c r="H71" s="44" t="s">
        <v>501</v>
      </c>
      <c r="I71" s="44"/>
    </row>
    <row r="72" customFormat="false" ht="15" hidden="false" customHeight="false" outlineLevel="0" collapsed="false">
      <c r="A72" s="7" t="s">
        <v>1211</v>
      </c>
      <c r="B72" s="43" t="s">
        <v>1252</v>
      </c>
      <c r="C72" s="20" t="n">
        <f aca="false">Trade_CurrentAccount!D286</f>
        <v>6</v>
      </c>
      <c r="D72" s="43" t="s">
        <v>1244</v>
      </c>
      <c r="E72" s="11" t="s">
        <v>526</v>
      </c>
      <c r="F72" s="44" t="s">
        <v>293</v>
      </c>
      <c r="G72" s="44" t="s">
        <v>1245</v>
      </c>
      <c r="H72" s="44" t="s">
        <v>501</v>
      </c>
      <c r="I72" s="44"/>
    </row>
    <row r="73" customFormat="false" ht="15" hidden="false" customHeight="false" outlineLevel="0" collapsed="false">
      <c r="A73" s="7" t="s">
        <v>1211</v>
      </c>
      <c r="B73" s="43" t="s">
        <v>1253</v>
      </c>
      <c r="C73" s="20" t="n">
        <f aca="false">Trade_CurrentAccount!D287</f>
        <v>4</v>
      </c>
      <c r="D73" s="43" t="s">
        <v>1244</v>
      </c>
      <c r="E73" s="11" t="s">
        <v>526</v>
      </c>
      <c r="F73" s="44" t="s">
        <v>293</v>
      </c>
      <c r="G73" s="44" t="s">
        <v>1245</v>
      </c>
      <c r="H73" s="44" t="s">
        <v>501</v>
      </c>
      <c r="I73" s="44"/>
    </row>
    <row r="74" customFormat="false" ht="15" hidden="false" customHeight="false" outlineLevel="0" collapsed="false">
      <c r="A74" s="7" t="s">
        <v>1211</v>
      </c>
      <c r="B74" s="43" t="s">
        <v>1254</v>
      </c>
      <c r="C74" s="20" t="n">
        <f aca="false">Trade_CurrentAccount!D289</f>
        <v>3.2</v>
      </c>
      <c r="D74" s="43" t="s">
        <v>1244</v>
      </c>
      <c r="E74" s="11" t="s">
        <v>526</v>
      </c>
      <c r="F74" s="44" t="s">
        <v>293</v>
      </c>
      <c r="G74" s="44" t="s">
        <v>1245</v>
      </c>
      <c r="H74" s="44" t="s">
        <v>501</v>
      </c>
      <c r="I74" s="44"/>
    </row>
    <row r="75" customFormat="false" ht="15" hidden="false" customHeight="false" outlineLevel="0" collapsed="false">
      <c r="A75" s="7" t="s">
        <v>1214</v>
      </c>
      <c r="B75" s="43" t="s">
        <v>1255</v>
      </c>
      <c r="C75" s="38" t="n">
        <f aca="false">FX_Market_BIS!P23</f>
        <v>0.0179653144536716</v>
      </c>
      <c r="D75" s="43" t="s">
        <v>1216</v>
      </c>
      <c r="E75" s="9" t="str">
        <f aca="false">FX_Market_BIS!A23</f>
        <v>2025</v>
      </c>
      <c r="F75" s="44" t="s">
        <v>1217</v>
      </c>
      <c r="G75" s="44" t="s">
        <v>1218</v>
      </c>
      <c r="H75" s="44" t="s">
        <v>550</v>
      </c>
      <c r="I75" s="44"/>
    </row>
    <row r="76" customFormat="false" ht="15" hidden="false" customHeight="false" outlineLevel="0" collapsed="false">
      <c r="A76" s="7" t="s">
        <v>1214</v>
      </c>
      <c r="B76" s="43" t="s">
        <v>1256</v>
      </c>
      <c r="C76" s="46" t="s">
        <v>1212</v>
      </c>
      <c r="D76" s="43" t="s">
        <v>538</v>
      </c>
      <c r="E76" s="11"/>
      <c r="F76" s="44" t="s">
        <v>1221</v>
      </c>
      <c r="G76" s="44"/>
      <c r="H76" s="44"/>
      <c r="I76" s="44" t="s">
        <v>1257</v>
      </c>
    </row>
    <row r="77" customFormat="false" ht="15" hidden="false" customHeight="false" outlineLevel="0" collapsed="false">
      <c r="A77" s="7" t="s">
        <v>1223</v>
      </c>
      <c r="B77" s="43" t="s">
        <v>1258</v>
      </c>
      <c r="C77" s="38" t="n">
        <f aca="false">BigMac!H95</f>
        <v>-0.38327</v>
      </c>
      <c r="D77" s="43" t="s">
        <v>1225</v>
      </c>
      <c r="E77" s="9" t="n">
        <f aca="false">BigMac!A95</f>
        <v>46204</v>
      </c>
      <c r="F77" s="44" t="s">
        <v>1226</v>
      </c>
      <c r="G77" s="44" t="s">
        <v>1227</v>
      </c>
      <c r="H77" s="44" t="s">
        <v>559</v>
      </c>
      <c r="I77" s="4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7" min="6" style="0" width="34"/>
    <col collapsed="false" customWidth="true" hidden="false" outlineLevel="0" max="8" min="8" style="0" width="22"/>
    <col collapsed="false" customWidth="true" hidden="false" outlineLevel="0" max="9" min="9" style="0" width="70"/>
  </cols>
  <sheetData>
    <row r="1" customFormat="false" ht="16.15" hidden="false" customHeight="false" outlineLevel="0" collapsed="false">
      <c r="A1" s="1" t="s">
        <v>1259</v>
      </c>
    </row>
    <row r="2" customFormat="false" ht="15" hidden="false" customHeight="false" outlineLevel="0" collapsed="false">
      <c r="A2" s="2" t="s">
        <v>1138</v>
      </c>
    </row>
    <row r="4" customFormat="false" ht="15" hidden="false" customHeight="false" outlineLevel="0" collapsed="false">
      <c r="A4" s="3" t="s">
        <v>1139</v>
      </c>
      <c r="B4" s="3" t="s">
        <v>755</v>
      </c>
      <c r="C4" s="3" t="s">
        <v>1140</v>
      </c>
      <c r="D4" s="3" t="s">
        <v>9</v>
      </c>
      <c r="E4" s="3" t="s">
        <v>1141</v>
      </c>
      <c r="F4" s="3" t="s">
        <v>5</v>
      </c>
      <c r="G4" s="3" t="s">
        <v>6</v>
      </c>
      <c r="H4" s="3" t="s">
        <v>1142</v>
      </c>
      <c r="I4" s="3" t="s">
        <v>1060</v>
      </c>
    </row>
    <row r="5" customFormat="false" ht="15" hidden="false" customHeight="false" outlineLevel="0" collapsed="false">
      <c r="A5" s="7" t="s">
        <v>1143</v>
      </c>
      <c r="B5" s="43" t="s">
        <v>583</v>
      </c>
      <c r="C5" s="10" t="n">
        <f aca="false">FX_Daily!C12</f>
        <v>9.6386</v>
      </c>
      <c r="D5" s="43" t="s">
        <v>28</v>
      </c>
      <c r="E5" s="9" t="n">
        <f aca="false">FX_Daily!C11</f>
        <v>46297</v>
      </c>
      <c r="F5" s="44" t="s">
        <v>17</v>
      </c>
      <c r="G5" s="44" t="s">
        <v>25</v>
      </c>
      <c r="H5" s="44" t="s">
        <v>15</v>
      </c>
      <c r="I5" s="44"/>
    </row>
    <row r="6" customFormat="false" ht="15" hidden="false" customHeight="false" outlineLevel="0" collapsed="false">
      <c r="A6" s="7" t="s">
        <v>1143</v>
      </c>
      <c r="B6" s="43" t="s">
        <v>596</v>
      </c>
      <c r="C6" s="10" t="n">
        <f aca="false">FX_Daily!P12</f>
        <v>9.5643</v>
      </c>
      <c r="D6" s="43" t="s">
        <v>96</v>
      </c>
      <c r="E6" s="9" t="n">
        <f aca="false">FX_Daily!P11</f>
        <v>46301</v>
      </c>
      <c r="F6" s="44" t="s">
        <v>92</v>
      </c>
      <c r="G6" s="44" t="s">
        <v>93</v>
      </c>
      <c r="H6" s="44" t="s">
        <v>15</v>
      </c>
      <c r="I6" s="44"/>
    </row>
    <row r="7" customFormat="false" ht="15" hidden="false" customHeight="false" outlineLevel="0" collapsed="false">
      <c r="A7" s="7" t="s">
        <v>1143</v>
      </c>
      <c r="B7" s="43" t="s">
        <v>590</v>
      </c>
      <c r="C7" s="10" t="n">
        <f aca="false">FX_Daily!J12</f>
        <v>10.778</v>
      </c>
      <c r="D7" s="43" t="s">
        <v>65</v>
      </c>
      <c r="E7" s="9" t="n">
        <f aca="false">FX_Daily!J11</f>
        <v>46301</v>
      </c>
      <c r="F7" s="44" t="s">
        <v>55</v>
      </c>
      <c r="G7" s="44" t="s">
        <v>62</v>
      </c>
      <c r="H7" s="44" t="s">
        <v>15</v>
      </c>
      <c r="I7" s="44"/>
    </row>
    <row r="8" customFormat="false" ht="15" hidden="false" customHeight="false" outlineLevel="0" collapsed="false">
      <c r="A8" s="7" t="s">
        <v>1144</v>
      </c>
      <c r="B8" s="43" t="s">
        <v>1260</v>
      </c>
      <c r="C8" s="19" t="n">
        <f aca="false">Rates_Daily!Q12</f>
        <v>4.5</v>
      </c>
      <c r="D8" s="43" t="s">
        <v>125</v>
      </c>
      <c r="E8" s="9" t="n">
        <f aca="false">Rates_Daily!Q11</f>
        <v>46301</v>
      </c>
      <c r="F8" s="44" t="s">
        <v>171</v>
      </c>
      <c r="G8" s="44" t="s">
        <v>172</v>
      </c>
      <c r="H8" s="44" t="s">
        <v>106</v>
      </c>
      <c r="I8" s="44"/>
    </row>
    <row r="9" customFormat="false" ht="15" hidden="false" customHeight="false" outlineLevel="0" collapsed="false">
      <c r="A9" s="7" t="s">
        <v>1144</v>
      </c>
      <c r="B9" s="43" t="s">
        <v>1261</v>
      </c>
      <c r="C9" s="19" t="n">
        <f aca="false">Rates_Daily!R12</f>
        <v>4.5</v>
      </c>
      <c r="D9" s="43" t="s">
        <v>125</v>
      </c>
      <c r="E9" s="9" t="n">
        <f aca="false">Rates_Daily!R11</f>
        <v>46301</v>
      </c>
      <c r="F9" s="44" t="s">
        <v>171</v>
      </c>
      <c r="G9" s="44" t="s">
        <v>176</v>
      </c>
      <c r="H9" s="44" t="s">
        <v>106</v>
      </c>
      <c r="I9" s="44"/>
    </row>
    <row r="10" customFormat="false" ht="15" hidden="false" customHeight="false" outlineLevel="0" collapsed="false">
      <c r="A10" s="7" t="s">
        <v>1144</v>
      </c>
      <c r="B10" s="43" t="s">
        <v>1262</v>
      </c>
      <c r="C10" s="46" t="s">
        <v>1212</v>
      </c>
      <c r="D10" s="43" t="s">
        <v>125</v>
      </c>
      <c r="E10" s="11"/>
      <c r="F10" s="44" t="s">
        <v>1263</v>
      </c>
      <c r="G10" s="44" t="s">
        <v>1264</v>
      </c>
      <c r="H10" s="44"/>
      <c r="I10" s="44" t="s">
        <v>1265</v>
      </c>
    </row>
    <row r="11" customFormat="false" ht="15" hidden="false" customHeight="false" outlineLevel="0" collapsed="false">
      <c r="A11" s="7" t="s">
        <v>1144</v>
      </c>
      <c r="B11" s="43" t="s">
        <v>1266</v>
      </c>
      <c r="C11" s="19" t="n">
        <f aca="false">Rates_Monthly!AA12</f>
        <v>4.422</v>
      </c>
      <c r="D11" s="43" t="s">
        <v>125</v>
      </c>
      <c r="E11" s="9" t="n">
        <f aca="false">Rates_Monthly!AA11</f>
        <v>46266</v>
      </c>
      <c r="F11" s="44" t="s">
        <v>171</v>
      </c>
      <c r="G11" s="44" t="s">
        <v>275</v>
      </c>
      <c r="H11" s="44" t="s">
        <v>184</v>
      </c>
      <c r="I11" s="44"/>
    </row>
    <row r="12" customFormat="false" ht="15" hidden="false" customHeight="false" outlineLevel="0" collapsed="false">
      <c r="A12" s="7" t="s">
        <v>1144</v>
      </c>
      <c r="B12" s="43" t="s">
        <v>1267</v>
      </c>
      <c r="C12" s="19" t="n">
        <f aca="false">Rates_Monthly!AD12</f>
        <v>4.51</v>
      </c>
      <c r="D12" s="43" t="s">
        <v>112</v>
      </c>
      <c r="E12" s="9" t="n">
        <f aca="false">Rates_Monthly!AD11</f>
        <v>46235</v>
      </c>
      <c r="F12" s="44" t="s">
        <v>214</v>
      </c>
      <c r="G12" s="44" t="s">
        <v>289</v>
      </c>
      <c r="H12" s="44" t="s">
        <v>184</v>
      </c>
      <c r="I12" s="44"/>
    </row>
    <row r="13" customFormat="false" ht="15" hidden="false" customHeight="false" outlineLevel="0" collapsed="false">
      <c r="A13" s="7" t="s">
        <v>1144</v>
      </c>
      <c r="B13" s="43" t="s">
        <v>1268</v>
      </c>
      <c r="C13" s="19" t="n">
        <f aca="false">Rates_Monthly!AB12</f>
        <v>4.552</v>
      </c>
      <c r="D13" s="43" t="s">
        <v>125</v>
      </c>
      <c r="E13" s="9" t="n">
        <f aca="false">Rates_Monthly!AB11</f>
        <v>46266</v>
      </c>
      <c r="F13" s="44" t="s">
        <v>171</v>
      </c>
      <c r="G13" s="44" t="s">
        <v>280</v>
      </c>
      <c r="H13" s="44" t="s">
        <v>184</v>
      </c>
      <c r="I13" s="44"/>
    </row>
    <row r="14" customFormat="false" ht="15" hidden="false" customHeight="false" outlineLevel="0" collapsed="false">
      <c r="A14" s="7" t="s">
        <v>1144</v>
      </c>
      <c r="B14" s="43" t="s">
        <v>1269</v>
      </c>
      <c r="C14" s="19" t="n">
        <f aca="false">Rates_Monthly!AC12</f>
        <v>4.645</v>
      </c>
      <c r="D14" s="43" t="s">
        <v>125</v>
      </c>
      <c r="E14" s="9" t="n">
        <f aca="false">Rates_Monthly!AC11</f>
        <v>46266</v>
      </c>
      <c r="F14" s="44" t="s">
        <v>171</v>
      </c>
      <c r="G14" s="44" t="s">
        <v>285</v>
      </c>
      <c r="H14" s="44" t="s">
        <v>184</v>
      </c>
      <c r="I14" s="44"/>
    </row>
    <row r="15" customFormat="false" ht="15" hidden="false" customHeight="false" outlineLevel="0" collapsed="false">
      <c r="A15" s="7" t="s">
        <v>374</v>
      </c>
      <c r="B15" s="43" t="s">
        <v>1270</v>
      </c>
      <c r="C15" s="20" t="n">
        <f aca="false">Inflation!L12</f>
        <v>3.29341317365268</v>
      </c>
      <c r="D15" s="43" t="s">
        <v>387</v>
      </c>
      <c r="E15" s="45" t="n">
        <f aca="false">Inflation!L11</f>
        <v>46235</v>
      </c>
      <c r="F15" s="44" t="s">
        <v>726</v>
      </c>
      <c r="G15" s="44" t="s">
        <v>728</v>
      </c>
      <c r="H15" s="44" t="s">
        <v>374</v>
      </c>
      <c r="I15" s="44"/>
    </row>
    <row r="16" customFormat="false" ht="15" hidden="false" customHeight="false" outlineLevel="0" collapsed="false">
      <c r="A16" s="7" t="s">
        <v>374</v>
      </c>
      <c r="B16" s="43" t="s">
        <v>1271</v>
      </c>
      <c r="C16" s="20" t="n">
        <f aca="false">Inflation!O12</f>
        <v>3.2</v>
      </c>
      <c r="D16" s="43" t="s">
        <v>387</v>
      </c>
      <c r="E16" s="45" t="n">
        <f aca="false">Inflation!O11</f>
        <v>46235</v>
      </c>
      <c r="F16" s="44" t="s">
        <v>422</v>
      </c>
      <c r="G16" s="44" t="s">
        <v>431</v>
      </c>
      <c r="H16" s="44" t="s">
        <v>374</v>
      </c>
      <c r="I16" s="44"/>
    </row>
    <row r="17" customFormat="false" ht="15" hidden="false" customHeight="false" outlineLevel="0" collapsed="false">
      <c r="A17" s="7" t="s">
        <v>1154</v>
      </c>
      <c r="B17" s="43" t="s">
        <v>1155</v>
      </c>
      <c r="C17" s="36" t="n">
        <f aca="false">GDP_Growth!X38</f>
        <v>530755719438.879</v>
      </c>
      <c r="D17" s="43" t="s">
        <v>478</v>
      </c>
      <c r="E17" s="16" t="str">
        <f aca="false">GDP_Growth!W38</f>
        <v>2025</v>
      </c>
      <c r="F17" s="44" t="s">
        <v>469</v>
      </c>
      <c r="G17" s="44" t="s">
        <v>475</v>
      </c>
      <c r="H17" s="44" t="s">
        <v>453</v>
      </c>
      <c r="I17" s="44"/>
    </row>
    <row r="18" customFormat="false" ht="15" hidden="false" customHeight="false" outlineLevel="0" collapsed="false">
      <c r="A18" s="7" t="s">
        <v>1154</v>
      </c>
      <c r="B18" s="43" t="s">
        <v>1156</v>
      </c>
      <c r="C18" s="34" t="n">
        <f aca="false">GDP_Growth!AB18</f>
        <v>530.756</v>
      </c>
      <c r="D18" s="43" t="s">
        <v>467</v>
      </c>
      <c r="E18" s="16" t="str">
        <f aca="false">GDP_Growth!AA18</f>
        <v>2025</v>
      </c>
      <c r="F18" s="44" t="s">
        <v>455</v>
      </c>
      <c r="G18" s="44" t="s">
        <v>464</v>
      </c>
      <c r="H18" s="44" t="s">
        <v>453</v>
      </c>
      <c r="I18" s="44"/>
    </row>
    <row r="19" customFormat="false" ht="15" hidden="false" customHeight="false" outlineLevel="0" collapsed="false">
      <c r="A19" s="7" t="s">
        <v>1154</v>
      </c>
      <c r="B19" s="43" t="s">
        <v>1157</v>
      </c>
      <c r="C19" s="36" t="n">
        <f aca="false">GDP_Growth!X48</f>
        <v>94594.1929573987</v>
      </c>
      <c r="D19" s="43" t="s">
        <v>478</v>
      </c>
      <c r="E19" s="16" t="str">
        <f aca="false">GDP_Growth!W48</f>
        <v>2025</v>
      </c>
      <c r="F19" s="44" t="s">
        <v>469</v>
      </c>
      <c r="G19" s="44" t="s">
        <v>480</v>
      </c>
      <c r="H19" s="44" t="s">
        <v>453</v>
      </c>
      <c r="I19" s="44"/>
    </row>
    <row r="20" customFormat="false" ht="15" hidden="false" customHeight="false" outlineLevel="0" collapsed="false">
      <c r="A20" s="7" t="s">
        <v>1154</v>
      </c>
      <c r="B20" s="43" t="s">
        <v>1158</v>
      </c>
      <c r="C20" s="20" t="n">
        <f aca="false">GDP_Growth!X28</f>
        <v>1.08528185031417</v>
      </c>
      <c r="D20" s="43" t="s">
        <v>473</v>
      </c>
      <c r="E20" s="16" t="str">
        <f aca="false">GDP_Growth!W28</f>
        <v>2025</v>
      </c>
      <c r="F20" s="44" t="s">
        <v>469</v>
      </c>
      <c r="G20" s="44" t="s">
        <v>470</v>
      </c>
      <c r="H20" s="44" t="s">
        <v>453</v>
      </c>
      <c r="I20" s="44"/>
    </row>
    <row r="21" customFormat="false" ht="15" hidden="false" customHeight="false" outlineLevel="0" collapsed="false">
      <c r="A21" s="7" t="s">
        <v>1154</v>
      </c>
      <c r="B21" s="43" t="s">
        <v>1159</v>
      </c>
      <c r="C21" s="20" t="n">
        <f aca="false">GDP_Growth!AB8</f>
        <v>1.1</v>
      </c>
      <c r="D21" s="43" t="s">
        <v>459</v>
      </c>
      <c r="E21" s="16" t="str">
        <f aca="false">GDP_Growth!AA8</f>
        <v>2025</v>
      </c>
      <c r="F21" s="44" t="s">
        <v>455</v>
      </c>
      <c r="G21" s="44" t="s">
        <v>456</v>
      </c>
      <c r="H21" s="44" t="s">
        <v>453</v>
      </c>
      <c r="I21" s="44" t="s">
        <v>1160</v>
      </c>
    </row>
    <row r="22" customFormat="false" ht="15" hidden="false" customHeight="false" outlineLevel="0" collapsed="false">
      <c r="A22" s="7" t="s">
        <v>1161</v>
      </c>
      <c r="B22" s="43" t="s">
        <v>1162</v>
      </c>
      <c r="C22" s="20" t="n">
        <f aca="false">GDP_Growth!Y8</f>
        <v>1.5</v>
      </c>
      <c r="D22" s="43" t="s">
        <v>459</v>
      </c>
      <c r="E22" s="11" t="s">
        <v>1163</v>
      </c>
      <c r="F22" s="44" t="s">
        <v>455</v>
      </c>
      <c r="G22" s="44" t="s">
        <v>456</v>
      </c>
      <c r="H22" s="44" t="s">
        <v>453</v>
      </c>
      <c r="I22" s="44" t="s">
        <v>1164</v>
      </c>
    </row>
    <row r="23" customFormat="false" ht="15" hidden="false" customHeight="false" outlineLevel="0" collapsed="false">
      <c r="A23" s="7" t="s">
        <v>1161</v>
      </c>
      <c r="B23" s="43" t="s">
        <v>1165</v>
      </c>
      <c r="C23" s="20" t="n">
        <f aca="false">GDP_Growth!Z8</f>
        <v>1.3</v>
      </c>
      <c r="D23" s="43" t="s">
        <v>459</v>
      </c>
      <c r="E23" s="11" t="s">
        <v>1166</v>
      </c>
      <c r="F23" s="44" t="s">
        <v>455</v>
      </c>
      <c r="G23" s="44" t="s">
        <v>456</v>
      </c>
      <c r="H23" s="44" t="s">
        <v>453</v>
      </c>
      <c r="I23" s="44" t="s">
        <v>1164</v>
      </c>
    </row>
    <row r="24" customFormat="false" ht="15" hidden="false" customHeight="false" outlineLevel="0" collapsed="false">
      <c r="A24" s="7" t="s">
        <v>1167</v>
      </c>
      <c r="B24" s="43" t="s">
        <v>1168</v>
      </c>
      <c r="C24" s="21" t="n">
        <f aca="false">GDP_Growth!F102</f>
        <v>0.670853273</v>
      </c>
      <c r="D24" s="43" t="s">
        <v>538</v>
      </c>
      <c r="E24" s="16" t="str">
        <f aca="false">GDP_Growth!F101</f>
        <v>2026-Q2</v>
      </c>
      <c r="F24" s="44" t="s">
        <v>1169</v>
      </c>
      <c r="G24" s="44" t="s">
        <v>1170</v>
      </c>
      <c r="H24" s="44" t="s">
        <v>453</v>
      </c>
      <c r="I24" s="44"/>
    </row>
    <row r="25" customFormat="false" ht="15" hidden="false" customHeight="false" outlineLevel="0" collapsed="false">
      <c r="A25" s="7" t="s">
        <v>1167</v>
      </c>
      <c r="B25" s="43" t="s">
        <v>1171</v>
      </c>
      <c r="C25" s="21" t="n">
        <f aca="false">GDP_Growth!G102</f>
        <v>1.60227006</v>
      </c>
      <c r="D25" s="43" t="s">
        <v>538</v>
      </c>
      <c r="E25" s="16" t="str">
        <f aca="false">GDP_Growth!G101</f>
        <v>2026-Q2</v>
      </c>
      <c r="F25" s="44" t="s">
        <v>1169</v>
      </c>
      <c r="G25" s="44" t="s">
        <v>1172</v>
      </c>
      <c r="H25" s="44" t="s">
        <v>453</v>
      </c>
      <c r="I25" s="44"/>
    </row>
    <row r="26" customFormat="false" ht="15" hidden="false" customHeight="false" outlineLevel="0" collapsed="false">
      <c r="A26" s="7" t="s">
        <v>1154</v>
      </c>
      <c r="B26" s="43" t="s">
        <v>1173</v>
      </c>
      <c r="C26" s="20" t="n">
        <f aca="false">Trade_CurrentAccount!X8</f>
        <v>45.3729560131418</v>
      </c>
      <c r="D26" s="43" t="s">
        <v>506</v>
      </c>
      <c r="E26" s="16" t="str">
        <f aca="false">Trade_CurrentAccount!W8</f>
        <v>2025</v>
      </c>
      <c r="F26" s="44" t="s">
        <v>469</v>
      </c>
      <c r="G26" s="44" t="s">
        <v>503</v>
      </c>
      <c r="H26" s="44" t="s">
        <v>501</v>
      </c>
      <c r="I26" s="44"/>
    </row>
    <row r="27" customFormat="false" ht="15" hidden="false" customHeight="false" outlineLevel="0" collapsed="false">
      <c r="A27" s="7" t="s">
        <v>1154</v>
      </c>
      <c r="B27" s="43" t="s">
        <v>1174</v>
      </c>
      <c r="C27" s="20" t="n">
        <f aca="false">Trade_CurrentAccount!X18</f>
        <v>33.6798759181448</v>
      </c>
      <c r="D27" s="43" t="s">
        <v>506</v>
      </c>
      <c r="E27" s="16" t="str">
        <f aca="false">Trade_CurrentAccount!W18</f>
        <v>2025</v>
      </c>
      <c r="F27" s="44" t="s">
        <v>469</v>
      </c>
      <c r="G27" s="44" t="s">
        <v>508</v>
      </c>
      <c r="H27" s="44" t="s">
        <v>501</v>
      </c>
      <c r="I27" s="44"/>
    </row>
    <row r="28" customFormat="false" ht="15" hidden="false" customHeight="false" outlineLevel="0" collapsed="false">
      <c r="A28" s="7" t="s">
        <v>1154</v>
      </c>
      <c r="B28" s="43" t="s">
        <v>1175</v>
      </c>
      <c r="C28" s="20" t="n">
        <f aca="false">Trade_CurrentAccount!X28</f>
        <v>13.9673665378253</v>
      </c>
      <c r="D28" s="43" t="s">
        <v>506</v>
      </c>
      <c r="E28" s="16" t="str">
        <f aca="false">Trade_CurrentAccount!W28</f>
        <v>2025</v>
      </c>
      <c r="F28" s="44" t="s">
        <v>469</v>
      </c>
      <c r="G28" s="44" t="s">
        <v>512</v>
      </c>
      <c r="H28" s="44" t="s">
        <v>501</v>
      </c>
      <c r="I28" s="44"/>
    </row>
    <row r="29" customFormat="false" ht="15" hidden="false" customHeight="false" outlineLevel="0" collapsed="false">
      <c r="A29" s="7" t="s">
        <v>1154</v>
      </c>
      <c r="B29" s="43" t="s">
        <v>1176</v>
      </c>
      <c r="C29" s="20" t="n">
        <f aca="false">Trade_CurrentAccount!AB38</f>
        <v>14.1</v>
      </c>
      <c r="D29" s="43" t="s">
        <v>506</v>
      </c>
      <c r="E29" s="16" t="str">
        <f aca="false">Trade_CurrentAccount!AA38</f>
        <v>2025</v>
      </c>
      <c r="F29" s="44" t="s">
        <v>455</v>
      </c>
      <c r="G29" s="44" t="s">
        <v>516</v>
      </c>
      <c r="H29" s="44" t="s">
        <v>501</v>
      </c>
      <c r="I29" s="44"/>
    </row>
    <row r="30" customFormat="false" ht="15" hidden="false" customHeight="false" outlineLevel="0" collapsed="false">
      <c r="A30" s="7" t="s">
        <v>1161</v>
      </c>
      <c r="B30" s="43" t="s">
        <v>1177</v>
      </c>
      <c r="C30" s="20" t="n">
        <f aca="false">Trade_CurrentAccount!Y38</f>
        <v>14.3</v>
      </c>
      <c r="D30" s="43" t="s">
        <v>506</v>
      </c>
      <c r="E30" s="11" t="s">
        <v>1163</v>
      </c>
      <c r="F30" s="44" t="s">
        <v>455</v>
      </c>
      <c r="G30" s="44" t="s">
        <v>516</v>
      </c>
      <c r="H30" s="44" t="s">
        <v>501</v>
      </c>
      <c r="I30" s="44" t="s">
        <v>1164</v>
      </c>
    </row>
    <row r="31" customFormat="false" ht="15" hidden="false" customHeight="false" outlineLevel="0" collapsed="false">
      <c r="A31" s="7" t="s">
        <v>1178</v>
      </c>
      <c r="B31" s="43" t="s">
        <v>1179</v>
      </c>
      <c r="C31" s="10" t="str">
        <f aca="false">Trade_CurrentAccount!D91</f>
        <v>United Kingdom</v>
      </c>
      <c r="D31" s="43" t="s">
        <v>1180</v>
      </c>
      <c r="E31" s="11" t="s">
        <v>526</v>
      </c>
      <c r="F31" s="44" t="s">
        <v>1181</v>
      </c>
      <c r="G31" s="44" t="s">
        <v>1182</v>
      </c>
      <c r="H31" s="44" t="s">
        <v>501</v>
      </c>
      <c r="I31" s="44"/>
    </row>
    <row r="32" customFormat="false" ht="15" hidden="false" customHeight="false" outlineLevel="0" collapsed="false">
      <c r="A32" s="7" t="s">
        <v>1178</v>
      </c>
      <c r="B32" s="43" t="s">
        <v>1183</v>
      </c>
      <c r="C32" s="38" t="n">
        <f aca="false">Trade_CurrentAccount!F91</f>
        <v>0.177487490799308</v>
      </c>
      <c r="D32" s="43" t="s">
        <v>1184</v>
      </c>
      <c r="E32" s="11" t="s">
        <v>526</v>
      </c>
      <c r="F32" s="44" t="s">
        <v>1181</v>
      </c>
      <c r="G32" s="44" t="s">
        <v>1185</v>
      </c>
      <c r="H32" s="44" t="s">
        <v>501</v>
      </c>
      <c r="I32" s="44"/>
    </row>
    <row r="33" customFormat="false" ht="15" hidden="false" customHeight="false" outlineLevel="0" collapsed="false">
      <c r="A33" s="7" t="s">
        <v>1178</v>
      </c>
      <c r="B33" s="43" t="s">
        <v>1186</v>
      </c>
      <c r="C33" s="10" t="str">
        <f aca="false">Trade_CurrentAccount!D92</f>
        <v>Germany</v>
      </c>
      <c r="D33" s="43" t="s">
        <v>1180</v>
      </c>
      <c r="E33" s="11" t="s">
        <v>526</v>
      </c>
      <c r="F33" s="44" t="s">
        <v>1181</v>
      </c>
      <c r="G33" s="44" t="s">
        <v>1182</v>
      </c>
      <c r="H33" s="44" t="s">
        <v>501</v>
      </c>
      <c r="I33" s="44"/>
    </row>
    <row r="34" customFormat="false" ht="15" hidden="false" customHeight="false" outlineLevel="0" collapsed="false">
      <c r="A34" s="7" t="s">
        <v>1178</v>
      </c>
      <c r="B34" s="43" t="s">
        <v>1183</v>
      </c>
      <c r="C34" s="38" t="n">
        <f aca="false">Trade_CurrentAccount!F92</f>
        <v>0.173931889710402</v>
      </c>
      <c r="D34" s="43" t="s">
        <v>1184</v>
      </c>
      <c r="E34" s="11" t="s">
        <v>526</v>
      </c>
      <c r="F34" s="44" t="s">
        <v>1181</v>
      </c>
      <c r="G34" s="44" t="s">
        <v>1185</v>
      </c>
      <c r="H34" s="44" t="s">
        <v>501</v>
      </c>
      <c r="I34" s="44"/>
    </row>
    <row r="35" customFormat="false" ht="15" hidden="false" customHeight="false" outlineLevel="0" collapsed="false">
      <c r="A35" s="7" t="s">
        <v>1178</v>
      </c>
      <c r="B35" s="43" t="s">
        <v>1187</v>
      </c>
      <c r="C35" s="10" t="str">
        <f aca="false">Trade_CurrentAccount!D93</f>
        <v>Netherlands</v>
      </c>
      <c r="D35" s="43" t="s">
        <v>1180</v>
      </c>
      <c r="E35" s="11" t="s">
        <v>526</v>
      </c>
      <c r="F35" s="44" t="s">
        <v>1181</v>
      </c>
      <c r="G35" s="44" t="s">
        <v>1182</v>
      </c>
      <c r="H35" s="44" t="s">
        <v>501</v>
      </c>
      <c r="I35" s="44"/>
    </row>
    <row r="36" customFormat="false" ht="15" hidden="false" customHeight="false" outlineLevel="0" collapsed="false">
      <c r="A36" s="7" t="s">
        <v>1178</v>
      </c>
      <c r="B36" s="43" t="s">
        <v>1183</v>
      </c>
      <c r="C36" s="38" t="n">
        <f aca="false">Trade_CurrentAccount!F93</f>
        <v>0.0974827666674042</v>
      </c>
      <c r="D36" s="43" t="s">
        <v>1184</v>
      </c>
      <c r="E36" s="11" t="s">
        <v>526</v>
      </c>
      <c r="F36" s="44" t="s">
        <v>1181</v>
      </c>
      <c r="G36" s="44" t="s">
        <v>1185</v>
      </c>
      <c r="H36" s="44" t="s">
        <v>501</v>
      </c>
      <c r="I36" s="44"/>
    </row>
    <row r="37" customFormat="false" ht="15" hidden="false" customHeight="false" outlineLevel="0" collapsed="false">
      <c r="A37" s="7" t="s">
        <v>1178</v>
      </c>
      <c r="B37" s="43" t="s">
        <v>1188</v>
      </c>
      <c r="C37" s="10" t="str">
        <f aca="false">Trade_CurrentAccount!D94</f>
        <v>Sweden</v>
      </c>
      <c r="D37" s="43" t="s">
        <v>1180</v>
      </c>
      <c r="E37" s="11" t="s">
        <v>526</v>
      </c>
      <c r="F37" s="44" t="s">
        <v>1181</v>
      </c>
      <c r="G37" s="44" t="s">
        <v>1182</v>
      </c>
      <c r="H37" s="44" t="s">
        <v>501</v>
      </c>
      <c r="I37" s="44"/>
    </row>
    <row r="38" customFormat="false" ht="15" hidden="false" customHeight="false" outlineLevel="0" collapsed="false">
      <c r="A38" s="7" t="s">
        <v>1178</v>
      </c>
      <c r="B38" s="43" t="s">
        <v>1183</v>
      </c>
      <c r="C38" s="38" t="n">
        <f aca="false">Trade_CurrentAccount!F94</f>
        <v>0.0647885381960156</v>
      </c>
      <c r="D38" s="43" t="s">
        <v>1184</v>
      </c>
      <c r="E38" s="11" t="s">
        <v>526</v>
      </c>
      <c r="F38" s="44" t="s">
        <v>1181</v>
      </c>
      <c r="G38" s="44" t="s">
        <v>1185</v>
      </c>
      <c r="H38" s="44" t="s">
        <v>501</v>
      </c>
      <c r="I38" s="44"/>
    </row>
    <row r="39" customFormat="false" ht="15" hidden="false" customHeight="false" outlineLevel="0" collapsed="false">
      <c r="A39" s="7" t="s">
        <v>1178</v>
      </c>
      <c r="B39" s="43" t="s">
        <v>1189</v>
      </c>
      <c r="C39" s="10" t="str">
        <f aca="false">Trade_CurrentAccount!D95</f>
        <v>Poland</v>
      </c>
      <c r="D39" s="43" t="s">
        <v>1180</v>
      </c>
      <c r="E39" s="11" t="s">
        <v>526</v>
      </c>
      <c r="F39" s="44" t="s">
        <v>1181</v>
      </c>
      <c r="G39" s="44" t="s">
        <v>1182</v>
      </c>
      <c r="H39" s="44" t="s">
        <v>501</v>
      </c>
      <c r="I39" s="44"/>
    </row>
    <row r="40" customFormat="false" ht="15" hidden="false" customHeight="false" outlineLevel="0" collapsed="false">
      <c r="A40" s="7" t="s">
        <v>1178</v>
      </c>
      <c r="B40" s="43" t="s">
        <v>1183</v>
      </c>
      <c r="C40" s="38" t="n">
        <f aca="false">Trade_CurrentAccount!F95</f>
        <v>0.0591426036180549</v>
      </c>
      <c r="D40" s="43" t="s">
        <v>1184</v>
      </c>
      <c r="E40" s="11" t="s">
        <v>526</v>
      </c>
      <c r="F40" s="44" t="s">
        <v>1181</v>
      </c>
      <c r="G40" s="44" t="s">
        <v>1185</v>
      </c>
      <c r="H40" s="44" t="s">
        <v>501</v>
      </c>
      <c r="I40" s="44"/>
    </row>
    <row r="41" customFormat="false" ht="15" hidden="false" customHeight="false" outlineLevel="0" collapsed="false">
      <c r="A41" s="7" t="s">
        <v>1178</v>
      </c>
      <c r="B41" s="43" t="s">
        <v>1190</v>
      </c>
      <c r="C41" s="10" t="str">
        <f aca="false">Trade_CurrentAccount!D102</f>
        <v>China</v>
      </c>
      <c r="D41" s="43" t="s">
        <v>1180</v>
      </c>
      <c r="E41" s="11" t="s">
        <v>526</v>
      </c>
      <c r="F41" s="44" t="s">
        <v>1181</v>
      </c>
      <c r="G41" s="44" t="s">
        <v>1182</v>
      </c>
      <c r="H41" s="44" t="s">
        <v>501</v>
      </c>
      <c r="I41" s="44"/>
    </row>
    <row r="42" customFormat="false" ht="15" hidden="false" customHeight="false" outlineLevel="0" collapsed="false">
      <c r="A42" s="7" t="s">
        <v>1178</v>
      </c>
      <c r="B42" s="43" t="s">
        <v>1191</v>
      </c>
      <c r="C42" s="38" t="n">
        <f aca="false">Trade_CurrentAccount!F102</f>
        <v>0.11947189487166</v>
      </c>
      <c r="D42" s="43" t="s">
        <v>1184</v>
      </c>
      <c r="E42" s="11" t="s">
        <v>526</v>
      </c>
      <c r="F42" s="44" t="s">
        <v>1181</v>
      </c>
      <c r="G42" s="44" t="s">
        <v>1185</v>
      </c>
      <c r="H42" s="44" t="s">
        <v>501</v>
      </c>
      <c r="I42" s="44"/>
    </row>
    <row r="43" customFormat="false" ht="15" hidden="false" customHeight="false" outlineLevel="0" collapsed="false">
      <c r="A43" s="7" t="s">
        <v>1178</v>
      </c>
      <c r="B43" s="43" t="s">
        <v>1192</v>
      </c>
      <c r="C43" s="10" t="str">
        <f aca="false">Trade_CurrentAccount!D103</f>
        <v>Germany</v>
      </c>
      <c r="D43" s="43" t="s">
        <v>1180</v>
      </c>
      <c r="E43" s="11" t="s">
        <v>526</v>
      </c>
      <c r="F43" s="44" t="s">
        <v>1181</v>
      </c>
      <c r="G43" s="44" t="s">
        <v>1182</v>
      </c>
      <c r="H43" s="44" t="s">
        <v>501</v>
      </c>
      <c r="I43" s="44"/>
    </row>
    <row r="44" customFormat="false" ht="15" hidden="false" customHeight="false" outlineLevel="0" collapsed="false">
      <c r="A44" s="7" t="s">
        <v>1178</v>
      </c>
      <c r="B44" s="43" t="s">
        <v>1191</v>
      </c>
      <c r="C44" s="38" t="n">
        <f aca="false">Trade_CurrentAccount!F103</f>
        <v>0.117061265993582</v>
      </c>
      <c r="D44" s="43" t="s">
        <v>1184</v>
      </c>
      <c r="E44" s="11" t="s">
        <v>526</v>
      </c>
      <c r="F44" s="44" t="s">
        <v>1181</v>
      </c>
      <c r="G44" s="44" t="s">
        <v>1185</v>
      </c>
      <c r="H44" s="44" t="s">
        <v>501</v>
      </c>
      <c r="I44" s="44"/>
    </row>
    <row r="45" customFormat="false" ht="15" hidden="false" customHeight="false" outlineLevel="0" collapsed="false">
      <c r="A45" s="7" t="s">
        <v>1178</v>
      </c>
      <c r="B45" s="43" t="s">
        <v>1193</v>
      </c>
      <c r="C45" s="10" t="str">
        <f aca="false">Trade_CurrentAccount!D104</f>
        <v>Sweden</v>
      </c>
      <c r="D45" s="43" t="s">
        <v>1180</v>
      </c>
      <c r="E45" s="11" t="s">
        <v>526</v>
      </c>
      <c r="F45" s="44" t="s">
        <v>1181</v>
      </c>
      <c r="G45" s="44" t="s">
        <v>1182</v>
      </c>
      <c r="H45" s="44" t="s">
        <v>501</v>
      </c>
      <c r="I45" s="44"/>
    </row>
    <row r="46" customFormat="false" ht="15" hidden="false" customHeight="false" outlineLevel="0" collapsed="false">
      <c r="A46" s="7" t="s">
        <v>1178</v>
      </c>
      <c r="B46" s="43" t="s">
        <v>1191</v>
      </c>
      <c r="C46" s="38" t="n">
        <f aca="false">Trade_CurrentAccount!F104</f>
        <v>0.0992729203066398</v>
      </c>
      <c r="D46" s="43" t="s">
        <v>1184</v>
      </c>
      <c r="E46" s="11" t="s">
        <v>526</v>
      </c>
      <c r="F46" s="44" t="s">
        <v>1181</v>
      </c>
      <c r="G46" s="44" t="s">
        <v>1185</v>
      </c>
      <c r="H46" s="44" t="s">
        <v>501</v>
      </c>
      <c r="I46" s="44"/>
    </row>
    <row r="47" customFormat="false" ht="15" hidden="false" customHeight="false" outlineLevel="0" collapsed="false">
      <c r="A47" s="7" t="s">
        <v>1178</v>
      </c>
      <c r="B47" s="43" t="s">
        <v>1194</v>
      </c>
      <c r="C47" s="10" t="str">
        <f aca="false">Trade_CurrentAccount!D105</f>
        <v>USA</v>
      </c>
      <c r="D47" s="43" t="s">
        <v>1180</v>
      </c>
      <c r="E47" s="11" t="s">
        <v>526</v>
      </c>
      <c r="F47" s="44" t="s">
        <v>1181</v>
      </c>
      <c r="G47" s="44" t="s">
        <v>1182</v>
      </c>
      <c r="H47" s="44" t="s">
        <v>501</v>
      </c>
      <c r="I47" s="44"/>
    </row>
    <row r="48" customFormat="false" ht="15" hidden="false" customHeight="false" outlineLevel="0" collapsed="false">
      <c r="A48" s="7" t="s">
        <v>1178</v>
      </c>
      <c r="B48" s="43" t="s">
        <v>1191</v>
      </c>
      <c r="C48" s="38" t="n">
        <f aca="false">Trade_CurrentAccount!F105</f>
        <v>0.0707358940616842</v>
      </c>
      <c r="D48" s="43" t="s">
        <v>1184</v>
      </c>
      <c r="E48" s="11" t="s">
        <v>526</v>
      </c>
      <c r="F48" s="44" t="s">
        <v>1181</v>
      </c>
      <c r="G48" s="44" t="s">
        <v>1185</v>
      </c>
      <c r="H48" s="44" t="s">
        <v>501</v>
      </c>
      <c r="I48" s="44"/>
    </row>
    <row r="49" customFormat="false" ht="15" hidden="false" customHeight="false" outlineLevel="0" collapsed="false">
      <c r="A49" s="7" t="s">
        <v>1178</v>
      </c>
      <c r="B49" s="43" t="s">
        <v>1195</v>
      </c>
      <c r="C49" s="10" t="str">
        <f aca="false">Trade_CurrentAccount!D106</f>
        <v>Denmark</v>
      </c>
      <c r="D49" s="43" t="s">
        <v>1180</v>
      </c>
      <c r="E49" s="11" t="s">
        <v>526</v>
      </c>
      <c r="F49" s="44" t="s">
        <v>1181</v>
      </c>
      <c r="G49" s="44" t="s">
        <v>1182</v>
      </c>
      <c r="H49" s="44" t="s">
        <v>501</v>
      </c>
      <c r="I49" s="44"/>
    </row>
    <row r="50" customFormat="false" ht="15" hidden="false" customHeight="false" outlineLevel="0" collapsed="false">
      <c r="A50" s="7" t="s">
        <v>1178</v>
      </c>
      <c r="B50" s="43" t="s">
        <v>1191</v>
      </c>
      <c r="C50" s="38" t="n">
        <f aca="false">Trade_CurrentAccount!F106</f>
        <v>0.0417400771189455</v>
      </c>
      <c r="D50" s="43" t="s">
        <v>1184</v>
      </c>
      <c r="E50" s="11" t="s">
        <v>526</v>
      </c>
      <c r="F50" s="44" t="s">
        <v>1181</v>
      </c>
      <c r="G50" s="44" t="s">
        <v>1185</v>
      </c>
      <c r="H50" s="44" t="s">
        <v>501</v>
      </c>
      <c r="I50" s="44"/>
    </row>
    <row r="51" customFormat="false" ht="15" hidden="false" customHeight="false" outlineLevel="0" collapsed="false">
      <c r="A51" s="7" t="s">
        <v>1196</v>
      </c>
      <c r="B51" s="43" t="s">
        <v>1197</v>
      </c>
      <c r="C51" s="10" t="str">
        <f aca="false">Trade_CurrentAccount!D223</f>
        <v>27 - Mineral fuels, mineral oils and products of their distillation; bituminous substances; mineral waxes</v>
      </c>
      <c r="D51" s="43" t="s">
        <v>1027</v>
      </c>
      <c r="E51" s="11" t="s">
        <v>526</v>
      </c>
      <c r="F51" s="44" t="s">
        <v>1181</v>
      </c>
      <c r="G51" s="44" t="s">
        <v>1198</v>
      </c>
      <c r="H51" s="44" t="s">
        <v>501</v>
      </c>
      <c r="I51" s="44"/>
    </row>
    <row r="52" customFormat="false" ht="15" hidden="false" customHeight="false" outlineLevel="0" collapsed="false">
      <c r="A52" s="7" t="s">
        <v>1196</v>
      </c>
      <c r="B52" s="43" t="s">
        <v>1199</v>
      </c>
      <c r="C52" s="38" t="n">
        <f aca="false">Trade_CurrentAccount!F223</f>
        <v>0.620937951509753</v>
      </c>
      <c r="D52" s="43" t="s">
        <v>1184</v>
      </c>
      <c r="E52" s="11" t="s">
        <v>526</v>
      </c>
      <c r="F52" s="44" t="s">
        <v>1181</v>
      </c>
      <c r="G52" s="44" t="s">
        <v>1185</v>
      </c>
      <c r="H52" s="44" t="s">
        <v>501</v>
      </c>
      <c r="I52" s="44"/>
    </row>
    <row r="53" customFormat="false" ht="15" hidden="false" customHeight="false" outlineLevel="0" collapsed="false">
      <c r="A53" s="7" t="s">
        <v>1196</v>
      </c>
      <c r="B53" s="43" t="s">
        <v>1200</v>
      </c>
      <c r="C53" s="10" t="str">
        <f aca="false">Trade_CurrentAccount!D224</f>
        <v>03 - Fish and crustaceans, molluscs and other aquatic invertebrates</v>
      </c>
      <c r="D53" s="43" t="s">
        <v>1027</v>
      </c>
      <c r="E53" s="11" t="s">
        <v>526</v>
      </c>
      <c r="F53" s="44" t="s">
        <v>1181</v>
      </c>
      <c r="G53" s="44" t="s">
        <v>1198</v>
      </c>
      <c r="H53" s="44" t="s">
        <v>501</v>
      </c>
      <c r="I53" s="44"/>
    </row>
    <row r="54" customFormat="false" ht="15" hidden="false" customHeight="false" outlineLevel="0" collapsed="false">
      <c r="A54" s="7" t="s">
        <v>1196</v>
      </c>
      <c r="B54" s="43" t="s">
        <v>1199</v>
      </c>
      <c r="C54" s="38" t="n">
        <f aca="false">Trade_CurrentAccount!F224</f>
        <v>0.0969737073069921</v>
      </c>
      <c r="D54" s="43" t="s">
        <v>1184</v>
      </c>
      <c r="E54" s="11" t="s">
        <v>526</v>
      </c>
      <c r="F54" s="44" t="s">
        <v>1181</v>
      </c>
      <c r="G54" s="44" t="s">
        <v>1185</v>
      </c>
      <c r="H54" s="44" t="s">
        <v>501</v>
      </c>
      <c r="I54" s="44"/>
    </row>
    <row r="55" customFormat="false" ht="15" hidden="false" customHeight="false" outlineLevel="0" collapsed="false">
      <c r="A55" s="7" t="s">
        <v>1196</v>
      </c>
      <c r="B55" s="43" t="s">
        <v>1201</v>
      </c>
      <c r="C55" s="10" t="str">
        <f aca="false">Trade_CurrentAccount!D225</f>
        <v>85 - Electrical machinery and equipment and parts thereof; sound recorders and reproducers; television image and sound recorders and reproducers, parts and accessories of such articles</v>
      </c>
      <c r="D55" s="43" t="s">
        <v>1027</v>
      </c>
      <c r="E55" s="11" t="s">
        <v>526</v>
      </c>
      <c r="F55" s="44" t="s">
        <v>1181</v>
      </c>
      <c r="G55" s="44" t="s">
        <v>1198</v>
      </c>
      <c r="H55" s="44" t="s">
        <v>501</v>
      </c>
      <c r="I55" s="44"/>
    </row>
    <row r="56" customFormat="false" ht="15" hidden="false" customHeight="false" outlineLevel="0" collapsed="false">
      <c r="A56" s="7" t="s">
        <v>1196</v>
      </c>
      <c r="B56" s="43" t="s">
        <v>1199</v>
      </c>
      <c r="C56" s="38" t="n">
        <f aca="false">Trade_CurrentAccount!F225</f>
        <v>0.0412334151906131</v>
      </c>
      <c r="D56" s="43" t="s">
        <v>1184</v>
      </c>
      <c r="E56" s="11" t="s">
        <v>526</v>
      </c>
      <c r="F56" s="44" t="s">
        <v>1181</v>
      </c>
      <c r="G56" s="44" t="s">
        <v>1185</v>
      </c>
      <c r="H56" s="44" t="s">
        <v>501</v>
      </c>
      <c r="I56" s="44"/>
    </row>
    <row r="57" customFormat="false" ht="15" hidden="false" customHeight="false" outlineLevel="0" collapsed="false">
      <c r="A57" s="7" t="s">
        <v>1196</v>
      </c>
      <c r="B57" s="43" t="s">
        <v>1202</v>
      </c>
      <c r="C57" s="10" t="str">
        <f aca="false">Trade_CurrentAccount!D228</f>
        <v>84 - Machinery and mechanical appliances, boilers, nuclear reactors; parts thereof</v>
      </c>
      <c r="D57" s="43" t="s">
        <v>1027</v>
      </c>
      <c r="E57" s="11" t="s">
        <v>526</v>
      </c>
      <c r="F57" s="44" t="s">
        <v>1181</v>
      </c>
      <c r="G57" s="44" t="s">
        <v>1198</v>
      </c>
      <c r="H57" s="44" t="s">
        <v>501</v>
      </c>
      <c r="I57" s="44"/>
    </row>
    <row r="58" customFormat="false" ht="15" hidden="false" customHeight="false" outlineLevel="0" collapsed="false">
      <c r="A58" s="7" t="s">
        <v>1196</v>
      </c>
      <c r="B58" s="43" t="s">
        <v>1199</v>
      </c>
      <c r="C58" s="38" t="n">
        <f aca="false">Trade_CurrentAccount!F228</f>
        <v>0.150279015634312</v>
      </c>
      <c r="D58" s="43" t="s">
        <v>1184</v>
      </c>
      <c r="E58" s="11" t="s">
        <v>526</v>
      </c>
      <c r="F58" s="44" t="s">
        <v>1181</v>
      </c>
      <c r="G58" s="44" t="s">
        <v>1185</v>
      </c>
      <c r="H58" s="44" t="s">
        <v>501</v>
      </c>
      <c r="I58" s="44"/>
    </row>
    <row r="59" customFormat="false" ht="15" hidden="false" customHeight="false" outlineLevel="0" collapsed="false">
      <c r="A59" s="7" t="s">
        <v>1196</v>
      </c>
      <c r="B59" s="43" t="s">
        <v>1203</v>
      </c>
      <c r="C59" s="10" t="str">
        <f aca="false">Trade_CurrentAccount!D229</f>
        <v>87 - Vehicles; other than railway or tramway rolling stock, and parts and accessories thereof</v>
      </c>
      <c r="D59" s="43" t="s">
        <v>1027</v>
      </c>
      <c r="E59" s="11" t="s">
        <v>526</v>
      </c>
      <c r="F59" s="44" t="s">
        <v>1181</v>
      </c>
      <c r="G59" s="44" t="s">
        <v>1198</v>
      </c>
      <c r="H59" s="44" t="s">
        <v>501</v>
      </c>
      <c r="I59" s="44"/>
    </row>
    <row r="60" customFormat="false" ht="15" hidden="false" customHeight="false" outlineLevel="0" collapsed="false">
      <c r="A60" s="7" t="s">
        <v>1196</v>
      </c>
      <c r="B60" s="43" t="s">
        <v>1199</v>
      </c>
      <c r="C60" s="38" t="n">
        <f aca="false">Trade_CurrentAccount!F229</f>
        <v>0.113892110013463</v>
      </c>
      <c r="D60" s="43" t="s">
        <v>1184</v>
      </c>
      <c r="E60" s="11" t="s">
        <v>526</v>
      </c>
      <c r="F60" s="44" t="s">
        <v>1181</v>
      </c>
      <c r="G60" s="44" t="s">
        <v>1185</v>
      </c>
      <c r="H60" s="44" t="s">
        <v>501</v>
      </c>
      <c r="I60" s="44"/>
    </row>
    <row r="61" customFormat="false" ht="15" hidden="false" customHeight="false" outlineLevel="0" collapsed="false">
      <c r="A61" s="7" t="s">
        <v>1196</v>
      </c>
      <c r="B61" s="43" t="s">
        <v>1204</v>
      </c>
      <c r="C61" s="10" t="str">
        <f aca="false">Trade_CurrentAccount!D230</f>
        <v>85 - Electrical machinery and equipment and parts thereof; sound recorders and reproducers; television image and sound recorders and reproducers, parts and accessories of such articles</v>
      </c>
      <c r="D61" s="43" t="s">
        <v>1027</v>
      </c>
      <c r="E61" s="11" t="s">
        <v>526</v>
      </c>
      <c r="F61" s="44" t="s">
        <v>1181</v>
      </c>
      <c r="G61" s="44" t="s">
        <v>1198</v>
      </c>
      <c r="H61" s="44" t="s">
        <v>501</v>
      </c>
      <c r="I61" s="44"/>
    </row>
    <row r="62" customFormat="false" ht="15" hidden="false" customHeight="false" outlineLevel="0" collapsed="false">
      <c r="A62" s="7" t="s">
        <v>1196</v>
      </c>
      <c r="B62" s="43" t="s">
        <v>1199</v>
      </c>
      <c r="C62" s="38" t="n">
        <f aca="false">Trade_CurrentAccount!F230</f>
        <v>0.0986728737440714</v>
      </c>
      <c r="D62" s="43" t="s">
        <v>1184</v>
      </c>
      <c r="E62" s="11" t="s">
        <v>526</v>
      </c>
      <c r="F62" s="44" t="s">
        <v>1181</v>
      </c>
      <c r="G62" s="44" t="s">
        <v>1185</v>
      </c>
      <c r="H62" s="44" t="s">
        <v>501</v>
      </c>
      <c r="I62" s="44"/>
    </row>
    <row r="63" customFormat="false" ht="15" hidden="false" customHeight="false" outlineLevel="0" collapsed="false">
      <c r="A63" s="7" t="s">
        <v>1205</v>
      </c>
      <c r="B63" s="43" t="s">
        <v>1206</v>
      </c>
      <c r="C63" s="38" t="n">
        <f aca="false">Trade_CurrentAccount!F223</f>
        <v>0.620937951509753</v>
      </c>
      <c r="D63" s="43" t="s">
        <v>1184</v>
      </c>
      <c r="E63" s="11" t="s">
        <v>526</v>
      </c>
      <c r="F63" s="44" t="s">
        <v>1181</v>
      </c>
      <c r="G63" s="44" t="s">
        <v>1207</v>
      </c>
      <c r="H63" s="44" t="s">
        <v>501</v>
      </c>
      <c r="I63" s="44" t="s">
        <v>1208</v>
      </c>
    </row>
    <row r="64" customFormat="false" ht="15" hidden="false" customHeight="false" outlineLevel="0" collapsed="false">
      <c r="A64" s="7" t="s">
        <v>1205</v>
      </c>
      <c r="B64" s="43" t="s">
        <v>1209</v>
      </c>
      <c r="C64" s="38" t="n">
        <f aca="false">Trade_CurrentAccount!F231</f>
        <v>0.0525171830720283</v>
      </c>
      <c r="D64" s="43" t="s">
        <v>1184</v>
      </c>
      <c r="E64" s="11" t="s">
        <v>526</v>
      </c>
      <c r="F64" s="44" t="s">
        <v>1181</v>
      </c>
      <c r="G64" s="44" t="s">
        <v>1207</v>
      </c>
      <c r="H64" s="44" t="s">
        <v>501</v>
      </c>
      <c r="I64" s="44" t="s">
        <v>1210</v>
      </c>
    </row>
    <row r="65" customFormat="false" ht="15" hidden="false" customHeight="false" outlineLevel="0" collapsed="false">
      <c r="A65" s="7" t="s">
        <v>1211</v>
      </c>
      <c r="B65" s="43" t="s">
        <v>536</v>
      </c>
      <c r="C65" s="46" t="s">
        <v>1212</v>
      </c>
      <c r="D65" s="43" t="s">
        <v>538</v>
      </c>
      <c r="E65" s="11"/>
      <c r="F65" s="44"/>
      <c r="G65" s="44"/>
      <c r="H65" s="44"/>
      <c r="I65" s="44" t="s">
        <v>1272</v>
      </c>
    </row>
    <row r="66" customFormat="false" ht="15" hidden="false" customHeight="false" outlineLevel="0" collapsed="false">
      <c r="A66" s="7" t="s">
        <v>1214</v>
      </c>
      <c r="B66" s="43" t="s">
        <v>1273</v>
      </c>
      <c r="C66" s="38" t="n">
        <f aca="false">FX_Market_BIS!Q23</f>
        <v>0.0133248259890171</v>
      </c>
      <c r="D66" s="43" t="s">
        <v>1216</v>
      </c>
      <c r="E66" s="9" t="str">
        <f aca="false">FX_Market_BIS!A23</f>
        <v>2025</v>
      </c>
      <c r="F66" s="44" t="s">
        <v>1217</v>
      </c>
      <c r="G66" s="44" t="s">
        <v>1218</v>
      </c>
      <c r="H66" s="44" t="s">
        <v>550</v>
      </c>
      <c r="I66" s="44"/>
    </row>
    <row r="67" customFormat="false" ht="15" hidden="false" customHeight="false" outlineLevel="0" collapsed="false">
      <c r="A67" s="7" t="s">
        <v>1214</v>
      </c>
      <c r="B67" s="43" t="s">
        <v>1274</v>
      </c>
      <c r="C67" s="46" t="s">
        <v>1212</v>
      </c>
      <c r="D67" s="43" t="s">
        <v>538</v>
      </c>
      <c r="E67" s="11"/>
      <c r="F67" s="44" t="s">
        <v>1221</v>
      </c>
      <c r="G67" s="44"/>
      <c r="H67" s="44"/>
      <c r="I67" s="44" t="s">
        <v>1275</v>
      </c>
    </row>
    <row r="68" customFormat="false" ht="15" hidden="false" customHeight="false" outlineLevel="0" collapsed="false">
      <c r="A68" s="7" t="s">
        <v>1223</v>
      </c>
      <c r="B68" s="43" t="s">
        <v>1276</v>
      </c>
      <c r="C68" s="38" t="n">
        <f aca="false">BigMac!H117</f>
        <v>0.29472</v>
      </c>
      <c r="D68" s="43" t="s">
        <v>1225</v>
      </c>
      <c r="E68" s="9" t="n">
        <f aca="false">BigMac!A117</f>
        <v>46204</v>
      </c>
      <c r="F68" s="44" t="s">
        <v>1226</v>
      </c>
      <c r="G68" s="44" t="s">
        <v>1227</v>
      </c>
      <c r="H68" s="44" t="s">
        <v>559</v>
      </c>
      <c r="I68" s="4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7" min="6" style="0" width="34"/>
    <col collapsed="false" customWidth="true" hidden="false" outlineLevel="0" max="8" min="8" style="0" width="22"/>
    <col collapsed="false" customWidth="true" hidden="false" outlineLevel="0" max="9" min="9" style="0" width="70"/>
  </cols>
  <sheetData>
    <row r="1" customFormat="false" ht="16.15" hidden="false" customHeight="false" outlineLevel="0" collapsed="false">
      <c r="A1" s="1" t="s">
        <v>1277</v>
      </c>
    </row>
    <row r="2" customFormat="false" ht="15" hidden="false" customHeight="false" outlineLevel="0" collapsed="false">
      <c r="A2" s="2" t="s">
        <v>1138</v>
      </c>
    </row>
    <row r="4" customFormat="false" ht="15" hidden="false" customHeight="false" outlineLevel="0" collapsed="false">
      <c r="A4" s="3" t="s">
        <v>1139</v>
      </c>
      <c r="B4" s="3" t="s">
        <v>755</v>
      </c>
      <c r="C4" s="3" t="s">
        <v>1140</v>
      </c>
      <c r="D4" s="3" t="s">
        <v>9</v>
      </c>
      <c r="E4" s="3" t="s">
        <v>1141</v>
      </c>
      <c r="F4" s="3" t="s">
        <v>5</v>
      </c>
      <c r="G4" s="3" t="s">
        <v>6</v>
      </c>
      <c r="H4" s="3" t="s">
        <v>1142</v>
      </c>
      <c r="I4" s="3" t="s">
        <v>1060</v>
      </c>
    </row>
    <row r="5" customFormat="false" ht="15" hidden="false" customHeight="false" outlineLevel="0" collapsed="false">
      <c r="A5" s="7" t="s">
        <v>1143</v>
      </c>
      <c r="B5" s="43" t="s">
        <v>584</v>
      </c>
      <c r="C5" s="10" t="n">
        <f aca="false">FX_Daily!D12</f>
        <v>1.3234</v>
      </c>
      <c r="D5" s="43" t="s">
        <v>33</v>
      </c>
      <c r="E5" s="9" t="n">
        <f aca="false">FX_Daily!D11</f>
        <v>46297</v>
      </c>
      <c r="F5" s="44" t="s">
        <v>17</v>
      </c>
      <c r="G5" s="44" t="s">
        <v>30</v>
      </c>
      <c r="H5" s="44" t="s">
        <v>15</v>
      </c>
      <c r="I5" s="44"/>
    </row>
    <row r="6" customFormat="false" ht="15" hidden="false" customHeight="false" outlineLevel="0" collapsed="false">
      <c r="A6" s="7" t="s">
        <v>1143</v>
      </c>
      <c r="B6" s="43" t="s">
        <v>1278</v>
      </c>
      <c r="C6" s="10" t="n">
        <f aca="false">1/FX_Daily!D12</f>
        <v>0.755629439322956</v>
      </c>
      <c r="D6" s="43" t="s">
        <v>1279</v>
      </c>
      <c r="E6" s="9" t="n">
        <f aca="false">FX_Daily!D11</f>
        <v>46297</v>
      </c>
      <c r="F6" s="44" t="s">
        <v>1280</v>
      </c>
      <c r="G6" s="44" t="s">
        <v>30</v>
      </c>
      <c r="H6" s="44" t="s">
        <v>15</v>
      </c>
      <c r="I6" s="44" t="s">
        <v>1281</v>
      </c>
    </row>
    <row r="7" customFormat="false" ht="15" hidden="false" customHeight="false" outlineLevel="0" collapsed="false">
      <c r="A7" s="7" t="s">
        <v>1143</v>
      </c>
      <c r="B7" s="43" t="s">
        <v>592</v>
      </c>
      <c r="C7" s="10" t="n">
        <f aca="false">FX_Daily!L12</f>
        <v>0.8488</v>
      </c>
      <c r="D7" s="43" t="s">
        <v>75</v>
      </c>
      <c r="E7" s="9" t="n">
        <f aca="false">FX_Daily!L11</f>
        <v>46301</v>
      </c>
      <c r="F7" s="44" t="s">
        <v>55</v>
      </c>
      <c r="G7" s="44" t="s">
        <v>72</v>
      </c>
      <c r="H7" s="44" t="s">
        <v>15</v>
      </c>
      <c r="I7" s="44"/>
    </row>
    <row r="8" customFormat="false" ht="15" hidden="false" customHeight="false" outlineLevel="0" collapsed="false">
      <c r="A8" s="7" t="s">
        <v>1144</v>
      </c>
      <c r="B8" s="43" t="s">
        <v>1282</v>
      </c>
      <c r="C8" s="19" t="n">
        <f aca="false">Rates_Daily!G12</f>
        <v>3.75</v>
      </c>
      <c r="D8" s="43" t="s">
        <v>125</v>
      </c>
      <c r="E8" s="9" t="n">
        <f aca="false">Rates_Daily!G11</f>
        <v>46301</v>
      </c>
      <c r="F8" s="44" t="s">
        <v>133</v>
      </c>
      <c r="G8" s="44" t="s">
        <v>134</v>
      </c>
      <c r="H8" s="44" t="s">
        <v>106</v>
      </c>
      <c r="I8" s="44"/>
    </row>
    <row r="9" customFormat="false" ht="15" hidden="false" customHeight="false" outlineLevel="0" collapsed="false">
      <c r="A9" s="7" t="s">
        <v>1144</v>
      </c>
      <c r="B9" s="43" t="s">
        <v>1283</v>
      </c>
      <c r="C9" s="19" t="n">
        <f aca="false">Rates_Daily!H12</f>
        <v>3.7323</v>
      </c>
      <c r="D9" s="43" t="s">
        <v>125</v>
      </c>
      <c r="E9" s="9" t="n">
        <f aca="false">Rates_Daily!H11</f>
        <v>46300</v>
      </c>
      <c r="F9" s="44" t="s">
        <v>133</v>
      </c>
      <c r="G9" s="44" t="s">
        <v>138</v>
      </c>
      <c r="H9" s="44" t="s">
        <v>106</v>
      </c>
      <c r="I9" s="44"/>
    </row>
    <row r="10" customFormat="false" ht="15" hidden="false" customHeight="false" outlineLevel="0" collapsed="false">
      <c r="A10" s="7" t="s">
        <v>1144</v>
      </c>
      <c r="B10" s="43" t="s">
        <v>1284</v>
      </c>
      <c r="C10" s="19" t="n">
        <f aca="false">Rates_Daily!I12</f>
        <v>3.75017552243246</v>
      </c>
      <c r="D10" s="43" t="s">
        <v>125</v>
      </c>
      <c r="E10" s="9" t="n">
        <f aca="false">Rates_Daily!I11</f>
        <v>46300</v>
      </c>
      <c r="F10" s="44" t="s">
        <v>142</v>
      </c>
      <c r="G10" s="44" t="s">
        <v>143</v>
      </c>
      <c r="H10" s="44" t="s">
        <v>106</v>
      </c>
      <c r="I10" s="44"/>
    </row>
    <row r="11" customFormat="false" ht="15" hidden="false" customHeight="false" outlineLevel="0" collapsed="false">
      <c r="A11" s="7" t="s">
        <v>1144</v>
      </c>
      <c r="B11" s="43" t="s">
        <v>1285</v>
      </c>
      <c r="C11" s="19" t="n">
        <f aca="false">Rates_Daily!J12</f>
        <v>3.89728239391897</v>
      </c>
      <c r="D11" s="43" t="s">
        <v>125</v>
      </c>
      <c r="E11" s="9" t="n">
        <f aca="false">Rates_Daily!J11</f>
        <v>46300</v>
      </c>
      <c r="F11" s="44" t="s">
        <v>142</v>
      </c>
      <c r="G11" s="44" t="s">
        <v>147</v>
      </c>
      <c r="H11" s="44" t="s">
        <v>106</v>
      </c>
      <c r="I11" s="44"/>
    </row>
    <row r="12" customFormat="false" ht="15" hidden="false" customHeight="false" outlineLevel="0" collapsed="false">
      <c r="A12" s="7" t="s">
        <v>1144</v>
      </c>
      <c r="B12" s="43" t="s">
        <v>1286</v>
      </c>
      <c r="C12" s="19" t="n">
        <f aca="false">Rates_Daily!K12</f>
        <v>4.07608696914918</v>
      </c>
      <c r="D12" s="43" t="s">
        <v>125</v>
      </c>
      <c r="E12" s="9" t="n">
        <f aca="false">Rates_Daily!K11</f>
        <v>46300</v>
      </c>
      <c r="F12" s="44" t="s">
        <v>142</v>
      </c>
      <c r="G12" s="44" t="s">
        <v>150</v>
      </c>
      <c r="H12" s="44" t="s">
        <v>106</v>
      </c>
      <c r="I12" s="44"/>
    </row>
    <row r="13" customFormat="false" ht="15" hidden="false" customHeight="false" outlineLevel="0" collapsed="false">
      <c r="A13" s="7" t="s">
        <v>1144</v>
      </c>
      <c r="B13" s="43" t="s">
        <v>1287</v>
      </c>
      <c r="C13" s="19" t="n">
        <f aca="false">Rates_Daily!L12</f>
        <v>4.34376872004637</v>
      </c>
      <c r="D13" s="43" t="s">
        <v>125</v>
      </c>
      <c r="E13" s="9" t="n">
        <f aca="false">Rates_Daily!L11</f>
        <v>46300</v>
      </c>
      <c r="F13" s="44" t="s">
        <v>142</v>
      </c>
      <c r="G13" s="44" t="s">
        <v>153</v>
      </c>
      <c r="H13" s="44" t="s">
        <v>106</v>
      </c>
      <c r="I13" s="44"/>
    </row>
    <row r="14" customFormat="false" ht="15" hidden="false" customHeight="false" outlineLevel="0" collapsed="false">
      <c r="A14" s="7" t="s">
        <v>374</v>
      </c>
      <c r="B14" s="43" t="s">
        <v>1288</v>
      </c>
      <c r="C14" s="20" t="n">
        <f aca="false">Inflation!Q12</f>
        <v>3.1</v>
      </c>
      <c r="D14" s="43" t="s">
        <v>387</v>
      </c>
      <c r="E14" s="45" t="n">
        <f aca="false">Inflation!Q11</f>
        <v>46235</v>
      </c>
      <c r="F14" s="44" t="s">
        <v>439</v>
      </c>
      <c r="G14" s="44" t="s">
        <v>440</v>
      </c>
      <c r="H14" s="44" t="s">
        <v>374</v>
      </c>
      <c r="I14" s="44"/>
    </row>
    <row r="15" customFormat="false" ht="15" hidden="false" customHeight="false" outlineLevel="0" collapsed="false">
      <c r="A15" s="7" t="s">
        <v>374</v>
      </c>
      <c r="B15" s="43" t="s">
        <v>1289</v>
      </c>
      <c r="C15" s="20" t="n">
        <f aca="false">Inflation!R12</f>
        <v>3.3</v>
      </c>
      <c r="D15" s="43" t="s">
        <v>387</v>
      </c>
      <c r="E15" s="45" t="n">
        <f aca="false">Inflation!R11</f>
        <v>46235</v>
      </c>
      <c r="F15" s="44" t="s">
        <v>439</v>
      </c>
      <c r="G15" s="44" t="s">
        <v>444</v>
      </c>
      <c r="H15" s="44" t="s">
        <v>374</v>
      </c>
      <c r="I15" s="44"/>
    </row>
    <row r="16" customFormat="false" ht="15" hidden="false" customHeight="false" outlineLevel="0" collapsed="false">
      <c r="A16" s="7" t="s">
        <v>1154</v>
      </c>
      <c r="B16" s="43" t="s">
        <v>1155</v>
      </c>
      <c r="C16" s="36" t="n">
        <f aca="false">GDP_Growth!X39</f>
        <v>4002587541846.01</v>
      </c>
      <c r="D16" s="43" t="s">
        <v>478</v>
      </c>
      <c r="E16" s="16" t="str">
        <f aca="false">GDP_Growth!W39</f>
        <v>2025</v>
      </c>
      <c r="F16" s="44" t="s">
        <v>469</v>
      </c>
      <c r="G16" s="44" t="s">
        <v>475</v>
      </c>
      <c r="H16" s="44" t="s">
        <v>453</v>
      </c>
      <c r="I16" s="44"/>
    </row>
    <row r="17" customFormat="false" ht="15" hidden="false" customHeight="false" outlineLevel="0" collapsed="false">
      <c r="A17" s="7" t="s">
        <v>1154</v>
      </c>
      <c r="B17" s="43" t="s">
        <v>1156</v>
      </c>
      <c r="C17" s="34" t="n">
        <f aca="false">GDP_Growth!AB19</f>
        <v>4003.022</v>
      </c>
      <c r="D17" s="43" t="s">
        <v>467</v>
      </c>
      <c r="E17" s="16" t="str">
        <f aca="false">GDP_Growth!AA19</f>
        <v>2025</v>
      </c>
      <c r="F17" s="44" t="s">
        <v>455</v>
      </c>
      <c r="G17" s="44" t="s">
        <v>464</v>
      </c>
      <c r="H17" s="44" t="s">
        <v>453</v>
      </c>
      <c r="I17" s="44"/>
    </row>
    <row r="18" customFormat="false" ht="15" hidden="false" customHeight="false" outlineLevel="0" collapsed="false">
      <c r="A18" s="7" t="s">
        <v>1154</v>
      </c>
      <c r="B18" s="43" t="s">
        <v>1157</v>
      </c>
      <c r="C18" s="36" t="n">
        <f aca="false">GDP_Growth!X49</f>
        <v>57601.9621201954</v>
      </c>
      <c r="D18" s="43" t="s">
        <v>478</v>
      </c>
      <c r="E18" s="16" t="str">
        <f aca="false">GDP_Growth!W49</f>
        <v>2025</v>
      </c>
      <c r="F18" s="44" t="s">
        <v>469</v>
      </c>
      <c r="G18" s="44" t="s">
        <v>480</v>
      </c>
      <c r="H18" s="44" t="s">
        <v>453</v>
      </c>
      <c r="I18" s="44"/>
    </row>
    <row r="19" customFormat="false" ht="15" hidden="false" customHeight="false" outlineLevel="0" collapsed="false">
      <c r="A19" s="7" t="s">
        <v>1154</v>
      </c>
      <c r="B19" s="43" t="s">
        <v>1158</v>
      </c>
      <c r="C19" s="20" t="n">
        <f aca="false">GDP_Growth!X29</f>
        <v>1.38844207858726</v>
      </c>
      <c r="D19" s="43" t="s">
        <v>473</v>
      </c>
      <c r="E19" s="16" t="str">
        <f aca="false">GDP_Growth!W29</f>
        <v>2025</v>
      </c>
      <c r="F19" s="44" t="s">
        <v>469</v>
      </c>
      <c r="G19" s="44" t="s">
        <v>470</v>
      </c>
      <c r="H19" s="44" t="s">
        <v>453</v>
      </c>
      <c r="I19" s="44"/>
    </row>
    <row r="20" customFormat="false" ht="15" hidden="false" customHeight="false" outlineLevel="0" collapsed="false">
      <c r="A20" s="7" t="s">
        <v>1154</v>
      </c>
      <c r="B20" s="43" t="s">
        <v>1159</v>
      </c>
      <c r="C20" s="20" t="n">
        <f aca="false">GDP_Growth!AB9</f>
        <v>1.3</v>
      </c>
      <c r="D20" s="43" t="s">
        <v>459</v>
      </c>
      <c r="E20" s="16" t="str">
        <f aca="false">GDP_Growth!AA9</f>
        <v>2025</v>
      </c>
      <c r="F20" s="44" t="s">
        <v>455</v>
      </c>
      <c r="G20" s="44" t="s">
        <v>456</v>
      </c>
      <c r="H20" s="44" t="s">
        <v>453</v>
      </c>
      <c r="I20" s="44" t="s">
        <v>1160</v>
      </c>
    </row>
    <row r="21" customFormat="false" ht="15" hidden="false" customHeight="false" outlineLevel="0" collapsed="false">
      <c r="A21" s="7" t="s">
        <v>1161</v>
      </c>
      <c r="B21" s="43" t="s">
        <v>1162</v>
      </c>
      <c r="C21" s="20" t="n">
        <f aca="false">GDP_Growth!Y9</f>
        <v>0.8</v>
      </c>
      <c r="D21" s="43" t="s">
        <v>459</v>
      </c>
      <c r="E21" s="11" t="s">
        <v>1163</v>
      </c>
      <c r="F21" s="44" t="s">
        <v>455</v>
      </c>
      <c r="G21" s="44" t="s">
        <v>456</v>
      </c>
      <c r="H21" s="44" t="s">
        <v>453</v>
      </c>
      <c r="I21" s="44" t="s">
        <v>1164</v>
      </c>
    </row>
    <row r="22" customFormat="false" ht="15" hidden="false" customHeight="false" outlineLevel="0" collapsed="false">
      <c r="A22" s="7" t="s">
        <v>1161</v>
      </c>
      <c r="B22" s="43" t="s">
        <v>1165</v>
      </c>
      <c r="C22" s="20" t="n">
        <f aca="false">GDP_Growth!Z9</f>
        <v>1.3</v>
      </c>
      <c r="D22" s="43" t="s">
        <v>459</v>
      </c>
      <c r="E22" s="11" t="s">
        <v>1166</v>
      </c>
      <c r="F22" s="44" t="s">
        <v>455</v>
      </c>
      <c r="G22" s="44" t="s">
        <v>456</v>
      </c>
      <c r="H22" s="44" t="s">
        <v>453</v>
      </c>
      <c r="I22" s="44" t="s">
        <v>1164</v>
      </c>
    </row>
    <row r="23" customFormat="false" ht="15" hidden="false" customHeight="false" outlineLevel="0" collapsed="false">
      <c r="A23" s="7" t="s">
        <v>1167</v>
      </c>
      <c r="B23" s="43" t="s">
        <v>1168</v>
      </c>
      <c r="C23" s="21" t="n">
        <f aca="false">GDP_Growth!H102</f>
        <v>0.532606626</v>
      </c>
      <c r="D23" s="43" t="s">
        <v>538</v>
      </c>
      <c r="E23" s="16" t="str">
        <f aca="false">GDP_Growth!H101</f>
        <v>2026-Q2</v>
      </c>
      <c r="F23" s="44" t="s">
        <v>1169</v>
      </c>
      <c r="G23" s="44" t="s">
        <v>1170</v>
      </c>
      <c r="H23" s="44" t="s">
        <v>453</v>
      </c>
      <c r="I23" s="44"/>
    </row>
    <row r="24" customFormat="false" ht="15" hidden="false" customHeight="false" outlineLevel="0" collapsed="false">
      <c r="A24" s="7" t="s">
        <v>1167</v>
      </c>
      <c r="B24" s="43" t="s">
        <v>1171</v>
      </c>
      <c r="C24" s="21" t="n">
        <f aca="false">GDP_Growth!I102</f>
        <v>1.372599483</v>
      </c>
      <c r="D24" s="43" t="s">
        <v>538</v>
      </c>
      <c r="E24" s="16" t="str">
        <f aca="false">GDP_Growth!I101</f>
        <v>2026-Q2</v>
      </c>
      <c r="F24" s="44" t="s">
        <v>1169</v>
      </c>
      <c r="G24" s="44" t="s">
        <v>1172</v>
      </c>
      <c r="H24" s="44" t="s">
        <v>453</v>
      </c>
      <c r="I24" s="44"/>
    </row>
    <row r="25" customFormat="false" ht="15" hidden="false" customHeight="false" outlineLevel="0" collapsed="false">
      <c r="A25" s="7" t="s">
        <v>1154</v>
      </c>
      <c r="B25" s="43" t="s">
        <v>1173</v>
      </c>
      <c r="C25" s="20" t="n">
        <f aca="false">Trade_CurrentAccount!X9</f>
        <v>30.5969582161816</v>
      </c>
      <c r="D25" s="43" t="s">
        <v>506</v>
      </c>
      <c r="E25" s="16" t="str">
        <f aca="false">Trade_CurrentAccount!W9</f>
        <v>2025</v>
      </c>
      <c r="F25" s="44" t="s">
        <v>469</v>
      </c>
      <c r="G25" s="44" t="s">
        <v>503</v>
      </c>
      <c r="H25" s="44" t="s">
        <v>501</v>
      </c>
      <c r="I25" s="44"/>
    </row>
    <row r="26" customFormat="false" ht="15" hidden="false" customHeight="false" outlineLevel="0" collapsed="false">
      <c r="A26" s="7" t="s">
        <v>1154</v>
      </c>
      <c r="B26" s="43" t="s">
        <v>1174</v>
      </c>
      <c r="C26" s="20" t="n">
        <f aca="false">Trade_CurrentAccount!X19</f>
        <v>31.8603712472379</v>
      </c>
      <c r="D26" s="43" t="s">
        <v>506</v>
      </c>
      <c r="E26" s="16" t="str">
        <f aca="false">Trade_CurrentAccount!W19</f>
        <v>2025</v>
      </c>
      <c r="F26" s="44" t="s">
        <v>469</v>
      </c>
      <c r="G26" s="44" t="s">
        <v>508</v>
      </c>
      <c r="H26" s="44" t="s">
        <v>501</v>
      </c>
      <c r="I26" s="44"/>
    </row>
    <row r="27" customFormat="false" ht="15" hidden="false" customHeight="false" outlineLevel="0" collapsed="false">
      <c r="A27" s="7" t="s">
        <v>1154</v>
      </c>
      <c r="B27" s="43" t="s">
        <v>1175</v>
      </c>
      <c r="C27" s="20" t="n">
        <f aca="false">Trade_CurrentAccount!X29</f>
        <v>-2.42693271936225</v>
      </c>
      <c r="D27" s="43" t="s">
        <v>506</v>
      </c>
      <c r="E27" s="16" t="str">
        <f aca="false">Trade_CurrentAccount!W29</f>
        <v>2025</v>
      </c>
      <c r="F27" s="44" t="s">
        <v>469</v>
      </c>
      <c r="G27" s="44" t="s">
        <v>512</v>
      </c>
      <c r="H27" s="44" t="s">
        <v>501</v>
      </c>
      <c r="I27" s="44"/>
    </row>
    <row r="28" customFormat="false" ht="15" hidden="false" customHeight="false" outlineLevel="0" collapsed="false">
      <c r="A28" s="7" t="s">
        <v>1154</v>
      </c>
      <c r="B28" s="43" t="s">
        <v>1176</v>
      </c>
      <c r="C28" s="20" t="n">
        <f aca="false">Trade_CurrentAccount!AB39</f>
        <v>-3.1</v>
      </c>
      <c r="D28" s="43" t="s">
        <v>506</v>
      </c>
      <c r="E28" s="16" t="str">
        <f aca="false">Trade_CurrentAccount!AA39</f>
        <v>2025</v>
      </c>
      <c r="F28" s="44" t="s">
        <v>455</v>
      </c>
      <c r="G28" s="44" t="s">
        <v>516</v>
      </c>
      <c r="H28" s="44" t="s">
        <v>501</v>
      </c>
      <c r="I28" s="44"/>
    </row>
    <row r="29" customFormat="false" ht="15" hidden="false" customHeight="false" outlineLevel="0" collapsed="false">
      <c r="A29" s="7" t="s">
        <v>1161</v>
      </c>
      <c r="B29" s="43" t="s">
        <v>1177</v>
      </c>
      <c r="C29" s="20" t="n">
        <f aca="false">Trade_CurrentAccount!Y39</f>
        <v>-3.4</v>
      </c>
      <c r="D29" s="43" t="s">
        <v>506</v>
      </c>
      <c r="E29" s="11" t="s">
        <v>1163</v>
      </c>
      <c r="F29" s="44" t="s">
        <v>455</v>
      </c>
      <c r="G29" s="44" t="s">
        <v>516</v>
      </c>
      <c r="H29" s="44" t="s">
        <v>501</v>
      </c>
      <c r="I29" s="44" t="s">
        <v>1164</v>
      </c>
    </row>
    <row r="30" customFormat="false" ht="15" hidden="false" customHeight="false" outlineLevel="0" collapsed="false">
      <c r="A30" s="7" t="s">
        <v>1178</v>
      </c>
      <c r="B30" s="43" t="s">
        <v>1179</v>
      </c>
      <c r="C30" s="10" t="str">
        <f aca="false">Trade_CurrentAccount!D113</f>
        <v>USA</v>
      </c>
      <c r="D30" s="43" t="s">
        <v>1180</v>
      </c>
      <c r="E30" s="11" t="s">
        <v>526</v>
      </c>
      <c r="F30" s="44" t="s">
        <v>1181</v>
      </c>
      <c r="G30" s="44" t="s">
        <v>1182</v>
      </c>
      <c r="H30" s="44" t="s">
        <v>501</v>
      </c>
      <c r="I30" s="44"/>
    </row>
    <row r="31" customFormat="false" ht="15" hidden="false" customHeight="false" outlineLevel="0" collapsed="false">
      <c r="A31" s="7" t="s">
        <v>1178</v>
      </c>
      <c r="B31" s="43" t="s">
        <v>1183</v>
      </c>
      <c r="C31" s="38" t="n">
        <f aca="false">Trade_CurrentAccount!F113</f>
        <v>0.158677363151388</v>
      </c>
      <c r="D31" s="43" t="s">
        <v>1184</v>
      </c>
      <c r="E31" s="11" t="s">
        <v>526</v>
      </c>
      <c r="F31" s="44" t="s">
        <v>1181</v>
      </c>
      <c r="G31" s="44" t="s">
        <v>1185</v>
      </c>
      <c r="H31" s="44" t="s">
        <v>501</v>
      </c>
      <c r="I31" s="44"/>
    </row>
    <row r="32" customFormat="false" ht="15" hidden="false" customHeight="false" outlineLevel="0" collapsed="false">
      <c r="A32" s="7" t="s">
        <v>1178</v>
      </c>
      <c r="B32" s="43" t="s">
        <v>1186</v>
      </c>
      <c r="C32" s="10" t="str">
        <f aca="false">Trade_CurrentAccount!D114</f>
        <v>Germany</v>
      </c>
      <c r="D32" s="43" t="s">
        <v>1180</v>
      </c>
      <c r="E32" s="11" t="s">
        <v>526</v>
      </c>
      <c r="F32" s="44" t="s">
        <v>1181</v>
      </c>
      <c r="G32" s="44" t="s">
        <v>1182</v>
      </c>
      <c r="H32" s="44" t="s">
        <v>501</v>
      </c>
      <c r="I32" s="44"/>
    </row>
    <row r="33" customFormat="false" ht="15" hidden="false" customHeight="false" outlineLevel="0" collapsed="false">
      <c r="A33" s="7" t="s">
        <v>1178</v>
      </c>
      <c r="B33" s="43" t="s">
        <v>1183</v>
      </c>
      <c r="C33" s="38" t="n">
        <f aca="false">Trade_CurrentAccount!F114</f>
        <v>0.0767982970114917</v>
      </c>
      <c r="D33" s="43" t="s">
        <v>1184</v>
      </c>
      <c r="E33" s="11" t="s">
        <v>526</v>
      </c>
      <c r="F33" s="44" t="s">
        <v>1181</v>
      </c>
      <c r="G33" s="44" t="s">
        <v>1185</v>
      </c>
      <c r="H33" s="44" t="s">
        <v>501</v>
      </c>
      <c r="I33" s="44"/>
    </row>
    <row r="34" customFormat="false" ht="15" hidden="false" customHeight="false" outlineLevel="0" collapsed="false">
      <c r="A34" s="7" t="s">
        <v>1178</v>
      </c>
      <c r="B34" s="43" t="s">
        <v>1187</v>
      </c>
      <c r="C34" s="10" t="str">
        <f aca="false">Trade_CurrentAccount!D115</f>
        <v>China</v>
      </c>
      <c r="D34" s="43" t="s">
        <v>1180</v>
      </c>
      <c r="E34" s="11" t="s">
        <v>526</v>
      </c>
      <c r="F34" s="44" t="s">
        <v>1181</v>
      </c>
      <c r="G34" s="44" t="s">
        <v>1182</v>
      </c>
      <c r="H34" s="44" t="s">
        <v>501</v>
      </c>
      <c r="I34" s="44"/>
    </row>
    <row r="35" customFormat="false" ht="15" hidden="false" customHeight="false" outlineLevel="0" collapsed="false">
      <c r="A35" s="7" t="s">
        <v>1178</v>
      </c>
      <c r="B35" s="43" t="s">
        <v>1183</v>
      </c>
      <c r="C35" s="38" t="n">
        <f aca="false">Trade_CurrentAccount!F115</f>
        <v>0.0664106766215858</v>
      </c>
      <c r="D35" s="43" t="s">
        <v>1184</v>
      </c>
      <c r="E35" s="11" t="s">
        <v>526</v>
      </c>
      <c r="F35" s="44" t="s">
        <v>1181</v>
      </c>
      <c r="G35" s="44" t="s">
        <v>1185</v>
      </c>
      <c r="H35" s="44" t="s">
        <v>501</v>
      </c>
      <c r="I35" s="44"/>
    </row>
    <row r="36" customFormat="false" ht="15" hidden="false" customHeight="false" outlineLevel="0" collapsed="false">
      <c r="A36" s="7" t="s">
        <v>1178</v>
      </c>
      <c r="B36" s="43" t="s">
        <v>1188</v>
      </c>
      <c r="C36" s="10" t="str">
        <f aca="false">Trade_CurrentAccount!D116</f>
        <v>Netherlands</v>
      </c>
      <c r="D36" s="43" t="s">
        <v>1180</v>
      </c>
      <c r="E36" s="11" t="s">
        <v>526</v>
      </c>
      <c r="F36" s="44" t="s">
        <v>1181</v>
      </c>
      <c r="G36" s="44" t="s">
        <v>1182</v>
      </c>
      <c r="H36" s="44" t="s">
        <v>501</v>
      </c>
      <c r="I36" s="44"/>
    </row>
    <row r="37" customFormat="false" ht="15" hidden="false" customHeight="false" outlineLevel="0" collapsed="false">
      <c r="A37" s="7" t="s">
        <v>1178</v>
      </c>
      <c r="B37" s="43" t="s">
        <v>1183</v>
      </c>
      <c r="C37" s="38" t="n">
        <f aca="false">Trade_CurrentAccount!F116</f>
        <v>0.0592979829424435</v>
      </c>
      <c r="D37" s="43" t="s">
        <v>1184</v>
      </c>
      <c r="E37" s="11" t="s">
        <v>526</v>
      </c>
      <c r="F37" s="44" t="s">
        <v>1181</v>
      </c>
      <c r="G37" s="44" t="s">
        <v>1185</v>
      </c>
      <c r="H37" s="44" t="s">
        <v>501</v>
      </c>
      <c r="I37" s="44"/>
    </row>
    <row r="38" customFormat="false" ht="15" hidden="false" customHeight="false" outlineLevel="0" collapsed="false">
      <c r="A38" s="7" t="s">
        <v>1178</v>
      </c>
      <c r="B38" s="43" t="s">
        <v>1189</v>
      </c>
      <c r="C38" s="10" t="str">
        <f aca="false">Trade_CurrentAccount!D117</f>
        <v>Switzerland</v>
      </c>
      <c r="D38" s="43" t="s">
        <v>1180</v>
      </c>
      <c r="E38" s="11" t="s">
        <v>526</v>
      </c>
      <c r="F38" s="44" t="s">
        <v>1181</v>
      </c>
      <c r="G38" s="44" t="s">
        <v>1182</v>
      </c>
      <c r="H38" s="44" t="s">
        <v>501</v>
      </c>
      <c r="I38" s="44"/>
    </row>
    <row r="39" customFormat="false" ht="15" hidden="false" customHeight="false" outlineLevel="0" collapsed="false">
      <c r="A39" s="7" t="s">
        <v>1178</v>
      </c>
      <c r="B39" s="43" t="s">
        <v>1183</v>
      </c>
      <c r="C39" s="38" t="n">
        <f aca="false">Trade_CurrentAccount!F117</f>
        <v>0.055407388613814</v>
      </c>
      <c r="D39" s="43" t="s">
        <v>1184</v>
      </c>
      <c r="E39" s="11" t="s">
        <v>526</v>
      </c>
      <c r="F39" s="44" t="s">
        <v>1181</v>
      </c>
      <c r="G39" s="44" t="s">
        <v>1185</v>
      </c>
      <c r="H39" s="44" t="s">
        <v>501</v>
      </c>
      <c r="I39" s="44"/>
    </row>
    <row r="40" customFormat="false" ht="15" hidden="false" customHeight="false" outlineLevel="0" collapsed="false">
      <c r="A40" s="7" t="s">
        <v>1178</v>
      </c>
      <c r="B40" s="43" t="s">
        <v>1190</v>
      </c>
      <c r="C40" s="10" t="str">
        <f aca="false">Trade_CurrentAccount!D124</f>
        <v>USA</v>
      </c>
      <c r="D40" s="43" t="s">
        <v>1180</v>
      </c>
      <c r="E40" s="11" t="s">
        <v>526</v>
      </c>
      <c r="F40" s="44" t="s">
        <v>1181</v>
      </c>
      <c r="G40" s="44" t="s">
        <v>1182</v>
      </c>
      <c r="H40" s="44" t="s">
        <v>501</v>
      </c>
      <c r="I40" s="44"/>
    </row>
    <row r="41" customFormat="false" ht="15" hidden="false" customHeight="false" outlineLevel="0" collapsed="false">
      <c r="A41" s="7" t="s">
        <v>1178</v>
      </c>
      <c r="B41" s="43" t="s">
        <v>1191</v>
      </c>
      <c r="C41" s="38" t="n">
        <f aca="false">Trade_CurrentAccount!F124</f>
        <v>0.118525385256719</v>
      </c>
      <c r="D41" s="43" t="s">
        <v>1184</v>
      </c>
      <c r="E41" s="11" t="s">
        <v>526</v>
      </c>
      <c r="F41" s="44" t="s">
        <v>1181</v>
      </c>
      <c r="G41" s="44" t="s">
        <v>1185</v>
      </c>
      <c r="H41" s="44" t="s">
        <v>501</v>
      </c>
      <c r="I41" s="44"/>
    </row>
    <row r="42" customFormat="false" ht="15" hidden="false" customHeight="false" outlineLevel="0" collapsed="false">
      <c r="A42" s="7" t="s">
        <v>1178</v>
      </c>
      <c r="B42" s="43" t="s">
        <v>1192</v>
      </c>
      <c r="C42" s="10" t="str">
        <f aca="false">Trade_CurrentAccount!D125</f>
        <v>China</v>
      </c>
      <c r="D42" s="43" t="s">
        <v>1180</v>
      </c>
      <c r="E42" s="11" t="s">
        <v>526</v>
      </c>
      <c r="F42" s="44" t="s">
        <v>1181</v>
      </c>
      <c r="G42" s="44" t="s">
        <v>1182</v>
      </c>
      <c r="H42" s="44" t="s">
        <v>501</v>
      </c>
      <c r="I42" s="44"/>
    </row>
    <row r="43" customFormat="false" ht="15" hidden="false" customHeight="false" outlineLevel="0" collapsed="false">
      <c r="A43" s="7" t="s">
        <v>1178</v>
      </c>
      <c r="B43" s="43" t="s">
        <v>1191</v>
      </c>
      <c r="C43" s="38" t="n">
        <f aca="false">Trade_CurrentAccount!F125</f>
        <v>0.114222701330029</v>
      </c>
      <c r="D43" s="43" t="s">
        <v>1184</v>
      </c>
      <c r="E43" s="11" t="s">
        <v>526</v>
      </c>
      <c r="F43" s="44" t="s">
        <v>1181</v>
      </c>
      <c r="G43" s="44" t="s">
        <v>1185</v>
      </c>
      <c r="H43" s="44" t="s">
        <v>501</v>
      </c>
      <c r="I43" s="44"/>
    </row>
    <row r="44" customFormat="false" ht="15" hidden="false" customHeight="false" outlineLevel="0" collapsed="false">
      <c r="A44" s="7" t="s">
        <v>1178</v>
      </c>
      <c r="B44" s="43" t="s">
        <v>1193</v>
      </c>
      <c r="C44" s="10" t="str">
        <f aca="false">Trade_CurrentAccount!D126</f>
        <v>Germany</v>
      </c>
      <c r="D44" s="43" t="s">
        <v>1180</v>
      </c>
      <c r="E44" s="11" t="s">
        <v>526</v>
      </c>
      <c r="F44" s="44" t="s">
        <v>1181</v>
      </c>
      <c r="G44" s="44" t="s">
        <v>1182</v>
      </c>
      <c r="H44" s="44" t="s">
        <v>501</v>
      </c>
      <c r="I44" s="44"/>
    </row>
    <row r="45" customFormat="false" ht="15" hidden="false" customHeight="false" outlineLevel="0" collapsed="false">
      <c r="A45" s="7" t="s">
        <v>1178</v>
      </c>
      <c r="B45" s="43" t="s">
        <v>1191</v>
      </c>
      <c r="C45" s="38" t="n">
        <f aca="false">Trade_CurrentAccount!F126</f>
        <v>0.0838746452611672</v>
      </c>
      <c r="D45" s="43" t="s">
        <v>1184</v>
      </c>
      <c r="E45" s="11" t="s">
        <v>526</v>
      </c>
      <c r="F45" s="44" t="s">
        <v>1181</v>
      </c>
      <c r="G45" s="44" t="s">
        <v>1185</v>
      </c>
      <c r="H45" s="44" t="s">
        <v>501</v>
      </c>
      <c r="I45" s="44"/>
    </row>
    <row r="46" customFormat="false" ht="15" hidden="false" customHeight="false" outlineLevel="0" collapsed="false">
      <c r="A46" s="7" t="s">
        <v>1178</v>
      </c>
      <c r="B46" s="43" t="s">
        <v>1194</v>
      </c>
      <c r="C46" s="10" t="str">
        <f aca="false">Trade_CurrentAccount!D127</f>
        <v>Switzerland</v>
      </c>
      <c r="D46" s="43" t="s">
        <v>1180</v>
      </c>
      <c r="E46" s="11" t="s">
        <v>526</v>
      </c>
      <c r="F46" s="44" t="s">
        <v>1181</v>
      </c>
      <c r="G46" s="44" t="s">
        <v>1182</v>
      </c>
      <c r="H46" s="44" t="s">
        <v>501</v>
      </c>
      <c r="I46" s="44"/>
    </row>
    <row r="47" customFormat="false" ht="15" hidden="false" customHeight="false" outlineLevel="0" collapsed="false">
      <c r="A47" s="7" t="s">
        <v>1178</v>
      </c>
      <c r="B47" s="43" t="s">
        <v>1191</v>
      </c>
      <c r="C47" s="38" t="n">
        <f aca="false">Trade_CurrentAccount!F127</f>
        <v>0.054970154904368</v>
      </c>
      <c r="D47" s="43" t="s">
        <v>1184</v>
      </c>
      <c r="E47" s="11" t="s">
        <v>526</v>
      </c>
      <c r="F47" s="44" t="s">
        <v>1181</v>
      </c>
      <c r="G47" s="44" t="s">
        <v>1185</v>
      </c>
      <c r="H47" s="44" t="s">
        <v>501</v>
      </c>
      <c r="I47" s="44"/>
    </row>
    <row r="48" customFormat="false" ht="15" hidden="false" customHeight="false" outlineLevel="0" collapsed="false">
      <c r="A48" s="7" t="s">
        <v>1178</v>
      </c>
      <c r="B48" s="43" t="s">
        <v>1195</v>
      </c>
      <c r="C48" s="10" t="str">
        <f aca="false">Trade_CurrentAccount!D128</f>
        <v>France</v>
      </c>
      <c r="D48" s="43" t="s">
        <v>1180</v>
      </c>
      <c r="E48" s="11" t="s">
        <v>526</v>
      </c>
      <c r="F48" s="44" t="s">
        <v>1181</v>
      </c>
      <c r="G48" s="44" t="s">
        <v>1182</v>
      </c>
      <c r="H48" s="44" t="s">
        <v>501</v>
      </c>
      <c r="I48" s="44"/>
    </row>
    <row r="49" customFormat="false" ht="15" hidden="false" customHeight="false" outlineLevel="0" collapsed="false">
      <c r="A49" s="7" t="s">
        <v>1178</v>
      </c>
      <c r="B49" s="43" t="s">
        <v>1191</v>
      </c>
      <c r="C49" s="38" t="n">
        <f aca="false">Trade_CurrentAccount!F128</f>
        <v>0.0449697786232963</v>
      </c>
      <c r="D49" s="43" t="s">
        <v>1184</v>
      </c>
      <c r="E49" s="11" t="s">
        <v>526</v>
      </c>
      <c r="F49" s="44" t="s">
        <v>1181</v>
      </c>
      <c r="G49" s="44" t="s">
        <v>1185</v>
      </c>
      <c r="H49" s="44" t="s">
        <v>501</v>
      </c>
      <c r="I49" s="44"/>
    </row>
    <row r="50" customFormat="false" ht="15" hidden="false" customHeight="false" outlineLevel="0" collapsed="false">
      <c r="A50" s="7" t="s">
        <v>1196</v>
      </c>
      <c r="B50" s="43" t="s">
        <v>1197</v>
      </c>
      <c r="C50" s="10" t="str">
        <f aca="false">Trade_CurrentAccount!D233</f>
        <v>84 - Machinery and mechanical appliances, boilers, nuclear reactors; parts thereof</v>
      </c>
      <c r="D50" s="43" t="s">
        <v>1027</v>
      </c>
      <c r="E50" s="11" t="s">
        <v>526</v>
      </c>
      <c r="F50" s="44" t="s">
        <v>1181</v>
      </c>
      <c r="G50" s="44" t="s">
        <v>1198</v>
      </c>
      <c r="H50" s="44" t="s">
        <v>501</v>
      </c>
      <c r="I50" s="44"/>
    </row>
    <row r="51" customFormat="false" ht="15" hidden="false" customHeight="false" outlineLevel="0" collapsed="false">
      <c r="A51" s="7" t="s">
        <v>1196</v>
      </c>
      <c r="B51" s="43" t="s">
        <v>1199</v>
      </c>
      <c r="C51" s="38" t="n">
        <f aca="false">Trade_CurrentAccount!F233</f>
        <v>0.192896655010006</v>
      </c>
      <c r="D51" s="43" t="s">
        <v>1184</v>
      </c>
      <c r="E51" s="11" t="s">
        <v>526</v>
      </c>
      <c r="F51" s="44" t="s">
        <v>1181</v>
      </c>
      <c r="G51" s="44" t="s">
        <v>1185</v>
      </c>
      <c r="H51" s="44" t="s">
        <v>501</v>
      </c>
      <c r="I51" s="44"/>
    </row>
    <row r="52" customFormat="false" ht="15" hidden="false" customHeight="false" outlineLevel="0" collapsed="false">
      <c r="A52" s="7" t="s">
        <v>1196</v>
      </c>
      <c r="B52" s="43" t="s">
        <v>1200</v>
      </c>
      <c r="C52" s="10" t="str">
        <f aca="false">Trade_CurrentAccount!D234</f>
        <v>71 - Natural, cultured pearls; precious, semi-precious stones; precious metals, metals clad with precious metal, and articles thereof; imitation jewellery; coin</v>
      </c>
      <c r="D52" s="43" t="s">
        <v>1027</v>
      </c>
      <c r="E52" s="11" t="s">
        <v>526</v>
      </c>
      <c r="F52" s="44" t="s">
        <v>1181</v>
      </c>
      <c r="G52" s="44" t="s">
        <v>1198</v>
      </c>
      <c r="H52" s="44" t="s">
        <v>501</v>
      </c>
      <c r="I52" s="44"/>
    </row>
    <row r="53" customFormat="false" ht="15" hidden="false" customHeight="false" outlineLevel="0" collapsed="false">
      <c r="A53" s="7" t="s">
        <v>1196</v>
      </c>
      <c r="B53" s="43" t="s">
        <v>1199</v>
      </c>
      <c r="C53" s="38" t="n">
        <f aca="false">Trade_CurrentAccount!F234</f>
        <v>0.189744220336455</v>
      </c>
      <c r="D53" s="43" t="s">
        <v>1184</v>
      </c>
      <c r="E53" s="11" t="s">
        <v>526</v>
      </c>
      <c r="F53" s="44" t="s">
        <v>1181</v>
      </c>
      <c r="G53" s="44" t="s">
        <v>1185</v>
      </c>
      <c r="H53" s="44" t="s">
        <v>501</v>
      </c>
      <c r="I53" s="44"/>
    </row>
    <row r="54" customFormat="false" ht="15" hidden="false" customHeight="false" outlineLevel="0" collapsed="false">
      <c r="A54" s="7" t="s">
        <v>1196</v>
      </c>
      <c r="B54" s="43" t="s">
        <v>1201</v>
      </c>
      <c r="C54" s="10" t="str">
        <f aca="false">Trade_CurrentAccount!D235</f>
        <v>87 - Vehicles; other than railway or tramway rolling stock, and parts and accessories thereof</v>
      </c>
      <c r="D54" s="43" t="s">
        <v>1027</v>
      </c>
      <c r="E54" s="11" t="s">
        <v>526</v>
      </c>
      <c r="F54" s="44" t="s">
        <v>1181</v>
      </c>
      <c r="G54" s="44" t="s">
        <v>1198</v>
      </c>
      <c r="H54" s="44" t="s">
        <v>501</v>
      </c>
      <c r="I54" s="44"/>
    </row>
    <row r="55" customFormat="false" ht="15" hidden="false" customHeight="false" outlineLevel="0" collapsed="false">
      <c r="A55" s="7" t="s">
        <v>1196</v>
      </c>
      <c r="B55" s="43" t="s">
        <v>1199</v>
      </c>
      <c r="C55" s="38" t="n">
        <f aca="false">Trade_CurrentAccount!F235</f>
        <v>0.0744182363697175</v>
      </c>
      <c r="D55" s="43" t="s">
        <v>1184</v>
      </c>
      <c r="E55" s="11" t="s">
        <v>526</v>
      </c>
      <c r="F55" s="44" t="s">
        <v>1181</v>
      </c>
      <c r="G55" s="44" t="s">
        <v>1185</v>
      </c>
      <c r="H55" s="44" t="s">
        <v>501</v>
      </c>
      <c r="I55" s="44"/>
    </row>
    <row r="56" customFormat="false" ht="15" hidden="false" customHeight="false" outlineLevel="0" collapsed="false">
      <c r="A56" s="7" t="s">
        <v>1196</v>
      </c>
      <c r="B56" s="43" t="s">
        <v>1202</v>
      </c>
      <c r="C56" s="10" t="str">
        <f aca="false">Trade_CurrentAccount!D238</f>
        <v>71 - Natural, cultured pearls; precious, semi-precious stones; precious metals, metals clad with precious metal, and articles thereof; imitation jewellery; coin</v>
      </c>
      <c r="D56" s="43" t="s">
        <v>1027</v>
      </c>
      <c r="E56" s="11" t="s">
        <v>526</v>
      </c>
      <c r="F56" s="44" t="s">
        <v>1181</v>
      </c>
      <c r="G56" s="44" t="s">
        <v>1198</v>
      </c>
      <c r="H56" s="44" t="s">
        <v>501</v>
      </c>
      <c r="I56" s="44"/>
    </row>
    <row r="57" customFormat="false" ht="15" hidden="false" customHeight="false" outlineLevel="0" collapsed="false">
      <c r="A57" s="7" t="s">
        <v>1196</v>
      </c>
      <c r="B57" s="43" t="s">
        <v>1199</v>
      </c>
      <c r="C57" s="38" t="n">
        <f aca="false">Trade_CurrentAccount!F238</f>
        <v>0.190397916415434</v>
      </c>
      <c r="D57" s="43" t="s">
        <v>1184</v>
      </c>
      <c r="E57" s="11" t="s">
        <v>526</v>
      </c>
      <c r="F57" s="44" t="s">
        <v>1181</v>
      </c>
      <c r="G57" s="44" t="s">
        <v>1185</v>
      </c>
      <c r="H57" s="44" t="s">
        <v>501</v>
      </c>
      <c r="I57" s="44"/>
    </row>
    <row r="58" customFormat="false" ht="15" hidden="false" customHeight="false" outlineLevel="0" collapsed="false">
      <c r="A58" s="7" t="s">
        <v>1196</v>
      </c>
      <c r="B58" s="43" t="s">
        <v>1203</v>
      </c>
      <c r="C58" s="10" t="str">
        <f aca="false">Trade_CurrentAccount!D239</f>
        <v>84 - Machinery and mechanical appliances, boilers, nuclear reactors; parts thereof</v>
      </c>
      <c r="D58" s="43" t="s">
        <v>1027</v>
      </c>
      <c r="E58" s="11" t="s">
        <v>526</v>
      </c>
      <c r="F58" s="44" t="s">
        <v>1181</v>
      </c>
      <c r="G58" s="44" t="s">
        <v>1198</v>
      </c>
      <c r="H58" s="44" t="s">
        <v>501</v>
      </c>
      <c r="I58" s="44"/>
    </row>
    <row r="59" customFormat="false" ht="15" hidden="false" customHeight="false" outlineLevel="0" collapsed="false">
      <c r="A59" s="7" t="s">
        <v>1196</v>
      </c>
      <c r="B59" s="43" t="s">
        <v>1199</v>
      </c>
      <c r="C59" s="38" t="n">
        <f aca="false">Trade_CurrentAccount!F239</f>
        <v>0.121982492156454</v>
      </c>
      <c r="D59" s="43" t="s">
        <v>1184</v>
      </c>
      <c r="E59" s="11" t="s">
        <v>526</v>
      </c>
      <c r="F59" s="44" t="s">
        <v>1181</v>
      </c>
      <c r="G59" s="44" t="s">
        <v>1185</v>
      </c>
      <c r="H59" s="44" t="s">
        <v>501</v>
      </c>
      <c r="I59" s="44"/>
    </row>
    <row r="60" customFormat="false" ht="15" hidden="false" customHeight="false" outlineLevel="0" collapsed="false">
      <c r="A60" s="7" t="s">
        <v>1196</v>
      </c>
      <c r="B60" s="43" t="s">
        <v>1204</v>
      </c>
      <c r="C60" s="10" t="str">
        <f aca="false">Trade_CurrentAccount!D240</f>
        <v>87 - Vehicles; other than railway or tramway rolling stock, and parts and accessories thereof</v>
      </c>
      <c r="D60" s="43" t="s">
        <v>1027</v>
      </c>
      <c r="E60" s="11" t="s">
        <v>526</v>
      </c>
      <c r="F60" s="44" t="s">
        <v>1181</v>
      </c>
      <c r="G60" s="44" t="s">
        <v>1198</v>
      </c>
      <c r="H60" s="44" t="s">
        <v>501</v>
      </c>
      <c r="I60" s="44"/>
    </row>
    <row r="61" customFormat="false" ht="15" hidden="false" customHeight="false" outlineLevel="0" collapsed="false">
      <c r="A61" s="7" t="s">
        <v>1196</v>
      </c>
      <c r="B61" s="43" t="s">
        <v>1199</v>
      </c>
      <c r="C61" s="38" t="n">
        <f aca="false">Trade_CurrentAccount!F240</f>
        <v>0.0988040492467441</v>
      </c>
      <c r="D61" s="43" t="s">
        <v>1184</v>
      </c>
      <c r="E61" s="11" t="s">
        <v>526</v>
      </c>
      <c r="F61" s="44" t="s">
        <v>1181</v>
      </c>
      <c r="G61" s="44" t="s">
        <v>1185</v>
      </c>
      <c r="H61" s="44" t="s">
        <v>501</v>
      </c>
      <c r="I61" s="44"/>
    </row>
    <row r="62" customFormat="false" ht="15" hidden="false" customHeight="false" outlineLevel="0" collapsed="false">
      <c r="A62" s="7" t="s">
        <v>1205</v>
      </c>
      <c r="B62" s="43" t="s">
        <v>1206</v>
      </c>
      <c r="C62" s="38" t="n">
        <f aca="false">Trade_CurrentAccount!F236</f>
        <v>0.0674856506831858</v>
      </c>
      <c r="D62" s="43" t="s">
        <v>1184</v>
      </c>
      <c r="E62" s="11" t="s">
        <v>526</v>
      </c>
      <c r="F62" s="44" t="s">
        <v>1181</v>
      </c>
      <c r="G62" s="44" t="s">
        <v>1207</v>
      </c>
      <c r="H62" s="44" t="s">
        <v>501</v>
      </c>
      <c r="I62" s="44" t="s">
        <v>1210</v>
      </c>
    </row>
    <row r="63" customFormat="false" ht="15" hidden="false" customHeight="false" outlineLevel="0" collapsed="false">
      <c r="A63" s="7" t="s">
        <v>1205</v>
      </c>
      <c r="B63" s="43" t="s">
        <v>1209</v>
      </c>
      <c r="C63" s="38" t="n">
        <f aca="false">Trade_CurrentAccount!F242</f>
        <v>0.0795057359823029</v>
      </c>
      <c r="D63" s="43" t="s">
        <v>1184</v>
      </c>
      <c r="E63" s="11" t="s">
        <v>526</v>
      </c>
      <c r="F63" s="44" t="s">
        <v>1181</v>
      </c>
      <c r="G63" s="44" t="s">
        <v>1207</v>
      </c>
      <c r="H63" s="44" t="s">
        <v>501</v>
      </c>
      <c r="I63" s="44" t="s">
        <v>1290</v>
      </c>
    </row>
    <row r="64" customFormat="false" ht="15" hidden="false" customHeight="false" outlineLevel="0" collapsed="false">
      <c r="A64" s="7" t="s">
        <v>1211</v>
      </c>
      <c r="B64" s="43" t="s">
        <v>536</v>
      </c>
      <c r="C64" s="46" t="s">
        <v>1212</v>
      </c>
      <c r="D64" s="43" t="s">
        <v>538</v>
      </c>
      <c r="E64" s="11"/>
      <c r="F64" s="44"/>
      <c r="G64" s="44"/>
      <c r="H64" s="44"/>
      <c r="I64" s="44" t="s">
        <v>1291</v>
      </c>
    </row>
    <row r="65" customFormat="false" ht="15" hidden="false" customHeight="false" outlineLevel="0" collapsed="false">
      <c r="A65" s="7" t="s">
        <v>1214</v>
      </c>
      <c r="B65" s="43" t="s">
        <v>1292</v>
      </c>
      <c r="C65" s="38" t="n">
        <f aca="false">FX_Market_BIS!N23</f>
        <v>0.101633404214222</v>
      </c>
      <c r="D65" s="43" t="s">
        <v>1216</v>
      </c>
      <c r="E65" s="9" t="str">
        <f aca="false">FX_Market_BIS!A23</f>
        <v>2025</v>
      </c>
      <c r="F65" s="44" t="s">
        <v>1217</v>
      </c>
      <c r="G65" s="44" t="s">
        <v>1218</v>
      </c>
      <c r="H65" s="44" t="s">
        <v>550</v>
      </c>
      <c r="I65" s="44"/>
    </row>
    <row r="66" customFormat="false" ht="15" hidden="false" customHeight="false" outlineLevel="0" collapsed="false">
      <c r="A66" s="7" t="s">
        <v>1214</v>
      </c>
      <c r="B66" s="43" t="s">
        <v>1293</v>
      </c>
      <c r="C66" s="21" t="n">
        <f aca="false">Reserves_COFER!E49</f>
        <v>4.57258176803589</v>
      </c>
      <c r="D66" s="43" t="s">
        <v>1220</v>
      </c>
      <c r="E66" s="9" t="str">
        <f aca="false">Reserves_COFER!A49</f>
        <v>2026-Q2</v>
      </c>
      <c r="F66" s="44" t="s">
        <v>1221</v>
      </c>
      <c r="G66" s="44" t="s">
        <v>1294</v>
      </c>
      <c r="H66" s="44" t="s">
        <v>542</v>
      </c>
      <c r="I66" s="44"/>
    </row>
    <row r="67" customFormat="false" ht="15" hidden="false" customHeight="false" outlineLevel="0" collapsed="false">
      <c r="A67" s="7" t="s">
        <v>1223</v>
      </c>
      <c r="B67" s="43" t="s">
        <v>1295</v>
      </c>
      <c r="C67" s="38" t="n">
        <f aca="false">BigMac!H73</f>
        <v>0.18975</v>
      </c>
      <c r="D67" s="43" t="s">
        <v>1225</v>
      </c>
      <c r="E67" s="9" t="n">
        <f aca="false">BigMac!A73</f>
        <v>46204</v>
      </c>
      <c r="F67" s="44" t="s">
        <v>1226</v>
      </c>
      <c r="G67" s="44" t="s">
        <v>1227</v>
      </c>
      <c r="H67" s="44" t="s">
        <v>559</v>
      </c>
      <c r="I67" s="4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7" min="6" style="0" width="34"/>
    <col collapsed="false" customWidth="true" hidden="false" outlineLevel="0" max="8" min="8" style="0" width="22"/>
    <col collapsed="false" customWidth="true" hidden="false" outlineLevel="0" max="9" min="9" style="0" width="70"/>
  </cols>
  <sheetData>
    <row r="1" customFormat="false" ht="16.15" hidden="false" customHeight="false" outlineLevel="0" collapsed="false">
      <c r="A1" s="1" t="s">
        <v>1296</v>
      </c>
    </row>
    <row r="2" customFormat="false" ht="15" hidden="false" customHeight="false" outlineLevel="0" collapsed="false">
      <c r="A2" s="2" t="s">
        <v>1138</v>
      </c>
    </row>
    <row r="4" customFormat="false" ht="15" hidden="false" customHeight="false" outlineLevel="0" collapsed="false">
      <c r="A4" s="3" t="s">
        <v>1139</v>
      </c>
      <c r="B4" s="3" t="s">
        <v>755</v>
      </c>
      <c r="C4" s="3" t="s">
        <v>1140</v>
      </c>
      <c r="D4" s="3" t="s">
        <v>9</v>
      </c>
      <c r="E4" s="3" t="s">
        <v>1141</v>
      </c>
      <c r="F4" s="3" t="s">
        <v>5</v>
      </c>
      <c r="G4" s="3" t="s">
        <v>6</v>
      </c>
      <c r="H4" s="3" t="s">
        <v>1142</v>
      </c>
      <c r="I4" s="3" t="s">
        <v>1060</v>
      </c>
    </row>
    <row r="5" customFormat="false" ht="15" hidden="false" customHeight="false" outlineLevel="0" collapsed="false">
      <c r="A5" s="7" t="s">
        <v>1143</v>
      </c>
      <c r="B5" s="43" t="s">
        <v>585</v>
      </c>
      <c r="C5" s="10" t="n">
        <f aca="false">FX_Daily!E12</f>
        <v>1.1259</v>
      </c>
      <c r="D5" s="43" t="s">
        <v>38</v>
      </c>
      <c r="E5" s="9" t="n">
        <f aca="false">FX_Daily!E11</f>
        <v>46297</v>
      </c>
      <c r="F5" s="44" t="s">
        <v>17</v>
      </c>
      <c r="G5" s="44" t="s">
        <v>35</v>
      </c>
      <c r="H5" s="44" t="s">
        <v>15</v>
      </c>
      <c r="I5" s="44"/>
    </row>
    <row r="6" customFormat="false" ht="15" hidden="false" customHeight="false" outlineLevel="0" collapsed="false">
      <c r="A6" s="7" t="s">
        <v>1143</v>
      </c>
      <c r="B6" s="43" t="s">
        <v>1297</v>
      </c>
      <c r="C6" s="10" t="n">
        <f aca="false">1/FX_Daily!E12</f>
        <v>0.888178346211919</v>
      </c>
      <c r="D6" s="43" t="s">
        <v>1298</v>
      </c>
      <c r="E6" s="9" t="n">
        <f aca="false">FX_Daily!E11</f>
        <v>46297</v>
      </c>
      <c r="F6" s="44" t="s">
        <v>1299</v>
      </c>
      <c r="G6" s="44" t="s">
        <v>35</v>
      </c>
      <c r="H6" s="44" t="s">
        <v>15</v>
      </c>
      <c r="I6" s="44" t="s">
        <v>1300</v>
      </c>
    </row>
    <row r="7" customFormat="false" ht="15" hidden="false" customHeight="false" outlineLevel="0" collapsed="false">
      <c r="A7" s="7" t="s">
        <v>1143</v>
      </c>
      <c r="B7" s="43" t="s">
        <v>589</v>
      </c>
      <c r="C7" s="10" t="n">
        <f aca="false">FX_Daily!I12</f>
        <v>1.1269</v>
      </c>
      <c r="D7" s="43" t="s">
        <v>59</v>
      </c>
      <c r="E7" s="9" t="n">
        <f aca="false">FX_Daily!I11</f>
        <v>46301</v>
      </c>
      <c r="F7" s="44" t="s">
        <v>55</v>
      </c>
      <c r="G7" s="44" t="s">
        <v>56</v>
      </c>
      <c r="H7" s="44" t="s">
        <v>15</v>
      </c>
      <c r="I7" s="44"/>
    </row>
    <row r="8" customFormat="false" ht="15" hidden="false" customHeight="false" outlineLevel="0" collapsed="false">
      <c r="A8" s="7" t="s">
        <v>1144</v>
      </c>
      <c r="B8" s="43" t="s">
        <v>1301</v>
      </c>
      <c r="C8" s="19" t="n">
        <f aca="false">Rates_Daily!F12</f>
        <v>2.5</v>
      </c>
      <c r="D8" s="43" t="s">
        <v>125</v>
      </c>
      <c r="E8" s="9" t="n">
        <f aca="false">Rates_Daily!F11</f>
        <v>46302</v>
      </c>
      <c r="F8" s="44" t="s">
        <v>55</v>
      </c>
      <c r="G8" s="44" t="s">
        <v>128</v>
      </c>
      <c r="H8" s="44" t="s">
        <v>106</v>
      </c>
      <c r="I8" s="44" t="s">
        <v>1302</v>
      </c>
    </row>
    <row r="9" customFormat="false" ht="15" hidden="false" customHeight="false" outlineLevel="0" collapsed="false">
      <c r="A9" s="7" t="s">
        <v>1144</v>
      </c>
      <c r="B9" s="43" t="s">
        <v>1303</v>
      </c>
      <c r="C9" s="19" t="n">
        <f aca="false">Rates_Daily!E12</f>
        <v>2.439</v>
      </c>
      <c r="D9" s="43" t="s">
        <v>125</v>
      </c>
      <c r="E9" s="9" t="n">
        <f aca="false">Rates_Daily!E11</f>
        <v>46301</v>
      </c>
      <c r="F9" s="44" t="s">
        <v>55</v>
      </c>
      <c r="G9" s="44" t="s">
        <v>122</v>
      </c>
      <c r="H9" s="44" t="s">
        <v>106</v>
      </c>
      <c r="I9" s="44"/>
    </row>
    <row r="10" customFormat="false" ht="15" hidden="false" customHeight="false" outlineLevel="0" collapsed="false">
      <c r="A10" s="7" t="s">
        <v>1144</v>
      </c>
      <c r="B10" s="43" t="s">
        <v>1304</v>
      </c>
      <c r="C10" s="19" t="n">
        <f aca="false">Rates_Monthly!M12</f>
        <v>2.4143636</v>
      </c>
      <c r="D10" s="43" t="s">
        <v>125</v>
      </c>
      <c r="E10" s="9" t="n">
        <f aca="false">Rates_Monthly!M11</f>
        <v>46266</v>
      </c>
      <c r="F10" s="44" t="s">
        <v>223</v>
      </c>
      <c r="G10" s="44" t="s">
        <v>224</v>
      </c>
      <c r="H10" s="44" t="s">
        <v>184</v>
      </c>
      <c r="I10" s="44" t="s">
        <v>1305</v>
      </c>
    </row>
    <row r="11" customFormat="false" ht="15" hidden="false" customHeight="false" outlineLevel="0" collapsed="false">
      <c r="A11" s="7" t="s">
        <v>1144</v>
      </c>
      <c r="B11" s="43" t="s">
        <v>1306</v>
      </c>
      <c r="C11" s="19" t="n">
        <f aca="false">Rates_Monthly!N12</f>
        <v>2.6350455</v>
      </c>
      <c r="D11" s="43" t="s">
        <v>125</v>
      </c>
      <c r="E11" s="9" t="n">
        <f aca="false">Rates_Monthly!N11</f>
        <v>46266</v>
      </c>
      <c r="F11" s="44" t="s">
        <v>223</v>
      </c>
      <c r="G11" s="44" t="s">
        <v>229</v>
      </c>
      <c r="H11" s="44" t="s">
        <v>184</v>
      </c>
      <c r="I11" s="44" t="s">
        <v>1305</v>
      </c>
    </row>
    <row r="12" customFormat="false" ht="15" hidden="false" customHeight="false" outlineLevel="0" collapsed="false">
      <c r="A12" s="7" t="s">
        <v>1144</v>
      </c>
      <c r="B12" s="43" t="s">
        <v>1307</v>
      </c>
      <c r="C12" s="19" t="n">
        <f aca="false">Rates_Monthly!O12</f>
        <v>2.9215909</v>
      </c>
      <c r="D12" s="43" t="s">
        <v>125</v>
      </c>
      <c r="E12" s="9" t="n">
        <f aca="false">Rates_Monthly!O11</f>
        <v>46266</v>
      </c>
      <c r="F12" s="44" t="s">
        <v>223</v>
      </c>
      <c r="G12" s="44" t="s">
        <v>233</v>
      </c>
      <c r="H12" s="44" t="s">
        <v>184</v>
      </c>
      <c r="I12" s="44" t="s">
        <v>1305</v>
      </c>
    </row>
    <row r="13" customFormat="false" ht="15" hidden="false" customHeight="false" outlineLevel="0" collapsed="false">
      <c r="A13" s="7" t="s">
        <v>1144</v>
      </c>
      <c r="B13" s="43" t="s">
        <v>1308</v>
      </c>
      <c r="C13" s="19" t="n">
        <f aca="false">Rates_Monthly!P12</f>
        <v>3.247</v>
      </c>
      <c r="D13" s="43" t="s">
        <v>125</v>
      </c>
      <c r="E13" s="9" t="n">
        <f aca="false">Rates_Monthly!P11</f>
        <v>46266</v>
      </c>
      <c r="F13" s="44" t="s">
        <v>223</v>
      </c>
      <c r="G13" s="44" t="s">
        <v>237</v>
      </c>
      <c r="H13" s="44" t="s">
        <v>184</v>
      </c>
      <c r="I13" s="44" t="s">
        <v>1305</v>
      </c>
    </row>
    <row r="14" customFormat="false" ht="15" hidden="false" customHeight="false" outlineLevel="0" collapsed="false">
      <c r="A14" s="7" t="s">
        <v>374</v>
      </c>
      <c r="B14" s="43" t="s">
        <v>1271</v>
      </c>
      <c r="C14" s="20" t="n">
        <f aca="false">Inflation!M12</f>
        <v>3.4</v>
      </c>
      <c r="D14" s="43" t="s">
        <v>387</v>
      </c>
      <c r="E14" s="45" t="n">
        <f aca="false">Inflation!M11</f>
        <v>46266</v>
      </c>
      <c r="F14" s="44" t="s">
        <v>422</v>
      </c>
      <c r="G14" s="44" t="s">
        <v>423</v>
      </c>
      <c r="H14" s="44" t="s">
        <v>374</v>
      </c>
      <c r="I14" s="44"/>
    </row>
    <row r="15" customFormat="false" ht="15" hidden="false" customHeight="false" outlineLevel="0" collapsed="false">
      <c r="A15" s="7" t="s">
        <v>374</v>
      </c>
      <c r="B15" s="43" t="s">
        <v>1309</v>
      </c>
      <c r="C15" s="20" t="n">
        <f aca="false">Inflation!I12</f>
        <v>0.7919967</v>
      </c>
      <c r="D15" s="43" t="s">
        <v>387</v>
      </c>
      <c r="E15" s="45" t="n">
        <f aca="false">Inflation!I11</f>
        <v>45992</v>
      </c>
      <c r="F15" s="44" t="s">
        <v>383</v>
      </c>
      <c r="G15" s="44" t="s">
        <v>406</v>
      </c>
      <c r="H15" s="44" t="s">
        <v>374</v>
      </c>
      <c r="I15" s="44" t="s">
        <v>1310</v>
      </c>
    </row>
    <row r="16" customFormat="false" ht="15" hidden="false" customHeight="false" outlineLevel="0" collapsed="false">
      <c r="A16" s="7" t="s">
        <v>374</v>
      </c>
      <c r="B16" s="43" t="s">
        <v>1311</v>
      </c>
      <c r="C16" s="20" t="n">
        <f aca="false">Inflation!P12</f>
        <v>3.8</v>
      </c>
      <c r="D16" s="43" t="s">
        <v>387</v>
      </c>
      <c r="E16" s="45" t="n">
        <f aca="false">Inflation!P11</f>
        <v>46266</v>
      </c>
      <c r="F16" s="44" t="s">
        <v>422</v>
      </c>
      <c r="G16" s="44" t="s">
        <v>435</v>
      </c>
      <c r="H16" s="44" t="s">
        <v>374</v>
      </c>
      <c r="I16" s="44"/>
    </row>
    <row r="17" customFormat="false" ht="15" hidden="false" customHeight="false" outlineLevel="0" collapsed="false">
      <c r="A17" s="7" t="s">
        <v>1154</v>
      </c>
      <c r="B17" s="43" t="s">
        <v>1155</v>
      </c>
      <c r="C17" s="36" t="n">
        <f aca="false">GDP_Growth!X40</f>
        <v>3366315927447.33</v>
      </c>
      <c r="D17" s="43" t="s">
        <v>478</v>
      </c>
      <c r="E17" s="16" t="str">
        <f aca="false">GDP_Growth!W40</f>
        <v>2025</v>
      </c>
      <c r="F17" s="44" t="s">
        <v>469</v>
      </c>
      <c r="G17" s="44" t="s">
        <v>475</v>
      </c>
      <c r="H17" s="44" t="s">
        <v>453</v>
      </c>
      <c r="I17" s="44"/>
    </row>
    <row r="18" customFormat="false" ht="15" hidden="false" customHeight="false" outlineLevel="0" collapsed="false">
      <c r="A18" s="7" t="s">
        <v>1154</v>
      </c>
      <c r="B18" s="43" t="s">
        <v>1156</v>
      </c>
      <c r="C18" s="34" t="n">
        <f aca="false">GDP_Growth!AB20</f>
        <v>3368.925</v>
      </c>
      <c r="D18" s="43" t="s">
        <v>467</v>
      </c>
      <c r="E18" s="16" t="str">
        <f aca="false">GDP_Growth!AA20</f>
        <v>2025</v>
      </c>
      <c r="F18" s="44" t="s">
        <v>455</v>
      </c>
      <c r="G18" s="44" t="s">
        <v>464</v>
      </c>
      <c r="H18" s="44" t="s">
        <v>453</v>
      </c>
      <c r="I18" s="44"/>
    </row>
    <row r="19" customFormat="false" ht="15" hidden="false" customHeight="false" outlineLevel="0" collapsed="false">
      <c r="A19" s="7" t="s">
        <v>1154</v>
      </c>
      <c r="B19" s="43" t="s">
        <v>1157</v>
      </c>
      <c r="C19" s="36" t="n">
        <f aca="false">GDP_Growth!X50</f>
        <v>48985.7307807924</v>
      </c>
      <c r="D19" s="43" t="s">
        <v>478</v>
      </c>
      <c r="E19" s="16" t="str">
        <f aca="false">GDP_Growth!W50</f>
        <v>2025</v>
      </c>
      <c r="F19" s="44" t="s">
        <v>469</v>
      </c>
      <c r="G19" s="44" t="s">
        <v>480</v>
      </c>
      <c r="H19" s="44" t="s">
        <v>453</v>
      </c>
      <c r="I19" s="44"/>
    </row>
    <row r="20" customFormat="false" ht="15" hidden="false" customHeight="false" outlineLevel="0" collapsed="false">
      <c r="A20" s="7" t="s">
        <v>1154</v>
      </c>
      <c r="B20" s="43" t="s">
        <v>1158</v>
      </c>
      <c r="C20" s="20" t="n">
        <f aca="false">GDP_Growth!X30</f>
        <v>0.840949955479587</v>
      </c>
      <c r="D20" s="43" t="s">
        <v>473</v>
      </c>
      <c r="E20" s="16" t="str">
        <f aca="false">GDP_Growth!W30</f>
        <v>2025</v>
      </c>
      <c r="F20" s="44" t="s">
        <v>469</v>
      </c>
      <c r="G20" s="44" t="s">
        <v>470</v>
      </c>
      <c r="H20" s="44" t="s">
        <v>453</v>
      </c>
      <c r="I20" s="44"/>
    </row>
    <row r="21" customFormat="false" ht="15" hidden="false" customHeight="false" outlineLevel="0" collapsed="false">
      <c r="A21" s="7" t="s">
        <v>1154</v>
      </c>
      <c r="B21" s="43" t="s">
        <v>1159</v>
      </c>
      <c r="C21" s="20" t="n">
        <f aca="false">GDP_Growth!AB10</f>
        <v>0.9</v>
      </c>
      <c r="D21" s="43" t="s">
        <v>459</v>
      </c>
      <c r="E21" s="16" t="str">
        <f aca="false">GDP_Growth!AA10</f>
        <v>2025</v>
      </c>
      <c r="F21" s="44" t="s">
        <v>455</v>
      </c>
      <c r="G21" s="44" t="s">
        <v>456</v>
      </c>
      <c r="H21" s="44" t="s">
        <v>453</v>
      </c>
      <c r="I21" s="44" t="s">
        <v>1160</v>
      </c>
    </row>
    <row r="22" customFormat="false" ht="15" hidden="false" customHeight="false" outlineLevel="0" collapsed="false">
      <c r="A22" s="7" t="s">
        <v>1161</v>
      </c>
      <c r="B22" s="43" t="s">
        <v>1162</v>
      </c>
      <c r="C22" s="20" t="n">
        <f aca="false">GDP_Growth!Y10</f>
        <v>0.9</v>
      </c>
      <c r="D22" s="43" t="s">
        <v>459</v>
      </c>
      <c r="E22" s="11" t="s">
        <v>1163</v>
      </c>
      <c r="F22" s="44" t="s">
        <v>455</v>
      </c>
      <c r="G22" s="44" t="s">
        <v>456</v>
      </c>
      <c r="H22" s="44" t="s">
        <v>453</v>
      </c>
      <c r="I22" s="44" t="s">
        <v>1164</v>
      </c>
    </row>
    <row r="23" customFormat="false" ht="15" hidden="false" customHeight="false" outlineLevel="0" collapsed="false">
      <c r="A23" s="7" t="s">
        <v>1161</v>
      </c>
      <c r="B23" s="43" t="s">
        <v>1165</v>
      </c>
      <c r="C23" s="20" t="n">
        <f aca="false">GDP_Growth!Z10</f>
        <v>0.9</v>
      </c>
      <c r="D23" s="43" t="s">
        <v>459</v>
      </c>
      <c r="E23" s="11" t="s">
        <v>1166</v>
      </c>
      <c r="F23" s="44" t="s">
        <v>455</v>
      </c>
      <c r="G23" s="44" t="s">
        <v>456</v>
      </c>
      <c r="H23" s="44" t="s">
        <v>453</v>
      </c>
      <c r="I23" s="44" t="s">
        <v>1164</v>
      </c>
    </row>
    <row r="24" customFormat="false" ht="15" hidden="false" customHeight="false" outlineLevel="0" collapsed="false">
      <c r="A24" s="7" t="s">
        <v>1167</v>
      </c>
      <c r="B24" s="43" t="s">
        <v>1168</v>
      </c>
      <c r="C24" s="21" t="n">
        <f aca="false">GDP_Growth!J102</f>
        <v>0.035424583</v>
      </c>
      <c r="D24" s="43" t="s">
        <v>538</v>
      </c>
      <c r="E24" s="16" t="str">
        <f aca="false">GDP_Growth!J101</f>
        <v>2026-Q2</v>
      </c>
      <c r="F24" s="44" t="s">
        <v>1169</v>
      </c>
      <c r="G24" s="44" t="s">
        <v>1170</v>
      </c>
      <c r="H24" s="44" t="s">
        <v>453</v>
      </c>
      <c r="I24" s="44"/>
    </row>
    <row r="25" customFormat="false" ht="15" hidden="false" customHeight="false" outlineLevel="0" collapsed="false">
      <c r="A25" s="7" t="s">
        <v>1167</v>
      </c>
      <c r="B25" s="43" t="s">
        <v>1171</v>
      </c>
      <c r="C25" s="21" t="n">
        <f aca="false">GDP_Growth!K102</f>
        <v>0.542273857</v>
      </c>
      <c r="D25" s="43" t="s">
        <v>538</v>
      </c>
      <c r="E25" s="16" t="str">
        <f aca="false">GDP_Growth!K101</f>
        <v>2026-Q2</v>
      </c>
      <c r="F25" s="44" t="s">
        <v>1169</v>
      </c>
      <c r="G25" s="44" t="s">
        <v>1172</v>
      </c>
      <c r="H25" s="44" t="s">
        <v>453</v>
      </c>
      <c r="I25" s="44"/>
    </row>
    <row r="26" customFormat="false" ht="15" hidden="false" customHeight="false" outlineLevel="0" collapsed="false">
      <c r="A26" s="7" t="s">
        <v>1154</v>
      </c>
      <c r="B26" s="43" t="s">
        <v>1173</v>
      </c>
      <c r="C26" s="20" t="n">
        <f aca="false">Trade_CurrentAccount!X10</f>
        <v>33.3928225145364</v>
      </c>
      <c r="D26" s="43" t="s">
        <v>506</v>
      </c>
      <c r="E26" s="16" t="str">
        <f aca="false">Trade_CurrentAccount!W10</f>
        <v>2025</v>
      </c>
      <c r="F26" s="44" t="s">
        <v>469</v>
      </c>
      <c r="G26" s="44" t="s">
        <v>503</v>
      </c>
      <c r="H26" s="44" t="s">
        <v>501</v>
      </c>
      <c r="I26" s="44"/>
    </row>
    <row r="27" customFormat="false" ht="15" hidden="false" customHeight="false" outlineLevel="0" collapsed="false">
      <c r="A27" s="7" t="s">
        <v>1154</v>
      </c>
      <c r="B27" s="43" t="s">
        <v>1174</v>
      </c>
      <c r="C27" s="20" t="n">
        <f aca="false">Trade_CurrentAccount!X20</f>
        <v>33.7995547693485</v>
      </c>
      <c r="D27" s="43" t="s">
        <v>506</v>
      </c>
      <c r="E27" s="16" t="str">
        <f aca="false">Trade_CurrentAccount!W20</f>
        <v>2025</v>
      </c>
      <c r="F27" s="44" t="s">
        <v>469</v>
      </c>
      <c r="G27" s="44" t="s">
        <v>508</v>
      </c>
      <c r="H27" s="44" t="s">
        <v>501</v>
      </c>
      <c r="I27" s="44"/>
    </row>
    <row r="28" customFormat="false" ht="15" hidden="false" customHeight="false" outlineLevel="0" collapsed="false">
      <c r="A28" s="7" t="s">
        <v>1154</v>
      </c>
      <c r="B28" s="43" t="s">
        <v>1175</v>
      </c>
      <c r="C28" s="20" t="n">
        <f aca="false">Trade_CurrentAccount!X30</f>
        <v>-0.274343403515968</v>
      </c>
      <c r="D28" s="43" t="s">
        <v>506</v>
      </c>
      <c r="E28" s="16" t="str">
        <f aca="false">Trade_CurrentAccount!W30</f>
        <v>2025</v>
      </c>
      <c r="F28" s="44" t="s">
        <v>469</v>
      </c>
      <c r="G28" s="44" t="s">
        <v>512</v>
      </c>
      <c r="H28" s="44" t="s">
        <v>501</v>
      </c>
      <c r="I28" s="44"/>
    </row>
    <row r="29" customFormat="false" ht="15" hidden="false" customHeight="false" outlineLevel="0" collapsed="false">
      <c r="A29" s="7" t="s">
        <v>1154</v>
      </c>
      <c r="B29" s="43" t="s">
        <v>1176</v>
      </c>
      <c r="C29" s="20" t="n">
        <f aca="false">Trade_CurrentAccount!AB40</f>
        <v>-0.4</v>
      </c>
      <c r="D29" s="43" t="s">
        <v>506</v>
      </c>
      <c r="E29" s="16" t="str">
        <f aca="false">Trade_CurrentAccount!AA40</f>
        <v>2025</v>
      </c>
      <c r="F29" s="44" t="s">
        <v>455</v>
      </c>
      <c r="G29" s="44" t="s">
        <v>516</v>
      </c>
      <c r="H29" s="44" t="s">
        <v>501</v>
      </c>
      <c r="I29" s="44"/>
    </row>
    <row r="30" customFormat="false" ht="15" hidden="false" customHeight="false" outlineLevel="0" collapsed="false">
      <c r="A30" s="7" t="s">
        <v>1161</v>
      </c>
      <c r="B30" s="43" t="s">
        <v>1177</v>
      </c>
      <c r="C30" s="20" t="n">
        <f aca="false">Trade_CurrentAccount!Y40</f>
        <v>-0.3</v>
      </c>
      <c r="D30" s="43" t="s">
        <v>506</v>
      </c>
      <c r="E30" s="11" t="s">
        <v>1163</v>
      </c>
      <c r="F30" s="44" t="s">
        <v>455</v>
      </c>
      <c r="G30" s="44" t="s">
        <v>516</v>
      </c>
      <c r="H30" s="44" t="s">
        <v>501</v>
      </c>
      <c r="I30" s="44" t="s">
        <v>1164</v>
      </c>
    </row>
    <row r="31" customFormat="false" ht="15" hidden="false" customHeight="false" outlineLevel="0" collapsed="false">
      <c r="A31" s="7" t="s">
        <v>1178</v>
      </c>
      <c r="B31" s="43" t="s">
        <v>1179</v>
      </c>
      <c r="C31" s="10" t="str">
        <f aca="false">Trade_CurrentAccount!D135</f>
        <v>Germany</v>
      </c>
      <c r="D31" s="43" t="s">
        <v>1180</v>
      </c>
      <c r="E31" s="11" t="s">
        <v>526</v>
      </c>
      <c r="F31" s="44" t="s">
        <v>1181</v>
      </c>
      <c r="G31" s="44" t="s">
        <v>1182</v>
      </c>
      <c r="H31" s="44" t="s">
        <v>501</v>
      </c>
      <c r="I31" s="44"/>
    </row>
    <row r="32" customFormat="false" ht="15" hidden="false" customHeight="false" outlineLevel="0" collapsed="false">
      <c r="A32" s="7" t="s">
        <v>1178</v>
      </c>
      <c r="B32" s="43" t="s">
        <v>1183</v>
      </c>
      <c r="C32" s="38" t="n">
        <f aca="false">Trade_CurrentAccount!F135</f>
        <v>0.133705385876003</v>
      </c>
      <c r="D32" s="43" t="s">
        <v>1184</v>
      </c>
      <c r="E32" s="11" t="s">
        <v>526</v>
      </c>
      <c r="F32" s="44" t="s">
        <v>1181</v>
      </c>
      <c r="G32" s="44" t="s">
        <v>1185</v>
      </c>
      <c r="H32" s="44" t="s">
        <v>501</v>
      </c>
      <c r="I32" s="44"/>
    </row>
    <row r="33" customFormat="false" ht="15" hidden="false" customHeight="false" outlineLevel="0" collapsed="false">
      <c r="A33" s="7" t="s">
        <v>1178</v>
      </c>
      <c r="B33" s="43" t="s">
        <v>1186</v>
      </c>
      <c r="C33" s="10" t="str">
        <f aca="false">Trade_CurrentAccount!D136</f>
        <v>USA</v>
      </c>
      <c r="D33" s="43" t="s">
        <v>1180</v>
      </c>
      <c r="E33" s="11" t="s">
        <v>526</v>
      </c>
      <c r="F33" s="44" t="s">
        <v>1181</v>
      </c>
      <c r="G33" s="44" t="s">
        <v>1182</v>
      </c>
      <c r="H33" s="44" t="s">
        <v>501</v>
      </c>
      <c r="I33" s="44"/>
    </row>
    <row r="34" customFormat="false" ht="15" hidden="false" customHeight="false" outlineLevel="0" collapsed="false">
      <c r="A34" s="7" t="s">
        <v>1178</v>
      </c>
      <c r="B34" s="43" t="s">
        <v>1183</v>
      </c>
      <c r="C34" s="38" t="n">
        <f aca="false">Trade_CurrentAccount!F136</f>
        <v>0.081311683182087</v>
      </c>
      <c r="D34" s="43" t="s">
        <v>1184</v>
      </c>
      <c r="E34" s="11" t="s">
        <v>526</v>
      </c>
      <c r="F34" s="44" t="s">
        <v>1181</v>
      </c>
      <c r="G34" s="44" t="s">
        <v>1185</v>
      </c>
      <c r="H34" s="44" t="s">
        <v>501</v>
      </c>
      <c r="I34" s="44"/>
    </row>
    <row r="35" customFormat="false" ht="15" hidden="false" customHeight="false" outlineLevel="0" collapsed="false">
      <c r="A35" s="7" t="s">
        <v>1178</v>
      </c>
      <c r="B35" s="43" t="s">
        <v>1187</v>
      </c>
      <c r="C35" s="10" t="str">
        <f aca="false">Trade_CurrentAccount!D137</f>
        <v>Italy</v>
      </c>
      <c r="D35" s="43" t="s">
        <v>1180</v>
      </c>
      <c r="E35" s="11" t="s">
        <v>526</v>
      </c>
      <c r="F35" s="44" t="s">
        <v>1181</v>
      </c>
      <c r="G35" s="44" t="s">
        <v>1182</v>
      </c>
      <c r="H35" s="44" t="s">
        <v>501</v>
      </c>
      <c r="I35" s="44"/>
    </row>
    <row r="36" customFormat="false" ht="15" hidden="false" customHeight="false" outlineLevel="0" collapsed="false">
      <c r="A36" s="7" t="s">
        <v>1178</v>
      </c>
      <c r="B36" s="43" t="s">
        <v>1183</v>
      </c>
      <c r="C36" s="38" t="n">
        <f aca="false">Trade_CurrentAccount!F137</f>
        <v>0.0794101692634035</v>
      </c>
      <c r="D36" s="43" t="s">
        <v>1184</v>
      </c>
      <c r="E36" s="11" t="s">
        <v>526</v>
      </c>
      <c r="F36" s="44" t="s">
        <v>1181</v>
      </c>
      <c r="G36" s="44" t="s">
        <v>1185</v>
      </c>
      <c r="H36" s="44" t="s">
        <v>501</v>
      </c>
      <c r="I36" s="44"/>
    </row>
    <row r="37" customFormat="false" ht="15" hidden="false" customHeight="false" outlineLevel="0" collapsed="false">
      <c r="A37" s="7" t="s">
        <v>1178</v>
      </c>
      <c r="B37" s="43" t="s">
        <v>1188</v>
      </c>
      <c r="C37" s="10" t="str">
        <f aca="false">Trade_CurrentAccount!D138</f>
        <v>Spain</v>
      </c>
      <c r="D37" s="43" t="s">
        <v>1180</v>
      </c>
      <c r="E37" s="11" t="s">
        <v>526</v>
      </c>
      <c r="F37" s="44" t="s">
        <v>1181</v>
      </c>
      <c r="G37" s="44" t="s">
        <v>1182</v>
      </c>
      <c r="H37" s="44" t="s">
        <v>501</v>
      </c>
      <c r="I37" s="44"/>
    </row>
    <row r="38" customFormat="false" ht="15" hidden="false" customHeight="false" outlineLevel="0" collapsed="false">
      <c r="A38" s="7" t="s">
        <v>1178</v>
      </c>
      <c r="B38" s="43" t="s">
        <v>1183</v>
      </c>
      <c r="C38" s="38" t="n">
        <f aca="false">Trade_CurrentAccount!F138</f>
        <v>0.0748613431119659</v>
      </c>
      <c r="D38" s="43" t="s">
        <v>1184</v>
      </c>
      <c r="E38" s="11" t="s">
        <v>526</v>
      </c>
      <c r="F38" s="44" t="s">
        <v>1181</v>
      </c>
      <c r="G38" s="44" t="s">
        <v>1185</v>
      </c>
      <c r="H38" s="44" t="s">
        <v>501</v>
      </c>
      <c r="I38" s="44"/>
    </row>
    <row r="39" customFormat="false" ht="15" hidden="false" customHeight="false" outlineLevel="0" collapsed="false">
      <c r="A39" s="7" t="s">
        <v>1178</v>
      </c>
      <c r="B39" s="43" t="s">
        <v>1189</v>
      </c>
      <c r="C39" s="10" t="str">
        <f aca="false">Trade_CurrentAccount!D139</f>
        <v>Belgium</v>
      </c>
      <c r="D39" s="43" t="s">
        <v>1180</v>
      </c>
      <c r="E39" s="11" t="s">
        <v>526</v>
      </c>
      <c r="F39" s="44" t="s">
        <v>1181</v>
      </c>
      <c r="G39" s="44" t="s">
        <v>1182</v>
      </c>
      <c r="H39" s="44" t="s">
        <v>501</v>
      </c>
      <c r="I39" s="44"/>
    </row>
    <row r="40" customFormat="false" ht="15" hidden="false" customHeight="false" outlineLevel="0" collapsed="false">
      <c r="A40" s="7" t="s">
        <v>1178</v>
      </c>
      <c r="B40" s="43" t="s">
        <v>1183</v>
      </c>
      <c r="C40" s="38" t="n">
        <f aca="false">Trade_CurrentAccount!F139</f>
        <v>0.0745255249288117</v>
      </c>
      <c r="D40" s="43" t="s">
        <v>1184</v>
      </c>
      <c r="E40" s="11" t="s">
        <v>526</v>
      </c>
      <c r="F40" s="44" t="s">
        <v>1181</v>
      </c>
      <c r="G40" s="44" t="s">
        <v>1185</v>
      </c>
      <c r="H40" s="44" t="s">
        <v>501</v>
      </c>
      <c r="I40" s="44"/>
    </row>
    <row r="41" customFormat="false" ht="15" hidden="false" customHeight="false" outlineLevel="0" collapsed="false">
      <c r="A41" s="7" t="s">
        <v>1178</v>
      </c>
      <c r="B41" s="43" t="s">
        <v>1190</v>
      </c>
      <c r="C41" s="10" t="str">
        <f aca="false">Trade_CurrentAccount!D146</f>
        <v>Germany</v>
      </c>
      <c r="D41" s="43" t="s">
        <v>1180</v>
      </c>
      <c r="E41" s="11" t="s">
        <v>526</v>
      </c>
      <c r="F41" s="44" t="s">
        <v>1181</v>
      </c>
      <c r="G41" s="44" t="s">
        <v>1182</v>
      </c>
      <c r="H41" s="44" t="s">
        <v>501</v>
      </c>
      <c r="I41" s="44"/>
    </row>
    <row r="42" customFormat="false" ht="15" hidden="false" customHeight="false" outlineLevel="0" collapsed="false">
      <c r="A42" s="7" t="s">
        <v>1178</v>
      </c>
      <c r="B42" s="43" t="s">
        <v>1191</v>
      </c>
      <c r="C42" s="38" t="n">
        <f aca="false">Trade_CurrentAccount!F146</f>
        <v>0.123529817592293</v>
      </c>
      <c r="D42" s="43" t="s">
        <v>1184</v>
      </c>
      <c r="E42" s="11" t="s">
        <v>526</v>
      </c>
      <c r="F42" s="44" t="s">
        <v>1181</v>
      </c>
      <c r="G42" s="44" t="s">
        <v>1185</v>
      </c>
      <c r="H42" s="44" t="s">
        <v>501</v>
      </c>
      <c r="I42" s="44"/>
    </row>
    <row r="43" customFormat="false" ht="15" hidden="false" customHeight="false" outlineLevel="0" collapsed="false">
      <c r="A43" s="7" t="s">
        <v>1178</v>
      </c>
      <c r="B43" s="43" t="s">
        <v>1192</v>
      </c>
      <c r="C43" s="10" t="str">
        <f aca="false">Trade_CurrentAccount!D147</f>
        <v>China</v>
      </c>
      <c r="D43" s="43" t="s">
        <v>1180</v>
      </c>
      <c r="E43" s="11" t="s">
        <v>526</v>
      </c>
      <c r="F43" s="44" t="s">
        <v>1181</v>
      </c>
      <c r="G43" s="44" t="s">
        <v>1182</v>
      </c>
      <c r="H43" s="44" t="s">
        <v>501</v>
      </c>
      <c r="I43" s="44"/>
    </row>
    <row r="44" customFormat="false" ht="15" hidden="false" customHeight="false" outlineLevel="0" collapsed="false">
      <c r="A44" s="7" t="s">
        <v>1178</v>
      </c>
      <c r="B44" s="43" t="s">
        <v>1191</v>
      </c>
      <c r="C44" s="38" t="n">
        <f aca="false">Trade_CurrentAccount!F147</f>
        <v>0.105460760677146</v>
      </c>
      <c r="D44" s="43" t="s">
        <v>1184</v>
      </c>
      <c r="E44" s="11" t="s">
        <v>526</v>
      </c>
      <c r="F44" s="44" t="s">
        <v>1181</v>
      </c>
      <c r="G44" s="44" t="s">
        <v>1185</v>
      </c>
      <c r="H44" s="44" t="s">
        <v>501</v>
      </c>
      <c r="I44" s="44"/>
    </row>
    <row r="45" customFormat="false" ht="15" hidden="false" customHeight="false" outlineLevel="0" collapsed="false">
      <c r="A45" s="7" t="s">
        <v>1178</v>
      </c>
      <c r="B45" s="43" t="s">
        <v>1193</v>
      </c>
      <c r="C45" s="10" t="str">
        <f aca="false">Trade_CurrentAccount!D148</f>
        <v>USA</v>
      </c>
      <c r="D45" s="43" t="s">
        <v>1180</v>
      </c>
      <c r="E45" s="11" t="s">
        <v>526</v>
      </c>
      <c r="F45" s="44" t="s">
        <v>1181</v>
      </c>
      <c r="G45" s="44" t="s">
        <v>1182</v>
      </c>
      <c r="H45" s="44" t="s">
        <v>501</v>
      </c>
      <c r="I45" s="44"/>
    </row>
    <row r="46" customFormat="false" ht="15" hidden="false" customHeight="false" outlineLevel="0" collapsed="false">
      <c r="A46" s="7" t="s">
        <v>1178</v>
      </c>
      <c r="B46" s="43" t="s">
        <v>1191</v>
      </c>
      <c r="C46" s="38" t="n">
        <f aca="false">Trade_CurrentAccount!F148</f>
        <v>0.0790814075284293</v>
      </c>
      <c r="D46" s="43" t="s">
        <v>1184</v>
      </c>
      <c r="E46" s="11" t="s">
        <v>526</v>
      </c>
      <c r="F46" s="44" t="s">
        <v>1181</v>
      </c>
      <c r="G46" s="44" t="s">
        <v>1185</v>
      </c>
      <c r="H46" s="44" t="s">
        <v>501</v>
      </c>
      <c r="I46" s="44"/>
    </row>
    <row r="47" customFormat="false" ht="15" hidden="false" customHeight="false" outlineLevel="0" collapsed="false">
      <c r="A47" s="7" t="s">
        <v>1178</v>
      </c>
      <c r="B47" s="43" t="s">
        <v>1194</v>
      </c>
      <c r="C47" s="10" t="str">
        <f aca="false">Trade_CurrentAccount!D149</f>
        <v>Italy</v>
      </c>
      <c r="D47" s="43" t="s">
        <v>1180</v>
      </c>
      <c r="E47" s="11" t="s">
        <v>526</v>
      </c>
      <c r="F47" s="44" t="s">
        <v>1181</v>
      </c>
      <c r="G47" s="44" t="s">
        <v>1182</v>
      </c>
      <c r="H47" s="44" t="s">
        <v>501</v>
      </c>
      <c r="I47" s="44"/>
    </row>
    <row r="48" customFormat="false" ht="15" hidden="false" customHeight="false" outlineLevel="0" collapsed="false">
      <c r="A48" s="7" t="s">
        <v>1178</v>
      </c>
      <c r="B48" s="43" t="s">
        <v>1191</v>
      </c>
      <c r="C48" s="38" t="n">
        <f aca="false">Trade_CurrentAccount!F149</f>
        <v>0.0775701078947954</v>
      </c>
      <c r="D48" s="43" t="s">
        <v>1184</v>
      </c>
      <c r="E48" s="11" t="s">
        <v>526</v>
      </c>
      <c r="F48" s="44" t="s">
        <v>1181</v>
      </c>
      <c r="G48" s="44" t="s">
        <v>1185</v>
      </c>
      <c r="H48" s="44" t="s">
        <v>501</v>
      </c>
      <c r="I48" s="44"/>
    </row>
    <row r="49" customFormat="false" ht="15" hidden="false" customHeight="false" outlineLevel="0" collapsed="false">
      <c r="A49" s="7" t="s">
        <v>1178</v>
      </c>
      <c r="B49" s="43" t="s">
        <v>1195</v>
      </c>
      <c r="C49" s="10" t="str">
        <f aca="false">Trade_CurrentAccount!D150</f>
        <v>Spain</v>
      </c>
      <c r="D49" s="43" t="s">
        <v>1180</v>
      </c>
      <c r="E49" s="11" t="s">
        <v>526</v>
      </c>
      <c r="F49" s="44" t="s">
        <v>1181</v>
      </c>
      <c r="G49" s="44" t="s">
        <v>1182</v>
      </c>
      <c r="H49" s="44" t="s">
        <v>501</v>
      </c>
      <c r="I49" s="44"/>
    </row>
    <row r="50" customFormat="false" ht="15" hidden="false" customHeight="false" outlineLevel="0" collapsed="false">
      <c r="A50" s="7" t="s">
        <v>1178</v>
      </c>
      <c r="B50" s="43" t="s">
        <v>1191</v>
      </c>
      <c r="C50" s="38" t="n">
        <f aca="false">Trade_CurrentAccount!F150</f>
        <v>0.06476022056185</v>
      </c>
      <c r="D50" s="43" t="s">
        <v>1184</v>
      </c>
      <c r="E50" s="11" t="s">
        <v>526</v>
      </c>
      <c r="F50" s="44" t="s">
        <v>1181</v>
      </c>
      <c r="G50" s="44" t="s">
        <v>1185</v>
      </c>
      <c r="H50" s="44" t="s">
        <v>501</v>
      </c>
      <c r="I50" s="44"/>
    </row>
    <row r="51" customFormat="false" ht="15" hidden="false" customHeight="false" outlineLevel="0" collapsed="false">
      <c r="A51" s="7" t="s">
        <v>1196</v>
      </c>
      <c r="B51" s="43" t="s">
        <v>1197</v>
      </c>
      <c r="C51" s="10" t="str">
        <f aca="false">Trade_CurrentAccount!D243</f>
        <v>84 - Machinery and mechanical appliances, boilers, nuclear reactors; parts thereof</v>
      </c>
      <c r="D51" s="43" t="s">
        <v>1027</v>
      </c>
      <c r="E51" s="11" t="s">
        <v>526</v>
      </c>
      <c r="F51" s="44" t="s">
        <v>1181</v>
      </c>
      <c r="G51" s="44" t="s">
        <v>1198</v>
      </c>
      <c r="H51" s="44" t="s">
        <v>501</v>
      </c>
      <c r="I51" s="44"/>
    </row>
    <row r="52" customFormat="false" ht="15" hidden="false" customHeight="false" outlineLevel="0" collapsed="false">
      <c r="A52" s="7" t="s">
        <v>1196</v>
      </c>
      <c r="B52" s="43" t="s">
        <v>1199</v>
      </c>
      <c r="C52" s="38" t="n">
        <f aca="false">Trade_CurrentAccount!F243</f>
        <v>0.121298749579386</v>
      </c>
      <c r="D52" s="43" t="s">
        <v>1184</v>
      </c>
      <c r="E52" s="11" t="s">
        <v>526</v>
      </c>
      <c r="F52" s="44" t="s">
        <v>1181</v>
      </c>
      <c r="G52" s="44" t="s">
        <v>1185</v>
      </c>
      <c r="H52" s="44" t="s">
        <v>501</v>
      </c>
      <c r="I52" s="44"/>
    </row>
    <row r="53" customFormat="false" ht="15" hidden="false" customHeight="false" outlineLevel="0" collapsed="false">
      <c r="A53" s="7" t="s">
        <v>1196</v>
      </c>
      <c r="B53" s="43" t="s">
        <v>1200</v>
      </c>
      <c r="C53" s="10" t="str">
        <f aca="false">Trade_CurrentAccount!D244</f>
        <v>87 - Vehicles; other than railway or tramway rolling stock, and parts and accessories thereof</v>
      </c>
      <c r="D53" s="43" t="s">
        <v>1027</v>
      </c>
      <c r="E53" s="11" t="s">
        <v>526</v>
      </c>
      <c r="F53" s="44" t="s">
        <v>1181</v>
      </c>
      <c r="G53" s="44" t="s">
        <v>1198</v>
      </c>
      <c r="H53" s="44" t="s">
        <v>501</v>
      </c>
      <c r="I53" s="44"/>
    </row>
    <row r="54" customFormat="false" ht="15" hidden="false" customHeight="false" outlineLevel="0" collapsed="false">
      <c r="A54" s="7" t="s">
        <v>1196</v>
      </c>
      <c r="B54" s="43" t="s">
        <v>1199</v>
      </c>
      <c r="C54" s="38" t="n">
        <f aca="false">Trade_CurrentAccount!F244</f>
        <v>0.0835265403101211</v>
      </c>
      <c r="D54" s="43" t="s">
        <v>1184</v>
      </c>
      <c r="E54" s="11" t="s">
        <v>526</v>
      </c>
      <c r="F54" s="44" t="s">
        <v>1181</v>
      </c>
      <c r="G54" s="44" t="s">
        <v>1185</v>
      </c>
      <c r="H54" s="44" t="s">
        <v>501</v>
      </c>
      <c r="I54" s="44"/>
    </row>
    <row r="55" customFormat="false" ht="15" hidden="false" customHeight="false" outlineLevel="0" collapsed="false">
      <c r="A55" s="7" t="s">
        <v>1196</v>
      </c>
      <c r="B55" s="43" t="s">
        <v>1201</v>
      </c>
      <c r="C55" s="10" t="str">
        <f aca="false">Trade_CurrentAccount!D245</f>
        <v>85 - Electrical machinery and equipment and parts thereof; sound recorders and reproducers; television image and sound recorders and reproducers, parts and accessories of such articles</v>
      </c>
      <c r="D55" s="43" t="s">
        <v>1027</v>
      </c>
      <c r="E55" s="11" t="s">
        <v>526</v>
      </c>
      <c r="F55" s="44" t="s">
        <v>1181</v>
      </c>
      <c r="G55" s="44" t="s">
        <v>1198</v>
      </c>
      <c r="H55" s="44" t="s">
        <v>501</v>
      </c>
      <c r="I55" s="44"/>
    </row>
    <row r="56" customFormat="false" ht="15" hidden="false" customHeight="false" outlineLevel="0" collapsed="false">
      <c r="A56" s="7" t="s">
        <v>1196</v>
      </c>
      <c r="B56" s="43" t="s">
        <v>1199</v>
      </c>
      <c r="C56" s="38" t="n">
        <f aca="false">Trade_CurrentAccount!F245</f>
        <v>0.0746369174925165</v>
      </c>
      <c r="D56" s="43" t="s">
        <v>1184</v>
      </c>
      <c r="E56" s="11" t="s">
        <v>526</v>
      </c>
      <c r="F56" s="44" t="s">
        <v>1181</v>
      </c>
      <c r="G56" s="44" t="s">
        <v>1185</v>
      </c>
      <c r="H56" s="44" t="s">
        <v>501</v>
      </c>
      <c r="I56" s="44"/>
    </row>
    <row r="57" customFormat="false" ht="15" hidden="false" customHeight="false" outlineLevel="0" collapsed="false">
      <c r="A57" s="7" t="s">
        <v>1196</v>
      </c>
      <c r="B57" s="43" t="s">
        <v>1202</v>
      </c>
      <c r="C57" s="10" t="str">
        <f aca="false">Trade_CurrentAccount!D249</f>
        <v>84 - Machinery and mechanical appliances, boilers, nuclear reactors; parts thereof</v>
      </c>
      <c r="D57" s="43" t="s">
        <v>1027</v>
      </c>
      <c r="E57" s="11" t="s">
        <v>526</v>
      </c>
      <c r="F57" s="44" t="s">
        <v>1181</v>
      </c>
      <c r="G57" s="44" t="s">
        <v>1198</v>
      </c>
      <c r="H57" s="44" t="s">
        <v>501</v>
      </c>
      <c r="I57" s="44"/>
    </row>
    <row r="58" customFormat="false" ht="15" hidden="false" customHeight="false" outlineLevel="0" collapsed="false">
      <c r="A58" s="7" t="s">
        <v>1196</v>
      </c>
      <c r="B58" s="43" t="s">
        <v>1199</v>
      </c>
      <c r="C58" s="38" t="n">
        <f aca="false">Trade_CurrentAccount!F249</f>
        <v>0.124636594354901</v>
      </c>
      <c r="D58" s="43" t="s">
        <v>1184</v>
      </c>
      <c r="E58" s="11" t="s">
        <v>526</v>
      </c>
      <c r="F58" s="44" t="s">
        <v>1181</v>
      </c>
      <c r="G58" s="44" t="s">
        <v>1185</v>
      </c>
      <c r="H58" s="44" t="s">
        <v>501</v>
      </c>
      <c r="I58" s="44"/>
    </row>
    <row r="59" customFormat="false" ht="15" hidden="false" customHeight="false" outlineLevel="0" collapsed="false">
      <c r="A59" s="7" t="s">
        <v>1196</v>
      </c>
      <c r="B59" s="43" t="s">
        <v>1203</v>
      </c>
      <c r="C59" s="10" t="str">
        <f aca="false">Trade_CurrentAccount!D250</f>
        <v>27 - Mineral fuels, mineral oils and products of their distillation; bituminous substances; mineral waxes</v>
      </c>
      <c r="D59" s="43" t="s">
        <v>1027</v>
      </c>
      <c r="E59" s="11" t="s">
        <v>526</v>
      </c>
      <c r="F59" s="44" t="s">
        <v>1181</v>
      </c>
      <c r="G59" s="44" t="s">
        <v>1198</v>
      </c>
      <c r="H59" s="44" t="s">
        <v>501</v>
      </c>
      <c r="I59" s="44"/>
    </row>
    <row r="60" customFormat="false" ht="15" hidden="false" customHeight="false" outlineLevel="0" collapsed="false">
      <c r="A60" s="7" t="s">
        <v>1196</v>
      </c>
      <c r="B60" s="43" t="s">
        <v>1199</v>
      </c>
      <c r="C60" s="38" t="n">
        <f aca="false">Trade_CurrentAccount!F250</f>
        <v>0.104517245079946</v>
      </c>
      <c r="D60" s="43" t="s">
        <v>1184</v>
      </c>
      <c r="E60" s="11" t="s">
        <v>526</v>
      </c>
      <c r="F60" s="44" t="s">
        <v>1181</v>
      </c>
      <c r="G60" s="44" t="s">
        <v>1185</v>
      </c>
      <c r="H60" s="44" t="s">
        <v>501</v>
      </c>
      <c r="I60" s="44"/>
    </row>
    <row r="61" customFormat="false" ht="15" hidden="false" customHeight="false" outlineLevel="0" collapsed="false">
      <c r="A61" s="7" t="s">
        <v>1196</v>
      </c>
      <c r="B61" s="43" t="s">
        <v>1204</v>
      </c>
      <c r="C61" s="10" t="str">
        <f aca="false">Trade_CurrentAccount!D251</f>
        <v>87 - Vehicles; other than railway or tramway rolling stock, and parts and accessories thereof</v>
      </c>
      <c r="D61" s="43" t="s">
        <v>1027</v>
      </c>
      <c r="E61" s="11" t="s">
        <v>526</v>
      </c>
      <c r="F61" s="44" t="s">
        <v>1181</v>
      </c>
      <c r="G61" s="44" t="s">
        <v>1198</v>
      </c>
      <c r="H61" s="44" t="s">
        <v>501</v>
      </c>
      <c r="I61" s="44"/>
    </row>
    <row r="62" customFormat="false" ht="15" hidden="false" customHeight="false" outlineLevel="0" collapsed="false">
      <c r="A62" s="7" t="s">
        <v>1196</v>
      </c>
      <c r="B62" s="43" t="s">
        <v>1199</v>
      </c>
      <c r="C62" s="38" t="n">
        <f aca="false">Trade_CurrentAccount!F251</f>
        <v>0.0995327769568945</v>
      </c>
      <c r="D62" s="43" t="s">
        <v>1184</v>
      </c>
      <c r="E62" s="11" t="s">
        <v>526</v>
      </c>
      <c r="F62" s="44" t="s">
        <v>1181</v>
      </c>
      <c r="G62" s="44" t="s">
        <v>1185</v>
      </c>
      <c r="H62" s="44" t="s">
        <v>501</v>
      </c>
      <c r="I62" s="44"/>
    </row>
    <row r="63" customFormat="false" ht="15" hidden="false" customHeight="false" outlineLevel="0" collapsed="false">
      <c r="A63" s="7" t="s">
        <v>1205</v>
      </c>
      <c r="B63" s="43" t="s">
        <v>1206</v>
      </c>
      <c r="C63" s="38" t="n">
        <f aca="false">Trade_CurrentAccount!F248</f>
        <v>0.0376148605333334</v>
      </c>
      <c r="D63" s="43" t="s">
        <v>1184</v>
      </c>
      <c r="E63" s="11" t="s">
        <v>526</v>
      </c>
      <c r="F63" s="44" t="s">
        <v>1181</v>
      </c>
      <c r="G63" s="44" t="s">
        <v>1207</v>
      </c>
      <c r="H63" s="44" t="s">
        <v>501</v>
      </c>
      <c r="I63" s="44" t="s">
        <v>1312</v>
      </c>
    </row>
    <row r="64" customFormat="false" ht="15" hidden="false" customHeight="false" outlineLevel="0" collapsed="false">
      <c r="A64" s="7" t="s">
        <v>1205</v>
      </c>
      <c r="B64" s="43" t="s">
        <v>1209</v>
      </c>
      <c r="C64" s="38" t="n">
        <f aca="false">Trade_CurrentAccount!F250</f>
        <v>0.104517245079946</v>
      </c>
      <c r="D64" s="43" t="s">
        <v>1184</v>
      </c>
      <c r="E64" s="11" t="s">
        <v>526</v>
      </c>
      <c r="F64" s="44" t="s">
        <v>1181</v>
      </c>
      <c r="G64" s="44" t="s">
        <v>1207</v>
      </c>
      <c r="H64" s="44" t="s">
        <v>501</v>
      </c>
      <c r="I64" s="44" t="s">
        <v>1313</v>
      </c>
    </row>
    <row r="65" customFormat="false" ht="15" hidden="false" customHeight="false" outlineLevel="0" collapsed="false">
      <c r="A65" s="7" t="s">
        <v>1211</v>
      </c>
      <c r="B65" s="43" t="s">
        <v>1314</v>
      </c>
      <c r="C65" s="20" t="n">
        <f aca="false">Trade_CurrentAccount!D297</f>
        <v>50.3</v>
      </c>
      <c r="D65" s="43" t="s">
        <v>1244</v>
      </c>
      <c r="E65" s="11" t="s">
        <v>770</v>
      </c>
      <c r="F65" s="44" t="s">
        <v>422</v>
      </c>
      <c r="G65" s="44" t="s">
        <v>1315</v>
      </c>
      <c r="H65" s="44" t="s">
        <v>501</v>
      </c>
      <c r="I65" s="44" t="s">
        <v>1316</v>
      </c>
    </row>
    <row r="66" customFormat="false" ht="15" hidden="false" customHeight="false" outlineLevel="0" collapsed="false">
      <c r="A66" s="7" t="s">
        <v>1211</v>
      </c>
      <c r="B66" s="43" t="s">
        <v>1317</v>
      </c>
      <c r="C66" s="20" t="n">
        <f aca="false">Trade_CurrentAccount!D299</f>
        <v>34.7</v>
      </c>
      <c r="D66" s="43" t="s">
        <v>1244</v>
      </c>
      <c r="E66" s="11" t="s">
        <v>770</v>
      </c>
      <c r="F66" s="44" t="s">
        <v>422</v>
      </c>
      <c r="G66" s="44" t="s">
        <v>1315</v>
      </c>
      <c r="H66" s="44" t="s">
        <v>501</v>
      </c>
      <c r="I66" s="44" t="s">
        <v>1316</v>
      </c>
    </row>
    <row r="67" customFormat="false" ht="15" hidden="false" customHeight="false" outlineLevel="0" collapsed="false">
      <c r="A67" s="7" t="s">
        <v>1211</v>
      </c>
      <c r="B67" s="43" t="s">
        <v>1318</v>
      </c>
      <c r="C67" s="20" t="n">
        <f aca="false">Trade_CurrentAccount!D298</f>
        <v>15</v>
      </c>
      <c r="D67" s="43" t="s">
        <v>1244</v>
      </c>
      <c r="E67" s="11" t="s">
        <v>770</v>
      </c>
      <c r="F67" s="44" t="s">
        <v>422</v>
      </c>
      <c r="G67" s="44" t="s">
        <v>1315</v>
      </c>
      <c r="H67" s="44" t="s">
        <v>501</v>
      </c>
      <c r="I67" s="44" t="s">
        <v>1316</v>
      </c>
    </row>
    <row r="68" customFormat="false" ht="15" hidden="false" customHeight="false" outlineLevel="0" collapsed="false">
      <c r="A68" s="7" t="s">
        <v>1211</v>
      </c>
      <c r="B68" s="43" t="s">
        <v>1319</v>
      </c>
      <c r="C68" s="20" t="n">
        <f aca="false">Trade_CurrentAccount!D300</f>
        <v>41.7</v>
      </c>
      <c r="D68" s="43" t="s">
        <v>1244</v>
      </c>
      <c r="E68" s="11" t="s">
        <v>770</v>
      </c>
      <c r="F68" s="44" t="s">
        <v>422</v>
      </c>
      <c r="G68" s="44" t="s">
        <v>1315</v>
      </c>
      <c r="H68" s="44" t="s">
        <v>501</v>
      </c>
      <c r="I68" s="44" t="s">
        <v>1316</v>
      </c>
    </row>
    <row r="69" customFormat="false" ht="15" hidden="false" customHeight="false" outlineLevel="0" collapsed="false">
      <c r="A69" s="7" t="s">
        <v>1211</v>
      </c>
      <c r="B69" s="43" t="s">
        <v>1320</v>
      </c>
      <c r="C69" s="20" t="n">
        <f aca="false">Trade_CurrentAccount!D302</f>
        <v>49.5</v>
      </c>
      <c r="D69" s="43" t="s">
        <v>1244</v>
      </c>
      <c r="E69" s="11" t="s">
        <v>770</v>
      </c>
      <c r="F69" s="44" t="s">
        <v>422</v>
      </c>
      <c r="G69" s="44" t="s">
        <v>1315</v>
      </c>
      <c r="H69" s="44" t="s">
        <v>501</v>
      </c>
      <c r="I69" s="44" t="s">
        <v>1316</v>
      </c>
    </row>
    <row r="70" customFormat="false" ht="15" hidden="false" customHeight="false" outlineLevel="0" collapsed="false">
      <c r="A70" s="7" t="s">
        <v>1211</v>
      </c>
      <c r="B70" s="43" t="s">
        <v>1321</v>
      </c>
      <c r="C70" s="20" t="n">
        <f aca="false">Trade_CurrentAccount!D301</f>
        <v>8.7</v>
      </c>
      <c r="D70" s="43" t="s">
        <v>1244</v>
      </c>
      <c r="E70" s="11" t="s">
        <v>770</v>
      </c>
      <c r="F70" s="44" t="s">
        <v>422</v>
      </c>
      <c r="G70" s="44" t="s">
        <v>1315</v>
      </c>
      <c r="H70" s="44" t="s">
        <v>501</v>
      </c>
      <c r="I70" s="44" t="s">
        <v>1316</v>
      </c>
    </row>
    <row r="71" customFormat="false" ht="15" hidden="false" customHeight="false" outlineLevel="0" collapsed="false">
      <c r="A71" s="7" t="s">
        <v>1214</v>
      </c>
      <c r="B71" s="43" t="s">
        <v>1322</v>
      </c>
      <c r="C71" s="38" t="n">
        <f aca="false">FX_Market_BIS!L23</f>
        <v>0.285384336798837</v>
      </c>
      <c r="D71" s="43" t="s">
        <v>1216</v>
      </c>
      <c r="E71" s="9" t="str">
        <f aca="false">FX_Market_BIS!A23</f>
        <v>2025</v>
      </c>
      <c r="F71" s="44" t="s">
        <v>1217</v>
      </c>
      <c r="G71" s="44" t="s">
        <v>1218</v>
      </c>
      <c r="H71" s="44" t="s">
        <v>550</v>
      </c>
      <c r="I71" s="44"/>
    </row>
    <row r="72" customFormat="false" ht="15" hidden="false" customHeight="false" outlineLevel="0" collapsed="false">
      <c r="A72" s="7" t="s">
        <v>1214</v>
      </c>
      <c r="B72" s="43" t="s">
        <v>1323</v>
      </c>
      <c r="C72" s="21" t="n">
        <f aca="false">Reserves_COFER!C49</f>
        <v>20.6017665863037</v>
      </c>
      <c r="D72" s="43" t="s">
        <v>1220</v>
      </c>
      <c r="E72" s="9" t="str">
        <f aca="false">Reserves_COFER!A49</f>
        <v>2026-Q2</v>
      </c>
      <c r="F72" s="44" t="s">
        <v>1221</v>
      </c>
      <c r="G72" s="44" t="s">
        <v>1324</v>
      </c>
      <c r="H72" s="44" t="s">
        <v>542</v>
      </c>
      <c r="I72" s="44"/>
    </row>
    <row r="73" customFormat="false" ht="15" hidden="false" customHeight="false" outlineLevel="0" collapsed="false">
      <c r="A73" s="7" t="s">
        <v>1223</v>
      </c>
      <c r="B73" s="43" t="s">
        <v>1325</v>
      </c>
      <c r="C73" s="38" t="n">
        <f aca="false">BigMac!H51</f>
        <v>0.13814</v>
      </c>
      <c r="D73" s="43" t="s">
        <v>1225</v>
      </c>
      <c r="E73" s="9" t="n">
        <f aca="false">BigMac!A51</f>
        <v>46204</v>
      </c>
      <c r="F73" s="44" t="s">
        <v>1226</v>
      </c>
      <c r="G73" s="44" t="s">
        <v>1227</v>
      </c>
      <c r="H73" s="44" t="s">
        <v>559</v>
      </c>
      <c r="I73" s="44" t="s">
        <v>1326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7" min="6" style="0" width="34"/>
    <col collapsed="false" customWidth="true" hidden="false" outlineLevel="0" max="8" min="8" style="0" width="22"/>
    <col collapsed="false" customWidth="true" hidden="false" outlineLevel="0" max="9" min="9" style="0" width="70"/>
  </cols>
  <sheetData>
    <row r="1" customFormat="false" ht="16.15" hidden="false" customHeight="false" outlineLevel="0" collapsed="false">
      <c r="A1" s="1" t="s">
        <v>1327</v>
      </c>
    </row>
    <row r="2" customFormat="false" ht="15" hidden="false" customHeight="false" outlineLevel="0" collapsed="false">
      <c r="A2" s="2" t="s">
        <v>1138</v>
      </c>
    </row>
    <row r="4" customFormat="false" ht="15" hidden="false" customHeight="false" outlineLevel="0" collapsed="false">
      <c r="A4" s="3" t="s">
        <v>1139</v>
      </c>
      <c r="B4" s="3" t="s">
        <v>755</v>
      </c>
      <c r="C4" s="3" t="s">
        <v>1140</v>
      </c>
      <c r="D4" s="3" t="s">
        <v>9</v>
      </c>
      <c r="E4" s="3" t="s">
        <v>1141</v>
      </c>
      <c r="F4" s="3" t="s">
        <v>5</v>
      </c>
      <c r="G4" s="3" t="s">
        <v>6</v>
      </c>
      <c r="H4" s="3" t="s">
        <v>1142</v>
      </c>
      <c r="I4" s="3" t="s">
        <v>1060</v>
      </c>
    </row>
    <row r="5" customFormat="false" ht="15" hidden="false" customHeight="false" outlineLevel="0" collapsed="false">
      <c r="A5" s="7" t="s">
        <v>1143</v>
      </c>
      <c r="B5" s="43" t="s">
        <v>585</v>
      </c>
      <c r="C5" s="10" t="n">
        <f aca="false">FX_Daily!E12</f>
        <v>1.1259</v>
      </c>
      <c r="D5" s="43" t="s">
        <v>38</v>
      </c>
      <c r="E5" s="9" t="n">
        <f aca="false">FX_Daily!E11</f>
        <v>46297</v>
      </c>
      <c r="F5" s="44" t="s">
        <v>17</v>
      </c>
      <c r="G5" s="44" t="s">
        <v>35</v>
      </c>
      <c r="H5" s="44" t="s">
        <v>15</v>
      </c>
      <c r="I5" s="44"/>
    </row>
    <row r="6" customFormat="false" ht="15" hidden="false" customHeight="false" outlineLevel="0" collapsed="false">
      <c r="A6" s="7" t="s">
        <v>1143</v>
      </c>
      <c r="B6" s="43" t="s">
        <v>1297</v>
      </c>
      <c r="C6" s="10" t="n">
        <f aca="false">1/FX_Daily!E12</f>
        <v>0.888178346211919</v>
      </c>
      <c r="D6" s="43" t="s">
        <v>1298</v>
      </c>
      <c r="E6" s="9" t="n">
        <f aca="false">FX_Daily!E11</f>
        <v>46297</v>
      </c>
      <c r="F6" s="44" t="s">
        <v>1299</v>
      </c>
      <c r="G6" s="44" t="s">
        <v>35</v>
      </c>
      <c r="H6" s="44" t="s">
        <v>15</v>
      </c>
      <c r="I6" s="44" t="s">
        <v>1300</v>
      </c>
    </row>
    <row r="7" customFormat="false" ht="15" hidden="false" customHeight="false" outlineLevel="0" collapsed="false">
      <c r="A7" s="7" t="s">
        <v>1143</v>
      </c>
      <c r="B7" s="43" t="s">
        <v>589</v>
      </c>
      <c r="C7" s="10" t="n">
        <f aca="false">FX_Daily!I12</f>
        <v>1.1269</v>
      </c>
      <c r="D7" s="43" t="s">
        <v>59</v>
      </c>
      <c r="E7" s="9" t="n">
        <f aca="false">FX_Daily!I11</f>
        <v>46301</v>
      </c>
      <c r="F7" s="44" t="s">
        <v>55</v>
      </c>
      <c r="G7" s="44" t="s">
        <v>56</v>
      </c>
      <c r="H7" s="44" t="s">
        <v>15</v>
      </c>
      <c r="I7" s="44"/>
    </row>
    <row r="8" customFormat="false" ht="15" hidden="false" customHeight="false" outlineLevel="0" collapsed="false">
      <c r="A8" s="7" t="s">
        <v>1144</v>
      </c>
      <c r="B8" s="43" t="s">
        <v>1301</v>
      </c>
      <c r="C8" s="19" t="n">
        <f aca="false">Rates_Daily!F12</f>
        <v>2.5</v>
      </c>
      <c r="D8" s="43" t="s">
        <v>125</v>
      </c>
      <c r="E8" s="9" t="n">
        <f aca="false">Rates_Daily!F11</f>
        <v>46302</v>
      </c>
      <c r="F8" s="44" t="s">
        <v>55</v>
      </c>
      <c r="G8" s="44" t="s">
        <v>128</v>
      </c>
      <c r="H8" s="44" t="s">
        <v>106</v>
      </c>
      <c r="I8" s="44" t="s">
        <v>1302</v>
      </c>
    </row>
    <row r="9" customFormat="false" ht="15" hidden="false" customHeight="false" outlineLevel="0" collapsed="false">
      <c r="A9" s="7" t="s">
        <v>1144</v>
      </c>
      <c r="B9" s="43" t="s">
        <v>1303</v>
      </c>
      <c r="C9" s="19" t="n">
        <f aca="false">Rates_Daily!E12</f>
        <v>2.439</v>
      </c>
      <c r="D9" s="43" t="s">
        <v>125</v>
      </c>
      <c r="E9" s="9" t="n">
        <f aca="false">Rates_Daily!E11</f>
        <v>46301</v>
      </c>
      <c r="F9" s="44" t="s">
        <v>55</v>
      </c>
      <c r="G9" s="44" t="s">
        <v>122</v>
      </c>
      <c r="H9" s="44" t="s">
        <v>106</v>
      </c>
      <c r="I9" s="44"/>
    </row>
    <row r="10" customFormat="false" ht="15" hidden="false" customHeight="false" outlineLevel="0" collapsed="false">
      <c r="A10" s="7" t="s">
        <v>1144</v>
      </c>
      <c r="B10" s="43" t="s">
        <v>1304</v>
      </c>
      <c r="C10" s="19" t="n">
        <f aca="false">Rates_Monthly!M12</f>
        <v>2.4143636</v>
      </c>
      <c r="D10" s="43" t="s">
        <v>125</v>
      </c>
      <c r="E10" s="9" t="n">
        <f aca="false">Rates_Monthly!M11</f>
        <v>46266</v>
      </c>
      <c r="F10" s="44" t="s">
        <v>223</v>
      </c>
      <c r="G10" s="44" t="s">
        <v>224</v>
      </c>
      <c r="H10" s="44" t="s">
        <v>184</v>
      </c>
      <c r="I10" s="44" t="s">
        <v>1305</v>
      </c>
    </row>
    <row r="11" customFormat="false" ht="15" hidden="false" customHeight="false" outlineLevel="0" collapsed="false">
      <c r="A11" s="7" t="s">
        <v>1144</v>
      </c>
      <c r="B11" s="43" t="s">
        <v>1306</v>
      </c>
      <c r="C11" s="19" t="n">
        <f aca="false">Rates_Monthly!N12</f>
        <v>2.6350455</v>
      </c>
      <c r="D11" s="43" t="s">
        <v>125</v>
      </c>
      <c r="E11" s="9" t="n">
        <f aca="false">Rates_Monthly!N11</f>
        <v>46266</v>
      </c>
      <c r="F11" s="44" t="s">
        <v>223</v>
      </c>
      <c r="G11" s="44" t="s">
        <v>229</v>
      </c>
      <c r="H11" s="44" t="s">
        <v>184</v>
      </c>
      <c r="I11" s="44" t="s">
        <v>1305</v>
      </c>
    </row>
    <row r="12" customFormat="false" ht="15" hidden="false" customHeight="false" outlineLevel="0" collapsed="false">
      <c r="A12" s="7" t="s">
        <v>1144</v>
      </c>
      <c r="B12" s="43" t="s">
        <v>1307</v>
      </c>
      <c r="C12" s="19" t="n">
        <f aca="false">Rates_Monthly!O12</f>
        <v>2.9215909</v>
      </c>
      <c r="D12" s="43" t="s">
        <v>125</v>
      </c>
      <c r="E12" s="9" t="n">
        <f aca="false">Rates_Monthly!O11</f>
        <v>46266</v>
      </c>
      <c r="F12" s="44" t="s">
        <v>223</v>
      </c>
      <c r="G12" s="44" t="s">
        <v>233</v>
      </c>
      <c r="H12" s="44" t="s">
        <v>184</v>
      </c>
      <c r="I12" s="44" t="s">
        <v>1305</v>
      </c>
    </row>
    <row r="13" customFormat="false" ht="15" hidden="false" customHeight="false" outlineLevel="0" collapsed="false">
      <c r="A13" s="7" t="s">
        <v>1144</v>
      </c>
      <c r="B13" s="43" t="s">
        <v>1308</v>
      </c>
      <c r="C13" s="19" t="n">
        <f aca="false">Rates_Monthly!P12</f>
        <v>3.247</v>
      </c>
      <c r="D13" s="43" t="s">
        <v>125</v>
      </c>
      <c r="E13" s="9" t="n">
        <f aca="false">Rates_Monthly!P11</f>
        <v>46266</v>
      </c>
      <c r="F13" s="44" t="s">
        <v>223</v>
      </c>
      <c r="G13" s="44" t="s">
        <v>237</v>
      </c>
      <c r="H13" s="44" t="s">
        <v>184</v>
      </c>
      <c r="I13" s="44" t="s">
        <v>1305</v>
      </c>
    </row>
    <row r="14" customFormat="false" ht="15" hidden="false" customHeight="false" outlineLevel="0" collapsed="false">
      <c r="A14" s="7" t="s">
        <v>374</v>
      </c>
      <c r="B14" s="43" t="s">
        <v>1328</v>
      </c>
      <c r="C14" s="20" t="n">
        <f aca="false">Inflation!H12</f>
        <v>2.861815</v>
      </c>
      <c r="D14" s="43" t="s">
        <v>387</v>
      </c>
      <c r="E14" s="45" t="n">
        <f aca="false">Inflation!H11</f>
        <v>46235</v>
      </c>
      <c r="F14" s="44" t="s">
        <v>383</v>
      </c>
      <c r="G14" s="44" t="s">
        <v>402</v>
      </c>
      <c r="H14" s="44" t="s">
        <v>374</v>
      </c>
      <c r="I14" s="44"/>
    </row>
    <row r="15" customFormat="false" ht="15" hidden="false" customHeight="false" outlineLevel="0" collapsed="false">
      <c r="A15" s="7" t="s">
        <v>374</v>
      </c>
      <c r="B15" s="43" t="s">
        <v>1271</v>
      </c>
      <c r="C15" s="20" t="n">
        <f aca="false">Inflation!N12</f>
        <v>3.3</v>
      </c>
      <c r="D15" s="43" t="s">
        <v>387</v>
      </c>
      <c r="E15" s="45" t="n">
        <f aca="false">Inflation!N11</f>
        <v>46266</v>
      </c>
      <c r="F15" s="44" t="s">
        <v>422</v>
      </c>
      <c r="G15" s="44" t="s">
        <v>427</v>
      </c>
      <c r="H15" s="44" t="s">
        <v>374</v>
      </c>
      <c r="I15" s="44"/>
    </row>
    <row r="16" customFormat="false" ht="15" hidden="false" customHeight="false" outlineLevel="0" collapsed="false">
      <c r="A16" s="7" t="s">
        <v>374</v>
      </c>
      <c r="B16" s="43" t="s">
        <v>1311</v>
      </c>
      <c r="C16" s="20" t="n">
        <f aca="false">Inflation!P12</f>
        <v>3.8</v>
      </c>
      <c r="D16" s="43" t="s">
        <v>387</v>
      </c>
      <c r="E16" s="45" t="n">
        <f aca="false">Inflation!P11</f>
        <v>46266</v>
      </c>
      <c r="F16" s="44" t="s">
        <v>422</v>
      </c>
      <c r="G16" s="44" t="s">
        <v>435</v>
      </c>
      <c r="H16" s="44" t="s">
        <v>374</v>
      </c>
      <c r="I16" s="44"/>
    </row>
    <row r="17" customFormat="false" ht="15" hidden="false" customHeight="false" outlineLevel="0" collapsed="false">
      <c r="A17" s="7" t="s">
        <v>1154</v>
      </c>
      <c r="B17" s="43" t="s">
        <v>1155</v>
      </c>
      <c r="C17" s="36" t="n">
        <f aca="false">GDP_Growth!X41</f>
        <v>5050922925047.05</v>
      </c>
      <c r="D17" s="43" t="s">
        <v>478</v>
      </c>
      <c r="E17" s="16" t="str">
        <f aca="false">GDP_Growth!W41</f>
        <v>2025</v>
      </c>
      <c r="F17" s="44" t="s">
        <v>469</v>
      </c>
      <c r="G17" s="44" t="s">
        <v>475</v>
      </c>
      <c r="H17" s="44" t="s">
        <v>453</v>
      </c>
      <c r="I17" s="44"/>
    </row>
    <row r="18" customFormat="false" ht="15" hidden="false" customHeight="false" outlineLevel="0" collapsed="false">
      <c r="A18" s="7" t="s">
        <v>1154</v>
      </c>
      <c r="B18" s="43" t="s">
        <v>1156</v>
      </c>
      <c r="C18" s="34" t="n">
        <f aca="false">GDP_Growth!AB21</f>
        <v>5048.059</v>
      </c>
      <c r="D18" s="43" t="s">
        <v>467</v>
      </c>
      <c r="E18" s="16" t="str">
        <f aca="false">GDP_Growth!AA21</f>
        <v>2025</v>
      </c>
      <c r="F18" s="44" t="s">
        <v>455</v>
      </c>
      <c r="G18" s="44" t="s">
        <v>464</v>
      </c>
      <c r="H18" s="44" t="s">
        <v>453</v>
      </c>
      <c r="I18" s="44"/>
    </row>
    <row r="19" customFormat="false" ht="15" hidden="false" customHeight="false" outlineLevel="0" collapsed="false">
      <c r="A19" s="7" t="s">
        <v>1154</v>
      </c>
      <c r="B19" s="43" t="s">
        <v>1157</v>
      </c>
      <c r="C19" s="36" t="n">
        <f aca="false">GDP_Growth!X51</f>
        <v>60496.4350820414</v>
      </c>
      <c r="D19" s="43" t="s">
        <v>478</v>
      </c>
      <c r="E19" s="16" t="str">
        <f aca="false">GDP_Growth!W51</f>
        <v>2025</v>
      </c>
      <c r="F19" s="44" t="s">
        <v>469</v>
      </c>
      <c r="G19" s="44" t="s">
        <v>480</v>
      </c>
      <c r="H19" s="44" t="s">
        <v>453</v>
      </c>
      <c r="I19" s="44"/>
    </row>
    <row r="20" customFormat="false" ht="15" hidden="false" customHeight="false" outlineLevel="0" collapsed="false">
      <c r="A20" s="7" t="s">
        <v>1154</v>
      </c>
      <c r="B20" s="43" t="s">
        <v>1158</v>
      </c>
      <c r="C20" s="20" t="n">
        <f aca="false">GDP_Growth!X31</f>
        <v>0.239578342117881</v>
      </c>
      <c r="D20" s="43" t="s">
        <v>473</v>
      </c>
      <c r="E20" s="16" t="str">
        <f aca="false">GDP_Growth!W31</f>
        <v>2025</v>
      </c>
      <c r="F20" s="44" t="s">
        <v>469</v>
      </c>
      <c r="G20" s="44" t="s">
        <v>470</v>
      </c>
      <c r="H20" s="44" t="s">
        <v>453</v>
      </c>
      <c r="I20" s="44"/>
    </row>
    <row r="21" customFormat="false" ht="15" hidden="false" customHeight="false" outlineLevel="0" collapsed="false">
      <c r="A21" s="7" t="s">
        <v>1154</v>
      </c>
      <c r="B21" s="43" t="s">
        <v>1159</v>
      </c>
      <c r="C21" s="20" t="n">
        <f aca="false">GDP_Growth!AB11</f>
        <v>0.2</v>
      </c>
      <c r="D21" s="43" t="s">
        <v>459</v>
      </c>
      <c r="E21" s="16" t="str">
        <f aca="false">GDP_Growth!AA11</f>
        <v>2025</v>
      </c>
      <c r="F21" s="44" t="s">
        <v>455</v>
      </c>
      <c r="G21" s="44" t="s">
        <v>456</v>
      </c>
      <c r="H21" s="44" t="s">
        <v>453</v>
      </c>
      <c r="I21" s="44" t="s">
        <v>1160</v>
      </c>
    </row>
    <row r="22" customFormat="false" ht="15" hidden="false" customHeight="false" outlineLevel="0" collapsed="false">
      <c r="A22" s="7" t="s">
        <v>1161</v>
      </c>
      <c r="B22" s="43" t="s">
        <v>1162</v>
      </c>
      <c r="C22" s="20" t="n">
        <f aca="false">GDP_Growth!Y11</f>
        <v>0.8</v>
      </c>
      <c r="D22" s="43" t="s">
        <v>459</v>
      </c>
      <c r="E22" s="11" t="s">
        <v>1163</v>
      </c>
      <c r="F22" s="44" t="s">
        <v>455</v>
      </c>
      <c r="G22" s="44" t="s">
        <v>456</v>
      </c>
      <c r="H22" s="44" t="s">
        <v>453</v>
      </c>
      <c r="I22" s="44" t="s">
        <v>1164</v>
      </c>
    </row>
    <row r="23" customFormat="false" ht="15" hidden="false" customHeight="false" outlineLevel="0" collapsed="false">
      <c r="A23" s="7" t="s">
        <v>1161</v>
      </c>
      <c r="B23" s="43" t="s">
        <v>1165</v>
      </c>
      <c r="C23" s="20" t="n">
        <f aca="false">GDP_Growth!Z11</f>
        <v>1.2</v>
      </c>
      <c r="D23" s="43" t="s">
        <v>459</v>
      </c>
      <c r="E23" s="11" t="s">
        <v>1166</v>
      </c>
      <c r="F23" s="44" t="s">
        <v>455</v>
      </c>
      <c r="G23" s="44" t="s">
        <v>456</v>
      </c>
      <c r="H23" s="44" t="s">
        <v>453</v>
      </c>
      <c r="I23" s="44" t="s">
        <v>1164</v>
      </c>
    </row>
    <row r="24" customFormat="false" ht="15" hidden="false" customHeight="false" outlineLevel="0" collapsed="false">
      <c r="A24" s="7" t="s">
        <v>1167</v>
      </c>
      <c r="B24" s="43" t="s">
        <v>1168</v>
      </c>
      <c r="C24" s="21" t="n">
        <f aca="false">GDP_Growth!L102</f>
        <v>0.330473734</v>
      </c>
      <c r="D24" s="43" t="s">
        <v>538</v>
      </c>
      <c r="E24" s="16" t="str">
        <f aca="false">GDP_Growth!L101</f>
        <v>2026-Q2</v>
      </c>
      <c r="F24" s="44" t="s">
        <v>1169</v>
      </c>
      <c r="G24" s="44" t="s">
        <v>1170</v>
      </c>
      <c r="H24" s="44" t="s">
        <v>453</v>
      </c>
      <c r="I24" s="44"/>
    </row>
    <row r="25" customFormat="false" ht="15" hidden="false" customHeight="false" outlineLevel="0" collapsed="false">
      <c r="A25" s="7" t="s">
        <v>1167</v>
      </c>
      <c r="B25" s="43" t="s">
        <v>1171</v>
      </c>
      <c r="C25" s="21" t="n">
        <f aca="false">GDP_Growth!M102</f>
        <v>1.017205151</v>
      </c>
      <c r="D25" s="43" t="s">
        <v>538</v>
      </c>
      <c r="E25" s="16" t="str">
        <f aca="false">GDP_Growth!M101</f>
        <v>2026-Q2</v>
      </c>
      <c r="F25" s="44" t="s">
        <v>1169</v>
      </c>
      <c r="G25" s="44" t="s">
        <v>1172</v>
      </c>
      <c r="H25" s="44" t="s">
        <v>453</v>
      </c>
      <c r="I25" s="44"/>
    </row>
    <row r="26" customFormat="false" ht="15" hidden="false" customHeight="false" outlineLevel="0" collapsed="false">
      <c r="A26" s="7" t="s">
        <v>1154</v>
      </c>
      <c r="B26" s="43" t="s">
        <v>1173</v>
      </c>
      <c r="C26" s="20" t="n">
        <f aca="false">Trade_CurrentAccount!X11</f>
        <v>40.4347738545071</v>
      </c>
      <c r="D26" s="43" t="s">
        <v>506</v>
      </c>
      <c r="E26" s="16" t="str">
        <f aca="false">Trade_CurrentAccount!W11</f>
        <v>2025</v>
      </c>
      <c r="F26" s="44" t="s">
        <v>469</v>
      </c>
      <c r="G26" s="44" t="s">
        <v>503</v>
      </c>
      <c r="H26" s="44" t="s">
        <v>501</v>
      </c>
      <c r="I26" s="44"/>
    </row>
    <row r="27" customFormat="false" ht="15" hidden="false" customHeight="false" outlineLevel="0" collapsed="false">
      <c r="A27" s="7" t="s">
        <v>1154</v>
      </c>
      <c r="B27" s="43" t="s">
        <v>1174</v>
      </c>
      <c r="C27" s="20" t="n">
        <f aca="false">Trade_CurrentAccount!X21</f>
        <v>38.0780373654056</v>
      </c>
      <c r="D27" s="43" t="s">
        <v>506</v>
      </c>
      <c r="E27" s="16" t="str">
        <f aca="false">Trade_CurrentAccount!W21</f>
        <v>2025</v>
      </c>
      <c r="F27" s="44" t="s">
        <v>469</v>
      </c>
      <c r="G27" s="44" t="s">
        <v>508</v>
      </c>
      <c r="H27" s="44" t="s">
        <v>501</v>
      </c>
      <c r="I27" s="44"/>
    </row>
    <row r="28" customFormat="false" ht="15" hidden="false" customHeight="false" outlineLevel="0" collapsed="false">
      <c r="A28" s="7" t="s">
        <v>1154</v>
      </c>
      <c r="B28" s="43" t="s">
        <v>1175</v>
      </c>
      <c r="C28" s="20" t="n">
        <f aca="false">Trade_CurrentAccount!X31</f>
        <v>4.50585617378113</v>
      </c>
      <c r="D28" s="43" t="s">
        <v>506</v>
      </c>
      <c r="E28" s="16" t="str">
        <f aca="false">Trade_CurrentAccount!W31</f>
        <v>2025</v>
      </c>
      <c r="F28" s="44" t="s">
        <v>469</v>
      </c>
      <c r="G28" s="44" t="s">
        <v>512</v>
      </c>
      <c r="H28" s="44" t="s">
        <v>501</v>
      </c>
      <c r="I28" s="44"/>
    </row>
    <row r="29" customFormat="false" ht="15" hidden="false" customHeight="false" outlineLevel="0" collapsed="false">
      <c r="A29" s="7" t="s">
        <v>1154</v>
      </c>
      <c r="B29" s="43" t="s">
        <v>1176</v>
      </c>
      <c r="C29" s="20" t="n">
        <f aca="false">Trade_CurrentAccount!AB41</f>
        <v>4.4</v>
      </c>
      <c r="D29" s="43" t="s">
        <v>506</v>
      </c>
      <c r="E29" s="16" t="str">
        <f aca="false">Trade_CurrentAccount!AA41</f>
        <v>2025</v>
      </c>
      <c r="F29" s="44" t="s">
        <v>455</v>
      </c>
      <c r="G29" s="44" t="s">
        <v>516</v>
      </c>
      <c r="H29" s="44" t="s">
        <v>501</v>
      </c>
      <c r="I29" s="44"/>
    </row>
    <row r="30" customFormat="false" ht="15" hidden="false" customHeight="false" outlineLevel="0" collapsed="false">
      <c r="A30" s="7" t="s">
        <v>1161</v>
      </c>
      <c r="B30" s="43" t="s">
        <v>1177</v>
      </c>
      <c r="C30" s="20" t="n">
        <f aca="false">Trade_CurrentAccount!Y41</f>
        <v>3.9</v>
      </c>
      <c r="D30" s="43" t="s">
        <v>506</v>
      </c>
      <c r="E30" s="11" t="s">
        <v>1163</v>
      </c>
      <c r="F30" s="44" t="s">
        <v>455</v>
      </c>
      <c r="G30" s="44" t="s">
        <v>516</v>
      </c>
      <c r="H30" s="44" t="s">
        <v>501</v>
      </c>
      <c r="I30" s="44" t="s">
        <v>1164</v>
      </c>
    </row>
    <row r="31" customFormat="false" ht="15" hidden="false" customHeight="false" outlineLevel="0" collapsed="false">
      <c r="A31" s="7" t="s">
        <v>1178</v>
      </c>
      <c r="B31" s="43" t="s">
        <v>1179</v>
      </c>
      <c r="C31" s="10" t="str">
        <f aca="false">Trade_CurrentAccount!D157</f>
        <v>USA</v>
      </c>
      <c r="D31" s="43" t="s">
        <v>1180</v>
      </c>
      <c r="E31" s="11" t="s">
        <v>526</v>
      </c>
      <c r="F31" s="44" t="s">
        <v>1181</v>
      </c>
      <c r="G31" s="44" t="s">
        <v>1182</v>
      </c>
      <c r="H31" s="44" t="s">
        <v>501</v>
      </c>
      <c r="I31" s="44"/>
    </row>
    <row r="32" customFormat="false" ht="15" hidden="false" customHeight="false" outlineLevel="0" collapsed="false">
      <c r="A32" s="7" t="s">
        <v>1178</v>
      </c>
      <c r="B32" s="43" t="s">
        <v>1183</v>
      </c>
      <c r="C32" s="38" t="n">
        <f aca="false">Trade_CurrentAccount!F157</f>
        <v>0.0937292457402416</v>
      </c>
      <c r="D32" s="43" t="s">
        <v>1184</v>
      </c>
      <c r="E32" s="11" t="s">
        <v>526</v>
      </c>
      <c r="F32" s="44" t="s">
        <v>1181</v>
      </c>
      <c r="G32" s="44" t="s">
        <v>1185</v>
      </c>
      <c r="H32" s="44" t="s">
        <v>501</v>
      </c>
      <c r="I32" s="44"/>
    </row>
    <row r="33" customFormat="false" ht="15" hidden="false" customHeight="false" outlineLevel="0" collapsed="false">
      <c r="A33" s="7" t="s">
        <v>1178</v>
      </c>
      <c r="B33" s="43" t="s">
        <v>1186</v>
      </c>
      <c r="C33" s="10" t="str">
        <f aca="false">Trade_CurrentAccount!D158</f>
        <v>France</v>
      </c>
      <c r="D33" s="43" t="s">
        <v>1180</v>
      </c>
      <c r="E33" s="11" t="s">
        <v>526</v>
      </c>
      <c r="F33" s="44" t="s">
        <v>1181</v>
      </c>
      <c r="G33" s="44" t="s">
        <v>1182</v>
      </c>
      <c r="H33" s="44" t="s">
        <v>501</v>
      </c>
      <c r="I33" s="44"/>
    </row>
    <row r="34" customFormat="false" ht="15" hidden="false" customHeight="false" outlineLevel="0" collapsed="false">
      <c r="A34" s="7" t="s">
        <v>1178</v>
      </c>
      <c r="B34" s="43" t="s">
        <v>1183</v>
      </c>
      <c r="C34" s="38" t="n">
        <f aca="false">Trade_CurrentAccount!F158</f>
        <v>0.074817240678192</v>
      </c>
      <c r="D34" s="43" t="s">
        <v>1184</v>
      </c>
      <c r="E34" s="11" t="s">
        <v>526</v>
      </c>
      <c r="F34" s="44" t="s">
        <v>1181</v>
      </c>
      <c r="G34" s="44" t="s">
        <v>1185</v>
      </c>
      <c r="H34" s="44" t="s">
        <v>501</v>
      </c>
      <c r="I34" s="44"/>
    </row>
    <row r="35" customFormat="false" ht="15" hidden="false" customHeight="false" outlineLevel="0" collapsed="false">
      <c r="A35" s="7" t="s">
        <v>1178</v>
      </c>
      <c r="B35" s="43" t="s">
        <v>1187</v>
      </c>
      <c r="C35" s="10" t="str">
        <f aca="false">Trade_CurrentAccount!D159</f>
        <v>Netherlands</v>
      </c>
      <c r="D35" s="43" t="s">
        <v>1180</v>
      </c>
      <c r="E35" s="11" t="s">
        <v>526</v>
      </c>
      <c r="F35" s="44" t="s">
        <v>1181</v>
      </c>
      <c r="G35" s="44" t="s">
        <v>1182</v>
      </c>
      <c r="H35" s="44" t="s">
        <v>501</v>
      </c>
      <c r="I35" s="44"/>
    </row>
    <row r="36" customFormat="false" ht="15" hidden="false" customHeight="false" outlineLevel="0" collapsed="false">
      <c r="A36" s="7" t="s">
        <v>1178</v>
      </c>
      <c r="B36" s="43" t="s">
        <v>1183</v>
      </c>
      <c r="C36" s="38" t="n">
        <f aca="false">Trade_CurrentAccount!F159</f>
        <v>0.0711674567472188</v>
      </c>
      <c r="D36" s="43" t="s">
        <v>1184</v>
      </c>
      <c r="E36" s="11" t="s">
        <v>526</v>
      </c>
      <c r="F36" s="44" t="s">
        <v>1181</v>
      </c>
      <c r="G36" s="44" t="s">
        <v>1185</v>
      </c>
      <c r="H36" s="44" t="s">
        <v>501</v>
      </c>
      <c r="I36" s="44"/>
    </row>
    <row r="37" customFormat="false" ht="15" hidden="false" customHeight="false" outlineLevel="0" collapsed="false">
      <c r="A37" s="7" t="s">
        <v>1178</v>
      </c>
      <c r="B37" s="43" t="s">
        <v>1188</v>
      </c>
      <c r="C37" s="10" t="str">
        <f aca="false">Trade_CurrentAccount!D160</f>
        <v>Poland</v>
      </c>
      <c r="D37" s="43" t="s">
        <v>1180</v>
      </c>
      <c r="E37" s="11" t="s">
        <v>526</v>
      </c>
      <c r="F37" s="44" t="s">
        <v>1181</v>
      </c>
      <c r="G37" s="44" t="s">
        <v>1182</v>
      </c>
      <c r="H37" s="44" t="s">
        <v>501</v>
      </c>
      <c r="I37" s="44"/>
    </row>
    <row r="38" customFormat="false" ht="15" hidden="false" customHeight="false" outlineLevel="0" collapsed="false">
      <c r="A38" s="7" t="s">
        <v>1178</v>
      </c>
      <c r="B38" s="43" t="s">
        <v>1183</v>
      </c>
      <c r="C38" s="38" t="n">
        <f aca="false">Trade_CurrentAccount!F160</f>
        <v>0.0635376342630415</v>
      </c>
      <c r="D38" s="43" t="s">
        <v>1184</v>
      </c>
      <c r="E38" s="11" t="s">
        <v>526</v>
      </c>
      <c r="F38" s="44" t="s">
        <v>1181</v>
      </c>
      <c r="G38" s="44" t="s">
        <v>1185</v>
      </c>
      <c r="H38" s="44" t="s">
        <v>501</v>
      </c>
      <c r="I38" s="44"/>
    </row>
    <row r="39" customFormat="false" ht="15" hidden="false" customHeight="false" outlineLevel="0" collapsed="false">
      <c r="A39" s="7" t="s">
        <v>1178</v>
      </c>
      <c r="B39" s="43" t="s">
        <v>1189</v>
      </c>
      <c r="C39" s="10" t="str">
        <f aca="false">Trade_CurrentAccount!D161</f>
        <v>Italy</v>
      </c>
      <c r="D39" s="43" t="s">
        <v>1180</v>
      </c>
      <c r="E39" s="11" t="s">
        <v>526</v>
      </c>
      <c r="F39" s="44" t="s">
        <v>1181</v>
      </c>
      <c r="G39" s="44" t="s">
        <v>1182</v>
      </c>
      <c r="H39" s="44" t="s">
        <v>501</v>
      </c>
      <c r="I39" s="44"/>
    </row>
    <row r="40" customFormat="false" ht="15" hidden="false" customHeight="false" outlineLevel="0" collapsed="false">
      <c r="A40" s="7" t="s">
        <v>1178</v>
      </c>
      <c r="B40" s="43" t="s">
        <v>1183</v>
      </c>
      <c r="C40" s="38" t="n">
        <f aca="false">Trade_CurrentAccount!F161</f>
        <v>0.0529916667538922</v>
      </c>
      <c r="D40" s="43" t="s">
        <v>1184</v>
      </c>
      <c r="E40" s="11" t="s">
        <v>526</v>
      </c>
      <c r="F40" s="44" t="s">
        <v>1181</v>
      </c>
      <c r="G40" s="44" t="s">
        <v>1185</v>
      </c>
      <c r="H40" s="44" t="s">
        <v>501</v>
      </c>
      <c r="I40" s="44"/>
    </row>
    <row r="41" customFormat="false" ht="15" hidden="false" customHeight="false" outlineLevel="0" collapsed="false">
      <c r="A41" s="7" t="s">
        <v>1178</v>
      </c>
      <c r="B41" s="43" t="s">
        <v>1190</v>
      </c>
      <c r="C41" s="10" t="str">
        <f aca="false">Trade_CurrentAccount!D168</f>
        <v>China</v>
      </c>
      <c r="D41" s="43" t="s">
        <v>1180</v>
      </c>
      <c r="E41" s="11" t="s">
        <v>526</v>
      </c>
      <c r="F41" s="44" t="s">
        <v>1181</v>
      </c>
      <c r="G41" s="44" t="s">
        <v>1182</v>
      </c>
      <c r="H41" s="44" t="s">
        <v>501</v>
      </c>
      <c r="I41" s="44"/>
    </row>
    <row r="42" customFormat="false" ht="15" hidden="false" customHeight="false" outlineLevel="0" collapsed="false">
      <c r="A42" s="7" t="s">
        <v>1178</v>
      </c>
      <c r="B42" s="43" t="s">
        <v>1191</v>
      </c>
      <c r="C42" s="38" t="n">
        <f aca="false">Trade_CurrentAccount!F168</f>
        <v>0.12934615342494</v>
      </c>
      <c r="D42" s="43" t="s">
        <v>1184</v>
      </c>
      <c r="E42" s="11" t="s">
        <v>526</v>
      </c>
      <c r="F42" s="44" t="s">
        <v>1181</v>
      </c>
      <c r="G42" s="44" t="s">
        <v>1185</v>
      </c>
      <c r="H42" s="44" t="s">
        <v>501</v>
      </c>
      <c r="I42" s="44"/>
    </row>
    <row r="43" customFormat="false" ht="15" hidden="false" customHeight="false" outlineLevel="0" collapsed="false">
      <c r="A43" s="7" t="s">
        <v>1178</v>
      </c>
      <c r="B43" s="43" t="s">
        <v>1192</v>
      </c>
      <c r="C43" s="10" t="str">
        <f aca="false">Trade_CurrentAccount!D169</f>
        <v>USA</v>
      </c>
      <c r="D43" s="43" t="s">
        <v>1180</v>
      </c>
      <c r="E43" s="11" t="s">
        <v>526</v>
      </c>
      <c r="F43" s="44" t="s">
        <v>1181</v>
      </c>
      <c r="G43" s="44" t="s">
        <v>1182</v>
      </c>
      <c r="H43" s="44" t="s">
        <v>501</v>
      </c>
      <c r="I43" s="44"/>
    </row>
    <row r="44" customFormat="false" ht="15" hidden="false" customHeight="false" outlineLevel="0" collapsed="false">
      <c r="A44" s="7" t="s">
        <v>1178</v>
      </c>
      <c r="B44" s="43" t="s">
        <v>1191</v>
      </c>
      <c r="C44" s="38" t="n">
        <f aca="false">Trade_CurrentAccount!F169</f>
        <v>0.0679432678939537</v>
      </c>
      <c r="D44" s="43" t="s">
        <v>1184</v>
      </c>
      <c r="E44" s="11" t="s">
        <v>526</v>
      </c>
      <c r="F44" s="44" t="s">
        <v>1181</v>
      </c>
      <c r="G44" s="44" t="s">
        <v>1185</v>
      </c>
      <c r="H44" s="44" t="s">
        <v>501</v>
      </c>
      <c r="I44" s="44"/>
    </row>
    <row r="45" customFormat="false" ht="15" hidden="false" customHeight="false" outlineLevel="0" collapsed="false">
      <c r="A45" s="7" t="s">
        <v>1178</v>
      </c>
      <c r="B45" s="43" t="s">
        <v>1193</v>
      </c>
      <c r="C45" s="10" t="str">
        <f aca="false">Trade_CurrentAccount!D170</f>
        <v>Netherlands</v>
      </c>
      <c r="D45" s="43" t="s">
        <v>1180</v>
      </c>
      <c r="E45" s="11" t="s">
        <v>526</v>
      </c>
      <c r="F45" s="44" t="s">
        <v>1181</v>
      </c>
      <c r="G45" s="44" t="s">
        <v>1182</v>
      </c>
      <c r="H45" s="44" t="s">
        <v>501</v>
      </c>
      <c r="I45" s="44"/>
    </row>
    <row r="46" customFormat="false" ht="15" hidden="false" customHeight="false" outlineLevel="0" collapsed="false">
      <c r="A46" s="7" t="s">
        <v>1178</v>
      </c>
      <c r="B46" s="43" t="s">
        <v>1191</v>
      </c>
      <c r="C46" s="38" t="n">
        <f aca="false">Trade_CurrentAccount!F170</f>
        <v>0.0641574931630213</v>
      </c>
      <c r="D46" s="43" t="s">
        <v>1184</v>
      </c>
      <c r="E46" s="11" t="s">
        <v>526</v>
      </c>
      <c r="F46" s="44" t="s">
        <v>1181</v>
      </c>
      <c r="G46" s="44" t="s">
        <v>1185</v>
      </c>
      <c r="H46" s="44" t="s">
        <v>501</v>
      </c>
      <c r="I46" s="44"/>
    </row>
    <row r="47" customFormat="false" ht="15" hidden="false" customHeight="false" outlineLevel="0" collapsed="false">
      <c r="A47" s="7" t="s">
        <v>1178</v>
      </c>
      <c r="B47" s="43" t="s">
        <v>1194</v>
      </c>
      <c r="C47" s="10" t="str">
        <f aca="false">Trade_CurrentAccount!D171</f>
        <v>Poland</v>
      </c>
      <c r="D47" s="43" t="s">
        <v>1180</v>
      </c>
      <c r="E47" s="11" t="s">
        <v>526</v>
      </c>
      <c r="F47" s="44" t="s">
        <v>1181</v>
      </c>
      <c r="G47" s="44" t="s">
        <v>1182</v>
      </c>
      <c r="H47" s="44" t="s">
        <v>501</v>
      </c>
      <c r="I47" s="44"/>
    </row>
    <row r="48" customFormat="false" ht="15" hidden="false" customHeight="false" outlineLevel="0" collapsed="false">
      <c r="A48" s="7" t="s">
        <v>1178</v>
      </c>
      <c r="B48" s="43" t="s">
        <v>1191</v>
      </c>
      <c r="C48" s="38" t="n">
        <f aca="false">Trade_CurrentAccount!F171</f>
        <v>0.0587387013387224</v>
      </c>
      <c r="D48" s="43" t="s">
        <v>1184</v>
      </c>
      <c r="E48" s="11" t="s">
        <v>526</v>
      </c>
      <c r="F48" s="44" t="s">
        <v>1181</v>
      </c>
      <c r="G48" s="44" t="s">
        <v>1185</v>
      </c>
      <c r="H48" s="44" t="s">
        <v>501</v>
      </c>
      <c r="I48" s="44"/>
    </row>
    <row r="49" customFormat="false" ht="15" hidden="false" customHeight="false" outlineLevel="0" collapsed="false">
      <c r="A49" s="7" t="s">
        <v>1178</v>
      </c>
      <c r="B49" s="43" t="s">
        <v>1195</v>
      </c>
      <c r="C49" s="10" t="str">
        <f aca="false">Trade_CurrentAccount!D172</f>
        <v>Italy</v>
      </c>
      <c r="D49" s="43" t="s">
        <v>1180</v>
      </c>
      <c r="E49" s="11" t="s">
        <v>526</v>
      </c>
      <c r="F49" s="44" t="s">
        <v>1181</v>
      </c>
      <c r="G49" s="44" t="s">
        <v>1182</v>
      </c>
      <c r="H49" s="44" t="s">
        <v>501</v>
      </c>
      <c r="I49" s="44"/>
    </row>
    <row r="50" customFormat="false" ht="15" hidden="false" customHeight="false" outlineLevel="0" collapsed="false">
      <c r="A50" s="7" t="s">
        <v>1178</v>
      </c>
      <c r="B50" s="43" t="s">
        <v>1191</v>
      </c>
      <c r="C50" s="38" t="n">
        <f aca="false">Trade_CurrentAccount!F172</f>
        <v>0.0529775405010148</v>
      </c>
      <c r="D50" s="43" t="s">
        <v>1184</v>
      </c>
      <c r="E50" s="11" t="s">
        <v>526</v>
      </c>
      <c r="F50" s="44" t="s">
        <v>1181</v>
      </c>
      <c r="G50" s="44" t="s">
        <v>1185</v>
      </c>
      <c r="H50" s="44" t="s">
        <v>501</v>
      </c>
      <c r="I50" s="44"/>
    </row>
    <row r="51" customFormat="false" ht="15" hidden="false" customHeight="false" outlineLevel="0" collapsed="false">
      <c r="A51" s="7" t="s">
        <v>1196</v>
      </c>
      <c r="B51" s="43" t="s">
        <v>1197</v>
      </c>
      <c r="C51" s="10" t="str">
        <f aca="false">Trade_CurrentAccount!D254</f>
        <v>87 - Vehicles; other than railway or tramway rolling stock, and parts and accessories thereof</v>
      </c>
      <c r="D51" s="43" t="s">
        <v>1027</v>
      </c>
      <c r="E51" s="11" t="s">
        <v>526</v>
      </c>
      <c r="F51" s="44" t="s">
        <v>1181</v>
      </c>
      <c r="G51" s="44" t="s">
        <v>1198</v>
      </c>
      <c r="H51" s="44" t="s">
        <v>501</v>
      </c>
      <c r="I51" s="44"/>
    </row>
    <row r="52" customFormat="false" ht="15" hidden="false" customHeight="false" outlineLevel="0" collapsed="false">
      <c r="A52" s="7" t="s">
        <v>1196</v>
      </c>
      <c r="B52" s="43" t="s">
        <v>1199</v>
      </c>
      <c r="C52" s="38" t="n">
        <f aca="false">Trade_CurrentAccount!F254</f>
        <v>0.162129479318723</v>
      </c>
      <c r="D52" s="43" t="s">
        <v>1184</v>
      </c>
      <c r="E52" s="11" t="s">
        <v>526</v>
      </c>
      <c r="F52" s="44" t="s">
        <v>1181</v>
      </c>
      <c r="G52" s="44" t="s">
        <v>1185</v>
      </c>
      <c r="H52" s="44" t="s">
        <v>501</v>
      </c>
      <c r="I52" s="44"/>
    </row>
    <row r="53" customFormat="false" ht="15" hidden="false" customHeight="false" outlineLevel="0" collapsed="false">
      <c r="A53" s="7" t="s">
        <v>1196</v>
      </c>
      <c r="B53" s="43" t="s">
        <v>1200</v>
      </c>
      <c r="C53" s="10" t="str">
        <f aca="false">Trade_CurrentAccount!D255</f>
        <v>84 - Machinery and mechanical appliances, boilers, nuclear reactors; parts thereof</v>
      </c>
      <c r="D53" s="43" t="s">
        <v>1027</v>
      </c>
      <c r="E53" s="11" t="s">
        <v>526</v>
      </c>
      <c r="F53" s="44" t="s">
        <v>1181</v>
      </c>
      <c r="G53" s="44" t="s">
        <v>1198</v>
      </c>
      <c r="H53" s="44" t="s">
        <v>501</v>
      </c>
      <c r="I53" s="44"/>
    </row>
    <row r="54" customFormat="false" ht="15" hidden="false" customHeight="false" outlineLevel="0" collapsed="false">
      <c r="A54" s="7" t="s">
        <v>1196</v>
      </c>
      <c r="B54" s="43" t="s">
        <v>1199</v>
      </c>
      <c r="C54" s="38" t="n">
        <f aca="false">Trade_CurrentAccount!F255</f>
        <v>0.161064748659985</v>
      </c>
      <c r="D54" s="43" t="s">
        <v>1184</v>
      </c>
      <c r="E54" s="11" t="s">
        <v>526</v>
      </c>
      <c r="F54" s="44" t="s">
        <v>1181</v>
      </c>
      <c r="G54" s="44" t="s">
        <v>1185</v>
      </c>
      <c r="H54" s="44" t="s">
        <v>501</v>
      </c>
      <c r="I54" s="44"/>
    </row>
    <row r="55" customFormat="false" ht="15" hidden="false" customHeight="false" outlineLevel="0" collapsed="false">
      <c r="A55" s="7" t="s">
        <v>1196</v>
      </c>
      <c r="B55" s="43" t="s">
        <v>1201</v>
      </c>
      <c r="C55" s="10" t="str">
        <f aca="false">Trade_CurrentAccount!D256</f>
        <v>85 - Electrical machinery and equipment and parts thereof; sound recorders and reproducers; television image and sound recorders and reproducers, parts and accessories of such articles</v>
      </c>
      <c r="D55" s="43" t="s">
        <v>1027</v>
      </c>
      <c r="E55" s="11" t="s">
        <v>526</v>
      </c>
      <c r="F55" s="44" t="s">
        <v>1181</v>
      </c>
      <c r="G55" s="44" t="s">
        <v>1198</v>
      </c>
      <c r="H55" s="44" t="s">
        <v>501</v>
      </c>
      <c r="I55" s="44"/>
    </row>
    <row r="56" customFormat="false" ht="15" hidden="false" customHeight="false" outlineLevel="0" collapsed="false">
      <c r="A56" s="7" t="s">
        <v>1196</v>
      </c>
      <c r="B56" s="43" t="s">
        <v>1199</v>
      </c>
      <c r="C56" s="38" t="n">
        <f aca="false">Trade_CurrentAccount!F256</f>
        <v>0.110714382209299</v>
      </c>
      <c r="D56" s="43" t="s">
        <v>1184</v>
      </c>
      <c r="E56" s="11" t="s">
        <v>526</v>
      </c>
      <c r="F56" s="44" t="s">
        <v>1181</v>
      </c>
      <c r="G56" s="44" t="s">
        <v>1185</v>
      </c>
      <c r="H56" s="44" t="s">
        <v>501</v>
      </c>
      <c r="I56" s="44"/>
    </row>
    <row r="57" customFormat="false" ht="15" hidden="false" customHeight="false" outlineLevel="0" collapsed="false">
      <c r="A57" s="7" t="s">
        <v>1196</v>
      </c>
      <c r="B57" s="43" t="s">
        <v>1202</v>
      </c>
      <c r="C57" s="10" t="str">
        <f aca="false">Trade_CurrentAccount!D260</f>
        <v>85 - Electrical machinery and equipment and parts thereof; sound recorders and reproducers; television image and sound recorders and reproducers, parts and accessories of such articles</v>
      </c>
      <c r="D57" s="43" t="s">
        <v>1027</v>
      </c>
      <c r="E57" s="11" t="s">
        <v>526</v>
      </c>
      <c r="F57" s="44" t="s">
        <v>1181</v>
      </c>
      <c r="G57" s="44" t="s">
        <v>1198</v>
      </c>
      <c r="H57" s="44" t="s">
        <v>501</v>
      </c>
      <c r="I57" s="44"/>
    </row>
    <row r="58" customFormat="false" ht="15" hidden="false" customHeight="false" outlineLevel="0" collapsed="false">
      <c r="A58" s="7" t="s">
        <v>1196</v>
      </c>
      <c r="B58" s="43" t="s">
        <v>1199</v>
      </c>
      <c r="C58" s="38" t="n">
        <f aca="false">Trade_CurrentAccount!F260</f>
        <v>0.146070516763182</v>
      </c>
      <c r="D58" s="43" t="s">
        <v>1184</v>
      </c>
      <c r="E58" s="11" t="s">
        <v>526</v>
      </c>
      <c r="F58" s="44" t="s">
        <v>1181</v>
      </c>
      <c r="G58" s="44" t="s">
        <v>1185</v>
      </c>
      <c r="H58" s="44" t="s">
        <v>501</v>
      </c>
      <c r="I58" s="44"/>
    </row>
    <row r="59" customFormat="false" ht="15" hidden="false" customHeight="false" outlineLevel="0" collapsed="false">
      <c r="A59" s="7" t="s">
        <v>1196</v>
      </c>
      <c r="B59" s="43" t="s">
        <v>1203</v>
      </c>
      <c r="C59" s="10" t="str">
        <f aca="false">Trade_CurrentAccount!D261</f>
        <v>84 - Machinery and mechanical appliances, boilers, nuclear reactors; parts thereof</v>
      </c>
      <c r="D59" s="43" t="s">
        <v>1027</v>
      </c>
      <c r="E59" s="11" t="s">
        <v>526</v>
      </c>
      <c r="F59" s="44" t="s">
        <v>1181</v>
      </c>
      <c r="G59" s="44" t="s">
        <v>1198</v>
      </c>
      <c r="H59" s="44" t="s">
        <v>501</v>
      </c>
      <c r="I59" s="44"/>
    </row>
    <row r="60" customFormat="false" ht="15" hidden="false" customHeight="false" outlineLevel="0" collapsed="false">
      <c r="A60" s="7" t="s">
        <v>1196</v>
      </c>
      <c r="B60" s="43" t="s">
        <v>1199</v>
      </c>
      <c r="C60" s="38" t="n">
        <f aca="false">Trade_CurrentAccount!F261</f>
        <v>0.122696909567922</v>
      </c>
      <c r="D60" s="43" t="s">
        <v>1184</v>
      </c>
      <c r="E60" s="11" t="s">
        <v>526</v>
      </c>
      <c r="F60" s="44" t="s">
        <v>1181</v>
      </c>
      <c r="G60" s="44" t="s">
        <v>1185</v>
      </c>
      <c r="H60" s="44" t="s">
        <v>501</v>
      </c>
      <c r="I60" s="44"/>
    </row>
    <row r="61" customFormat="false" ht="15" hidden="false" customHeight="false" outlineLevel="0" collapsed="false">
      <c r="A61" s="7" t="s">
        <v>1196</v>
      </c>
      <c r="B61" s="43" t="s">
        <v>1204</v>
      </c>
      <c r="C61" s="10" t="str">
        <f aca="false">Trade_CurrentAccount!D262</f>
        <v>87 - Vehicles; other than railway or tramway rolling stock, and parts and accessories thereof</v>
      </c>
      <c r="D61" s="43" t="s">
        <v>1027</v>
      </c>
      <c r="E61" s="11" t="s">
        <v>526</v>
      </c>
      <c r="F61" s="44" t="s">
        <v>1181</v>
      </c>
      <c r="G61" s="44" t="s">
        <v>1198</v>
      </c>
      <c r="H61" s="44" t="s">
        <v>501</v>
      </c>
      <c r="I61" s="44"/>
    </row>
    <row r="62" customFormat="false" ht="15" hidden="false" customHeight="false" outlineLevel="0" collapsed="false">
      <c r="A62" s="7" t="s">
        <v>1196</v>
      </c>
      <c r="B62" s="43" t="s">
        <v>1199</v>
      </c>
      <c r="C62" s="38" t="n">
        <f aca="false">Trade_CurrentAccount!F262</f>
        <v>0.101913036519569</v>
      </c>
      <c r="D62" s="43" t="s">
        <v>1184</v>
      </c>
      <c r="E62" s="11" t="s">
        <v>526</v>
      </c>
      <c r="F62" s="44" t="s">
        <v>1181</v>
      </c>
      <c r="G62" s="44" t="s">
        <v>1185</v>
      </c>
      <c r="H62" s="44" t="s">
        <v>501</v>
      </c>
      <c r="I62" s="44"/>
    </row>
    <row r="63" customFormat="false" ht="15" hidden="false" customHeight="false" outlineLevel="0" collapsed="false">
      <c r="A63" s="7" t="s">
        <v>1205</v>
      </c>
      <c r="B63" s="43" t="s">
        <v>1206</v>
      </c>
      <c r="C63" s="38" t="n">
        <f aca="false">Trade_CurrentAccount!F259</f>
        <v>0.0190317522633479</v>
      </c>
      <c r="D63" s="43" t="s">
        <v>1184</v>
      </c>
      <c r="E63" s="11" t="s">
        <v>526</v>
      </c>
      <c r="F63" s="44" t="s">
        <v>1181</v>
      </c>
      <c r="G63" s="44" t="s">
        <v>1207</v>
      </c>
      <c r="H63" s="44" t="s">
        <v>501</v>
      </c>
      <c r="I63" s="44" t="s">
        <v>1329</v>
      </c>
    </row>
    <row r="64" customFormat="false" ht="15" hidden="false" customHeight="false" outlineLevel="0" collapsed="false">
      <c r="A64" s="7" t="s">
        <v>1205</v>
      </c>
      <c r="B64" s="43" t="s">
        <v>1209</v>
      </c>
      <c r="C64" s="38" t="n">
        <f aca="false">Trade_CurrentAccount!F263</f>
        <v>0.0745501251199498</v>
      </c>
      <c r="D64" s="43" t="s">
        <v>1184</v>
      </c>
      <c r="E64" s="11" t="s">
        <v>526</v>
      </c>
      <c r="F64" s="44" t="s">
        <v>1181</v>
      </c>
      <c r="G64" s="44" t="s">
        <v>1207</v>
      </c>
      <c r="H64" s="44" t="s">
        <v>501</v>
      </c>
      <c r="I64" s="44" t="s">
        <v>1210</v>
      </c>
    </row>
    <row r="65" customFormat="false" ht="15" hidden="false" customHeight="false" outlineLevel="0" collapsed="false">
      <c r="A65" s="7" t="s">
        <v>1211</v>
      </c>
      <c r="B65" s="43" t="s">
        <v>1314</v>
      </c>
      <c r="C65" s="20" t="n">
        <f aca="false">Trade_CurrentAccount!D291</f>
        <v>56.1</v>
      </c>
      <c r="D65" s="43" t="s">
        <v>1244</v>
      </c>
      <c r="E65" s="11" t="s">
        <v>770</v>
      </c>
      <c r="F65" s="44" t="s">
        <v>422</v>
      </c>
      <c r="G65" s="44" t="s">
        <v>1315</v>
      </c>
      <c r="H65" s="44" t="s">
        <v>501</v>
      </c>
      <c r="I65" s="44" t="s">
        <v>1316</v>
      </c>
    </row>
    <row r="66" customFormat="false" ht="15" hidden="false" customHeight="false" outlineLevel="0" collapsed="false">
      <c r="A66" s="7" t="s">
        <v>1211</v>
      </c>
      <c r="B66" s="43" t="s">
        <v>1317</v>
      </c>
      <c r="C66" s="20" t="n">
        <f aca="false">Trade_CurrentAccount!D293</f>
        <v>26.5</v>
      </c>
      <c r="D66" s="43" t="s">
        <v>1244</v>
      </c>
      <c r="E66" s="11" t="s">
        <v>770</v>
      </c>
      <c r="F66" s="44" t="s">
        <v>422</v>
      </c>
      <c r="G66" s="44" t="s">
        <v>1315</v>
      </c>
      <c r="H66" s="44" t="s">
        <v>501</v>
      </c>
      <c r="I66" s="44" t="s">
        <v>1316</v>
      </c>
    </row>
    <row r="67" customFormat="false" ht="15" hidden="false" customHeight="false" outlineLevel="0" collapsed="false">
      <c r="A67" s="7" t="s">
        <v>1211</v>
      </c>
      <c r="B67" s="43" t="s">
        <v>1318</v>
      </c>
      <c r="C67" s="20" t="n">
        <f aca="false">Trade_CurrentAccount!D292</f>
        <v>17.4</v>
      </c>
      <c r="D67" s="43" t="s">
        <v>1244</v>
      </c>
      <c r="E67" s="11" t="s">
        <v>770</v>
      </c>
      <c r="F67" s="44" t="s">
        <v>422</v>
      </c>
      <c r="G67" s="44" t="s">
        <v>1315</v>
      </c>
      <c r="H67" s="44" t="s">
        <v>501</v>
      </c>
      <c r="I67" s="44" t="s">
        <v>1316</v>
      </c>
    </row>
    <row r="68" customFormat="false" ht="15" hidden="false" customHeight="false" outlineLevel="0" collapsed="false">
      <c r="A68" s="7" t="s">
        <v>1211</v>
      </c>
      <c r="B68" s="43" t="s">
        <v>1319</v>
      </c>
      <c r="C68" s="20" t="n">
        <f aca="false">Trade_CurrentAccount!D294</f>
        <v>44.3</v>
      </c>
      <c r="D68" s="43" t="s">
        <v>1244</v>
      </c>
      <c r="E68" s="11" t="s">
        <v>770</v>
      </c>
      <c r="F68" s="44" t="s">
        <v>422</v>
      </c>
      <c r="G68" s="44" t="s">
        <v>1315</v>
      </c>
      <c r="H68" s="44" t="s">
        <v>501</v>
      </c>
      <c r="I68" s="44" t="s">
        <v>1316</v>
      </c>
    </row>
    <row r="69" customFormat="false" ht="15" hidden="false" customHeight="false" outlineLevel="0" collapsed="false">
      <c r="A69" s="7" t="s">
        <v>1211</v>
      </c>
      <c r="B69" s="43" t="s">
        <v>1320</v>
      </c>
      <c r="C69" s="20" t="n">
        <f aca="false">Trade_CurrentAccount!D296</f>
        <v>45.8</v>
      </c>
      <c r="D69" s="43" t="s">
        <v>1244</v>
      </c>
      <c r="E69" s="11" t="s">
        <v>770</v>
      </c>
      <c r="F69" s="44" t="s">
        <v>422</v>
      </c>
      <c r="G69" s="44" t="s">
        <v>1315</v>
      </c>
      <c r="H69" s="44" t="s">
        <v>501</v>
      </c>
      <c r="I69" s="44" t="s">
        <v>1316</v>
      </c>
    </row>
    <row r="70" customFormat="false" ht="15" hidden="false" customHeight="false" outlineLevel="0" collapsed="false">
      <c r="A70" s="7" t="s">
        <v>1211</v>
      </c>
      <c r="B70" s="43" t="s">
        <v>1321</v>
      </c>
      <c r="C70" s="20" t="n">
        <f aca="false">Trade_CurrentAccount!D295</f>
        <v>9.8</v>
      </c>
      <c r="D70" s="43" t="s">
        <v>1244</v>
      </c>
      <c r="E70" s="11" t="s">
        <v>770</v>
      </c>
      <c r="F70" s="44" t="s">
        <v>422</v>
      </c>
      <c r="G70" s="44" t="s">
        <v>1315</v>
      </c>
      <c r="H70" s="44" t="s">
        <v>501</v>
      </c>
      <c r="I70" s="44" t="s">
        <v>1316</v>
      </c>
    </row>
    <row r="71" customFormat="false" ht="15" hidden="false" customHeight="false" outlineLevel="0" collapsed="false">
      <c r="A71" s="7" t="s">
        <v>1214</v>
      </c>
      <c r="B71" s="43" t="s">
        <v>1322</v>
      </c>
      <c r="C71" s="38" t="n">
        <f aca="false">FX_Market_BIS!L23</f>
        <v>0.285384336798837</v>
      </c>
      <c r="D71" s="43" t="s">
        <v>1216</v>
      </c>
      <c r="E71" s="9" t="str">
        <f aca="false">FX_Market_BIS!A23</f>
        <v>2025</v>
      </c>
      <c r="F71" s="44" t="s">
        <v>1217</v>
      </c>
      <c r="G71" s="44" t="s">
        <v>1218</v>
      </c>
      <c r="H71" s="44" t="s">
        <v>550</v>
      </c>
      <c r="I71" s="44"/>
    </row>
    <row r="72" customFormat="false" ht="15" hidden="false" customHeight="false" outlineLevel="0" collapsed="false">
      <c r="A72" s="7" t="s">
        <v>1214</v>
      </c>
      <c r="B72" s="43" t="s">
        <v>1323</v>
      </c>
      <c r="C72" s="21" t="n">
        <f aca="false">Reserves_COFER!C49</f>
        <v>20.6017665863037</v>
      </c>
      <c r="D72" s="43" t="s">
        <v>1220</v>
      </c>
      <c r="E72" s="9" t="str">
        <f aca="false">Reserves_COFER!A49</f>
        <v>2026-Q2</v>
      </c>
      <c r="F72" s="44" t="s">
        <v>1221</v>
      </c>
      <c r="G72" s="44" t="s">
        <v>1324</v>
      </c>
      <c r="H72" s="44" t="s">
        <v>542</v>
      </c>
      <c r="I72" s="44"/>
    </row>
    <row r="73" customFormat="false" ht="15" hidden="false" customHeight="false" outlineLevel="0" collapsed="false">
      <c r="A73" s="7" t="s">
        <v>1223</v>
      </c>
      <c r="B73" s="43" t="s">
        <v>1325</v>
      </c>
      <c r="C73" s="38" t="n">
        <f aca="false">BigMac!H51</f>
        <v>0.13814</v>
      </c>
      <c r="D73" s="43" t="s">
        <v>1225</v>
      </c>
      <c r="E73" s="9" t="n">
        <f aca="false">BigMac!A51</f>
        <v>46204</v>
      </c>
      <c r="F73" s="44" t="s">
        <v>1226</v>
      </c>
      <c r="G73" s="44" t="s">
        <v>1227</v>
      </c>
      <c r="H73" s="44" t="s">
        <v>559</v>
      </c>
      <c r="I73" s="44" t="s">
        <v>1326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7" min="6" style="0" width="34"/>
    <col collapsed="false" customWidth="true" hidden="false" outlineLevel="0" max="8" min="8" style="0" width="22"/>
    <col collapsed="false" customWidth="true" hidden="false" outlineLevel="0" max="9" min="9" style="0" width="70"/>
  </cols>
  <sheetData>
    <row r="1" customFormat="false" ht="16.15" hidden="false" customHeight="false" outlineLevel="0" collapsed="false">
      <c r="A1" s="1" t="s">
        <v>1330</v>
      </c>
    </row>
    <row r="2" customFormat="false" ht="15" hidden="false" customHeight="false" outlineLevel="0" collapsed="false">
      <c r="A2" s="2" t="s">
        <v>1138</v>
      </c>
    </row>
    <row r="4" customFormat="false" ht="15" hidden="false" customHeight="false" outlineLevel="0" collapsed="false">
      <c r="A4" s="3" t="s">
        <v>1139</v>
      </c>
      <c r="B4" s="3" t="s">
        <v>755</v>
      </c>
      <c r="C4" s="3" t="s">
        <v>1140</v>
      </c>
      <c r="D4" s="3" t="s">
        <v>9</v>
      </c>
      <c r="E4" s="3" t="s">
        <v>1141</v>
      </c>
      <c r="F4" s="3" t="s">
        <v>5</v>
      </c>
      <c r="G4" s="3" t="s">
        <v>6</v>
      </c>
      <c r="H4" s="3" t="s">
        <v>1142</v>
      </c>
      <c r="I4" s="3" t="s">
        <v>1060</v>
      </c>
    </row>
    <row r="5" customFormat="false" ht="15" hidden="false" customHeight="false" outlineLevel="0" collapsed="false">
      <c r="A5" s="7" t="s">
        <v>1143</v>
      </c>
      <c r="B5" s="43" t="s">
        <v>586</v>
      </c>
      <c r="C5" s="10" t="n">
        <f aca="false">FX_Daily!F12</f>
        <v>6.7038</v>
      </c>
      <c r="D5" s="43" t="s">
        <v>43</v>
      </c>
      <c r="E5" s="9" t="n">
        <f aca="false">FX_Daily!F11</f>
        <v>46297</v>
      </c>
      <c r="F5" s="44" t="s">
        <v>17</v>
      </c>
      <c r="G5" s="44" t="s">
        <v>40</v>
      </c>
      <c r="H5" s="44" t="s">
        <v>15</v>
      </c>
      <c r="I5" s="44"/>
    </row>
    <row r="6" customFormat="false" ht="15" hidden="false" customHeight="false" outlineLevel="0" collapsed="false">
      <c r="A6" s="7" t="s">
        <v>1143</v>
      </c>
      <c r="B6" s="43" t="s">
        <v>593</v>
      </c>
      <c r="C6" s="10" t="n">
        <f aca="false">FX_Daily!M12</f>
        <v>7.5554</v>
      </c>
      <c r="D6" s="43" t="s">
        <v>80</v>
      </c>
      <c r="E6" s="9" t="n">
        <f aca="false">FX_Daily!M11</f>
        <v>46301</v>
      </c>
      <c r="F6" s="44" t="s">
        <v>55</v>
      </c>
      <c r="G6" s="44" t="s">
        <v>77</v>
      </c>
      <c r="H6" s="44" t="s">
        <v>15</v>
      </c>
      <c r="I6" s="44"/>
    </row>
    <row r="7" customFormat="false" ht="15" hidden="false" customHeight="false" outlineLevel="0" collapsed="false">
      <c r="A7" s="7" t="s">
        <v>1144</v>
      </c>
      <c r="B7" s="43" t="s">
        <v>1331</v>
      </c>
      <c r="C7" s="19" t="n">
        <f aca="false">Rates_Monthly!AS12</f>
        <v>3</v>
      </c>
      <c r="D7" s="43" t="s">
        <v>125</v>
      </c>
      <c r="E7" s="9" t="n">
        <f aca="false">Rates_Monthly!AS11</f>
        <v>46266</v>
      </c>
      <c r="F7" s="44" t="s">
        <v>343</v>
      </c>
      <c r="G7" s="44" t="s">
        <v>344</v>
      </c>
      <c r="H7" s="44" t="s">
        <v>184</v>
      </c>
      <c r="I7" s="44"/>
    </row>
    <row r="8" customFormat="false" ht="15" hidden="false" customHeight="false" outlineLevel="0" collapsed="false">
      <c r="A8" s="7" t="s">
        <v>1144</v>
      </c>
      <c r="B8" s="43" t="s">
        <v>1332</v>
      </c>
      <c r="C8" s="46" t="s">
        <v>1212</v>
      </c>
      <c r="D8" s="43" t="s">
        <v>125</v>
      </c>
      <c r="E8" s="11"/>
      <c r="F8" s="44" t="s">
        <v>1333</v>
      </c>
      <c r="G8" s="44" t="s">
        <v>1334</v>
      </c>
      <c r="H8" s="44"/>
      <c r="I8" s="44" t="s">
        <v>1335</v>
      </c>
    </row>
    <row r="9" customFormat="false" ht="15" hidden="false" customHeight="false" outlineLevel="0" collapsed="false">
      <c r="A9" s="7" t="s">
        <v>1144</v>
      </c>
      <c r="B9" s="43" t="s">
        <v>1336</v>
      </c>
      <c r="C9" s="19" t="n">
        <f aca="false">Rates_Daily!M12</f>
        <v>1.421</v>
      </c>
      <c r="D9" s="43" t="s">
        <v>125</v>
      </c>
      <c r="E9" s="9" t="n">
        <f aca="false">Rates_Daily!M11</f>
        <v>46295</v>
      </c>
      <c r="F9" s="44" t="s">
        <v>156</v>
      </c>
      <c r="G9" s="44" t="s">
        <v>157</v>
      </c>
      <c r="H9" s="44" t="s">
        <v>106</v>
      </c>
      <c r="I9" s="44"/>
    </row>
    <row r="10" customFormat="false" ht="15" hidden="false" customHeight="false" outlineLevel="0" collapsed="false">
      <c r="A10" s="7" t="s">
        <v>1144</v>
      </c>
      <c r="B10" s="43" t="s">
        <v>1337</v>
      </c>
      <c r="C10" s="19" t="n">
        <f aca="false">Rates_Daily!N12</f>
        <v>1.43</v>
      </c>
      <c r="D10" s="43" t="s">
        <v>125</v>
      </c>
      <c r="E10" s="9" t="n">
        <f aca="false">Rates_Daily!N11</f>
        <v>46295</v>
      </c>
      <c r="F10" s="44" t="s">
        <v>156</v>
      </c>
      <c r="G10" s="44" t="s">
        <v>162</v>
      </c>
      <c r="H10" s="44" t="s">
        <v>106</v>
      </c>
      <c r="I10" s="44"/>
    </row>
    <row r="11" customFormat="false" ht="15" hidden="false" customHeight="false" outlineLevel="0" collapsed="false">
      <c r="A11" s="7" t="s">
        <v>1144</v>
      </c>
      <c r="B11" s="43" t="s">
        <v>1338</v>
      </c>
      <c r="C11" s="19" t="n">
        <f aca="false">Rates_Daily!O12</f>
        <v>1.45</v>
      </c>
      <c r="D11" s="43" t="s">
        <v>125</v>
      </c>
      <c r="E11" s="9" t="n">
        <f aca="false">Rates_Daily!O11</f>
        <v>46295</v>
      </c>
      <c r="F11" s="44" t="s">
        <v>156</v>
      </c>
      <c r="G11" s="44" t="s">
        <v>165</v>
      </c>
      <c r="H11" s="44" t="s">
        <v>106</v>
      </c>
      <c r="I11" s="44"/>
    </row>
    <row r="12" customFormat="false" ht="15" hidden="false" customHeight="false" outlineLevel="0" collapsed="false">
      <c r="A12" s="7" t="s">
        <v>1144</v>
      </c>
      <c r="B12" s="43" t="s">
        <v>1339</v>
      </c>
      <c r="C12" s="19" t="n">
        <f aca="false">Rates_Daily!P12</f>
        <v>1.48</v>
      </c>
      <c r="D12" s="43" t="s">
        <v>125</v>
      </c>
      <c r="E12" s="9" t="n">
        <f aca="false">Rates_Daily!P11</f>
        <v>46295</v>
      </c>
      <c r="F12" s="44" t="s">
        <v>156</v>
      </c>
      <c r="G12" s="44" t="s">
        <v>168</v>
      </c>
      <c r="H12" s="44" t="s">
        <v>106</v>
      </c>
      <c r="I12" s="44"/>
    </row>
    <row r="13" customFormat="false" ht="15" hidden="false" customHeight="false" outlineLevel="0" collapsed="false">
      <c r="A13" s="7" t="s">
        <v>374</v>
      </c>
      <c r="B13" s="43" t="s">
        <v>1340</v>
      </c>
      <c r="C13" s="20" t="n">
        <f aca="false">Inflation!G12</f>
        <v>0.8</v>
      </c>
      <c r="D13" s="43" t="s">
        <v>387</v>
      </c>
      <c r="E13" s="45" t="n">
        <f aca="false">Inflation!G11</f>
        <v>46235</v>
      </c>
      <c r="F13" s="44" t="s">
        <v>383</v>
      </c>
      <c r="G13" s="44" t="s">
        <v>398</v>
      </c>
      <c r="H13" s="44" t="s">
        <v>374</v>
      </c>
      <c r="I13" s="44"/>
    </row>
    <row r="14" customFormat="false" ht="15" hidden="false" customHeight="false" outlineLevel="0" collapsed="false">
      <c r="A14" s="7" t="s">
        <v>1154</v>
      </c>
      <c r="B14" s="43" t="s">
        <v>1155</v>
      </c>
      <c r="C14" s="36" t="n">
        <f aca="false">GDP_Growth!X42</f>
        <v>19498039388042.6</v>
      </c>
      <c r="D14" s="43" t="s">
        <v>478</v>
      </c>
      <c r="E14" s="16" t="str">
        <f aca="false">GDP_Growth!W42</f>
        <v>2025</v>
      </c>
      <c r="F14" s="44" t="s">
        <v>469</v>
      </c>
      <c r="G14" s="44" t="s">
        <v>475</v>
      </c>
      <c r="H14" s="44" t="s">
        <v>453</v>
      </c>
      <c r="I14" s="44"/>
    </row>
    <row r="15" customFormat="false" ht="15" hidden="false" customHeight="false" outlineLevel="0" collapsed="false">
      <c r="A15" s="7" t="s">
        <v>1154</v>
      </c>
      <c r="B15" s="43" t="s">
        <v>1156</v>
      </c>
      <c r="C15" s="34" t="n">
        <f aca="false">GDP_Growth!AB22</f>
        <v>19626.247</v>
      </c>
      <c r="D15" s="43" t="s">
        <v>467</v>
      </c>
      <c r="E15" s="16" t="str">
        <f aca="false">GDP_Growth!AA22</f>
        <v>2025</v>
      </c>
      <c r="F15" s="44" t="s">
        <v>455</v>
      </c>
      <c r="G15" s="44" t="s">
        <v>464</v>
      </c>
      <c r="H15" s="44" t="s">
        <v>453</v>
      </c>
      <c r="I15" s="44"/>
    </row>
    <row r="16" customFormat="false" ht="15" hidden="false" customHeight="false" outlineLevel="0" collapsed="false">
      <c r="A16" s="7" t="s">
        <v>1154</v>
      </c>
      <c r="B16" s="43" t="s">
        <v>1157</v>
      </c>
      <c r="C16" s="36" t="n">
        <f aca="false">GDP_Growth!X52</f>
        <v>13861.970224368</v>
      </c>
      <c r="D16" s="43" t="s">
        <v>478</v>
      </c>
      <c r="E16" s="16" t="str">
        <f aca="false">GDP_Growth!W52</f>
        <v>2025</v>
      </c>
      <c r="F16" s="44" t="s">
        <v>469</v>
      </c>
      <c r="G16" s="44" t="s">
        <v>480</v>
      </c>
      <c r="H16" s="44" t="s">
        <v>453</v>
      </c>
      <c r="I16" s="44"/>
    </row>
    <row r="17" customFormat="false" ht="15" hidden="false" customHeight="false" outlineLevel="0" collapsed="false">
      <c r="A17" s="7" t="s">
        <v>1154</v>
      </c>
      <c r="B17" s="43" t="s">
        <v>1158</v>
      </c>
      <c r="C17" s="20" t="n">
        <f aca="false">GDP_Growth!X32</f>
        <v>4.95994886240992</v>
      </c>
      <c r="D17" s="43" t="s">
        <v>473</v>
      </c>
      <c r="E17" s="16" t="str">
        <f aca="false">GDP_Growth!W32</f>
        <v>2025</v>
      </c>
      <c r="F17" s="44" t="s">
        <v>469</v>
      </c>
      <c r="G17" s="44" t="s">
        <v>470</v>
      </c>
      <c r="H17" s="44" t="s">
        <v>453</v>
      </c>
      <c r="I17" s="44"/>
    </row>
    <row r="18" customFormat="false" ht="15" hidden="false" customHeight="false" outlineLevel="0" collapsed="false">
      <c r="A18" s="7" t="s">
        <v>1154</v>
      </c>
      <c r="B18" s="43" t="s">
        <v>1159</v>
      </c>
      <c r="C18" s="20" t="n">
        <f aca="false">GDP_Growth!AB12</f>
        <v>5</v>
      </c>
      <c r="D18" s="43" t="s">
        <v>459</v>
      </c>
      <c r="E18" s="16" t="str">
        <f aca="false">GDP_Growth!AA12</f>
        <v>2025</v>
      </c>
      <c r="F18" s="44" t="s">
        <v>455</v>
      </c>
      <c r="G18" s="44" t="s">
        <v>456</v>
      </c>
      <c r="H18" s="44" t="s">
        <v>453</v>
      </c>
      <c r="I18" s="44" t="s">
        <v>1160</v>
      </c>
    </row>
    <row r="19" customFormat="false" ht="15" hidden="false" customHeight="false" outlineLevel="0" collapsed="false">
      <c r="A19" s="7" t="s">
        <v>1161</v>
      </c>
      <c r="B19" s="43" t="s">
        <v>1162</v>
      </c>
      <c r="C19" s="20" t="n">
        <f aca="false">GDP_Growth!Y12</f>
        <v>4.4</v>
      </c>
      <c r="D19" s="43" t="s">
        <v>459</v>
      </c>
      <c r="E19" s="11" t="s">
        <v>1163</v>
      </c>
      <c r="F19" s="44" t="s">
        <v>455</v>
      </c>
      <c r="G19" s="44" t="s">
        <v>456</v>
      </c>
      <c r="H19" s="44" t="s">
        <v>453</v>
      </c>
      <c r="I19" s="44" t="s">
        <v>1164</v>
      </c>
    </row>
    <row r="20" customFormat="false" ht="15" hidden="false" customHeight="false" outlineLevel="0" collapsed="false">
      <c r="A20" s="7" t="s">
        <v>1161</v>
      </c>
      <c r="B20" s="43" t="s">
        <v>1165</v>
      </c>
      <c r="C20" s="20" t="n">
        <f aca="false">GDP_Growth!Z12</f>
        <v>4</v>
      </c>
      <c r="D20" s="43" t="s">
        <v>459</v>
      </c>
      <c r="E20" s="11" t="s">
        <v>1166</v>
      </c>
      <c r="F20" s="44" t="s">
        <v>455</v>
      </c>
      <c r="G20" s="44" t="s">
        <v>456</v>
      </c>
      <c r="H20" s="44" t="s">
        <v>453</v>
      </c>
      <c r="I20" s="44" t="s">
        <v>1164</v>
      </c>
    </row>
    <row r="21" customFormat="false" ht="15" hidden="false" customHeight="false" outlineLevel="0" collapsed="false">
      <c r="A21" s="7" t="s">
        <v>1167</v>
      </c>
      <c r="B21" s="43" t="s">
        <v>1168</v>
      </c>
      <c r="C21" s="21" t="n">
        <f aca="false">GDP_Growth!N102</f>
        <v>0.9</v>
      </c>
      <c r="D21" s="43" t="s">
        <v>538</v>
      </c>
      <c r="E21" s="16" t="str">
        <f aca="false">GDP_Growth!N101</f>
        <v>2026-Q2</v>
      </c>
      <c r="F21" s="44" t="s">
        <v>1169</v>
      </c>
      <c r="G21" s="44" t="s">
        <v>1170</v>
      </c>
      <c r="H21" s="44" t="s">
        <v>453</v>
      </c>
      <c r="I21" s="44"/>
    </row>
    <row r="22" customFormat="false" ht="15" hidden="false" customHeight="false" outlineLevel="0" collapsed="false">
      <c r="A22" s="7" t="s">
        <v>1167</v>
      </c>
      <c r="B22" s="43" t="s">
        <v>1171</v>
      </c>
      <c r="C22" s="21" t="n">
        <f aca="false">GDP_Growth!O102</f>
        <v>4.3</v>
      </c>
      <c r="D22" s="43" t="s">
        <v>538</v>
      </c>
      <c r="E22" s="16" t="str">
        <f aca="false">GDP_Growth!O101</f>
        <v>2026-Q2</v>
      </c>
      <c r="F22" s="44" t="s">
        <v>1169</v>
      </c>
      <c r="G22" s="44" t="s">
        <v>1172</v>
      </c>
      <c r="H22" s="44" t="s">
        <v>453</v>
      </c>
      <c r="I22" s="44"/>
    </row>
    <row r="23" customFormat="false" ht="15" hidden="false" customHeight="false" outlineLevel="0" collapsed="false">
      <c r="A23" s="7" t="s">
        <v>1154</v>
      </c>
      <c r="B23" s="43" t="s">
        <v>1173</v>
      </c>
      <c r="C23" s="20" t="n">
        <f aca="false">Trade_CurrentAccount!X12</f>
        <v>21.0711983566772</v>
      </c>
      <c r="D23" s="43" t="s">
        <v>506</v>
      </c>
      <c r="E23" s="16" t="str">
        <f aca="false">Trade_CurrentAccount!W12</f>
        <v>2025</v>
      </c>
      <c r="F23" s="44" t="s">
        <v>469</v>
      </c>
      <c r="G23" s="44" t="s">
        <v>503</v>
      </c>
      <c r="H23" s="44" t="s">
        <v>501</v>
      </c>
      <c r="I23" s="44"/>
    </row>
    <row r="24" customFormat="false" ht="15" hidden="false" customHeight="false" outlineLevel="0" collapsed="false">
      <c r="A24" s="7" t="s">
        <v>1154</v>
      </c>
      <c r="B24" s="43" t="s">
        <v>1174</v>
      </c>
      <c r="C24" s="20" t="n">
        <f aca="false">Trade_CurrentAccount!X22</f>
        <v>16.8851895085539</v>
      </c>
      <c r="D24" s="43" t="s">
        <v>506</v>
      </c>
      <c r="E24" s="16" t="str">
        <f aca="false">Trade_CurrentAccount!W22</f>
        <v>2025</v>
      </c>
      <c r="F24" s="44" t="s">
        <v>469</v>
      </c>
      <c r="G24" s="44" t="s">
        <v>508</v>
      </c>
      <c r="H24" s="44" t="s">
        <v>501</v>
      </c>
      <c r="I24" s="44"/>
    </row>
    <row r="25" customFormat="false" ht="15" hidden="false" customHeight="false" outlineLevel="0" collapsed="false">
      <c r="A25" s="7" t="s">
        <v>1154</v>
      </c>
      <c r="B25" s="43" t="s">
        <v>1175</v>
      </c>
      <c r="C25" s="20" t="n">
        <f aca="false">Trade_CurrentAccount!X32</f>
        <v>3.76972243689338</v>
      </c>
      <c r="D25" s="43" t="s">
        <v>506</v>
      </c>
      <c r="E25" s="16" t="str">
        <f aca="false">Trade_CurrentAccount!W32</f>
        <v>2025</v>
      </c>
      <c r="F25" s="44" t="s">
        <v>469</v>
      </c>
      <c r="G25" s="44" t="s">
        <v>512</v>
      </c>
      <c r="H25" s="44" t="s">
        <v>501</v>
      </c>
      <c r="I25" s="44"/>
    </row>
    <row r="26" customFormat="false" ht="15" hidden="false" customHeight="false" outlineLevel="0" collapsed="false">
      <c r="A26" s="7" t="s">
        <v>1154</v>
      </c>
      <c r="B26" s="43" t="s">
        <v>1176</v>
      </c>
      <c r="C26" s="20" t="n">
        <f aca="false">Trade_CurrentAccount!AB42</f>
        <v>3.7</v>
      </c>
      <c r="D26" s="43" t="s">
        <v>506</v>
      </c>
      <c r="E26" s="16" t="str">
        <f aca="false">Trade_CurrentAccount!AA42</f>
        <v>2025</v>
      </c>
      <c r="F26" s="44" t="s">
        <v>455</v>
      </c>
      <c r="G26" s="44" t="s">
        <v>516</v>
      </c>
      <c r="H26" s="44" t="s">
        <v>501</v>
      </c>
      <c r="I26" s="44"/>
    </row>
    <row r="27" customFormat="false" ht="15" hidden="false" customHeight="false" outlineLevel="0" collapsed="false">
      <c r="A27" s="7" t="s">
        <v>1161</v>
      </c>
      <c r="B27" s="43" t="s">
        <v>1177</v>
      </c>
      <c r="C27" s="20" t="n">
        <f aca="false">Trade_CurrentAccount!Y42</f>
        <v>3.5</v>
      </c>
      <c r="D27" s="43" t="s">
        <v>506</v>
      </c>
      <c r="E27" s="11" t="s">
        <v>1163</v>
      </c>
      <c r="F27" s="44" t="s">
        <v>455</v>
      </c>
      <c r="G27" s="44" t="s">
        <v>516</v>
      </c>
      <c r="H27" s="44" t="s">
        <v>501</v>
      </c>
      <c r="I27" s="44" t="s">
        <v>1164</v>
      </c>
    </row>
    <row r="28" customFormat="false" ht="15" hidden="false" customHeight="false" outlineLevel="0" collapsed="false">
      <c r="A28" s="7" t="s">
        <v>1178</v>
      </c>
      <c r="B28" s="43" t="s">
        <v>1179</v>
      </c>
      <c r="C28" s="10" t="str">
        <f aca="false">Trade_CurrentAccount!D179</f>
        <v>USA</v>
      </c>
      <c r="D28" s="43" t="s">
        <v>1180</v>
      </c>
      <c r="E28" s="11" t="s">
        <v>526</v>
      </c>
      <c r="F28" s="44" t="s">
        <v>1181</v>
      </c>
      <c r="G28" s="44" t="s">
        <v>1182</v>
      </c>
      <c r="H28" s="44" t="s">
        <v>501</v>
      </c>
      <c r="I28" s="44"/>
    </row>
    <row r="29" customFormat="false" ht="15" hidden="false" customHeight="false" outlineLevel="0" collapsed="false">
      <c r="A29" s="7" t="s">
        <v>1178</v>
      </c>
      <c r="B29" s="43" t="s">
        <v>1183</v>
      </c>
      <c r="C29" s="38" t="n">
        <f aca="false">Trade_CurrentAccount!F179</f>
        <v>0.111482127928357</v>
      </c>
      <c r="D29" s="43" t="s">
        <v>1184</v>
      </c>
      <c r="E29" s="11" t="s">
        <v>526</v>
      </c>
      <c r="F29" s="44" t="s">
        <v>1181</v>
      </c>
      <c r="G29" s="44" t="s">
        <v>1185</v>
      </c>
      <c r="H29" s="44" t="s">
        <v>501</v>
      </c>
      <c r="I29" s="44"/>
    </row>
    <row r="30" customFormat="false" ht="15" hidden="false" customHeight="false" outlineLevel="0" collapsed="false">
      <c r="A30" s="7" t="s">
        <v>1178</v>
      </c>
      <c r="B30" s="43" t="s">
        <v>1186</v>
      </c>
      <c r="C30" s="10" t="str">
        <f aca="false">Trade_CurrentAccount!D180</f>
        <v>China, Hong Kong SAR</v>
      </c>
      <c r="D30" s="43" t="s">
        <v>1180</v>
      </c>
      <c r="E30" s="11" t="s">
        <v>526</v>
      </c>
      <c r="F30" s="44" t="s">
        <v>1181</v>
      </c>
      <c r="G30" s="44" t="s">
        <v>1182</v>
      </c>
      <c r="H30" s="44" t="s">
        <v>501</v>
      </c>
      <c r="I30" s="44"/>
    </row>
    <row r="31" customFormat="false" ht="15" hidden="false" customHeight="false" outlineLevel="0" collapsed="false">
      <c r="A31" s="7" t="s">
        <v>1178</v>
      </c>
      <c r="B31" s="43" t="s">
        <v>1183</v>
      </c>
      <c r="C31" s="38" t="n">
        <f aca="false">Trade_CurrentAccount!F180</f>
        <v>0.0892539005575772</v>
      </c>
      <c r="D31" s="43" t="s">
        <v>1184</v>
      </c>
      <c r="E31" s="11" t="s">
        <v>526</v>
      </c>
      <c r="F31" s="44" t="s">
        <v>1181</v>
      </c>
      <c r="G31" s="44" t="s">
        <v>1185</v>
      </c>
      <c r="H31" s="44" t="s">
        <v>501</v>
      </c>
      <c r="I31" s="44"/>
    </row>
    <row r="32" customFormat="false" ht="15" hidden="false" customHeight="false" outlineLevel="0" collapsed="false">
      <c r="A32" s="7" t="s">
        <v>1178</v>
      </c>
      <c r="B32" s="43" t="s">
        <v>1187</v>
      </c>
      <c r="C32" s="10" t="str">
        <f aca="false">Trade_CurrentAccount!D181</f>
        <v>Viet Nam</v>
      </c>
      <c r="D32" s="43" t="s">
        <v>1180</v>
      </c>
      <c r="E32" s="11" t="s">
        <v>526</v>
      </c>
      <c r="F32" s="44" t="s">
        <v>1181</v>
      </c>
      <c r="G32" s="44" t="s">
        <v>1182</v>
      </c>
      <c r="H32" s="44" t="s">
        <v>501</v>
      </c>
      <c r="I32" s="44"/>
    </row>
    <row r="33" customFormat="false" ht="15" hidden="false" customHeight="false" outlineLevel="0" collapsed="false">
      <c r="A33" s="7" t="s">
        <v>1178</v>
      </c>
      <c r="B33" s="43" t="s">
        <v>1183</v>
      </c>
      <c r="C33" s="38" t="n">
        <f aca="false">Trade_CurrentAccount!F181</f>
        <v>0.0525978415370372</v>
      </c>
      <c r="D33" s="43" t="s">
        <v>1184</v>
      </c>
      <c r="E33" s="11" t="s">
        <v>526</v>
      </c>
      <c r="F33" s="44" t="s">
        <v>1181</v>
      </c>
      <c r="G33" s="44" t="s">
        <v>1185</v>
      </c>
      <c r="H33" s="44" t="s">
        <v>501</v>
      </c>
      <c r="I33" s="44"/>
    </row>
    <row r="34" customFormat="false" ht="15" hidden="false" customHeight="false" outlineLevel="0" collapsed="false">
      <c r="A34" s="7" t="s">
        <v>1178</v>
      </c>
      <c r="B34" s="43" t="s">
        <v>1188</v>
      </c>
      <c r="C34" s="10" t="str">
        <f aca="false">Trade_CurrentAccount!D182</f>
        <v>Japan</v>
      </c>
      <c r="D34" s="43" t="s">
        <v>1180</v>
      </c>
      <c r="E34" s="11" t="s">
        <v>526</v>
      </c>
      <c r="F34" s="44" t="s">
        <v>1181</v>
      </c>
      <c r="G34" s="44" t="s">
        <v>1182</v>
      </c>
      <c r="H34" s="44" t="s">
        <v>501</v>
      </c>
      <c r="I34" s="44"/>
    </row>
    <row r="35" customFormat="false" ht="15" hidden="false" customHeight="false" outlineLevel="0" collapsed="false">
      <c r="A35" s="7" t="s">
        <v>1178</v>
      </c>
      <c r="B35" s="43" t="s">
        <v>1183</v>
      </c>
      <c r="C35" s="38" t="n">
        <f aca="false">Trade_CurrentAccount!F182</f>
        <v>0.0416999852529999</v>
      </c>
      <c r="D35" s="43" t="s">
        <v>1184</v>
      </c>
      <c r="E35" s="11" t="s">
        <v>526</v>
      </c>
      <c r="F35" s="44" t="s">
        <v>1181</v>
      </c>
      <c r="G35" s="44" t="s">
        <v>1185</v>
      </c>
      <c r="H35" s="44" t="s">
        <v>501</v>
      </c>
      <c r="I35" s="44"/>
    </row>
    <row r="36" customFormat="false" ht="15" hidden="false" customHeight="false" outlineLevel="0" collapsed="false">
      <c r="A36" s="7" t="s">
        <v>1178</v>
      </c>
      <c r="B36" s="43" t="s">
        <v>1189</v>
      </c>
      <c r="C36" s="10" t="str">
        <f aca="false">Trade_CurrentAccount!D183</f>
        <v>Rep. of Korea</v>
      </c>
      <c r="D36" s="43" t="s">
        <v>1180</v>
      </c>
      <c r="E36" s="11" t="s">
        <v>526</v>
      </c>
      <c r="F36" s="44" t="s">
        <v>1181</v>
      </c>
      <c r="G36" s="44" t="s">
        <v>1182</v>
      </c>
      <c r="H36" s="44" t="s">
        <v>501</v>
      </c>
      <c r="I36" s="44"/>
    </row>
    <row r="37" customFormat="false" ht="15" hidden="false" customHeight="false" outlineLevel="0" collapsed="false">
      <c r="A37" s="7" t="s">
        <v>1178</v>
      </c>
      <c r="B37" s="43" t="s">
        <v>1183</v>
      </c>
      <c r="C37" s="38" t="n">
        <f aca="false">Trade_CurrentAccount!F183</f>
        <v>0.0382691780869883</v>
      </c>
      <c r="D37" s="43" t="s">
        <v>1184</v>
      </c>
      <c r="E37" s="11" t="s">
        <v>526</v>
      </c>
      <c r="F37" s="44" t="s">
        <v>1181</v>
      </c>
      <c r="G37" s="44" t="s">
        <v>1185</v>
      </c>
      <c r="H37" s="44" t="s">
        <v>501</v>
      </c>
      <c r="I37" s="44"/>
    </row>
    <row r="38" customFormat="false" ht="15" hidden="false" customHeight="false" outlineLevel="0" collapsed="false">
      <c r="A38" s="7" t="s">
        <v>1178</v>
      </c>
      <c r="B38" s="43" t="s">
        <v>1190</v>
      </c>
      <c r="C38" s="10" t="str">
        <f aca="false">Trade_CurrentAccount!D190</f>
        <v>Other Asia, nes</v>
      </c>
      <c r="D38" s="43" t="s">
        <v>1180</v>
      </c>
      <c r="E38" s="11" t="s">
        <v>526</v>
      </c>
      <c r="F38" s="44" t="s">
        <v>1181</v>
      </c>
      <c r="G38" s="44" t="s">
        <v>1182</v>
      </c>
      <c r="H38" s="44" t="s">
        <v>501</v>
      </c>
      <c r="I38" s="44"/>
    </row>
    <row r="39" customFormat="false" ht="15" hidden="false" customHeight="false" outlineLevel="0" collapsed="false">
      <c r="A39" s="7" t="s">
        <v>1178</v>
      </c>
      <c r="B39" s="43" t="s">
        <v>1191</v>
      </c>
      <c r="C39" s="38" t="n">
        <f aca="false">Trade_CurrentAccount!F190</f>
        <v>0.089482643946008</v>
      </c>
      <c r="D39" s="43" t="s">
        <v>1184</v>
      </c>
      <c r="E39" s="11" t="s">
        <v>526</v>
      </c>
      <c r="F39" s="44" t="s">
        <v>1181</v>
      </c>
      <c r="G39" s="44" t="s">
        <v>1185</v>
      </c>
      <c r="H39" s="44" t="s">
        <v>501</v>
      </c>
      <c r="I39" s="44"/>
    </row>
    <row r="40" customFormat="false" ht="15" hidden="false" customHeight="false" outlineLevel="0" collapsed="false">
      <c r="A40" s="7" t="s">
        <v>1178</v>
      </c>
      <c r="B40" s="43" t="s">
        <v>1192</v>
      </c>
      <c r="C40" s="10" t="str">
        <f aca="false">Trade_CurrentAccount!D191</f>
        <v>Rep. of Korea</v>
      </c>
      <c r="D40" s="43" t="s">
        <v>1180</v>
      </c>
      <c r="E40" s="11" t="s">
        <v>526</v>
      </c>
      <c r="F40" s="44" t="s">
        <v>1181</v>
      </c>
      <c r="G40" s="44" t="s">
        <v>1182</v>
      </c>
      <c r="H40" s="44" t="s">
        <v>501</v>
      </c>
      <c r="I40" s="44"/>
    </row>
    <row r="41" customFormat="false" ht="15" hidden="false" customHeight="false" outlineLevel="0" collapsed="false">
      <c r="A41" s="7" t="s">
        <v>1178</v>
      </c>
      <c r="B41" s="43" t="s">
        <v>1191</v>
      </c>
      <c r="C41" s="38" t="n">
        <f aca="false">Trade_CurrentAccount!F191</f>
        <v>0.0725722468668916</v>
      </c>
      <c r="D41" s="43" t="s">
        <v>1184</v>
      </c>
      <c r="E41" s="11" t="s">
        <v>526</v>
      </c>
      <c r="F41" s="44" t="s">
        <v>1181</v>
      </c>
      <c r="G41" s="44" t="s">
        <v>1185</v>
      </c>
      <c r="H41" s="44" t="s">
        <v>501</v>
      </c>
      <c r="I41" s="44"/>
    </row>
    <row r="42" customFormat="false" ht="15" hidden="false" customHeight="false" outlineLevel="0" collapsed="false">
      <c r="A42" s="7" t="s">
        <v>1178</v>
      </c>
      <c r="B42" s="43" t="s">
        <v>1193</v>
      </c>
      <c r="C42" s="10" t="str">
        <f aca="false">Trade_CurrentAccount!D192</f>
        <v>Japan</v>
      </c>
      <c r="D42" s="43" t="s">
        <v>1180</v>
      </c>
      <c r="E42" s="11" t="s">
        <v>526</v>
      </c>
      <c r="F42" s="44" t="s">
        <v>1181</v>
      </c>
      <c r="G42" s="44" t="s">
        <v>1182</v>
      </c>
      <c r="H42" s="44" t="s">
        <v>501</v>
      </c>
      <c r="I42" s="44"/>
    </row>
    <row r="43" customFormat="false" ht="15" hidden="false" customHeight="false" outlineLevel="0" collapsed="false">
      <c r="A43" s="7" t="s">
        <v>1178</v>
      </c>
      <c r="B43" s="43" t="s">
        <v>1191</v>
      </c>
      <c r="C43" s="38" t="n">
        <f aca="false">Trade_CurrentAccount!F192</f>
        <v>0.0639688820721946</v>
      </c>
      <c r="D43" s="43" t="s">
        <v>1184</v>
      </c>
      <c r="E43" s="11" t="s">
        <v>526</v>
      </c>
      <c r="F43" s="44" t="s">
        <v>1181</v>
      </c>
      <c r="G43" s="44" t="s">
        <v>1185</v>
      </c>
      <c r="H43" s="44" t="s">
        <v>501</v>
      </c>
      <c r="I43" s="44"/>
    </row>
    <row r="44" customFormat="false" ht="15" hidden="false" customHeight="false" outlineLevel="0" collapsed="false">
      <c r="A44" s="7" t="s">
        <v>1178</v>
      </c>
      <c r="B44" s="43" t="s">
        <v>1194</v>
      </c>
      <c r="C44" s="10" t="str">
        <f aca="false">Trade_CurrentAccount!D193</f>
        <v>USA</v>
      </c>
      <c r="D44" s="43" t="s">
        <v>1180</v>
      </c>
      <c r="E44" s="11" t="s">
        <v>526</v>
      </c>
      <c r="F44" s="44" t="s">
        <v>1181</v>
      </c>
      <c r="G44" s="44" t="s">
        <v>1182</v>
      </c>
      <c r="H44" s="44" t="s">
        <v>501</v>
      </c>
      <c r="I44" s="44"/>
    </row>
    <row r="45" customFormat="false" ht="15" hidden="false" customHeight="false" outlineLevel="0" collapsed="false">
      <c r="A45" s="7" t="s">
        <v>1178</v>
      </c>
      <c r="B45" s="43" t="s">
        <v>1191</v>
      </c>
      <c r="C45" s="38" t="n">
        <f aca="false">Trade_CurrentAccount!F193</f>
        <v>0.0547538548411706</v>
      </c>
      <c r="D45" s="43" t="s">
        <v>1184</v>
      </c>
      <c r="E45" s="11" t="s">
        <v>526</v>
      </c>
      <c r="F45" s="44" t="s">
        <v>1181</v>
      </c>
      <c r="G45" s="44" t="s">
        <v>1185</v>
      </c>
      <c r="H45" s="44" t="s">
        <v>501</v>
      </c>
      <c r="I45" s="44"/>
    </row>
    <row r="46" customFormat="false" ht="15" hidden="false" customHeight="false" outlineLevel="0" collapsed="false">
      <c r="A46" s="7" t="s">
        <v>1178</v>
      </c>
      <c r="B46" s="43" t="s">
        <v>1195</v>
      </c>
      <c r="C46" s="10" t="str">
        <f aca="false">Trade_CurrentAccount!D194</f>
        <v>Australia</v>
      </c>
      <c r="D46" s="43" t="s">
        <v>1180</v>
      </c>
      <c r="E46" s="11" t="s">
        <v>526</v>
      </c>
      <c r="F46" s="44" t="s">
        <v>1181</v>
      </c>
      <c r="G46" s="44" t="s">
        <v>1182</v>
      </c>
      <c r="H46" s="44" t="s">
        <v>501</v>
      </c>
      <c r="I46" s="44"/>
    </row>
    <row r="47" customFormat="false" ht="15" hidden="false" customHeight="false" outlineLevel="0" collapsed="false">
      <c r="A47" s="7" t="s">
        <v>1178</v>
      </c>
      <c r="B47" s="43" t="s">
        <v>1191</v>
      </c>
      <c r="C47" s="38" t="n">
        <f aca="false">Trade_CurrentAccount!F194</f>
        <v>0.0496737395855115</v>
      </c>
      <c r="D47" s="43" t="s">
        <v>1184</v>
      </c>
      <c r="E47" s="11" t="s">
        <v>526</v>
      </c>
      <c r="F47" s="44" t="s">
        <v>1181</v>
      </c>
      <c r="G47" s="44" t="s">
        <v>1185</v>
      </c>
      <c r="H47" s="44" t="s">
        <v>501</v>
      </c>
      <c r="I47" s="44"/>
    </row>
    <row r="48" customFormat="false" ht="15" hidden="false" customHeight="false" outlineLevel="0" collapsed="false">
      <c r="A48" s="7" t="s">
        <v>1196</v>
      </c>
      <c r="B48" s="43" t="s">
        <v>1197</v>
      </c>
      <c r="C48" s="10" t="str">
        <f aca="false">Trade_CurrentAccount!D265</f>
        <v>85 - Electrical machinery and equipment and parts thereof; sound recorders and reproducers; television image and sound recorders and reproducers, parts and accessories of such articles</v>
      </c>
      <c r="D48" s="43" t="s">
        <v>1027</v>
      </c>
      <c r="E48" s="11" t="s">
        <v>526</v>
      </c>
      <c r="F48" s="44" t="s">
        <v>1181</v>
      </c>
      <c r="G48" s="44" t="s">
        <v>1198</v>
      </c>
      <c r="H48" s="44" t="s">
        <v>501</v>
      </c>
      <c r="I48" s="44"/>
    </row>
    <row r="49" customFormat="false" ht="15" hidden="false" customHeight="false" outlineLevel="0" collapsed="false">
      <c r="A49" s="7" t="s">
        <v>1196</v>
      </c>
      <c r="B49" s="43" t="s">
        <v>1199</v>
      </c>
      <c r="C49" s="38" t="n">
        <f aca="false">Trade_CurrentAccount!F265</f>
        <v>0.26919382152397</v>
      </c>
      <c r="D49" s="43" t="s">
        <v>1184</v>
      </c>
      <c r="E49" s="11" t="s">
        <v>526</v>
      </c>
      <c r="F49" s="44" t="s">
        <v>1181</v>
      </c>
      <c r="G49" s="44" t="s">
        <v>1185</v>
      </c>
      <c r="H49" s="44" t="s">
        <v>501</v>
      </c>
      <c r="I49" s="44"/>
    </row>
    <row r="50" customFormat="false" ht="15" hidden="false" customHeight="false" outlineLevel="0" collapsed="false">
      <c r="A50" s="7" t="s">
        <v>1196</v>
      </c>
      <c r="B50" s="43" t="s">
        <v>1200</v>
      </c>
      <c r="C50" s="10" t="str">
        <f aca="false">Trade_CurrentAccount!D266</f>
        <v>84 - Machinery and mechanical appliances, boilers, nuclear reactors; parts thereof</v>
      </c>
      <c r="D50" s="43" t="s">
        <v>1027</v>
      </c>
      <c r="E50" s="11" t="s">
        <v>526</v>
      </c>
      <c r="F50" s="44" t="s">
        <v>1181</v>
      </c>
      <c r="G50" s="44" t="s">
        <v>1198</v>
      </c>
      <c r="H50" s="44" t="s">
        <v>501</v>
      </c>
      <c r="I50" s="44"/>
    </row>
    <row r="51" customFormat="false" ht="15" hidden="false" customHeight="false" outlineLevel="0" collapsed="false">
      <c r="A51" s="7" t="s">
        <v>1196</v>
      </c>
      <c r="B51" s="43" t="s">
        <v>1199</v>
      </c>
      <c r="C51" s="38" t="n">
        <f aca="false">Trade_CurrentAccount!F266</f>
        <v>0.15989347179603</v>
      </c>
      <c r="D51" s="43" t="s">
        <v>1184</v>
      </c>
      <c r="E51" s="11" t="s">
        <v>526</v>
      </c>
      <c r="F51" s="44" t="s">
        <v>1181</v>
      </c>
      <c r="G51" s="44" t="s">
        <v>1185</v>
      </c>
      <c r="H51" s="44" t="s">
        <v>501</v>
      </c>
      <c r="I51" s="44"/>
    </row>
    <row r="52" customFormat="false" ht="15" hidden="false" customHeight="false" outlineLevel="0" collapsed="false">
      <c r="A52" s="7" t="s">
        <v>1196</v>
      </c>
      <c r="B52" s="43" t="s">
        <v>1201</v>
      </c>
      <c r="C52" s="10" t="str">
        <f aca="false">Trade_CurrentAccount!D267</f>
        <v>87 - Vehicles; other than railway or tramway rolling stock, and parts and accessories thereof</v>
      </c>
      <c r="D52" s="43" t="s">
        <v>1027</v>
      </c>
      <c r="E52" s="11" t="s">
        <v>526</v>
      </c>
      <c r="F52" s="44" t="s">
        <v>1181</v>
      </c>
      <c r="G52" s="44" t="s">
        <v>1198</v>
      </c>
      <c r="H52" s="44" t="s">
        <v>501</v>
      </c>
      <c r="I52" s="44"/>
    </row>
    <row r="53" customFormat="false" ht="15" hidden="false" customHeight="false" outlineLevel="0" collapsed="false">
      <c r="A53" s="7" t="s">
        <v>1196</v>
      </c>
      <c r="B53" s="43" t="s">
        <v>1199</v>
      </c>
      <c r="C53" s="38" t="n">
        <f aca="false">Trade_CurrentAccount!F267</f>
        <v>0.0657532318135364</v>
      </c>
      <c r="D53" s="43" t="s">
        <v>1184</v>
      </c>
      <c r="E53" s="11" t="s">
        <v>526</v>
      </c>
      <c r="F53" s="44" t="s">
        <v>1181</v>
      </c>
      <c r="G53" s="44" t="s">
        <v>1185</v>
      </c>
      <c r="H53" s="44" t="s">
        <v>501</v>
      </c>
      <c r="I53" s="44"/>
    </row>
    <row r="54" customFormat="false" ht="15" hidden="false" customHeight="false" outlineLevel="0" collapsed="false">
      <c r="A54" s="7" t="s">
        <v>1196</v>
      </c>
      <c r="B54" s="43" t="s">
        <v>1202</v>
      </c>
      <c r="C54" s="10" t="str">
        <f aca="false">Trade_CurrentAccount!D271</f>
        <v>85 - Electrical machinery and equipment and parts thereof; sound recorders and reproducers; television image and sound recorders and reproducers, parts and accessories of such articles</v>
      </c>
      <c r="D54" s="43" t="s">
        <v>1027</v>
      </c>
      <c r="E54" s="11" t="s">
        <v>526</v>
      </c>
      <c r="F54" s="44" t="s">
        <v>1181</v>
      </c>
      <c r="G54" s="44" t="s">
        <v>1198</v>
      </c>
      <c r="H54" s="44" t="s">
        <v>501</v>
      </c>
      <c r="I54" s="44"/>
    </row>
    <row r="55" customFormat="false" ht="15" hidden="false" customHeight="false" outlineLevel="0" collapsed="false">
      <c r="A55" s="7" t="s">
        <v>1196</v>
      </c>
      <c r="B55" s="43" t="s">
        <v>1199</v>
      </c>
      <c r="C55" s="38" t="n">
        <f aca="false">Trade_CurrentAccount!F271</f>
        <v>0.243081750336841</v>
      </c>
      <c r="D55" s="43" t="s">
        <v>1184</v>
      </c>
      <c r="E55" s="11" t="s">
        <v>526</v>
      </c>
      <c r="F55" s="44" t="s">
        <v>1181</v>
      </c>
      <c r="G55" s="44" t="s">
        <v>1185</v>
      </c>
      <c r="H55" s="44" t="s">
        <v>501</v>
      </c>
      <c r="I55" s="44"/>
    </row>
    <row r="56" customFormat="false" ht="15" hidden="false" customHeight="false" outlineLevel="0" collapsed="false">
      <c r="A56" s="7" t="s">
        <v>1196</v>
      </c>
      <c r="B56" s="43" t="s">
        <v>1203</v>
      </c>
      <c r="C56" s="10" t="str">
        <f aca="false">Trade_CurrentAccount!D272</f>
        <v>27 - Mineral fuels, mineral oils and products of their distillation; bituminous substances; mineral waxes</v>
      </c>
      <c r="D56" s="43" t="s">
        <v>1027</v>
      </c>
      <c r="E56" s="11" t="s">
        <v>526</v>
      </c>
      <c r="F56" s="44" t="s">
        <v>1181</v>
      </c>
      <c r="G56" s="44" t="s">
        <v>1198</v>
      </c>
      <c r="H56" s="44" t="s">
        <v>501</v>
      </c>
      <c r="I56" s="44"/>
    </row>
    <row r="57" customFormat="false" ht="15" hidden="false" customHeight="false" outlineLevel="0" collapsed="false">
      <c r="A57" s="7" t="s">
        <v>1196</v>
      </c>
      <c r="B57" s="43" t="s">
        <v>1199</v>
      </c>
      <c r="C57" s="38" t="n">
        <f aca="false">Trade_CurrentAccount!F272</f>
        <v>0.17173456698735</v>
      </c>
      <c r="D57" s="43" t="s">
        <v>1184</v>
      </c>
      <c r="E57" s="11" t="s">
        <v>526</v>
      </c>
      <c r="F57" s="44" t="s">
        <v>1181</v>
      </c>
      <c r="G57" s="44" t="s">
        <v>1185</v>
      </c>
      <c r="H57" s="44" t="s">
        <v>501</v>
      </c>
      <c r="I57" s="44"/>
    </row>
    <row r="58" customFormat="false" ht="15" hidden="false" customHeight="false" outlineLevel="0" collapsed="false">
      <c r="A58" s="7" t="s">
        <v>1196</v>
      </c>
      <c r="B58" s="43" t="s">
        <v>1204</v>
      </c>
      <c r="C58" s="10" t="str">
        <f aca="false">Trade_CurrentAccount!D273</f>
        <v>26 - Ores, slag and ash</v>
      </c>
      <c r="D58" s="43" t="s">
        <v>1027</v>
      </c>
      <c r="E58" s="11" t="s">
        <v>526</v>
      </c>
      <c r="F58" s="44" t="s">
        <v>1181</v>
      </c>
      <c r="G58" s="44" t="s">
        <v>1198</v>
      </c>
      <c r="H58" s="44" t="s">
        <v>501</v>
      </c>
      <c r="I58" s="44"/>
    </row>
    <row r="59" customFormat="false" ht="15" hidden="false" customHeight="false" outlineLevel="0" collapsed="false">
      <c r="A59" s="7" t="s">
        <v>1196</v>
      </c>
      <c r="B59" s="43" t="s">
        <v>1199</v>
      </c>
      <c r="C59" s="38" t="n">
        <f aca="false">Trade_CurrentAccount!F273</f>
        <v>0.104428407156536</v>
      </c>
      <c r="D59" s="43" t="s">
        <v>1184</v>
      </c>
      <c r="E59" s="11" t="s">
        <v>526</v>
      </c>
      <c r="F59" s="44" t="s">
        <v>1181</v>
      </c>
      <c r="G59" s="44" t="s">
        <v>1185</v>
      </c>
      <c r="H59" s="44" t="s">
        <v>501</v>
      </c>
      <c r="I59" s="44"/>
    </row>
    <row r="60" customFormat="false" ht="15" hidden="false" customHeight="false" outlineLevel="0" collapsed="false">
      <c r="A60" s="7" t="s">
        <v>1205</v>
      </c>
      <c r="B60" s="43" t="s">
        <v>1206</v>
      </c>
      <c r="C60" s="38" t="n">
        <f aca="false">Trade_CurrentAccount!F270</f>
        <v>0.0136286777950763</v>
      </c>
      <c r="D60" s="43" t="s">
        <v>1184</v>
      </c>
      <c r="E60" s="11" t="s">
        <v>526</v>
      </c>
      <c r="F60" s="44" t="s">
        <v>1181</v>
      </c>
      <c r="G60" s="44" t="s">
        <v>1207</v>
      </c>
      <c r="H60" s="44" t="s">
        <v>501</v>
      </c>
      <c r="I60" s="44" t="s">
        <v>1341</v>
      </c>
    </row>
    <row r="61" customFormat="false" ht="15" hidden="false" customHeight="false" outlineLevel="0" collapsed="false">
      <c r="A61" s="7" t="s">
        <v>1205</v>
      </c>
      <c r="B61" s="43" t="s">
        <v>1209</v>
      </c>
      <c r="C61" s="38" t="n">
        <f aca="false">Trade_CurrentAccount!F272</f>
        <v>0.17173456698735</v>
      </c>
      <c r="D61" s="43" t="s">
        <v>1184</v>
      </c>
      <c r="E61" s="11" t="s">
        <v>526</v>
      </c>
      <c r="F61" s="44" t="s">
        <v>1181</v>
      </c>
      <c r="G61" s="44" t="s">
        <v>1207</v>
      </c>
      <c r="H61" s="44" t="s">
        <v>501</v>
      </c>
      <c r="I61" s="44" t="s">
        <v>1313</v>
      </c>
    </row>
    <row r="62" customFormat="false" ht="15" hidden="false" customHeight="false" outlineLevel="0" collapsed="false">
      <c r="A62" s="7" t="s">
        <v>1211</v>
      </c>
      <c r="B62" s="43" t="s">
        <v>536</v>
      </c>
      <c r="C62" s="46" t="s">
        <v>1212</v>
      </c>
      <c r="D62" s="43" t="s">
        <v>538</v>
      </c>
      <c r="E62" s="11"/>
      <c r="F62" s="44"/>
      <c r="G62" s="44"/>
      <c r="H62" s="44"/>
      <c r="I62" s="44" t="s">
        <v>1342</v>
      </c>
    </row>
    <row r="63" customFormat="false" ht="15" hidden="false" customHeight="false" outlineLevel="0" collapsed="false">
      <c r="A63" s="7" t="s">
        <v>1214</v>
      </c>
      <c r="B63" s="43" t="s">
        <v>1343</v>
      </c>
      <c r="C63" s="38" t="n">
        <f aca="false">FX_Market_BIS!O23</f>
        <v>0.0859565242999132</v>
      </c>
      <c r="D63" s="43" t="s">
        <v>1216</v>
      </c>
      <c r="E63" s="9" t="str">
        <f aca="false">FX_Market_BIS!A23</f>
        <v>2025</v>
      </c>
      <c r="F63" s="44" t="s">
        <v>1217</v>
      </c>
      <c r="G63" s="44" t="s">
        <v>1218</v>
      </c>
      <c r="H63" s="44" t="s">
        <v>550</v>
      </c>
      <c r="I63" s="44"/>
    </row>
    <row r="64" customFormat="false" ht="15" hidden="false" customHeight="false" outlineLevel="0" collapsed="false">
      <c r="A64" s="7" t="s">
        <v>1214</v>
      </c>
      <c r="B64" s="43" t="s">
        <v>1344</v>
      </c>
      <c r="C64" s="21" t="n">
        <f aca="false">Reserves_COFER!F49</f>
        <v>2.113844871521</v>
      </c>
      <c r="D64" s="43" t="s">
        <v>1220</v>
      </c>
      <c r="E64" s="9" t="str">
        <f aca="false">Reserves_COFER!A49</f>
        <v>2026-Q2</v>
      </c>
      <c r="F64" s="44" t="s">
        <v>1221</v>
      </c>
      <c r="G64" s="44" t="s">
        <v>1345</v>
      </c>
      <c r="H64" s="44" t="s">
        <v>542</v>
      </c>
      <c r="I64" s="44"/>
    </row>
    <row r="65" customFormat="false" ht="15" hidden="false" customHeight="false" outlineLevel="0" collapsed="false">
      <c r="A65" s="7" t="s">
        <v>1223</v>
      </c>
      <c r="B65" s="43" t="s">
        <v>1346</v>
      </c>
      <c r="C65" s="38" t="n">
        <f aca="false">BigMac!H29</f>
        <v>-0.37076</v>
      </c>
      <c r="D65" s="43" t="s">
        <v>1225</v>
      </c>
      <c r="E65" s="9" t="n">
        <f aca="false">BigMac!A29</f>
        <v>46204</v>
      </c>
      <c r="F65" s="44" t="s">
        <v>1226</v>
      </c>
      <c r="G65" s="44" t="s">
        <v>1227</v>
      </c>
      <c r="H65" s="44" t="s">
        <v>559</v>
      </c>
      <c r="I65" s="4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6" min="5" style="0" width="55"/>
    <col collapsed="false" customWidth="true" hidden="false" outlineLevel="0" max="7" min="7" style="0" width="22"/>
    <col collapsed="false" customWidth="true" hidden="false" outlineLevel="0" max="8" min="8" style="0" width="34"/>
  </cols>
  <sheetData>
    <row r="1" customFormat="false" ht="16.15" hidden="false" customHeight="false" outlineLevel="0" collapsed="false">
      <c r="A1" s="1" t="s">
        <v>1347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1348</v>
      </c>
      <c r="B4" s="3" t="s">
        <v>3</v>
      </c>
      <c r="C4" s="3" t="s">
        <v>1349</v>
      </c>
      <c r="D4" s="3" t="s">
        <v>1350</v>
      </c>
      <c r="E4" s="3" t="s">
        <v>1351</v>
      </c>
      <c r="F4" s="3" t="s">
        <v>1352</v>
      </c>
      <c r="G4" s="3" t="s">
        <v>1353</v>
      </c>
      <c r="H4" s="3" t="s">
        <v>1354</v>
      </c>
    </row>
    <row r="5" customFormat="false" ht="22.35" hidden="false" customHeight="false" outlineLevel="0" collapsed="false">
      <c r="A5" s="0" t="s">
        <v>1355</v>
      </c>
      <c r="B5" s="47" t="s">
        <v>15</v>
      </c>
      <c r="C5" s="47" t="s">
        <v>1356</v>
      </c>
      <c r="D5" s="47" t="s">
        <v>1357</v>
      </c>
      <c r="E5" s="47" t="s">
        <v>1358</v>
      </c>
      <c r="F5" s="47" t="s">
        <v>1359</v>
      </c>
      <c r="G5" s="47"/>
      <c r="H5" s="47"/>
    </row>
    <row r="6" customFormat="false" ht="22.35" hidden="false" customHeight="false" outlineLevel="0" collapsed="false">
      <c r="A6" s="0" t="s">
        <v>1360</v>
      </c>
      <c r="B6" s="47" t="s">
        <v>15</v>
      </c>
      <c r="C6" s="47" t="s">
        <v>1361</v>
      </c>
      <c r="D6" s="47" t="s">
        <v>1362</v>
      </c>
      <c r="E6" s="47" t="s">
        <v>1363</v>
      </c>
      <c r="F6" s="47" t="s">
        <v>1364</v>
      </c>
      <c r="G6" s="47"/>
      <c r="H6" s="47" t="s">
        <v>1365</v>
      </c>
    </row>
    <row r="7" customFormat="false" ht="22.35" hidden="false" customHeight="false" outlineLevel="0" collapsed="false">
      <c r="A7" s="0" t="s">
        <v>1366</v>
      </c>
      <c r="B7" s="47" t="s">
        <v>15</v>
      </c>
      <c r="C7" s="47" t="s">
        <v>1367</v>
      </c>
      <c r="D7" s="47" t="s">
        <v>1368</v>
      </c>
      <c r="E7" s="47" t="s">
        <v>1369</v>
      </c>
      <c r="F7" s="47" t="s">
        <v>1370</v>
      </c>
      <c r="G7" s="48" t="n">
        <f aca="false">IFERROR(INDEX(FX_Daily!E$15:E$2821,MATCH(FX_Daily!$C$11,FX_Daily!$A$15:$A$2821,0))/INDEX(FX_Daily!I$15:I$2821,MATCH(FX_Daily!$C$11,FX_Daily!$A$15:$A$2821,0))-1,"no common date")</f>
        <v>0.00302895322939856</v>
      </c>
      <c r="H7" s="47"/>
    </row>
    <row r="8" customFormat="false" ht="22.35" hidden="false" customHeight="false" outlineLevel="0" collapsed="false">
      <c r="A8" s="0" t="s">
        <v>1371</v>
      </c>
      <c r="B8" s="47" t="s">
        <v>15</v>
      </c>
      <c r="C8" s="47" t="s">
        <v>1372</v>
      </c>
      <c r="D8" s="47" t="s">
        <v>1368</v>
      </c>
      <c r="E8" s="47" t="s">
        <v>1373</v>
      </c>
      <c r="F8" s="47" t="s">
        <v>1374</v>
      </c>
      <c r="G8" s="48" t="n">
        <f aca="false">IFERROR(INDEX(FX_Daily!C$15:C$2821,MATCH(FX_Daily!$C$11,FX_Daily!$A$15:$A$2821,0))/INDEX(FX_Daily!P$15:P$2821,MATCH(FX_Daily!$C$11,FX_Daily!$A$15:$A$2821,0))-1,"no common date")</f>
        <v>-0.00111924057454349</v>
      </c>
      <c r="H8" s="47"/>
    </row>
    <row r="9" customFormat="false" ht="22.35" hidden="false" customHeight="false" outlineLevel="0" collapsed="false">
      <c r="A9" s="0" t="s">
        <v>1375</v>
      </c>
      <c r="B9" s="47" t="s">
        <v>15</v>
      </c>
      <c r="C9" s="47" t="s">
        <v>1376</v>
      </c>
      <c r="D9" s="47" t="s">
        <v>1377</v>
      </c>
      <c r="E9" s="47" t="s">
        <v>1378</v>
      </c>
      <c r="F9" s="47" t="s">
        <v>1379</v>
      </c>
      <c r="G9" s="48" t="n">
        <f aca="false">IFERROR(INDEX(FX_Daily!C$15:C$2821,MATCH(FX_Daily!$C$11,FX_Daily!$A$15:$A$2821,0))/(INDEX(FX_Daily!J$15:J$2821,MATCH(FX_Daily!$C$11,FX_Daily!$A$15:$A$2821,0))/INDEX(FX_Daily!I$15:I$2821,MATCH(FX_Daily!$C$11,FX_Daily!$A$15:$A$2821,0)))-1,"no common date")</f>
        <v>-0.00112371324377958</v>
      </c>
      <c r="H9" s="47"/>
    </row>
    <row r="10" customFormat="false" ht="32.8" hidden="false" customHeight="false" outlineLevel="0" collapsed="false">
      <c r="A10" s="0" t="s">
        <v>1380</v>
      </c>
      <c r="B10" s="47" t="s">
        <v>184</v>
      </c>
      <c r="C10" s="47" t="s">
        <v>1381</v>
      </c>
      <c r="D10" s="47" t="s">
        <v>1382</v>
      </c>
      <c r="E10" s="47" t="s">
        <v>1383</v>
      </c>
      <c r="F10" s="47" t="s">
        <v>1384</v>
      </c>
      <c r="G10" s="47"/>
      <c r="H10" s="47"/>
    </row>
    <row r="11" customFormat="false" ht="22.35" hidden="false" customHeight="false" outlineLevel="0" collapsed="false">
      <c r="A11" s="0" t="s">
        <v>1385</v>
      </c>
      <c r="B11" s="47" t="s">
        <v>184</v>
      </c>
      <c r="C11" s="47" t="s">
        <v>1386</v>
      </c>
      <c r="D11" s="47" t="s">
        <v>1387</v>
      </c>
      <c r="E11" s="47" t="s">
        <v>1388</v>
      </c>
      <c r="F11" s="47" t="s">
        <v>1389</v>
      </c>
      <c r="G11" s="47"/>
      <c r="H11" s="47" t="s">
        <v>1390</v>
      </c>
    </row>
    <row r="12" customFormat="false" ht="32.8" hidden="false" customHeight="false" outlineLevel="0" collapsed="false">
      <c r="A12" s="0" t="s">
        <v>1391</v>
      </c>
      <c r="B12" s="47" t="s">
        <v>184</v>
      </c>
      <c r="C12" s="47" t="s">
        <v>1392</v>
      </c>
      <c r="D12" s="47" t="s">
        <v>1393</v>
      </c>
      <c r="E12" s="47" t="s">
        <v>1394</v>
      </c>
      <c r="F12" s="47" t="s">
        <v>1395</v>
      </c>
      <c r="G12" s="47"/>
      <c r="H12" s="47" t="s">
        <v>1396</v>
      </c>
    </row>
    <row r="13" customFormat="false" ht="22.35" hidden="false" customHeight="false" outlineLevel="0" collapsed="false">
      <c r="A13" s="0" t="s">
        <v>1397</v>
      </c>
      <c r="B13" s="47" t="s">
        <v>184</v>
      </c>
      <c r="C13" s="47" t="s">
        <v>1398</v>
      </c>
      <c r="D13" s="47" t="s">
        <v>1399</v>
      </c>
      <c r="E13" s="47" t="s">
        <v>1400</v>
      </c>
      <c r="F13" s="47" t="s">
        <v>1401</v>
      </c>
      <c r="G13" s="47"/>
      <c r="H13" s="47" t="s">
        <v>1402</v>
      </c>
    </row>
    <row r="14" customFormat="false" ht="22.35" hidden="false" customHeight="false" outlineLevel="0" collapsed="false">
      <c r="A14" s="0" t="s">
        <v>1403</v>
      </c>
      <c r="B14" s="47" t="s">
        <v>184</v>
      </c>
      <c r="C14" s="47" t="s">
        <v>1404</v>
      </c>
      <c r="D14" s="47" t="s">
        <v>1393</v>
      </c>
      <c r="E14" s="47" t="s">
        <v>1405</v>
      </c>
      <c r="F14" s="47" t="s">
        <v>1406</v>
      </c>
      <c r="G14" s="47"/>
      <c r="H14" s="47" t="s">
        <v>1407</v>
      </c>
    </row>
    <row r="15" customFormat="false" ht="15" hidden="false" customHeight="false" outlineLevel="0" collapsed="false">
      <c r="A15" s="0" t="s">
        <v>1408</v>
      </c>
      <c r="B15" s="47" t="s">
        <v>184</v>
      </c>
      <c r="C15" s="47" t="s">
        <v>1409</v>
      </c>
      <c r="D15" s="47" t="s">
        <v>1410</v>
      </c>
      <c r="E15" s="47" t="s">
        <v>1411</v>
      </c>
      <c r="F15" s="47" t="s">
        <v>1412</v>
      </c>
      <c r="G15" s="47"/>
      <c r="H15" s="47" t="s">
        <v>1413</v>
      </c>
    </row>
    <row r="16" customFormat="false" ht="15" hidden="false" customHeight="false" outlineLevel="0" collapsed="false">
      <c r="A16" s="0" t="s">
        <v>1414</v>
      </c>
      <c r="B16" s="47" t="s">
        <v>106</v>
      </c>
      <c r="C16" s="47" t="s">
        <v>1415</v>
      </c>
      <c r="D16" s="47" t="s">
        <v>1416</v>
      </c>
      <c r="E16" s="47" t="s">
        <v>1417</v>
      </c>
      <c r="F16" s="47" t="s">
        <v>1418</v>
      </c>
      <c r="G16" s="47"/>
      <c r="H16" s="47"/>
    </row>
    <row r="17" customFormat="false" ht="22.35" hidden="false" customHeight="false" outlineLevel="0" collapsed="false">
      <c r="A17" s="0" t="s">
        <v>1419</v>
      </c>
      <c r="B17" s="47" t="s">
        <v>1420</v>
      </c>
      <c r="C17" s="47" t="s">
        <v>1421</v>
      </c>
      <c r="D17" s="47" t="s">
        <v>1422</v>
      </c>
      <c r="E17" s="47" t="s">
        <v>1423</v>
      </c>
      <c r="F17" s="47" t="s">
        <v>1424</v>
      </c>
      <c r="G17" s="47"/>
      <c r="H17" s="47"/>
    </row>
    <row r="18" customFormat="false" ht="22.35" hidden="false" customHeight="false" outlineLevel="0" collapsed="false">
      <c r="A18" s="0" t="s">
        <v>1425</v>
      </c>
      <c r="B18" s="47" t="s">
        <v>106</v>
      </c>
      <c r="C18" s="47" t="s">
        <v>1426</v>
      </c>
      <c r="D18" s="47" t="s">
        <v>1427</v>
      </c>
      <c r="E18" s="47" t="s">
        <v>1428</v>
      </c>
      <c r="F18" s="47" t="s">
        <v>1429</v>
      </c>
      <c r="G18" s="47"/>
      <c r="H18" s="47" t="s">
        <v>1430</v>
      </c>
    </row>
    <row r="19" customFormat="false" ht="15" hidden="false" customHeight="false" outlineLevel="0" collapsed="false">
      <c r="A19" s="0" t="s">
        <v>1431</v>
      </c>
      <c r="B19" s="47" t="s">
        <v>184</v>
      </c>
      <c r="C19" s="47" t="s">
        <v>1432</v>
      </c>
      <c r="D19" s="47" t="s">
        <v>1433</v>
      </c>
      <c r="E19" s="47" t="s">
        <v>1434</v>
      </c>
      <c r="F19" s="47" t="s">
        <v>1435</v>
      </c>
      <c r="G19" s="47"/>
      <c r="H19" s="47"/>
    </row>
    <row r="20" customFormat="false" ht="15" hidden="false" customHeight="false" outlineLevel="0" collapsed="false">
      <c r="A20" s="0" t="s">
        <v>1436</v>
      </c>
      <c r="B20" s="47" t="s">
        <v>184</v>
      </c>
      <c r="C20" s="47" t="s">
        <v>215</v>
      </c>
      <c r="D20" s="47" t="s">
        <v>1399</v>
      </c>
      <c r="E20" s="47" t="s">
        <v>1437</v>
      </c>
      <c r="F20" s="47" t="s">
        <v>1438</v>
      </c>
      <c r="G20" s="47"/>
      <c r="H20" s="47"/>
    </row>
    <row r="21" customFormat="false" ht="22.35" hidden="false" customHeight="false" outlineLevel="0" collapsed="false">
      <c r="A21" s="0" t="s">
        <v>1439</v>
      </c>
      <c r="B21" s="47" t="s">
        <v>184</v>
      </c>
      <c r="C21" s="47" t="s">
        <v>1440</v>
      </c>
      <c r="D21" s="47" t="s">
        <v>1441</v>
      </c>
      <c r="E21" s="47" t="s">
        <v>1442</v>
      </c>
      <c r="F21" s="47" t="s">
        <v>1443</v>
      </c>
      <c r="G21" s="47"/>
      <c r="H21" s="47"/>
    </row>
    <row r="22" customFormat="false" ht="32.8" hidden="false" customHeight="false" outlineLevel="0" collapsed="false">
      <c r="A22" s="0" t="s">
        <v>1444</v>
      </c>
      <c r="B22" s="47" t="s">
        <v>374</v>
      </c>
      <c r="C22" s="47" t="s">
        <v>1445</v>
      </c>
      <c r="D22" s="47" t="s">
        <v>1446</v>
      </c>
      <c r="E22" s="47" t="s">
        <v>1447</v>
      </c>
      <c r="F22" s="47" t="s">
        <v>1448</v>
      </c>
      <c r="G22" s="47"/>
      <c r="H22" s="47" t="s">
        <v>1449</v>
      </c>
    </row>
    <row r="23" customFormat="false" ht="32.8" hidden="false" customHeight="false" outlineLevel="0" collapsed="false">
      <c r="A23" s="0" t="s">
        <v>1450</v>
      </c>
      <c r="B23" s="47" t="s">
        <v>374</v>
      </c>
      <c r="C23" s="47" t="s">
        <v>1451</v>
      </c>
      <c r="D23" s="47" t="s">
        <v>1452</v>
      </c>
      <c r="E23" s="47" t="s">
        <v>1453</v>
      </c>
      <c r="F23" s="47" t="s">
        <v>1454</v>
      </c>
      <c r="G23" s="47"/>
      <c r="H23" s="47"/>
    </row>
    <row r="24" customFormat="false" ht="22.35" hidden="false" customHeight="false" outlineLevel="0" collapsed="false">
      <c r="A24" s="0" t="s">
        <v>1455</v>
      </c>
      <c r="B24" s="47" t="s">
        <v>374</v>
      </c>
      <c r="C24" s="47" t="s">
        <v>1456</v>
      </c>
      <c r="D24" s="47" t="s">
        <v>1452</v>
      </c>
      <c r="E24" s="47" t="s">
        <v>1457</v>
      </c>
      <c r="F24" s="47" t="s">
        <v>1458</v>
      </c>
      <c r="G24" s="47"/>
      <c r="H24" s="47"/>
    </row>
    <row r="25" customFormat="false" ht="15" hidden="false" customHeight="false" outlineLevel="0" collapsed="false">
      <c r="A25" s="0" t="s">
        <v>1459</v>
      </c>
      <c r="B25" s="47" t="s">
        <v>374</v>
      </c>
      <c r="C25" s="47" t="s">
        <v>1460</v>
      </c>
      <c r="D25" s="47" t="s">
        <v>1452</v>
      </c>
      <c r="E25" s="47" t="s">
        <v>1461</v>
      </c>
      <c r="F25" s="47" t="s">
        <v>1462</v>
      </c>
      <c r="G25" s="47"/>
      <c r="H25" s="47" t="s">
        <v>1463</v>
      </c>
    </row>
    <row r="26" customFormat="false" ht="15" hidden="false" customHeight="false" outlineLevel="0" collapsed="false">
      <c r="A26" s="0" t="s">
        <v>1464</v>
      </c>
      <c r="B26" s="47" t="s">
        <v>374</v>
      </c>
      <c r="C26" s="47" t="s">
        <v>1465</v>
      </c>
      <c r="D26" s="47" t="s">
        <v>1452</v>
      </c>
      <c r="E26" s="47" t="s">
        <v>1466</v>
      </c>
      <c r="F26" s="47" t="s">
        <v>1467</v>
      </c>
      <c r="G26" s="47"/>
      <c r="H26" s="47"/>
    </row>
    <row r="27" customFormat="false" ht="32.8" hidden="false" customHeight="false" outlineLevel="0" collapsed="false">
      <c r="A27" s="0" t="s">
        <v>1468</v>
      </c>
      <c r="B27" s="47" t="s">
        <v>374</v>
      </c>
      <c r="C27" s="47" t="s">
        <v>1469</v>
      </c>
      <c r="D27" s="47" t="s">
        <v>1470</v>
      </c>
      <c r="E27" s="47" t="s">
        <v>1471</v>
      </c>
      <c r="F27" s="47" t="s">
        <v>1472</v>
      </c>
      <c r="G27" s="48" t="n">
        <f aca="false">IFERROR(INDEX(Inflation!F15:F155,MATCH(Inflation!Q11,Inflation!A15:A155,0))-Inflation!R12,"n/a")</f>
        <v>0</v>
      </c>
      <c r="H27" s="47" t="s">
        <v>1473</v>
      </c>
    </row>
    <row r="28" customFormat="false" ht="15" hidden="false" customHeight="false" outlineLevel="0" collapsed="false">
      <c r="A28" s="0" t="s">
        <v>1474</v>
      </c>
      <c r="B28" s="47" t="s">
        <v>374</v>
      </c>
      <c r="C28" s="47" t="s">
        <v>1475</v>
      </c>
      <c r="D28" s="47" t="s">
        <v>1476</v>
      </c>
      <c r="E28" s="47" t="s">
        <v>1477</v>
      </c>
      <c r="F28" s="47" t="s">
        <v>1478</v>
      </c>
      <c r="G28" s="48" t="n">
        <f aca="false">IFERROR(INDEX(Inflation!T15:T155,MATCH(Inflation!E11,Inflation!A15:A155,0))-Inflation!E12,"n/a")</f>
        <v>5.39039821223497E-007</v>
      </c>
      <c r="H28" s="47"/>
    </row>
    <row r="29" customFormat="false" ht="22.35" hidden="false" customHeight="false" outlineLevel="0" collapsed="false">
      <c r="A29" s="0" t="s">
        <v>1479</v>
      </c>
      <c r="B29" s="47" t="s">
        <v>15</v>
      </c>
      <c r="C29" s="47" t="s">
        <v>1480</v>
      </c>
      <c r="D29" s="47" t="s">
        <v>1481</v>
      </c>
      <c r="E29" s="47" t="s">
        <v>1482</v>
      </c>
      <c r="F29" s="47" t="s">
        <v>1483</v>
      </c>
      <c r="G29" s="47"/>
      <c r="H29" s="47" t="s">
        <v>1365</v>
      </c>
    </row>
    <row r="30" customFormat="false" ht="22.35" hidden="false" customHeight="false" outlineLevel="0" collapsed="false">
      <c r="A30" s="0" t="s">
        <v>1484</v>
      </c>
      <c r="B30" s="47" t="s">
        <v>542</v>
      </c>
      <c r="C30" s="47" t="s">
        <v>1485</v>
      </c>
      <c r="D30" s="47" t="s">
        <v>1486</v>
      </c>
      <c r="E30" s="47" t="s">
        <v>1487</v>
      </c>
      <c r="F30" s="47" t="s">
        <v>1488</v>
      </c>
      <c r="G30" s="47"/>
      <c r="H30" s="47" t="s">
        <v>1489</v>
      </c>
    </row>
    <row r="31" customFormat="false" ht="22.35" hidden="false" customHeight="false" outlineLevel="0" collapsed="false">
      <c r="A31" s="0" t="s">
        <v>1490</v>
      </c>
      <c r="B31" s="47" t="s">
        <v>374</v>
      </c>
      <c r="C31" s="47" t="s">
        <v>1491</v>
      </c>
      <c r="D31" s="47" t="s">
        <v>1492</v>
      </c>
      <c r="E31" s="47" t="s">
        <v>1493</v>
      </c>
      <c r="F31" s="47" t="s">
        <v>1494</v>
      </c>
      <c r="G31" s="47"/>
      <c r="H31" s="47" t="s">
        <v>1495</v>
      </c>
    </row>
    <row r="32" customFormat="false" ht="15" hidden="false" customHeight="false" outlineLevel="0" collapsed="false">
      <c r="A32" s="0" t="s">
        <v>1496</v>
      </c>
      <c r="B32" s="47" t="s">
        <v>374</v>
      </c>
      <c r="C32" s="47" t="s">
        <v>1497</v>
      </c>
      <c r="D32" s="47" t="s">
        <v>1498</v>
      </c>
      <c r="E32" s="47" t="s">
        <v>1499</v>
      </c>
      <c r="F32" s="47" t="s">
        <v>1500</v>
      </c>
      <c r="G32" s="47"/>
      <c r="H32" s="47"/>
    </row>
    <row r="33" customFormat="false" ht="22.35" hidden="false" customHeight="false" outlineLevel="0" collapsed="false">
      <c r="A33" s="0" t="s">
        <v>1501</v>
      </c>
      <c r="B33" s="47" t="s">
        <v>374</v>
      </c>
      <c r="C33" s="47" t="s">
        <v>1502</v>
      </c>
      <c r="D33" s="47" t="s">
        <v>1476</v>
      </c>
      <c r="E33" s="47" t="s">
        <v>1503</v>
      </c>
      <c r="F33" s="47" t="s">
        <v>1504</v>
      </c>
      <c r="G33" s="48" t="n">
        <f aca="false">IFERROR(INDEX(Inflation!C15:C155,MATCH(Inflation!D11,Inflation!A15:A155,0))-Inflation!D12,"n/a")</f>
        <v>-1.07563514539777E-007</v>
      </c>
      <c r="H33" s="47"/>
    </row>
    <row r="34" customFormat="false" ht="32.8" hidden="false" customHeight="false" outlineLevel="0" collapsed="false">
      <c r="A34" s="0" t="s">
        <v>1505</v>
      </c>
      <c r="B34" s="47" t="s">
        <v>1506</v>
      </c>
      <c r="C34" s="47" t="s">
        <v>1507</v>
      </c>
      <c r="D34" s="47" t="s">
        <v>1508</v>
      </c>
      <c r="E34" s="47" t="s">
        <v>1509</v>
      </c>
      <c r="F34" s="47" t="s">
        <v>1510</v>
      </c>
      <c r="G34" s="47"/>
      <c r="H34" s="47" t="s">
        <v>1511</v>
      </c>
    </row>
    <row r="35" customFormat="false" ht="22.35" hidden="false" customHeight="false" outlineLevel="0" collapsed="false">
      <c r="A35" s="0" t="s">
        <v>1512</v>
      </c>
      <c r="B35" s="47" t="s">
        <v>453</v>
      </c>
      <c r="C35" s="47" t="s">
        <v>1513</v>
      </c>
      <c r="D35" s="47" t="s">
        <v>1514</v>
      </c>
      <c r="E35" s="47" t="s">
        <v>1515</v>
      </c>
      <c r="F35" s="47" t="s">
        <v>1516</v>
      </c>
      <c r="G35" s="47"/>
      <c r="H35" s="47" t="s">
        <v>1517</v>
      </c>
    </row>
    <row r="36" customFormat="false" ht="22.35" hidden="false" customHeight="false" outlineLevel="0" collapsed="false">
      <c r="A36" s="0" t="s">
        <v>1518</v>
      </c>
      <c r="B36" s="47" t="s">
        <v>501</v>
      </c>
      <c r="C36" s="47" t="s">
        <v>1519</v>
      </c>
      <c r="D36" s="47" t="s">
        <v>1520</v>
      </c>
      <c r="E36" s="47" t="s">
        <v>1521</v>
      </c>
      <c r="F36" s="47" t="s">
        <v>1522</v>
      </c>
      <c r="G36" s="47"/>
      <c r="H36" s="47" t="s">
        <v>1523</v>
      </c>
    </row>
    <row r="37" customFormat="false" ht="22.35" hidden="false" customHeight="false" outlineLevel="0" collapsed="false">
      <c r="A37" s="0" t="s">
        <v>1524</v>
      </c>
      <c r="B37" s="47" t="s">
        <v>501</v>
      </c>
      <c r="C37" s="47" t="s">
        <v>1525</v>
      </c>
      <c r="D37" s="47" t="s">
        <v>1526</v>
      </c>
      <c r="E37" s="47" t="s">
        <v>1527</v>
      </c>
      <c r="F37" s="47" t="s">
        <v>1528</v>
      </c>
      <c r="G37" s="47"/>
      <c r="H37" s="47"/>
    </row>
    <row r="38" customFormat="false" ht="22.35" hidden="false" customHeight="false" outlineLevel="0" collapsed="false">
      <c r="A38" s="0" t="s">
        <v>1529</v>
      </c>
      <c r="B38" s="47" t="s">
        <v>501</v>
      </c>
      <c r="C38" s="47" t="s">
        <v>1530</v>
      </c>
      <c r="D38" s="47" t="s">
        <v>1393</v>
      </c>
      <c r="E38" s="47" t="s">
        <v>1531</v>
      </c>
      <c r="F38" s="47" t="s">
        <v>1532</v>
      </c>
      <c r="G38" s="47"/>
      <c r="H38" s="47" t="s">
        <v>1533</v>
      </c>
    </row>
    <row r="39" customFormat="false" ht="22.35" hidden="false" customHeight="false" outlineLevel="0" collapsed="false">
      <c r="A39" s="0" t="s">
        <v>1534</v>
      </c>
      <c r="B39" s="47" t="s">
        <v>1535</v>
      </c>
      <c r="C39" s="47" t="s">
        <v>1536</v>
      </c>
      <c r="D39" s="47" t="s">
        <v>1537</v>
      </c>
      <c r="E39" s="47" t="s">
        <v>1538</v>
      </c>
      <c r="F39" s="47" t="s">
        <v>1539</v>
      </c>
      <c r="G39" s="47"/>
      <c r="H39" s="47"/>
    </row>
    <row r="40" customFormat="false" ht="22.35" hidden="false" customHeight="false" outlineLevel="0" collapsed="false">
      <c r="A40" s="0" t="s">
        <v>1540</v>
      </c>
      <c r="B40" s="47" t="s">
        <v>542</v>
      </c>
      <c r="C40" s="47" t="s">
        <v>1541</v>
      </c>
      <c r="D40" s="47" t="s">
        <v>1542</v>
      </c>
      <c r="E40" s="47" t="s">
        <v>1543</v>
      </c>
      <c r="F40" s="47" t="s">
        <v>1544</v>
      </c>
      <c r="G40" s="47"/>
      <c r="H40" s="47"/>
    </row>
    <row r="41" customFormat="false" ht="15" hidden="false" customHeight="false" outlineLevel="0" collapsed="false">
      <c r="A41" s="0" t="s">
        <v>1545</v>
      </c>
      <c r="B41" s="47" t="s">
        <v>550</v>
      </c>
      <c r="C41" s="47" t="s">
        <v>1546</v>
      </c>
      <c r="D41" s="47" t="s">
        <v>10</v>
      </c>
      <c r="E41" s="47" t="s">
        <v>1547</v>
      </c>
      <c r="F41" s="47" t="s">
        <v>1548</v>
      </c>
      <c r="G41" s="47"/>
      <c r="H41" s="47"/>
    </row>
    <row r="42" customFormat="false" ht="15" hidden="false" customHeight="false" outlineLevel="0" collapsed="false">
      <c r="A42" s="0" t="s">
        <v>1549</v>
      </c>
      <c r="B42" s="47" t="s">
        <v>559</v>
      </c>
      <c r="C42" s="47" t="s">
        <v>1550</v>
      </c>
      <c r="D42" s="47" t="s">
        <v>1551</v>
      </c>
      <c r="E42" s="47" t="s">
        <v>1552</v>
      </c>
      <c r="F42" s="47" t="s">
        <v>1553</v>
      </c>
      <c r="G42" s="47"/>
      <c r="H42" s="47"/>
    </row>
    <row r="43" customFormat="false" ht="22.35" hidden="false" customHeight="false" outlineLevel="0" collapsed="false">
      <c r="A43" s="0" t="s">
        <v>1554</v>
      </c>
      <c r="B43" s="47" t="s">
        <v>1555</v>
      </c>
      <c r="C43" s="47" t="s">
        <v>1556</v>
      </c>
      <c r="D43" s="47" t="s">
        <v>1520</v>
      </c>
      <c r="E43" s="47" t="s">
        <v>1557</v>
      </c>
      <c r="F43" s="47"/>
      <c r="G43" s="47"/>
      <c r="H43" s="47"/>
    </row>
    <row r="44" customFormat="false" ht="22.35" hidden="false" customHeight="false" outlineLevel="0" collapsed="false">
      <c r="A44" s="0" t="s">
        <v>1558</v>
      </c>
      <c r="B44" s="47" t="s">
        <v>184</v>
      </c>
      <c r="C44" s="47" t="s">
        <v>1559</v>
      </c>
      <c r="D44" s="47" t="s">
        <v>1560</v>
      </c>
      <c r="E44" s="47" t="s">
        <v>1561</v>
      </c>
      <c r="F44" s="47" t="s">
        <v>1562</v>
      </c>
      <c r="G44" s="47"/>
      <c r="H44" s="47"/>
    </row>
    <row r="47" customFormat="false" ht="15" hidden="false" customHeight="false" outlineLevel="0" collapsed="false">
      <c r="A47" s="25" t="s">
        <v>1563</v>
      </c>
    </row>
    <row r="48" customFormat="false" ht="15" hidden="false" customHeight="false" outlineLevel="0" collapsed="false">
      <c r="A48" s="3" t="s">
        <v>1348</v>
      </c>
      <c r="B48" s="3" t="s">
        <v>3</v>
      </c>
      <c r="C48" s="3" t="s">
        <v>1564</v>
      </c>
      <c r="D48" s="3" t="s">
        <v>1565</v>
      </c>
      <c r="E48" s="3" t="s">
        <v>1566</v>
      </c>
      <c r="F48" s="3" t="s">
        <v>1567</v>
      </c>
      <c r="G48" s="3" t="s">
        <v>1568</v>
      </c>
      <c r="H48" s="3" t="s">
        <v>1569</v>
      </c>
    </row>
    <row r="49" customFormat="false" ht="15" hidden="false" customHeight="false" outlineLevel="0" collapsed="false">
      <c r="A49" s="0" t="s">
        <v>1355</v>
      </c>
      <c r="B49" s="0" t="s">
        <v>15</v>
      </c>
      <c r="C49" s="0" t="s">
        <v>1570</v>
      </c>
      <c r="D49" s="13" t="n">
        <v>46297</v>
      </c>
      <c r="E49" s="10" t="n">
        <f aca="false">INDEX(FX_Daily!B$15:B$2821,MATCH(D49,FX_Daily!$A$15:$A$2821,0))</f>
        <v>1345.75</v>
      </c>
      <c r="F49" s="14" t="n">
        <v>1345.75</v>
      </c>
      <c r="G49" s="10" t="n">
        <f aca="false">E49-F49</f>
        <v>0</v>
      </c>
      <c r="H49" s="4" t="s">
        <v>20</v>
      </c>
    </row>
    <row r="50" customFormat="false" ht="15" hidden="false" customHeight="false" outlineLevel="0" collapsed="false">
      <c r="A50" s="0" t="s">
        <v>1360</v>
      </c>
      <c r="B50" s="0" t="s">
        <v>15</v>
      </c>
      <c r="C50" s="0" t="s">
        <v>1571</v>
      </c>
      <c r="D50" s="13" t="n">
        <v>46290</v>
      </c>
      <c r="E50" s="10" t="n">
        <f aca="false">INDEX(FX_Daily!C$15:C$2821,MATCH(D50,FX_Daily!$A$15:$A$2821,0))</f>
        <v>9.4973</v>
      </c>
      <c r="F50" s="14" t="n">
        <v>9.4973</v>
      </c>
      <c r="G50" s="10" t="n">
        <f aca="false">E50-F50</f>
        <v>0</v>
      </c>
      <c r="H50" s="4" t="s">
        <v>1572</v>
      </c>
    </row>
    <row r="51" customFormat="false" ht="15" hidden="false" customHeight="false" outlineLevel="0" collapsed="false">
      <c r="A51" s="0" t="s">
        <v>1366</v>
      </c>
      <c r="B51" s="0" t="s">
        <v>15</v>
      </c>
      <c r="C51" s="0" t="s">
        <v>1573</v>
      </c>
      <c r="D51" s="13" t="n">
        <v>46300</v>
      </c>
      <c r="E51" s="10" t="n">
        <f aca="false">INDEX(FX_Daily!I$15:I$2821,MATCH(D51,FX_Daily!$A$15:$A$2821,0))</f>
        <v>1.1204</v>
      </c>
      <c r="F51" s="14" t="n">
        <v>1.1204</v>
      </c>
      <c r="G51" s="10" t="n">
        <f aca="false">E51-F51</f>
        <v>0</v>
      </c>
      <c r="H51" s="4" t="s">
        <v>1574</v>
      </c>
    </row>
    <row r="52" customFormat="false" ht="15" hidden="false" customHeight="false" outlineLevel="0" collapsed="false">
      <c r="A52" s="0" t="s">
        <v>1371</v>
      </c>
      <c r="B52" s="0" t="s">
        <v>106</v>
      </c>
      <c r="C52" s="0" t="s">
        <v>1575</v>
      </c>
      <c r="D52" s="13" t="n">
        <v>46301</v>
      </c>
      <c r="E52" s="10" t="n">
        <f aca="false">INDEX(Rates_Daily!Q$15:Q$2892,MATCH(D52,Rates_Daily!$A$15:$A$2892,0))</f>
        <v>4.5</v>
      </c>
      <c r="F52" s="14" t="n">
        <v>4.5</v>
      </c>
      <c r="G52" s="10" t="n">
        <f aca="false">E52-F52</f>
        <v>0</v>
      </c>
      <c r="H52" s="4" t="s">
        <v>1576</v>
      </c>
    </row>
    <row r="53" customFormat="false" ht="15" hidden="false" customHeight="false" outlineLevel="0" collapsed="false">
      <c r="A53" s="0" t="s">
        <v>1375</v>
      </c>
      <c r="B53" s="0" t="s">
        <v>106</v>
      </c>
      <c r="C53" s="0" t="s">
        <v>1577</v>
      </c>
      <c r="D53" s="13" t="n">
        <v>46301</v>
      </c>
      <c r="E53" s="10" t="n">
        <f aca="false">INDEX(Rates_Daily!G$15:G$2892,MATCH(D53,Rates_Daily!$A$15:$A$2892,0))</f>
        <v>3.75</v>
      </c>
      <c r="F53" s="14" t="n">
        <v>3.75</v>
      </c>
      <c r="G53" s="10" t="n">
        <f aca="false">E53-F53</f>
        <v>0</v>
      </c>
      <c r="H53" s="4" t="s">
        <v>1578</v>
      </c>
    </row>
    <row r="54" customFormat="false" ht="15" hidden="false" customHeight="false" outlineLevel="0" collapsed="false">
      <c r="A54" s="0" t="s">
        <v>1380</v>
      </c>
      <c r="B54" s="0" t="s">
        <v>374</v>
      </c>
      <c r="C54" s="0" t="s">
        <v>1579</v>
      </c>
      <c r="D54" s="17" t="n">
        <v>46266</v>
      </c>
      <c r="E54" s="10" t="n">
        <f aca="false">INDEX(Inflation!P$15:P$155,MATCH(D54,Inflation!$A$15:$A$155,0))</f>
        <v>3.8</v>
      </c>
      <c r="F54" s="14" t="n">
        <v>3.8</v>
      </c>
      <c r="G54" s="10" t="n">
        <f aca="false">E54-F54</f>
        <v>0</v>
      </c>
      <c r="H54" s="4" t="s">
        <v>1580</v>
      </c>
    </row>
    <row r="55" customFormat="false" ht="15" hidden="false" customHeight="false" outlineLevel="0" collapsed="false">
      <c r="A55" s="2" t="s">
        <v>1581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2026-10-07T10:14:48Z</dcterms:created>
  <dc:creator>openpyxl</dc:creator>
  <dc:description/>
  <dc:language>en-US</dc:language>
  <cp:lastModifiedBy/>
  <dcterms:modified xsi:type="dcterms:W3CDTF">2026-10-07T10:14:51Z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